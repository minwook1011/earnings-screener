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5992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26338.147</v>
      </c>
      <c r="D4" s="12" t="n">
        <v>27259.039</v>
      </c>
      <c r="E4" s="12" t="n">
        <v>23371.48</v>
      </c>
      <c r="F4" s="12" t="n">
        <v>25520.937</v>
      </c>
      <c r="G4" s="12" t="n">
        <v>27735.484</v>
      </c>
      <c r="H4" s="12" t="n">
        <v>28993.994</v>
      </c>
      <c r="I4" s="12" t="n">
        <v>27906.817</v>
      </c>
      <c r="J4" s="12" t="n">
        <v>26306.367</v>
      </c>
      <c r="K4" s="12" t="n">
        <v>27751.463</v>
      </c>
      <c r="L4" s="12" t="n">
        <v>29071.088</v>
      </c>
      <c r="M4" s="12" t="n">
        <v>27739.729</v>
      </c>
      <c r="N4" s="12" t="n">
        <v>27559.118</v>
      </c>
      <c r="O4" s="11" t="n">
        <v>81500.704</v>
      </c>
      <c r="P4" s="12" t="n">
        <v>83655.26700000001</v>
      </c>
      <c r="Q4" s="12" t="n">
        <v>83017.352</v>
      </c>
      <c r="R4" s="12" t="n">
        <v>83394.656</v>
      </c>
      <c r="S4" s="12" t="n">
        <v>74655.364</v>
      </c>
      <c r="T4" s="12" t="n">
        <v>82144.72100000001</v>
      </c>
      <c r="U4" s="12" t="n">
        <v>92766.164</v>
      </c>
      <c r="V4" s="12" t="n">
        <v>100975.203</v>
      </c>
      <c r="W4" s="12" t="n">
        <v>110157.232</v>
      </c>
      <c r="X4" s="12" t="n">
        <v>110868.647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JapanReportableSegmentsMember</t>
        </is>
      </c>
      <c r="B7" s="10" t="n"/>
      <c r="C7" s="19" t="n">
        <v>17548.302</v>
      </c>
      <c r="D7" s="20" t="n">
        <v>18648.668</v>
      </c>
      <c r="E7" s="20" t="n">
        <v>16072.227</v>
      </c>
      <c r="F7" s="20" t="n">
        <v>17943.227</v>
      </c>
      <c r="G7" s="20" t="n">
        <v>20326.958</v>
      </c>
      <c r="H7" s="20" t="n">
        <v>20716.321</v>
      </c>
      <c r="I7" s="20" t="n">
        <v>20856.554</v>
      </c>
      <c r="J7" s="20" t="n">
        <v>19123.198</v>
      </c>
      <c r="K7" s="20" t="n">
        <v>20107.982</v>
      </c>
      <c r="L7" s="20" t="n">
        <v>20975.193</v>
      </c>
      <c r="M7" s="20" t="n">
        <v>20357.486</v>
      </c>
      <c r="N7" s="20" t="n">
        <v>19826.788</v>
      </c>
      <c r="O7" s="19" t="n"/>
      <c r="P7" s="20" t="n"/>
      <c r="Q7" s="20" t="n"/>
      <c r="R7" s="20" t="n"/>
      <c r="S7" s="20" t="n"/>
      <c r="T7" s="20" t="n"/>
      <c r="U7" s="20" t="n"/>
      <c r="V7" s="20" t="n">
        <v>68366.51300000001</v>
      </c>
      <c r="W7" s="20" t="n">
        <v>79843.06</v>
      </c>
      <c r="X7" s="20" t="n">
        <v>80563.859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NorthAmericaReportableSegmentsMember</t>
        </is>
      </c>
      <c r="B10" s="10" t="n"/>
      <c r="C10" s="19" t="n">
        <v>2569.841</v>
      </c>
      <c r="D10" s="20" t="n">
        <v>2543.931</v>
      </c>
      <c r="E10" s="20" t="n">
        <v>2413.995</v>
      </c>
      <c r="F10" s="20" t="n">
        <v>2422.324</v>
      </c>
      <c r="G10" s="20" t="n">
        <v>1910.082</v>
      </c>
      <c r="H10" s="20" t="n">
        <v>2263.899</v>
      </c>
      <c r="I10" s="20" t="n">
        <v>2509.48</v>
      </c>
      <c r="J10" s="20" t="n">
        <v>2286.564</v>
      </c>
      <c r="K10" s="20" t="n">
        <v>2229.249</v>
      </c>
      <c r="L10" s="20" t="n">
        <v>2272.184</v>
      </c>
      <c r="M10" s="20" t="n">
        <v>2269.029</v>
      </c>
      <c r="N10" s="20" t="n">
        <v>2506.662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9877.797</v>
      </c>
      <c r="W10" s="20" t="n">
        <v>9105.785</v>
      </c>
      <c r="X10" s="20" t="n">
        <v>9057.026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ChinaReportableSegmentsMember</t>
        </is>
      </c>
      <c r="B13" s="10" t="n"/>
      <c r="C13" s="19" t="n">
        <v>2264.023</v>
      </c>
      <c r="D13" s="20" t="n">
        <v>2308.6</v>
      </c>
      <c r="E13" s="20" t="n">
        <v>1533.019</v>
      </c>
      <c r="F13" s="20" t="n">
        <v>1726.952</v>
      </c>
      <c r="G13" s="20" t="n">
        <v>1865.755</v>
      </c>
      <c r="H13" s="20" t="n">
        <v>2335.802</v>
      </c>
      <c r="I13" s="20" t="n">
        <v>1259.443</v>
      </c>
      <c r="J13" s="20" t="n">
        <v>1655.157</v>
      </c>
      <c r="K13" s="20" t="n">
        <v>1863.497</v>
      </c>
      <c r="L13" s="20" t="n">
        <v>2061.518</v>
      </c>
      <c r="M13" s="20" t="n">
        <v>1550.603</v>
      </c>
      <c r="N13" s="20" t="n">
        <v>1598.974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8330.691000000001</v>
      </c>
      <c r="W13" s="20" t="n">
        <v>7187.952</v>
      </c>
      <c r="X13" s="20" t="n">
        <v>7130.775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AsiaReportableSegmentsMember</t>
        </is>
      </c>
      <c r="B16" s="10" t="n"/>
      <c r="C16" s="19" t="n">
        <v>3955.982</v>
      </c>
      <c r="D16" s="20" t="n">
        <v>3757.84</v>
      </c>
      <c r="E16" s="20" t="n">
        <v>3352.238</v>
      </c>
      <c r="F16" s="20" t="n">
        <v>3428.432</v>
      </c>
      <c r="G16" s="20" t="n">
        <v>3632.69</v>
      </c>
      <c r="H16" s="20" t="n">
        <v>3677.971</v>
      </c>
      <c r="I16" s="20" t="n">
        <v>3281.341</v>
      </c>
      <c r="J16" s="20" t="n">
        <v>3241.448</v>
      </c>
      <c r="K16" s="20" t="n">
        <v>3550.733</v>
      </c>
      <c r="L16" s="20" t="n">
        <v>3762.193</v>
      </c>
      <c r="M16" s="20" t="n">
        <v>3562.612</v>
      </c>
      <c r="N16" s="20" t="n">
        <v>3626.693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14400.2</v>
      </c>
      <c r="W16" s="20" t="n">
        <v>14020.434</v>
      </c>
      <c r="X16" s="20" t="n">
        <v>14116.986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23340.292</v>
      </c>
      <c r="D20" s="20" t="n">
        <v>24544.927</v>
      </c>
      <c r="E20" s="20" t="n">
        <v>21081.212</v>
      </c>
      <c r="F20" s="20" t="n">
        <v>23028.753</v>
      </c>
      <c r="G20" s="20" t="n">
        <v>23790.12</v>
      </c>
      <c r="H20" s="20" t="n">
        <v>25216.622</v>
      </c>
      <c r="I20" s="20" t="n">
        <v>24039.036</v>
      </c>
      <c r="J20" s="20" t="n">
        <v>23219.635</v>
      </c>
      <c r="K20" s="20" t="n">
        <v>24443.776</v>
      </c>
      <c r="L20" s="20" t="n">
        <v>25791.53</v>
      </c>
      <c r="M20" s="20" t="n">
        <v>24450.092</v>
      </c>
      <c r="N20" s="20" t="n">
        <v>24898.692</v>
      </c>
      <c r="O20" s="19" t="n">
        <v>70735.27</v>
      </c>
      <c r="P20" s="20" t="n">
        <v>71971.07399999999</v>
      </c>
      <c r="Q20" s="20" t="n">
        <v>72350.086</v>
      </c>
      <c r="R20" s="20" t="n">
        <v>72370.417</v>
      </c>
      <c r="S20" s="20" t="n">
        <v>65131.127</v>
      </c>
      <c r="T20" s="20" t="n">
        <v>71922.53</v>
      </c>
      <c r="U20" s="20" t="n">
        <v>83748.689</v>
      </c>
      <c r="V20" s="20" t="n">
        <v>90782.52899999999</v>
      </c>
      <c r="W20" s="20" t="n">
        <v>96074.531</v>
      </c>
      <c r="X20" s="20" t="n">
        <v>97905.033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>
        <v>2262.488</v>
      </c>
      <c r="D24" s="20" t="n">
        <v>2402.946</v>
      </c>
      <c r="E24" s="20" t="n">
        <v>2209.208</v>
      </c>
      <c r="F24" s="20" t="n">
        <v>2355.872</v>
      </c>
      <c r="G24" s="20" t="n">
        <v>2320.678</v>
      </c>
      <c r="H24" s="20" t="n">
        <v>2542.021</v>
      </c>
      <c r="I24" s="20" t="n">
        <v>2479.66</v>
      </c>
      <c r="J24" s="20" t="n">
        <v>2484.613</v>
      </c>
      <c r="K24" s="20" t="n">
        <v>2414.63</v>
      </c>
      <c r="L24" s="20" t="n">
        <v>2687.791</v>
      </c>
      <c r="M24" s="20" t="n">
        <v>2528.742</v>
      </c>
      <c r="N24" s="20" t="n">
        <v>2636.831</v>
      </c>
      <c r="O24" s="19" t="n">
        <v>8028.386</v>
      </c>
      <c r="P24" s="20" t="n">
        <v>8325.663</v>
      </c>
      <c r="Q24" s="20" t="n">
        <v>8439.013999999999</v>
      </c>
      <c r="R24" s="20" t="n">
        <v>8332.223</v>
      </c>
      <c r="S24" s="20" t="n">
        <v>8263.516</v>
      </c>
      <c r="T24" s="20" t="n">
        <v>8395.473</v>
      </c>
      <c r="U24" s="20" t="n">
        <v>8662.944</v>
      </c>
      <c r="V24" s="20" t="n">
        <v>9118.959000000001</v>
      </c>
      <c r="W24" s="20" t="n">
        <v>9698.231</v>
      </c>
      <c r="X24" s="20" t="n">
        <v>10115.776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735.366</v>
      </c>
      <c r="D25" s="12" t="n">
        <v>311.166</v>
      </c>
      <c r="E25" s="12" t="n">
        <v>81.06</v>
      </c>
      <c r="F25" s="12" t="n">
        <v>136.31</v>
      </c>
      <c r="G25" s="12" t="n">
        <v>1624.687</v>
      </c>
      <c r="H25" s="12" t="n">
        <v>1235.351</v>
      </c>
      <c r="I25" s="12" t="n">
        <v>1388.121</v>
      </c>
      <c r="J25" s="12" t="n">
        <v>602.119</v>
      </c>
      <c r="K25" s="12" t="n">
        <v>893.056</v>
      </c>
      <c r="L25" s="12" t="n">
        <v>591.7670000000001</v>
      </c>
      <c r="M25" s="12" t="n">
        <v>760.896</v>
      </c>
      <c r="N25" s="12" t="n">
        <v>23.594</v>
      </c>
      <c r="O25" s="11" t="n">
        <v>2737.046</v>
      </c>
      <c r="P25" s="12" t="n">
        <v>3358.53</v>
      </c>
      <c r="Q25" s="12" t="n">
        <v>2228.252</v>
      </c>
      <c r="R25" s="12" t="n">
        <v>2692.015</v>
      </c>
      <c r="S25" s="12" t="n">
        <v>1260.721</v>
      </c>
      <c r="T25" s="12" t="n">
        <v>1826.717</v>
      </c>
      <c r="U25" s="12" t="n">
        <v>354.53</v>
      </c>
      <c r="V25" s="12" t="n">
        <v>1073.714</v>
      </c>
      <c r="W25" s="12" t="n">
        <v>4384.469</v>
      </c>
      <c r="X25" s="12" t="n">
        <v>2847.838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/>
      <c r="D41" s="20" t="n">
        <v>0</v>
      </c>
      <c r="E41" s="20" t="n">
        <v>227.099</v>
      </c>
      <c r="F41" s="20" t="n"/>
      <c r="G41" s="20" t="n"/>
      <c r="H41" s="20" t="n">
        <v>24.91</v>
      </c>
      <c r="I41" s="20" t="n">
        <v>347.658</v>
      </c>
      <c r="J41" s="20" t="n"/>
      <c r="K41" s="20" t="n"/>
      <c r="L41" s="20" t="n">
        <v>13001.294</v>
      </c>
      <c r="M41" s="20" t="n">
        <v>466.733</v>
      </c>
      <c r="N41" s="20" t="n"/>
      <c r="O41" s="19" t="n">
        <v>0</v>
      </c>
      <c r="P41" s="20" t="n">
        <v>0</v>
      </c>
      <c r="Q41" s="20" t="n">
        <v>138.839</v>
      </c>
      <c r="R41" s="20" t="n">
        <v>0</v>
      </c>
      <c r="S41" s="20" t="n">
        <v>707.941</v>
      </c>
      <c r="T41" s="20" t="n">
        <v>0</v>
      </c>
      <c r="U41" s="20" t="n">
        <v>0</v>
      </c>
      <c r="V41" s="20" t="n">
        <v>227.099</v>
      </c>
      <c r="W41" s="20" t="n">
        <v>417.464</v>
      </c>
      <c r="X41" s="20" t="n">
        <v>13551.621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/>
      <c r="D43" s="20" t="n"/>
      <c r="E43" s="20" t="n">
        <v>126.785</v>
      </c>
      <c r="F43" s="20" t="n"/>
      <c r="G43" s="20" t="n"/>
      <c r="H43" s="20" t="n"/>
      <c r="I43" s="20" t="n">
        <v>2582.757</v>
      </c>
      <c r="J43" s="20" t="n"/>
      <c r="K43" s="20" t="n"/>
      <c r="L43" s="20" t="n"/>
      <c r="M43" s="20" t="n">
        <v>318.616</v>
      </c>
      <c r="N43" s="20" t="n"/>
      <c r="O43" s="19" t="n">
        <v>39.93</v>
      </c>
      <c r="P43" s="20" t="n">
        <v>230.637</v>
      </c>
      <c r="Q43" s="20" t="n">
        <v>3.842</v>
      </c>
      <c r="R43" s="20" t="n">
        <v>176.104</v>
      </c>
      <c r="S43" s="20" t="n">
        <v>433.589</v>
      </c>
      <c r="T43" s="20" t="n">
        <v>24.514</v>
      </c>
      <c r="U43" s="20" t="n">
        <v>120.988</v>
      </c>
      <c r="V43" s="20" t="n">
        <v>180.891</v>
      </c>
      <c r="W43" s="20" t="n">
        <v>2992.81</v>
      </c>
      <c r="X43" s="20" t="n">
        <v>318.616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315.017</v>
      </c>
      <c r="D45" s="20" t="n">
        <v>-86.444</v>
      </c>
      <c r="E45" s="20" t="n">
        <v>732.627</v>
      </c>
      <c r="F45" s="20" t="n">
        <v>1305.416</v>
      </c>
      <c r="G45" s="20" t="n">
        <v>-581.846</v>
      </c>
      <c r="H45" s="20" t="n">
        <v>1007.849</v>
      </c>
      <c r="I45" s="20" t="n">
        <v>-362.118</v>
      </c>
      <c r="J45" s="20" t="n">
        <v>705.521</v>
      </c>
      <c r="K45" s="20" t="n">
        <v>67.696</v>
      </c>
      <c r="L45" s="20" t="n">
        <v>1060.536</v>
      </c>
      <c r="M45" s="20" t="n">
        <v>315.786</v>
      </c>
      <c r="N45" s="20" t="n">
        <v>777.283</v>
      </c>
      <c r="O45" s="19" t="n">
        <v>648.529</v>
      </c>
      <c r="P45" s="20" t="n">
        <v>602.268</v>
      </c>
      <c r="Q45" s="20" t="n">
        <v>884.58</v>
      </c>
      <c r="R45" s="20" t="n">
        <v>698.929</v>
      </c>
      <c r="S45" s="20" t="n">
        <v>1216.797</v>
      </c>
      <c r="T45" s="20" t="n">
        <v>1765.595</v>
      </c>
      <c r="U45" s="20" t="n">
        <v>1468.68</v>
      </c>
      <c r="V45" s="20" t="n">
        <v>2356.898</v>
      </c>
      <c r="W45" s="20" t="n">
        <v>1369.301</v>
      </c>
      <c r="X45" s="20" t="n">
        <v>2149.539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97.044</v>
      </c>
      <c r="D47" s="20" t="n">
        <v>58.555</v>
      </c>
      <c r="E47" s="20" t="n">
        <v>142.202</v>
      </c>
      <c r="F47" s="20" t="n">
        <v>47.318</v>
      </c>
      <c r="G47" s="20" t="n">
        <v>649.574</v>
      </c>
      <c r="H47" s="20" t="n">
        <v>-478.14</v>
      </c>
      <c r="I47" s="20" t="n">
        <v>386.33</v>
      </c>
      <c r="J47" s="20" t="n">
        <v>419.134</v>
      </c>
      <c r="K47" s="20" t="n">
        <v>-106.919</v>
      </c>
      <c r="L47" s="20" t="n">
        <v>36.96</v>
      </c>
      <c r="M47" s="20" t="n">
        <v>151.721</v>
      </c>
      <c r="N47" s="20" t="n">
        <v>100.349</v>
      </c>
      <c r="O47" s="19" t="n">
        <v>457.152</v>
      </c>
      <c r="P47" s="20" t="n">
        <v>610.266</v>
      </c>
      <c r="Q47" s="20" t="n">
        <v>321.018</v>
      </c>
      <c r="R47" s="20" t="n">
        <v>401.145</v>
      </c>
      <c r="S47" s="20" t="n">
        <v>219.107</v>
      </c>
      <c r="T47" s="20" t="n">
        <v>157.314</v>
      </c>
      <c r="U47" s="20" t="n">
        <v>251.049</v>
      </c>
      <c r="V47" s="20" t="n">
        <v>336.868</v>
      </c>
      <c r="W47" s="20" t="n">
        <v>605.082</v>
      </c>
      <c r="X47" s="20" t="n">
        <v>500.896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953.34</v>
      </c>
      <c r="D49" s="12" t="n">
        <v>112.059</v>
      </c>
      <c r="E49" s="12" t="n">
        <v>771.801</v>
      </c>
      <c r="F49" s="12" t="n">
        <v>1394.408</v>
      </c>
      <c r="G49" s="12" t="n">
        <v>438.164</v>
      </c>
      <c r="H49" s="12" t="n">
        <v>2336.196</v>
      </c>
      <c r="I49" s="12" t="n">
        <v>-1595.427</v>
      </c>
      <c r="J49" s="12" t="n">
        <v>888.506</v>
      </c>
      <c r="K49" s="12" t="n">
        <v>1151.266</v>
      </c>
      <c r="L49" s="12" t="n">
        <v>14616.636</v>
      </c>
      <c r="M49" s="12" t="n">
        <v>1073.078</v>
      </c>
      <c r="N49" s="12" t="n">
        <v>700.529</v>
      </c>
      <c r="O49" s="11" t="n">
        <v>2888.493</v>
      </c>
      <c r="P49" s="12" t="n">
        <v>3119.894</v>
      </c>
      <c r="Q49" s="12" t="n">
        <v>2926.812</v>
      </c>
      <c r="R49" s="12" t="n">
        <v>2813.695</v>
      </c>
      <c r="S49" s="12" t="n">
        <v>2532.762</v>
      </c>
      <c r="T49" s="12" t="n">
        <v>3410.483</v>
      </c>
      <c r="U49" s="12" t="n">
        <v>1451.173</v>
      </c>
      <c r="V49" s="12" t="n">
        <v>3139.952</v>
      </c>
      <c r="W49" s="12" t="n">
        <v>2573.341</v>
      </c>
      <c r="X49" s="12" t="n">
        <v>17729.486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>
        <v>297.867</v>
      </c>
      <c r="D50" s="20" t="n">
        <v>-2.552</v>
      </c>
      <c r="E50" s="20" t="n">
        <v>246.273</v>
      </c>
      <c r="F50" s="20" t="n">
        <v>398.854</v>
      </c>
      <c r="G50" s="20" t="n">
        <v>126.471</v>
      </c>
      <c r="H50" s="20" t="n">
        <v>717.992</v>
      </c>
      <c r="I50" s="20" t="n">
        <v>-605.5599999999999</v>
      </c>
      <c r="J50" s="20" t="n">
        <v>259.934</v>
      </c>
      <c r="K50" s="20" t="n">
        <v>364.082</v>
      </c>
      <c r="L50" s="20" t="n">
        <v>4391.724</v>
      </c>
      <c r="M50" s="20" t="n">
        <v>167.734</v>
      </c>
      <c r="N50" s="20" t="n">
        <v>254.333</v>
      </c>
      <c r="O50" s="19" t="n">
        <v>708.413</v>
      </c>
      <c r="P50" s="20" t="n">
        <v>860.542</v>
      </c>
      <c r="Q50" s="20" t="n">
        <v>855.47</v>
      </c>
      <c r="R50" s="20" t="n">
        <v>937.136</v>
      </c>
      <c r="S50" s="20" t="n">
        <v>1013.396</v>
      </c>
      <c r="T50" s="20" t="n">
        <v>1255.468</v>
      </c>
      <c r="U50" s="20" t="n">
        <v>695.389</v>
      </c>
      <c r="V50" s="20" t="n">
        <v>989.338</v>
      </c>
      <c r="W50" s="20" t="n">
        <v>637.7569999999999</v>
      </c>
      <c r="X50" s="20" t="n">
        <v>5183.474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>
        <v>655.472</v>
      </c>
      <c r="D52" s="12" t="n">
        <v>114.611</v>
      </c>
      <c r="E52" s="12" t="n">
        <v>525.529</v>
      </c>
      <c r="F52" s="12" t="n">
        <v>995.553</v>
      </c>
      <c r="G52" s="12" t="n">
        <v>311.693</v>
      </c>
      <c r="H52" s="12" t="n">
        <v>1618.204</v>
      </c>
      <c r="I52" s="12" t="n">
        <v>-989.866</v>
      </c>
      <c r="J52" s="12" t="n">
        <v>628.572</v>
      </c>
      <c r="K52" s="12" t="n">
        <v>787.183</v>
      </c>
      <c r="L52" s="12" t="n">
        <v>10224.913</v>
      </c>
      <c r="M52" s="12" t="n">
        <v>905.343</v>
      </c>
      <c r="N52" s="12" t="n">
        <v>446.195</v>
      </c>
      <c r="O52" s="11" t="n">
        <v>2180.079</v>
      </c>
      <c r="P52" s="12" t="n">
        <v>2259.351</v>
      </c>
      <c r="Q52" s="12" t="n">
        <v>2071.342</v>
      </c>
      <c r="R52" s="12" t="n">
        <v>1876.558</v>
      </c>
      <c r="S52" s="12" t="n">
        <v>1519.366</v>
      </c>
      <c r="T52" s="12" t="n">
        <v>2155.014</v>
      </c>
      <c r="U52" s="12" t="n">
        <v>755.783</v>
      </c>
      <c r="V52" s="12" t="n">
        <v>2150.614</v>
      </c>
      <c r="W52" s="12" t="n">
        <v>1935.584</v>
      </c>
      <c r="X52" s="12" t="n">
        <v>12546.011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>
        <v>610.061</v>
      </c>
      <c r="D53" s="12" t="n">
        <v>50.41</v>
      </c>
      <c r="E53" s="12" t="n">
        <v>526.122</v>
      </c>
      <c r="F53" s="12" t="n">
        <v>977.8819999999999</v>
      </c>
      <c r="G53" s="12" t="n">
        <v>270.297</v>
      </c>
      <c r="H53" s="12" t="n">
        <v>1568.466</v>
      </c>
      <c r="I53" s="12" t="n">
        <v>-961.1900000000001</v>
      </c>
      <c r="J53" s="12" t="n">
        <v>612.048</v>
      </c>
      <c r="K53" s="12" t="n">
        <v>726.712</v>
      </c>
      <c r="L53" s="12" t="n">
        <v>10159.022</v>
      </c>
      <c r="M53" s="12" t="n">
        <v>922.502</v>
      </c>
      <c r="N53" s="12" t="n">
        <v>408.581</v>
      </c>
      <c r="O53" s="11" t="n">
        <v>2110.251</v>
      </c>
      <c r="P53" s="12" t="n">
        <v>2089.813</v>
      </c>
      <c r="Q53" s="12" t="n">
        <v>1785.744</v>
      </c>
      <c r="R53" s="12" t="n">
        <v>1640.153</v>
      </c>
      <c r="S53" s="12" t="n">
        <v>1248.872</v>
      </c>
      <c r="T53" s="12" t="n">
        <v>1801.48</v>
      </c>
      <c r="U53" s="12" t="n">
        <v>481.96</v>
      </c>
      <c r="V53" s="12" t="n">
        <v>1990.747</v>
      </c>
      <c r="W53" s="12" t="n">
        <v>1855.455</v>
      </c>
      <c r="X53" s="12" t="n">
        <v>12420.284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()</t>
        </is>
      </c>
      <c r="B56" s="27" t="n"/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/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2024.2Q</t>
        </is>
      </c>
      <c r="D86" s="5" t="inlineStr">
        <is>
          <t>2024.3Q</t>
        </is>
      </c>
      <c r="E86" s="5" t="inlineStr">
        <is>
          <t>2024.4Q</t>
        </is>
      </c>
      <c r="F86" s="5" t="inlineStr">
        <is>
          <t>2025.1Q</t>
        </is>
      </c>
      <c r="G86" s="5" t="inlineStr">
        <is>
          <t>2025.2Q</t>
        </is>
      </c>
      <c r="H86" s="5" t="inlineStr">
        <is>
          <t>2025.3Q</t>
        </is>
      </c>
      <c r="I86" s="5" t="inlineStr">
        <is>
          <t>2025.4Q</t>
        </is>
      </c>
      <c r="J86" s="5" t="inlineStr">
        <is>
          <t>2026.1Q</t>
        </is>
      </c>
      <c r="K86" s="5" t="inlineStr">
        <is>
          <t>2026.2Q</t>
        </is>
      </c>
      <c r="L86" s="5" t="inlineStr">
        <is>
          <t>2026.3Q</t>
        </is>
      </c>
      <c r="M86" s="5" t="inlineStr">
        <is>
          <t>2026.4Q</t>
        </is>
      </c>
      <c r="N86" s="5" t="inlineStr">
        <is>
          <t>2027.1Q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26338.147</v>
      </c>
      <c r="D87" s="12" t="n">
        <v>27259.039</v>
      </c>
      <c r="E87" s="12" t="n">
        <v>23371.48</v>
      </c>
      <c r="F87" s="12" t="n">
        <v>25520.937</v>
      </c>
      <c r="G87" s="12" t="n">
        <v>27735.484</v>
      </c>
      <c r="H87" s="12" t="n">
        <v>28993.994</v>
      </c>
      <c r="I87" s="12" t="n">
        <v>27906.817</v>
      </c>
      <c r="J87" s="12" t="n">
        <v>26306.367</v>
      </c>
      <c r="K87" s="12" t="n">
        <v>27751.463</v>
      </c>
      <c r="L87" s="12" t="n">
        <v>29071.088</v>
      </c>
      <c r="M87" s="12" t="n">
        <v>27739.729</v>
      </c>
      <c r="N87" s="12" t="n">
        <v>27559.118</v>
      </c>
      <c r="T87" s="12" t="n">
        <v>21899.323</v>
      </c>
      <c r="U87" s="12" t="n">
        <v>24273.983</v>
      </c>
      <c r="V87" s="12" t="n">
        <v>23371.48</v>
      </c>
      <c r="W87" s="12" t="n">
        <v>27906.817</v>
      </c>
      <c r="X87" s="12" t="n">
        <v>27739.729</v>
      </c>
    </row>
    <row r="88">
      <c r="A88" s="18" t="inlineStr">
        <is>
          <t>매출원가</t>
        </is>
      </c>
      <c r="C88" s="20" t="n">
        <v>23340.292</v>
      </c>
      <c r="D88" s="20" t="n">
        <v>24544.927</v>
      </c>
      <c r="E88" s="20" t="n">
        <v>21081.212</v>
      </c>
      <c r="F88" s="20" t="n">
        <v>23028.753</v>
      </c>
      <c r="G88" s="20" t="n">
        <v>23790.12</v>
      </c>
      <c r="H88" s="20" t="n">
        <v>25216.622</v>
      </c>
      <c r="I88" s="20" t="n">
        <v>24039.036</v>
      </c>
      <c r="J88" s="20" t="n">
        <v>23219.635</v>
      </c>
      <c r="K88" s="20" t="n">
        <v>24443.776</v>
      </c>
      <c r="L88" s="20" t="n">
        <v>25791.53</v>
      </c>
      <c r="M88" s="20" t="n">
        <v>24450.092</v>
      </c>
      <c r="N88" s="20" t="n">
        <v>24898.692</v>
      </c>
      <c r="T88" s="20" t="n">
        <v>18953.546</v>
      </c>
      <c r="U88" s="20" t="n">
        <v>22274.658</v>
      </c>
      <c r="V88" s="20" t="n">
        <v>21081.212</v>
      </c>
      <c r="W88" s="20" t="n">
        <v>24039.036</v>
      </c>
      <c r="X88" s="20" t="n">
        <v>24450.092</v>
      </c>
    </row>
    <row r="89">
      <c r="A89" s="9" t="inlineStr">
        <is>
          <t>매출총이익</t>
        </is>
      </c>
      <c r="C89" s="12" t="n">
        <v>2997.854</v>
      </c>
      <c r="D89" s="12" t="n">
        <v>2714.113</v>
      </c>
      <c r="E89" s="12" t="n">
        <v>2290.267</v>
      </c>
      <c r="F89" s="12" t="n">
        <v>2492.183</v>
      </c>
      <c r="G89" s="12" t="n">
        <v>3945.365</v>
      </c>
      <c r="H89" s="12" t="n">
        <v>3777.371</v>
      </c>
      <c r="I89" s="12" t="n">
        <v>3867.781</v>
      </c>
      <c r="J89" s="12" t="n">
        <v>3086.732</v>
      </c>
      <c r="K89" s="12" t="n">
        <v>3307.686</v>
      </c>
      <c r="L89" s="12" t="n">
        <v>3279.559</v>
      </c>
      <c r="M89" s="12" t="n">
        <v>3289.637</v>
      </c>
      <c r="N89" s="12" t="n">
        <v>2660.426</v>
      </c>
      <c r="T89" s="12" t="n">
        <v>2945.777</v>
      </c>
      <c r="U89" s="12" t="n">
        <v>1999.326</v>
      </c>
      <c r="V89" s="12" t="n">
        <v>2290.267</v>
      </c>
      <c r="W89" s="12" t="n">
        <v>3867.781</v>
      </c>
      <c r="X89" s="12" t="n">
        <v>3289.637</v>
      </c>
    </row>
    <row r="90">
      <c r="A90" s="18" t="inlineStr">
        <is>
          <t>판매비와 관리비</t>
        </is>
      </c>
      <c r="C90" s="20" t="n">
        <v>2262.488</v>
      </c>
      <c r="D90" s="20" t="n">
        <v>2402.946</v>
      </c>
      <c r="E90" s="20" t="n">
        <v>2209.208</v>
      </c>
      <c r="F90" s="20" t="n">
        <v>2355.872</v>
      </c>
      <c r="G90" s="20" t="n">
        <v>2320.678</v>
      </c>
      <c r="H90" s="20" t="n">
        <v>2542.021</v>
      </c>
      <c r="I90" s="20" t="n">
        <v>2479.66</v>
      </c>
      <c r="J90" s="20" t="n">
        <v>2484.613</v>
      </c>
      <c r="K90" s="20" t="n">
        <v>2414.63</v>
      </c>
      <c r="L90" s="20" t="n">
        <v>2687.791</v>
      </c>
      <c r="M90" s="20" t="n">
        <v>2528.742</v>
      </c>
      <c r="N90" s="20" t="n">
        <v>2636.831</v>
      </c>
      <c r="T90" s="20" t="n">
        <v>2133.38</v>
      </c>
      <c r="U90" s="20" t="n">
        <v>2129.864</v>
      </c>
      <c r="V90" s="20" t="n">
        <v>2209.208</v>
      </c>
      <c r="W90" s="20" t="n">
        <v>2479.66</v>
      </c>
      <c r="X90" s="20" t="n">
        <v>2528.742</v>
      </c>
    </row>
    <row r="91">
      <c r="A91" s="9" t="inlineStr">
        <is>
          <t>영업이익</t>
        </is>
      </c>
      <c r="C91" s="12" t="n">
        <v>735.366</v>
      </c>
      <c r="D91" s="12" t="n">
        <v>311.166</v>
      </c>
      <c r="E91" s="12" t="n">
        <v>81.06</v>
      </c>
      <c r="F91" s="12" t="n">
        <v>136.31</v>
      </c>
      <c r="G91" s="12" t="n">
        <v>1624.687</v>
      </c>
      <c r="H91" s="12" t="n">
        <v>1235.351</v>
      </c>
      <c r="I91" s="12" t="n">
        <v>1388.121</v>
      </c>
      <c r="J91" s="12" t="n">
        <v>602.119</v>
      </c>
      <c r="K91" s="12" t="n">
        <v>893.056</v>
      </c>
      <c r="L91" s="12" t="n">
        <v>591.7670000000001</v>
      </c>
      <c r="M91" s="12" t="n">
        <v>760.896</v>
      </c>
      <c r="N91" s="12" t="n">
        <v>23.594</v>
      </c>
      <c r="T91" s="12" t="n">
        <v>812.397</v>
      </c>
      <c r="U91" s="12" t="n">
        <v>-130.539</v>
      </c>
      <c r="V91" s="12" t="n">
        <v>81.06</v>
      </c>
      <c r="W91" s="12" t="n">
        <v>1388.121</v>
      </c>
      <c r="X91" s="12" t="n">
        <v>760.896</v>
      </c>
    </row>
    <row r="92">
      <c r="A92" s="18" t="inlineStr">
        <is>
          <t>이자수익</t>
        </is>
      </c>
      <c r="C92" s="20" t="n">
        <v>9.935</v>
      </c>
      <c r="D92" s="20" t="n">
        <v>18.528</v>
      </c>
      <c r="E92" s="20" t="n">
        <v>19.976</v>
      </c>
      <c r="F92" s="20" t="n">
        <v>23.555</v>
      </c>
      <c r="G92" s="20" t="n">
        <v>36.538</v>
      </c>
      <c r="H92" s="20" t="n">
        <v>36.301</v>
      </c>
      <c r="I92" s="20" t="n">
        <v>32.336</v>
      </c>
      <c r="J92" s="20" t="n">
        <v>33.696</v>
      </c>
      <c r="K92" s="20" t="n">
        <v>34.953</v>
      </c>
      <c r="L92" s="20" t="n">
        <v>40.165</v>
      </c>
      <c r="M92" s="20" t="n">
        <v>65.143</v>
      </c>
      <c r="N92" s="20" t="n">
        <v>64.73099999999999</v>
      </c>
      <c r="T92" s="20" t="n">
        <v>3.403</v>
      </c>
      <c r="U92" s="20" t="n">
        <v>4.396</v>
      </c>
      <c r="V92" s="20" t="n">
        <v>19.976</v>
      </c>
      <c r="W92" s="20" t="n">
        <v>32.336</v>
      </c>
      <c r="X92" s="20" t="n">
        <v>65.143</v>
      </c>
    </row>
    <row r="93">
      <c r="A93" s="18" t="inlineStr">
        <is>
          <t>배당금수익</t>
        </is>
      </c>
      <c r="C93" s="20" t="n">
        <v>4.484</v>
      </c>
      <c r="D93" s="20" t="n">
        <v>374.663</v>
      </c>
      <c r="E93" s="20" t="n">
        <v>5.57</v>
      </c>
      <c r="F93" s="20" t="n">
        <v>559.981</v>
      </c>
      <c r="G93" s="20" t="n">
        <v>4.88</v>
      </c>
      <c r="H93" s="20" t="n">
        <v>482.551</v>
      </c>
      <c r="I93" s="20" t="n">
        <v>5.548</v>
      </c>
      <c r="J93" s="20" t="n">
        <v>644.549</v>
      </c>
      <c r="K93" s="20" t="n">
        <v>7.03</v>
      </c>
      <c r="L93" s="20" t="n">
        <v>592.515</v>
      </c>
      <c r="M93" s="20" t="n">
        <v>4.194</v>
      </c>
      <c r="N93" s="20" t="n">
        <v>506.221</v>
      </c>
      <c r="T93" s="20" t="n">
        <v>5.349</v>
      </c>
      <c r="U93" s="20" t="n">
        <v>5.531</v>
      </c>
      <c r="V93" s="20" t="n">
        <v>5.57</v>
      </c>
      <c r="W93" s="20" t="n">
        <v>5.548</v>
      </c>
      <c r="X93" s="20" t="n">
        <v>4.194</v>
      </c>
    </row>
    <row r="94">
      <c r="A94" s="18" t="inlineStr">
        <is>
          <t>외환차익</t>
        </is>
      </c>
      <c r="C94" s="20" t="n">
        <v>274.069</v>
      </c>
      <c r="D94" s="20" t="n">
        <v>-575.852</v>
      </c>
      <c r="E94" s="20" t="n">
        <v>662.005</v>
      </c>
      <c r="F94" s="20" t="n">
        <v>664.529</v>
      </c>
      <c r="G94" s="20" t="n">
        <v>-664.529</v>
      </c>
      <c r="H94" s="20" t="n">
        <v>416.543</v>
      </c>
      <c r="I94" s="20" t="n">
        <v>-416.543</v>
      </c>
      <c r="J94" s="20" t="n">
        <v>0</v>
      </c>
      <c r="M94" s="20" t="n">
        <v>215.787</v>
      </c>
      <c r="N94" s="20" t="n">
        <v>174.263</v>
      </c>
      <c r="T94" s="20" t="n">
        <v>528.087</v>
      </c>
      <c r="U94" s="20" t="n">
        <v>160.732</v>
      </c>
      <c r="V94" s="20" t="n">
        <v>662.005</v>
      </c>
      <c r="W94" s="20" t="n">
        <v>-416.543</v>
      </c>
      <c r="X94" s="20" t="n">
        <v>215.787</v>
      </c>
    </row>
    <row r="95">
      <c r="A95" s="18" t="inlineStr">
        <is>
          <t>보조금 수입</t>
        </is>
      </c>
      <c r="C95" s="20" t="n">
        <v>4.575</v>
      </c>
      <c r="D95" s="20" t="n">
        <v>8.587</v>
      </c>
      <c r="E95" s="20" t="n">
        <v>12.225</v>
      </c>
      <c r="T95" s="20" t="n">
        <v>40.651</v>
      </c>
      <c r="U95" s="20" t="n">
        <v>12.993</v>
      </c>
      <c r="V95" s="20" t="n">
        <v>12.225</v>
      </c>
    </row>
    <row r="96">
      <c r="A96" s="18" t="inlineStr">
        <is>
          <t>기타</t>
        </is>
      </c>
      <c r="C96" s="20" t="n">
        <v>26.531</v>
      </c>
      <c r="D96" s="20" t="n">
        <v>96.21599999999999</v>
      </c>
      <c r="E96" s="20" t="n">
        <v>16.231</v>
      </c>
      <c r="F96" s="20" t="n">
        <v>57.35</v>
      </c>
      <c r="G96" s="20" t="n">
        <v>41.265</v>
      </c>
      <c r="H96" s="20" t="n">
        <v>72.45399999999999</v>
      </c>
      <c r="I96" s="20" t="n">
        <v>-9.272</v>
      </c>
      <c r="J96" s="20" t="n">
        <v>27.275</v>
      </c>
      <c r="K96" s="20" t="n">
        <v>25.713</v>
      </c>
      <c r="L96" s="20" t="n">
        <v>46.228</v>
      </c>
      <c r="M96" s="20" t="n">
        <v>-0.022</v>
      </c>
      <c r="N96" s="20" t="n">
        <v>32.066</v>
      </c>
      <c r="T96" s="20" t="n">
        <v>29.324</v>
      </c>
      <c r="U96" s="20" t="n">
        <v>40.011</v>
      </c>
      <c r="V96" s="20" t="n">
        <v>16.231</v>
      </c>
      <c r="W96" s="20" t="n">
        <v>-9.272</v>
      </c>
      <c r="X96" s="20" t="n">
        <v>-0.022</v>
      </c>
    </row>
    <row r="97">
      <c r="A97" s="18" t="inlineStr">
        <is>
          <t>영업외수익 합계</t>
        </is>
      </c>
      <c r="C97" s="20" t="n">
        <v>315.017</v>
      </c>
      <c r="D97" s="20" t="n">
        <v>-86.444</v>
      </c>
      <c r="E97" s="20" t="n">
        <v>732.627</v>
      </c>
      <c r="F97" s="20" t="n">
        <v>1305.416</v>
      </c>
      <c r="G97" s="20" t="n">
        <v>-581.846</v>
      </c>
      <c r="H97" s="20" t="n">
        <v>1007.849</v>
      </c>
      <c r="I97" s="20" t="n">
        <v>-362.118</v>
      </c>
      <c r="J97" s="20" t="n">
        <v>705.521</v>
      </c>
      <c r="K97" s="20" t="n">
        <v>67.696</v>
      </c>
      <c r="L97" s="20" t="n">
        <v>1060.536</v>
      </c>
      <c r="M97" s="20" t="n">
        <v>315.786</v>
      </c>
      <c r="N97" s="20" t="n">
        <v>777.283</v>
      </c>
      <c r="T97" s="20" t="n">
        <v>606.814</v>
      </c>
      <c r="U97" s="20" t="n">
        <v>223.663</v>
      </c>
      <c r="V97" s="20" t="n">
        <v>732.627</v>
      </c>
      <c r="W97" s="20" t="n">
        <v>-362.118</v>
      </c>
      <c r="X97" s="20" t="n">
        <v>315.786</v>
      </c>
    </row>
    <row r="98">
      <c r="A98" s="18" t="inlineStr">
        <is>
          <t>이자비용</t>
        </is>
      </c>
      <c r="C98" s="20" t="n">
        <v>20.093</v>
      </c>
      <c r="D98" s="20" t="n">
        <v>16.319</v>
      </c>
      <c r="E98" s="20" t="n">
        <v>18.952</v>
      </c>
      <c r="F98" s="20" t="n">
        <v>30.398</v>
      </c>
      <c r="G98" s="20" t="n">
        <v>31.98</v>
      </c>
      <c r="H98" s="20" t="n">
        <v>32.626</v>
      </c>
      <c r="I98" s="20" t="n">
        <v>29.35</v>
      </c>
      <c r="J98" s="20" t="n">
        <v>35.132</v>
      </c>
      <c r="K98" s="20" t="n">
        <v>42.12</v>
      </c>
      <c r="L98" s="20" t="n">
        <v>34.637</v>
      </c>
      <c r="M98" s="20" t="n">
        <v>32.684</v>
      </c>
      <c r="N98" s="20" t="n">
        <v>35.883</v>
      </c>
      <c r="T98" s="20" t="n">
        <v>2.928</v>
      </c>
      <c r="U98" s="20" t="n">
        <v>13.241</v>
      </c>
      <c r="V98" s="20" t="n">
        <v>18.952</v>
      </c>
      <c r="W98" s="20" t="n">
        <v>29.35</v>
      </c>
      <c r="X98" s="20" t="n">
        <v>32.684</v>
      </c>
    </row>
    <row r="99">
      <c r="A99" s="18" t="inlineStr">
        <is>
          <t>지분법손실</t>
        </is>
      </c>
      <c r="J99" s="20" t="n">
        <v>0</v>
      </c>
      <c r="N99" s="20" t="n">
        <v>5.283</v>
      </c>
    </row>
    <row r="100">
      <c r="A100" s="18" t="inlineStr">
        <is>
          <t>고정자산 제각·매각손실</t>
        </is>
      </c>
      <c r="C100" s="20" t="n">
        <v>23.652</v>
      </c>
      <c r="D100" s="20" t="n">
        <v>23.596</v>
      </c>
      <c r="E100" s="20" t="n">
        <v>86.61799999999999</v>
      </c>
      <c r="F100" s="20" t="n">
        <v>4.108</v>
      </c>
      <c r="G100" s="20" t="n">
        <v>59.038</v>
      </c>
      <c r="H100" s="20" t="n">
        <v>17.348</v>
      </c>
      <c r="I100" s="20" t="n">
        <v>132.863</v>
      </c>
      <c r="J100" s="20" t="n">
        <v>67.152</v>
      </c>
      <c r="K100" s="20" t="n">
        <v>30.029</v>
      </c>
      <c r="L100" s="20" t="n">
        <v>57.024</v>
      </c>
      <c r="M100" s="20" t="n">
        <v>69.52500000000001</v>
      </c>
      <c r="N100" s="20" t="n">
        <v>44.971</v>
      </c>
      <c r="T100" s="20" t="n">
        <v>11.009</v>
      </c>
      <c r="U100" s="20" t="n">
        <v>24.442</v>
      </c>
      <c r="V100" s="20" t="n">
        <v>86.61799999999999</v>
      </c>
      <c r="W100" s="20" t="n">
        <v>132.863</v>
      </c>
      <c r="X100" s="20" t="n">
        <v>69.52500000000001</v>
      </c>
    </row>
    <row r="101">
      <c r="A101" s="18" t="inlineStr">
        <is>
          <t>외환차손</t>
        </is>
      </c>
      <c r="F101" s="20" t="n">
        <v>0</v>
      </c>
      <c r="G101" s="20" t="n">
        <v>544.006</v>
      </c>
      <c r="J101" s="20" t="n">
        <v>303.083</v>
      </c>
      <c r="K101" s="20" t="n">
        <v>-222.673</v>
      </c>
      <c r="N101" s="20" t="n">
        <v>0</v>
      </c>
    </row>
    <row r="102">
      <c r="A102" s="18" t="inlineStr">
        <is>
          <t>Cost For Quality Guarantee NOE</t>
        </is>
      </c>
      <c r="D102" s="20" t="n">
        <v>0</v>
      </c>
      <c r="E102" s="20" t="n">
        <v>0</v>
      </c>
      <c r="H102" s="20" t="n">
        <v>0</v>
      </c>
      <c r="I102" s="20" t="n">
        <v>0</v>
      </c>
      <c r="T102" s="20" t="n">
        <v>0</v>
      </c>
      <c r="U102" s="20" t="n">
        <v>34.477</v>
      </c>
      <c r="V102" s="20" t="n">
        <v>0</v>
      </c>
      <c r="W102" s="20" t="n">
        <v>0</v>
      </c>
    </row>
    <row r="103">
      <c r="A103" s="18" t="inlineStr">
        <is>
          <t>기타</t>
        </is>
      </c>
      <c r="C103" s="20" t="n">
        <v>12.093</v>
      </c>
      <c r="D103" s="20" t="n">
        <v>18.64</v>
      </c>
      <c r="E103" s="20" t="n">
        <v>23.446</v>
      </c>
      <c r="F103" s="20" t="n">
        <v>12.811</v>
      </c>
      <c r="G103" s="20" t="n">
        <v>14.55</v>
      </c>
      <c r="H103" s="20" t="n">
        <v>15.892</v>
      </c>
      <c r="I103" s="20" t="n">
        <v>20.106</v>
      </c>
      <c r="J103" s="20" t="n">
        <v>13.765</v>
      </c>
      <c r="K103" s="20" t="n">
        <v>43.604</v>
      </c>
      <c r="L103" s="20" t="n">
        <v>25.711</v>
      </c>
      <c r="M103" s="20" t="n">
        <v>12.119</v>
      </c>
      <c r="N103" s="20" t="n">
        <v>14.211</v>
      </c>
      <c r="T103" s="20" t="n">
        <v>4.228</v>
      </c>
      <c r="U103" s="20" t="n">
        <v>-25.852</v>
      </c>
      <c r="V103" s="20" t="n">
        <v>23.446</v>
      </c>
      <c r="W103" s="20" t="n">
        <v>20.106</v>
      </c>
      <c r="X103" s="20" t="n">
        <v>12.119</v>
      </c>
    </row>
    <row r="104">
      <c r="A104" s="18" t="inlineStr">
        <is>
          <t>영업외비용 합계</t>
        </is>
      </c>
      <c r="C104" s="20" t="n">
        <v>97.044</v>
      </c>
      <c r="D104" s="20" t="n">
        <v>58.555</v>
      </c>
      <c r="E104" s="20" t="n">
        <v>142.202</v>
      </c>
      <c r="F104" s="20" t="n">
        <v>47.318</v>
      </c>
      <c r="G104" s="20" t="n">
        <v>649.574</v>
      </c>
      <c r="H104" s="20" t="n">
        <v>-478.14</v>
      </c>
      <c r="I104" s="20" t="n">
        <v>386.33</v>
      </c>
      <c r="J104" s="20" t="n">
        <v>419.134</v>
      </c>
      <c r="K104" s="20" t="n">
        <v>-106.919</v>
      </c>
      <c r="L104" s="20" t="n">
        <v>36.96</v>
      </c>
      <c r="M104" s="20" t="n">
        <v>151.721</v>
      </c>
      <c r="N104" s="20" t="n">
        <v>100.349</v>
      </c>
      <c r="T104" s="20" t="n">
        <v>44.58</v>
      </c>
      <c r="U104" s="20" t="n">
        <v>65.56699999999999</v>
      </c>
      <c r="V104" s="20" t="n">
        <v>142.202</v>
      </c>
      <c r="W104" s="20" t="n">
        <v>386.33</v>
      </c>
      <c r="X104" s="20" t="n">
        <v>151.721</v>
      </c>
    </row>
    <row r="105">
      <c r="A105" s="9" t="inlineStr">
        <is>
          <t>경상이익</t>
        </is>
      </c>
      <c r="C105" s="12" t="n">
        <v>953.34</v>
      </c>
      <c r="D105" s="12" t="n">
        <v>166.166</v>
      </c>
      <c r="E105" s="12" t="n">
        <v>671.486</v>
      </c>
      <c r="F105" s="12" t="n">
        <v>1394.408</v>
      </c>
      <c r="G105" s="12" t="n">
        <v>393.267</v>
      </c>
      <c r="H105" s="12" t="n">
        <v>2721.34</v>
      </c>
      <c r="I105" s="12" t="n">
        <v>639.672</v>
      </c>
      <c r="J105" s="12" t="n">
        <v>888.506</v>
      </c>
      <c r="K105" s="12" t="n">
        <v>1067.671</v>
      </c>
      <c r="L105" s="12" t="n">
        <v>1615.342</v>
      </c>
      <c r="M105" s="12" t="n">
        <v>924.962</v>
      </c>
      <c r="N105" s="12" t="n">
        <v>700.529</v>
      </c>
      <c r="T105" s="12" t="n">
        <v>1374.631</v>
      </c>
      <c r="U105" s="12" t="n">
        <v>27.558</v>
      </c>
      <c r="V105" s="12" t="n">
        <v>671.486</v>
      </c>
      <c r="W105" s="12" t="n">
        <v>639.672</v>
      </c>
      <c r="X105" s="12" t="n">
        <v>924.962</v>
      </c>
    </row>
    <row r="106">
      <c r="A106" s="18" t="inlineStr">
        <is>
          <t>투자유가증권 매각이익</t>
        </is>
      </c>
      <c r="I106" s="20" t="n">
        <v>43.391</v>
      </c>
      <c r="M106" s="20" t="n">
        <v>0</v>
      </c>
      <c r="W106" s="20" t="n">
        <v>43.391</v>
      </c>
      <c r="X106" s="20" t="n">
        <v>0</v>
      </c>
    </row>
    <row r="107">
      <c r="A107" s="18" t="inlineStr">
        <is>
          <t>관계회사 청산이익</t>
        </is>
      </c>
      <c r="D107" s="20" t="n">
        <v>0</v>
      </c>
      <c r="E107" s="20" t="n">
        <v>0</v>
      </c>
      <c r="H107" s="20" t="n">
        <v>24.91</v>
      </c>
      <c r="I107" s="20" t="n">
        <v>0</v>
      </c>
      <c r="L107" s="20" t="n">
        <v>0</v>
      </c>
      <c r="M107" s="20" t="n">
        <v>0</v>
      </c>
      <c r="V107" s="20" t="n">
        <v>0</v>
      </c>
      <c r="W107" s="20" t="n">
        <v>0</v>
      </c>
      <c r="X107" s="20" t="n">
        <v>0</v>
      </c>
    </row>
    <row r="108">
      <c r="A108" s="18" t="inlineStr">
        <is>
          <t>보험금 수익</t>
        </is>
      </c>
      <c r="H108" s="20" t="n">
        <v>0</v>
      </c>
      <c r="I108" s="20" t="n">
        <v>304.266</v>
      </c>
      <c r="L108" s="20" t="n">
        <v>114.789</v>
      </c>
      <c r="M108" s="20" t="n">
        <v>0</v>
      </c>
      <c r="W108" s="20" t="n">
        <v>304.266</v>
      </c>
      <c r="X108" s="20" t="n">
        <v>0</v>
      </c>
    </row>
    <row r="109">
      <c r="A109" s="18" t="inlineStr">
        <is>
          <t>특별이익 합계</t>
        </is>
      </c>
      <c r="D109" s="20" t="n">
        <v>0</v>
      </c>
      <c r="E109" s="20" t="n">
        <v>227.099</v>
      </c>
      <c r="H109" s="20" t="n">
        <v>24.91</v>
      </c>
      <c r="I109" s="20" t="n">
        <v>347.658</v>
      </c>
      <c r="L109" s="20" t="n">
        <v>13001.294</v>
      </c>
      <c r="M109" s="20" t="n">
        <v>466.733</v>
      </c>
      <c r="V109" s="20" t="n">
        <v>227.099</v>
      </c>
      <c r="W109" s="20" t="n">
        <v>347.658</v>
      </c>
      <c r="X109" s="20" t="n">
        <v>466.733</v>
      </c>
    </row>
    <row r="110">
      <c r="A110" s="18" t="inlineStr">
        <is>
          <t>손상차손</t>
        </is>
      </c>
      <c r="E110" s="20" t="n">
        <v>98.64100000000001</v>
      </c>
      <c r="I110" s="20" t="n">
        <v>135.028</v>
      </c>
      <c r="M110" s="20" t="n">
        <v>152.277</v>
      </c>
      <c r="V110" s="20" t="n">
        <v>98.64100000000001</v>
      </c>
      <c r="W110" s="20" t="n">
        <v>135.028</v>
      </c>
      <c r="X110" s="20" t="n">
        <v>152.277</v>
      </c>
    </row>
    <row r="111">
      <c r="A111" s="18" t="inlineStr">
        <is>
          <t>Loss On Accident Of Fujioka4th Plant EL</t>
        </is>
      </c>
      <c r="E111" s="20" t="n">
        <v>28.144</v>
      </c>
      <c r="I111" s="20" t="n">
        <v>0</v>
      </c>
      <c r="U111" s="20" t="n">
        <v>0</v>
      </c>
      <c r="V111" s="20" t="n">
        <v>28.144</v>
      </c>
      <c r="W111" s="20" t="n">
        <v>0</v>
      </c>
    </row>
    <row r="112">
      <c r="A112" s="18" t="inlineStr">
        <is>
          <t>사업구조개선비용</t>
        </is>
      </c>
      <c r="E112" s="20" t="n">
        <v>0</v>
      </c>
      <c r="I112" s="20" t="n">
        <v>-187.169</v>
      </c>
      <c r="M112" s="20" t="n">
        <v>0</v>
      </c>
      <c r="V112" s="20" t="n">
        <v>0</v>
      </c>
      <c r="W112" s="20" t="n">
        <v>-187.169</v>
      </c>
      <c r="X112" s="20" t="n">
        <v>0</v>
      </c>
    </row>
    <row r="113">
      <c r="A113" s="18" t="inlineStr">
        <is>
          <t>특별손실 합계</t>
        </is>
      </c>
      <c r="E113" s="20" t="n">
        <v>126.785</v>
      </c>
      <c r="I113" s="20" t="n">
        <v>2582.757</v>
      </c>
      <c r="M113" s="20" t="n">
        <v>318.616</v>
      </c>
      <c r="U113" s="20" t="n">
        <v>120.988</v>
      </c>
      <c r="V113" s="20" t="n">
        <v>126.785</v>
      </c>
      <c r="W113" s="20" t="n">
        <v>2582.757</v>
      </c>
      <c r="X113" s="20" t="n">
        <v>318.616</v>
      </c>
    </row>
    <row r="114">
      <c r="A114" s="9" t="inlineStr">
        <is>
          <t>법인세차감전 순이익</t>
        </is>
      </c>
      <c r="C114" s="12" t="n">
        <v>953.34</v>
      </c>
      <c r="D114" s="12" t="n">
        <v>112.059</v>
      </c>
      <c r="E114" s="12" t="n">
        <v>771.801</v>
      </c>
      <c r="F114" s="12" t="n">
        <v>1394.408</v>
      </c>
      <c r="G114" s="12" t="n">
        <v>438.164</v>
      </c>
      <c r="H114" s="12" t="n">
        <v>2336.196</v>
      </c>
      <c r="I114" s="12" t="n">
        <v>-1595.427</v>
      </c>
      <c r="J114" s="12" t="n">
        <v>888.506</v>
      </c>
      <c r="K114" s="12" t="n">
        <v>1151.266</v>
      </c>
      <c r="L114" s="12" t="n">
        <v>14616.636</v>
      </c>
      <c r="M114" s="12" t="n">
        <v>1073.078</v>
      </c>
      <c r="N114" s="12" t="n">
        <v>700.529</v>
      </c>
      <c r="T114" s="12" t="n">
        <v>1350.116</v>
      </c>
      <c r="U114" s="12" t="n">
        <v>-93.431</v>
      </c>
      <c r="V114" s="12" t="n">
        <v>771.801</v>
      </c>
      <c r="W114" s="12" t="n">
        <v>-1595.427</v>
      </c>
      <c r="X114" s="12" t="n">
        <v>1073.078</v>
      </c>
    </row>
    <row r="115">
      <c r="A115" s="18" t="inlineStr">
        <is>
          <t>법인세 등</t>
        </is>
      </c>
      <c r="C115" s="20" t="n">
        <v>297.867</v>
      </c>
      <c r="D115" s="20" t="n">
        <v>-2.552</v>
      </c>
      <c r="E115" s="20" t="n">
        <v>246.273</v>
      </c>
      <c r="F115" s="20" t="n">
        <v>398.854</v>
      </c>
      <c r="G115" s="20" t="n">
        <v>126.471</v>
      </c>
      <c r="H115" s="20" t="n">
        <v>717.992</v>
      </c>
      <c r="I115" s="20" t="n">
        <v>-605.5599999999999</v>
      </c>
      <c r="J115" s="20" t="n">
        <v>259.934</v>
      </c>
      <c r="K115" s="20" t="n">
        <v>364.082</v>
      </c>
      <c r="L115" s="20" t="n">
        <v>4391.724</v>
      </c>
      <c r="M115" s="20" t="n">
        <v>167.734</v>
      </c>
      <c r="N115" s="20" t="n">
        <v>254.333</v>
      </c>
      <c r="T115" s="20" t="n">
        <v>572.018</v>
      </c>
      <c r="U115" s="20" t="n">
        <v>-159.573</v>
      </c>
      <c r="V115" s="20" t="n">
        <v>246.273</v>
      </c>
      <c r="W115" s="20" t="n">
        <v>-605.5599999999999</v>
      </c>
      <c r="X115" s="20" t="n">
        <v>167.734</v>
      </c>
    </row>
    <row r="116">
      <c r="A116" s="9" t="inlineStr">
        <is>
          <t>순이익</t>
        </is>
      </c>
      <c r="C116" s="12" t="n">
        <v>655.472</v>
      </c>
      <c r="D116" s="12" t="n">
        <v>114.611</v>
      </c>
      <c r="E116" s="12" t="n">
        <v>525.529</v>
      </c>
      <c r="F116" s="12" t="n">
        <v>995.553</v>
      </c>
      <c r="G116" s="12" t="n">
        <v>311.693</v>
      </c>
      <c r="H116" s="12" t="n">
        <v>1618.204</v>
      </c>
      <c r="I116" s="12" t="n">
        <v>-989.866</v>
      </c>
      <c r="J116" s="12" t="n">
        <v>628.572</v>
      </c>
      <c r="K116" s="12" t="n">
        <v>787.183</v>
      </c>
      <c r="L116" s="12" t="n">
        <v>10224.913</v>
      </c>
      <c r="M116" s="12" t="n">
        <v>905.343</v>
      </c>
      <c r="N116" s="12" t="n">
        <v>446.195</v>
      </c>
      <c r="T116" s="12" t="n">
        <v>778.098</v>
      </c>
      <c r="U116" s="12" t="n">
        <v>66.14100000000001</v>
      </c>
      <c r="V116" s="12" t="n">
        <v>525.529</v>
      </c>
      <c r="W116" s="12" t="n">
        <v>-989.866</v>
      </c>
      <c r="X116" s="12" t="n">
        <v>905.343</v>
      </c>
    </row>
    <row r="117">
      <c r="A117" s="9" t="inlineStr">
        <is>
          <t>비지배주주 순이익</t>
        </is>
      </c>
      <c r="C117" s="12" t="n">
        <v>45.412</v>
      </c>
      <c r="D117" s="12" t="n">
        <v>64.20099999999999</v>
      </c>
      <c r="E117" s="12" t="n">
        <v>-0.594</v>
      </c>
      <c r="F117" s="12" t="n">
        <v>17.67</v>
      </c>
      <c r="G117" s="12" t="n">
        <v>41.396</v>
      </c>
      <c r="H117" s="12" t="n">
        <v>49.739</v>
      </c>
      <c r="I117" s="12" t="n">
        <v>-28.677</v>
      </c>
      <c r="J117" s="12" t="n">
        <v>16.524</v>
      </c>
      <c r="K117" s="12" t="n">
        <v>60.471</v>
      </c>
      <c r="L117" s="12" t="n">
        <v>65.89</v>
      </c>
      <c r="M117" s="12" t="n">
        <v>-17.158</v>
      </c>
      <c r="N117" s="12" t="n">
        <v>37.614</v>
      </c>
      <c r="T117" s="12" t="n">
        <v>106.563</v>
      </c>
      <c r="U117" s="12" t="n">
        <v>58.036</v>
      </c>
      <c r="V117" s="12" t="n">
        <v>-0.594</v>
      </c>
      <c r="W117" s="12" t="n">
        <v>-28.677</v>
      </c>
      <c r="X117" s="12" t="n">
        <v>-17.158</v>
      </c>
    </row>
    <row r="118">
      <c r="A118" s="9" t="inlineStr">
        <is>
          <t>지배주주 순이익</t>
        </is>
      </c>
      <c r="C118" s="12" t="n">
        <v>610.061</v>
      </c>
      <c r="D118" s="12" t="n">
        <v>50.41</v>
      </c>
      <c r="E118" s="12" t="n">
        <v>526.122</v>
      </c>
      <c r="F118" s="12" t="n">
        <v>977.8819999999999</v>
      </c>
      <c r="G118" s="12" t="n">
        <v>270.297</v>
      </c>
      <c r="H118" s="12" t="n">
        <v>1568.466</v>
      </c>
      <c r="I118" s="12" t="n">
        <v>-961.1900000000001</v>
      </c>
      <c r="J118" s="12" t="n">
        <v>612.048</v>
      </c>
      <c r="K118" s="12" t="n">
        <v>726.712</v>
      </c>
      <c r="L118" s="12" t="n">
        <v>10159.022</v>
      </c>
      <c r="M118" s="12" t="n">
        <v>922.502</v>
      </c>
      <c r="N118" s="12" t="n">
        <v>408.581</v>
      </c>
      <c r="T118" s="12" t="n">
        <v>671.5359999999999</v>
      </c>
      <c r="U118" s="12" t="n">
        <v>8.106</v>
      </c>
      <c r="V118" s="12" t="n">
        <v>526.122</v>
      </c>
      <c r="W118" s="12" t="n">
        <v>-961.1900000000001</v>
      </c>
      <c r="X118" s="12" t="n">
        <v>922.502</v>
      </c>
    </row>
    <row r="120">
      <c r="A120" s="16" t="inlineStr">
        <is>
          <t>포괄손익 · 전 항목</t>
        </is>
      </c>
      <c r="B120" s="42" t="inlineStr">
        <is>
          <t>분기 = 3개월 단독</t>
        </is>
      </c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</row>
    <row r="121">
      <c r="A121" s="5" t="inlineStr">
        <is>
          <t>항목</t>
        </is>
      </c>
      <c r="B121" s="5" t="inlineStr">
        <is>
          <t>참고</t>
        </is>
      </c>
      <c r="C121" s="5" t="inlineStr">
        <is>
          <t>2024.2Q</t>
        </is>
      </c>
      <c r="D121" s="5" t="inlineStr">
        <is>
          <t>2024.3Q</t>
        </is>
      </c>
      <c r="E121" s="5" t="inlineStr">
        <is>
          <t>2024.4Q</t>
        </is>
      </c>
      <c r="F121" s="5" t="inlineStr">
        <is>
          <t>2025.1Q</t>
        </is>
      </c>
      <c r="G121" s="5" t="inlineStr">
        <is>
          <t>2025.2Q</t>
        </is>
      </c>
      <c r="H121" s="5" t="inlineStr">
        <is>
          <t>2025.3Q</t>
        </is>
      </c>
      <c r="I121" s="5" t="inlineStr">
        <is>
          <t>2025.4Q</t>
        </is>
      </c>
      <c r="J121" s="5" t="inlineStr">
        <is>
          <t>2026.1Q</t>
        </is>
      </c>
      <c r="K121" s="5" t="inlineStr">
        <is>
          <t>2026.2Q</t>
        </is>
      </c>
      <c r="L121" s="5" t="inlineStr">
        <is>
          <t>2026.3Q</t>
        </is>
      </c>
      <c r="M121" s="5" t="inlineStr">
        <is>
          <t>2026.4Q</t>
        </is>
      </c>
      <c r="N121" s="5" t="inlineStr">
        <is>
          <t>2027.1Q</t>
        </is>
      </c>
      <c r="O121" s="5" t="inlineStr">
        <is>
          <t>2017</t>
        </is>
      </c>
      <c r="P121" s="5" t="inlineStr">
        <is>
          <t>2018</t>
        </is>
      </c>
      <c r="Q121" s="5" t="inlineStr">
        <is>
          <t>2019</t>
        </is>
      </c>
      <c r="R121" s="5" t="inlineStr">
        <is>
          <t>2020</t>
        </is>
      </c>
      <c r="S121" s="5" t="inlineStr">
        <is>
          <t>2021</t>
        </is>
      </c>
      <c r="T121" s="5" t="inlineStr">
        <is>
          <t>2022</t>
        </is>
      </c>
      <c r="U121" s="5" t="inlineStr">
        <is>
          <t>2023</t>
        </is>
      </c>
      <c r="V121" s="5" t="inlineStr">
        <is>
          <t>2024</t>
        </is>
      </c>
      <c r="W121" s="5" t="inlineStr">
        <is>
          <t>2025</t>
        </is>
      </c>
      <c r="X121" s="5" t="inlineStr">
        <is>
          <t>2026</t>
        </is>
      </c>
      <c r="Y121" s="5" t="inlineStr">
        <is>
          <t>2027(MW)</t>
        </is>
      </c>
      <c r="Z121" s="5" t="inlineStr">
        <is>
          <t>2028(MW)</t>
        </is>
      </c>
      <c r="AA121" s="5" t="inlineStr">
        <is>
          <t>2029(MW)</t>
        </is>
      </c>
      <c r="AB121" s="5" t="inlineStr">
        <is>
          <t>2030(MW)</t>
        </is>
      </c>
      <c r="AC121" s="5" t="inlineStr">
        <is>
          <t>2031(MW)</t>
        </is>
      </c>
    </row>
    <row r="122">
      <c r="A122" s="9" t="inlineStr">
        <is>
          <t>순이익</t>
        </is>
      </c>
      <c r="C122" s="12" t="n">
        <v>655.472</v>
      </c>
      <c r="D122" s="12" t="n">
        <v>114.611</v>
      </c>
      <c r="E122" s="12" t="n">
        <v>525.529</v>
      </c>
      <c r="F122" s="12" t="n">
        <v>995.553</v>
      </c>
      <c r="G122" s="12" t="n">
        <v>311.693</v>
      </c>
      <c r="H122" s="12" t="n">
        <v>1618.204</v>
      </c>
      <c r="I122" s="12" t="n">
        <v>-989.866</v>
      </c>
      <c r="J122" s="12" t="n">
        <v>628.572</v>
      </c>
      <c r="K122" s="12" t="n">
        <v>787.183</v>
      </c>
      <c r="L122" s="12" t="n">
        <v>10224.913</v>
      </c>
      <c r="M122" s="12" t="n">
        <v>905.343</v>
      </c>
      <c r="N122" s="12" t="n">
        <v>446.195</v>
      </c>
      <c r="T122" s="12" t="n">
        <v>778.098</v>
      </c>
      <c r="U122" s="12" t="n">
        <v>66.14100000000001</v>
      </c>
      <c r="V122" s="12" t="n">
        <v>525.529</v>
      </c>
      <c r="W122" s="12" t="n">
        <v>-989.866</v>
      </c>
      <c r="X122" s="12" t="n">
        <v>905.343</v>
      </c>
    </row>
    <row r="123">
      <c r="A123" s="18" t="inlineStr">
        <is>
          <t>기타유가증권 평가차액</t>
        </is>
      </c>
      <c r="C123" s="20" t="n">
        <v>2899.433</v>
      </c>
      <c r="D123" s="20" t="n">
        <v>-836.847</v>
      </c>
      <c r="E123" s="20" t="n">
        <v>8442.808000000001</v>
      </c>
      <c r="F123" s="20" t="n">
        <v>-3352.011</v>
      </c>
      <c r="G123" s="20" t="n">
        <v>-5130.855</v>
      </c>
      <c r="H123" s="20" t="n">
        <v>4478.163</v>
      </c>
      <c r="I123" s="20" t="n">
        <v>-3372.243</v>
      </c>
      <c r="J123" s="20" t="n">
        <v>-578.068</v>
      </c>
      <c r="K123" s="20" t="n">
        <v>3248.031</v>
      </c>
      <c r="L123" s="20" t="n">
        <v>-6029.172</v>
      </c>
      <c r="M123" s="20" t="n">
        <v>-984.535</v>
      </c>
      <c r="N123" s="20" t="n">
        <v>-831.037</v>
      </c>
      <c r="T123" s="20" t="n">
        <v>711.996</v>
      </c>
      <c r="U123" s="20" t="n">
        <v>719.645</v>
      </c>
      <c r="V123" s="20" t="n">
        <v>8442.808000000001</v>
      </c>
      <c r="W123" s="20" t="n">
        <v>-3372.243</v>
      </c>
      <c r="X123" s="20" t="n">
        <v>-984.535</v>
      </c>
    </row>
    <row r="124">
      <c r="A124" s="18" t="inlineStr">
        <is>
          <t>해외사업환산조정</t>
        </is>
      </c>
      <c r="C124" s="20" t="n">
        <v>291.253</v>
      </c>
      <c r="D124" s="20" t="n">
        <v>-371.672</v>
      </c>
      <c r="E124" s="20" t="n">
        <v>653.106</v>
      </c>
      <c r="F124" s="20" t="n">
        <v>738.904</v>
      </c>
      <c r="G124" s="20" t="n">
        <v>-949.394</v>
      </c>
      <c r="H124" s="20" t="n">
        <v>837.919</v>
      </c>
      <c r="I124" s="20" t="n">
        <v>-807.7910000000001</v>
      </c>
      <c r="J124" s="20" t="n">
        <v>-46.422</v>
      </c>
      <c r="K124" s="20" t="n">
        <v>412.411</v>
      </c>
      <c r="L124" s="20" t="n">
        <v>980.759</v>
      </c>
      <c r="M124" s="20" t="n">
        <v>208.364</v>
      </c>
      <c r="N124" s="20" t="n">
        <v>217.438</v>
      </c>
      <c r="T124" s="20" t="n">
        <v>797.522</v>
      </c>
      <c r="U124" s="20" t="n">
        <v>259.466</v>
      </c>
      <c r="V124" s="20" t="n">
        <v>653.106</v>
      </c>
      <c r="W124" s="20" t="n">
        <v>-807.7910000000001</v>
      </c>
      <c r="X124" s="20" t="n">
        <v>208.364</v>
      </c>
    </row>
    <row r="125">
      <c r="A125" s="18" t="inlineStr">
        <is>
          <t>퇴직급여 조정액</t>
        </is>
      </c>
      <c r="C125" s="20" t="n">
        <v>-10.675</v>
      </c>
      <c r="D125" s="20" t="n">
        <v>-15.405</v>
      </c>
      <c r="E125" s="20" t="n">
        <v>7173.154</v>
      </c>
      <c r="F125" s="20" t="n">
        <v>-257.663</v>
      </c>
      <c r="G125" s="20" t="n">
        <v>-265.592</v>
      </c>
      <c r="H125" s="20" t="n">
        <v>-249.437</v>
      </c>
      <c r="I125" s="20" t="n">
        <v>-4043.231</v>
      </c>
      <c r="J125" s="20" t="n">
        <v>-146.73</v>
      </c>
      <c r="K125" s="20" t="n">
        <v>-132.654</v>
      </c>
      <c r="L125" s="20" t="n">
        <v>-126.248</v>
      </c>
      <c r="M125" s="20" t="n">
        <v>3474.404</v>
      </c>
      <c r="N125" s="20" t="n">
        <v>-138.878</v>
      </c>
      <c r="T125" s="20" t="n">
        <v>1476.246</v>
      </c>
      <c r="U125" s="20" t="n">
        <v>-1145.73</v>
      </c>
      <c r="V125" s="20" t="n">
        <v>7173.154</v>
      </c>
      <c r="W125" s="20" t="n">
        <v>-4043.231</v>
      </c>
      <c r="X125" s="20" t="n">
        <v>3474.404</v>
      </c>
    </row>
    <row r="126">
      <c r="A126" s="18" t="inlineStr">
        <is>
          <t>지분법 적용회사 지분 해당액</t>
        </is>
      </c>
      <c r="J126" s="20" t="n">
        <v>0</v>
      </c>
      <c r="N126" s="20" t="n">
        <v>0.423</v>
      </c>
    </row>
    <row r="127">
      <c r="A127" s="18" t="inlineStr">
        <is>
          <t>기타포괄손익 합계</t>
        </is>
      </c>
      <c r="C127" s="20" t="n">
        <v>3180.011</v>
      </c>
      <c r="D127" s="20" t="n">
        <v>-1223.924</v>
      </c>
      <c r="E127" s="20" t="n">
        <v>16269.069</v>
      </c>
      <c r="F127" s="20" t="n">
        <v>-2870.77</v>
      </c>
      <c r="G127" s="20" t="n">
        <v>-6345.843</v>
      </c>
      <c r="H127" s="20" t="n">
        <v>5066.647</v>
      </c>
      <c r="I127" s="20" t="n">
        <v>-8223.266</v>
      </c>
      <c r="J127" s="20" t="n">
        <v>-771.222</v>
      </c>
      <c r="K127" s="20" t="n">
        <v>3527.79</v>
      </c>
      <c r="L127" s="20" t="n">
        <v>-5174.661</v>
      </c>
      <c r="M127" s="20" t="n">
        <v>2690.468</v>
      </c>
      <c r="N127" s="20" t="n">
        <v>-752.052</v>
      </c>
      <c r="T127" s="20" t="n">
        <v>2985.762</v>
      </c>
      <c r="U127" s="20" t="n">
        <v>-166.62</v>
      </c>
      <c r="V127" s="20" t="n">
        <v>16269.069</v>
      </c>
      <c r="W127" s="20" t="n">
        <v>-8223.266</v>
      </c>
      <c r="X127" s="20" t="n">
        <v>2690.468</v>
      </c>
    </row>
    <row r="128">
      <c r="A128" s="9" t="inlineStr">
        <is>
          <t>포괄이익</t>
        </is>
      </c>
      <c r="C128" s="12" t="n">
        <v>3835.483</v>
      </c>
      <c r="D128" s="12" t="n">
        <v>-1109.314</v>
      </c>
      <c r="E128" s="12" t="n">
        <v>16794.599</v>
      </c>
      <c r="F128" s="12" t="n">
        <v>-1875.217</v>
      </c>
      <c r="G128" s="12" t="n">
        <v>-6034.149</v>
      </c>
      <c r="H128" s="12" t="n">
        <v>6684.85</v>
      </c>
      <c r="I128" s="12" t="n">
        <v>-9213.132</v>
      </c>
      <c r="J128" s="12" t="n">
        <v>-142.649</v>
      </c>
      <c r="K128" s="12" t="n">
        <v>4314.972</v>
      </c>
      <c r="L128" s="12" t="n">
        <v>5050.251</v>
      </c>
      <c r="M128" s="12" t="n">
        <v>3595.813</v>
      </c>
      <c r="N128" s="12" t="n">
        <v>-305.857</v>
      </c>
      <c r="T128" s="12" t="n">
        <v>3763.86</v>
      </c>
      <c r="U128" s="12" t="n">
        <v>-100.479</v>
      </c>
      <c r="V128" s="12" t="n">
        <v>16794.599</v>
      </c>
      <c r="W128" s="12" t="n">
        <v>-9213.132</v>
      </c>
      <c r="X128" s="12" t="n">
        <v>3595.813</v>
      </c>
    </row>
    <row r="129">
      <c r="A129" s="9" t="inlineStr">
        <is>
          <t>지배주주 포괄이익</t>
        </is>
      </c>
      <c r="C129" s="12" t="n">
        <v>3721.007</v>
      </c>
      <c r="D129" s="12" t="n">
        <v>-1090.156</v>
      </c>
      <c r="E129" s="12" t="n">
        <v>16654.752</v>
      </c>
      <c r="F129" s="12" t="n">
        <v>-2022.568</v>
      </c>
      <c r="G129" s="12" t="n">
        <v>-5881.812</v>
      </c>
      <c r="H129" s="12" t="n">
        <v>6497.916</v>
      </c>
      <c r="I129" s="12" t="n">
        <v>-9073.843999999999</v>
      </c>
      <c r="J129" s="12" t="n">
        <v>-137.811</v>
      </c>
      <c r="K129" s="12" t="n">
        <v>4179.711</v>
      </c>
      <c r="L129" s="12" t="n">
        <v>4838.968</v>
      </c>
      <c r="M129" s="12" t="n">
        <v>3563.321</v>
      </c>
      <c r="N129" s="12" t="n">
        <v>-408.948</v>
      </c>
      <c r="T129" s="12" t="n">
        <v>3525.855</v>
      </c>
      <c r="U129" s="12" t="n">
        <v>-191.613</v>
      </c>
      <c r="V129" s="12" t="n">
        <v>16654.752</v>
      </c>
      <c r="W129" s="12" t="n">
        <v>-9073.843999999999</v>
      </c>
      <c r="X129" s="12" t="n">
        <v>3563.321</v>
      </c>
    </row>
    <row r="130">
      <c r="A130" s="9" t="inlineStr">
        <is>
          <t>비지배주주 포괄이익</t>
        </is>
      </c>
      <c r="C130" s="12" t="n">
        <v>114.477</v>
      </c>
      <c r="D130" s="12" t="n">
        <v>-19.158</v>
      </c>
      <c r="E130" s="12" t="n">
        <v>139.846</v>
      </c>
      <c r="F130" s="12" t="n">
        <v>147.351</v>
      </c>
      <c r="G130" s="12" t="n">
        <v>-152.337</v>
      </c>
      <c r="H130" s="12" t="n">
        <v>186.933</v>
      </c>
      <c r="I130" s="12" t="n">
        <v>-139.288</v>
      </c>
      <c r="J130" s="12" t="n">
        <v>-4.838</v>
      </c>
      <c r="K130" s="12" t="n">
        <v>135.261</v>
      </c>
      <c r="L130" s="12" t="n">
        <v>211.283</v>
      </c>
      <c r="M130" s="12" t="n">
        <v>32.491</v>
      </c>
      <c r="N130" s="12" t="n">
        <v>103.091</v>
      </c>
      <c r="T130" s="12" t="n">
        <v>238.005</v>
      </c>
      <c r="U130" s="12" t="n">
        <v>91.134</v>
      </c>
      <c r="V130" s="12" t="n">
        <v>139.846</v>
      </c>
      <c r="W130" s="12" t="n">
        <v>-139.288</v>
      </c>
      <c r="X130" s="12" t="n">
        <v>32.491</v>
      </c>
    </row>
    <row r="132">
      <c r="A132" s="16" t="inlineStr">
        <is>
          <t>부문 · 전 항목</t>
        </is>
      </c>
      <c r="B132" s="42" t="inlineStr">
        <is>
          <t>부문 · 항목</t>
        </is>
      </c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</row>
    <row r="133">
      <c r="A133" s="5" t="inlineStr">
        <is>
          <t>항목</t>
        </is>
      </c>
      <c r="B133" s="5" t="inlineStr">
        <is>
          <t>참고</t>
        </is>
      </c>
      <c r="C133" s="5" t="inlineStr">
        <is>
          <t>2024.2Q</t>
        </is>
      </c>
      <c r="D133" s="5" t="inlineStr">
        <is>
          <t>2024.3Q</t>
        </is>
      </c>
      <c r="E133" s="5" t="inlineStr">
        <is>
          <t>2024.4Q</t>
        </is>
      </c>
      <c r="F133" s="5" t="inlineStr">
        <is>
          <t>2025.1Q</t>
        </is>
      </c>
      <c r="G133" s="5" t="inlineStr">
        <is>
          <t>2025.2Q</t>
        </is>
      </c>
      <c r="H133" s="5" t="inlineStr">
        <is>
          <t>2025.3Q</t>
        </is>
      </c>
      <c r="I133" s="5" t="inlineStr">
        <is>
          <t>2025.4Q</t>
        </is>
      </c>
      <c r="J133" s="5" t="inlineStr">
        <is>
          <t>2026.1Q</t>
        </is>
      </c>
      <c r="K133" s="5" t="inlineStr">
        <is>
          <t>2026.2Q</t>
        </is>
      </c>
      <c r="L133" s="5" t="inlineStr">
        <is>
          <t>2026.3Q</t>
        </is>
      </c>
      <c r="M133" s="5" t="inlineStr">
        <is>
          <t>2026.4Q</t>
        </is>
      </c>
      <c r="N133" s="5" t="inlineStr">
        <is>
          <t>2027.1Q</t>
        </is>
      </c>
      <c r="O133" s="5" t="inlineStr">
        <is>
          <t>2017</t>
        </is>
      </c>
      <c r="P133" s="5" t="inlineStr">
        <is>
          <t>2018</t>
        </is>
      </c>
      <c r="Q133" s="5" t="inlineStr">
        <is>
          <t>2019</t>
        </is>
      </c>
      <c r="R133" s="5" t="inlineStr">
        <is>
          <t>2020</t>
        </is>
      </c>
      <c r="S133" s="5" t="inlineStr">
        <is>
          <t>2021</t>
        </is>
      </c>
      <c r="T133" s="5" t="inlineStr">
        <is>
          <t>2022</t>
        </is>
      </c>
      <c r="U133" s="5" t="inlineStr">
        <is>
          <t>2023</t>
        </is>
      </c>
      <c r="V133" s="5" t="inlineStr">
        <is>
          <t>2024</t>
        </is>
      </c>
      <c r="W133" s="5" t="inlineStr">
        <is>
          <t>2025</t>
        </is>
      </c>
      <c r="X133" s="5" t="inlineStr">
        <is>
          <t>2026</t>
        </is>
      </c>
      <c r="Y133" s="5" t="inlineStr">
        <is>
          <t>2027(MW)</t>
        </is>
      </c>
      <c r="Z133" s="5" t="inlineStr">
        <is>
          <t>2028(MW)</t>
        </is>
      </c>
      <c r="AA133" s="5" t="inlineStr">
        <is>
          <t>2029(MW)</t>
        </is>
      </c>
      <c r="AB133" s="5" t="inlineStr">
        <is>
          <t>2030(MW)</t>
        </is>
      </c>
      <c r="AC133" s="5" t="inlineStr">
        <is>
          <t>2031(MW)</t>
        </is>
      </c>
    </row>
    <row r="134">
      <c r="A134" s="18" t="inlineStr">
        <is>
          <t>JapanReportableSegmentsMember · 외부 고객 매출</t>
        </is>
      </c>
      <c r="C134" s="20" t="n">
        <v>17548.302</v>
      </c>
      <c r="D134" s="20" t="n">
        <v>18648.668</v>
      </c>
      <c r="E134" s="20" t="n">
        <v>16072.227</v>
      </c>
      <c r="F134" s="20" t="n">
        <v>17943.227</v>
      </c>
      <c r="G134" s="20" t="n">
        <v>20326.958</v>
      </c>
      <c r="H134" s="20" t="n">
        <v>20716.321</v>
      </c>
      <c r="I134" s="20" t="n">
        <v>20856.554</v>
      </c>
      <c r="J134" s="20" t="n">
        <v>19123.198</v>
      </c>
      <c r="K134" s="20" t="n">
        <v>20107.982</v>
      </c>
      <c r="L134" s="20" t="n">
        <v>20975.193</v>
      </c>
      <c r="M134" s="20" t="n">
        <v>20357.486</v>
      </c>
      <c r="N134" s="20" t="n">
        <v>19826.788</v>
      </c>
      <c r="V134" s="20" t="n">
        <v>16072.227</v>
      </c>
      <c r="W134" s="20" t="n">
        <v>20856.554</v>
      </c>
      <c r="X134" s="20" t="n">
        <v>20357.486</v>
      </c>
    </row>
    <row r="135">
      <c r="A135" s="18" t="inlineStr">
        <is>
          <t>NorthAmericaReportableSegmentsMember · 외부 고객 매출</t>
        </is>
      </c>
      <c r="C135" s="20" t="n">
        <v>2569.841</v>
      </c>
      <c r="D135" s="20" t="n">
        <v>2543.931</v>
      </c>
      <c r="E135" s="20" t="n">
        <v>2413.995</v>
      </c>
      <c r="F135" s="20" t="n">
        <v>2422.324</v>
      </c>
      <c r="G135" s="20" t="n">
        <v>1910.082</v>
      </c>
      <c r="H135" s="20" t="n">
        <v>2263.899</v>
      </c>
      <c r="I135" s="20" t="n">
        <v>2509.48</v>
      </c>
      <c r="J135" s="20" t="n">
        <v>2286.564</v>
      </c>
      <c r="K135" s="20" t="n">
        <v>2229.249</v>
      </c>
      <c r="L135" s="20" t="n">
        <v>2272.184</v>
      </c>
      <c r="M135" s="20" t="n">
        <v>2269.029</v>
      </c>
      <c r="N135" s="20" t="n">
        <v>2506.662</v>
      </c>
      <c r="V135" s="20" t="n">
        <v>2413.995</v>
      </c>
      <c r="W135" s="20" t="n">
        <v>2509.48</v>
      </c>
      <c r="X135" s="20" t="n">
        <v>2269.029</v>
      </c>
    </row>
    <row r="136">
      <c r="A136" s="18" t="inlineStr">
        <is>
          <t>ChinaReportableSegmentsMember · 외부 고객 매출</t>
        </is>
      </c>
      <c r="C136" s="20" t="n">
        <v>2264.023</v>
      </c>
      <c r="D136" s="20" t="n">
        <v>2308.6</v>
      </c>
      <c r="E136" s="20" t="n">
        <v>1533.019</v>
      </c>
      <c r="F136" s="20" t="n">
        <v>1726.952</v>
      </c>
      <c r="G136" s="20" t="n">
        <v>1865.755</v>
      </c>
      <c r="H136" s="20" t="n">
        <v>2335.802</v>
      </c>
      <c r="I136" s="20" t="n">
        <v>1259.443</v>
      </c>
      <c r="J136" s="20" t="n">
        <v>1655.157</v>
      </c>
      <c r="K136" s="20" t="n">
        <v>1863.497</v>
      </c>
      <c r="L136" s="20" t="n">
        <v>2061.518</v>
      </c>
      <c r="M136" s="20" t="n">
        <v>1550.603</v>
      </c>
      <c r="N136" s="20" t="n">
        <v>1598.974</v>
      </c>
      <c r="V136" s="20" t="n">
        <v>1533.019</v>
      </c>
      <c r="W136" s="20" t="n">
        <v>1259.443</v>
      </c>
      <c r="X136" s="20" t="n">
        <v>1550.603</v>
      </c>
    </row>
    <row r="137">
      <c r="A137" s="18" t="inlineStr">
        <is>
          <t>AsiaReportableSegmentsMember · 외부 고객 매출</t>
        </is>
      </c>
      <c r="C137" s="20" t="n">
        <v>3955.982</v>
      </c>
      <c r="D137" s="20" t="n">
        <v>3757.84</v>
      </c>
      <c r="E137" s="20" t="n">
        <v>3352.238</v>
      </c>
      <c r="F137" s="20" t="n">
        <v>3428.432</v>
      </c>
      <c r="G137" s="20" t="n">
        <v>3632.69</v>
      </c>
      <c r="H137" s="20" t="n">
        <v>3677.971</v>
      </c>
      <c r="I137" s="20" t="n">
        <v>3281.341</v>
      </c>
      <c r="J137" s="20" t="n">
        <v>3241.448</v>
      </c>
      <c r="K137" s="20" t="n">
        <v>3550.733</v>
      </c>
      <c r="L137" s="20" t="n">
        <v>3762.193</v>
      </c>
      <c r="M137" s="20" t="n">
        <v>3562.612</v>
      </c>
      <c r="N137" s="20" t="n">
        <v>3626.693</v>
      </c>
      <c r="V137" s="20" t="n">
        <v>3352.238</v>
      </c>
      <c r="W137" s="20" t="n">
        <v>3281.341</v>
      </c>
      <c r="X137" s="20" t="n">
        <v>3562.612</v>
      </c>
    </row>
    <row r="138">
      <c r="A138" s="18" t="inlineStr">
        <is>
          <t>합계 · 외부 고객 매출</t>
        </is>
      </c>
      <c r="C138" s="20" t="n">
        <v>26338.147</v>
      </c>
      <c r="D138" s="20" t="n">
        <v>27259.039</v>
      </c>
      <c r="E138" s="20" t="n">
        <v>23371.48</v>
      </c>
      <c r="F138" s="20" t="n">
        <v>25520.937</v>
      </c>
      <c r="G138" s="20" t="n">
        <v>27735.484</v>
      </c>
      <c r="H138" s="20" t="n">
        <v>28993.994</v>
      </c>
      <c r="I138" s="20" t="n">
        <v>27906.817</v>
      </c>
      <c r="J138" s="20" t="n">
        <v>26306.367</v>
      </c>
      <c r="K138" s="20" t="n">
        <v>27751.463</v>
      </c>
      <c r="L138" s="20" t="n">
        <v>29071.088</v>
      </c>
      <c r="M138" s="20" t="n">
        <v>27739.729</v>
      </c>
      <c r="N138" s="20" t="n">
        <v>27559.118</v>
      </c>
      <c r="V138" s="20" t="n">
        <v>23371.48</v>
      </c>
      <c r="W138" s="20" t="n">
        <v>27906.817</v>
      </c>
      <c r="X138" s="20" t="n">
        <v>27739.729</v>
      </c>
    </row>
    <row r="139">
      <c r="A139" s="18" t="inlineStr">
        <is>
          <t>JapanReportableSegmentsMember · 부문 간 내부매출·대체</t>
        </is>
      </c>
      <c r="C139" s="20" t="n">
        <v>978.294</v>
      </c>
      <c r="D139" s="20" t="n">
        <v>1147.453</v>
      </c>
      <c r="E139" s="20" t="n">
        <v>805.742</v>
      </c>
      <c r="F139" s="20" t="n">
        <v>792.769</v>
      </c>
      <c r="G139" s="20" t="n">
        <v>876.5650000000001</v>
      </c>
      <c r="H139" s="20" t="n">
        <v>925.668</v>
      </c>
      <c r="I139" s="20" t="n">
        <v>841.151</v>
      </c>
      <c r="J139" s="20" t="n">
        <v>989.155</v>
      </c>
      <c r="K139" s="20" t="n">
        <v>994.226</v>
      </c>
      <c r="L139" s="20" t="n">
        <v>1016.953</v>
      </c>
      <c r="M139" s="20" t="n">
        <v>938.9589999999999</v>
      </c>
      <c r="N139" s="20" t="n">
        <v>1030.065</v>
      </c>
      <c r="V139" s="20" t="n">
        <v>805.742</v>
      </c>
      <c r="W139" s="20" t="n">
        <v>841.151</v>
      </c>
      <c r="X139" s="20" t="n">
        <v>938.9589999999999</v>
      </c>
    </row>
    <row r="140">
      <c r="A140" s="18" t="inlineStr">
        <is>
          <t>NorthAmericaReportableSegmentsMember · 부문 간 내부매출·대체</t>
        </is>
      </c>
      <c r="C140" s="20" t="n">
        <v>57.813</v>
      </c>
      <c r="D140" s="20" t="n">
        <v>1.03</v>
      </c>
      <c r="E140" s="20" t="n">
        <v>-6.079</v>
      </c>
      <c r="F140" s="20" t="n">
        <v>1.645</v>
      </c>
      <c r="G140" s="20" t="n">
        <v>9.377000000000001</v>
      </c>
      <c r="H140" s="20" t="n">
        <v>2.525</v>
      </c>
      <c r="I140" s="20" t="n">
        <v>1.65</v>
      </c>
      <c r="J140" s="20" t="n">
        <v>0.082</v>
      </c>
      <c r="K140" s="20" t="n">
        <v>2.939</v>
      </c>
      <c r="L140" s="20" t="n">
        <v>0.16</v>
      </c>
      <c r="M140" s="20" t="n">
        <v>0.536</v>
      </c>
      <c r="N140" s="20" t="n">
        <v>0.011</v>
      </c>
      <c r="V140" s="20" t="n">
        <v>-6.079</v>
      </c>
      <c r="W140" s="20" t="n">
        <v>1.65</v>
      </c>
      <c r="X140" s="20" t="n">
        <v>0.536</v>
      </c>
    </row>
    <row r="141">
      <c r="A141" s="18" t="inlineStr">
        <is>
          <t>ChinaReportableSegmentsMember · 부문 간 내부매출·대체</t>
        </is>
      </c>
      <c r="C141" s="20" t="n">
        <v>891.485</v>
      </c>
      <c r="D141" s="20" t="n">
        <v>1101.803</v>
      </c>
      <c r="E141" s="20" t="n">
        <v>771.893</v>
      </c>
      <c r="F141" s="20" t="n">
        <v>703.04</v>
      </c>
      <c r="G141" s="20" t="n">
        <v>809.155</v>
      </c>
      <c r="H141" s="20" t="n">
        <v>964.2430000000001</v>
      </c>
      <c r="I141" s="20" t="n">
        <v>926.8200000000001</v>
      </c>
      <c r="J141" s="20" t="n">
        <v>802.869</v>
      </c>
      <c r="K141" s="20" t="n">
        <v>846.67</v>
      </c>
      <c r="L141" s="20" t="n">
        <v>932.893</v>
      </c>
      <c r="M141" s="20" t="n">
        <v>953.203</v>
      </c>
      <c r="N141" s="20" t="n">
        <v>869.409</v>
      </c>
      <c r="V141" s="20" t="n">
        <v>771.893</v>
      </c>
      <c r="W141" s="20" t="n">
        <v>926.8200000000001</v>
      </c>
      <c r="X141" s="20" t="n">
        <v>953.203</v>
      </c>
    </row>
    <row r="142">
      <c r="A142" s="18" t="inlineStr">
        <is>
          <t>AsiaReportableSegmentsMember · 부문 간 내부매출·대체</t>
        </is>
      </c>
      <c r="C142" s="20" t="n">
        <v>697.984</v>
      </c>
      <c r="D142" s="20" t="n">
        <v>953.375</v>
      </c>
      <c r="E142" s="20" t="n">
        <v>702.881</v>
      </c>
      <c r="F142" s="20" t="n">
        <v>643.779</v>
      </c>
      <c r="G142" s="20" t="n">
        <v>588.763</v>
      </c>
      <c r="H142" s="20" t="n">
        <v>537.605</v>
      </c>
      <c r="I142" s="20" t="n">
        <v>898.7809999999999</v>
      </c>
      <c r="J142" s="20" t="n">
        <v>874.7089999999999</v>
      </c>
      <c r="K142" s="20" t="n">
        <v>979.623</v>
      </c>
      <c r="L142" s="20" t="n">
        <v>936.533</v>
      </c>
      <c r="M142" s="20" t="n">
        <v>785.9059999999999</v>
      </c>
      <c r="N142" s="20" t="n">
        <v>889.0940000000001</v>
      </c>
      <c r="V142" s="20" t="n">
        <v>702.881</v>
      </c>
      <c r="W142" s="20" t="n">
        <v>898.7809999999999</v>
      </c>
      <c r="X142" s="20" t="n">
        <v>785.9059999999999</v>
      </c>
    </row>
    <row r="143">
      <c r="A143" s="18" t="inlineStr">
        <is>
          <t>합계 · 부문 간 내부매출·대체</t>
        </is>
      </c>
      <c r="C143" s="20" t="n">
        <v>2625.574</v>
      </c>
      <c r="D143" s="20" t="n">
        <v>3203.662</v>
      </c>
      <c r="E143" s="20" t="n">
        <v>2274.437</v>
      </c>
      <c r="F143" s="20" t="n">
        <v>2141.234</v>
      </c>
      <c r="G143" s="20" t="n">
        <v>2283.861</v>
      </c>
      <c r="H143" s="20" t="n">
        <v>2430.04</v>
      </c>
      <c r="I143" s="20" t="n">
        <v>2668.403</v>
      </c>
      <c r="J143" s="20" t="n">
        <v>2666.816</v>
      </c>
      <c r="K143" s="20" t="n">
        <v>2823.458</v>
      </c>
      <c r="L143" s="20" t="n">
        <v>2886.54</v>
      </c>
      <c r="M143" s="20" t="n">
        <v>2678.603</v>
      </c>
      <c r="N143" s="20" t="n">
        <v>2788.58</v>
      </c>
      <c r="V143" s="20" t="n">
        <v>2274.437</v>
      </c>
      <c r="W143" s="20" t="n">
        <v>2668.403</v>
      </c>
      <c r="X143" s="20" t="n">
        <v>2678.603</v>
      </c>
    </row>
    <row r="144">
      <c r="A144" s="18" t="inlineStr">
        <is>
          <t>JapanReportableSegmentsMember · 계</t>
        </is>
      </c>
      <c r="C144" s="20" t="n">
        <v>18526.595</v>
      </c>
      <c r="D144" s="20" t="n">
        <v>19796.122</v>
      </c>
      <c r="E144" s="20" t="n">
        <v>16877.969</v>
      </c>
      <c r="F144" s="20" t="n">
        <v>18735.997</v>
      </c>
      <c r="G144" s="20" t="n">
        <v>21203.523</v>
      </c>
      <c r="H144" s="20" t="n">
        <v>21641.989</v>
      </c>
      <c r="I144" s="20" t="n">
        <v>21697.705</v>
      </c>
      <c r="J144" s="20" t="n">
        <v>20112.353</v>
      </c>
      <c r="K144" s="20" t="n">
        <v>21102.208</v>
      </c>
      <c r="L144" s="20" t="n">
        <v>21992.147</v>
      </c>
      <c r="M144" s="20" t="n">
        <v>21296.445</v>
      </c>
      <c r="N144" s="20" t="n">
        <v>20856.853</v>
      </c>
      <c r="V144" s="20" t="n">
        <v>16877.969</v>
      </c>
      <c r="W144" s="20" t="n">
        <v>21697.705</v>
      </c>
      <c r="X144" s="20" t="n">
        <v>21296.445</v>
      </c>
    </row>
    <row r="145">
      <c r="A145" s="18" t="inlineStr">
        <is>
          <t>NorthAmericaReportableSegmentsMember · 계</t>
        </is>
      </c>
      <c r="C145" s="20" t="n">
        <v>2627.655</v>
      </c>
      <c r="D145" s="20" t="n">
        <v>2544.96</v>
      </c>
      <c r="E145" s="20" t="n">
        <v>2407.916</v>
      </c>
      <c r="F145" s="20" t="n">
        <v>2423.97</v>
      </c>
      <c r="G145" s="20" t="n">
        <v>1919.458</v>
      </c>
      <c r="H145" s="20" t="n">
        <v>2266.425</v>
      </c>
      <c r="I145" s="20" t="n">
        <v>2511.129</v>
      </c>
      <c r="J145" s="20" t="n">
        <v>2286.646</v>
      </c>
      <c r="K145" s="20" t="n">
        <v>2232.188</v>
      </c>
      <c r="L145" s="20" t="n">
        <v>2272.344</v>
      </c>
      <c r="M145" s="20" t="n">
        <v>2269.566</v>
      </c>
      <c r="N145" s="20" t="n">
        <v>2506.673</v>
      </c>
      <c r="V145" s="20" t="n">
        <v>2407.916</v>
      </c>
      <c r="W145" s="20" t="n">
        <v>2511.129</v>
      </c>
      <c r="X145" s="20" t="n">
        <v>2269.566</v>
      </c>
    </row>
    <row r="146">
      <c r="A146" s="18" t="inlineStr">
        <is>
          <t>ChinaReportableSegmentsMember · 계</t>
        </is>
      </c>
      <c r="C146" s="20" t="n">
        <v>3155.507</v>
      </c>
      <c r="D146" s="20" t="n">
        <v>3410.404</v>
      </c>
      <c r="E146" s="20" t="n">
        <v>2304.912</v>
      </c>
      <c r="F146" s="20" t="n">
        <v>2429.992</v>
      </c>
      <c r="G146" s="20" t="n">
        <v>2674.91</v>
      </c>
      <c r="H146" s="20" t="n">
        <v>3300.045</v>
      </c>
      <c r="I146" s="20" t="n">
        <v>2186.263</v>
      </c>
      <c r="J146" s="20" t="n">
        <v>2458.027</v>
      </c>
      <c r="K146" s="20" t="n">
        <v>2710.167</v>
      </c>
      <c r="L146" s="20" t="n">
        <v>2994.411</v>
      </c>
      <c r="M146" s="20" t="n">
        <v>2503.806</v>
      </c>
      <c r="N146" s="20" t="n">
        <v>2468.383</v>
      </c>
      <c r="V146" s="20" t="n">
        <v>2304.912</v>
      </c>
      <c r="W146" s="20" t="n">
        <v>2186.263</v>
      </c>
      <c r="X146" s="20" t="n">
        <v>2503.806</v>
      </c>
    </row>
    <row r="147">
      <c r="A147" s="18" t="inlineStr">
        <is>
          <t>AsiaReportableSegmentsMember · 계</t>
        </is>
      </c>
      <c r="C147" s="20" t="n">
        <v>4653.965</v>
      </c>
      <c r="D147" s="20" t="n">
        <v>4711.215</v>
      </c>
      <c r="E147" s="20" t="n">
        <v>4055.12</v>
      </c>
      <c r="F147" s="20" t="n">
        <v>4072.211</v>
      </c>
      <c r="G147" s="20" t="n">
        <v>4221.453</v>
      </c>
      <c r="H147" s="20" t="n">
        <v>4215.577</v>
      </c>
      <c r="I147" s="20" t="n">
        <v>4180.121</v>
      </c>
      <c r="J147" s="20" t="n">
        <v>4116.157</v>
      </c>
      <c r="K147" s="20" t="n">
        <v>4530.357</v>
      </c>
      <c r="L147" s="20" t="n">
        <v>4698.726</v>
      </c>
      <c r="M147" s="20" t="n">
        <v>4348.517</v>
      </c>
      <c r="N147" s="20" t="n">
        <v>4515.788</v>
      </c>
      <c r="V147" s="20" t="n">
        <v>4055.12</v>
      </c>
      <c r="W147" s="20" t="n">
        <v>4180.121</v>
      </c>
      <c r="X147" s="20" t="n">
        <v>4348.517</v>
      </c>
    </row>
    <row r="148">
      <c r="A148" s="18" t="inlineStr">
        <is>
          <t>합계 · 계</t>
        </is>
      </c>
      <c r="C148" s="20" t="n">
        <v>28963.721</v>
      </c>
      <c r="D148" s="20" t="n">
        <v>30462.701</v>
      </c>
      <c r="E148" s="20" t="n">
        <v>25645.916</v>
      </c>
      <c r="F148" s="20" t="n">
        <v>27662.171</v>
      </c>
      <c r="G148" s="20" t="n">
        <v>30019.345</v>
      </c>
      <c r="H148" s="20" t="n">
        <v>31424.035</v>
      </c>
      <c r="I148" s="20" t="n">
        <v>30575.219</v>
      </c>
      <c r="J148" s="20" t="n">
        <v>28973.184</v>
      </c>
      <c r="K148" s="20" t="n">
        <v>30574.92</v>
      </c>
      <c r="L148" s="20" t="n">
        <v>31957.628</v>
      </c>
      <c r="M148" s="20" t="n">
        <v>30418.333</v>
      </c>
      <c r="N148" s="20" t="n">
        <v>30347.699</v>
      </c>
      <c r="V148" s="20" t="n">
        <v>25645.916</v>
      </c>
      <c r="W148" s="20" t="n">
        <v>30575.219</v>
      </c>
      <c r="X148" s="20" t="n">
        <v>30418.333</v>
      </c>
    </row>
    <row r="149">
      <c r="A149" s="18" t="inlineStr">
        <is>
          <t>JapanReportableSegmentsMember · 부문 이익</t>
        </is>
      </c>
      <c r="C149" s="20" t="n">
        <v>681.516</v>
      </c>
      <c r="D149" s="20" t="n">
        <v>194.038</v>
      </c>
      <c r="E149" s="20" t="n">
        <v>371.736</v>
      </c>
      <c r="F149" s="20" t="n">
        <v>562.822</v>
      </c>
      <c r="G149" s="20" t="n">
        <v>1668.672</v>
      </c>
      <c r="H149" s="20" t="n">
        <v>1129.918</v>
      </c>
      <c r="I149" s="20" t="n">
        <v>1559.002</v>
      </c>
      <c r="J149" s="20" t="n">
        <v>696.903</v>
      </c>
      <c r="K149" s="20" t="n">
        <v>798.601</v>
      </c>
      <c r="L149" s="20" t="n">
        <v>593.15</v>
      </c>
      <c r="M149" s="20" t="n">
        <v>799.263</v>
      </c>
      <c r="N149" s="20" t="n">
        <v>518.784</v>
      </c>
      <c r="V149" s="20" t="n">
        <v>371.736</v>
      </c>
      <c r="W149" s="20" t="n">
        <v>1559.002</v>
      </c>
      <c r="X149" s="20" t="n">
        <v>799.263</v>
      </c>
    </row>
    <row r="150">
      <c r="A150" s="18" t="inlineStr">
        <is>
          <t>NorthAmericaReportableSegmentsMember · 부문 이익</t>
        </is>
      </c>
      <c r="C150" s="20" t="n">
        <v>73.102</v>
      </c>
      <c r="D150" s="20" t="n">
        <v>97.24299999999999</v>
      </c>
      <c r="E150" s="20" t="n">
        <v>49.61</v>
      </c>
      <c r="F150" s="20" t="n">
        <v>-60.984</v>
      </c>
      <c r="G150" s="20" t="n">
        <v>130.859</v>
      </c>
      <c r="H150" s="20" t="n">
        <v>154.996</v>
      </c>
      <c r="I150" s="20" t="n">
        <v>101.937</v>
      </c>
      <c r="J150" s="20" t="n">
        <v>66.70699999999999</v>
      </c>
      <c r="K150" s="20" t="n">
        <v>80.858</v>
      </c>
      <c r="L150" s="20" t="n">
        <v>-3.13</v>
      </c>
      <c r="M150" s="20" t="n">
        <v>128.145</v>
      </c>
      <c r="N150" s="20" t="n">
        <v>-168.609</v>
      </c>
      <c r="V150" s="20" t="n">
        <v>49.61</v>
      </c>
      <c r="W150" s="20" t="n">
        <v>101.937</v>
      </c>
      <c r="X150" s="20" t="n">
        <v>128.145</v>
      </c>
    </row>
    <row r="151">
      <c r="A151" s="18" t="inlineStr">
        <is>
          <t>ChinaReportableSegmentsMember · 부문 이익</t>
        </is>
      </c>
      <c r="C151" s="20" t="n">
        <v>251.471</v>
      </c>
      <c r="D151" s="20" t="n">
        <v>233.196</v>
      </c>
      <c r="E151" s="20" t="n">
        <v>-15.561</v>
      </c>
      <c r="F151" s="20" t="n">
        <v>-29.171</v>
      </c>
      <c r="G151" s="20" t="n">
        <v>55.549</v>
      </c>
      <c r="H151" s="20" t="n">
        <v>212.606</v>
      </c>
      <c r="I151" s="20" t="n">
        <v>18.524</v>
      </c>
      <c r="J151" s="20" t="n">
        <v>97.861</v>
      </c>
      <c r="K151" s="20" t="n">
        <v>144.817</v>
      </c>
      <c r="L151" s="20" t="n">
        <v>186.044</v>
      </c>
      <c r="M151" s="20" t="n">
        <v>78.35299999999999</v>
      </c>
      <c r="N151" s="20" t="n">
        <v>12.385</v>
      </c>
      <c r="V151" s="20" t="n">
        <v>-15.561</v>
      </c>
      <c r="W151" s="20" t="n">
        <v>18.524</v>
      </c>
      <c r="X151" s="20" t="n">
        <v>78.35299999999999</v>
      </c>
    </row>
    <row r="152">
      <c r="A152" s="18" t="inlineStr">
        <is>
          <t>AsiaReportableSegmentsMember · 부문 이익</t>
        </is>
      </c>
      <c r="C152" s="20" t="n">
        <v>185.518</v>
      </c>
      <c r="D152" s="20" t="n">
        <v>212.194</v>
      </c>
      <c r="E152" s="20" t="n">
        <v>199.344</v>
      </c>
      <c r="F152" s="20" t="n">
        <v>157.541</v>
      </c>
      <c r="G152" s="20" t="n">
        <v>268.559</v>
      </c>
      <c r="H152" s="20" t="n">
        <v>310.398</v>
      </c>
      <c r="I152" s="20" t="n">
        <v>268.9</v>
      </c>
      <c r="J152" s="20" t="n">
        <v>252.092</v>
      </c>
      <c r="K152" s="20" t="n">
        <v>442.252</v>
      </c>
      <c r="L152" s="20" t="n">
        <v>370.149</v>
      </c>
      <c r="M152" s="20" t="n">
        <v>355.929</v>
      </c>
      <c r="N152" s="20" t="n">
        <v>245.445</v>
      </c>
      <c r="V152" s="20" t="n">
        <v>199.344</v>
      </c>
      <c r="W152" s="20" t="n">
        <v>268.9</v>
      </c>
      <c r="X152" s="20" t="n">
        <v>355.929</v>
      </c>
    </row>
    <row r="153">
      <c r="A153" s="18" t="inlineStr">
        <is>
          <t>합계 · 부문 이익</t>
        </is>
      </c>
      <c r="C153" s="20" t="n">
        <v>1191.607</v>
      </c>
      <c r="D153" s="20" t="n">
        <v>736.672</v>
      </c>
      <c r="E153" s="20" t="n">
        <v>605.129</v>
      </c>
      <c r="F153" s="20" t="n">
        <v>630.207</v>
      </c>
      <c r="G153" s="20" t="n">
        <v>2123.642</v>
      </c>
      <c r="H153" s="20" t="n">
        <v>1807.917</v>
      </c>
      <c r="I153" s="20" t="n">
        <v>1948.363</v>
      </c>
      <c r="J153" s="20" t="n">
        <v>1113.565</v>
      </c>
      <c r="K153" s="20" t="n">
        <v>1466.528</v>
      </c>
      <c r="L153" s="20" t="n">
        <v>1146.212</v>
      </c>
      <c r="M153" s="20" t="n">
        <v>1361.69</v>
      </c>
      <c r="N153" s="20" t="n">
        <v>608.005</v>
      </c>
      <c r="V153" s="20" t="n">
        <v>605.129</v>
      </c>
      <c r="W153" s="20" t="n">
        <v>1948.363</v>
      </c>
      <c r="X153" s="20" t="n">
        <v>1361.69</v>
      </c>
    </row>
    <row r="155">
      <c r="A155" s="16" t="inlineStr">
        <is>
          <t>현금흐름표 · 전 항목</t>
        </is>
      </c>
      <c r="B155" s="42" t="inlineStr">
        <is>
          <t>분기 = 결산기 첫날부터 누계(공시 그대로)</t>
        </is>
      </c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</row>
    <row r="156">
      <c r="A156" s="5" t="inlineStr">
        <is>
          <t>항목</t>
        </is>
      </c>
      <c r="B156" s="5" t="inlineStr">
        <is>
          <t>참고</t>
        </is>
      </c>
      <c r="C156" s="5" t="inlineStr">
        <is>
          <t>2024.2Q</t>
        </is>
      </c>
      <c r="D156" s="5" t="inlineStr">
        <is>
          <t>2024.3Q</t>
        </is>
      </c>
      <c r="E156" s="5" t="inlineStr">
        <is>
          <t>2024.4Q</t>
        </is>
      </c>
      <c r="F156" s="5" t="inlineStr">
        <is>
          <t>2025.1Q</t>
        </is>
      </c>
      <c r="G156" s="5" t="inlineStr">
        <is>
          <t>2025.2Q</t>
        </is>
      </c>
      <c r="H156" s="5" t="inlineStr">
        <is>
          <t>2025.3Q</t>
        </is>
      </c>
      <c r="I156" s="5" t="inlineStr">
        <is>
          <t>2025.4Q</t>
        </is>
      </c>
      <c r="J156" s="5" t="inlineStr">
        <is>
          <t>2026.1Q</t>
        </is>
      </c>
      <c r="K156" s="5" t="inlineStr">
        <is>
          <t>2026.2Q</t>
        </is>
      </c>
      <c r="L156" s="5" t="inlineStr">
        <is>
          <t>2026.3Q</t>
        </is>
      </c>
      <c r="M156" s="5" t="inlineStr">
        <is>
          <t>2026.4Q</t>
        </is>
      </c>
      <c r="N156" s="5" t="inlineStr">
        <is>
          <t>2027.1Q</t>
        </is>
      </c>
      <c r="O156" s="5" t="inlineStr">
        <is>
          <t>2017</t>
        </is>
      </c>
      <c r="P156" s="5" t="inlineStr">
        <is>
          <t>2018</t>
        </is>
      </c>
      <c r="Q156" s="5" t="inlineStr">
        <is>
          <t>2019</t>
        </is>
      </c>
      <c r="R156" s="5" t="inlineStr">
        <is>
          <t>2020</t>
        </is>
      </c>
      <c r="S156" s="5" t="inlineStr">
        <is>
          <t>2021</t>
        </is>
      </c>
      <c r="T156" s="5" t="inlineStr">
        <is>
          <t>2022</t>
        </is>
      </c>
      <c r="U156" s="5" t="inlineStr">
        <is>
          <t>2023</t>
        </is>
      </c>
      <c r="V156" s="5" t="inlineStr">
        <is>
          <t>2024</t>
        </is>
      </c>
      <c r="W156" s="5" t="inlineStr">
        <is>
          <t>2025</t>
        </is>
      </c>
      <c r="X156" s="5" t="inlineStr">
        <is>
          <t>2026</t>
        </is>
      </c>
      <c r="Y156" s="5" t="inlineStr">
        <is>
          <t>2027(MW)</t>
        </is>
      </c>
      <c r="Z156" s="5" t="inlineStr">
        <is>
          <t>2028(MW)</t>
        </is>
      </c>
      <c r="AA156" s="5" t="inlineStr">
        <is>
          <t>2029(MW)</t>
        </is>
      </c>
      <c r="AB156" s="5" t="inlineStr">
        <is>
          <t>2030(MW)</t>
        </is>
      </c>
      <c r="AC156" s="5" t="inlineStr">
        <is>
          <t>2031(MW)</t>
        </is>
      </c>
    </row>
    <row r="157">
      <c r="A157" s="9" t="inlineStr">
        <is>
          <t>법인세차감전 순이익</t>
        </is>
      </c>
      <c r="C157" s="12" t="n">
        <v>2256.092</v>
      </c>
      <c r="E157" s="12" t="n">
        <v>3139.952</v>
      </c>
      <c r="G157" s="12" t="n">
        <v>1832.572</v>
      </c>
      <c r="I157" s="12" t="n">
        <v>2573.341</v>
      </c>
      <c r="K157" s="12" t="n">
        <v>2039.772</v>
      </c>
      <c r="M157" s="12" t="n">
        <v>17729.486</v>
      </c>
      <c r="O157" s="12" t="n">
        <v>2888.493</v>
      </c>
      <c r="P157" s="12" t="n">
        <v>3119.894</v>
      </c>
      <c r="Q157" s="12" t="n">
        <v>2926.812</v>
      </c>
      <c r="R157" s="12" t="n">
        <v>2813.695</v>
      </c>
      <c r="S157" s="12" t="n">
        <v>2532.762</v>
      </c>
      <c r="T157" s="12" t="n">
        <v>3410.483</v>
      </c>
      <c r="U157" s="12" t="n">
        <v>1451.173</v>
      </c>
      <c r="V157" s="12" t="n">
        <v>3139.952</v>
      </c>
      <c r="W157" s="12" t="n">
        <v>2573.341</v>
      </c>
      <c r="X157" s="12" t="n">
        <v>17729.486</v>
      </c>
    </row>
    <row r="158">
      <c r="A158" s="18" t="inlineStr">
        <is>
          <t>감가상각비</t>
        </is>
      </c>
      <c r="C158" s="20" t="n">
        <v>1828.091</v>
      </c>
      <c r="E158" s="20" t="n">
        <v>3909.064</v>
      </c>
      <c r="G158" s="20" t="n">
        <v>2080.105</v>
      </c>
      <c r="I158" s="20" t="n">
        <v>4434.951</v>
      </c>
      <c r="K158" s="20" t="n">
        <v>2364.289</v>
      </c>
      <c r="M158" s="20" t="n">
        <v>5159.118</v>
      </c>
      <c r="O158" s="20" t="n">
        <v>3525.228</v>
      </c>
      <c r="P158" s="20" t="n">
        <v>3420.687</v>
      </c>
      <c r="Q158" s="20" t="n">
        <v>3410.231</v>
      </c>
      <c r="R158" s="20" t="n">
        <v>3416.674</v>
      </c>
      <c r="S158" s="20" t="n">
        <v>3349.621</v>
      </c>
      <c r="T158" s="20" t="n">
        <v>3516.473</v>
      </c>
      <c r="U158" s="20" t="n">
        <v>3765.37</v>
      </c>
      <c r="V158" s="20" t="n">
        <v>3909.064</v>
      </c>
      <c r="W158" s="20" t="n">
        <v>4434.951</v>
      </c>
      <c r="X158" s="20" t="n">
        <v>5159.118</v>
      </c>
    </row>
    <row r="159">
      <c r="A159" s="18" t="inlineStr">
        <is>
          <t>손상차손</t>
        </is>
      </c>
      <c r="E159" s="20" t="n">
        <v>98.64100000000001</v>
      </c>
      <c r="I159" s="20" t="n">
        <v>304.366</v>
      </c>
      <c r="M159" s="20" t="n">
        <v>152.277</v>
      </c>
      <c r="O159" s="20" t="n">
        <v>27.279</v>
      </c>
      <c r="P159" s="20" t="n">
        <v>228.277</v>
      </c>
      <c r="Q159" s="20" t="n">
        <v>3.842</v>
      </c>
      <c r="R159" s="20" t="n">
        <v>164.802</v>
      </c>
      <c r="S159" s="20" t="n">
        <v>391.954</v>
      </c>
      <c r="T159" s="20" t="n">
        <v>24.514</v>
      </c>
      <c r="U159" s="20" t="n">
        <v>120.988</v>
      </c>
      <c r="V159" s="20" t="n">
        <v>98.64100000000001</v>
      </c>
      <c r="W159" s="20" t="n">
        <v>304.366</v>
      </c>
      <c r="X159" s="20" t="n">
        <v>152.277</v>
      </c>
    </row>
    <row r="160">
      <c r="A160" s="18" t="inlineStr">
        <is>
          <t>영업권 상각</t>
        </is>
      </c>
      <c r="O160" s="20" t="n">
        <v>6.401</v>
      </c>
      <c r="P160" s="20" t="n">
        <v>6.401</v>
      </c>
      <c r="Q160" s="20" t="n">
        <v>6.401</v>
      </c>
      <c r="R160" s="20" t="n">
        <v>1.6</v>
      </c>
      <c r="S160" s="20" t="n">
        <v>0</v>
      </c>
    </row>
    <row r="161">
      <c r="A161" s="18" t="inlineStr">
        <is>
          <t>상여충당금 증감</t>
        </is>
      </c>
      <c r="E161" s="20" t="n">
        <v>50.237</v>
      </c>
      <c r="I161" s="20" t="n">
        <v>213.733</v>
      </c>
      <c r="M161" s="20" t="n">
        <v>56.415</v>
      </c>
      <c r="V161" s="20" t="n">
        <v>50.237</v>
      </c>
      <c r="W161" s="20" t="n">
        <v>213.733</v>
      </c>
      <c r="X161" s="20" t="n">
        <v>56.415</v>
      </c>
    </row>
    <row r="162">
      <c r="A162" s="18" t="inlineStr">
        <is>
          <t>제품보증 충당금 증감</t>
        </is>
      </c>
      <c r="E162" s="20" t="n">
        <v>-1.239</v>
      </c>
      <c r="I162" s="20" t="n">
        <v>2378.918</v>
      </c>
      <c r="M162" s="20" t="n">
        <v>-2184.24</v>
      </c>
      <c r="O162" s="20" t="n">
        <v>-16.708</v>
      </c>
      <c r="P162" s="20" t="n">
        <v>-9.407</v>
      </c>
      <c r="Q162" s="20" t="n">
        <v>-2.395</v>
      </c>
      <c r="R162" s="20" t="n">
        <v>-1.152</v>
      </c>
      <c r="S162" s="20" t="n">
        <v>-1.562</v>
      </c>
      <c r="T162" s="20" t="n">
        <v>4.674</v>
      </c>
      <c r="V162" s="20" t="n">
        <v>-1.239</v>
      </c>
      <c r="W162" s="20" t="n">
        <v>2378.918</v>
      </c>
      <c r="X162" s="20" t="n">
        <v>-2184.24</v>
      </c>
    </row>
    <row r="163">
      <c r="A163" s="18" t="inlineStr">
        <is>
          <t>Increase Decrease In Provision For Loss On Disaster Ope CF</t>
        </is>
      </c>
      <c r="E163" s="20" t="n">
        <v>0</v>
      </c>
      <c r="G163" s="20" t="n">
        <v>0</v>
      </c>
      <c r="I163" s="20" t="n">
        <v>151.904</v>
      </c>
      <c r="K163" s="20" t="n">
        <v>-151.904</v>
      </c>
      <c r="M163" s="20" t="n">
        <v>-151.904</v>
      </c>
      <c r="V163" s="20" t="n">
        <v>0</v>
      </c>
      <c r="W163" s="20" t="n">
        <v>151.904</v>
      </c>
      <c r="X163" s="20" t="n">
        <v>-151.904</v>
      </c>
    </row>
    <row r="164">
      <c r="A164" s="18" t="inlineStr">
        <is>
          <t>Increase Decrease In Provision For Business Structure Improvement Ope CF</t>
        </is>
      </c>
      <c r="E164" s="20" t="n">
        <v>0</v>
      </c>
      <c r="G164" s="20" t="n">
        <v>0</v>
      </c>
      <c r="I164" s="20" t="n">
        <v>81.78700000000001</v>
      </c>
      <c r="K164" s="20" t="n">
        <v>-64.157</v>
      </c>
      <c r="M164" s="20" t="n">
        <v>-81.78700000000001</v>
      </c>
      <c r="V164" s="20" t="n">
        <v>0</v>
      </c>
      <c r="W164" s="20" t="n">
        <v>81.78700000000001</v>
      </c>
      <c r="X164" s="20" t="n">
        <v>-81.78700000000001</v>
      </c>
    </row>
    <row r="165">
      <c r="A165" s="18" t="inlineStr">
        <is>
          <t>퇴직급여자산 증감</t>
        </is>
      </c>
      <c r="C165" s="20" t="n">
        <v>-394.541</v>
      </c>
      <c r="E165" s="20" t="n">
        <v>-1675.132</v>
      </c>
      <c r="G165" s="20" t="n">
        <v>-1097.973</v>
      </c>
      <c r="I165" s="20" t="n">
        <v>-1764.257</v>
      </c>
      <c r="K165" s="20" t="n">
        <v>-852.893</v>
      </c>
      <c r="M165" s="20" t="n">
        <v>-2033.286</v>
      </c>
      <c r="O165" s="20" t="n">
        <v>201.329</v>
      </c>
      <c r="P165" s="20" t="n">
        <v>-906.91</v>
      </c>
      <c r="Q165" s="20" t="n">
        <v>-749</v>
      </c>
      <c r="R165" s="20" t="n">
        <v>-547.676</v>
      </c>
      <c r="S165" s="20" t="n">
        <v>-590.288</v>
      </c>
      <c r="T165" s="20" t="n">
        <v>-1440.912</v>
      </c>
      <c r="U165" s="20" t="n">
        <v>-621.633</v>
      </c>
      <c r="V165" s="20" t="n">
        <v>-1675.132</v>
      </c>
      <c r="W165" s="20" t="n">
        <v>-1764.257</v>
      </c>
      <c r="X165" s="20" t="n">
        <v>-2033.286</v>
      </c>
    </row>
    <row r="166">
      <c r="A166" s="18" t="inlineStr">
        <is>
          <t>퇴직급여부채 증감</t>
        </is>
      </c>
      <c r="C166" s="20" t="n">
        <v>-17.59</v>
      </c>
      <c r="E166" s="20" t="n">
        <v>708.129</v>
      </c>
      <c r="G166" s="20" t="n">
        <v>66.73999999999999</v>
      </c>
      <c r="I166" s="20" t="n">
        <v>-348.104</v>
      </c>
      <c r="K166" s="20" t="n">
        <v>96.494</v>
      </c>
      <c r="M166" s="20" t="n">
        <v>446.486</v>
      </c>
      <c r="O166" s="20" t="n">
        <v>-175.953</v>
      </c>
      <c r="P166" s="20" t="n">
        <v>-680.612</v>
      </c>
      <c r="Q166" s="20" t="n">
        <v>5.031</v>
      </c>
      <c r="R166" s="20" t="n">
        <v>48.873</v>
      </c>
      <c r="S166" s="20" t="n">
        <v>-210.136</v>
      </c>
      <c r="T166" s="20" t="n">
        <v>320.977</v>
      </c>
      <c r="U166" s="20" t="n">
        <v>-186.746</v>
      </c>
      <c r="V166" s="20" t="n">
        <v>708.129</v>
      </c>
      <c r="W166" s="20" t="n">
        <v>-348.104</v>
      </c>
      <c r="X166" s="20" t="n">
        <v>446.486</v>
      </c>
    </row>
    <row r="167">
      <c r="A167" s="18" t="inlineStr">
        <is>
          <t>이자·배당금 수익</t>
        </is>
      </c>
      <c r="C167" s="20" t="n">
        <v>-451.877</v>
      </c>
      <c r="E167" s="20" t="n">
        <v>-870.615</v>
      </c>
      <c r="G167" s="20" t="n">
        <v>-624.954</v>
      </c>
      <c r="I167" s="20" t="n">
        <v>-1181.691</v>
      </c>
      <c r="K167" s="20" t="n">
        <v>-720.229</v>
      </c>
      <c r="M167" s="20" t="n">
        <v>-1422.246</v>
      </c>
      <c r="O167" s="20" t="n">
        <v>-519.09</v>
      </c>
      <c r="P167" s="20" t="n">
        <v>-537.6319999999999</v>
      </c>
      <c r="Q167" s="20" t="n">
        <v>-584.876</v>
      </c>
      <c r="R167" s="20" t="n">
        <v>-596.687</v>
      </c>
      <c r="S167" s="20" t="n">
        <v>-605.221</v>
      </c>
      <c r="T167" s="20" t="n">
        <v>-650.899</v>
      </c>
      <c r="U167" s="20" t="n">
        <v>-668.057</v>
      </c>
      <c r="V167" s="20" t="n">
        <v>-870.615</v>
      </c>
      <c r="W167" s="20" t="n">
        <v>-1181.691</v>
      </c>
      <c r="X167" s="20" t="n">
        <v>-1422.246</v>
      </c>
    </row>
    <row r="168">
      <c r="A168" s="18" t="inlineStr">
        <is>
          <t>보조금 수입</t>
        </is>
      </c>
      <c r="S168" s="20" t="n">
        <v>-376.666</v>
      </c>
      <c r="T168" s="20" t="n">
        <v>-223.4</v>
      </c>
      <c r="U168" s="20" t="n">
        <v>-107.165</v>
      </c>
    </row>
    <row r="169">
      <c r="A169" s="18" t="inlineStr">
        <is>
          <t>보험금 수익</t>
        </is>
      </c>
      <c r="G169" s="20" t="n">
        <v>0</v>
      </c>
      <c r="I169" s="20" t="n">
        <v>-304.266</v>
      </c>
      <c r="K169" s="20" t="n">
        <v>-83.59399999999999</v>
      </c>
      <c r="M169" s="20" t="n">
        <v>-198.383</v>
      </c>
      <c r="W169" s="20" t="n">
        <v>-304.266</v>
      </c>
      <c r="X169" s="20" t="n">
        <v>-198.383</v>
      </c>
    </row>
    <row r="170">
      <c r="A170" s="18" t="inlineStr">
        <is>
          <t>이자비용</t>
        </is>
      </c>
      <c r="C170" s="20" t="n">
        <v>30.112</v>
      </c>
      <c r="E170" s="20" t="n">
        <v>65.383</v>
      </c>
      <c r="G170" s="20" t="n">
        <v>62.378</v>
      </c>
      <c r="I170" s="20" t="n">
        <v>124.354</v>
      </c>
      <c r="K170" s="20" t="n">
        <v>77.252</v>
      </c>
      <c r="M170" s="20" t="n">
        <v>144.573</v>
      </c>
      <c r="O170" s="20" t="n">
        <v>166.947</v>
      </c>
      <c r="P170" s="20" t="n">
        <v>142.9</v>
      </c>
      <c r="Q170" s="20" t="n">
        <v>92.72799999999999</v>
      </c>
      <c r="R170" s="20" t="n">
        <v>47.538</v>
      </c>
      <c r="S170" s="20" t="n">
        <v>50.037</v>
      </c>
      <c r="T170" s="20" t="n">
        <v>31.912</v>
      </c>
      <c r="U170" s="20" t="n">
        <v>59.176</v>
      </c>
      <c r="V170" s="20" t="n">
        <v>65.383</v>
      </c>
      <c r="W170" s="20" t="n">
        <v>124.354</v>
      </c>
      <c r="X170" s="20" t="n">
        <v>144.573</v>
      </c>
    </row>
    <row r="171">
      <c r="A171" s="18" t="inlineStr">
        <is>
          <t>외환차손익</t>
        </is>
      </c>
      <c r="C171" s="20" t="n">
        <v>-850.809</v>
      </c>
      <c r="E171" s="20" t="n">
        <v>-920.958</v>
      </c>
      <c r="G171" s="20" t="n">
        <v>297.32</v>
      </c>
      <c r="I171" s="20" t="n">
        <v>86.539</v>
      </c>
      <c r="K171" s="20" t="n">
        <v>37.745</v>
      </c>
      <c r="M171" s="20" t="n">
        <v>-406.807</v>
      </c>
      <c r="O171" s="20" t="n">
        <v>6.146</v>
      </c>
      <c r="P171" s="20" t="n">
        <v>138.767</v>
      </c>
      <c r="Q171" s="20" t="n">
        <v>-55.021</v>
      </c>
      <c r="R171" s="20" t="n">
        <v>203.306</v>
      </c>
      <c r="S171" s="20" t="n">
        <v>-200.022</v>
      </c>
      <c r="T171" s="20" t="n">
        <v>-552.735</v>
      </c>
      <c r="U171" s="20" t="n">
        <v>-406.449</v>
      </c>
      <c r="V171" s="20" t="n">
        <v>-920.958</v>
      </c>
      <c r="W171" s="20" t="n">
        <v>86.539</v>
      </c>
      <c r="X171" s="20" t="n">
        <v>-406.807</v>
      </c>
    </row>
    <row r="172">
      <c r="A172" s="18" t="inlineStr">
        <is>
          <t>지분법손익</t>
        </is>
      </c>
      <c r="I172" s="20" t="n">
        <v>0</v>
      </c>
      <c r="M172" s="20" t="n">
        <v>33.02</v>
      </c>
      <c r="W172" s="20" t="n">
        <v>0</v>
      </c>
      <c r="X172" s="20" t="n">
        <v>33.02</v>
      </c>
    </row>
    <row r="173">
      <c r="A173" s="18" t="inlineStr">
        <is>
          <t>투자유가증권 매각손익</t>
        </is>
      </c>
      <c r="I173" s="20" t="n">
        <v>-43.391</v>
      </c>
      <c r="M173" s="20" t="n">
        <v>-12886.505</v>
      </c>
      <c r="R173" s="20" t="n">
        <v>0</v>
      </c>
      <c r="S173" s="20" t="n">
        <v>-707.941</v>
      </c>
      <c r="T173" s="20" t="n">
        <v>-2.999</v>
      </c>
      <c r="W173" s="20" t="n">
        <v>-43.391</v>
      </c>
      <c r="X173" s="20" t="n">
        <v>-12886.505</v>
      </c>
    </row>
    <row r="174">
      <c r="A174" s="18" t="inlineStr">
        <is>
          <t>유형자산 제각손실</t>
        </is>
      </c>
      <c r="E174" s="20" t="n">
        <v>138.471</v>
      </c>
      <c r="I174" s="20" t="n">
        <v>196.974</v>
      </c>
      <c r="M174" s="20" t="n">
        <v>203.028</v>
      </c>
      <c r="O174" s="20" t="n">
        <v>47.694</v>
      </c>
      <c r="P174" s="20" t="n">
        <v>37.107</v>
      </c>
      <c r="Q174" s="20" t="n">
        <v>38.841</v>
      </c>
      <c r="R174" s="20" t="n">
        <v>16.613</v>
      </c>
      <c r="S174" s="20" t="n">
        <v>59.745</v>
      </c>
      <c r="T174" s="20" t="n">
        <v>42.608</v>
      </c>
      <c r="U174" s="20" t="n">
        <v>64.893</v>
      </c>
      <c r="V174" s="20" t="n">
        <v>138.471</v>
      </c>
      <c r="W174" s="20" t="n">
        <v>196.974</v>
      </c>
      <c r="X174" s="20" t="n">
        <v>203.028</v>
      </c>
    </row>
    <row r="175">
      <c r="A175" s="18" t="inlineStr">
        <is>
          <t>관계회사 청산손익</t>
        </is>
      </c>
      <c r="I175" s="20" t="n">
        <v>-69.806</v>
      </c>
      <c r="M175" s="20" t="n">
        <v>0</v>
      </c>
      <c r="W175" s="20" t="n">
        <v>-69.806</v>
      </c>
      <c r="X175" s="20" t="n">
        <v>0</v>
      </c>
    </row>
    <row r="176">
      <c r="A176" s="18" t="inlineStr">
        <is>
          <t>매출채권 증감</t>
        </is>
      </c>
      <c r="C176" s="20" t="n">
        <v>157.778</v>
      </c>
      <c r="E176" s="20" t="n">
        <v>1039.212</v>
      </c>
      <c r="G176" s="20" t="n">
        <v>-537.95</v>
      </c>
      <c r="I176" s="20" t="n">
        <v>-1047.945</v>
      </c>
      <c r="K176" s="20" t="n">
        <v>1095.752</v>
      </c>
      <c r="M176" s="20" t="n">
        <v>1659.885</v>
      </c>
      <c r="O176" s="20" t="n">
        <v>48.907</v>
      </c>
      <c r="P176" s="20" t="n">
        <v>-463.771</v>
      </c>
      <c r="Q176" s="20" t="n">
        <v>41.506</v>
      </c>
      <c r="R176" s="20" t="n">
        <v>1164.961</v>
      </c>
      <c r="S176" s="20" t="n">
        <v>-1160.885</v>
      </c>
      <c r="T176" s="20" t="n">
        <v>-136.179</v>
      </c>
      <c r="U176" s="20" t="n">
        <v>-1730.757</v>
      </c>
      <c r="V176" s="20" t="n">
        <v>1039.212</v>
      </c>
      <c r="W176" s="20" t="n">
        <v>-1047.945</v>
      </c>
      <c r="X176" s="20" t="n">
        <v>1659.885</v>
      </c>
    </row>
    <row r="177">
      <c r="A177" s="18" t="inlineStr">
        <is>
          <t>재고자산 증감</t>
        </is>
      </c>
      <c r="C177" s="20" t="n">
        <v>325.667</v>
      </c>
      <c r="E177" s="20" t="n">
        <v>34.924</v>
      </c>
      <c r="G177" s="20" t="n">
        <v>898.837</v>
      </c>
      <c r="I177" s="20" t="n">
        <v>969.633</v>
      </c>
      <c r="K177" s="20" t="n">
        <v>75.163</v>
      </c>
      <c r="M177" s="20" t="n">
        <v>9.754</v>
      </c>
      <c r="O177" s="20" t="n">
        <v>860.124</v>
      </c>
      <c r="P177" s="20" t="n">
        <v>562.582</v>
      </c>
      <c r="Q177" s="20" t="n">
        <v>-731.989</v>
      </c>
      <c r="R177" s="20" t="n">
        <v>-724.193</v>
      </c>
      <c r="S177" s="20" t="n">
        <v>-502.318</v>
      </c>
      <c r="T177" s="20" t="n">
        <v>-3170.232</v>
      </c>
      <c r="U177" s="20" t="n">
        <v>-462.968</v>
      </c>
      <c r="V177" s="20" t="n">
        <v>34.924</v>
      </c>
      <c r="W177" s="20" t="n">
        <v>969.633</v>
      </c>
      <c r="X177" s="20" t="n">
        <v>9.754</v>
      </c>
    </row>
    <row r="178">
      <c r="A178" s="18" t="inlineStr">
        <is>
          <t>매입채무 증감</t>
        </is>
      </c>
      <c r="C178" s="20" t="n">
        <v>539.207</v>
      </c>
      <c r="E178" s="20" t="n">
        <v>-995.717</v>
      </c>
      <c r="G178" s="20" t="n">
        <v>884.199</v>
      </c>
      <c r="I178" s="20" t="n">
        <v>1136.889</v>
      </c>
      <c r="K178" s="20" t="n">
        <v>-5.432</v>
      </c>
      <c r="M178" s="20" t="n">
        <v>-1782.159</v>
      </c>
      <c r="O178" s="20" t="n">
        <v>-23.712</v>
      </c>
      <c r="P178" s="20" t="n">
        <v>-1017.64</v>
      </c>
      <c r="Q178" s="20" t="n">
        <v>-87.825</v>
      </c>
      <c r="R178" s="20" t="n">
        <v>-301.365</v>
      </c>
      <c r="S178" s="20" t="n">
        <v>141.327</v>
      </c>
      <c r="T178" s="20" t="n">
        <v>566.775</v>
      </c>
      <c r="U178" s="20" t="n">
        <v>1777.522</v>
      </c>
      <c r="V178" s="20" t="n">
        <v>-995.717</v>
      </c>
      <c r="W178" s="20" t="n">
        <v>1136.889</v>
      </c>
      <c r="X178" s="20" t="n">
        <v>-1782.159</v>
      </c>
    </row>
    <row r="179">
      <c r="A179" s="18" t="inlineStr">
        <is>
          <t>미수금 증감</t>
        </is>
      </c>
      <c r="E179" s="20" t="n">
        <v>571.085</v>
      </c>
      <c r="G179" s="20" t="n">
        <v>82.488</v>
      </c>
      <c r="I179" s="20" t="n">
        <v>281.851</v>
      </c>
      <c r="K179" s="20" t="n">
        <v>-300.188</v>
      </c>
      <c r="M179" s="20" t="n">
        <v>-373.018</v>
      </c>
      <c r="T179" s="20" t="n">
        <v>-161.816</v>
      </c>
      <c r="U179" s="20" t="n">
        <v>-548.967</v>
      </c>
      <c r="V179" s="20" t="n">
        <v>571.085</v>
      </c>
      <c r="W179" s="20" t="n">
        <v>281.851</v>
      </c>
      <c r="X179" s="20" t="n">
        <v>-373.018</v>
      </c>
    </row>
    <row r="180">
      <c r="A180" s="18" t="inlineStr">
        <is>
          <t>미지급금 증감</t>
        </is>
      </c>
      <c r="C180" s="20" t="n">
        <v>-163.44</v>
      </c>
      <c r="E180" s="20" t="n">
        <v>113.75</v>
      </c>
      <c r="G180" s="20" t="n">
        <v>-208.805</v>
      </c>
      <c r="I180" s="20" t="n">
        <v>-87.158</v>
      </c>
      <c r="K180" s="20" t="n">
        <v>-89.86</v>
      </c>
      <c r="M180" s="20" t="n">
        <v>1861.795</v>
      </c>
      <c r="O180" s="20" t="n">
        <v>-146.269</v>
      </c>
      <c r="P180" s="20" t="n">
        <v>-376.716</v>
      </c>
      <c r="Q180" s="20" t="n">
        <v>-38.35</v>
      </c>
      <c r="R180" s="20" t="n">
        <v>114.685</v>
      </c>
      <c r="S180" s="20" t="n">
        <v>-14.391</v>
      </c>
      <c r="T180" s="20" t="n">
        <v>-92.96899999999999</v>
      </c>
      <c r="U180" s="20" t="n">
        <v>10.264</v>
      </c>
      <c r="V180" s="20" t="n">
        <v>113.75</v>
      </c>
      <c r="W180" s="20" t="n">
        <v>-87.158</v>
      </c>
      <c r="X180" s="20" t="n">
        <v>1861.795</v>
      </c>
    </row>
    <row r="181">
      <c r="A181" s="18" t="inlineStr">
        <is>
          <t>미지급비용 증감</t>
        </is>
      </c>
      <c r="C181" s="20" t="n">
        <v>89.252</v>
      </c>
      <c r="E181" s="20" t="n">
        <v>119.056</v>
      </c>
      <c r="G181" s="20" t="n">
        <v>-51.586</v>
      </c>
      <c r="I181" s="20" t="n">
        <v>189.47</v>
      </c>
      <c r="K181" s="20" t="n">
        <v>122.809</v>
      </c>
      <c r="M181" s="20" t="n">
        <v>403.022</v>
      </c>
      <c r="S181" s="20" t="n">
        <v>57.202</v>
      </c>
      <c r="T181" s="20" t="n">
        <v>-312.644</v>
      </c>
      <c r="U181" s="20" t="n">
        <v>178.141</v>
      </c>
      <c r="V181" s="20" t="n">
        <v>119.056</v>
      </c>
      <c r="W181" s="20" t="n">
        <v>189.47</v>
      </c>
      <c r="X181" s="20" t="n">
        <v>403.022</v>
      </c>
    </row>
    <row r="182">
      <c r="A182" s="18" t="inlineStr">
        <is>
          <t>미지급 소비세 증감</t>
        </is>
      </c>
      <c r="C182" s="20" t="n">
        <v>-71.87</v>
      </c>
      <c r="E182" s="20" t="n">
        <v>-36.402</v>
      </c>
      <c r="G182" s="20" t="n">
        <v>295.635</v>
      </c>
      <c r="I182" s="20" t="n">
        <v>316.185</v>
      </c>
      <c r="K182" s="20" t="n">
        <v>-39.342</v>
      </c>
      <c r="M182" s="20" t="n">
        <v>-64.511</v>
      </c>
      <c r="S182" s="20" t="n">
        <v>100.804</v>
      </c>
      <c r="T182" s="20" t="n">
        <v>-395.484</v>
      </c>
      <c r="U182" s="20" t="n">
        <v>65.761</v>
      </c>
      <c r="V182" s="20" t="n">
        <v>-36.402</v>
      </c>
      <c r="W182" s="20" t="n">
        <v>316.185</v>
      </c>
      <c r="X182" s="20" t="n">
        <v>-64.511</v>
      </c>
    </row>
    <row r="183">
      <c r="A183" s="18" t="inlineStr">
        <is>
          <t>기타 유동자산 증감</t>
        </is>
      </c>
      <c r="C183" s="20" t="n">
        <v>689.9349999999999</v>
      </c>
      <c r="E183" s="20" t="n">
        <v>187.158</v>
      </c>
      <c r="G183" s="20" t="n">
        <v>529.1079999999999</v>
      </c>
      <c r="I183" s="20" t="n">
        <v>307.109</v>
      </c>
      <c r="K183" s="20" t="n">
        <v>291.062</v>
      </c>
      <c r="M183" s="20" t="n">
        <v>325.114</v>
      </c>
      <c r="T183" s="20" t="n">
        <v>-374.295</v>
      </c>
      <c r="U183" s="20" t="n">
        <v>-293.003</v>
      </c>
      <c r="V183" s="20" t="n">
        <v>187.158</v>
      </c>
      <c r="W183" s="20" t="n">
        <v>307.109</v>
      </c>
      <c r="X183" s="20" t="n">
        <v>325.114</v>
      </c>
    </row>
    <row r="184">
      <c r="A184" s="18" t="inlineStr">
        <is>
          <t>기타 유동부채 증감</t>
        </is>
      </c>
      <c r="G184" s="20" t="n">
        <v>-58.956</v>
      </c>
      <c r="K184" s="20" t="n">
        <v>-81.104</v>
      </c>
    </row>
    <row r="185">
      <c r="A185" s="18" t="inlineStr">
        <is>
          <t>기타</t>
        </is>
      </c>
      <c r="C185" s="20" t="n">
        <v>551.645</v>
      </c>
      <c r="E185" s="20" t="n">
        <v>-60.56</v>
      </c>
      <c r="G185" s="20" t="n">
        <v>-28.703</v>
      </c>
      <c r="I185" s="20" t="n">
        <v>-11.355</v>
      </c>
      <c r="K185" s="20" t="n">
        <v>20.139</v>
      </c>
      <c r="M185" s="20" t="n">
        <v>-98.831</v>
      </c>
      <c r="O185" s="20" t="n">
        <v>398.232</v>
      </c>
      <c r="P185" s="20" t="n">
        <v>-101.365</v>
      </c>
      <c r="Q185" s="20" t="n">
        <v>-330.961</v>
      </c>
      <c r="R185" s="20" t="n">
        <v>-382.496</v>
      </c>
      <c r="S185" s="20" t="n">
        <v>278.837</v>
      </c>
      <c r="T185" s="20" t="n">
        <v>-212.75</v>
      </c>
      <c r="U185" s="20" t="n">
        <v>-339.977</v>
      </c>
      <c r="V185" s="20" t="n">
        <v>-60.56</v>
      </c>
      <c r="W185" s="20" t="n">
        <v>-11.355</v>
      </c>
      <c r="X185" s="20" t="n">
        <v>-98.831</v>
      </c>
    </row>
    <row r="186">
      <c r="A186" s="18" t="inlineStr">
        <is>
          <t>소계</t>
        </is>
      </c>
      <c r="C186" s="20" t="n">
        <v>4517.652</v>
      </c>
      <c r="E186" s="20" t="n">
        <v>5614.443</v>
      </c>
      <c r="G186" s="20" t="n">
        <v>4420.455</v>
      </c>
      <c r="I186" s="20" t="n">
        <v>8890.034</v>
      </c>
      <c r="K186" s="20" t="n">
        <v>3831.773</v>
      </c>
      <c r="M186" s="20" t="n">
        <v>6500.297</v>
      </c>
      <c r="O186" s="20" t="n">
        <v>7295.049</v>
      </c>
      <c r="P186" s="20" t="n">
        <v>3562.561</v>
      </c>
      <c r="Q186" s="20" t="n">
        <v>3944.976</v>
      </c>
      <c r="R186" s="20" t="n">
        <v>5439.18</v>
      </c>
      <c r="S186" s="20" t="n">
        <v>2592.859</v>
      </c>
      <c r="T186" s="20" t="n">
        <v>189.423</v>
      </c>
      <c r="U186" s="20" t="n">
        <v>2234.73</v>
      </c>
      <c r="V186" s="20" t="n">
        <v>5614.443</v>
      </c>
      <c r="W186" s="20" t="n">
        <v>8890.034</v>
      </c>
      <c r="X186" s="20" t="n">
        <v>6500.297</v>
      </c>
    </row>
    <row r="187">
      <c r="A187" s="18" t="inlineStr">
        <is>
          <t>이자·배당금 수취</t>
        </is>
      </c>
      <c r="C187" s="20" t="n">
        <v>448.351</v>
      </c>
      <c r="E187" s="20" t="n">
        <v>863.4880000000001</v>
      </c>
      <c r="G187" s="20" t="n">
        <v>621.191</v>
      </c>
      <c r="I187" s="20" t="n">
        <v>1174.387</v>
      </c>
      <c r="K187" s="20" t="n">
        <v>716.684</v>
      </c>
      <c r="M187" s="20" t="n">
        <v>1415.228</v>
      </c>
      <c r="O187" s="20" t="n">
        <v>519.09</v>
      </c>
      <c r="P187" s="20" t="n">
        <v>537.6319999999999</v>
      </c>
      <c r="Q187" s="20" t="n">
        <v>584.876</v>
      </c>
      <c r="R187" s="20" t="n">
        <v>596.687</v>
      </c>
      <c r="S187" s="20" t="n">
        <v>605.221</v>
      </c>
      <c r="T187" s="20" t="n">
        <v>650.899</v>
      </c>
      <c r="U187" s="20" t="n">
        <v>661.164</v>
      </c>
      <c r="V187" s="20" t="n">
        <v>863.4880000000001</v>
      </c>
      <c r="W187" s="20" t="n">
        <v>1174.387</v>
      </c>
      <c r="X187" s="20" t="n">
        <v>1415.228</v>
      </c>
    </row>
    <row r="188">
      <c r="A188" s="18" t="inlineStr">
        <is>
          <t>이자 지급</t>
        </is>
      </c>
      <c r="C188" s="20" t="n">
        <v>-30.047</v>
      </c>
      <c r="E188" s="20" t="n">
        <v>-64.943</v>
      </c>
      <c r="G188" s="20" t="n">
        <v>-62.729</v>
      </c>
      <c r="I188" s="20" t="n">
        <v>-124.705</v>
      </c>
      <c r="K188" s="20" t="n">
        <v>-77.223</v>
      </c>
      <c r="M188" s="20" t="n">
        <v>-144.536</v>
      </c>
      <c r="O188" s="20" t="n">
        <v>-166.661</v>
      </c>
      <c r="P188" s="20" t="n">
        <v>-142.588</v>
      </c>
      <c r="Q188" s="20" t="n">
        <v>-93.589</v>
      </c>
      <c r="R188" s="20" t="n">
        <v>-48.083</v>
      </c>
      <c r="S188" s="20" t="n">
        <v>-49.444</v>
      </c>
      <c r="T188" s="20" t="n">
        <v>-31.598</v>
      </c>
      <c r="U188" s="20" t="n">
        <v>-58.881</v>
      </c>
      <c r="V188" s="20" t="n">
        <v>-64.943</v>
      </c>
      <c r="W188" s="20" t="n">
        <v>-124.705</v>
      </c>
      <c r="X188" s="20" t="n">
        <v>-144.536</v>
      </c>
    </row>
    <row r="189">
      <c r="A189" s="18" t="inlineStr">
        <is>
          <t>보조금 수취</t>
        </is>
      </c>
      <c r="C189" s="20" t="n">
        <v>9.055</v>
      </c>
      <c r="E189" s="20" t="n">
        <v>29.867</v>
      </c>
      <c r="G189" s="20" t="n">
        <v>8.074</v>
      </c>
      <c r="I189" s="20" t="n">
        <v>25.812</v>
      </c>
      <c r="K189" s="20" t="n">
        <v>10.795</v>
      </c>
      <c r="M189" s="20" t="n">
        <v>30.683</v>
      </c>
      <c r="O189" s="20" t="n">
        <v>5.484</v>
      </c>
      <c r="P189" s="20" t="n">
        <v>13.342</v>
      </c>
      <c r="Q189" s="20" t="n">
        <v>62.825</v>
      </c>
      <c r="R189" s="20" t="n">
        <v>44.016</v>
      </c>
      <c r="S189" s="20" t="n">
        <v>376.666</v>
      </c>
      <c r="T189" s="20" t="n">
        <v>198.455</v>
      </c>
      <c r="U189" s="20" t="n">
        <v>131.088</v>
      </c>
      <c r="V189" s="20" t="n">
        <v>29.867</v>
      </c>
      <c r="W189" s="20" t="n">
        <v>25.812</v>
      </c>
      <c r="X189" s="20" t="n">
        <v>30.683</v>
      </c>
    </row>
    <row r="190">
      <c r="A190" s="18" t="inlineStr">
        <is>
          <t>법인세 납부</t>
        </is>
      </c>
      <c r="C190" s="20" t="n">
        <v>-683.164</v>
      </c>
      <c r="E190" s="20" t="n">
        <v>-705.295</v>
      </c>
      <c r="G190" s="20" t="n">
        <v>-515.542</v>
      </c>
      <c r="I190" s="20" t="n">
        <v>-748.708</v>
      </c>
      <c r="K190" s="20" t="n">
        <v>-624.068</v>
      </c>
      <c r="M190" s="20" t="n">
        <v>-1113.586</v>
      </c>
      <c r="O190" s="20" t="n">
        <v>-433.495</v>
      </c>
      <c r="P190" s="20" t="n">
        <v>-692.03</v>
      </c>
      <c r="Q190" s="20" t="n">
        <v>-631.973</v>
      </c>
      <c r="R190" s="20" t="n">
        <v>-682.526</v>
      </c>
      <c r="S190" s="20" t="n">
        <v>-909.0890000000001</v>
      </c>
      <c r="T190" s="20" t="n">
        <v>-798.875</v>
      </c>
      <c r="U190" s="20" t="n">
        <v>-625.063</v>
      </c>
      <c r="V190" s="20" t="n">
        <v>-705.295</v>
      </c>
      <c r="W190" s="20" t="n">
        <v>-748.708</v>
      </c>
      <c r="X190" s="20" t="n">
        <v>-1113.586</v>
      </c>
    </row>
    <row r="191">
      <c r="A191" s="18" t="inlineStr">
        <is>
          <t>보험금 수취</t>
        </is>
      </c>
      <c r="G191" s="20" t="n">
        <v>0</v>
      </c>
      <c r="I191" s="20" t="n">
        <v>304.266</v>
      </c>
      <c r="K191" s="20" t="n">
        <v>83.59399999999999</v>
      </c>
      <c r="M191" s="20" t="n">
        <v>198.383</v>
      </c>
      <c r="W191" s="20" t="n">
        <v>304.266</v>
      </c>
      <c r="X191" s="20" t="n">
        <v>198.383</v>
      </c>
    </row>
    <row r="192">
      <c r="A192" s="9" t="inlineStr">
        <is>
          <t>영업활동 현금흐름</t>
        </is>
      </c>
      <c r="C192" s="12" t="n">
        <v>4261.847</v>
      </c>
      <c r="E192" s="12" t="n">
        <v>5737.559</v>
      </c>
      <c r="G192" s="12" t="n">
        <v>4471.449</v>
      </c>
      <c r="I192" s="12" t="n">
        <v>9521.088</v>
      </c>
      <c r="K192" s="12" t="n">
        <v>3941.556</v>
      </c>
      <c r="M192" s="12" t="n">
        <v>6886.469</v>
      </c>
      <c r="O192" s="12" t="n">
        <v>7219.467</v>
      </c>
      <c r="P192" s="12" t="n">
        <v>3278.917</v>
      </c>
      <c r="Q192" s="12" t="n">
        <v>3867.115</v>
      </c>
      <c r="R192" s="12" t="n">
        <v>5349.274</v>
      </c>
      <c r="S192" s="12" t="n">
        <v>2616.212</v>
      </c>
      <c r="T192" s="12" t="n">
        <v>208.304</v>
      </c>
      <c r="U192" s="12" t="n">
        <v>2343.04</v>
      </c>
      <c r="V192" s="12" t="n">
        <v>5737.559</v>
      </c>
      <c r="W192" s="12" t="n">
        <v>9521.088</v>
      </c>
      <c r="X192" s="12" t="n">
        <v>6886.469</v>
      </c>
    </row>
    <row r="193">
      <c r="A193" s="18" t="inlineStr">
        <is>
          <t>정기예금 예입</t>
        </is>
      </c>
      <c r="C193" s="20" t="n">
        <v>-10</v>
      </c>
      <c r="E193" s="20" t="n">
        <v>-20</v>
      </c>
      <c r="G193" s="20" t="n">
        <v>-106.85</v>
      </c>
      <c r="I193" s="20" t="n">
        <v>-95.715</v>
      </c>
      <c r="K193" s="20" t="n">
        <v>-122.28</v>
      </c>
      <c r="M193" s="20" t="n">
        <v>-478.016</v>
      </c>
      <c r="O193" s="20" t="n">
        <v>-102</v>
      </c>
      <c r="P193" s="20" t="n">
        <v>-94.40000000000001</v>
      </c>
      <c r="Q193" s="20" t="n">
        <v>-200.165</v>
      </c>
      <c r="R193" s="20" t="n">
        <v>-10</v>
      </c>
      <c r="S193" s="20" t="n">
        <v>-70</v>
      </c>
      <c r="T193" s="20" t="n">
        <v>-70</v>
      </c>
      <c r="U193" s="20" t="n">
        <v>-30</v>
      </c>
      <c r="V193" s="20" t="n">
        <v>-20</v>
      </c>
      <c r="W193" s="20" t="n">
        <v>-95.715</v>
      </c>
      <c r="X193" s="20" t="n">
        <v>-478.016</v>
      </c>
    </row>
    <row r="194">
      <c r="A194" s="18" t="inlineStr">
        <is>
          <t>정기예금 인출</t>
        </is>
      </c>
      <c r="C194" s="20" t="n">
        <v>10</v>
      </c>
      <c r="E194" s="20" t="n">
        <v>20</v>
      </c>
      <c r="G194" s="20" t="n">
        <v>20</v>
      </c>
      <c r="I194" s="20" t="n">
        <v>20</v>
      </c>
      <c r="K194" s="20" t="n">
        <v>91.70999999999999</v>
      </c>
      <c r="M194" s="20" t="n">
        <v>96.03</v>
      </c>
      <c r="O194" s="20" t="n">
        <v>266.3</v>
      </c>
      <c r="P194" s="20" t="n">
        <v>84.40000000000001</v>
      </c>
      <c r="Q194" s="20" t="n">
        <v>177.765</v>
      </c>
      <c r="R194" s="20" t="n">
        <v>143.28</v>
      </c>
      <c r="S194" s="20" t="n">
        <v>70</v>
      </c>
      <c r="T194" s="20" t="n">
        <v>70</v>
      </c>
      <c r="U194" s="20" t="n">
        <v>80</v>
      </c>
      <c r="V194" s="20" t="n">
        <v>20</v>
      </c>
      <c r="W194" s="20" t="n">
        <v>20</v>
      </c>
      <c r="X194" s="20" t="n">
        <v>96.03</v>
      </c>
    </row>
    <row r="195">
      <c r="A195" s="18" t="inlineStr">
        <is>
          <t>유형자산 취득(설비투자)</t>
        </is>
      </c>
      <c r="C195" s="20" t="n">
        <v>-3100.899</v>
      </c>
      <c r="E195" s="20" t="n">
        <v>-6701.579</v>
      </c>
      <c r="G195" s="20" t="n">
        <v>-4203.276</v>
      </c>
      <c r="I195" s="20" t="n">
        <v>-8082.954</v>
      </c>
      <c r="K195" s="20" t="n">
        <v>-4667.94</v>
      </c>
      <c r="M195" s="20" t="n">
        <v>-8010.513</v>
      </c>
      <c r="O195" s="20" t="n">
        <v>-2956.737</v>
      </c>
      <c r="P195" s="20" t="n">
        <v>-2909.025</v>
      </c>
      <c r="Q195" s="20" t="n">
        <v>-3957.643</v>
      </c>
      <c r="R195" s="20" t="n">
        <v>-3546.671</v>
      </c>
      <c r="S195" s="20" t="n">
        <v>-3269.093</v>
      </c>
      <c r="T195" s="20" t="n">
        <v>-3620.306</v>
      </c>
      <c r="U195" s="20" t="n">
        <v>-3709.896</v>
      </c>
      <c r="V195" s="20" t="n">
        <v>-6701.579</v>
      </c>
      <c r="W195" s="20" t="n">
        <v>-8082.954</v>
      </c>
      <c r="X195" s="20" t="n">
        <v>-8010.513</v>
      </c>
    </row>
    <row r="196">
      <c r="A196" s="18" t="inlineStr">
        <is>
          <t>유형자산 매각</t>
        </is>
      </c>
      <c r="C196" s="20" t="n">
        <v>5.068</v>
      </c>
      <c r="E196" s="20" t="n">
        <v>84.152</v>
      </c>
      <c r="G196" s="20" t="n">
        <v>111.704</v>
      </c>
      <c r="I196" s="20" t="n">
        <v>226.25</v>
      </c>
      <c r="K196" s="20" t="n">
        <v>7.686</v>
      </c>
      <c r="M196" s="20" t="n">
        <v>22.202</v>
      </c>
      <c r="O196" s="20" t="n">
        <v>41.768</v>
      </c>
      <c r="P196" s="20" t="n">
        <v>6.062</v>
      </c>
      <c r="Q196" s="20" t="n">
        <v>208.074</v>
      </c>
      <c r="R196" s="20" t="n">
        <v>7.323</v>
      </c>
      <c r="S196" s="20" t="n">
        <v>71.70699999999999</v>
      </c>
      <c r="T196" s="20" t="n">
        <v>24.763</v>
      </c>
      <c r="U196" s="20" t="n">
        <v>54.234</v>
      </c>
      <c r="V196" s="20" t="n">
        <v>84.152</v>
      </c>
      <c r="W196" s="20" t="n">
        <v>226.25</v>
      </c>
      <c r="X196" s="20" t="n">
        <v>22.202</v>
      </c>
    </row>
    <row r="197">
      <c r="A197" s="18" t="inlineStr">
        <is>
          <t>투자유가증권 매각</t>
        </is>
      </c>
      <c r="I197" s="20" t="n">
        <v>48.973</v>
      </c>
      <c r="M197" s="20" t="n">
        <v>13407.944</v>
      </c>
      <c r="R197" s="20" t="n">
        <v>0</v>
      </c>
      <c r="S197" s="20" t="n">
        <v>999.085</v>
      </c>
      <c r="T197" s="20" t="n">
        <v>3</v>
      </c>
      <c r="W197" s="20" t="n">
        <v>48.973</v>
      </c>
      <c r="X197" s="20" t="n">
        <v>13407.944</v>
      </c>
    </row>
    <row r="198">
      <c r="A198" s="18" t="inlineStr">
        <is>
          <t>무형자산 취득</t>
        </is>
      </c>
      <c r="C198" s="20" t="n">
        <v>-21.75</v>
      </c>
      <c r="E198" s="20" t="n">
        <v>-114.94</v>
      </c>
      <c r="G198" s="20" t="n">
        <v>-11.495</v>
      </c>
      <c r="I198" s="20" t="n">
        <v>-120.264</v>
      </c>
      <c r="K198" s="20" t="n">
        <v>-58.864</v>
      </c>
      <c r="M198" s="20" t="n">
        <v>-143.964</v>
      </c>
      <c r="O198" s="20" t="n">
        <v>-67.137</v>
      </c>
      <c r="P198" s="20" t="n">
        <v>-179.265</v>
      </c>
      <c r="Q198" s="20" t="n">
        <v>-87.95099999999999</v>
      </c>
      <c r="R198" s="20" t="n">
        <v>-56.781</v>
      </c>
      <c r="S198" s="20" t="n">
        <v>-61.153</v>
      </c>
      <c r="T198" s="20" t="n">
        <v>-43.427</v>
      </c>
      <c r="U198" s="20" t="n">
        <v>-34.029</v>
      </c>
      <c r="V198" s="20" t="n">
        <v>-114.94</v>
      </c>
      <c r="W198" s="20" t="n">
        <v>-120.264</v>
      </c>
      <c r="X198" s="20" t="n">
        <v>-143.964</v>
      </c>
    </row>
    <row r="199">
      <c r="A199" s="18" t="inlineStr">
        <is>
          <t>Collection Of Long Term Prepaid Expenses Inv CF</t>
        </is>
      </c>
      <c r="E199" s="20" t="n">
        <v>62.787</v>
      </c>
      <c r="G199" s="20" t="n">
        <v>110.489</v>
      </c>
      <c r="I199" s="20" t="n">
        <v>159.094</v>
      </c>
      <c r="K199" s="20" t="n">
        <v>26.113</v>
      </c>
      <c r="M199" s="20" t="n">
        <v>25.423</v>
      </c>
      <c r="V199" s="20" t="n">
        <v>62.787</v>
      </c>
      <c r="W199" s="20" t="n">
        <v>159.094</v>
      </c>
      <c r="X199" s="20" t="n">
        <v>25.423</v>
      </c>
    </row>
    <row r="200">
      <c r="A200" s="18" t="inlineStr">
        <is>
          <t>투자유가증권 취득</t>
        </is>
      </c>
      <c r="C200" s="20" t="n">
        <v>0</v>
      </c>
      <c r="E200" s="20" t="n">
        <v>0</v>
      </c>
      <c r="G200" s="20" t="n">
        <v>-19.1</v>
      </c>
      <c r="I200" s="20" t="n">
        <v>-84.944</v>
      </c>
      <c r="K200" s="20" t="n">
        <v>0</v>
      </c>
      <c r="M200" s="20" t="n">
        <v>-36.784</v>
      </c>
      <c r="P200" s="20" t="n">
        <v>-3.299</v>
      </c>
      <c r="Q200" s="20" t="n">
        <v>-645.264</v>
      </c>
      <c r="R200" s="20" t="n">
        <v>-803.508</v>
      </c>
      <c r="S200" s="20" t="n">
        <v>-1.793</v>
      </c>
      <c r="T200" s="20" t="n">
        <v>0</v>
      </c>
      <c r="V200" s="20" t="n">
        <v>0</v>
      </c>
      <c r="W200" s="20" t="n">
        <v>-84.944</v>
      </c>
      <c r="X200" s="20" t="n">
        <v>-36.784</v>
      </c>
    </row>
    <row r="201">
      <c r="A201" s="18" t="inlineStr">
        <is>
          <t>대여</t>
        </is>
      </c>
      <c r="C201" s="20" t="n">
        <v>-12.57</v>
      </c>
      <c r="E201" s="20" t="n">
        <v>-20.37</v>
      </c>
      <c r="G201" s="20" t="n">
        <v>-10.2</v>
      </c>
      <c r="I201" s="20" t="n">
        <v>-141.57</v>
      </c>
      <c r="K201" s="20" t="n">
        <v>-2</v>
      </c>
      <c r="M201" s="20" t="n">
        <v>-2</v>
      </c>
      <c r="O201" s="20" t="n">
        <v>-37.035</v>
      </c>
      <c r="P201" s="20" t="n">
        <v>-35.97</v>
      </c>
      <c r="Q201" s="20" t="n">
        <v>-19.1</v>
      </c>
      <c r="R201" s="20" t="n">
        <v>-29.016</v>
      </c>
      <c r="S201" s="20" t="n">
        <v>-14.03</v>
      </c>
      <c r="T201" s="20" t="n">
        <v>-18.9</v>
      </c>
      <c r="U201" s="20" t="n">
        <v>-14.3</v>
      </c>
      <c r="V201" s="20" t="n">
        <v>-20.37</v>
      </c>
      <c r="W201" s="20" t="n">
        <v>-141.57</v>
      </c>
      <c r="X201" s="20" t="n">
        <v>-2</v>
      </c>
    </row>
    <row r="202">
      <c r="A202" s="18" t="inlineStr">
        <is>
          <t>대여금 회수</t>
        </is>
      </c>
      <c r="C202" s="20" t="n">
        <v>7.471</v>
      </c>
      <c r="E202" s="20" t="n">
        <v>15.58</v>
      </c>
      <c r="G202" s="20" t="n">
        <v>8.606</v>
      </c>
      <c r="I202" s="20" t="n">
        <v>17.762</v>
      </c>
      <c r="K202" s="20" t="n">
        <v>10.786</v>
      </c>
      <c r="M202" s="20" t="n">
        <v>8.135999999999999</v>
      </c>
      <c r="O202" s="20" t="n">
        <v>35.862</v>
      </c>
      <c r="P202" s="20" t="n">
        <v>38.736</v>
      </c>
      <c r="Q202" s="20" t="n">
        <v>30.003</v>
      </c>
      <c r="R202" s="20" t="n">
        <v>31.749</v>
      </c>
      <c r="S202" s="20" t="n">
        <v>29.514</v>
      </c>
      <c r="T202" s="20" t="n">
        <v>22.525</v>
      </c>
      <c r="U202" s="20" t="n">
        <v>18.31</v>
      </c>
      <c r="V202" s="20" t="n">
        <v>15.58</v>
      </c>
      <c r="W202" s="20" t="n">
        <v>17.762</v>
      </c>
      <c r="X202" s="20" t="n">
        <v>8.135999999999999</v>
      </c>
    </row>
    <row r="203">
      <c r="A203" s="18" t="inlineStr">
        <is>
          <t>기타</t>
        </is>
      </c>
      <c r="C203" s="20" t="n">
        <v>-2.152</v>
      </c>
      <c r="E203" s="20" t="n">
        <v>-7.001</v>
      </c>
      <c r="G203" s="20" t="n">
        <v>-4.166</v>
      </c>
      <c r="I203" s="20" t="n">
        <v>-13.81</v>
      </c>
      <c r="K203" s="20" t="n">
        <v>-9.484999999999999</v>
      </c>
      <c r="M203" s="20" t="n">
        <v>22.671</v>
      </c>
      <c r="O203" s="20" t="n">
        <v>45.895</v>
      </c>
      <c r="P203" s="20" t="n">
        <v>0.758</v>
      </c>
      <c r="Q203" s="20" t="n">
        <v>-18.589</v>
      </c>
      <c r="R203" s="20" t="n">
        <v>-11.559</v>
      </c>
      <c r="S203" s="20" t="n">
        <v>-11.317</v>
      </c>
      <c r="T203" s="20" t="n">
        <v>-167.592</v>
      </c>
      <c r="U203" s="20" t="n">
        <v>15.197</v>
      </c>
      <c r="V203" s="20" t="n">
        <v>-7.001</v>
      </c>
      <c r="W203" s="20" t="n">
        <v>-13.81</v>
      </c>
      <c r="X203" s="20" t="n">
        <v>22.671</v>
      </c>
    </row>
    <row r="204">
      <c r="A204" s="9" t="inlineStr">
        <is>
          <t>투자활동 현금흐름</t>
        </is>
      </c>
      <c r="C204" s="12" t="n">
        <v>-3124.832</v>
      </c>
      <c r="E204" s="12" t="n">
        <v>-6681.372</v>
      </c>
      <c r="G204" s="12" t="n">
        <v>-4104.288</v>
      </c>
      <c r="I204" s="12" t="n">
        <v>-8067.175</v>
      </c>
      <c r="K204" s="12" t="n">
        <v>-4724.274</v>
      </c>
      <c r="M204" s="12" t="n">
        <v>4911.13</v>
      </c>
      <c r="O204" s="12" t="n">
        <v>-2773.084</v>
      </c>
      <c r="P204" s="12" t="n">
        <v>-3092.003</v>
      </c>
      <c r="Q204" s="12" t="n">
        <v>-4512.869</v>
      </c>
      <c r="R204" s="12" t="n">
        <v>-4275.184</v>
      </c>
      <c r="S204" s="12" t="n">
        <v>-2257.08</v>
      </c>
      <c r="T204" s="12" t="n">
        <v>-3802.937</v>
      </c>
      <c r="U204" s="12" t="n">
        <v>-3620.483</v>
      </c>
      <c r="V204" s="12" t="n">
        <v>-6681.372</v>
      </c>
      <c r="W204" s="12" t="n">
        <v>-8067.175</v>
      </c>
      <c r="X204" s="12" t="n">
        <v>4911.13</v>
      </c>
    </row>
    <row r="205">
      <c r="A205" s="18" t="inlineStr">
        <is>
          <t>단기차입금 순증감</t>
        </is>
      </c>
      <c r="E205" s="20" t="n">
        <v>-50</v>
      </c>
      <c r="I205" s="20" t="n">
        <v>0</v>
      </c>
      <c r="M205" s="20" t="n">
        <v>-368.5</v>
      </c>
      <c r="O205" s="20" t="n">
        <v>-180.206</v>
      </c>
      <c r="P205" s="20" t="n">
        <v>-452.868</v>
      </c>
      <c r="Q205" s="20" t="n">
        <v>-214.2</v>
      </c>
      <c r="R205" s="20" t="n">
        <v>-297.663</v>
      </c>
      <c r="S205" s="20" t="n">
        <v>498.93</v>
      </c>
      <c r="T205" s="20" t="n">
        <v>704.02</v>
      </c>
      <c r="U205" s="20" t="n">
        <v>-1321</v>
      </c>
      <c r="V205" s="20" t="n">
        <v>-50</v>
      </c>
      <c r="W205" s="20" t="n">
        <v>0</v>
      </c>
      <c r="X205" s="20" t="n">
        <v>-368.5</v>
      </c>
    </row>
    <row r="206">
      <c r="A206" s="18" t="inlineStr">
        <is>
          <t>장기차입</t>
        </is>
      </c>
      <c r="C206" s="20" t="n">
        <v>8000</v>
      </c>
      <c r="E206" s="20" t="n">
        <v>17000</v>
      </c>
      <c r="G206" s="20" t="n">
        <v>0</v>
      </c>
      <c r="I206" s="20" t="n">
        <v>114</v>
      </c>
      <c r="M206" s="20" t="n">
        <v>0</v>
      </c>
      <c r="O206" s="20" t="n">
        <v>94.995</v>
      </c>
      <c r="P206" s="20" t="n">
        <v>32.022</v>
      </c>
      <c r="Q206" s="20" t="n">
        <v>2500</v>
      </c>
      <c r="R206" s="20" t="n">
        <v>0</v>
      </c>
      <c r="S206" s="20" t="n">
        <v>2260</v>
      </c>
      <c r="T206" s="20" t="n">
        <v>210</v>
      </c>
      <c r="U206" s="20" t="n">
        <v>6000</v>
      </c>
      <c r="V206" s="20" t="n">
        <v>17000</v>
      </c>
      <c r="W206" s="20" t="n">
        <v>114</v>
      </c>
      <c r="X206" s="20" t="n">
        <v>0</v>
      </c>
    </row>
    <row r="207">
      <c r="A207" s="18" t="inlineStr">
        <is>
          <t>장기차입금 상환</t>
        </is>
      </c>
      <c r="C207" s="20" t="n">
        <v>-4623.463</v>
      </c>
      <c r="E207" s="20" t="n">
        <v>-4623.463</v>
      </c>
      <c r="G207" s="20" t="n">
        <v>0</v>
      </c>
      <c r="I207" s="20" t="n">
        <v>0</v>
      </c>
      <c r="K207" s="20" t="n">
        <v>-10.68</v>
      </c>
      <c r="M207" s="20" t="n">
        <v>-21.84</v>
      </c>
      <c r="O207" s="20" t="n">
        <v>-262.375</v>
      </c>
      <c r="P207" s="20" t="n">
        <v>-186.77</v>
      </c>
      <c r="Q207" s="20" t="n">
        <v>-4554.746</v>
      </c>
      <c r="R207" s="20" t="n">
        <v>-53.142</v>
      </c>
      <c r="S207" s="20" t="n">
        <v>-56.455</v>
      </c>
      <c r="T207" s="20" t="n">
        <v>-462.125</v>
      </c>
      <c r="U207" s="20" t="n">
        <v>-127.957</v>
      </c>
      <c r="V207" s="20" t="n">
        <v>-4623.463</v>
      </c>
      <c r="W207" s="20" t="n">
        <v>0</v>
      </c>
      <c r="X207" s="20" t="n">
        <v>-21.84</v>
      </c>
    </row>
    <row r="208">
      <c r="A208" s="18" t="inlineStr">
        <is>
          <t>세일앤리스백 수입</t>
        </is>
      </c>
      <c r="O208" s="20" t="n">
        <v>244.573</v>
      </c>
      <c r="P208" s="20" t="n">
        <v>117.165</v>
      </c>
      <c r="Q208" s="20" t="n">
        <v>0</v>
      </c>
    </row>
    <row r="209">
      <c r="A209" s="18" t="inlineStr">
        <is>
          <t>금융리스부채 상환</t>
        </is>
      </c>
      <c r="C209" s="20" t="n">
        <v>-59.175</v>
      </c>
      <c r="E209" s="20" t="n">
        <v>-133.158</v>
      </c>
      <c r="G209" s="20" t="n">
        <v>-67.82299999999999</v>
      </c>
      <c r="I209" s="20" t="n">
        <v>-128.3</v>
      </c>
      <c r="K209" s="20" t="n">
        <v>-89.44</v>
      </c>
      <c r="M209" s="20" t="n">
        <v>-176.904</v>
      </c>
      <c r="O209" s="20" t="n">
        <v>-367.521</v>
      </c>
      <c r="P209" s="20" t="n">
        <v>-428.273</v>
      </c>
      <c r="Q209" s="20" t="n">
        <v>-452.764</v>
      </c>
      <c r="R209" s="20" t="n">
        <v>-390.229</v>
      </c>
      <c r="S209" s="20" t="n">
        <v>-199.108</v>
      </c>
      <c r="T209" s="20" t="n">
        <v>-118.352</v>
      </c>
      <c r="U209" s="20" t="n">
        <v>-102.186</v>
      </c>
      <c r="V209" s="20" t="n">
        <v>-133.158</v>
      </c>
      <c r="W209" s="20" t="n">
        <v>-128.3</v>
      </c>
      <c r="X209" s="20" t="n">
        <v>-176.904</v>
      </c>
    </row>
    <row r="210">
      <c r="A210" s="18" t="inlineStr">
        <is>
          <t>비지배주주 납입</t>
        </is>
      </c>
      <c r="O210" s="20" t="n">
        <v>246.3</v>
      </c>
      <c r="P210" s="20" t="n">
        <v>0</v>
      </c>
    </row>
    <row r="211">
      <c r="A211" s="18" t="inlineStr">
        <is>
          <t>자기주식 취득</t>
        </is>
      </c>
      <c r="C211" s="20" t="n">
        <v>-0.183</v>
      </c>
      <c r="E211" s="20" t="n">
        <v>-0.736</v>
      </c>
      <c r="G211" s="20" t="n">
        <v>-0.678</v>
      </c>
      <c r="I211" s="20" t="n">
        <v>-0.891</v>
      </c>
      <c r="K211" s="20" t="n">
        <v>-1.796</v>
      </c>
      <c r="M211" s="20" t="n">
        <v>-3.818</v>
      </c>
      <c r="O211" s="20" t="n">
        <v>-4.27</v>
      </c>
      <c r="P211" s="20" t="n">
        <v>-10.774</v>
      </c>
      <c r="Q211" s="20" t="n">
        <v>-4.642</v>
      </c>
      <c r="R211" s="20" t="n">
        <v>-33.167</v>
      </c>
      <c r="S211" s="20" t="n">
        <v>-60.838</v>
      </c>
      <c r="T211" s="20" t="n">
        <v>-1.029</v>
      </c>
      <c r="U211" s="20" t="n">
        <v>-0.575</v>
      </c>
      <c r="V211" s="20" t="n">
        <v>-0.736</v>
      </c>
      <c r="W211" s="20" t="n">
        <v>-0.891</v>
      </c>
      <c r="X211" s="20" t="n">
        <v>-3.818</v>
      </c>
    </row>
    <row r="212">
      <c r="A212" s="18" t="inlineStr">
        <is>
          <t>자기주식 매각</t>
        </is>
      </c>
      <c r="O212" s="20" t="n">
        <v>0</v>
      </c>
      <c r="P212" s="20" t="n">
        <v>3.237</v>
      </c>
      <c r="Q212" s="20" t="n">
        <v>0</v>
      </c>
      <c r="R212" s="20" t="n">
        <v>0</v>
      </c>
      <c r="S212" s="20" t="n">
        <v>0.059</v>
      </c>
      <c r="T212" s="20" t="n">
        <v>0.089</v>
      </c>
      <c r="U212" s="20" t="n">
        <v>0</v>
      </c>
    </row>
    <row r="213">
      <c r="A213" s="18" t="inlineStr">
        <is>
          <t>배당금 지급</t>
        </is>
      </c>
      <c r="C213" s="20" t="n">
        <v>-51.43</v>
      </c>
      <c r="E213" s="20" t="n">
        <v>-253.525</v>
      </c>
      <c r="G213" s="20" t="n">
        <v>-302.203</v>
      </c>
      <c r="I213" s="20" t="n">
        <v>-655.366</v>
      </c>
      <c r="K213" s="20" t="n">
        <v>-655.192</v>
      </c>
      <c r="M213" s="20" t="n">
        <v>-1407.411</v>
      </c>
      <c r="O213" s="20" t="n">
        <v>-501.565</v>
      </c>
      <c r="P213" s="20" t="n">
        <v>-563.4589999999999</v>
      </c>
      <c r="Q213" s="20" t="n">
        <v>-687.8200000000001</v>
      </c>
      <c r="R213" s="20" t="n">
        <v>-626.7140000000001</v>
      </c>
      <c r="S213" s="20" t="n">
        <v>-624.657</v>
      </c>
      <c r="T213" s="20" t="n">
        <v>-710.768</v>
      </c>
      <c r="U213" s="20" t="n">
        <v>-797.208</v>
      </c>
      <c r="V213" s="20" t="n">
        <v>-253.525</v>
      </c>
      <c r="W213" s="20" t="n">
        <v>-655.366</v>
      </c>
      <c r="X213" s="20" t="n">
        <v>-1407.411</v>
      </c>
    </row>
    <row r="214">
      <c r="A214" s="18" t="inlineStr">
        <is>
          <t>비지배주주 배당금 지급</t>
        </is>
      </c>
      <c r="C214" s="20" t="n">
        <v>-119.995</v>
      </c>
      <c r="E214" s="20" t="n">
        <v>-223.495</v>
      </c>
      <c r="G214" s="20" t="n">
        <v>-118.443</v>
      </c>
      <c r="I214" s="20" t="n">
        <v>-230.45</v>
      </c>
      <c r="K214" s="20" t="n">
        <v>-59.571</v>
      </c>
      <c r="M214" s="20" t="n">
        <v>-168.258</v>
      </c>
      <c r="O214" s="20" t="n">
        <v>-42.147</v>
      </c>
      <c r="P214" s="20" t="n">
        <v>-118.872</v>
      </c>
      <c r="Q214" s="20" t="n">
        <v>-130.364</v>
      </c>
      <c r="R214" s="20" t="n">
        <v>-162.665</v>
      </c>
      <c r="S214" s="20" t="n">
        <v>-150.306</v>
      </c>
      <c r="T214" s="20" t="n">
        <v>-257.707</v>
      </c>
      <c r="U214" s="20" t="n">
        <v>-198.937</v>
      </c>
      <c r="V214" s="20" t="n">
        <v>-223.495</v>
      </c>
      <c r="W214" s="20" t="n">
        <v>-230.45</v>
      </c>
      <c r="X214" s="20" t="n">
        <v>-168.258</v>
      </c>
    </row>
    <row r="215">
      <c r="A215" s="18" t="inlineStr">
        <is>
          <t>기타</t>
        </is>
      </c>
      <c r="O215" s="20" t="n">
        <v>-0.005</v>
      </c>
      <c r="P215" s="20" t="n">
        <v>0.002</v>
      </c>
    </row>
    <row r="216">
      <c r="A216" s="18" t="inlineStr">
        <is>
          <t>연결범위 변경 없는 자회사 주식 취득</t>
        </is>
      </c>
      <c r="E216" s="20" t="n">
        <v>0</v>
      </c>
      <c r="P216" s="20" t="n">
        <v>0</v>
      </c>
      <c r="Q216" s="20" t="n">
        <v>-231.991</v>
      </c>
      <c r="R216" s="20" t="n">
        <v>0</v>
      </c>
      <c r="T216" s="20" t="n">
        <v>0</v>
      </c>
      <c r="U216" s="20" t="n">
        <v>-75.032</v>
      </c>
      <c r="V216" s="20" t="n">
        <v>0</v>
      </c>
    </row>
    <row r="217">
      <c r="A217" s="9" t="inlineStr">
        <is>
          <t>재무활동 현금흐름</t>
        </is>
      </c>
      <c r="C217" s="12" t="n">
        <v>3145.752</v>
      </c>
      <c r="E217" s="12" t="n">
        <v>11715.62</v>
      </c>
      <c r="G217" s="12" t="n">
        <v>-489.147</v>
      </c>
      <c r="I217" s="12" t="n">
        <v>-901.008</v>
      </c>
      <c r="K217" s="12" t="n">
        <v>-816.681</v>
      </c>
      <c r="M217" s="12" t="n">
        <v>-2146.732</v>
      </c>
      <c r="O217" s="12" t="n">
        <v>-772.223</v>
      </c>
      <c r="P217" s="12" t="n">
        <v>-1608.594</v>
      </c>
      <c r="Q217" s="12" t="n">
        <v>-3776.53</v>
      </c>
      <c r="R217" s="12" t="n">
        <v>-1563.582</v>
      </c>
      <c r="S217" s="12" t="n">
        <v>1667.624</v>
      </c>
      <c r="T217" s="12" t="n">
        <v>-635.873</v>
      </c>
      <c r="U217" s="12" t="n">
        <v>3377.103</v>
      </c>
      <c r="V217" s="12" t="n">
        <v>11715.62</v>
      </c>
      <c r="W217" s="12" t="n">
        <v>-901.008</v>
      </c>
      <c r="X217" s="12" t="n">
        <v>-2146.732</v>
      </c>
    </row>
    <row r="218">
      <c r="A218" s="18" t="inlineStr">
        <is>
          <t>현금성자산 환산차이</t>
        </is>
      </c>
      <c r="C218" s="20" t="n">
        <v>274.206</v>
      </c>
      <c r="E218" s="20" t="n">
        <v>344.718</v>
      </c>
      <c r="G218" s="20" t="n">
        <v>-154.681</v>
      </c>
      <c r="I218" s="20" t="n">
        <v>-95.745</v>
      </c>
      <c r="K218" s="20" t="n">
        <v>91.515</v>
      </c>
      <c r="M218" s="20" t="n">
        <v>540.153</v>
      </c>
      <c r="O218" s="20" t="n">
        <v>-27.176</v>
      </c>
      <c r="P218" s="20" t="n">
        <v>-22.958</v>
      </c>
      <c r="Q218" s="20" t="n">
        <v>-0.032</v>
      </c>
      <c r="R218" s="20" t="n">
        <v>-154.441</v>
      </c>
      <c r="S218" s="20" t="n">
        <v>244.726</v>
      </c>
      <c r="T218" s="20" t="n">
        <v>349.048</v>
      </c>
      <c r="U218" s="20" t="n">
        <v>87.02500000000001</v>
      </c>
      <c r="V218" s="20" t="n">
        <v>344.718</v>
      </c>
      <c r="W218" s="20" t="n">
        <v>-95.745</v>
      </c>
      <c r="X218" s="20" t="n">
        <v>540.153</v>
      </c>
    </row>
    <row r="219">
      <c r="A219" s="18" t="inlineStr">
        <is>
          <t>현금성자산 증감</t>
        </is>
      </c>
      <c r="C219" s="20" t="n">
        <v>4556.973</v>
      </c>
      <c r="E219" s="20" t="n">
        <v>11116.525</v>
      </c>
      <c r="G219" s="20" t="n">
        <v>-276.667</v>
      </c>
      <c r="I219" s="20" t="n">
        <v>457.158</v>
      </c>
      <c r="K219" s="20" t="n">
        <v>-1507.883</v>
      </c>
      <c r="M219" s="20" t="n">
        <v>10191.02</v>
      </c>
      <c r="O219" s="20" t="n">
        <v>3646.981</v>
      </c>
      <c r="P219" s="20" t="n">
        <v>-1444.639</v>
      </c>
      <c r="Q219" s="20" t="n">
        <v>-4422.316</v>
      </c>
      <c r="R219" s="20" t="n">
        <v>-643.933</v>
      </c>
      <c r="S219" s="20" t="n">
        <v>2271.482</v>
      </c>
      <c r="T219" s="20" t="n">
        <v>-3881.458</v>
      </c>
      <c r="U219" s="20" t="n">
        <v>2186.686</v>
      </c>
      <c r="V219" s="20" t="n">
        <v>11116.525</v>
      </c>
      <c r="W219" s="20" t="n">
        <v>457.158</v>
      </c>
      <c r="X219" s="20" t="n">
        <v>10191.02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5992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53267.75</v>
      </c>
      <c r="D5" s="12" t="n">
        <v>53468.316</v>
      </c>
      <c r="E5" s="12" t="n">
        <v>66289.14</v>
      </c>
      <c r="F5" s="12" t="n">
        <v>65868.37300000001</v>
      </c>
      <c r="G5" s="12" t="n">
        <v>60308.064</v>
      </c>
      <c r="H5" s="11" t="n">
        <v>39581.812</v>
      </c>
      <c r="I5" s="12" t="n">
        <v>45473.415</v>
      </c>
      <c r="J5" s="12" t="n">
        <v>56123.131</v>
      </c>
      <c r="K5" s="12" t="n">
        <v>55983.645</v>
      </c>
      <c r="L5" s="12" t="n">
        <v>65868.37300000001</v>
      </c>
    </row>
    <row r="6">
      <c r="A6" s="18" t="inlineStr">
        <is>
          <t>현금및현금성자산</t>
        </is>
      </c>
      <c r="B6" s="10" t="n"/>
      <c r="C6" s="19" t="n">
        <v>20629.609</v>
      </c>
      <c r="D6" s="20" t="n">
        <v>20177.793</v>
      </c>
      <c r="E6" s="20" t="n">
        <v>32580.266</v>
      </c>
      <c r="F6" s="20" t="n">
        <v>32268.738</v>
      </c>
      <c r="G6" s="20" t="n">
        <v>26122.722</v>
      </c>
      <c r="H6" s="19" t="n">
        <v>7869.907</v>
      </c>
      <c r="I6" s="20" t="n">
        <v>10006.593</v>
      </c>
      <c r="J6" s="20" t="n">
        <v>21123.118</v>
      </c>
      <c r="K6" s="20" t="n">
        <v>21653.337</v>
      </c>
      <c r="L6" s="20" t="n">
        <v>32268.738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14496.318</v>
      </c>
      <c r="D8" s="20" t="n">
        <v>14924.604</v>
      </c>
      <c r="E8" s="20" t="n">
        <v>14466.669</v>
      </c>
      <c r="F8" s="20" t="n">
        <v>14619.603</v>
      </c>
      <c r="G8" s="20" t="n">
        <v>14995.672</v>
      </c>
      <c r="H8" s="19" t="n">
        <v>14048.426</v>
      </c>
      <c r="I8" s="20" t="n">
        <v>15840.048</v>
      </c>
      <c r="J8" s="20" t="n">
        <v>15345.922</v>
      </c>
      <c r="K8" s="20" t="n">
        <v>16005.619</v>
      </c>
      <c r="L8" s="20" t="n">
        <v>14619.603</v>
      </c>
    </row>
    <row r="9">
      <c r="A9" s="18" t="inlineStr">
        <is>
          <t>재고자산</t>
        </is>
      </c>
      <c r="B9" s="10" t="n"/>
      <c r="C9" s="19" t="n">
        <v>13558.227</v>
      </c>
      <c r="D9" s="20" t="n">
        <v>13955.195</v>
      </c>
      <c r="E9" s="20" t="n">
        <v>14138.726</v>
      </c>
      <c r="F9" s="20" t="n">
        <v>14425.129</v>
      </c>
      <c r="G9" s="20" t="n">
        <v>14829.629</v>
      </c>
      <c r="H9" s="19" t="n">
        <v>13428.05</v>
      </c>
      <c r="I9" s="20" t="n">
        <v>14329.5</v>
      </c>
      <c r="J9" s="20" t="n">
        <v>15005.34</v>
      </c>
      <c r="K9" s="20" t="n">
        <v>13966.796</v>
      </c>
      <c r="L9" s="20" t="n">
        <v>14425.129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86251.967</v>
      </c>
      <c r="D11" s="12" t="n">
        <v>91484.024</v>
      </c>
      <c r="E11" s="12" t="n">
        <v>83770.72100000001</v>
      </c>
      <c r="F11" s="12" t="n">
        <v>89040.197</v>
      </c>
      <c r="G11" s="12" t="n">
        <v>87647.033</v>
      </c>
      <c r="H11" s="11" t="n">
        <v>64971.401</v>
      </c>
      <c r="I11" s="12" t="n">
        <v>61641.904</v>
      </c>
      <c r="J11" s="12" t="n">
        <v>97449.76300000001</v>
      </c>
      <c r="K11" s="12" t="n">
        <v>86923.906</v>
      </c>
      <c r="L11" s="12" t="n">
        <v>89040.197</v>
      </c>
    </row>
    <row r="12">
      <c r="A12" s="18" t="inlineStr">
        <is>
          <t>유형자산</t>
        </is>
      </c>
      <c r="B12" s="10" t="n"/>
      <c r="C12" s="19" t="n">
        <v>39556.874</v>
      </c>
      <c r="D12" s="20" t="n">
        <v>39740.623</v>
      </c>
      <c r="E12" s="20" t="n">
        <v>41056.009</v>
      </c>
      <c r="F12" s="20" t="n">
        <v>42298.527</v>
      </c>
      <c r="G12" s="20" t="n">
        <v>41854.007</v>
      </c>
      <c r="H12" s="19" t="n">
        <v>30112.539</v>
      </c>
      <c r="I12" s="20" t="n">
        <v>30399.256</v>
      </c>
      <c r="J12" s="20" t="n">
        <v>35350.077</v>
      </c>
      <c r="K12" s="20" t="n">
        <v>39552.801</v>
      </c>
      <c r="L12" s="20" t="n">
        <v>42298.527</v>
      </c>
    </row>
    <row r="13">
      <c r="A13" s="18" t="inlineStr">
        <is>
          <t>무형자산</t>
        </is>
      </c>
      <c r="B13" s="10" t="n"/>
      <c r="C13" s="19" t="n">
        <v>247.4</v>
      </c>
      <c r="D13" s="20" t="n">
        <v>281.277</v>
      </c>
      <c r="E13" s="20" t="n">
        <v>295.016</v>
      </c>
      <c r="F13" s="20" t="n">
        <v>326.474</v>
      </c>
      <c r="G13" s="20" t="n">
        <v>318.76</v>
      </c>
      <c r="H13" s="19" t="n">
        <v>209.455</v>
      </c>
      <c r="I13" s="20" t="n">
        <v>165.742</v>
      </c>
      <c r="J13" s="20" t="n">
        <v>204.136</v>
      </c>
      <c r="K13" s="20" t="n">
        <v>258.905</v>
      </c>
      <c r="L13" s="20" t="n">
        <v>326.474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139519.718</v>
      </c>
      <c r="D16" s="12" t="n">
        <v>144952.34</v>
      </c>
      <c r="E16" s="12" t="n">
        <v>150059.862</v>
      </c>
      <c r="F16" s="12" t="n">
        <v>154908.571</v>
      </c>
      <c r="G16" s="12" t="n">
        <v>147955.098</v>
      </c>
      <c r="H16" s="11" t="n">
        <v>104553.214</v>
      </c>
      <c r="I16" s="12" t="n">
        <v>107115.32</v>
      </c>
      <c r="J16" s="12" t="n">
        <v>153572.894</v>
      </c>
      <c r="K16" s="12" t="n">
        <v>142907.552</v>
      </c>
      <c r="L16" s="12" t="n">
        <v>154908.571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26330.465</v>
      </c>
      <c r="D18" s="12" t="n">
        <v>25957.231</v>
      </c>
      <c r="E18" s="12" t="n">
        <v>29569.543</v>
      </c>
      <c r="F18" s="12" t="n">
        <v>28438.106</v>
      </c>
      <c r="G18" s="12" t="n">
        <v>19962.396</v>
      </c>
      <c r="H18" s="11" t="n">
        <v>18370.661</v>
      </c>
      <c r="I18" s="12" t="n">
        <v>23707.493</v>
      </c>
      <c r="J18" s="12" t="n">
        <v>20099.707</v>
      </c>
      <c r="K18" s="12" t="n">
        <v>25694.797</v>
      </c>
      <c r="L18" s="12" t="n">
        <v>28438.106</v>
      </c>
    </row>
    <row r="19">
      <c r="A19" s="18" t="inlineStr">
        <is>
          <t>매입채무</t>
        </is>
      </c>
      <c r="B19" s="10" t="n"/>
      <c r="C19" s="19" t="n">
        <v>11949.688</v>
      </c>
      <c r="D19" s="20" t="n">
        <v>12400.717</v>
      </c>
      <c r="E19" s="20" t="n">
        <v>12090.241</v>
      </c>
      <c r="F19" s="20" t="n">
        <v>11135.072</v>
      </c>
      <c r="G19" s="20" t="n">
        <v>10889.798</v>
      </c>
      <c r="H19" s="19" t="n">
        <v>9938.722</v>
      </c>
      <c r="I19" s="20" t="n">
        <v>11791.051</v>
      </c>
      <c r="J19" s="20" t="n">
        <v>11124.427</v>
      </c>
      <c r="K19" s="20" t="n">
        <v>12435.061</v>
      </c>
      <c r="L19" s="20" t="n">
        <v>11135.072</v>
      </c>
    </row>
    <row r="20">
      <c r="A20" s="18" t="inlineStr">
        <is>
          <t>단기차입금</t>
        </is>
      </c>
      <c r="B20" s="10" t="n"/>
      <c r="C20" s="19" t="n">
        <v>665</v>
      </c>
      <c r="D20" s="20" t="n">
        <v>665</v>
      </c>
      <c r="E20" s="20" t="n">
        <v>350</v>
      </c>
      <c r="F20" s="20" t="n">
        <v>300</v>
      </c>
      <c r="G20" s="20" t="n">
        <v>300</v>
      </c>
      <c r="H20" s="19" t="n">
        <v>1948.95</v>
      </c>
      <c r="I20" s="20" t="n">
        <v>711.5</v>
      </c>
      <c r="J20" s="20" t="n">
        <v>686</v>
      </c>
      <c r="K20" s="20" t="n">
        <v>668.5</v>
      </c>
      <c r="L20" s="20" t="n">
        <v>300</v>
      </c>
    </row>
    <row r="21">
      <c r="A21" s="18" t="inlineStr">
        <is>
          <t>유동성장기부채</t>
        </is>
      </c>
      <c r="B21" s="10" t="n"/>
      <c r="C21" s="19" t="n">
        <v>3021.6</v>
      </c>
      <c r="D21" s="20" t="n">
        <v>3021.6</v>
      </c>
      <c r="E21" s="20" t="n">
        <v>3022.56</v>
      </c>
      <c r="F21" s="20" t="n">
        <v>3022.56</v>
      </c>
      <c r="G21" s="20" t="n">
        <v>21.84</v>
      </c>
      <c r="H21" s="19" t="n">
        <v>114.621</v>
      </c>
      <c r="I21" s="20" t="n">
        <v>4550.963</v>
      </c>
      <c r="J21" s="20" t="n">
        <v>0</v>
      </c>
      <c r="K21" s="20" t="n">
        <v>21.84</v>
      </c>
      <c r="L21" s="20" t="n">
        <v>3022.56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33002.41</v>
      </c>
      <c r="D23" s="12" t="n">
        <v>34494.66</v>
      </c>
      <c r="E23" s="12" t="n">
        <v>31806.213</v>
      </c>
      <c r="F23" s="12" t="n">
        <v>34235.37</v>
      </c>
      <c r="G23" s="12" t="n">
        <v>36874.977</v>
      </c>
      <c r="H23" s="11" t="n">
        <v>14757.444</v>
      </c>
      <c r="I23" s="12" t="n">
        <v>14842.407</v>
      </c>
      <c r="J23" s="12" t="n">
        <v>41077.435</v>
      </c>
      <c r="K23" s="12" t="n">
        <v>36167.204</v>
      </c>
      <c r="L23" s="12" t="n">
        <v>34235.37</v>
      </c>
    </row>
    <row r="24">
      <c r="A24" s="18" t="inlineStr">
        <is>
          <t>장기차입금</t>
        </is>
      </c>
      <c r="B24" s="10" t="n"/>
      <c r="C24" s="19" t="n">
        <v>20086.4</v>
      </c>
      <c r="D24" s="20" t="n">
        <v>20075.6</v>
      </c>
      <c r="E24" s="20" t="n">
        <v>20078.96</v>
      </c>
      <c r="F24" s="20" t="n">
        <v>20067.68</v>
      </c>
      <c r="G24" s="20" t="n">
        <v>23065.52</v>
      </c>
      <c r="H24" s="19" t="n">
        <v>4636.799</v>
      </c>
      <c r="I24" s="20" t="n">
        <v>6072.5</v>
      </c>
      <c r="J24" s="20" t="n">
        <v>23000</v>
      </c>
      <c r="K24" s="20" t="n">
        <v>23087.36</v>
      </c>
      <c r="L24" s="20" t="n">
        <v>20067.68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59332.875</v>
      </c>
      <c r="D27" s="12" t="n">
        <v>60451.891</v>
      </c>
      <c r="E27" s="12" t="n">
        <v>61375.757</v>
      </c>
      <c r="F27" s="12" t="n">
        <v>62673.476</v>
      </c>
      <c r="G27" s="12" t="n">
        <v>56837.374</v>
      </c>
      <c r="H27" s="11" t="n">
        <v>33128.106</v>
      </c>
      <c r="I27" s="12" t="n">
        <v>38549.901</v>
      </c>
      <c r="J27" s="12" t="n">
        <v>61177.142</v>
      </c>
      <c r="K27" s="12" t="n">
        <v>61862.001</v>
      </c>
      <c r="L27" s="12" t="n">
        <v>62673.476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75955.711</v>
      </c>
      <c r="D31" s="12" t="n">
        <v>80134.05499999999</v>
      </c>
      <c r="E31" s="12" t="n">
        <v>84215.114</v>
      </c>
      <c r="F31" s="12" t="n">
        <v>87733.613</v>
      </c>
      <c r="G31" s="12" t="n">
        <v>86566.421</v>
      </c>
      <c r="H31" s="11" t="n">
        <v>67103.091</v>
      </c>
      <c r="I31" s="12" t="n">
        <v>64236.884</v>
      </c>
      <c r="J31" s="12" t="n">
        <v>87912.42</v>
      </c>
      <c r="K31" s="12" t="n">
        <v>76750.00900000001</v>
      </c>
      <c r="L31" s="12" t="n">
        <v>87733.613</v>
      </c>
    </row>
    <row r="32">
      <c r="A32" s="18" t="inlineStr">
        <is>
          <t>자본금</t>
        </is>
      </c>
      <c r="B32" s="10" t="n"/>
      <c r="C32" s="19" t="n">
        <v>10837.208</v>
      </c>
      <c r="D32" s="20" t="n">
        <v>10837.208</v>
      </c>
      <c r="E32" s="20" t="n">
        <v>10837.208</v>
      </c>
      <c r="F32" s="20" t="n">
        <v>10837.208</v>
      </c>
      <c r="G32" s="20" t="n">
        <v>10837.208</v>
      </c>
      <c r="H32" s="19" t="n">
        <v>10837.208</v>
      </c>
      <c r="I32" s="20" t="n">
        <v>10837.208</v>
      </c>
      <c r="J32" s="20" t="n">
        <v>10837.208</v>
      </c>
      <c r="K32" s="20" t="n">
        <v>10837.208</v>
      </c>
      <c r="L32" s="20" t="n">
        <v>10837.208</v>
      </c>
    </row>
    <row r="33">
      <c r="A33" s="18" t="inlineStr">
        <is>
          <t>이익잉여금</t>
        </is>
      </c>
      <c r="B33" s="10" t="n"/>
      <c r="C33" s="19" t="n">
        <v>29918.746</v>
      </c>
      <c r="D33" s="20" t="n">
        <v>30645.458</v>
      </c>
      <c r="E33" s="20" t="n">
        <v>40047.628</v>
      </c>
      <c r="F33" s="20" t="n">
        <v>40926.273</v>
      </c>
      <c r="G33" s="20" t="n">
        <v>40578.133</v>
      </c>
      <c r="H33" s="19" t="n">
        <v>27482.888</v>
      </c>
      <c r="I33" s="20" t="n">
        <v>27031.972</v>
      </c>
      <c r="J33" s="20" t="n">
        <v>28770.197</v>
      </c>
      <c r="K33" s="20" t="n">
        <v>29962.755</v>
      </c>
      <c r="L33" s="20" t="n">
        <v>40926.273</v>
      </c>
    </row>
    <row r="34">
      <c r="A34" s="18" t="inlineStr">
        <is>
          <t>비지배지분</t>
        </is>
      </c>
      <c r="B34" s="10" t="n"/>
      <c r="C34" s="19" t="n">
        <v>4231.131</v>
      </c>
      <c r="D34" s="20" t="n">
        <v>4366.393</v>
      </c>
      <c r="E34" s="20" t="n">
        <v>4468.99</v>
      </c>
      <c r="F34" s="20" t="n">
        <v>4501.481</v>
      </c>
      <c r="G34" s="20" t="n">
        <v>4551.303</v>
      </c>
      <c r="H34" s="19" t="n">
        <v>4322.016</v>
      </c>
      <c r="I34" s="20" t="n">
        <v>4328.535</v>
      </c>
      <c r="J34" s="20" t="n">
        <v>4483.332</v>
      </c>
      <c r="K34" s="20" t="n">
        <v>4295.541</v>
      </c>
      <c r="L34" s="20" t="n">
        <v>4501.481</v>
      </c>
    </row>
    <row r="35">
      <c r="A35" s="9" t="inlineStr">
        <is>
          <t>자본총계</t>
        </is>
      </c>
      <c r="B35" s="10" t="n"/>
      <c r="C35" s="11" t="n">
        <v>80186.842</v>
      </c>
      <c r="D35" s="12" t="n">
        <v>84500.448</v>
      </c>
      <c r="E35" s="12" t="n">
        <v>88684.10400000001</v>
      </c>
      <c r="F35" s="12" t="n">
        <v>92235.094</v>
      </c>
      <c r="G35" s="12" t="n">
        <v>91117.724</v>
      </c>
      <c r="H35" s="11" t="n">
        <v>71425.107</v>
      </c>
      <c r="I35" s="12" t="n">
        <v>68565.41899999999</v>
      </c>
      <c r="J35" s="12" t="n">
        <v>92395.75199999999</v>
      </c>
      <c r="K35" s="12" t="n">
        <v>81045.55</v>
      </c>
      <c r="L35" s="12" t="n">
        <v>92235.094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8991.195</v>
      </c>
      <c r="E37" s="12" t="n"/>
      <c r="F37" s="12" t="n">
        <v>6886.469</v>
      </c>
      <c r="G37" s="12" t="n"/>
      <c r="H37" s="11" t="n">
        <v>208.304</v>
      </c>
      <c r="I37" s="12" t="n">
        <v>2343.04</v>
      </c>
      <c r="J37" s="12" t="n">
        <v>5737.559</v>
      </c>
      <c r="K37" s="12" t="n">
        <v>9521.088</v>
      </c>
      <c r="L37" s="12" t="n">
        <v>6886.469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8715.251</v>
      </c>
      <c r="E38" s="20" t="n"/>
      <c r="F38" s="20" t="n">
        <v>8154.477</v>
      </c>
      <c r="G38" s="20" t="n"/>
      <c r="H38" s="19" t="n">
        <v>3663.733</v>
      </c>
      <c r="I38" s="20" t="n">
        <v>3743.925</v>
      </c>
      <c r="J38" s="20" t="n">
        <v>6816.519</v>
      </c>
      <c r="K38" s="20" t="n">
        <v>8203.218000000001</v>
      </c>
      <c r="L38" s="20" t="n">
        <v>8154.477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1008.355</v>
      </c>
      <c r="E40" s="20" t="n"/>
      <c r="F40" s="20" t="n">
        <v>1407.411</v>
      </c>
      <c r="G40" s="20" t="n"/>
      <c r="H40" s="19" t="n">
        <v>710.768</v>
      </c>
      <c r="I40" s="20" t="n">
        <v>797.208</v>
      </c>
      <c r="J40" s="20" t="n">
        <v>253.525</v>
      </c>
      <c r="K40" s="20" t="n">
        <v>655.366</v>
      </c>
      <c r="L40" s="20" t="n">
        <v>1407.411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IFERROR(IF((IF(COUNT('연간'!G53:J53)&lt;4,"",SUM('연간'!G53:J53)))&lt;=0,"적자",C28/(IF(COUNT('연간'!G53:J53)&lt;4,"",SUM('연간'!G53:J53)))),"")</f>
        <v/>
      </c>
      <c r="D49" s="46">
        <f>IFERROR(IF((IF(COUNT('연간'!H53:K53)&lt;4,"",SUM('연간'!H53:K53)))&lt;=0,"적자",D28/(IF(COUNT('연간'!H53:K53)&lt;4,"",SUM('연간'!H53:K53)))),"")</f>
        <v/>
      </c>
      <c r="E49" s="46">
        <f>IFERROR(IF((IF(COUNT('연간'!I53:L53)&lt;4,"",SUM('연간'!I53:L53)))&lt;=0,"적자",E28/(IF(COUNT('연간'!I53:L53)&lt;4,"",SUM('연간'!I53:L53)))),"")</f>
        <v/>
      </c>
      <c r="F49" s="46">
        <f>IFERROR(IF((IF(COUNT('연간'!J53:M53)&lt;4,"",SUM('연간'!J53:M53)))&lt;=0,"적자",F28/(IF(COUNT('연간'!J53:M53)&lt;4,"",SUM('연간'!J53:M53)))),"")</f>
        <v/>
      </c>
      <c r="G49" s="46">
        <f>IFERROR(IF((IF(COUNT('연간'!K53:N53)&lt;4,"",SUM('연간'!K53:N53)))&lt;=0,"적자",G28/(IF(COUNT('연간'!K53:N53)&lt;4,"",SUM('연간'!K53:N53)))),"")</f>
        <v/>
      </c>
      <c r="H49" s="45">
        <f>IFERROR(IF(('연간'!T53)&lt;=0,"적자",H28/('연간'!T53)),"")</f>
        <v/>
      </c>
      <c r="I49" s="46">
        <f>IFERROR(IF(('연간'!U53)&lt;=0,"적자",I28/('연간'!U53)),"")</f>
        <v/>
      </c>
      <c r="J49" s="46">
        <f>IFERROR(IF(('연간'!V53)&lt;=0,"적자",J28/('연간'!V53)),"")</f>
        <v/>
      </c>
      <c r="K49" s="46">
        <f>IFERROR(IF(('연간'!W53)&lt;=0,"적자",K28/('연간'!W53)),"")</f>
        <v/>
      </c>
      <c r="L49" s="46">
        <f>IFERROR(IF(('연간'!X53)&lt;=0,"적자",L28/('연간'!X53)),"")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IFERROR((IF(COUNT('연간'!G53:J53)&lt;4,"",SUM('연간'!G53:J53)))/C31,"")</f>
        <v/>
      </c>
      <c r="D51" s="36">
        <f>IFERROR((IF(COUNT('연간'!H53:K53)&lt;4,"",SUM('연간'!H53:K53)))/D31,"")</f>
        <v/>
      </c>
      <c r="E51" s="36">
        <f>IFERROR((IF(COUNT('연간'!I53:L53)&lt;4,"",SUM('연간'!I53:L53)))/E31,"")</f>
        <v/>
      </c>
      <c r="F51" s="36">
        <f>IFERROR((IF(COUNT('연간'!J53:M53)&lt;4,"",SUM('연간'!J53:M53)))/F31,"")</f>
        <v/>
      </c>
      <c r="G51" s="36">
        <f>IFERROR((IF(COUNT('연간'!K53:N53)&lt;4,"",SUM('연간'!K53:N53)))/G31,"")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  <c r="L51" s="36">
        <f>IFERROR(('연간'!X53)/L31,"")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IFERROR((IF(COUNT('연간'!G52:J52)&lt;4,"",SUM('연간'!G52:J52)))/C16,"")</f>
        <v/>
      </c>
      <c r="D52" s="36">
        <f>IFERROR((IF(COUNT('연간'!H52:K52)&lt;4,"",SUM('연간'!H52:K52)))/D16,"")</f>
        <v/>
      </c>
      <c r="E52" s="36">
        <f>IFERROR((IF(COUNT('연간'!I52:L52)&lt;4,"",SUM('연간'!I52:L52)))/E16,"")</f>
        <v/>
      </c>
      <c r="F52" s="36">
        <f>IFERROR((IF(COUNT('연간'!J52:M52)&lt;4,"",SUM('연간'!J52:M52)))/F16,"")</f>
        <v/>
      </c>
      <c r="G52" s="36">
        <f>IFERROR((IF(COUNT('연간'!K52:N52)&lt;4,"",SUM('연간'!K52:N52)))/G16,"")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  <c r="L52" s="36">
        <f>IFERROR(('연간'!X52)/L16,"")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IFERROR((IF(COUNT('연간'!G21:J21)&lt;4,"",SUM('연간'!G21:J21)))/(IF(COUNT('연간'!G4:J4)&lt;4,"",SUM('연간'!G4:J4))),"")</f>
        <v/>
      </c>
      <c r="D54" s="36">
        <f>IFERROR((IF(COUNT('연간'!H21:K21)&lt;4,"",SUM('연간'!H21:K21)))/(IF(COUNT('연간'!H4:K4)&lt;4,"",SUM('연간'!H4:K4))),"")</f>
        <v/>
      </c>
      <c r="E54" s="36">
        <f>IFERROR((IF(COUNT('연간'!I21:L21)&lt;4,"",SUM('연간'!I21:L21)))/(IF(COUNT('연간'!I4:L4)&lt;4,"",SUM('연간'!I4:L4))),"")</f>
        <v/>
      </c>
      <c r="F54" s="36">
        <f>IFERROR((IF(COUNT('연간'!J21:M21)&lt;4,"",SUM('연간'!J21:M21)))/(IF(COUNT('연간'!J4:M4)&lt;4,"",SUM('연간'!J4:M4))),"")</f>
        <v/>
      </c>
      <c r="G54" s="36">
        <f>IFERROR((IF(COUNT('연간'!K21:N21)&lt;4,"",SUM('연간'!K21:N21)))/(IF(COUNT('연간'!K4:N4)&lt;4,"",SUM('연간'!K4:N4))),"")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  <c r="L54" s="36">
        <f>IFERROR(('연간'!X21)/('연간'!X4),"")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IFERROR((IF(COUNT('연간'!G52:J52)&lt;4,"",SUM('연간'!G52:J52)))/(IF(COUNT('연간'!G4:J4)&lt;4,"",SUM('연간'!G4:J4))),"")</f>
        <v/>
      </c>
      <c r="D56" s="36">
        <f>IFERROR((IF(COUNT('연간'!H52:K52)&lt;4,"",SUM('연간'!H52:K52)))/(IF(COUNT('연간'!H4:K4)&lt;4,"",SUM('연간'!H4:K4))),"")</f>
        <v/>
      </c>
      <c r="E56" s="36">
        <f>IFERROR((IF(COUNT('연간'!I52:L52)&lt;4,"",SUM('연간'!I52:L52)))/(IF(COUNT('연간'!I4:L4)&lt;4,"",SUM('연간'!I4:L4))),"")</f>
        <v/>
      </c>
      <c r="F56" s="36">
        <f>IFERROR((IF(COUNT('연간'!J52:M52)&lt;4,"",SUM('연간'!J52:M52)))/(IF(COUNT('연간'!J4:M4)&lt;4,"",SUM('연간'!J4:M4))),"")</f>
        <v/>
      </c>
      <c r="G56" s="36">
        <f>IFERROR((IF(COUNT('연간'!K52:N52)&lt;4,"",SUM('연간'!K52:N52)))/(IF(COUNT('연간'!K4:N4)&lt;4,"",SUM('연간'!K4:N4))),"")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  <c r="L56" s="36">
        <f>IFERROR(('연간'!X52)/('연간'!X4),"")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IFERROR(C9/(IF(COUNT('연간'!G20:J20)&lt;4,"",SUM('연간'!G20:J20)))*365,"")</f>
        <v/>
      </c>
      <c r="D60" s="48">
        <f>IFERROR(D9/(IF(COUNT('연간'!H20:K20)&lt;4,"",SUM('연간'!H20:K20)))*365,"")</f>
        <v/>
      </c>
      <c r="E60" s="48">
        <f>IFERROR(E9/(IF(COUNT('연간'!I20:L20)&lt;4,"",SUM('연간'!I20:L20)))*365,"")</f>
        <v/>
      </c>
      <c r="F60" s="48">
        <f>IFERROR(F9/(IF(COUNT('연간'!J20:M20)&lt;4,"",SUM('연간'!J20:M20)))*365,"")</f>
        <v/>
      </c>
      <c r="G60" s="48">
        <f>IFERROR(G9/(IF(COUNT('연간'!K20:N20)&lt;4,"",SUM('연간'!K20:N20)))*365,"")</f>
        <v/>
      </c>
      <c r="H60" s="47">
        <f>IFERROR(H9/('연간'!T20)*365,"")</f>
        <v/>
      </c>
      <c r="I60" s="48">
        <f>IFERROR(I9/('연간'!U20)*365,"")</f>
        <v/>
      </c>
      <c r="J60" s="48">
        <f>IFERROR(J9/('연간'!V20)*365,"")</f>
        <v/>
      </c>
      <c r="K60" s="48">
        <f>IFERROR(K9/('연간'!W20)*365,"")</f>
        <v/>
      </c>
      <c r="L60" s="48">
        <f>IFERROR(L9/('연간'!X20)*365,"")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IFERROR(C19/(IF(COUNT('연간'!G20:J20)&lt;4,"",SUM('연간'!G20:J20)))*365,"")</f>
        <v/>
      </c>
      <c r="D61" s="48">
        <f>IFERROR(D19/(IF(COUNT('연간'!H20:K20)&lt;4,"",SUM('연간'!H20:K20)))*365,"")</f>
        <v/>
      </c>
      <c r="E61" s="48">
        <f>IFERROR(E19/(IF(COUNT('연간'!I20:L20)&lt;4,"",SUM('연간'!I20:L20)))*365,"")</f>
        <v/>
      </c>
      <c r="F61" s="48">
        <f>IFERROR(F19/(IF(COUNT('연간'!J20:M20)&lt;4,"",SUM('연간'!J20:M20)))*365,"")</f>
        <v/>
      </c>
      <c r="G61" s="48">
        <f>IFERROR(G19/(IF(COUNT('연간'!K20:N20)&lt;4,"",SUM('연간'!K20:N20)))*365,"")</f>
        <v/>
      </c>
      <c r="H61" s="47">
        <f>IFERROR(H19/('연간'!T20)*365,"")</f>
        <v/>
      </c>
      <c r="I61" s="48">
        <f>IFERROR(I19/('연간'!U20)*365,"")</f>
        <v/>
      </c>
      <c r="J61" s="48">
        <f>IFERROR(J19/('연간'!V20)*365,"")</f>
        <v/>
      </c>
      <c r="K61" s="48">
        <f>IFERROR(K19/('연간'!W20)*365,"")</f>
        <v/>
      </c>
      <c r="L61" s="48">
        <f>IFERROR(L19/('연간'!X20)*365,"")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IF(C37="","",IFERROR(C37/(IF(COUNT('연간'!G52:J52)&lt;4,"",SUM('연간'!G52:J52))),""))</f>
        <v/>
      </c>
      <c r="D64" s="31">
        <f>IF(D37="","",IFERROR(D37/(IF(COUNT('연간'!H52:K52)&lt;4,"",SUM('연간'!H52:K52))),""))</f>
        <v/>
      </c>
      <c r="E64" s="31">
        <f>IF(E37="","",IFERROR(E37/(IF(COUNT('연간'!I52:L52)&lt;4,"",SUM('연간'!I52:L52))),""))</f>
        <v/>
      </c>
      <c r="F64" s="31">
        <f>IF(F37="","",IFERROR(F37/(IF(COUNT('연간'!J52:M52)&lt;4,"",SUM('연간'!J52:M52))),""))</f>
        <v/>
      </c>
      <c r="G64" s="31">
        <f>IF(G37="","",IFERROR(G37/(IF(COUNT('연간'!K52:N52)&lt;4,"",SUM('연간'!K52:N52))),""))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  <c r="L64" s="31">
        <f>IF(L37="","",IFERROR(L37/('연간'!X52),""))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IF(C40="","",IFERROR(C40/(IF(COUNT('연간'!G53:J53)&lt;4,"",SUM('연간'!G53:J53))),""))</f>
        <v/>
      </c>
      <c r="D67" s="36">
        <f>IF(D40="","",IFERROR(D40/(IF(COUNT('연간'!H53:K53)&lt;4,"",SUM('연간'!H53:K53))),""))</f>
        <v/>
      </c>
      <c r="E67" s="36">
        <f>IF(E40="","",IFERROR(E40/(IF(COUNT('연간'!I53:L53)&lt;4,"",SUM('연간'!I53:L53))),""))</f>
        <v/>
      </c>
      <c r="F67" s="36">
        <f>IF(F40="","",IFERROR(F40/(IF(COUNT('연간'!J53:M53)&lt;4,"",SUM('연간'!J53:M53))),""))</f>
        <v/>
      </c>
      <c r="G67" s="36">
        <f>IF(G40="","",IFERROR(G40/(IF(COUNT('연간'!K53:N53)&lt;4,"",SUM('연간'!K53:N53))),""))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  <c r="L67" s="36">
        <f>IF(L40="","",IFERROR(L40/('연간'!X53),""))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20629.609</v>
      </c>
      <c r="D71" s="20" t="n">
        <v>20177.793</v>
      </c>
      <c r="E71" s="20" t="n">
        <v>32580.266</v>
      </c>
      <c r="F71" s="20" t="n">
        <v>32268.738</v>
      </c>
      <c r="G71" s="20" t="n">
        <v>26122.722</v>
      </c>
      <c r="H71" s="20" t="n">
        <v>7869.907</v>
      </c>
      <c r="I71" s="20" t="n">
        <v>10006.593</v>
      </c>
      <c r="J71" s="20" t="n">
        <v>21123.118</v>
      </c>
      <c r="K71" s="20" t="n">
        <v>21653.337</v>
      </c>
      <c r="L71" s="20" t="n">
        <v>32268.738</v>
      </c>
    </row>
    <row r="72">
      <c r="A72" s="18" t="inlineStr">
        <is>
          <t>받을어음·매출채권</t>
        </is>
      </c>
      <c r="C72" s="20" t="n">
        <v>14496.318</v>
      </c>
      <c r="D72" s="20" t="n">
        <v>14924.604</v>
      </c>
      <c r="E72" s="20" t="n">
        <v>14466.669</v>
      </c>
      <c r="F72" s="20" t="n">
        <v>14619.603</v>
      </c>
      <c r="G72" s="20" t="n">
        <v>14995.672</v>
      </c>
      <c r="H72" s="20" t="n">
        <v>14048.426</v>
      </c>
      <c r="I72" s="20" t="n">
        <v>15840.048</v>
      </c>
      <c r="J72" s="20" t="n">
        <v>15345.922</v>
      </c>
      <c r="K72" s="20" t="n">
        <v>16005.619</v>
      </c>
      <c r="L72" s="20" t="n">
        <v>14619.603</v>
      </c>
    </row>
    <row r="73">
      <c r="A73" s="18" t="inlineStr">
        <is>
          <t>전자기록채권</t>
        </is>
      </c>
      <c r="C73" s="20" t="n">
        <v>2744.444</v>
      </c>
      <c r="D73" s="20" t="n">
        <v>2780.625</v>
      </c>
      <c r="E73" s="20" t="n">
        <v>3420.36</v>
      </c>
      <c r="F73" s="20" t="n">
        <v>2832.223</v>
      </c>
      <c r="G73" s="20" t="n">
        <v>2655.802</v>
      </c>
      <c r="H73" s="20" t="n">
        <v>2350.117</v>
      </c>
      <c r="I73" s="20" t="n">
        <v>2490.069</v>
      </c>
      <c r="J73" s="20" t="n">
        <v>2420.593</v>
      </c>
      <c r="K73" s="20" t="n">
        <v>2736.028</v>
      </c>
      <c r="L73" s="20" t="n">
        <v>2832.223</v>
      </c>
    </row>
    <row r="74">
      <c r="A74" s="18" t="inlineStr">
        <is>
          <t>상품·제품</t>
        </is>
      </c>
      <c r="C74" s="20" t="n">
        <v>3128.576</v>
      </c>
      <c r="D74" s="20" t="n">
        <v>3583.326</v>
      </c>
      <c r="E74" s="20" t="n">
        <v>3678.148</v>
      </c>
      <c r="F74" s="20" t="n">
        <v>3690.539</v>
      </c>
      <c r="G74" s="20" t="n">
        <v>3746.418</v>
      </c>
      <c r="H74" s="20" t="n">
        <v>4425.299</v>
      </c>
      <c r="I74" s="20" t="n">
        <v>4613.523</v>
      </c>
      <c r="J74" s="20" t="n">
        <v>3871.745</v>
      </c>
      <c r="K74" s="20" t="n">
        <v>3049.963</v>
      </c>
      <c r="L74" s="20" t="n">
        <v>3690.539</v>
      </c>
    </row>
    <row r="75">
      <c r="A75" s="18" t="inlineStr">
        <is>
          <t>재공품</t>
        </is>
      </c>
      <c r="C75" s="20" t="n">
        <v>1410.129</v>
      </c>
      <c r="D75" s="20" t="n">
        <v>1571.784</v>
      </c>
      <c r="E75" s="20" t="n">
        <v>1550.764</v>
      </c>
      <c r="F75" s="20" t="n">
        <v>1727.744</v>
      </c>
      <c r="G75" s="20" t="n">
        <v>1824.001</v>
      </c>
      <c r="H75" s="20" t="n">
        <v>1526.502</v>
      </c>
      <c r="I75" s="20" t="n">
        <v>1513.326</v>
      </c>
      <c r="J75" s="20" t="n">
        <v>1878.883</v>
      </c>
      <c r="K75" s="20" t="n">
        <v>1643.961</v>
      </c>
      <c r="L75" s="20" t="n">
        <v>1727.744</v>
      </c>
    </row>
    <row r="76">
      <c r="A76" s="18" t="inlineStr">
        <is>
          <t>원재료·저장품</t>
        </is>
      </c>
      <c r="C76" s="20" t="n">
        <v>9019.522000000001</v>
      </c>
      <c r="D76" s="20" t="n">
        <v>8800.084999999999</v>
      </c>
      <c r="E76" s="20" t="n">
        <v>8909.814</v>
      </c>
      <c r="F76" s="20" t="n">
        <v>9006.846</v>
      </c>
      <c r="G76" s="20" t="n">
        <v>9259.209999999999</v>
      </c>
      <c r="H76" s="20" t="n">
        <v>7476.249</v>
      </c>
      <c r="I76" s="20" t="n">
        <v>8202.651</v>
      </c>
      <c r="J76" s="20" t="n">
        <v>9254.712</v>
      </c>
      <c r="K76" s="20" t="n">
        <v>9272.871999999999</v>
      </c>
      <c r="L76" s="20" t="n">
        <v>9006.846</v>
      </c>
    </row>
    <row r="77">
      <c r="A77" s="18" t="inlineStr">
        <is>
          <t>미수금</t>
        </is>
      </c>
      <c r="C77" s="20" t="n">
        <v>338.209</v>
      </c>
      <c r="D77" s="20" t="n">
        <v>565.792</v>
      </c>
      <c r="E77" s="20" t="n">
        <v>392.738</v>
      </c>
      <c r="F77" s="20" t="n">
        <v>660.76</v>
      </c>
      <c r="G77" s="20" t="n">
        <v>529.091</v>
      </c>
      <c r="H77" s="20" t="n">
        <v>574.3579999999999</v>
      </c>
      <c r="I77" s="20" t="n">
        <v>1094.622</v>
      </c>
      <c r="J77" s="20" t="n">
        <v>555.34</v>
      </c>
      <c r="K77" s="20" t="n">
        <v>272.523</v>
      </c>
      <c r="L77" s="20" t="n">
        <v>660.76</v>
      </c>
    </row>
    <row r="78">
      <c r="A78" s="18" t="inlineStr">
        <is>
          <t>기타</t>
        </is>
      </c>
      <c r="C78" s="20" t="n">
        <v>1524.727</v>
      </c>
      <c r="D78" s="20" t="n">
        <v>1086.84</v>
      </c>
      <c r="E78" s="20" t="n">
        <v>1312.143</v>
      </c>
      <c r="F78" s="20" t="n">
        <v>1085.386</v>
      </c>
      <c r="G78" s="20" t="n">
        <v>1198.11</v>
      </c>
      <c r="H78" s="20" t="n">
        <v>1348.58</v>
      </c>
      <c r="I78" s="20" t="n">
        <v>1774.902</v>
      </c>
      <c r="J78" s="20" t="n">
        <v>1700.483</v>
      </c>
      <c r="K78" s="20" t="n">
        <v>1374.447</v>
      </c>
      <c r="L78" s="20" t="n">
        <v>1085.386</v>
      </c>
    </row>
    <row r="79">
      <c r="A79" s="18" t="inlineStr">
        <is>
          <t>대손충당금</t>
        </is>
      </c>
      <c r="C79" s="20" t="n">
        <v>-23.787</v>
      </c>
      <c r="D79" s="20" t="n">
        <v>-22.537</v>
      </c>
      <c r="E79" s="20" t="n">
        <v>-21.765</v>
      </c>
      <c r="F79" s="20" t="n">
        <v>-23.467</v>
      </c>
      <c r="G79" s="20" t="n">
        <v>-22.963</v>
      </c>
      <c r="H79" s="20" t="n">
        <v>-37.629</v>
      </c>
      <c r="I79" s="20" t="n">
        <v>-62.322</v>
      </c>
      <c r="J79" s="20" t="n">
        <v>-27.67</v>
      </c>
      <c r="K79" s="20" t="n">
        <v>-25.107</v>
      </c>
      <c r="L79" s="20" t="n">
        <v>-23.467</v>
      </c>
    </row>
    <row r="80">
      <c r="A80" s="9" t="inlineStr">
        <is>
          <t>유동자산 합계</t>
        </is>
      </c>
      <c r="C80" s="12" t="n">
        <v>53267.75</v>
      </c>
      <c r="D80" s="12" t="n">
        <v>53468.316</v>
      </c>
      <c r="E80" s="12" t="n">
        <v>66289.14</v>
      </c>
      <c r="F80" s="12" t="n">
        <v>65868.37300000001</v>
      </c>
      <c r="G80" s="12" t="n">
        <v>60308.064</v>
      </c>
      <c r="H80" s="12" t="n">
        <v>39581.812</v>
      </c>
      <c r="I80" s="12" t="n">
        <v>45473.415</v>
      </c>
      <c r="J80" s="12" t="n">
        <v>56123.131</v>
      </c>
      <c r="K80" s="12" t="n">
        <v>55983.645</v>
      </c>
      <c r="L80" s="12" t="n">
        <v>65868.37300000001</v>
      </c>
    </row>
    <row r="81">
      <c r="A81" s="18" t="inlineStr">
        <is>
          <t>건물·구축물</t>
        </is>
      </c>
      <c r="C81" s="20" t="n">
        <v>33285.79</v>
      </c>
      <c r="D81" s="20" t="n">
        <v>33813.865</v>
      </c>
      <c r="E81" s="20" t="n">
        <v>34327.792</v>
      </c>
      <c r="F81" s="20" t="n">
        <v>35072.587</v>
      </c>
      <c r="G81" s="20" t="n">
        <v>35463.441</v>
      </c>
      <c r="H81" s="20" t="n">
        <v>30341.695</v>
      </c>
      <c r="I81" s="20" t="n">
        <v>30637.109</v>
      </c>
      <c r="J81" s="20" t="n">
        <v>31956.756</v>
      </c>
      <c r="K81" s="20" t="n">
        <v>32848.161</v>
      </c>
      <c r="L81" s="20" t="n">
        <v>35072.587</v>
      </c>
    </row>
    <row r="82">
      <c r="A82" s="18" t="inlineStr">
        <is>
          <t>감가상각누계액</t>
        </is>
      </c>
      <c r="C82" s="20" t="n">
        <v>-26445.995</v>
      </c>
      <c r="D82" s="20" t="n">
        <v>-26714.472</v>
      </c>
      <c r="E82" s="20" t="n">
        <v>-27142.53</v>
      </c>
      <c r="F82" s="20" t="n">
        <v>-27367.542</v>
      </c>
      <c r="G82" s="20" t="n">
        <v>-27624.071</v>
      </c>
      <c r="H82" s="20" t="n">
        <v>-24445.576</v>
      </c>
      <c r="I82" s="20" t="n">
        <v>-25087.79</v>
      </c>
      <c r="J82" s="20" t="n">
        <v>-25979.59</v>
      </c>
      <c r="K82" s="20" t="n">
        <v>-26330.64</v>
      </c>
      <c r="L82" s="20" t="n">
        <v>-27367.542</v>
      </c>
    </row>
    <row r="83">
      <c r="A83" s="18" t="inlineStr">
        <is>
          <t>건물·구축물(순액)</t>
        </is>
      </c>
      <c r="C83" s="20" t="n">
        <v>6839.795</v>
      </c>
      <c r="D83" s="20" t="n">
        <v>7099.392</v>
      </c>
      <c r="E83" s="20" t="n">
        <v>7185.262</v>
      </c>
      <c r="F83" s="20" t="n">
        <v>7705.044</v>
      </c>
      <c r="G83" s="20" t="n">
        <v>7839.37</v>
      </c>
      <c r="H83" s="20" t="n">
        <v>5896.119</v>
      </c>
      <c r="I83" s="20" t="n">
        <v>5549.319</v>
      </c>
      <c r="J83" s="20" t="n">
        <v>5977.165</v>
      </c>
      <c r="K83" s="20" t="n">
        <v>6517.521</v>
      </c>
      <c r="L83" s="20" t="n">
        <v>7705.044</v>
      </c>
    </row>
    <row r="84">
      <c r="A84" s="18" t="inlineStr">
        <is>
          <t>기계장치·운반구</t>
        </is>
      </c>
      <c r="C84" s="20" t="n">
        <v>72338.083</v>
      </c>
      <c r="D84" s="20" t="n">
        <v>74634.024</v>
      </c>
      <c r="E84" s="20" t="n">
        <v>75907.342</v>
      </c>
      <c r="F84" s="20" t="n">
        <v>78725.978</v>
      </c>
      <c r="G84" s="20" t="n">
        <v>80073.887</v>
      </c>
      <c r="H84" s="20" t="n">
        <v>64866.169</v>
      </c>
      <c r="I84" s="20" t="n">
        <v>66499.629</v>
      </c>
      <c r="J84" s="20" t="n">
        <v>69784.72199999999</v>
      </c>
      <c r="K84" s="20" t="n">
        <v>71344.265</v>
      </c>
      <c r="L84" s="20" t="n">
        <v>78725.978</v>
      </c>
    </row>
    <row r="85">
      <c r="A85" s="18" t="inlineStr">
        <is>
          <t>감가상각누계액</t>
        </is>
      </c>
      <c r="C85" s="20" t="n">
        <v>-56771.574</v>
      </c>
      <c r="D85" s="20" t="n">
        <v>-56834.523</v>
      </c>
      <c r="E85" s="20" t="n">
        <v>-58152.373</v>
      </c>
      <c r="F85" s="20" t="n">
        <v>-58662.042</v>
      </c>
      <c r="G85" s="20" t="n">
        <v>-59322.324</v>
      </c>
      <c r="H85" s="20" t="n">
        <v>-54341.054</v>
      </c>
      <c r="I85" s="20" t="n">
        <v>-54906.279</v>
      </c>
      <c r="J85" s="20" t="n">
        <v>-56462.842</v>
      </c>
      <c r="K85" s="20" t="n">
        <v>-56277.699</v>
      </c>
      <c r="L85" s="20" t="n">
        <v>-58662.042</v>
      </c>
    </row>
    <row r="86">
      <c r="A86" s="18" t="inlineStr">
        <is>
          <t>기계장치·운반구(순액)</t>
        </is>
      </c>
      <c r="C86" s="20" t="n">
        <v>15566.509</v>
      </c>
      <c r="D86" s="20" t="n">
        <v>17799.501</v>
      </c>
      <c r="E86" s="20" t="n">
        <v>17754.968</v>
      </c>
      <c r="F86" s="20" t="n">
        <v>20063.936</v>
      </c>
      <c r="G86" s="20" t="n">
        <v>20751.563</v>
      </c>
      <c r="H86" s="20" t="n">
        <v>10525.115</v>
      </c>
      <c r="I86" s="20" t="n">
        <v>11593.35</v>
      </c>
      <c r="J86" s="20" t="n">
        <v>13321.879</v>
      </c>
      <c r="K86" s="20" t="n">
        <v>15066.566</v>
      </c>
      <c r="L86" s="20" t="n">
        <v>20063.936</v>
      </c>
    </row>
    <row r="87">
      <c r="A87" s="18" t="inlineStr">
        <is>
          <t>토지</t>
        </is>
      </c>
      <c r="C87" s="20" t="n">
        <v>9655.08</v>
      </c>
      <c r="D87" s="20" t="n">
        <v>9658.296</v>
      </c>
      <c r="E87" s="20" t="n">
        <v>9948.300999999999</v>
      </c>
      <c r="F87" s="20" t="n">
        <v>9940.739</v>
      </c>
      <c r="G87" s="20" t="n">
        <v>9943.902</v>
      </c>
      <c r="H87" s="20" t="n">
        <v>9435.162</v>
      </c>
      <c r="I87" s="20" t="n">
        <v>9386.527</v>
      </c>
      <c r="J87" s="20" t="n">
        <v>9725.718000000001</v>
      </c>
      <c r="K87" s="20" t="n">
        <v>9594.099</v>
      </c>
      <c r="L87" s="20" t="n">
        <v>9940.739</v>
      </c>
    </row>
    <row r="88">
      <c r="A88" s="18" t="inlineStr">
        <is>
          <t>건설중인자산</t>
        </is>
      </c>
      <c r="C88" s="20" t="n">
        <v>6544.847</v>
      </c>
      <c r="D88" s="20" t="n">
        <v>4265.193</v>
      </c>
      <c r="E88" s="20" t="n">
        <v>5215.787</v>
      </c>
      <c r="F88" s="20" t="n">
        <v>3636.981</v>
      </c>
      <c r="G88" s="20" t="n">
        <v>2279.548</v>
      </c>
      <c r="H88" s="20" t="n">
        <v>3065.322</v>
      </c>
      <c r="I88" s="20" t="n">
        <v>2904.094</v>
      </c>
      <c r="J88" s="20" t="n">
        <v>5346.396</v>
      </c>
      <c r="K88" s="20" t="n">
        <v>7459.31</v>
      </c>
      <c r="L88" s="20" t="n">
        <v>3636.981</v>
      </c>
    </row>
    <row r="89">
      <c r="A89" s="18" t="inlineStr">
        <is>
          <t>기타</t>
        </is>
      </c>
      <c r="C89" s="20" t="n">
        <v>11824.955</v>
      </c>
      <c r="D89" s="20" t="n">
        <v>11766.367</v>
      </c>
      <c r="E89" s="20" t="n">
        <v>12074.307</v>
      </c>
      <c r="F89" s="20" t="n">
        <v>12022.378</v>
      </c>
      <c r="G89" s="20" t="n">
        <v>12196.288</v>
      </c>
      <c r="H89" s="20" t="n">
        <v>11505.13</v>
      </c>
      <c r="I89" s="20" t="n">
        <v>11767.117</v>
      </c>
      <c r="J89" s="20" t="n">
        <v>12048.85</v>
      </c>
      <c r="K89" s="20" t="n">
        <v>11764.91</v>
      </c>
      <c r="L89" s="20" t="n">
        <v>12022.378</v>
      </c>
    </row>
    <row r="90">
      <c r="A90" s="18" t="inlineStr">
        <is>
          <t>감가상각누계액</t>
        </is>
      </c>
      <c r="C90" s="20" t="n">
        <v>-10874.314</v>
      </c>
      <c r="D90" s="20" t="n">
        <v>-10848.128</v>
      </c>
      <c r="E90" s="20" t="n">
        <v>-11122.618</v>
      </c>
      <c r="F90" s="20" t="n">
        <v>-11070.553</v>
      </c>
      <c r="G90" s="20" t="n">
        <v>-11156.663</v>
      </c>
      <c r="H90" s="20" t="n">
        <v>-10314.31</v>
      </c>
      <c r="I90" s="20" t="n">
        <v>-10801.151</v>
      </c>
      <c r="J90" s="20" t="n">
        <v>-11069.933</v>
      </c>
      <c r="K90" s="20" t="n">
        <v>-10849.605</v>
      </c>
      <c r="L90" s="20" t="n">
        <v>-11070.553</v>
      </c>
    </row>
    <row r="91">
      <c r="A91" s="18" t="inlineStr">
        <is>
          <t>기타(순액)</t>
        </is>
      </c>
      <c r="C91" s="20" t="n">
        <v>950.64</v>
      </c>
      <c r="D91" s="20" t="n">
        <v>918.239</v>
      </c>
      <c r="E91" s="20" t="n">
        <v>951.689</v>
      </c>
      <c r="F91" s="20" t="n">
        <v>951.824</v>
      </c>
      <c r="G91" s="20" t="n">
        <v>1039.624</v>
      </c>
      <c r="H91" s="20" t="n">
        <v>1190.82</v>
      </c>
      <c r="I91" s="20" t="n">
        <v>965.965</v>
      </c>
      <c r="J91" s="20" t="n">
        <v>978.917</v>
      </c>
      <c r="K91" s="20" t="n">
        <v>915.3049999999999</v>
      </c>
      <c r="L91" s="20" t="n">
        <v>951.824</v>
      </c>
    </row>
    <row r="92">
      <c r="A92" s="18" t="inlineStr">
        <is>
          <t>유형자산 합계</t>
        </is>
      </c>
      <c r="C92" s="20" t="n">
        <v>39556.874</v>
      </c>
      <c r="D92" s="20" t="n">
        <v>39740.623</v>
      </c>
      <c r="E92" s="20" t="n">
        <v>41056.009</v>
      </c>
      <c r="F92" s="20" t="n">
        <v>42298.527</v>
      </c>
      <c r="G92" s="20" t="n">
        <v>41854.007</v>
      </c>
      <c r="H92" s="20" t="n">
        <v>30112.539</v>
      </c>
      <c r="I92" s="20" t="n">
        <v>30399.256</v>
      </c>
      <c r="J92" s="20" t="n">
        <v>35350.077</v>
      </c>
      <c r="K92" s="20" t="n">
        <v>39552.801</v>
      </c>
      <c r="L92" s="20" t="n">
        <v>42298.527</v>
      </c>
    </row>
    <row r="93">
      <c r="A93" s="18" t="inlineStr">
        <is>
          <t>소프트웨어</t>
        </is>
      </c>
      <c r="C93" s="20" t="n">
        <v>236.716</v>
      </c>
      <c r="D93" s="20" t="n">
        <v>248.361</v>
      </c>
      <c r="E93" s="20" t="n">
        <v>237.389</v>
      </c>
      <c r="F93" s="20" t="n">
        <v>230.791</v>
      </c>
      <c r="G93" s="20" t="n">
        <v>224.939</v>
      </c>
      <c r="H93" s="20" t="n">
        <v>158.869</v>
      </c>
      <c r="I93" s="20" t="n">
        <v>149.505</v>
      </c>
      <c r="J93" s="20" t="n">
        <v>171.538</v>
      </c>
      <c r="K93" s="20" t="n">
        <v>197.057</v>
      </c>
      <c r="L93" s="20" t="n">
        <v>230.791</v>
      </c>
    </row>
    <row r="94">
      <c r="A94" s="18" t="inlineStr">
        <is>
          <t>기타</t>
        </is>
      </c>
      <c r="C94" s="20" t="n">
        <v>10.683</v>
      </c>
      <c r="D94" s="20" t="n">
        <v>32.915</v>
      </c>
      <c r="E94" s="20" t="n">
        <v>57.626</v>
      </c>
      <c r="F94" s="20" t="n">
        <v>95.68300000000001</v>
      </c>
      <c r="G94" s="20" t="n">
        <v>93.81999999999999</v>
      </c>
      <c r="H94" s="20" t="n">
        <v>50.586</v>
      </c>
      <c r="I94" s="20" t="n">
        <v>16.236</v>
      </c>
      <c r="J94" s="20" t="n">
        <v>32.597</v>
      </c>
      <c r="K94" s="20" t="n">
        <v>61.848</v>
      </c>
      <c r="L94" s="20" t="n">
        <v>95.68300000000001</v>
      </c>
    </row>
    <row r="95">
      <c r="A95" s="18" t="inlineStr">
        <is>
          <t>무형자산 합계</t>
        </is>
      </c>
      <c r="C95" s="20" t="n">
        <v>247.4</v>
      </c>
      <c r="D95" s="20" t="n">
        <v>281.277</v>
      </c>
      <c r="E95" s="20" t="n">
        <v>295.016</v>
      </c>
      <c r="F95" s="20" t="n">
        <v>326.474</v>
      </c>
      <c r="G95" s="20" t="n">
        <v>318.76</v>
      </c>
      <c r="H95" s="20" t="n">
        <v>209.455</v>
      </c>
      <c r="I95" s="20" t="n">
        <v>165.742</v>
      </c>
      <c r="J95" s="20" t="n">
        <v>204.136</v>
      </c>
      <c r="K95" s="20" t="n">
        <v>258.905</v>
      </c>
      <c r="L95" s="20" t="n">
        <v>326.474</v>
      </c>
    </row>
    <row r="96">
      <c r="A96" s="18" t="inlineStr">
        <is>
          <t>투자유가증권</t>
        </is>
      </c>
      <c r="C96" s="20" t="n">
        <v>30878.509</v>
      </c>
      <c r="D96" s="20" t="n">
        <v>35588.36</v>
      </c>
      <c r="E96" s="20" t="n">
        <v>26355.003</v>
      </c>
      <c r="F96" s="20" t="n">
        <v>24848.358</v>
      </c>
      <c r="G96" s="20" t="n">
        <v>23609.761</v>
      </c>
      <c r="H96" s="20" t="n">
        <v>24759.005</v>
      </c>
      <c r="I96" s="20" t="n">
        <v>22048.931</v>
      </c>
      <c r="J96" s="20" t="n">
        <v>41827.887</v>
      </c>
      <c r="K96" s="20" t="n">
        <v>31720.071</v>
      </c>
      <c r="L96" s="20" t="n">
        <v>24848.358</v>
      </c>
    </row>
    <row r="97">
      <c r="A97" s="18" t="inlineStr">
        <is>
          <t>장기선급비용</t>
        </is>
      </c>
      <c r="C97" s="20" t="n">
        <v>394.403</v>
      </c>
      <c r="D97" s="20" t="n">
        <v>400.777</v>
      </c>
      <c r="E97" s="20" t="n">
        <v>424.467</v>
      </c>
      <c r="F97" s="20" t="n">
        <v>435.417</v>
      </c>
      <c r="G97" s="20" t="n">
        <v>445.488</v>
      </c>
      <c r="H97" s="20" t="n">
        <v>578.7910000000001</v>
      </c>
      <c r="I97" s="20" t="n">
        <v>668.525</v>
      </c>
      <c r="J97" s="20" t="n">
        <v>597.348</v>
      </c>
      <c r="K97" s="20" t="n">
        <v>427.456</v>
      </c>
      <c r="L97" s="20" t="n">
        <v>435.417</v>
      </c>
    </row>
    <row r="98">
      <c r="A98" s="18" t="inlineStr">
        <is>
          <t>이연법인세자산</t>
        </is>
      </c>
      <c r="C98" s="20" t="n">
        <v>238.122</v>
      </c>
      <c r="D98" s="20" t="n">
        <v>277.493</v>
      </c>
      <c r="E98" s="20" t="n">
        <v>247.68</v>
      </c>
      <c r="F98" s="20" t="n">
        <v>220.632</v>
      </c>
      <c r="G98" s="20" t="n">
        <v>266.139</v>
      </c>
      <c r="H98" s="20" t="n">
        <v>224.286</v>
      </c>
      <c r="I98" s="20" t="n">
        <v>199.035</v>
      </c>
      <c r="J98" s="20" t="n">
        <v>217.777</v>
      </c>
      <c r="K98" s="20" t="n">
        <v>284.938</v>
      </c>
      <c r="L98" s="20" t="n">
        <v>220.632</v>
      </c>
    </row>
    <row r="99">
      <c r="A99" s="18" t="inlineStr">
        <is>
          <t>퇴직급여자산</t>
        </is>
      </c>
      <c r="C99" s="20" t="n">
        <v>14557.426</v>
      </c>
      <c r="D99" s="20" t="n">
        <v>14802.88</v>
      </c>
      <c r="E99" s="20" t="n">
        <v>15025.148</v>
      </c>
      <c r="F99" s="20" t="n">
        <v>20542.098</v>
      </c>
      <c r="G99" s="20" t="n">
        <v>20791.505</v>
      </c>
      <c r="H99" s="20" t="n">
        <v>8854.947</v>
      </c>
      <c r="I99" s="20" t="n">
        <v>7925.067</v>
      </c>
      <c r="J99" s="20" t="n">
        <v>19018.464</v>
      </c>
      <c r="K99" s="20" t="n">
        <v>14317.554</v>
      </c>
      <c r="L99" s="20" t="n">
        <v>20542.098</v>
      </c>
    </row>
    <row r="100">
      <c r="A100" s="18" t="inlineStr">
        <is>
          <t>기타</t>
        </is>
      </c>
      <c r="C100" s="20" t="n">
        <v>389.656</v>
      </c>
      <c r="D100" s="20" t="n">
        <v>403.036</v>
      </c>
      <c r="E100" s="20" t="n">
        <v>377.823</v>
      </c>
      <c r="F100" s="20" t="n">
        <v>379.114</v>
      </c>
      <c r="G100" s="20" t="n">
        <v>371.797</v>
      </c>
      <c r="H100" s="20" t="n">
        <v>287.891</v>
      </c>
      <c r="I100" s="20" t="n">
        <v>291.4</v>
      </c>
      <c r="J100" s="20" t="n">
        <v>244.498</v>
      </c>
      <c r="K100" s="20" t="n">
        <v>372.604</v>
      </c>
      <c r="L100" s="20" t="n">
        <v>379.114</v>
      </c>
    </row>
    <row r="101">
      <c r="A101" s="18" t="inlineStr">
        <is>
          <t>대손충당금</t>
        </is>
      </c>
      <c r="C101" s="20" t="n">
        <v>-10.426</v>
      </c>
      <c r="D101" s="20" t="n">
        <v>-10.426</v>
      </c>
      <c r="E101" s="20" t="n">
        <v>-10.426</v>
      </c>
      <c r="F101" s="20" t="n">
        <v>-10.426</v>
      </c>
      <c r="G101" s="20" t="n">
        <v>-10.426</v>
      </c>
      <c r="H101" s="20" t="n">
        <v>-55.515</v>
      </c>
      <c r="I101" s="20" t="n">
        <v>-56.053</v>
      </c>
      <c r="J101" s="20" t="n">
        <v>-10.426</v>
      </c>
      <c r="K101" s="20" t="n">
        <v>-10.426</v>
      </c>
      <c r="L101" s="20" t="n">
        <v>-10.426</v>
      </c>
    </row>
    <row r="102">
      <c r="A102" s="18" t="inlineStr">
        <is>
          <t>투자 및 기타자산 합계</t>
        </is>
      </c>
      <c r="C102" s="20" t="n">
        <v>46447.692</v>
      </c>
      <c r="D102" s="20" t="n">
        <v>51462.122</v>
      </c>
      <c r="E102" s="20" t="n">
        <v>42419.696</v>
      </c>
      <c r="F102" s="20" t="n">
        <v>46415.195</v>
      </c>
      <c r="G102" s="20" t="n">
        <v>45474.265</v>
      </c>
      <c r="H102" s="20" t="n">
        <v>34649.407</v>
      </c>
      <c r="I102" s="20" t="n">
        <v>31076.906</v>
      </c>
      <c r="J102" s="20" t="n">
        <v>61895.549</v>
      </c>
      <c r="K102" s="20" t="n">
        <v>47112.199</v>
      </c>
      <c r="L102" s="20" t="n">
        <v>46415.195</v>
      </c>
    </row>
    <row r="103">
      <c r="A103" s="9" t="inlineStr">
        <is>
          <t>비유동자산 합계</t>
        </is>
      </c>
      <c r="C103" s="12" t="n">
        <v>86251.967</v>
      </c>
      <c r="D103" s="12" t="n">
        <v>91484.024</v>
      </c>
      <c r="E103" s="12" t="n">
        <v>83770.72100000001</v>
      </c>
      <c r="F103" s="12" t="n">
        <v>89040.197</v>
      </c>
      <c r="G103" s="12" t="n">
        <v>87647.033</v>
      </c>
      <c r="H103" s="12" t="n">
        <v>64971.401</v>
      </c>
      <c r="I103" s="12" t="n">
        <v>61641.904</v>
      </c>
      <c r="J103" s="12" t="n">
        <v>97449.76300000001</v>
      </c>
      <c r="K103" s="12" t="n">
        <v>86923.906</v>
      </c>
      <c r="L103" s="12" t="n">
        <v>89040.197</v>
      </c>
    </row>
    <row r="104">
      <c r="A104" s="9" t="inlineStr">
        <is>
          <t>자산 합계</t>
        </is>
      </c>
      <c r="C104" s="12" t="n">
        <v>139519.718</v>
      </c>
      <c r="D104" s="12" t="n">
        <v>144952.34</v>
      </c>
      <c r="E104" s="12" t="n">
        <v>150059.862</v>
      </c>
      <c r="F104" s="12" t="n">
        <v>154908.571</v>
      </c>
      <c r="G104" s="12" t="n">
        <v>147955.098</v>
      </c>
      <c r="H104" s="12" t="n">
        <v>104553.214</v>
      </c>
      <c r="I104" s="12" t="n">
        <v>107115.32</v>
      </c>
      <c r="J104" s="12" t="n">
        <v>153572.894</v>
      </c>
      <c r="K104" s="12" t="n">
        <v>142907.552</v>
      </c>
      <c r="L104" s="12" t="n">
        <v>154908.571</v>
      </c>
    </row>
    <row r="105">
      <c r="A105" s="18" t="inlineStr">
        <is>
          <t>지급어음·매입채무</t>
        </is>
      </c>
      <c r="C105" s="20" t="n">
        <v>11949.688</v>
      </c>
      <c r="D105" s="20" t="n">
        <v>12400.717</v>
      </c>
      <c r="E105" s="20" t="n">
        <v>12090.241</v>
      </c>
      <c r="F105" s="20" t="n">
        <v>11135.072</v>
      </c>
      <c r="G105" s="20" t="n">
        <v>10889.798</v>
      </c>
      <c r="H105" s="20" t="n">
        <v>9938.722</v>
      </c>
      <c r="I105" s="20" t="n">
        <v>11791.051</v>
      </c>
      <c r="J105" s="20" t="n">
        <v>11124.427</v>
      </c>
      <c r="K105" s="20" t="n">
        <v>12435.061</v>
      </c>
      <c r="L105" s="20" t="n">
        <v>11135.072</v>
      </c>
    </row>
    <row r="106">
      <c r="A106" s="18" t="inlineStr">
        <is>
          <t>전자기록채무</t>
        </is>
      </c>
      <c r="C106" s="20" t="n">
        <v>1443.791</v>
      </c>
      <c r="D106" s="20" t="n">
        <v>1474.917</v>
      </c>
      <c r="E106" s="20" t="n">
        <v>1686.451</v>
      </c>
      <c r="F106" s="20" t="n">
        <v>1175.674</v>
      </c>
      <c r="G106" s="20" t="n">
        <v>1136.313</v>
      </c>
      <c r="H106" s="20" t="n">
        <v>1509.676</v>
      </c>
      <c r="I106" s="20" t="n">
        <v>1615.05</v>
      </c>
      <c r="J106" s="20" t="n">
        <v>1629.067</v>
      </c>
      <c r="K106" s="20" t="n">
        <v>1404.902</v>
      </c>
      <c r="L106" s="20" t="n">
        <v>1175.674</v>
      </c>
    </row>
    <row r="107">
      <c r="A107" s="18" t="inlineStr">
        <is>
          <t>단기차입금</t>
        </is>
      </c>
      <c r="C107" s="20" t="n">
        <v>665</v>
      </c>
      <c r="D107" s="20" t="n">
        <v>665</v>
      </c>
      <c r="E107" s="20" t="n">
        <v>350</v>
      </c>
      <c r="F107" s="20" t="n">
        <v>300</v>
      </c>
      <c r="G107" s="20" t="n">
        <v>300</v>
      </c>
      <c r="H107" s="20" t="n">
        <v>1948.95</v>
      </c>
      <c r="I107" s="20" t="n">
        <v>711.5</v>
      </c>
      <c r="J107" s="20" t="n">
        <v>686</v>
      </c>
      <c r="K107" s="20" t="n">
        <v>668.5</v>
      </c>
      <c r="L107" s="20" t="n">
        <v>300</v>
      </c>
    </row>
    <row r="108">
      <c r="A108" s="18" t="inlineStr">
        <is>
          <t>1년 내 상환 장기차입금</t>
        </is>
      </c>
      <c r="C108" s="20" t="n">
        <v>3021.6</v>
      </c>
      <c r="D108" s="20" t="n">
        <v>3021.6</v>
      </c>
      <c r="E108" s="20" t="n">
        <v>3022.56</v>
      </c>
      <c r="F108" s="20" t="n">
        <v>3022.56</v>
      </c>
      <c r="G108" s="20" t="n">
        <v>21.84</v>
      </c>
      <c r="H108" s="20" t="n">
        <v>114.621</v>
      </c>
      <c r="I108" s="20" t="n">
        <v>4550.963</v>
      </c>
      <c r="J108" s="20" t="n">
        <v>0</v>
      </c>
      <c r="K108" s="20" t="n">
        <v>21.84</v>
      </c>
      <c r="L108" s="20" t="n">
        <v>3022.56</v>
      </c>
    </row>
    <row r="109">
      <c r="A109" s="18" t="inlineStr">
        <is>
          <t>리스부채</t>
        </is>
      </c>
      <c r="C109" s="20" t="n">
        <v>131.152</v>
      </c>
      <c r="D109" s="20" t="n">
        <v>139.882</v>
      </c>
      <c r="E109" s="20" t="n">
        <v>137.525</v>
      </c>
      <c r="F109" s="20" t="n">
        <v>149.675</v>
      </c>
      <c r="G109" s="20" t="n">
        <v>145.357</v>
      </c>
      <c r="H109" s="20" t="n">
        <v>106.487</v>
      </c>
      <c r="I109" s="20" t="n">
        <v>95.809</v>
      </c>
      <c r="J109" s="20" t="n">
        <v>124.495</v>
      </c>
      <c r="K109" s="20" t="n">
        <v>115.216</v>
      </c>
      <c r="L109" s="20" t="n">
        <v>149.675</v>
      </c>
    </row>
    <row r="110">
      <c r="A110" s="18" t="inlineStr">
        <is>
          <t>미지급금</t>
        </is>
      </c>
      <c r="C110" s="20" t="n">
        <v>525.927</v>
      </c>
      <c r="D110" s="20" t="n">
        <v>781.801</v>
      </c>
      <c r="E110" s="20" t="n">
        <v>728.0410000000001</v>
      </c>
      <c r="F110" s="20" t="n">
        <v>3960.091</v>
      </c>
      <c r="G110" s="20" t="n">
        <v>596.1660000000001</v>
      </c>
      <c r="H110" s="20" t="n">
        <v>756.799</v>
      </c>
      <c r="I110" s="20" t="n">
        <v>982.878</v>
      </c>
      <c r="J110" s="20" t="n">
        <v>1933.551</v>
      </c>
      <c r="K110" s="20" t="n">
        <v>3250.191</v>
      </c>
      <c r="L110" s="20" t="n">
        <v>3960.091</v>
      </c>
    </row>
    <row r="111">
      <c r="A111" s="18" t="inlineStr">
        <is>
          <t>미지급비용</t>
        </is>
      </c>
      <c r="C111" s="20" t="n">
        <v>3982.106</v>
      </c>
      <c r="D111" s="20" t="n">
        <v>2251.575</v>
      </c>
      <c r="E111" s="20" t="n">
        <v>2446.152</v>
      </c>
      <c r="F111" s="20" t="n">
        <v>2601.198</v>
      </c>
      <c r="G111" s="20" t="n">
        <v>4429.938</v>
      </c>
      <c r="H111" s="20" t="n">
        <v>1505.482</v>
      </c>
      <c r="I111" s="20" t="n">
        <v>1724.824</v>
      </c>
      <c r="J111" s="20" t="n">
        <v>1947.471</v>
      </c>
      <c r="K111" s="20" t="n">
        <v>2116.873</v>
      </c>
      <c r="L111" s="20" t="n">
        <v>2601.198</v>
      </c>
    </row>
    <row r="112">
      <c r="A112" s="18" t="inlineStr">
        <is>
          <t>미지급법인세</t>
        </is>
      </c>
      <c r="C112" s="20" t="n">
        <v>159.503</v>
      </c>
      <c r="D112" s="20" t="n">
        <v>388.049</v>
      </c>
      <c r="E112" s="20" t="n">
        <v>4454.234</v>
      </c>
      <c r="F112" s="20" t="n">
        <v>3238.055</v>
      </c>
      <c r="G112" s="20" t="n">
        <v>221.36</v>
      </c>
      <c r="H112" s="20" t="n">
        <v>448.211</v>
      </c>
      <c r="I112" s="20" t="n">
        <v>316.186</v>
      </c>
      <c r="J112" s="20" t="n">
        <v>391.585</v>
      </c>
      <c r="K112" s="20" t="n">
        <v>461.365</v>
      </c>
      <c r="L112" s="20" t="n">
        <v>3238.055</v>
      </c>
    </row>
    <row r="113">
      <c r="A113" s="18" t="inlineStr">
        <is>
          <t>상여충당금</t>
        </is>
      </c>
      <c r="C113" s="20" t="n">
        <v>842.838</v>
      </c>
      <c r="D113" s="20" t="n">
        <v>1676.326</v>
      </c>
      <c r="E113" s="20" t="n">
        <v>896.707</v>
      </c>
      <c r="F113" s="20" t="n">
        <v>1734.883</v>
      </c>
      <c r="G113" s="20" t="n">
        <v>909.5549999999999</v>
      </c>
      <c r="H113" s="20" t="n">
        <v>1531.898</v>
      </c>
      <c r="I113" s="20" t="n">
        <v>1411.775</v>
      </c>
      <c r="J113" s="20" t="n">
        <v>1465.004</v>
      </c>
      <c r="K113" s="20" t="n">
        <v>1678.122</v>
      </c>
      <c r="L113" s="20" t="n">
        <v>1734.883</v>
      </c>
    </row>
    <row r="114">
      <c r="A114" s="18" t="inlineStr">
        <is>
          <t>임원 상여충당금</t>
        </is>
      </c>
      <c r="C114" s="20" t="n">
        <v>11.666</v>
      </c>
      <c r="D114" s="20" t="n">
        <v>24.151</v>
      </c>
      <c r="E114" s="20" t="n">
        <v>40.063</v>
      </c>
      <c r="F114" s="20" t="n">
        <v>55.733</v>
      </c>
      <c r="G114" s="20" t="n">
        <v>15.22</v>
      </c>
      <c r="H114" s="20" t="n">
        <v>74.014</v>
      </c>
      <c r="I114" s="20" t="n">
        <v>60.444</v>
      </c>
      <c r="J114" s="20" t="n">
        <v>58.394</v>
      </c>
      <c r="K114" s="20" t="n">
        <v>52.6</v>
      </c>
      <c r="L114" s="20" t="n">
        <v>55.733</v>
      </c>
    </row>
    <row r="115">
      <c r="A115" s="18" t="inlineStr">
        <is>
          <t>제품보증 충당금</t>
        </is>
      </c>
      <c r="C115" s="20" t="n">
        <v>2396.373</v>
      </c>
      <c r="D115" s="20" t="n">
        <v>2398.221</v>
      </c>
      <c r="E115" s="20" t="n">
        <v>2397.71</v>
      </c>
      <c r="F115" s="20" t="n">
        <v>213.837</v>
      </c>
      <c r="G115" s="20" t="n">
        <v>199.713</v>
      </c>
      <c r="H115" s="20" t="n">
        <v>21.099</v>
      </c>
      <c r="I115" s="20" t="n">
        <v>20.4</v>
      </c>
      <c r="J115" s="20" t="n">
        <v>19.16</v>
      </c>
      <c r="K115" s="20" t="n">
        <v>2398.078</v>
      </c>
      <c r="L115" s="20" t="n">
        <v>213.837</v>
      </c>
    </row>
    <row r="116">
      <c r="A116" s="18" t="inlineStr">
        <is>
          <t>Provision For Loss On Disaster CL</t>
        </is>
      </c>
      <c r="C116" s="20" t="n">
        <v>3.904</v>
      </c>
      <c r="D116" s="20" t="n">
        <v>0</v>
      </c>
      <c r="E116" s="20" t="n">
        <v>0</v>
      </c>
      <c r="F116" s="20" t="n">
        <v>0</v>
      </c>
      <c r="J116" s="20" t="n">
        <v>0</v>
      </c>
      <c r="K116" s="20" t="n">
        <v>151.904</v>
      </c>
      <c r="L116" s="20" t="n">
        <v>0</v>
      </c>
    </row>
    <row r="117">
      <c r="A117" s="18" t="inlineStr">
        <is>
          <t>Provision For Business Structure Improvement CL</t>
        </is>
      </c>
      <c r="C117" s="20" t="n">
        <v>45.088</v>
      </c>
      <c r="D117" s="20" t="n">
        <v>17.629</v>
      </c>
      <c r="E117" s="20" t="n">
        <v>1.543</v>
      </c>
      <c r="F117" s="20" t="n">
        <v>0</v>
      </c>
      <c r="J117" s="20" t="n">
        <v>0</v>
      </c>
      <c r="K117" s="20" t="n">
        <v>81.78700000000001</v>
      </c>
      <c r="L117" s="20" t="n">
        <v>0</v>
      </c>
    </row>
    <row r="118">
      <c r="A118" s="18" t="inlineStr">
        <is>
          <t>기타</t>
        </is>
      </c>
      <c r="C118" s="20" t="n">
        <v>1151.825</v>
      </c>
      <c r="D118" s="20" t="n">
        <v>717.357</v>
      </c>
      <c r="E118" s="20" t="n">
        <v>1318.311</v>
      </c>
      <c r="F118" s="20" t="n">
        <v>851.323</v>
      </c>
      <c r="G118" s="20" t="n">
        <v>1097.132</v>
      </c>
      <c r="H118" s="20" t="n">
        <v>414.696</v>
      </c>
      <c r="I118" s="20" t="n">
        <v>426.608</v>
      </c>
      <c r="J118" s="20" t="n">
        <v>720.548</v>
      </c>
      <c r="K118" s="20" t="n">
        <v>858.353</v>
      </c>
      <c r="L118" s="20" t="n">
        <v>851.323</v>
      </c>
    </row>
    <row r="119">
      <c r="A119" s="9" t="inlineStr">
        <is>
          <t>유동부채 합계</t>
        </is>
      </c>
      <c r="C119" s="12" t="n">
        <v>26330.465</v>
      </c>
      <c r="D119" s="12" t="n">
        <v>25957.231</v>
      </c>
      <c r="E119" s="12" t="n">
        <v>29569.543</v>
      </c>
      <c r="F119" s="12" t="n">
        <v>28438.106</v>
      </c>
      <c r="G119" s="12" t="n">
        <v>19962.396</v>
      </c>
      <c r="H119" s="12" t="n">
        <v>18370.661</v>
      </c>
      <c r="I119" s="12" t="n">
        <v>23707.493</v>
      </c>
      <c r="J119" s="12" t="n">
        <v>20099.707</v>
      </c>
      <c r="K119" s="12" t="n">
        <v>25694.797</v>
      </c>
      <c r="L119" s="12" t="n">
        <v>28438.106</v>
      </c>
    </row>
    <row r="120">
      <c r="A120" s="18" t="inlineStr">
        <is>
          <t>장기차입금</t>
        </is>
      </c>
      <c r="C120" s="20" t="n">
        <v>20086.4</v>
      </c>
      <c r="D120" s="20" t="n">
        <v>20075.6</v>
      </c>
      <c r="E120" s="20" t="n">
        <v>20078.96</v>
      </c>
      <c r="F120" s="20" t="n">
        <v>20067.68</v>
      </c>
      <c r="G120" s="20" t="n">
        <v>23065.52</v>
      </c>
      <c r="H120" s="20" t="n">
        <v>4636.799</v>
      </c>
      <c r="I120" s="20" t="n">
        <v>6072.5</v>
      </c>
      <c r="J120" s="20" t="n">
        <v>23000</v>
      </c>
      <c r="K120" s="20" t="n">
        <v>23087.36</v>
      </c>
      <c r="L120" s="20" t="n">
        <v>20067.68</v>
      </c>
    </row>
    <row r="121">
      <c r="A121" s="18" t="inlineStr">
        <is>
          <t>리스부채</t>
        </is>
      </c>
      <c r="C121" s="20" t="n">
        <v>286.833</v>
      </c>
      <c r="D121" s="20" t="n">
        <v>303.531</v>
      </c>
      <c r="E121" s="20" t="n">
        <v>293.738</v>
      </c>
      <c r="F121" s="20" t="n">
        <v>318.161</v>
      </c>
      <c r="G121" s="20" t="n">
        <v>302.893</v>
      </c>
      <c r="H121" s="20" t="n">
        <v>169.506</v>
      </c>
      <c r="I121" s="20" t="n">
        <v>130.564</v>
      </c>
      <c r="J121" s="20" t="n">
        <v>246.426</v>
      </c>
      <c r="K121" s="20" t="n">
        <v>231.694</v>
      </c>
      <c r="L121" s="20" t="n">
        <v>318.161</v>
      </c>
    </row>
    <row r="122">
      <c r="A122" s="18" t="inlineStr">
        <is>
          <t>이연법인세부채</t>
        </is>
      </c>
      <c r="C122" s="20" t="n">
        <v>11187.922</v>
      </c>
      <c r="D122" s="20" t="n">
        <v>12640.237</v>
      </c>
      <c r="E122" s="20" t="n">
        <v>9900.207</v>
      </c>
      <c r="F122" s="20" t="n">
        <v>12284.36</v>
      </c>
      <c r="G122" s="20" t="n">
        <v>11896.208</v>
      </c>
      <c r="H122" s="20" t="n">
        <v>8313.343000000001</v>
      </c>
      <c r="I122" s="20" t="n">
        <v>7165.726</v>
      </c>
      <c r="J122" s="20" t="n">
        <v>16437.938</v>
      </c>
      <c r="K122" s="20" t="n">
        <v>11445.886</v>
      </c>
      <c r="L122" s="20" t="n">
        <v>12284.36</v>
      </c>
    </row>
    <row r="123">
      <c r="A123" s="18" t="inlineStr">
        <is>
          <t>임원 퇴직위로 충당금</t>
        </is>
      </c>
      <c r="C123" s="20" t="n">
        <v>36.086</v>
      </c>
      <c r="D123" s="20" t="n">
        <v>38.798</v>
      </c>
      <c r="E123" s="20" t="n">
        <v>41.51</v>
      </c>
      <c r="F123" s="20" t="n">
        <v>44.222</v>
      </c>
      <c r="G123" s="20" t="n">
        <v>47.204</v>
      </c>
      <c r="H123" s="20" t="n">
        <v>176.313</v>
      </c>
      <c r="I123" s="20" t="n">
        <v>90.44499999999999</v>
      </c>
      <c r="J123" s="20" t="n">
        <v>68.672</v>
      </c>
      <c r="K123" s="20" t="n">
        <v>33.408</v>
      </c>
      <c r="L123" s="20" t="n">
        <v>44.222</v>
      </c>
    </row>
    <row r="124">
      <c r="A124" s="18" t="inlineStr">
        <is>
          <t>퇴직급여부채</t>
        </is>
      </c>
      <c r="C124" s="20" t="n">
        <v>1183.233</v>
      </c>
      <c r="D124" s="20" t="n">
        <v>1208.988</v>
      </c>
      <c r="E124" s="20" t="n">
        <v>1260.37</v>
      </c>
      <c r="F124" s="20" t="n">
        <v>1285.397</v>
      </c>
      <c r="G124" s="20" t="n">
        <v>1294.691</v>
      </c>
      <c r="H124" s="20" t="n">
        <v>1232.954</v>
      </c>
      <c r="I124" s="20" t="n">
        <v>1148.884</v>
      </c>
      <c r="J124" s="20" t="n">
        <v>1085.35</v>
      </c>
      <c r="K124" s="20" t="n">
        <v>1143.831</v>
      </c>
      <c r="L124" s="20" t="n">
        <v>1285.397</v>
      </c>
    </row>
    <row r="125">
      <c r="A125" s="18" t="inlineStr">
        <is>
          <t>자산복구부채</t>
        </is>
      </c>
      <c r="C125" s="20" t="n">
        <v>126.358</v>
      </c>
      <c r="D125" s="20" t="n">
        <v>126.79</v>
      </c>
      <c r="E125" s="20" t="n">
        <v>127.223</v>
      </c>
      <c r="F125" s="20" t="n">
        <v>127.656</v>
      </c>
      <c r="G125" s="20" t="n">
        <v>128.098</v>
      </c>
      <c r="H125" s="20" t="n">
        <v>133.361</v>
      </c>
      <c r="I125" s="20" t="n">
        <v>134.979</v>
      </c>
      <c r="J125" s="20" t="n">
        <v>136.633</v>
      </c>
      <c r="K125" s="20" t="n">
        <v>125.925</v>
      </c>
      <c r="L125" s="20" t="n">
        <v>127.656</v>
      </c>
    </row>
    <row r="126">
      <c r="A126" s="18" t="inlineStr">
        <is>
          <t>기타</t>
        </is>
      </c>
      <c r="C126" s="20" t="n">
        <v>95.577</v>
      </c>
      <c r="D126" s="20" t="n">
        <v>100.714</v>
      </c>
      <c r="E126" s="20" t="n">
        <v>104.203</v>
      </c>
      <c r="F126" s="20" t="n">
        <v>107.894</v>
      </c>
      <c r="G126" s="20" t="n">
        <v>140.361</v>
      </c>
      <c r="H126" s="20" t="n">
        <v>95.16500000000001</v>
      </c>
      <c r="I126" s="20" t="n">
        <v>99.307</v>
      </c>
      <c r="J126" s="20" t="n">
        <v>102.414</v>
      </c>
      <c r="K126" s="20" t="n">
        <v>99.09699999999999</v>
      </c>
      <c r="L126" s="20" t="n">
        <v>107.894</v>
      </c>
    </row>
    <row r="127">
      <c r="A127" s="9" t="inlineStr">
        <is>
          <t>비유동부채 합계</t>
        </is>
      </c>
      <c r="C127" s="12" t="n">
        <v>33002.41</v>
      </c>
      <c r="D127" s="12" t="n">
        <v>34494.66</v>
      </c>
      <c r="E127" s="12" t="n">
        <v>31806.213</v>
      </c>
      <c r="F127" s="12" t="n">
        <v>34235.37</v>
      </c>
      <c r="G127" s="12" t="n">
        <v>36874.977</v>
      </c>
      <c r="H127" s="12" t="n">
        <v>14757.444</v>
      </c>
      <c r="I127" s="12" t="n">
        <v>14842.407</v>
      </c>
      <c r="J127" s="12" t="n">
        <v>41077.435</v>
      </c>
      <c r="K127" s="12" t="n">
        <v>36167.204</v>
      </c>
      <c r="L127" s="12" t="n">
        <v>34235.37</v>
      </c>
    </row>
    <row r="128">
      <c r="A128" s="9" t="inlineStr">
        <is>
          <t>부채 합계</t>
        </is>
      </c>
      <c r="C128" s="12" t="n">
        <v>59332.875</v>
      </c>
      <c r="D128" s="12" t="n">
        <v>60451.891</v>
      </c>
      <c r="E128" s="12" t="n">
        <v>61375.757</v>
      </c>
      <c r="F128" s="12" t="n">
        <v>62673.476</v>
      </c>
      <c r="G128" s="12" t="n">
        <v>56837.374</v>
      </c>
      <c r="H128" s="12" t="n">
        <v>33128.106</v>
      </c>
      <c r="I128" s="12" t="n">
        <v>38549.901</v>
      </c>
      <c r="J128" s="12" t="n">
        <v>61177.142</v>
      </c>
      <c r="K128" s="12" t="n">
        <v>61862.001</v>
      </c>
      <c r="L128" s="12" t="n">
        <v>62673.476</v>
      </c>
    </row>
    <row r="129">
      <c r="A129" s="18" t="inlineStr">
        <is>
          <t>자본금</t>
        </is>
      </c>
      <c r="C129" s="20" t="n">
        <v>10837.208</v>
      </c>
      <c r="D129" s="20" t="n">
        <v>10837.208</v>
      </c>
      <c r="E129" s="20" t="n">
        <v>10837.208</v>
      </c>
      <c r="F129" s="20" t="n">
        <v>10837.208</v>
      </c>
      <c r="G129" s="20" t="n">
        <v>10837.208</v>
      </c>
      <c r="H129" s="20" t="n">
        <v>10837.208</v>
      </c>
      <c r="I129" s="20" t="n">
        <v>10837.208</v>
      </c>
      <c r="J129" s="20" t="n">
        <v>10837.208</v>
      </c>
      <c r="K129" s="20" t="n">
        <v>10837.208</v>
      </c>
      <c r="L129" s="20" t="n">
        <v>10837.208</v>
      </c>
    </row>
    <row r="130">
      <c r="A130" s="18" t="inlineStr">
        <is>
          <t>자본잉여금</t>
        </is>
      </c>
      <c r="C130" s="20" t="n">
        <v>11055.911</v>
      </c>
      <c r="D130" s="20" t="n">
        <v>11055.911</v>
      </c>
      <c r="E130" s="20" t="n">
        <v>11055.911</v>
      </c>
      <c r="F130" s="20" t="n">
        <v>11055.911</v>
      </c>
      <c r="G130" s="20" t="n">
        <v>11055.911</v>
      </c>
      <c r="H130" s="20" t="n">
        <v>11056.764</v>
      </c>
      <c r="I130" s="20" t="n">
        <v>11074.224</v>
      </c>
      <c r="J130" s="20" t="n">
        <v>11074.224</v>
      </c>
      <c r="K130" s="20" t="n">
        <v>11055.911</v>
      </c>
      <c r="L130" s="20" t="n">
        <v>11055.911</v>
      </c>
    </row>
    <row r="131">
      <c r="A131" s="18" t="inlineStr">
        <is>
          <t>이익잉여금</t>
        </is>
      </c>
      <c r="C131" s="20" t="n">
        <v>29918.746</v>
      </c>
      <c r="D131" s="20" t="n">
        <v>30645.458</v>
      </c>
      <c r="E131" s="20" t="n">
        <v>40047.628</v>
      </c>
      <c r="F131" s="20" t="n">
        <v>40926.273</v>
      </c>
      <c r="G131" s="20" t="n">
        <v>40578.133</v>
      </c>
      <c r="H131" s="20" t="n">
        <v>27482.888</v>
      </c>
      <c r="I131" s="20" t="n">
        <v>27031.972</v>
      </c>
      <c r="J131" s="20" t="n">
        <v>28770.197</v>
      </c>
      <c r="K131" s="20" t="n">
        <v>29962.755</v>
      </c>
      <c r="L131" s="20" t="n">
        <v>40926.273</v>
      </c>
    </row>
    <row r="132">
      <c r="A132" s="18" t="inlineStr">
        <is>
          <t>자기주식</t>
        </is>
      </c>
      <c r="C132" s="20" t="n">
        <v>-309.953</v>
      </c>
      <c r="D132" s="20" t="n">
        <v>-311.32</v>
      </c>
      <c r="E132" s="20" t="n">
        <v>-312.375</v>
      </c>
      <c r="F132" s="20" t="n">
        <v>-313.342</v>
      </c>
      <c r="G132" s="20" t="n">
        <v>-314.864</v>
      </c>
      <c r="H132" s="20" t="n">
        <v>-672.425</v>
      </c>
      <c r="I132" s="20" t="n">
        <v>-307.894</v>
      </c>
      <c r="J132" s="20" t="n">
        <v>-308.631</v>
      </c>
      <c r="K132" s="20" t="n">
        <v>-309.523</v>
      </c>
      <c r="L132" s="20" t="n">
        <v>-313.342</v>
      </c>
    </row>
    <row r="133">
      <c r="A133" s="9" t="inlineStr">
        <is>
          <t>주주자본 합계</t>
        </is>
      </c>
      <c r="C133" s="12" t="n">
        <v>51501.913</v>
      </c>
      <c r="D133" s="12" t="n">
        <v>52227.258</v>
      </c>
      <c r="E133" s="12" t="n">
        <v>61628.372</v>
      </c>
      <c r="F133" s="12" t="n">
        <v>62506.051</v>
      </c>
      <c r="G133" s="12" t="n">
        <v>62156.388</v>
      </c>
      <c r="H133" s="12" t="n">
        <v>48704.436</v>
      </c>
      <c r="I133" s="12" t="n">
        <v>48635.51</v>
      </c>
      <c r="J133" s="12" t="n">
        <v>50372.999</v>
      </c>
      <c r="K133" s="12" t="n">
        <v>51546.352</v>
      </c>
      <c r="L133" s="12" t="n">
        <v>62506.051</v>
      </c>
    </row>
    <row r="134">
      <c r="A134" s="18" t="inlineStr">
        <is>
          <t>기타유가증권 평가차액</t>
        </is>
      </c>
      <c r="C134" s="20" t="n">
        <v>19036.802</v>
      </c>
      <c r="D134" s="20" t="n">
        <v>22275.302</v>
      </c>
      <c r="E134" s="20" t="n">
        <v>16247.628</v>
      </c>
      <c r="F134" s="20" t="n">
        <v>15268.887</v>
      </c>
      <c r="G134" s="20" t="n">
        <v>14420.073</v>
      </c>
      <c r="H134" s="20" t="n">
        <v>15067.575</v>
      </c>
      <c r="I134" s="20" t="n">
        <v>13163.372</v>
      </c>
      <c r="J134" s="20" t="n">
        <v>27012.568</v>
      </c>
      <c r="K134" s="20" t="n">
        <v>19621.14</v>
      </c>
      <c r="L134" s="20" t="n">
        <v>15268.887</v>
      </c>
    </row>
    <row r="135">
      <c r="A135" s="18" t="inlineStr">
        <is>
          <t>해외사업환산조정</t>
        </is>
      </c>
      <c r="C135" s="20" t="n">
        <v>1732.823</v>
      </c>
      <c r="D135" s="20" t="n">
        <v>2079.913</v>
      </c>
      <c r="E135" s="20" t="n">
        <v>2914.456</v>
      </c>
      <c r="F135" s="20" t="n">
        <v>3056.82</v>
      </c>
      <c r="G135" s="20" t="n">
        <v>3226.502</v>
      </c>
      <c r="H135" s="20" t="n">
        <v>680.825</v>
      </c>
      <c r="I135" s="20" t="n">
        <v>928.303</v>
      </c>
      <c r="J135" s="20" t="n">
        <v>1875.903</v>
      </c>
      <c r="K135" s="20" t="n">
        <v>1750.535</v>
      </c>
      <c r="L135" s="20" t="n">
        <v>3056.82</v>
      </c>
    </row>
    <row r="136">
      <c r="A136" s="18" t="inlineStr">
        <is>
          <t>퇴직급여 조정누계액</t>
        </is>
      </c>
      <c r="C136" s="20" t="n">
        <v>3684.17</v>
      </c>
      <c r="D136" s="20" t="n">
        <v>3551.58</v>
      </c>
      <c r="E136" s="20" t="n">
        <v>3424.657</v>
      </c>
      <c r="F136" s="20" t="n">
        <v>6901.854</v>
      </c>
      <c r="G136" s="20" t="n">
        <v>6763.455</v>
      </c>
      <c r="H136" s="20" t="n">
        <v>2650.253</v>
      </c>
      <c r="I136" s="20" t="n">
        <v>1509.696</v>
      </c>
      <c r="J136" s="20" t="n">
        <v>8650.948</v>
      </c>
      <c r="K136" s="20" t="n">
        <v>3831.98</v>
      </c>
      <c r="L136" s="20" t="n">
        <v>6901.854</v>
      </c>
    </row>
    <row r="137">
      <c r="A137" s="18" t="inlineStr">
        <is>
          <t>기타포괄손익누계액 합계</t>
        </is>
      </c>
      <c r="C137" s="20" t="n">
        <v>24453.797</v>
      </c>
      <c r="D137" s="20" t="n">
        <v>27906.796</v>
      </c>
      <c r="E137" s="20" t="n">
        <v>22586.741</v>
      </c>
      <c r="F137" s="20" t="n">
        <v>25227.562</v>
      </c>
      <c r="G137" s="20" t="n">
        <v>24410.032</v>
      </c>
      <c r="H137" s="20" t="n">
        <v>18398.654</v>
      </c>
      <c r="I137" s="20" t="n">
        <v>15601.372</v>
      </c>
      <c r="J137" s="20" t="n">
        <v>37539.42</v>
      </c>
      <c r="K137" s="20" t="n">
        <v>25203.656</v>
      </c>
      <c r="L137" s="20" t="n">
        <v>25227.562</v>
      </c>
    </row>
    <row r="138">
      <c r="A138" s="18" t="inlineStr">
        <is>
          <t>비지배지분</t>
        </is>
      </c>
      <c r="C138" s="20" t="n">
        <v>4231.131</v>
      </c>
      <c r="D138" s="20" t="n">
        <v>4366.393</v>
      </c>
      <c r="E138" s="20" t="n">
        <v>4468.99</v>
      </c>
      <c r="F138" s="20" t="n">
        <v>4501.481</v>
      </c>
      <c r="G138" s="20" t="n">
        <v>4551.303</v>
      </c>
      <c r="H138" s="20" t="n">
        <v>4322.016</v>
      </c>
      <c r="I138" s="20" t="n">
        <v>4328.535</v>
      </c>
      <c r="J138" s="20" t="n">
        <v>4483.332</v>
      </c>
      <c r="K138" s="20" t="n">
        <v>4295.541</v>
      </c>
      <c r="L138" s="20" t="n">
        <v>4501.481</v>
      </c>
    </row>
    <row r="139">
      <c r="A139" s="9" t="inlineStr">
        <is>
          <t>순자산 합계</t>
        </is>
      </c>
      <c r="C139" s="12" t="n">
        <v>80186.842</v>
      </c>
      <c r="D139" s="12" t="n">
        <v>84500.448</v>
      </c>
      <c r="E139" s="12" t="n">
        <v>88684.10400000001</v>
      </c>
      <c r="F139" s="12" t="n">
        <v>92235.094</v>
      </c>
      <c r="G139" s="12" t="n">
        <v>91117.724</v>
      </c>
      <c r="H139" s="12" t="n">
        <v>71425.107</v>
      </c>
      <c r="I139" s="12" t="n">
        <v>68565.41899999999</v>
      </c>
      <c r="J139" s="12" t="n">
        <v>92395.75199999999</v>
      </c>
      <c r="K139" s="12" t="n">
        <v>81045.55</v>
      </c>
      <c r="L139" s="12" t="n">
        <v>92235.094</v>
      </c>
    </row>
    <row r="140">
      <c r="A140" s="9" t="inlineStr">
        <is>
          <t>부채·순자산 합계</t>
        </is>
      </c>
      <c r="C140" s="12" t="n">
        <v>139519.718</v>
      </c>
      <c r="D140" s="12" t="n">
        <v>144952.34</v>
      </c>
      <c r="E140" s="12" t="n">
        <v>150059.862</v>
      </c>
      <c r="F140" s="12" t="n">
        <v>154908.571</v>
      </c>
      <c r="G140" s="12" t="n">
        <v>147955.098</v>
      </c>
      <c r="H140" s="12" t="n">
        <v>104553.214</v>
      </c>
      <c r="I140" s="12" t="n">
        <v>107115.32</v>
      </c>
      <c r="J140" s="12" t="n">
        <v>153572.894</v>
      </c>
      <c r="K140" s="12" t="n">
        <v>142907.552</v>
      </c>
      <c r="L140" s="12" t="n">
        <v>154908.571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１분기 결산단신</t>
        </is>
      </c>
      <c r="C4" t="inlineStr">
        <is>
          <t>https://www2.jpx.co.jp/disc/59920/140120260729501524.pdf</t>
        </is>
      </c>
    </row>
    <row r="5">
      <c r="A5" t="inlineStr">
        <is>
          <t>2026-04-27</t>
        </is>
      </c>
      <c r="B5" t="inlineStr">
        <is>
          <t>2026년 3월 결산기 연간 결산단신</t>
        </is>
      </c>
      <c r="C5" t="inlineStr">
        <is>
          <t>https://www2.jpx.co.jp/disc/59920/140120260424510774.pdf</t>
        </is>
      </c>
    </row>
    <row r="6">
      <c r="A6" t="inlineStr">
        <is>
          <t>2026-02-02</t>
        </is>
      </c>
      <c r="B6" t="inlineStr">
        <is>
          <t>2026년 3월 결산기 ３분기 결산단신</t>
        </is>
      </c>
      <c r="C6" t="inlineStr">
        <is>
          <t>https://www2.jpx.co.jp/disc/59920/140120260130542943.pdf</t>
        </is>
      </c>
    </row>
    <row r="7">
      <c r="A7" t="inlineStr">
        <is>
          <t>2025-10-30</t>
        </is>
      </c>
      <c r="B7" t="inlineStr">
        <is>
          <t>2026년 3월 결산기 ２분기 결산단신</t>
        </is>
      </c>
      <c r="C7" t="inlineStr">
        <is>
          <t>https://www2.jpx.co.jp/disc/59920/140120251028580266.pdf</t>
        </is>
      </c>
    </row>
    <row r="8">
      <c r="A8" t="inlineStr">
        <is>
          <t>2025-07-30</t>
        </is>
      </c>
      <c r="B8" t="inlineStr">
        <is>
          <t>2026년 3월 결산기 １분기 결산단신</t>
        </is>
      </c>
      <c r="C8" t="inlineStr">
        <is>
          <t>https://www2.jpx.co.jp/disc/59920/140120250728521735.pdf</t>
        </is>
      </c>
    </row>
    <row r="9">
      <c r="A9" t="inlineStr">
        <is>
          <t>2025-04-24</t>
        </is>
      </c>
      <c r="B9" t="inlineStr">
        <is>
          <t>2025년 3월 결산기 연간 결산단신</t>
        </is>
      </c>
      <c r="C9" t="inlineStr">
        <is>
          <t>https://www2.jpx.co.jp/disc/59920/140120250423520984.pdf</t>
        </is>
      </c>
    </row>
    <row r="10">
      <c r="A10" t="inlineStr">
        <is>
          <t>2025-01-30</t>
        </is>
      </c>
      <c r="B10" t="inlineStr">
        <is>
          <t>2025년 3월 결산기 ３분기 결산단신</t>
        </is>
      </c>
      <c r="C10" t="inlineStr">
        <is>
          <t>https://www2.jpx.co.jp/disc/59920/140120250129557197.pdf</t>
        </is>
      </c>
    </row>
    <row r="11">
      <c r="A11" t="inlineStr">
        <is>
          <t>2024-10-30</t>
        </is>
      </c>
      <c r="B11" t="inlineStr">
        <is>
          <t>2025년 3월 결산기 ２분기 결산단신</t>
        </is>
      </c>
      <c r="C11" t="inlineStr">
        <is>
          <t>https://www2.jpx.co.jp/disc/59920/140120241029505070.pdf</t>
        </is>
      </c>
    </row>
    <row r="12">
      <c r="A12" t="inlineStr">
        <is>
          <t>2024-07-30</t>
        </is>
      </c>
      <c r="B12" t="inlineStr">
        <is>
          <t>2025년 3월 결산기 １분기 결산단신</t>
        </is>
      </c>
      <c r="C12" t="inlineStr">
        <is>
          <t>https://www2.jpx.co.jp/disc/59920/140120240729556619.pdf</t>
        </is>
      </c>
    </row>
    <row r="13">
      <c r="A13" t="inlineStr">
        <is>
          <t>2024-04-25</t>
        </is>
      </c>
      <c r="B13" t="inlineStr">
        <is>
          <t>2024년 3월 결산기 연간 결산단신</t>
        </is>
      </c>
      <c r="C13" t="inlineStr">
        <is>
          <t>https://www2.jpx.co.jp/disc/59920/140120240424575948.pdf</t>
        </is>
      </c>
    </row>
    <row r="14">
      <c r="A14" t="inlineStr">
        <is>
          <t>2024-02-01</t>
        </is>
      </c>
      <c r="B14" t="inlineStr">
        <is>
          <t>2024년 3월 결산기 ３분기 결산단신</t>
        </is>
      </c>
      <c r="C14" t="inlineStr">
        <is>
          <t>https://www2.jpx.co.jp/disc/59920/140120240131523282.pdf</t>
        </is>
      </c>
    </row>
    <row r="15">
      <c r="A15" t="inlineStr">
        <is>
          <t>2023-10-30</t>
        </is>
      </c>
      <c r="B15" t="inlineStr">
        <is>
          <t>2024년 3월 결산기 ２분기 결산단신</t>
        </is>
      </c>
      <c r="C15" t="inlineStr">
        <is>
          <t>https://www2.jpx.co.jp/disc/59920/140120231027573314.pdf</t>
        </is>
      </c>
    </row>
    <row r="16">
      <c r="A16" t="inlineStr">
        <is>
          <t>2023-07-27</t>
        </is>
      </c>
      <c r="B16" t="inlineStr">
        <is>
          <t>2024년 3월 결산기 １분기 결산단신</t>
        </is>
      </c>
      <c r="C16" t="inlineStr">
        <is>
          <t>https://www2.jpx.co.jp/disc/59920/140120230726527502.pdf</t>
        </is>
      </c>
    </row>
    <row r="17">
      <c r="A17" t="inlineStr">
        <is>
          <t>2023-04-26</t>
        </is>
      </c>
      <c r="B17" t="inlineStr">
        <is>
          <t>2023년 3월 결산기 연간 결산단신</t>
        </is>
      </c>
      <c r="C17" t="inlineStr">
        <is>
          <t>https://www2.jpx.co.jp/disc/59920/140120230425552693.pdf</t>
        </is>
      </c>
    </row>
    <row r="18">
      <c r="A18" t="inlineStr">
        <is>
          <t>2023-02-02</t>
        </is>
      </c>
      <c r="B18" t="inlineStr">
        <is>
          <t>2023년 3월 결산기 ３분기 결산단신</t>
        </is>
      </c>
      <c r="C18" t="inlineStr">
        <is>
          <t>https://www2.jpx.co.jp/disc/59920/140120230202598942.pdf</t>
        </is>
      </c>
    </row>
    <row r="19">
      <c r="A19" t="inlineStr">
        <is>
          <t>2022-10-27</t>
        </is>
      </c>
      <c r="B19" t="inlineStr">
        <is>
          <t>2023년 3월 결산기 ２분기 결산단신</t>
        </is>
      </c>
      <c r="C19" t="inlineStr">
        <is>
          <t>https://www2.jpx.co.jp/disc/59920/140120221027550506.pdf</t>
        </is>
      </c>
    </row>
    <row r="20">
      <c r="A20" t="inlineStr">
        <is>
          <t>2022-04-27</t>
        </is>
      </c>
      <c r="B20" t="inlineStr">
        <is>
          <t>2022년 3월 결산기 연간 결산단신</t>
        </is>
      </c>
      <c r="C20" t="inlineStr">
        <is>
          <t>https://www2.jpx.co.jp/disc/59920/140120220426528861.pdf</t>
        </is>
      </c>
    </row>
    <row r="21">
      <c r="A21" t="inlineStr">
        <is>
          <t>2021-04-27</t>
        </is>
      </c>
      <c r="B21" t="inlineStr">
        <is>
          <t>2021년 3월 결산기 연간 결산단신</t>
        </is>
      </c>
      <c r="C21" t="inlineStr">
        <is>
          <t>https://www2.jpx.co.jp/disc/59920/140120210427400932.pdf</t>
        </is>
      </c>
    </row>
    <row r="22">
      <c r="A22" t="inlineStr">
        <is>
          <t>2020-04-28</t>
        </is>
      </c>
      <c r="B22" t="inlineStr">
        <is>
          <t>2020년 3월 결산기 연간 결산단신</t>
        </is>
      </c>
      <c r="C22" t="inlineStr">
        <is>
          <t>https://www2.jpx.co.jp/disc/59920/140120200427400639.pdf</t>
        </is>
      </c>
    </row>
    <row r="23">
      <c r="A23" t="inlineStr">
        <is>
          <t>2019-04-25</t>
        </is>
      </c>
      <c r="B23" t="inlineStr">
        <is>
          <t>2019년 3월 결산기 연간 결산단신</t>
        </is>
      </c>
      <c r="C23" t="inlineStr">
        <is>
          <t>https://www2.jpx.co.jp/disc/59920/140120190425410435.pdf</t>
        </is>
      </c>
    </row>
    <row r="24">
      <c r="A24" t="inlineStr">
        <is>
          <t>2018-04-26</t>
        </is>
      </c>
      <c r="B24" t="inlineStr">
        <is>
          <t>연간 결산단신</t>
        </is>
      </c>
      <c r="C24" t="inlineStr">
        <is>
          <t>https://www2.jpx.co.jp/disc/59920/140120180426420906.pdf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2026-10-25T10:55:22Z</dcterms:created>
  <dcterms:modified xmlns:dcterms="http://purl.org/dc/terms/" xmlns:xsi="http://www.w3.org/2001/XMLSchema-instance" xsi:type="dcterms:W3CDTF">2026-10-25T10:55:22Z</dcterms:modified>
</cp:coreProperties>
</file>