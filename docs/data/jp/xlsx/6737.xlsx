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7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6737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18637</v>
      </c>
      <c r="D4" s="12" t="n">
        <v>20976</v>
      </c>
      <c r="E4" s="12" t="n">
        <v>22310</v>
      </c>
      <c r="F4" s="12" t="n">
        <v>18197</v>
      </c>
      <c r="G4" s="12" t="n">
        <v>18620</v>
      </c>
      <c r="H4" s="12" t="n">
        <v>21310</v>
      </c>
      <c r="I4" s="12" t="n">
        <v>22366</v>
      </c>
      <c r="J4" s="12" t="n">
        <v>17338</v>
      </c>
      <c r="K4" s="12" t="n">
        <v>20536</v>
      </c>
      <c r="L4" s="12" t="n">
        <v>20935</v>
      </c>
      <c r="M4" s="12" t="n">
        <v>22499</v>
      </c>
      <c r="N4" s="12" t="n">
        <v>20031</v>
      </c>
      <c r="O4" s="11" t="n">
        <v>78284</v>
      </c>
      <c r="P4" s="12" t="n">
        <v>84057</v>
      </c>
      <c r="Q4" s="12" t="n">
        <v>72944</v>
      </c>
      <c r="R4" s="12" t="n">
        <v>76480</v>
      </c>
      <c r="S4" s="12" t="n">
        <v>76565</v>
      </c>
      <c r="T4" s="12" t="n">
        <v>86789</v>
      </c>
      <c r="U4" s="12" t="n">
        <v>80849</v>
      </c>
      <c r="V4" s="12" t="n">
        <v>80471</v>
      </c>
      <c r="W4" s="12" t="n">
        <v>80493</v>
      </c>
      <c r="X4" s="12" t="n">
        <v>81308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12684</v>
      </c>
      <c r="D11" s="22" t="n">
        <v>14549</v>
      </c>
      <c r="E11" s="22" t="n">
        <v>15607</v>
      </c>
      <c r="F11" s="22" t="n">
        <v>12347</v>
      </c>
      <c r="G11" s="22" t="n">
        <v>12500</v>
      </c>
      <c r="H11" s="22" t="n">
        <v>14087</v>
      </c>
      <c r="I11" s="22" t="n">
        <v>15359</v>
      </c>
      <c r="J11" s="22" t="n">
        <v>11498</v>
      </c>
      <c r="K11" s="22" t="n">
        <v>14029</v>
      </c>
      <c r="L11" s="22" t="n">
        <v>14185</v>
      </c>
      <c r="M11" s="22" t="n">
        <v>15695</v>
      </c>
      <c r="N11" s="22" t="n">
        <v>13094</v>
      </c>
      <c r="O11" s="21" t="n">
        <v>53921</v>
      </c>
      <c r="P11" s="22" t="n">
        <v>57972</v>
      </c>
      <c r="Q11" s="22" t="n">
        <v>49188</v>
      </c>
      <c r="R11" s="22" t="n">
        <v>50965</v>
      </c>
      <c r="S11" s="22" t="n">
        <v>50014</v>
      </c>
      <c r="T11" s="22" t="n">
        <v>55929</v>
      </c>
      <c r="U11" s="22" t="n">
        <v>55605</v>
      </c>
      <c r="V11" s="22" t="n">
        <v>55050</v>
      </c>
      <c r="W11" s="22" t="n">
        <v>54293</v>
      </c>
      <c r="X11" s="22" t="n">
        <v>55407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5375</v>
      </c>
      <c r="D15" s="22" t="n">
        <v>5504</v>
      </c>
      <c r="E15" s="22" t="n">
        <v>5354</v>
      </c>
      <c r="F15" s="22" t="n">
        <v>5792</v>
      </c>
      <c r="G15" s="22" t="n">
        <v>5347</v>
      </c>
      <c r="H15" s="22" t="n">
        <v>5885</v>
      </c>
      <c r="I15" s="22" t="n">
        <v>5469</v>
      </c>
      <c r="J15" s="22" t="n">
        <v>5937</v>
      </c>
      <c r="K15" s="22" t="n">
        <v>5749</v>
      </c>
      <c r="L15" s="22" t="n">
        <v>6091</v>
      </c>
      <c r="M15" s="22" t="n">
        <v>5758</v>
      </c>
      <c r="N15" s="22" t="n">
        <v>6130</v>
      </c>
      <c r="O15" s="21" t="n">
        <v>17329</v>
      </c>
      <c r="P15" s="22" t="n">
        <v>17531</v>
      </c>
      <c r="Q15" s="22" t="n">
        <v>18385</v>
      </c>
      <c r="R15" s="22" t="n">
        <v>19073</v>
      </c>
      <c r="S15" s="22" t="n">
        <v>18616</v>
      </c>
      <c r="T15" s="22" t="n">
        <v>19560</v>
      </c>
      <c r="U15" s="22" t="n">
        <v>20241</v>
      </c>
      <c r="V15" s="22" t="n">
        <v>21512</v>
      </c>
      <c r="W15" s="22" t="n">
        <v>22493</v>
      </c>
      <c r="X15" s="22" t="n">
        <v>23535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578</v>
      </c>
      <c r="D16" s="12" t="n">
        <v>923</v>
      </c>
      <c r="E16" s="12" t="n">
        <v>1349</v>
      </c>
      <c r="F16" s="12" t="n">
        <v>57</v>
      </c>
      <c r="G16" s="12" t="n">
        <v>773</v>
      </c>
      <c r="H16" s="12" t="n">
        <v>1338</v>
      </c>
      <c r="I16" s="12" t="n">
        <v>1538</v>
      </c>
      <c r="J16" s="12" t="n">
        <v>-97</v>
      </c>
      <c r="K16" s="12" t="n">
        <v>756</v>
      </c>
      <c r="L16" s="12" t="n">
        <v>660</v>
      </c>
      <c r="M16" s="12" t="n">
        <v>1046</v>
      </c>
      <c r="N16" s="12" t="n">
        <v>807</v>
      </c>
      <c r="O16" s="11" t="n">
        <v>7033</v>
      </c>
      <c r="P16" s="12" t="n">
        <v>8554</v>
      </c>
      <c r="Q16" s="12" t="n">
        <v>5370</v>
      </c>
      <c r="R16" s="12" t="n">
        <v>6441</v>
      </c>
      <c r="S16" s="12" t="n">
        <v>7935</v>
      </c>
      <c r="T16" s="12" t="n">
        <v>11299</v>
      </c>
      <c r="U16" s="12" t="n">
        <v>5002</v>
      </c>
      <c r="V16" s="12" t="n">
        <v>3908</v>
      </c>
      <c r="W16" s="12" t="n">
        <v>3706</v>
      </c>
      <c r="X16" s="12" t="n">
        <v>2365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0</v>
      </c>
      <c r="D32" s="22" t="n">
        <v>1127</v>
      </c>
      <c r="E32" s="22" t="n">
        <v>1218</v>
      </c>
      <c r="F32" s="22" t="n"/>
      <c r="G32" s="22" t="n"/>
      <c r="H32" s="22" t="n"/>
      <c r="I32" s="22" t="n">
        <v>1100</v>
      </c>
      <c r="J32" s="22" t="n"/>
      <c r="K32" s="22" t="n"/>
      <c r="L32" s="22" t="n"/>
      <c r="M32" s="22" t="n">
        <v>6671</v>
      </c>
      <c r="N32" s="22" t="n"/>
      <c r="O32" s="21" t="n"/>
      <c r="P32" s="22" t="n"/>
      <c r="Q32" s="22" t="n"/>
      <c r="R32" s="22" t="n">
        <v>0</v>
      </c>
      <c r="S32" s="22" t="n">
        <v>29</v>
      </c>
      <c r="T32" s="22" t="n">
        <v>419</v>
      </c>
      <c r="U32" s="22" t="n">
        <v>1943</v>
      </c>
      <c r="V32" s="22" t="n">
        <v>2345</v>
      </c>
      <c r="W32" s="22" t="n">
        <v>1100</v>
      </c>
      <c r="X32" s="22" t="n">
        <v>7999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16</v>
      </c>
      <c r="D34" s="22" t="n">
        <v>171</v>
      </c>
      <c r="E34" s="22" t="n">
        <v>608</v>
      </c>
      <c r="F34" s="22" t="n"/>
      <c r="G34" s="22" t="n"/>
      <c r="H34" s="22" t="n">
        <v>0</v>
      </c>
      <c r="I34" s="22" t="n">
        <v>0</v>
      </c>
      <c r="J34" s="22" t="n"/>
      <c r="K34" s="22" t="n"/>
      <c r="L34" s="22" t="n"/>
      <c r="M34" s="22" t="n"/>
      <c r="N34" s="22" t="n"/>
      <c r="O34" s="21" t="n"/>
      <c r="P34" s="22" t="n"/>
      <c r="Q34" s="22" t="n">
        <v>0</v>
      </c>
      <c r="R34" s="22" t="n">
        <v>154</v>
      </c>
      <c r="S34" s="22" t="n">
        <v>273</v>
      </c>
      <c r="T34" s="22" t="n">
        <v>1243</v>
      </c>
      <c r="U34" s="22" t="n">
        <v>5</v>
      </c>
      <c r="V34" s="22" t="n">
        <v>795</v>
      </c>
      <c r="W34" s="22" t="n">
        <v>0</v>
      </c>
      <c r="X34" s="22" t="n">
        <v>1206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167</v>
      </c>
      <c r="D36" s="22" t="n">
        <v>460</v>
      </c>
      <c r="E36" s="22" t="n">
        <v>482</v>
      </c>
      <c r="F36" s="22" t="n">
        <v>1046</v>
      </c>
      <c r="G36" s="22" t="n">
        <v>-219</v>
      </c>
      <c r="H36" s="22" t="n">
        <v>669</v>
      </c>
      <c r="I36" s="22" t="n">
        <v>156</v>
      </c>
      <c r="J36" s="22" t="n">
        <v>853</v>
      </c>
      <c r="K36" s="22" t="n">
        <v>108</v>
      </c>
      <c r="L36" s="22" t="n">
        <v>739</v>
      </c>
      <c r="M36" s="22" t="n">
        <v>101</v>
      </c>
      <c r="N36" s="22" t="n">
        <v>844</v>
      </c>
      <c r="O36" s="21" t="n">
        <v>630</v>
      </c>
      <c r="P36" s="22" t="n">
        <v>1027</v>
      </c>
      <c r="Q36" s="22" t="n">
        <v>876</v>
      </c>
      <c r="R36" s="22" t="n">
        <v>832</v>
      </c>
      <c r="S36" s="22" t="n">
        <v>943</v>
      </c>
      <c r="T36" s="22" t="n">
        <v>1044</v>
      </c>
      <c r="U36" s="22" t="n">
        <v>1313</v>
      </c>
      <c r="V36" s="22" t="n">
        <v>2599</v>
      </c>
      <c r="W36" s="22" t="n">
        <v>1652</v>
      </c>
      <c r="X36" s="22" t="n">
        <v>1801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62</v>
      </c>
      <c r="D38" s="22" t="n">
        <v>41</v>
      </c>
      <c r="E38" s="22" t="n">
        <v>50</v>
      </c>
      <c r="F38" s="22" t="n">
        <v>98</v>
      </c>
      <c r="G38" s="22" t="n">
        <v>489</v>
      </c>
      <c r="H38" s="22" t="n">
        <v>79</v>
      </c>
      <c r="I38" s="22" t="n">
        <v>138</v>
      </c>
      <c r="J38" s="22" t="n">
        <v>68</v>
      </c>
      <c r="K38" s="22" t="n">
        <v>61</v>
      </c>
      <c r="L38" s="22" t="n">
        <v>94</v>
      </c>
      <c r="M38" s="22" t="n">
        <v>171</v>
      </c>
      <c r="N38" s="22" t="n">
        <v>76</v>
      </c>
      <c r="O38" s="21" t="n">
        <v>558</v>
      </c>
      <c r="P38" s="22" t="n">
        <v>75</v>
      </c>
      <c r="Q38" s="22" t="n">
        <v>535</v>
      </c>
      <c r="R38" s="22" t="n">
        <v>675</v>
      </c>
      <c r="S38" s="22" t="n">
        <v>64</v>
      </c>
      <c r="T38" s="22" t="n">
        <v>232</v>
      </c>
      <c r="U38" s="22" t="n">
        <v>189</v>
      </c>
      <c r="V38" s="22" t="n">
        <v>182</v>
      </c>
      <c r="W38" s="22" t="n">
        <v>804</v>
      </c>
      <c r="X38" s="22" t="n">
        <v>394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668</v>
      </c>
      <c r="D40" s="12" t="n">
        <v>2297</v>
      </c>
      <c r="E40" s="12" t="n">
        <v>2393</v>
      </c>
      <c r="F40" s="12" t="n">
        <v>1005</v>
      </c>
      <c r="G40" s="12" t="n">
        <v>65</v>
      </c>
      <c r="H40" s="12" t="n">
        <v>1928</v>
      </c>
      <c r="I40" s="12" t="n">
        <v>2657</v>
      </c>
      <c r="J40" s="12" t="n">
        <v>687</v>
      </c>
      <c r="K40" s="12" t="n">
        <v>805</v>
      </c>
      <c r="L40" s="12" t="n">
        <v>2633</v>
      </c>
      <c r="M40" s="12" t="n">
        <v>6440</v>
      </c>
      <c r="N40" s="12" t="n">
        <v>1574</v>
      </c>
      <c r="O40" s="11" t="n">
        <v>7105</v>
      </c>
      <c r="P40" s="12" t="n">
        <v>9505</v>
      </c>
      <c r="Q40" s="12" t="n">
        <v>5710</v>
      </c>
      <c r="R40" s="12" t="n">
        <v>6443</v>
      </c>
      <c r="S40" s="12" t="n">
        <v>8570</v>
      </c>
      <c r="T40" s="12" t="n">
        <v>11286</v>
      </c>
      <c r="U40" s="12" t="n">
        <v>8064</v>
      </c>
      <c r="V40" s="12" t="n">
        <v>7876</v>
      </c>
      <c r="W40" s="12" t="n">
        <v>5655</v>
      </c>
      <c r="X40" s="12" t="n">
        <v>10565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234</v>
      </c>
      <c r="D41" s="22" t="n">
        <v>715</v>
      </c>
      <c r="E41" s="22" t="n">
        <v>678</v>
      </c>
      <c r="F41" s="22" t="n">
        <v>280</v>
      </c>
      <c r="G41" s="22" t="n">
        <v>80</v>
      </c>
      <c r="H41" s="22" t="n">
        <v>644</v>
      </c>
      <c r="I41" s="22" t="n">
        <v>502</v>
      </c>
      <c r="J41" s="22" t="n">
        <v>379</v>
      </c>
      <c r="K41" s="22" t="n">
        <v>182</v>
      </c>
      <c r="L41" s="22" t="n">
        <v>722</v>
      </c>
      <c r="M41" s="22" t="n">
        <v>1959</v>
      </c>
      <c r="N41" s="22" t="n">
        <v>359</v>
      </c>
      <c r="O41" s="21" t="n">
        <v>1444</v>
      </c>
      <c r="P41" s="22" t="n">
        <v>2366</v>
      </c>
      <c r="Q41" s="22" t="n">
        <v>1401</v>
      </c>
      <c r="R41" s="22" t="n">
        <v>1771</v>
      </c>
      <c r="S41" s="22" t="n">
        <v>2415</v>
      </c>
      <c r="T41" s="22" t="n">
        <v>3491</v>
      </c>
      <c r="U41" s="22" t="n">
        <v>2201</v>
      </c>
      <c r="V41" s="22" t="n">
        <v>2421</v>
      </c>
      <c r="W41" s="22" t="n">
        <v>1506</v>
      </c>
      <c r="X41" s="22" t="n">
        <v>3242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435</v>
      </c>
      <c r="D43" s="12" t="n">
        <v>1582</v>
      </c>
      <c r="E43" s="12" t="n">
        <v>1714</v>
      </c>
      <c r="F43" s="12" t="n">
        <v>725</v>
      </c>
      <c r="G43" s="12" t="n">
        <v>-16</v>
      </c>
      <c r="H43" s="12" t="n">
        <v>1284</v>
      </c>
      <c r="I43" s="12" t="n">
        <v>2155</v>
      </c>
      <c r="J43" s="12" t="n">
        <v>307</v>
      </c>
      <c r="K43" s="12" t="n">
        <v>623</v>
      </c>
      <c r="L43" s="12" t="n">
        <v>1912</v>
      </c>
      <c r="M43" s="12" t="n">
        <v>4481</v>
      </c>
      <c r="N43" s="12" t="n">
        <v>1215</v>
      </c>
      <c r="O43" s="11" t="n">
        <v>5661</v>
      </c>
      <c r="P43" s="12" t="n">
        <v>7138</v>
      </c>
      <c r="Q43" s="12" t="n">
        <v>4308</v>
      </c>
      <c r="R43" s="12" t="n">
        <v>4671</v>
      </c>
      <c r="S43" s="12" t="n">
        <v>6155</v>
      </c>
      <c r="T43" s="12" t="n">
        <v>7794</v>
      </c>
      <c r="U43" s="12" t="n">
        <v>5862</v>
      </c>
      <c r="V43" s="12" t="n">
        <v>5454</v>
      </c>
      <c r="W43" s="12" t="n">
        <v>4148</v>
      </c>
      <c r="X43" s="12" t="n">
        <v>7323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435</v>
      </c>
      <c r="D44" s="12" t="n">
        <v>1582</v>
      </c>
      <c r="E44" s="12" t="n">
        <v>1714</v>
      </c>
      <c r="F44" s="12" t="n">
        <v>725</v>
      </c>
      <c r="G44" s="12" t="n">
        <v>-16</v>
      </c>
      <c r="H44" s="12" t="n">
        <v>1284</v>
      </c>
      <c r="I44" s="12" t="n">
        <v>2155</v>
      </c>
      <c r="J44" s="12" t="n">
        <v>307</v>
      </c>
      <c r="K44" s="12" t="n">
        <v>623</v>
      </c>
      <c r="L44" s="12" t="n">
        <v>1912</v>
      </c>
      <c r="M44" s="12" t="n">
        <v>4481</v>
      </c>
      <c r="N44" s="12" t="n">
        <v>1215</v>
      </c>
      <c r="O44" s="11" t="n">
        <v>5661</v>
      </c>
      <c r="P44" s="12" t="n">
        <v>7138</v>
      </c>
      <c r="Q44" s="12" t="n">
        <v>4308</v>
      </c>
      <c r="R44" s="12" t="n">
        <v>4671</v>
      </c>
      <c r="S44" s="12" t="n">
        <v>6155</v>
      </c>
      <c r="T44" s="12" t="n">
        <v>7794</v>
      </c>
      <c r="U44" s="12" t="n">
        <v>5862</v>
      </c>
      <c r="V44" s="12" t="n">
        <v>5454</v>
      </c>
      <c r="W44" s="12" t="n">
        <v>4148</v>
      </c>
      <c r="X44" s="12" t="n">
        <v>7323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()</t>
        </is>
      </c>
      <c r="B47" s="29" t="n"/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/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18637</v>
      </c>
      <c r="D78" s="12" t="n">
        <v>20976</v>
      </c>
      <c r="E78" s="12" t="n">
        <v>22310</v>
      </c>
      <c r="F78" s="12" t="n">
        <v>18197</v>
      </c>
      <c r="G78" s="12" t="n">
        <v>18620</v>
      </c>
      <c r="H78" s="12" t="n">
        <v>21310</v>
      </c>
      <c r="I78" s="12" t="n">
        <v>22366</v>
      </c>
      <c r="J78" s="12" t="n">
        <v>17338</v>
      </c>
      <c r="K78" s="12" t="n">
        <v>20536</v>
      </c>
      <c r="L78" s="12" t="n">
        <v>20935</v>
      </c>
      <c r="M78" s="12" t="n">
        <v>22499</v>
      </c>
      <c r="N78" s="12" t="n">
        <v>20031</v>
      </c>
      <c r="T78" s="12" t="n">
        <v>23073</v>
      </c>
      <c r="U78" s="12" t="n">
        <v>23712</v>
      </c>
      <c r="V78" s="12" t="n">
        <v>22310</v>
      </c>
      <c r="W78" s="12" t="n">
        <v>22366</v>
      </c>
      <c r="X78" s="12" t="n">
        <v>22499</v>
      </c>
    </row>
    <row r="79">
      <c r="A79" s="20" t="inlineStr">
        <is>
          <t>매출원가</t>
        </is>
      </c>
      <c r="C79" s="22" t="n">
        <v>12684</v>
      </c>
      <c r="D79" s="22" t="n">
        <v>14549</v>
      </c>
      <c r="E79" s="22" t="n">
        <v>15607</v>
      </c>
      <c r="F79" s="22" t="n">
        <v>12347</v>
      </c>
      <c r="G79" s="22" t="n">
        <v>12500</v>
      </c>
      <c r="H79" s="22" t="n">
        <v>14087</v>
      </c>
      <c r="I79" s="22" t="n">
        <v>15359</v>
      </c>
      <c r="J79" s="22" t="n">
        <v>11498</v>
      </c>
      <c r="K79" s="22" t="n">
        <v>14029</v>
      </c>
      <c r="L79" s="22" t="n">
        <v>14185</v>
      </c>
      <c r="M79" s="22" t="n">
        <v>15695</v>
      </c>
      <c r="N79" s="22" t="n">
        <v>13094</v>
      </c>
      <c r="T79" s="22" t="n">
        <v>15129</v>
      </c>
      <c r="U79" s="22" t="n">
        <v>16205</v>
      </c>
      <c r="V79" s="22" t="n">
        <v>15607</v>
      </c>
      <c r="W79" s="22" t="n">
        <v>15359</v>
      </c>
      <c r="X79" s="22" t="n">
        <v>15695</v>
      </c>
    </row>
    <row r="80">
      <c r="A80" s="9" t="inlineStr">
        <is>
          <t>매출총이익</t>
        </is>
      </c>
      <c r="C80" s="12" t="n">
        <v>5953</v>
      </c>
      <c r="D80" s="12" t="n">
        <v>6426</v>
      </c>
      <c r="E80" s="12" t="n">
        <v>6704</v>
      </c>
      <c r="F80" s="12" t="n">
        <v>5849</v>
      </c>
      <c r="G80" s="12" t="n">
        <v>6120</v>
      </c>
      <c r="H80" s="12" t="n">
        <v>7224</v>
      </c>
      <c r="I80" s="12" t="n">
        <v>7006</v>
      </c>
      <c r="J80" s="12" t="n">
        <v>5839</v>
      </c>
      <c r="K80" s="12" t="n">
        <v>6507</v>
      </c>
      <c r="L80" s="12" t="n">
        <v>6751</v>
      </c>
      <c r="M80" s="12" t="n">
        <v>6804</v>
      </c>
      <c r="N80" s="12" t="n">
        <v>6937</v>
      </c>
      <c r="T80" s="12" t="n">
        <v>7943</v>
      </c>
      <c r="U80" s="12" t="n">
        <v>7507</v>
      </c>
      <c r="V80" s="12" t="n">
        <v>6704</v>
      </c>
      <c r="W80" s="12" t="n">
        <v>7006</v>
      </c>
      <c r="X80" s="12" t="n">
        <v>6804</v>
      </c>
    </row>
    <row r="81">
      <c r="A81" s="20" t="inlineStr">
        <is>
          <t>판매비와 관리비</t>
        </is>
      </c>
      <c r="C81" s="22" t="n">
        <v>5375</v>
      </c>
      <c r="D81" s="22" t="n">
        <v>5504</v>
      </c>
      <c r="E81" s="22" t="n">
        <v>5354</v>
      </c>
      <c r="F81" s="22" t="n">
        <v>5792</v>
      </c>
      <c r="G81" s="22" t="n">
        <v>5347</v>
      </c>
      <c r="H81" s="22" t="n">
        <v>5885</v>
      </c>
      <c r="I81" s="22" t="n">
        <v>5469</v>
      </c>
      <c r="J81" s="22" t="n">
        <v>5937</v>
      </c>
      <c r="K81" s="22" t="n">
        <v>5749</v>
      </c>
      <c r="L81" s="22" t="n">
        <v>6091</v>
      </c>
      <c r="M81" s="22" t="n">
        <v>5758</v>
      </c>
      <c r="N81" s="22" t="n">
        <v>6130</v>
      </c>
      <c r="T81" s="22" t="n">
        <v>5054</v>
      </c>
      <c r="U81" s="22" t="n">
        <v>5207</v>
      </c>
      <c r="V81" s="22" t="n">
        <v>5354</v>
      </c>
      <c r="W81" s="22" t="n">
        <v>5469</v>
      </c>
      <c r="X81" s="22" t="n">
        <v>5758</v>
      </c>
    </row>
    <row r="82">
      <c r="A82" s="9" t="inlineStr">
        <is>
          <t>영업이익(손실)</t>
        </is>
      </c>
      <c r="C82" s="12" t="n">
        <v>578</v>
      </c>
      <c r="D82" s="12" t="n">
        <v>923</v>
      </c>
      <c r="E82" s="12" t="n">
        <v>1349</v>
      </c>
      <c r="F82" s="12" t="n">
        <v>57</v>
      </c>
      <c r="G82" s="12" t="n">
        <v>773</v>
      </c>
      <c r="H82" s="12" t="n">
        <v>1338</v>
      </c>
      <c r="I82" s="12" t="n">
        <v>1538</v>
      </c>
      <c r="J82" s="12" t="n">
        <v>-97</v>
      </c>
      <c r="K82" s="12" t="n">
        <v>756</v>
      </c>
      <c r="L82" s="12" t="n">
        <v>660</v>
      </c>
      <c r="M82" s="12" t="n">
        <v>1046</v>
      </c>
      <c r="N82" s="12" t="n">
        <v>807</v>
      </c>
      <c r="T82" s="12" t="n">
        <v>2890</v>
      </c>
      <c r="U82" s="12" t="n">
        <v>2301</v>
      </c>
      <c r="V82" s="12" t="n">
        <v>1349</v>
      </c>
      <c r="W82" s="12" t="n">
        <v>1538</v>
      </c>
      <c r="X82" s="12" t="n">
        <v>1046</v>
      </c>
    </row>
    <row r="83">
      <c r="A83" s="20" t="inlineStr">
        <is>
          <t>이자수익</t>
        </is>
      </c>
      <c r="C83" s="22" t="n">
        <v>4</v>
      </c>
      <c r="D83" s="22" t="n">
        <v>8</v>
      </c>
      <c r="E83" s="22" t="n">
        <v>13</v>
      </c>
      <c r="F83" s="22" t="n">
        <v>7</v>
      </c>
      <c r="G83" s="22" t="n">
        <v>1</v>
      </c>
      <c r="H83" s="22" t="n">
        <v>3</v>
      </c>
      <c r="I83" s="22" t="n">
        <v>7</v>
      </c>
      <c r="J83" s="22" t="n">
        <v>4</v>
      </c>
      <c r="K83" s="22" t="n">
        <v>20</v>
      </c>
      <c r="L83" s="22" t="n">
        <v>12</v>
      </c>
      <c r="M83" s="22" t="n">
        <v>20</v>
      </c>
      <c r="N83" s="22" t="n">
        <v>13</v>
      </c>
      <c r="T83" s="22" t="n">
        <v>7</v>
      </c>
      <c r="U83" s="22" t="n">
        <v>4</v>
      </c>
      <c r="V83" s="22" t="n">
        <v>13</v>
      </c>
      <c r="W83" s="22" t="n">
        <v>7</v>
      </c>
      <c r="X83" s="22" t="n">
        <v>20</v>
      </c>
    </row>
    <row r="84">
      <c r="A84" s="20" t="inlineStr">
        <is>
          <t>배당금수익</t>
        </is>
      </c>
      <c r="C84" s="22" t="n">
        <v>30</v>
      </c>
      <c r="D84" s="22" t="n">
        <v>507</v>
      </c>
      <c r="E84" s="22" t="n">
        <v>58</v>
      </c>
      <c r="F84" s="22" t="n">
        <v>593</v>
      </c>
      <c r="G84" s="22" t="n">
        <v>24</v>
      </c>
      <c r="H84" s="22" t="n">
        <v>589</v>
      </c>
      <c r="I84" s="22" t="n">
        <v>73</v>
      </c>
      <c r="J84" s="22" t="n">
        <v>613</v>
      </c>
      <c r="K84" s="22" t="n">
        <v>34</v>
      </c>
      <c r="L84" s="22" t="n">
        <v>654</v>
      </c>
      <c r="M84" s="22" t="n">
        <v>75</v>
      </c>
      <c r="N84" s="22" t="n">
        <v>732</v>
      </c>
      <c r="T84" s="22" t="n">
        <v>25</v>
      </c>
      <c r="U84" s="22" t="n">
        <v>45</v>
      </c>
      <c r="V84" s="22" t="n">
        <v>58</v>
      </c>
      <c r="W84" s="22" t="n">
        <v>73</v>
      </c>
      <c r="X84" s="22" t="n">
        <v>75</v>
      </c>
    </row>
    <row r="85">
      <c r="A85" s="20" t="inlineStr">
        <is>
          <t>외환차익</t>
        </is>
      </c>
      <c r="C85" s="22" t="n">
        <v>-16</v>
      </c>
      <c r="D85" s="22" t="n">
        <v>-183</v>
      </c>
      <c r="E85" s="22" t="n">
        <v>306</v>
      </c>
      <c r="F85" s="22" t="n">
        <v>365</v>
      </c>
      <c r="G85" s="22" t="n">
        <v>-365</v>
      </c>
      <c r="H85" s="22" t="n">
        <v>0</v>
      </c>
      <c r="I85" s="22" t="n">
        <v>0</v>
      </c>
      <c r="J85" s="22" t="n">
        <v>159</v>
      </c>
      <c r="K85" s="22" t="n">
        <v>-68</v>
      </c>
      <c r="L85" s="22" t="n">
        <v>-8</v>
      </c>
      <c r="N85" s="22" t="n">
        <v>0</v>
      </c>
      <c r="U85" s="22" t="n">
        <v>0</v>
      </c>
      <c r="V85" s="22" t="n">
        <v>306</v>
      </c>
      <c r="W85" s="22" t="n">
        <v>0</v>
      </c>
    </row>
    <row r="86">
      <c r="A86" s="20" t="inlineStr">
        <is>
          <t>기타</t>
        </is>
      </c>
      <c r="C86" s="22" t="n">
        <v>151</v>
      </c>
      <c r="D86" s="22" t="n">
        <v>126</v>
      </c>
      <c r="E86" s="22" t="n">
        <v>105</v>
      </c>
      <c r="F86" s="22" t="n">
        <v>79</v>
      </c>
      <c r="G86" s="22" t="n">
        <v>122</v>
      </c>
      <c r="H86" s="22" t="n">
        <v>77</v>
      </c>
      <c r="I86" s="22" t="n">
        <v>76</v>
      </c>
      <c r="J86" s="22" t="n">
        <v>75</v>
      </c>
      <c r="K86" s="22" t="n">
        <v>123</v>
      </c>
      <c r="L86" s="22" t="n">
        <v>81</v>
      </c>
      <c r="M86" s="22" t="n">
        <v>89</v>
      </c>
      <c r="N86" s="22" t="n">
        <v>97</v>
      </c>
      <c r="T86" s="22" t="n">
        <v>30</v>
      </c>
      <c r="U86" s="22" t="n">
        <v>60</v>
      </c>
      <c r="V86" s="22" t="n">
        <v>105</v>
      </c>
      <c r="W86" s="22" t="n">
        <v>76</v>
      </c>
      <c r="X86" s="22" t="n">
        <v>89</v>
      </c>
    </row>
    <row r="87">
      <c r="A87" s="20" t="inlineStr">
        <is>
          <t>영업외수익 합계</t>
        </is>
      </c>
      <c r="C87" s="22" t="n">
        <v>167</v>
      </c>
      <c r="D87" s="22" t="n">
        <v>460</v>
      </c>
      <c r="E87" s="22" t="n">
        <v>482</v>
      </c>
      <c r="F87" s="22" t="n">
        <v>1046</v>
      </c>
      <c r="G87" s="22" t="n">
        <v>-219</v>
      </c>
      <c r="H87" s="22" t="n">
        <v>669</v>
      </c>
      <c r="I87" s="22" t="n">
        <v>156</v>
      </c>
      <c r="J87" s="22" t="n">
        <v>853</v>
      </c>
      <c r="K87" s="22" t="n">
        <v>108</v>
      </c>
      <c r="L87" s="22" t="n">
        <v>739</v>
      </c>
      <c r="M87" s="22" t="n">
        <v>101</v>
      </c>
      <c r="N87" s="22" t="n">
        <v>844</v>
      </c>
      <c r="T87" s="22" t="n">
        <v>63</v>
      </c>
      <c r="U87" s="22" t="n">
        <v>108</v>
      </c>
      <c r="V87" s="22" t="n">
        <v>482</v>
      </c>
      <c r="W87" s="22" t="n">
        <v>156</v>
      </c>
      <c r="X87" s="22" t="n">
        <v>101</v>
      </c>
    </row>
    <row r="88">
      <c r="A88" s="20" t="inlineStr">
        <is>
          <t>이자비용</t>
        </is>
      </c>
      <c r="C88" s="22" t="n">
        <v>25</v>
      </c>
      <c r="D88" s="22" t="n">
        <v>25</v>
      </c>
      <c r="E88" s="22" t="n">
        <v>22</v>
      </c>
      <c r="F88" s="22" t="n">
        <v>75</v>
      </c>
      <c r="G88" s="22" t="n">
        <v>74</v>
      </c>
      <c r="H88" s="22" t="n">
        <v>75</v>
      </c>
      <c r="I88" s="22" t="n">
        <v>42</v>
      </c>
      <c r="J88" s="22" t="n">
        <v>47</v>
      </c>
      <c r="K88" s="22" t="n">
        <v>40</v>
      </c>
      <c r="L88" s="22" t="n">
        <v>67</v>
      </c>
      <c r="M88" s="22" t="n">
        <v>50</v>
      </c>
      <c r="N88" s="22" t="n">
        <v>53</v>
      </c>
      <c r="T88" s="22" t="n">
        <v>5</v>
      </c>
      <c r="U88" s="22" t="n">
        <v>13</v>
      </c>
      <c r="V88" s="22" t="n">
        <v>22</v>
      </c>
      <c r="W88" s="22" t="n">
        <v>42</v>
      </c>
      <c r="X88" s="22" t="n">
        <v>50</v>
      </c>
    </row>
    <row r="89">
      <c r="A89" s="20" t="inlineStr">
        <is>
          <t>외환차손</t>
        </is>
      </c>
      <c r="C89" s="22" t="n">
        <v>0</v>
      </c>
      <c r="D89" s="22" t="n">
        <v>0</v>
      </c>
      <c r="E89" s="22" t="n">
        <v>0</v>
      </c>
      <c r="H89" s="22" t="n">
        <v>-15</v>
      </c>
      <c r="I89" s="22" t="n">
        <v>75</v>
      </c>
      <c r="J89" s="22" t="n">
        <v>0</v>
      </c>
      <c r="K89" s="22" t="n">
        <v>0</v>
      </c>
      <c r="L89" s="22" t="n">
        <v>0</v>
      </c>
      <c r="M89" s="22" t="n">
        <v>76</v>
      </c>
      <c r="N89" s="22" t="n">
        <v>0</v>
      </c>
      <c r="T89" s="22" t="n">
        <v>-5</v>
      </c>
      <c r="U89" s="22" t="n">
        <v>-155</v>
      </c>
      <c r="V89" s="22" t="n">
        <v>0</v>
      </c>
      <c r="W89" s="22" t="n">
        <v>75</v>
      </c>
      <c r="X89" s="22" t="n">
        <v>76</v>
      </c>
    </row>
    <row r="90">
      <c r="A90" s="20" t="inlineStr">
        <is>
          <t>Rent Expenses On Real Estates NOE</t>
        </is>
      </c>
      <c r="C90" s="22" t="n">
        <v>25</v>
      </c>
      <c r="D90" s="22" t="n">
        <v>18</v>
      </c>
      <c r="E90" s="22" t="n">
        <v>19</v>
      </c>
      <c r="F90" s="22" t="n">
        <v>19</v>
      </c>
      <c r="G90" s="22" t="n">
        <v>17</v>
      </c>
      <c r="H90" s="22" t="n">
        <v>18</v>
      </c>
      <c r="I90" s="22" t="n">
        <v>19</v>
      </c>
      <c r="J90" s="22" t="n">
        <v>18</v>
      </c>
      <c r="K90" s="22" t="n">
        <v>20</v>
      </c>
      <c r="L90" s="22" t="n">
        <v>20</v>
      </c>
      <c r="M90" s="22" t="n">
        <v>21</v>
      </c>
      <c r="N90" s="22" t="n">
        <v>18</v>
      </c>
      <c r="U90" s="22" t="n">
        <v>40</v>
      </c>
      <c r="V90" s="22" t="n">
        <v>19</v>
      </c>
      <c r="W90" s="22" t="n">
        <v>19</v>
      </c>
      <c r="X90" s="22" t="n">
        <v>21</v>
      </c>
    </row>
    <row r="91">
      <c r="A91" s="20" t="inlineStr">
        <is>
          <t>기타</t>
        </is>
      </c>
      <c r="C91" s="22" t="n">
        <v>12</v>
      </c>
      <c r="D91" s="22" t="n">
        <v>-2</v>
      </c>
      <c r="E91" s="22" t="n">
        <v>9</v>
      </c>
      <c r="F91" s="22" t="n">
        <v>3</v>
      </c>
      <c r="G91" s="22" t="n">
        <v>11</v>
      </c>
      <c r="H91" s="22" t="n">
        <v>1</v>
      </c>
      <c r="I91" s="22" t="n">
        <v>2</v>
      </c>
      <c r="J91" s="22" t="n">
        <v>2</v>
      </c>
      <c r="K91" s="22" t="n">
        <v>1</v>
      </c>
      <c r="L91" s="22" t="n">
        <v>7</v>
      </c>
      <c r="M91" s="22" t="n">
        <v>23</v>
      </c>
      <c r="N91" s="22" t="n">
        <v>4</v>
      </c>
      <c r="T91" s="22" t="n">
        <v>1</v>
      </c>
      <c r="U91" s="22" t="n">
        <v>-39</v>
      </c>
      <c r="V91" s="22" t="n">
        <v>9</v>
      </c>
      <c r="W91" s="22" t="n">
        <v>2</v>
      </c>
      <c r="X91" s="22" t="n">
        <v>23</v>
      </c>
    </row>
    <row r="92">
      <c r="A92" s="20" t="inlineStr">
        <is>
          <t>영업외비용 합계</t>
        </is>
      </c>
      <c r="C92" s="22" t="n">
        <v>62</v>
      </c>
      <c r="D92" s="22" t="n">
        <v>41</v>
      </c>
      <c r="E92" s="22" t="n">
        <v>50</v>
      </c>
      <c r="F92" s="22" t="n">
        <v>98</v>
      </c>
      <c r="G92" s="22" t="n">
        <v>489</v>
      </c>
      <c r="H92" s="22" t="n">
        <v>79</v>
      </c>
      <c r="I92" s="22" t="n">
        <v>138</v>
      </c>
      <c r="J92" s="22" t="n">
        <v>68</v>
      </c>
      <c r="K92" s="22" t="n">
        <v>61</v>
      </c>
      <c r="L92" s="22" t="n">
        <v>94</v>
      </c>
      <c r="M92" s="22" t="n">
        <v>171</v>
      </c>
      <c r="N92" s="22" t="n">
        <v>76</v>
      </c>
      <c r="T92" s="22" t="n">
        <v>1</v>
      </c>
      <c r="U92" s="22" t="n">
        <v>-140</v>
      </c>
      <c r="V92" s="22" t="n">
        <v>50</v>
      </c>
      <c r="W92" s="22" t="n">
        <v>138</v>
      </c>
      <c r="X92" s="22" t="n">
        <v>171</v>
      </c>
    </row>
    <row r="93">
      <c r="A93" s="9" t="inlineStr">
        <is>
          <t>경상이익</t>
        </is>
      </c>
      <c r="C93" s="12" t="n">
        <v>685</v>
      </c>
      <c r="D93" s="12" t="n">
        <v>1341</v>
      </c>
      <c r="E93" s="12" t="n">
        <v>1782</v>
      </c>
      <c r="F93" s="12" t="n">
        <v>1005</v>
      </c>
      <c r="G93" s="12" t="n">
        <v>65</v>
      </c>
      <c r="H93" s="12" t="n">
        <v>1928</v>
      </c>
      <c r="I93" s="12" t="n">
        <v>1557</v>
      </c>
      <c r="J93" s="12" t="n">
        <v>687</v>
      </c>
      <c r="K93" s="12" t="n">
        <v>805</v>
      </c>
      <c r="L93" s="12" t="n">
        <v>1304</v>
      </c>
      <c r="M93" s="12" t="n">
        <v>976</v>
      </c>
      <c r="N93" s="12" t="n">
        <v>1574</v>
      </c>
      <c r="T93" s="12" t="n">
        <v>2951</v>
      </c>
      <c r="U93" s="12" t="n">
        <v>2549</v>
      </c>
      <c r="V93" s="12" t="n">
        <v>1782</v>
      </c>
      <c r="W93" s="12" t="n">
        <v>1557</v>
      </c>
      <c r="X93" s="12" t="n">
        <v>976</v>
      </c>
    </row>
    <row r="94">
      <c r="A94" s="20" t="inlineStr">
        <is>
          <t>투자유가증권 매각이익</t>
        </is>
      </c>
      <c r="C94" s="22" t="n">
        <v>0</v>
      </c>
      <c r="D94" s="22" t="n">
        <v>1127</v>
      </c>
      <c r="E94" s="22" t="n">
        <v>1218</v>
      </c>
      <c r="I94" s="22" t="n">
        <v>1100</v>
      </c>
      <c r="M94" s="22" t="n">
        <v>6671</v>
      </c>
      <c r="T94" s="22" t="n">
        <v>0</v>
      </c>
      <c r="U94" s="22" t="n">
        <v>0</v>
      </c>
      <c r="V94" s="22" t="n">
        <v>1218</v>
      </c>
      <c r="W94" s="22" t="n">
        <v>1100</v>
      </c>
      <c r="X94" s="22" t="n">
        <v>6671</v>
      </c>
    </row>
    <row r="95">
      <c r="A95" s="20" t="inlineStr">
        <is>
          <t>특별이익 합계</t>
        </is>
      </c>
      <c r="C95" s="22" t="n">
        <v>0</v>
      </c>
      <c r="D95" s="22" t="n">
        <v>1127</v>
      </c>
      <c r="E95" s="22" t="n">
        <v>1218</v>
      </c>
      <c r="I95" s="22" t="n">
        <v>1100</v>
      </c>
      <c r="M95" s="22" t="n">
        <v>6671</v>
      </c>
      <c r="T95" s="22" t="n">
        <v>0</v>
      </c>
      <c r="U95" s="22" t="n">
        <v>0</v>
      </c>
      <c r="V95" s="22" t="n">
        <v>1218</v>
      </c>
      <c r="W95" s="22" t="n">
        <v>1100</v>
      </c>
      <c r="X95" s="22" t="n">
        <v>6671</v>
      </c>
    </row>
    <row r="96">
      <c r="A96" s="20" t="inlineStr">
        <is>
          <t>고정자산 제각손실</t>
        </is>
      </c>
      <c r="D96" s="22" t="n">
        <v>171</v>
      </c>
      <c r="E96" s="22" t="n">
        <v>0</v>
      </c>
      <c r="H96" s="22" t="n">
        <v>0</v>
      </c>
      <c r="I96" s="22" t="n">
        <v>0</v>
      </c>
      <c r="U96" s="22" t="n">
        <v>0</v>
      </c>
      <c r="V96" s="22" t="n">
        <v>0</v>
      </c>
      <c r="W96" s="22" t="n">
        <v>0</v>
      </c>
    </row>
    <row r="97">
      <c r="A97" s="20" t="inlineStr">
        <is>
          <t>투자유가증권 매각손실</t>
        </is>
      </c>
      <c r="C97" s="22" t="n">
        <v>0</v>
      </c>
      <c r="D97" s="22" t="n">
        <v>0</v>
      </c>
      <c r="E97" s="22" t="n">
        <v>0</v>
      </c>
      <c r="T97" s="22" t="n">
        <v>0</v>
      </c>
      <c r="U97" s="22" t="n">
        <v>0</v>
      </c>
      <c r="V97" s="22" t="n">
        <v>0</v>
      </c>
    </row>
    <row r="98">
      <c r="A98" s="20" t="inlineStr">
        <is>
          <t>특별손실 합계</t>
        </is>
      </c>
      <c r="C98" s="22" t="n">
        <v>16</v>
      </c>
      <c r="D98" s="22" t="n">
        <v>171</v>
      </c>
      <c r="E98" s="22" t="n">
        <v>608</v>
      </c>
      <c r="H98" s="22" t="n">
        <v>0</v>
      </c>
      <c r="I98" s="22" t="n">
        <v>0</v>
      </c>
      <c r="T98" s="22" t="n">
        <v>1243</v>
      </c>
      <c r="U98" s="22" t="n">
        <v>0</v>
      </c>
      <c r="V98" s="22" t="n">
        <v>608</v>
      </c>
      <c r="W98" s="22" t="n">
        <v>0</v>
      </c>
    </row>
    <row r="99">
      <c r="A99" s="9" t="inlineStr">
        <is>
          <t>법인세차감전 순이익</t>
        </is>
      </c>
      <c r="C99" s="12" t="n">
        <v>668</v>
      </c>
      <c r="D99" s="12" t="n">
        <v>2297</v>
      </c>
      <c r="E99" s="12" t="n">
        <v>2393</v>
      </c>
      <c r="F99" s="12" t="n">
        <v>1005</v>
      </c>
      <c r="G99" s="12" t="n">
        <v>65</v>
      </c>
      <c r="H99" s="12" t="n">
        <v>1928</v>
      </c>
      <c r="I99" s="12" t="n">
        <v>2657</v>
      </c>
      <c r="J99" s="12" t="n">
        <v>687</v>
      </c>
      <c r="K99" s="12" t="n">
        <v>805</v>
      </c>
      <c r="L99" s="12" t="n">
        <v>2633</v>
      </c>
      <c r="M99" s="12" t="n">
        <v>6440</v>
      </c>
      <c r="N99" s="12" t="n">
        <v>1574</v>
      </c>
      <c r="T99" s="12" t="n">
        <v>1708</v>
      </c>
      <c r="U99" s="12" t="n">
        <v>2549</v>
      </c>
      <c r="V99" s="12" t="n">
        <v>2393</v>
      </c>
      <c r="W99" s="12" t="n">
        <v>2657</v>
      </c>
      <c r="X99" s="12" t="n">
        <v>6440</v>
      </c>
    </row>
    <row r="100">
      <c r="A100" s="20" t="inlineStr">
        <is>
          <t>법인세·주민세·사업세</t>
        </is>
      </c>
      <c r="C100" s="22" t="n">
        <v>629</v>
      </c>
      <c r="D100" s="22" t="n">
        <v>656</v>
      </c>
      <c r="E100" s="22" t="n">
        <v>930</v>
      </c>
      <c r="F100" s="22" t="n">
        <v>71</v>
      </c>
      <c r="G100" s="22" t="n">
        <v>246</v>
      </c>
      <c r="H100" s="22" t="n">
        <v>335</v>
      </c>
      <c r="I100" s="22" t="n">
        <v>797</v>
      </c>
      <c r="J100" s="22" t="n">
        <v>115</v>
      </c>
      <c r="K100" s="22" t="n">
        <v>404</v>
      </c>
      <c r="L100" s="22" t="n">
        <v>590</v>
      </c>
      <c r="M100" s="22" t="n">
        <v>2271</v>
      </c>
      <c r="N100" s="22" t="n">
        <v>121</v>
      </c>
      <c r="T100" s="22" t="n">
        <v>981</v>
      </c>
      <c r="U100" s="22" t="n">
        <v>837</v>
      </c>
      <c r="V100" s="22" t="n">
        <v>930</v>
      </c>
      <c r="W100" s="22" t="n">
        <v>797</v>
      </c>
      <c r="X100" s="22" t="n">
        <v>2271</v>
      </c>
    </row>
    <row r="101">
      <c r="A101" s="20" t="inlineStr">
        <is>
          <t>법인세 조정액</t>
        </is>
      </c>
      <c r="C101" s="22" t="n">
        <v>-394</v>
      </c>
      <c r="D101" s="22" t="n">
        <v>58</v>
      </c>
      <c r="E101" s="22" t="n">
        <v>-252</v>
      </c>
      <c r="F101" s="22" t="n">
        <v>208</v>
      </c>
      <c r="G101" s="22" t="n">
        <v>-165</v>
      </c>
      <c r="H101" s="22" t="n">
        <v>309</v>
      </c>
      <c r="I101" s="22" t="n">
        <v>-296</v>
      </c>
      <c r="J101" s="22" t="n">
        <v>264</v>
      </c>
      <c r="K101" s="22" t="n">
        <v>-223</v>
      </c>
      <c r="L101" s="22" t="n">
        <v>132</v>
      </c>
      <c r="M101" s="22" t="n">
        <v>-311</v>
      </c>
      <c r="N101" s="22" t="n">
        <v>237</v>
      </c>
      <c r="T101" s="22" t="n">
        <v>-331</v>
      </c>
      <c r="U101" s="22" t="n">
        <v>-253</v>
      </c>
      <c r="V101" s="22" t="n">
        <v>-252</v>
      </c>
      <c r="W101" s="22" t="n">
        <v>-296</v>
      </c>
      <c r="X101" s="22" t="n">
        <v>-311</v>
      </c>
    </row>
    <row r="102">
      <c r="A102" s="20" t="inlineStr">
        <is>
          <t>법인세 등 합계</t>
        </is>
      </c>
      <c r="C102" s="22" t="n">
        <v>234</v>
      </c>
      <c r="D102" s="22" t="n">
        <v>715</v>
      </c>
      <c r="E102" s="22" t="n">
        <v>678</v>
      </c>
      <c r="F102" s="22" t="n">
        <v>280</v>
      </c>
      <c r="G102" s="22" t="n">
        <v>80</v>
      </c>
      <c r="H102" s="22" t="n">
        <v>644</v>
      </c>
      <c r="I102" s="22" t="n">
        <v>502</v>
      </c>
      <c r="J102" s="22" t="n">
        <v>379</v>
      </c>
      <c r="K102" s="22" t="n">
        <v>182</v>
      </c>
      <c r="L102" s="22" t="n">
        <v>722</v>
      </c>
      <c r="M102" s="22" t="n">
        <v>1959</v>
      </c>
      <c r="N102" s="22" t="n">
        <v>359</v>
      </c>
      <c r="T102" s="22" t="n">
        <v>648</v>
      </c>
      <c r="U102" s="22" t="n">
        <v>584</v>
      </c>
      <c r="V102" s="22" t="n">
        <v>678</v>
      </c>
      <c r="W102" s="22" t="n">
        <v>502</v>
      </c>
      <c r="X102" s="22" t="n">
        <v>1959</v>
      </c>
    </row>
    <row r="103">
      <c r="A103" s="9" t="inlineStr">
        <is>
          <t>순이익</t>
        </is>
      </c>
      <c r="C103" s="12" t="n">
        <v>435</v>
      </c>
      <c r="D103" s="12" t="n">
        <v>1582</v>
      </c>
      <c r="E103" s="12" t="n">
        <v>1714</v>
      </c>
      <c r="F103" s="12" t="n">
        <v>725</v>
      </c>
      <c r="G103" s="12" t="n">
        <v>-16</v>
      </c>
      <c r="H103" s="12" t="n">
        <v>1284</v>
      </c>
      <c r="I103" s="12" t="n">
        <v>2155</v>
      </c>
      <c r="J103" s="12" t="n">
        <v>307</v>
      </c>
      <c r="K103" s="12" t="n">
        <v>623</v>
      </c>
      <c r="L103" s="12" t="n">
        <v>1912</v>
      </c>
      <c r="M103" s="12" t="n">
        <v>4481</v>
      </c>
      <c r="N103" s="12" t="n">
        <v>1215</v>
      </c>
      <c r="T103" s="12" t="n">
        <v>1059</v>
      </c>
      <c r="U103" s="12" t="n">
        <v>1964</v>
      </c>
      <c r="V103" s="12" t="n">
        <v>1714</v>
      </c>
      <c r="W103" s="12" t="n">
        <v>2155</v>
      </c>
      <c r="X103" s="12" t="n">
        <v>4481</v>
      </c>
    </row>
    <row r="104">
      <c r="A104" s="9" t="inlineStr">
        <is>
          <t>지배주주 순이익</t>
        </is>
      </c>
      <c r="C104" s="12" t="n">
        <v>435</v>
      </c>
      <c r="D104" s="12" t="n">
        <v>1582</v>
      </c>
      <c r="E104" s="12" t="n">
        <v>1714</v>
      </c>
      <c r="F104" s="12" t="n">
        <v>725</v>
      </c>
      <c r="G104" s="12" t="n">
        <v>-16</v>
      </c>
      <c r="H104" s="12" t="n">
        <v>1284</v>
      </c>
      <c r="I104" s="12" t="n">
        <v>2155</v>
      </c>
      <c r="J104" s="12" t="n">
        <v>307</v>
      </c>
      <c r="K104" s="12" t="n">
        <v>623</v>
      </c>
      <c r="L104" s="12" t="n">
        <v>1912</v>
      </c>
      <c r="M104" s="12" t="n">
        <v>4481</v>
      </c>
      <c r="N104" s="12" t="n">
        <v>1215</v>
      </c>
      <c r="T104" s="12" t="n">
        <v>1059</v>
      </c>
      <c r="U104" s="12" t="n">
        <v>1964</v>
      </c>
      <c r="V104" s="12" t="n">
        <v>1714</v>
      </c>
      <c r="W104" s="12" t="n">
        <v>2155</v>
      </c>
      <c r="X104" s="12" t="n">
        <v>4481</v>
      </c>
    </row>
    <row r="106">
      <c r="A106" s="18" t="inlineStr">
        <is>
          <t>포괄손익 · 전 항목</t>
        </is>
      </c>
      <c r="B106" s="44" t="inlineStr">
        <is>
          <t>분기 = 3개월 단독</t>
        </is>
      </c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</row>
    <row r="107">
      <c r="A107" s="5" t="inlineStr">
        <is>
          <t>항목</t>
        </is>
      </c>
      <c r="B107" s="5" t="inlineStr">
        <is>
          <t>참고</t>
        </is>
      </c>
      <c r="C107" s="5" t="inlineStr">
        <is>
          <t>2024.2Q</t>
        </is>
      </c>
      <c r="D107" s="5" t="inlineStr">
        <is>
          <t>2024.3Q</t>
        </is>
      </c>
      <c r="E107" s="5" t="inlineStr">
        <is>
          <t>2024.4Q</t>
        </is>
      </c>
      <c r="F107" s="5" t="inlineStr">
        <is>
          <t>2025.1Q</t>
        </is>
      </c>
      <c r="G107" s="5" t="inlineStr">
        <is>
          <t>2025.2Q</t>
        </is>
      </c>
      <c r="H107" s="5" t="inlineStr">
        <is>
          <t>2025.3Q</t>
        </is>
      </c>
      <c r="I107" s="5" t="inlineStr">
        <is>
          <t>2025.4Q</t>
        </is>
      </c>
      <c r="J107" s="5" t="inlineStr">
        <is>
          <t>2026.1Q</t>
        </is>
      </c>
      <c r="K107" s="5" t="inlineStr">
        <is>
          <t>2026.2Q</t>
        </is>
      </c>
      <c r="L107" s="5" t="inlineStr">
        <is>
          <t>2026.3Q</t>
        </is>
      </c>
      <c r="M107" s="5" t="inlineStr">
        <is>
          <t>2026.4Q</t>
        </is>
      </c>
      <c r="N107" s="5" t="inlineStr">
        <is>
          <t>2027.1Q</t>
        </is>
      </c>
      <c r="O107" s="5" t="inlineStr">
        <is>
          <t>2017</t>
        </is>
      </c>
      <c r="P107" s="5" t="inlineStr">
        <is>
          <t>2018</t>
        </is>
      </c>
      <c r="Q107" s="5" t="inlineStr">
        <is>
          <t>2019</t>
        </is>
      </c>
      <c r="R107" s="5" t="inlineStr">
        <is>
          <t>2020</t>
        </is>
      </c>
      <c r="S107" s="5" t="inlineStr">
        <is>
          <t>2021</t>
        </is>
      </c>
      <c r="T107" s="5" t="inlineStr">
        <is>
          <t>2022</t>
        </is>
      </c>
      <c r="U107" s="5" t="inlineStr">
        <is>
          <t>2023</t>
        </is>
      </c>
      <c r="V107" s="5" t="inlineStr">
        <is>
          <t>2024</t>
        </is>
      </c>
      <c r="W107" s="5" t="inlineStr">
        <is>
          <t>2025</t>
        </is>
      </c>
      <c r="X107" s="5" t="inlineStr">
        <is>
          <t>2026</t>
        </is>
      </c>
      <c r="Y107" s="5" t="inlineStr">
        <is>
          <t>2027(MW)</t>
        </is>
      </c>
      <c r="Z107" s="5" t="inlineStr">
        <is>
          <t>2028(MW)</t>
        </is>
      </c>
      <c r="AA107" s="5" t="inlineStr">
        <is>
          <t>2029(MW)</t>
        </is>
      </c>
      <c r="AB107" s="5" t="inlineStr">
        <is>
          <t>2030(MW)</t>
        </is>
      </c>
      <c r="AC107" s="5" t="inlineStr">
        <is>
          <t>2031(MW)</t>
        </is>
      </c>
    </row>
    <row r="108">
      <c r="A108" s="9" t="inlineStr">
        <is>
          <t>순이익</t>
        </is>
      </c>
      <c r="C108" s="12" t="n">
        <v>435</v>
      </c>
      <c r="D108" s="12" t="n">
        <v>1582</v>
      </c>
      <c r="E108" s="12" t="n">
        <v>1714</v>
      </c>
      <c r="F108" s="12" t="n">
        <v>725</v>
      </c>
      <c r="G108" s="12" t="n">
        <v>-16</v>
      </c>
      <c r="H108" s="12" t="n">
        <v>1284</v>
      </c>
      <c r="I108" s="12" t="n">
        <v>2155</v>
      </c>
      <c r="J108" s="12" t="n">
        <v>307</v>
      </c>
      <c r="K108" s="12" t="n">
        <v>623</v>
      </c>
      <c r="L108" s="12" t="n">
        <v>1912</v>
      </c>
      <c r="M108" s="12" t="n">
        <v>4481</v>
      </c>
      <c r="N108" s="12" t="n">
        <v>1215</v>
      </c>
      <c r="T108" s="12" t="n">
        <v>1059</v>
      </c>
      <c r="U108" s="12" t="n">
        <v>1964</v>
      </c>
      <c r="V108" s="12" t="n">
        <v>1714</v>
      </c>
      <c r="W108" s="12" t="n">
        <v>2155</v>
      </c>
      <c r="X108" s="12" t="n">
        <v>4481</v>
      </c>
    </row>
    <row r="109">
      <c r="A109" s="20" t="inlineStr">
        <is>
          <t>기타유가증권 평가차액</t>
        </is>
      </c>
      <c r="C109" s="22" t="n">
        <v>288</v>
      </c>
      <c r="D109" s="22" t="n">
        <v>1640</v>
      </c>
      <c r="E109" s="22" t="n">
        <v>-65</v>
      </c>
      <c r="F109" s="22" t="n">
        <v>4706</v>
      </c>
      <c r="G109" s="22" t="n">
        <v>-4965</v>
      </c>
      <c r="H109" s="22" t="n">
        <v>-1059</v>
      </c>
      <c r="I109" s="22" t="n">
        <v>-3540</v>
      </c>
      <c r="J109" s="22" t="n">
        <v>-104</v>
      </c>
      <c r="K109" s="22" t="n">
        <v>8005</v>
      </c>
      <c r="L109" s="22" t="n">
        <v>5067</v>
      </c>
      <c r="M109" s="22" t="n">
        <v>-2395</v>
      </c>
      <c r="N109" s="22" t="n">
        <v>63923</v>
      </c>
      <c r="T109" s="22" t="n">
        <v>-4312</v>
      </c>
      <c r="U109" s="22" t="n">
        <v>4485</v>
      </c>
      <c r="V109" s="22" t="n">
        <v>-65</v>
      </c>
      <c r="W109" s="22" t="n">
        <v>-3540</v>
      </c>
      <c r="X109" s="22" t="n">
        <v>-2395</v>
      </c>
    </row>
    <row r="110">
      <c r="A110" s="20" t="inlineStr">
        <is>
          <t>해외사업환산조정</t>
        </is>
      </c>
      <c r="C110" s="22" t="n">
        <v>328</v>
      </c>
      <c r="D110" s="22" t="n">
        <v>-459</v>
      </c>
      <c r="E110" s="22" t="n">
        <v>993</v>
      </c>
      <c r="F110" s="22" t="n">
        <v>1431</v>
      </c>
      <c r="G110" s="22" t="n">
        <v>-2114</v>
      </c>
      <c r="H110" s="22" t="n">
        <v>1468</v>
      </c>
      <c r="I110" s="22" t="n">
        <v>-953</v>
      </c>
      <c r="J110" s="22" t="n">
        <v>215</v>
      </c>
      <c r="K110" s="22" t="n">
        <v>707</v>
      </c>
      <c r="L110" s="22" t="n">
        <v>1549</v>
      </c>
      <c r="M110" s="22" t="n">
        <v>207</v>
      </c>
      <c r="N110" s="22" t="n">
        <v>512</v>
      </c>
      <c r="T110" s="22" t="n">
        <v>956</v>
      </c>
      <c r="U110" s="22" t="n">
        <v>410</v>
      </c>
      <c r="V110" s="22" t="n">
        <v>993</v>
      </c>
      <c r="W110" s="22" t="n">
        <v>-953</v>
      </c>
      <c r="X110" s="22" t="n">
        <v>207</v>
      </c>
    </row>
    <row r="111">
      <c r="A111" s="20" t="inlineStr">
        <is>
          <t>퇴직급여 조정액</t>
        </is>
      </c>
      <c r="C111" s="22" t="n">
        <v>-37</v>
      </c>
      <c r="D111" s="22" t="n">
        <v>-36</v>
      </c>
      <c r="E111" s="22" t="n">
        <v>281</v>
      </c>
      <c r="F111" s="22" t="n">
        <v>-52</v>
      </c>
      <c r="G111" s="22" t="n">
        <v>5</v>
      </c>
      <c r="H111" s="22" t="n">
        <v>-42</v>
      </c>
      <c r="I111" s="22" t="n">
        <v>100</v>
      </c>
      <c r="J111" s="22" t="n">
        <v>-44</v>
      </c>
      <c r="K111" s="22" t="n">
        <v>-122</v>
      </c>
      <c r="L111" s="22" t="n">
        <v>-68</v>
      </c>
      <c r="M111" s="22" t="n">
        <v>227</v>
      </c>
      <c r="N111" s="22" t="n">
        <v>-117</v>
      </c>
      <c r="T111" s="22" t="n">
        <v>137</v>
      </c>
      <c r="U111" s="22" t="n">
        <v>358</v>
      </c>
      <c r="V111" s="22" t="n">
        <v>281</v>
      </c>
      <c r="W111" s="22" t="n">
        <v>100</v>
      </c>
      <c r="X111" s="22" t="n">
        <v>227</v>
      </c>
    </row>
    <row r="112">
      <c r="A112" s="20" t="inlineStr">
        <is>
          <t>기타포괄손익 합계</t>
        </is>
      </c>
      <c r="C112" s="22" t="n">
        <v>579</v>
      </c>
      <c r="D112" s="22" t="n">
        <v>1145</v>
      </c>
      <c r="E112" s="22" t="n">
        <v>1209</v>
      </c>
      <c r="F112" s="22" t="n">
        <v>6085</v>
      </c>
      <c r="G112" s="22" t="n">
        <v>-7075</v>
      </c>
      <c r="H112" s="22" t="n">
        <v>368</v>
      </c>
      <c r="I112" s="22" t="n">
        <v>-4392</v>
      </c>
      <c r="J112" s="22" t="n">
        <v>66</v>
      </c>
      <c r="K112" s="22" t="n">
        <v>8591</v>
      </c>
      <c r="L112" s="22" t="n">
        <v>6547</v>
      </c>
      <c r="M112" s="22" t="n">
        <v>-1960</v>
      </c>
      <c r="N112" s="22" t="n">
        <v>64318</v>
      </c>
      <c r="T112" s="22" t="n">
        <v>-3218</v>
      </c>
      <c r="U112" s="22" t="n">
        <v>5255</v>
      </c>
      <c r="V112" s="22" t="n">
        <v>1209</v>
      </c>
      <c r="W112" s="22" t="n">
        <v>-4392</v>
      </c>
      <c r="X112" s="22" t="n">
        <v>-1960</v>
      </c>
    </row>
    <row r="113">
      <c r="A113" s="9" t="inlineStr">
        <is>
          <t>포괄이익</t>
        </is>
      </c>
      <c r="C113" s="12" t="n">
        <v>1013</v>
      </c>
      <c r="D113" s="12" t="n">
        <v>2727</v>
      </c>
      <c r="E113" s="12" t="n">
        <v>2924</v>
      </c>
      <c r="F113" s="12" t="n">
        <v>6811</v>
      </c>
      <c r="G113" s="12" t="n">
        <v>-7092</v>
      </c>
      <c r="H113" s="12" t="n">
        <v>1651</v>
      </c>
      <c r="I113" s="12" t="n">
        <v>-2236</v>
      </c>
      <c r="J113" s="12" t="n">
        <v>374</v>
      </c>
      <c r="K113" s="12" t="n">
        <v>9213</v>
      </c>
      <c r="L113" s="12" t="n">
        <v>8459</v>
      </c>
      <c r="M113" s="12" t="n">
        <v>2522</v>
      </c>
      <c r="N113" s="12" t="n">
        <v>65533</v>
      </c>
      <c r="T113" s="12" t="n">
        <v>-2160</v>
      </c>
      <c r="U113" s="12" t="n">
        <v>7219</v>
      </c>
      <c r="V113" s="12" t="n">
        <v>2924</v>
      </c>
      <c r="W113" s="12" t="n">
        <v>-2236</v>
      </c>
      <c r="X113" s="12" t="n">
        <v>2522</v>
      </c>
    </row>
    <row r="114">
      <c r="A114" s="9" t="inlineStr">
        <is>
          <t>지배주주 포괄이익</t>
        </is>
      </c>
      <c r="C114" s="12" t="n">
        <v>1013</v>
      </c>
      <c r="D114" s="12" t="n">
        <v>2727</v>
      </c>
      <c r="E114" s="12" t="n">
        <v>2924</v>
      </c>
      <c r="F114" s="12" t="n">
        <v>6811</v>
      </c>
      <c r="G114" s="12" t="n">
        <v>-7092</v>
      </c>
      <c r="H114" s="12" t="n">
        <v>1651</v>
      </c>
      <c r="I114" s="12" t="n">
        <v>-2236</v>
      </c>
      <c r="J114" s="12" t="n">
        <v>374</v>
      </c>
      <c r="K114" s="12" t="n">
        <v>9213</v>
      </c>
      <c r="L114" s="12" t="n">
        <v>8459</v>
      </c>
      <c r="M114" s="12" t="n">
        <v>2522</v>
      </c>
      <c r="N114" s="12" t="n">
        <v>65533</v>
      </c>
      <c r="T114" s="12" t="n">
        <v>-2160</v>
      </c>
      <c r="U114" s="12" t="n">
        <v>7219</v>
      </c>
      <c r="V114" s="12" t="n">
        <v>2924</v>
      </c>
      <c r="W114" s="12" t="n">
        <v>-2236</v>
      </c>
      <c r="X114" s="12" t="n">
        <v>2522</v>
      </c>
    </row>
    <row r="115">
      <c r="A115" s="9" t="inlineStr">
        <is>
          <t>비지배주주 포괄이익</t>
        </is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2" t="n">
        <v>0</v>
      </c>
    </row>
    <row r="117">
      <c r="A117" s="18" t="inlineStr">
        <is>
          <t>현금흐름표 · 전 항목</t>
        </is>
      </c>
      <c r="B117" s="44" t="inlineStr">
        <is>
          <t>분기 = 결산기 첫날부터 누계(공시 그대로)</t>
        </is>
      </c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</row>
    <row r="118">
      <c r="A118" s="5" t="inlineStr">
        <is>
          <t>항목</t>
        </is>
      </c>
      <c r="B118" s="5" t="inlineStr">
        <is>
          <t>참고</t>
        </is>
      </c>
      <c r="C118" s="5" t="inlineStr">
        <is>
          <t>2024.2Q</t>
        </is>
      </c>
      <c r="D118" s="5" t="inlineStr">
        <is>
          <t>2024.3Q</t>
        </is>
      </c>
      <c r="E118" s="5" t="inlineStr">
        <is>
          <t>2024.4Q</t>
        </is>
      </c>
      <c r="F118" s="5" t="inlineStr">
        <is>
          <t>2025.1Q</t>
        </is>
      </c>
      <c r="G118" s="5" t="inlineStr">
        <is>
          <t>2025.2Q</t>
        </is>
      </c>
      <c r="H118" s="5" t="inlineStr">
        <is>
          <t>2025.3Q</t>
        </is>
      </c>
      <c r="I118" s="5" t="inlineStr">
        <is>
          <t>2025.4Q</t>
        </is>
      </c>
      <c r="J118" s="5" t="inlineStr">
        <is>
          <t>2026.1Q</t>
        </is>
      </c>
      <c r="K118" s="5" t="inlineStr">
        <is>
          <t>2026.2Q</t>
        </is>
      </c>
      <c r="L118" s="5" t="inlineStr">
        <is>
          <t>2026.3Q</t>
        </is>
      </c>
      <c r="M118" s="5" t="inlineStr">
        <is>
          <t>2026.4Q</t>
        </is>
      </c>
      <c r="N118" s="5" t="inlineStr">
        <is>
          <t>2027.1Q</t>
        </is>
      </c>
      <c r="O118" s="5" t="inlineStr">
        <is>
          <t>2017</t>
        </is>
      </c>
      <c r="P118" s="5" t="inlineStr">
        <is>
          <t>2018</t>
        </is>
      </c>
      <c r="Q118" s="5" t="inlineStr">
        <is>
          <t>2019</t>
        </is>
      </c>
      <c r="R118" s="5" t="inlineStr">
        <is>
          <t>2020</t>
        </is>
      </c>
      <c r="S118" s="5" t="inlineStr">
        <is>
          <t>2021</t>
        </is>
      </c>
      <c r="T118" s="5" t="inlineStr">
        <is>
          <t>2022</t>
        </is>
      </c>
      <c r="U118" s="5" t="inlineStr">
        <is>
          <t>2023</t>
        </is>
      </c>
      <c r="V118" s="5" t="inlineStr">
        <is>
          <t>2024</t>
        </is>
      </c>
      <c r="W118" s="5" t="inlineStr">
        <is>
          <t>2025</t>
        </is>
      </c>
      <c r="X118" s="5" t="inlineStr">
        <is>
          <t>2026</t>
        </is>
      </c>
      <c r="Y118" s="5" t="inlineStr">
        <is>
          <t>2027(MW)</t>
        </is>
      </c>
      <c r="Z118" s="5" t="inlineStr">
        <is>
          <t>2028(MW)</t>
        </is>
      </c>
      <c r="AA118" s="5" t="inlineStr">
        <is>
          <t>2029(MW)</t>
        </is>
      </c>
      <c r="AB118" s="5" t="inlineStr">
        <is>
          <t>2030(MW)</t>
        </is>
      </c>
      <c r="AC118" s="5" t="inlineStr">
        <is>
          <t>2031(MW)</t>
        </is>
      </c>
    </row>
    <row r="119">
      <c r="A119" s="9" t="inlineStr">
        <is>
          <t>법인세차감전 순이익</t>
        </is>
      </c>
      <c r="C119" s="12" t="n">
        <v>3186</v>
      </c>
      <c r="E119" s="12" t="n">
        <v>7876</v>
      </c>
      <c r="G119" s="12" t="n">
        <v>1070</v>
      </c>
      <c r="I119" s="12" t="n">
        <v>5655</v>
      </c>
      <c r="K119" s="12" t="n">
        <v>1492</v>
      </c>
      <c r="M119" s="12" t="n">
        <v>10565</v>
      </c>
      <c r="O119" s="12" t="n">
        <v>7105</v>
      </c>
      <c r="P119" s="12" t="n">
        <v>9505</v>
      </c>
      <c r="Q119" s="12" t="n">
        <v>5710</v>
      </c>
      <c r="R119" s="12" t="n">
        <v>6443</v>
      </c>
      <c r="S119" s="12" t="n">
        <v>8570</v>
      </c>
      <c r="T119" s="12" t="n">
        <v>11286</v>
      </c>
      <c r="U119" s="12" t="n">
        <v>8064</v>
      </c>
      <c r="V119" s="12" t="n">
        <v>7876</v>
      </c>
      <c r="W119" s="12" t="n">
        <v>5655</v>
      </c>
      <c r="X119" s="12" t="n">
        <v>10565</v>
      </c>
    </row>
    <row r="120">
      <c r="A120" s="20" t="inlineStr">
        <is>
          <t>감가상각비</t>
        </is>
      </c>
      <c r="C120" s="22" t="n">
        <v>1280</v>
      </c>
      <c r="E120" s="22" t="n">
        <v>2672</v>
      </c>
      <c r="G120" s="22" t="n">
        <v>1359</v>
      </c>
      <c r="I120" s="22" t="n">
        <v>2936</v>
      </c>
      <c r="K120" s="22" t="n">
        <v>1643</v>
      </c>
      <c r="M120" s="22" t="n">
        <v>3301</v>
      </c>
      <c r="O120" s="22" t="n">
        <v>2093</v>
      </c>
      <c r="P120" s="22" t="n">
        <v>2352</v>
      </c>
      <c r="Q120" s="22" t="n">
        <v>2238</v>
      </c>
      <c r="R120" s="22" t="n">
        <v>2563</v>
      </c>
      <c r="S120" s="22" t="n">
        <v>2655</v>
      </c>
      <c r="T120" s="22" t="n">
        <v>2233</v>
      </c>
      <c r="U120" s="22" t="n">
        <v>2316</v>
      </c>
      <c r="V120" s="22" t="n">
        <v>2672</v>
      </c>
      <c r="W120" s="22" t="n">
        <v>2936</v>
      </c>
      <c r="X120" s="22" t="n">
        <v>3301</v>
      </c>
    </row>
    <row r="121">
      <c r="A121" s="20" t="inlineStr">
        <is>
          <t>영업권 상각</t>
        </is>
      </c>
      <c r="O121" s="22" t="n">
        <v>273</v>
      </c>
      <c r="P121" s="22" t="n">
        <v>251</v>
      </c>
      <c r="Q121" s="22" t="n">
        <v>513</v>
      </c>
      <c r="R121" s="22" t="n">
        <v>423</v>
      </c>
      <c r="S121" s="22" t="n">
        <v>378</v>
      </c>
      <c r="T121" s="22" t="n">
        <v>378</v>
      </c>
      <c r="U121" s="22" t="n">
        <v>0</v>
      </c>
    </row>
    <row r="122">
      <c r="A122" s="20" t="inlineStr">
        <is>
          <t>충당금 증감</t>
        </is>
      </c>
      <c r="C122" s="22" t="n">
        <v>-325</v>
      </c>
      <c r="G122" s="22" t="n">
        <v>-632</v>
      </c>
      <c r="K122" s="22" t="n">
        <v>-462</v>
      </c>
    </row>
    <row r="123">
      <c r="A123" s="20" t="inlineStr">
        <is>
          <t>퇴직급여부채 증감</t>
        </is>
      </c>
      <c r="C123" s="22" t="n">
        <v>-125</v>
      </c>
      <c r="O123" s="22" t="n">
        <v>142</v>
      </c>
      <c r="P123" s="22" t="n">
        <v>203</v>
      </c>
      <c r="Q123" s="22" t="n">
        <v>209</v>
      </c>
      <c r="R123" s="22" t="n">
        <v>43</v>
      </c>
      <c r="S123" s="22" t="n">
        <v>126</v>
      </c>
      <c r="T123" s="22" t="n">
        <v>-95</v>
      </c>
      <c r="U123" s="22" t="n">
        <v>-187</v>
      </c>
    </row>
    <row r="124">
      <c r="A124" s="20" t="inlineStr">
        <is>
          <t>투자유가증권 매각손익</t>
        </is>
      </c>
      <c r="C124" s="22" t="n">
        <v>0</v>
      </c>
      <c r="E124" s="22" t="n">
        <v>-2345</v>
      </c>
      <c r="I124" s="22" t="n">
        <v>-1100</v>
      </c>
      <c r="M124" s="22" t="n">
        <v>-7999</v>
      </c>
      <c r="R124" s="22" t="n">
        <v>0</v>
      </c>
      <c r="S124" s="22" t="n">
        <v>-29</v>
      </c>
      <c r="T124" s="22" t="n">
        <v>-419</v>
      </c>
      <c r="U124" s="22" t="n">
        <v>-1938</v>
      </c>
      <c r="V124" s="22" t="n">
        <v>-2345</v>
      </c>
      <c r="W124" s="22" t="n">
        <v>-1100</v>
      </c>
      <c r="X124" s="22" t="n">
        <v>-7999</v>
      </c>
    </row>
    <row r="125">
      <c r="A125" s="20" t="inlineStr">
        <is>
          <t>손상차손</t>
        </is>
      </c>
      <c r="I125" s="22" t="n">
        <v>0</v>
      </c>
      <c r="M125" s="22" t="n">
        <v>497</v>
      </c>
      <c r="S125" s="22" t="n">
        <v>0</v>
      </c>
      <c r="T125" s="22" t="n">
        <v>1243</v>
      </c>
      <c r="U125" s="22" t="n">
        <v>0</v>
      </c>
      <c r="W125" s="22" t="n">
        <v>0</v>
      </c>
      <c r="X125" s="22" t="n">
        <v>497</v>
      </c>
    </row>
    <row r="126">
      <c r="A126" s="20" t="inlineStr">
        <is>
          <t>투자유가증권 평가손익</t>
        </is>
      </c>
      <c r="Q126" s="22" t="n">
        <v>0</v>
      </c>
      <c r="R126" s="22" t="n">
        <v>154</v>
      </c>
      <c r="S126" s="22" t="n">
        <v>273</v>
      </c>
      <c r="T126" s="22" t="n">
        <v>0</v>
      </c>
    </row>
    <row r="127">
      <c r="A127" s="20" t="inlineStr">
        <is>
          <t>고정자산 제각손실</t>
        </is>
      </c>
      <c r="E127" s="22" t="n">
        <v>187</v>
      </c>
      <c r="I127" s="22" t="n">
        <v>0</v>
      </c>
      <c r="M127" s="22" t="n">
        <v>192</v>
      </c>
      <c r="U127" s="22" t="n">
        <v>0</v>
      </c>
      <c r="V127" s="22" t="n">
        <v>187</v>
      </c>
      <c r="W127" s="22" t="n">
        <v>0</v>
      </c>
      <c r="X127" s="22" t="n">
        <v>192</v>
      </c>
    </row>
    <row r="128">
      <c r="A128" s="20" t="inlineStr">
        <is>
          <t>Earthquake Related Expenses Ope CF</t>
        </is>
      </c>
      <c r="E128" s="22" t="n">
        <v>608</v>
      </c>
      <c r="I128" s="22" t="n">
        <v>0</v>
      </c>
      <c r="U128" s="22" t="n">
        <v>0</v>
      </c>
      <c r="V128" s="22" t="n">
        <v>608</v>
      </c>
      <c r="W128" s="22" t="n">
        <v>0</v>
      </c>
    </row>
    <row r="129">
      <c r="A129" s="20" t="inlineStr">
        <is>
          <t>사업구조개선비용</t>
        </is>
      </c>
      <c r="I129" s="22" t="n">
        <v>0</v>
      </c>
      <c r="M129" s="22" t="n">
        <v>441</v>
      </c>
      <c r="W129" s="22" t="n">
        <v>0</v>
      </c>
      <c r="X129" s="22" t="n">
        <v>441</v>
      </c>
    </row>
    <row r="130">
      <c r="A130" s="20" t="inlineStr">
        <is>
          <t>퇴직급여제도 개정손실</t>
        </is>
      </c>
      <c r="I130" s="22" t="n">
        <v>0</v>
      </c>
      <c r="M130" s="22" t="n">
        <v>75</v>
      </c>
      <c r="W130" s="22" t="n">
        <v>0</v>
      </c>
      <c r="X130" s="22" t="n">
        <v>75</v>
      </c>
    </row>
    <row r="131">
      <c r="A131" s="20" t="inlineStr">
        <is>
          <t>상여충당금 증감</t>
        </is>
      </c>
      <c r="E131" s="22" t="n">
        <v>0</v>
      </c>
      <c r="I131" s="22" t="n">
        <v>99</v>
      </c>
      <c r="M131" s="22" t="n">
        <v>-44</v>
      </c>
      <c r="O131" s="22" t="n">
        <v>149</v>
      </c>
      <c r="P131" s="22" t="n">
        <v>135</v>
      </c>
      <c r="Q131" s="22" t="n">
        <v>-136</v>
      </c>
      <c r="R131" s="22" t="n">
        <v>135</v>
      </c>
      <c r="S131" s="22" t="n">
        <v>151</v>
      </c>
      <c r="T131" s="22" t="n">
        <v>9</v>
      </c>
      <c r="U131" s="22" t="n">
        <v>-11</v>
      </c>
      <c r="V131" s="22" t="n">
        <v>0</v>
      </c>
      <c r="W131" s="22" t="n">
        <v>99</v>
      </c>
      <c r="X131" s="22" t="n">
        <v>-44</v>
      </c>
    </row>
    <row r="132">
      <c r="A132" s="20" t="inlineStr">
        <is>
          <t>퇴직급여 자산·부채 증감</t>
        </is>
      </c>
      <c r="C132" s="22" t="n">
        <v>-125</v>
      </c>
      <c r="E132" s="22" t="n">
        <v>-73</v>
      </c>
      <c r="G132" s="22" t="n">
        <v>-172</v>
      </c>
      <c r="I132" s="22" t="n">
        <v>-107</v>
      </c>
      <c r="K132" s="22" t="n">
        <v>-276</v>
      </c>
      <c r="M132" s="22" t="n">
        <v>-135</v>
      </c>
      <c r="U132" s="22" t="n">
        <v>-187</v>
      </c>
      <c r="V132" s="22" t="n">
        <v>-73</v>
      </c>
      <c r="W132" s="22" t="n">
        <v>-107</v>
      </c>
      <c r="X132" s="22" t="n">
        <v>-135</v>
      </c>
    </row>
    <row r="133">
      <c r="A133" s="20" t="inlineStr">
        <is>
          <t>대손충당금 증감</t>
        </is>
      </c>
      <c r="E133" s="22" t="n">
        <v>4</v>
      </c>
      <c r="I133" s="22" t="n">
        <v>-9</v>
      </c>
      <c r="M133" s="22" t="n">
        <v>-12</v>
      </c>
      <c r="O133" s="22" t="n">
        <v>16</v>
      </c>
      <c r="P133" s="22" t="n">
        <v>-9</v>
      </c>
      <c r="Q133" s="22" t="n">
        <v>-52</v>
      </c>
      <c r="R133" s="22" t="n">
        <v>8</v>
      </c>
      <c r="S133" s="22" t="n">
        <v>-14</v>
      </c>
      <c r="T133" s="22" t="n">
        <v>26</v>
      </c>
      <c r="U133" s="22" t="n">
        <v>-6</v>
      </c>
      <c r="V133" s="22" t="n">
        <v>4</v>
      </c>
      <c r="W133" s="22" t="n">
        <v>-9</v>
      </c>
      <c r="X133" s="22" t="n">
        <v>-12</v>
      </c>
    </row>
    <row r="134">
      <c r="A134" s="20" t="inlineStr">
        <is>
          <t>Increase Decrease In Provision For Loss On Order Received Of Software Ope CF</t>
        </is>
      </c>
      <c r="O134" s="22" t="n">
        <v>4</v>
      </c>
      <c r="P134" s="22" t="n">
        <v>-4</v>
      </c>
      <c r="Q134" s="22" t="n">
        <v>0</v>
      </c>
    </row>
    <row r="135">
      <c r="A135" s="20" t="inlineStr">
        <is>
          <t>제품보증 충당금 증감</t>
        </is>
      </c>
      <c r="E135" s="22" t="n">
        <v>-166</v>
      </c>
      <c r="I135" s="22" t="n">
        <v>-313</v>
      </c>
      <c r="M135" s="22" t="n">
        <v>-276</v>
      </c>
      <c r="O135" s="22" t="n">
        <v>18</v>
      </c>
      <c r="P135" s="22" t="n">
        <v>-36</v>
      </c>
      <c r="Q135" s="22" t="n">
        <v>-168</v>
      </c>
      <c r="R135" s="22" t="n">
        <v>99</v>
      </c>
      <c r="S135" s="22" t="n">
        <v>89</v>
      </c>
      <c r="T135" s="22" t="n">
        <v>264</v>
      </c>
      <c r="U135" s="22" t="n">
        <v>-199</v>
      </c>
      <c r="V135" s="22" t="n">
        <v>-166</v>
      </c>
      <c r="W135" s="22" t="n">
        <v>-313</v>
      </c>
      <c r="X135" s="22" t="n">
        <v>-276</v>
      </c>
    </row>
    <row r="136">
      <c r="A136" s="20" t="inlineStr">
        <is>
          <t>Increase Decrease In Provision For Recycling Ope CF</t>
        </is>
      </c>
      <c r="E136" s="22" t="n">
        <v>-54</v>
      </c>
      <c r="I136" s="22" t="n">
        <v>-78</v>
      </c>
      <c r="M136" s="22" t="n">
        <v>-78</v>
      </c>
      <c r="O136" s="22" t="n">
        <v>-95</v>
      </c>
      <c r="P136" s="22" t="n">
        <v>-77</v>
      </c>
      <c r="Q136" s="22" t="n">
        <v>-92</v>
      </c>
      <c r="R136" s="22" t="n">
        <v>-41</v>
      </c>
      <c r="S136" s="22" t="n">
        <v>-17</v>
      </c>
      <c r="T136" s="22" t="n">
        <v>-34</v>
      </c>
      <c r="U136" s="22" t="n">
        <v>-54</v>
      </c>
      <c r="V136" s="22" t="n">
        <v>-54</v>
      </c>
      <c r="W136" s="22" t="n">
        <v>-78</v>
      </c>
      <c r="X136" s="22" t="n">
        <v>-78</v>
      </c>
    </row>
    <row r="137">
      <c r="A137" s="20" t="inlineStr">
        <is>
          <t>이자·배당금 수익</t>
        </is>
      </c>
      <c r="E137" s="22" t="n">
        <v>-1177</v>
      </c>
      <c r="I137" s="22" t="n">
        <v>-1298</v>
      </c>
      <c r="M137" s="22" t="n">
        <v>-1432</v>
      </c>
      <c r="O137" s="22" t="n">
        <v>-497</v>
      </c>
      <c r="P137" s="22" t="n">
        <v>-547</v>
      </c>
      <c r="Q137" s="22" t="n">
        <v>-638</v>
      </c>
      <c r="R137" s="22" t="n">
        <v>-711</v>
      </c>
      <c r="S137" s="22" t="n">
        <v>-780</v>
      </c>
      <c r="T137" s="22" t="n">
        <v>-933</v>
      </c>
      <c r="U137" s="22" t="n">
        <v>-1098</v>
      </c>
      <c r="V137" s="22" t="n">
        <v>-1177</v>
      </c>
      <c r="W137" s="22" t="n">
        <v>-1298</v>
      </c>
      <c r="X137" s="22" t="n">
        <v>-1432</v>
      </c>
    </row>
    <row r="138">
      <c r="A138" s="20" t="inlineStr">
        <is>
          <t>이자비용</t>
        </is>
      </c>
      <c r="C138" s="22" t="n">
        <v>43</v>
      </c>
      <c r="E138" s="22" t="n">
        <v>90</v>
      </c>
      <c r="G138" s="22" t="n">
        <v>149</v>
      </c>
      <c r="I138" s="22" t="n">
        <v>266</v>
      </c>
      <c r="K138" s="22" t="n">
        <v>87</v>
      </c>
      <c r="M138" s="22" t="n">
        <v>204</v>
      </c>
      <c r="O138" s="22" t="n">
        <v>1</v>
      </c>
      <c r="P138" s="22" t="n">
        <v>3</v>
      </c>
      <c r="Q138" s="22" t="n">
        <v>2</v>
      </c>
      <c r="R138" s="22" t="n">
        <v>12</v>
      </c>
      <c r="S138" s="22" t="n">
        <v>17</v>
      </c>
      <c r="T138" s="22" t="n">
        <v>21</v>
      </c>
      <c r="U138" s="22" t="n">
        <v>41</v>
      </c>
      <c r="V138" s="22" t="n">
        <v>90</v>
      </c>
      <c r="W138" s="22" t="n">
        <v>266</v>
      </c>
      <c r="X138" s="22" t="n">
        <v>204</v>
      </c>
    </row>
    <row r="139">
      <c r="A139" s="20" t="inlineStr">
        <is>
          <t>외환차손익</t>
        </is>
      </c>
      <c r="E139" s="22" t="n">
        <v>-1020</v>
      </c>
      <c r="I139" s="22" t="n">
        <v>-79</v>
      </c>
      <c r="M139" s="22" t="n">
        <v>-315</v>
      </c>
      <c r="O139" s="22" t="n">
        <v>128</v>
      </c>
      <c r="P139" s="22" t="n">
        <v>-137</v>
      </c>
      <c r="Q139" s="22" t="n">
        <v>87</v>
      </c>
      <c r="R139" s="22" t="n">
        <v>92</v>
      </c>
      <c r="S139" s="22" t="n">
        <v>-234</v>
      </c>
      <c r="T139" s="22" t="n">
        <v>-156</v>
      </c>
      <c r="U139" s="22" t="n">
        <v>-198</v>
      </c>
      <c r="V139" s="22" t="n">
        <v>-1020</v>
      </c>
      <c r="W139" s="22" t="n">
        <v>-79</v>
      </c>
      <c r="X139" s="22" t="n">
        <v>-315</v>
      </c>
    </row>
    <row r="140">
      <c r="A140" s="20" t="inlineStr">
        <is>
          <t>유가증권 매각손익</t>
        </is>
      </c>
      <c r="O140" s="22" t="n">
        <v>-11</v>
      </c>
      <c r="P140" s="22" t="n">
        <v>0</v>
      </c>
    </row>
    <row r="141">
      <c r="A141" s="20" t="inlineStr">
        <is>
          <t>매출채권 증감</t>
        </is>
      </c>
      <c r="C141" s="22" t="n">
        <v>4705</v>
      </c>
      <c r="E141" s="22" t="n">
        <v>242</v>
      </c>
      <c r="G141" s="22" t="n">
        <v>3527</v>
      </c>
      <c r="I141" s="22" t="n">
        <v>-88</v>
      </c>
      <c r="K141" s="22" t="n">
        <v>1724</v>
      </c>
      <c r="M141" s="22" t="n">
        <v>-219</v>
      </c>
      <c r="O141" s="22" t="n">
        <v>-98</v>
      </c>
      <c r="P141" s="22" t="n">
        <v>-4312</v>
      </c>
      <c r="Q141" s="22" t="n">
        <v>5092</v>
      </c>
      <c r="R141" s="22" t="n">
        <v>-1511</v>
      </c>
      <c r="S141" s="22" t="n">
        <v>-447</v>
      </c>
      <c r="T141" s="22" t="n">
        <v>-4933</v>
      </c>
      <c r="U141" s="22" t="n">
        <v>4566</v>
      </c>
      <c r="V141" s="22" t="n">
        <v>242</v>
      </c>
      <c r="W141" s="22" t="n">
        <v>-88</v>
      </c>
      <c r="X141" s="22" t="n">
        <v>-219</v>
      </c>
    </row>
    <row r="142">
      <c r="A142" s="20" t="inlineStr">
        <is>
          <t>재고자산 증감</t>
        </is>
      </c>
      <c r="C142" s="22" t="n">
        <v>-1308</v>
      </c>
      <c r="E142" s="22" t="n">
        <v>7049</v>
      </c>
      <c r="G142" s="22" t="n">
        <v>2646</v>
      </c>
      <c r="I142" s="22" t="n">
        <v>6735</v>
      </c>
      <c r="K142" s="22" t="n">
        <v>-1913</v>
      </c>
      <c r="M142" s="22" t="n">
        <v>1248</v>
      </c>
      <c r="O142" s="22" t="n">
        <v>-731</v>
      </c>
      <c r="P142" s="22" t="n">
        <v>541</v>
      </c>
      <c r="Q142" s="22" t="n">
        <v>-4014</v>
      </c>
      <c r="R142" s="22" t="n">
        <v>-1310</v>
      </c>
      <c r="S142" s="22" t="n">
        <v>-1158</v>
      </c>
      <c r="T142" s="22" t="n">
        <v>341</v>
      </c>
      <c r="U142" s="22" t="n">
        <v>-15243</v>
      </c>
      <c r="V142" s="22" t="n">
        <v>7049</v>
      </c>
      <c r="W142" s="22" t="n">
        <v>6735</v>
      </c>
      <c r="X142" s="22" t="n">
        <v>1248</v>
      </c>
    </row>
    <row r="143">
      <c r="A143" s="20" t="inlineStr">
        <is>
          <t>매입채무 증감</t>
        </is>
      </c>
      <c r="C143" s="22" t="n">
        <v>-3319</v>
      </c>
      <c r="E143" s="22" t="n">
        <v>-4207</v>
      </c>
      <c r="G143" s="22" t="n">
        <v>1045</v>
      </c>
      <c r="I143" s="22" t="n">
        <v>1068</v>
      </c>
      <c r="K143" s="22" t="n">
        <v>456</v>
      </c>
      <c r="M143" s="22" t="n">
        <v>-322</v>
      </c>
      <c r="O143" s="22" t="n">
        <v>2025</v>
      </c>
      <c r="P143" s="22" t="n">
        <v>-1067</v>
      </c>
      <c r="Q143" s="22" t="n">
        <v>-682</v>
      </c>
      <c r="R143" s="22" t="n">
        <v>1771</v>
      </c>
      <c r="S143" s="22" t="n">
        <v>-2300</v>
      </c>
      <c r="T143" s="22" t="n">
        <v>946</v>
      </c>
      <c r="U143" s="22" t="n">
        <v>-1052</v>
      </c>
      <c r="V143" s="22" t="n">
        <v>-4207</v>
      </c>
      <c r="W143" s="22" t="n">
        <v>1068</v>
      </c>
      <c r="X143" s="22" t="n">
        <v>-322</v>
      </c>
    </row>
    <row r="144">
      <c r="A144" s="20" t="inlineStr">
        <is>
          <t>기타</t>
        </is>
      </c>
      <c r="C144" s="22" t="n">
        <v>-1955</v>
      </c>
      <c r="E144" s="22" t="n">
        <v>237</v>
      </c>
      <c r="G144" s="22" t="n">
        <v>-1968</v>
      </c>
      <c r="I144" s="22" t="n">
        <v>-832</v>
      </c>
      <c r="K144" s="22" t="n">
        <v>-1300</v>
      </c>
      <c r="M144" s="22" t="n">
        <v>-35</v>
      </c>
      <c r="O144" s="22" t="n">
        <v>853</v>
      </c>
      <c r="P144" s="22" t="n">
        <v>-569</v>
      </c>
      <c r="Q144" s="22" t="n">
        <v>-808</v>
      </c>
      <c r="R144" s="22" t="n">
        <v>541</v>
      </c>
      <c r="S144" s="22" t="n">
        <v>348</v>
      </c>
      <c r="T144" s="22" t="n">
        <v>578</v>
      </c>
      <c r="U144" s="22" t="n">
        <v>-56</v>
      </c>
      <c r="V144" s="22" t="n">
        <v>237</v>
      </c>
      <c r="W144" s="22" t="n">
        <v>-832</v>
      </c>
      <c r="X144" s="22" t="n">
        <v>-35</v>
      </c>
    </row>
    <row r="145">
      <c r="A145" s="20" t="inlineStr">
        <is>
          <t>소계</t>
        </is>
      </c>
      <c r="C145" s="22" t="n">
        <v>2182</v>
      </c>
      <c r="E145" s="22" t="n">
        <v>9921</v>
      </c>
      <c r="G145" s="22" t="n">
        <v>7025</v>
      </c>
      <c r="I145" s="22" t="n">
        <v>12853</v>
      </c>
      <c r="K145" s="22" t="n">
        <v>1450</v>
      </c>
      <c r="M145" s="22" t="n">
        <v>5655</v>
      </c>
      <c r="O145" s="22" t="n">
        <v>11378</v>
      </c>
      <c r="P145" s="22" t="n">
        <v>6231</v>
      </c>
      <c r="Q145" s="22" t="n">
        <v>7261</v>
      </c>
      <c r="R145" s="22" t="n">
        <v>8712</v>
      </c>
      <c r="S145" s="22" t="n">
        <v>7629</v>
      </c>
      <c r="T145" s="22" t="n">
        <v>10758</v>
      </c>
      <c r="U145" s="22" t="n">
        <v>-5057</v>
      </c>
      <c r="V145" s="22" t="n">
        <v>9921</v>
      </c>
      <c r="W145" s="22" t="n">
        <v>12853</v>
      </c>
      <c r="X145" s="22" t="n">
        <v>5655</v>
      </c>
    </row>
    <row r="146">
      <c r="A146" s="20" t="inlineStr">
        <is>
          <t>이자·배당금 수취</t>
        </is>
      </c>
      <c r="C146" s="22" t="n">
        <v>597</v>
      </c>
      <c r="E146" s="22" t="n">
        <v>1182</v>
      </c>
      <c r="G146" s="22" t="n">
        <v>624</v>
      </c>
      <c r="I146" s="22" t="n">
        <v>1298</v>
      </c>
      <c r="K146" s="22" t="n">
        <v>672</v>
      </c>
      <c r="M146" s="22" t="n">
        <v>1434</v>
      </c>
      <c r="O146" s="22" t="n">
        <v>496</v>
      </c>
      <c r="P146" s="22" t="n">
        <v>547</v>
      </c>
      <c r="Q146" s="22" t="n">
        <v>636</v>
      </c>
      <c r="R146" s="22" t="n">
        <v>714</v>
      </c>
      <c r="S146" s="22" t="n">
        <v>780</v>
      </c>
      <c r="T146" s="22" t="n">
        <v>933</v>
      </c>
      <c r="U146" s="22" t="n">
        <v>1098</v>
      </c>
      <c r="V146" s="22" t="n">
        <v>1182</v>
      </c>
      <c r="W146" s="22" t="n">
        <v>1298</v>
      </c>
      <c r="X146" s="22" t="n">
        <v>1434</v>
      </c>
    </row>
    <row r="147">
      <c r="A147" s="20" t="inlineStr">
        <is>
          <t>이자 지급</t>
        </is>
      </c>
      <c r="C147" s="22" t="n">
        <v>-51</v>
      </c>
      <c r="E147" s="22" t="n">
        <v>-100</v>
      </c>
      <c r="G147" s="22" t="n">
        <v>-147</v>
      </c>
      <c r="I147" s="22" t="n">
        <v>-263</v>
      </c>
      <c r="K147" s="22" t="n">
        <v>-87</v>
      </c>
      <c r="M147" s="22" t="n">
        <v>-206</v>
      </c>
      <c r="O147" s="22" t="n">
        <v>-1</v>
      </c>
      <c r="P147" s="22" t="n">
        <v>-2</v>
      </c>
      <c r="Q147" s="22" t="n">
        <v>-3</v>
      </c>
      <c r="R147" s="22" t="n">
        <v>-12</v>
      </c>
      <c r="S147" s="22" t="n">
        <v>-17</v>
      </c>
      <c r="T147" s="22" t="n">
        <v>-20</v>
      </c>
      <c r="U147" s="22" t="n">
        <v>-43</v>
      </c>
      <c r="V147" s="22" t="n">
        <v>-100</v>
      </c>
      <c r="W147" s="22" t="n">
        <v>-263</v>
      </c>
      <c r="X147" s="22" t="n">
        <v>-206</v>
      </c>
    </row>
    <row r="148">
      <c r="A148" s="20" t="inlineStr">
        <is>
          <t>법인세 납부</t>
        </is>
      </c>
      <c r="C148" s="22" t="n">
        <v>-1258</v>
      </c>
      <c r="E148" s="22" t="n">
        <v>-2647</v>
      </c>
      <c r="G148" s="22" t="n">
        <v>-1709</v>
      </c>
      <c r="I148" s="22" t="n">
        <v>-2211</v>
      </c>
      <c r="K148" s="22" t="n">
        <v>-853</v>
      </c>
      <c r="M148" s="22" t="n">
        <v>-1312</v>
      </c>
      <c r="O148" s="22" t="n">
        <v>-1340</v>
      </c>
      <c r="P148" s="22" t="n">
        <v>-1946</v>
      </c>
      <c r="Q148" s="22" t="n">
        <v>-2545</v>
      </c>
      <c r="R148" s="22" t="n">
        <v>-1256</v>
      </c>
      <c r="S148" s="22" t="n">
        <v>-1792</v>
      </c>
      <c r="T148" s="22" t="n">
        <v>-3241</v>
      </c>
      <c r="U148" s="22" t="n">
        <v>-3589</v>
      </c>
      <c r="V148" s="22" t="n">
        <v>-2647</v>
      </c>
      <c r="W148" s="22" t="n">
        <v>-2211</v>
      </c>
      <c r="X148" s="22" t="n">
        <v>-1312</v>
      </c>
    </row>
    <row r="149">
      <c r="A149" s="20" t="inlineStr">
        <is>
          <t>사업구조개선 비용 지급액</t>
        </is>
      </c>
      <c r="I149" s="22" t="n">
        <v>0</v>
      </c>
      <c r="M149" s="22" t="n">
        <v>-4</v>
      </c>
      <c r="W149" s="22" t="n">
        <v>0</v>
      </c>
      <c r="X149" s="22" t="n">
        <v>-4</v>
      </c>
    </row>
    <row r="150">
      <c r="A150" s="20" t="inlineStr">
        <is>
          <t>재해손실 지급</t>
        </is>
      </c>
      <c r="E150" s="22" t="n">
        <v>-442</v>
      </c>
      <c r="I150" s="22" t="n">
        <v>-133</v>
      </c>
      <c r="M150" s="22" t="n">
        <v>0</v>
      </c>
      <c r="U150" s="22" t="n">
        <v>0</v>
      </c>
      <c r="V150" s="22" t="n">
        <v>-442</v>
      </c>
      <c r="W150" s="22" t="n">
        <v>-133</v>
      </c>
      <c r="X150" s="22" t="n">
        <v>0</v>
      </c>
    </row>
    <row r="151">
      <c r="A151" s="9" t="inlineStr">
        <is>
          <t>영업활동 현금흐름</t>
        </is>
      </c>
      <c r="C151" s="12" t="n">
        <v>1470</v>
      </c>
      <c r="E151" s="12" t="n">
        <v>7914</v>
      </c>
      <c r="G151" s="12" t="n">
        <v>5792</v>
      </c>
      <c r="I151" s="12" t="n">
        <v>11543</v>
      </c>
      <c r="K151" s="12" t="n">
        <v>1180</v>
      </c>
      <c r="M151" s="12" t="n">
        <v>5566</v>
      </c>
      <c r="O151" s="12" t="n">
        <v>10533</v>
      </c>
      <c r="P151" s="12" t="n">
        <v>4829</v>
      </c>
      <c r="Q151" s="12" t="n">
        <v>5348</v>
      </c>
      <c r="R151" s="12" t="n">
        <v>8157</v>
      </c>
      <c r="S151" s="12" t="n">
        <v>6600</v>
      </c>
      <c r="T151" s="12" t="n">
        <v>8429</v>
      </c>
      <c r="U151" s="12" t="n">
        <v>-7592</v>
      </c>
      <c r="V151" s="12" t="n">
        <v>7914</v>
      </c>
      <c r="W151" s="12" t="n">
        <v>11543</v>
      </c>
      <c r="X151" s="12" t="n">
        <v>5566</v>
      </c>
    </row>
    <row r="152">
      <c r="A152" s="20" t="inlineStr">
        <is>
          <t>정기예금 예입</t>
        </is>
      </c>
      <c r="P152" s="22" t="n">
        <v>0</v>
      </c>
      <c r="Q152" s="22" t="n">
        <v>-300</v>
      </c>
      <c r="R152" s="22" t="n">
        <v>0</v>
      </c>
    </row>
    <row r="153">
      <c r="A153" s="20" t="inlineStr">
        <is>
          <t>정기예금 인출</t>
        </is>
      </c>
      <c r="Q153" s="22" t="n">
        <v>0</v>
      </c>
      <c r="R153" s="22" t="n">
        <v>300</v>
      </c>
      <c r="S153" s="22" t="n">
        <v>0</v>
      </c>
    </row>
    <row r="154">
      <c r="A154" s="20" t="inlineStr">
        <is>
          <t>유가증권 취득</t>
        </is>
      </c>
      <c r="O154" s="22" t="n">
        <v>-28</v>
      </c>
      <c r="P154" s="22" t="n">
        <v>-300</v>
      </c>
      <c r="Q154" s="22" t="n">
        <v>-500</v>
      </c>
      <c r="R154" s="22" t="n">
        <v>0</v>
      </c>
    </row>
    <row r="155">
      <c r="A155" s="20" t="inlineStr">
        <is>
          <t>유가증권 매각·상환 수입</t>
        </is>
      </c>
      <c r="E155" s="22" t="n">
        <v>0</v>
      </c>
      <c r="O155" s="22" t="n">
        <v>509</v>
      </c>
      <c r="P155" s="22" t="n">
        <v>1</v>
      </c>
      <c r="Q155" s="22" t="n">
        <v>302</v>
      </c>
      <c r="R155" s="22" t="n">
        <v>321</v>
      </c>
      <c r="S155" s="22" t="n">
        <v>805</v>
      </c>
      <c r="T155" s="22" t="n">
        <v>1000</v>
      </c>
      <c r="U155" s="22" t="n">
        <v>300</v>
      </c>
      <c r="V155" s="22" t="n">
        <v>0</v>
      </c>
    </row>
    <row r="156">
      <c r="A156" s="20" t="inlineStr">
        <is>
          <t>Purchase Of Property Plant And Equipment And Intangible Assets Inv CF</t>
        </is>
      </c>
      <c r="C156" s="22" t="n">
        <v>-2129</v>
      </c>
      <c r="G156" s="22" t="n">
        <v>-1016</v>
      </c>
      <c r="K156" s="22" t="n">
        <v>-4020</v>
      </c>
    </row>
    <row r="157">
      <c r="A157" s="20" t="inlineStr">
        <is>
          <t>Purchase Of Short Term And Long Term Investment Securities Inv CF</t>
        </is>
      </c>
      <c r="C157" s="22" t="n">
        <v>-301</v>
      </c>
      <c r="G157" s="22" t="n">
        <v>-1</v>
      </c>
      <c r="K157" s="22" t="n">
        <v>-101</v>
      </c>
    </row>
    <row r="158">
      <c r="A158" s="20" t="inlineStr">
        <is>
          <t>유가증권·투자유가증권 매각·상환 수입</t>
        </is>
      </c>
      <c r="C158" s="22" t="n">
        <v>49</v>
      </c>
      <c r="G158" s="22" t="n">
        <v>29</v>
      </c>
      <c r="K158" s="22" t="n">
        <v>0</v>
      </c>
    </row>
    <row r="159">
      <c r="A159" s="20" t="inlineStr">
        <is>
          <t>유형자산 취득(설비투자)</t>
        </is>
      </c>
      <c r="E159" s="22" t="n">
        <v>-2931</v>
      </c>
      <c r="I159" s="22" t="n">
        <v>-3549</v>
      </c>
      <c r="M159" s="22" t="n">
        <v>-4627</v>
      </c>
      <c r="O159" s="22" t="n">
        <v>-3027</v>
      </c>
      <c r="P159" s="22" t="n">
        <v>-2787</v>
      </c>
      <c r="Q159" s="22" t="n">
        <v>-3840</v>
      </c>
      <c r="R159" s="22" t="n">
        <v>-4041</v>
      </c>
      <c r="S159" s="22" t="n">
        <v>-3103</v>
      </c>
      <c r="T159" s="22" t="n">
        <v>-2768</v>
      </c>
      <c r="U159" s="22" t="n">
        <v>-1962</v>
      </c>
      <c r="V159" s="22" t="n">
        <v>-2931</v>
      </c>
      <c r="W159" s="22" t="n">
        <v>-3549</v>
      </c>
      <c r="X159" s="22" t="n">
        <v>-4627</v>
      </c>
    </row>
    <row r="160">
      <c r="A160" s="20" t="inlineStr">
        <is>
          <t>Increase In Other Assets Inv CF</t>
        </is>
      </c>
      <c r="E160" s="22" t="n">
        <v>-393</v>
      </c>
      <c r="I160" s="22" t="n">
        <v>-494</v>
      </c>
      <c r="M160" s="22" t="n">
        <v>-266</v>
      </c>
      <c r="O160" s="22" t="n">
        <v>-367</v>
      </c>
      <c r="P160" s="22" t="n">
        <v>-156</v>
      </c>
      <c r="Q160" s="22" t="n">
        <v>-192</v>
      </c>
      <c r="R160" s="22" t="n">
        <v>-243</v>
      </c>
      <c r="S160" s="22" t="n">
        <v>-411</v>
      </c>
      <c r="T160" s="22" t="n">
        <v>-503</v>
      </c>
      <c r="U160" s="22" t="n">
        <v>-183</v>
      </c>
      <c r="V160" s="22" t="n">
        <v>-393</v>
      </c>
      <c r="W160" s="22" t="n">
        <v>-494</v>
      </c>
      <c r="X160" s="22" t="n">
        <v>-266</v>
      </c>
    </row>
    <row r="161">
      <c r="A161" s="20" t="inlineStr">
        <is>
          <t>투자유가증권 취득</t>
        </is>
      </c>
      <c r="E161" s="22" t="n">
        <v>-302</v>
      </c>
      <c r="I161" s="22" t="n">
        <v>-3</v>
      </c>
      <c r="M161" s="22" t="n">
        <v>-104</v>
      </c>
      <c r="O161" s="22" t="n">
        <v>-5</v>
      </c>
      <c r="P161" s="22" t="n">
        <v>-778</v>
      </c>
      <c r="Q161" s="22" t="n">
        <v>-4155</v>
      </c>
      <c r="R161" s="22" t="n">
        <v>-521</v>
      </c>
      <c r="S161" s="22" t="n">
        <v>-780</v>
      </c>
      <c r="T161" s="22" t="n">
        <v>-901</v>
      </c>
      <c r="U161" s="22" t="n">
        <v>-2</v>
      </c>
      <c r="V161" s="22" t="n">
        <v>-302</v>
      </c>
      <c r="W161" s="22" t="n">
        <v>-3</v>
      </c>
      <c r="X161" s="22" t="n">
        <v>-104</v>
      </c>
    </row>
    <row r="162">
      <c r="A162" s="20" t="inlineStr">
        <is>
          <t>투자유가증권 매각·상환 수입</t>
        </is>
      </c>
      <c r="E162" s="22" t="n">
        <v>2735</v>
      </c>
      <c r="I162" s="22" t="n">
        <v>1858</v>
      </c>
      <c r="M162" s="22" t="n">
        <v>6724</v>
      </c>
      <c r="O162" s="22" t="n">
        <v>2</v>
      </c>
      <c r="P162" s="22" t="n">
        <v>2</v>
      </c>
      <c r="Q162" s="22" t="n">
        <v>0</v>
      </c>
      <c r="R162" s="22" t="n">
        <v>458</v>
      </c>
      <c r="S162" s="22" t="n">
        <v>76</v>
      </c>
      <c r="T162" s="22" t="n">
        <v>666</v>
      </c>
      <c r="U162" s="22" t="n">
        <v>2653</v>
      </c>
      <c r="V162" s="22" t="n">
        <v>2735</v>
      </c>
      <c r="W162" s="22" t="n">
        <v>1858</v>
      </c>
      <c r="X162" s="22" t="n">
        <v>6724</v>
      </c>
    </row>
    <row r="163">
      <c r="A163" s="20" t="inlineStr">
        <is>
          <t>대여</t>
        </is>
      </c>
      <c r="O163" s="22" t="n">
        <v>-108</v>
      </c>
      <c r="P163" s="22" t="n">
        <v>0</v>
      </c>
      <c r="Q163" s="22" t="n">
        <v>-51</v>
      </c>
      <c r="R163" s="22" t="n">
        <v>-13</v>
      </c>
      <c r="S163" s="22" t="n">
        <v>-13</v>
      </c>
      <c r="T163" s="22" t="n">
        <v>0</v>
      </c>
    </row>
    <row r="164">
      <c r="A164" s="20" t="inlineStr">
        <is>
          <t>대여금 회수</t>
        </is>
      </c>
      <c r="E164" s="22" t="n">
        <v>0</v>
      </c>
      <c r="I164" s="22" t="n">
        <v>12</v>
      </c>
      <c r="M164" s="22" t="n">
        <v>25</v>
      </c>
      <c r="O164" s="22" t="n">
        <v>24</v>
      </c>
      <c r="P164" s="22" t="n">
        <v>18</v>
      </c>
      <c r="Q164" s="22" t="n">
        <v>17</v>
      </c>
      <c r="R164" s="22" t="n">
        <v>72</v>
      </c>
      <c r="S164" s="22" t="n">
        <v>31</v>
      </c>
      <c r="T164" s="22" t="n">
        <v>36</v>
      </c>
      <c r="U164" s="22" t="n">
        <v>20</v>
      </c>
      <c r="V164" s="22" t="n">
        <v>0</v>
      </c>
      <c r="W164" s="22" t="n">
        <v>12</v>
      </c>
      <c r="X164" s="22" t="n">
        <v>25</v>
      </c>
    </row>
    <row r="165">
      <c r="A165" s="20" t="inlineStr">
        <is>
          <t>사업양수 지출</t>
        </is>
      </c>
      <c r="O165" s="22" t="n">
        <v>-1251</v>
      </c>
      <c r="P165" s="22" t="n">
        <v>0</v>
      </c>
    </row>
    <row r="166">
      <c r="A166" s="20" t="inlineStr">
        <is>
          <t>연결범위 변경 자회사 주식 취득</t>
        </is>
      </c>
      <c r="O166" s="22" t="n">
        <v>0</v>
      </c>
      <c r="P166" s="22" t="n">
        <v>-2566</v>
      </c>
      <c r="Q166" s="22" t="n">
        <v>0</v>
      </c>
    </row>
    <row r="167">
      <c r="A167" s="20" t="inlineStr">
        <is>
          <t>기타</t>
        </is>
      </c>
      <c r="C167" s="22" t="n">
        <v>-22</v>
      </c>
      <c r="E167" s="22" t="n">
        <v>-165</v>
      </c>
      <c r="G167" s="22" t="n">
        <v>-16</v>
      </c>
      <c r="I167" s="22" t="n">
        <v>36</v>
      </c>
      <c r="K167" s="22" t="n">
        <v>19</v>
      </c>
      <c r="M167" s="22" t="n">
        <v>-63</v>
      </c>
      <c r="O167" s="22" t="n">
        <v>95</v>
      </c>
      <c r="P167" s="22" t="n">
        <v>-1</v>
      </c>
      <c r="Q167" s="22" t="n">
        <v>7</v>
      </c>
      <c r="R167" s="22" t="n">
        <v>-49</v>
      </c>
      <c r="S167" s="22" t="n">
        <v>61</v>
      </c>
      <c r="T167" s="22" t="n">
        <v>76</v>
      </c>
      <c r="U167" s="22" t="n">
        <v>26</v>
      </c>
      <c r="V167" s="22" t="n">
        <v>-165</v>
      </c>
      <c r="W167" s="22" t="n">
        <v>36</v>
      </c>
      <c r="X167" s="22" t="n">
        <v>-63</v>
      </c>
    </row>
    <row r="168">
      <c r="A168" s="9" t="inlineStr">
        <is>
          <t>투자활동 현금흐름</t>
        </is>
      </c>
      <c r="C168" s="12" t="n">
        <v>-2403</v>
      </c>
      <c r="E168" s="12" t="n">
        <v>-1057</v>
      </c>
      <c r="G168" s="12" t="n">
        <v>-1005</v>
      </c>
      <c r="I168" s="12" t="n">
        <v>-2140</v>
      </c>
      <c r="K168" s="12" t="n">
        <v>-4103</v>
      </c>
      <c r="M168" s="12" t="n">
        <v>1687</v>
      </c>
      <c r="O168" s="12" t="n">
        <v>-4157</v>
      </c>
      <c r="P168" s="12" t="n">
        <v>-6567</v>
      </c>
      <c r="Q168" s="12" t="n">
        <v>-8713</v>
      </c>
      <c r="R168" s="12" t="n">
        <v>-3717</v>
      </c>
      <c r="S168" s="12" t="n">
        <v>-3333</v>
      </c>
      <c r="T168" s="12" t="n">
        <v>-2394</v>
      </c>
      <c r="U168" s="12" t="n">
        <v>853</v>
      </c>
      <c r="V168" s="12" t="n">
        <v>-1057</v>
      </c>
      <c r="W168" s="12" t="n">
        <v>-2140</v>
      </c>
      <c r="X168" s="12" t="n">
        <v>1687</v>
      </c>
    </row>
    <row r="169">
      <c r="A169" s="20" t="inlineStr">
        <is>
          <t>단기차입</t>
        </is>
      </c>
      <c r="C169" s="22" t="n">
        <v>6500</v>
      </c>
      <c r="G169" s="22" t="n">
        <v>0</v>
      </c>
    </row>
    <row r="170">
      <c r="A170" s="20" t="inlineStr">
        <is>
          <t>단기차입금 순증감</t>
        </is>
      </c>
      <c r="E170" s="22" t="n">
        <v>3333</v>
      </c>
      <c r="I170" s="22" t="n">
        <v>0</v>
      </c>
      <c r="T170" s="22" t="n">
        <v>0</v>
      </c>
      <c r="U170" s="22" t="n">
        <v>-629</v>
      </c>
      <c r="V170" s="22" t="n">
        <v>3333</v>
      </c>
      <c r="W170" s="22" t="n">
        <v>0</v>
      </c>
    </row>
    <row r="171">
      <c r="A171" s="20" t="inlineStr">
        <is>
          <t>장기차입금 상환</t>
        </is>
      </c>
      <c r="C171" s="22" t="n">
        <v>-76</v>
      </c>
      <c r="E171" s="22" t="n">
        <v>-156</v>
      </c>
      <c r="G171" s="22" t="n">
        <v>-83</v>
      </c>
      <c r="I171" s="22" t="n">
        <v>-163</v>
      </c>
      <c r="K171" s="22" t="n">
        <v>-84</v>
      </c>
      <c r="M171" s="22" t="n">
        <v>-174</v>
      </c>
      <c r="O171" s="22" t="n">
        <v>0</v>
      </c>
      <c r="P171" s="22" t="n">
        <v>-959</v>
      </c>
      <c r="Q171" s="22" t="n">
        <v>-55</v>
      </c>
      <c r="R171" s="22" t="n">
        <v>0</v>
      </c>
      <c r="S171" s="22" t="n">
        <v>-61</v>
      </c>
      <c r="T171" s="22" t="n">
        <v>-130</v>
      </c>
      <c r="U171" s="22" t="n">
        <v>-140</v>
      </c>
      <c r="V171" s="22" t="n">
        <v>-156</v>
      </c>
      <c r="W171" s="22" t="n">
        <v>-163</v>
      </c>
      <c r="X171" s="22" t="n">
        <v>-174</v>
      </c>
    </row>
    <row r="172">
      <c r="A172" s="20" t="inlineStr">
        <is>
          <t>장기차입</t>
        </is>
      </c>
      <c r="P172" s="22" t="n">
        <v>0</v>
      </c>
      <c r="Q172" s="22" t="n">
        <v>1284</v>
      </c>
      <c r="R172" s="22" t="n">
        <v>0</v>
      </c>
    </row>
    <row r="173">
      <c r="A173" s="20" t="inlineStr">
        <is>
          <t>리스부채 상환</t>
        </is>
      </c>
      <c r="C173" s="22" t="n">
        <v>-158</v>
      </c>
      <c r="E173" s="22" t="n">
        <v>-315</v>
      </c>
      <c r="G173" s="22" t="n">
        <v>-151</v>
      </c>
      <c r="I173" s="22" t="n">
        <v>-329</v>
      </c>
      <c r="K173" s="22" t="n">
        <v>-197</v>
      </c>
      <c r="M173" s="22" t="n">
        <v>-402</v>
      </c>
      <c r="Q173" s="22" t="n">
        <v>0</v>
      </c>
      <c r="R173" s="22" t="n">
        <v>-194</v>
      </c>
      <c r="S173" s="22" t="n">
        <v>-240</v>
      </c>
      <c r="T173" s="22" t="n">
        <v>-209</v>
      </c>
      <c r="U173" s="22" t="n">
        <v>-234</v>
      </c>
      <c r="V173" s="22" t="n">
        <v>-315</v>
      </c>
      <c r="W173" s="22" t="n">
        <v>-329</v>
      </c>
      <c r="X173" s="22" t="n">
        <v>-402</v>
      </c>
    </row>
    <row r="174">
      <c r="A174" s="20" t="inlineStr">
        <is>
          <t>자기주식 취득</t>
        </is>
      </c>
      <c r="C174" s="22" t="n">
        <v>0</v>
      </c>
      <c r="E174" s="22" t="n">
        <v>-0</v>
      </c>
      <c r="I174" s="22" t="n">
        <v>0</v>
      </c>
      <c r="M174" s="22" t="n">
        <v>-3582</v>
      </c>
      <c r="O174" s="22" t="n">
        <v>-0</v>
      </c>
      <c r="P174" s="22" t="n">
        <v>-0</v>
      </c>
      <c r="Q174" s="22" t="n">
        <v>-0</v>
      </c>
      <c r="R174" s="22" t="n">
        <v>-0</v>
      </c>
      <c r="S174" s="22" t="n">
        <v>-0</v>
      </c>
      <c r="T174" s="22" t="n">
        <v>-0</v>
      </c>
      <c r="U174" s="22" t="n">
        <v>-2821</v>
      </c>
      <c r="V174" s="22" t="n">
        <v>-0</v>
      </c>
      <c r="W174" s="22" t="n">
        <v>0</v>
      </c>
      <c r="X174" s="22" t="n">
        <v>-3582</v>
      </c>
    </row>
    <row r="175">
      <c r="A175" s="20" t="inlineStr">
        <is>
          <t>배당금 지급</t>
        </is>
      </c>
      <c r="C175" s="22" t="n">
        <v>-1337</v>
      </c>
      <c r="E175" s="22" t="n">
        <v>-3393</v>
      </c>
      <c r="G175" s="22" t="n">
        <v>-2056</v>
      </c>
      <c r="I175" s="22" t="n">
        <v>-4218</v>
      </c>
      <c r="K175" s="22" t="n">
        <v>-2160</v>
      </c>
      <c r="M175" s="22" t="n">
        <v>-4425</v>
      </c>
      <c r="O175" s="22" t="n">
        <v>-1598</v>
      </c>
      <c r="P175" s="22" t="n">
        <v>-1812</v>
      </c>
      <c r="Q175" s="22" t="n">
        <v>-2025</v>
      </c>
      <c r="R175" s="22" t="n">
        <v>-2238</v>
      </c>
      <c r="S175" s="22" t="n">
        <v>-2345</v>
      </c>
      <c r="T175" s="22" t="n">
        <v>-2558</v>
      </c>
      <c r="U175" s="22" t="n">
        <v>-2525</v>
      </c>
      <c r="V175" s="22" t="n">
        <v>-3393</v>
      </c>
      <c r="W175" s="22" t="n">
        <v>-4218</v>
      </c>
      <c r="X175" s="22" t="n">
        <v>-4425</v>
      </c>
    </row>
    <row r="176">
      <c r="A176" s="9" t="inlineStr">
        <is>
          <t>재무활동 현금흐름</t>
        </is>
      </c>
      <c r="C176" s="12" t="n">
        <v>4927</v>
      </c>
      <c r="E176" s="12" t="n">
        <v>-533</v>
      </c>
      <c r="G176" s="12" t="n">
        <v>-2291</v>
      </c>
      <c r="I176" s="12" t="n">
        <v>-4711</v>
      </c>
      <c r="K176" s="12" t="n">
        <v>-2441</v>
      </c>
      <c r="M176" s="12" t="n">
        <v>-8584</v>
      </c>
      <c r="O176" s="12" t="n">
        <v>-1598</v>
      </c>
      <c r="P176" s="12" t="n">
        <v>-2772</v>
      </c>
      <c r="Q176" s="12" t="n">
        <v>-796</v>
      </c>
      <c r="R176" s="12" t="n">
        <v>-2433</v>
      </c>
      <c r="S176" s="12" t="n">
        <v>-2648</v>
      </c>
      <c r="T176" s="12" t="n">
        <v>-2899</v>
      </c>
      <c r="U176" s="12" t="n">
        <v>-6351</v>
      </c>
      <c r="V176" s="12" t="n">
        <v>-533</v>
      </c>
      <c r="W176" s="12" t="n">
        <v>-4711</v>
      </c>
      <c r="X176" s="12" t="n">
        <v>-8584</v>
      </c>
    </row>
    <row r="177">
      <c r="A177" s="20" t="inlineStr">
        <is>
          <t>현금성자산 환산차이</t>
        </is>
      </c>
      <c r="C177" s="22" t="n">
        <v>494</v>
      </c>
      <c r="E177" s="22" t="n">
        <v>537</v>
      </c>
      <c r="G177" s="22" t="n">
        <v>-112</v>
      </c>
      <c r="I177" s="22" t="n">
        <v>-51</v>
      </c>
      <c r="K177" s="22" t="n">
        <v>193</v>
      </c>
      <c r="M177" s="22" t="n">
        <v>624</v>
      </c>
      <c r="O177" s="22" t="n">
        <v>-204</v>
      </c>
      <c r="P177" s="22" t="n">
        <v>110</v>
      </c>
      <c r="Q177" s="22" t="n">
        <v>-133</v>
      </c>
      <c r="R177" s="22" t="n">
        <v>-164</v>
      </c>
      <c r="S177" s="22" t="n">
        <v>322</v>
      </c>
      <c r="T177" s="22" t="n">
        <v>368</v>
      </c>
      <c r="U177" s="22" t="n">
        <v>259</v>
      </c>
      <c r="V177" s="22" t="n">
        <v>537</v>
      </c>
      <c r="W177" s="22" t="n">
        <v>-51</v>
      </c>
      <c r="X177" s="22" t="n">
        <v>624</v>
      </c>
    </row>
    <row r="178">
      <c r="A178" s="20" t="inlineStr">
        <is>
          <t>현금성자산 증감</t>
        </is>
      </c>
      <c r="C178" s="22" t="n">
        <v>4488</v>
      </c>
      <c r="E178" s="22" t="n">
        <v>6861</v>
      </c>
      <c r="G178" s="22" t="n">
        <v>2382</v>
      </c>
      <c r="I178" s="22" t="n">
        <v>4640</v>
      </c>
      <c r="K178" s="22" t="n">
        <v>-5170</v>
      </c>
      <c r="M178" s="22" t="n">
        <v>-705</v>
      </c>
      <c r="O178" s="22" t="n">
        <v>4573</v>
      </c>
      <c r="P178" s="22" t="n">
        <v>-4399</v>
      </c>
      <c r="Q178" s="22" t="n">
        <v>-4295</v>
      </c>
      <c r="R178" s="22" t="n">
        <v>1842</v>
      </c>
      <c r="S178" s="22" t="n">
        <v>940</v>
      </c>
      <c r="T178" s="22" t="n">
        <v>3505</v>
      </c>
      <c r="U178" s="22" t="n">
        <v>-12830</v>
      </c>
      <c r="V178" s="22" t="n">
        <v>6861</v>
      </c>
      <c r="W178" s="22" t="n">
        <v>4640</v>
      </c>
      <c r="X178" s="22" t="n">
        <v>-705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6737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79773</v>
      </c>
      <c r="D5" s="12" t="n">
        <v>77330</v>
      </c>
      <c r="E5" s="12" t="n">
        <v>78441</v>
      </c>
      <c r="F5" s="12" t="n">
        <v>84776</v>
      </c>
      <c r="G5" s="12" t="n">
        <v>81755</v>
      </c>
      <c r="H5" s="11" t="n">
        <v>80510</v>
      </c>
      <c r="I5" s="12" t="n">
        <v>79904</v>
      </c>
      <c r="J5" s="12" t="n">
        <v>82425</v>
      </c>
      <c r="K5" s="12" t="n">
        <v>80709</v>
      </c>
      <c r="L5" s="12" t="n">
        <v>84776</v>
      </c>
    </row>
    <row r="6">
      <c r="A6" s="20" t="inlineStr">
        <is>
          <t>현금및현금성자산</t>
        </is>
      </c>
      <c r="B6" s="10" t="n"/>
      <c r="C6" s="21" t="n">
        <v>20686</v>
      </c>
      <c r="D6" s="22" t="n">
        <v>15887</v>
      </c>
      <c r="E6" s="22" t="n">
        <v>14959</v>
      </c>
      <c r="F6" s="22" t="n">
        <v>20352</v>
      </c>
      <c r="G6" s="22" t="n">
        <v>23598</v>
      </c>
      <c r="H6" s="21" t="n">
        <v>13887</v>
      </c>
      <c r="I6" s="22" t="n">
        <v>9557</v>
      </c>
      <c r="J6" s="22" t="n">
        <v>16418</v>
      </c>
      <c r="K6" s="22" t="n">
        <v>21058</v>
      </c>
      <c r="L6" s="22" t="n">
        <v>20352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>
        <v>8799</v>
      </c>
      <c r="I7" s="22" t="n">
        <v>0</v>
      </c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16015</v>
      </c>
      <c r="D8" s="22" t="n">
        <v>18305</v>
      </c>
      <c r="E8" s="22" t="n">
        <v>18862</v>
      </c>
      <c r="F8" s="22" t="n">
        <v>20135</v>
      </c>
      <c r="G8" s="22" t="n">
        <v>16747</v>
      </c>
      <c r="H8" s="21" t="n">
        <v>23035</v>
      </c>
      <c r="I8" s="22" t="n">
        <v>18980</v>
      </c>
      <c r="J8" s="22" t="n">
        <v>19110</v>
      </c>
      <c r="K8" s="22" t="n">
        <v>19386</v>
      </c>
      <c r="L8" s="22" t="n">
        <v>20135</v>
      </c>
    </row>
    <row r="9">
      <c r="A9" s="20" t="inlineStr">
        <is>
          <t>재고자산</t>
        </is>
      </c>
      <c r="B9" s="10" t="n"/>
      <c r="C9" s="21" t="n">
        <v>38665</v>
      </c>
      <c r="D9" s="22" t="n">
        <v>39730</v>
      </c>
      <c r="E9" s="22" t="n">
        <v>40796</v>
      </c>
      <c r="F9" s="22" t="n">
        <v>37741</v>
      </c>
      <c r="G9" s="22" t="n">
        <v>37433</v>
      </c>
      <c r="H9" s="21" t="n">
        <v>31748</v>
      </c>
      <c r="I9" s="22" t="n">
        <v>48018</v>
      </c>
      <c r="J9" s="22" t="n">
        <v>43534</v>
      </c>
      <c r="K9" s="22" t="n">
        <v>36664</v>
      </c>
      <c r="L9" s="22" t="n">
        <v>37741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79848</v>
      </c>
      <c r="D11" s="12" t="n">
        <v>91318</v>
      </c>
      <c r="E11" s="12" t="n">
        <v>98328</v>
      </c>
      <c r="F11" s="12" t="n">
        <v>92706</v>
      </c>
      <c r="G11" s="12" t="n">
        <v>185397</v>
      </c>
      <c r="H11" s="11" t="n">
        <v>74948</v>
      </c>
      <c r="I11" s="12" t="n">
        <v>76031</v>
      </c>
      <c r="J11" s="12" t="n">
        <v>82394</v>
      </c>
      <c r="K11" s="12" t="n">
        <v>77050</v>
      </c>
      <c r="L11" s="12" t="n">
        <v>92706</v>
      </c>
    </row>
    <row r="12">
      <c r="A12" s="20" t="inlineStr">
        <is>
          <t>유형자산</t>
        </is>
      </c>
      <c r="B12" s="10" t="n"/>
      <c r="C12" s="21" t="n">
        <v>27202</v>
      </c>
      <c r="D12" s="22" t="n">
        <v>26904</v>
      </c>
      <c r="E12" s="22" t="n">
        <v>27347</v>
      </c>
      <c r="F12" s="22" t="n">
        <v>26321</v>
      </c>
      <c r="G12" s="22" t="n">
        <v>26204</v>
      </c>
      <c r="H12" s="21" t="n">
        <v>20173</v>
      </c>
      <c r="I12" s="22" t="n">
        <v>21988</v>
      </c>
      <c r="J12" s="22" t="n">
        <v>22685</v>
      </c>
      <c r="K12" s="22" t="n">
        <v>24382</v>
      </c>
      <c r="L12" s="22" t="n">
        <v>26321</v>
      </c>
    </row>
    <row r="13">
      <c r="A13" s="20" t="inlineStr">
        <is>
          <t>무형자산</t>
        </is>
      </c>
      <c r="B13" s="10" t="n"/>
      <c r="C13" s="21" t="n">
        <v>1047</v>
      </c>
      <c r="D13" s="22" t="n">
        <v>1096</v>
      </c>
      <c r="E13" s="22" t="n">
        <v>1032</v>
      </c>
      <c r="F13" s="22" t="n">
        <v>836</v>
      </c>
      <c r="G13" s="22" t="n">
        <v>742</v>
      </c>
      <c r="H13" s="21" t="n">
        <v>841</v>
      </c>
      <c r="I13" s="22" t="n">
        <v>748</v>
      </c>
      <c r="J13" s="22" t="n">
        <v>895</v>
      </c>
      <c r="K13" s="22" t="n">
        <v>1024</v>
      </c>
      <c r="L13" s="22" t="n">
        <v>836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159621</v>
      </c>
      <c r="D16" s="12" t="n">
        <v>168648</v>
      </c>
      <c r="E16" s="12" t="n">
        <v>176770</v>
      </c>
      <c r="F16" s="12" t="n">
        <v>177482</v>
      </c>
      <c r="G16" s="12" t="n">
        <v>267153</v>
      </c>
      <c r="H16" s="11" t="n">
        <v>155459</v>
      </c>
      <c r="I16" s="12" t="n">
        <v>155935</v>
      </c>
      <c r="J16" s="12" t="n">
        <v>164819</v>
      </c>
      <c r="K16" s="12" t="n">
        <v>157759</v>
      </c>
      <c r="L16" s="12" t="n">
        <v>177482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22239</v>
      </c>
      <c r="D18" s="12" t="n">
        <v>18699</v>
      </c>
      <c r="E18" s="12" t="n">
        <v>21745</v>
      </c>
      <c r="F18" s="12" t="n">
        <v>21349</v>
      </c>
      <c r="G18" s="12" t="n">
        <v>18982</v>
      </c>
      <c r="H18" s="11" t="n">
        <v>20726</v>
      </c>
      <c r="I18" s="12" t="n">
        <v>19717</v>
      </c>
      <c r="J18" s="12" t="n">
        <v>19006</v>
      </c>
      <c r="K18" s="12" t="n">
        <v>18743</v>
      </c>
      <c r="L18" s="12" t="n">
        <v>21349</v>
      </c>
    </row>
    <row r="19">
      <c r="A19" s="20" t="inlineStr">
        <is>
          <t>매입채무</t>
        </is>
      </c>
      <c r="B19" s="10" t="n"/>
      <c r="C19" s="21" t="n">
        <v>4757</v>
      </c>
      <c r="D19" s="22" t="n">
        <v>5524</v>
      </c>
      <c r="E19" s="22" t="n">
        <v>4999</v>
      </c>
      <c r="F19" s="22" t="n">
        <v>4998</v>
      </c>
      <c r="G19" s="22" t="n">
        <v>4401</v>
      </c>
      <c r="H19" s="21" t="n">
        <v>7522</v>
      </c>
      <c r="I19" s="22" t="n">
        <v>6897</v>
      </c>
      <c r="J19" s="22" t="n">
        <v>3600</v>
      </c>
      <c r="K19" s="22" t="n">
        <v>4619</v>
      </c>
      <c r="L19" s="22" t="n">
        <v>4998</v>
      </c>
    </row>
    <row r="20">
      <c r="A20" s="20" t="inlineStr">
        <is>
          <t>단기차입금</t>
        </is>
      </c>
      <c r="B20" s="10" t="n"/>
      <c r="C20" s="21" t="n">
        <v>5089</v>
      </c>
      <c r="D20" s="22" t="n">
        <v>5234</v>
      </c>
      <c r="E20" s="22" t="n">
        <v>8529</v>
      </c>
      <c r="F20" s="22" t="n">
        <v>5502</v>
      </c>
      <c r="G20" s="22" t="n">
        <v>5560</v>
      </c>
      <c r="H20" s="21" t="n">
        <v>2050</v>
      </c>
      <c r="I20" s="22" t="n">
        <v>1575</v>
      </c>
      <c r="J20" s="22" t="n">
        <v>4897</v>
      </c>
      <c r="K20" s="22" t="n">
        <v>4862</v>
      </c>
      <c r="L20" s="22" t="n">
        <v>5502</v>
      </c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14813</v>
      </c>
      <c r="D23" s="12" t="n">
        <v>18152</v>
      </c>
      <c r="E23" s="12" t="n">
        <v>20616</v>
      </c>
      <c r="F23" s="12" t="n">
        <v>19201</v>
      </c>
      <c r="G23" s="12" t="n">
        <v>48315</v>
      </c>
      <c r="H23" s="11" t="n">
        <v>16150</v>
      </c>
      <c r="I23" s="12" t="n">
        <v>15638</v>
      </c>
      <c r="J23" s="12" t="n">
        <v>16388</v>
      </c>
      <c r="K23" s="12" t="n">
        <v>14659</v>
      </c>
      <c r="L23" s="12" t="n">
        <v>19201</v>
      </c>
    </row>
    <row r="24">
      <c r="A24" s="20" t="inlineStr">
        <is>
          <t>장기차입금</t>
        </is>
      </c>
      <c r="B24" s="10" t="n"/>
      <c r="C24" s="21" t="n">
        <v>721</v>
      </c>
      <c r="D24" s="22" t="n">
        <v>697</v>
      </c>
      <c r="E24" s="22" t="n">
        <v>691</v>
      </c>
      <c r="F24" s="22" t="n">
        <v>641</v>
      </c>
      <c r="G24" s="22" t="n">
        <v>602</v>
      </c>
      <c r="H24" s="21" t="n">
        <v>1025</v>
      </c>
      <c r="I24" s="22" t="n">
        <v>947</v>
      </c>
      <c r="J24" s="22" t="n">
        <v>897</v>
      </c>
      <c r="K24" s="22" t="n">
        <v>729</v>
      </c>
      <c r="L24" s="22" t="n">
        <v>641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37052</v>
      </c>
      <c r="D27" s="12" t="n">
        <v>36851</v>
      </c>
      <c r="E27" s="12" t="n">
        <v>42361</v>
      </c>
      <c r="F27" s="12" t="n">
        <v>40551</v>
      </c>
      <c r="G27" s="12" t="n">
        <v>67298</v>
      </c>
      <c r="H27" s="11" t="n">
        <v>36876</v>
      </c>
      <c r="I27" s="12" t="n">
        <v>35355</v>
      </c>
      <c r="J27" s="12" t="n">
        <v>35395</v>
      </c>
      <c r="K27" s="12" t="n">
        <v>33403</v>
      </c>
      <c r="L27" s="12" t="n">
        <v>40551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122569</v>
      </c>
      <c r="D31" s="12" t="n">
        <v>131796</v>
      </c>
      <c r="E31" s="12" t="n">
        <v>134408</v>
      </c>
      <c r="F31" s="12" t="n">
        <v>136930</v>
      </c>
      <c r="G31" s="12" t="n">
        <v>199854</v>
      </c>
      <c r="H31" s="11" t="n">
        <v>118582</v>
      </c>
      <c r="I31" s="12" t="n">
        <v>120580</v>
      </c>
      <c r="J31" s="12" t="n">
        <v>129424</v>
      </c>
      <c r="K31" s="12" t="n">
        <v>124355</v>
      </c>
      <c r="L31" s="12" t="n">
        <v>136930</v>
      </c>
    </row>
    <row r="32">
      <c r="A32" s="20" t="inlineStr">
        <is>
          <t>자본금</t>
        </is>
      </c>
      <c r="B32" s="10" t="n"/>
      <c r="C32" s="21" t="n">
        <v>4425</v>
      </c>
      <c r="D32" s="22" t="n">
        <v>4425</v>
      </c>
      <c r="E32" s="22" t="n">
        <v>4425</v>
      </c>
      <c r="F32" s="22" t="n">
        <v>4425</v>
      </c>
      <c r="G32" s="22" t="n">
        <v>4425</v>
      </c>
      <c r="H32" s="21" t="n">
        <v>4425</v>
      </c>
      <c r="I32" s="22" t="n">
        <v>4425</v>
      </c>
      <c r="J32" s="22" t="n">
        <v>4425</v>
      </c>
      <c r="K32" s="22" t="n">
        <v>4425</v>
      </c>
      <c r="L32" s="22" t="n">
        <v>4425</v>
      </c>
    </row>
    <row r="33">
      <c r="A33" s="20" t="inlineStr">
        <is>
          <t>이익잉여금</t>
        </is>
      </c>
      <c r="B33" s="10" t="n"/>
      <c r="C33" s="21" t="n">
        <v>84034</v>
      </c>
      <c r="D33" s="22" t="n">
        <v>84657</v>
      </c>
      <c r="E33" s="22" t="n">
        <v>81539</v>
      </c>
      <c r="F33" s="22" t="n">
        <v>86021</v>
      </c>
      <c r="G33" s="22" t="n">
        <v>85088</v>
      </c>
      <c r="H33" s="21" t="n">
        <v>82039</v>
      </c>
      <c r="I33" s="22" t="n">
        <v>83896</v>
      </c>
      <c r="J33" s="22" t="n">
        <v>85956</v>
      </c>
      <c r="K33" s="22" t="n">
        <v>85887</v>
      </c>
      <c r="L33" s="22" t="n">
        <v>86021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122569</v>
      </c>
      <c r="D35" s="12" t="n">
        <v>131796</v>
      </c>
      <c r="E35" s="12" t="n">
        <v>134408</v>
      </c>
      <c r="F35" s="12" t="n">
        <v>136930</v>
      </c>
      <c r="G35" s="12" t="n">
        <v>199854</v>
      </c>
      <c r="H35" s="11" t="n">
        <v>118582</v>
      </c>
      <c r="I35" s="12" t="n">
        <v>120580</v>
      </c>
      <c r="J35" s="12" t="n">
        <v>129424</v>
      </c>
      <c r="K35" s="12" t="n">
        <v>124355</v>
      </c>
      <c r="L35" s="12" t="n">
        <v>136930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6931</v>
      </c>
      <c r="E37" s="12" t="n"/>
      <c r="F37" s="12" t="n">
        <v>5566</v>
      </c>
      <c r="G37" s="12" t="n"/>
      <c r="H37" s="11" t="n">
        <v>8429</v>
      </c>
      <c r="I37" s="12" t="n">
        <v>-7592</v>
      </c>
      <c r="J37" s="12" t="n">
        <v>7914</v>
      </c>
      <c r="K37" s="12" t="n">
        <v>11543</v>
      </c>
      <c r="L37" s="12" t="n">
        <v>5566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/>
      <c r="F38" s="22" t="n">
        <v>4627</v>
      </c>
      <c r="G38" s="22" t="n"/>
      <c r="H38" s="21" t="n">
        <v>2768</v>
      </c>
      <c r="I38" s="22" t="n">
        <v>1962</v>
      </c>
      <c r="J38" s="22" t="n">
        <v>2931</v>
      </c>
      <c r="K38" s="22" t="n">
        <v>3549</v>
      </c>
      <c r="L38" s="22" t="n">
        <v>4627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4322</v>
      </c>
      <c r="E40" s="22" t="n"/>
      <c r="F40" s="22" t="n">
        <v>4425</v>
      </c>
      <c r="G40" s="22" t="n"/>
      <c r="H40" s="21" t="n">
        <v>2558</v>
      </c>
      <c r="I40" s="22" t="n">
        <v>2525</v>
      </c>
      <c r="J40" s="22" t="n">
        <v>3393</v>
      </c>
      <c r="K40" s="22" t="n">
        <v>4218</v>
      </c>
      <c r="L40" s="22" t="n">
        <v>4425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IFERROR(IF(('연간'!T44)&lt;=0,"적자",H28/('연간'!T44)),"")</f>
        <v/>
      </c>
      <c r="I49" s="48">
        <f>IFERROR(IF(('연간'!U44)&lt;=0,"적자",I28/('연간'!U44)),"")</f>
        <v/>
      </c>
      <c r="J49" s="48">
        <f>IFERROR(IF(('연간'!V44)&lt;=0,"적자",J28/('연간'!V44)),"")</f>
        <v/>
      </c>
      <c r="K49" s="48">
        <f>IFERROR(IF(('연간'!W44)&lt;=0,"적자",K28/('연간'!W44)),"")</f>
        <v/>
      </c>
      <c r="L49" s="48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IFERROR(H8/('연간'!T4)*365,"")</f>
        <v/>
      </c>
      <c r="I59" s="50">
        <f>IFERROR(I8/('연간'!U4)*365,"")</f>
        <v/>
      </c>
      <c r="J59" s="50">
        <f>IFERROR(J8/('연간'!V4)*365,"")</f>
        <v/>
      </c>
      <c r="K59" s="50">
        <f>IFERROR(K8/('연간'!W4)*365,"")</f>
        <v/>
      </c>
      <c r="L59" s="50">
        <f>IFERROR(L8/('연간'!X4)*365,"")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IFERROR(H9/('연간'!T11)*365,"")</f>
        <v/>
      </c>
      <c r="I60" s="50">
        <f>IFERROR(I9/('연간'!U11)*365,"")</f>
        <v/>
      </c>
      <c r="J60" s="50">
        <f>IFERROR(J9/('연간'!V11)*365,"")</f>
        <v/>
      </c>
      <c r="K60" s="50">
        <f>IFERROR(K9/('연간'!W11)*365,"")</f>
        <v/>
      </c>
      <c r="L60" s="50">
        <f>IFERROR(L9/('연간'!X11)*365,"")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IFERROR(H19/('연간'!T11)*365,"")</f>
        <v/>
      </c>
      <c r="I61" s="50">
        <f>IFERROR(I19/('연간'!U11)*365,"")</f>
        <v/>
      </c>
      <c r="J61" s="50">
        <f>IFERROR(J19/('연간'!V11)*365,"")</f>
        <v/>
      </c>
      <c r="K61" s="50">
        <f>IFERROR(K19/('연간'!W11)*365,"")</f>
        <v/>
      </c>
      <c r="L61" s="50">
        <f>IFERROR(L19/('연간'!X11)*365,"")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  <c r="L62" s="50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20686</v>
      </c>
      <c r="D71" s="22" t="n">
        <v>15887</v>
      </c>
      <c r="E71" s="22" t="n">
        <v>14959</v>
      </c>
      <c r="F71" s="22" t="n">
        <v>20352</v>
      </c>
      <c r="G71" s="22" t="n">
        <v>23598</v>
      </c>
      <c r="H71" s="22" t="n">
        <v>13887</v>
      </c>
      <c r="I71" s="22" t="n">
        <v>9557</v>
      </c>
      <c r="J71" s="22" t="n">
        <v>16418</v>
      </c>
      <c r="K71" s="22" t="n">
        <v>21058</v>
      </c>
      <c r="L71" s="22" t="n">
        <v>20352</v>
      </c>
    </row>
    <row r="72">
      <c r="A72" s="20" t="inlineStr">
        <is>
          <t>받을어음·매출채권</t>
        </is>
      </c>
      <c r="H72" s="22" t="n">
        <v>0</v>
      </c>
    </row>
    <row r="73">
      <c r="A73" s="20" t="inlineStr">
        <is>
          <t>받을어음·매출채권·계약자산</t>
        </is>
      </c>
      <c r="C73" s="22" t="n">
        <v>16015</v>
      </c>
      <c r="D73" s="22" t="n">
        <v>18305</v>
      </c>
      <c r="E73" s="22" t="n">
        <v>18862</v>
      </c>
      <c r="F73" s="22" t="n">
        <v>20135</v>
      </c>
      <c r="G73" s="22" t="n">
        <v>16747</v>
      </c>
      <c r="H73" s="22" t="n">
        <v>23035</v>
      </c>
      <c r="I73" s="22" t="n">
        <v>18980</v>
      </c>
      <c r="J73" s="22" t="n">
        <v>19110</v>
      </c>
      <c r="K73" s="22" t="n">
        <v>19386</v>
      </c>
      <c r="L73" s="22" t="n">
        <v>20135</v>
      </c>
    </row>
    <row r="74">
      <c r="A74" s="20" t="inlineStr">
        <is>
          <t>전자기록채권</t>
        </is>
      </c>
      <c r="C74" s="22" t="n">
        <v>1939</v>
      </c>
      <c r="D74" s="22" t="n">
        <v>1595</v>
      </c>
      <c r="E74" s="22" t="n">
        <v>2384</v>
      </c>
      <c r="F74" s="22" t="n">
        <v>2244</v>
      </c>
      <c r="G74" s="22" t="n">
        <v>1976</v>
      </c>
      <c r="H74" s="22" t="n">
        <v>1778</v>
      </c>
      <c r="I74" s="22" t="n">
        <v>1680</v>
      </c>
      <c r="J74" s="22" t="n">
        <v>2112</v>
      </c>
      <c r="K74" s="22" t="n">
        <v>1887</v>
      </c>
      <c r="L74" s="22" t="n">
        <v>2244</v>
      </c>
    </row>
    <row r="75">
      <c r="A75" s="20" t="inlineStr">
        <is>
          <t>유가증권</t>
        </is>
      </c>
      <c r="H75" s="22" t="n">
        <v>8799</v>
      </c>
      <c r="I75" s="22" t="n">
        <v>0</v>
      </c>
    </row>
    <row r="76">
      <c r="A76" s="20" t="inlineStr">
        <is>
          <t>상품·제품</t>
        </is>
      </c>
      <c r="C76" s="22" t="n">
        <v>18604</v>
      </c>
      <c r="D76" s="22" t="n">
        <v>18367</v>
      </c>
      <c r="E76" s="22" t="n">
        <v>17403</v>
      </c>
      <c r="F76" s="22" t="n">
        <v>15044</v>
      </c>
      <c r="G76" s="22" t="n">
        <v>16216</v>
      </c>
      <c r="H76" s="22" t="n">
        <v>10038</v>
      </c>
      <c r="I76" s="22" t="n">
        <v>17538</v>
      </c>
      <c r="J76" s="22" t="n">
        <v>16318</v>
      </c>
      <c r="K76" s="22" t="n">
        <v>17082</v>
      </c>
      <c r="L76" s="22" t="n">
        <v>15044</v>
      </c>
    </row>
    <row r="77">
      <c r="A77" s="20" t="inlineStr">
        <is>
          <t>재공품</t>
        </is>
      </c>
      <c r="C77" s="22" t="n">
        <v>1944</v>
      </c>
      <c r="D77" s="22" t="n">
        <v>1889</v>
      </c>
      <c r="E77" s="22" t="n">
        <v>2304</v>
      </c>
      <c r="F77" s="22" t="n">
        <v>2479</v>
      </c>
      <c r="G77" s="22" t="n">
        <v>2327</v>
      </c>
      <c r="H77" s="22" t="n">
        <v>1730</v>
      </c>
      <c r="I77" s="22" t="n">
        <v>2191</v>
      </c>
      <c r="J77" s="22" t="n">
        <v>2100</v>
      </c>
      <c r="K77" s="22" t="n">
        <v>2120</v>
      </c>
      <c r="L77" s="22" t="n">
        <v>2479</v>
      </c>
    </row>
    <row r="78">
      <c r="A78" s="20" t="inlineStr">
        <is>
          <t>원재료·저장품</t>
        </is>
      </c>
      <c r="C78" s="22" t="n">
        <v>18117</v>
      </c>
      <c r="D78" s="22" t="n">
        <v>19474</v>
      </c>
      <c r="E78" s="22" t="n">
        <v>21089</v>
      </c>
      <c r="F78" s="22" t="n">
        <v>20218</v>
      </c>
      <c r="G78" s="22" t="n">
        <v>18890</v>
      </c>
      <c r="H78" s="22" t="n">
        <v>19980</v>
      </c>
      <c r="I78" s="22" t="n">
        <v>28289</v>
      </c>
      <c r="J78" s="22" t="n">
        <v>25116</v>
      </c>
      <c r="K78" s="22" t="n">
        <v>17462</v>
      </c>
      <c r="L78" s="22" t="n">
        <v>20218</v>
      </c>
    </row>
    <row r="79">
      <c r="A79" s="20" t="inlineStr">
        <is>
          <t>기타</t>
        </is>
      </c>
      <c r="C79" s="22" t="n">
        <v>2570</v>
      </c>
      <c r="D79" s="22" t="n">
        <v>1910</v>
      </c>
      <c r="E79" s="22" t="n">
        <v>1542</v>
      </c>
      <c r="F79" s="22" t="n">
        <v>4403</v>
      </c>
      <c r="G79" s="22" t="n">
        <v>2102</v>
      </c>
      <c r="H79" s="22" t="n">
        <v>1362</v>
      </c>
      <c r="I79" s="22" t="n">
        <v>1765</v>
      </c>
      <c r="J79" s="22" t="n">
        <v>1362</v>
      </c>
      <c r="K79" s="22" t="n">
        <v>1817</v>
      </c>
      <c r="L79" s="22" t="n">
        <v>4403</v>
      </c>
    </row>
    <row r="80">
      <c r="A80" s="20" t="inlineStr">
        <is>
          <t>대손충당금</t>
        </is>
      </c>
      <c r="C80" s="22" t="n">
        <v>-104</v>
      </c>
      <c r="D80" s="22" t="n">
        <v>-99</v>
      </c>
      <c r="E80" s="22" t="n">
        <v>-103</v>
      </c>
      <c r="F80" s="22" t="n">
        <v>-102</v>
      </c>
      <c r="G80" s="22" t="n">
        <v>-102</v>
      </c>
      <c r="H80" s="22" t="n">
        <v>-102</v>
      </c>
      <c r="I80" s="22" t="n">
        <v>-100</v>
      </c>
      <c r="J80" s="22" t="n">
        <v>-113</v>
      </c>
      <c r="K80" s="22" t="n">
        <v>-105</v>
      </c>
      <c r="L80" s="22" t="n">
        <v>-102</v>
      </c>
    </row>
    <row r="81">
      <c r="A81" s="9" t="inlineStr">
        <is>
          <t>유동자산 합계</t>
        </is>
      </c>
      <c r="C81" s="12" t="n">
        <v>79773</v>
      </c>
      <c r="D81" s="12" t="n">
        <v>77330</v>
      </c>
      <c r="E81" s="12" t="n">
        <v>78441</v>
      </c>
      <c r="F81" s="12" t="n">
        <v>84776</v>
      </c>
      <c r="G81" s="12" t="n">
        <v>81755</v>
      </c>
      <c r="H81" s="12" t="n">
        <v>80510</v>
      </c>
      <c r="I81" s="12" t="n">
        <v>79904</v>
      </c>
      <c r="J81" s="12" t="n">
        <v>82425</v>
      </c>
      <c r="K81" s="12" t="n">
        <v>80709</v>
      </c>
      <c r="L81" s="12" t="n">
        <v>84776</v>
      </c>
    </row>
    <row r="82">
      <c r="A82" s="20" t="inlineStr">
        <is>
          <t>건물·구축물</t>
        </is>
      </c>
      <c r="D82" s="22" t="n">
        <v>17741</v>
      </c>
      <c r="F82" s="22" t="n">
        <v>30536</v>
      </c>
      <c r="H82" s="22" t="n">
        <v>22366</v>
      </c>
      <c r="I82" s="22" t="n">
        <v>24082</v>
      </c>
      <c r="J82" s="22" t="n">
        <v>24172</v>
      </c>
      <c r="K82" s="22" t="n">
        <v>24542</v>
      </c>
      <c r="L82" s="22" t="n">
        <v>30536</v>
      </c>
    </row>
    <row r="83">
      <c r="A83" s="20" t="inlineStr">
        <is>
          <t>감가상각누계액</t>
        </is>
      </c>
      <c r="F83" s="22" t="n">
        <v>-13275</v>
      </c>
      <c r="H83" s="22" t="n">
        <v>-10775</v>
      </c>
      <c r="I83" s="22" t="n">
        <v>-11228</v>
      </c>
      <c r="J83" s="22" t="n">
        <v>-11172</v>
      </c>
      <c r="K83" s="22" t="n">
        <v>-11681</v>
      </c>
      <c r="L83" s="22" t="n">
        <v>-13275</v>
      </c>
    </row>
    <row r="84">
      <c r="A84" s="20" t="inlineStr">
        <is>
          <t>건물·구축물(순액)</t>
        </is>
      </c>
      <c r="F84" s="22" t="n">
        <v>17261</v>
      </c>
      <c r="H84" s="22" t="n">
        <v>11590</v>
      </c>
      <c r="I84" s="22" t="n">
        <v>12853</v>
      </c>
      <c r="J84" s="22" t="n">
        <v>13000</v>
      </c>
      <c r="K84" s="22" t="n">
        <v>12861</v>
      </c>
      <c r="L84" s="22" t="n">
        <v>17261</v>
      </c>
    </row>
    <row r="85">
      <c r="A85" s="20" t="inlineStr">
        <is>
          <t>기계장치·운반구</t>
        </is>
      </c>
      <c r="F85" s="22" t="n">
        <v>7395</v>
      </c>
      <c r="H85" s="22" t="n">
        <v>6648</v>
      </c>
      <c r="I85" s="22" t="n">
        <v>7197</v>
      </c>
      <c r="J85" s="22" t="n">
        <v>7085</v>
      </c>
      <c r="K85" s="22" t="n">
        <v>7333</v>
      </c>
      <c r="L85" s="22" t="n">
        <v>7395</v>
      </c>
    </row>
    <row r="86">
      <c r="A86" s="20" t="inlineStr">
        <is>
          <t>감가상각누계액</t>
        </is>
      </c>
      <c r="F86" s="22" t="n">
        <v>-6332</v>
      </c>
      <c r="H86" s="22" t="n">
        <v>-5017</v>
      </c>
      <c r="I86" s="22" t="n">
        <v>-5539</v>
      </c>
      <c r="J86" s="22" t="n">
        <v>-5452</v>
      </c>
      <c r="K86" s="22" t="n">
        <v>-5931</v>
      </c>
      <c r="L86" s="22" t="n">
        <v>-6332</v>
      </c>
    </row>
    <row r="87">
      <c r="A87" s="20" t="inlineStr">
        <is>
          <t>기계장치·운반구(순액)</t>
        </is>
      </c>
      <c r="F87" s="22" t="n">
        <v>1063</v>
      </c>
      <c r="H87" s="22" t="n">
        <v>1631</v>
      </c>
      <c r="I87" s="22" t="n">
        <v>1657</v>
      </c>
      <c r="J87" s="22" t="n">
        <v>1633</v>
      </c>
      <c r="K87" s="22" t="n">
        <v>1402</v>
      </c>
      <c r="L87" s="22" t="n">
        <v>1063</v>
      </c>
    </row>
    <row r="88">
      <c r="A88" s="20" t="inlineStr">
        <is>
          <t>토지</t>
        </is>
      </c>
      <c r="F88" s="22" t="n">
        <v>4721</v>
      </c>
      <c r="H88" s="22" t="n">
        <v>4326</v>
      </c>
      <c r="I88" s="22" t="n">
        <v>4409</v>
      </c>
      <c r="J88" s="22" t="n">
        <v>4574</v>
      </c>
      <c r="K88" s="22" t="n">
        <v>4568</v>
      </c>
      <c r="L88" s="22" t="n">
        <v>4721</v>
      </c>
    </row>
    <row r="89">
      <c r="A89" s="20" t="inlineStr">
        <is>
          <t>건설중인자산</t>
        </is>
      </c>
      <c r="F89" s="22" t="n">
        <v>3</v>
      </c>
      <c r="H89" s="22" t="n">
        <v>90</v>
      </c>
      <c r="I89" s="22" t="n">
        <v>4</v>
      </c>
      <c r="J89" s="22" t="n">
        <v>342</v>
      </c>
      <c r="K89" s="22" t="n">
        <v>2257</v>
      </c>
      <c r="L89" s="22" t="n">
        <v>3</v>
      </c>
    </row>
    <row r="90">
      <c r="A90" s="20" t="inlineStr">
        <is>
          <t>기타</t>
        </is>
      </c>
      <c r="D90" s="22" t="n">
        <v>9162</v>
      </c>
      <c r="F90" s="22" t="n">
        <v>13582</v>
      </c>
      <c r="H90" s="22" t="n">
        <v>10326</v>
      </c>
      <c r="I90" s="22" t="n">
        <v>11252</v>
      </c>
      <c r="J90" s="22" t="n">
        <v>11930</v>
      </c>
      <c r="K90" s="22" t="n">
        <v>12612</v>
      </c>
      <c r="L90" s="22" t="n">
        <v>13582</v>
      </c>
    </row>
    <row r="91">
      <c r="A91" s="20" t="inlineStr">
        <is>
          <t>감가상각누계액</t>
        </is>
      </c>
      <c r="F91" s="22" t="n">
        <v>-10310</v>
      </c>
      <c r="H91" s="22" t="n">
        <v>-7791</v>
      </c>
      <c r="I91" s="22" t="n">
        <v>-8189</v>
      </c>
      <c r="J91" s="22" t="n">
        <v>-8796</v>
      </c>
      <c r="K91" s="22" t="n">
        <v>-9319</v>
      </c>
      <c r="L91" s="22" t="n">
        <v>-10310</v>
      </c>
    </row>
    <row r="92">
      <c r="A92" s="20" t="inlineStr">
        <is>
          <t>기타(순액)</t>
        </is>
      </c>
      <c r="F92" s="22" t="n">
        <v>3272</v>
      </c>
      <c r="H92" s="22" t="n">
        <v>2534</v>
      </c>
      <c r="I92" s="22" t="n">
        <v>3062</v>
      </c>
      <c r="J92" s="22" t="n">
        <v>3133</v>
      </c>
      <c r="K92" s="22" t="n">
        <v>3292</v>
      </c>
      <c r="L92" s="22" t="n">
        <v>3272</v>
      </c>
    </row>
    <row r="93">
      <c r="A93" s="20" t="inlineStr">
        <is>
          <t>유형자산</t>
        </is>
      </c>
      <c r="C93" s="22" t="n">
        <v>27202</v>
      </c>
      <c r="D93" s="22" t="n">
        <v>26904</v>
      </c>
      <c r="E93" s="22" t="n">
        <v>27347</v>
      </c>
      <c r="F93" s="22" t="n">
        <v>26321</v>
      </c>
      <c r="G93" s="22" t="n">
        <v>26204</v>
      </c>
      <c r="H93" s="22" t="n">
        <v>20173</v>
      </c>
      <c r="I93" s="22" t="n">
        <v>21988</v>
      </c>
      <c r="J93" s="22" t="n">
        <v>22685</v>
      </c>
      <c r="K93" s="22" t="n">
        <v>24382</v>
      </c>
      <c r="L93" s="22" t="n">
        <v>26321</v>
      </c>
    </row>
    <row r="94">
      <c r="A94" s="20" t="inlineStr">
        <is>
          <t>영업권</t>
        </is>
      </c>
      <c r="H94" s="22" t="n">
        <v>0</v>
      </c>
    </row>
    <row r="95">
      <c r="A95" s="20" t="inlineStr">
        <is>
          <t>기타</t>
        </is>
      </c>
      <c r="H95" s="22" t="n">
        <v>841</v>
      </c>
    </row>
    <row r="96">
      <c r="A96" s="20" t="inlineStr">
        <is>
          <t>무형자산</t>
        </is>
      </c>
      <c r="C96" s="22" t="n">
        <v>1047</v>
      </c>
      <c r="D96" s="22" t="n">
        <v>1096</v>
      </c>
      <c r="E96" s="22" t="n">
        <v>1032</v>
      </c>
      <c r="F96" s="22" t="n">
        <v>836</v>
      </c>
      <c r="G96" s="22" t="n">
        <v>742</v>
      </c>
      <c r="H96" s="22" t="n">
        <v>841</v>
      </c>
      <c r="I96" s="22" t="n">
        <v>748</v>
      </c>
      <c r="J96" s="22" t="n">
        <v>895</v>
      </c>
      <c r="K96" s="22" t="n">
        <v>1024</v>
      </c>
      <c r="L96" s="22" t="n">
        <v>836</v>
      </c>
    </row>
    <row r="97">
      <c r="A97" s="20" t="inlineStr">
        <is>
          <t>투자유가증권</t>
        </is>
      </c>
      <c r="C97" s="22" t="n">
        <v>50564</v>
      </c>
      <c r="D97" s="22" t="n">
        <v>62336</v>
      </c>
      <c r="E97" s="22" t="n">
        <v>68966</v>
      </c>
      <c r="F97" s="22" t="n">
        <v>64442</v>
      </c>
      <c r="G97" s="22" t="n">
        <v>157626</v>
      </c>
      <c r="H97" s="22" t="n">
        <v>52824</v>
      </c>
      <c r="I97" s="22" t="n">
        <v>52190</v>
      </c>
      <c r="J97" s="22" t="n">
        <v>57937</v>
      </c>
      <c r="K97" s="22" t="n">
        <v>50716</v>
      </c>
      <c r="L97" s="22" t="n">
        <v>64442</v>
      </c>
    </row>
    <row r="98">
      <c r="A98" s="20" t="inlineStr">
        <is>
          <t>퇴직급여자산</t>
        </is>
      </c>
      <c r="F98" s="22" t="n">
        <v>165</v>
      </c>
      <c r="I98" s="22" t="n">
        <v>0</v>
      </c>
      <c r="J98" s="22" t="n">
        <v>72</v>
      </c>
      <c r="K98" s="22" t="n">
        <v>74</v>
      </c>
      <c r="L98" s="22" t="n">
        <v>165</v>
      </c>
    </row>
    <row r="99">
      <c r="A99" s="20" t="inlineStr">
        <is>
          <t>이연법인세자산</t>
        </is>
      </c>
      <c r="F99" s="22" t="n">
        <v>403</v>
      </c>
      <c r="H99" s="22" t="n">
        <v>659</v>
      </c>
      <c r="I99" s="22" t="n">
        <v>633</v>
      </c>
      <c r="J99" s="22" t="n">
        <v>326</v>
      </c>
      <c r="K99" s="22" t="n">
        <v>396</v>
      </c>
      <c r="L99" s="22" t="n">
        <v>403</v>
      </c>
    </row>
    <row r="100">
      <c r="A100" s="20" t="inlineStr">
        <is>
          <t>퇴직급여자산</t>
        </is>
      </c>
      <c r="C100" s="22" t="n">
        <v>95</v>
      </c>
      <c r="D100" s="22" t="n">
        <v>99</v>
      </c>
      <c r="E100" s="22" t="n">
        <v>96</v>
      </c>
      <c r="F100" s="22" t="n">
        <v>165</v>
      </c>
      <c r="G100" s="22" t="n">
        <v>0</v>
      </c>
      <c r="J100" s="22" t="n">
        <v>72</v>
      </c>
      <c r="K100" s="22" t="n">
        <v>74</v>
      </c>
      <c r="L100" s="22" t="n">
        <v>165</v>
      </c>
    </row>
    <row r="101">
      <c r="A101" s="20" t="inlineStr">
        <is>
          <t>기타</t>
        </is>
      </c>
      <c r="C101" s="22" t="n">
        <v>938</v>
      </c>
      <c r="D101" s="22" t="n">
        <v>882</v>
      </c>
      <c r="E101" s="22" t="n">
        <v>885</v>
      </c>
      <c r="F101" s="22" t="n">
        <v>939</v>
      </c>
      <c r="G101" s="22" t="n">
        <v>824</v>
      </c>
      <c r="H101" s="22" t="n">
        <v>449</v>
      </c>
      <c r="I101" s="22" t="n">
        <v>470</v>
      </c>
      <c r="J101" s="22" t="n">
        <v>476</v>
      </c>
      <c r="K101" s="22" t="n">
        <v>456</v>
      </c>
      <c r="L101" s="22" t="n">
        <v>939</v>
      </c>
    </row>
    <row r="102">
      <c r="A102" s="20" t="inlineStr">
        <is>
          <t>투자 및 기타자산 합계</t>
        </is>
      </c>
      <c r="C102" s="22" t="n">
        <v>51598</v>
      </c>
      <c r="D102" s="22" t="n">
        <v>63317</v>
      </c>
      <c r="E102" s="22" t="n">
        <v>69948</v>
      </c>
      <c r="F102" s="22" t="n">
        <v>65547</v>
      </c>
      <c r="G102" s="22" t="n">
        <v>158451</v>
      </c>
      <c r="H102" s="22" t="n">
        <v>53933</v>
      </c>
      <c r="I102" s="22" t="n">
        <v>53294</v>
      </c>
      <c r="J102" s="22" t="n">
        <v>58813</v>
      </c>
      <c r="K102" s="22" t="n">
        <v>51643</v>
      </c>
      <c r="L102" s="22" t="n">
        <v>65547</v>
      </c>
    </row>
    <row r="103">
      <c r="A103" s="9" t="inlineStr">
        <is>
          <t>비유동자산 합계</t>
        </is>
      </c>
      <c r="C103" s="12" t="n">
        <v>79848</v>
      </c>
      <c r="D103" s="12" t="n">
        <v>91318</v>
      </c>
      <c r="E103" s="12" t="n">
        <v>98328</v>
      </c>
      <c r="F103" s="12" t="n">
        <v>92706</v>
      </c>
      <c r="G103" s="12" t="n">
        <v>185397</v>
      </c>
      <c r="H103" s="12" t="n">
        <v>74948</v>
      </c>
      <c r="I103" s="12" t="n">
        <v>76031</v>
      </c>
      <c r="J103" s="12" t="n">
        <v>82394</v>
      </c>
      <c r="K103" s="12" t="n">
        <v>77050</v>
      </c>
      <c r="L103" s="12" t="n">
        <v>92706</v>
      </c>
    </row>
    <row r="104">
      <c r="A104" s="9" t="inlineStr">
        <is>
          <t>자산 합계</t>
        </is>
      </c>
      <c r="C104" s="12" t="n">
        <v>159621</v>
      </c>
      <c r="D104" s="12" t="n">
        <v>168648</v>
      </c>
      <c r="E104" s="12" t="n">
        <v>176770</v>
      </c>
      <c r="F104" s="12" t="n">
        <v>177482</v>
      </c>
      <c r="G104" s="12" t="n">
        <v>267153</v>
      </c>
      <c r="H104" s="12" t="n">
        <v>155459</v>
      </c>
      <c r="I104" s="12" t="n">
        <v>155935</v>
      </c>
      <c r="J104" s="12" t="n">
        <v>164819</v>
      </c>
      <c r="K104" s="12" t="n">
        <v>157759</v>
      </c>
      <c r="L104" s="12" t="n">
        <v>177482</v>
      </c>
    </row>
    <row r="105">
      <c r="A105" s="20" t="inlineStr">
        <is>
          <t>매입채무</t>
        </is>
      </c>
      <c r="C105" s="22" t="n">
        <v>4757</v>
      </c>
      <c r="D105" s="22" t="n">
        <v>5524</v>
      </c>
      <c r="E105" s="22" t="n">
        <v>4999</v>
      </c>
      <c r="F105" s="22" t="n">
        <v>4998</v>
      </c>
      <c r="G105" s="22" t="n">
        <v>4401</v>
      </c>
      <c r="H105" s="22" t="n">
        <v>7522</v>
      </c>
      <c r="I105" s="22" t="n">
        <v>6897</v>
      </c>
      <c r="J105" s="22" t="n">
        <v>3600</v>
      </c>
      <c r="K105" s="22" t="n">
        <v>4619</v>
      </c>
      <c r="L105" s="22" t="n">
        <v>4998</v>
      </c>
    </row>
    <row r="106">
      <c r="A106" s="20" t="inlineStr">
        <is>
          <t>단기차입금</t>
        </is>
      </c>
      <c r="C106" s="22" t="n">
        <v>5089</v>
      </c>
      <c r="D106" s="22" t="n">
        <v>5234</v>
      </c>
      <c r="E106" s="22" t="n">
        <v>8529</v>
      </c>
      <c r="F106" s="22" t="n">
        <v>5502</v>
      </c>
      <c r="G106" s="22" t="n">
        <v>5560</v>
      </c>
      <c r="H106" s="22" t="n">
        <v>2050</v>
      </c>
      <c r="I106" s="22" t="n">
        <v>1575</v>
      </c>
      <c r="J106" s="22" t="n">
        <v>4897</v>
      </c>
      <c r="K106" s="22" t="n">
        <v>4862</v>
      </c>
      <c r="L106" s="22" t="n">
        <v>5502</v>
      </c>
    </row>
    <row r="107">
      <c r="A107" s="20" t="inlineStr">
        <is>
          <t>미지급법인세</t>
        </is>
      </c>
      <c r="C107" s="22" t="n">
        <v>5</v>
      </c>
      <c r="D107" s="22" t="n">
        <v>301</v>
      </c>
      <c r="E107" s="22" t="n">
        <v>402</v>
      </c>
      <c r="F107" s="22" t="n">
        <v>2715</v>
      </c>
      <c r="G107" s="22" t="n">
        <v>98</v>
      </c>
      <c r="H107" s="22" t="n">
        <v>2398</v>
      </c>
      <c r="I107" s="22" t="n">
        <v>1074</v>
      </c>
      <c r="J107" s="22" t="n">
        <v>1347</v>
      </c>
      <c r="K107" s="22" t="n">
        <v>757</v>
      </c>
      <c r="L107" s="22" t="n">
        <v>2715</v>
      </c>
    </row>
    <row r="108">
      <c r="A108" s="20" t="inlineStr">
        <is>
          <t>상여충당금</t>
        </is>
      </c>
      <c r="C108" s="22" t="n">
        <v>771</v>
      </c>
      <c r="D108" s="22" t="n">
        <v>1424</v>
      </c>
      <c r="E108" s="22" t="n">
        <v>1049</v>
      </c>
      <c r="F108" s="22" t="n">
        <v>1750</v>
      </c>
      <c r="G108" s="22" t="n">
        <v>792</v>
      </c>
      <c r="H108" s="22" t="n">
        <v>1696</v>
      </c>
      <c r="I108" s="22" t="n">
        <v>1686</v>
      </c>
      <c r="J108" s="22" t="n">
        <v>1689</v>
      </c>
      <c r="K108" s="22" t="n">
        <v>1788</v>
      </c>
      <c r="L108" s="22" t="n">
        <v>1750</v>
      </c>
    </row>
    <row r="109">
      <c r="A109" s="20" t="inlineStr">
        <is>
          <t>제품보증 충당금</t>
        </is>
      </c>
      <c r="C109" s="22" t="n">
        <v>1656</v>
      </c>
      <c r="D109" s="22" t="n">
        <v>1657</v>
      </c>
      <c r="E109" s="22" t="n">
        <v>1704</v>
      </c>
      <c r="F109" s="22" t="n">
        <v>1461</v>
      </c>
      <c r="G109" s="22" t="n">
        <v>1457</v>
      </c>
      <c r="H109" s="22" t="n">
        <v>2177</v>
      </c>
      <c r="I109" s="22" t="n">
        <v>2031</v>
      </c>
      <c r="J109" s="22" t="n">
        <v>1972</v>
      </c>
      <c r="K109" s="22" t="n">
        <v>1658</v>
      </c>
      <c r="L109" s="22" t="n">
        <v>1461</v>
      </c>
    </row>
    <row r="110">
      <c r="A110" s="20" t="inlineStr">
        <is>
          <t>임원 퇴직위로 충당금</t>
        </is>
      </c>
      <c r="F110" s="22" t="n">
        <v>71</v>
      </c>
      <c r="G110" s="22" t="n">
        <v>0</v>
      </c>
      <c r="K110" s="22" t="n">
        <v>0</v>
      </c>
      <c r="L110" s="22" t="n">
        <v>71</v>
      </c>
    </row>
    <row r="111">
      <c r="A111" s="20" t="inlineStr">
        <is>
          <t>기타</t>
        </is>
      </c>
      <c r="C111" s="22" t="n">
        <v>9958</v>
      </c>
      <c r="D111" s="22" t="n">
        <v>4556</v>
      </c>
      <c r="E111" s="22" t="n">
        <v>5059</v>
      </c>
      <c r="F111" s="22" t="n">
        <v>4850</v>
      </c>
      <c r="G111" s="22" t="n">
        <v>6672</v>
      </c>
      <c r="H111" s="22" t="n">
        <v>4880</v>
      </c>
      <c r="I111" s="22" t="n">
        <v>6452</v>
      </c>
      <c r="J111" s="22" t="n">
        <v>5499</v>
      </c>
      <c r="K111" s="22" t="n">
        <v>5058</v>
      </c>
      <c r="L111" s="22" t="n">
        <v>4850</v>
      </c>
    </row>
    <row r="112">
      <c r="A112" s="9" t="inlineStr">
        <is>
          <t>유동부채 합계</t>
        </is>
      </c>
      <c r="C112" s="12" t="n">
        <v>22239</v>
      </c>
      <c r="D112" s="12" t="n">
        <v>18699</v>
      </c>
      <c r="E112" s="12" t="n">
        <v>21745</v>
      </c>
      <c r="F112" s="12" t="n">
        <v>21349</v>
      </c>
      <c r="G112" s="12" t="n">
        <v>18982</v>
      </c>
      <c r="H112" s="12" t="n">
        <v>20726</v>
      </c>
      <c r="I112" s="12" t="n">
        <v>19717</v>
      </c>
      <c r="J112" s="12" t="n">
        <v>19006</v>
      </c>
      <c r="K112" s="12" t="n">
        <v>18743</v>
      </c>
      <c r="L112" s="12" t="n">
        <v>21349</v>
      </c>
    </row>
    <row r="113">
      <c r="A113" s="20" t="inlineStr">
        <is>
          <t>장기차입금</t>
        </is>
      </c>
      <c r="C113" s="22" t="n">
        <v>721</v>
      </c>
      <c r="D113" s="22" t="n">
        <v>697</v>
      </c>
      <c r="E113" s="22" t="n">
        <v>691</v>
      </c>
      <c r="F113" s="22" t="n">
        <v>641</v>
      </c>
      <c r="G113" s="22" t="n">
        <v>602</v>
      </c>
      <c r="H113" s="22" t="n">
        <v>1025</v>
      </c>
      <c r="I113" s="22" t="n">
        <v>947</v>
      </c>
      <c r="J113" s="22" t="n">
        <v>897</v>
      </c>
      <c r="K113" s="22" t="n">
        <v>729</v>
      </c>
      <c r="L113" s="22" t="n">
        <v>641</v>
      </c>
    </row>
    <row r="114">
      <c r="A114" s="20" t="inlineStr">
        <is>
          <t>Provision For Recycling NCL</t>
        </is>
      </c>
      <c r="C114" s="22" t="n">
        <v>426</v>
      </c>
      <c r="D114" s="22" t="n">
        <v>405</v>
      </c>
      <c r="E114" s="22" t="n">
        <v>386</v>
      </c>
      <c r="F114" s="22" t="n">
        <v>369</v>
      </c>
      <c r="G114" s="22" t="n">
        <v>347</v>
      </c>
      <c r="H114" s="22" t="n">
        <v>634</v>
      </c>
      <c r="I114" s="22" t="n">
        <v>580</v>
      </c>
      <c r="J114" s="22" t="n">
        <v>526</v>
      </c>
      <c r="K114" s="22" t="n">
        <v>447</v>
      </c>
      <c r="L114" s="22" t="n">
        <v>369</v>
      </c>
    </row>
    <row r="115">
      <c r="A115" s="20" t="inlineStr">
        <is>
          <t>퇴직급여부채</t>
        </is>
      </c>
      <c r="C115" s="22" t="n">
        <v>2183</v>
      </c>
      <c r="D115" s="22" t="n">
        <v>2229</v>
      </c>
      <c r="E115" s="22" t="n">
        <v>2261</v>
      </c>
      <c r="F115" s="22" t="n">
        <v>2341</v>
      </c>
      <c r="G115" s="22" t="n">
        <v>2159</v>
      </c>
      <c r="H115" s="22" t="n">
        <v>3014</v>
      </c>
      <c r="I115" s="22" t="n">
        <v>2598</v>
      </c>
      <c r="J115" s="22" t="n">
        <v>2369</v>
      </c>
      <c r="K115" s="22" t="n">
        <v>2268</v>
      </c>
      <c r="L115" s="22" t="n">
        <v>2341</v>
      </c>
    </row>
    <row r="116">
      <c r="A116" s="20" t="inlineStr">
        <is>
          <t>이연법인세부채</t>
        </is>
      </c>
      <c r="F116" s="22" t="n">
        <v>14054</v>
      </c>
      <c r="G116" s="22" t="n">
        <v>43491</v>
      </c>
      <c r="H116" s="22" t="n">
        <v>9809</v>
      </c>
      <c r="I116" s="22" t="n">
        <v>9666</v>
      </c>
      <c r="J116" s="22" t="n">
        <v>10808</v>
      </c>
      <c r="K116" s="22" t="n">
        <v>9321</v>
      </c>
      <c r="L116" s="22" t="n">
        <v>14054</v>
      </c>
    </row>
    <row r="117">
      <c r="A117" s="20" t="inlineStr">
        <is>
          <t>임원 퇴직위로 충당금</t>
        </is>
      </c>
      <c r="C117" s="22" t="n">
        <v>71</v>
      </c>
      <c r="D117" s="22" t="n">
        <v>71</v>
      </c>
      <c r="E117" s="22" t="n">
        <v>71</v>
      </c>
      <c r="F117" s="22" t="n">
        <v>0</v>
      </c>
      <c r="H117" s="22" t="n">
        <v>71</v>
      </c>
      <c r="I117" s="22" t="n">
        <v>71</v>
      </c>
      <c r="J117" s="22" t="n">
        <v>71</v>
      </c>
      <c r="K117" s="22" t="n">
        <v>71</v>
      </c>
      <c r="L117" s="22" t="n">
        <v>0</v>
      </c>
    </row>
    <row r="118">
      <c r="A118" s="20" t="inlineStr">
        <is>
          <t>기타</t>
        </is>
      </c>
      <c r="C118" s="22" t="n">
        <v>11410</v>
      </c>
      <c r="D118" s="22" t="n">
        <v>14747</v>
      </c>
      <c r="E118" s="22" t="n">
        <v>17205</v>
      </c>
      <c r="F118" s="22" t="n">
        <v>1794</v>
      </c>
      <c r="G118" s="22" t="n">
        <v>1715</v>
      </c>
      <c r="H118" s="22" t="n">
        <v>1594</v>
      </c>
      <c r="I118" s="22" t="n">
        <v>1774</v>
      </c>
      <c r="J118" s="22" t="n">
        <v>1715</v>
      </c>
      <c r="K118" s="22" t="n">
        <v>1821</v>
      </c>
      <c r="L118" s="22" t="n">
        <v>1794</v>
      </c>
    </row>
    <row r="119">
      <c r="A119" s="9" t="inlineStr">
        <is>
          <t>비유동부채 합계</t>
        </is>
      </c>
      <c r="C119" s="12" t="n">
        <v>14813</v>
      </c>
      <c r="D119" s="12" t="n">
        <v>18152</v>
      </c>
      <c r="E119" s="12" t="n">
        <v>20616</v>
      </c>
      <c r="F119" s="12" t="n">
        <v>19201</v>
      </c>
      <c r="G119" s="12" t="n">
        <v>48315</v>
      </c>
      <c r="H119" s="12" t="n">
        <v>16150</v>
      </c>
      <c r="I119" s="12" t="n">
        <v>15638</v>
      </c>
      <c r="J119" s="12" t="n">
        <v>16388</v>
      </c>
      <c r="K119" s="12" t="n">
        <v>14659</v>
      </c>
      <c r="L119" s="12" t="n">
        <v>19201</v>
      </c>
    </row>
    <row r="120">
      <c r="A120" s="9" t="inlineStr">
        <is>
          <t>부채 합계</t>
        </is>
      </c>
      <c r="C120" s="12" t="n">
        <v>37052</v>
      </c>
      <c r="D120" s="12" t="n">
        <v>36851</v>
      </c>
      <c r="E120" s="12" t="n">
        <v>42361</v>
      </c>
      <c r="F120" s="12" t="n">
        <v>40551</v>
      </c>
      <c r="G120" s="12" t="n">
        <v>67298</v>
      </c>
      <c r="H120" s="12" t="n">
        <v>36876</v>
      </c>
      <c r="I120" s="12" t="n">
        <v>35355</v>
      </c>
      <c r="J120" s="12" t="n">
        <v>35395</v>
      </c>
      <c r="K120" s="12" t="n">
        <v>33403</v>
      </c>
      <c r="L120" s="12" t="n">
        <v>40551</v>
      </c>
    </row>
    <row r="121">
      <c r="A121" s="20" t="inlineStr">
        <is>
          <t>자본금</t>
        </is>
      </c>
      <c r="C121" s="22" t="n">
        <v>4425</v>
      </c>
      <c r="D121" s="22" t="n">
        <v>4425</v>
      </c>
      <c r="E121" s="22" t="n">
        <v>4425</v>
      </c>
      <c r="F121" s="22" t="n">
        <v>4425</v>
      </c>
      <c r="G121" s="22" t="n">
        <v>4425</v>
      </c>
      <c r="H121" s="22" t="n">
        <v>4425</v>
      </c>
      <c r="I121" s="22" t="n">
        <v>4425</v>
      </c>
      <c r="J121" s="22" t="n">
        <v>4425</v>
      </c>
      <c r="K121" s="22" t="n">
        <v>4425</v>
      </c>
      <c r="L121" s="22" t="n">
        <v>4425</v>
      </c>
    </row>
    <row r="122">
      <c r="A122" s="20" t="inlineStr">
        <is>
          <t>자본잉여금</t>
        </is>
      </c>
      <c r="C122" s="22" t="n">
        <v>4326</v>
      </c>
      <c r="D122" s="22" t="n">
        <v>4331</v>
      </c>
      <c r="E122" s="22" t="n">
        <v>4313</v>
      </c>
      <c r="F122" s="22" t="n">
        <v>4313</v>
      </c>
      <c r="G122" s="22" t="n">
        <v>4313</v>
      </c>
      <c r="H122" s="22" t="n">
        <v>4313</v>
      </c>
      <c r="I122" s="22" t="n">
        <v>4313</v>
      </c>
      <c r="J122" s="22" t="n">
        <v>4320</v>
      </c>
      <c r="K122" s="22" t="n">
        <v>4326</v>
      </c>
      <c r="L122" s="22" t="n">
        <v>4313</v>
      </c>
    </row>
    <row r="123">
      <c r="A123" s="20" t="inlineStr">
        <is>
          <t>이익잉여금</t>
        </is>
      </c>
      <c r="C123" s="22" t="n">
        <v>84034</v>
      </c>
      <c r="D123" s="22" t="n">
        <v>84657</v>
      </c>
      <c r="E123" s="22" t="n">
        <v>81539</v>
      </c>
      <c r="F123" s="22" t="n">
        <v>86021</v>
      </c>
      <c r="G123" s="22" t="n">
        <v>85088</v>
      </c>
      <c r="H123" s="22" t="n">
        <v>82039</v>
      </c>
      <c r="I123" s="22" t="n">
        <v>83896</v>
      </c>
      <c r="J123" s="22" t="n">
        <v>85956</v>
      </c>
      <c r="K123" s="22" t="n">
        <v>85887</v>
      </c>
      <c r="L123" s="22" t="n">
        <v>86021</v>
      </c>
    </row>
    <row r="124">
      <c r="A124" s="20" t="inlineStr">
        <is>
          <t>자기주식</t>
        </is>
      </c>
      <c r="C124" s="22" t="n">
        <v>-3979</v>
      </c>
      <c r="D124" s="22" t="n">
        <v>-3969</v>
      </c>
      <c r="E124" s="22" t="n">
        <v>-4770</v>
      </c>
      <c r="F124" s="22" t="n">
        <v>-4770</v>
      </c>
      <c r="G124" s="22" t="n">
        <v>-5230</v>
      </c>
      <c r="H124" s="22" t="n">
        <v>-2664</v>
      </c>
      <c r="I124" s="22" t="n">
        <v>-3998</v>
      </c>
      <c r="J124" s="22" t="n">
        <v>-3988</v>
      </c>
      <c r="K124" s="22" t="n">
        <v>-3979</v>
      </c>
      <c r="L124" s="22" t="n">
        <v>-4770</v>
      </c>
    </row>
    <row r="125">
      <c r="A125" s="9" t="inlineStr">
        <is>
          <t>주주자본 합계</t>
        </is>
      </c>
      <c r="C125" s="12" t="n">
        <v>88807</v>
      </c>
      <c r="D125" s="12" t="n">
        <v>89444</v>
      </c>
      <c r="E125" s="12" t="n">
        <v>85509</v>
      </c>
      <c r="F125" s="12" t="n">
        <v>89991</v>
      </c>
      <c r="G125" s="12" t="n">
        <v>88597</v>
      </c>
      <c r="H125" s="12" t="n">
        <v>88114</v>
      </c>
      <c r="I125" s="12" t="n">
        <v>88638</v>
      </c>
      <c r="J125" s="12" t="n">
        <v>90714</v>
      </c>
      <c r="K125" s="12" t="n">
        <v>90660</v>
      </c>
      <c r="L125" s="12" t="n">
        <v>89991</v>
      </c>
    </row>
    <row r="126">
      <c r="A126" s="20" t="inlineStr">
        <is>
          <t>기타유가증권 평가차액</t>
        </is>
      </c>
      <c r="C126" s="22" t="n">
        <v>27953</v>
      </c>
      <c r="D126" s="22" t="n">
        <v>35959</v>
      </c>
      <c r="E126" s="22" t="n">
        <v>41025</v>
      </c>
      <c r="F126" s="22" t="n">
        <v>38631</v>
      </c>
      <c r="G126" s="22" t="n">
        <v>102554</v>
      </c>
      <c r="H126" s="22" t="n">
        <v>28801</v>
      </c>
      <c r="I126" s="22" t="n">
        <v>28851</v>
      </c>
      <c r="J126" s="22" t="n">
        <v>32916</v>
      </c>
      <c r="K126" s="22" t="n">
        <v>28057</v>
      </c>
      <c r="L126" s="22" t="n">
        <v>38631</v>
      </c>
    </row>
    <row r="127">
      <c r="A127" s="20" t="inlineStr">
        <is>
          <t>해외사업환산조정</t>
        </is>
      </c>
      <c r="C127" s="22" t="n">
        <v>5185</v>
      </c>
      <c r="D127" s="22" t="n">
        <v>5892</v>
      </c>
      <c r="E127" s="22" t="n">
        <v>7441</v>
      </c>
      <c r="F127" s="22" t="n">
        <v>7648</v>
      </c>
      <c r="G127" s="22" t="n">
        <v>8161</v>
      </c>
      <c r="H127" s="22" t="n">
        <v>1440</v>
      </c>
      <c r="I127" s="22" t="n">
        <v>2599</v>
      </c>
      <c r="J127" s="22" t="n">
        <v>5138</v>
      </c>
      <c r="K127" s="22" t="n">
        <v>4969</v>
      </c>
      <c r="L127" s="22" t="n">
        <v>7648</v>
      </c>
    </row>
    <row r="128">
      <c r="A128" s="20" t="inlineStr">
        <is>
          <t>퇴직급여 조정누계액</t>
        </is>
      </c>
      <c r="C128" s="22" t="n">
        <v>622</v>
      </c>
      <c r="D128" s="22" t="n">
        <v>500</v>
      </c>
      <c r="E128" s="22" t="n">
        <v>432</v>
      </c>
      <c r="F128" s="22" t="n">
        <v>659</v>
      </c>
      <c r="G128" s="22" t="n">
        <v>542</v>
      </c>
      <c r="H128" s="22" t="n">
        <v>226</v>
      </c>
      <c r="I128" s="22" t="n">
        <v>491</v>
      </c>
      <c r="J128" s="22" t="n">
        <v>655</v>
      </c>
      <c r="K128" s="22" t="n">
        <v>667</v>
      </c>
      <c r="L128" s="22" t="n">
        <v>659</v>
      </c>
    </row>
    <row r="129">
      <c r="A129" s="20" t="inlineStr">
        <is>
          <t>기타포괄손익누계액 합계</t>
        </is>
      </c>
      <c r="C129" s="22" t="n">
        <v>33761</v>
      </c>
      <c r="D129" s="22" t="n">
        <v>42352</v>
      </c>
      <c r="E129" s="22" t="n">
        <v>48899</v>
      </c>
      <c r="F129" s="22" t="n">
        <v>46939</v>
      </c>
      <c r="G129" s="22" t="n">
        <v>111257</v>
      </c>
      <c r="H129" s="22" t="n">
        <v>30467</v>
      </c>
      <c r="I129" s="22" t="n">
        <v>31942</v>
      </c>
      <c r="J129" s="22" t="n">
        <v>38709</v>
      </c>
      <c r="K129" s="22" t="n">
        <v>33694</v>
      </c>
      <c r="L129" s="22" t="n">
        <v>46939</v>
      </c>
    </row>
    <row r="130">
      <c r="A130" s="9" t="inlineStr">
        <is>
          <t>순자산 합계</t>
        </is>
      </c>
      <c r="C130" s="12" t="n">
        <v>122569</v>
      </c>
      <c r="D130" s="12" t="n">
        <v>131796</v>
      </c>
      <c r="E130" s="12" t="n">
        <v>134408</v>
      </c>
      <c r="F130" s="12" t="n">
        <v>136930</v>
      </c>
      <c r="G130" s="12" t="n">
        <v>199854</v>
      </c>
      <c r="H130" s="12" t="n">
        <v>118582</v>
      </c>
      <c r="I130" s="12" t="n">
        <v>120580</v>
      </c>
      <c r="J130" s="12" t="n">
        <v>129424</v>
      </c>
      <c r="K130" s="12" t="n">
        <v>124355</v>
      </c>
      <c r="L130" s="12" t="n">
        <v>136930</v>
      </c>
    </row>
    <row r="131">
      <c r="A131" s="9" t="inlineStr">
        <is>
          <t>부채·순자산 합계</t>
        </is>
      </c>
      <c r="C131" s="12" t="n">
        <v>159621</v>
      </c>
      <c r="D131" s="12" t="n">
        <v>168648</v>
      </c>
      <c r="E131" s="12" t="n">
        <v>176770</v>
      </c>
      <c r="F131" s="12" t="n">
        <v>177482</v>
      </c>
      <c r="G131" s="12" t="n">
        <v>267153</v>
      </c>
      <c r="H131" s="12" t="n">
        <v>155459</v>
      </c>
      <c r="I131" s="12" t="n">
        <v>155935</v>
      </c>
      <c r="J131" s="12" t="n">
        <v>164819</v>
      </c>
      <c r="K131" s="12" t="n">
        <v>157759</v>
      </c>
      <c r="L131" s="12" t="n">
        <v>177482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52" t="inlineStr">
        <is>
          <t>공시일</t>
        </is>
      </c>
      <c r="B3" s="52" t="inlineStr">
        <is>
          <t>문서</t>
        </is>
      </c>
      <c r="C3" s="52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1분기 결산단신</t>
        </is>
      </c>
      <c r="C4" t="inlineStr">
        <is>
          <t>https://www2.jpx.co.jp/disc/67370/140120260730503379.pdf</t>
        </is>
      </c>
    </row>
    <row r="5">
      <c r="A5" t="inlineStr">
        <is>
          <t>2026-05-12</t>
        </is>
      </c>
      <c r="B5" t="inlineStr">
        <is>
          <t>2026년 3월 결산기 연간 결산단신</t>
        </is>
      </c>
      <c r="C5" t="inlineStr">
        <is>
          <t>https://www2.jpx.co.jp/disc/67370/140120260512524518.pdf</t>
        </is>
      </c>
    </row>
    <row r="6">
      <c r="A6" t="inlineStr">
        <is>
          <t>2026-01-30</t>
        </is>
      </c>
      <c r="B6" t="inlineStr">
        <is>
          <t>2026년 3월 결산기 3분기 결산단신</t>
        </is>
      </c>
      <c r="C6" t="inlineStr">
        <is>
          <t>https://www2.jpx.co.jp/disc/67370/140120260129542274.pdf</t>
        </is>
      </c>
    </row>
    <row r="7">
      <c r="A7" t="inlineStr">
        <is>
          <t>2025-10-31</t>
        </is>
      </c>
      <c r="B7" t="inlineStr">
        <is>
          <t>2026년 3월 결산기 2분기 결산단신</t>
        </is>
      </c>
      <c r="C7" t="inlineStr">
        <is>
          <t>https://www2.jpx.co.jp/disc/67370/140120251030583514.pdf</t>
        </is>
      </c>
    </row>
    <row r="8">
      <c r="A8" t="inlineStr">
        <is>
          <t>2025-07-31</t>
        </is>
      </c>
      <c r="B8" t="inlineStr">
        <is>
          <t>2026년 3월 결산기 1분기 결산단신</t>
        </is>
      </c>
      <c r="C8" t="inlineStr">
        <is>
          <t>https://www2.jpx.co.jp/disc/67370/140120250730524456.pdf</t>
        </is>
      </c>
    </row>
    <row r="9">
      <c r="A9" t="inlineStr">
        <is>
          <t>2025-05-08</t>
        </is>
      </c>
      <c r="B9" t="inlineStr">
        <is>
          <t>2025년 3월 결산기 연간 결산단신</t>
        </is>
      </c>
      <c r="C9" t="inlineStr">
        <is>
          <t>https://www2.jpx.co.jp/disc/67370/140120250507533053.pdf</t>
        </is>
      </c>
    </row>
    <row r="10">
      <c r="A10" t="inlineStr">
        <is>
          <t>2025-01-31</t>
        </is>
      </c>
      <c r="B10" t="inlineStr">
        <is>
          <t>2025년 3월 결산기 3분기 결산단신</t>
        </is>
      </c>
      <c r="C10" t="inlineStr">
        <is>
          <t>https://www2.jpx.co.jp/disc/67370/140120250130559000.pdf</t>
        </is>
      </c>
    </row>
    <row r="11">
      <c r="A11" t="inlineStr">
        <is>
          <t>2024-10-31</t>
        </is>
      </c>
      <c r="B11" t="inlineStr">
        <is>
          <t>2025년 3월 결산기 2분기 결산단신</t>
        </is>
      </c>
      <c r="C11" t="inlineStr">
        <is>
          <t>https://www2.jpx.co.jp/disc/67370/140120241031507406.pdf</t>
        </is>
      </c>
    </row>
    <row r="12">
      <c r="A12" t="inlineStr">
        <is>
          <t>2024-07-31</t>
        </is>
      </c>
      <c r="B12" t="inlineStr">
        <is>
          <t>2025년 3월 결산기 1분기 결산단신</t>
        </is>
      </c>
      <c r="C12" t="inlineStr">
        <is>
          <t>https://www2.jpx.co.jp/disc/67370/140120240731558630.pdf</t>
        </is>
      </c>
    </row>
    <row r="13">
      <c r="A13" t="inlineStr">
        <is>
          <t>2024-05-09</t>
        </is>
      </c>
      <c r="B13" t="inlineStr">
        <is>
          <t>2024년 3월 결산기 연간 결산단신</t>
        </is>
      </c>
      <c r="C13" t="inlineStr">
        <is>
          <t>https://www2.jpx.co.jp/disc/67370/140120240509586146.pdf</t>
        </is>
      </c>
    </row>
    <row r="14">
      <c r="A14" t="inlineStr">
        <is>
          <t>2024-01-31</t>
        </is>
      </c>
      <c r="B14" t="inlineStr">
        <is>
          <t>2024년 3월 결산기 3분기 결산단신</t>
        </is>
      </c>
      <c r="C14" t="inlineStr">
        <is>
          <t>https://www2.jpx.co.jp/disc/67370/140120240131522727.pdf</t>
        </is>
      </c>
    </row>
    <row r="15">
      <c r="A15" t="inlineStr">
        <is>
          <t>2023-10-31</t>
        </is>
      </c>
      <c r="B15" t="inlineStr">
        <is>
          <t>2024년 3월 결산기 2분기 결산단신</t>
        </is>
      </c>
      <c r="C15" t="inlineStr">
        <is>
          <t>https://www2.jpx.co.jp/disc/67370/140120231031575291.pdf</t>
        </is>
      </c>
    </row>
    <row r="16">
      <c r="A16" t="inlineStr">
        <is>
          <t>2023-07-28</t>
        </is>
      </c>
      <c r="B16" t="inlineStr">
        <is>
          <t>2024년 3월 결산기 1분기 결산단신</t>
        </is>
      </c>
      <c r="C16" t="inlineStr">
        <is>
          <t>https://www2.jpx.co.jp/disc/67370/140120230727528616.pdf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https://www2.jpx.co.jp/disc/67370/140120230511566737.pdf</t>
        </is>
      </c>
    </row>
    <row r="18">
      <c r="A18" t="inlineStr">
        <is>
          <t>2023-01-31</t>
        </is>
      </c>
      <c r="B18" t="inlineStr">
        <is>
          <t>2023년 3월 결산기 3분기 결산단신</t>
        </is>
      </c>
      <c r="C18" t="inlineStr">
        <is>
          <t>https://www2.jpx.co.jp/disc/67370/140120230131596815.pdf</t>
        </is>
      </c>
    </row>
    <row r="19">
      <c r="A19" t="inlineStr">
        <is>
          <t>2022-10-28</t>
        </is>
      </c>
      <c r="B19" t="inlineStr">
        <is>
          <t>2023년 3월 결산기 2분기 결산단신</t>
        </is>
      </c>
      <c r="C19" t="inlineStr">
        <is>
          <t>https://www2.jpx.co.jp/disc/67370/140120221027551348.pdf</t>
        </is>
      </c>
    </row>
    <row r="20">
      <c r="A20" t="inlineStr">
        <is>
          <t>2022-05-11</t>
        </is>
      </c>
      <c r="B20" t="inlineStr">
        <is>
          <t>2022년 3월 결산기 연간 결산단신</t>
        </is>
      </c>
      <c r="C20" t="inlineStr">
        <is>
          <t>https://www2.jpx.co.jp/disc/67370/140120220426527616.pdf</t>
        </is>
      </c>
    </row>
    <row r="21">
      <c r="A21" t="inlineStr">
        <is>
          <t>2021-05-11</t>
        </is>
      </c>
      <c r="B21" t="inlineStr">
        <is>
          <t>2021년 3월 결산기 연간 결산단신</t>
        </is>
      </c>
      <c r="C21" t="inlineStr">
        <is>
          <t>https://www2.jpx.co.jp/disc/67370/140120210510408812.pdf</t>
        </is>
      </c>
    </row>
    <row r="22">
      <c r="A22" t="inlineStr">
        <is>
          <t>2020-05-08</t>
        </is>
      </c>
      <c r="B22" t="inlineStr">
        <is>
          <t>2020년 3월 결산기 연간 결산단신</t>
        </is>
      </c>
      <c r="C22" t="inlineStr">
        <is>
          <t>https://www2.jpx.co.jp/disc/67370/140120200507406008.pdf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https://www2.jpx.co.jp/disc/67370/140120190510420250.pdf</t>
        </is>
      </c>
    </row>
    <row r="24">
      <c r="A24" t="inlineStr">
        <is>
          <t>2018-05-08</t>
        </is>
      </c>
      <c r="B24" t="inlineStr">
        <is>
          <t>2018년 3월 결산기 연간 결산단신</t>
        </is>
      </c>
      <c r="C24" t="inlineStr">
        <is>
          <t>https://www2.jpx.co.jp/disc/67370/140120180425419618.pdf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2026-10-25T17:52:48Z</dcterms:created>
  <dcterms:modified xmlns:dcterms="http://purl.org/dc/terms/" xmlns:xsi="http://www.w3.org/2001/XMLSchema-instance" xsi:type="dcterms:W3CDTF">2026-10-25T17:52:48Z</dcterms:modified>
</cp:coreProperties>
</file>