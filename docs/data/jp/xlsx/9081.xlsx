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9081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29417</v>
      </c>
      <c r="D4" s="12" t="n">
        <v>30328</v>
      </c>
      <c r="E4" s="12" t="n">
        <v>29854</v>
      </c>
      <c r="F4" s="12" t="n">
        <v>29371</v>
      </c>
      <c r="G4" s="12" t="n">
        <v>29900</v>
      </c>
      <c r="H4" s="12" t="n">
        <v>29823</v>
      </c>
      <c r="I4" s="12" t="n">
        <v>29055</v>
      </c>
      <c r="J4" s="12" t="n">
        <v>31500</v>
      </c>
      <c r="K4" s="12" t="n">
        <v>31896</v>
      </c>
      <c r="L4" s="12" t="n">
        <v>32732</v>
      </c>
      <c r="M4" s="12" t="n">
        <v>30645</v>
      </c>
      <c r="N4" s="12" t="n">
        <v>32145</v>
      </c>
      <c r="O4" s="11" t="n">
        <v>115525</v>
      </c>
      <c r="P4" s="12" t="n">
        <v>113763</v>
      </c>
      <c r="Q4" s="12" t="n">
        <v>114809</v>
      </c>
      <c r="R4" s="12" t="n">
        <v>52544</v>
      </c>
      <c r="S4" s="12" t="n">
        <v>90915</v>
      </c>
      <c r="T4" s="12" t="n">
        <v>97777</v>
      </c>
      <c r="U4" s="12" t="n">
        <v>103865</v>
      </c>
      <c r="V4" s="12" t="n">
        <v>117067</v>
      </c>
      <c r="W4" s="12" t="n">
        <v>118149</v>
      </c>
      <c r="X4" s="12" t="n">
        <v>126773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PassengerAutomobileReportableSegmentsMember</t>
        </is>
      </c>
      <c r="B7" s="10" t="n"/>
      <c r="C7" s="19" t="n">
        <v>14039</v>
      </c>
      <c r="D7" s="20" t="n">
        <v>14111</v>
      </c>
      <c r="E7" s="20" t="n">
        <v>13455</v>
      </c>
      <c r="F7" s="20" t="n">
        <v>14674</v>
      </c>
      <c r="G7" s="20" t="n">
        <v>14503</v>
      </c>
      <c r="H7" s="20" t="n">
        <v>14600</v>
      </c>
      <c r="I7" s="20" t="n">
        <v>13245</v>
      </c>
      <c r="J7" s="20" t="n">
        <v>14745</v>
      </c>
      <c r="K7" s="20" t="n">
        <v>14704</v>
      </c>
      <c r="L7" s="20" t="n">
        <v>14590</v>
      </c>
      <c r="M7" s="20" t="n">
        <v>13675</v>
      </c>
      <c r="N7" s="20" t="n">
        <v>15502</v>
      </c>
      <c r="O7" s="19" t="n"/>
      <c r="P7" s="20" t="n"/>
      <c r="Q7" s="20" t="n"/>
      <c r="R7" s="20" t="n"/>
      <c r="S7" s="20" t="n"/>
      <c r="T7" s="20" t="n"/>
      <c r="U7" s="20" t="n"/>
      <c r="V7" s="20" t="n">
        <v>54767</v>
      </c>
      <c r="W7" s="20" t="n">
        <v>57022</v>
      </c>
      <c r="X7" s="20" t="n">
        <v>57714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RealEstateReportableSegmentsMember</t>
        </is>
      </c>
      <c r="B10" s="10" t="n"/>
      <c r="C10" s="19" t="n">
        <v>1487</v>
      </c>
      <c r="D10" s="20" t="n">
        <v>1648</v>
      </c>
      <c r="E10" s="20" t="n">
        <v>1642</v>
      </c>
      <c r="F10" s="20" t="n">
        <v>1564</v>
      </c>
      <c r="G10" s="20" t="n">
        <v>1665</v>
      </c>
      <c r="H10" s="20" t="n">
        <v>1473</v>
      </c>
      <c r="I10" s="20" t="n">
        <v>1941</v>
      </c>
      <c r="J10" s="20" t="n">
        <v>1835</v>
      </c>
      <c r="K10" s="20" t="n">
        <v>1622</v>
      </c>
      <c r="L10" s="20" t="n">
        <v>1521</v>
      </c>
      <c r="M10" s="20" t="n">
        <v>1755</v>
      </c>
      <c r="N10" s="20" t="n">
        <v>1625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6120</v>
      </c>
      <c r="W10" s="20" t="n">
        <v>6643</v>
      </c>
      <c r="X10" s="20" t="n">
        <v>6733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AutomobileSalesReportableSegmentsMember</t>
        </is>
      </c>
      <c r="B13" s="10" t="n"/>
      <c r="C13" s="19" t="n">
        <v>8610</v>
      </c>
      <c r="D13" s="20" t="n">
        <v>9126</v>
      </c>
      <c r="E13" s="20" t="n">
        <v>9385</v>
      </c>
      <c r="F13" s="20" t="n">
        <v>8360</v>
      </c>
      <c r="G13" s="20" t="n">
        <v>8621</v>
      </c>
      <c r="H13" s="20" t="n">
        <v>8608</v>
      </c>
      <c r="I13" s="20" t="n">
        <v>8549</v>
      </c>
      <c r="J13" s="20" t="n">
        <v>9757</v>
      </c>
      <c r="K13" s="20" t="n">
        <v>9963</v>
      </c>
      <c r="L13" s="20" t="n">
        <v>11055</v>
      </c>
      <c r="M13" s="20" t="n">
        <v>9501</v>
      </c>
      <c r="N13" s="20" t="n">
        <v>9621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35097</v>
      </c>
      <c r="W13" s="20" t="n">
        <v>34138</v>
      </c>
      <c r="X13" s="20" t="n">
        <v>40276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5281</v>
      </c>
      <c r="D16" s="20" t="n">
        <v>5443</v>
      </c>
      <c r="E16" s="20" t="n">
        <v>5372</v>
      </c>
      <c r="F16" s="20" t="n">
        <v>4772</v>
      </c>
      <c r="G16" s="20" t="n">
        <v>5111</v>
      </c>
      <c r="H16" s="20" t="n">
        <v>5143</v>
      </c>
      <c r="I16" s="20" t="n">
        <v>5319</v>
      </c>
      <c r="J16" s="20" t="n">
        <v>5162</v>
      </c>
      <c r="K16" s="20" t="n">
        <v>5607</v>
      </c>
      <c r="L16" s="20" t="n">
        <v>5565</v>
      </c>
      <c r="M16" s="20" t="n">
        <v>5715</v>
      </c>
      <c r="N16" s="20" t="n">
        <v>5397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21081</v>
      </c>
      <c r="W16" s="20" t="n">
        <v>20345</v>
      </c>
      <c r="X16" s="20" t="n">
        <v>22049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29371</v>
      </c>
      <c r="G19" s="20" t="n"/>
      <c r="H19" s="20" t="n"/>
      <c r="I19" s="20" t="n"/>
      <c r="J19" s="20" t="n">
        <v>31500</v>
      </c>
      <c r="K19" s="20" t="n"/>
      <c r="L19" s="20" t="n"/>
      <c r="M19" s="20" t="n"/>
      <c r="N19" s="20" t="n">
        <v>32145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24030</v>
      </c>
      <c r="D23" s="20" t="n">
        <v>24517</v>
      </c>
      <c r="E23" s="20" t="n">
        <v>24794</v>
      </c>
      <c r="F23" s="20" t="n">
        <v>23309</v>
      </c>
      <c r="G23" s="20" t="n">
        <v>24147</v>
      </c>
      <c r="H23" s="20" t="n">
        <v>23827</v>
      </c>
      <c r="I23" s="20" t="n">
        <v>25209</v>
      </c>
      <c r="J23" s="20" t="n">
        <v>25371</v>
      </c>
      <c r="K23" s="20" t="n">
        <v>26292</v>
      </c>
      <c r="L23" s="20" t="n">
        <v>26826</v>
      </c>
      <c r="M23" s="20" t="n">
        <v>26859</v>
      </c>
      <c r="N23" s="20" t="n">
        <v>25606</v>
      </c>
      <c r="O23" s="19" t="n">
        <v>94167</v>
      </c>
      <c r="P23" s="20" t="n">
        <v>92369</v>
      </c>
      <c r="Q23" s="20" t="n">
        <v>93257</v>
      </c>
      <c r="R23" s="20" t="n">
        <v>44364</v>
      </c>
      <c r="S23" s="20" t="n">
        <v>83379</v>
      </c>
      <c r="T23" s="20" t="n">
        <v>83896</v>
      </c>
      <c r="U23" s="20" t="n">
        <v>85921</v>
      </c>
      <c r="V23" s="20" t="n">
        <v>95720</v>
      </c>
      <c r="W23" s="20" t="n">
        <v>96492</v>
      </c>
      <c r="X23" s="20" t="n">
        <v>105348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3323</v>
      </c>
      <c r="D27" s="20" t="n">
        <v>3456</v>
      </c>
      <c r="E27" s="20" t="n">
        <v>3734</v>
      </c>
      <c r="F27" s="20" t="n">
        <v>3350</v>
      </c>
      <c r="G27" s="20" t="n">
        <v>3386</v>
      </c>
      <c r="H27" s="20" t="n">
        <v>3605</v>
      </c>
      <c r="I27" s="20" t="n">
        <v>3927</v>
      </c>
      <c r="J27" s="20" t="n">
        <v>3519</v>
      </c>
      <c r="K27" s="20" t="n">
        <v>3489</v>
      </c>
      <c r="L27" s="20" t="n">
        <v>3708</v>
      </c>
      <c r="M27" s="20" t="n">
        <v>3932</v>
      </c>
      <c r="N27" s="20" t="n">
        <v>3631</v>
      </c>
      <c r="O27" s="19" t="n">
        <v>14548</v>
      </c>
      <c r="P27" s="20" t="n">
        <v>14913</v>
      </c>
      <c r="Q27" s="20" t="n">
        <v>14944</v>
      </c>
      <c r="R27" s="20" t="n">
        <v>4956</v>
      </c>
      <c r="S27" s="20" t="n">
        <v>13475</v>
      </c>
      <c r="T27" s="20" t="n">
        <v>12872</v>
      </c>
      <c r="U27" s="20" t="n">
        <v>13619</v>
      </c>
      <c r="V27" s="20" t="n">
        <v>13829</v>
      </c>
      <c r="W27" s="20" t="n">
        <v>14268</v>
      </c>
      <c r="X27" s="20" t="n">
        <v>14648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2064</v>
      </c>
      <c r="D28" s="12" t="n">
        <v>2355</v>
      </c>
      <c r="E28" s="12" t="n">
        <v>1325</v>
      </c>
      <c r="F28" s="12" t="n">
        <v>2712</v>
      </c>
      <c r="G28" s="12" t="n">
        <v>2366</v>
      </c>
      <c r="H28" s="12" t="n">
        <v>2391</v>
      </c>
      <c r="I28" s="12" t="n">
        <v>-81</v>
      </c>
      <c r="J28" s="12" t="n">
        <v>2609</v>
      </c>
      <c r="K28" s="12" t="n">
        <v>2116</v>
      </c>
      <c r="L28" s="12" t="n">
        <v>2197</v>
      </c>
      <c r="M28" s="12" t="n">
        <v>-146</v>
      </c>
      <c r="N28" s="12" t="n">
        <v>2907</v>
      </c>
      <c r="O28" s="11" t="n">
        <v>6810</v>
      </c>
      <c r="P28" s="12" t="n">
        <v>6481</v>
      </c>
      <c r="Q28" s="12" t="n">
        <v>6606</v>
      </c>
      <c r="R28" s="12" t="n">
        <v>3222</v>
      </c>
      <c r="S28" s="12" t="n">
        <v>-5940</v>
      </c>
      <c r="T28" s="12" t="n">
        <v>1008</v>
      </c>
      <c r="U28" s="12" t="n">
        <v>4323</v>
      </c>
      <c r="V28" s="12" t="n">
        <v>7516</v>
      </c>
      <c r="W28" s="12" t="n">
        <v>7388</v>
      </c>
      <c r="X28" s="12" t="n">
        <v>6776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24</v>
      </c>
      <c r="D44" s="20" t="n">
        <v>16</v>
      </c>
      <c r="E44" s="20" t="n">
        <v>92</v>
      </c>
      <c r="F44" s="20" t="n">
        <v>213</v>
      </c>
      <c r="G44" s="20" t="n">
        <v>9</v>
      </c>
      <c r="H44" s="20" t="n">
        <v>203</v>
      </c>
      <c r="I44" s="20" t="n">
        <v>668</v>
      </c>
      <c r="J44" s="20" t="n">
        <v>319</v>
      </c>
      <c r="K44" s="20" t="n">
        <v>57</v>
      </c>
      <c r="L44" s="20" t="n">
        <v>28</v>
      </c>
      <c r="M44" s="20" t="n">
        <v>349</v>
      </c>
      <c r="N44" s="20" t="n">
        <v>19</v>
      </c>
      <c r="O44" s="19" t="n">
        <v>566</v>
      </c>
      <c r="P44" s="20" t="n">
        <v>807</v>
      </c>
      <c r="Q44" s="20" t="n">
        <v>195</v>
      </c>
      <c r="R44" s="20" t="n">
        <v>209</v>
      </c>
      <c r="S44" s="20" t="n">
        <v>1130</v>
      </c>
      <c r="T44" s="20" t="n">
        <v>1222</v>
      </c>
      <c r="U44" s="20" t="n">
        <v>446</v>
      </c>
      <c r="V44" s="20" t="n">
        <v>169</v>
      </c>
      <c r="W44" s="20" t="n">
        <v>1093</v>
      </c>
      <c r="X44" s="20" t="n">
        <v>753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231</v>
      </c>
      <c r="D46" s="20" t="n">
        <v>335</v>
      </c>
      <c r="E46" s="20" t="n">
        <v>2240</v>
      </c>
      <c r="F46" s="20" t="n">
        <v>193</v>
      </c>
      <c r="G46" s="20" t="n">
        <v>237</v>
      </c>
      <c r="H46" s="20" t="n">
        <v>270</v>
      </c>
      <c r="I46" s="20" t="n">
        <v>1644</v>
      </c>
      <c r="J46" s="20" t="n">
        <v>470</v>
      </c>
      <c r="K46" s="20" t="n">
        <v>65</v>
      </c>
      <c r="L46" s="20" t="n">
        <v>277</v>
      </c>
      <c r="M46" s="20" t="n">
        <v>804</v>
      </c>
      <c r="N46" s="20" t="n">
        <v>200</v>
      </c>
      <c r="O46" s="19" t="n">
        <v>1196</v>
      </c>
      <c r="P46" s="20" t="n">
        <v>742</v>
      </c>
      <c r="Q46" s="20" t="n">
        <v>631</v>
      </c>
      <c r="R46" s="20" t="n">
        <v>1058</v>
      </c>
      <c r="S46" s="20" t="n">
        <v>2511</v>
      </c>
      <c r="T46" s="20" t="n">
        <v>959</v>
      </c>
      <c r="U46" s="20" t="n">
        <v>2428</v>
      </c>
      <c r="V46" s="20" t="n">
        <v>2907</v>
      </c>
      <c r="W46" s="20" t="n">
        <v>2344</v>
      </c>
      <c r="X46" s="20" t="n">
        <v>1616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45</v>
      </c>
      <c r="D48" s="20" t="n">
        <v>222</v>
      </c>
      <c r="E48" s="20" t="n">
        <v>125</v>
      </c>
      <c r="F48" s="20" t="n">
        <v>379</v>
      </c>
      <c r="G48" s="20" t="n">
        <v>43</v>
      </c>
      <c r="H48" s="20" t="n">
        <v>257</v>
      </c>
      <c r="I48" s="20" t="n">
        <v>314</v>
      </c>
      <c r="J48" s="20" t="n">
        <v>349</v>
      </c>
      <c r="K48" s="20" t="n">
        <v>48</v>
      </c>
      <c r="L48" s="20" t="n">
        <v>382</v>
      </c>
      <c r="M48" s="20" t="n">
        <v>133</v>
      </c>
      <c r="N48" s="20" t="n">
        <v>402</v>
      </c>
      <c r="O48" s="19" t="n">
        <v>460</v>
      </c>
      <c r="P48" s="20" t="n">
        <v>492</v>
      </c>
      <c r="Q48" s="20" t="n">
        <v>596</v>
      </c>
      <c r="R48" s="20" t="n">
        <v>673</v>
      </c>
      <c r="S48" s="20" t="n">
        <v>1143</v>
      </c>
      <c r="T48" s="20" t="n">
        <v>1982</v>
      </c>
      <c r="U48" s="20" t="n">
        <v>1000</v>
      </c>
      <c r="V48" s="20" t="n">
        <v>744</v>
      </c>
      <c r="W48" s="20" t="n">
        <v>993</v>
      </c>
      <c r="X48" s="20" t="n">
        <v>912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113</v>
      </c>
      <c r="D50" s="20" t="n">
        <v>121</v>
      </c>
      <c r="E50" s="20" t="n">
        <v>171</v>
      </c>
      <c r="F50" s="20" t="n">
        <v>128</v>
      </c>
      <c r="G50" s="20" t="n">
        <v>119</v>
      </c>
      <c r="H50" s="20" t="n">
        <v>135</v>
      </c>
      <c r="I50" s="20" t="n">
        <v>254</v>
      </c>
      <c r="J50" s="20" t="n">
        <v>233</v>
      </c>
      <c r="K50" s="20" t="n">
        <v>195</v>
      </c>
      <c r="L50" s="20" t="n">
        <v>251</v>
      </c>
      <c r="M50" s="20" t="n">
        <v>344</v>
      </c>
      <c r="N50" s="20" t="n">
        <v>297</v>
      </c>
      <c r="O50" s="19" t="n">
        <v>557</v>
      </c>
      <c r="P50" s="20" t="n">
        <v>496</v>
      </c>
      <c r="Q50" s="20" t="n">
        <v>412</v>
      </c>
      <c r="R50" s="20" t="n">
        <v>365</v>
      </c>
      <c r="S50" s="20" t="n">
        <v>557</v>
      </c>
      <c r="T50" s="20" t="n">
        <v>404</v>
      </c>
      <c r="U50" s="20" t="n">
        <v>414</v>
      </c>
      <c r="V50" s="20" t="n">
        <v>512</v>
      </c>
      <c r="W50" s="20" t="n">
        <v>636</v>
      </c>
      <c r="X50" s="20" t="n">
        <v>1023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1788</v>
      </c>
      <c r="D52" s="12" t="n">
        <v>2137</v>
      </c>
      <c r="E52" s="12" t="n">
        <v>-870</v>
      </c>
      <c r="F52" s="12" t="n">
        <v>2983</v>
      </c>
      <c r="G52" s="12" t="n">
        <v>2061</v>
      </c>
      <c r="H52" s="12" t="n">
        <v>2448</v>
      </c>
      <c r="I52" s="12" t="n">
        <v>-999</v>
      </c>
      <c r="J52" s="12" t="n">
        <v>2574</v>
      </c>
      <c r="K52" s="12" t="n">
        <v>1961</v>
      </c>
      <c r="L52" s="12" t="n">
        <v>2079</v>
      </c>
      <c r="M52" s="12" t="n">
        <v>-813</v>
      </c>
      <c r="N52" s="12" t="n">
        <v>2831</v>
      </c>
      <c r="O52" s="11" t="n">
        <v>6082</v>
      </c>
      <c r="P52" s="12" t="n">
        <v>6542</v>
      </c>
      <c r="Q52" s="12" t="n">
        <v>6354</v>
      </c>
      <c r="R52" s="12" t="n">
        <v>2681</v>
      </c>
      <c r="S52" s="12" t="n">
        <v>-6735</v>
      </c>
      <c r="T52" s="12" t="n">
        <v>2849</v>
      </c>
      <c r="U52" s="12" t="n">
        <v>2928</v>
      </c>
      <c r="V52" s="12" t="n">
        <v>5009</v>
      </c>
      <c r="W52" s="12" t="n">
        <v>6493</v>
      </c>
      <c r="X52" s="12" t="n">
        <v>5801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656</v>
      </c>
      <c r="D53" s="20" t="n">
        <v>700</v>
      </c>
      <c r="E53" s="20" t="n">
        <v>-298</v>
      </c>
      <c r="F53" s="20" t="n">
        <v>-320</v>
      </c>
      <c r="G53" s="20" t="n">
        <v>464</v>
      </c>
      <c r="H53" s="20" t="n">
        <v>846</v>
      </c>
      <c r="I53" s="20" t="n">
        <v>-122</v>
      </c>
      <c r="J53" s="20" t="n">
        <v>849</v>
      </c>
      <c r="K53" s="20" t="n">
        <v>633</v>
      </c>
      <c r="L53" s="20" t="n">
        <v>701</v>
      </c>
      <c r="M53" s="20" t="n">
        <v>-672</v>
      </c>
      <c r="N53" s="20" t="n">
        <v>900</v>
      </c>
      <c r="O53" s="19" t="n">
        <v>1938</v>
      </c>
      <c r="P53" s="20" t="n">
        <v>2080</v>
      </c>
      <c r="Q53" s="20" t="n">
        <v>2050</v>
      </c>
      <c r="R53" s="20" t="n">
        <v>760</v>
      </c>
      <c r="S53" s="20" t="n">
        <v>1513</v>
      </c>
      <c r="T53" s="20" t="n">
        <v>767</v>
      </c>
      <c r="U53" s="20" t="n">
        <v>1561</v>
      </c>
      <c r="V53" s="20" t="n">
        <v>1355</v>
      </c>
      <c r="W53" s="20" t="n">
        <v>868</v>
      </c>
      <c r="X53" s="20" t="n">
        <v>1511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1133</v>
      </c>
      <c r="D55" s="12" t="n">
        <v>1437</v>
      </c>
      <c r="E55" s="12" t="n">
        <v>-572</v>
      </c>
      <c r="F55" s="12" t="n">
        <v>3303</v>
      </c>
      <c r="G55" s="12" t="n">
        <v>1597</v>
      </c>
      <c r="H55" s="12" t="n">
        <v>1601</v>
      </c>
      <c r="I55" s="12" t="n">
        <v>-876</v>
      </c>
      <c r="J55" s="12" t="n">
        <v>1725</v>
      </c>
      <c r="K55" s="12" t="n">
        <v>1327</v>
      </c>
      <c r="L55" s="12" t="n">
        <v>1379</v>
      </c>
      <c r="M55" s="12" t="n">
        <v>-142</v>
      </c>
      <c r="N55" s="12" t="n">
        <v>1931</v>
      </c>
      <c r="O55" s="11" t="n">
        <v>4144</v>
      </c>
      <c r="P55" s="12" t="n">
        <v>4461</v>
      </c>
      <c r="Q55" s="12" t="n">
        <v>4304</v>
      </c>
      <c r="R55" s="12" t="n">
        <v>1920</v>
      </c>
      <c r="S55" s="12" t="n">
        <v>-8249</v>
      </c>
      <c r="T55" s="12" t="n">
        <v>2082</v>
      </c>
      <c r="U55" s="12" t="n">
        <v>1366</v>
      </c>
      <c r="V55" s="12" t="n">
        <v>3654</v>
      </c>
      <c r="W55" s="12" t="n">
        <v>5625</v>
      </c>
      <c r="X55" s="12" t="n">
        <v>4289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1025</v>
      </c>
      <c r="D56" s="12" t="n">
        <v>1370</v>
      </c>
      <c r="E56" s="12" t="n">
        <v>-672</v>
      </c>
      <c r="F56" s="12" t="n">
        <v>3177</v>
      </c>
      <c r="G56" s="12" t="n">
        <v>1458</v>
      </c>
      <c r="H56" s="12" t="n">
        <v>1455</v>
      </c>
      <c r="I56" s="12" t="n">
        <v>-1007</v>
      </c>
      <c r="J56" s="12" t="n">
        <v>1528</v>
      </c>
      <c r="K56" s="12" t="n">
        <v>1173</v>
      </c>
      <c r="L56" s="12" t="n">
        <v>1198</v>
      </c>
      <c r="M56" s="12" t="n">
        <v>-280</v>
      </c>
      <c r="N56" s="12" t="n">
        <v>1706</v>
      </c>
      <c r="O56" s="11" t="n">
        <v>3977</v>
      </c>
      <c r="P56" s="12" t="n">
        <v>4236</v>
      </c>
      <c r="Q56" s="12" t="n">
        <v>4089</v>
      </c>
      <c r="R56" s="12" t="n">
        <v>2044</v>
      </c>
      <c r="S56" s="12" t="n">
        <v>-8516</v>
      </c>
      <c r="T56" s="12" t="n">
        <v>1838</v>
      </c>
      <c r="U56" s="12" t="n">
        <v>1149</v>
      </c>
      <c r="V56" s="12" t="n">
        <v>3262</v>
      </c>
      <c r="W56" s="12" t="n">
        <v>5083</v>
      </c>
      <c r="X56" s="12" t="n">
        <v>3619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3740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12600000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18" t="inlineStr">
        <is>
          <t>Operating Revenue Passenger Automobile Rev OA</t>
        </is>
      </c>
      <c r="C90" s="20" t="n">
        <v>14039</v>
      </c>
      <c r="D90" s="20" t="n">
        <v>14111</v>
      </c>
      <c r="E90" s="20" t="n">
        <v>13455</v>
      </c>
      <c r="F90" s="20" t="n">
        <v>14674</v>
      </c>
      <c r="G90" s="20" t="n">
        <v>14503</v>
      </c>
      <c r="H90" s="20" t="n">
        <v>14600</v>
      </c>
      <c r="I90" s="20" t="n">
        <v>13245</v>
      </c>
      <c r="J90" s="20" t="n">
        <v>14745</v>
      </c>
      <c r="K90" s="20" t="n">
        <v>14704</v>
      </c>
      <c r="L90" s="20" t="n">
        <v>14590</v>
      </c>
      <c r="M90" s="20" t="n">
        <v>13675</v>
      </c>
      <c r="N90" s="20" t="n">
        <v>15502</v>
      </c>
      <c r="U90" s="20" t="n">
        <v>11781</v>
      </c>
      <c r="V90" s="20" t="n">
        <v>13455</v>
      </c>
      <c r="W90" s="20" t="n">
        <v>13245</v>
      </c>
      <c r="X90" s="20" t="n">
        <v>13675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Sales On Real Estate Business Rev OA</t>
        </is>
      </c>
      <c r="C92" s="20" t="n">
        <v>1487</v>
      </c>
      <c r="D92" s="20" t="n">
        <v>1648</v>
      </c>
      <c r="E92" s="20" t="n">
        <v>1642</v>
      </c>
      <c r="F92" s="20" t="n">
        <v>1564</v>
      </c>
      <c r="G92" s="20" t="n">
        <v>1665</v>
      </c>
      <c r="H92" s="20" t="n">
        <v>1473</v>
      </c>
      <c r="I92" s="20" t="n">
        <v>1941</v>
      </c>
      <c r="J92" s="20" t="n">
        <v>1835</v>
      </c>
      <c r="K92" s="20" t="n">
        <v>1622</v>
      </c>
      <c r="L92" s="20" t="n">
        <v>1521</v>
      </c>
      <c r="M92" s="20" t="n">
        <v>1755</v>
      </c>
      <c r="N92" s="20" t="n">
        <v>1625</v>
      </c>
      <c r="T92" s="20" t="n">
        <v>1993</v>
      </c>
      <c r="U92" s="20" t="n">
        <v>1578</v>
      </c>
      <c r="V92" s="20" t="n">
        <v>1642</v>
      </c>
      <c r="W92" s="20" t="n">
        <v>1941</v>
      </c>
      <c r="X92" s="20" t="n">
        <v>1755</v>
      </c>
    </row>
    <row r="93">
      <c r="A93" s="18" t="inlineStr">
        <is>
          <t>Sales On Other Business Rev OA</t>
        </is>
      </c>
      <c r="C93" s="20" t="n">
        <v>13890</v>
      </c>
      <c r="D93" s="20" t="n">
        <v>14570</v>
      </c>
      <c r="E93" s="20" t="n">
        <v>14757</v>
      </c>
      <c r="F93" s="20" t="n">
        <v>13133</v>
      </c>
      <c r="G93" s="20" t="n">
        <v>13731</v>
      </c>
      <c r="H93" s="20" t="n">
        <v>13751</v>
      </c>
      <c r="I93" s="20" t="n">
        <v>13868</v>
      </c>
      <c r="J93" s="20" t="n">
        <v>14919</v>
      </c>
      <c r="K93" s="20" t="n">
        <v>15571</v>
      </c>
      <c r="L93" s="20" t="n">
        <v>16620</v>
      </c>
      <c r="M93" s="20" t="n">
        <v>15215</v>
      </c>
      <c r="N93" s="20" t="n">
        <v>15018</v>
      </c>
      <c r="T93" s="20" t="n">
        <v>11935</v>
      </c>
      <c r="U93" s="20" t="n">
        <v>13630</v>
      </c>
      <c r="V93" s="20" t="n">
        <v>14757</v>
      </c>
      <c r="W93" s="20" t="n">
        <v>13868</v>
      </c>
      <c r="X93" s="20" t="n">
        <v>15215</v>
      </c>
    </row>
    <row r="94">
      <c r="A94" s="9" t="inlineStr">
        <is>
          <t>Net Sales</t>
        </is>
      </c>
      <c r="C94" s="12" t="n">
        <v>29417</v>
      </c>
      <c r="D94" s="12" t="n">
        <v>30328</v>
      </c>
      <c r="E94" s="12" t="n">
        <v>29854</v>
      </c>
      <c r="F94" s="12" t="n">
        <v>29371</v>
      </c>
      <c r="G94" s="12" t="n">
        <v>29900</v>
      </c>
      <c r="H94" s="12" t="n">
        <v>29823</v>
      </c>
      <c r="I94" s="12" t="n">
        <v>29055</v>
      </c>
      <c r="J94" s="12" t="n">
        <v>31500</v>
      </c>
      <c r="K94" s="12" t="n">
        <v>31896</v>
      </c>
      <c r="L94" s="12" t="n">
        <v>32732</v>
      </c>
      <c r="M94" s="12" t="n">
        <v>30645</v>
      </c>
      <c r="N94" s="12" t="n">
        <v>32145</v>
      </c>
      <c r="T94" s="12" t="n">
        <v>24509</v>
      </c>
      <c r="U94" s="12" t="n">
        <v>26989</v>
      </c>
      <c r="V94" s="12" t="n">
        <v>29854</v>
      </c>
      <c r="W94" s="12" t="n">
        <v>29055</v>
      </c>
      <c r="X94" s="12" t="n">
        <v>30645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Traffic Expenses General Passenger Automobile Traffic COSExp OA</t>
        </is>
      </c>
      <c r="T96" s="20" t="n">
        <v>10639</v>
      </c>
      <c r="U96" s="20" t="n">
        <v>10947</v>
      </c>
    </row>
    <row r="97">
      <c r="A97" s="18" t="inlineStr">
        <is>
          <t>Traffic Expenses Passenger Automobile COSExp OA</t>
        </is>
      </c>
      <c r="C97" s="20" t="n">
        <v>11895</v>
      </c>
      <c r="D97" s="20" t="n">
        <v>11502</v>
      </c>
      <c r="E97" s="20" t="n">
        <v>11546</v>
      </c>
      <c r="F97" s="20" t="n">
        <v>11657</v>
      </c>
      <c r="G97" s="20" t="n">
        <v>12096</v>
      </c>
      <c r="H97" s="20" t="n">
        <v>11971</v>
      </c>
      <c r="I97" s="20" t="n">
        <v>12273</v>
      </c>
      <c r="J97" s="20" t="n">
        <v>12142</v>
      </c>
      <c r="K97" s="20" t="n">
        <v>12595</v>
      </c>
      <c r="L97" s="20" t="n">
        <v>12321</v>
      </c>
      <c r="M97" s="20" t="n">
        <v>12469</v>
      </c>
      <c r="N97" s="20" t="n">
        <v>12548</v>
      </c>
      <c r="U97" s="20" t="n">
        <v>10947</v>
      </c>
      <c r="V97" s="20" t="n">
        <v>11546</v>
      </c>
      <c r="W97" s="20" t="n">
        <v>12273</v>
      </c>
      <c r="X97" s="20" t="n">
        <v>12469</v>
      </c>
    </row>
    <row r="98">
      <c r="A98" s="18" t="inlineStr">
        <is>
          <t>Cost Of Sales On Real Estate Business COSExp OA</t>
        </is>
      </c>
      <c r="C98" s="20" t="n">
        <v>562</v>
      </c>
      <c r="D98" s="20" t="n">
        <v>777</v>
      </c>
      <c r="E98" s="20" t="n">
        <v>916</v>
      </c>
      <c r="F98" s="20" t="n">
        <v>738</v>
      </c>
      <c r="G98" s="20" t="n">
        <v>772</v>
      </c>
      <c r="H98" s="20" t="n">
        <v>699</v>
      </c>
      <c r="I98" s="20" t="n">
        <v>1456</v>
      </c>
      <c r="J98" s="20" t="n">
        <v>972</v>
      </c>
      <c r="K98" s="20" t="n">
        <v>834</v>
      </c>
      <c r="L98" s="20" t="n">
        <v>783</v>
      </c>
      <c r="M98" s="20" t="n">
        <v>1888</v>
      </c>
      <c r="N98" s="20" t="n">
        <v>810</v>
      </c>
      <c r="T98" s="20" t="n">
        <v>1056</v>
      </c>
      <c r="U98" s="20" t="n">
        <v>881</v>
      </c>
      <c r="V98" s="20" t="n">
        <v>916</v>
      </c>
      <c r="W98" s="20" t="n">
        <v>1456</v>
      </c>
      <c r="X98" s="20" t="n">
        <v>1888</v>
      </c>
    </row>
    <row r="99">
      <c r="A99" s="18" t="inlineStr">
        <is>
          <t>Cost Of Sales On Other Business COSExp OA</t>
        </is>
      </c>
      <c r="C99" s="20" t="n">
        <v>11573</v>
      </c>
      <c r="D99" s="20" t="n">
        <v>12237</v>
      </c>
      <c r="E99" s="20" t="n">
        <v>12333</v>
      </c>
      <c r="F99" s="20" t="n">
        <v>10913</v>
      </c>
      <c r="G99" s="20" t="n">
        <v>11280</v>
      </c>
      <c r="H99" s="20" t="n">
        <v>11157</v>
      </c>
      <c r="I99" s="20" t="n">
        <v>11479</v>
      </c>
      <c r="J99" s="20" t="n">
        <v>12256</v>
      </c>
      <c r="K99" s="20" t="n">
        <v>12863</v>
      </c>
      <c r="L99" s="20" t="n">
        <v>13722</v>
      </c>
      <c r="M99" s="20" t="n">
        <v>12502</v>
      </c>
      <c r="N99" s="20" t="n">
        <v>12247</v>
      </c>
      <c r="T99" s="20" t="n">
        <v>10211</v>
      </c>
      <c r="U99" s="20" t="n">
        <v>11274</v>
      </c>
      <c r="V99" s="20" t="n">
        <v>12333</v>
      </c>
      <c r="W99" s="20" t="n">
        <v>11479</v>
      </c>
      <c r="X99" s="20" t="n">
        <v>12502</v>
      </c>
    </row>
    <row r="100">
      <c r="A100" s="18" t="inlineStr">
        <is>
          <t>Cost Of Sales</t>
        </is>
      </c>
      <c r="C100" s="20" t="n">
        <v>24030</v>
      </c>
      <c r="D100" s="20" t="n">
        <v>24517</v>
      </c>
      <c r="E100" s="20" t="n">
        <v>24794</v>
      </c>
      <c r="F100" s="20" t="n">
        <v>23309</v>
      </c>
      <c r="G100" s="20" t="n">
        <v>24147</v>
      </c>
      <c r="H100" s="20" t="n">
        <v>23827</v>
      </c>
      <c r="I100" s="20" t="n">
        <v>25209</v>
      </c>
      <c r="J100" s="20" t="n">
        <v>25371</v>
      </c>
      <c r="K100" s="20" t="n">
        <v>26292</v>
      </c>
      <c r="L100" s="20" t="n">
        <v>26826</v>
      </c>
      <c r="M100" s="20" t="n">
        <v>26859</v>
      </c>
      <c r="N100" s="20" t="n">
        <v>25606</v>
      </c>
      <c r="T100" s="20" t="n">
        <v>21906</v>
      </c>
      <c r="U100" s="20" t="n">
        <v>23101</v>
      </c>
      <c r="V100" s="20" t="n">
        <v>24794</v>
      </c>
      <c r="W100" s="20" t="n">
        <v>25209</v>
      </c>
      <c r="X100" s="20" t="n">
        <v>26859</v>
      </c>
    </row>
    <row r="101">
      <c r="A101" s="9" t="inlineStr">
        <is>
          <t>매출총이익</t>
        </is>
      </c>
      <c r="C101" s="12" t="n">
        <v>5387</v>
      </c>
      <c r="D101" s="12" t="n">
        <v>5812</v>
      </c>
      <c r="E101" s="12" t="n">
        <v>5059</v>
      </c>
      <c r="F101" s="12" t="n">
        <v>6062</v>
      </c>
      <c r="G101" s="12" t="n">
        <v>5752</v>
      </c>
      <c r="H101" s="12" t="n">
        <v>5997</v>
      </c>
      <c r="I101" s="12" t="n">
        <v>3845</v>
      </c>
      <c r="J101" s="12" t="n">
        <v>6129</v>
      </c>
      <c r="K101" s="12" t="n">
        <v>5604</v>
      </c>
      <c r="L101" s="12" t="n">
        <v>5906</v>
      </c>
      <c r="M101" s="12" t="n">
        <v>3785</v>
      </c>
      <c r="N101" s="12" t="n">
        <v>6539</v>
      </c>
      <c r="T101" s="12" t="n">
        <v>2603</v>
      </c>
      <c r="U101" s="12" t="n">
        <v>3888</v>
      </c>
      <c r="V101" s="12" t="n">
        <v>5059</v>
      </c>
      <c r="W101" s="12" t="n">
        <v>3845</v>
      </c>
      <c r="X101" s="12" t="n">
        <v>3785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IF(OR(G101="",C101=""),"",IF(C101&lt;=0,"",IFERROR(G101/C101-1,"")))</f>
        <v/>
      </c>
      <c r="H102" s="15">
        <f>IF(OR(H101="",D101=""),"",IF(D101&lt;=0,"",IFERROR(H101/D101-1,"")))</f>
        <v/>
      </c>
      <c r="I102" s="15">
        <f>IF(OR(I101="",E101=""),"",IF(E101&lt;=0,"",IFERROR(I101/E101-1,"")))</f>
        <v/>
      </c>
      <c r="J102" s="15">
        <f>IF(OR(J101="",F101=""),"",IF(F101&lt;=0,"",IFERROR(J101/F101-1,"")))</f>
        <v/>
      </c>
      <c r="K102" s="15">
        <f>IF(OR(K101="",G101=""),"",IF(G101&lt;=0,"",IFERROR(K101/G101-1,"")))</f>
        <v/>
      </c>
      <c r="L102" s="15">
        <f>IF(OR(L101="",H101=""),"",IF(H101&lt;=0,"",IFERROR(L101/H101-1,"")))</f>
        <v/>
      </c>
      <c r="M102" s="15">
        <f>IF(OR(M101="",I101=""),"",IF(I101&lt;=0,"",IFERROR(M101/I101-1,"")))</f>
        <v/>
      </c>
      <c r="N102" s="15">
        <f>IF(OR(N101="",J101=""),"",IF(J101&lt;=0,"",IFERROR(N101/J101-1,"")))</f>
        <v/>
      </c>
      <c r="T102" s="15">
        <f>IF(OR(T101="",S101=""),"",IF(S101&lt;=0,"",IFERROR(T101/S101-1,"")))</f>
        <v/>
      </c>
      <c r="U102" s="15">
        <f>IF(OR(U101="",T101=""),"",IF(T101&lt;=0,"",IFERROR(U101/T101-1,"")))</f>
        <v/>
      </c>
      <c r="V102" s="15">
        <f>IF(OR(V101="",U101=""),"",IF(U101&lt;=0,"",IFERROR(V101/U101-1,"")))</f>
        <v/>
      </c>
      <c r="W102" s="15">
        <f>IF(OR(W101="",V101=""),"",IF(V101&lt;=0,"",IFERROR(W101/V101-1,"")))</f>
        <v/>
      </c>
      <c r="X102" s="15">
        <f>IF(OR(X101="",W101=""),"",IF(W101&lt;=0,"",IFERROR(X101/W101-1,"")))</f>
        <v/>
      </c>
    </row>
    <row r="103">
      <c r="A103" s="18" t="inlineStr">
        <is>
          <t>판매비</t>
        </is>
      </c>
      <c r="C103" s="20" t="n">
        <v>2168</v>
      </c>
      <c r="D103" s="20" t="n">
        <v>2259</v>
      </c>
      <c r="E103" s="20" t="n">
        <v>2410</v>
      </c>
      <c r="F103" s="20" t="n">
        <v>2057</v>
      </c>
      <c r="G103" s="20" t="n">
        <v>2106</v>
      </c>
      <c r="H103" s="20" t="n">
        <v>2257</v>
      </c>
      <c r="I103" s="20" t="n">
        <v>2382</v>
      </c>
      <c r="J103" s="20" t="n">
        <v>2140</v>
      </c>
      <c r="K103" s="20" t="n">
        <v>2160</v>
      </c>
      <c r="L103" s="20" t="n">
        <v>2344</v>
      </c>
      <c r="M103" s="20" t="n">
        <v>2366</v>
      </c>
      <c r="N103" s="20" t="n">
        <v>2208</v>
      </c>
      <c r="T103" s="20" t="n">
        <v>1951</v>
      </c>
      <c r="U103" s="20" t="n">
        <v>2470</v>
      </c>
      <c r="V103" s="20" t="n">
        <v>2410</v>
      </c>
      <c r="W103" s="20" t="n">
        <v>2382</v>
      </c>
      <c r="X103" s="20" t="n">
        <v>2366</v>
      </c>
    </row>
    <row r="104">
      <c r="A104" s="18" t="inlineStr">
        <is>
          <t>General And Administrative Expenses SGA</t>
        </is>
      </c>
      <c r="C104" s="20" t="n">
        <v>1156</v>
      </c>
      <c r="D104" s="20" t="n">
        <v>1197</v>
      </c>
      <c r="E104" s="20" t="n">
        <v>1323</v>
      </c>
      <c r="F104" s="20" t="n">
        <v>1293</v>
      </c>
      <c r="G104" s="20" t="n">
        <v>1279</v>
      </c>
      <c r="H104" s="20" t="n">
        <v>1348</v>
      </c>
      <c r="I104" s="20" t="n">
        <v>1546</v>
      </c>
      <c r="J104" s="20" t="n">
        <v>1379</v>
      </c>
      <c r="K104" s="20" t="n">
        <v>1328</v>
      </c>
      <c r="L104" s="20" t="n">
        <v>1365</v>
      </c>
      <c r="M104" s="20" t="n">
        <v>1565</v>
      </c>
      <c r="N104" s="20" t="n">
        <v>1423</v>
      </c>
      <c r="T104" s="20" t="n">
        <v>1162</v>
      </c>
      <c r="U104" s="20" t="n">
        <v>1250</v>
      </c>
      <c r="V104" s="20" t="n">
        <v>1323</v>
      </c>
      <c r="W104" s="20" t="n">
        <v>1546</v>
      </c>
      <c r="X104" s="20" t="n">
        <v>1565</v>
      </c>
    </row>
    <row r="105">
      <c r="A105" s="18" t="inlineStr">
        <is>
          <t>판매비와 관리비 합계</t>
        </is>
      </c>
      <c r="C105" s="20" t="n">
        <v>3323</v>
      </c>
      <c r="D105" s="20" t="n">
        <v>3456</v>
      </c>
      <c r="E105" s="20" t="n">
        <v>3734</v>
      </c>
      <c r="F105" s="20" t="n">
        <v>3350</v>
      </c>
      <c r="G105" s="20" t="n">
        <v>3386</v>
      </c>
      <c r="H105" s="20" t="n">
        <v>3605</v>
      </c>
      <c r="I105" s="20" t="n">
        <v>3927</v>
      </c>
      <c r="J105" s="20" t="n">
        <v>3519</v>
      </c>
      <c r="K105" s="20" t="n">
        <v>3489</v>
      </c>
      <c r="L105" s="20" t="n">
        <v>3708</v>
      </c>
      <c r="M105" s="20" t="n">
        <v>3932</v>
      </c>
      <c r="N105" s="20" t="n">
        <v>3631</v>
      </c>
      <c r="T105" s="20" t="n">
        <v>3113</v>
      </c>
      <c r="U105" s="20" t="n">
        <v>3721</v>
      </c>
      <c r="V105" s="20" t="n">
        <v>3734</v>
      </c>
      <c r="W105" s="20" t="n">
        <v>3927</v>
      </c>
      <c r="X105" s="20" t="n">
        <v>3932</v>
      </c>
    </row>
    <row r="106">
      <c r="A106" s="9" t="inlineStr">
        <is>
          <t>영업이익</t>
        </is>
      </c>
      <c r="C106" s="12" t="n">
        <v>2064</v>
      </c>
      <c r="D106" s="12" t="n">
        <v>2355</v>
      </c>
      <c r="E106" s="12" t="n">
        <v>1325</v>
      </c>
      <c r="F106" s="12" t="n">
        <v>2712</v>
      </c>
      <c r="G106" s="12" t="n">
        <v>2366</v>
      </c>
      <c r="H106" s="12" t="n">
        <v>2391</v>
      </c>
      <c r="I106" s="12" t="n">
        <v>-81</v>
      </c>
      <c r="J106" s="12" t="n">
        <v>2609</v>
      </c>
      <c r="K106" s="12" t="n">
        <v>2116</v>
      </c>
      <c r="L106" s="12" t="n">
        <v>2197</v>
      </c>
      <c r="M106" s="12" t="n">
        <v>-146</v>
      </c>
      <c r="N106" s="12" t="n">
        <v>2907</v>
      </c>
      <c r="T106" s="12" t="n">
        <v>-510</v>
      </c>
      <c r="U106" s="12" t="n">
        <v>166</v>
      </c>
      <c r="V106" s="12" t="n">
        <v>1325</v>
      </c>
      <c r="W106" s="12" t="n">
        <v>-81</v>
      </c>
      <c r="X106" s="12" t="n">
        <v>-146</v>
      </c>
    </row>
    <row r="107">
      <c r="A107" s="43" t="inlineStr">
        <is>
          <t>OPM</t>
        </is>
      </c>
      <c r="B107" s="3" t="inlineStr">
        <is>
          <t>영업이익 ÷ 매출</t>
        </is>
      </c>
      <c r="C107" s="15">
        <f>IF(OR(C106="",C90=""),"",IF(C90&lt;=0,"",IFERROR(C106/C90,"")))</f>
        <v/>
      </c>
      <c r="D107" s="15">
        <f>IF(OR(D106="",D90=""),"",IF(D90&lt;=0,"",IFERROR(D106/D90,"")))</f>
        <v/>
      </c>
      <c r="E107" s="15">
        <f>IF(OR(E106="",E90=""),"",IF(E90&lt;=0,"",IFERROR(E106/E90,"")))</f>
        <v/>
      </c>
      <c r="F107" s="15">
        <f>IF(OR(F106="",F90=""),"",IF(F90&lt;=0,"",IFERROR(F106/F90,"")))</f>
        <v/>
      </c>
      <c r="G107" s="15">
        <f>IF(OR(G106="",G90=""),"",IF(G90&lt;=0,"",IFERROR(G106/G90,"")))</f>
        <v/>
      </c>
      <c r="H107" s="15">
        <f>IF(OR(H106="",H90=""),"",IF(H90&lt;=0,"",IFERROR(H106/H90,"")))</f>
        <v/>
      </c>
      <c r="I107" s="15">
        <f>IF(OR(I106="",I90=""),"",IF(I90&lt;=0,"",IFERROR(I106/I90,"")))</f>
        <v/>
      </c>
      <c r="J107" s="15">
        <f>IF(OR(J106="",J90=""),"",IF(J90&lt;=0,"",IFERROR(J106/J90,"")))</f>
        <v/>
      </c>
      <c r="K107" s="15">
        <f>IF(OR(K106="",K90=""),"",IF(K90&lt;=0,"",IFERROR(K106/K90,"")))</f>
        <v/>
      </c>
      <c r="L107" s="15">
        <f>IF(OR(L106="",L90=""),"",IF(L90&lt;=0,"",IFERROR(L106/L90,"")))</f>
        <v/>
      </c>
      <c r="M107" s="15">
        <f>IF(OR(M106="",M90=""),"",IF(M90&lt;=0,"",IFERROR(M106/M90,"")))</f>
        <v/>
      </c>
      <c r="N107" s="15">
        <f>IF(OR(N106="",N90=""),"",IF(N90&lt;=0,"",IFERROR(N106/N90,"")))</f>
        <v/>
      </c>
      <c r="T107" s="15">
        <f>IF(OR(T106="",T90=""),"",IF(T90&lt;=0,"",IFERROR(T106/T90,"")))</f>
        <v/>
      </c>
      <c r="U107" s="15">
        <f>IF(OR(U106="",U90=""),"",IF(U90&lt;=0,"",IFERROR(U106/U90,"")))</f>
        <v/>
      </c>
      <c r="V107" s="15">
        <f>IF(OR(V106="",V90=""),"",IF(V90&lt;=0,"",IFERROR(V106/V90,"")))</f>
        <v/>
      </c>
      <c r="W107" s="15">
        <f>IF(OR(W106="",W90=""),"",IF(W90&lt;=0,"",IFERROR(W106/W90,"")))</f>
        <v/>
      </c>
      <c r="X107" s="15">
        <f>IF(OR(X106="",X90=""),"",IF(X90&lt;=0,"",IFERROR(X106/X90,"")))</f>
        <v/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IF(OR(G106="",C106=""),"",IF(C106&lt;=0,"",IFERROR(G106/C106-1,"")))</f>
        <v/>
      </c>
      <c r="H108" s="15">
        <f>IF(OR(H106="",D106=""),"",IF(D106&lt;=0,"",IFERROR(H106/D106-1,"")))</f>
        <v/>
      </c>
      <c r="I108" s="15">
        <f>IF(OR(I106="",E106=""),"",IF(E106&lt;=0,"",IFERROR(I106/E106-1,"")))</f>
        <v/>
      </c>
      <c r="J108" s="15">
        <f>IF(OR(J106="",F106=""),"",IF(F106&lt;=0,"",IFERROR(J106/F106-1,"")))</f>
        <v/>
      </c>
      <c r="K108" s="15">
        <f>IF(OR(K106="",G106=""),"",IF(G106&lt;=0,"",IFERROR(K106/G106-1,"")))</f>
        <v/>
      </c>
      <c r="L108" s="15">
        <f>IF(OR(L106="",H106=""),"",IF(H106&lt;=0,"",IFERROR(L106/H106-1,"")))</f>
        <v/>
      </c>
      <c r="M108" s="15">
        <f>IF(OR(M106="",I106=""),"",IF(I106&lt;=0,"",IFERROR(M106/I106-1,"")))</f>
        <v/>
      </c>
      <c r="N108" s="15">
        <f>IF(OR(N106="",J106=""),"",IF(J106&lt;=0,"",IFERROR(N106/J106-1,"")))</f>
        <v/>
      </c>
      <c r="T108" s="15">
        <f>IF(OR(T106="",S106=""),"",IF(S106&lt;=0,"",IFERROR(T106/S106-1,"")))</f>
        <v/>
      </c>
      <c r="U108" s="15">
        <f>IF(OR(U106="",T106=""),"",IF(T106&lt;=0,"",IFERROR(U106/T106-1,"")))</f>
        <v/>
      </c>
      <c r="V108" s="15">
        <f>IF(OR(V106="",U106=""),"",IF(U106&lt;=0,"",IFERROR(V106/U106-1,"")))</f>
        <v/>
      </c>
      <c r="W108" s="15">
        <f>IF(OR(W106="",V106=""),"",IF(V106&lt;=0,"",IFERROR(W106/V106-1,"")))</f>
        <v/>
      </c>
      <c r="X108" s="15">
        <f>IF(OR(X106="",W106=""),"",IF(W106&lt;=0,"",IFERROR(X106/W106-1,"")))</f>
        <v/>
      </c>
    </row>
    <row r="109">
      <c r="A109" s="18" t="inlineStr">
        <is>
          <t>배당금수익</t>
        </is>
      </c>
      <c r="C109" s="20" t="n">
        <v>7</v>
      </c>
      <c r="D109" s="20" t="n">
        <v>167</v>
      </c>
      <c r="E109" s="20" t="n">
        <v>9</v>
      </c>
      <c r="F109" s="20" t="n">
        <v>227</v>
      </c>
      <c r="G109" s="20" t="n">
        <v>10</v>
      </c>
      <c r="H109" s="20" t="n">
        <v>210</v>
      </c>
      <c r="I109" s="20" t="n">
        <v>11</v>
      </c>
      <c r="J109" s="20" t="n">
        <v>300</v>
      </c>
      <c r="K109" s="20" t="n">
        <v>11</v>
      </c>
      <c r="L109" s="20" t="n">
        <v>293</v>
      </c>
      <c r="M109" s="20" t="n">
        <v>16</v>
      </c>
      <c r="N109" s="20" t="n">
        <v>365</v>
      </c>
      <c r="T109" s="20" t="n">
        <v>7</v>
      </c>
      <c r="U109" s="20" t="n">
        <v>7</v>
      </c>
      <c r="V109" s="20" t="n">
        <v>9</v>
      </c>
      <c r="W109" s="20" t="n">
        <v>11</v>
      </c>
      <c r="X109" s="20" t="n">
        <v>16</v>
      </c>
    </row>
    <row r="110">
      <c r="A110" s="18" t="inlineStr">
        <is>
          <t>보조금 수입</t>
        </is>
      </c>
      <c r="C110" s="20" t="n">
        <v>3</v>
      </c>
      <c r="D110" s="20" t="n">
        <v>11</v>
      </c>
      <c r="E110" s="20" t="n">
        <v>69</v>
      </c>
      <c r="F110" s="20" t="n">
        <v>79</v>
      </c>
      <c r="G110" s="20" t="n">
        <v>5</v>
      </c>
      <c r="H110" s="20" t="n">
        <v>6</v>
      </c>
      <c r="I110" s="20" t="n">
        <v>132</v>
      </c>
      <c r="J110" s="20" t="n">
        <v>4</v>
      </c>
      <c r="K110" s="20" t="n">
        <v>0</v>
      </c>
      <c r="L110" s="20" t="n">
        <v>8</v>
      </c>
      <c r="M110" s="20" t="n">
        <v>66</v>
      </c>
      <c r="T110" s="20" t="n">
        <v>221</v>
      </c>
      <c r="U110" s="20" t="n">
        <v>278</v>
      </c>
      <c r="V110" s="20" t="n">
        <v>69</v>
      </c>
      <c r="W110" s="20" t="n">
        <v>132</v>
      </c>
      <c r="X110" s="20" t="n">
        <v>66</v>
      </c>
    </row>
    <row r="111">
      <c r="A111" s="18" t="inlineStr">
        <is>
          <t>기타</t>
        </is>
      </c>
      <c r="C111" s="20" t="n">
        <v>34</v>
      </c>
      <c r="D111" s="20" t="n">
        <v>43</v>
      </c>
      <c r="E111" s="20" t="n">
        <v>37</v>
      </c>
      <c r="F111" s="20" t="n">
        <v>72</v>
      </c>
      <c r="G111" s="20" t="n">
        <v>28</v>
      </c>
      <c r="H111" s="20" t="n">
        <v>41</v>
      </c>
      <c r="I111" s="20" t="n">
        <v>29</v>
      </c>
      <c r="J111" s="20" t="n">
        <v>48</v>
      </c>
      <c r="K111" s="20" t="n">
        <v>33</v>
      </c>
      <c r="L111" s="20" t="n">
        <v>80</v>
      </c>
      <c r="M111" s="20" t="n">
        <v>46</v>
      </c>
      <c r="N111" s="20" t="n">
        <v>37</v>
      </c>
      <c r="T111" s="20" t="n">
        <v>49</v>
      </c>
      <c r="U111" s="20" t="n">
        <v>47</v>
      </c>
      <c r="V111" s="20" t="n">
        <v>37</v>
      </c>
      <c r="W111" s="20" t="n">
        <v>29</v>
      </c>
      <c r="X111" s="20" t="n">
        <v>46</v>
      </c>
    </row>
    <row r="112">
      <c r="A112" s="18" t="inlineStr">
        <is>
          <t>영업외수익 합계</t>
        </is>
      </c>
      <c r="C112" s="20" t="n">
        <v>45</v>
      </c>
      <c r="D112" s="20" t="n">
        <v>222</v>
      </c>
      <c r="E112" s="20" t="n">
        <v>125</v>
      </c>
      <c r="F112" s="20" t="n">
        <v>379</v>
      </c>
      <c r="G112" s="20" t="n">
        <v>43</v>
      </c>
      <c r="H112" s="20" t="n">
        <v>257</v>
      </c>
      <c r="I112" s="20" t="n">
        <v>314</v>
      </c>
      <c r="J112" s="20" t="n">
        <v>349</v>
      </c>
      <c r="K112" s="20" t="n">
        <v>48</v>
      </c>
      <c r="L112" s="20" t="n">
        <v>382</v>
      </c>
      <c r="M112" s="20" t="n">
        <v>133</v>
      </c>
      <c r="N112" s="20" t="n">
        <v>402</v>
      </c>
      <c r="T112" s="20" t="n">
        <v>276</v>
      </c>
      <c r="U112" s="20" t="n">
        <v>331</v>
      </c>
      <c r="V112" s="20" t="n">
        <v>125</v>
      </c>
      <c r="W112" s="20" t="n">
        <v>314</v>
      </c>
      <c r="X112" s="20" t="n">
        <v>133</v>
      </c>
    </row>
    <row r="113">
      <c r="A113" s="18" t="inlineStr">
        <is>
          <t>이자비용</t>
        </is>
      </c>
      <c r="C113" s="20" t="n">
        <v>82</v>
      </c>
      <c r="D113" s="20" t="n">
        <v>78</v>
      </c>
      <c r="E113" s="20" t="n">
        <v>148</v>
      </c>
      <c r="F113" s="20" t="n">
        <v>91</v>
      </c>
      <c r="G113" s="20" t="n">
        <v>97</v>
      </c>
      <c r="H113" s="20" t="n">
        <v>102</v>
      </c>
      <c r="I113" s="20" t="n">
        <v>194</v>
      </c>
      <c r="J113" s="20" t="n">
        <v>151</v>
      </c>
      <c r="K113" s="20" t="n">
        <v>164</v>
      </c>
      <c r="L113" s="20" t="n">
        <v>202</v>
      </c>
      <c r="M113" s="20" t="n">
        <v>301</v>
      </c>
      <c r="N113" s="20" t="n">
        <v>270</v>
      </c>
      <c r="T113" s="20" t="n">
        <v>87</v>
      </c>
      <c r="U113" s="20" t="n">
        <v>84</v>
      </c>
      <c r="V113" s="20" t="n">
        <v>148</v>
      </c>
      <c r="W113" s="20" t="n">
        <v>194</v>
      </c>
      <c r="X113" s="20" t="n">
        <v>301</v>
      </c>
    </row>
    <row r="114">
      <c r="A114" s="18" t="inlineStr">
        <is>
          <t>기타</t>
        </is>
      </c>
      <c r="C114" s="20" t="n">
        <v>31</v>
      </c>
      <c r="D114" s="20" t="n">
        <v>42</v>
      </c>
      <c r="E114" s="20" t="n">
        <v>24</v>
      </c>
      <c r="F114" s="20" t="n">
        <v>36</v>
      </c>
      <c r="G114" s="20" t="n">
        <v>23</v>
      </c>
      <c r="H114" s="20" t="n">
        <v>33</v>
      </c>
      <c r="I114" s="20" t="n">
        <v>60</v>
      </c>
      <c r="J114" s="20" t="n">
        <v>81</v>
      </c>
      <c r="K114" s="20" t="n">
        <v>32</v>
      </c>
      <c r="L114" s="20" t="n">
        <v>49</v>
      </c>
      <c r="M114" s="20" t="n">
        <v>43</v>
      </c>
      <c r="N114" s="20" t="n">
        <v>26</v>
      </c>
      <c r="T114" s="20" t="n">
        <v>12</v>
      </c>
      <c r="U114" s="20" t="n">
        <v>29</v>
      </c>
      <c r="V114" s="20" t="n">
        <v>24</v>
      </c>
      <c r="W114" s="20" t="n">
        <v>60</v>
      </c>
      <c r="X114" s="20" t="n">
        <v>43</v>
      </c>
    </row>
    <row r="115">
      <c r="A115" s="18" t="inlineStr">
        <is>
          <t>영업외비용 합계</t>
        </is>
      </c>
      <c r="C115" s="20" t="n">
        <v>113</v>
      </c>
      <c r="D115" s="20" t="n">
        <v>121</v>
      </c>
      <c r="E115" s="20" t="n">
        <v>171</v>
      </c>
      <c r="F115" s="20" t="n">
        <v>128</v>
      </c>
      <c r="G115" s="20" t="n">
        <v>119</v>
      </c>
      <c r="H115" s="20" t="n">
        <v>135</v>
      </c>
      <c r="I115" s="20" t="n">
        <v>254</v>
      </c>
      <c r="J115" s="20" t="n">
        <v>233</v>
      </c>
      <c r="K115" s="20" t="n">
        <v>195</v>
      </c>
      <c r="L115" s="20" t="n">
        <v>251</v>
      </c>
      <c r="M115" s="20" t="n">
        <v>344</v>
      </c>
      <c r="N115" s="20" t="n">
        <v>297</v>
      </c>
      <c r="T115" s="20" t="n">
        <v>99</v>
      </c>
      <c r="U115" s="20" t="n">
        <v>113</v>
      </c>
      <c r="V115" s="20" t="n">
        <v>171</v>
      </c>
      <c r="W115" s="20" t="n">
        <v>254</v>
      </c>
      <c r="X115" s="20" t="n">
        <v>344</v>
      </c>
    </row>
    <row r="116">
      <c r="A116" s="9" t="inlineStr">
        <is>
          <t>경상이익</t>
        </is>
      </c>
      <c r="C116" s="12" t="n">
        <v>1996</v>
      </c>
      <c r="D116" s="12" t="n">
        <v>2456</v>
      </c>
      <c r="E116" s="12" t="n">
        <v>1278</v>
      </c>
      <c r="F116" s="12" t="n">
        <v>2963</v>
      </c>
      <c r="G116" s="12" t="n">
        <v>2290</v>
      </c>
      <c r="H116" s="12" t="n">
        <v>2514</v>
      </c>
      <c r="I116" s="12" t="n">
        <v>-22</v>
      </c>
      <c r="J116" s="12" t="n">
        <v>2725</v>
      </c>
      <c r="K116" s="12" t="n">
        <v>1968</v>
      </c>
      <c r="L116" s="12" t="n">
        <v>2329</v>
      </c>
      <c r="M116" s="12" t="n">
        <v>-358</v>
      </c>
      <c r="N116" s="12" t="n">
        <v>3012</v>
      </c>
      <c r="T116" s="12" t="n">
        <v>-332</v>
      </c>
      <c r="U116" s="12" t="n">
        <v>385</v>
      </c>
      <c r="V116" s="12" t="n">
        <v>1278</v>
      </c>
      <c r="W116" s="12" t="n">
        <v>-22</v>
      </c>
      <c r="X116" s="12" t="n">
        <v>-358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고정자산 매각이익</t>
        </is>
      </c>
      <c r="C118" s="20" t="n">
        <v>7</v>
      </c>
      <c r="D118" s="20" t="n">
        <v>17</v>
      </c>
      <c r="E118" s="20" t="n">
        <v>64</v>
      </c>
      <c r="F118" s="20" t="n">
        <v>44</v>
      </c>
      <c r="G118" s="20" t="n">
        <v>9</v>
      </c>
      <c r="H118" s="20" t="n">
        <v>46</v>
      </c>
      <c r="I118" s="20" t="n">
        <v>370</v>
      </c>
      <c r="J118" s="20" t="n">
        <v>20</v>
      </c>
      <c r="K118" s="20" t="n">
        <v>3</v>
      </c>
      <c r="L118" s="20" t="n">
        <v>28</v>
      </c>
      <c r="M118" s="20" t="n">
        <v>26</v>
      </c>
      <c r="N118" s="20" t="n">
        <v>9</v>
      </c>
      <c r="T118" s="20" t="n">
        <v>4</v>
      </c>
      <c r="U118" s="20" t="n">
        <v>109</v>
      </c>
      <c r="V118" s="20" t="n">
        <v>64</v>
      </c>
      <c r="W118" s="20" t="n">
        <v>370</v>
      </c>
      <c r="X118" s="20" t="n">
        <v>26</v>
      </c>
    </row>
    <row r="119">
      <c r="A119" s="18" t="inlineStr">
        <is>
          <t>보조금 수입</t>
        </is>
      </c>
      <c r="C119" s="20" t="n">
        <v>0</v>
      </c>
      <c r="D119" s="20" t="n">
        <v>0</v>
      </c>
      <c r="E119" s="20" t="n">
        <v>24</v>
      </c>
      <c r="F119" s="20" t="n">
        <v>168</v>
      </c>
      <c r="G119" s="20" t="n">
        <v>0</v>
      </c>
      <c r="H119" s="20" t="n">
        <v>1</v>
      </c>
      <c r="I119" s="20" t="n">
        <v>297</v>
      </c>
      <c r="J119" s="20" t="n">
        <v>298</v>
      </c>
      <c r="K119" s="20" t="n">
        <v>0</v>
      </c>
      <c r="L119" s="20" t="n">
        <v>0</v>
      </c>
      <c r="M119" s="20" t="n">
        <v>320</v>
      </c>
      <c r="N119" s="20" t="n">
        <v>10</v>
      </c>
      <c r="T119" s="20" t="n">
        <v>221</v>
      </c>
      <c r="U119" s="20" t="n">
        <v>39</v>
      </c>
      <c r="V119" s="20" t="n">
        <v>24</v>
      </c>
      <c r="W119" s="20" t="n">
        <v>297</v>
      </c>
      <c r="X119" s="20" t="n">
        <v>320</v>
      </c>
    </row>
    <row r="120">
      <c r="A120" s="18" t="inlineStr">
        <is>
          <t>투자유가증권 매각이익</t>
        </is>
      </c>
      <c r="E120" s="20" t="n">
        <v>0</v>
      </c>
      <c r="H120" s="20" t="n">
        <v>157</v>
      </c>
      <c r="I120" s="20" t="n">
        <v>0</v>
      </c>
      <c r="L120" s="20" t="n">
        <v>0</v>
      </c>
      <c r="M120" s="20" t="n">
        <v>0</v>
      </c>
      <c r="V120" s="20" t="n">
        <v>0</v>
      </c>
      <c r="W120" s="20" t="n">
        <v>0</v>
      </c>
      <c r="X120" s="20" t="n">
        <v>0</v>
      </c>
    </row>
    <row r="121">
      <c r="A121" s="18" t="inlineStr">
        <is>
          <t>기타</t>
        </is>
      </c>
      <c r="D121" s="20" t="n">
        <v>-8</v>
      </c>
      <c r="E121" s="20" t="n">
        <v>5</v>
      </c>
      <c r="H121" s="20" t="n">
        <v>0</v>
      </c>
      <c r="I121" s="20" t="n">
        <v>0</v>
      </c>
      <c r="T121" s="20" t="n">
        <v>1</v>
      </c>
      <c r="U121" s="20" t="n">
        <v>28</v>
      </c>
      <c r="V121" s="20" t="n">
        <v>5</v>
      </c>
      <c r="W121" s="20" t="n">
        <v>0</v>
      </c>
    </row>
    <row r="122">
      <c r="A122" s="18" t="inlineStr">
        <is>
          <t>특별이익 합계</t>
        </is>
      </c>
      <c r="C122" s="20" t="n">
        <v>24</v>
      </c>
      <c r="D122" s="20" t="n">
        <v>16</v>
      </c>
      <c r="E122" s="20" t="n">
        <v>92</v>
      </c>
      <c r="F122" s="20" t="n">
        <v>213</v>
      </c>
      <c r="G122" s="20" t="n">
        <v>9</v>
      </c>
      <c r="H122" s="20" t="n">
        <v>203</v>
      </c>
      <c r="I122" s="20" t="n">
        <v>668</v>
      </c>
      <c r="J122" s="20" t="n">
        <v>319</v>
      </c>
      <c r="K122" s="20" t="n">
        <v>57</v>
      </c>
      <c r="L122" s="20" t="n">
        <v>28</v>
      </c>
      <c r="M122" s="20" t="n">
        <v>349</v>
      </c>
      <c r="N122" s="20" t="n">
        <v>19</v>
      </c>
      <c r="T122" s="20" t="n">
        <v>746</v>
      </c>
      <c r="U122" s="20" t="n">
        <v>440</v>
      </c>
      <c r="V122" s="20" t="n">
        <v>92</v>
      </c>
      <c r="W122" s="20" t="n">
        <v>668</v>
      </c>
      <c r="X122" s="20" t="n">
        <v>349</v>
      </c>
    </row>
    <row r="123">
      <c r="A123" s="18" t="inlineStr">
        <is>
          <t>고정자산 제각손실</t>
        </is>
      </c>
      <c r="C123" s="20" t="n">
        <v>87</v>
      </c>
      <c r="D123" s="20" t="n">
        <v>291</v>
      </c>
      <c r="E123" s="20" t="n">
        <v>328</v>
      </c>
      <c r="F123" s="20" t="n">
        <v>17</v>
      </c>
      <c r="G123" s="20" t="n">
        <v>177</v>
      </c>
      <c r="H123" s="20" t="n">
        <v>263</v>
      </c>
      <c r="I123" s="20" t="n">
        <v>385</v>
      </c>
      <c r="J123" s="20" t="n">
        <v>148</v>
      </c>
      <c r="K123" s="20" t="n">
        <v>56</v>
      </c>
      <c r="L123" s="20" t="n">
        <v>277</v>
      </c>
      <c r="M123" s="20" t="n">
        <v>355</v>
      </c>
      <c r="N123" s="20" t="n">
        <v>185</v>
      </c>
      <c r="T123" s="20" t="n">
        <v>259</v>
      </c>
      <c r="U123" s="20" t="n">
        <v>48</v>
      </c>
      <c r="V123" s="20" t="n">
        <v>328</v>
      </c>
      <c r="W123" s="20" t="n">
        <v>385</v>
      </c>
      <c r="X123" s="20" t="n">
        <v>355</v>
      </c>
    </row>
    <row r="124">
      <c r="A124" s="18" t="inlineStr">
        <is>
          <t>고정자산 압축손실</t>
        </is>
      </c>
      <c r="C124" s="20" t="n">
        <v>9</v>
      </c>
      <c r="D124" s="20" t="n">
        <v>0</v>
      </c>
      <c r="E124" s="20" t="n">
        <v>24</v>
      </c>
      <c r="F124" s="20" t="n">
        <v>165</v>
      </c>
      <c r="G124" s="20" t="n">
        <v>0</v>
      </c>
      <c r="H124" s="20" t="n">
        <v>0</v>
      </c>
      <c r="I124" s="20" t="n">
        <v>298</v>
      </c>
      <c r="J124" s="20" t="n">
        <v>284</v>
      </c>
      <c r="K124" s="20" t="n">
        <v>0</v>
      </c>
      <c r="L124" s="20" t="n">
        <v>0</v>
      </c>
      <c r="M124" s="20" t="n">
        <v>317</v>
      </c>
      <c r="N124" s="20" t="n">
        <v>10</v>
      </c>
      <c r="T124" s="20" t="n">
        <v>217</v>
      </c>
      <c r="U124" s="20" t="n">
        <v>40</v>
      </c>
      <c r="V124" s="20" t="n">
        <v>24</v>
      </c>
      <c r="W124" s="20" t="n">
        <v>298</v>
      </c>
      <c r="X124" s="20" t="n">
        <v>317</v>
      </c>
    </row>
    <row r="125">
      <c r="A125" s="18" t="inlineStr">
        <is>
          <t>손상차손</t>
        </is>
      </c>
      <c r="D125" s="20" t="n">
        <v>0</v>
      </c>
      <c r="E125" s="20" t="n">
        <v>1874</v>
      </c>
      <c r="H125" s="20" t="n">
        <v>0</v>
      </c>
      <c r="I125" s="20" t="n">
        <v>504</v>
      </c>
      <c r="T125" s="20" t="n">
        <v>16</v>
      </c>
      <c r="U125" s="20" t="n">
        <v>2066</v>
      </c>
      <c r="V125" s="20" t="n">
        <v>1874</v>
      </c>
      <c r="W125" s="20" t="n">
        <v>504</v>
      </c>
    </row>
    <row r="126">
      <c r="A126" s="18" t="inlineStr">
        <is>
          <t>기타</t>
        </is>
      </c>
      <c r="C126" s="20" t="n">
        <v>7</v>
      </c>
      <c r="D126" s="20" t="n">
        <v>44</v>
      </c>
      <c r="E126" s="20" t="n">
        <v>0</v>
      </c>
      <c r="F126" s="20" t="n">
        <v>10</v>
      </c>
      <c r="G126" s="20" t="n">
        <v>60</v>
      </c>
      <c r="H126" s="20" t="n">
        <v>7</v>
      </c>
      <c r="I126" s="20" t="n">
        <v>-40</v>
      </c>
      <c r="J126" s="20" t="n">
        <v>37</v>
      </c>
      <c r="K126" s="20" t="n">
        <v>9</v>
      </c>
      <c r="L126" s="20" t="n">
        <v>0</v>
      </c>
      <c r="M126" s="20" t="n">
        <v>-44</v>
      </c>
      <c r="N126" s="20" t="n">
        <v>4</v>
      </c>
      <c r="T126" s="20" t="n">
        <v>-4</v>
      </c>
      <c r="U126" s="20" t="n">
        <v>1</v>
      </c>
      <c r="V126" s="20" t="n">
        <v>0</v>
      </c>
      <c r="W126" s="20" t="n">
        <v>-40</v>
      </c>
      <c r="X126" s="20" t="n">
        <v>-44</v>
      </c>
    </row>
    <row r="127">
      <c r="A127" s="18" t="inlineStr">
        <is>
          <t>특별손실 합계</t>
        </is>
      </c>
      <c r="C127" s="20" t="n">
        <v>231</v>
      </c>
      <c r="D127" s="20" t="n">
        <v>335</v>
      </c>
      <c r="E127" s="20" t="n">
        <v>2240</v>
      </c>
      <c r="F127" s="20" t="n">
        <v>193</v>
      </c>
      <c r="G127" s="20" t="n">
        <v>237</v>
      </c>
      <c r="H127" s="20" t="n">
        <v>270</v>
      </c>
      <c r="I127" s="20" t="n">
        <v>1644</v>
      </c>
      <c r="J127" s="20" t="n">
        <v>470</v>
      </c>
      <c r="K127" s="20" t="n">
        <v>65</v>
      </c>
      <c r="L127" s="20" t="n">
        <v>277</v>
      </c>
      <c r="M127" s="20" t="n">
        <v>804</v>
      </c>
      <c r="N127" s="20" t="n">
        <v>200</v>
      </c>
      <c r="T127" s="20" t="n">
        <v>491</v>
      </c>
      <c r="U127" s="20" t="n">
        <v>2174</v>
      </c>
      <c r="V127" s="20" t="n">
        <v>2240</v>
      </c>
      <c r="W127" s="20" t="n">
        <v>1644</v>
      </c>
      <c r="X127" s="20" t="n">
        <v>804</v>
      </c>
    </row>
    <row r="128">
      <c r="A128" s="9" t="inlineStr">
        <is>
          <t>법인세차감전 순이익</t>
        </is>
      </c>
      <c r="C128" s="12" t="n">
        <v>1788</v>
      </c>
      <c r="D128" s="12" t="n">
        <v>2137</v>
      </c>
      <c r="E128" s="12" t="n">
        <v>-870</v>
      </c>
      <c r="F128" s="12" t="n">
        <v>2983</v>
      </c>
      <c r="G128" s="12" t="n">
        <v>2061</v>
      </c>
      <c r="H128" s="12" t="n">
        <v>2448</v>
      </c>
      <c r="I128" s="12" t="n">
        <v>-999</v>
      </c>
      <c r="J128" s="12" t="n">
        <v>2574</v>
      </c>
      <c r="K128" s="12" t="n">
        <v>1961</v>
      </c>
      <c r="L128" s="12" t="n">
        <v>2079</v>
      </c>
      <c r="M128" s="12" t="n">
        <v>-813</v>
      </c>
      <c r="N128" s="12" t="n">
        <v>2831</v>
      </c>
      <c r="T128" s="12" t="n">
        <v>-77</v>
      </c>
      <c r="U128" s="12" t="n">
        <v>-1348</v>
      </c>
      <c r="V128" s="12" t="n">
        <v>-870</v>
      </c>
      <c r="W128" s="12" t="n">
        <v>-999</v>
      </c>
      <c r="X128" s="12" t="n">
        <v>-813</v>
      </c>
    </row>
    <row r="129">
      <c r="A129" s="18" t="inlineStr">
        <is>
          <t>법인세·주민세·사업세</t>
        </is>
      </c>
      <c r="C129" s="20" t="n">
        <v>125</v>
      </c>
      <c r="D129" s="20" t="n">
        <v>288</v>
      </c>
      <c r="E129" s="20" t="n">
        <v>553</v>
      </c>
      <c r="F129" s="20" t="n">
        <v>911</v>
      </c>
      <c r="G129" s="20" t="n">
        <v>64</v>
      </c>
      <c r="H129" s="20" t="n">
        <v>287</v>
      </c>
      <c r="I129" s="20" t="n">
        <v>779</v>
      </c>
      <c r="J129" s="20" t="n">
        <v>866</v>
      </c>
      <c r="K129" s="20" t="n">
        <v>151</v>
      </c>
      <c r="L129" s="20" t="n">
        <v>170</v>
      </c>
      <c r="M129" s="20" t="n">
        <v>229</v>
      </c>
      <c r="N129" s="20" t="n">
        <v>890</v>
      </c>
      <c r="T129" s="20" t="n">
        <v>393</v>
      </c>
      <c r="U129" s="20" t="n">
        <v>512</v>
      </c>
      <c r="V129" s="20" t="n">
        <v>553</v>
      </c>
      <c r="W129" s="20" t="n">
        <v>779</v>
      </c>
      <c r="X129" s="20" t="n">
        <v>229</v>
      </c>
    </row>
    <row r="130">
      <c r="A130" s="18" t="inlineStr">
        <is>
          <t>법인세 조정액</t>
        </is>
      </c>
      <c r="C130" s="20" t="n">
        <v>530</v>
      </c>
      <c r="D130" s="20" t="n">
        <v>413</v>
      </c>
      <c r="E130" s="20" t="n">
        <v>-850</v>
      </c>
      <c r="F130" s="20" t="n">
        <v>-1231</v>
      </c>
      <c r="G130" s="20" t="n">
        <v>401</v>
      </c>
      <c r="H130" s="20" t="n">
        <v>559</v>
      </c>
      <c r="I130" s="20" t="n">
        <v>-902</v>
      </c>
      <c r="J130" s="20" t="n">
        <v>-17</v>
      </c>
      <c r="K130" s="20" t="n">
        <v>481</v>
      </c>
      <c r="L130" s="20" t="n">
        <v>531</v>
      </c>
      <c r="M130" s="20" t="n">
        <v>-901</v>
      </c>
      <c r="N130" s="20" t="n">
        <v>10</v>
      </c>
      <c r="T130" s="20" t="n">
        <v>-358</v>
      </c>
      <c r="U130" s="20" t="n">
        <v>-107</v>
      </c>
      <c r="V130" s="20" t="n">
        <v>-850</v>
      </c>
      <c r="W130" s="20" t="n">
        <v>-902</v>
      </c>
      <c r="X130" s="20" t="n">
        <v>-901</v>
      </c>
    </row>
    <row r="131">
      <c r="A131" s="18" t="inlineStr">
        <is>
          <t>법인세 등 합계</t>
        </is>
      </c>
      <c r="C131" s="20" t="n">
        <v>656</v>
      </c>
      <c r="D131" s="20" t="n">
        <v>700</v>
      </c>
      <c r="E131" s="20" t="n">
        <v>-298</v>
      </c>
      <c r="F131" s="20" t="n">
        <v>-320</v>
      </c>
      <c r="G131" s="20" t="n">
        <v>464</v>
      </c>
      <c r="H131" s="20" t="n">
        <v>846</v>
      </c>
      <c r="I131" s="20" t="n">
        <v>-122</v>
      </c>
      <c r="J131" s="20" t="n">
        <v>849</v>
      </c>
      <c r="K131" s="20" t="n">
        <v>633</v>
      </c>
      <c r="L131" s="20" t="n">
        <v>701</v>
      </c>
      <c r="M131" s="20" t="n">
        <v>-672</v>
      </c>
      <c r="N131" s="20" t="n">
        <v>900</v>
      </c>
      <c r="T131" s="20" t="n">
        <v>34</v>
      </c>
      <c r="U131" s="20" t="n">
        <v>404</v>
      </c>
      <c r="V131" s="20" t="n">
        <v>-298</v>
      </c>
      <c r="W131" s="20" t="n">
        <v>-122</v>
      </c>
      <c r="X131" s="20" t="n">
        <v>-672</v>
      </c>
    </row>
    <row r="132">
      <c r="A132" s="9" t="inlineStr">
        <is>
          <t>순이익</t>
        </is>
      </c>
      <c r="C132" s="12" t="n">
        <v>1133</v>
      </c>
      <c r="D132" s="12" t="n">
        <v>1437</v>
      </c>
      <c r="E132" s="12" t="n">
        <v>-572</v>
      </c>
      <c r="F132" s="12" t="n">
        <v>3303</v>
      </c>
      <c r="G132" s="12" t="n">
        <v>1597</v>
      </c>
      <c r="H132" s="12" t="n">
        <v>1601</v>
      </c>
      <c r="I132" s="12" t="n">
        <v>-876</v>
      </c>
      <c r="J132" s="12" t="n">
        <v>1725</v>
      </c>
      <c r="K132" s="12" t="n">
        <v>1327</v>
      </c>
      <c r="L132" s="12" t="n">
        <v>1379</v>
      </c>
      <c r="M132" s="12" t="n">
        <v>-142</v>
      </c>
      <c r="N132" s="12" t="n">
        <v>1931</v>
      </c>
      <c r="T132" s="12" t="n">
        <v>-110</v>
      </c>
      <c r="U132" s="12" t="n">
        <v>-1752</v>
      </c>
      <c r="V132" s="12" t="n">
        <v>-572</v>
      </c>
      <c r="W132" s="12" t="n">
        <v>-876</v>
      </c>
      <c r="X132" s="12" t="n">
        <v>-142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비지배주주 순이익</t>
        </is>
      </c>
      <c r="C134" s="12" t="n">
        <v>108</v>
      </c>
      <c r="D134" s="12" t="n">
        <v>67</v>
      </c>
      <c r="E134" s="12" t="n">
        <v>100</v>
      </c>
      <c r="F134" s="12" t="n">
        <v>126</v>
      </c>
      <c r="G134" s="12" t="n">
        <v>138</v>
      </c>
      <c r="H134" s="12" t="n">
        <v>147</v>
      </c>
      <c r="I134" s="12" t="n">
        <v>130</v>
      </c>
      <c r="J134" s="12" t="n">
        <v>196</v>
      </c>
      <c r="K134" s="12" t="n">
        <v>155</v>
      </c>
      <c r="L134" s="12" t="n">
        <v>181</v>
      </c>
      <c r="M134" s="12" t="n">
        <v>137</v>
      </c>
      <c r="N134" s="12" t="n">
        <v>225</v>
      </c>
      <c r="T134" s="12" t="n">
        <v>2</v>
      </c>
      <c r="U134" s="12" t="n">
        <v>50</v>
      </c>
      <c r="V134" s="12" t="n">
        <v>100</v>
      </c>
      <c r="W134" s="12" t="n">
        <v>130</v>
      </c>
      <c r="X134" s="12" t="n">
        <v>137</v>
      </c>
    </row>
    <row r="135">
      <c r="A135" s="9" t="inlineStr">
        <is>
          <t>지배주주 순이익</t>
        </is>
      </c>
      <c r="C135" s="12" t="n">
        <v>1025</v>
      </c>
      <c r="D135" s="12" t="n">
        <v>1370</v>
      </c>
      <c r="E135" s="12" t="n">
        <v>-672</v>
      </c>
      <c r="F135" s="12" t="n">
        <v>3177</v>
      </c>
      <c r="G135" s="12" t="n">
        <v>1458</v>
      </c>
      <c r="H135" s="12" t="n">
        <v>1455</v>
      </c>
      <c r="I135" s="12" t="n">
        <v>-1007</v>
      </c>
      <c r="J135" s="12" t="n">
        <v>1528</v>
      </c>
      <c r="K135" s="12" t="n">
        <v>1173</v>
      </c>
      <c r="L135" s="12" t="n">
        <v>1198</v>
      </c>
      <c r="M135" s="12" t="n">
        <v>-280</v>
      </c>
      <c r="N135" s="12" t="n">
        <v>1706</v>
      </c>
      <c r="T135" s="12" t="n">
        <v>-113</v>
      </c>
      <c r="U135" s="12" t="n">
        <v>-1802</v>
      </c>
      <c r="V135" s="12" t="n">
        <v>-672</v>
      </c>
      <c r="W135" s="12" t="n">
        <v>-1007</v>
      </c>
      <c r="X135" s="12" t="n">
        <v>-280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18" t="inlineStr">
        <is>
          <t>Operating Revenue General Passenger Automobile Traffic Rev OA</t>
        </is>
      </c>
      <c r="T137" s="20" t="n">
        <v>10580</v>
      </c>
      <c r="U137" s="20" t="n">
        <v>11781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</row>
    <row r="140">
      <c r="A140" s="16" t="inlineStr">
        <is>
          <t>포괄손익 · 전 항목</t>
        </is>
      </c>
      <c r="B140" s="42" t="inlineStr">
        <is>
          <t>분기 = 3개월 단독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2024.2Q</t>
        </is>
      </c>
      <c r="D141" s="5" t="inlineStr">
        <is>
          <t>2024.3Q</t>
        </is>
      </c>
      <c r="E141" s="5" t="inlineStr">
        <is>
          <t>2024.4Q</t>
        </is>
      </c>
      <c r="F141" s="5" t="inlineStr">
        <is>
          <t>2025.1Q</t>
        </is>
      </c>
      <c r="G141" s="5" t="inlineStr">
        <is>
          <t>2025.2Q</t>
        </is>
      </c>
      <c r="H141" s="5" t="inlineStr">
        <is>
          <t>2025.3Q</t>
        </is>
      </c>
      <c r="I141" s="5" t="inlineStr">
        <is>
          <t>2025.4Q</t>
        </is>
      </c>
      <c r="J141" s="5" t="inlineStr">
        <is>
          <t>2026.1Q</t>
        </is>
      </c>
      <c r="K141" s="5" t="inlineStr">
        <is>
          <t>2026.2Q</t>
        </is>
      </c>
      <c r="L141" s="5" t="inlineStr">
        <is>
          <t>2026.3Q</t>
        </is>
      </c>
      <c r="M141" s="5" t="inlineStr">
        <is>
          <t>2026.4Q</t>
        </is>
      </c>
      <c r="N141" s="5" t="inlineStr">
        <is>
          <t>2027.1Q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순이익</t>
        </is>
      </c>
      <c r="C142" s="12" t="n">
        <v>1133</v>
      </c>
      <c r="D142" s="12" t="n">
        <v>1437</v>
      </c>
      <c r="E142" s="12" t="n">
        <v>-572</v>
      </c>
      <c r="F142" s="12" t="n">
        <v>3303</v>
      </c>
      <c r="G142" s="12" t="n">
        <v>1597</v>
      </c>
      <c r="H142" s="12" t="n">
        <v>1601</v>
      </c>
      <c r="I142" s="12" t="n">
        <v>-876</v>
      </c>
      <c r="J142" s="12" t="n">
        <v>1725</v>
      </c>
      <c r="K142" s="12" t="n">
        <v>1327</v>
      </c>
      <c r="L142" s="12" t="n">
        <v>1379</v>
      </c>
      <c r="M142" s="12" t="n">
        <v>-142</v>
      </c>
      <c r="N142" s="12" t="n">
        <v>1931</v>
      </c>
      <c r="T142" s="12" t="n">
        <v>-110</v>
      </c>
      <c r="U142" s="12" t="n">
        <v>-1752</v>
      </c>
      <c r="V142" s="12" t="n">
        <v>-572</v>
      </c>
      <c r="W142" s="12" t="n">
        <v>-876</v>
      </c>
      <c r="X142" s="12" t="n">
        <v>-142</v>
      </c>
    </row>
    <row r="143">
      <c r="A143" s="18" t="inlineStr">
        <is>
          <t>기타유가증권 평가차액</t>
        </is>
      </c>
      <c r="C143" s="20" t="n">
        <v>1626</v>
      </c>
      <c r="D143" s="20" t="n">
        <v>-489</v>
      </c>
      <c r="E143" s="20" t="n">
        <v>842</v>
      </c>
      <c r="F143" s="20" t="n">
        <v>-825</v>
      </c>
      <c r="G143" s="20" t="n">
        <v>-644</v>
      </c>
      <c r="H143" s="20" t="n">
        <v>106</v>
      </c>
      <c r="I143" s="20" t="n">
        <v>438</v>
      </c>
      <c r="J143" s="20" t="n">
        <v>646</v>
      </c>
      <c r="K143" s="20" t="n">
        <v>1159</v>
      </c>
      <c r="L143" s="20" t="n">
        <v>1171</v>
      </c>
      <c r="M143" s="20" t="n">
        <v>168</v>
      </c>
      <c r="N143" s="20" t="n">
        <v>2109</v>
      </c>
      <c r="T143" s="20" t="n">
        <v>-470</v>
      </c>
      <c r="U143" s="20" t="n">
        <v>-329</v>
      </c>
      <c r="V143" s="20" t="n">
        <v>842</v>
      </c>
      <c r="W143" s="20" t="n">
        <v>438</v>
      </c>
      <c r="X143" s="20" t="n">
        <v>168</v>
      </c>
    </row>
    <row r="144">
      <c r="A144" s="18" t="inlineStr">
        <is>
          <t>이연헤지손익</t>
        </is>
      </c>
      <c r="C144" s="20" t="n">
        <v>0</v>
      </c>
      <c r="D144" s="20" t="n">
        <v>0</v>
      </c>
      <c r="E144" s="20" t="n">
        <v>0</v>
      </c>
      <c r="T144" s="20" t="n">
        <v>142</v>
      </c>
      <c r="U144" s="20" t="n">
        <v>-56</v>
      </c>
      <c r="V144" s="20" t="n">
        <v>0</v>
      </c>
    </row>
    <row r="145">
      <c r="A145" s="18" t="inlineStr">
        <is>
          <t>퇴직급여 조정액</t>
        </is>
      </c>
      <c r="C145" s="20" t="n">
        <v>-3</v>
      </c>
      <c r="D145" s="20" t="n">
        <v>-3</v>
      </c>
      <c r="E145" s="20" t="n">
        <v>-12</v>
      </c>
      <c r="F145" s="20" t="n">
        <v>5</v>
      </c>
      <c r="G145" s="20" t="n">
        <v>-4</v>
      </c>
      <c r="H145" s="20" t="n">
        <v>-4</v>
      </c>
      <c r="I145" s="20" t="n">
        <v>-15</v>
      </c>
      <c r="J145" s="20" t="n">
        <v>-3</v>
      </c>
      <c r="K145" s="20" t="n">
        <v>-4</v>
      </c>
      <c r="L145" s="20" t="n">
        <v>-3</v>
      </c>
      <c r="M145" s="20" t="n">
        <v>137</v>
      </c>
      <c r="N145" s="20" t="n">
        <v>-9</v>
      </c>
      <c r="T145" s="20" t="n">
        <v>24</v>
      </c>
      <c r="U145" s="20" t="n">
        <v>-3</v>
      </c>
      <c r="V145" s="20" t="n">
        <v>-12</v>
      </c>
      <c r="W145" s="20" t="n">
        <v>-15</v>
      </c>
      <c r="X145" s="20" t="n">
        <v>137</v>
      </c>
    </row>
    <row r="146">
      <c r="A146" s="18" t="inlineStr">
        <is>
          <t>기타포괄손익 합계</t>
        </is>
      </c>
      <c r="C146" s="20" t="n">
        <v>1624</v>
      </c>
      <c r="D146" s="20" t="n">
        <v>-492</v>
      </c>
      <c r="E146" s="20" t="n">
        <v>829</v>
      </c>
      <c r="F146" s="20" t="n">
        <v>-819</v>
      </c>
      <c r="G146" s="20" t="n">
        <v>-648</v>
      </c>
      <c r="H146" s="20" t="n">
        <v>101</v>
      </c>
      <c r="I146" s="20" t="n">
        <v>422</v>
      </c>
      <c r="J146" s="20" t="n">
        <v>642</v>
      </c>
      <c r="K146" s="20" t="n">
        <v>1156</v>
      </c>
      <c r="L146" s="20" t="n">
        <v>1167</v>
      </c>
      <c r="M146" s="20" t="n">
        <v>306</v>
      </c>
      <c r="N146" s="20" t="n">
        <v>2100</v>
      </c>
      <c r="T146" s="20" t="n">
        <v>-304</v>
      </c>
      <c r="U146" s="20" t="n">
        <v>-389</v>
      </c>
      <c r="V146" s="20" t="n">
        <v>829</v>
      </c>
      <c r="W146" s="20" t="n">
        <v>422</v>
      </c>
      <c r="X146" s="20" t="n">
        <v>306</v>
      </c>
    </row>
    <row r="147">
      <c r="A147" s="9" t="inlineStr">
        <is>
          <t>포괄이익</t>
        </is>
      </c>
      <c r="C147" s="12" t="n">
        <v>2757</v>
      </c>
      <c r="D147" s="12" t="n">
        <v>946</v>
      </c>
      <c r="E147" s="12" t="n">
        <v>256</v>
      </c>
      <c r="F147" s="12" t="n">
        <v>2484</v>
      </c>
      <c r="G147" s="12" t="n">
        <v>948</v>
      </c>
      <c r="H147" s="12" t="n">
        <v>1703</v>
      </c>
      <c r="I147" s="12" t="n">
        <v>-454</v>
      </c>
      <c r="J147" s="12" t="n">
        <v>2367</v>
      </c>
      <c r="K147" s="12" t="n">
        <v>2484</v>
      </c>
      <c r="L147" s="12" t="n">
        <v>2546</v>
      </c>
      <c r="M147" s="12" t="n">
        <v>164</v>
      </c>
      <c r="N147" s="12" t="n">
        <v>4031</v>
      </c>
      <c r="T147" s="12" t="n">
        <v>-415</v>
      </c>
      <c r="U147" s="12" t="n">
        <v>-2141</v>
      </c>
      <c r="V147" s="12" t="n">
        <v>256</v>
      </c>
      <c r="W147" s="12" t="n">
        <v>-454</v>
      </c>
      <c r="X147" s="12" t="n">
        <v>164</v>
      </c>
    </row>
    <row r="148">
      <c r="A148" s="9" t="inlineStr">
        <is>
          <t>지배주주 포괄이익</t>
        </is>
      </c>
      <c r="C148" s="12" t="n">
        <v>2645</v>
      </c>
      <c r="D148" s="12" t="n">
        <v>875</v>
      </c>
      <c r="E148" s="12" t="n">
        <v>121</v>
      </c>
      <c r="F148" s="12" t="n">
        <v>2302</v>
      </c>
      <c r="G148" s="12" t="n">
        <v>820</v>
      </c>
      <c r="H148" s="12" t="n">
        <v>1560</v>
      </c>
      <c r="I148" s="12" t="n">
        <v>-576</v>
      </c>
      <c r="J148" s="12" t="n">
        <v>2150</v>
      </c>
      <c r="K148" s="12" t="n">
        <v>2312</v>
      </c>
      <c r="L148" s="12" t="n">
        <v>2324</v>
      </c>
      <c r="M148" s="12" t="n">
        <v>-22</v>
      </c>
      <c r="N148" s="12" t="n">
        <v>3813</v>
      </c>
      <c r="T148" s="12" t="n">
        <v>-424</v>
      </c>
      <c r="U148" s="12" t="n">
        <v>-2192</v>
      </c>
      <c r="V148" s="12" t="n">
        <v>121</v>
      </c>
      <c r="W148" s="12" t="n">
        <v>-576</v>
      </c>
      <c r="X148" s="12" t="n">
        <v>-22</v>
      </c>
    </row>
    <row r="149">
      <c r="A149" s="9" t="inlineStr">
        <is>
          <t>비지배주주 포괄이익</t>
        </is>
      </c>
      <c r="C149" s="12" t="n">
        <v>111</v>
      </c>
      <c r="D149" s="12" t="n">
        <v>72</v>
      </c>
      <c r="E149" s="12" t="n">
        <v>135</v>
      </c>
      <c r="F149" s="12" t="n">
        <v>181</v>
      </c>
      <c r="G149" s="12" t="n">
        <v>128</v>
      </c>
      <c r="H149" s="12" t="n">
        <v>143</v>
      </c>
      <c r="I149" s="12" t="n">
        <v>123</v>
      </c>
      <c r="J149" s="12" t="n">
        <v>217</v>
      </c>
      <c r="K149" s="12" t="n">
        <v>172</v>
      </c>
      <c r="L149" s="12" t="n">
        <v>221</v>
      </c>
      <c r="M149" s="12" t="n">
        <v>186</v>
      </c>
      <c r="N149" s="12" t="n">
        <v>218</v>
      </c>
      <c r="T149" s="12" t="n">
        <v>10</v>
      </c>
      <c r="U149" s="12" t="n">
        <v>51</v>
      </c>
      <c r="V149" s="12" t="n">
        <v>135</v>
      </c>
      <c r="W149" s="12" t="n">
        <v>123</v>
      </c>
      <c r="X149" s="12" t="n">
        <v>186</v>
      </c>
    </row>
    <row r="151">
      <c r="A151" s="16" t="inlineStr">
        <is>
          <t>부문 · 전 항목</t>
        </is>
      </c>
      <c r="B151" s="42" t="inlineStr">
        <is>
          <t>부문 · 항목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2024.2Q</t>
        </is>
      </c>
      <c r="D152" s="5" t="inlineStr">
        <is>
          <t>2024.3Q</t>
        </is>
      </c>
      <c r="E152" s="5" t="inlineStr">
        <is>
          <t>2024.4Q</t>
        </is>
      </c>
      <c r="F152" s="5" t="inlineStr">
        <is>
          <t>2025.1Q</t>
        </is>
      </c>
      <c r="G152" s="5" t="inlineStr">
        <is>
          <t>2025.2Q</t>
        </is>
      </c>
      <c r="H152" s="5" t="inlineStr">
        <is>
          <t>2025.3Q</t>
        </is>
      </c>
      <c r="I152" s="5" t="inlineStr">
        <is>
          <t>2025.4Q</t>
        </is>
      </c>
      <c r="J152" s="5" t="inlineStr">
        <is>
          <t>2026.1Q</t>
        </is>
      </c>
      <c r="K152" s="5" t="inlineStr">
        <is>
          <t>2026.2Q</t>
        </is>
      </c>
      <c r="L152" s="5" t="inlineStr">
        <is>
          <t>2026.3Q</t>
        </is>
      </c>
      <c r="M152" s="5" t="inlineStr">
        <is>
          <t>2026.4Q</t>
        </is>
      </c>
      <c r="N152" s="5" t="inlineStr">
        <is>
          <t>2027.1Q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18" t="inlineStr">
        <is>
          <t>PassengerAutomobileReportableSegmentsMember · 외부 고객 매출</t>
        </is>
      </c>
      <c r="C153" s="20" t="n">
        <v>14039</v>
      </c>
      <c r="D153" s="20" t="n">
        <v>14111</v>
      </c>
      <c r="E153" s="20" t="n">
        <v>13455</v>
      </c>
      <c r="F153" s="20" t="n">
        <v>14674</v>
      </c>
      <c r="G153" s="20" t="n">
        <v>14503</v>
      </c>
      <c r="H153" s="20" t="n">
        <v>14600</v>
      </c>
      <c r="I153" s="20" t="n">
        <v>13245</v>
      </c>
      <c r="J153" s="20" t="n">
        <v>14745</v>
      </c>
      <c r="K153" s="20" t="n">
        <v>14704</v>
      </c>
      <c r="L153" s="20" t="n">
        <v>14590</v>
      </c>
      <c r="M153" s="20" t="n">
        <v>13675</v>
      </c>
      <c r="N153" s="20" t="n">
        <v>15502</v>
      </c>
      <c r="V153" s="20" t="n">
        <v>13455</v>
      </c>
      <c r="W153" s="20" t="n">
        <v>13245</v>
      </c>
      <c r="X153" s="20" t="n">
        <v>13675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RealEstateReportableSegmentsMember · 외부 고객 매출</t>
        </is>
      </c>
      <c r="C155" s="20" t="n">
        <v>1487</v>
      </c>
      <c r="D155" s="20" t="n">
        <v>1648</v>
      </c>
      <c r="E155" s="20" t="n">
        <v>1642</v>
      </c>
      <c r="F155" s="20" t="n">
        <v>1564</v>
      </c>
      <c r="G155" s="20" t="n">
        <v>1665</v>
      </c>
      <c r="H155" s="20" t="n">
        <v>1473</v>
      </c>
      <c r="I155" s="20" t="n">
        <v>1941</v>
      </c>
      <c r="J155" s="20" t="n">
        <v>1835</v>
      </c>
      <c r="K155" s="20" t="n">
        <v>1622</v>
      </c>
      <c r="L155" s="20" t="n">
        <v>1521</v>
      </c>
      <c r="M155" s="20" t="n">
        <v>1755</v>
      </c>
      <c r="N155" s="20" t="n">
        <v>1625</v>
      </c>
      <c r="V155" s="20" t="n">
        <v>1642</v>
      </c>
      <c r="W155" s="20" t="n">
        <v>1941</v>
      </c>
      <c r="X155" s="20" t="n">
        <v>1755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AutomobileSalesReportableSegmentsMember · 외부 고객 매출</t>
        </is>
      </c>
      <c r="C157" s="20" t="n">
        <v>8610</v>
      </c>
      <c r="D157" s="20" t="n">
        <v>9126</v>
      </c>
      <c r="E157" s="20" t="n">
        <v>9385</v>
      </c>
      <c r="F157" s="20" t="n">
        <v>8360</v>
      </c>
      <c r="G157" s="20" t="n">
        <v>8621</v>
      </c>
      <c r="H157" s="20" t="n">
        <v>8608</v>
      </c>
      <c r="I157" s="20" t="n">
        <v>8549</v>
      </c>
      <c r="J157" s="20" t="n">
        <v>9757</v>
      </c>
      <c r="K157" s="20" t="n">
        <v>9963</v>
      </c>
      <c r="L157" s="20" t="n">
        <v>11055</v>
      </c>
      <c r="M157" s="20" t="n">
        <v>9501</v>
      </c>
      <c r="N157" s="20" t="n">
        <v>9621</v>
      </c>
      <c r="V157" s="20" t="n">
        <v>9385</v>
      </c>
      <c r="W157" s="20" t="n">
        <v>8549</v>
      </c>
      <c r="X157" s="20" t="n">
        <v>9501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기타 · 외부 고객 매출</t>
        </is>
      </c>
      <c r="C159" s="20" t="n">
        <v>5281</v>
      </c>
      <c r="D159" s="20" t="n">
        <v>5443</v>
      </c>
      <c r="E159" s="20" t="n">
        <v>5372</v>
      </c>
      <c r="F159" s="20" t="n">
        <v>4772</v>
      </c>
      <c r="G159" s="20" t="n">
        <v>5111</v>
      </c>
      <c r="H159" s="20" t="n">
        <v>5143</v>
      </c>
      <c r="I159" s="20" t="n">
        <v>5319</v>
      </c>
      <c r="J159" s="20" t="n">
        <v>5162</v>
      </c>
      <c r="K159" s="20" t="n">
        <v>5607</v>
      </c>
      <c r="L159" s="20" t="n">
        <v>5565</v>
      </c>
      <c r="M159" s="20" t="n">
        <v>5715</v>
      </c>
      <c r="N159" s="20" t="n">
        <v>5397</v>
      </c>
      <c r="V159" s="20" t="n">
        <v>5372</v>
      </c>
      <c r="W159" s="20" t="n">
        <v>5319</v>
      </c>
      <c r="X159" s="20" t="n">
        <v>5715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합계 · 외부 고객 매출</t>
        </is>
      </c>
      <c r="C161" s="20" t="n">
        <v>29417</v>
      </c>
      <c r="D161" s="20" t="n">
        <v>30328</v>
      </c>
      <c r="E161" s="20" t="n">
        <v>29854</v>
      </c>
      <c r="F161" s="20" t="n">
        <v>29371</v>
      </c>
      <c r="G161" s="20" t="n">
        <v>29900</v>
      </c>
      <c r="H161" s="20" t="n">
        <v>29823</v>
      </c>
      <c r="I161" s="20" t="n">
        <v>29055</v>
      </c>
      <c r="J161" s="20" t="n">
        <v>31500</v>
      </c>
      <c r="K161" s="20" t="n">
        <v>31896</v>
      </c>
      <c r="L161" s="20" t="n">
        <v>32732</v>
      </c>
      <c r="M161" s="20" t="n">
        <v>30645</v>
      </c>
      <c r="N161" s="20" t="n">
        <v>32145</v>
      </c>
      <c r="V161" s="20" t="n">
        <v>29854</v>
      </c>
      <c r="W161" s="20" t="n">
        <v>29055</v>
      </c>
      <c r="X161" s="20" t="n">
        <v>30645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조정액 · 외부 고객 매출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9" t="inlineStr">
        <is>
          <t>외부 고객 매출</t>
        </is>
      </c>
      <c r="C164" s="12" t="n">
        <v>29417</v>
      </c>
      <c r="D164" s="12" t="n">
        <v>30328</v>
      </c>
      <c r="E164" s="12" t="n">
        <v>29854</v>
      </c>
      <c r="F164" s="12" t="n">
        <v>29371</v>
      </c>
      <c r="G164" s="12" t="n">
        <v>29900</v>
      </c>
      <c r="H164" s="12" t="n">
        <v>29823</v>
      </c>
      <c r="I164" s="12" t="n">
        <v>29055</v>
      </c>
      <c r="V164" s="12" t="n">
        <v>29854</v>
      </c>
      <c r="W164" s="12" t="n">
        <v>29055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</row>
    <row r="166">
      <c r="A166" s="18" t="inlineStr">
        <is>
          <t>EntityTotalMember · 외부 고객 매출</t>
        </is>
      </c>
      <c r="F166" s="20" t="n">
        <v>29371</v>
      </c>
      <c r="J166" s="20" t="n">
        <v>31500</v>
      </c>
      <c r="N166" s="20" t="n">
        <v>32145</v>
      </c>
    </row>
    <row r="167">
      <c r="A167" s="18" t="inlineStr">
        <is>
          <t>PassengerAutomobileReportableSegmentsMember · 부문 간 내부매출·대체</t>
        </is>
      </c>
      <c r="C167" s="20" t="n">
        <v>49</v>
      </c>
      <c r="D167" s="20" t="n">
        <v>50</v>
      </c>
      <c r="E167" s="20" t="n">
        <v>50</v>
      </c>
      <c r="F167" s="20" t="n">
        <v>49</v>
      </c>
      <c r="G167" s="20" t="n">
        <v>50</v>
      </c>
      <c r="H167" s="20" t="n">
        <v>50</v>
      </c>
      <c r="I167" s="20" t="n">
        <v>48</v>
      </c>
      <c r="J167" s="20" t="n">
        <v>48</v>
      </c>
      <c r="K167" s="20" t="n">
        <v>48</v>
      </c>
      <c r="L167" s="20" t="n">
        <v>53</v>
      </c>
      <c r="M167" s="20" t="n">
        <v>45</v>
      </c>
      <c r="N167" s="20" t="n">
        <v>48</v>
      </c>
      <c r="V167" s="20" t="n">
        <v>50</v>
      </c>
      <c r="W167" s="20" t="n">
        <v>48</v>
      </c>
      <c r="X167" s="20" t="n">
        <v>45</v>
      </c>
    </row>
    <row r="168">
      <c r="A168" s="18" t="inlineStr">
        <is>
          <t>RealEstateReportableSegmentsMember · 부문 간 내부매출·대체</t>
        </is>
      </c>
      <c r="C168" s="20" t="n">
        <v>1</v>
      </c>
      <c r="D168" s="20" t="n">
        <v>2</v>
      </c>
      <c r="E168" s="20" t="n">
        <v>6</v>
      </c>
      <c r="F168" s="20" t="n">
        <v>3</v>
      </c>
      <c r="G168" s="20" t="n">
        <v>3</v>
      </c>
      <c r="H168" s="20" t="n">
        <v>6</v>
      </c>
      <c r="I168" s="20" t="n">
        <v>67</v>
      </c>
      <c r="J168" s="20" t="n">
        <v>1</v>
      </c>
      <c r="K168" s="20" t="n">
        <v>58</v>
      </c>
      <c r="L168" s="20" t="n">
        <v>-2</v>
      </c>
      <c r="M168" s="20" t="n">
        <v>52</v>
      </c>
      <c r="N168" s="20" t="n">
        <v>4</v>
      </c>
      <c r="V168" s="20" t="n">
        <v>6</v>
      </c>
      <c r="W168" s="20" t="n">
        <v>67</v>
      </c>
      <c r="X168" s="20" t="n">
        <v>52</v>
      </c>
    </row>
    <row r="169">
      <c r="A169" s="18" t="inlineStr">
        <is>
          <t>AutomobileSalesReportableSegmentsMember · 부문 간 내부매출·대체</t>
        </is>
      </c>
      <c r="C169" s="20" t="n">
        <v>183</v>
      </c>
      <c r="D169" s="20" t="n">
        <v>584</v>
      </c>
      <c r="E169" s="20" t="n">
        <v>1338</v>
      </c>
      <c r="F169" s="20" t="n">
        <v>179</v>
      </c>
      <c r="G169" s="20" t="n">
        <v>200</v>
      </c>
      <c r="H169" s="20" t="n">
        <v>1756</v>
      </c>
      <c r="I169" s="20" t="n">
        <v>2312</v>
      </c>
      <c r="J169" s="20" t="n">
        <v>189</v>
      </c>
      <c r="K169" s="20" t="n">
        <v>192</v>
      </c>
      <c r="L169" s="20" t="n">
        <v>2019</v>
      </c>
      <c r="M169" s="20" t="n">
        <v>2231</v>
      </c>
      <c r="N169" s="20" t="n">
        <v>219</v>
      </c>
      <c r="V169" s="20" t="n">
        <v>1338</v>
      </c>
      <c r="W169" s="20" t="n">
        <v>2312</v>
      </c>
      <c r="X169" s="20" t="n">
        <v>2231</v>
      </c>
    </row>
    <row r="170">
      <c r="A170" s="18" t="inlineStr">
        <is>
          <t>기타 · 부문 간 내부매출·대체</t>
        </is>
      </c>
      <c r="C170" s="20" t="n">
        <v>2273</v>
      </c>
      <c r="D170" s="20" t="n">
        <v>1993</v>
      </c>
      <c r="E170" s="20" t="n">
        <v>2314</v>
      </c>
      <c r="F170" s="20" t="n">
        <v>2432</v>
      </c>
      <c r="G170" s="20" t="n">
        <v>2867</v>
      </c>
      <c r="H170" s="20" t="n">
        <v>2648</v>
      </c>
      <c r="I170" s="20" t="n">
        <v>2495</v>
      </c>
      <c r="J170" s="20" t="n">
        <v>1919</v>
      </c>
      <c r="K170" s="20" t="n">
        <v>2006</v>
      </c>
      <c r="L170" s="20" t="n">
        <v>1872</v>
      </c>
      <c r="M170" s="20" t="n">
        <v>2275</v>
      </c>
      <c r="N170" s="20" t="n">
        <v>2079</v>
      </c>
      <c r="V170" s="20" t="n">
        <v>2314</v>
      </c>
      <c r="W170" s="20" t="n">
        <v>2495</v>
      </c>
      <c r="X170" s="20" t="n">
        <v>2275</v>
      </c>
    </row>
    <row r="171">
      <c r="A171" s="18" t="inlineStr">
        <is>
          <t>합계 · 부문 간 내부매출·대체</t>
        </is>
      </c>
      <c r="C171" s="20" t="n">
        <v>2507</v>
      </c>
      <c r="D171" s="20" t="n">
        <v>2628</v>
      </c>
      <c r="E171" s="20" t="n">
        <v>3708</v>
      </c>
      <c r="F171" s="20" t="n">
        <v>2664</v>
      </c>
      <c r="G171" s="20" t="n">
        <v>3120</v>
      </c>
      <c r="H171" s="20" t="n">
        <v>4461</v>
      </c>
      <c r="I171" s="20" t="n">
        <v>4923</v>
      </c>
      <c r="J171" s="20" t="n">
        <v>2158</v>
      </c>
      <c r="K171" s="20" t="n">
        <v>2304</v>
      </c>
      <c r="L171" s="20" t="n">
        <v>3943</v>
      </c>
      <c r="M171" s="20" t="n">
        <v>4601</v>
      </c>
      <c r="N171" s="20" t="n">
        <v>2352</v>
      </c>
      <c r="V171" s="20" t="n">
        <v>3708</v>
      </c>
      <c r="W171" s="20" t="n">
        <v>4923</v>
      </c>
      <c r="X171" s="20" t="n">
        <v>4601</v>
      </c>
    </row>
    <row r="172">
      <c r="A172" s="18" t="inlineStr">
        <is>
          <t>조정액 · 부문 간 내부매출·대체</t>
        </is>
      </c>
      <c r="C172" s="20" t="n">
        <v>-2507</v>
      </c>
      <c r="D172" s="20" t="n">
        <v>-2628</v>
      </c>
      <c r="E172" s="20" t="n">
        <v>-3708</v>
      </c>
      <c r="F172" s="20" t="n">
        <v>-2664</v>
      </c>
      <c r="G172" s="20" t="n">
        <v>-3120</v>
      </c>
      <c r="H172" s="20" t="n">
        <v>-4461</v>
      </c>
      <c r="I172" s="20" t="n">
        <v>-4923</v>
      </c>
      <c r="J172" s="20" t="n">
        <v>-2158</v>
      </c>
      <c r="K172" s="20" t="n">
        <v>-2304</v>
      </c>
      <c r="L172" s="20" t="n">
        <v>-3943</v>
      </c>
      <c r="M172" s="20" t="n">
        <v>-4601</v>
      </c>
      <c r="N172" s="20" t="n">
        <v>-2352</v>
      </c>
      <c r="V172" s="20" t="n">
        <v>-3708</v>
      </c>
      <c r="W172" s="20" t="n">
        <v>-4923</v>
      </c>
      <c r="X172" s="20" t="n">
        <v>-4601</v>
      </c>
    </row>
    <row r="173">
      <c r="A173" s="18" t="inlineStr">
        <is>
          <t>부문 간 내부매출·대체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V173" s="20" t="n">
        <v>0</v>
      </c>
      <c r="W173" s="20" t="n">
        <v>0</v>
      </c>
    </row>
    <row r="174">
      <c r="A174" s="18" t="inlineStr">
        <is>
          <t>EntityTotalMember · 부문 간 내부매출·대체</t>
        </is>
      </c>
      <c r="F174" s="20" t="n">
        <v>0</v>
      </c>
      <c r="J174" s="20" t="n">
        <v>0</v>
      </c>
      <c r="N174" s="20" t="n">
        <v>0</v>
      </c>
    </row>
    <row r="175">
      <c r="A175" s="18" t="inlineStr">
        <is>
          <t>PassengerAutomobileReportableSegmentsMember · 계</t>
        </is>
      </c>
      <c r="C175" s="20" t="n">
        <v>14089</v>
      </c>
      <c r="D175" s="20" t="n">
        <v>14160</v>
      </c>
      <c r="E175" s="20" t="n">
        <v>13505</v>
      </c>
      <c r="F175" s="20" t="n">
        <v>14723</v>
      </c>
      <c r="G175" s="20" t="n">
        <v>14553</v>
      </c>
      <c r="H175" s="20" t="n">
        <v>14651</v>
      </c>
      <c r="I175" s="20" t="n">
        <v>13292</v>
      </c>
      <c r="J175" s="20" t="n">
        <v>14793</v>
      </c>
      <c r="K175" s="20" t="n">
        <v>14752</v>
      </c>
      <c r="L175" s="20" t="n">
        <v>14644</v>
      </c>
      <c r="M175" s="20" t="n">
        <v>13719</v>
      </c>
      <c r="N175" s="20" t="n">
        <v>15550</v>
      </c>
      <c r="V175" s="20" t="n">
        <v>13505</v>
      </c>
      <c r="W175" s="20" t="n">
        <v>13292</v>
      </c>
      <c r="X175" s="20" t="n">
        <v>13719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RealEstateReportableSegmentsMember · 계</t>
        </is>
      </c>
      <c r="C177" s="20" t="n">
        <v>1488</v>
      </c>
      <c r="D177" s="20" t="n">
        <v>1649</v>
      </c>
      <c r="E177" s="20" t="n">
        <v>1648</v>
      </c>
      <c r="F177" s="20" t="n">
        <v>1568</v>
      </c>
      <c r="G177" s="20" t="n">
        <v>1667</v>
      </c>
      <c r="H177" s="20" t="n">
        <v>1479</v>
      </c>
      <c r="I177" s="20" t="n">
        <v>2009</v>
      </c>
      <c r="J177" s="20" t="n">
        <v>1837</v>
      </c>
      <c r="K177" s="20" t="n">
        <v>1679</v>
      </c>
      <c r="L177" s="20" t="n">
        <v>1520</v>
      </c>
      <c r="M177" s="20" t="n">
        <v>1806</v>
      </c>
      <c r="N177" s="20" t="n">
        <v>1629</v>
      </c>
      <c r="V177" s="20" t="n">
        <v>1648</v>
      </c>
      <c r="W177" s="20" t="n">
        <v>2009</v>
      </c>
      <c r="X177" s="20" t="n">
        <v>1806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AutomobileSalesReportableSegmentsMember · 계</t>
        </is>
      </c>
      <c r="C179" s="20" t="n">
        <v>8792</v>
      </c>
      <c r="D179" s="20" t="n">
        <v>9711</v>
      </c>
      <c r="E179" s="20" t="n">
        <v>10723</v>
      </c>
      <c r="F179" s="20" t="n">
        <v>8539</v>
      </c>
      <c r="G179" s="20" t="n">
        <v>8821</v>
      </c>
      <c r="H179" s="20" t="n">
        <v>10364</v>
      </c>
      <c r="I179" s="20" t="n">
        <v>10862</v>
      </c>
      <c r="J179" s="20" t="n">
        <v>9947</v>
      </c>
      <c r="K179" s="20" t="n">
        <v>10155</v>
      </c>
      <c r="L179" s="20" t="n">
        <v>13074</v>
      </c>
      <c r="M179" s="20" t="n">
        <v>11731</v>
      </c>
      <c r="N179" s="20" t="n">
        <v>9840</v>
      </c>
      <c r="V179" s="20" t="n">
        <v>10723</v>
      </c>
      <c r="W179" s="20" t="n">
        <v>10862</v>
      </c>
      <c r="X179" s="20" t="n">
        <v>11731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기타 · 계</t>
        </is>
      </c>
      <c r="C181" s="20" t="n">
        <v>7554</v>
      </c>
      <c r="D181" s="20" t="n">
        <v>7436</v>
      </c>
      <c r="E181" s="20" t="n">
        <v>7686</v>
      </c>
      <c r="F181" s="20" t="n">
        <v>7204</v>
      </c>
      <c r="G181" s="20" t="n">
        <v>7979</v>
      </c>
      <c r="H181" s="20" t="n">
        <v>7790</v>
      </c>
      <c r="I181" s="20" t="n">
        <v>7815</v>
      </c>
      <c r="J181" s="20" t="n">
        <v>7081</v>
      </c>
      <c r="K181" s="20" t="n">
        <v>7614</v>
      </c>
      <c r="L181" s="20" t="n">
        <v>7437</v>
      </c>
      <c r="M181" s="20" t="n">
        <v>7989</v>
      </c>
      <c r="N181" s="20" t="n">
        <v>7476</v>
      </c>
      <c r="V181" s="20" t="n">
        <v>7686</v>
      </c>
      <c r="W181" s="20" t="n">
        <v>7815</v>
      </c>
      <c r="X181" s="20" t="n">
        <v>7989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합계 · 계</t>
        </is>
      </c>
      <c r="C183" s="20" t="n">
        <v>31924</v>
      </c>
      <c r="D183" s="20" t="n">
        <v>32957</v>
      </c>
      <c r="E183" s="20" t="n">
        <v>33561</v>
      </c>
      <c r="F183" s="20" t="n">
        <v>32036</v>
      </c>
      <c r="G183" s="20" t="n">
        <v>33019</v>
      </c>
      <c r="H183" s="20" t="n">
        <v>34285</v>
      </c>
      <c r="I183" s="20" t="n">
        <v>33978</v>
      </c>
      <c r="J183" s="20" t="n">
        <v>33659</v>
      </c>
      <c r="K183" s="20" t="n">
        <v>34200</v>
      </c>
      <c r="L183" s="20" t="n">
        <v>36675</v>
      </c>
      <c r="M183" s="20" t="n">
        <v>35246</v>
      </c>
      <c r="N183" s="20" t="n">
        <v>34497</v>
      </c>
      <c r="V183" s="20" t="n">
        <v>33561</v>
      </c>
      <c r="W183" s="20" t="n">
        <v>33978</v>
      </c>
      <c r="X183" s="20" t="n">
        <v>35246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조정액 · 계</t>
        </is>
      </c>
      <c r="C185" s="20" t="n">
        <v>-2507</v>
      </c>
      <c r="D185" s="20" t="n">
        <v>-2628</v>
      </c>
      <c r="E185" s="20" t="n">
        <v>-3708</v>
      </c>
      <c r="F185" s="20" t="n">
        <v>-2664</v>
      </c>
      <c r="G185" s="20" t="n">
        <v>-3120</v>
      </c>
      <c r="H185" s="20" t="n">
        <v>-4461</v>
      </c>
      <c r="I185" s="20" t="n">
        <v>-4923</v>
      </c>
      <c r="J185" s="20" t="n">
        <v>-2158</v>
      </c>
      <c r="K185" s="20" t="n">
        <v>-2304</v>
      </c>
      <c r="L185" s="20" t="n">
        <v>-3943</v>
      </c>
      <c r="M185" s="20" t="n">
        <v>-4601</v>
      </c>
      <c r="N185" s="20" t="n">
        <v>-2352</v>
      </c>
      <c r="V185" s="20" t="n">
        <v>-3708</v>
      </c>
      <c r="W185" s="20" t="n">
        <v>-4923</v>
      </c>
      <c r="X185" s="20" t="n">
        <v>-4601</v>
      </c>
    </row>
    <row r="186">
      <c r="A186" s="9" t="inlineStr">
        <is>
          <t>계</t>
        </is>
      </c>
      <c r="C186" s="12" t="n">
        <v>29417</v>
      </c>
      <c r="D186" s="12" t="n">
        <v>30328</v>
      </c>
      <c r="E186" s="12" t="n">
        <v>29854</v>
      </c>
      <c r="F186" s="12" t="n">
        <v>29371</v>
      </c>
      <c r="G186" s="12" t="n">
        <v>29900</v>
      </c>
      <c r="H186" s="12" t="n">
        <v>29823</v>
      </c>
      <c r="I186" s="12" t="n">
        <v>29055</v>
      </c>
      <c r="V186" s="12" t="n">
        <v>29854</v>
      </c>
      <c r="W186" s="12" t="n">
        <v>29055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</row>
    <row r="188">
      <c r="A188" s="18" t="inlineStr">
        <is>
          <t>EntityTotalMember · 계</t>
        </is>
      </c>
      <c r="F188" s="20" t="n">
        <v>29371</v>
      </c>
      <c r="J188" s="20" t="n">
        <v>31500</v>
      </c>
      <c r="N188" s="20" t="n">
        <v>32145</v>
      </c>
    </row>
    <row r="189">
      <c r="A189" s="18" t="inlineStr">
        <is>
          <t>PassengerAutomobileReportableSegmentsMember · 부문 이익</t>
        </is>
      </c>
      <c r="C189" s="20" t="n">
        <v>751</v>
      </c>
      <c r="D189" s="20" t="n">
        <v>1255</v>
      </c>
      <c r="E189" s="20" t="n">
        <v>432</v>
      </c>
      <c r="F189" s="20" t="n">
        <v>1648</v>
      </c>
      <c r="G189" s="20" t="n">
        <v>957</v>
      </c>
      <c r="H189" s="20" t="n">
        <v>1162</v>
      </c>
      <c r="I189" s="20" t="n">
        <v>-968</v>
      </c>
      <c r="J189" s="20" t="n">
        <v>1123</v>
      </c>
      <c r="K189" s="20" t="n">
        <v>696</v>
      </c>
      <c r="L189" s="20" t="n">
        <v>814</v>
      </c>
      <c r="M189" s="20" t="n">
        <v>-401</v>
      </c>
      <c r="N189" s="20" t="n">
        <v>1416</v>
      </c>
      <c r="V189" s="20" t="n">
        <v>432</v>
      </c>
      <c r="W189" s="20" t="n">
        <v>-968</v>
      </c>
      <c r="X189" s="20" t="n">
        <v>-401</v>
      </c>
    </row>
    <row r="190">
      <c r="A190" s="43" t="inlineStr">
        <is>
          <t>OPM</t>
        </is>
      </c>
      <c r="B190" s="3" t="inlineStr">
        <is>
          <t>영업이익 ÷ 매출</t>
        </is>
      </c>
      <c r="C190" s="15">
        <f>IF(OR(C189="",C175=""),"",IF(C175&lt;=0,"",IFERROR(C189/C175,"")))</f>
        <v/>
      </c>
      <c r="D190" s="15">
        <f>IF(OR(D189="",D175=""),"",IF(D175&lt;=0,"",IFERROR(D189/D175,"")))</f>
        <v/>
      </c>
      <c r="E190" s="15">
        <f>IF(OR(E189="",E175=""),"",IF(E175&lt;=0,"",IFERROR(E189/E175,"")))</f>
        <v/>
      </c>
      <c r="F190" s="15">
        <f>IF(OR(F189="",F175=""),"",IF(F175&lt;=0,"",IFERROR(F189/F175,"")))</f>
        <v/>
      </c>
      <c r="G190" s="15">
        <f>IF(OR(G189="",G175=""),"",IF(G175&lt;=0,"",IFERROR(G189/G175,"")))</f>
        <v/>
      </c>
      <c r="H190" s="15">
        <f>IF(OR(H189="",H175=""),"",IF(H175&lt;=0,"",IFERROR(H189/H175,"")))</f>
        <v/>
      </c>
      <c r="I190" s="15">
        <f>IF(OR(I189="",I175=""),"",IF(I175&lt;=0,"",IFERROR(I189/I175,"")))</f>
        <v/>
      </c>
      <c r="J190" s="15">
        <f>IF(OR(J189="",J175=""),"",IF(J175&lt;=0,"",IFERROR(J189/J175,"")))</f>
        <v/>
      </c>
      <c r="K190" s="15">
        <f>IF(OR(K189="",K175=""),"",IF(K175&lt;=0,"",IFERROR(K189/K175,"")))</f>
        <v/>
      </c>
      <c r="L190" s="15">
        <f>IF(OR(L189="",L175=""),"",IF(L175&lt;=0,"",IFERROR(L189/L175,"")))</f>
        <v/>
      </c>
      <c r="M190" s="15">
        <f>IF(OR(M189="",M175=""),"",IF(M175&lt;=0,"",IFERROR(M189/M175,"")))</f>
        <v/>
      </c>
      <c r="N190" s="15">
        <f>IF(OR(N189="",N175=""),"",IF(N175&lt;=0,"",IFERROR(N189/N175,"")))</f>
        <v/>
      </c>
      <c r="V190" s="15">
        <f>IF(OR(V189="",V175=""),"",IF(V175&lt;=0,"",IFERROR(V189/V175,"")))</f>
        <v/>
      </c>
      <c r="W190" s="15">
        <f>IF(OR(W189="",W175=""),"",IF(W175&lt;=0,"",IFERROR(W189/W175,"")))</f>
        <v/>
      </c>
      <c r="X190" s="15">
        <f>IF(OR(X189="",X175=""),"",IF(X175&lt;=0,"",IFERROR(X189/X175,"")))</f>
        <v/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IF(OR(G189="",C189=""),"",IF(C189&lt;=0,"",IFERROR(G189/C189-1,"")))</f>
        <v/>
      </c>
      <c r="H191" s="15">
        <f>IF(OR(H189="",D189=""),"",IF(D189&lt;=0,"",IFERROR(H189/D189-1,"")))</f>
        <v/>
      </c>
      <c r="I191" s="15">
        <f>IF(OR(I189="",E189=""),"",IF(E189&lt;=0,"",IFERROR(I189/E189-1,"")))</f>
        <v/>
      </c>
      <c r="J191" s="15">
        <f>IF(OR(J189="",F189=""),"",IF(F189&lt;=0,"",IFERROR(J189/F189-1,"")))</f>
        <v/>
      </c>
      <c r="K191" s="15">
        <f>IF(OR(K189="",G189=""),"",IF(G189&lt;=0,"",IFERROR(K189/G189-1,"")))</f>
        <v/>
      </c>
      <c r="L191" s="15">
        <f>IF(OR(L189="",H189=""),"",IF(H189&lt;=0,"",IFERROR(L189/H189-1,"")))</f>
        <v/>
      </c>
      <c r="M191" s="15">
        <f>IF(OR(M189="",I189=""),"",IF(I189&lt;=0,"",IFERROR(M189/I189-1,"")))</f>
        <v/>
      </c>
      <c r="N191" s="15">
        <f>IF(OR(N189="",J189=""),"",IF(J189&lt;=0,"",IFERROR(N189/J189-1,"")))</f>
        <v/>
      </c>
      <c r="V191" s="15">
        <f>IF(OR(V189="",U189=""),"",IF(U189&lt;=0,"",IFERROR(V189/U189-1,"")))</f>
        <v/>
      </c>
      <c r="W191" s="15">
        <f>IF(OR(W189="",V189=""),"",IF(V189&lt;=0,"",IFERROR(W189/V189-1,"")))</f>
        <v/>
      </c>
      <c r="X191" s="15">
        <f>IF(OR(X189="",W189=""),"",IF(W189&lt;=0,"",IFERROR(X189/W189-1,"")))</f>
        <v/>
      </c>
    </row>
    <row r="192">
      <c r="A192" s="18" t="inlineStr">
        <is>
          <t>RealEstateReportableSegmentsMember · 부문 이익</t>
        </is>
      </c>
      <c r="C192" s="20" t="n">
        <v>717</v>
      </c>
      <c r="D192" s="20" t="n">
        <v>670</v>
      </c>
      <c r="E192" s="20" t="n">
        <v>484</v>
      </c>
      <c r="F192" s="20" t="n">
        <v>594</v>
      </c>
      <c r="G192" s="20" t="n">
        <v>684</v>
      </c>
      <c r="H192" s="20" t="n">
        <v>591</v>
      </c>
      <c r="I192" s="20" t="n">
        <v>310</v>
      </c>
      <c r="J192" s="20" t="n">
        <v>672</v>
      </c>
      <c r="K192" s="20" t="n">
        <v>662</v>
      </c>
      <c r="L192" s="20" t="n">
        <v>551</v>
      </c>
      <c r="M192" s="20" t="n">
        <v>-297</v>
      </c>
      <c r="N192" s="20" t="n">
        <v>521</v>
      </c>
      <c r="V192" s="20" t="n">
        <v>484</v>
      </c>
      <c r="W192" s="20" t="n">
        <v>310</v>
      </c>
      <c r="X192" s="20" t="n">
        <v>-297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IF(OR(C192="",C177=""),"",IF(C177&lt;=0,"",IFERROR(C192/C177,"")))</f>
        <v/>
      </c>
      <c r="D193" s="15">
        <f>IF(OR(D192="",D177=""),"",IF(D177&lt;=0,"",IFERROR(D192/D177,"")))</f>
        <v/>
      </c>
      <c r="E193" s="15">
        <f>IF(OR(E192="",E177=""),"",IF(E177&lt;=0,"",IFERROR(E192/E177,"")))</f>
        <v/>
      </c>
      <c r="F193" s="15">
        <f>IF(OR(F192="",F177=""),"",IF(F177&lt;=0,"",IFERROR(F192/F177,"")))</f>
        <v/>
      </c>
      <c r="G193" s="15">
        <f>IF(OR(G192="",G177=""),"",IF(G177&lt;=0,"",IFERROR(G192/G177,"")))</f>
        <v/>
      </c>
      <c r="H193" s="15">
        <f>IF(OR(H192="",H177=""),"",IF(H177&lt;=0,"",IFERROR(H192/H177,"")))</f>
        <v/>
      </c>
      <c r="I193" s="15">
        <f>IF(OR(I192="",I177=""),"",IF(I177&lt;=0,"",IFERROR(I192/I177,"")))</f>
        <v/>
      </c>
      <c r="J193" s="15">
        <f>IF(OR(J192="",J177=""),"",IF(J177&lt;=0,"",IFERROR(J192/J177,"")))</f>
        <v/>
      </c>
      <c r="K193" s="15">
        <f>IF(OR(K192="",K177=""),"",IF(K177&lt;=0,"",IFERROR(K192/K177,"")))</f>
        <v/>
      </c>
      <c r="L193" s="15">
        <f>IF(OR(L192="",L177=""),"",IF(L177&lt;=0,"",IFERROR(L192/L177,"")))</f>
        <v/>
      </c>
      <c r="M193" s="15">
        <f>IF(OR(M192="",M177=""),"",IF(M177&lt;=0,"",IFERROR(M192/M177,"")))</f>
        <v/>
      </c>
      <c r="N193" s="15">
        <f>IF(OR(N192="",N177=""),"",IF(N177&lt;=0,"",IFERROR(N192/N177,"")))</f>
        <v/>
      </c>
      <c r="V193" s="15">
        <f>IF(OR(V192="",V177=""),"",IF(V177&lt;=0,"",IFERROR(V192/V177,"")))</f>
        <v/>
      </c>
      <c r="W193" s="15">
        <f>IF(OR(W192="",W177=""),"",IF(W177&lt;=0,"",IFERROR(W192/W177,"")))</f>
        <v/>
      </c>
      <c r="X193" s="15">
        <f>IF(OR(X192="",X177=""),"",IF(X177&lt;=0,"",IFERROR(X192/X177,"")))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5">
      <c r="A195" s="18" t="inlineStr">
        <is>
          <t>AutomobileSalesReportableSegmentsMember · 부문 이익</t>
        </is>
      </c>
      <c r="C195" s="20" t="n">
        <v>384</v>
      </c>
      <c r="D195" s="20" t="n">
        <v>199</v>
      </c>
      <c r="E195" s="20" t="n">
        <v>228</v>
      </c>
      <c r="F195" s="20" t="n">
        <v>340</v>
      </c>
      <c r="G195" s="20" t="n">
        <v>524</v>
      </c>
      <c r="H195" s="20" t="n">
        <v>288</v>
      </c>
      <c r="I195" s="20" t="n">
        <v>253</v>
      </c>
      <c r="J195" s="20" t="n">
        <v>537</v>
      </c>
      <c r="K195" s="20" t="n">
        <v>411</v>
      </c>
      <c r="L195" s="20" t="n">
        <v>443</v>
      </c>
      <c r="M195" s="20" t="n">
        <v>296</v>
      </c>
      <c r="N195" s="20" t="n">
        <v>575</v>
      </c>
      <c r="V195" s="20" t="n">
        <v>228</v>
      </c>
      <c r="W195" s="20" t="n">
        <v>253</v>
      </c>
      <c r="X195" s="20" t="n">
        <v>296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IF(OR(C195="",C179=""),"",IF(C179&lt;=0,"",IFERROR(C195/C179,"")))</f>
        <v/>
      </c>
      <c r="D196" s="15">
        <f>IF(OR(D195="",D179=""),"",IF(D179&lt;=0,"",IFERROR(D195/D179,"")))</f>
        <v/>
      </c>
      <c r="E196" s="15">
        <f>IF(OR(E195="",E179=""),"",IF(E179&lt;=0,"",IFERROR(E195/E179,"")))</f>
        <v/>
      </c>
      <c r="F196" s="15">
        <f>IF(OR(F195="",F179=""),"",IF(F179&lt;=0,"",IFERROR(F195/F179,"")))</f>
        <v/>
      </c>
      <c r="G196" s="15">
        <f>IF(OR(G195="",G179=""),"",IF(G179&lt;=0,"",IFERROR(G195/G179,"")))</f>
        <v/>
      </c>
      <c r="H196" s="15">
        <f>IF(OR(H195="",H179=""),"",IF(H179&lt;=0,"",IFERROR(H195/H179,"")))</f>
        <v/>
      </c>
      <c r="I196" s="15">
        <f>IF(OR(I195="",I179=""),"",IF(I179&lt;=0,"",IFERROR(I195/I179,"")))</f>
        <v/>
      </c>
      <c r="J196" s="15">
        <f>IF(OR(J195="",J179=""),"",IF(J179&lt;=0,"",IFERROR(J195/J179,"")))</f>
        <v/>
      </c>
      <c r="K196" s="15">
        <f>IF(OR(K195="",K179=""),"",IF(K179&lt;=0,"",IFERROR(K195/K179,"")))</f>
        <v/>
      </c>
      <c r="L196" s="15">
        <f>IF(OR(L195="",L179=""),"",IF(L179&lt;=0,"",IFERROR(L195/L179,"")))</f>
        <v/>
      </c>
      <c r="M196" s="15">
        <f>IF(OR(M195="",M179=""),"",IF(M179&lt;=0,"",IFERROR(M195/M179,"")))</f>
        <v/>
      </c>
      <c r="N196" s="15">
        <f>IF(OR(N195="",N179=""),"",IF(N179&lt;=0,"",IFERROR(N195/N179,"")))</f>
        <v/>
      </c>
      <c r="V196" s="15">
        <f>IF(OR(V195="",V179=""),"",IF(V179&lt;=0,"",IFERROR(V195/V179,"")))</f>
        <v/>
      </c>
      <c r="W196" s="15">
        <f>IF(OR(W195="",W179=""),"",IF(W179&lt;=0,"",IFERROR(W195/W179,"")))</f>
        <v/>
      </c>
      <c r="X196" s="15">
        <f>IF(OR(X195="",X179=""),"",IF(X179&lt;=0,"",IFERROR(X195/X179,"")))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V197" s="15">
        <f>IF(OR(V195="",U195=""),"",IF(U195&lt;=0,"",IFERROR(V195/U195-1,"")))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기타 · 부문 이익</t>
        </is>
      </c>
      <c r="C198" s="20" t="n">
        <v>313</v>
      </c>
      <c r="D198" s="20" t="n">
        <v>253</v>
      </c>
      <c r="E198" s="20" t="n">
        <v>240</v>
      </c>
      <c r="F198" s="20" t="n">
        <v>216</v>
      </c>
      <c r="G198" s="20" t="n">
        <v>312</v>
      </c>
      <c r="H198" s="20" t="n">
        <v>417</v>
      </c>
      <c r="I198" s="20" t="n">
        <v>430</v>
      </c>
      <c r="J198" s="20" t="n">
        <v>361</v>
      </c>
      <c r="K198" s="20" t="n">
        <v>437</v>
      </c>
      <c r="L198" s="20" t="n">
        <v>428</v>
      </c>
      <c r="M198" s="20" t="n">
        <v>376</v>
      </c>
      <c r="N198" s="20" t="n">
        <v>447</v>
      </c>
      <c r="V198" s="20" t="n">
        <v>240</v>
      </c>
      <c r="W198" s="20" t="n">
        <v>430</v>
      </c>
      <c r="X198" s="20" t="n">
        <v>376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IF(OR(C198="",C181=""),"",IF(C181&lt;=0,"",IFERROR(C198/C181,"")))</f>
        <v/>
      </c>
      <c r="D199" s="15">
        <f>IF(OR(D198="",D181=""),"",IF(D181&lt;=0,"",IFERROR(D198/D181,"")))</f>
        <v/>
      </c>
      <c r="E199" s="15">
        <f>IF(OR(E198="",E181=""),"",IF(E181&lt;=0,"",IFERROR(E198/E181,"")))</f>
        <v/>
      </c>
      <c r="F199" s="15">
        <f>IF(OR(F198="",F181=""),"",IF(F181&lt;=0,"",IFERROR(F198/F181,"")))</f>
        <v/>
      </c>
      <c r="G199" s="15">
        <f>IF(OR(G198="",G181=""),"",IF(G181&lt;=0,"",IFERROR(G198/G181,"")))</f>
        <v/>
      </c>
      <c r="H199" s="15">
        <f>IF(OR(H198="",H181=""),"",IF(H181&lt;=0,"",IFERROR(H198/H181,"")))</f>
        <v/>
      </c>
      <c r="I199" s="15">
        <f>IF(OR(I198="",I181=""),"",IF(I181&lt;=0,"",IFERROR(I198/I181,"")))</f>
        <v/>
      </c>
      <c r="J199" s="15">
        <f>IF(OR(J198="",J181=""),"",IF(J181&lt;=0,"",IFERROR(J198/J181,"")))</f>
        <v/>
      </c>
      <c r="K199" s="15">
        <f>IF(OR(K198="",K181=""),"",IF(K181&lt;=0,"",IFERROR(K198/K181,"")))</f>
        <v/>
      </c>
      <c r="L199" s="15">
        <f>IF(OR(L198="",L181=""),"",IF(L181&lt;=0,"",IFERROR(L198/L181,"")))</f>
        <v/>
      </c>
      <c r="M199" s="15">
        <f>IF(OR(M198="",M181=""),"",IF(M181&lt;=0,"",IFERROR(M198/M181,"")))</f>
        <v/>
      </c>
      <c r="N199" s="15">
        <f>IF(OR(N198="",N181=""),"",IF(N181&lt;=0,"",IFERROR(N198/N181,"")))</f>
        <v/>
      </c>
      <c r="V199" s="15">
        <f>IF(OR(V198="",V181=""),"",IF(V181&lt;=0,"",IFERROR(V198/V181,"")))</f>
        <v/>
      </c>
      <c r="W199" s="15">
        <f>IF(OR(W198="",W181=""),"",IF(W181&lt;=0,"",IFERROR(W198/W181,"")))</f>
        <v/>
      </c>
      <c r="X199" s="15">
        <f>IF(OR(X198="",X181=""),"",IF(X181&lt;=0,"",IFERROR(X198/X181,"")))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합계 · 부문 이익</t>
        </is>
      </c>
      <c r="C201" s="20" t="n">
        <v>2164</v>
      </c>
      <c r="D201" s="20" t="n">
        <v>2377</v>
      </c>
      <c r="E201" s="20" t="n">
        <v>1384</v>
      </c>
      <c r="F201" s="20" t="n">
        <v>2799</v>
      </c>
      <c r="G201" s="20" t="n">
        <v>2477</v>
      </c>
      <c r="H201" s="20" t="n">
        <v>2459</v>
      </c>
      <c r="I201" s="20" t="n">
        <v>24</v>
      </c>
      <c r="J201" s="20" t="n">
        <v>2694</v>
      </c>
      <c r="K201" s="20" t="n">
        <v>2207</v>
      </c>
      <c r="L201" s="20" t="n">
        <v>2235</v>
      </c>
      <c r="M201" s="20" t="n">
        <v>-25</v>
      </c>
      <c r="N201" s="20" t="n">
        <v>2960</v>
      </c>
      <c r="V201" s="20" t="n">
        <v>1384</v>
      </c>
      <c r="W201" s="20" t="n">
        <v>24</v>
      </c>
      <c r="X201" s="20" t="n">
        <v>-25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IF(OR(C201="",C183=""),"",IF(C183&lt;=0,"",IFERROR(C201/C183,"")))</f>
        <v/>
      </c>
      <c r="D202" s="15">
        <f>IF(OR(D201="",D183=""),"",IF(D183&lt;=0,"",IFERROR(D201/D183,"")))</f>
        <v/>
      </c>
      <c r="E202" s="15">
        <f>IF(OR(E201="",E183=""),"",IF(E183&lt;=0,"",IFERROR(E201/E183,"")))</f>
        <v/>
      </c>
      <c r="F202" s="15">
        <f>IF(OR(F201="",F183=""),"",IF(F183&lt;=0,"",IFERROR(F201/F183,"")))</f>
        <v/>
      </c>
      <c r="G202" s="15">
        <f>IF(OR(G201="",G183=""),"",IF(G183&lt;=0,"",IFERROR(G201/G183,"")))</f>
        <v/>
      </c>
      <c r="H202" s="15">
        <f>IF(OR(H201="",H183=""),"",IF(H183&lt;=0,"",IFERROR(H201/H183,"")))</f>
        <v/>
      </c>
      <c r="I202" s="15">
        <f>IF(OR(I201="",I183=""),"",IF(I183&lt;=0,"",IFERROR(I201/I183,"")))</f>
        <v/>
      </c>
      <c r="J202" s="15">
        <f>IF(OR(J201="",J183=""),"",IF(J183&lt;=0,"",IFERROR(J201/J183,"")))</f>
        <v/>
      </c>
      <c r="K202" s="15">
        <f>IF(OR(K201="",K183=""),"",IF(K183&lt;=0,"",IFERROR(K201/K183,"")))</f>
        <v/>
      </c>
      <c r="L202" s="15">
        <f>IF(OR(L201="",L183=""),"",IF(L183&lt;=0,"",IFERROR(L201/L183,"")))</f>
        <v/>
      </c>
      <c r="M202" s="15">
        <f>IF(OR(M201="",M183=""),"",IF(M183&lt;=0,"",IFERROR(M201/M183,"")))</f>
        <v/>
      </c>
      <c r="N202" s="15">
        <f>IF(OR(N201="",N183=""),"",IF(N183&lt;=0,"",IFERROR(N201/N183,"")))</f>
        <v/>
      </c>
      <c r="V202" s="15">
        <f>IF(OR(V201="",V183=""),"",IF(V183&lt;=0,"",IFERROR(V201/V183,"")))</f>
        <v/>
      </c>
      <c r="W202" s="15">
        <f>IF(OR(W201="",W183=""),"",IF(W183&lt;=0,"",IFERROR(W201/W183,"")))</f>
        <v/>
      </c>
      <c r="X202" s="15">
        <f>IF(OR(X201="",X183=""),"",IF(X183&lt;=0,"",IFERROR(X201/X183,"")))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조정액 · 부문 이익</t>
        </is>
      </c>
      <c r="C204" s="20" t="n">
        <v>-100</v>
      </c>
      <c r="D204" s="20" t="n">
        <v>-22</v>
      </c>
      <c r="E204" s="20" t="n">
        <v>-58</v>
      </c>
      <c r="F204" s="20" t="n">
        <v>-87</v>
      </c>
      <c r="G204" s="20" t="n">
        <v>-111</v>
      </c>
      <c r="H204" s="20" t="n">
        <v>-67</v>
      </c>
      <c r="I204" s="20" t="n">
        <v>-106</v>
      </c>
      <c r="J204" s="20" t="n">
        <v>-84</v>
      </c>
      <c r="K204" s="20" t="n">
        <v>-92</v>
      </c>
      <c r="L204" s="20" t="n">
        <v>-37</v>
      </c>
      <c r="M204" s="20" t="n">
        <v>-122</v>
      </c>
      <c r="N204" s="20" t="n">
        <v>-52</v>
      </c>
      <c r="V204" s="20" t="n">
        <v>-58</v>
      </c>
      <c r="W204" s="20" t="n">
        <v>-106</v>
      </c>
      <c r="X204" s="20" t="n">
        <v>-122</v>
      </c>
    </row>
    <row r="205">
      <c r="A205" s="9" t="inlineStr">
        <is>
          <t>부문 이익</t>
        </is>
      </c>
      <c r="C205" s="12" t="n">
        <v>2064</v>
      </c>
      <c r="D205" s="12" t="n">
        <v>2355</v>
      </c>
      <c r="E205" s="12" t="n">
        <v>1325</v>
      </c>
      <c r="F205" s="12" t="n">
        <v>2712</v>
      </c>
      <c r="G205" s="12" t="n">
        <v>2366</v>
      </c>
      <c r="H205" s="12" t="n">
        <v>2391</v>
      </c>
      <c r="I205" s="12" t="n">
        <v>-81</v>
      </c>
      <c r="V205" s="12" t="n">
        <v>1325</v>
      </c>
      <c r="W205" s="12" t="n">
        <v>-81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IF(OR(C205="",C164=""),"",IF(C164&lt;=0,"",IFERROR(C205/C164,"")))</f>
        <v/>
      </c>
      <c r="D206" s="15">
        <f>IF(OR(D205="",D164=""),"",IF(D164&lt;=0,"",IFERROR(D205/D164,"")))</f>
        <v/>
      </c>
      <c r="E206" s="15">
        <f>IF(OR(E205="",E164=""),"",IF(E164&lt;=0,"",IFERROR(E205/E164,"")))</f>
        <v/>
      </c>
      <c r="F206" s="15">
        <f>IF(OR(F205="",F164=""),"",IF(F164&lt;=0,"",IFERROR(F205/F164,"")))</f>
        <v/>
      </c>
      <c r="G206" s="15">
        <f>IF(OR(G205="",G164=""),"",IF(G164&lt;=0,"",IFERROR(G205/G164,"")))</f>
        <v/>
      </c>
      <c r="H206" s="15">
        <f>IF(OR(H205="",H164=""),"",IF(H164&lt;=0,"",IFERROR(H205/H164,"")))</f>
        <v/>
      </c>
      <c r="I206" s="15">
        <f>IF(OR(I205="",I164=""),"",IF(I164&lt;=0,"",IFERROR(I205/I164,"")))</f>
        <v/>
      </c>
      <c r="V206" s="15">
        <f>IF(OR(V205="",V164=""),"",IF(V164&lt;=0,"",IFERROR(V205/V164,"")))</f>
        <v/>
      </c>
      <c r="W206" s="15">
        <f>IF(OR(W205="",W164=""),"",IF(W164&lt;=0,"",IFERROR(W205/W164,"")))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I207" s="15">
        <f>IF(OR(I205="",E205=""),"",IF(E205&lt;=0,"",IFERROR(I205/E205-1,"")))</f>
        <v/>
      </c>
      <c r="V207" s="15">
        <f>IF(OR(V205="",U205=""),"",IF(U205&lt;=0,"",IFERROR(V205/U205-1,"")))</f>
        <v/>
      </c>
      <c r="W207" s="15">
        <f>IF(OR(W205="",V205=""),"",IF(V205&lt;=0,"",IFERROR(W205/V205-1,"")))</f>
        <v/>
      </c>
    </row>
    <row r="208">
      <c r="A208" s="18" t="inlineStr">
        <is>
          <t>EntityTotalMember · 부문 이익</t>
        </is>
      </c>
      <c r="F208" s="20" t="n">
        <v>2712</v>
      </c>
      <c r="J208" s="20" t="n">
        <v>2609</v>
      </c>
      <c r="N208" s="20" t="n">
        <v>2907</v>
      </c>
    </row>
    <row r="210">
      <c r="A210" s="16" t="inlineStr">
        <is>
          <t>현금흐름표 · 전 항목</t>
        </is>
      </c>
      <c r="B210" s="42" t="inlineStr">
        <is>
          <t>분기 = 결산기 첫날부터 누계(공시 그대로)</t>
        </is>
      </c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</row>
    <row r="211">
      <c r="A211" s="5" t="inlineStr">
        <is>
          <t>항목</t>
        </is>
      </c>
      <c r="B211" s="5" t="inlineStr">
        <is>
          <t>참고</t>
        </is>
      </c>
      <c r="C211" s="5" t="inlineStr">
        <is>
          <t>2024.2Q</t>
        </is>
      </c>
      <c r="D211" s="5" t="inlineStr">
        <is>
          <t>2024.3Q</t>
        </is>
      </c>
      <c r="E211" s="5" t="inlineStr">
        <is>
          <t>2024.4Q</t>
        </is>
      </c>
      <c r="F211" s="5" t="inlineStr">
        <is>
          <t>2025.1Q</t>
        </is>
      </c>
      <c r="G211" s="5" t="inlineStr">
        <is>
          <t>2025.2Q</t>
        </is>
      </c>
      <c r="H211" s="5" t="inlineStr">
        <is>
          <t>2025.3Q</t>
        </is>
      </c>
      <c r="I211" s="5" t="inlineStr">
        <is>
          <t>2025.4Q</t>
        </is>
      </c>
      <c r="J211" s="5" t="inlineStr">
        <is>
          <t>2026.1Q</t>
        </is>
      </c>
      <c r="K211" s="5" t="inlineStr">
        <is>
          <t>2026.2Q</t>
        </is>
      </c>
      <c r="L211" s="5" t="inlineStr">
        <is>
          <t>2026.3Q</t>
        </is>
      </c>
      <c r="M211" s="5" t="inlineStr">
        <is>
          <t>2026.4Q</t>
        </is>
      </c>
      <c r="N211" s="5" t="inlineStr">
        <is>
          <t>2027.1Q</t>
        </is>
      </c>
      <c r="O211" s="5" t="inlineStr">
        <is>
          <t>2017</t>
        </is>
      </c>
      <c r="P211" s="5" t="inlineStr">
        <is>
          <t>2018</t>
        </is>
      </c>
      <c r="Q211" s="5" t="inlineStr">
        <is>
          <t>2019</t>
        </is>
      </c>
      <c r="R211" s="5" t="inlineStr">
        <is>
          <t>2020</t>
        </is>
      </c>
      <c r="S211" s="5" t="inlineStr">
        <is>
          <t>2021</t>
        </is>
      </c>
      <c r="T211" s="5" t="inlineStr">
        <is>
          <t>2022</t>
        </is>
      </c>
      <c r="U211" s="5" t="inlineStr">
        <is>
          <t>2023</t>
        </is>
      </c>
      <c r="V211" s="5" t="inlineStr">
        <is>
          <t>2024</t>
        </is>
      </c>
      <c r="W211" s="5" t="inlineStr">
        <is>
          <t>2025</t>
        </is>
      </c>
      <c r="X211" s="5" t="inlineStr">
        <is>
          <t>2026</t>
        </is>
      </c>
      <c r="Y211" s="5" t="inlineStr">
        <is>
          <t>2027(MW)</t>
        </is>
      </c>
      <c r="Z211" s="5" t="inlineStr">
        <is>
          <t>2028(MW)</t>
        </is>
      </c>
      <c r="AA211" s="5" t="inlineStr">
        <is>
          <t>2029(MW)</t>
        </is>
      </c>
      <c r="AB211" s="5" t="inlineStr">
        <is>
          <t>2030(MW)</t>
        </is>
      </c>
      <c r="AC211" s="5" t="inlineStr">
        <is>
          <t>2031(MW)</t>
        </is>
      </c>
    </row>
    <row r="212">
      <c r="A212" s="9" t="inlineStr">
        <is>
          <t>법인세차감전 순이익</t>
        </is>
      </c>
      <c r="C212" s="12" t="n">
        <v>3742</v>
      </c>
      <c r="E212" s="12" t="n">
        <v>5009</v>
      </c>
      <c r="G212" s="12" t="n">
        <v>5044</v>
      </c>
      <c r="I212" s="12" t="n">
        <v>6493</v>
      </c>
      <c r="K212" s="12" t="n">
        <v>4535</v>
      </c>
      <c r="M212" s="12" t="n">
        <v>5801</v>
      </c>
      <c r="O212" s="12" t="n">
        <v>6082</v>
      </c>
      <c r="P212" s="12" t="n">
        <v>6542</v>
      </c>
      <c r="Q212" s="12" t="n">
        <v>6354</v>
      </c>
      <c r="R212" s="12" t="n">
        <v>4526</v>
      </c>
      <c r="S212" s="12" t="n">
        <v>-6735</v>
      </c>
      <c r="T212" s="12" t="n">
        <v>2849</v>
      </c>
      <c r="U212" s="12" t="n">
        <v>2928</v>
      </c>
      <c r="V212" s="12" t="n">
        <v>5009</v>
      </c>
      <c r="W212" s="12" t="n">
        <v>6493</v>
      </c>
      <c r="X212" s="12" t="n">
        <v>5801</v>
      </c>
    </row>
    <row r="213">
      <c r="A213" s="18" t="inlineStr">
        <is>
          <t>감가상각비</t>
        </is>
      </c>
      <c r="C213" s="20" t="n">
        <v>2604</v>
      </c>
      <c r="E213" s="20" t="n">
        <v>5251</v>
      </c>
      <c r="G213" s="20" t="n">
        <v>2615</v>
      </c>
      <c r="I213" s="20" t="n">
        <v>5586</v>
      </c>
      <c r="K213" s="20" t="n">
        <v>3088</v>
      </c>
      <c r="M213" s="20" t="n">
        <v>6457</v>
      </c>
      <c r="O213" s="20" t="n">
        <v>5834</v>
      </c>
      <c r="P213" s="20" t="n">
        <v>6355</v>
      </c>
      <c r="Q213" s="20" t="n">
        <v>6379</v>
      </c>
      <c r="R213" s="20" t="n">
        <v>6758</v>
      </c>
      <c r="S213" s="20" t="n">
        <v>7070</v>
      </c>
      <c r="T213" s="20" t="n">
        <v>6608</v>
      </c>
      <c r="U213" s="20" t="n">
        <v>5873</v>
      </c>
      <c r="V213" s="20" t="n">
        <v>5251</v>
      </c>
      <c r="W213" s="20" t="n">
        <v>5586</v>
      </c>
      <c r="X213" s="20" t="n">
        <v>6457</v>
      </c>
    </row>
    <row r="214">
      <c r="A214" s="18" t="inlineStr">
        <is>
          <t>손상차손</t>
        </is>
      </c>
      <c r="C214" s="20" t="n">
        <v>128</v>
      </c>
      <c r="E214" s="20" t="n">
        <v>2002</v>
      </c>
      <c r="G214" s="20" t="n">
        <v>57</v>
      </c>
      <c r="I214" s="20" t="n">
        <v>561</v>
      </c>
      <c r="K214" s="20" t="n">
        <v>45</v>
      </c>
      <c r="M214" s="20" t="n">
        <v>176</v>
      </c>
      <c r="O214" s="20" t="n">
        <v>276</v>
      </c>
      <c r="P214" s="20" t="n">
        <v>71</v>
      </c>
      <c r="Q214" s="20" t="n">
        <v>106</v>
      </c>
      <c r="R214" s="20" t="n">
        <v>389</v>
      </c>
      <c r="S214" s="20" t="n">
        <v>1325</v>
      </c>
      <c r="T214" s="20" t="n">
        <v>51</v>
      </c>
      <c r="U214" s="20" t="n">
        <v>2108</v>
      </c>
      <c r="V214" s="20" t="n">
        <v>2002</v>
      </c>
      <c r="W214" s="20" t="n">
        <v>561</v>
      </c>
      <c r="X214" s="20" t="n">
        <v>176</v>
      </c>
    </row>
    <row r="215">
      <c r="A215" s="18" t="inlineStr">
        <is>
          <t>상여충당금 증감</t>
        </is>
      </c>
      <c r="C215" s="20" t="n">
        <v>-178</v>
      </c>
      <c r="E215" s="20" t="n">
        <v>172</v>
      </c>
      <c r="G215" s="20" t="n">
        <v>-219</v>
      </c>
      <c r="I215" s="20" t="n">
        <v>60</v>
      </c>
      <c r="K215" s="20" t="n">
        <v>-152</v>
      </c>
      <c r="M215" s="20" t="n">
        <v>137</v>
      </c>
      <c r="O215" s="20" t="n">
        <v>72</v>
      </c>
      <c r="P215" s="20" t="n">
        <v>139</v>
      </c>
      <c r="Q215" s="20" t="n">
        <v>30</v>
      </c>
      <c r="R215" s="20" t="n">
        <v>203</v>
      </c>
      <c r="S215" s="20" t="n">
        <v>-371</v>
      </c>
      <c r="T215" s="20" t="n">
        <v>-159</v>
      </c>
      <c r="U215" s="20" t="n">
        <v>258</v>
      </c>
      <c r="V215" s="20" t="n">
        <v>172</v>
      </c>
      <c r="W215" s="20" t="n">
        <v>60</v>
      </c>
      <c r="X215" s="20" t="n">
        <v>137</v>
      </c>
    </row>
    <row r="216">
      <c r="A216" s="18" t="inlineStr">
        <is>
          <t>대손충당금 증감</t>
        </is>
      </c>
      <c r="C216" s="20" t="n">
        <v>11</v>
      </c>
      <c r="E216" s="20" t="n">
        <v>11</v>
      </c>
      <c r="G216" s="20" t="n">
        <v>-9</v>
      </c>
      <c r="I216" s="20" t="n">
        <v>-5</v>
      </c>
      <c r="K216" s="20" t="n">
        <v>-4</v>
      </c>
      <c r="M216" s="20" t="n">
        <v>-12</v>
      </c>
      <c r="O216" s="20" t="n">
        <v>2</v>
      </c>
      <c r="P216" s="20" t="n">
        <v>46</v>
      </c>
      <c r="Q216" s="20" t="n">
        <v>24</v>
      </c>
      <c r="R216" s="20" t="n">
        <v>-51</v>
      </c>
      <c r="S216" s="20" t="n">
        <v>-45</v>
      </c>
      <c r="T216" s="20" t="n">
        <v>-14</v>
      </c>
      <c r="U216" s="20" t="n">
        <v>3</v>
      </c>
      <c r="V216" s="20" t="n">
        <v>11</v>
      </c>
      <c r="W216" s="20" t="n">
        <v>-5</v>
      </c>
      <c r="X216" s="20" t="n">
        <v>-12</v>
      </c>
    </row>
    <row r="217">
      <c r="A217" s="18" t="inlineStr">
        <is>
          <t>퇴직급여부채 증감</t>
        </is>
      </c>
      <c r="C217" s="20" t="n">
        <v>-48</v>
      </c>
      <c r="E217" s="20" t="n">
        <v>-143</v>
      </c>
      <c r="G217" s="20" t="n">
        <v>-64</v>
      </c>
      <c r="I217" s="20" t="n">
        <v>-185</v>
      </c>
      <c r="K217" s="20" t="n">
        <v>-153</v>
      </c>
      <c r="M217" s="20" t="n">
        <v>-274</v>
      </c>
      <c r="O217" s="20" t="n">
        <v>-204</v>
      </c>
      <c r="P217" s="20" t="n">
        <v>-218</v>
      </c>
      <c r="Q217" s="20" t="n">
        <v>-257</v>
      </c>
      <c r="R217" s="20" t="n">
        <v>-98</v>
      </c>
      <c r="S217" s="20" t="n">
        <v>-110</v>
      </c>
      <c r="T217" s="20" t="n">
        <v>-141</v>
      </c>
      <c r="U217" s="20" t="n">
        <v>-110</v>
      </c>
      <c r="V217" s="20" t="n">
        <v>-143</v>
      </c>
      <c r="W217" s="20" t="n">
        <v>-185</v>
      </c>
      <c r="X217" s="20" t="n">
        <v>-274</v>
      </c>
    </row>
    <row r="218">
      <c r="A218" s="18" t="inlineStr">
        <is>
          <t>환경대책 충당금 증감</t>
        </is>
      </c>
      <c r="E218" s="20" t="n">
        <v>0</v>
      </c>
      <c r="G218" s="20" t="n">
        <v>0</v>
      </c>
      <c r="I218" s="20" t="n">
        <v>438</v>
      </c>
      <c r="K218" s="20" t="n">
        <v>-137</v>
      </c>
      <c r="M218" s="20" t="n">
        <v>-438</v>
      </c>
      <c r="V218" s="20" t="n">
        <v>0</v>
      </c>
      <c r="W218" s="20" t="n">
        <v>438</v>
      </c>
      <c r="X218" s="20" t="n">
        <v>-438</v>
      </c>
    </row>
    <row r="219">
      <c r="A219" s="18" t="inlineStr">
        <is>
          <t>이자·배당금 수익</t>
        </is>
      </c>
      <c r="C219" s="20" t="n">
        <v>-228</v>
      </c>
      <c r="E219" s="20" t="n">
        <v>-404</v>
      </c>
      <c r="G219" s="20" t="n">
        <v>-239</v>
      </c>
      <c r="I219" s="20" t="n">
        <v>-464</v>
      </c>
      <c r="K219" s="20" t="n">
        <v>-317</v>
      </c>
      <c r="M219" s="20" t="n">
        <v>-631</v>
      </c>
      <c r="O219" s="20" t="n">
        <v>-270</v>
      </c>
      <c r="P219" s="20" t="n">
        <v>-269</v>
      </c>
      <c r="Q219" s="20" t="n">
        <v>-282</v>
      </c>
      <c r="R219" s="20" t="n">
        <v>-314</v>
      </c>
      <c r="S219" s="20" t="n">
        <v>-250</v>
      </c>
      <c r="T219" s="20" t="n">
        <v>-263</v>
      </c>
      <c r="U219" s="20" t="n">
        <v>-290</v>
      </c>
      <c r="V219" s="20" t="n">
        <v>-404</v>
      </c>
      <c r="W219" s="20" t="n">
        <v>-464</v>
      </c>
      <c r="X219" s="20" t="n">
        <v>-631</v>
      </c>
    </row>
    <row r="220">
      <c r="A220" s="18" t="inlineStr">
        <is>
          <t>이자비용</t>
        </is>
      </c>
      <c r="C220" s="20" t="n">
        <v>163</v>
      </c>
      <c r="E220" s="20" t="n">
        <v>389</v>
      </c>
      <c r="G220" s="20" t="n">
        <v>188</v>
      </c>
      <c r="I220" s="20" t="n">
        <v>484</v>
      </c>
      <c r="K220" s="20" t="n">
        <v>315</v>
      </c>
      <c r="M220" s="20" t="n">
        <v>818</v>
      </c>
      <c r="O220" s="20" t="n">
        <v>452</v>
      </c>
      <c r="P220" s="20" t="n">
        <v>431</v>
      </c>
      <c r="Q220" s="20" t="n">
        <v>348</v>
      </c>
      <c r="R220" s="20" t="n">
        <v>339</v>
      </c>
      <c r="S220" s="20" t="n">
        <v>411</v>
      </c>
      <c r="T220" s="20" t="n">
        <v>356</v>
      </c>
      <c r="U220" s="20" t="n">
        <v>339</v>
      </c>
      <c r="V220" s="20" t="n">
        <v>389</v>
      </c>
      <c r="W220" s="20" t="n">
        <v>484</v>
      </c>
      <c r="X220" s="20" t="n">
        <v>818</v>
      </c>
    </row>
    <row r="221">
      <c r="A221" s="18" t="inlineStr">
        <is>
          <t>지분법손익</t>
        </is>
      </c>
      <c r="C221" s="20" t="n">
        <v>8</v>
      </c>
      <c r="E221" s="20" t="n">
        <v>-8</v>
      </c>
      <c r="G221" s="20" t="n">
        <v>15</v>
      </c>
      <c r="I221" s="20" t="n">
        <v>-1</v>
      </c>
      <c r="K221" s="20" t="n">
        <v>16</v>
      </c>
      <c r="M221" s="20" t="n">
        <v>2</v>
      </c>
      <c r="O221" s="20" t="n">
        <v>8</v>
      </c>
      <c r="P221" s="20" t="n">
        <v>-1</v>
      </c>
      <c r="Q221" s="20" t="n">
        <v>3</v>
      </c>
      <c r="R221" s="20" t="n">
        <v>20</v>
      </c>
      <c r="S221" s="20" t="n">
        <v>15</v>
      </c>
      <c r="T221" s="20" t="n">
        <v>1</v>
      </c>
      <c r="U221" s="20" t="n">
        <v>19</v>
      </c>
      <c r="V221" s="20" t="n">
        <v>-8</v>
      </c>
      <c r="W221" s="20" t="n">
        <v>-1</v>
      </c>
      <c r="X221" s="20" t="n">
        <v>2</v>
      </c>
    </row>
    <row r="222">
      <c r="A222" s="18" t="inlineStr">
        <is>
          <t>고정자산 제각·매각손익</t>
        </is>
      </c>
      <c r="C222" s="20" t="n">
        <v>-4</v>
      </c>
      <c r="E222" s="20" t="n">
        <v>-60</v>
      </c>
      <c r="G222" s="20" t="n">
        <v>-37</v>
      </c>
      <c r="I222" s="20" t="n">
        <v>-425</v>
      </c>
      <c r="K222" s="20" t="n">
        <v>-22</v>
      </c>
      <c r="M222" s="20" t="n">
        <v>-64</v>
      </c>
      <c r="O222" s="20" t="n">
        <v>-67</v>
      </c>
      <c r="P222" s="20" t="n">
        <v>-172</v>
      </c>
      <c r="Q222" s="20" t="n">
        <v>41</v>
      </c>
      <c r="R222" s="20" t="n">
        <v>15</v>
      </c>
      <c r="S222" s="20" t="n">
        <v>57</v>
      </c>
      <c r="T222" s="20" t="n">
        <v>-247</v>
      </c>
      <c r="U222" s="20" t="n">
        <v>80</v>
      </c>
      <c r="V222" s="20" t="n">
        <v>-60</v>
      </c>
      <c r="W222" s="20" t="n">
        <v>-425</v>
      </c>
      <c r="X222" s="20" t="n">
        <v>-64</v>
      </c>
    </row>
    <row r="223">
      <c r="A223" s="18" t="inlineStr">
        <is>
          <t>고정자산 압축손실</t>
        </is>
      </c>
      <c r="C223" s="20" t="n">
        <v>44</v>
      </c>
      <c r="E223" s="20" t="n">
        <v>68</v>
      </c>
      <c r="G223" s="20" t="n">
        <v>165</v>
      </c>
      <c r="I223" s="20" t="n">
        <v>463</v>
      </c>
      <c r="K223" s="20" t="n">
        <v>284</v>
      </c>
      <c r="M223" s="20" t="n">
        <v>601</v>
      </c>
      <c r="O223" s="20" t="n">
        <v>222</v>
      </c>
      <c r="P223" s="20" t="n">
        <v>518</v>
      </c>
      <c r="Q223" s="20" t="n">
        <v>144</v>
      </c>
      <c r="R223" s="20" t="n">
        <v>88</v>
      </c>
      <c r="S223" s="20" t="n">
        <v>157</v>
      </c>
      <c r="T223" s="20" t="n">
        <v>297</v>
      </c>
      <c r="U223" s="20" t="n">
        <v>41</v>
      </c>
      <c r="V223" s="20" t="n">
        <v>68</v>
      </c>
      <c r="W223" s="20" t="n">
        <v>463</v>
      </c>
      <c r="X223" s="20" t="n">
        <v>601</v>
      </c>
    </row>
    <row r="224">
      <c r="A224" s="18" t="inlineStr">
        <is>
          <t>Loss Gain On Sales Of Investment Securities Ope CF</t>
        </is>
      </c>
      <c r="C224" s="20" t="n">
        <v>-8</v>
      </c>
      <c r="E224" s="20" t="n">
        <v>-6</v>
      </c>
      <c r="G224" s="20" t="n">
        <v>0</v>
      </c>
      <c r="I224" s="20" t="n">
        <v>-157</v>
      </c>
      <c r="K224" s="20" t="n">
        <v>-54</v>
      </c>
      <c r="M224" s="20" t="n">
        <v>-54</v>
      </c>
      <c r="O224" s="20" t="n">
        <v>-77</v>
      </c>
      <c r="P224" s="20" t="n">
        <v>-0</v>
      </c>
      <c r="Q224" s="20" t="n">
        <v>0</v>
      </c>
      <c r="R224" s="20" t="n">
        <v>0</v>
      </c>
      <c r="S224" s="20" t="n">
        <v>-8</v>
      </c>
      <c r="T224" s="20" t="n">
        <v>-519</v>
      </c>
      <c r="U224" s="20" t="n">
        <v>-263</v>
      </c>
      <c r="V224" s="20" t="n">
        <v>-6</v>
      </c>
      <c r="W224" s="20" t="n">
        <v>-157</v>
      </c>
      <c r="X224" s="20" t="n">
        <v>-54</v>
      </c>
    </row>
    <row r="225">
      <c r="A225" s="18" t="inlineStr">
        <is>
          <t>매출채권 증감</t>
        </is>
      </c>
      <c r="C225" s="20" t="n">
        <v>-203</v>
      </c>
      <c r="E225" s="20" t="n">
        <v>-1199</v>
      </c>
      <c r="G225" s="20" t="n">
        <v>1299</v>
      </c>
      <c r="I225" s="20" t="n">
        <v>943</v>
      </c>
      <c r="K225" s="20" t="n">
        <v>-918</v>
      </c>
      <c r="M225" s="20" t="n">
        <v>-913</v>
      </c>
      <c r="O225" s="20" t="n">
        <v>-494</v>
      </c>
      <c r="P225" s="20" t="n">
        <v>304</v>
      </c>
      <c r="Q225" s="20" t="n">
        <v>-542</v>
      </c>
      <c r="R225" s="20" t="n">
        <v>64</v>
      </c>
      <c r="S225" s="20" t="n">
        <v>1193</v>
      </c>
      <c r="T225" s="20" t="n">
        <v>678</v>
      </c>
      <c r="U225" s="20" t="n">
        <v>-1574</v>
      </c>
      <c r="V225" s="20" t="n">
        <v>-1199</v>
      </c>
      <c r="W225" s="20" t="n">
        <v>943</v>
      </c>
      <c r="X225" s="20" t="n">
        <v>-913</v>
      </c>
    </row>
    <row r="226">
      <c r="A226" s="18" t="inlineStr">
        <is>
          <t>재고자산 증감</t>
        </is>
      </c>
      <c r="C226" s="20" t="n">
        <v>-1989</v>
      </c>
      <c r="E226" s="20" t="n">
        <v>-3784</v>
      </c>
      <c r="G226" s="20" t="n">
        <v>215</v>
      </c>
      <c r="I226" s="20" t="n">
        <v>-1367</v>
      </c>
      <c r="K226" s="20" t="n">
        <v>-1063</v>
      </c>
      <c r="M226" s="20" t="n">
        <v>-1405</v>
      </c>
      <c r="O226" s="20" t="n">
        <v>-2328</v>
      </c>
      <c r="P226" s="20" t="n">
        <v>-766</v>
      </c>
      <c r="Q226" s="20" t="n">
        <v>-229</v>
      </c>
      <c r="R226" s="20" t="n">
        <v>263</v>
      </c>
      <c r="S226" s="20" t="n">
        <v>784</v>
      </c>
      <c r="T226" s="20" t="n">
        <v>1781</v>
      </c>
      <c r="U226" s="20" t="n">
        <v>-5647</v>
      </c>
      <c r="V226" s="20" t="n">
        <v>-3784</v>
      </c>
      <c r="W226" s="20" t="n">
        <v>-1367</v>
      </c>
      <c r="X226" s="20" t="n">
        <v>-1405</v>
      </c>
    </row>
    <row r="227">
      <c r="A227" s="18" t="inlineStr">
        <is>
          <t>매입채무 증감</t>
        </is>
      </c>
      <c r="C227" s="20" t="n">
        <v>-274</v>
      </c>
      <c r="E227" s="20" t="n">
        <v>1208</v>
      </c>
      <c r="G227" s="20" t="n">
        <v>-1954</v>
      </c>
      <c r="I227" s="20" t="n">
        <v>-1055</v>
      </c>
      <c r="K227" s="20" t="n">
        <v>-466</v>
      </c>
      <c r="M227" s="20" t="n">
        <v>531</v>
      </c>
      <c r="O227" s="20" t="n">
        <v>1232</v>
      </c>
      <c r="P227" s="20" t="n">
        <v>-1278</v>
      </c>
      <c r="Q227" s="20" t="n">
        <v>225</v>
      </c>
      <c r="R227" s="20" t="n">
        <v>-96</v>
      </c>
      <c r="S227" s="20" t="n">
        <v>-504</v>
      </c>
      <c r="T227" s="20" t="n">
        <v>-1442</v>
      </c>
      <c r="U227" s="20" t="n">
        <v>1982</v>
      </c>
      <c r="V227" s="20" t="n">
        <v>1208</v>
      </c>
      <c r="W227" s="20" t="n">
        <v>-1055</v>
      </c>
      <c r="X227" s="20" t="n">
        <v>531</v>
      </c>
    </row>
    <row r="228">
      <c r="A228" s="18" t="inlineStr">
        <is>
          <t>미지급 소비세 증감</t>
        </is>
      </c>
      <c r="C228" s="20" t="n">
        <v>658</v>
      </c>
      <c r="E228" s="20" t="n">
        <v>777</v>
      </c>
      <c r="G228" s="20" t="n">
        <v>-564</v>
      </c>
      <c r="I228" s="20" t="n">
        <v>-1088</v>
      </c>
      <c r="K228" s="20" t="n">
        <v>738</v>
      </c>
      <c r="M228" s="20" t="n">
        <v>656</v>
      </c>
      <c r="O228" s="20" t="n">
        <v>123</v>
      </c>
      <c r="P228" s="20" t="n">
        <v>399</v>
      </c>
      <c r="Q228" s="20" t="n">
        <v>-244</v>
      </c>
      <c r="R228" s="20" t="n">
        <v>33</v>
      </c>
      <c r="S228" s="20" t="n">
        <v>-759</v>
      </c>
      <c r="T228" s="20" t="n">
        <v>1426</v>
      </c>
      <c r="U228" s="20" t="n">
        <v>-644</v>
      </c>
      <c r="V228" s="20" t="n">
        <v>777</v>
      </c>
      <c r="W228" s="20" t="n">
        <v>-1088</v>
      </c>
      <c r="X228" s="20" t="n">
        <v>656</v>
      </c>
    </row>
    <row r="229">
      <c r="A229" s="18" t="inlineStr">
        <is>
          <t>예수보증금 증감액</t>
        </is>
      </c>
      <c r="C229" s="20" t="n">
        <v>-157</v>
      </c>
      <c r="E229" s="20" t="n">
        <v>-234</v>
      </c>
      <c r="G229" s="20" t="n">
        <v>-68</v>
      </c>
      <c r="I229" s="20" t="n">
        <v>-455</v>
      </c>
      <c r="K229" s="20" t="n">
        <v>-32</v>
      </c>
      <c r="M229" s="20" t="n">
        <v>-178</v>
      </c>
      <c r="O229" s="20" t="n">
        <v>-469</v>
      </c>
      <c r="P229" s="20" t="n">
        <v>-427</v>
      </c>
      <c r="Q229" s="20" t="n">
        <v>-3</v>
      </c>
      <c r="R229" s="20" t="n">
        <v>-472</v>
      </c>
      <c r="S229" s="20" t="n">
        <v>-478</v>
      </c>
      <c r="T229" s="20" t="n">
        <v>-485</v>
      </c>
      <c r="U229" s="20" t="n">
        <v>-512</v>
      </c>
      <c r="V229" s="20" t="n">
        <v>-234</v>
      </c>
      <c r="W229" s="20" t="n">
        <v>-455</v>
      </c>
      <c r="X229" s="20" t="n">
        <v>-178</v>
      </c>
    </row>
    <row r="230">
      <c r="A230" s="18" t="inlineStr">
        <is>
          <t>Decrease Increase In Guarantee Deposits Ope CF</t>
        </is>
      </c>
      <c r="C230" s="20" t="n">
        <v>-1</v>
      </c>
      <c r="E230" s="20" t="n">
        <v>46</v>
      </c>
      <c r="G230" s="20" t="n">
        <v>52</v>
      </c>
      <c r="I230" s="20" t="n">
        <v>-4</v>
      </c>
      <c r="K230" s="20" t="n">
        <v>15</v>
      </c>
      <c r="M230" s="20" t="n">
        <v>223</v>
      </c>
      <c r="T230" s="20" t="n">
        <v>177</v>
      </c>
      <c r="U230" s="20" t="n">
        <v>591</v>
      </c>
      <c r="V230" s="20" t="n">
        <v>46</v>
      </c>
      <c r="W230" s="20" t="n">
        <v>-4</v>
      </c>
      <c r="X230" s="20" t="n">
        <v>223</v>
      </c>
    </row>
    <row r="231">
      <c r="A231" s="18" t="inlineStr">
        <is>
          <t>기타</t>
        </is>
      </c>
      <c r="C231" s="20" t="n">
        <v>3056</v>
      </c>
      <c r="E231" s="20" t="n">
        <v>2028</v>
      </c>
      <c r="G231" s="20" t="n">
        <v>1123</v>
      </c>
      <c r="I231" s="20" t="n">
        <v>528</v>
      </c>
      <c r="K231" s="20" t="n">
        <v>1460</v>
      </c>
      <c r="M231" s="20" t="n">
        <v>170</v>
      </c>
      <c r="O231" s="20" t="n">
        <v>-319</v>
      </c>
      <c r="P231" s="20" t="n">
        <v>735</v>
      </c>
      <c r="Q231" s="20" t="n">
        <v>266</v>
      </c>
      <c r="R231" s="20" t="n">
        <v>57</v>
      </c>
      <c r="S231" s="20" t="n">
        <v>25</v>
      </c>
      <c r="T231" s="20" t="n">
        <v>657</v>
      </c>
      <c r="U231" s="20" t="n">
        <v>777</v>
      </c>
      <c r="V231" s="20" t="n">
        <v>2028</v>
      </c>
      <c r="W231" s="20" t="n">
        <v>528</v>
      </c>
      <c r="X231" s="20" t="n">
        <v>170</v>
      </c>
    </row>
    <row r="232">
      <c r="A232" s="18" t="inlineStr">
        <is>
          <t>소계</t>
        </is>
      </c>
      <c r="C232" s="20" t="n">
        <v>7322</v>
      </c>
      <c r="E232" s="20" t="n">
        <v>11124</v>
      </c>
      <c r="G232" s="20" t="n">
        <v>7617</v>
      </c>
      <c r="I232" s="20" t="n">
        <v>10348</v>
      </c>
      <c r="K232" s="20" t="n">
        <v>7175</v>
      </c>
      <c r="M232" s="20" t="n">
        <v>11604</v>
      </c>
      <c r="O232" s="20" t="n">
        <v>10076</v>
      </c>
      <c r="P232" s="20" t="n">
        <v>12409</v>
      </c>
      <c r="Q232" s="20" t="n">
        <v>12368</v>
      </c>
      <c r="R232" s="20" t="n">
        <v>11727</v>
      </c>
      <c r="S232" s="20" t="n">
        <v>1776</v>
      </c>
      <c r="T232" s="20" t="n">
        <v>11611</v>
      </c>
      <c r="U232" s="20" t="n">
        <v>5961</v>
      </c>
      <c r="V232" s="20" t="n">
        <v>11124</v>
      </c>
      <c r="W232" s="20" t="n">
        <v>10348</v>
      </c>
      <c r="X232" s="20" t="n">
        <v>11604</v>
      </c>
    </row>
    <row r="233">
      <c r="A233" s="18" t="inlineStr">
        <is>
          <t>이자·배당금 수취</t>
        </is>
      </c>
      <c r="C233" s="20" t="n">
        <v>235</v>
      </c>
      <c r="E233" s="20" t="n">
        <v>411</v>
      </c>
      <c r="G233" s="20" t="n">
        <v>239</v>
      </c>
      <c r="I233" s="20" t="n">
        <v>464</v>
      </c>
      <c r="K233" s="20" t="n">
        <v>317</v>
      </c>
      <c r="M233" s="20" t="n">
        <v>631</v>
      </c>
      <c r="O233" s="20" t="n">
        <v>279</v>
      </c>
      <c r="P233" s="20" t="n">
        <v>278</v>
      </c>
      <c r="Q233" s="20" t="n">
        <v>291</v>
      </c>
      <c r="R233" s="20" t="n">
        <v>323</v>
      </c>
      <c r="S233" s="20" t="n">
        <v>257</v>
      </c>
      <c r="T233" s="20" t="n">
        <v>271</v>
      </c>
      <c r="U233" s="20" t="n">
        <v>297</v>
      </c>
      <c r="V233" s="20" t="n">
        <v>411</v>
      </c>
      <c r="W233" s="20" t="n">
        <v>464</v>
      </c>
      <c r="X233" s="20" t="n">
        <v>631</v>
      </c>
    </row>
    <row r="234">
      <c r="A234" s="18" t="inlineStr">
        <is>
          <t>이자 지급</t>
        </is>
      </c>
      <c r="C234" s="20" t="n">
        <v>-140</v>
      </c>
      <c r="E234" s="20" t="n">
        <v>-388</v>
      </c>
      <c r="G234" s="20" t="n">
        <v>-156</v>
      </c>
      <c r="I234" s="20" t="n">
        <v>-443</v>
      </c>
      <c r="K234" s="20" t="n">
        <v>-295</v>
      </c>
      <c r="M234" s="20" t="n">
        <v>-773</v>
      </c>
      <c r="O234" s="20" t="n">
        <v>-443</v>
      </c>
      <c r="P234" s="20" t="n">
        <v>-430</v>
      </c>
      <c r="Q234" s="20" t="n">
        <v>-350</v>
      </c>
      <c r="R234" s="20" t="n">
        <v>-346</v>
      </c>
      <c r="S234" s="20" t="n">
        <v>-401</v>
      </c>
      <c r="T234" s="20" t="n">
        <v>-355</v>
      </c>
      <c r="U234" s="20" t="n">
        <v>-340</v>
      </c>
      <c r="V234" s="20" t="n">
        <v>-388</v>
      </c>
      <c r="W234" s="20" t="n">
        <v>-443</v>
      </c>
      <c r="X234" s="20" t="n">
        <v>-773</v>
      </c>
    </row>
    <row r="235">
      <c r="A235" s="18" t="inlineStr">
        <is>
          <t>보험금 수취</t>
        </is>
      </c>
      <c r="S235" s="20" t="n">
        <v>0</v>
      </c>
      <c r="T235" s="20" t="n">
        <v>473</v>
      </c>
      <c r="U235" s="20" t="n">
        <v>0</v>
      </c>
    </row>
    <row r="236">
      <c r="A236" s="18" t="inlineStr">
        <is>
          <t>법인세 납부</t>
        </is>
      </c>
      <c r="O236" s="20" t="n">
        <v>-2018</v>
      </c>
      <c r="P236" s="20" t="n">
        <v>-2286</v>
      </c>
      <c r="Q236" s="20" t="n">
        <v>-1934</v>
      </c>
      <c r="R236" s="20" t="n">
        <v>-2072</v>
      </c>
      <c r="S236" s="20" t="n">
        <v>-1592</v>
      </c>
    </row>
    <row r="237">
      <c r="A237" s="18" t="inlineStr">
        <is>
          <t>법인세 납부·환급</t>
        </is>
      </c>
      <c r="C237" s="20" t="n">
        <v>-854</v>
      </c>
      <c r="E237" s="20" t="n">
        <v>-1476</v>
      </c>
      <c r="G237" s="20" t="n">
        <v>-1106</v>
      </c>
      <c r="I237" s="20" t="n">
        <v>-1939</v>
      </c>
      <c r="K237" s="20" t="n">
        <v>-1239</v>
      </c>
      <c r="M237" s="20" t="n">
        <v>-2292</v>
      </c>
      <c r="S237" s="20" t="n">
        <v>-1592</v>
      </c>
      <c r="T237" s="20" t="n">
        <v>-247</v>
      </c>
      <c r="U237" s="20" t="n">
        <v>-1026</v>
      </c>
      <c r="V237" s="20" t="n">
        <v>-1476</v>
      </c>
      <c r="W237" s="20" t="n">
        <v>-1939</v>
      </c>
      <c r="X237" s="20" t="n">
        <v>-2292</v>
      </c>
    </row>
    <row r="238">
      <c r="A238" s="9" t="inlineStr">
        <is>
          <t>영업활동 현금흐름</t>
        </is>
      </c>
      <c r="C238" s="12" t="n">
        <v>6562</v>
      </c>
      <c r="E238" s="12" t="n">
        <v>9671</v>
      </c>
      <c r="G238" s="12" t="n">
        <v>6594</v>
      </c>
      <c r="I238" s="12" t="n">
        <v>8430</v>
      </c>
      <c r="K238" s="12" t="n">
        <v>5957</v>
      </c>
      <c r="M238" s="12" t="n">
        <v>9169</v>
      </c>
      <c r="O238" s="12" t="n">
        <v>7894</v>
      </c>
      <c r="P238" s="12" t="n">
        <v>9970</v>
      </c>
      <c r="Q238" s="12" t="n">
        <v>10375</v>
      </c>
      <c r="R238" s="12" t="n">
        <v>9632</v>
      </c>
      <c r="S238" s="12" t="n">
        <v>40</v>
      </c>
      <c r="T238" s="12" t="n">
        <v>11753</v>
      </c>
      <c r="U238" s="12" t="n">
        <v>4891</v>
      </c>
      <c r="V238" s="12" t="n">
        <v>9671</v>
      </c>
      <c r="W238" s="12" t="n">
        <v>8430</v>
      </c>
      <c r="X238" s="12" t="n">
        <v>9169</v>
      </c>
    </row>
    <row r="239">
      <c r="A239" s="18" t="inlineStr">
        <is>
          <t>정기예금 예입</t>
        </is>
      </c>
      <c r="C239" s="20" t="n">
        <v>-106</v>
      </c>
      <c r="E239" s="20" t="n">
        <v>-209</v>
      </c>
      <c r="G239" s="20" t="n">
        <v>-206</v>
      </c>
      <c r="I239" s="20" t="n">
        <v>-206</v>
      </c>
      <c r="K239" s="20" t="n">
        <v>0</v>
      </c>
      <c r="M239" s="20" t="n">
        <v>0</v>
      </c>
      <c r="O239" s="20" t="n">
        <v>-200</v>
      </c>
      <c r="P239" s="20" t="n">
        <v>-200</v>
      </c>
      <c r="Q239" s="20" t="n">
        <v>-200</v>
      </c>
      <c r="R239" s="20" t="n">
        <v>-200</v>
      </c>
      <c r="S239" s="20" t="n">
        <v>-200</v>
      </c>
      <c r="T239" s="20" t="n">
        <v>-200</v>
      </c>
      <c r="U239" s="20" t="n">
        <v>-207</v>
      </c>
      <c r="V239" s="20" t="n">
        <v>-209</v>
      </c>
      <c r="W239" s="20" t="n">
        <v>-206</v>
      </c>
      <c r="X239" s="20" t="n">
        <v>0</v>
      </c>
    </row>
    <row r="240">
      <c r="A240" s="18" t="inlineStr">
        <is>
          <t>정기예금 인출</t>
        </is>
      </c>
      <c r="C240" s="20" t="n">
        <v>104</v>
      </c>
      <c r="E240" s="20" t="n">
        <v>215</v>
      </c>
      <c r="G240" s="20" t="n">
        <v>207</v>
      </c>
      <c r="I240" s="20" t="n">
        <v>407</v>
      </c>
      <c r="K240" s="20" t="n">
        <v>0</v>
      </c>
      <c r="M240" s="20" t="n">
        <v>0</v>
      </c>
      <c r="O240" s="20" t="n">
        <v>229</v>
      </c>
      <c r="P240" s="20" t="n">
        <v>200</v>
      </c>
      <c r="Q240" s="20" t="n">
        <v>200</v>
      </c>
      <c r="R240" s="20" t="n">
        <v>200</v>
      </c>
      <c r="S240" s="20" t="n">
        <v>200</v>
      </c>
      <c r="T240" s="20" t="n">
        <v>200</v>
      </c>
      <c r="U240" s="20" t="n">
        <v>200</v>
      </c>
      <c r="V240" s="20" t="n">
        <v>215</v>
      </c>
      <c r="W240" s="20" t="n">
        <v>407</v>
      </c>
      <c r="X240" s="20" t="n">
        <v>0</v>
      </c>
    </row>
    <row r="241">
      <c r="A241" s="18" t="inlineStr">
        <is>
          <t>고정자산 취득</t>
        </is>
      </c>
      <c r="C241" s="20" t="n">
        <v>-1659</v>
      </c>
      <c r="E241" s="20" t="n">
        <v>-6110</v>
      </c>
      <c r="G241" s="20" t="n">
        <v>-4850</v>
      </c>
      <c r="I241" s="20" t="n">
        <v>-13467</v>
      </c>
      <c r="K241" s="20" t="n">
        <v>-6497</v>
      </c>
      <c r="M241" s="20" t="n">
        <v>-14222</v>
      </c>
      <c r="O241" s="20" t="n">
        <v>-8316</v>
      </c>
      <c r="P241" s="20" t="n">
        <v>-6421</v>
      </c>
      <c r="Q241" s="20" t="n">
        <v>-5058</v>
      </c>
      <c r="R241" s="20" t="n">
        <v>-8268</v>
      </c>
      <c r="S241" s="20" t="n">
        <v>-6210</v>
      </c>
      <c r="T241" s="20" t="n">
        <v>-6487</v>
      </c>
      <c r="U241" s="20" t="n">
        <v>-7927</v>
      </c>
      <c r="V241" s="20" t="n">
        <v>-6110</v>
      </c>
      <c r="W241" s="20" t="n">
        <v>-13467</v>
      </c>
      <c r="X241" s="20" t="n">
        <v>-14222</v>
      </c>
    </row>
    <row r="242">
      <c r="A242" s="18" t="inlineStr">
        <is>
          <t>고정자산 매각</t>
        </is>
      </c>
      <c r="C242" s="20" t="n">
        <v>8</v>
      </c>
      <c r="E242" s="20" t="n">
        <v>173</v>
      </c>
      <c r="G242" s="20" t="n">
        <v>89</v>
      </c>
      <c r="I242" s="20" t="n">
        <v>584</v>
      </c>
      <c r="K242" s="20" t="n">
        <v>23</v>
      </c>
      <c r="M242" s="20" t="n">
        <v>101</v>
      </c>
      <c r="O242" s="20" t="n">
        <v>357</v>
      </c>
      <c r="P242" s="20" t="n">
        <v>442</v>
      </c>
      <c r="Q242" s="20" t="n">
        <v>122</v>
      </c>
      <c r="R242" s="20" t="n">
        <v>142</v>
      </c>
      <c r="S242" s="20" t="n">
        <v>48</v>
      </c>
      <c r="T242" s="20" t="n">
        <v>1300</v>
      </c>
      <c r="U242" s="20" t="n">
        <v>1128</v>
      </c>
      <c r="V242" s="20" t="n">
        <v>173</v>
      </c>
      <c r="W242" s="20" t="n">
        <v>584</v>
      </c>
      <c r="X242" s="20" t="n">
        <v>101</v>
      </c>
    </row>
    <row r="243">
      <c r="A243" s="18" t="inlineStr">
        <is>
          <t>자산복구부채 이행 지출</t>
        </is>
      </c>
      <c r="C243" s="20" t="n">
        <v>0</v>
      </c>
      <c r="E243" s="20" t="n">
        <v>-137</v>
      </c>
      <c r="G243" s="20" t="n">
        <v>-108</v>
      </c>
      <c r="I243" s="20" t="n">
        <v>-295</v>
      </c>
      <c r="K243" s="20" t="n">
        <v>0</v>
      </c>
      <c r="M243" s="20" t="n">
        <v>-34</v>
      </c>
      <c r="Q243" s="20" t="n">
        <v>0</v>
      </c>
      <c r="R243" s="20" t="n">
        <v>-6</v>
      </c>
      <c r="S243" s="20" t="n">
        <v>-57</v>
      </c>
      <c r="T243" s="20" t="n">
        <v>-61</v>
      </c>
      <c r="U243" s="20" t="n">
        <v>0</v>
      </c>
      <c r="V243" s="20" t="n">
        <v>-137</v>
      </c>
      <c r="W243" s="20" t="n">
        <v>-295</v>
      </c>
      <c r="X243" s="20" t="n">
        <v>-34</v>
      </c>
    </row>
    <row r="244">
      <c r="A244" s="18" t="inlineStr">
        <is>
          <t>투자유가증권 취득</t>
        </is>
      </c>
      <c r="C244" s="20" t="n">
        <v>-1</v>
      </c>
      <c r="E244" s="20" t="n">
        <v>-3</v>
      </c>
      <c r="G244" s="20" t="n">
        <v>-2</v>
      </c>
      <c r="I244" s="20" t="n">
        <v>-3</v>
      </c>
      <c r="K244" s="20" t="n">
        <v>-2</v>
      </c>
      <c r="M244" s="20" t="n">
        <v>-5</v>
      </c>
      <c r="O244" s="20" t="n">
        <v>-35</v>
      </c>
      <c r="P244" s="20" t="n">
        <v>-30</v>
      </c>
      <c r="Q244" s="20" t="n">
        <v>-44</v>
      </c>
      <c r="R244" s="20" t="n">
        <v>-2</v>
      </c>
      <c r="S244" s="20" t="n">
        <v>-3</v>
      </c>
      <c r="T244" s="20" t="n">
        <v>-2</v>
      </c>
      <c r="U244" s="20" t="n">
        <v>-3</v>
      </c>
      <c r="V244" s="20" t="n">
        <v>-3</v>
      </c>
      <c r="W244" s="20" t="n">
        <v>-3</v>
      </c>
      <c r="X244" s="20" t="n">
        <v>-5</v>
      </c>
    </row>
    <row r="245">
      <c r="A245" s="18" t="inlineStr">
        <is>
          <t>투자유가증권 매각</t>
        </is>
      </c>
      <c r="C245" s="20" t="n">
        <v>9</v>
      </c>
      <c r="E245" s="20" t="n">
        <v>242</v>
      </c>
      <c r="G245" s="20" t="n">
        <v>0</v>
      </c>
      <c r="I245" s="20" t="n">
        <v>165</v>
      </c>
      <c r="M245" s="20" t="n">
        <v>64</v>
      </c>
      <c r="O245" s="20" t="n">
        <v>134</v>
      </c>
      <c r="P245" s="20" t="n">
        <v>0</v>
      </c>
      <c r="Q245" s="20" t="n">
        <v>0</v>
      </c>
      <c r="R245" s="20" t="n">
        <v>0</v>
      </c>
      <c r="S245" s="20" t="n">
        <v>8</v>
      </c>
      <c r="T245" s="20" t="n">
        <v>956</v>
      </c>
      <c r="U245" s="20" t="n">
        <v>309</v>
      </c>
      <c r="V245" s="20" t="n">
        <v>242</v>
      </c>
      <c r="W245" s="20" t="n">
        <v>165</v>
      </c>
      <c r="X245" s="20" t="n">
        <v>64</v>
      </c>
    </row>
    <row r="246">
      <c r="A246" s="18" t="inlineStr">
        <is>
          <t>투자유가증권 상환</t>
        </is>
      </c>
      <c r="C246" s="20" t="n">
        <v>0</v>
      </c>
      <c r="E246" s="20" t="n">
        <v>0</v>
      </c>
      <c r="P246" s="20" t="n">
        <v>0</v>
      </c>
      <c r="Q246" s="20" t="n">
        <v>26</v>
      </c>
      <c r="R246" s="20" t="n">
        <v>30</v>
      </c>
      <c r="S246" s="20" t="n">
        <v>0</v>
      </c>
      <c r="T246" s="20" t="n">
        <v>0</v>
      </c>
      <c r="U246" s="20" t="n">
        <v>11</v>
      </c>
      <c r="V246" s="20" t="n">
        <v>0</v>
      </c>
    </row>
    <row r="247">
      <c r="A247" s="18" t="inlineStr">
        <is>
          <t>연결범위 변경 자회사 주식 취득(수입)</t>
        </is>
      </c>
      <c r="E247" s="20" t="n">
        <v>0</v>
      </c>
      <c r="T247" s="20" t="n">
        <v>0</v>
      </c>
      <c r="U247" s="20" t="n">
        <v>13</v>
      </c>
      <c r="V247" s="20" t="n">
        <v>0</v>
      </c>
    </row>
    <row r="248">
      <c r="A248" s="18" t="inlineStr">
        <is>
          <t>연결범위 변경 자회사 주식 취득</t>
        </is>
      </c>
      <c r="G248" s="20" t="n">
        <v>0</v>
      </c>
      <c r="I248" s="20" t="n">
        <v>0</v>
      </c>
      <c r="K248" s="20" t="n">
        <v>-169</v>
      </c>
      <c r="M248" s="20" t="n">
        <v>-2871</v>
      </c>
      <c r="Q248" s="20" t="n">
        <v>0</v>
      </c>
      <c r="R248" s="20" t="n">
        <v>-48</v>
      </c>
      <c r="S248" s="20" t="n">
        <v>0</v>
      </c>
      <c r="W248" s="20" t="n">
        <v>0</v>
      </c>
      <c r="X248" s="20" t="n">
        <v>-2871</v>
      </c>
    </row>
    <row r="249">
      <c r="A249" s="18" t="inlineStr">
        <is>
          <t>Payments Of Short Term Loans Receivable Inv CF</t>
        </is>
      </c>
      <c r="C249" s="20" t="n">
        <v>-2</v>
      </c>
      <c r="E249" s="20" t="n">
        <v>-0</v>
      </c>
      <c r="G249" s="20" t="n">
        <v>-4</v>
      </c>
      <c r="I249" s="20" t="n">
        <v>-9</v>
      </c>
      <c r="K249" s="20" t="n">
        <v>-5</v>
      </c>
      <c r="M249" s="20" t="n">
        <v>-10</v>
      </c>
      <c r="O249" s="20" t="n">
        <v>-67</v>
      </c>
      <c r="P249" s="20" t="n">
        <v>-7</v>
      </c>
      <c r="Q249" s="20" t="n">
        <v>-7</v>
      </c>
      <c r="R249" s="20" t="n">
        <v>-16</v>
      </c>
      <c r="S249" s="20" t="n">
        <v>-40</v>
      </c>
      <c r="T249" s="20" t="n">
        <v>-6</v>
      </c>
      <c r="U249" s="20" t="n">
        <v>-85</v>
      </c>
      <c r="V249" s="20" t="n">
        <v>-0</v>
      </c>
      <c r="W249" s="20" t="n">
        <v>-9</v>
      </c>
      <c r="X249" s="20" t="n">
        <v>-10</v>
      </c>
    </row>
    <row r="250">
      <c r="A250" s="18" t="inlineStr">
        <is>
          <t>Collection Of Short Term Loans Receivable Inv CF</t>
        </is>
      </c>
      <c r="C250" s="20" t="n">
        <v>0</v>
      </c>
      <c r="E250" s="20" t="n">
        <v>40</v>
      </c>
      <c r="G250" s="20" t="n">
        <v>0</v>
      </c>
      <c r="I250" s="20" t="n">
        <v>88</v>
      </c>
      <c r="K250" s="20" t="n">
        <v>0</v>
      </c>
      <c r="M250" s="20" t="n">
        <v>70</v>
      </c>
      <c r="O250" s="20" t="n">
        <v>120</v>
      </c>
      <c r="P250" s="20" t="n">
        <v>37</v>
      </c>
      <c r="Q250" s="20" t="n">
        <v>27</v>
      </c>
      <c r="R250" s="20" t="n">
        <v>26</v>
      </c>
      <c r="S250" s="20" t="n">
        <v>0</v>
      </c>
      <c r="T250" s="20" t="n">
        <v>66</v>
      </c>
      <c r="U250" s="20" t="n">
        <v>45</v>
      </c>
      <c r="V250" s="20" t="n">
        <v>40</v>
      </c>
      <c r="W250" s="20" t="n">
        <v>88</v>
      </c>
      <c r="X250" s="20" t="n">
        <v>70</v>
      </c>
    </row>
    <row r="251">
      <c r="A251" s="18" t="inlineStr">
        <is>
          <t>장기대여</t>
        </is>
      </c>
      <c r="C251" s="20" t="n">
        <v>-1</v>
      </c>
      <c r="E251" s="20" t="n">
        <v>-2</v>
      </c>
      <c r="G251" s="20" t="n">
        <v>-2</v>
      </c>
      <c r="I251" s="20" t="n">
        <v>-3</v>
      </c>
      <c r="K251" s="20" t="n">
        <v>-1</v>
      </c>
      <c r="M251" s="20" t="n">
        <v>-4</v>
      </c>
      <c r="O251" s="20" t="n">
        <v>-1</v>
      </c>
      <c r="P251" s="20" t="n">
        <v>-0</v>
      </c>
      <c r="Q251" s="20" t="n">
        <v>-3</v>
      </c>
      <c r="R251" s="20" t="n">
        <v>-4</v>
      </c>
      <c r="S251" s="20" t="n">
        <v>-5</v>
      </c>
      <c r="T251" s="20" t="n">
        <v>-4</v>
      </c>
      <c r="U251" s="20" t="n">
        <v>-2</v>
      </c>
      <c r="V251" s="20" t="n">
        <v>-2</v>
      </c>
      <c r="W251" s="20" t="n">
        <v>-3</v>
      </c>
      <c r="X251" s="20" t="n">
        <v>-4</v>
      </c>
    </row>
    <row r="252">
      <c r="A252" s="18" t="inlineStr">
        <is>
          <t>장기대여금 회수</t>
        </is>
      </c>
      <c r="C252" s="20" t="n">
        <v>0</v>
      </c>
      <c r="E252" s="20" t="n">
        <v>0</v>
      </c>
      <c r="G252" s="20" t="n">
        <v>0</v>
      </c>
      <c r="I252" s="20" t="n">
        <v>0</v>
      </c>
      <c r="K252" s="20" t="n">
        <v>0</v>
      </c>
      <c r="M252" s="20" t="n">
        <v>0</v>
      </c>
      <c r="O252" s="20" t="n">
        <v>2</v>
      </c>
      <c r="P252" s="20" t="n">
        <v>0</v>
      </c>
      <c r="Q252" s="20" t="n">
        <v>0</v>
      </c>
      <c r="R252" s="20" t="n">
        <v>0</v>
      </c>
      <c r="S252" s="20" t="n">
        <v>3</v>
      </c>
      <c r="T252" s="20" t="n">
        <v>1</v>
      </c>
      <c r="U252" s="20" t="n">
        <v>0</v>
      </c>
      <c r="V252" s="20" t="n">
        <v>0</v>
      </c>
      <c r="W252" s="20" t="n">
        <v>0</v>
      </c>
      <c r="X252" s="20" t="n">
        <v>0</v>
      </c>
    </row>
    <row r="253">
      <c r="A253" s="9" t="inlineStr">
        <is>
          <t>투자활동 현금흐름</t>
        </is>
      </c>
      <c r="C253" s="12" t="n">
        <v>-1651</v>
      </c>
      <c r="E253" s="12" t="n">
        <v>-5792</v>
      </c>
      <c r="G253" s="12" t="n">
        <v>-4875</v>
      </c>
      <c r="I253" s="12" t="n">
        <v>-12739</v>
      </c>
      <c r="K253" s="12" t="n">
        <v>-6651</v>
      </c>
      <c r="M253" s="12" t="n">
        <v>-16912</v>
      </c>
      <c r="O253" s="12" t="n">
        <v>-7776</v>
      </c>
      <c r="P253" s="12" t="n">
        <v>-5979</v>
      </c>
      <c r="Q253" s="12" t="n">
        <v>-4937</v>
      </c>
      <c r="R253" s="12" t="n">
        <v>-8146</v>
      </c>
      <c r="S253" s="12" t="n">
        <v>-6257</v>
      </c>
      <c r="T253" s="12" t="n">
        <v>-4237</v>
      </c>
      <c r="U253" s="12" t="n">
        <v>-6518</v>
      </c>
      <c r="V253" s="12" t="n">
        <v>-5792</v>
      </c>
      <c r="W253" s="12" t="n">
        <v>-12739</v>
      </c>
      <c r="X253" s="12" t="n">
        <v>-16912</v>
      </c>
    </row>
    <row r="254">
      <c r="A254" s="18" t="inlineStr">
        <is>
          <t>단기차입금 순증감</t>
        </is>
      </c>
      <c r="C254" s="20" t="n">
        <v>-1997</v>
      </c>
      <c r="E254" s="20" t="n">
        <v>-4389</v>
      </c>
      <c r="G254" s="20" t="n">
        <v>765</v>
      </c>
      <c r="I254" s="20" t="n">
        <v>2676</v>
      </c>
      <c r="K254" s="20" t="n">
        <v>-224</v>
      </c>
      <c r="M254" s="20" t="n">
        <v>5651</v>
      </c>
      <c r="O254" s="20" t="n">
        <v>-1673</v>
      </c>
      <c r="P254" s="20" t="n">
        <v>178</v>
      </c>
      <c r="Q254" s="20" t="n">
        <v>2081</v>
      </c>
      <c r="R254" s="20" t="n">
        <v>1044</v>
      </c>
      <c r="S254" s="20" t="n">
        <v>-4452</v>
      </c>
      <c r="T254" s="20" t="n">
        <v>-4613</v>
      </c>
      <c r="U254" s="20" t="n">
        <v>7224</v>
      </c>
      <c r="V254" s="20" t="n">
        <v>-4389</v>
      </c>
      <c r="W254" s="20" t="n">
        <v>2676</v>
      </c>
      <c r="X254" s="20" t="n">
        <v>5651</v>
      </c>
    </row>
    <row r="255">
      <c r="A255" s="18" t="inlineStr">
        <is>
          <t>리스부채 상환</t>
        </is>
      </c>
      <c r="C255" s="20" t="n">
        <v>-721</v>
      </c>
      <c r="E255" s="20" t="n">
        <v>-1398</v>
      </c>
      <c r="G255" s="20" t="n">
        <v>-485</v>
      </c>
      <c r="I255" s="20" t="n">
        <v>-811</v>
      </c>
      <c r="K255" s="20" t="n">
        <v>-142</v>
      </c>
      <c r="M255" s="20" t="n">
        <v>-313</v>
      </c>
      <c r="O255" s="20" t="n">
        <v>-804</v>
      </c>
      <c r="P255" s="20" t="n">
        <v>-857</v>
      </c>
      <c r="Q255" s="20" t="n">
        <v>-921</v>
      </c>
      <c r="R255" s="20" t="n">
        <v>-1370</v>
      </c>
      <c r="S255" s="20" t="n">
        <v>-1773</v>
      </c>
      <c r="T255" s="20" t="n">
        <v>-1631</v>
      </c>
      <c r="U255" s="20" t="n">
        <v>-1569</v>
      </c>
      <c r="V255" s="20" t="n">
        <v>-1398</v>
      </c>
      <c r="W255" s="20" t="n">
        <v>-811</v>
      </c>
      <c r="X255" s="20" t="n">
        <v>-313</v>
      </c>
    </row>
    <row r="256">
      <c r="A256" s="18" t="inlineStr">
        <is>
          <t>장기차입</t>
        </is>
      </c>
      <c r="C256" s="20" t="n">
        <v>800</v>
      </c>
      <c r="E256" s="20" t="n">
        <v>8300</v>
      </c>
      <c r="G256" s="20" t="n">
        <v>0</v>
      </c>
      <c r="I256" s="20" t="n">
        <v>9000</v>
      </c>
      <c r="K256" s="20" t="n">
        <v>3000</v>
      </c>
      <c r="M256" s="20" t="n">
        <v>15100</v>
      </c>
      <c r="O256" s="20" t="n">
        <v>2500</v>
      </c>
      <c r="P256" s="20" t="n">
        <v>4500</v>
      </c>
      <c r="Q256" s="20" t="n">
        <v>1800</v>
      </c>
      <c r="R256" s="20" t="n">
        <v>4250</v>
      </c>
      <c r="S256" s="20" t="n">
        <v>16900</v>
      </c>
      <c r="T256" s="20" t="n">
        <v>3600</v>
      </c>
      <c r="U256" s="20" t="n">
        <v>400</v>
      </c>
      <c r="V256" s="20" t="n">
        <v>8300</v>
      </c>
      <c r="W256" s="20" t="n">
        <v>9000</v>
      </c>
      <c r="X256" s="20" t="n">
        <v>15100</v>
      </c>
    </row>
    <row r="257">
      <c r="A257" s="18" t="inlineStr">
        <is>
          <t>장기차입금 상환</t>
        </is>
      </c>
      <c r="C257" s="20" t="n">
        <v>-2576</v>
      </c>
      <c r="E257" s="20" t="n">
        <v>-5352</v>
      </c>
      <c r="G257" s="20" t="n">
        <v>-1776</v>
      </c>
      <c r="I257" s="20" t="n">
        <v>-6437</v>
      </c>
      <c r="K257" s="20" t="n">
        <v>-2386</v>
      </c>
      <c r="M257" s="20" t="n">
        <v>-10117</v>
      </c>
      <c r="O257" s="20" t="n">
        <v>-4494</v>
      </c>
      <c r="P257" s="20" t="n">
        <v>-7196</v>
      </c>
      <c r="Q257" s="20" t="n">
        <v>-7381</v>
      </c>
      <c r="R257" s="20" t="n">
        <v>-5465</v>
      </c>
      <c r="S257" s="20" t="n">
        <v>-8047</v>
      </c>
      <c r="T257" s="20" t="n">
        <v>-3550</v>
      </c>
      <c r="U257" s="20" t="n">
        <v>-4717</v>
      </c>
      <c r="V257" s="20" t="n">
        <v>-5352</v>
      </c>
      <c r="W257" s="20" t="n">
        <v>-6437</v>
      </c>
      <c r="X257" s="20" t="n">
        <v>-10117</v>
      </c>
    </row>
    <row r="258">
      <c r="A258" s="18" t="inlineStr">
        <is>
          <t>사채 발행</t>
        </is>
      </c>
      <c r="E258" s="20" t="n">
        <v>0</v>
      </c>
      <c r="I258" s="20" t="n">
        <v>6965</v>
      </c>
      <c r="M258" s="20" t="n">
        <v>7962</v>
      </c>
      <c r="O258" s="20" t="n">
        <v>4968</v>
      </c>
      <c r="P258" s="20" t="n">
        <v>0</v>
      </c>
      <c r="Q258" s="20" t="n">
        <v>0</v>
      </c>
      <c r="R258" s="20" t="n">
        <v>4975</v>
      </c>
      <c r="S258" s="20" t="n">
        <v>9953</v>
      </c>
      <c r="T258" s="20" t="n">
        <v>0</v>
      </c>
      <c r="V258" s="20" t="n">
        <v>0</v>
      </c>
      <c r="W258" s="20" t="n">
        <v>6965</v>
      </c>
      <c r="X258" s="20" t="n">
        <v>7962</v>
      </c>
    </row>
    <row r="259">
      <c r="A259" s="18" t="inlineStr">
        <is>
          <t>사채 상환</t>
        </is>
      </c>
      <c r="E259" s="20" t="n">
        <v>0</v>
      </c>
      <c r="I259" s="20" t="n">
        <v>-5000</v>
      </c>
      <c r="M259" s="20" t="n">
        <v>-10000</v>
      </c>
      <c r="Q259" s="20" t="n">
        <v>0</v>
      </c>
      <c r="R259" s="20" t="n">
        <v>-5000</v>
      </c>
      <c r="S259" s="20" t="n">
        <v>-5000</v>
      </c>
      <c r="T259" s="20" t="n">
        <v>0</v>
      </c>
      <c r="V259" s="20" t="n">
        <v>0</v>
      </c>
      <c r="W259" s="20" t="n">
        <v>-5000</v>
      </c>
      <c r="X259" s="20" t="n">
        <v>-10000</v>
      </c>
    </row>
    <row r="260">
      <c r="A260" s="18" t="inlineStr">
        <is>
          <t>자기주식 취득</t>
        </is>
      </c>
      <c r="C260" s="20" t="n">
        <v>-0</v>
      </c>
      <c r="E260" s="20" t="n">
        <v>-0</v>
      </c>
      <c r="G260" s="20" t="n">
        <v>-0</v>
      </c>
      <c r="I260" s="20" t="n">
        <v>-1</v>
      </c>
      <c r="K260" s="20" t="n">
        <v>-0</v>
      </c>
      <c r="M260" s="20" t="n">
        <v>-0</v>
      </c>
      <c r="O260" s="20" t="n">
        <v>-2</v>
      </c>
      <c r="P260" s="20" t="n">
        <v>-3</v>
      </c>
      <c r="Q260" s="20" t="n">
        <v>-226</v>
      </c>
      <c r="R260" s="20" t="n">
        <v>-0</v>
      </c>
      <c r="S260" s="20" t="n">
        <v>0</v>
      </c>
      <c r="T260" s="20" t="n">
        <v>-0</v>
      </c>
      <c r="U260" s="20" t="n">
        <v>-0</v>
      </c>
      <c r="V260" s="20" t="n">
        <v>-0</v>
      </c>
      <c r="W260" s="20" t="n">
        <v>-1</v>
      </c>
      <c r="X260" s="20" t="n">
        <v>-0</v>
      </c>
    </row>
    <row r="261">
      <c r="A261" s="18" t="inlineStr">
        <is>
          <t>연결범위 변경 없는 자회사 주식 취득</t>
        </is>
      </c>
      <c r="P261" s="20" t="n">
        <v>0</v>
      </c>
      <c r="Q261" s="20" t="n">
        <v>-28</v>
      </c>
      <c r="R261" s="20" t="n">
        <v>0</v>
      </c>
      <c r="S261" s="20" t="n">
        <v>-688</v>
      </c>
      <c r="T261" s="20" t="n">
        <v>-37</v>
      </c>
      <c r="U261" s="20" t="n">
        <v>0</v>
      </c>
    </row>
    <row r="262">
      <c r="A262" s="18" t="inlineStr">
        <is>
          <t>배당금 지급</t>
        </is>
      </c>
      <c r="C262" s="20" t="n">
        <v>-245</v>
      </c>
      <c r="E262" s="20" t="n">
        <v>-489</v>
      </c>
      <c r="G262" s="20" t="n">
        <v>-488</v>
      </c>
      <c r="I262" s="20" t="n">
        <v>-976</v>
      </c>
      <c r="K262" s="20" t="n">
        <v>-612</v>
      </c>
      <c r="M262" s="20" t="n">
        <v>-1161</v>
      </c>
      <c r="O262" s="20" t="n">
        <v>-431</v>
      </c>
      <c r="P262" s="20" t="n">
        <v>-430</v>
      </c>
      <c r="Q262" s="20" t="n">
        <v>-430</v>
      </c>
      <c r="R262" s="20" t="n">
        <v>-520</v>
      </c>
      <c r="S262" s="20" t="n">
        <v>-246</v>
      </c>
      <c r="T262" s="20" t="n">
        <v>-490</v>
      </c>
      <c r="U262" s="20" t="n">
        <v>-490</v>
      </c>
      <c r="V262" s="20" t="n">
        <v>-489</v>
      </c>
      <c r="W262" s="20" t="n">
        <v>-976</v>
      </c>
      <c r="X262" s="20" t="n">
        <v>-1161</v>
      </c>
    </row>
    <row r="263">
      <c r="A263" s="18" t="inlineStr">
        <is>
          <t>비지배주주 배당금 지급</t>
        </is>
      </c>
      <c r="C263" s="20" t="n">
        <v>-2</v>
      </c>
      <c r="E263" s="20" t="n">
        <v>-2</v>
      </c>
      <c r="G263" s="20" t="n">
        <v>-2</v>
      </c>
      <c r="I263" s="20" t="n">
        <v>-2</v>
      </c>
      <c r="K263" s="20" t="n">
        <v>-136</v>
      </c>
      <c r="M263" s="20" t="n">
        <v>-136</v>
      </c>
      <c r="O263" s="20" t="n">
        <v>-4</v>
      </c>
      <c r="P263" s="20" t="n">
        <v>-3</v>
      </c>
      <c r="Q263" s="20" t="n">
        <v>-3</v>
      </c>
      <c r="R263" s="20" t="n">
        <v>-3</v>
      </c>
      <c r="S263" s="20" t="n">
        <v>-3</v>
      </c>
      <c r="T263" s="20" t="n">
        <v>-2</v>
      </c>
      <c r="U263" s="20" t="n">
        <v>-2</v>
      </c>
      <c r="V263" s="20" t="n">
        <v>-2</v>
      </c>
      <c r="W263" s="20" t="n">
        <v>-2</v>
      </c>
      <c r="X263" s="20" t="n">
        <v>-136</v>
      </c>
    </row>
    <row r="264">
      <c r="A264" s="9" t="inlineStr">
        <is>
          <t>재무활동 현금흐름</t>
        </is>
      </c>
      <c r="C264" s="12" t="n">
        <v>-4742</v>
      </c>
      <c r="E264" s="12" t="n">
        <v>-3331</v>
      </c>
      <c r="G264" s="12" t="n">
        <v>-1987</v>
      </c>
      <c r="I264" s="12" t="n">
        <v>5412</v>
      </c>
      <c r="K264" s="12" t="n">
        <v>-500</v>
      </c>
      <c r="M264" s="12" t="n">
        <v>6985</v>
      </c>
      <c r="O264" s="12" t="n">
        <v>57</v>
      </c>
      <c r="P264" s="12" t="n">
        <v>-3813</v>
      </c>
      <c r="Q264" s="12" t="n">
        <v>-5110</v>
      </c>
      <c r="R264" s="12" t="n">
        <v>-2091</v>
      </c>
      <c r="S264" s="12" t="n">
        <v>6640</v>
      </c>
      <c r="T264" s="12" t="n">
        <v>-6726</v>
      </c>
      <c r="U264" s="12" t="n">
        <v>843</v>
      </c>
      <c r="V264" s="12" t="n">
        <v>-3331</v>
      </c>
      <c r="W264" s="12" t="n">
        <v>5412</v>
      </c>
      <c r="X264" s="12" t="n">
        <v>6985</v>
      </c>
    </row>
    <row r="265">
      <c r="A265" s="18" t="inlineStr">
        <is>
          <t>현금성자산 증감</t>
        </is>
      </c>
      <c r="C265" s="20" t="n">
        <v>168</v>
      </c>
      <c r="E265" s="20" t="n">
        <v>547</v>
      </c>
      <c r="G265" s="20" t="n">
        <v>-268</v>
      </c>
      <c r="I265" s="20" t="n">
        <v>1103</v>
      </c>
      <c r="K265" s="20" t="n">
        <v>-1194</v>
      </c>
      <c r="M265" s="20" t="n">
        <v>-757</v>
      </c>
      <c r="O265" s="20" t="n">
        <v>175</v>
      </c>
      <c r="P265" s="20" t="n">
        <v>177</v>
      </c>
      <c r="Q265" s="20" t="n">
        <v>327</v>
      </c>
      <c r="R265" s="20" t="n">
        <v>-604</v>
      </c>
      <c r="S265" s="20" t="n">
        <v>423</v>
      </c>
      <c r="T265" s="20" t="n">
        <v>789</v>
      </c>
      <c r="U265" s="20" t="n">
        <v>-783</v>
      </c>
      <c r="V265" s="20" t="n">
        <v>547</v>
      </c>
      <c r="W265" s="20" t="n">
        <v>1103</v>
      </c>
      <c r="X265" s="20" t="n">
        <v>-757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9081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31422</v>
      </c>
      <c r="D5" s="12" t="n">
        <v>32726</v>
      </c>
      <c r="E5" s="12" t="n">
        <v>33966</v>
      </c>
      <c r="F5" s="12" t="n">
        <v>34213</v>
      </c>
      <c r="G5" s="12" t="n">
        <v>34041</v>
      </c>
      <c r="H5" s="11" t="n">
        <v>18431</v>
      </c>
      <c r="I5" s="12" t="n">
        <v>25205</v>
      </c>
      <c r="J5" s="12" t="n">
        <v>30075</v>
      </c>
      <c r="K5" s="12" t="n">
        <v>31874</v>
      </c>
      <c r="L5" s="12" t="n">
        <v>34213</v>
      </c>
    </row>
    <row r="6">
      <c r="A6" s="18" t="inlineStr">
        <is>
          <t>현금및현금성자산</t>
        </is>
      </c>
      <c r="B6" s="10" t="n"/>
      <c r="C6" s="19" t="n">
        <v>3145</v>
      </c>
      <c r="D6" s="20" t="n">
        <v>3077</v>
      </c>
      <c r="E6" s="20" t="n">
        <v>3702</v>
      </c>
      <c r="F6" s="20" t="n">
        <v>3514</v>
      </c>
      <c r="G6" s="20" t="n">
        <v>2895</v>
      </c>
      <c r="H6" s="19" t="n">
        <v>3604</v>
      </c>
      <c r="I6" s="20" t="n">
        <v>2829</v>
      </c>
      <c r="J6" s="20" t="n">
        <v>3370</v>
      </c>
      <c r="K6" s="20" t="n">
        <v>4272</v>
      </c>
      <c r="L6" s="20" t="n">
        <v>3514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9770</v>
      </c>
      <c r="D8" s="20" t="n">
        <v>10687</v>
      </c>
      <c r="E8" s="20" t="n">
        <v>10335</v>
      </c>
      <c r="F8" s="20" t="n">
        <v>10684</v>
      </c>
      <c r="G8" s="20" t="n">
        <v>10101</v>
      </c>
      <c r="H8" s="19" t="n">
        <v>7910</v>
      </c>
      <c r="I8" s="20" t="n">
        <v>9499</v>
      </c>
      <c r="J8" s="20" t="n">
        <v>10690</v>
      </c>
      <c r="K8" s="20" t="n">
        <v>9746</v>
      </c>
      <c r="L8" s="20" t="n">
        <v>10684</v>
      </c>
    </row>
    <row r="9">
      <c r="A9" s="18" t="inlineStr">
        <is>
          <t>재고자산</t>
        </is>
      </c>
      <c r="B9" s="10" t="n"/>
      <c r="C9" s="19" t="n">
        <v>15739</v>
      </c>
      <c r="D9" s="20" t="n">
        <v>16036</v>
      </c>
      <c r="E9" s="20" t="n">
        <v>16131</v>
      </c>
      <c r="F9" s="20" t="n">
        <v>16475</v>
      </c>
      <c r="G9" s="20" t="n">
        <v>17373</v>
      </c>
      <c r="H9" s="19" t="n">
        <v>4035</v>
      </c>
      <c r="I9" s="20" t="n">
        <v>9766</v>
      </c>
      <c r="J9" s="20" t="n">
        <v>13548</v>
      </c>
      <c r="K9" s="20" t="n">
        <v>14953</v>
      </c>
      <c r="L9" s="20" t="n">
        <v>16475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133815</v>
      </c>
      <c r="D11" s="12" t="n">
        <v>139331</v>
      </c>
      <c r="E11" s="12" t="n">
        <v>143242</v>
      </c>
      <c r="F11" s="12" t="n">
        <v>151179</v>
      </c>
      <c r="G11" s="12" t="n">
        <v>153655</v>
      </c>
      <c r="H11" s="11" t="n">
        <v>128475</v>
      </c>
      <c r="I11" s="12" t="n">
        <v>125363</v>
      </c>
      <c r="J11" s="12" t="n">
        <v>129115</v>
      </c>
      <c r="K11" s="12" t="n">
        <v>133570</v>
      </c>
      <c r="L11" s="12" t="n">
        <v>151179</v>
      </c>
    </row>
    <row r="12">
      <c r="A12" s="18" t="inlineStr">
        <is>
          <t>유형자산</t>
        </is>
      </c>
      <c r="B12" s="10" t="n"/>
      <c r="C12" s="19" t="n">
        <v>111574</v>
      </c>
      <c r="D12" s="20" t="n">
        <v>115642</v>
      </c>
      <c r="E12" s="20" t="n">
        <v>117899</v>
      </c>
      <c r="F12" s="20" t="n">
        <v>125344</v>
      </c>
      <c r="G12" s="20" t="n">
        <v>124787</v>
      </c>
      <c r="H12" s="19" t="n">
        <v>108547</v>
      </c>
      <c r="I12" s="20" t="n">
        <v>107158</v>
      </c>
      <c r="J12" s="20" t="n">
        <v>106478</v>
      </c>
      <c r="K12" s="20" t="n">
        <v>111992</v>
      </c>
      <c r="L12" s="20" t="n">
        <v>125344</v>
      </c>
    </row>
    <row r="13">
      <c r="A13" s="18" t="inlineStr">
        <is>
          <t>무형자산</t>
        </is>
      </c>
      <c r="B13" s="10" t="n"/>
      <c r="C13" s="19" t="n">
        <v>922</v>
      </c>
      <c r="D13" s="20" t="n">
        <v>879</v>
      </c>
      <c r="E13" s="20" t="n">
        <v>841</v>
      </c>
      <c r="F13" s="20" t="n">
        <v>966</v>
      </c>
      <c r="G13" s="20" t="n">
        <v>911</v>
      </c>
      <c r="H13" s="19" t="n">
        <v>840</v>
      </c>
      <c r="I13" s="20" t="n">
        <v>932</v>
      </c>
      <c r="J13" s="20" t="n">
        <v>932</v>
      </c>
      <c r="K13" s="20" t="n">
        <v>950</v>
      </c>
      <c r="L13" s="20" t="n">
        <v>966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165237</v>
      </c>
      <c r="D16" s="12" t="n">
        <v>172058</v>
      </c>
      <c r="E16" s="12" t="n">
        <v>177209</v>
      </c>
      <c r="F16" s="12" t="n">
        <v>185392</v>
      </c>
      <c r="G16" s="12" t="n">
        <v>187697</v>
      </c>
      <c r="H16" s="11" t="n">
        <v>146906</v>
      </c>
      <c r="I16" s="12" t="n">
        <v>150568</v>
      </c>
      <c r="J16" s="12" t="n">
        <v>159191</v>
      </c>
      <c r="K16" s="12" t="n">
        <v>165444</v>
      </c>
      <c r="L16" s="12" t="n">
        <v>185392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56057</v>
      </c>
      <c r="D18" s="12" t="n">
        <v>57737</v>
      </c>
      <c r="E18" s="12" t="n">
        <v>53002</v>
      </c>
      <c r="F18" s="12" t="n">
        <v>52996</v>
      </c>
      <c r="G18" s="12" t="n">
        <v>52266</v>
      </c>
      <c r="H18" s="11" t="n">
        <v>32047</v>
      </c>
      <c r="I18" s="12" t="n">
        <v>43452</v>
      </c>
      <c r="J18" s="12" t="n">
        <v>49346</v>
      </c>
      <c r="K18" s="12" t="n">
        <v>56952</v>
      </c>
      <c r="L18" s="12" t="n">
        <v>52996</v>
      </c>
    </row>
    <row r="19">
      <c r="A19" s="18" t="inlineStr">
        <is>
          <t>매입채무</t>
        </is>
      </c>
      <c r="B19" s="10" t="n"/>
      <c r="C19" s="19" t="n">
        <v>6737</v>
      </c>
      <c r="D19" s="20" t="n">
        <v>7165</v>
      </c>
      <c r="E19" s="20" t="n">
        <v>7794</v>
      </c>
      <c r="F19" s="20" t="n">
        <v>8182</v>
      </c>
      <c r="G19" s="20" t="n">
        <v>6386</v>
      </c>
      <c r="H19" s="19" t="n">
        <v>5479</v>
      </c>
      <c r="I19" s="20" t="n">
        <v>7474</v>
      </c>
      <c r="J19" s="20" t="n">
        <v>8674</v>
      </c>
      <c r="K19" s="20" t="n">
        <v>7622</v>
      </c>
      <c r="L19" s="20" t="n">
        <v>8182</v>
      </c>
    </row>
    <row r="20">
      <c r="A20" s="18" t="inlineStr">
        <is>
          <t>단기차입금</t>
        </is>
      </c>
      <c r="B20" s="10" t="n"/>
      <c r="C20" s="19" t="n">
        <v>18380</v>
      </c>
      <c r="D20" s="20" t="n">
        <v>20378</v>
      </c>
      <c r="E20" s="20" t="n">
        <v>21961</v>
      </c>
      <c r="F20" s="20" t="n">
        <v>20883</v>
      </c>
      <c r="G20" s="20" t="n">
        <v>18564</v>
      </c>
      <c r="H20" s="19" t="n">
        <v>10220</v>
      </c>
      <c r="I20" s="20" t="n">
        <v>18079</v>
      </c>
      <c r="J20" s="20" t="n">
        <v>14776</v>
      </c>
      <c r="K20" s="20" t="n">
        <v>20982</v>
      </c>
      <c r="L20" s="20" t="n">
        <v>20883</v>
      </c>
    </row>
    <row r="21">
      <c r="A21" s="18" t="inlineStr">
        <is>
          <t>유동성장기부채</t>
        </is>
      </c>
      <c r="B21" s="10" t="n"/>
      <c r="C21" s="19" t="n">
        <v>10000</v>
      </c>
      <c r="D21" s="20" t="n">
        <v>10000</v>
      </c>
      <c r="E21" s="20" t="n">
        <v>5000</v>
      </c>
      <c r="F21" s="20" t="n">
        <v>5000</v>
      </c>
      <c r="G21" s="20" t="n">
        <v>5000</v>
      </c>
      <c r="H21" s="19" t="n"/>
      <c r="I21" s="20" t="n">
        <v>0</v>
      </c>
      <c r="J21" s="20" t="n">
        <v>5000</v>
      </c>
      <c r="K21" s="20" t="n">
        <v>10000</v>
      </c>
      <c r="L21" s="20" t="n">
        <v>5000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44159</v>
      </c>
      <c r="D23" s="12" t="n">
        <v>46817</v>
      </c>
      <c r="E23" s="12" t="n">
        <v>54709</v>
      </c>
      <c r="F23" s="12" t="n">
        <v>62734</v>
      </c>
      <c r="G23" s="12" t="n">
        <v>62454</v>
      </c>
      <c r="H23" s="11" t="n">
        <v>61698</v>
      </c>
      <c r="I23" s="12" t="n">
        <v>54236</v>
      </c>
      <c r="J23" s="12" t="n">
        <v>50138</v>
      </c>
      <c r="K23" s="12" t="n">
        <v>45089</v>
      </c>
      <c r="L23" s="12" t="n">
        <v>62734</v>
      </c>
    </row>
    <row r="24">
      <c r="A24" s="18" t="inlineStr">
        <is>
          <t>장기차입금</t>
        </is>
      </c>
      <c r="B24" s="10" t="n"/>
      <c r="C24" s="19" t="n">
        <v>16487</v>
      </c>
      <c r="D24" s="20" t="n">
        <v>18359</v>
      </c>
      <c r="E24" s="20" t="n">
        <v>22332</v>
      </c>
      <c r="F24" s="20" t="n">
        <v>29579</v>
      </c>
      <c r="G24" s="20" t="n">
        <v>28316</v>
      </c>
      <c r="H24" s="19" t="n">
        <v>21423</v>
      </c>
      <c r="I24" s="20" t="n">
        <v>16471</v>
      </c>
      <c r="J24" s="20" t="n">
        <v>18333</v>
      </c>
      <c r="K24" s="20" t="n">
        <v>17366</v>
      </c>
      <c r="L24" s="20" t="n">
        <v>29579</v>
      </c>
    </row>
    <row r="25">
      <c r="A25" s="18" t="inlineStr">
        <is>
          <t>사채</t>
        </is>
      </c>
      <c r="B25" s="10" t="n"/>
      <c r="C25" s="19" t="n">
        <v>12000</v>
      </c>
      <c r="D25" s="20" t="n">
        <v>12000</v>
      </c>
      <c r="E25" s="20" t="n">
        <v>15000</v>
      </c>
      <c r="F25" s="20" t="n">
        <v>15000</v>
      </c>
      <c r="G25" s="20" t="n">
        <v>15000</v>
      </c>
      <c r="H25" s="19" t="n">
        <v>20000</v>
      </c>
      <c r="I25" s="20" t="n">
        <v>20000</v>
      </c>
      <c r="J25" s="20" t="n">
        <v>15000</v>
      </c>
      <c r="K25" s="20" t="n">
        <v>12000</v>
      </c>
      <c r="L25" s="20" t="n">
        <v>15000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100217</v>
      </c>
      <c r="D27" s="12" t="n">
        <v>104555</v>
      </c>
      <c r="E27" s="12" t="n">
        <v>107712</v>
      </c>
      <c r="F27" s="12" t="n">
        <v>115731</v>
      </c>
      <c r="G27" s="12" t="n">
        <v>114721</v>
      </c>
      <c r="H27" s="11" t="n">
        <v>93746</v>
      </c>
      <c r="I27" s="12" t="n">
        <v>97689</v>
      </c>
      <c r="J27" s="12" t="n">
        <v>99484</v>
      </c>
      <c r="K27" s="12" t="n">
        <v>102042</v>
      </c>
      <c r="L27" s="12" t="n">
        <v>115731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59265</v>
      </c>
      <c r="D31" s="12" t="n">
        <v>61576</v>
      </c>
      <c r="E31" s="12" t="n">
        <v>63349</v>
      </c>
      <c r="F31" s="12" t="n">
        <v>63327</v>
      </c>
      <c r="G31" s="12" t="n">
        <v>66587</v>
      </c>
      <c r="H31" s="11" t="n">
        <v>48741</v>
      </c>
      <c r="I31" s="12" t="n">
        <v>48236</v>
      </c>
      <c r="J31" s="12" t="n">
        <v>54605</v>
      </c>
      <c r="K31" s="12" t="n">
        <v>57728</v>
      </c>
      <c r="L31" s="12" t="n">
        <v>63327</v>
      </c>
    </row>
    <row r="32">
      <c r="A32" s="18" t="inlineStr">
        <is>
          <t>자본금</t>
        </is>
      </c>
      <c r="B32" s="10" t="n"/>
      <c r="C32" s="19" t="n">
        <v>3160</v>
      </c>
      <c r="D32" s="20" t="n">
        <v>3160</v>
      </c>
      <c r="E32" s="20" t="n">
        <v>3160</v>
      </c>
      <c r="F32" s="20" t="n">
        <v>3160</v>
      </c>
      <c r="G32" s="20" t="n">
        <v>3160</v>
      </c>
      <c r="H32" s="19" t="n">
        <v>3160</v>
      </c>
      <c r="I32" s="20" t="n">
        <v>3160</v>
      </c>
      <c r="J32" s="20" t="n">
        <v>3160</v>
      </c>
      <c r="K32" s="20" t="n">
        <v>3160</v>
      </c>
      <c r="L32" s="20" t="n">
        <v>3160</v>
      </c>
    </row>
    <row r="33">
      <c r="A33" s="18" t="inlineStr">
        <is>
          <t>이익잉여금</t>
        </is>
      </c>
      <c r="B33" s="10" t="n"/>
      <c r="C33" s="19" t="n">
        <v>49652</v>
      </c>
      <c r="D33" s="20" t="n">
        <v>50825</v>
      </c>
      <c r="E33" s="20" t="n">
        <v>51471</v>
      </c>
      <c r="F33" s="20" t="n">
        <v>51191</v>
      </c>
      <c r="G33" s="20" t="n">
        <v>52345</v>
      </c>
      <c r="H33" s="19" t="n">
        <v>40771</v>
      </c>
      <c r="I33" s="20" t="n">
        <v>41429</v>
      </c>
      <c r="J33" s="20" t="n">
        <v>44635</v>
      </c>
      <c r="K33" s="20" t="n">
        <v>48737</v>
      </c>
      <c r="L33" s="20" t="n">
        <v>51191</v>
      </c>
    </row>
    <row r="34">
      <c r="A34" s="18" t="inlineStr">
        <is>
          <t>비지배지분</t>
        </is>
      </c>
      <c r="B34" s="10" t="n"/>
      <c r="C34" s="19" t="n">
        <v>5755</v>
      </c>
      <c r="D34" s="20" t="n">
        <v>5927</v>
      </c>
      <c r="E34" s="20" t="n">
        <v>6148</v>
      </c>
      <c r="F34" s="20" t="n">
        <v>6334</v>
      </c>
      <c r="G34" s="20" t="n">
        <v>6389</v>
      </c>
      <c r="H34" s="19" t="n">
        <v>4419</v>
      </c>
      <c r="I34" s="20" t="n">
        <v>4643</v>
      </c>
      <c r="J34" s="20" t="n">
        <v>5101</v>
      </c>
      <c r="K34" s="20" t="n">
        <v>5674</v>
      </c>
      <c r="L34" s="20" t="n">
        <v>6334</v>
      </c>
    </row>
    <row r="35">
      <c r="A35" s="9" t="inlineStr">
        <is>
          <t>자본총계</t>
        </is>
      </c>
      <c r="B35" s="10" t="n"/>
      <c r="C35" s="11" t="n">
        <v>65020</v>
      </c>
      <c r="D35" s="12" t="n">
        <v>67503</v>
      </c>
      <c r="E35" s="12" t="n">
        <v>69497</v>
      </c>
      <c r="F35" s="12" t="n">
        <v>69661</v>
      </c>
      <c r="G35" s="12" t="n">
        <v>72976</v>
      </c>
      <c r="H35" s="11" t="n">
        <v>53160</v>
      </c>
      <c r="I35" s="12" t="n">
        <v>52879</v>
      </c>
      <c r="J35" s="12" t="n">
        <v>59706</v>
      </c>
      <c r="K35" s="12" t="n">
        <v>63402</v>
      </c>
      <c r="L35" s="12" t="n">
        <v>69661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7793</v>
      </c>
      <c r="E37" s="12" t="n"/>
      <c r="F37" s="12" t="n">
        <v>9169</v>
      </c>
      <c r="G37" s="12" t="n"/>
      <c r="H37" s="11" t="n">
        <v>11753</v>
      </c>
      <c r="I37" s="12" t="n">
        <v>4891</v>
      </c>
      <c r="J37" s="12" t="n">
        <v>9671</v>
      </c>
      <c r="K37" s="12" t="n">
        <v>8430</v>
      </c>
      <c r="L37" s="12" t="n">
        <v>9169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1100</v>
      </c>
      <c r="E40" s="20" t="n"/>
      <c r="F40" s="20" t="n">
        <v>1161</v>
      </c>
      <c r="G40" s="20" t="n"/>
      <c r="H40" s="19" t="n">
        <v>490</v>
      </c>
      <c r="I40" s="20" t="n">
        <v>490</v>
      </c>
      <c r="J40" s="20" t="n">
        <v>489</v>
      </c>
      <c r="K40" s="20" t="n">
        <v>976</v>
      </c>
      <c r="L40" s="20" t="n">
        <v>1161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3145</v>
      </c>
      <c r="D71" s="20" t="n">
        <v>3077</v>
      </c>
      <c r="E71" s="20" t="n">
        <v>3702</v>
      </c>
      <c r="F71" s="20" t="n">
        <v>3514</v>
      </c>
      <c r="G71" s="20" t="n">
        <v>2895</v>
      </c>
      <c r="H71" s="20" t="n">
        <v>3604</v>
      </c>
      <c r="I71" s="20" t="n">
        <v>2829</v>
      </c>
      <c r="J71" s="20" t="n">
        <v>3370</v>
      </c>
      <c r="K71" s="20" t="n">
        <v>4272</v>
      </c>
      <c r="L71" s="20" t="n">
        <v>3514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9770</v>
      </c>
      <c r="D73" s="20" t="n">
        <v>10687</v>
      </c>
      <c r="E73" s="20" t="n">
        <v>10335</v>
      </c>
      <c r="F73" s="20" t="n">
        <v>10684</v>
      </c>
      <c r="G73" s="20" t="n">
        <v>10101</v>
      </c>
      <c r="H73" s="20" t="n">
        <v>7910</v>
      </c>
      <c r="I73" s="20" t="n">
        <v>9499</v>
      </c>
      <c r="J73" s="20" t="n">
        <v>10690</v>
      </c>
      <c r="K73" s="20" t="n">
        <v>9746</v>
      </c>
      <c r="L73" s="20" t="n">
        <v>10684</v>
      </c>
    </row>
    <row r="74">
      <c r="A74" s="18" t="inlineStr">
        <is>
          <t>상품·제품</t>
        </is>
      </c>
      <c r="C74" s="20" t="n">
        <v>15082</v>
      </c>
      <c r="D74" s="20" t="n">
        <v>15388</v>
      </c>
      <c r="E74" s="20" t="n">
        <v>15477</v>
      </c>
      <c r="F74" s="20" t="n">
        <v>15783</v>
      </c>
      <c r="G74" s="20" t="n">
        <v>16548</v>
      </c>
      <c r="H74" s="20" t="n">
        <v>3509</v>
      </c>
      <c r="I74" s="20" t="n">
        <v>9165</v>
      </c>
      <c r="J74" s="20" t="n">
        <v>12809</v>
      </c>
      <c r="K74" s="20" t="n">
        <v>14253</v>
      </c>
      <c r="L74" s="20" t="n">
        <v>15783</v>
      </c>
    </row>
    <row r="75">
      <c r="A75" s="18" t="inlineStr">
        <is>
          <t>재공품</t>
        </is>
      </c>
      <c r="C75" s="20" t="n">
        <v>63</v>
      </c>
      <c r="D75" s="20" t="n">
        <v>57</v>
      </c>
      <c r="E75" s="20" t="n">
        <v>47</v>
      </c>
      <c r="F75" s="20" t="n">
        <v>63</v>
      </c>
      <c r="G75" s="20" t="n">
        <v>166</v>
      </c>
      <c r="H75" s="20" t="n">
        <v>62</v>
      </c>
      <c r="I75" s="20" t="n">
        <v>74</v>
      </c>
      <c r="J75" s="20" t="n">
        <v>38</v>
      </c>
      <c r="K75" s="20" t="n">
        <v>47</v>
      </c>
      <c r="L75" s="20" t="n">
        <v>63</v>
      </c>
    </row>
    <row r="76">
      <c r="A76" s="18" t="inlineStr">
        <is>
          <t>원재료·저장품</t>
        </is>
      </c>
      <c r="C76" s="20" t="n">
        <v>594</v>
      </c>
      <c r="D76" s="20" t="n">
        <v>591</v>
      </c>
      <c r="E76" s="20" t="n">
        <v>607</v>
      </c>
      <c r="F76" s="20" t="n">
        <v>629</v>
      </c>
      <c r="G76" s="20" t="n">
        <v>659</v>
      </c>
      <c r="H76" s="20" t="n">
        <v>464</v>
      </c>
      <c r="I76" s="20" t="n">
        <v>527</v>
      </c>
      <c r="J76" s="20" t="n">
        <v>701</v>
      </c>
      <c r="K76" s="20" t="n">
        <v>653</v>
      </c>
      <c r="L76" s="20" t="n">
        <v>629</v>
      </c>
    </row>
    <row r="77">
      <c r="A77" s="18" t="inlineStr">
        <is>
          <t>기타</t>
        </is>
      </c>
      <c r="C77" s="20" t="n">
        <v>2783</v>
      </c>
      <c r="D77" s="20" t="n">
        <v>2942</v>
      </c>
      <c r="E77" s="20" t="n">
        <v>3814</v>
      </c>
      <c r="F77" s="20" t="n">
        <v>3550</v>
      </c>
      <c r="G77" s="20" t="n">
        <v>3684</v>
      </c>
      <c r="H77" s="20" t="n">
        <v>2914</v>
      </c>
      <c r="I77" s="20" t="n">
        <v>3139</v>
      </c>
      <c r="J77" s="20" t="n">
        <v>2506</v>
      </c>
      <c r="K77" s="20" t="n">
        <v>2922</v>
      </c>
      <c r="L77" s="20" t="n">
        <v>3550</v>
      </c>
    </row>
    <row r="78">
      <c r="A78" s="18" t="inlineStr">
        <is>
          <t>대손충당금</t>
        </is>
      </c>
      <c r="C78" s="20" t="n">
        <v>-18</v>
      </c>
      <c r="D78" s="20" t="n">
        <v>-17</v>
      </c>
      <c r="E78" s="20" t="n">
        <v>-17</v>
      </c>
      <c r="F78" s="20" t="n">
        <v>-12</v>
      </c>
      <c r="G78" s="20" t="n">
        <v>-14</v>
      </c>
      <c r="H78" s="20" t="n">
        <v>-34</v>
      </c>
      <c r="I78" s="20" t="n">
        <v>-29</v>
      </c>
      <c r="J78" s="20" t="n">
        <v>-41</v>
      </c>
      <c r="K78" s="20" t="n">
        <v>-21</v>
      </c>
      <c r="L78" s="20" t="n">
        <v>-12</v>
      </c>
    </row>
    <row r="79">
      <c r="A79" s="9" t="inlineStr">
        <is>
          <t>유동자산 합계</t>
        </is>
      </c>
      <c r="C79" s="12" t="n">
        <v>31422</v>
      </c>
      <c r="D79" s="12" t="n">
        <v>32726</v>
      </c>
      <c r="E79" s="12" t="n">
        <v>33966</v>
      </c>
      <c r="F79" s="12" t="n">
        <v>34213</v>
      </c>
      <c r="G79" s="12" t="n">
        <v>34041</v>
      </c>
      <c r="H79" s="12" t="n">
        <v>18431</v>
      </c>
      <c r="I79" s="12" t="n">
        <v>25205</v>
      </c>
      <c r="J79" s="12" t="n">
        <v>30075</v>
      </c>
      <c r="K79" s="12" t="n">
        <v>31874</v>
      </c>
      <c r="L79" s="12" t="n">
        <v>34213</v>
      </c>
    </row>
    <row r="80">
      <c r="A80" s="18" t="inlineStr">
        <is>
          <t>건물·구축물</t>
        </is>
      </c>
      <c r="C80" s="20" t="n">
        <v>96072</v>
      </c>
      <c r="D80" s="20" t="n">
        <v>98346</v>
      </c>
      <c r="E80" s="20" t="n">
        <v>97226</v>
      </c>
      <c r="F80" s="20" t="n">
        <v>98931</v>
      </c>
      <c r="G80" s="20" t="n">
        <v>99387</v>
      </c>
      <c r="H80" s="20" t="n">
        <v>90744</v>
      </c>
      <c r="I80" s="20" t="n">
        <v>93558</v>
      </c>
      <c r="J80" s="20" t="n">
        <v>92652</v>
      </c>
      <c r="K80" s="20" t="n">
        <v>95712</v>
      </c>
      <c r="L80" s="20" t="n">
        <v>98931</v>
      </c>
    </row>
    <row r="81">
      <c r="A81" s="18" t="inlineStr">
        <is>
          <t>기계장치</t>
        </is>
      </c>
      <c r="F81" s="20" t="n">
        <v>6168</v>
      </c>
      <c r="H81" s="20" t="n">
        <v>6220</v>
      </c>
      <c r="I81" s="20" t="n">
        <v>6378</v>
      </c>
      <c r="J81" s="20" t="n">
        <v>5868</v>
      </c>
      <c r="K81" s="20" t="n">
        <v>5952</v>
      </c>
      <c r="L81" s="20" t="n">
        <v>6168</v>
      </c>
    </row>
    <row r="82">
      <c r="A82" s="18" t="inlineStr">
        <is>
          <t>차량운반구</t>
        </is>
      </c>
      <c r="C82" s="20" t="n">
        <v>41849</v>
      </c>
      <c r="D82" s="20" t="n">
        <v>41705</v>
      </c>
      <c r="E82" s="20" t="n">
        <v>42627</v>
      </c>
      <c r="F82" s="20" t="n">
        <v>43442</v>
      </c>
      <c r="G82" s="20" t="n">
        <v>43213</v>
      </c>
      <c r="H82" s="20" t="n">
        <v>39921</v>
      </c>
      <c r="I82" s="20" t="n">
        <v>39841</v>
      </c>
      <c r="J82" s="20" t="n">
        <v>41741</v>
      </c>
      <c r="K82" s="20" t="n">
        <v>42511</v>
      </c>
      <c r="L82" s="20" t="n">
        <v>43442</v>
      </c>
    </row>
    <row r="83">
      <c r="A83" s="18" t="inlineStr">
        <is>
          <t>토지</t>
        </is>
      </c>
      <c r="C83" s="20" t="n">
        <v>62506</v>
      </c>
      <c r="D83" s="20" t="n">
        <v>66317</v>
      </c>
      <c r="E83" s="20" t="n">
        <v>66935</v>
      </c>
      <c r="F83" s="20" t="n">
        <v>70935</v>
      </c>
      <c r="G83" s="20" t="n">
        <v>70928</v>
      </c>
      <c r="H83" s="20" t="n">
        <v>62072</v>
      </c>
      <c r="I83" s="20" t="n">
        <v>62818</v>
      </c>
      <c r="J83" s="20" t="n">
        <v>62816</v>
      </c>
      <c r="K83" s="20" t="n">
        <v>62450</v>
      </c>
      <c r="L83" s="20" t="n">
        <v>70935</v>
      </c>
    </row>
    <row r="84">
      <c r="A84" s="18" t="inlineStr">
        <is>
          <t>리스자산</t>
        </is>
      </c>
      <c r="F84" s="20" t="n">
        <v>2246</v>
      </c>
      <c r="H84" s="20" t="n">
        <v>9496</v>
      </c>
      <c r="I84" s="20" t="n">
        <v>8528</v>
      </c>
      <c r="J84" s="20" t="n">
        <v>5994</v>
      </c>
      <c r="K84" s="20" t="n">
        <v>1806</v>
      </c>
      <c r="L84" s="20" t="n">
        <v>2246</v>
      </c>
    </row>
    <row r="85">
      <c r="A85" s="18" t="inlineStr">
        <is>
          <t>건설중인자산</t>
        </is>
      </c>
      <c r="F85" s="20" t="n">
        <v>1492</v>
      </c>
      <c r="H85" s="20" t="n">
        <v>1048</v>
      </c>
      <c r="I85" s="20" t="n">
        <v>306</v>
      </c>
      <c r="J85" s="20" t="n">
        <v>2031</v>
      </c>
      <c r="K85" s="20" t="n">
        <v>1617</v>
      </c>
      <c r="L85" s="20" t="n">
        <v>1492</v>
      </c>
    </row>
    <row r="86">
      <c r="A86" s="18" t="inlineStr">
        <is>
          <t>기타</t>
        </is>
      </c>
      <c r="C86" s="20" t="n">
        <v>16546</v>
      </c>
      <c r="D86" s="20" t="n">
        <v>15852</v>
      </c>
      <c r="E86" s="20" t="n">
        <v>16125</v>
      </c>
      <c r="F86" s="20" t="n">
        <v>16949</v>
      </c>
      <c r="G86" s="20" t="n">
        <v>16943</v>
      </c>
      <c r="H86" s="20" t="n">
        <v>6842</v>
      </c>
      <c r="I86" s="20" t="n">
        <v>6838</v>
      </c>
      <c r="J86" s="20" t="n">
        <v>6651</v>
      </c>
      <c r="K86" s="20" t="n">
        <v>6639</v>
      </c>
      <c r="L86" s="20" t="n">
        <v>16949</v>
      </c>
    </row>
    <row r="87">
      <c r="A87" s="18" t="inlineStr">
        <is>
          <t>감가상각누계액</t>
        </is>
      </c>
      <c r="C87" s="20" t="n">
        <v>-105399</v>
      </c>
      <c r="D87" s="20" t="n">
        <v>-106579</v>
      </c>
      <c r="E87" s="20" t="n">
        <v>-105015</v>
      </c>
      <c r="F87" s="20" t="n">
        <v>-104914</v>
      </c>
      <c r="G87" s="20" t="n">
        <v>-105685</v>
      </c>
      <c r="H87" s="20" t="n">
        <v>-107799</v>
      </c>
      <c r="I87" s="20" t="n">
        <v>-111111</v>
      </c>
      <c r="J87" s="20" t="n">
        <v>-111277</v>
      </c>
      <c r="K87" s="20" t="n">
        <v>-104698</v>
      </c>
      <c r="L87" s="20" t="n">
        <v>-104914</v>
      </c>
    </row>
    <row r="88">
      <c r="A88" s="18" t="inlineStr">
        <is>
          <t>유형자산 합계</t>
        </is>
      </c>
      <c r="C88" s="20" t="n">
        <v>111574</v>
      </c>
      <c r="D88" s="20" t="n">
        <v>115642</v>
      </c>
      <c r="E88" s="20" t="n">
        <v>117899</v>
      </c>
      <c r="F88" s="20" t="n">
        <v>125344</v>
      </c>
      <c r="G88" s="20" t="n">
        <v>124787</v>
      </c>
      <c r="H88" s="20" t="n">
        <v>108547</v>
      </c>
      <c r="I88" s="20" t="n">
        <v>107158</v>
      </c>
      <c r="J88" s="20" t="n">
        <v>106478</v>
      </c>
      <c r="K88" s="20" t="n">
        <v>111992</v>
      </c>
      <c r="L88" s="20" t="n">
        <v>125344</v>
      </c>
    </row>
    <row r="89">
      <c r="A89" s="18" t="inlineStr">
        <is>
          <t>무형자산</t>
        </is>
      </c>
      <c r="C89" s="20" t="n">
        <v>922</v>
      </c>
      <c r="D89" s="20" t="n">
        <v>879</v>
      </c>
      <c r="E89" s="20" t="n">
        <v>841</v>
      </c>
      <c r="F89" s="20" t="n">
        <v>966</v>
      </c>
      <c r="G89" s="20" t="n">
        <v>911</v>
      </c>
      <c r="H89" s="20" t="n">
        <v>840</v>
      </c>
      <c r="I89" s="20" t="n">
        <v>932</v>
      </c>
      <c r="J89" s="20" t="n">
        <v>932</v>
      </c>
      <c r="K89" s="20" t="n">
        <v>950</v>
      </c>
      <c r="L89" s="20" t="n">
        <v>966</v>
      </c>
    </row>
    <row r="90">
      <c r="A90" s="18" t="inlineStr">
        <is>
          <t>투자유가증권</t>
        </is>
      </c>
      <c r="C90" s="20" t="n">
        <v>18903</v>
      </c>
      <c r="D90" s="20" t="n">
        <v>20593</v>
      </c>
      <c r="E90" s="20" t="n">
        <v>22330</v>
      </c>
      <c r="F90" s="20" t="n">
        <v>22568</v>
      </c>
      <c r="G90" s="20" t="n">
        <v>25658</v>
      </c>
      <c r="H90" s="20" t="n">
        <v>15921</v>
      </c>
      <c r="I90" s="20" t="n">
        <v>14649</v>
      </c>
      <c r="J90" s="20" t="n">
        <v>19068</v>
      </c>
      <c r="K90" s="20" t="n">
        <v>17864</v>
      </c>
      <c r="L90" s="20" t="n">
        <v>22568</v>
      </c>
    </row>
    <row r="91">
      <c r="A91" s="18" t="inlineStr">
        <is>
          <t>이연법인세자산</t>
        </is>
      </c>
      <c r="F91" s="20" t="n">
        <v>1176</v>
      </c>
      <c r="H91" s="20" t="n">
        <v>1212</v>
      </c>
      <c r="I91" s="20" t="n">
        <v>1276</v>
      </c>
      <c r="J91" s="20" t="n">
        <v>1343</v>
      </c>
      <c r="K91" s="20" t="n">
        <v>1420</v>
      </c>
      <c r="L91" s="20" t="n">
        <v>1176</v>
      </c>
    </row>
    <row r="92">
      <c r="A92" s="18" t="inlineStr">
        <is>
          <t>기타</t>
        </is>
      </c>
      <c r="C92" s="20" t="n">
        <v>2443</v>
      </c>
      <c r="D92" s="20" t="n">
        <v>2246</v>
      </c>
      <c r="E92" s="20" t="n">
        <v>2197</v>
      </c>
      <c r="F92" s="20" t="n">
        <v>2324</v>
      </c>
      <c r="G92" s="20" t="n">
        <v>2322</v>
      </c>
      <c r="H92" s="20" t="n">
        <v>1959</v>
      </c>
      <c r="I92" s="20" t="n">
        <v>1360</v>
      </c>
      <c r="J92" s="20" t="n">
        <v>1307</v>
      </c>
      <c r="K92" s="20" t="n">
        <v>1370</v>
      </c>
      <c r="L92" s="20" t="n">
        <v>2324</v>
      </c>
    </row>
    <row r="93">
      <c r="A93" s="18" t="inlineStr">
        <is>
          <t>대손충당금</t>
        </is>
      </c>
      <c r="C93" s="20" t="n">
        <v>-28</v>
      </c>
      <c r="D93" s="20" t="n">
        <v>-28</v>
      </c>
      <c r="E93" s="20" t="n">
        <v>-26</v>
      </c>
      <c r="F93" s="20" t="n">
        <v>-24</v>
      </c>
      <c r="G93" s="20" t="n">
        <v>-24</v>
      </c>
      <c r="H93" s="20" t="n">
        <v>-6</v>
      </c>
      <c r="I93" s="20" t="n">
        <v>-14</v>
      </c>
      <c r="J93" s="20" t="n">
        <v>-14</v>
      </c>
      <c r="K93" s="20" t="n">
        <v>-28</v>
      </c>
      <c r="L93" s="20" t="n">
        <v>-24</v>
      </c>
    </row>
    <row r="94">
      <c r="A94" s="18" t="inlineStr">
        <is>
          <t>투자 및 기타자산 합계</t>
        </is>
      </c>
      <c r="C94" s="20" t="n">
        <v>21318</v>
      </c>
      <c r="D94" s="20" t="n">
        <v>22810</v>
      </c>
      <c r="E94" s="20" t="n">
        <v>24502</v>
      </c>
      <c r="F94" s="20" t="n">
        <v>24868</v>
      </c>
      <c r="G94" s="20" t="n">
        <v>27957</v>
      </c>
      <c r="H94" s="20" t="n">
        <v>19086</v>
      </c>
      <c r="I94" s="20" t="n">
        <v>17271</v>
      </c>
      <c r="J94" s="20" t="n">
        <v>21704</v>
      </c>
      <c r="K94" s="20" t="n">
        <v>20626</v>
      </c>
      <c r="L94" s="20" t="n">
        <v>24868</v>
      </c>
    </row>
    <row r="95">
      <c r="A95" s="9" t="inlineStr">
        <is>
          <t>비유동자산 합계</t>
        </is>
      </c>
      <c r="C95" s="12" t="n">
        <v>133815</v>
      </c>
      <c r="D95" s="12" t="n">
        <v>139331</v>
      </c>
      <c r="E95" s="12" t="n">
        <v>143242</v>
      </c>
      <c r="F95" s="12" t="n">
        <v>151179</v>
      </c>
      <c r="G95" s="12" t="n">
        <v>153655</v>
      </c>
      <c r="H95" s="12" t="n">
        <v>128475</v>
      </c>
      <c r="I95" s="12" t="n">
        <v>125363</v>
      </c>
      <c r="J95" s="12" t="n">
        <v>129115</v>
      </c>
      <c r="K95" s="12" t="n">
        <v>133570</v>
      </c>
      <c r="L95" s="12" t="n">
        <v>151179</v>
      </c>
    </row>
    <row r="96">
      <c r="A96" s="9" t="inlineStr">
        <is>
          <t>자산 합계</t>
        </is>
      </c>
      <c r="C96" s="12" t="n">
        <v>165237</v>
      </c>
      <c r="D96" s="12" t="n">
        <v>172058</v>
      </c>
      <c r="E96" s="12" t="n">
        <v>177209</v>
      </c>
      <c r="F96" s="12" t="n">
        <v>185392</v>
      </c>
      <c r="G96" s="12" t="n">
        <v>187697</v>
      </c>
      <c r="H96" s="12" t="n">
        <v>146906</v>
      </c>
      <c r="I96" s="12" t="n">
        <v>150568</v>
      </c>
      <c r="J96" s="12" t="n">
        <v>159191</v>
      </c>
      <c r="K96" s="12" t="n">
        <v>165444</v>
      </c>
      <c r="L96" s="12" t="n">
        <v>185392</v>
      </c>
    </row>
    <row r="97">
      <c r="A97" s="18" t="inlineStr">
        <is>
          <t>지급어음·매입채무</t>
        </is>
      </c>
      <c r="C97" s="20" t="n">
        <v>6737</v>
      </c>
      <c r="D97" s="20" t="n">
        <v>7165</v>
      </c>
      <c r="E97" s="20" t="n">
        <v>7794</v>
      </c>
      <c r="F97" s="20" t="n">
        <v>8182</v>
      </c>
      <c r="G97" s="20" t="n">
        <v>6386</v>
      </c>
      <c r="H97" s="20" t="n">
        <v>5479</v>
      </c>
      <c r="I97" s="20" t="n">
        <v>7474</v>
      </c>
      <c r="J97" s="20" t="n">
        <v>8674</v>
      </c>
      <c r="K97" s="20" t="n">
        <v>7622</v>
      </c>
      <c r="L97" s="20" t="n">
        <v>8182</v>
      </c>
    </row>
    <row r="98">
      <c r="A98" s="18" t="inlineStr">
        <is>
          <t>단기차입금</t>
        </is>
      </c>
      <c r="C98" s="20" t="n">
        <v>18380</v>
      </c>
      <c r="D98" s="20" t="n">
        <v>20378</v>
      </c>
      <c r="E98" s="20" t="n">
        <v>21961</v>
      </c>
      <c r="F98" s="20" t="n">
        <v>20883</v>
      </c>
      <c r="G98" s="20" t="n">
        <v>18564</v>
      </c>
      <c r="H98" s="20" t="n">
        <v>10220</v>
      </c>
      <c r="I98" s="20" t="n">
        <v>18079</v>
      </c>
      <c r="J98" s="20" t="n">
        <v>14776</v>
      </c>
      <c r="K98" s="20" t="n">
        <v>20982</v>
      </c>
      <c r="L98" s="20" t="n">
        <v>20883</v>
      </c>
    </row>
    <row r="99">
      <c r="A99" s="18" t="inlineStr">
        <is>
          <t>1년 내 상환 사채</t>
        </is>
      </c>
      <c r="C99" s="20" t="n">
        <v>10000</v>
      </c>
      <c r="D99" s="20" t="n">
        <v>10000</v>
      </c>
      <c r="E99" s="20" t="n">
        <v>5000</v>
      </c>
      <c r="F99" s="20" t="n">
        <v>5000</v>
      </c>
      <c r="G99" s="20" t="n">
        <v>5000</v>
      </c>
      <c r="I99" s="20" t="n">
        <v>0</v>
      </c>
      <c r="J99" s="20" t="n">
        <v>5000</v>
      </c>
      <c r="K99" s="20" t="n">
        <v>10000</v>
      </c>
      <c r="L99" s="20" t="n">
        <v>5000</v>
      </c>
    </row>
    <row r="100">
      <c r="A100" s="18" t="inlineStr">
        <is>
          <t>리스부채</t>
        </is>
      </c>
      <c r="F100" s="20" t="n">
        <v>306</v>
      </c>
      <c r="H100" s="20" t="n">
        <v>1480</v>
      </c>
      <c r="I100" s="20" t="n">
        <v>2054</v>
      </c>
      <c r="J100" s="20" t="n">
        <v>1912</v>
      </c>
      <c r="K100" s="20" t="n">
        <v>255</v>
      </c>
      <c r="L100" s="20" t="n">
        <v>306</v>
      </c>
    </row>
    <row r="101">
      <c r="A101" s="18" t="inlineStr">
        <is>
          <t>미지급법인세</t>
        </is>
      </c>
      <c r="C101" s="20" t="n">
        <v>872</v>
      </c>
      <c r="D101" s="20" t="n">
        <v>1083</v>
      </c>
      <c r="E101" s="20" t="n">
        <v>475</v>
      </c>
      <c r="F101" s="20" t="n">
        <v>793</v>
      </c>
      <c r="G101" s="20" t="n">
        <v>931</v>
      </c>
      <c r="H101" s="20" t="n">
        <v>643</v>
      </c>
      <c r="I101" s="20" t="n">
        <v>856</v>
      </c>
      <c r="J101" s="20" t="n">
        <v>1163</v>
      </c>
      <c r="K101" s="20" t="n">
        <v>1244</v>
      </c>
      <c r="L101" s="20" t="n">
        <v>793</v>
      </c>
    </row>
    <row r="102">
      <c r="A102" s="18" t="inlineStr">
        <is>
          <t>상여충당금</t>
        </is>
      </c>
      <c r="C102" s="20" t="n">
        <v>3864</v>
      </c>
      <c r="D102" s="20" t="n">
        <v>2312</v>
      </c>
      <c r="E102" s="20" t="n">
        <v>1043</v>
      </c>
      <c r="F102" s="20" t="n">
        <v>2609</v>
      </c>
      <c r="G102" s="20" t="n">
        <v>4046</v>
      </c>
      <c r="H102" s="20" t="n">
        <v>1972</v>
      </c>
      <c r="I102" s="20" t="n">
        <v>2230</v>
      </c>
      <c r="J102" s="20" t="n">
        <v>2402</v>
      </c>
      <c r="K102" s="20" t="n">
        <v>2462</v>
      </c>
      <c r="L102" s="20" t="n">
        <v>2609</v>
      </c>
    </row>
    <row r="103">
      <c r="A103" s="18" t="inlineStr">
        <is>
          <t>환경대책 충당금</t>
        </is>
      </c>
      <c r="C103" s="20" t="n">
        <v>430</v>
      </c>
      <c r="D103" s="20" t="n">
        <v>301</v>
      </c>
      <c r="E103" s="20" t="n">
        <v>301</v>
      </c>
      <c r="F103" s="20" t="n">
        <v>0</v>
      </c>
      <c r="J103" s="20" t="n">
        <v>0</v>
      </c>
      <c r="K103" s="20" t="n">
        <v>438</v>
      </c>
      <c r="L103" s="20" t="n">
        <v>0</v>
      </c>
    </row>
    <row r="104">
      <c r="A104" s="18" t="inlineStr">
        <is>
          <t>기타</t>
        </is>
      </c>
      <c r="C104" s="20" t="n">
        <v>15772</v>
      </c>
      <c r="D104" s="20" t="n">
        <v>16496</v>
      </c>
      <c r="E104" s="20" t="n">
        <v>16426</v>
      </c>
      <c r="F104" s="20" t="n">
        <v>15527</v>
      </c>
      <c r="G104" s="20" t="n">
        <v>17337</v>
      </c>
      <c r="H104" s="20" t="n">
        <v>12251</v>
      </c>
      <c r="I104" s="20" t="n">
        <v>12757</v>
      </c>
      <c r="J104" s="20" t="n">
        <v>15417</v>
      </c>
      <c r="K104" s="20" t="n">
        <v>13946</v>
      </c>
      <c r="L104" s="20" t="n">
        <v>15527</v>
      </c>
    </row>
    <row r="105">
      <c r="A105" s="9" t="inlineStr">
        <is>
          <t>유동부채 합계</t>
        </is>
      </c>
      <c r="C105" s="12" t="n">
        <v>56057</v>
      </c>
      <c r="D105" s="12" t="n">
        <v>57737</v>
      </c>
      <c r="E105" s="12" t="n">
        <v>53002</v>
      </c>
      <c r="F105" s="12" t="n">
        <v>52996</v>
      </c>
      <c r="G105" s="12" t="n">
        <v>52266</v>
      </c>
      <c r="H105" s="12" t="n">
        <v>32047</v>
      </c>
      <c r="I105" s="12" t="n">
        <v>43452</v>
      </c>
      <c r="J105" s="12" t="n">
        <v>49346</v>
      </c>
      <c r="K105" s="12" t="n">
        <v>56952</v>
      </c>
      <c r="L105" s="12" t="n">
        <v>52996</v>
      </c>
    </row>
    <row r="106">
      <c r="A106" s="18" t="inlineStr">
        <is>
          <t>사채</t>
        </is>
      </c>
      <c r="C106" s="20" t="n">
        <v>12000</v>
      </c>
      <c r="D106" s="20" t="n">
        <v>12000</v>
      </c>
      <c r="E106" s="20" t="n">
        <v>15000</v>
      </c>
      <c r="F106" s="20" t="n">
        <v>15000</v>
      </c>
      <c r="G106" s="20" t="n">
        <v>15000</v>
      </c>
      <c r="H106" s="20" t="n">
        <v>20000</v>
      </c>
      <c r="I106" s="20" t="n">
        <v>20000</v>
      </c>
      <c r="J106" s="20" t="n">
        <v>15000</v>
      </c>
      <c r="K106" s="20" t="n">
        <v>12000</v>
      </c>
      <c r="L106" s="20" t="n">
        <v>15000</v>
      </c>
    </row>
    <row r="107">
      <c r="A107" s="18" t="inlineStr">
        <is>
          <t>장기차입금</t>
        </is>
      </c>
      <c r="C107" s="20" t="n">
        <v>16487</v>
      </c>
      <c r="D107" s="20" t="n">
        <v>18359</v>
      </c>
      <c r="E107" s="20" t="n">
        <v>22332</v>
      </c>
      <c r="F107" s="20" t="n">
        <v>29579</v>
      </c>
      <c r="G107" s="20" t="n">
        <v>28316</v>
      </c>
      <c r="H107" s="20" t="n">
        <v>21423</v>
      </c>
      <c r="I107" s="20" t="n">
        <v>16471</v>
      </c>
      <c r="J107" s="20" t="n">
        <v>18333</v>
      </c>
      <c r="K107" s="20" t="n">
        <v>17366</v>
      </c>
      <c r="L107" s="20" t="n">
        <v>29579</v>
      </c>
    </row>
    <row r="108">
      <c r="A108" s="18" t="inlineStr">
        <is>
          <t>리스부채</t>
        </is>
      </c>
      <c r="F108" s="20" t="n">
        <v>1498</v>
      </c>
      <c r="H108" s="20" t="n">
        <v>4561</v>
      </c>
      <c r="I108" s="20" t="n">
        <v>2538</v>
      </c>
      <c r="J108" s="20" t="n">
        <v>1315</v>
      </c>
      <c r="K108" s="20" t="n">
        <v>1272</v>
      </c>
      <c r="L108" s="20" t="n">
        <v>1498</v>
      </c>
    </row>
    <row r="109">
      <c r="A109" s="18" t="inlineStr">
        <is>
          <t>이연법인세부채</t>
        </is>
      </c>
      <c r="F109" s="20" t="n">
        <v>4613</v>
      </c>
      <c r="H109" s="20" t="n">
        <v>2990</v>
      </c>
      <c r="I109" s="20" t="n">
        <v>2809</v>
      </c>
      <c r="J109" s="20" t="n">
        <v>3430</v>
      </c>
      <c r="K109" s="20" t="n">
        <v>2062</v>
      </c>
      <c r="L109" s="20" t="n">
        <v>4613</v>
      </c>
    </row>
    <row r="110">
      <c r="A110" s="18" t="inlineStr">
        <is>
          <t>임원 퇴직위로 충당금</t>
        </is>
      </c>
      <c r="C110" s="20" t="n">
        <v>2</v>
      </c>
      <c r="D110" s="20" t="n">
        <v>2</v>
      </c>
      <c r="E110" s="20" t="n">
        <v>2</v>
      </c>
      <c r="F110" s="20" t="n">
        <v>2</v>
      </c>
      <c r="G110" s="20" t="n">
        <v>0</v>
      </c>
      <c r="H110" s="20" t="n">
        <v>2</v>
      </c>
      <c r="I110" s="20" t="n">
        <v>2</v>
      </c>
      <c r="J110" s="20" t="n">
        <v>2</v>
      </c>
      <c r="K110" s="20" t="n">
        <v>2</v>
      </c>
      <c r="L110" s="20" t="n">
        <v>2</v>
      </c>
    </row>
    <row r="111">
      <c r="A111" s="18" t="inlineStr">
        <is>
          <t>퇴직급여부채</t>
        </is>
      </c>
      <c r="C111" s="20" t="n">
        <v>3425</v>
      </c>
      <c r="D111" s="20" t="n">
        <v>3358</v>
      </c>
      <c r="E111" s="20" t="n">
        <v>3309</v>
      </c>
      <c r="F111" s="20" t="n">
        <v>3037</v>
      </c>
      <c r="G111" s="20" t="n">
        <v>2975</v>
      </c>
      <c r="H111" s="20" t="n">
        <v>3878</v>
      </c>
      <c r="I111" s="20" t="n">
        <v>3797</v>
      </c>
      <c r="J111" s="20" t="n">
        <v>3667</v>
      </c>
      <c r="K111" s="20" t="n">
        <v>3498</v>
      </c>
      <c r="L111" s="20" t="n">
        <v>3037</v>
      </c>
    </row>
    <row r="112">
      <c r="A112" s="18" t="inlineStr">
        <is>
          <t>장기 예수보증금</t>
        </is>
      </c>
      <c r="F112" s="20" t="n">
        <v>3014</v>
      </c>
      <c r="H112" s="20" t="n">
        <v>4348</v>
      </c>
      <c r="I112" s="20" t="n">
        <v>3835</v>
      </c>
      <c r="J112" s="20" t="n">
        <v>3601</v>
      </c>
      <c r="K112" s="20" t="n">
        <v>3146</v>
      </c>
      <c r="L112" s="20" t="n">
        <v>3014</v>
      </c>
    </row>
    <row r="113">
      <c r="A113" s="18" t="inlineStr">
        <is>
          <t>기타</t>
        </is>
      </c>
      <c r="C113" s="20" t="n">
        <v>12244</v>
      </c>
      <c r="D113" s="20" t="n">
        <v>13096</v>
      </c>
      <c r="E113" s="20" t="n">
        <v>14064</v>
      </c>
      <c r="F113" s="20" t="n">
        <v>15115</v>
      </c>
      <c r="G113" s="20" t="n">
        <v>16161</v>
      </c>
      <c r="H113" s="20" t="n">
        <v>4493</v>
      </c>
      <c r="I113" s="20" t="n">
        <v>4781</v>
      </c>
      <c r="J113" s="20" t="n">
        <v>4787</v>
      </c>
      <c r="K113" s="20" t="n">
        <v>5741</v>
      </c>
      <c r="L113" s="20" t="n">
        <v>15115</v>
      </c>
    </row>
    <row r="114">
      <c r="A114" s="9" t="inlineStr">
        <is>
          <t>비유동부채 합계</t>
        </is>
      </c>
      <c r="C114" s="12" t="n">
        <v>44159</v>
      </c>
      <c r="D114" s="12" t="n">
        <v>46817</v>
      </c>
      <c r="E114" s="12" t="n">
        <v>54709</v>
      </c>
      <c r="F114" s="12" t="n">
        <v>62734</v>
      </c>
      <c r="G114" s="12" t="n">
        <v>62454</v>
      </c>
      <c r="H114" s="12" t="n">
        <v>61698</v>
      </c>
      <c r="I114" s="12" t="n">
        <v>54236</v>
      </c>
      <c r="J114" s="12" t="n">
        <v>50138</v>
      </c>
      <c r="K114" s="12" t="n">
        <v>45089</v>
      </c>
      <c r="L114" s="12" t="n">
        <v>62734</v>
      </c>
    </row>
    <row r="115">
      <c r="A115" s="9" t="inlineStr">
        <is>
          <t>부채 합계</t>
        </is>
      </c>
      <c r="C115" s="12" t="n">
        <v>100217</v>
      </c>
      <c r="D115" s="12" t="n">
        <v>104555</v>
      </c>
      <c r="E115" s="12" t="n">
        <v>107712</v>
      </c>
      <c r="F115" s="12" t="n">
        <v>115731</v>
      </c>
      <c r="G115" s="12" t="n">
        <v>114721</v>
      </c>
      <c r="H115" s="12" t="n">
        <v>93746</v>
      </c>
      <c r="I115" s="12" t="n">
        <v>97689</v>
      </c>
      <c r="J115" s="12" t="n">
        <v>99484</v>
      </c>
      <c r="K115" s="12" t="n">
        <v>102042</v>
      </c>
      <c r="L115" s="12" t="n">
        <v>115731</v>
      </c>
    </row>
    <row r="116">
      <c r="A116" s="18" t="inlineStr">
        <is>
          <t>자본금</t>
        </is>
      </c>
      <c r="C116" s="20" t="n">
        <v>3160</v>
      </c>
      <c r="D116" s="20" t="n">
        <v>3160</v>
      </c>
      <c r="E116" s="20" t="n">
        <v>3160</v>
      </c>
      <c r="F116" s="20" t="n">
        <v>3160</v>
      </c>
      <c r="G116" s="20" t="n">
        <v>3160</v>
      </c>
      <c r="H116" s="20" t="n">
        <v>3160</v>
      </c>
      <c r="I116" s="20" t="n">
        <v>3160</v>
      </c>
      <c r="J116" s="20" t="n">
        <v>3160</v>
      </c>
      <c r="K116" s="20" t="n">
        <v>3160</v>
      </c>
      <c r="L116" s="20" t="n">
        <v>3160</v>
      </c>
    </row>
    <row r="117">
      <c r="A117" s="18" t="inlineStr">
        <is>
          <t>자본잉여금</t>
        </is>
      </c>
      <c r="C117" s="20" t="n">
        <v>723</v>
      </c>
      <c r="D117" s="20" t="n">
        <v>723</v>
      </c>
      <c r="E117" s="20" t="n">
        <v>723</v>
      </c>
      <c r="F117" s="20" t="n">
        <v>723</v>
      </c>
      <c r="G117" s="20" t="n">
        <v>723</v>
      </c>
      <c r="H117" s="20" t="n">
        <v>723</v>
      </c>
      <c r="I117" s="20" t="n">
        <v>723</v>
      </c>
      <c r="J117" s="20" t="n">
        <v>723</v>
      </c>
      <c r="K117" s="20" t="n">
        <v>723</v>
      </c>
      <c r="L117" s="20" t="n">
        <v>723</v>
      </c>
    </row>
    <row r="118">
      <c r="A118" s="18" t="inlineStr">
        <is>
          <t>이익잉여금</t>
        </is>
      </c>
      <c r="C118" s="20" t="n">
        <v>49652</v>
      </c>
      <c r="D118" s="20" t="n">
        <v>50825</v>
      </c>
      <c r="E118" s="20" t="n">
        <v>51471</v>
      </c>
      <c r="F118" s="20" t="n">
        <v>51191</v>
      </c>
      <c r="G118" s="20" t="n">
        <v>52345</v>
      </c>
      <c r="H118" s="20" t="n">
        <v>40771</v>
      </c>
      <c r="I118" s="20" t="n">
        <v>41429</v>
      </c>
      <c r="J118" s="20" t="n">
        <v>44635</v>
      </c>
      <c r="K118" s="20" t="n">
        <v>48737</v>
      </c>
      <c r="L118" s="20" t="n">
        <v>51191</v>
      </c>
    </row>
    <row r="119">
      <c r="A119" s="18" t="inlineStr">
        <is>
          <t>자기주식</t>
        </is>
      </c>
      <c r="C119" s="20" t="n">
        <v>-939</v>
      </c>
      <c r="D119" s="20" t="n">
        <v>-939</v>
      </c>
      <c r="E119" s="20" t="n">
        <v>-940</v>
      </c>
      <c r="F119" s="20" t="n">
        <v>-940</v>
      </c>
      <c r="G119" s="20" t="n">
        <v>-940</v>
      </c>
      <c r="H119" s="20" t="n">
        <v>-937</v>
      </c>
      <c r="I119" s="20" t="n">
        <v>-938</v>
      </c>
      <c r="J119" s="20" t="n">
        <v>-938</v>
      </c>
      <c r="K119" s="20" t="n">
        <v>-939</v>
      </c>
      <c r="L119" s="20" t="n">
        <v>-940</v>
      </c>
    </row>
    <row r="120">
      <c r="A120" s="9" t="inlineStr">
        <is>
          <t>주주자본 합계</t>
        </is>
      </c>
      <c r="C120" s="12" t="n">
        <v>52596</v>
      </c>
      <c r="D120" s="12" t="n">
        <v>53769</v>
      </c>
      <c r="E120" s="12" t="n">
        <v>54415</v>
      </c>
      <c r="F120" s="12" t="n">
        <v>54135</v>
      </c>
      <c r="G120" s="12" t="n">
        <v>55289</v>
      </c>
      <c r="H120" s="12" t="n">
        <v>43717</v>
      </c>
      <c r="I120" s="12" t="n">
        <v>44375</v>
      </c>
      <c r="J120" s="12" t="n">
        <v>47580</v>
      </c>
      <c r="K120" s="12" t="n">
        <v>51681</v>
      </c>
      <c r="L120" s="12" t="n">
        <v>54135</v>
      </c>
    </row>
    <row r="121">
      <c r="A121" s="18" t="inlineStr">
        <is>
          <t>기타유가증권 평가차액</t>
        </is>
      </c>
      <c r="C121" s="20" t="n">
        <v>6621</v>
      </c>
      <c r="D121" s="20" t="n">
        <v>7764</v>
      </c>
      <c r="E121" s="20" t="n">
        <v>8895</v>
      </c>
      <c r="F121" s="20" t="n">
        <v>9061</v>
      </c>
      <c r="G121" s="20" t="n">
        <v>11175</v>
      </c>
      <c r="H121" s="20" t="n">
        <v>4601</v>
      </c>
      <c r="I121" s="20" t="n">
        <v>3768</v>
      </c>
      <c r="J121" s="20" t="n">
        <v>6954</v>
      </c>
      <c r="K121" s="20" t="n">
        <v>5996</v>
      </c>
      <c r="L121" s="20" t="n">
        <v>9061</v>
      </c>
    </row>
    <row r="122">
      <c r="A122" s="18" t="inlineStr">
        <is>
          <t>이연헤지손익</t>
        </is>
      </c>
      <c r="H122" s="20" t="n">
        <v>311</v>
      </c>
      <c r="I122" s="20" t="n">
        <v>0</v>
      </c>
    </row>
    <row r="123">
      <c r="A123" s="18" t="inlineStr">
        <is>
          <t>퇴직급여 조정누계액</t>
        </is>
      </c>
      <c r="C123" s="20" t="n">
        <v>46</v>
      </c>
      <c r="D123" s="20" t="n">
        <v>42</v>
      </c>
      <c r="E123" s="20" t="n">
        <v>38</v>
      </c>
      <c r="F123" s="20" t="n">
        <v>130</v>
      </c>
      <c r="G123" s="20" t="n">
        <v>122</v>
      </c>
      <c r="H123" s="20" t="n">
        <v>109</v>
      </c>
      <c r="I123" s="20" t="n">
        <v>91</v>
      </c>
      <c r="J123" s="20" t="n">
        <v>70</v>
      </c>
      <c r="K123" s="20" t="n">
        <v>50</v>
      </c>
      <c r="L123" s="20" t="n">
        <v>130</v>
      </c>
    </row>
    <row r="124">
      <c r="A124" s="18" t="inlineStr">
        <is>
          <t>기타포괄손익누계액 합계</t>
        </is>
      </c>
      <c r="C124" s="20" t="n">
        <v>6668</v>
      </c>
      <c r="D124" s="20" t="n">
        <v>7807</v>
      </c>
      <c r="E124" s="20" t="n">
        <v>8933</v>
      </c>
      <c r="F124" s="20" t="n">
        <v>9191</v>
      </c>
      <c r="G124" s="20" t="n">
        <v>11298</v>
      </c>
      <c r="H124" s="20" t="n">
        <v>5023</v>
      </c>
      <c r="I124" s="20" t="n">
        <v>3860</v>
      </c>
      <c r="J124" s="20" t="n">
        <v>7024</v>
      </c>
      <c r="K124" s="20" t="n">
        <v>6046</v>
      </c>
      <c r="L124" s="20" t="n">
        <v>9191</v>
      </c>
    </row>
    <row r="125">
      <c r="A125" s="18" t="inlineStr">
        <is>
          <t>비지배지분</t>
        </is>
      </c>
      <c r="C125" s="20" t="n">
        <v>5755</v>
      </c>
      <c r="D125" s="20" t="n">
        <v>5927</v>
      </c>
      <c r="E125" s="20" t="n">
        <v>6148</v>
      </c>
      <c r="F125" s="20" t="n">
        <v>6334</v>
      </c>
      <c r="G125" s="20" t="n">
        <v>6389</v>
      </c>
      <c r="H125" s="20" t="n">
        <v>4419</v>
      </c>
      <c r="I125" s="20" t="n">
        <v>4643</v>
      </c>
      <c r="J125" s="20" t="n">
        <v>5101</v>
      </c>
      <c r="K125" s="20" t="n">
        <v>5674</v>
      </c>
      <c r="L125" s="20" t="n">
        <v>6334</v>
      </c>
    </row>
    <row r="126">
      <c r="A126" s="9" t="inlineStr">
        <is>
          <t>순자산 합계</t>
        </is>
      </c>
      <c r="C126" s="12" t="n">
        <v>65020</v>
      </c>
      <c r="D126" s="12" t="n">
        <v>67503</v>
      </c>
      <c r="E126" s="12" t="n">
        <v>69497</v>
      </c>
      <c r="F126" s="12" t="n">
        <v>69661</v>
      </c>
      <c r="G126" s="12" t="n">
        <v>72976</v>
      </c>
      <c r="H126" s="12" t="n">
        <v>53160</v>
      </c>
      <c r="I126" s="12" t="n">
        <v>52879</v>
      </c>
      <c r="J126" s="12" t="n">
        <v>59706</v>
      </c>
      <c r="K126" s="12" t="n">
        <v>63402</v>
      </c>
      <c r="L126" s="12" t="n">
        <v>69661</v>
      </c>
    </row>
    <row r="127">
      <c r="A127" s="9" t="inlineStr">
        <is>
          <t>부채·순자산 합계</t>
        </is>
      </c>
      <c r="C127" s="12" t="n">
        <v>165237</v>
      </c>
      <c r="D127" s="12" t="n">
        <v>172058</v>
      </c>
      <c r="E127" s="12" t="n">
        <v>177209</v>
      </c>
      <c r="F127" s="12" t="n">
        <v>185392</v>
      </c>
      <c r="G127" s="12" t="n">
        <v>187697</v>
      </c>
      <c r="H127" s="12" t="n">
        <v>146906</v>
      </c>
      <c r="I127" s="12" t="n">
        <v>150568</v>
      </c>
      <c r="J127" s="12" t="n">
        <v>159191</v>
      </c>
      <c r="K127" s="12" t="n">
        <v>165444</v>
      </c>
      <c r="L127" s="12" t="n">
        <v>185392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2026-07-27</t>
        </is>
      </c>
      <c r="B4" t="inlineStr">
        <is>
          <t>2027년 3월 결산기 1분기 결산단신</t>
        </is>
      </c>
      <c r="C4" t="inlineStr">
        <is>
          <t>https://www2.jpx.co.jp/disc/90810/140120260723598557.pdf</t>
        </is>
      </c>
    </row>
    <row r="5">
      <c r="A5" t="inlineStr">
        <is>
          <t>2026-04-28</t>
        </is>
      </c>
      <c r="B5" t="inlineStr">
        <is>
          <t>2026년 3월 결산기 연간 결산단신</t>
        </is>
      </c>
      <c r="C5" t="inlineStr">
        <is>
          <t>https://www2.jpx.co.jp/disc/90810/140120260420506586.pdf</t>
        </is>
      </c>
    </row>
    <row r="6">
      <c r="A6" t="inlineStr">
        <is>
          <t>2026-02-05</t>
        </is>
      </c>
      <c r="B6" t="inlineStr">
        <is>
          <t>2026년 3월 결산기 3분기 결산단신</t>
        </is>
      </c>
      <c r="C6" t="inlineStr">
        <is>
          <t>https://www2.jpx.co.jp/disc/90810/140120260129541071.pdf</t>
        </is>
      </c>
    </row>
    <row r="7">
      <c r="A7" t="inlineStr">
        <is>
          <t>2025-10-28</t>
        </is>
      </c>
      <c r="B7" t="inlineStr">
        <is>
          <t>2026년 3월 결산기 2분기 결산단신</t>
        </is>
      </c>
      <c r="C7" t="inlineStr">
        <is>
          <t>https://www2.jpx.co.jp/disc/90810/140120251027579087.pdf</t>
        </is>
      </c>
    </row>
    <row r="8">
      <c r="A8" t="inlineStr">
        <is>
          <t>2025-07-28</t>
        </is>
      </c>
      <c r="B8" t="inlineStr">
        <is>
          <t>2026년 3월 결산기 1분기 결산단신</t>
        </is>
      </c>
      <c r="C8" t="inlineStr">
        <is>
          <t>https://www2.jpx.co.jp/disc/90810/140120250723518211.pdf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https://www2.jpx.co.jp/disc/90810/140120250428526336.pdf</t>
        </is>
      </c>
    </row>
    <row r="10">
      <c r="A10" t="inlineStr">
        <is>
          <t>2025-02-07</t>
        </is>
      </c>
      <c r="B10" t="inlineStr">
        <is>
          <t>2025년 3월 결산기 3분기 결산단신</t>
        </is>
      </c>
      <c r="C10" t="inlineStr">
        <is>
          <t>https://www2.jpx.co.jp/disc/90810/140120250128556129.pdf</t>
        </is>
      </c>
    </row>
    <row r="11">
      <c r="A11" t="inlineStr">
        <is>
          <t>2024-10-30</t>
        </is>
      </c>
      <c r="B11" t="inlineStr">
        <is>
          <t>2025년 3월 결산기 2분기 결산단신</t>
        </is>
      </c>
      <c r="C11" t="inlineStr">
        <is>
          <t>https://www2.jpx.co.jp/disc/90810/140120241020500122.pdf</t>
        </is>
      </c>
    </row>
    <row r="12">
      <c r="A12" t="inlineStr">
        <is>
          <t>2024-07-30</t>
        </is>
      </c>
      <c r="B12" t="inlineStr">
        <is>
          <t>2025년 3월 결산기 1분기 결산단신</t>
        </is>
      </c>
      <c r="C12" t="inlineStr">
        <is>
          <t>https://www2.jpx.co.jp/disc/90810/140120240722552406.pdf</t>
        </is>
      </c>
    </row>
    <row r="13">
      <c r="A13" t="inlineStr">
        <is>
          <t>2024-04-30</t>
        </is>
      </c>
      <c r="B13" t="inlineStr">
        <is>
          <t>2024년 3월 결산기 연간 결산단신</t>
        </is>
      </c>
      <c r="C13" t="inlineStr">
        <is>
          <t>https://www2.jpx.co.jp/disc/90810/140120240327560887.pdf</t>
        </is>
      </c>
    </row>
    <row r="14">
      <c r="A14" t="inlineStr">
        <is>
          <t>2024-02-07</t>
        </is>
      </c>
      <c r="B14" t="inlineStr">
        <is>
          <t>2024년 3월 결산기 3분기 결산단신</t>
        </is>
      </c>
      <c r="C14" t="inlineStr">
        <is>
          <t>https://www2.jpx.co.jp/disc/90810/140120240109511991.pdf</t>
        </is>
      </c>
    </row>
    <row r="15">
      <c r="A15" t="inlineStr">
        <is>
          <t>2023-10-27</t>
        </is>
      </c>
      <c r="B15" t="inlineStr">
        <is>
          <t>2024년 3월 결산기 2분기 결산단신</t>
        </is>
      </c>
      <c r="C15" t="inlineStr">
        <is>
          <t>https://www2.jpx.co.jp/disc/90810/140120231017568117.pdf</t>
        </is>
      </c>
    </row>
    <row r="16">
      <c r="A16" t="inlineStr">
        <is>
          <t>2023-07-27</t>
        </is>
      </c>
      <c r="B16" t="inlineStr">
        <is>
          <t>2024년 3월 결산기 1분기 결산단신</t>
        </is>
      </c>
      <c r="C16" t="inlineStr">
        <is>
          <t>https://www2.jpx.co.jp/disc/90810/140120230703516965.pdf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https://www2.jpx.co.jp/disc/90810/140120230314530489.pdf</t>
        </is>
      </c>
    </row>
    <row r="18">
      <c r="A18" t="inlineStr">
        <is>
          <t>2023-02-07</t>
        </is>
      </c>
      <c r="B18" t="inlineStr">
        <is>
          <t>2023년 3월 결산기 3분기 결산단신</t>
        </is>
      </c>
      <c r="C18" t="inlineStr">
        <is>
          <t>https://www2.jpx.co.jp/disc/90810/140120230120591830.pdf</t>
        </is>
      </c>
    </row>
    <row r="19">
      <c r="A19" t="inlineStr">
        <is>
          <t>2022-10-24</t>
        </is>
      </c>
      <c r="B19" t="inlineStr">
        <is>
          <t>2023년 3월 결산기 2분기 결산단신</t>
        </is>
      </c>
      <c r="C19" t="inlineStr">
        <is>
          <t>https://www2.jpx.co.jp/disc/90810/140120220926535882.pdf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https://www2.jpx.co.jp/disc/90810/140120220325511035.pdf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https://www2.jpx.co.jp/disc/90810/140120210315478629.pdf</t>
        </is>
      </c>
    </row>
    <row r="22">
      <c r="A22" t="inlineStr">
        <is>
          <t>2020-04-27</t>
        </is>
      </c>
      <c r="B22" t="inlineStr">
        <is>
          <t>2020년 3월 결산기 연간 결산단신</t>
        </is>
      </c>
      <c r="C22" t="inlineStr">
        <is>
          <t>https://www2.jpx.co.jp/disc/90810/140120200323482857.pdf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https://www2.jpx.co.jp/disc/90810/140120190312489522.pdf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https://www2.jpx.co.jp/disc/90810/140120180327498603.pdf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2026-10-26T10:59:26Z</dcterms:created>
  <dcterms:modified xmlns:dcterms="http://purl.org/dc/terms/" xmlns:xsi="http://www.w3.org/2001/XMLSchema-instance" xsi:type="dcterms:W3CDTF">2026-10-26T10:59:27Z</dcterms:modified>
</cp:coreProperties>
</file>