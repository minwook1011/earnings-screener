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출처" sheetId="3" state="visible" r:id="rId3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</numFmts>
  <fonts count="18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b val="1"/>
      <sz val="10"/>
    </font>
  </fonts>
  <fills count="7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6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40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6861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2월 결산 · 일본 기준 · 2027.4Q = 2027년 2월 결산기 4분기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2025.1Q</t>
        </is>
      </c>
      <c r="D3" s="5" t="inlineStr">
        <is>
          <t>2025.2Q</t>
        </is>
      </c>
      <c r="E3" s="5" t="inlineStr">
        <is>
          <t>2025.3Q</t>
        </is>
      </c>
      <c r="F3" s="5" t="inlineStr">
        <is>
          <t>2025.4Q</t>
        </is>
      </c>
      <c r="G3" s="5" t="inlineStr">
        <is>
          <t>2026.1Q</t>
        </is>
      </c>
      <c r="H3" s="5" t="inlineStr">
        <is>
          <t>2026.2Q</t>
        </is>
      </c>
      <c r="I3" s="5" t="inlineStr">
        <is>
          <t>2026.3Q</t>
        </is>
      </c>
      <c r="J3" s="5" t="inlineStr">
        <is>
          <t>2026.4Q</t>
        </is>
      </c>
      <c r="K3" s="5" t="inlineStr">
        <is>
          <t>2027.1Q</t>
        </is>
      </c>
      <c r="L3" s="5" t="inlineStr">
        <is>
          <t>2027.2Q</t>
        </is>
      </c>
      <c r="M3" s="5" t="inlineStr">
        <is>
          <t>2027.3Q</t>
        </is>
      </c>
      <c r="N3" s="5" t="inlineStr">
        <is>
          <t>2027.4Q</t>
        </is>
      </c>
      <c r="O3" s="6" t="inlineStr">
        <is>
          <t>2018</t>
        </is>
      </c>
      <c r="P3" s="5" t="inlineStr">
        <is>
          <t>2019</t>
        </is>
      </c>
      <c r="Q3" s="5" t="inlineStr">
        <is>
          <t>2020</t>
        </is>
      </c>
      <c r="R3" s="5" t="inlineStr">
        <is>
          <t>2021</t>
        </is>
      </c>
      <c r="S3" s="5" t="inlineStr">
        <is>
          <t>2022</t>
        </is>
      </c>
      <c r="T3" s="5" t="inlineStr">
        <is>
          <t>2023</t>
        </is>
      </c>
      <c r="U3" s="5" t="inlineStr">
        <is>
          <t>2024</t>
        </is>
      </c>
      <c r="V3" s="5" t="inlineStr">
        <is>
          <t>2025</t>
        </is>
      </c>
      <c r="W3" s="5" t="inlineStr">
        <is>
          <t>2026</t>
        </is>
      </c>
      <c r="X3" s="5" t="inlineStr">
        <is>
          <t>2027</t>
        </is>
      </c>
      <c r="Y3" s="7" t="inlineStr">
        <is>
          <t>2028(MW)</t>
        </is>
      </c>
      <c r="Z3" s="8" t="inlineStr">
        <is>
          <t>2029(MW)</t>
        </is>
      </c>
      <c r="AA3" s="8" t="inlineStr">
        <is>
          <t>2030(MW)</t>
        </is>
      </c>
      <c r="AB3" s="8" t="inlineStr">
        <is>
          <t>2031(MW)</t>
        </is>
      </c>
      <c r="AC3" s="8" t="inlineStr">
        <is>
          <t>2032(MW)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>
        <v>247223</v>
      </c>
      <c r="D4" s="12" t="n">
        <v>268327</v>
      </c>
      <c r="E4" s="12" t="n">
        <v>259640</v>
      </c>
      <c r="F4" s="12" t="n">
        <v>192098</v>
      </c>
      <c r="G4" s="12" t="n">
        <v>261076</v>
      </c>
      <c r="H4" s="12" t="n">
        <v>284224</v>
      </c>
      <c r="I4" s="12" t="n">
        <v>289305</v>
      </c>
      <c r="J4" s="12" t="n">
        <v>224540</v>
      </c>
      <c r="K4" s="12" t="n">
        <v>346621</v>
      </c>
      <c r="L4" s="12" t="n"/>
      <c r="M4" s="12" t="n"/>
      <c r="N4" s="12" t="n"/>
      <c r="O4" s="11" t="n"/>
      <c r="P4" s="12" t="n">
        <v>526847</v>
      </c>
      <c r="Q4" s="12" t="n">
        <v>587095</v>
      </c>
      <c r="R4" s="12" t="n">
        <v>551843</v>
      </c>
      <c r="S4" s="12" t="n">
        <v>538134</v>
      </c>
      <c r="T4" s="12" t="n">
        <v>755174</v>
      </c>
      <c r="U4" s="12" t="n">
        <v>922422</v>
      </c>
      <c r="V4" s="12" t="n">
        <v>967288</v>
      </c>
      <c r="W4" s="12" t="n">
        <v>1059145</v>
      </c>
      <c r="X4" s="12" t="n">
        <v>1169289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>
        <v>39831</v>
      </c>
      <c r="D11" s="22" t="n">
        <v>42467</v>
      </c>
      <c r="E11" s="22" t="n">
        <v>42282</v>
      </c>
      <c r="F11" s="22" t="n">
        <v>40202</v>
      </c>
      <c r="G11" s="22" t="n">
        <v>45412</v>
      </c>
      <c r="H11" s="22" t="n">
        <v>49010</v>
      </c>
      <c r="I11" s="22" t="n">
        <v>48769</v>
      </c>
      <c r="J11" s="22" t="n">
        <v>28253</v>
      </c>
      <c r="K11" s="22" t="n">
        <v>51866</v>
      </c>
      <c r="L11" s="22" t="n"/>
      <c r="M11" s="22" t="n"/>
      <c r="N11" s="22" t="n"/>
      <c r="O11" s="21" t="n"/>
      <c r="P11" s="22" t="n">
        <v>94174</v>
      </c>
      <c r="Q11" s="22" t="n">
        <v>103623</v>
      </c>
      <c r="R11" s="22" t="n">
        <v>100406</v>
      </c>
      <c r="S11" s="22" t="n">
        <v>97250</v>
      </c>
      <c r="T11" s="22" t="n">
        <v>133984</v>
      </c>
      <c r="U11" s="22" t="n">
        <v>167690</v>
      </c>
      <c r="V11" s="22" t="n">
        <v>164782</v>
      </c>
      <c r="W11" s="22" t="n">
        <v>171444</v>
      </c>
      <c r="X11" s="22" t="n">
        <v>198552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>
        <v>83986</v>
      </c>
      <c r="D15" s="22" t="n">
        <v>85301</v>
      </c>
      <c r="E15" s="22" t="n">
        <v>84288</v>
      </c>
      <c r="F15" s="22" t="n">
        <v>53916</v>
      </c>
      <c r="G15" s="22" t="n">
        <v>86363</v>
      </c>
      <c r="H15" s="22" t="n">
        <v>92335</v>
      </c>
      <c r="I15" s="22" t="n">
        <v>96334</v>
      </c>
      <c r="J15" s="22" t="n">
        <v>62893</v>
      </c>
      <c r="K15" s="22" t="n">
        <v>107679</v>
      </c>
      <c r="L15" s="22" t="n"/>
      <c r="M15" s="22" t="n"/>
      <c r="N15" s="22" t="n"/>
      <c r="O15" s="21" t="n"/>
      <c r="P15" s="22" t="n">
        <v>139781</v>
      </c>
      <c r="Q15" s="22" t="n">
        <v>165604</v>
      </c>
      <c r="R15" s="22" t="n">
        <v>173805</v>
      </c>
      <c r="S15" s="22" t="n">
        <v>164125</v>
      </c>
      <c r="T15" s="22" t="n">
        <v>203145</v>
      </c>
      <c r="U15" s="22" t="n">
        <v>255817</v>
      </c>
      <c r="V15" s="22" t="n">
        <v>307491</v>
      </c>
      <c r="W15" s="22" t="n">
        <v>337925</v>
      </c>
      <c r="X15" s="22" t="n">
        <v>374978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>
        <v>123405</v>
      </c>
      <c r="D16" s="12" t="n">
        <v>140560</v>
      </c>
      <c r="E16" s="12" t="n">
        <v>133068</v>
      </c>
      <c r="F16" s="12" t="n">
        <v>97981</v>
      </c>
      <c r="G16" s="12" t="n">
        <v>129301</v>
      </c>
      <c r="H16" s="12" t="n">
        <v>142878</v>
      </c>
      <c r="I16" s="12" t="n">
        <v>144202</v>
      </c>
      <c r="J16" s="12" t="n">
        <v>133394</v>
      </c>
      <c r="K16" s="12" t="n">
        <v>187076</v>
      </c>
      <c r="L16" s="12" t="n"/>
      <c r="M16" s="12" t="n"/>
      <c r="N16" s="12" t="n"/>
      <c r="O16" s="11" t="n"/>
      <c r="P16" s="12" t="n">
        <v>292890</v>
      </c>
      <c r="Q16" s="12" t="n">
        <v>317868</v>
      </c>
      <c r="R16" s="12" t="n">
        <v>277631</v>
      </c>
      <c r="S16" s="12" t="n">
        <v>276758</v>
      </c>
      <c r="T16" s="12" t="n">
        <v>418045</v>
      </c>
      <c r="U16" s="12" t="n">
        <v>498914</v>
      </c>
      <c r="V16" s="12" t="n">
        <v>495014</v>
      </c>
      <c r="W16" s="12" t="n">
        <v>549775</v>
      </c>
      <c r="X16" s="12" t="n">
        <v>595759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/>
      <c r="G32" s="22" t="n"/>
      <c r="H32" s="22" t="n"/>
      <c r="I32" s="22" t="n"/>
      <c r="J32" s="22" t="n"/>
      <c r="K32" s="22" t="n"/>
      <c r="L32" s="22" t="n"/>
      <c r="M32" s="22" t="n"/>
      <c r="N32" s="22" t="n"/>
      <c r="O32" s="21" t="n"/>
      <c r="P32" s="22" t="n"/>
      <c r="Q32" s="22" t="n"/>
      <c r="R32" s="22" t="n"/>
      <c r="S32" s="22" t="n"/>
      <c r="T32" s="22" t="n"/>
      <c r="U32" s="22" t="n"/>
      <c r="V32" s="22" t="n"/>
      <c r="W32" s="22" t="n"/>
      <c r="X32" s="22" t="n"/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/>
      <c r="E34" s="22" t="n"/>
      <c r="F34" s="22" t="n"/>
      <c r="G34" s="22" t="n"/>
      <c r="H34" s="22" t="n"/>
      <c r="I34" s="22" t="n"/>
      <c r="J34" s="22" t="n"/>
      <c r="K34" s="22" t="n"/>
      <c r="L34" s="22" t="n"/>
      <c r="M34" s="22" t="n"/>
      <c r="N34" s="22" t="n"/>
      <c r="O34" s="21" t="n"/>
      <c r="P34" s="22" t="n"/>
      <c r="Q34" s="22" t="n"/>
      <c r="R34" s="22" t="n"/>
      <c r="S34" s="22" t="n"/>
      <c r="T34" s="22" t="n"/>
      <c r="U34" s="22" t="n"/>
      <c r="V34" s="22" t="n"/>
      <c r="W34" s="22" t="n"/>
      <c r="X34" s="22" t="n"/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>
        <v>8084</v>
      </c>
      <c r="D36" s="22" t="n">
        <v>-1518</v>
      </c>
      <c r="E36" s="22" t="n">
        <v>6998</v>
      </c>
      <c r="F36" s="22" t="n">
        <v>11405</v>
      </c>
      <c r="G36" s="22" t="n">
        <v>4383</v>
      </c>
      <c r="H36" s="22" t="n">
        <v>8566</v>
      </c>
      <c r="I36" s="22" t="n">
        <v>14473</v>
      </c>
      <c r="J36" s="22" t="n">
        <v>-11102</v>
      </c>
      <c r="K36" s="22" t="n">
        <v>9798</v>
      </c>
      <c r="L36" s="22" t="n"/>
      <c r="M36" s="22" t="n"/>
      <c r="N36" s="22" t="n"/>
      <c r="O36" s="21" t="n"/>
      <c r="P36" s="22" t="n">
        <v>6225</v>
      </c>
      <c r="Q36" s="22" t="n">
        <v>2743</v>
      </c>
      <c r="R36" s="22" t="n">
        <v>6587</v>
      </c>
      <c r="S36" s="22" t="n">
        <v>9954</v>
      </c>
      <c r="T36" s="22" t="n">
        <v>13356</v>
      </c>
      <c r="U36" s="22" t="n">
        <v>14166</v>
      </c>
      <c r="V36" s="22" t="n">
        <v>24969</v>
      </c>
      <c r="W36" s="22" t="n">
        <v>16320</v>
      </c>
      <c r="X36" s="22" t="n">
        <v>40491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>
        <v>44</v>
      </c>
      <c r="D38" s="22" t="n">
        <v>4770</v>
      </c>
      <c r="E38" s="22" t="n">
        <v>-4553</v>
      </c>
      <c r="F38" s="22" t="n">
        <v>427</v>
      </c>
      <c r="G38" s="22" t="n">
        <v>2153</v>
      </c>
      <c r="H38" s="22" t="n">
        <v>-2024</v>
      </c>
      <c r="I38" s="22" t="n">
        <v>60</v>
      </c>
      <c r="J38" s="22" t="n">
        <v>4896</v>
      </c>
      <c r="K38" s="22" t="n">
        <v>81</v>
      </c>
      <c r="L38" s="22" t="n"/>
      <c r="M38" s="22" t="n"/>
      <c r="N38" s="22" t="n"/>
      <c r="O38" s="21" t="n"/>
      <c r="P38" s="22" t="n">
        <v>256</v>
      </c>
      <c r="Q38" s="22" t="n">
        <v>751</v>
      </c>
      <c r="R38" s="22" t="n">
        <v>3965</v>
      </c>
      <c r="S38" s="22" t="n">
        <v>118</v>
      </c>
      <c r="T38" s="22" t="n">
        <v>161</v>
      </c>
      <c r="U38" s="22" t="n">
        <v>251</v>
      </c>
      <c r="V38" s="22" t="n">
        <v>688</v>
      </c>
      <c r="W38" s="22" t="n">
        <v>5085</v>
      </c>
      <c r="X38" s="22" t="n">
        <v>494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>
        <v>131444</v>
      </c>
      <c r="D40" s="12" t="n">
        <v>134273</v>
      </c>
      <c r="E40" s="12" t="n">
        <v>144619</v>
      </c>
      <c r="F40" s="12" t="n">
        <v>108959</v>
      </c>
      <c r="G40" s="12" t="n">
        <v>131532</v>
      </c>
      <c r="H40" s="12" t="n">
        <v>153468</v>
      </c>
      <c r="I40" s="12" t="n">
        <v>158614</v>
      </c>
      <c r="J40" s="12" t="n">
        <v>117396</v>
      </c>
      <c r="K40" s="12" t="n">
        <v>196793</v>
      </c>
      <c r="L40" s="12" t="n"/>
      <c r="M40" s="12" t="n"/>
      <c r="N40" s="12" t="n"/>
      <c r="O40" s="11" t="n"/>
      <c r="P40" s="12" t="n">
        <v>298860</v>
      </c>
      <c r="Q40" s="12" t="n">
        <v>319860</v>
      </c>
      <c r="R40" s="12" t="n">
        <v>280253</v>
      </c>
      <c r="S40" s="12" t="n">
        <v>286594</v>
      </c>
      <c r="T40" s="12" t="n">
        <v>431240</v>
      </c>
      <c r="U40" s="12" t="n">
        <v>512830</v>
      </c>
      <c r="V40" s="12" t="n">
        <v>519295</v>
      </c>
      <c r="W40" s="12" t="n">
        <v>561010</v>
      </c>
      <c r="X40" s="12" t="n">
        <v>635756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>
        <v>37909</v>
      </c>
      <c r="D41" s="22" t="n">
        <v>38088</v>
      </c>
      <c r="E41" s="22" t="n">
        <v>42574</v>
      </c>
      <c r="F41" s="22" t="n">
        <v>31082</v>
      </c>
      <c r="G41" s="22" t="n">
        <v>39415</v>
      </c>
      <c r="H41" s="22" t="n">
        <v>45625</v>
      </c>
      <c r="I41" s="22" t="n">
        <v>47406</v>
      </c>
      <c r="J41" s="22" t="n">
        <v>29907</v>
      </c>
      <c r="K41" s="22" t="n">
        <v>57660</v>
      </c>
      <c r="L41" s="22" t="n"/>
      <c r="M41" s="22" t="n"/>
      <c r="N41" s="22" t="n"/>
      <c r="O41" s="21" t="n"/>
      <c r="P41" s="22" t="n">
        <v>88264</v>
      </c>
      <c r="Q41" s="22" t="n">
        <v>93713</v>
      </c>
      <c r="R41" s="22" t="n">
        <v>82129</v>
      </c>
      <c r="S41" s="22" t="n">
        <v>89305</v>
      </c>
      <c r="T41" s="22" t="n">
        <v>127880</v>
      </c>
      <c r="U41" s="22" t="n">
        <v>149866</v>
      </c>
      <c r="V41" s="22" t="n">
        <v>149653</v>
      </c>
      <c r="W41" s="22" t="n">
        <v>162353</v>
      </c>
      <c r="X41" s="22" t="n">
        <v>190570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>
        <v>93534</v>
      </c>
      <c r="D43" s="12" t="n">
        <v>96186</v>
      </c>
      <c r="E43" s="12" t="n">
        <v>102045</v>
      </c>
      <c r="F43" s="12" t="n">
        <v>77877</v>
      </c>
      <c r="G43" s="12" t="n">
        <v>92116</v>
      </c>
      <c r="H43" s="12" t="n">
        <v>107843</v>
      </c>
      <c r="I43" s="12" t="n">
        <v>111208</v>
      </c>
      <c r="J43" s="12" t="n">
        <v>87489</v>
      </c>
      <c r="K43" s="12" t="n">
        <v>139133</v>
      </c>
      <c r="L43" s="12" t="n"/>
      <c r="M43" s="12" t="n"/>
      <c r="N43" s="12" t="n"/>
      <c r="O43" s="11" t="n"/>
      <c r="P43" s="12" t="n">
        <v>210595</v>
      </c>
      <c r="Q43" s="12" t="n">
        <v>226147</v>
      </c>
      <c r="R43" s="12" t="n">
        <v>198124</v>
      </c>
      <c r="S43" s="12" t="n">
        <v>197289</v>
      </c>
      <c r="T43" s="12" t="n">
        <v>303360</v>
      </c>
      <c r="U43" s="12" t="n">
        <v>362963</v>
      </c>
      <c r="V43" s="12" t="n">
        <v>369642</v>
      </c>
      <c r="W43" s="12" t="n">
        <v>398656</v>
      </c>
      <c r="X43" s="12" t="n">
        <v>445185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>
        <v>93534</v>
      </c>
      <c r="D44" s="12" t="n">
        <v>96186</v>
      </c>
      <c r="E44" s="12" t="n">
        <v>102045</v>
      </c>
      <c r="F44" s="12" t="n">
        <v>77877</v>
      </c>
      <c r="G44" s="12" t="n">
        <v>92116</v>
      </c>
      <c r="H44" s="12" t="n">
        <v>107843</v>
      </c>
      <c r="I44" s="12" t="n">
        <v>111208</v>
      </c>
      <c r="J44" s="12" t="n">
        <v>87489</v>
      </c>
      <c r="K44" s="12" t="n">
        <v>139133</v>
      </c>
      <c r="L44" s="12" t="n"/>
      <c r="M44" s="12" t="n"/>
      <c r="N44" s="12" t="n"/>
      <c r="O44" s="11" t="n"/>
      <c r="P44" s="12" t="n">
        <v>210595</v>
      </c>
      <c r="Q44" s="12" t="n">
        <v>226147</v>
      </c>
      <c r="R44" s="12" t="n">
        <v>198124</v>
      </c>
      <c r="S44" s="12" t="n">
        <v>197289</v>
      </c>
      <c r="T44" s="12" t="n">
        <v>303360</v>
      </c>
      <c r="U44" s="12" t="n">
        <v>362963</v>
      </c>
      <c r="V44" s="12" t="n">
        <v>369642</v>
      </c>
      <c r="W44" s="12" t="n">
        <v>398656</v>
      </c>
      <c r="X44" s="12" t="n">
        <v>445185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(2026.10.26)</t>
        </is>
      </c>
      <c r="B47" s="29" t="n">
        <v>77270</v>
      </c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>
        <v>243207684</v>
      </c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 2026.10.26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2025.1Q</t>
        </is>
      </c>
      <c r="D77" s="5" t="inlineStr">
        <is>
          <t>2025.2Q</t>
        </is>
      </c>
      <c r="E77" s="5" t="inlineStr">
        <is>
          <t>2025.3Q</t>
        </is>
      </c>
      <c r="F77" s="5" t="inlineStr">
        <is>
          <t>2025.4Q</t>
        </is>
      </c>
      <c r="G77" s="5" t="inlineStr">
        <is>
          <t>2026.1Q</t>
        </is>
      </c>
      <c r="H77" s="5" t="inlineStr">
        <is>
          <t>2026.2Q</t>
        </is>
      </c>
      <c r="I77" s="5" t="inlineStr">
        <is>
          <t>2026.3Q</t>
        </is>
      </c>
      <c r="J77" s="5" t="inlineStr">
        <is>
          <t>2026.4Q</t>
        </is>
      </c>
      <c r="K77" s="5" t="inlineStr">
        <is>
          <t>2027.1Q</t>
        </is>
      </c>
      <c r="L77" s="5" t="inlineStr">
        <is>
          <t>2027.2Q</t>
        </is>
      </c>
      <c r="M77" s="5" t="inlineStr">
        <is>
          <t>2027.3Q</t>
        </is>
      </c>
      <c r="N77" s="5" t="inlineStr">
        <is>
          <t>2027.4Q</t>
        </is>
      </c>
      <c r="O77" s="5" t="inlineStr">
        <is>
          <t>2018</t>
        </is>
      </c>
      <c r="P77" s="5" t="inlineStr">
        <is>
          <t>2019</t>
        </is>
      </c>
      <c r="Q77" s="5" t="inlineStr">
        <is>
          <t>2020</t>
        </is>
      </c>
      <c r="R77" s="5" t="inlineStr">
        <is>
          <t>2021</t>
        </is>
      </c>
      <c r="S77" s="5" t="inlineStr">
        <is>
          <t>2022</t>
        </is>
      </c>
      <c r="T77" s="5" t="inlineStr">
        <is>
          <t>2023</t>
        </is>
      </c>
      <c r="U77" s="5" t="inlineStr">
        <is>
          <t>2024</t>
        </is>
      </c>
      <c r="V77" s="5" t="inlineStr">
        <is>
          <t>2025</t>
        </is>
      </c>
      <c r="W77" s="5" t="inlineStr">
        <is>
          <t>2026</t>
        </is>
      </c>
      <c r="X77" s="5" t="inlineStr">
        <is>
          <t>2027</t>
        </is>
      </c>
      <c r="Y77" s="5" t="inlineStr">
        <is>
          <t>2028(MW)</t>
        </is>
      </c>
      <c r="Z77" s="5" t="inlineStr">
        <is>
          <t>2029(MW)</t>
        </is>
      </c>
      <c r="AA77" s="5" t="inlineStr">
        <is>
          <t>2030(MW)</t>
        </is>
      </c>
      <c r="AB77" s="5" t="inlineStr">
        <is>
          <t>2031(MW)</t>
        </is>
      </c>
      <c r="AC77" s="5" t="inlineStr">
        <is>
          <t>2032(MW)</t>
        </is>
      </c>
    </row>
    <row r="78">
      <c r="A78" s="9" t="inlineStr">
        <is>
          <t>매출액</t>
        </is>
      </c>
      <c r="C78" s="12" t="n">
        <v>247223</v>
      </c>
      <c r="D78" s="12" t="n">
        <v>268327</v>
      </c>
      <c r="E78" s="12" t="n">
        <v>259640</v>
      </c>
      <c r="F78" s="12" t="n">
        <v>192098</v>
      </c>
      <c r="G78" s="12" t="n">
        <v>261076</v>
      </c>
      <c r="H78" s="12" t="n">
        <v>284224</v>
      </c>
      <c r="I78" s="12" t="n">
        <v>289305</v>
      </c>
      <c r="J78" s="12" t="n">
        <v>224540</v>
      </c>
      <c r="K78" s="12" t="n">
        <v>346621</v>
      </c>
      <c r="S78" s="12" t="n">
        <v>-7198</v>
      </c>
      <c r="T78" s="12" t="n">
        <v>74556</v>
      </c>
      <c r="U78" s="12" t="n">
        <v>215233</v>
      </c>
      <c r="V78" s="12" t="n">
        <v>192098</v>
      </c>
      <c r="W78" s="12" t="n">
        <v>224540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S79" s="17">
        <f>IF(OR(S78="",R78=""),"",IF(R78&lt;=0,"",IFERROR(S78/R78-1,"")))</f>
        <v/>
      </c>
      <c r="T79" s="17">
        <f>IF(OR(T78="",S78=""),"",IF(S78&lt;=0,"",IFERROR(T78/S78-1,"")))</f>
        <v/>
      </c>
      <c r="U79" s="17">
        <f>IF(OR(U78="",T78=""),"",IF(T78&lt;=0,"",IFERROR(U78/T78-1,"")))</f>
        <v/>
      </c>
      <c r="V79" s="17">
        <f>IF(OR(V78="",U78=""),"",IF(U78&lt;=0,"",IFERROR(V78/U78-1,"")))</f>
        <v/>
      </c>
      <c r="W79" s="17">
        <f>IF(OR(W78="",V78=""),"",IF(V78&lt;=0,"",IFERROR(W78/V78-1,"")))</f>
        <v/>
      </c>
    </row>
    <row r="80">
      <c r="A80" s="20" t="inlineStr">
        <is>
          <t>매출원가</t>
        </is>
      </c>
      <c r="C80" s="22" t="n">
        <v>39831</v>
      </c>
      <c r="D80" s="22" t="n">
        <v>42467</v>
      </c>
      <c r="E80" s="22" t="n">
        <v>42282</v>
      </c>
      <c r="F80" s="22" t="n">
        <v>40202</v>
      </c>
      <c r="G80" s="22" t="n">
        <v>45412</v>
      </c>
      <c r="H80" s="22" t="n">
        <v>49010</v>
      </c>
      <c r="I80" s="22" t="n">
        <v>48769</v>
      </c>
      <c r="J80" s="22" t="n">
        <v>28253</v>
      </c>
      <c r="K80" s="22" t="n">
        <v>51866</v>
      </c>
      <c r="S80" s="22" t="n">
        <v>2048</v>
      </c>
      <c r="T80" s="22" t="n">
        <v>10573</v>
      </c>
      <c r="U80" s="22" t="n">
        <v>45309</v>
      </c>
      <c r="V80" s="22" t="n">
        <v>40202</v>
      </c>
      <c r="W80" s="22" t="n">
        <v>28253</v>
      </c>
    </row>
    <row r="81">
      <c r="A81" s="9" t="inlineStr">
        <is>
          <t>매출총이익</t>
        </is>
      </c>
      <c r="C81" s="12" t="n">
        <v>207391</v>
      </c>
      <c r="D81" s="12" t="n">
        <v>225861</v>
      </c>
      <c r="E81" s="12" t="n">
        <v>217357</v>
      </c>
      <c r="F81" s="12" t="n">
        <v>151896</v>
      </c>
      <c r="G81" s="12" t="n">
        <v>215664</v>
      </c>
      <c r="H81" s="12" t="n">
        <v>235214</v>
      </c>
      <c r="I81" s="12" t="n">
        <v>240535</v>
      </c>
      <c r="J81" s="12" t="n">
        <v>196287</v>
      </c>
      <c r="K81" s="12" t="n">
        <v>294755</v>
      </c>
      <c r="S81" s="12" t="n">
        <v>-9246</v>
      </c>
      <c r="T81" s="12" t="n">
        <v>63984</v>
      </c>
      <c r="U81" s="12" t="n">
        <v>169924</v>
      </c>
      <c r="V81" s="12" t="n">
        <v>151896</v>
      </c>
      <c r="W81" s="12" t="n">
        <v>196287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S82" s="17">
        <f>IF(OR(S81="",R81=""),"",IF(R81&lt;=0,"",IFERROR(S81/R81-1,"")))</f>
        <v/>
      </c>
      <c r="T82" s="17">
        <f>IF(OR(T81="",S81=""),"",IF(S81&lt;=0,"",IFERROR(T81/S81-1,"")))</f>
        <v/>
      </c>
      <c r="U82" s="17">
        <f>IF(OR(U81="",T81=""),"",IF(T81&lt;=0,"",IFERROR(U81/T81-1,"")))</f>
        <v/>
      </c>
      <c r="V82" s="17">
        <f>IF(OR(V81="",U81=""),"",IF(U81&lt;=0,"",IFERROR(V81/U81-1,"")))</f>
        <v/>
      </c>
      <c r="W82" s="17">
        <f>IF(OR(W81="",V81=""),"",IF(V81&lt;=0,"",IFERROR(W81/V81-1,"")))</f>
        <v/>
      </c>
    </row>
    <row r="83">
      <c r="A83" s="20" t="inlineStr">
        <is>
          <t>판매비와 관리비</t>
        </is>
      </c>
      <c r="C83" s="22" t="n">
        <v>83986</v>
      </c>
      <c r="D83" s="22" t="n">
        <v>85301</v>
      </c>
      <c r="E83" s="22" t="n">
        <v>84288</v>
      </c>
      <c r="F83" s="22" t="n">
        <v>53916</v>
      </c>
      <c r="G83" s="22" t="n">
        <v>86363</v>
      </c>
      <c r="H83" s="22" t="n">
        <v>92335</v>
      </c>
      <c r="I83" s="22" t="n">
        <v>96334</v>
      </c>
      <c r="J83" s="22" t="n">
        <v>62893</v>
      </c>
      <c r="K83" s="22" t="n">
        <v>107679</v>
      </c>
      <c r="S83" s="22" t="n">
        <v>16406</v>
      </c>
      <c r="T83" s="22" t="n">
        <v>14970</v>
      </c>
      <c r="U83" s="22" t="n">
        <v>30525</v>
      </c>
      <c r="V83" s="22" t="n">
        <v>53916</v>
      </c>
      <c r="W83" s="22" t="n">
        <v>62893</v>
      </c>
    </row>
    <row r="84">
      <c r="A84" s="9" t="inlineStr">
        <is>
          <t>영업이익</t>
        </is>
      </c>
      <c r="C84" s="12" t="n">
        <v>123405</v>
      </c>
      <c r="D84" s="12" t="n">
        <v>140560</v>
      </c>
      <c r="E84" s="12" t="n">
        <v>133068</v>
      </c>
      <c r="F84" s="12" t="n">
        <v>97981</v>
      </c>
      <c r="G84" s="12" t="n">
        <v>129301</v>
      </c>
      <c r="H84" s="12" t="n">
        <v>142878</v>
      </c>
      <c r="I84" s="12" t="n">
        <v>144202</v>
      </c>
      <c r="J84" s="12" t="n">
        <v>133394</v>
      </c>
      <c r="K84" s="12" t="n">
        <v>187076</v>
      </c>
      <c r="S84" s="12" t="n">
        <v>-25653</v>
      </c>
      <c r="T84" s="12" t="n">
        <v>49014</v>
      </c>
      <c r="U84" s="12" t="n">
        <v>139399</v>
      </c>
      <c r="V84" s="12" t="n">
        <v>97981</v>
      </c>
      <c r="W84" s="12" t="n">
        <v>133394</v>
      </c>
    </row>
    <row r="85">
      <c r="A85" s="45" t="inlineStr">
        <is>
          <t>OPM</t>
        </is>
      </c>
      <c r="B85" s="3" t="inlineStr">
        <is>
          <t>영업이익 ÷ 매출</t>
        </is>
      </c>
      <c r="C85" s="17">
        <f>IF(OR(C84="",C78=""),"",IF(C78&lt;=0,"",IFERROR(C84/C78,"")))</f>
        <v/>
      </c>
      <c r="D85" s="17">
        <f>IF(OR(D84="",D78=""),"",IF(D78&lt;=0,"",IFERROR(D84/D78,"")))</f>
        <v/>
      </c>
      <c r="E85" s="17">
        <f>IF(OR(E84="",E78=""),"",IF(E78&lt;=0,"",IFERROR(E84/E78,"")))</f>
        <v/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S85" s="17">
        <f>IF(OR(S84="",S78=""),"",IF(S78&lt;=0,"",IFERROR(S84/S78,"")))</f>
        <v/>
      </c>
      <c r="T85" s="17">
        <f>IF(OR(T84="",T78=""),"",IF(T78&lt;=0,"",IFERROR(T84/T78,"")))</f>
        <v/>
      </c>
      <c r="U85" s="17">
        <f>IF(OR(U84="",U78=""),"",IF(U78&lt;=0,"",IFERROR(U84/U78,"")))</f>
        <v/>
      </c>
      <c r="V85" s="17">
        <f>IF(OR(V84="",V78=""),"",IF(V78&lt;=0,"",IFERROR(V84/V78,"")))</f>
        <v/>
      </c>
      <c r="W85" s="17">
        <f>IF(OR(W84="",W78=""),"",IF(W78&lt;=0,"",IFERROR(W84/W78,"")))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S86" s="17">
        <f>IF(OR(S84="",R84=""),"",IF(R84&lt;=0,"",IFERROR(S84/R84-1,"")))</f>
        <v/>
      </c>
      <c r="T86" s="17">
        <f>IF(OR(T84="",S84=""),"",IF(S84&lt;=0,"",IFERROR(T84/S84-1,"")))</f>
        <v/>
      </c>
      <c r="U86" s="17">
        <f>IF(OR(U84="",T84=""),"",IF(T84&lt;=0,"",IFERROR(U84/T84-1,"")))</f>
        <v/>
      </c>
      <c r="V86" s="17">
        <f>IF(OR(V84="",U84=""),"",IF(U84&lt;=0,"",IFERROR(V84/U84-1,"")))</f>
        <v/>
      </c>
      <c r="W86" s="17">
        <f>IF(OR(W84="",V84=""),"",IF(V84&lt;=0,"",IFERROR(W84/V84-1,"")))</f>
        <v/>
      </c>
    </row>
    <row r="87">
      <c r="A87" s="20" t="inlineStr">
        <is>
          <t>이자수익</t>
        </is>
      </c>
      <c r="C87" s="22" t="n">
        <v>1677</v>
      </c>
      <c r="D87" s="22" t="n">
        <v>2228</v>
      </c>
      <c r="E87" s="22" t="n">
        <v>2176</v>
      </c>
      <c r="F87" s="22" t="n">
        <v>-723</v>
      </c>
      <c r="G87" s="22" t="n">
        <v>3089</v>
      </c>
      <c r="H87" s="22" t="n">
        <v>3991</v>
      </c>
      <c r="I87" s="22" t="n">
        <v>3986</v>
      </c>
      <c r="J87" s="22" t="n">
        <v>-2098</v>
      </c>
      <c r="K87" s="22" t="n">
        <v>6091</v>
      </c>
      <c r="S87" s="22" t="n">
        <v>342</v>
      </c>
      <c r="T87" s="22" t="n">
        <v>-578</v>
      </c>
      <c r="U87" s="22" t="n">
        <v>-1647</v>
      </c>
      <c r="V87" s="22" t="n">
        <v>-723</v>
      </c>
      <c r="W87" s="22" t="n">
        <v>-2098</v>
      </c>
    </row>
    <row r="88">
      <c r="A88" s="20" t="inlineStr">
        <is>
          <t>지분법이익</t>
        </is>
      </c>
      <c r="C88" s="22" t="n">
        <v>1012</v>
      </c>
      <c r="D88" s="22" t="n">
        <v>1455</v>
      </c>
      <c r="E88" s="22" t="n">
        <v>1453</v>
      </c>
      <c r="F88" s="22" t="n">
        <v>1451</v>
      </c>
      <c r="G88" s="22" t="n">
        <v>1121</v>
      </c>
      <c r="H88" s="22" t="n">
        <v>1776</v>
      </c>
      <c r="I88" s="22" t="n">
        <v>1869</v>
      </c>
      <c r="J88" s="22" t="n">
        <v>543</v>
      </c>
      <c r="K88" s="22" t="n">
        <v>1295</v>
      </c>
      <c r="S88" s="22" t="n">
        <v>794</v>
      </c>
      <c r="T88" s="22" t="n">
        <v>773</v>
      </c>
      <c r="U88" s="22" t="n">
        <v>1477</v>
      </c>
      <c r="V88" s="22" t="n">
        <v>1451</v>
      </c>
      <c r="W88" s="22" t="n">
        <v>543</v>
      </c>
    </row>
    <row r="89">
      <c r="A89" s="20" t="inlineStr">
        <is>
          <t>외환차익</t>
        </is>
      </c>
      <c r="C89" s="22" t="n">
        <v>5283</v>
      </c>
      <c r="D89" s="22" t="n">
        <v>-5283</v>
      </c>
      <c r="E89" s="22" t="n">
        <v>2043</v>
      </c>
      <c r="F89" s="22" t="n">
        <v>10790</v>
      </c>
      <c r="G89" s="22" t="n">
        <v>0</v>
      </c>
      <c r="H89" s="22" t="n">
        <v>1644</v>
      </c>
      <c r="I89" s="22" t="n">
        <v>8512</v>
      </c>
      <c r="J89" s="22" t="n">
        <v>-10156</v>
      </c>
      <c r="K89" s="22" t="n">
        <v>2243</v>
      </c>
      <c r="S89" s="22" t="n">
        <v>1173</v>
      </c>
      <c r="T89" s="22" t="n">
        <v>1579</v>
      </c>
      <c r="U89" s="22" t="n">
        <v>-4158</v>
      </c>
      <c r="V89" s="22" t="n">
        <v>10790</v>
      </c>
      <c r="W89" s="22" t="n">
        <v>-10156</v>
      </c>
    </row>
    <row r="90">
      <c r="A90" s="20" t="inlineStr">
        <is>
          <t>잡이익</t>
        </is>
      </c>
      <c r="C90" s="22" t="n">
        <v>111</v>
      </c>
      <c r="D90" s="22" t="n">
        <v>82</v>
      </c>
      <c r="E90" s="22" t="n">
        <v>1326</v>
      </c>
      <c r="F90" s="22" t="n">
        <v>-114</v>
      </c>
      <c r="G90" s="22" t="n">
        <v>172</v>
      </c>
      <c r="H90" s="22" t="n">
        <v>1155</v>
      </c>
      <c r="I90" s="22" t="n">
        <v>106</v>
      </c>
      <c r="J90" s="22" t="n">
        <v>609</v>
      </c>
      <c r="K90" s="22" t="n">
        <v>168</v>
      </c>
      <c r="S90" s="22" t="n">
        <v>81</v>
      </c>
      <c r="T90" s="22" t="n">
        <v>185</v>
      </c>
      <c r="U90" s="22" t="n">
        <v>322</v>
      </c>
      <c r="V90" s="22" t="n">
        <v>-114</v>
      </c>
      <c r="W90" s="22" t="n">
        <v>609</v>
      </c>
    </row>
    <row r="91">
      <c r="A91" s="20" t="inlineStr">
        <is>
          <t>영업외수익 합계</t>
        </is>
      </c>
      <c r="C91" s="22" t="n">
        <v>8084</v>
      </c>
      <c r="D91" s="22" t="n">
        <v>-1518</v>
      </c>
      <c r="E91" s="22" t="n">
        <v>6998</v>
      </c>
      <c r="F91" s="22" t="n">
        <v>11405</v>
      </c>
      <c r="G91" s="22" t="n">
        <v>4383</v>
      </c>
      <c r="H91" s="22" t="n">
        <v>8566</v>
      </c>
      <c r="I91" s="22" t="n">
        <v>14473</v>
      </c>
      <c r="J91" s="22" t="n">
        <v>-11102</v>
      </c>
      <c r="K91" s="22" t="n">
        <v>9798</v>
      </c>
      <c r="S91" s="22" t="n">
        <v>2391</v>
      </c>
      <c r="T91" s="22" t="n">
        <v>1957</v>
      </c>
      <c r="U91" s="22" t="n">
        <v>-4005</v>
      </c>
      <c r="V91" s="22" t="n">
        <v>11405</v>
      </c>
      <c r="W91" s="22" t="n">
        <v>-11102</v>
      </c>
    </row>
    <row r="92">
      <c r="A92" s="20" t="inlineStr">
        <is>
          <t>외환차손</t>
        </is>
      </c>
      <c r="C92" s="22" t="n">
        <v>0</v>
      </c>
      <c r="D92" s="22" t="n">
        <v>4705</v>
      </c>
      <c r="G92" s="22" t="n">
        <v>2070</v>
      </c>
      <c r="H92" s="22" t="n">
        <v>-2070</v>
      </c>
      <c r="K92" s="22" t="n">
        <v>0</v>
      </c>
    </row>
    <row r="93">
      <c r="A93" s="20" t="inlineStr">
        <is>
          <t>잡손실</t>
        </is>
      </c>
      <c r="C93" s="22" t="n">
        <v>44</v>
      </c>
      <c r="D93" s="22" t="n">
        <v>64</v>
      </c>
      <c r="E93" s="22" t="n">
        <v>153</v>
      </c>
      <c r="F93" s="22" t="n">
        <v>427</v>
      </c>
      <c r="G93" s="22" t="n">
        <v>82</v>
      </c>
      <c r="H93" s="22" t="n">
        <v>47</v>
      </c>
      <c r="I93" s="22" t="n">
        <v>60</v>
      </c>
      <c r="J93" s="22" t="n">
        <v>675</v>
      </c>
      <c r="K93" s="22" t="n">
        <v>81</v>
      </c>
      <c r="S93" s="22" t="n">
        <v>-8</v>
      </c>
      <c r="T93" s="22" t="n">
        <v>25</v>
      </c>
      <c r="U93" s="22" t="n">
        <v>125</v>
      </c>
      <c r="V93" s="22" t="n">
        <v>427</v>
      </c>
      <c r="W93" s="22" t="n">
        <v>675</v>
      </c>
    </row>
    <row r="94">
      <c r="A94" s="20" t="inlineStr">
        <is>
          <t>영업외비용 합계</t>
        </is>
      </c>
      <c r="C94" s="22" t="n">
        <v>44</v>
      </c>
      <c r="D94" s="22" t="n">
        <v>4770</v>
      </c>
      <c r="E94" s="22" t="n">
        <v>-4553</v>
      </c>
      <c r="F94" s="22" t="n">
        <v>427</v>
      </c>
      <c r="G94" s="22" t="n">
        <v>2153</v>
      </c>
      <c r="H94" s="22" t="n">
        <v>-2024</v>
      </c>
      <c r="I94" s="22" t="n">
        <v>60</v>
      </c>
      <c r="J94" s="22" t="n">
        <v>4896</v>
      </c>
      <c r="K94" s="22" t="n">
        <v>81</v>
      </c>
      <c r="S94" s="22" t="n">
        <v>-8</v>
      </c>
      <c r="T94" s="22" t="n">
        <v>25</v>
      </c>
      <c r="U94" s="22" t="n">
        <v>125</v>
      </c>
      <c r="V94" s="22" t="n">
        <v>427</v>
      </c>
      <c r="W94" s="22" t="n">
        <v>4896</v>
      </c>
    </row>
    <row r="95">
      <c r="A95" s="9" t="inlineStr">
        <is>
          <t>경상이익</t>
        </is>
      </c>
      <c r="C95" s="12" t="n">
        <v>131444</v>
      </c>
      <c r="D95" s="12" t="n">
        <v>134273</v>
      </c>
      <c r="E95" s="12" t="n">
        <v>144619</v>
      </c>
      <c r="F95" s="12" t="n">
        <v>108959</v>
      </c>
      <c r="G95" s="12" t="n">
        <v>131532</v>
      </c>
      <c r="H95" s="12" t="n">
        <v>153468</v>
      </c>
      <c r="I95" s="12" t="n">
        <v>158614</v>
      </c>
      <c r="J95" s="12" t="n">
        <v>117396</v>
      </c>
      <c r="K95" s="12" t="n">
        <v>196793</v>
      </c>
      <c r="S95" s="12" t="n">
        <v>-23254</v>
      </c>
      <c r="T95" s="12" t="n">
        <v>50946</v>
      </c>
      <c r="U95" s="12" t="n">
        <v>135270</v>
      </c>
      <c r="V95" s="12" t="n">
        <v>108959</v>
      </c>
      <c r="W95" s="12" t="n">
        <v>117396</v>
      </c>
    </row>
    <row r="96">
      <c r="A96" s="45" t="inlineStr">
        <is>
          <t>YoY</t>
        </is>
      </c>
      <c r="B96" s="3" t="inlineStr">
        <is>
          <t>전년 같은 분기·전년 대비</t>
        </is>
      </c>
      <c r="G96" s="17">
        <f>IF(OR(G95="",C95=""),"",IF(C95&lt;=0,"",IFERROR(G95/C95-1,"")))</f>
        <v/>
      </c>
      <c r="H96" s="17">
        <f>IF(OR(H95="",D95=""),"",IF(D95&lt;=0,"",IFERROR(H95/D95-1,"")))</f>
        <v/>
      </c>
      <c r="I96" s="17">
        <f>IF(OR(I95="",E95=""),"",IF(E95&lt;=0,"",IFERROR(I95/E95-1,"")))</f>
        <v/>
      </c>
      <c r="J96" s="17">
        <f>IF(OR(J95="",F95=""),"",IF(F95&lt;=0,"",IFERROR(J95/F95-1,"")))</f>
        <v/>
      </c>
      <c r="K96" s="17">
        <f>IF(OR(K95="",G95=""),"",IF(G95&lt;=0,"",IFERROR(K95/G95-1,"")))</f>
        <v/>
      </c>
      <c r="S96" s="17">
        <f>IF(OR(S95="",R95=""),"",IF(R95&lt;=0,"",IFERROR(S95/R95-1,"")))</f>
        <v/>
      </c>
      <c r="T96" s="17">
        <f>IF(OR(T95="",S95=""),"",IF(S95&lt;=0,"",IFERROR(T95/S95-1,"")))</f>
        <v/>
      </c>
      <c r="U96" s="17">
        <f>IF(OR(U95="",T95=""),"",IF(T95&lt;=0,"",IFERROR(U95/T95-1,"")))</f>
        <v/>
      </c>
      <c r="V96" s="17">
        <f>IF(OR(V95="",U95=""),"",IF(U95&lt;=0,"",IFERROR(V95/U95-1,"")))</f>
        <v/>
      </c>
      <c r="W96" s="17">
        <f>IF(OR(W95="",V95=""),"",IF(V95&lt;=0,"",IFERROR(W95/V95-1,"")))</f>
        <v/>
      </c>
    </row>
    <row r="97">
      <c r="A97" s="9" t="inlineStr">
        <is>
          <t>법인세차감전 순이익</t>
        </is>
      </c>
      <c r="C97" s="12" t="n">
        <v>131444</v>
      </c>
      <c r="D97" s="12" t="n">
        <v>134273</v>
      </c>
      <c r="E97" s="12" t="n">
        <v>144619</v>
      </c>
      <c r="F97" s="12" t="n">
        <v>108959</v>
      </c>
      <c r="G97" s="12" t="n">
        <v>131532</v>
      </c>
      <c r="H97" s="12" t="n">
        <v>153468</v>
      </c>
      <c r="I97" s="12" t="n">
        <v>158614</v>
      </c>
      <c r="J97" s="12" t="n">
        <v>117396</v>
      </c>
      <c r="K97" s="12" t="n">
        <v>196793</v>
      </c>
      <c r="S97" s="12" t="n">
        <v>-23254</v>
      </c>
      <c r="T97" s="12" t="n">
        <v>50946</v>
      </c>
      <c r="U97" s="12" t="n">
        <v>135270</v>
      </c>
      <c r="V97" s="12" t="n">
        <v>108959</v>
      </c>
      <c r="W97" s="12" t="n">
        <v>117396</v>
      </c>
    </row>
    <row r="98">
      <c r="A98" s="20" t="inlineStr">
        <is>
          <t>법인세 등</t>
        </is>
      </c>
      <c r="C98" s="22" t="n">
        <v>37909</v>
      </c>
      <c r="D98" s="22" t="n">
        <v>38088</v>
      </c>
      <c r="E98" s="22" t="n">
        <v>42574</v>
      </c>
      <c r="F98" s="22" t="n">
        <v>31082</v>
      </c>
      <c r="G98" s="22" t="n">
        <v>39415</v>
      </c>
      <c r="H98" s="22" t="n">
        <v>45625</v>
      </c>
      <c r="I98" s="22" t="n">
        <v>47406</v>
      </c>
      <c r="J98" s="22" t="n">
        <v>29907</v>
      </c>
      <c r="K98" s="22" t="n">
        <v>57660</v>
      </c>
      <c r="S98" s="22" t="n">
        <v>-2138</v>
      </c>
      <c r="T98" s="22" t="n">
        <v>15609</v>
      </c>
      <c r="U98" s="22" t="n">
        <v>38733</v>
      </c>
      <c r="V98" s="22" t="n">
        <v>31082</v>
      </c>
      <c r="W98" s="22" t="n">
        <v>29907</v>
      </c>
    </row>
    <row r="99">
      <c r="A99" s="9" t="inlineStr">
        <is>
          <t>순이익</t>
        </is>
      </c>
      <c r="C99" s="12" t="n">
        <v>93534</v>
      </c>
      <c r="D99" s="12" t="n">
        <v>96186</v>
      </c>
      <c r="E99" s="12" t="n">
        <v>102045</v>
      </c>
      <c r="F99" s="12" t="n">
        <v>77877</v>
      </c>
      <c r="G99" s="12" t="n">
        <v>92116</v>
      </c>
      <c r="H99" s="12" t="n">
        <v>107843</v>
      </c>
      <c r="I99" s="12" t="n">
        <v>111208</v>
      </c>
      <c r="J99" s="12" t="n">
        <v>87489</v>
      </c>
      <c r="K99" s="12" t="n">
        <v>139133</v>
      </c>
      <c r="S99" s="12" t="n">
        <v>-21116</v>
      </c>
      <c r="T99" s="12" t="n">
        <v>35338</v>
      </c>
      <c r="U99" s="12" t="n">
        <v>96537</v>
      </c>
      <c r="V99" s="12" t="n">
        <v>77877</v>
      </c>
      <c r="W99" s="12" t="n">
        <v>87489</v>
      </c>
    </row>
    <row r="100">
      <c r="A100" s="45" t="inlineStr">
        <is>
          <t>YoY</t>
        </is>
      </c>
      <c r="B100" s="3" t="inlineStr">
        <is>
          <t>전년 같은 분기·전년 대비</t>
        </is>
      </c>
      <c r="G100" s="17">
        <f>IF(OR(G99="",C99=""),"",IF(C99&lt;=0,"",IFERROR(G99/C99-1,"")))</f>
        <v/>
      </c>
      <c r="H100" s="17">
        <f>IF(OR(H99="",D99=""),"",IF(D99&lt;=0,"",IFERROR(H99/D99-1,"")))</f>
        <v/>
      </c>
      <c r="I100" s="17">
        <f>IF(OR(I99="",E99=""),"",IF(E99&lt;=0,"",IFERROR(I99/E99-1,"")))</f>
        <v/>
      </c>
      <c r="J100" s="17">
        <f>IF(OR(J99="",F99=""),"",IF(F99&lt;=0,"",IFERROR(J99/F99-1,"")))</f>
        <v/>
      </c>
      <c r="K100" s="17">
        <f>IF(OR(K99="",G99=""),"",IF(G99&lt;=0,"",IFERROR(K99/G99-1,"")))</f>
        <v/>
      </c>
      <c r="S100" s="17">
        <f>IF(OR(S99="",R99=""),"",IF(R99&lt;=0,"",IFERROR(S99/R99-1,"")))</f>
        <v/>
      </c>
      <c r="T100" s="17">
        <f>IF(OR(T99="",S99=""),"",IF(S99&lt;=0,"",IFERROR(T99/S99-1,"")))</f>
        <v/>
      </c>
      <c r="U100" s="17">
        <f>IF(OR(U99="",T99=""),"",IF(T99&lt;=0,"",IFERROR(U99/T99-1,"")))</f>
        <v/>
      </c>
      <c r="V100" s="17">
        <f>IF(OR(V99="",U99=""),"",IF(U99&lt;=0,"",IFERROR(V99/U99-1,"")))</f>
        <v/>
      </c>
      <c r="W100" s="17">
        <f>IF(OR(W99="",V99=""),"",IF(V99&lt;=0,"",IFERROR(W99/V99-1,"")))</f>
        <v/>
      </c>
    </row>
    <row r="101">
      <c r="A101" s="9" t="inlineStr">
        <is>
          <t>지배주주 순이익</t>
        </is>
      </c>
      <c r="C101" s="12" t="n">
        <v>93534</v>
      </c>
      <c r="D101" s="12" t="n">
        <v>96186</v>
      </c>
      <c r="E101" s="12" t="n">
        <v>102045</v>
      </c>
      <c r="F101" s="12" t="n">
        <v>77877</v>
      </c>
      <c r="G101" s="12" t="n">
        <v>92116</v>
      </c>
      <c r="H101" s="12" t="n">
        <v>107843</v>
      </c>
      <c r="I101" s="12" t="n">
        <v>111208</v>
      </c>
      <c r="J101" s="12" t="n">
        <v>87489</v>
      </c>
      <c r="K101" s="12" t="n">
        <v>139133</v>
      </c>
      <c r="S101" s="12" t="n">
        <v>-21116</v>
      </c>
      <c r="T101" s="12" t="n">
        <v>35338</v>
      </c>
      <c r="U101" s="12" t="n">
        <v>96537</v>
      </c>
      <c r="V101" s="12" t="n">
        <v>77877</v>
      </c>
      <c r="W101" s="12" t="n">
        <v>87489</v>
      </c>
    </row>
    <row r="102">
      <c r="A102" s="45" t="inlineStr">
        <is>
          <t>YoY</t>
        </is>
      </c>
      <c r="B102" s="3" t="inlineStr">
        <is>
          <t>전년 같은 분기·전년 대비</t>
        </is>
      </c>
      <c r="G102" s="17">
        <f>IF(OR(G101="",C101=""),"",IF(C101&lt;=0,"",IFERROR(G101/C101-1,"")))</f>
        <v/>
      </c>
      <c r="H102" s="17">
        <f>IF(OR(H101="",D101=""),"",IF(D101&lt;=0,"",IFERROR(H101/D101-1,"")))</f>
        <v/>
      </c>
      <c r="I102" s="17">
        <f>IF(OR(I101="",E101=""),"",IF(E101&lt;=0,"",IFERROR(I101/E101-1,"")))</f>
        <v/>
      </c>
      <c r="J102" s="17">
        <f>IF(OR(J101="",F101=""),"",IF(F101&lt;=0,"",IFERROR(J101/F101-1,"")))</f>
        <v/>
      </c>
      <c r="K102" s="17">
        <f>IF(OR(K101="",G101=""),"",IF(G101&lt;=0,"",IFERROR(K101/G101-1,"")))</f>
        <v/>
      </c>
      <c r="S102" s="17">
        <f>IF(OR(S101="",R101=""),"",IF(R101&lt;=0,"",IFERROR(S101/R101-1,"")))</f>
        <v/>
      </c>
      <c r="T102" s="17">
        <f>IF(OR(T101="",S101=""),"",IF(S101&lt;=0,"",IFERROR(T101/S101-1,"")))</f>
        <v/>
      </c>
      <c r="U102" s="17">
        <f>IF(OR(U101="",T101=""),"",IF(T101&lt;=0,"",IFERROR(U101/T101-1,"")))</f>
        <v/>
      </c>
      <c r="V102" s="17">
        <f>IF(OR(V101="",U101=""),"",IF(U101&lt;=0,"",IFERROR(V101/U101-1,"")))</f>
        <v/>
      </c>
      <c r="W102" s="17">
        <f>IF(OR(W101="",V101=""),"",IF(V101&lt;=0,"",IFERROR(W101/V101-1,"")))</f>
        <v/>
      </c>
    </row>
    <row r="104">
      <c r="A104" s="18" t="inlineStr">
        <is>
          <t>포괄손익 · 전 항목</t>
        </is>
      </c>
      <c r="B104" s="44" t="inlineStr">
        <is>
          <t>분기 = 3개월 단독</t>
        </is>
      </c>
      <c r="C104" s="18" t="n"/>
      <c r="D104" s="18" t="n"/>
      <c r="E104" s="18" t="n"/>
      <c r="F104" s="18" t="n"/>
      <c r="G104" s="18" t="n"/>
      <c r="H104" s="18" t="n"/>
      <c r="I104" s="18" t="n"/>
      <c r="J104" s="18" t="n"/>
      <c r="K104" s="18" t="n"/>
      <c r="L104" s="18" t="n"/>
      <c r="M104" s="18" t="n"/>
      <c r="N104" s="18" t="n"/>
      <c r="O104" s="18" t="n"/>
      <c r="P104" s="18" t="n"/>
      <c r="Q104" s="18" t="n"/>
      <c r="R104" s="18" t="n"/>
      <c r="S104" s="18" t="n"/>
      <c r="T104" s="18" t="n"/>
      <c r="U104" s="18" t="n"/>
      <c r="V104" s="18" t="n"/>
      <c r="W104" s="18" t="n"/>
      <c r="X104" s="18" t="n"/>
      <c r="Y104" s="18" t="n"/>
      <c r="Z104" s="18" t="n"/>
      <c r="AA104" s="18" t="n"/>
      <c r="AB104" s="18" t="n"/>
      <c r="AC104" s="18" t="n"/>
    </row>
    <row r="105">
      <c r="A105" s="5" t="inlineStr">
        <is>
          <t>항목</t>
        </is>
      </c>
      <c r="B105" s="5" t="inlineStr">
        <is>
          <t>참고</t>
        </is>
      </c>
      <c r="C105" s="5" t="inlineStr">
        <is>
          <t>2025.1Q</t>
        </is>
      </c>
      <c r="D105" s="5" t="inlineStr">
        <is>
          <t>2025.2Q</t>
        </is>
      </c>
      <c r="E105" s="5" t="inlineStr">
        <is>
          <t>2025.3Q</t>
        </is>
      </c>
      <c r="F105" s="5" t="inlineStr">
        <is>
          <t>2025.4Q</t>
        </is>
      </c>
      <c r="G105" s="5" t="inlineStr">
        <is>
          <t>2026.1Q</t>
        </is>
      </c>
      <c r="H105" s="5" t="inlineStr">
        <is>
          <t>2026.2Q</t>
        </is>
      </c>
      <c r="I105" s="5" t="inlineStr">
        <is>
          <t>2026.3Q</t>
        </is>
      </c>
      <c r="J105" s="5" t="inlineStr">
        <is>
          <t>2026.4Q</t>
        </is>
      </c>
      <c r="K105" s="5" t="inlineStr">
        <is>
          <t>2027.1Q</t>
        </is>
      </c>
      <c r="L105" s="5" t="inlineStr">
        <is>
          <t>2027.2Q</t>
        </is>
      </c>
      <c r="M105" s="5" t="inlineStr">
        <is>
          <t>2027.3Q</t>
        </is>
      </c>
      <c r="N105" s="5" t="inlineStr">
        <is>
          <t>2027.4Q</t>
        </is>
      </c>
      <c r="O105" s="5" t="inlineStr">
        <is>
          <t>2018</t>
        </is>
      </c>
      <c r="P105" s="5" t="inlineStr">
        <is>
          <t>2019</t>
        </is>
      </c>
      <c r="Q105" s="5" t="inlineStr">
        <is>
          <t>2020</t>
        </is>
      </c>
      <c r="R105" s="5" t="inlineStr">
        <is>
          <t>2021</t>
        </is>
      </c>
      <c r="S105" s="5" t="inlineStr">
        <is>
          <t>2022</t>
        </is>
      </c>
      <c r="T105" s="5" t="inlineStr">
        <is>
          <t>2023</t>
        </is>
      </c>
      <c r="U105" s="5" t="inlineStr">
        <is>
          <t>2024</t>
        </is>
      </c>
      <c r="V105" s="5" t="inlineStr">
        <is>
          <t>2025</t>
        </is>
      </c>
      <c r="W105" s="5" t="inlineStr">
        <is>
          <t>2026</t>
        </is>
      </c>
      <c r="X105" s="5" t="inlineStr">
        <is>
          <t>2027</t>
        </is>
      </c>
      <c r="Y105" s="5" t="inlineStr">
        <is>
          <t>2028(MW)</t>
        </is>
      </c>
      <c r="Z105" s="5" t="inlineStr">
        <is>
          <t>2029(MW)</t>
        </is>
      </c>
      <c r="AA105" s="5" t="inlineStr">
        <is>
          <t>2030(MW)</t>
        </is>
      </c>
      <c r="AB105" s="5" t="inlineStr">
        <is>
          <t>2031(MW)</t>
        </is>
      </c>
      <c r="AC105" s="5" t="inlineStr">
        <is>
          <t>2032(MW)</t>
        </is>
      </c>
    </row>
    <row r="106">
      <c r="A106" s="9" t="inlineStr">
        <is>
          <t>순이익</t>
        </is>
      </c>
      <c r="C106" s="12" t="n">
        <v>93534</v>
      </c>
      <c r="D106" s="12" t="n">
        <v>96186</v>
      </c>
      <c r="E106" s="12" t="n">
        <v>102045</v>
      </c>
      <c r="F106" s="12" t="n">
        <v>77877</v>
      </c>
      <c r="G106" s="12" t="n">
        <v>92116</v>
      </c>
      <c r="H106" s="12" t="n">
        <v>107843</v>
      </c>
      <c r="I106" s="12" t="n">
        <v>111208</v>
      </c>
      <c r="J106" s="12" t="n">
        <v>87489</v>
      </c>
      <c r="K106" s="12" t="n">
        <v>139133</v>
      </c>
      <c r="S106" s="12" t="n">
        <v>-21116</v>
      </c>
      <c r="T106" s="12" t="n">
        <v>35338</v>
      </c>
      <c r="U106" s="12" t="n">
        <v>96537</v>
      </c>
      <c r="V106" s="12" t="n">
        <v>77877</v>
      </c>
      <c r="W106" s="12" t="n">
        <v>87489</v>
      </c>
    </row>
    <row r="107">
      <c r="A107" s="20" t="inlineStr">
        <is>
          <t>기타유가증권 평가차액</t>
        </is>
      </c>
      <c r="C107" s="22" t="n">
        <v>-344</v>
      </c>
      <c r="D107" s="22" t="n">
        <v>-809</v>
      </c>
      <c r="E107" s="22" t="n">
        <v>-2350</v>
      </c>
      <c r="F107" s="22" t="n">
        <v>1485</v>
      </c>
      <c r="G107" s="22" t="n">
        <v>4228</v>
      </c>
      <c r="H107" s="22" t="n">
        <v>-3114</v>
      </c>
      <c r="I107" s="22" t="n">
        <v>-3534</v>
      </c>
      <c r="J107" s="22" t="n">
        <v>-5939</v>
      </c>
      <c r="K107" s="22" t="n">
        <v>-543</v>
      </c>
      <c r="S107" s="22" t="n">
        <v>3438</v>
      </c>
      <c r="T107" s="22" t="n">
        <v>612</v>
      </c>
      <c r="U107" s="22" t="n">
        <v>-833</v>
      </c>
      <c r="V107" s="22" t="n">
        <v>1485</v>
      </c>
      <c r="W107" s="22" t="n">
        <v>-5939</v>
      </c>
    </row>
    <row r="108">
      <c r="A108" s="20" t="inlineStr">
        <is>
          <t>해외사업환산조정</t>
        </is>
      </c>
      <c r="C108" s="22" t="n">
        <v>8270</v>
      </c>
      <c r="D108" s="22" t="n">
        <v>-18112</v>
      </c>
      <c r="E108" s="22" t="n">
        <v>5165</v>
      </c>
      <c r="F108" s="22" t="n">
        <v>24428</v>
      </c>
      <c r="G108" s="22" t="n">
        <v>425</v>
      </c>
      <c r="H108" s="22" t="n">
        <v>8040</v>
      </c>
      <c r="I108" s="22" t="n">
        <v>18799</v>
      </c>
      <c r="J108" s="22" t="n">
        <v>-36435</v>
      </c>
      <c r="K108" s="22" t="n">
        <v>5363</v>
      </c>
      <c r="S108" s="22" t="n">
        <v>-3023</v>
      </c>
      <c r="T108" s="22" t="n">
        <v>-10048</v>
      </c>
      <c r="U108" s="22" t="n">
        <v>1191</v>
      </c>
      <c r="V108" s="22" t="n">
        <v>24428</v>
      </c>
      <c r="W108" s="22" t="n">
        <v>-36435</v>
      </c>
    </row>
    <row r="109">
      <c r="A109" s="20" t="inlineStr">
        <is>
          <t>지분법 적용회사 지분 해당액</t>
        </is>
      </c>
      <c r="C109" s="22" t="n">
        <v>55</v>
      </c>
      <c r="D109" s="22" t="n">
        <v>26</v>
      </c>
      <c r="E109" s="22" t="n">
        <v>-52</v>
      </c>
      <c r="F109" s="22" t="n">
        <v>-64</v>
      </c>
      <c r="G109" s="22" t="n">
        <v>-27</v>
      </c>
      <c r="H109" s="22" t="n">
        <v>-18</v>
      </c>
      <c r="I109" s="22" t="n">
        <v>18</v>
      </c>
      <c r="J109" s="22" t="n">
        <v>100</v>
      </c>
      <c r="K109" s="22" t="n">
        <v>14</v>
      </c>
      <c r="S109" s="22" t="n">
        <v>14</v>
      </c>
      <c r="T109" s="22" t="n">
        <v>-4</v>
      </c>
      <c r="U109" s="22" t="n">
        <v>-6</v>
      </c>
      <c r="V109" s="22" t="n">
        <v>-64</v>
      </c>
      <c r="W109" s="22" t="n">
        <v>100</v>
      </c>
    </row>
    <row r="110">
      <c r="A110" s="20" t="inlineStr">
        <is>
          <t>기타포괄손익 합계</t>
        </is>
      </c>
      <c r="C110" s="22" t="n">
        <v>7981</v>
      </c>
      <c r="D110" s="22" t="n">
        <v>-18896</v>
      </c>
      <c r="E110" s="22" t="n">
        <v>2764</v>
      </c>
      <c r="F110" s="22" t="n">
        <v>25848</v>
      </c>
      <c r="G110" s="22" t="n">
        <v>4626</v>
      </c>
      <c r="H110" s="22" t="n">
        <v>4908</v>
      </c>
      <c r="I110" s="22" t="n">
        <v>15282</v>
      </c>
      <c r="J110" s="22" t="n">
        <v>-42273</v>
      </c>
      <c r="K110" s="22" t="n">
        <v>4833</v>
      </c>
      <c r="S110" s="22" t="n">
        <v>431</v>
      </c>
      <c r="T110" s="22" t="n">
        <v>-9441</v>
      </c>
      <c r="U110" s="22" t="n">
        <v>354</v>
      </c>
      <c r="V110" s="22" t="n">
        <v>25848</v>
      </c>
      <c r="W110" s="22" t="n">
        <v>-42273</v>
      </c>
    </row>
    <row r="111">
      <c r="A111" s="9" t="inlineStr">
        <is>
          <t>포괄이익</t>
        </is>
      </c>
      <c r="C111" s="12" t="n">
        <v>101516</v>
      </c>
      <c r="D111" s="12" t="n">
        <v>77289</v>
      </c>
      <c r="E111" s="12" t="n">
        <v>104809</v>
      </c>
      <c r="F111" s="12" t="n">
        <v>103725</v>
      </c>
      <c r="G111" s="12" t="n">
        <v>96743</v>
      </c>
      <c r="H111" s="12" t="n">
        <v>112751</v>
      </c>
      <c r="I111" s="12" t="n">
        <v>126489</v>
      </c>
      <c r="J111" s="12" t="n">
        <v>45216</v>
      </c>
      <c r="K111" s="12" t="n">
        <v>143967</v>
      </c>
      <c r="S111" s="12" t="n">
        <v>-20685</v>
      </c>
      <c r="T111" s="12" t="n">
        <v>25896</v>
      </c>
      <c r="U111" s="12" t="n">
        <v>96891</v>
      </c>
      <c r="V111" s="12" t="n">
        <v>103725</v>
      </c>
      <c r="W111" s="12" t="n">
        <v>45216</v>
      </c>
    </row>
    <row r="112">
      <c r="A112" s="9" t="inlineStr">
        <is>
          <t>지배주주 포괄이익</t>
        </is>
      </c>
      <c r="C112" s="12" t="n">
        <v>101516</v>
      </c>
      <c r="D112" s="12" t="n">
        <v>77289</v>
      </c>
      <c r="E112" s="12" t="n">
        <v>104809</v>
      </c>
      <c r="F112" s="12" t="n">
        <v>103725</v>
      </c>
      <c r="G112" s="12" t="n">
        <v>96743</v>
      </c>
      <c r="H112" s="12" t="n">
        <v>112751</v>
      </c>
      <c r="I112" s="12" t="n">
        <v>126489</v>
      </c>
      <c r="J112" s="12" t="n">
        <v>45216</v>
      </c>
      <c r="K112" s="12" t="n">
        <v>143967</v>
      </c>
      <c r="S112" s="12" t="n">
        <v>-20685</v>
      </c>
      <c r="T112" s="12" t="n">
        <v>25896</v>
      </c>
      <c r="U112" s="12" t="n">
        <v>96891</v>
      </c>
      <c r="V112" s="12" t="n">
        <v>103725</v>
      </c>
      <c r="W112" s="12" t="n">
        <v>45216</v>
      </c>
    </row>
    <row r="114">
      <c r="A114" s="18" t="inlineStr">
        <is>
          <t>현금흐름표 · 전 항목</t>
        </is>
      </c>
      <c r="B114" s="44" t="inlineStr">
        <is>
          <t>분기 = 결산기 첫날부터 누계(공시 그대로)</t>
        </is>
      </c>
      <c r="C114" s="18" t="n"/>
      <c r="D114" s="18" t="n"/>
      <c r="E114" s="18" t="n"/>
      <c r="F114" s="18" t="n"/>
      <c r="G114" s="18" t="n"/>
      <c r="H114" s="18" t="n"/>
      <c r="I114" s="18" t="n"/>
      <c r="J114" s="18" t="n"/>
      <c r="K114" s="18" t="n"/>
      <c r="L114" s="18" t="n"/>
      <c r="M114" s="18" t="n"/>
      <c r="N114" s="18" t="n"/>
      <c r="O114" s="18" t="n"/>
      <c r="P114" s="18" t="n"/>
      <c r="Q114" s="18" t="n"/>
      <c r="R114" s="18" t="n"/>
      <c r="S114" s="18" t="n"/>
      <c r="T114" s="18" t="n"/>
      <c r="U114" s="18" t="n"/>
      <c r="V114" s="18" t="n"/>
      <c r="W114" s="18" t="n"/>
      <c r="X114" s="18" t="n"/>
      <c r="Y114" s="18" t="n"/>
      <c r="Z114" s="18" t="n"/>
      <c r="AA114" s="18" t="n"/>
      <c r="AB114" s="18" t="n"/>
      <c r="AC114" s="18" t="n"/>
    </row>
    <row r="115">
      <c r="A115" s="5" t="inlineStr">
        <is>
          <t>항목</t>
        </is>
      </c>
      <c r="B115" s="5" t="inlineStr">
        <is>
          <t>참고</t>
        </is>
      </c>
      <c r="C115" s="5" t="inlineStr">
        <is>
          <t>2025.1Q</t>
        </is>
      </c>
      <c r="D115" s="5" t="inlineStr">
        <is>
          <t>2025.2Q</t>
        </is>
      </c>
      <c r="E115" s="5" t="inlineStr">
        <is>
          <t>2025.3Q</t>
        </is>
      </c>
      <c r="F115" s="5" t="inlineStr">
        <is>
          <t>2025.4Q</t>
        </is>
      </c>
      <c r="G115" s="5" t="inlineStr">
        <is>
          <t>2026.1Q</t>
        </is>
      </c>
      <c r="H115" s="5" t="inlineStr">
        <is>
          <t>2026.2Q</t>
        </is>
      </c>
      <c r="I115" s="5" t="inlineStr">
        <is>
          <t>2026.3Q</t>
        </is>
      </c>
      <c r="J115" s="5" t="inlineStr">
        <is>
          <t>2026.4Q</t>
        </is>
      </c>
      <c r="K115" s="5" t="inlineStr">
        <is>
          <t>2027.1Q</t>
        </is>
      </c>
      <c r="L115" s="5" t="inlineStr">
        <is>
          <t>2027.2Q</t>
        </is>
      </c>
      <c r="M115" s="5" t="inlineStr">
        <is>
          <t>2027.3Q</t>
        </is>
      </c>
      <c r="N115" s="5" t="inlineStr">
        <is>
          <t>2027.4Q</t>
        </is>
      </c>
      <c r="O115" s="5" t="inlineStr">
        <is>
          <t>2018</t>
        </is>
      </c>
      <c r="P115" s="5" t="inlineStr">
        <is>
          <t>2019</t>
        </is>
      </c>
      <c r="Q115" s="5" t="inlineStr">
        <is>
          <t>2020</t>
        </is>
      </c>
      <c r="R115" s="5" t="inlineStr">
        <is>
          <t>2021</t>
        </is>
      </c>
      <c r="S115" s="5" t="inlineStr">
        <is>
          <t>2022</t>
        </is>
      </c>
      <c r="T115" s="5" t="inlineStr">
        <is>
          <t>2023</t>
        </is>
      </c>
      <c r="U115" s="5" t="inlineStr">
        <is>
          <t>2024</t>
        </is>
      </c>
      <c r="V115" s="5" t="inlineStr">
        <is>
          <t>2025</t>
        </is>
      </c>
      <c r="W115" s="5" t="inlineStr">
        <is>
          <t>2026</t>
        </is>
      </c>
      <c r="X115" s="5" t="inlineStr">
        <is>
          <t>2027</t>
        </is>
      </c>
      <c r="Y115" s="5" t="inlineStr">
        <is>
          <t>2028(MW)</t>
        </is>
      </c>
      <c r="Z115" s="5" t="inlineStr">
        <is>
          <t>2029(MW)</t>
        </is>
      </c>
      <c r="AA115" s="5" t="inlineStr">
        <is>
          <t>2030(MW)</t>
        </is>
      </c>
      <c r="AB115" s="5" t="inlineStr">
        <is>
          <t>2031(MW)</t>
        </is>
      </c>
      <c r="AC115" s="5" t="inlineStr">
        <is>
          <t>2032(MW)</t>
        </is>
      </c>
    </row>
    <row r="116">
      <c r="A116" s="9" t="inlineStr">
        <is>
          <t>법인세차감전 순이익</t>
        </is>
      </c>
      <c r="F116" s="12" t="n">
        <v>519295</v>
      </c>
      <c r="J116" s="12" t="n">
        <v>561010</v>
      </c>
      <c r="N116" s="12" t="n">
        <v>635756</v>
      </c>
      <c r="P116" s="12" t="n">
        <v>298860</v>
      </c>
      <c r="Q116" s="12" t="n">
        <v>319860</v>
      </c>
      <c r="R116" s="12" t="n">
        <v>280253</v>
      </c>
      <c r="S116" s="12" t="n">
        <v>286594</v>
      </c>
      <c r="T116" s="12" t="n">
        <v>431240</v>
      </c>
      <c r="U116" s="12" t="n">
        <v>512830</v>
      </c>
      <c r="V116" s="12" t="n">
        <v>519295</v>
      </c>
      <c r="W116" s="12" t="n">
        <v>561010</v>
      </c>
      <c r="X116" s="12" t="n">
        <v>635756</v>
      </c>
    </row>
    <row r="117">
      <c r="A117" s="20" t="inlineStr">
        <is>
          <t>감가상각비</t>
        </is>
      </c>
      <c r="F117" s="22" t="n">
        <v>13767</v>
      </c>
      <c r="J117" s="22" t="n">
        <v>15193</v>
      </c>
      <c r="N117" s="22" t="n">
        <v>17227</v>
      </c>
      <c r="P117" s="22" t="n">
        <v>4577</v>
      </c>
      <c r="Q117" s="22" t="n">
        <v>6288</v>
      </c>
      <c r="R117" s="22" t="n">
        <v>7995</v>
      </c>
      <c r="S117" s="22" t="n">
        <v>7555</v>
      </c>
      <c r="T117" s="22" t="n">
        <v>8621</v>
      </c>
      <c r="U117" s="22" t="n">
        <v>11523</v>
      </c>
      <c r="V117" s="22" t="n">
        <v>13767</v>
      </c>
      <c r="W117" s="22" t="n">
        <v>15193</v>
      </c>
      <c r="X117" s="22" t="n">
        <v>17227</v>
      </c>
    </row>
    <row r="118">
      <c r="A118" s="20" t="inlineStr">
        <is>
          <t>이자·배당금 수익</t>
        </is>
      </c>
      <c r="F118" s="22" t="n">
        <v>-5459</v>
      </c>
      <c r="J118" s="22" t="n">
        <v>-9083</v>
      </c>
      <c r="N118" s="22" t="n">
        <v>-16368</v>
      </c>
      <c r="P118" s="22" t="n">
        <v>-988</v>
      </c>
      <c r="Q118" s="22" t="n">
        <v>-1245</v>
      </c>
      <c r="R118" s="22" t="n">
        <v>-1326</v>
      </c>
      <c r="S118" s="22" t="n">
        <v>-838</v>
      </c>
      <c r="T118" s="22" t="n">
        <v>-646</v>
      </c>
      <c r="U118" s="22" t="n">
        <v>-2129</v>
      </c>
      <c r="V118" s="22" t="n">
        <v>-5459</v>
      </c>
      <c r="W118" s="22" t="n">
        <v>-9083</v>
      </c>
      <c r="X118" s="22" t="n">
        <v>-16368</v>
      </c>
    </row>
    <row r="119">
      <c r="A119" s="20" t="inlineStr">
        <is>
          <t>외환차손익</t>
        </is>
      </c>
      <c r="F119" s="22" t="n">
        <v>-462</v>
      </c>
      <c r="J119" s="22" t="n">
        <v>88</v>
      </c>
      <c r="N119" s="22" t="n">
        <v>-123</v>
      </c>
      <c r="P119" s="22" t="n">
        <v>20</v>
      </c>
      <c r="Q119" s="22" t="n">
        <v>-19</v>
      </c>
      <c r="R119" s="22" t="n">
        <v>2</v>
      </c>
      <c r="S119" s="22" t="n">
        <v>-1</v>
      </c>
      <c r="T119" s="22" t="n">
        <v>-82</v>
      </c>
      <c r="U119" s="22" t="n">
        <v>-140</v>
      </c>
      <c r="V119" s="22" t="n">
        <v>-462</v>
      </c>
      <c r="W119" s="22" t="n">
        <v>88</v>
      </c>
      <c r="X119" s="22" t="n">
        <v>-123</v>
      </c>
    </row>
    <row r="120">
      <c r="A120" s="20" t="inlineStr">
        <is>
          <t>지분법손익</t>
        </is>
      </c>
      <c r="F120" s="22" t="n">
        <v>-5371</v>
      </c>
      <c r="J120" s="22" t="n">
        <v>-5309</v>
      </c>
      <c r="N120" s="22" t="n">
        <v>-6460</v>
      </c>
      <c r="P120" s="22" t="n">
        <v>-2071</v>
      </c>
      <c r="Q120" s="22" t="n">
        <v>-548</v>
      </c>
      <c r="R120" s="22" t="n">
        <v>-4158</v>
      </c>
      <c r="S120" s="22" t="n">
        <v>-4528</v>
      </c>
      <c r="T120" s="22" t="n">
        <v>-4983</v>
      </c>
      <c r="U120" s="22" t="n">
        <v>-5624</v>
      </c>
      <c r="V120" s="22" t="n">
        <v>-5371</v>
      </c>
      <c r="W120" s="22" t="n">
        <v>-5309</v>
      </c>
      <c r="X120" s="22" t="n">
        <v>-6460</v>
      </c>
    </row>
    <row r="121">
      <c r="A121" s="20" t="inlineStr">
        <is>
          <t>매출채권 증감</t>
        </is>
      </c>
      <c r="F121" s="22" t="n">
        <v>4709</v>
      </c>
      <c r="J121" s="22" t="n">
        <v>-18571</v>
      </c>
      <c r="N121" s="22" t="n">
        <v>-36862</v>
      </c>
      <c r="P121" s="22" t="n">
        <v>-31525</v>
      </c>
      <c r="Q121" s="22" t="n">
        <v>-9569</v>
      </c>
      <c r="R121" s="22" t="n">
        <v>4171</v>
      </c>
      <c r="S121" s="22" t="n">
        <v>-21969</v>
      </c>
      <c r="T121" s="22" t="n">
        <v>-53099</v>
      </c>
      <c r="U121" s="22" t="n">
        <v>-36742</v>
      </c>
      <c r="V121" s="22" t="n">
        <v>4709</v>
      </c>
      <c r="W121" s="22" t="n">
        <v>-18571</v>
      </c>
      <c r="X121" s="22" t="n">
        <v>-36862</v>
      </c>
    </row>
    <row r="122">
      <c r="A122" s="20" t="inlineStr">
        <is>
          <t>재고자산 증감</t>
        </is>
      </c>
      <c r="F122" s="22" t="n">
        <v>11280</v>
      </c>
      <c r="J122" s="22" t="n">
        <v>-756</v>
      </c>
      <c r="N122" s="22" t="n">
        <v>-5539</v>
      </c>
      <c r="P122" s="22" t="n">
        <v>-10525</v>
      </c>
      <c r="Q122" s="22" t="n">
        <v>-3482</v>
      </c>
      <c r="R122" s="22" t="n">
        <v>4311</v>
      </c>
      <c r="S122" s="22" t="n">
        <v>-943</v>
      </c>
      <c r="T122" s="22" t="n">
        <v>-26257</v>
      </c>
      <c r="U122" s="22" t="n">
        <v>-23961</v>
      </c>
      <c r="V122" s="22" t="n">
        <v>11280</v>
      </c>
      <c r="W122" s="22" t="n">
        <v>-756</v>
      </c>
      <c r="X122" s="22" t="n">
        <v>-5539</v>
      </c>
    </row>
    <row r="123">
      <c r="A123" s="20" t="inlineStr">
        <is>
          <t>매입채무 증감</t>
        </is>
      </c>
      <c r="F123" s="22" t="n">
        <v>-4643</v>
      </c>
      <c r="J123" s="22" t="n">
        <v>1160</v>
      </c>
      <c r="N123" s="22" t="n">
        <v>-4396</v>
      </c>
      <c r="P123" s="22" t="n">
        <v>3345</v>
      </c>
      <c r="Q123" s="22" t="n">
        <v>-4355</v>
      </c>
      <c r="R123" s="22" t="n">
        <v>3308</v>
      </c>
      <c r="S123" s="22" t="n">
        <v>920</v>
      </c>
      <c r="T123" s="22" t="n">
        <v>5334</v>
      </c>
      <c r="U123" s="22" t="n">
        <v>2358</v>
      </c>
      <c r="V123" s="22" t="n">
        <v>-4643</v>
      </c>
      <c r="W123" s="22" t="n">
        <v>1160</v>
      </c>
      <c r="X123" s="22" t="n">
        <v>-4396</v>
      </c>
    </row>
    <row r="124">
      <c r="A124" s="20" t="inlineStr">
        <is>
          <t>상여충당금 증감</t>
        </is>
      </c>
      <c r="F124" s="22" t="n">
        <v>485</v>
      </c>
      <c r="J124" s="22" t="n">
        <v>1540</v>
      </c>
      <c r="N124" s="22" t="n">
        <v>3381</v>
      </c>
      <c r="P124" s="22" t="n">
        <v>1746</v>
      </c>
      <c r="Q124" s="22" t="n">
        <v>33</v>
      </c>
      <c r="R124" s="22" t="n">
        <v>23</v>
      </c>
      <c r="S124" s="22" t="n">
        <v>1184</v>
      </c>
      <c r="T124" s="22" t="n">
        <v>2773</v>
      </c>
      <c r="U124" s="22" t="n">
        <v>638</v>
      </c>
      <c r="V124" s="22" t="n">
        <v>485</v>
      </c>
      <c r="W124" s="22" t="n">
        <v>1540</v>
      </c>
      <c r="X124" s="22" t="n">
        <v>3381</v>
      </c>
    </row>
    <row r="125">
      <c r="A125" s="20" t="inlineStr">
        <is>
          <t>기타</t>
        </is>
      </c>
      <c r="F125" s="22" t="n">
        <v>4508</v>
      </c>
      <c r="J125" s="22" t="n">
        <v>4478</v>
      </c>
      <c r="N125" s="22" t="n">
        <v>13304</v>
      </c>
      <c r="P125" s="22" t="n">
        <v>6</v>
      </c>
      <c r="Q125" s="22" t="n">
        <v>4013</v>
      </c>
      <c r="R125" s="22" t="n">
        <v>-1261</v>
      </c>
      <c r="S125" s="22" t="n">
        <v>-838</v>
      </c>
      <c r="T125" s="22" t="n">
        <v>3981</v>
      </c>
      <c r="U125" s="22" t="n">
        <v>-1730</v>
      </c>
      <c r="V125" s="22" t="n">
        <v>4508</v>
      </c>
      <c r="W125" s="22" t="n">
        <v>4478</v>
      </c>
      <c r="X125" s="22" t="n">
        <v>13304</v>
      </c>
    </row>
    <row r="126">
      <c r="A126" s="20" t="inlineStr">
        <is>
          <t>소계</t>
        </is>
      </c>
      <c r="F126" s="22" t="n">
        <v>538108</v>
      </c>
      <c r="J126" s="22" t="n">
        <v>549750</v>
      </c>
      <c r="N126" s="22" t="n">
        <v>599918</v>
      </c>
      <c r="P126" s="22" t="n">
        <v>263447</v>
      </c>
      <c r="Q126" s="22" t="n">
        <v>310975</v>
      </c>
      <c r="R126" s="22" t="n">
        <v>293319</v>
      </c>
      <c r="S126" s="22" t="n">
        <v>267134</v>
      </c>
      <c r="T126" s="22" t="n">
        <v>366881</v>
      </c>
      <c r="U126" s="22" t="n">
        <v>457021</v>
      </c>
      <c r="V126" s="22" t="n">
        <v>538108</v>
      </c>
      <c r="W126" s="22" t="n">
        <v>549750</v>
      </c>
      <c r="X126" s="22" t="n">
        <v>599918</v>
      </c>
    </row>
    <row r="127">
      <c r="A127" s="20" t="inlineStr">
        <is>
          <t>이자·배당금 수취</t>
        </is>
      </c>
      <c r="F127" s="22" t="n">
        <v>5606</v>
      </c>
      <c r="J127" s="22" t="n">
        <v>8472</v>
      </c>
      <c r="N127" s="22" t="n">
        <v>12406</v>
      </c>
      <c r="P127" s="22" t="n">
        <v>1558</v>
      </c>
      <c r="Q127" s="22" t="n">
        <v>1428</v>
      </c>
      <c r="R127" s="22" t="n">
        <v>1597</v>
      </c>
      <c r="S127" s="22" t="n">
        <v>1158</v>
      </c>
      <c r="T127" s="22" t="n">
        <v>1804</v>
      </c>
      <c r="U127" s="22" t="n">
        <v>2490</v>
      </c>
      <c r="V127" s="22" t="n">
        <v>5606</v>
      </c>
      <c r="W127" s="22" t="n">
        <v>8472</v>
      </c>
      <c r="X127" s="22" t="n">
        <v>12406</v>
      </c>
    </row>
    <row r="128">
      <c r="A128" s="20" t="inlineStr">
        <is>
          <t>법인세 납부</t>
        </is>
      </c>
      <c r="F128" s="22" t="n">
        <v>-155798</v>
      </c>
      <c r="J128" s="22" t="n">
        <v>-148699</v>
      </c>
      <c r="N128" s="22" t="n">
        <v>-181644</v>
      </c>
      <c r="P128" s="22" t="n">
        <v>-62071</v>
      </c>
      <c r="Q128" s="22" t="n">
        <v>-103024</v>
      </c>
      <c r="R128" s="22" t="n">
        <v>-91481</v>
      </c>
      <c r="S128" s="22" t="n">
        <v>-75640</v>
      </c>
      <c r="T128" s="22" t="n">
        <v>-97210</v>
      </c>
      <c r="U128" s="22" t="n">
        <v>-156884</v>
      </c>
      <c r="V128" s="22" t="n">
        <v>-155798</v>
      </c>
      <c r="W128" s="22" t="n">
        <v>-148699</v>
      </c>
      <c r="X128" s="22" t="n">
        <v>-181644</v>
      </c>
    </row>
    <row r="129">
      <c r="A129" s="9" t="inlineStr">
        <is>
          <t>영업활동 현금흐름</t>
        </is>
      </c>
      <c r="F129" s="12" t="n">
        <v>387916</v>
      </c>
      <c r="J129" s="12" t="n">
        <v>409522</v>
      </c>
      <c r="N129" s="12" t="n">
        <v>430680</v>
      </c>
      <c r="P129" s="12" t="n">
        <v>202934</v>
      </c>
      <c r="Q129" s="12" t="n">
        <v>209380</v>
      </c>
      <c r="R129" s="12" t="n">
        <v>203434</v>
      </c>
      <c r="S129" s="12" t="n">
        <v>192652</v>
      </c>
      <c r="T129" s="12" t="n">
        <v>271476</v>
      </c>
      <c r="U129" s="12" t="n">
        <v>302628</v>
      </c>
      <c r="V129" s="12" t="n">
        <v>387916</v>
      </c>
      <c r="W129" s="12" t="n">
        <v>409522</v>
      </c>
      <c r="X129" s="12" t="n">
        <v>430680</v>
      </c>
    </row>
    <row r="130">
      <c r="A130" s="20" t="inlineStr">
        <is>
          <t>정기예금 증감</t>
        </is>
      </c>
      <c r="F130" s="22" t="n">
        <v>-16099</v>
      </c>
      <c r="J130" s="22" t="n">
        <v>-14758</v>
      </c>
      <c r="N130" s="22" t="n">
        <v>-8776</v>
      </c>
      <c r="P130" s="22" t="n">
        <v>-115007</v>
      </c>
      <c r="Q130" s="22" t="n">
        <v>-45644</v>
      </c>
      <c r="R130" s="22" t="n">
        <v>-53413</v>
      </c>
      <c r="S130" s="22" t="n">
        <v>45365</v>
      </c>
      <c r="T130" s="22" t="n">
        <v>132567</v>
      </c>
      <c r="U130" s="22" t="n">
        <v>-12659</v>
      </c>
      <c r="V130" s="22" t="n">
        <v>-16099</v>
      </c>
      <c r="W130" s="22" t="n">
        <v>-14758</v>
      </c>
      <c r="X130" s="22" t="n">
        <v>-8776</v>
      </c>
    </row>
    <row r="131">
      <c r="A131" s="20" t="inlineStr">
        <is>
          <t>Decrease Increase In Short Term Investment Securities Inv CF</t>
        </is>
      </c>
      <c r="F131" s="22" t="n">
        <v>-211264</v>
      </c>
      <c r="J131" s="22" t="n">
        <v>-248539</v>
      </c>
      <c r="N131" s="22" t="n">
        <v>-243114</v>
      </c>
      <c r="P131" s="22" t="n">
        <v>-155502</v>
      </c>
      <c r="Q131" s="22" t="n">
        <v>-150006</v>
      </c>
      <c r="R131" s="22" t="n">
        <v>-159990</v>
      </c>
      <c r="S131" s="22" t="n">
        <v>-217793</v>
      </c>
      <c r="T131" s="22" t="n">
        <v>-136490</v>
      </c>
      <c r="U131" s="22" t="n">
        <v>-229974</v>
      </c>
      <c r="V131" s="22" t="n">
        <v>-211264</v>
      </c>
      <c r="W131" s="22" t="n">
        <v>-248539</v>
      </c>
      <c r="X131" s="22" t="n">
        <v>-243114</v>
      </c>
    </row>
    <row r="132">
      <c r="A132" s="20" t="inlineStr">
        <is>
          <t>유형자산 취득(설비투자)</t>
        </is>
      </c>
      <c r="F132" s="22" t="n">
        <v>-12492</v>
      </c>
      <c r="J132" s="22" t="n">
        <v>-14342</v>
      </c>
      <c r="N132" s="22" t="n">
        <v>-28371</v>
      </c>
      <c r="P132" s="22" t="n">
        <v>-6770</v>
      </c>
      <c r="Q132" s="22" t="n">
        <v>-7361</v>
      </c>
      <c r="R132" s="22" t="n">
        <v>-8243</v>
      </c>
      <c r="S132" s="22" t="n">
        <v>-4358</v>
      </c>
      <c r="T132" s="22" t="n">
        <v>-6162</v>
      </c>
      <c r="U132" s="22" t="n">
        <v>-39345</v>
      </c>
      <c r="V132" s="22" t="n">
        <v>-12492</v>
      </c>
      <c r="W132" s="22" t="n">
        <v>-14342</v>
      </c>
      <c r="X132" s="22" t="n">
        <v>-28371</v>
      </c>
    </row>
    <row r="133">
      <c r="A133" s="20" t="inlineStr">
        <is>
          <t>기타</t>
        </is>
      </c>
      <c r="F133" s="22" t="n">
        <v>-2935</v>
      </c>
      <c r="J133" s="22" t="n">
        <v>-2971</v>
      </c>
      <c r="N133" s="22" t="n">
        <v>-32124</v>
      </c>
      <c r="P133" s="22" t="n">
        <v>-2928</v>
      </c>
      <c r="Q133" s="22" t="n">
        <v>-2337</v>
      </c>
      <c r="R133" s="22" t="n">
        <v>-1064</v>
      </c>
      <c r="S133" s="22" t="n">
        <v>-700</v>
      </c>
      <c r="T133" s="22" t="n">
        <v>-1049</v>
      </c>
      <c r="U133" s="22" t="n">
        <v>-1507</v>
      </c>
      <c r="V133" s="22" t="n">
        <v>-2935</v>
      </c>
      <c r="W133" s="22" t="n">
        <v>-2971</v>
      </c>
      <c r="X133" s="22" t="n">
        <v>-32124</v>
      </c>
    </row>
    <row r="134">
      <c r="A134" s="9" t="inlineStr">
        <is>
          <t>투자활동 현금흐름</t>
        </is>
      </c>
      <c r="F134" s="12" t="n">
        <v>-242792</v>
      </c>
      <c r="J134" s="12" t="n">
        <v>-280612</v>
      </c>
      <c r="N134" s="12" t="n">
        <v>-312387</v>
      </c>
      <c r="P134" s="12" t="n">
        <v>-280208</v>
      </c>
      <c r="Q134" s="12" t="n">
        <v>-205350</v>
      </c>
      <c r="R134" s="12" t="n">
        <v>-222712</v>
      </c>
      <c r="S134" s="12" t="n">
        <v>-177487</v>
      </c>
      <c r="T134" s="12" t="n">
        <v>-11134</v>
      </c>
      <c r="U134" s="12" t="n">
        <v>-283487</v>
      </c>
      <c r="V134" s="12" t="n">
        <v>-242792</v>
      </c>
      <c r="W134" s="12" t="n">
        <v>-280612</v>
      </c>
      <c r="X134" s="12" t="n">
        <v>-312387</v>
      </c>
    </row>
    <row r="135">
      <c r="A135" s="20" t="inlineStr">
        <is>
          <t>자기주식 증감액</t>
        </is>
      </c>
      <c r="F135" s="22" t="n">
        <v>-23</v>
      </c>
      <c r="J135" s="22" t="n">
        <v>-19</v>
      </c>
      <c r="N135" s="22" t="n">
        <v>-12</v>
      </c>
      <c r="P135" s="22" t="n">
        <v>-45</v>
      </c>
      <c r="Q135" s="22" t="n">
        <v>-31</v>
      </c>
      <c r="R135" s="22" t="n">
        <v>-43</v>
      </c>
      <c r="S135" s="22" t="n">
        <v>-26</v>
      </c>
      <c r="T135" s="22" t="n">
        <v>-22</v>
      </c>
      <c r="U135" s="22" t="n">
        <v>-10</v>
      </c>
      <c r="V135" s="22" t="n">
        <v>-23</v>
      </c>
      <c r="W135" s="22" t="n">
        <v>-19</v>
      </c>
      <c r="X135" s="22" t="n">
        <v>-12</v>
      </c>
    </row>
    <row r="136">
      <c r="A136" s="20" t="inlineStr">
        <is>
          <t>배당금 지급</t>
        </is>
      </c>
      <c r="F136" s="22" t="n">
        <v>-72757</v>
      </c>
      <c r="J136" s="22" t="n">
        <v>-78820</v>
      </c>
      <c r="N136" s="22" t="n">
        <v>-109136</v>
      </c>
      <c r="P136" s="22" t="n">
        <v>-15158</v>
      </c>
      <c r="Q136" s="22" t="n">
        <v>-18189</v>
      </c>
      <c r="R136" s="22" t="n">
        <v>-24252</v>
      </c>
      <c r="S136" s="22" t="n">
        <v>-48505</v>
      </c>
      <c r="T136" s="22" t="n">
        <v>-48505</v>
      </c>
      <c r="U136" s="22" t="n">
        <v>-60631</v>
      </c>
      <c r="V136" s="22" t="n">
        <v>-72757</v>
      </c>
      <c r="W136" s="22" t="n">
        <v>-78820</v>
      </c>
      <c r="X136" s="22" t="n">
        <v>-109136</v>
      </c>
    </row>
    <row r="137">
      <c r="A137" s="20" t="inlineStr">
        <is>
          <t>기타</t>
        </is>
      </c>
      <c r="F137" s="22" t="n">
        <v>-3525</v>
      </c>
      <c r="J137" s="22" t="n">
        <v>-4589</v>
      </c>
      <c r="N137" s="22" t="n">
        <v>-4573</v>
      </c>
      <c r="S137" s="22" t="n">
        <v>0</v>
      </c>
      <c r="T137" s="22" t="n">
        <v>-1290</v>
      </c>
      <c r="U137" s="22" t="n">
        <v>-3024</v>
      </c>
      <c r="V137" s="22" t="n">
        <v>-3525</v>
      </c>
      <c r="W137" s="22" t="n">
        <v>-4589</v>
      </c>
      <c r="X137" s="22" t="n">
        <v>-4573</v>
      </c>
    </row>
    <row r="138">
      <c r="A138" s="9" t="inlineStr">
        <is>
          <t>재무활동 현금흐름</t>
        </is>
      </c>
      <c r="F138" s="12" t="n">
        <v>-76306</v>
      </c>
      <c r="J138" s="12" t="n">
        <v>-83430</v>
      </c>
      <c r="N138" s="12" t="n">
        <v>-113722</v>
      </c>
      <c r="P138" s="12" t="n">
        <v>-15203</v>
      </c>
      <c r="Q138" s="12" t="n">
        <v>-18221</v>
      </c>
      <c r="R138" s="12" t="n">
        <v>-24296</v>
      </c>
      <c r="S138" s="12" t="n">
        <v>-48532</v>
      </c>
      <c r="T138" s="12" t="n">
        <v>-49817</v>
      </c>
      <c r="U138" s="12" t="n">
        <v>-63666</v>
      </c>
      <c r="V138" s="12" t="n">
        <v>-76306</v>
      </c>
      <c r="W138" s="12" t="n">
        <v>-83430</v>
      </c>
      <c r="X138" s="12" t="n">
        <v>-113722</v>
      </c>
    </row>
    <row r="139">
      <c r="A139" s="20" t="inlineStr">
        <is>
          <t>현금성자산 환산차이</t>
        </is>
      </c>
      <c r="F139" s="22" t="n">
        <v>-6754</v>
      </c>
      <c r="J139" s="22" t="n">
        <v>169</v>
      </c>
      <c r="N139" s="22" t="n">
        <v>-5016</v>
      </c>
      <c r="P139" s="22" t="n">
        <v>123</v>
      </c>
      <c r="Q139" s="22" t="n">
        <v>-174</v>
      </c>
      <c r="R139" s="22" t="n">
        <v>582</v>
      </c>
      <c r="S139" s="22" t="n">
        <v>338</v>
      </c>
      <c r="T139" s="22" t="n">
        <v>-4233</v>
      </c>
      <c r="U139" s="22" t="n">
        <v>-7636</v>
      </c>
      <c r="V139" s="22" t="n">
        <v>-6754</v>
      </c>
      <c r="W139" s="22" t="n">
        <v>169</v>
      </c>
      <c r="X139" s="22" t="n">
        <v>-5016</v>
      </c>
    </row>
    <row r="140">
      <c r="A140" s="20" t="inlineStr">
        <is>
          <t>현금성자산 증감</t>
        </is>
      </c>
      <c r="F140" s="22" t="n">
        <v>62062</v>
      </c>
      <c r="J140" s="22" t="n">
        <v>45649</v>
      </c>
      <c r="N140" s="22" t="n">
        <v>-445</v>
      </c>
      <c r="P140" s="22" t="n">
        <v>-92354</v>
      </c>
      <c r="Q140" s="22" t="n">
        <v>-14366</v>
      </c>
      <c r="R140" s="22" t="n">
        <v>-42990</v>
      </c>
      <c r="S140" s="22" t="n">
        <v>-33028</v>
      </c>
      <c r="T140" s="22" t="n">
        <v>206290</v>
      </c>
      <c r="U140" s="22" t="n">
        <v>-52162</v>
      </c>
      <c r="V140" s="22" t="n">
        <v>62062</v>
      </c>
      <c r="W140" s="22" t="n">
        <v>45649</v>
      </c>
      <c r="X140" s="22" t="n">
        <v>-445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119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30" customHeight="1">
      <c r="A1" s="1" t="inlineStr">
        <is>
          <t>6861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2026.2Q</t>
        </is>
      </c>
      <c r="D3" s="5" t="inlineStr">
        <is>
          <t>2026.3Q</t>
        </is>
      </c>
      <c r="E3" s="5" t="inlineStr">
        <is>
          <t>2026.4Q</t>
        </is>
      </c>
      <c r="F3" s="5" t="inlineStr">
        <is>
          <t>2027.1Q</t>
        </is>
      </c>
      <c r="G3" s="5" t="inlineStr">
        <is>
          <t>2027.2Q</t>
        </is>
      </c>
      <c r="H3" s="6" t="inlineStr">
        <is>
          <t>2018</t>
        </is>
      </c>
      <c r="I3" s="5" t="inlineStr">
        <is>
          <t>2023</t>
        </is>
      </c>
      <c r="J3" s="5" t="inlineStr">
        <is>
          <t>2024</t>
        </is>
      </c>
      <c r="K3" s="5" t="inlineStr">
        <is>
          <t>2025</t>
        </is>
      </c>
      <c r="L3" s="5" t="inlineStr">
        <is>
          <t>2026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  <c r="K4" s="18" t="n"/>
      <c r="L4" s="18" t="n"/>
    </row>
    <row r="5">
      <c r="A5" s="9" t="inlineStr">
        <is>
          <t>유동자산</t>
        </is>
      </c>
      <c r="B5" s="10" t="n"/>
      <c r="C5" s="11" t="n">
        <v>1568423</v>
      </c>
      <c r="D5" s="12" t="n">
        <v>1741736</v>
      </c>
      <c r="E5" s="12" t="n">
        <v>1782006</v>
      </c>
      <c r="F5" s="12" t="n">
        <v>1979505</v>
      </c>
      <c r="G5" s="12" t="n">
        <v>1945636</v>
      </c>
      <c r="H5" s="11" t="n">
        <v>1023426</v>
      </c>
      <c r="I5" s="12" t="n">
        <v>1371399</v>
      </c>
      <c r="J5" s="12" t="n">
        <v>1357010</v>
      </c>
      <c r="K5" s="12" t="n">
        <v>1573043</v>
      </c>
      <c r="L5" s="12" t="n">
        <v>1782006</v>
      </c>
    </row>
    <row r="6">
      <c r="A6" s="20" t="inlineStr">
        <is>
          <t>현금및현금성자산</t>
        </is>
      </c>
      <c r="B6" s="10" t="n"/>
      <c r="C6" s="21" t="n">
        <v>489078</v>
      </c>
      <c r="D6" s="22" t="n">
        <v>583276</v>
      </c>
      <c r="E6" s="22" t="n">
        <v>507115</v>
      </c>
      <c r="F6" s="22" t="n">
        <v>596976</v>
      </c>
      <c r="G6" s="22" t="n">
        <v>564751</v>
      </c>
      <c r="H6" s="21" t="n">
        <v>437675</v>
      </c>
      <c r="I6" s="22" t="n">
        <v>424998</v>
      </c>
      <c r="J6" s="22" t="n">
        <v>451518</v>
      </c>
      <c r="K6" s="22" t="n">
        <v>513402</v>
      </c>
      <c r="L6" s="22" t="n">
        <v>507115</v>
      </c>
    </row>
    <row r="7">
      <c r="A7" s="20" t="inlineStr">
        <is>
          <t>단기금융상품</t>
        </is>
      </c>
      <c r="B7" s="10" t="n"/>
      <c r="C7" s="21" t="n">
        <v>675242</v>
      </c>
      <c r="D7" s="22" t="n">
        <v>734575</v>
      </c>
      <c r="E7" s="22" t="n">
        <v>826897</v>
      </c>
      <c r="F7" s="22" t="n">
        <v>896913</v>
      </c>
      <c r="G7" s="22" t="n">
        <v>861843</v>
      </c>
      <c r="H7" s="21" t="n">
        <v>370055</v>
      </c>
      <c r="I7" s="22" t="n">
        <v>556796</v>
      </c>
      <c r="J7" s="22" t="n">
        <v>520290</v>
      </c>
      <c r="K7" s="22" t="n">
        <v>660659</v>
      </c>
      <c r="L7" s="22" t="n">
        <v>826897</v>
      </c>
    </row>
    <row r="8">
      <c r="A8" s="20" t="inlineStr">
        <is>
          <t>매출채권</t>
        </is>
      </c>
      <c r="B8" s="10" t="n"/>
      <c r="C8" s="21" t="n">
        <v>305063</v>
      </c>
      <c r="D8" s="22" t="n">
        <v>324817</v>
      </c>
      <c r="E8" s="22" t="n">
        <v>342170</v>
      </c>
      <c r="F8" s="22" t="n">
        <v>379590</v>
      </c>
      <c r="G8" s="22" t="n">
        <v>397626</v>
      </c>
      <c r="H8" s="21" t="n">
        <v>160276</v>
      </c>
      <c r="I8" s="22" t="n">
        <v>283733</v>
      </c>
      <c r="J8" s="22" t="n">
        <v>285099</v>
      </c>
      <c r="K8" s="22" t="n">
        <v>302441</v>
      </c>
      <c r="L8" s="22" t="n">
        <v>342170</v>
      </c>
    </row>
    <row r="9">
      <c r="A9" s="20" t="inlineStr">
        <is>
          <t>재고자산</t>
        </is>
      </c>
      <c r="B9" s="10" t="n"/>
      <c r="C9" s="21" t="n">
        <v>84903</v>
      </c>
      <c r="D9" s="22" t="n">
        <v>83805</v>
      </c>
      <c r="E9" s="22" t="n">
        <v>87875</v>
      </c>
      <c r="F9" s="22" t="n">
        <v>85273</v>
      </c>
      <c r="G9" s="22" t="n">
        <v>101073</v>
      </c>
      <c r="H9" s="21" t="n">
        <v>34847</v>
      </c>
      <c r="I9" s="22" t="n">
        <v>92207</v>
      </c>
      <c r="J9" s="22" t="n">
        <v>87454</v>
      </c>
      <c r="K9" s="22" t="n">
        <v>82340</v>
      </c>
      <c r="L9" s="22" t="n">
        <v>87875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  <c r="K10" s="22">
        <f>IF(OR(K5=""),"",IFERROR(K5-SUM(K6,K7,K8,K9),""))</f>
        <v/>
      </c>
      <c r="L10" s="22">
        <f>IF(OR(L5=""),"",IFERROR(L5-SUM(L6,L7,L8,L9),""))</f>
        <v/>
      </c>
    </row>
    <row r="11">
      <c r="A11" s="9" t="inlineStr">
        <is>
          <t>비유동자산</t>
        </is>
      </c>
      <c r="B11" s="10" t="n"/>
      <c r="C11" s="11" t="n">
        <v>1721430</v>
      </c>
      <c r="D11" s="12" t="n">
        <v>1705655</v>
      </c>
      <c r="E11" s="12" t="n">
        <v>1696638</v>
      </c>
      <c r="F11" s="12" t="n">
        <v>1691149</v>
      </c>
      <c r="G11" s="12" t="n">
        <v>1779255</v>
      </c>
      <c r="H11" s="11" t="n">
        <v>462796</v>
      </c>
      <c r="I11" s="12" t="n">
        <v>1146329</v>
      </c>
      <c r="J11" s="12" t="n">
        <v>1462367</v>
      </c>
      <c r="K11" s="12" t="n">
        <v>1574665</v>
      </c>
      <c r="L11" s="12" t="n">
        <v>1696638</v>
      </c>
    </row>
    <row r="12">
      <c r="A12" s="20" t="inlineStr">
        <is>
          <t>유형자산</t>
        </is>
      </c>
      <c r="B12" s="10" t="n"/>
      <c r="C12" s="21" t="n">
        <v>81515</v>
      </c>
      <c r="D12" s="22" t="n">
        <v>82187</v>
      </c>
      <c r="E12" s="22" t="n">
        <v>84511</v>
      </c>
      <c r="F12" s="22" t="n">
        <v>94718</v>
      </c>
      <c r="G12" s="22" t="n">
        <v>98828</v>
      </c>
      <c r="H12" s="21" t="n">
        <v>21426</v>
      </c>
      <c r="I12" s="22" t="n">
        <v>31242</v>
      </c>
      <c r="J12" s="22" t="n">
        <v>73819</v>
      </c>
      <c r="K12" s="22" t="n">
        <v>77403</v>
      </c>
      <c r="L12" s="22" t="n">
        <v>84511</v>
      </c>
    </row>
    <row r="13">
      <c r="A13" s="20" t="inlineStr">
        <is>
          <t>무형자산</t>
        </is>
      </c>
      <c r="B13" s="10" t="n"/>
      <c r="C13" s="21" t="n">
        <v>36111</v>
      </c>
      <c r="D13" s="22" t="n">
        <v>33535</v>
      </c>
      <c r="E13" s="22" t="n">
        <v>31360</v>
      </c>
      <c r="F13" s="22" t="n">
        <v>29181</v>
      </c>
      <c r="G13" s="22" t="n">
        <v>26932</v>
      </c>
      <c r="H13" s="21" t="n">
        <v>5204</v>
      </c>
      <c r="I13" s="22" t="n">
        <v>3538</v>
      </c>
      <c r="J13" s="22" t="n">
        <v>4568</v>
      </c>
      <c r="K13" s="22" t="n">
        <v>6311</v>
      </c>
      <c r="L13" s="22" t="n">
        <v>31360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  <c r="K14" s="22" t="n"/>
      <c r="L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  <c r="K15" s="22">
        <f>IF(OR(K11=""),"",IFERROR(K11-SUM(K12,K13,K14),""))</f>
        <v/>
      </c>
      <c r="L15" s="22">
        <f>IF(OR(L11=""),"",IFERROR(L11-SUM(L12,L13,L14),""))</f>
        <v/>
      </c>
    </row>
    <row r="16">
      <c r="A16" s="9" t="inlineStr">
        <is>
          <t>자산총계</t>
        </is>
      </c>
      <c r="B16" s="10" t="n"/>
      <c r="C16" s="11" t="n">
        <v>3289853</v>
      </c>
      <c r="D16" s="12" t="n">
        <v>3447391</v>
      </c>
      <c r="E16" s="12" t="n">
        <v>3478645</v>
      </c>
      <c r="F16" s="12" t="n">
        <v>3670655</v>
      </c>
      <c r="G16" s="12" t="n">
        <v>3724891</v>
      </c>
      <c r="H16" s="11" t="n">
        <v>1486222</v>
      </c>
      <c r="I16" s="12" t="n">
        <v>2517729</v>
      </c>
      <c r="J16" s="12" t="n">
        <v>2819378</v>
      </c>
      <c r="K16" s="12" t="n">
        <v>3147709</v>
      </c>
      <c r="L16" s="12" t="n">
        <v>3478645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  <c r="K17" s="18" t="n"/>
      <c r="L17" s="18" t="n"/>
    </row>
    <row r="18">
      <c r="A18" s="9" t="inlineStr">
        <is>
          <t>유동부채</t>
        </is>
      </c>
      <c r="B18" s="10" t="n"/>
      <c r="C18" s="11" t="n">
        <v>114986</v>
      </c>
      <c r="D18" s="12" t="n">
        <v>160696</v>
      </c>
      <c r="E18" s="12" t="n">
        <v>131496</v>
      </c>
      <c r="F18" s="12" t="n">
        <v>187831</v>
      </c>
      <c r="G18" s="12" t="n">
        <v>163958</v>
      </c>
      <c r="H18" s="11" t="n">
        <v>97558</v>
      </c>
      <c r="I18" s="12" t="n">
        <v>116838</v>
      </c>
      <c r="J18" s="12" t="n">
        <v>107328</v>
      </c>
      <c r="K18" s="12" t="n">
        <v>124028</v>
      </c>
      <c r="L18" s="12" t="n">
        <v>131496</v>
      </c>
    </row>
    <row r="19">
      <c r="A19" s="20" t="inlineStr">
        <is>
          <t>매입채무</t>
        </is>
      </c>
      <c r="B19" s="10" t="n"/>
      <c r="C19" s="21" t="n">
        <v>15760</v>
      </c>
      <c r="D19" s="22" t="n">
        <v>15091</v>
      </c>
      <c r="E19" s="22" t="n">
        <v>16653</v>
      </c>
      <c r="F19" s="22" t="n">
        <v>10890</v>
      </c>
      <c r="G19" s="22" t="n">
        <v>23600</v>
      </c>
      <c r="H19" s="21" t="n">
        <v>10645</v>
      </c>
      <c r="I19" s="22" t="n">
        <v>21225</v>
      </c>
      <c r="J19" s="22" t="n">
        <v>19208</v>
      </c>
      <c r="K19" s="22" t="n">
        <v>16095</v>
      </c>
      <c r="L19" s="22" t="n">
        <v>16653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  <c r="K20" s="22" t="n"/>
      <c r="L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  <c r="K21" s="22" t="n"/>
      <c r="L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  <c r="K22" s="22">
        <f>IF(OR(K18=""),"",IFERROR(K18-SUM(K19,K20,K21),""))</f>
        <v/>
      </c>
      <c r="L22" s="22">
        <f>IF(OR(L18=""),"",IFERROR(L18-SUM(L19,L20,L21),""))</f>
        <v/>
      </c>
    </row>
    <row r="23">
      <c r="A23" s="9" t="inlineStr">
        <is>
          <t>비유동부채</t>
        </is>
      </c>
      <c r="B23" s="10" t="n"/>
      <c r="C23" s="11" t="n">
        <v>12015</v>
      </c>
      <c r="D23" s="12" t="n">
        <v>11099</v>
      </c>
      <c r="E23" s="12" t="n">
        <v>11756</v>
      </c>
      <c r="F23" s="12" t="n">
        <v>11351</v>
      </c>
      <c r="G23" s="12" t="n">
        <v>12192</v>
      </c>
      <c r="H23" s="11" t="n">
        <v>7606</v>
      </c>
      <c r="I23" s="12" t="n">
        <v>4874</v>
      </c>
      <c r="J23" s="12" t="n">
        <v>11088</v>
      </c>
      <c r="K23" s="12" t="n">
        <v>12705</v>
      </c>
      <c r="L23" s="12" t="n">
        <v>11756</v>
      </c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  <c r="K24" s="22" t="n"/>
      <c r="L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  <c r="K25" s="22" t="n"/>
      <c r="L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  <c r="K26" s="22">
        <f>IF(OR(K23=""),"",IFERROR(K23-SUM(K24,K25),""))</f>
        <v/>
      </c>
      <c r="L26" s="22">
        <f>IF(OR(L23=""),"",IFERROR(L23-SUM(L24,L25),""))</f>
        <v/>
      </c>
    </row>
    <row r="27">
      <c r="A27" s="9" t="inlineStr">
        <is>
          <t>부채총계</t>
        </is>
      </c>
      <c r="B27" s="10" t="n"/>
      <c r="C27" s="11" t="n">
        <v>127001</v>
      </c>
      <c r="D27" s="12" t="n">
        <v>171795</v>
      </c>
      <c r="E27" s="12" t="n">
        <v>143253</v>
      </c>
      <c r="F27" s="12" t="n">
        <v>199183</v>
      </c>
      <c r="G27" s="12" t="n">
        <v>176150</v>
      </c>
      <c r="H27" s="11" t="n">
        <v>105164</v>
      </c>
      <c r="I27" s="12" t="n">
        <v>121713</v>
      </c>
      <c r="J27" s="12" t="n">
        <v>118416</v>
      </c>
      <c r="K27" s="12" t="n">
        <v>136733</v>
      </c>
      <c r="L27" s="12" t="n">
        <v>143253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  <c r="K28" s="22">
        <f>SUM(K20,K21,K24,K25)</f>
        <v/>
      </c>
      <c r="L28" s="22">
        <f>SUM(L20,L21,L24,L25)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  <c r="K29" s="22">
        <f>K28-K6-N(K7)</f>
        <v/>
      </c>
      <c r="L29" s="22">
        <f>L28-L6-N(L7)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  <c r="K30" s="18" t="n"/>
      <c r="L30" s="18" t="n"/>
    </row>
    <row r="31">
      <c r="A31" s="9" t="inlineStr">
        <is>
          <t>지배주주지분</t>
        </is>
      </c>
      <c r="B31" s="10" t="n"/>
      <c r="C31" s="11" t="n">
        <v>3162851</v>
      </c>
      <c r="D31" s="12" t="n">
        <v>3275596</v>
      </c>
      <c r="E31" s="12" t="n">
        <v>3335392</v>
      </c>
      <c r="F31" s="12" t="n">
        <v>3471472</v>
      </c>
      <c r="G31" s="12" t="n">
        <v>3548740</v>
      </c>
      <c r="H31" s="11" t="n">
        <v>1381057</v>
      </c>
      <c r="I31" s="12" t="n">
        <v>2396016</v>
      </c>
      <c r="J31" s="12" t="n">
        <v>2700961</v>
      </c>
      <c r="K31" s="12" t="n">
        <v>3010975</v>
      </c>
      <c r="L31" s="12" t="n">
        <v>3335392</v>
      </c>
    </row>
    <row r="32">
      <c r="A32" s="20" t="inlineStr">
        <is>
          <t>자본금</t>
        </is>
      </c>
      <c r="B32" s="10" t="n"/>
      <c r="C32" s="21" t="n">
        <v>30637</v>
      </c>
      <c r="D32" s="22" t="n">
        <v>30637</v>
      </c>
      <c r="E32" s="22" t="n">
        <v>30637</v>
      </c>
      <c r="F32" s="22" t="n">
        <v>30637</v>
      </c>
      <c r="G32" s="22" t="n">
        <v>30637</v>
      </c>
      <c r="H32" s="21" t="n">
        <v>30637</v>
      </c>
      <c r="I32" s="22" t="n">
        <v>30637</v>
      </c>
      <c r="J32" s="22" t="n">
        <v>30637</v>
      </c>
      <c r="K32" s="22" t="n">
        <v>30637</v>
      </c>
      <c r="L32" s="22" t="n">
        <v>30637</v>
      </c>
    </row>
    <row r="33">
      <c r="A33" s="20" t="inlineStr">
        <is>
          <t>이익잉여금</t>
        </is>
      </c>
      <c r="B33" s="10" t="n"/>
      <c r="C33" s="21" t="n">
        <v>3070209</v>
      </c>
      <c r="D33" s="22" t="n">
        <v>3178052</v>
      </c>
      <c r="E33" s="22" t="n">
        <v>3222567</v>
      </c>
      <c r="F33" s="22" t="n">
        <v>3356584</v>
      </c>
      <c r="G33" s="22" t="n">
        <v>3429023</v>
      </c>
      <c r="H33" s="21" t="n">
        <v>1316311</v>
      </c>
      <c r="I33" s="22" t="n">
        <v>2308874</v>
      </c>
      <c r="J33" s="22" t="n">
        <v>2597483</v>
      </c>
      <c r="K33" s="22" t="n">
        <v>2913644</v>
      </c>
      <c r="L33" s="22" t="n">
        <v>3222567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  <c r="K34" s="22" t="n"/>
      <c r="L34" s="22" t="n"/>
    </row>
    <row r="35">
      <c r="A35" s="9" t="inlineStr">
        <is>
          <t>자본총계</t>
        </is>
      </c>
      <c r="B35" s="10" t="n"/>
      <c r="C35" s="11" t="n">
        <v>3162851</v>
      </c>
      <c r="D35" s="12" t="n">
        <v>3275596</v>
      </c>
      <c r="E35" s="12" t="n">
        <v>3335392</v>
      </c>
      <c r="F35" s="12" t="n">
        <v>3471472</v>
      </c>
      <c r="G35" s="12" t="n">
        <v>3548740</v>
      </c>
      <c r="H35" s="11" t="n">
        <v>1381057</v>
      </c>
      <c r="I35" s="12" t="n">
        <v>2396016</v>
      </c>
      <c r="J35" s="12" t="n">
        <v>2700961</v>
      </c>
      <c r="K35" s="12" t="n">
        <v>3010975</v>
      </c>
      <c r="L35" s="12" t="n">
        <v>3335392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  <c r="K36" s="18" t="n"/>
      <c r="L36" s="18" t="n"/>
    </row>
    <row r="37">
      <c r="A37" s="9" t="inlineStr">
        <is>
          <t>영업활동현금흐름</t>
        </is>
      </c>
      <c r="B37" s="10" t="n"/>
      <c r="C37" s="11" t="n"/>
      <c r="D37" s="12" t="n"/>
      <c r="E37" s="12" t="n">
        <v>409522</v>
      </c>
      <c r="F37" s="12" t="n"/>
      <c r="G37" s="12" t="n"/>
      <c r="H37" s="11" t="n"/>
      <c r="I37" s="12" t="n">
        <v>271476</v>
      </c>
      <c r="J37" s="12" t="n">
        <v>302628</v>
      </c>
      <c r="K37" s="12" t="n">
        <v>387916</v>
      </c>
      <c r="L37" s="12" t="n">
        <v>409522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/>
      <c r="E38" s="22" t="n">
        <v>14342</v>
      </c>
      <c r="F38" s="22" t="n"/>
      <c r="G38" s="22" t="n"/>
      <c r="H38" s="21" t="n"/>
      <c r="I38" s="22" t="n">
        <v>6162</v>
      </c>
      <c r="J38" s="22" t="n">
        <v>39345</v>
      </c>
      <c r="K38" s="22" t="n">
        <v>12492</v>
      </c>
      <c r="L38" s="22" t="n">
        <v>14342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  <c r="K39" s="12">
        <f>IF(OR(K37="",K38=""),"",IFERROR(K37-K38,""))</f>
        <v/>
      </c>
      <c r="L39" s="12">
        <f>IF(OR(L37="",L38=""),"",IFERROR(L37-L38,""))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>
        <v>78820</v>
      </c>
      <c r="F40" s="22" t="n"/>
      <c r="G40" s="22" t="n"/>
      <c r="H40" s="21" t="n"/>
      <c r="I40" s="22" t="n">
        <v>48505</v>
      </c>
      <c r="J40" s="22" t="n">
        <v>60631</v>
      </c>
      <c r="K40" s="22" t="n">
        <v>72757</v>
      </c>
      <c r="L40" s="22" t="n">
        <v>78820</v>
      </c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  <c r="K41" s="18" t="n"/>
      <c r="L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  <c r="K42" s="25" t="n"/>
      <c r="L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  <c r="K43" s="38">
        <f>IF(OR(K27="",K35=""),"",IFERROR(K27/K35,""))</f>
        <v/>
      </c>
      <c r="L43" s="38">
        <f>IF(OR(L27="",L35=""),"",IFERROR(L27/L35,""))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  <c r="K44" s="38">
        <f>IF(OR(K29="",K35=""),"",IFERROR(K29/K35,""))</f>
        <v/>
      </c>
      <c r="L44" s="38">
        <f>IF(OR(L29="",L35=""),"",IFERROR(L29/L35,""))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  <c r="K45" s="38">
        <f>IF(OR(K35="",K16=""),"",IFERROR(K35/K16,""))</f>
        <v/>
      </c>
      <c r="L45" s="38">
        <f>IF(OR(L35="",L16=""),"",IFERROR(L35/L16,""))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  <c r="K46" s="38">
        <f>IF(OR(K5="",K18=""),"",IFERROR(K5/K18,""))</f>
        <v/>
      </c>
      <c r="L46" s="38">
        <f>IF(OR(L5="",L18=""),"",IFERROR(L5/L18,""))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  <c r="K47" s="38">
        <f>IF(OR(K5="",K18=""),"",IFERROR((K5-N(K9))/K18,""))</f>
        <v/>
      </c>
      <c r="L47" s="38">
        <f>IF(OR(L5="",L18=""),"",IFERROR((L5-N(L9))/L18,""))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IFERROR((IF(COUNT('연간'!E16:H16)&lt;4,"",SUM('연간'!E16:H16)))/(IF(COUNT('연간'!E38:H38)&lt;4,"",SUM('연간'!E38:H38))),"")</f>
        <v/>
      </c>
      <c r="D48" s="33">
        <f>IFERROR((IF(COUNT('연간'!F16:I16)&lt;4,"",SUM('연간'!F16:I16)))/(IF(COUNT('연간'!F38:I38)&lt;4,"",SUM('연간'!F38:I38))),"")</f>
        <v/>
      </c>
      <c r="E48" s="33">
        <f>IFERROR((IF(COUNT('연간'!G16:J16)&lt;4,"",SUM('연간'!G16:J16)))/(IF(COUNT('연간'!G38:J38)&lt;4,"",SUM('연간'!G38:J38))),"")</f>
        <v/>
      </c>
      <c r="F48" s="33">
        <f>IFERROR((IF(COUNT('연간'!H16:K16)&lt;4,"",SUM('연간'!H16:K16)))/(IF(COUNT('연간'!H38:K38)&lt;4,"",SUM('연간'!H38:K38))),"")</f>
        <v/>
      </c>
      <c r="G48" s="33">
        <f>IFERROR((IF(COUNT('연간'!I16:L16)&lt;4,"",SUM('연간'!I16:L16)))/(IF(COUNT('연간'!I38:L38)&lt;4,"",SUM('연간'!I38:L38))),"")</f>
        <v/>
      </c>
      <c r="H48" s="32">
        <f>IFERROR(('연간'!O16)/('연간'!O38),"")</f>
        <v/>
      </c>
      <c r="I48" s="33">
        <f>IFERROR(('연간'!T16)/('연간'!T38),"")</f>
        <v/>
      </c>
      <c r="J48" s="33">
        <f>IFERROR(('연간'!U16)/('연간'!U38),"")</f>
        <v/>
      </c>
      <c r="K48" s="33">
        <f>IFERROR(('연간'!V16)/('연간'!V38),"")</f>
        <v/>
      </c>
      <c r="L48" s="33">
        <f>IFERROR(('연간'!W16)/('연간'!W38),"")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IFERROR(IF((IF(COUNT('연간'!E44:H44)&lt;4,"",SUM('연간'!E44:H44)))&lt;=0,"적자",C28/(IF(COUNT('연간'!E44:H44)&lt;4,"",SUM('연간'!E44:H44)))),"")</f>
        <v/>
      </c>
      <c r="D49" s="49">
        <f>IFERROR(IF((IF(COUNT('연간'!F44:I44)&lt;4,"",SUM('연간'!F44:I44)))&lt;=0,"적자",D28/(IF(COUNT('연간'!F44:I44)&lt;4,"",SUM('연간'!F44:I44)))),"")</f>
        <v/>
      </c>
      <c r="E49" s="49">
        <f>IFERROR(IF((IF(COUNT('연간'!G44:J44)&lt;4,"",SUM('연간'!G44:J44)))&lt;=0,"적자",E28/(IF(COUNT('연간'!G44:J44)&lt;4,"",SUM('연간'!G44:J44)))),"")</f>
        <v/>
      </c>
      <c r="F49" s="49">
        <f>IFERROR(IF((IF(COUNT('연간'!H44:K44)&lt;4,"",SUM('연간'!H44:K44)))&lt;=0,"적자",F28/(IF(COUNT('연간'!H44:K44)&lt;4,"",SUM('연간'!H44:K44)))),"")</f>
        <v/>
      </c>
      <c r="G49" s="49">
        <f>IFERROR(IF((IF(COUNT('연간'!I44:L44)&lt;4,"",SUM('연간'!I44:L44)))&lt;=0,"적자",G28/(IF(COUNT('연간'!I44:L44)&lt;4,"",SUM('연간'!I44:L44)))),"")</f>
        <v/>
      </c>
      <c r="H49" s="48">
        <f>IFERROR(IF(('연간'!O44)&lt;=0,"적자",H28/('연간'!O44)),"")</f>
        <v/>
      </c>
      <c r="I49" s="49">
        <f>IFERROR(IF(('연간'!T44)&lt;=0,"적자",I28/('연간'!T44)),"")</f>
        <v/>
      </c>
      <c r="J49" s="49">
        <f>IFERROR(IF(('연간'!U44)&lt;=0,"적자",J28/('연간'!U44)),"")</f>
        <v/>
      </c>
      <c r="K49" s="49">
        <f>IFERROR(IF(('연간'!V44)&lt;=0,"적자",K28/('연간'!V44)),"")</f>
        <v/>
      </c>
      <c r="L49" s="49">
        <f>IFERROR(IF(('연간'!W44)&lt;=0,"적자",L28/('연간'!W44)),"")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  <c r="K50" s="25" t="n"/>
      <c r="L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IFERROR((IF(COUNT('연간'!E44:H44)&lt;4,"",SUM('연간'!E44:H44)))/C31,"")</f>
        <v/>
      </c>
      <c r="D51" s="38">
        <f>IFERROR((IF(COUNT('연간'!F44:I44)&lt;4,"",SUM('연간'!F44:I44)))/D31,"")</f>
        <v/>
      </c>
      <c r="E51" s="38">
        <f>IFERROR((IF(COUNT('연간'!G44:J44)&lt;4,"",SUM('연간'!G44:J44)))/E31,"")</f>
        <v/>
      </c>
      <c r="F51" s="38">
        <f>IFERROR((IF(COUNT('연간'!H44:K44)&lt;4,"",SUM('연간'!H44:K44)))/F31,"")</f>
        <v/>
      </c>
      <c r="G51" s="38">
        <f>IFERROR((IF(COUNT('연간'!I44:L44)&lt;4,"",SUM('연간'!I44:L44)))/G31,"")</f>
        <v/>
      </c>
      <c r="H51" s="37">
        <f>IFERROR(('연간'!O44)/H31,"")</f>
        <v/>
      </c>
      <c r="I51" s="38">
        <f>IFERROR(('연간'!T44)/I31,"")</f>
        <v/>
      </c>
      <c r="J51" s="38">
        <f>IFERROR(('연간'!U44)/J31,"")</f>
        <v/>
      </c>
      <c r="K51" s="38">
        <f>IFERROR(('연간'!V44)/K31,"")</f>
        <v/>
      </c>
      <c r="L51" s="38">
        <f>IFERROR(('연간'!W44)/L31,"")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IFERROR((IF(COUNT('연간'!E43:H43)&lt;4,"",SUM('연간'!E43:H43)))/C16,"")</f>
        <v/>
      </c>
      <c r="D52" s="38">
        <f>IFERROR((IF(COUNT('연간'!F43:I43)&lt;4,"",SUM('연간'!F43:I43)))/D16,"")</f>
        <v/>
      </c>
      <c r="E52" s="38">
        <f>IFERROR((IF(COUNT('연간'!G43:J43)&lt;4,"",SUM('연간'!G43:J43)))/E16,"")</f>
        <v/>
      </c>
      <c r="F52" s="38">
        <f>IFERROR((IF(COUNT('연간'!H43:K43)&lt;4,"",SUM('연간'!H43:K43)))/F16,"")</f>
        <v/>
      </c>
      <c r="G52" s="38">
        <f>IFERROR((IF(COUNT('연간'!I43:L43)&lt;4,"",SUM('연간'!I43:L43)))/G16,"")</f>
        <v/>
      </c>
      <c r="H52" s="37">
        <f>IFERROR(('연간'!O43)/H16,"")</f>
        <v/>
      </c>
      <c r="I52" s="38">
        <f>IFERROR(('연간'!T43)/I16,"")</f>
        <v/>
      </c>
      <c r="J52" s="38">
        <f>IFERROR(('연간'!U43)/J16,"")</f>
        <v/>
      </c>
      <c r="K52" s="38">
        <f>IFERROR(('연간'!V43)/K16,"")</f>
        <v/>
      </c>
      <c r="L52" s="38">
        <f>IFERROR(('연간'!W43)/L16,"")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IFERROR((IF(COUNT('연간'!E16:H16)&lt;4,"",SUM('연간'!E16:H16)))*(1-0.3)/(C35+C29),"")</f>
        <v/>
      </c>
      <c r="D53" s="38">
        <f>IFERROR((IF(COUNT('연간'!F16:I16)&lt;4,"",SUM('연간'!F16:I16)))*(1-0.3)/(D35+D29),"")</f>
        <v/>
      </c>
      <c r="E53" s="38">
        <f>IFERROR((IF(COUNT('연간'!G16:J16)&lt;4,"",SUM('연간'!G16:J16)))*(1-0.3)/(E35+E29),"")</f>
        <v/>
      </c>
      <c r="F53" s="38">
        <f>IFERROR((IF(COUNT('연간'!H16:K16)&lt;4,"",SUM('연간'!H16:K16)))*(1-0.3)/(F35+F29),"")</f>
        <v/>
      </c>
      <c r="G53" s="38">
        <f>IFERROR((IF(COUNT('연간'!I16:L16)&lt;4,"",SUM('연간'!I16:L16)))*(1-0.3)/(G35+G29),"")</f>
        <v/>
      </c>
      <c r="H53" s="37">
        <f>IFERROR(('연간'!O16)*(1-0.3)/(H35+H29),"")</f>
        <v/>
      </c>
      <c r="I53" s="38">
        <f>IFERROR(('연간'!T16)*(1-0.3)/(I35+I29),"")</f>
        <v/>
      </c>
      <c r="J53" s="38">
        <f>IFERROR(('연간'!U16)*(1-0.3)/(J35+J29),"")</f>
        <v/>
      </c>
      <c r="K53" s="38">
        <f>IFERROR(('연간'!V16)*(1-0.3)/(K35+K29),"")</f>
        <v/>
      </c>
      <c r="L53" s="38">
        <f>IFERROR(('연간'!W16)*(1-0.3)/(L35+L29),"")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IFERROR((IF(COUNT('연간'!E12:H12)&lt;4,"",SUM('연간'!E12:H12)))/(IF(COUNT('연간'!E4:H4)&lt;4,"",SUM('연간'!E4:H4))),"")</f>
        <v/>
      </c>
      <c r="D54" s="38">
        <f>IFERROR((IF(COUNT('연간'!F12:I12)&lt;4,"",SUM('연간'!F12:I12)))/(IF(COUNT('연간'!F4:I4)&lt;4,"",SUM('연간'!F4:I4))),"")</f>
        <v/>
      </c>
      <c r="E54" s="38">
        <f>IFERROR((IF(COUNT('연간'!G12:J12)&lt;4,"",SUM('연간'!G12:J12)))/(IF(COUNT('연간'!G4:J4)&lt;4,"",SUM('연간'!G4:J4))),"")</f>
        <v/>
      </c>
      <c r="F54" s="38">
        <f>IFERROR((IF(COUNT('연간'!H12:K12)&lt;4,"",SUM('연간'!H12:K12)))/(IF(COUNT('연간'!H4:K4)&lt;4,"",SUM('연간'!H4:K4))),"")</f>
        <v/>
      </c>
      <c r="G54" s="38">
        <f>IFERROR((IF(COUNT('연간'!I12:L12)&lt;4,"",SUM('연간'!I12:L12)))/(IF(COUNT('연간'!I4:L4)&lt;4,"",SUM('연간'!I4:L4))),"")</f>
        <v/>
      </c>
      <c r="H54" s="37">
        <f>IFERROR(('연간'!O12)/('연간'!O4),"")</f>
        <v/>
      </c>
      <c r="I54" s="38">
        <f>IFERROR(('연간'!T12)/('연간'!T4),"")</f>
        <v/>
      </c>
      <c r="J54" s="38">
        <f>IFERROR(('연간'!U12)/('연간'!U4),"")</f>
        <v/>
      </c>
      <c r="K54" s="38">
        <f>IFERROR(('연간'!V12)/('연간'!V4),"")</f>
        <v/>
      </c>
      <c r="L54" s="38">
        <f>IFERROR(('연간'!W12)/('연간'!W4),"")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IFERROR((IF(COUNT('연간'!E16:H16)&lt;4,"",SUM('연간'!E16:H16)))/(IF(COUNT('연간'!E4:H4)&lt;4,"",SUM('연간'!E4:H4))),"")</f>
        <v/>
      </c>
      <c r="D55" s="38">
        <f>IFERROR((IF(COUNT('연간'!F16:I16)&lt;4,"",SUM('연간'!F16:I16)))/(IF(COUNT('연간'!F4:I4)&lt;4,"",SUM('연간'!F4:I4))),"")</f>
        <v/>
      </c>
      <c r="E55" s="38">
        <f>IFERROR((IF(COUNT('연간'!G16:J16)&lt;4,"",SUM('연간'!G16:J16)))/(IF(COUNT('연간'!G4:J4)&lt;4,"",SUM('연간'!G4:J4))),"")</f>
        <v/>
      </c>
      <c r="F55" s="38">
        <f>IFERROR((IF(COUNT('연간'!H16:K16)&lt;4,"",SUM('연간'!H16:K16)))/(IF(COUNT('연간'!H4:K4)&lt;4,"",SUM('연간'!H4:K4))),"")</f>
        <v/>
      </c>
      <c r="G55" s="38">
        <f>IFERROR((IF(COUNT('연간'!I16:L16)&lt;4,"",SUM('연간'!I16:L16)))/(IF(COUNT('연간'!I4:L4)&lt;4,"",SUM('연간'!I4:L4))),"")</f>
        <v/>
      </c>
      <c r="H55" s="37">
        <f>IFERROR(('연간'!O16)/('연간'!O4),"")</f>
        <v/>
      </c>
      <c r="I55" s="38">
        <f>IFERROR(('연간'!T16)/('연간'!T4),"")</f>
        <v/>
      </c>
      <c r="J55" s="38">
        <f>IFERROR(('연간'!U16)/('연간'!U4),"")</f>
        <v/>
      </c>
      <c r="K55" s="38">
        <f>IFERROR(('연간'!V16)/('연간'!V4),"")</f>
        <v/>
      </c>
      <c r="L55" s="38">
        <f>IFERROR(('연간'!W16)/('연간'!W4),"")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IFERROR((IF(COUNT('연간'!E43:H43)&lt;4,"",SUM('연간'!E43:H43)))/(IF(COUNT('연간'!E4:H4)&lt;4,"",SUM('연간'!E4:H4))),"")</f>
        <v/>
      </c>
      <c r="D56" s="38">
        <f>IFERROR((IF(COUNT('연간'!F43:I43)&lt;4,"",SUM('연간'!F43:I43)))/(IF(COUNT('연간'!F4:I4)&lt;4,"",SUM('연간'!F4:I4))),"")</f>
        <v/>
      </c>
      <c r="E56" s="38">
        <f>IFERROR((IF(COUNT('연간'!G43:J43)&lt;4,"",SUM('연간'!G43:J43)))/(IF(COUNT('연간'!G4:J4)&lt;4,"",SUM('연간'!G4:J4))),"")</f>
        <v/>
      </c>
      <c r="F56" s="38">
        <f>IFERROR((IF(COUNT('연간'!H43:K43)&lt;4,"",SUM('연간'!H43:K43)))/(IF(COUNT('연간'!H4:K4)&lt;4,"",SUM('연간'!H4:K4))),"")</f>
        <v/>
      </c>
      <c r="G56" s="38">
        <f>IFERROR((IF(COUNT('연간'!I43:L43)&lt;4,"",SUM('연간'!I43:L43)))/(IF(COUNT('연간'!I4:L4)&lt;4,"",SUM('연간'!I4:L4))),"")</f>
        <v/>
      </c>
      <c r="H56" s="37">
        <f>IFERROR(('연간'!O43)/('연간'!O4),"")</f>
        <v/>
      </c>
      <c r="I56" s="38">
        <f>IFERROR(('연간'!T43)/('연간'!T4),"")</f>
        <v/>
      </c>
      <c r="J56" s="38">
        <f>IFERROR(('연간'!U43)/('연간'!U4),"")</f>
        <v/>
      </c>
      <c r="K56" s="38">
        <f>IFERROR(('연간'!V43)/('연간'!V4),"")</f>
        <v/>
      </c>
      <c r="L56" s="38">
        <f>IFERROR(('연간'!W43)/('연간'!W4),"")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  <c r="K57" s="25" t="n"/>
      <c r="L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IFERROR((IF(COUNT('연간'!E4:H4)&lt;4,"",SUM('연간'!E4:H4)))/C16,"")</f>
        <v/>
      </c>
      <c r="D58" s="33">
        <f>IFERROR((IF(COUNT('연간'!F4:I4)&lt;4,"",SUM('연간'!F4:I4)))/D16,"")</f>
        <v/>
      </c>
      <c r="E58" s="33">
        <f>IFERROR((IF(COUNT('연간'!G4:J4)&lt;4,"",SUM('연간'!G4:J4)))/E16,"")</f>
        <v/>
      </c>
      <c r="F58" s="33">
        <f>IFERROR((IF(COUNT('연간'!H4:K4)&lt;4,"",SUM('연간'!H4:K4)))/F16,"")</f>
        <v/>
      </c>
      <c r="G58" s="33">
        <f>IFERROR((IF(COUNT('연간'!I4:L4)&lt;4,"",SUM('연간'!I4:L4)))/G16,"")</f>
        <v/>
      </c>
      <c r="H58" s="32">
        <f>IFERROR(('연간'!O4)/H16,"")</f>
        <v/>
      </c>
      <c r="I58" s="33">
        <f>IFERROR(('연간'!T4)/I16,"")</f>
        <v/>
      </c>
      <c r="J58" s="33">
        <f>IFERROR(('연간'!U4)/J16,"")</f>
        <v/>
      </c>
      <c r="K58" s="33">
        <f>IFERROR(('연간'!V4)/K16,"")</f>
        <v/>
      </c>
      <c r="L58" s="33">
        <f>IFERROR(('연간'!W4)/L16,"")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IFERROR(C8/(IF(COUNT('연간'!E4:H4)&lt;4,"",SUM('연간'!E4:H4)))*365,"")</f>
        <v/>
      </c>
      <c r="D59" s="51">
        <f>IFERROR(D8/(IF(COUNT('연간'!F4:I4)&lt;4,"",SUM('연간'!F4:I4)))*365,"")</f>
        <v/>
      </c>
      <c r="E59" s="51">
        <f>IFERROR(E8/(IF(COUNT('연간'!G4:J4)&lt;4,"",SUM('연간'!G4:J4)))*365,"")</f>
        <v/>
      </c>
      <c r="F59" s="51">
        <f>IFERROR(F8/(IF(COUNT('연간'!H4:K4)&lt;4,"",SUM('연간'!H4:K4)))*365,"")</f>
        <v/>
      </c>
      <c r="G59" s="51">
        <f>IFERROR(G8/(IF(COUNT('연간'!I4:L4)&lt;4,"",SUM('연간'!I4:L4)))*365,"")</f>
        <v/>
      </c>
      <c r="H59" s="50">
        <f>IFERROR(H8/('연간'!O4)*365,"")</f>
        <v/>
      </c>
      <c r="I59" s="51">
        <f>IFERROR(I8/('연간'!T4)*365,"")</f>
        <v/>
      </c>
      <c r="J59" s="51">
        <f>IFERROR(J8/('연간'!U4)*365,"")</f>
        <v/>
      </c>
      <c r="K59" s="51">
        <f>IFERROR(K8/('연간'!V4)*365,"")</f>
        <v/>
      </c>
      <c r="L59" s="51">
        <f>IFERROR(L8/('연간'!W4)*365,"")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IFERROR(C9/(IF(COUNT('연간'!E11:H11)&lt;4,"",SUM('연간'!E11:H11)))*365,"")</f>
        <v/>
      </c>
      <c r="D60" s="51">
        <f>IFERROR(D9/(IF(COUNT('연간'!F11:I11)&lt;4,"",SUM('연간'!F11:I11)))*365,"")</f>
        <v/>
      </c>
      <c r="E60" s="51">
        <f>IFERROR(E9/(IF(COUNT('연간'!G11:J11)&lt;4,"",SUM('연간'!G11:J11)))*365,"")</f>
        <v/>
      </c>
      <c r="F60" s="51">
        <f>IFERROR(F9/(IF(COUNT('연간'!H11:K11)&lt;4,"",SUM('연간'!H11:K11)))*365,"")</f>
        <v/>
      </c>
      <c r="G60" s="51">
        <f>IFERROR(G9/(IF(COUNT('연간'!I11:L11)&lt;4,"",SUM('연간'!I11:L11)))*365,"")</f>
        <v/>
      </c>
      <c r="H60" s="50">
        <f>IFERROR(H9/('연간'!O11)*365,"")</f>
        <v/>
      </c>
      <c r="I60" s="51">
        <f>IFERROR(I9/('연간'!T11)*365,"")</f>
        <v/>
      </c>
      <c r="J60" s="51">
        <f>IFERROR(J9/('연간'!U11)*365,"")</f>
        <v/>
      </c>
      <c r="K60" s="51">
        <f>IFERROR(K9/('연간'!V11)*365,"")</f>
        <v/>
      </c>
      <c r="L60" s="51">
        <f>IFERROR(L9/('연간'!W11)*365,"")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IFERROR(C19/(IF(COUNT('연간'!E11:H11)&lt;4,"",SUM('연간'!E11:H11)))*365,"")</f>
        <v/>
      </c>
      <c r="D61" s="51">
        <f>IFERROR(D19/(IF(COUNT('연간'!F11:I11)&lt;4,"",SUM('연간'!F11:I11)))*365,"")</f>
        <v/>
      </c>
      <c r="E61" s="51">
        <f>IFERROR(E19/(IF(COUNT('연간'!G11:J11)&lt;4,"",SUM('연간'!G11:J11)))*365,"")</f>
        <v/>
      </c>
      <c r="F61" s="51">
        <f>IFERROR(F19/(IF(COUNT('연간'!H11:K11)&lt;4,"",SUM('연간'!H11:K11)))*365,"")</f>
        <v/>
      </c>
      <c r="G61" s="51">
        <f>IFERROR(G19/(IF(COUNT('연간'!I11:L11)&lt;4,"",SUM('연간'!I11:L11)))*365,"")</f>
        <v/>
      </c>
      <c r="H61" s="50">
        <f>IFERROR(H19/('연간'!O11)*365,"")</f>
        <v/>
      </c>
      <c r="I61" s="51">
        <f>IFERROR(I19/('연간'!T11)*365,"")</f>
        <v/>
      </c>
      <c r="J61" s="51">
        <f>IFERROR(J19/('연간'!U11)*365,"")</f>
        <v/>
      </c>
      <c r="K61" s="51">
        <f>IFERROR(K19/('연간'!V11)*365,"")</f>
        <v/>
      </c>
      <c r="L61" s="51">
        <f>IFERROR(L19/('연간'!W11)*365,"")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  <c r="K62" s="51">
        <f>IF(OR(K59="",K60="",K61=""),"",IFERROR(K59+K60-K61,""))</f>
        <v/>
      </c>
      <c r="L62" s="51">
        <f>IF(OR(L59="",L60="",L61=""),"",IFERROR(L59+L60-L61,""))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  <c r="K63" s="25" t="n"/>
      <c r="L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IF(C37="","",IFERROR(C37/(IF(COUNT('연간'!E43:H43)&lt;4,"",SUM('연간'!E43:H43))),""))</f>
        <v/>
      </c>
      <c r="D64" s="33">
        <f>IF(D37="","",IFERROR(D37/(IF(COUNT('연간'!F43:I43)&lt;4,"",SUM('연간'!F43:I43))),""))</f>
        <v/>
      </c>
      <c r="E64" s="33">
        <f>IF(E37="","",IFERROR(E37/(IF(COUNT('연간'!G43:J43)&lt;4,"",SUM('연간'!G43:J43))),""))</f>
        <v/>
      </c>
      <c r="F64" s="33">
        <f>IF(F37="","",IFERROR(F37/(IF(COUNT('연간'!H43:K43)&lt;4,"",SUM('연간'!H43:K43))),""))</f>
        <v/>
      </c>
      <c r="G64" s="33">
        <f>IF(G37="","",IFERROR(G37/(IF(COUNT('연간'!I43:L43)&lt;4,"",SUM('연간'!I43:L43))),""))</f>
        <v/>
      </c>
      <c r="H64" s="32">
        <f>IF(H37="","",IFERROR(H37/('연간'!O43),""))</f>
        <v/>
      </c>
      <c r="I64" s="33">
        <f>IF(I37="","",IFERROR(I37/('연간'!T43),""))</f>
        <v/>
      </c>
      <c r="J64" s="33">
        <f>IF(J37="","",IFERROR(J37/('연간'!U43),""))</f>
        <v/>
      </c>
      <c r="K64" s="33">
        <f>IF(K37="","",IFERROR(K37/('연간'!V43),""))</f>
        <v/>
      </c>
      <c r="L64" s="33">
        <f>IF(L37="","",IFERROR(L37/('연간'!W43),""))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IF(C39="","",IFERROR(C39/(IF(COUNT('연간'!E4:H4)&lt;4,"",SUM('연간'!E4:H4))),""))</f>
        <v/>
      </c>
      <c r="D65" s="38">
        <f>IF(D39="","",IFERROR(D39/(IF(COUNT('연간'!F4:I4)&lt;4,"",SUM('연간'!F4:I4))),""))</f>
        <v/>
      </c>
      <c r="E65" s="38">
        <f>IF(E39="","",IFERROR(E39/(IF(COUNT('연간'!G4:J4)&lt;4,"",SUM('연간'!G4:J4))),""))</f>
        <v/>
      </c>
      <c r="F65" s="38">
        <f>IF(F39="","",IFERROR(F39/(IF(COUNT('연간'!H4:K4)&lt;4,"",SUM('연간'!H4:K4))),""))</f>
        <v/>
      </c>
      <c r="G65" s="38">
        <f>IF(G39="","",IFERROR(G39/(IF(COUNT('연간'!I4:L4)&lt;4,"",SUM('연간'!I4:L4))),""))</f>
        <v/>
      </c>
      <c r="H65" s="37">
        <f>IF(H39="","",IFERROR(H39/('연간'!O4),""))</f>
        <v/>
      </c>
      <c r="I65" s="38">
        <f>IF(I39="","",IFERROR(I39/('연간'!T4),""))</f>
        <v/>
      </c>
      <c r="J65" s="38">
        <f>IF(J39="","",IFERROR(J39/('연간'!U4),""))</f>
        <v/>
      </c>
      <c r="K65" s="38">
        <f>IF(K39="","",IFERROR(K39/('연간'!V4),""))</f>
        <v/>
      </c>
      <c r="L65" s="38">
        <f>IF(L39="","",IFERROR(L39/('연간'!W4),""))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IF(C38="","",IFERROR(C38/(IF(COUNT('연간'!E4:H4)&lt;4,"",SUM('연간'!E4:H4))),""))</f>
        <v/>
      </c>
      <c r="D66" s="38">
        <f>IF(D38="","",IFERROR(D38/(IF(COUNT('연간'!F4:I4)&lt;4,"",SUM('연간'!F4:I4))),""))</f>
        <v/>
      </c>
      <c r="E66" s="38">
        <f>IF(E38="","",IFERROR(E38/(IF(COUNT('연간'!G4:J4)&lt;4,"",SUM('연간'!G4:J4))),""))</f>
        <v/>
      </c>
      <c r="F66" s="38">
        <f>IF(F38="","",IFERROR(F38/(IF(COUNT('연간'!H4:K4)&lt;4,"",SUM('연간'!H4:K4))),""))</f>
        <v/>
      </c>
      <c r="G66" s="38">
        <f>IF(G38="","",IFERROR(G38/(IF(COUNT('연간'!I4:L4)&lt;4,"",SUM('연간'!I4:L4))),""))</f>
        <v/>
      </c>
      <c r="H66" s="37">
        <f>IF(H38="","",IFERROR(H38/('연간'!O4),""))</f>
        <v/>
      </c>
      <c r="I66" s="38">
        <f>IF(I38="","",IFERROR(I38/('연간'!T4),""))</f>
        <v/>
      </c>
      <c r="J66" s="38">
        <f>IF(J38="","",IFERROR(J38/('연간'!U4),""))</f>
        <v/>
      </c>
      <c r="K66" s="38">
        <f>IF(K38="","",IFERROR(K38/('연간'!V4),""))</f>
        <v/>
      </c>
      <c r="L66" s="38">
        <f>IF(L38="","",IFERROR(L38/('연간'!W4),""))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IF(C40="","",IFERROR(C40/(IF(COUNT('연간'!E44:H44)&lt;4,"",SUM('연간'!E44:H44))),""))</f>
        <v/>
      </c>
      <c r="D67" s="38">
        <f>IF(D40="","",IFERROR(D40/(IF(COUNT('연간'!F44:I44)&lt;4,"",SUM('연간'!F44:I44))),""))</f>
        <v/>
      </c>
      <c r="E67" s="38">
        <f>IF(E40="","",IFERROR(E40/(IF(COUNT('연간'!G44:J44)&lt;4,"",SUM('연간'!G44:J44))),""))</f>
        <v/>
      </c>
      <c r="F67" s="38">
        <f>IF(F40="","",IFERROR(F40/(IF(COUNT('연간'!H44:K44)&lt;4,"",SUM('연간'!H44:K44))),""))</f>
        <v/>
      </c>
      <c r="G67" s="38">
        <f>IF(G40="","",IFERROR(G40/(IF(COUNT('연간'!I44:L44)&lt;4,"",SUM('연간'!I44:L44))),""))</f>
        <v/>
      </c>
      <c r="H67" s="37">
        <f>IF(H40="","",IFERROR(H40/('연간'!O44),""))</f>
        <v/>
      </c>
      <c r="I67" s="38">
        <f>IF(I40="","",IFERROR(I40/('연간'!T44),""))</f>
        <v/>
      </c>
      <c r="J67" s="38">
        <f>IF(J40="","",IFERROR(J40/('연간'!U44),""))</f>
        <v/>
      </c>
      <c r="K67" s="38">
        <f>IF(K40="","",IFERROR(K40/('연간'!V44),""))</f>
        <v/>
      </c>
      <c r="L67" s="38">
        <f>IF(L40="","",IFERROR(L40/('연간'!W44),""))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  <c r="K69" s="18" t="n"/>
      <c r="L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2026.2Q</t>
        </is>
      </c>
      <c r="D70" s="5" t="inlineStr">
        <is>
          <t>2026.3Q</t>
        </is>
      </c>
      <c r="E70" s="5" t="inlineStr">
        <is>
          <t>2026.4Q</t>
        </is>
      </c>
      <c r="F70" s="5" t="inlineStr">
        <is>
          <t>2027.1Q</t>
        </is>
      </c>
      <c r="G70" s="5" t="inlineStr">
        <is>
          <t>2027.2Q</t>
        </is>
      </c>
      <c r="H70" s="5" t="inlineStr">
        <is>
          <t>2018</t>
        </is>
      </c>
      <c r="I70" s="5" t="inlineStr">
        <is>
          <t>2023</t>
        </is>
      </c>
      <c r="J70" s="5" t="inlineStr">
        <is>
          <t>2024</t>
        </is>
      </c>
      <c r="K70" s="5" t="inlineStr">
        <is>
          <t>2025</t>
        </is>
      </c>
      <c r="L70" s="5" t="inlineStr">
        <is>
          <t>2026</t>
        </is>
      </c>
    </row>
    <row r="71">
      <c r="A71" s="20" t="inlineStr">
        <is>
          <t>현금 및 예금</t>
        </is>
      </c>
      <c r="C71" s="22" t="n">
        <v>489078</v>
      </c>
      <c r="D71" s="22" t="n">
        <v>583276</v>
      </c>
      <c r="E71" s="22" t="n">
        <v>507115</v>
      </c>
      <c r="F71" s="22" t="n">
        <v>596976</v>
      </c>
      <c r="G71" s="22" t="n">
        <v>564751</v>
      </c>
      <c r="H71" s="22" t="n">
        <v>437675</v>
      </c>
      <c r="I71" s="22" t="n">
        <v>424998</v>
      </c>
      <c r="J71" s="22" t="n">
        <v>451518</v>
      </c>
      <c r="K71" s="22" t="n">
        <v>513402</v>
      </c>
      <c r="L71" s="22" t="n">
        <v>507115</v>
      </c>
    </row>
    <row r="72">
      <c r="A72" s="20" t="inlineStr">
        <is>
          <t>받을어음·매출채권</t>
        </is>
      </c>
      <c r="C72" s="22" t="n">
        <v>305063</v>
      </c>
      <c r="D72" s="22" t="n">
        <v>324817</v>
      </c>
      <c r="E72" s="22" t="n">
        <v>342170</v>
      </c>
      <c r="F72" s="22" t="n">
        <v>379590</v>
      </c>
      <c r="G72" s="22" t="n">
        <v>397626</v>
      </c>
      <c r="H72" s="22" t="n">
        <v>160276</v>
      </c>
      <c r="I72" s="22" t="n">
        <v>283733</v>
      </c>
      <c r="J72" s="22" t="n">
        <v>285099</v>
      </c>
      <c r="K72" s="22" t="n">
        <v>302441</v>
      </c>
      <c r="L72" s="22" t="n">
        <v>342170</v>
      </c>
    </row>
    <row r="73">
      <c r="A73" s="20" t="inlineStr">
        <is>
          <t>유가증권</t>
        </is>
      </c>
      <c r="C73" s="22" t="n">
        <v>675242</v>
      </c>
      <c r="D73" s="22" t="n">
        <v>734575</v>
      </c>
      <c r="E73" s="22" t="n">
        <v>826897</v>
      </c>
      <c r="F73" s="22" t="n">
        <v>896913</v>
      </c>
      <c r="G73" s="22" t="n">
        <v>861843</v>
      </c>
      <c r="H73" s="22" t="n">
        <v>370055</v>
      </c>
      <c r="I73" s="22" t="n">
        <v>556796</v>
      </c>
      <c r="J73" s="22" t="n">
        <v>520290</v>
      </c>
      <c r="K73" s="22" t="n">
        <v>660659</v>
      </c>
      <c r="L73" s="22" t="n">
        <v>826897</v>
      </c>
    </row>
    <row r="74">
      <c r="A74" s="20" t="inlineStr">
        <is>
          <t>재고자산</t>
        </is>
      </c>
      <c r="C74" s="22" t="n">
        <v>84903</v>
      </c>
      <c r="D74" s="22" t="n">
        <v>83805</v>
      </c>
      <c r="E74" s="22" t="n">
        <v>87875</v>
      </c>
      <c r="F74" s="22" t="n">
        <v>85273</v>
      </c>
      <c r="G74" s="22" t="n">
        <v>101073</v>
      </c>
      <c r="H74" s="22" t="n">
        <v>34847</v>
      </c>
      <c r="I74" s="22" t="n">
        <v>92207</v>
      </c>
      <c r="J74" s="22" t="n">
        <v>87454</v>
      </c>
      <c r="K74" s="22" t="n">
        <v>82340</v>
      </c>
      <c r="L74" s="22" t="n">
        <v>87875</v>
      </c>
    </row>
    <row r="75">
      <c r="A75" s="20" t="inlineStr">
        <is>
          <t>이연법인세자산</t>
        </is>
      </c>
      <c r="H75" s="22" t="n">
        <v>14395</v>
      </c>
    </row>
    <row r="76">
      <c r="A76" s="20" t="inlineStr">
        <is>
          <t>기타</t>
        </is>
      </c>
      <c r="C76" s="22" t="n">
        <v>15866</v>
      </c>
      <c r="D76" s="22" t="n">
        <v>17052</v>
      </c>
      <c r="E76" s="22" t="n">
        <v>19855</v>
      </c>
      <c r="F76" s="22" t="n">
        <v>22887</v>
      </c>
      <c r="G76" s="22" t="n">
        <v>22783</v>
      </c>
      <c r="H76" s="22" t="n">
        <v>6543</v>
      </c>
      <c r="I76" s="22" t="n">
        <v>14387</v>
      </c>
      <c r="J76" s="22" t="n">
        <v>13886</v>
      </c>
      <c r="K76" s="22" t="n">
        <v>15529</v>
      </c>
      <c r="L76" s="22" t="n">
        <v>19855</v>
      </c>
    </row>
    <row r="77">
      <c r="A77" s="20" t="inlineStr">
        <is>
          <t>대손충당금</t>
        </is>
      </c>
      <c r="C77" s="22" t="n">
        <v>-1731</v>
      </c>
      <c r="D77" s="22" t="n">
        <v>-1791</v>
      </c>
      <c r="E77" s="22" t="n">
        <v>-1907</v>
      </c>
      <c r="F77" s="22" t="n">
        <v>-2135</v>
      </c>
      <c r="G77" s="22" t="n">
        <v>-2441</v>
      </c>
      <c r="H77" s="22" t="n">
        <v>-366</v>
      </c>
      <c r="I77" s="22" t="n">
        <v>-724</v>
      </c>
      <c r="J77" s="22" t="n">
        <v>-1238</v>
      </c>
      <c r="K77" s="22" t="n">
        <v>-1329</v>
      </c>
      <c r="L77" s="22" t="n">
        <v>-1907</v>
      </c>
    </row>
    <row r="78">
      <c r="A78" s="9" t="inlineStr">
        <is>
          <t>유동자산 합계</t>
        </is>
      </c>
      <c r="C78" s="12" t="n">
        <v>1568423</v>
      </c>
      <c r="D78" s="12" t="n">
        <v>1741736</v>
      </c>
      <c r="E78" s="12" t="n">
        <v>1782006</v>
      </c>
      <c r="F78" s="12" t="n">
        <v>1979505</v>
      </c>
      <c r="G78" s="12" t="n">
        <v>1945636</v>
      </c>
      <c r="H78" s="12" t="n">
        <v>1023426</v>
      </c>
      <c r="I78" s="12" t="n">
        <v>1371399</v>
      </c>
      <c r="J78" s="12" t="n">
        <v>1357010</v>
      </c>
      <c r="K78" s="12" t="n">
        <v>1573043</v>
      </c>
      <c r="L78" s="12" t="n">
        <v>1782006</v>
      </c>
    </row>
    <row r="79">
      <c r="A79" s="20" t="inlineStr">
        <is>
          <t>건물·구축물</t>
        </is>
      </c>
      <c r="F79" s="22" t="n">
        <v>34915</v>
      </c>
      <c r="H79" s="22" t="n">
        <v>21363</v>
      </c>
    </row>
    <row r="80">
      <c r="A80" s="20" t="inlineStr">
        <is>
          <t>감가상각누계액</t>
        </is>
      </c>
      <c r="F80" s="22" t="n">
        <v>-22804</v>
      </c>
      <c r="H80" s="22" t="n">
        <v>-14276</v>
      </c>
    </row>
    <row r="81">
      <c r="A81" s="20" t="inlineStr">
        <is>
          <t>건물·구축물(순액)</t>
        </is>
      </c>
      <c r="F81" s="22" t="n">
        <v>12110</v>
      </c>
      <c r="H81" s="22" t="n">
        <v>7086</v>
      </c>
    </row>
    <row r="82">
      <c r="A82" s="20" t="inlineStr">
        <is>
          <t>공구·기구·비품</t>
        </is>
      </c>
      <c r="F82" s="22" t="n">
        <v>75596</v>
      </c>
      <c r="H82" s="22" t="n">
        <v>30744</v>
      </c>
    </row>
    <row r="83">
      <c r="A83" s="20" t="inlineStr">
        <is>
          <t>감가상각누계액</t>
        </is>
      </c>
      <c r="F83" s="22" t="n">
        <v>-61193</v>
      </c>
      <c r="H83" s="22" t="n">
        <v>-25015</v>
      </c>
    </row>
    <row r="84">
      <c r="A84" s="20" t="inlineStr">
        <is>
          <t>공구·기구·비품(순액)</t>
        </is>
      </c>
      <c r="F84" s="22" t="n">
        <v>14403</v>
      </c>
      <c r="H84" s="22" t="n">
        <v>5728</v>
      </c>
    </row>
    <row r="85">
      <c r="A85" s="20" t="inlineStr">
        <is>
          <t>토지</t>
        </is>
      </c>
      <c r="F85" s="22" t="n">
        <v>32971</v>
      </c>
      <c r="H85" s="22" t="n">
        <v>7021</v>
      </c>
    </row>
    <row r="86">
      <c r="A86" s="20" t="inlineStr">
        <is>
          <t>기타</t>
        </is>
      </c>
      <c r="F86" s="22" t="n">
        <v>55809</v>
      </c>
      <c r="H86" s="22" t="n">
        <v>2964</v>
      </c>
    </row>
    <row r="87">
      <c r="A87" s="20" t="inlineStr">
        <is>
          <t>감가상각누계액</t>
        </is>
      </c>
      <c r="F87" s="22" t="n">
        <v>-20576</v>
      </c>
      <c r="H87" s="22" t="n">
        <v>-1375</v>
      </c>
    </row>
    <row r="88">
      <c r="A88" s="20" t="inlineStr">
        <is>
          <t>기타(순액)</t>
        </is>
      </c>
      <c r="F88" s="22" t="n">
        <v>35232</v>
      </c>
      <c r="H88" s="22" t="n">
        <v>1589</v>
      </c>
    </row>
    <row r="89">
      <c r="A89" s="20" t="inlineStr">
        <is>
          <t>유형자산</t>
        </is>
      </c>
      <c r="C89" s="22" t="n">
        <v>81515</v>
      </c>
      <c r="D89" s="22" t="n">
        <v>82187</v>
      </c>
      <c r="E89" s="22" t="n">
        <v>84511</v>
      </c>
      <c r="F89" s="22" t="n">
        <v>94718</v>
      </c>
      <c r="G89" s="22" t="n">
        <v>98828</v>
      </c>
      <c r="H89" s="22" t="n">
        <v>21426</v>
      </c>
      <c r="I89" s="22" t="n">
        <v>31242</v>
      </c>
      <c r="J89" s="22" t="n">
        <v>73819</v>
      </c>
      <c r="K89" s="22" t="n">
        <v>77403</v>
      </c>
      <c r="L89" s="22" t="n">
        <v>84511</v>
      </c>
    </row>
    <row r="90">
      <c r="A90" s="20" t="inlineStr">
        <is>
          <t>기타</t>
        </is>
      </c>
      <c r="F90" s="22" t="n">
        <v>29181</v>
      </c>
      <c r="H90" s="22" t="n">
        <v>5204</v>
      </c>
    </row>
    <row r="91">
      <c r="A91" s="20" t="inlineStr">
        <is>
          <t>무형자산</t>
        </is>
      </c>
      <c r="C91" s="22" t="n">
        <v>36111</v>
      </c>
      <c r="D91" s="22" t="n">
        <v>33535</v>
      </c>
      <c r="E91" s="22" t="n">
        <v>31360</v>
      </c>
      <c r="F91" s="22" t="n">
        <v>29181</v>
      </c>
      <c r="G91" s="22" t="n">
        <v>26932</v>
      </c>
      <c r="H91" s="22" t="n">
        <v>5204</v>
      </c>
      <c r="I91" s="22" t="n">
        <v>3538</v>
      </c>
      <c r="J91" s="22" t="n">
        <v>4568</v>
      </c>
      <c r="K91" s="22" t="n">
        <v>6311</v>
      </c>
      <c r="L91" s="22" t="n">
        <v>31360</v>
      </c>
    </row>
    <row r="92">
      <c r="A92" s="20" t="inlineStr">
        <is>
          <t>투자유가증권</t>
        </is>
      </c>
      <c r="C92" s="22" t="n">
        <v>1559662</v>
      </c>
      <c r="D92" s="22" t="n">
        <v>1544666</v>
      </c>
      <c r="E92" s="22" t="n">
        <v>1531075</v>
      </c>
      <c r="F92" s="22" t="n">
        <v>1514304</v>
      </c>
      <c r="G92" s="22" t="n">
        <v>1598277</v>
      </c>
      <c r="H92" s="22" t="n">
        <v>432981</v>
      </c>
      <c r="I92" s="22" t="n">
        <v>1073228</v>
      </c>
      <c r="J92" s="22" t="n">
        <v>1345412</v>
      </c>
      <c r="K92" s="22" t="n">
        <v>1447884</v>
      </c>
      <c r="L92" s="22" t="n">
        <v>1531075</v>
      </c>
    </row>
    <row r="93">
      <c r="A93" s="20" t="inlineStr">
        <is>
          <t>이연법인세자산</t>
        </is>
      </c>
      <c r="H93" s="22" t="n">
        <v>456</v>
      </c>
    </row>
    <row r="94">
      <c r="A94" s="20" t="inlineStr">
        <is>
          <t>Long Term Time Deposits IOA</t>
        </is>
      </c>
      <c r="C94" s="22" t="n">
        <v>17992</v>
      </c>
      <c r="D94" s="22" t="n">
        <v>18861</v>
      </c>
      <c r="E94" s="22" t="n">
        <v>19976</v>
      </c>
      <c r="F94" s="22" t="n">
        <v>20220</v>
      </c>
      <c r="G94" s="22" t="n">
        <v>20422</v>
      </c>
      <c r="I94" s="22" t="n">
        <v>15793</v>
      </c>
      <c r="J94" s="22" t="n">
        <v>17766</v>
      </c>
      <c r="K94" s="22" t="n">
        <v>17512</v>
      </c>
      <c r="L94" s="22" t="n">
        <v>19976</v>
      </c>
    </row>
    <row r="95">
      <c r="A95" s="20" t="inlineStr">
        <is>
          <t>이연법인세자산</t>
        </is>
      </c>
      <c r="F95" s="22" t="n">
        <v>20515</v>
      </c>
    </row>
    <row r="96">
      <c r="A96" s="20" t="inlineStr">
        <is>
          <t>기타</t>
        </is>
      </c>
      <c r="C96" s="22" t="n">
        <v>26208</v>
      </c>
      <c r="D96" s="22" t="n">
        <v>26465</v>
      </c>
      <c r="E96" s="22" t="n">
        <v>29775</v>
      </c>
      <c r="F96" s="22" t="n">
        <v>32786</v>
      </c>
      <c r="G96" s="22" t="n">
        <v>34854</v>
      </c>
      <c r="H96" s="22" t="n">
        <v>2790</v>
      </c>
      <c r="I96" s="22" t="n">
        <v>22588</v>
      </c>
      <c r="J96" s="22" t="n">
        <v>20860</v>
      </c>
      <c r="K96" s="22" t="n">
        <v>25615</v>
      </c>
      <c r="L96" s="22" t="n">
        <v>29775</v>
      </c>
    </row>
    <row r="97">
      <c r="A97" s="20" t="inlineStr">
        <is>
          <t>대손충당금</t>
        </is>
      </c>
      <c r="C97" s="22" t="n">
        <v>-60</v>
      </c>
      <c r="D97" s="22" t="n">
        <v>-60</v>
      </c>
      <c r="E97" s="22" t="n">
        <v>-60</v>
      </c>
      <c r="F97" s="22" t="n">
        <v>-60</v>
      </c>
      <c r="G97" s="22" t="n">
        <v>-60</v>
      </c>
      <c r="H97" s="22" t="n">
        <v>-61</v>
      </c>
      <c r="I97" s="22" t="n">
        <v>-61</v>
      </c>
      <c r="J97" s="22" t="n">
        <v>-60</v>
      </c>
      <c r="K97" s="22" t="n">
        <v>-60</v>
      </c>
      <c r="L97" s="22" t="n">
        <v>-60</v>
      </c>
    </row>
    <row r="98">
      <c r="A98" s="20" t="inlineStr">
        <is>
          <t>투자 및 기타자산 합계</t>
        </is>
      </c>
      <c r="C98" s="22" t="n">
        <v>1603803</v>
      </c>
      <c r="D98" s="22" t="n">
        <v>1589932</v>
      </c>
      <c r="E98" s="22" t="n">
        <v>1580766</v>
      </c>
      <c r="F98" s="22" t="n">
        <v>1567250</v>
      </c>
      <c r="G98" s="22" t="n">
        <v>1653494</v>
      </c>
      <c r="H98" s="22" t="n">
        <v>436165</v>
      </c>
      <c r="I98" s="22" t="n">
        <v>1111548</v>
      </c>
      <c r="J98" s="22" t="n">
        <v>1383979</v>
      </c>
      <c r="K98" s="22" t="n">
        <v>1490950</v>
      </c>
      <c r="L98" s="22" t="n">
        <v>1580766</v>
      </c>
    </row>
    <row r="99">
      <c r="A99" s="9" t="inlineStr">
        <is>
          <t>비유동자산 합계</t>
        </is>
      </c>
      <c r="C99" s="12" t="n">
        <v>1721430</v>
      </c>
      <c r="D99" s="12" t="n">
        <v>1705655</v>
      </c>
      <c r="E99" s="12" t="n">
        <v>1696638</v>
      </c>
      <c r="F99" s="12" t="n">
        <v>1691149</v>
      </c>
      <c r="G99" s="12" t="n">
        <v>1779255</v>
      </c>
      <c r="H99" s="12" t="n">
        <v>462796</v>
      </c>
      <c r="I99" s="12" t="n">
        <v>1146329</v>
      </c>
      <c r="J99" s="12" t="n">
        <v>1462367</v>
      </c>
      <c r="K99" s="12" t="n">
        <v>1574665</v>
      </c>
      <c r="L99" s="12" t="n">
        <v>1696638</v>
      </c>
    </row>
    <row r="100">
      <c r="A100" s="9" t="inlineStr">
        <is>
          <t>자산 합계</t>
        </is>
      </c>
      <c r="C100" s="12" t="n">
        <v>3289853</v>
      </c>
      <c r="D100" s="12" t="n">
        <v>3447391</v>
      </c>
      <c r="E100" s="12" t="n">
        <v>3478645</v>
      </c>
      <c r="F100" s="12" t="n">
        <v>3670655</v>
      </c>
      <c r="G100" s="12" t="n">
        <v>3724891</v>
      </c>
      <c r="H100" s="12" t="n">
        <v>1486222</v>
      </c>
      <c r="I100" s="12" t="n">
        <v>2517729</v>
      </c>
      <c r="J100" s="12" t="n">
        <v>2819378</v>
      </c>
      <c r="K100" s="12" t="n">
        <v>3147709</v>
      </c>
      <c r="L100" s="12" t="n">
        <v>3478645</v>
      </c>
    </row>
    <row r="101">
      <c r="A101" s="20" t="inlineStr">
        <is>
          <t>지급어음·매입채무</t>
        </is>
      </c>
      <c r="C101" s="22" t="n">
        <v>15760</v>
      </c>
      <c r="D101" s="22" t="n">
        <v>15091</v>
      </c>
      <c r="E101" s="22" t="n">
        <v>16653</v>
      </c>
      <c r="F101" s="22" t="n">
        <v>10890</v>
      </c>
      <c r="G101" s="22" t="n">
        <v>23600</v>
      </c>
      <c r="H101" s="22" t="n">
        <v>10645</v>
      </c>
      <c r="I101" s="22" t="n">
        <v>21225</v>
      </c>
      <c r="J101" s="22" t="n">
        <v>19208</v>
      </c>
      <c r="K101" s="22" t="n">
        <v>16095</v>
      </c>
      <c r="L101" s="22" t="n">
        <v>16653</v>
      </c>
    </row>
    <row r="102">
      <c r="A102" s="20" t="inlineStr">
        <is>
          <t>미지급법인세</t>
        </is>
      </c>
      <c r="C102" s="22" t="n">
        <v>38541</v>
      </c>
      <c r="D102" s="22" t="n">
        <v>80769</v>
      </c>
      <c r="E102" s="22" t="n">
        <v>46157</v>
      </c>
      <c r="F102" s="22" t="n">
        <v>102331</v>
      </c>
      <c r="G102" s="22" t="n">
        <v>59945</v>
      </c>
      <c r="H102" s="22" t="n">
        <v>58799</v>
      </c>
      <c r="I102" s="22" t="n">
        <v>47432</v>
      </c>
      <c r="J102" s="22" t="n">
        <v>34377</v>
      </c>
      <c r="K102" s="22" t="n">
        <v>49202</v>
      </c>
      <c r="L102" s="22" t="n">
        <v>46157</v>
      </c>
    </row>
    <row r="103">
      <c r="A103" s="20" t="inlineStr">
        <is>
          <t>상여충당금</t>
        </is>
      </c>
      <c r="C103" s="22" t="n">
        <v>15282</v>
      </c>
      <c r="D103" s="22" t="n">
        <v>19126</v>
      </c>
      <c r="E103" s="22" t="n">
        <v>17097</v>
      </c>
      <c r="F103" s="22" t="n">
        <v>22271</v>
      </c>
      <c r="G103" s="22" t="n">
        <v>21315</v>
      </c>
      <c r="H103" s="22" t="n">
        <v>10131</v>
      </c>
      <c r="I103" s="22" t="n">
        <v>13334</v>
      </c>
      <c r="J103" s="22" t="n">
        <v>13277</v>
      </c>
      <c r="K103" s="22" t="n">
        <v>14735</v>
      </c>
      <c r="L103" s="22" t="n">
        <v>17097</v>
      </c>
    </row>
    <row r="104">
      <c r="A104" s="20" t="inlineStr">
        <is>
          <t>기타</t>
        </is>
      </c>
      <c r="C104" s="22" t="n">
        <v>45401</v>
      </c>
      <c r="D104" s="22" t="n">
        <v>45708</v>
      </c>
      <c r="E104" s="22" t="n">
        <v>51588</v>
      </c>
      <c r="F104" s="22" t="n">
        <v>52338</v>
      </c>
      <c r="G104" s="22" t="n">
        <v>59096</v>
      </c>
      <c r="H104" s="22" t="n">
        <v>17982</v>
      </c>
      <c r="I104" s="22" t="n">
        <v>34846</v>
      </c>
      <c r="J104" s="22" t="n">
        <v>40465</v>
      </c>
      <c r="K104" s="22" t="n">
        <v>43995</v>
      </c>
      <c r="L104" s="22" t="n">
        <v>51588</v>
      </c>
    </row>
    <row r="105">
      <c r="A105" s="9" t="inlineStr">
        <is>
          <t>유동부채 합계</t>
        </is>
      </c>
      <c r="C105" s="12" t="n">
        <v>114986</v>
      </c>
      <c r="D105" s="12" t="n">
        <v>160696</v>
      </c>
      <c r="E105" s="12" t="n">
        <v>131496</v>
      </c>
      <c r="F105" s="12" t="n">
        <v>187831</v>
      </c>
      <c r="G105" s="12" t="n">
        <v>163958</v>
      </c>
      <c r="H105" s="12" t="n">
        <v>97558</v>
      </c>
      <c r="I105" s="12" t="n">
        <v>116838</v>
      </c>
      <c r="J105" s="12" t="n">
        <v>107328</v>
      </c>
      <c r="K105" s="12" t="n">
        <v>124028</v>
      </c>
      <c r="L105" s="12" t="n">
        <v>131496</v>
      </c>
    </row>
    <row r="106">
      <c r="A106" s="20" t="inlineStr">
        <is>
          <t>기타</t>
        </is>
      </c>
      <c r="F106" s="22" t="n">
        <v>11351</v>
      </c>
      <c r="H106" s="22" t="n">
        <v>7606</v>
      </c>
    </row>
    <row r="107">
      <c r="A107" s="9" t="inlineStr">
        <is>
          <t>Noncurrent Liabilities</t>
        </is>
      </c>
      <c r="C107" s="12" t="n">
        <v>12015</v>
      </c>
      <c r="D107" s="12" t="n">
        <v>11099</v>
      </c>
      <c r="E107" s="12" t="n">
        <v>11756</v>
      </c>
      <c r="F107" s="12" t="n">
        <v>11351</v>
      </c>
      <c r="G107" s="12" t="n">
        <v>12192</v>
      </c>
      <c r="H107" s="12" t="n">
        <v>7606</v>
      </c>
      <c r="I107" s="12" t="n">
        <v>4874</v>
      </c>
      <c r="J107" s="12" t="n">
        <v>11088</v>
      </c>
      <c r="K107" s="12" t="n">
        <v>12705</v>
      </c>
      <c r="L107" s="12" t="n">
        <v>11756</v>
      </c>
    </row>
    <row r="108">
      <c r="A108" s="9" t="inlineStr">
        <is>
          <t>부채 합계</t>
        </is>
      </c>
      <c r="C108" s="12" t="n">
        <v>127001</v>
      </c>
      <c r="D108" s="12" t="n">
        <v>171795</v>
      </c>
      <c r="E108" s="12" t="n">
        <v>143253</v>
      </c>
      <c r="F108" s="12" t="n">
        <v>199183</v>
      </c>
      <c r="G108" s="12" t="n">
        <v>176150</v>
      </c>
      <c r="H108" s="12" t="n">
        <v>105164</v>
      </c>
      <c r="I108" s="12" t="n">
        <v>121713</v>
      </c>
      <c r="J108" s="12" t="n">
        <v>118416</v>
      </c>
      <c r="K108" s="12" t="n">
        <v>136733</v>
      </c>
      <c r="L108" s="12" t="n">
        <v>143253</v>
      </c>
    </row>
    <row r="109">
      <c r="A109" s="20" t="inlineStr">
        <is>
          <t>자본금</t>
        </is>
      </c>
      <c r="C109" s="22" t="n">
        <v>30637</v>
      </c>
      <c r="D109" s="22" t="n">
        <v>30637</v>
      </c>
      <c r="E109" s="22" t="n">
        <v>30637</v>
      </c>
      <c r="F109" s="22" t="n">
        <v>30637</v>
      </c>
      <c r="G109" s="22" t="n">
        <v>30637</v>
      </c>
      <c r="H109" s="22" t="n">
        <v>30637</v>
      </c>
      <c r="I109" s="22" t="n">
        <v>30637</v>
      </c>
      <c r="J109" s="22" t="n">
        <v>30637</v>
      </c>
      <c r="K109" s="22" t="n">
        <v>30637</v>
      </c>
      <c r="L109" s="22" t="n">
        <v>30637</v>
      </c>
    </row>
    <row r="110">
      <c r="A110" s="20" t="inlineStr">
        <is>
          <t>자본잉여금</t>
        </is>
      </c>
      <c r="C110" s="22" t="n">
        <v>30541</v>
      </c>
      <c r="D110" s="22" t="n">
        <v>30541</v>
      </c>
      <c r="E110" s="22" t="n">
        <v>30544</v>
      </c>
      <c r="F110" s="22" t="n">
        <v>30544</v>
      </c>
      <c r="G110" s="22" t="n">
        <v>30544</v>
      </c>
      <c r="H110" s="22" t="n">
        <v>30537</v>
      </c>
      <c r="I110" s="22" t="n">
        <v>30541</v>
      </c>
      <c r="J110" s="22" t="n">
        <v>30541</v>
      </c>
      <c r="K110" s="22" t="n">
        <v>30541</v>
      </c>
      <c r="L110" s="22" t="n">
        <v>30544</v>
      </c>
    </row>
    <row r="111">
      <c r="A111" s="20" t="inlineStr">
        <is>
          <t>이익잉여금</t>
        </is>
      </c>
      <c r="C111" s="22" t="n">
        <v>3070209</v>
      </c>
      <c r="D111" s="22" t="n">
        <v>3178052</v>
      </c>
      <c r="E111" s="22" t="n">
        <v>3222567</v>
      </c>
      <c r="F111" s="22" t="n">
        <v>3356584</v>
      </c>
      <c r="G111" s="22" t="n">
        <v>3429023</v>
      </c>
      <c r="H111" s="22" t="n">
        <v>1316311</v>
      </c>
      <c r="I111" s="22" t="n">
        <v>2308874</v>
      </c>
      <c r="J111" s="22" t="n">
        <v>2597483</v>
      </c>
      <c r="K111" s="22" t="n">
        <v>2913644</v>
      </c>
      <c r="L111" s="22" t="n">
        <v>3222567</v>
      </c>
    </row>
    <row r="112">
      <c r="A112" s="20" t="inlineStr">
        <is>
          <t>자기주식</t>
        </is>
      </c>
      <c r="C112" s="22" t="n">
        <v>-3840</v>
      </c>
      <c r="D112" s="22" t="n">
        <v>-3847</v>
      </c>
      <c r="E112" s="22" t="n">
        <v>-3850</v>
      </c>
      <c r="F112" s="22" t="n">
        <v>-3854</v>
      </c>
      <c r="G112" s="22" t="n">
        <v>-3858</v>
      </c>
      <c r="H112" s="22" t="n">
        <v>-3658</v>
      </c>
      <c r="I112" s="22" t="n">
        <v>-3794</v>
      </c>
      <c r="J112" s="22" t="n">
        <v>-3811</v>
      </c>
      <c r="K112" s="22" t="n">
        <v>-3831</v>
      </c>
      <c r="L112" s="22" t="n">
        <v>-3850</v>
      </c>
    </row>
    <row r="113">
      <c r="A113" s="9" t="inlineStr">
        <is>
          <t>주주자본 합계</t>
        </is>
      </c>
      <c r="C113" s="12" t="n">
        <v>3127547</v>
      </c>
      <c r="D113" s="12" t="n">
        <v>3235384</v>
      </c>
      <c r="E113" s="12" t="n">
        <v>3279898</v>
      </c>
      <c r="F113" s="12" t="n">
        <v>3413911</v>
      </c>
      <c r="G113" s="12" t="n">
        <v>3486346</v>
      </c>
      <c r="H113" s="12" t="n">
        <v>1373828</v>
      </c>
      <c r="I113" s="12" t="n">
        <v>2366258</v>
      </c>
      <c r="J113" s="12" t="n">
        <v>2654850</v>
      </c>
      <c r="K113" s="12" t="n">
        <v>2970991</v>
      </c>
      <c r="L113" s="12" t="n">
        <v>3279898</v>
      </c>
    </row>
    <row r="114">
      <c r="A114" s="20" t="inlineStr">
        <is>
          <t>기타유가증권 평가차액</t>
        </is>
      </c>
      <c r="C114" s="22" t="n">
        <v>-3874</v>
      </c>
      <c r="D114" s="22" t="n">
        <v>-6988</v>
      </c>
      <c r="E114" s="22" t="n">
        <v>-10523</v>
      </c>
      <c r="F114" s="22" t="n">
        <v>-11843</v>
      </c>
      <c r="G114" s="22" t="n">
        <v>-12387</v>
      </c>
      <c r="H114" s="22" t="n">
        <v>3648</v>
      </c>
      <c r="I114" s="22" t="n">
        <v>826</v>
      </c>
      <c r="J114" s="22" t="n">
        <v>1961</v>
      </c>
      <c r="K114" s="22" t="n">
        <v>-3246</v>
      </c>
      <c r="L114" s="22" t="n">
        <v>-10523</v>
      </c>
    </row>
    <row r="115">
      <c r="A115" s="20" t="inlineStr">
        <is>
          <t>해외사업환산조정</t>
        </is>
      </c>
      <c r="C115" s="22" t="n">
        <v>39182</v>
      </c>
      <c r="D115" s="22" t="n">
        <v>47204</v>
      </c>
      <c r="E115" s="22" t="n">
        <v>66020</v>
      </c>
      <c r="F115" s="22" t="n">
        <v>69406</v>
      </c>
      <c r="G115" s="22" t="n">
        <v>74783</v>
      </c>
      <c r="H115" s="22" t="n">
        <v>3563</v>
      </c>
      <c r="I115" s="22" t="n">
        <v>28934</v>
      </c>
      <c r="J115" s="22" t="n">
        <v>44151</v>
      </c>
      <c r="K115" s="22" t="n">
        <v>43232</v>
      </c>
      <c r="L115" s="22" t="n">
        <v>66020</v>
      </c>
    </row>
    <row r="116">
      <c r="A116" s="20" t="inlineStr">
        <is>
          <t>퇴직급여 조정누계액</t>
        </is>
      </c>
      <c r="C116" s="22" t="n">
        <v>-4</v>
      </c>
      <c r="D116" s="22" t="n">
        <v>-3</v>
      </c>
      <c r="E116" s="22" t="n">
        <v>-3</v>
      </c>
      <c r="F116" s="22" t="n">
        <v>-3</v>
      </c>
      <c r="G116" s="22" t="n">
        <v>-2</v>
      </c>
      <c r="H116" s="22" t="n">
        <v>17</v>
      </c>
      <c r="I116" s="22" t="n">
        <v>-2</v>
      </c>
      <c r="J116" s="22" t="n">
        <v>-2</v>
      </c>
      <c r="K116" s="22" t="n">
        <v>-1</v>
      </c>
      <c r="L116" s="22" t="n">
        <v>-3</v>
      </c>
    </row>
    <row r="117">
      <c r="A117" s="20" t="inlineStr">
        <is>
          <t>기타포괄손익누계액 합계</t>
        </is>
      </c>
      <c r="C117" s="22" t="n">
        <v>35304</v>
      </c>
      <c r="D117" s="22" t="n">
        <v>40212</v>
      </c>
      <c r="E117" s="22" t="n">
        <v>55493</v>
      </c>
      <c r="F117" s="22" t="n">
        <v>57560</v>
      </c>
      <c r="G117" s="22" t="n">
        <v>62394</v>
      </c>
      <c r="H117" s="22" t="n">
        <v>7228</v>
      </c>
      <c r="I117" s="22" t="n">
        <v>29758</v>
      </c>
      <c r="J117" s="22" t="n">
        <v>46110</v>
      </c>
      <c r="K117" s="22" t="n">
        <v>39984</v>
      </c>
      <c r="L117" s="22" t="n">
        <v>55493</v>
      </c>
    </row>
    <row r="118">
      <c r="A118" s="9" t="inlineStr">
        <is>
          <t>순자산 합계</t>
        </is>
      </c>
      <c r="C118" s="12" t="n">
        <v>3162851</v>
      </c>
      <c r="D118" s="12" t="n">
        <v>3275596</v>
      </c>
      <c r="E118" s="12" t="n">
        <v>3335392</v>
      </c>
      <c r="F118" s="12" t="n">
        <v>3471472</v>
      </c>
      <c r="G118" s="12" t="n">
        <v>3548740</v>
      </c>
      <c r="H118" s="12" t="n">
        <v>1381057</v>
      </c>
      <c r="I118" s="12" t="n">
        <v>2396016</v>
      </c>
      <c r="J118" s="12" t="n">
        <v>2700961</v>
      </c>
      <c r="K118" s="12" t="n">
        <v>3010975</v>
      </c>
      <c r="L118" s="12" t="n">
        <v>3335392</v>
      </c>
    </row>
    <row r="119">
      <c r="A119" s="9" t="inlineStr">
        <is>
          <t>부채·순자산 합계</t>
        </is>
      </c>
      <c r="C119" s="12" t="n">
        <v>3289853</v>
      </c>
      <c r="D119" s="12" t="n">
        <v>3447391</v>
      </c>
      <c r="E119" s="12" t="n">
        <v>3478645</v>
      </c>
      <c r="F119" s="12" t="n">
        <v>3670655</v>
      </c>
      <c r="G119" s="12" t="n">
        <v>3724891</v>
      </c>
      <c r="H119" s="12" t="n">
        <v>1486222</v>
      </c>
      <c r="I119" s="12" t="n">
        <v>2517729</v>
      </c>
      <c r="J119" s="12" t="n">
        <v>2819378</v>
      </c>
      <c r="K119" s="12" t="n">
        <v>3147709</v>
      </c>
      <c r="L119" s="12" t="n">
        <v>3478645</v>
      </c>
    </row>
  </sheetData>
  <conditionalFormatting sqref="C43:L43">
    <cfRule type="expression" priority="1" dxfId="0">
      <formula>AND(ISNUMBER(C43),C43&gt;1.0)</formula>
    </cfRule>
  </conditionalFormatting>
  <conditionalFormatting sqref="C44:L44">
    <cfRule type="expression" priority="2" dxfId="0">
      <formula>AND(ISNUMBER(C44),C44&gt;0.5)</formula>
    </cfRule>
  </conditionalFormatting>
  <conditionalFormatting sqref="C45:L45">
    <cfRule type="expression" priority="3" dxfId="0">
      <formula>AND(ISNUMBER(C45),C45&lt;0.5)</formula>
    </cfRule>
  </conditionalFormatting>
  <conditionalFormatting sqref="C46:L46">
    <cfRule type="expression" priority="4" dxfId="0">
      <formula>AND(ISNUMBER(C46),C46&lt;1.5)</formula>
    </cfRule>
  </conditionalFormatting>
  <conditionalFormatting sqref="C47:L47">
    <cfRule type="expression" priority="5" dxfId="0">
      <formula>AND(ISNUMBER(C47),C47&lt;1.0)</formula>
    </cfRule>
  </conditionalFormatting>
  <conditionalFormatting sqref="C48:L48">
    <cfRule type="expression" priority="6" dxfId="0">
      <formula>AND(ISNUMBER(C48),C48&lt;5)</formula>
    </cfRule>
  </conditionalFormatting>
  <conditionalFormatting sqref="C49:L49">
    <cfRule type="expression" priority="7" dxfId="0">
      <formula>AND(ISNUMBER(C49),C49&gt;4)</formula>
    </cfRule>
  </conditionalFormatting>
  <conditionalFormatting sqref="C51:L51">
    <cfRule type="expression" priority="8" dxfId="0">
      <formula>AND(ISNUMBER(C51),C51&lt;0.15)</formula>
    </cfRule>
  </conditionalFormatting>
  <conditionalFormatting sqref="C52:L52">
    <cfRule type="expression" priority="9" dxfId="0">
      <formula>AND(ISNUMBER(C52),C52&lt;0.05)</formula>
    </cfRule>
  </conditionalFormatting>
  <conditionalFormatting sqref="C53:L53">
    <cfRule type="expression" priority="10" dxfId="0">
      <formula>AND(ISNUMBER(C53),C53&lt;0.1)</formula>
    </cfRule>
  </conditionalFormatting>
  <conditionalFormatting sqref="C54:L54">
    <cfRule type="expression" priority="11" dxfId="0">
      <formula>AND(ISNUMBER(C54),C54&lt;0.4)</formula>
    </cfRule>
  </conditionalFormatting>
  <conditionalFormatting sqref="C55:L55">
    <cfRule type="expression" priority="12" dxfId="0">
      <formula>AND(ISNUMBER(C55),C55&lt;0.15)</formula>
    </cfRule>
  </conditionalFormatting>
  <conditionalFormatting sqref="C56:L56">
    <cfRule type="expression" priority="13" dxfId="0">
      <formula>AND(ISNUMBER(C56),C56&lt;0.1)</formula>
    </cfRule>
  </conditionalFormatting>
  <conditionalFormatting sqref="C64:L64">
    <cfRule type="expression" priority="14" dxfId="0">
      <formula>AND(ISNUMBER(C64),C64&lt;1.0)</formula>
    </cfRule>
  </conditionalFormatting>
  <conditionalFormatting sqref="C65:L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4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53" t="inlineStr">
        <is>
          <t>공시일</t>
        </is>
      </c>
      <c r="B3" s="53" t="inlineStr">
        <is>
          <t>문서</t>
        </is>
      </c>
      <c r="C3" s="53" t="inlineStr">
        <is>
          <t>PDF</t>
        </is>
      </c>
    </row>
    <row r="4">
      <c r="A4" t="inlineStr">
        <is>
          <t>2026-07-28</t>
        </is>
      </c>
      <c r="B4" t="inlineStr">
        <is>
          <t>2027년 3월 결산기 1분기 결산단신</t>
        </is>
      </c>
      <c r="C4" t="inlineStr">
        <is>
          <t>https://www2.jpx.co.jp/disc/68610/140120260717595564.pdf</t>
        </is>
      </c>
    </row>
    <row r="5">
      <c r="A5" t="inlineStr">
        <is>
          <t>2026-04-24</t>
        </is>
      </c>
      <c r="B5" t="inlineStr">
        <is>
          <t>2026년 3월 결산기 연간 결산단신</t>
        </is>
      </c>
      <c r="C5" t="inlineStr">
        <is>
          <t>https://www2.jpx.co.jp/disc/68610/140120260418506301.pdf</t>
        </is>
      </c>
    </row>
    <row r="6">
      <c r="A6" t="inlineStr">
        <is>
          <t>2026-01-29</t>
        </is>
      </c>
      <c r="B6" t="inlineStr">
        <is>
          <t>2026년 3월 결산기 3분기 결산단신</t>
        </is>
      </c>
      <c r="C6" t="inlineStr">
        <is>
          <t>https://www2.jpx.co.jp/disc/68610/140120260123537908.pdf</t>
        </is>
      </c>
    </row>
    <row r="7">
      <c r="A7" t="inlineStr">
        <is>
          <t>2025-10-29</t>
        </is>
      </c>
      <c r="B7" t="inlineStr">
        <is>
          <t>2026년 3월 결산기 2분기 결산단신</t>
        </is>
      </c>
      <c r="C7" t="inlineStr">
        <is>
          <t>https://www2.jpx.co.jp/disc/68610/140120251026578934.pdf</t>
        </is>
      </c>
    </row>
    <row r="8">
      <c r="A8" t="inlineStr">
        <is>
          <t>2025-07-29</t>
        </is>
      </c>
      <c r="B8" t="inlineStr">
        <is>
          <t>2026년 3월 결산기 1분기 결산단신</t>
        </is>
      </c>
      <c r="C8" t="inlineStr">
        <is>
          <t>https://www2.jpx.co.jp/disc/68610/140120250724520054.pdf</t>
        </is>
      </c>
    </row>
    <row r="9">
      <c r="A9" t="inlineStr">
        <is>
          <t>2025-04-25</t>
        </is>
      </c>
      <c r="B9" t="inlineStr">
        <is>
          <t>2025년 3월 결산기 연간 결산단신</t>
        </is>
      </c>
      <c r="C9" t="inlineStr">
        <is>
          <t>https://www2.jpx.co.jp/disc/68610/140120250422520237.pdf</t>
        </is>
      </c>
    </row>
    <row r="10">
      <c r="A10" t="inlineStr">
        <is>
          <t>2025-01-31</t>
        </is>
      </c>
      <c r="B10" t="inlineStr">
        <is>
          <t>2025년 3월 결산기 3분기 결산단신</t>
        </is>
      </c>
      <c r="C10" t="inlineStr">
        <is>
          <t>https://www2.jpx.co.jp/disc/68610/140120241218540581.pdf</t>
        </is>
      </c>
    </row>
    <row r="11">
      <c r="A11" t="inlineStr">
        <is>
          <t>2024-10-29</t>
        </is>
      </c>
      <c r="B11" t="inlineStr">
        <is>
          <t>2025년 3월 결산기 2분기 결산단신</t>
        </is>
      </c>
      <c r="C11" t="inlineStr">
        <is>
          <t>https://www2.jpx.co.jp/disc/68610/140120241025503102.pdf</t>
        </is>
      </c>
    </row>
    <row r="12">
      <c r="A12" t="inlineStr">
        <is>
          <t>2024-07-26</t>
        </is>
      </c>
      <c r="B12" t="inlineStr">
        <is>
          <t>2025년 3월 결산기 1분기 결산단신</t>
        </is>
      </c>
      <c r="C12" t="inlineStr">
        <is>
          <t>https://www2.jpx.co.jp/disc/68610/140120240724554357.pdf</t>
        </is>
      </c>
    </row>
    <row r="13">
      <c r="A13" t="inlineStr">
        <is>
          <t>2024-04-25</t>
        </is>
      </c>
      <c r="B13" t="inlineStr">
        <is>
          <t>2024년 3월 결산기 연간 결산단신</t>
        </is>
      </c>
      <c r="C13" t="inlineStr">
        <is>
          <t>https://www2.jpx.co.jp/disc/68610/140120240422574265.pdf</t>
        </is>
      </c>
    </row>
    <row r="14">
      <c r="A14" t="inlineStr">
        <is>
          <t>2024-02-02</t>
        </is>
      </c>
      <c r="B14" t="inlineStr">
        <is>
          <t>2024년 3월 결산기 3분기 결산단신</t>
        </is>
      </c>
      <c r="C14" t="inlineStr">
        <is>
          <t>https://www2.jpx.co.jp/disc/68610/140120240130522378.pdf</t>
        </is>
      </c>
    </row>
    <row r="15">
      <c r="A15" t="inlineStr">
        <is>
          <t>2023-10-27</t>
        </is>
      </c>
      <c r="B15" t="inlineStr">
        <is>
          <t>2024년 3월 결산기 2분기 결산단신</t>
        </is>
      </c>
      <c r="C15" t="inlineStr">
        <is>
          <t>https://www2.jpx.co.jp/disc/68610/140120231022569679.pdf</t>
        </is>
      </c>
    </row>
    <row r="16">
      <c r="A16" t="inlineStr">
        <is>
          <t>2023-07-28</t>
        </is>
      </c>
      <c r="B16" t="inlineStr">
        <is>
          <t>2024년 3월 결산기 1분기 결산단신</t>
        </is>
      </c>
      <c r="C16" t="inlineStr">
        <is>
          <t>https://www2.jpx.co.jp/disc/68610/140120230726527657.pdf</t>
        </is>
      </c>
    </row>
    <row r="17">
      <c r="A17" t="inlineStr">
        <is>
          <t>2023-04-27</t>
        </is>
      </c>
      <c r="B17" t="inlineStr">
        <is>
          <t>2023년 3월 결산기 연간 결산단신</t>
        </is>
      </c>
      <c r="C17" t="inlineStr">
        <is>
          <t>https://www2.jpx.co.jp/disc/68610/140120230422551105.pdf</t>
        </is>
      </c>
    </row>
    <row r="18">
      <c r="A18" t="inlineStr">
        <is>
          <t>2023-02-01</t>
        </is>
      </c>
      <c r="B18" t="inlineStr">
        <is>
          <t>2023년 3월 결산기 3분기 결산단신</t>
        </is>
      </c>
      <c r="C18" t="inlineStr">
        <is>
          <t>https://www2.jpx.co.jp/disc/68610/140120230126594370.pdf</t>
        </is>
      </c>
    </row>
    <row r="19">
      <c r="A19" t="inlineStr">
        <is>
          <t>2022-10-28</t>
        </is>
      </c>
      <c r="B19" t="inlineStr">
        <is>
          <t>2023년 3월 결산기 2분기 결산단신</t>
        </is>
      </c>
      <c r="C19" t="inlineStr">
        <is>
          <t>https://www2.jpx.co.jp/disc/68610/140120221024548369.pdf</t>
        </is>
      </c>
    </row>
    <row r="20">
      <c r="A20" t="inlineStr">
        <is>
          <t>2022-04-27</t>
        </is>
      </c>
      <c r="B20" t="inlineStr">
        <is>
          <t>2022년 3월 결산기 연간 결산단신</t>
        </is>
      </c>
      <c r="C20" t="inlineStr">
        <is>
          <t>https://www2.jpx.co.jp/disc/68610/140120220416522787.pdf</t>
        </is>
      </c>
    </row>
    <row r="21">
      <c r="A21" t="inlineStr">
        <is>
          <t>2021-04-28</t>
        </is>
      </c>
      <c r="B21" t="inlineStr">
        <is>
          <t>2021년 3월 결산기 연간 결산단신</t>
        </is>
      </c>
      <c r="C21" t="inlineStr">
        <is>
          <t>https://www2.jpx.co.jp/disc/68610/140120210401488727.pdf</t>
        </is>
      </c>
    </row>
    <row r="22">
      <c r="A22" t="inlineStr">
        <is>
          <t>2020-04-28</t>
        </is>
      </c>
      <c r="B22" t="inlineStr">
        <is>
          <t>2020년 3월 결산기 연간 결산단신</t>
        </is>
      </c>
      <c r="C22" t="inlineStr">
        <is>
          <t>https://www2.jpx.co.jp/disc/68610/140120200408491301.pdf</t>
        </is>
      </c>
    </row>
    <row r="23">
      <c r="A23" t="inlineStr">
        <is>
          <t>2019-04-24</t>
        </is>
      </c>
      <c r="B23" t="inlineStr">
        <is>
          <t>2019년 3월 결산기 연간 결산단신</t>
        </is>
      </c>
      <c r="C23" t="inlineStr">
        <is>
          <t>https://www2.jpx.co.jp/disc/68610/140120190418406690.pdf</t>
        </is>
      </c>
    </row>
    <row r="24">
      <c r="A24" t="inlineStr">
        <is>
          <t>2018-04-26</t>
        </is>
      </c>
      <c r="B24" t="inlineStr">
        <is>
          <t>연간 결산단신</t>
        </is>
      </c>
      <c r="C24" t="inlineStr">
        <is>
          <t>https://www2.jpx.co.jp/disc/68610/140120180416412789.pdf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2026-10-26T10:58:11Z</dcterms:created>
  <dcterms:modified xmlns:dcterms="http://purl.org/dc/terms/" xmlns:xsi="http://www.w3.org/2001/XMLSchema-instance" xsi:type="dcterms:W3CDTF">2026-10-26T10:58:12Z</dcterms:modified>
</cp:coreProperties>
</file>