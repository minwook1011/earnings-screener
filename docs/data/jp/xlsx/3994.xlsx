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3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머니포워드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11월 결산 · 일본 기준 · 2026.3Q = 2026년 11월 결산기 3분기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2023.4Q</t>
        </is>
      </c>
      <c r="D3" s="5" t="inlineStr">
        <is>
          <t>2024.1Q</t>
        </is>
      </c>
      <c r="E3" s="5" t="inlineStr">
        <is>
          <t>2024.2Q</t>
        </is>
      </c>
      <c r="F3" s="5" t="inlineStr">
        <is>
          <t>2024.3Q</t>
        </is>
      </c>
      <c r="G3" s="5" t="inlineStr">
        <is>
          <t>2024.4Q</t>
        </is>
      </c>
      <c r="H3" s="5" t="inlineStr">
        <is>
          <t>2025.1Q</t>
        </is>
      </c>
      <c r="I3" s="5" t="inlineStr">
        <is>
          <t>2025.2Q</t>
        </is>
      </c>
      <c r="J3" s="5" t="inlineStr">
        <is>
          <t>2025.3Q</t>
        </is>
      </c>
      <c r="K3" s="5" t="inlineStr">
        <is>
          <t>2025.4Q</t>
        </is>
      </c>
      <c r="L3" s="5" t="inlineStr">
        <is>
          <t>2026.1Q</t>
        </is>
      </c>
      <c r="M3" s="5" t="inlineStr">
        <is>
          <t>2026.2Q</t>
        </is>
      </c>
      <c r="N3" s="5" t="inlineStr">
        <is>
          <t>2026.3Q</t>
        </is>
      </c>
      <c r="O3" s="6" t="inlineStr">
        <is>
          <t>2016</t>
        </is>
      </c>
      <c r="P3" s="5" t="inlineStr">
        <is>
          <t>2017</t>
        </is>
      </c>
      <c r="Q3" s="5" t="inlineStr">
        <is>
          <t>2018</t>
        </is>
      </c>
      <c r="R3" s="5" t="inlineStr">
        <is>
          <t>2019</t>
        </is>
      </c>
      <c r="S3" s="5" t="inlineStr">
        <is>
          <t>2020</t>
        </is>
      </c>
      <c r="T3" s="5" t="inlineStr">
        <is>
          <t>2021</t>
        </is>
      </c>
      <c r="U3" s="5" t="inlineStr">
        <is>
          <t>2022</t>
        </is>
      </c>
      <c r="V3" s="5" t="inlineStr">
        <is>
          <t>2023</t>
        </is>
      </c>
      <c r="W3" s="5" t="inlineStr">
        <is>
          <t>2024</t>
        </is>
      </c>
      <c r="X3" s="5" t="inlineStr">
        <is>
          <t>2025</t>
        </is>
      </c>
      <c r="Y3" s="7" t="inlineStr">
        <is>
          <t>2026(MW)</t>
        </is>
      </c>
      <c r="Z3" s="8" t="inlineStr">
        <is>
          <t>2027(MW)</t>
        </is>
      </c>
      <c r="AA3" s="8" t="inlineStr">
        <is>
          <t>2028(MW)</t>
        </is>
      </c>
      <c r="AB3" s="8" t="inlineStr">
        <is>
          <t>2029(MW)</t>
        </is>
      </c>
      <c r="AC3" s="8" t="inlineStr">
        <is>
          <t>2030(MW)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8796.512000000001</v>
      </c>
      <c r="D4" s="12" t="n">
        <v>9544.098</v>
      </c>
      <c r="E4" s="12" t="n">
        <v>10320.352</v>
      </c>
      <c r="F4" s="12" t="n">
        <v>9809.112999999999</v>
      </c>
      <c r="G4" s="12" t="n">
        <v>10690.274</v>
      </c>
      <c r="H4" s="12" t="n">
        <v>11706.875</v>
      </c>
      <c r="I4" s="12" t="n">
        <v>11530.411</v>
      </c>
      <c r="J4" s="12" t="n">
        <v>12069.209</v>
      </c>
      <c r="K4" s="12" t="n">
        <v>15043.448</v>
      </c>
      <c r="L4" s="12" t="n">
        <v>14670.082</v>
      </c>
      <c r="M4" s="12" t="n">
        <v>14322.475</v>
      </c>
      <c r="N4" s="12" t="n">
        <v>17916.189</v>
      </c>
      <c r="O4" s="11" t="n"/>
      <c r="P4" s="12" t="n">
        <v>2899.548</v>
      </c>
      <c r="Q4" s="12" t="n">
        <v>4594.789</v>
      </c>
      <c r="R4" s="12" t="n">
        <v>7156.784</v>
      </c>
      <c r="S4" s="12" t="n">
        <v>11318.217</v>
      </c>
      <c r="T4" s="12" t="n">
        <v>15632.601</v>
      </c>
      <c r="U4" s="12" t="n">
        <v>21477.195</v>
      </c>
      <c r="V4" s="12" t="n">
        <v>30380.629</v>
      </c>
      <c r="W4" s="12" t="n">
        <v>40363.837</v>
      </c>
      <c r="X4" s="12" t="n">
        <v>50349.943</v>
      </c>
      <c r="Y4" s="11">
        <f>IF(COUNT(Y7,Y10,Y13,Y16,Y19,Y22,Y25)=0,"",SUM(Y7,Y10,Y13,Y16,Y19,Y22,Y25))</f>
        <v/>
      </c>
      <c r="Z4" s="12">
        <f>IF(COUNT(Z7,Z10,Z13,Z16,Z19,Z22,Z25)=0,"",SUM(Z7,Z10,Z13,Z16,Z19,Z22,Z25))</f>
        <v/>
      </c>
      <c r="AA4" s="12">
        <f>IF(COUNT(AA7,AA10,AA13,AA16,AA19,AA22,AA25)=0,"",SUM(AA7,AA10,AA13,AA16,AA19,AA22,AA25))</f>
        <v/>
      </c>
      <c r="AB4" s="12">
        <f>IF(COUNT(AB7,AB10,AB13,AB16,AB19,AB22,AB25)=0,"",SUM(AB7,AB10,AB13,AB16,AB19,AB22,AB25))</f>
        <v/>
      </c>
      <c r="AC4" s="12">
        <f>IF(COUNT(AC7,AC10,AC13,AC16,AC19,AC22,AC25)=0,"",SUM(AC7,AC10,AC13,AC16,AC19,AC22,AC25))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BusinessReportableSegmentMember</t>
        </is>
      </c>
      <c r="B7" s="10" t="n"/>
      <c r="C7" s="19" t="n"/>
      <c r="D7" s="20" t="n">
        <v>6439.861</v>
      </c>
      <c r="E7" s="20" t="n">
        <v>6524.809</v>
      </c>
      <c r="F7" s="20" t="n">
        <v>6649.741</v>
      </c>
      <c r="G7" s="20" t="n">
        <v>7416.522</v>
      </c>
      <c r="H7" s="20" t="n">
        <v>7805.601</v>
      </c>
      <c r="I7" s="20" t="n">
        <v>8369.23</v>
      </c>
      <c r="J7" s="20" t="n">
        <v>8740.335999999999</v>
      </c>
      <c r="K7" s="20" t="n">
        <v>11135.35</v>
      </c>
      <c r="L7" s="20" t="n">
        <v>12375.325</v>
      </c>
      <c r="M7" s="20" t="n">
        <v>11791.168</v>
      </c>
      <c r="N7" s="20" t="n">
        <v>13311.533</v>
      </c>
      <c r="O7" s="19" t="n"/>
      <c r="P7" s="20" t="n"/>
      <c r="Q7" s="20" t="n"/>
      <c r="R7" s="20" t="n"/>
      <c r="S7" s="20" t="n"/>
      <c r="T7" s="20" t="n"/>
      <c r="U7" s="20" t="n"/>
      <c r="V7" s="20" t="n"/>
      <c r="W7" s="20" t="n">
        <v>27030.933</v>
      </c>
      <c r="X7" s="20" t="n">
        <v>36050.517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SaaSMarketingReportableSegmentMember</t>
        </is>
      </c>
      <c r="B10" s="10" t="n"/>
      <c r="C10" s="19" t="n"/>
      <c r="D10" s="20" t="n">
        <v>1157.121</v>
      </c>
      <c r="E10" s="20" t="n">
        <v>1288.546</v>
      </c>
      <c r="F10" s="20" t="n">
        <v>1251.396</v>
      </c>
      <c r="G10" s="20" t="n">
        <v>1284.73</v>
      </c>
      <c r="H10" s="20" t="n">
        <v>1241.891</v>
      </c>
      <c r="I10" s="20" t="n">
        <v>1261.514</v>
      </c>
      <c r="J10" s="20" t="n">
        <v>1272.288</v>
      </c>
      <c r="K10" s="20" t="n">
        <v>963.627</v>
      </c>
      <c r="L10" s="20" t="n"/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>
        <v>4981.793</v>
      </c>
      <c r="X10" s="20" t="n">
        <v>4739.32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HOMEReportableSegmentMember</t>
        </is>
      </c>
      <c r="B13" s="10" t="n"/>
      <c r="C13" s="19" t="n"/>
      <c r="D13" s="20" t="n">
        <v>1088.573</v>
      </c>
      <c r="E13" s="20" t="n">
        <v>1204.129</v>
      </c>
      <c r="F13" s="20" t="n">
        <v>1166.843</v>
      </c>
      <c r="G13" s="20" t="n">
        <v>1267.238</v>
      </c>
      <c r="H13" s="20" t="n">
        <v>1203.853</v>
      </c>
      <c r="I13" s="20" t="n">
        <v>1148.909</v>
      </c>
      <c r="J13" s="20" t="n">
        <v>1091.034</v>
      </c>
      <c r="K13" s="20" t="n">
        <v>1294.022</v>
      </c>
      <c r="L13" s="20" t="n">
        <v>1257.197</v>
      </c>
      <c r="M13" s="20" t="n">
        <v>1303.583</v>
      </c>
      <c r="N13" s="20" t="n">
        <v>1342.062</v>
      </c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>
        <v>4726.783</v>
      </c>
      <c r="X13" s="20" t="n">
        <v>4737.818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XReportableSegmentMember</t>
        </is>
      </c>
      <c r="B16" s="10" t="n"/>
      <c r="C16" s="19" t="n"/>
      <c r="D16" s="20" t="n">
        <v>660.115</v>
      </c>
      <c r="E16" s="20" t="n">
        <v>736.1950000000001</v>
      </c>
      <c r="F16" s="20" t="n">
        <v>738.976</v>
      </c>
      <c r="G16" s="20" t="n">
        <v>719.2809999999999</v>
      </c>
      <c r="H16" s="20" t="n">
        <v>688.92</v>
      </c>
      <c r="I16" s="20" t="n">
        <v>716.704</v>
      </c>
      <c r="J16" s="20" t="n">
        <v>799.785</v>
      </c>
      <c r="K16" s="20" t="n">
        <v>933.954</v>
      </c>
      <c r="L16" s="20" t="n">
        <v>933.6130000000001</v>
      </c>
      <c r="M16" s="20" t="n">
        <v>1085.476</v>
      </c>
      <c r="N16" s="20" t="n">
        <v>927.6130000000001</v>
      </c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>
        <v>2854.567</v>
      </c>
      <c r="X16" s="20" t="n">
        <v>3139.363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FinanceReportableSegmentMember</t>
        </is>
      </c>
      <c r="B19" s="10" t="n"/>
      <c r="C19" s="19" t="n"/>
      <c r="D19" s="20" t="n">
        <v>197.848</v>
      </c>
      <c r="E19" s="20" t="n">
        <v>566.41</v>
      </c>
      <c r="F19" s="20" t="n">
        <v>0.6</v>
      </c>
      <c r="G19" s="20" t="n">
        <v>0.9</v>
      </c>
      <c r="H19" s="20" t="n">
        <v>752.6420000000001</v>
      </c>
      <c r="I19" s="20" t="n">
        <v>1.007</v>
      </c>
      <c r="J19" s="20" t="n">
        <v>139.346</v>
      </c>
      <c r="K19" s="20" t="n">
        <v>656.853</v>
      </c>
      <c r="L19" s="20" t="n">
        <v>0.75</v>
      </c>
      <c r="M19" s="20" t="n">
        <v>0.75</v>
      </c>
      <c r="N19" s="20" t="n">
        <v>2135.091</v>
      </c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>
        <v>765.758</v>
      </c>
      <c r="X19" s="20" t="n">
        <v>1549.848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기타</t>
        </is>
      </c>
      <c r="B22" s="10" t="n"/>
      <c r="C22" s="19" t="n"/>
      <c r="D22" s="20" t="n">
        <v>0.578</v>
      </c>
      <c r="E22" s="20" t="n"/>
      <c r="F22" s="20" t="n"/>
      <c r="G22" s="20" t="n"/>
      <c r="H22" s="20" t="n">
        <v>13.966</v>
      </c>
      <c r="I22" s="20" t="n"/>
      <c r="J22" s="20" t="n"/>
      <c r="K22" s="20" t="n"/>
      <c r="L22" s="20" t="n"/>
      <c r="M22" s="20" t="n"/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EntityTotalMember</t>
        </is>
      </c>
      <c r="B25" s="10" t="n"/>
      <c r="C25" s="19" t="n"/>
      <c r="D25" s="20" t="n"/>
      <c r="E25" s="20" t="n"/>
      <c r="F25" s="20" t="n"/>
      <c r="G25" s="20" t="n"/>
      <c r="H25" s="20" t="n">
        <v>11706.875</v>
      </c>
      <c r="I25" s="20" t="n"/>
      <c r="J25" s="20" t="n"/>
      <c r="K25" s="20" t="n"/>
      <c r="L25" s="20" t="n">
        <v>14670.082</v>
      </c>
      <c r="M25" s="20" t="n"/>
      <c r="N25" s="20" t="n"/>
      <c r="O25" s="19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매출원가</t>
        </is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18" t="inlineStr">
        <is>
          <t>전체 매출원가</t>
        </is>
      </c>
      <c r="B29" s="10" t="n"/>
      <c r="C29" s="19" t="n">
        <v>3309.614</v>
      </c>
      <c r="D29" s="20" t="n">
        <v>3004.245</v>
      </c>
      <c r="E29" s="20" t="n">
        <v>3468.631</v>
      </c>
      <c r="F29" s="20" t="n">
        <v>3274.851</v>
      </c>
      <c r="G29" s="20" t="n">
        <v>3555.665</v>
      </c>
      <c r="H29" s="20" t="n">
        <v>3680.643</v>
      </c>
      <c r="I29" s="20" t="n">
        <v>3910.143</v>
      </c>
      <c r="J29" s="20" t="n">
        <v>3786.369</v>
      </c>
      <c r="K29" s="20" t="n">
        <v>4742.243</v>
      </c>
      <c r="L29" s="20" t="n">
        <v>4020.24</v>
      </c>
      <c r="M29" s="20" t="n">
        <v>4924.507</v>
      </c>
      <c r="N29" s="20" t="n">
        <v>5578.259</v>
      </c>
      <c r="O29" s="19" t="n"/>
      <c r="P29" s="20" t="n">
        <v>959.063</v>
      </c>
      <c r="Q29" s="20" t="n">
        <v>1811.91</v>
      </c>
      <c r="R29" s="20" t="n">
        <v>2832.672</v>
      </c>
      <c r="S29" s="20" t="n">
        <v>3700.849</v>
      </c>
      <c r="T29" s="20" t="n">
        <v>4814.024</v>
      </c>
      <c r="U29" s="20" t="n">
        <v>8079.469</v>
      </c>
      <c r="V29" s="20" t="n">
        <v>11298.423</v>
      </c>
      <c r="W29" s="20" t="n">
        <v>13303.392</v>
      </c>
      <c r="X29" s="20" t="n">
        <v>16119.398</v>
      </c>
      <c r="Y29" s="19" t="n"/>
      <c r="Z29" s="20" t="n"/>
      <c r="AA29" s="20" t="n"/>
      <c r="AB29" s="20" t="n"/>
      <c r="AC29" s="20" t="n"/>
    </row>
    <row r="30">
      <c r="A30" s="18" t="inlineStr">
        <is>
          <t>매출총이익</t>
        </is>
      </c>
      <c r="B30" s="10" t="n"/>
      <c r="C30" s="19">
        <f>IF(OR(C4="",C29=""),"",IFERROR(C4-C29,""))</f>
        <v/>
      </c>
      <c r="D30" s="20">
        <f>IF(OR(D4="",D29=""),"",IFERROR(D4-D29,""))</f>
        <v/>
      </c>
      <c r="E30" s="20">
        <f>IF(OR(E4="",E29=""),"",IFERROR(E4-E29,""))</f>
        <v/>
      </c>
      <c r="F30" s="20">
        <f>IF(OR(F4="",F29=""),"",IFERROR(F4-F29,""))</f>
        <v/>
      </c>
      <c r="G30" s="20">
        <f>IF(OR(G4="",G29=""),"",IFERROR(G4-G29,""))</f>
        <v/>
      </c>
      <c r="H30" s="20">
        <f>IF(OR(H4="",H29=""),"",IFERROR(H4-H29,""))</f>
        <v/>
      </c>
      <c r="I30" s="20">
        <f>IF(OR(I4="",I29=""),"",IFERROR(I4-I29,""))</f>
        <v/>
      </c>
      <c r="J30" s="20">
        <f>IF(OR(J4="",J29=""),"",IFERROR(J4-J29,""))</f>
        <v/>
      </c>
      <c r="K30" s="20">
        <f>IF(OR(K4="",K29=""),"",IFERROR(K4-K29,""))</f>
        <v/>
      </c>
      <c r="L30" s="20">
        <f>IF(OR(L4="",L29=""),"",IFERROR(L4-L29,""))</f>
        <v/>
      </c>
      <c r="M30" s="20">
        <f>IF(OR(M4="",M29=""),"",IFERROR(M4-M29,""))</f>
        <v/>
      </c>
      <c r="N30" s="20">
        <f>IF(OR(N4="",N29=""),"",IFERROR(N4-N29,""))</f>
        <v/>
      </c>
      <c r="O30" s="19">
        <f>IF(OR(O4="",O29=""),"",IFERROR(O4-O29,""))</f>
        <v/>
      </c>
      <c r="P30" s="20">
        <f>IF(OR(P4="",P29=""),"",IFERROR(P4-P29,""))</f>
        <v/>
      </c>
      <c r="Q30" s="20">
        <f>IF(OR(Q4="",Q29=""),"",IFERROR(Q4-Q29,""))</f>
        <v/>
      </c>
      <c r="R30" s="20">
        <f>IF(OR(R4="",R29=""),"",IFERROR(R4-R29,""))</f>
        <v/>
      </c>
      <c r="S30" s="20">
        <f>IF(OR(S4="",S29=""),"",IFERROR(S4-S29,""))</f>
        <v/>
      </c>
      <c r="T30" s="20">
        <f>IF(OR(T4="",T29=""),"",IFERROR(T4-T29,""))</f>
        <v/>
      </c>
      <c r="U30" s="20">
        <f>IF(OR(U4="",U29=""),"",IFERROR(U4-U29,""))</f>
        <v/>
      </c>
      <c r="V30" s="20">
        <f>IF(OR(V4="",V29=""),"",IFERROR(V4-V29,""))</f>
        <v/>
      </c>
      <c r="W30" s="20">
        <f>IF(OR(W4="",W29=""),"",IFERROR(W4-W29,""))</f>
        <v/>
      </c>
      <c r="X30" s="20">
        <f>IF(OR(X4="",X29=""),"",IFERROR(X4-X29,""))</f>
        <v/>
      </c>
      <c r="Y30" s="19" t="n"/>
      <c r="Z30" s="20" t="n"/>
      <c r="AA30" s="20" t="n"/>
      <c r="AB30" s="20" t="n"/>
      <c r="AC30" s="20" t="n"/>
    </row>
    <row r="31">
      <c r="A31" s="13" t="inlineStr">
        <is>
          <t>GPM</t>
        </is>
      </c>
      <c r="B31" s="10" t="n"/>
      <c r="C31" s="14">
        <f>IF(OR(C30="",C4=""),"",IFERROR(C30/C4,""))</f>
        <v/>
      </c>
      <c r="D31" s="15">
        <f>IF(OR(D30="",D4=""),"",IFERROR(D30/D4,""))</f>
        <v/>
      </c>
      <c r="E31" s="15">
        <f>IF(OR(E30="",E4=""),"",IFERROR(E30/E4,""))</f>
        <v/>
      </c>
      <c r="F31" s="15">
        <f>IF(OR(F30="",F4=""),"",IFERROR(F30/F4,""))</f>
        <v/>
      </c>
      <c r="G31" s="15">
        <f>IF(OR(G30="",G4=""),"",IFERROR(G30/G4,""))</f>
        <v/>
      </c>
      <c r="H31" s="15">
        <f>IF(OR(H30="",H4=""),"",IFERROR(H30/H4,""))</f>
        <v/>
      </c>
      <c r="I31" s="15">
        <f>IF(OR(I30="",I4=""),"",IFERROR(I30/I4,""))</f>
        <v/>
      </c>
      <c r="J31" s="15">
        <f>IF(OR(J30="",J4=""),"",IFERROR(J30/J4,""))</f>
        <v/>
      </c>
      <c r="K31" s="15">
        <f>IF(OR(K30="",K4=""),"",IFERROR(K30/K4,""))</f>
        <v/>
      </c>
      <c r="L31" s="15">
        <f>IF(OR(L30="",L4=""),"",IFERROR(L30/L4,""))</f>
        <v/>
      </c>
      <c r="M31" s="15">
        <f>IF(OR(M30="",M4=""),"",IFERROR(M30/M4,""))</f>
        <v/>
      </c>
      <c r="N31" s="15">
        <f>IF(OR(N30="",N4=""),"",IFERROR(N30/N4,""))</f>
        <v/>
      </c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>
        <f>IF(OR(Y30="",Y4=""),"",IFERROR(Y30/Y4,""))</f>
        <v/>
      </c>
      <c r="Z31" s="15">
        <f>IF(OR(Z30="",Z4=""),"",IFERROR(Z30/Z4,""))</f>
        <v/>
      </c>
      <c r="AA31" s="15">
        <f>IF(OR(AA30="",AA4=""),"",IFERROR(AA30/AA4,""))</f>
        <v/>
      </c>
      <c r="AB31" s="15">
        <f>IF(OR(AB30="",AB4=""),"",IFERROR(AB30/AB4,""))</f>
        <v/>
      </c>
      <c r="AC31" s="15">
        <f>IF(OR(AC30="",AC4=""),"",IFERROR(AC30/AC4,""))</f>
        <v/>
      </c>
    </row>
    <row r="32">
      <c r="A32" s="23" t="inlineStr">
        <is>
          <t>판매관리비</t>
        </is>
      </c>
      <c r="B32" s="23" t="n"/>
      <c r="C32" s="24" t="n"/>
      <c r="D32" s="23" t="n"/>
      <c r="E32" s="23" t="n"/>
      <c r="F32" s="23" t="n"/>
      <c r="G32" s="23" t="n"/>
      <c r="H32" s="23" t="n"/>
      <c r="I32" s="23" t="n"/>
      <c r="J32" s="23" t="n"/>
      <c r="K32" s="23" t="n"/>
      <c r="L32" s="23" t="n"/>
      <c r="M32" s="23" t="n"/>
      <c r="N32" s="23" t="n"/>
      <c r="O32" s="24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4" t="n"/>
      <c r="Z32" s="23" t="n"/>
      <c r="AA32" s="23" t="n"/>
      <c r="AB32" s="23" t="n"/>
      <c r="AC32" s="23" t="n"/>
    </row>
    <row r="33">
      <c r="A33" s="18" t="inlineStr">
        <is>
          <t>전체 판관비</t>
        </is>
      </c>
      <c r="B33" s="10" t="n"/>
      <c r="C33" s="19" t="n">
        <v>7252.078</v>
      </c>
      <c r="D33" s="20" t="n">
        <v>7532.417</v>
      </c>
      <c r="E33" s="20" t="n">
        <v>7686.735</v>
      </c>
      <c r="F33" s="20" t="n">
        <v>7543.798</v>
      </c>
      <c r="G33" s="20" t="n">
        <v>9032.638000000001</v>
      </c>
      <c r="H33" s="20" t="n">
        <v>8606.963</v>
      </c>
      <c r="I33" s="20" t="n">
        <v>8632.405000000001</v>
      </c>
      <c r="J33" s="20" t="n">
        <v>8669.549999999999</v>
      </c>
      <c r="K33" s="20" t="n">
        <v>10975.023</v>
      </c>
      <c r="L33" s="20" t="n">
        <v>10481.815</v>
      </c>
      <c r="M33" s="20" t="n">
        <v>9775.114</v>
      </c>
      <c r="N33" s="20" t="n">
        <v>10442.432</v>
      </c>
      <c r="O33" s="19" t="n"/>
      <c r="P33" s="20" t="n">
        <v>2737.783</v>
      </c>
      <c r="Q33" s="20" t="n">
        <v>3579.07</v>
      </c>
      <c r="R33" s="20" t="n">
        <v>6770.263</v>
      </c>
      <c r="S33" s="20" t="n">
        <v>10422.15</v>
      </c>
      <c r="T33" s="20" t="n">
        <v>11880.838</v>
      </c>
      <c r="U33" s="20" t="n">
        <v>21867.022</v>
      </c>
      <c r="V33" s="20" t="n">
        <v>25412.008</v>
      </c>
      <c r="W33" s="20" t="n">
        <v>31795.588</v>
      </c>
      <c r="X33" s="20" t="n">
        <v>36883.941</v>
      </c>
      <c r="Y33" s="19" t="n"/>
      <c r="Z33" s="20" t="n"/>
      <c r="AA33" s="20" t="n"/>
      <c r="AB33" s="20" t="n"/>
      <c r="AC33" s="20" t="n"/>
    </row>
    <row r="34">
      <c r="A34" s="9" t="inlineStr">
        <is>
          <t>영업이익</t>
        </is>
      </c>
      <c r="B34" s="10" t="inlineStr">
        <is>
          <t>MW = 매출 × OPM</t>
        </is>
      </c>
      <c r="C34" s="11" t="n">
        <v>-1765.18</v>
      </c>
      <c r="D34" s="12" t="n">
        <v>-992.564</v>
      </c>
      <c r="E34" s="12" t="n">
        <v>-835.015</v>
      </c>
      <c r="F34" s="12" t="n">
        <v>-1009.535</v>
      </c>
      <c r="G34" s="12" t="n">
        <v>-1898.029</v>
      </c>
      <c r="H34" s="12" t="n">
        <v>-580.73</v>
      </c>
      <c r="I34" s="12" t="n">
        <v>-1012.138</v>
      </c>
      <c r="J34" s="12" t="n">
        <v>-386.71</v>
      </c>
      <c r="K34" s="12" t="n">
        <v>-673.818</v>
      </c>
      <c r="L34" s="12" t="n">
        <v>168.026</v>
      </c>
      <c r="M34" s="12" t="n">
        <v>-377.145</v>
      </c>
      <c r="N34" s="12" t="n">
        <v>1895.497</v>
      </c>
      <c r="O34" s="11" t="n"/>
      <c r="P34" s="12" t="n">
        <v>-797.298</v>
      </c>
      <c r="Q34" s="12" t="n">
        <v>-796.191</v>
      </c>
      <c r="R34" s="12" t="n">
        <v>-2446.151</v>
      </c>
      <c r="S34" s="12" t="n">
        <v>-2804.783</v>
      </c>
      <c r="T34" s="12" t="n">
        <v>-1062.262</v>
      </c>
      <c r="U34" s="12" t="n">
        <v>-8469.297</v>
      </c>
      <c r="V34" s="12" t="n">
        <v>-6329.802</v>
      </c>
      <c r="W34" s="12" t="n">
        <v>-4735.143</v>
      </c>
      <c r="X34" s="12" t="n">
        <v>-2653.396</v>
      </c>
      <c r="Y34" s="11">
        <f>IF(OR(Y4="",Y35=""),"",IFERROR(Y4*Y35,""))</f>
        <v/>
      </c>
      <c r="Z34" s="12">
        <f>IF(OR(Z4="",Z35=""),"",IFERROR(Z4*Z35,""))</f>
        <v/>
      </c>
      <c r="AA34" s="12">
        <f>IF(OR(AA4="",AA35=""),"",IFERROR(AA4*AA35,""))</f>
        <v/>
      </c>
      <c r="AB34" s="12">
        <f>IF(OR(AB4="",AB35=""),"",IFERROR(AB4*AB35,""))</f>
        <v/>
      </c>
      <c r="AC34" s="12">
        <f>IF(OR(AC4="",AC35=""),"",IFERROR(AC4*AC35,""))</f>
        <v/>
      </c>
    </row>
    <row r="35">
      <c r="A35" s="13" t="inlineStr">
        <is>
          <t>OPM</t>
        </is>
      </c>
      <c r="B35" s="10" t="inlineStr">
        <is>
          <t>MW 입력</t>
        </is>
      </c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25" t="n"/>
      <c r="Z35" s="26" t="n"/>
      <c r="AA35" s="26" t="n"/>
      <c r="AB35" s="26" t="n"/>
      <c r="AC35" s="26" t="n"/>
    </row>
    <row r="36">
      <c r="A36" s="13" t="inlineStr">
        <is>
          <t>증가율</t>
        </is>
      </c>
      <c r="B36" s="10" t="n"/>
      <c r="C36" s="14" t="n"/>
      <c r="D36" s="15" t="n"/>
      <c r="E36" s="15" t="n"/>
      <c r="F36" s="15" t="n"/>
      <c r="G36" s="15">
        <f>IF(OR(G34="",C34=""),"",IFERROR(G34/C34-1,""))</f>
        <v/>
      </c>
      <c r="H36" s="15">
        <f>IF(OR(H34="",D34=""),"",IFERROR(H34/D34-1,""))</f>
        <v/>
      </c>
      <c r="I36" s="15">
        <f>IF(OR(I34="",E34=""),"",IFERROR(I34/E34-1,""))</f>
        <v/>
      </c>
      <c r="J36" s="15">
        <f>IF(OR(J34="",F34=""),"",IFERROR(J34/F34-1,""))</f>
        <v/>
      </c>
      <c r="K36" s="15">
        <f>IF(OR(K34="",G34=""),"",IFERROR(K34/G34-1,""))</f>
        <v/>
      </c>
      <c r="L36" s="15">
        <f>IF(OR(L34="",H34=""),"",IFERROR(L34/H34-1,""))</f>
        <v/>
      </c>
      <c r="M36" s="15">
        <f>IF(OR(M34="",I34=""),"",IFERROR(M34/I34-1,""))</f>
        <v/>
      </c>
      <c r="N36" s="15">
        <f>IF(OR(N34="",J34=""),"",IFERROR(N34/J34-1,""))</f>
        <v/>
      </c>
      <c r="O36" s="14" t="n"/>
      <c r="P36" s="15">
        <f>IF(OR(P34="",O34=""),"",IFERROR(P34/O34-1,""))</f>
        <v/>
      </c>
      <c r="Q36" s="15">
        <f>IF(OR(Q34="",P34=""),"",IFERROR(Q34/P34-1,""))</f>
        <v/>
      </c>
      <c r="R36" s="15">
        <f>IF(OR(R34="",Q34=""),"",IFERROR(R34/Q34-1,""))</f>
        <v/>
      </c>
      <c r="S36" s="15">
        <f>IF(OR(S34="",R34=""),"",IFERROR(S34/R34-1,""))</f>
        <v/>
      </c>
      <c r="T36" s="15">
        <f>IF(OR(T34="",S34=""),"",IFERROR(T34/S34-1,""))</f>
        <v/>
      </c>
      <c r="U36" s="15">
        <f>IF(OR(U34="",T34=""),"",IFERROR(U34/T34-1,""))</f>
        <v/>
      </c>
      <c r="V36" s="15">
        <f>IF(OR(V34="",U34=""),"",IFERROR(V34/U34-1,""))</f>
        <v/>
      </c>
      <c r="W36" s="15">
        <f>IF(OR(W34="",V34=""),"",IFERROR(W34/V34-1,""))</f>
        <v/>
      </c>
      <c r="X36" s="15">
        <f>IF(OR(X34="",W34=""),"",IFERROR(X34/W34-1,""))</f>
        <v/>
      </c>
      <c r="Y36" s="14">
        <f>IF(OR(Y34="",X34=""),"",IFERROR(Y34/X34-1,""))</f>
        <v/>
      </c>
      <c r="Z36" s="15">
        <f>IF(OR(Z34="",Y34=""),"",IFERROR(Z34/Y34-1,""))</f>
        <v/>
      </c>
      <c r="AA36" s="15">
        <f>IF(OR(AA34="",Z34=""),"",IFERROR(AA34/Z34-1,""))</f>
        <v/>
      </c>
      <c r="AB36" s="15">
        <f>IF(OR(AB34="",AA34=""),"",IFERROR(AB34/AA34-1,""))</f>
        <v/>
      </c>
      <c r="AC36" s="15">
        <f>IF(OR(AC34="",AB34=""),"",IFERROR(AC34/AB34-1,""))</f>
        <v/>
      </c>
    </row>
    <row r="37">
      <c r="A37" s="16" t="inlineStr">
        <is>
          <t>비용의 성격별 분류</t>
        </is>
      </c>
      <c r="B37" s="16" t="inlineStr">
        <is>
          <t>참고 데이터</t>
        </is>
      </c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9" t="inlineStr">
        <is>
          <t>총 판관비</t>
        </is>
      </c>
      <c r="B38" s="10" t="n"/>
      <c r="C38" s="11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1">
        <f>IF(O33="","",O33)</f>
        <v/>
      </c>
      <c r="P38" s="12">
        <f>IF(P33="","",P33)</f>
        <v/>
      </c>
      <c r="Q38" s="12">
        <f>IF(Q33="","",Q33)</f>
        <v/>
      </c>
      <c r="R38" s="12">
        <f>IF(R33="","",R33)</f>
        <v/>
      </c>
      <c r="S38" s="12">
        <f>IF(S33="","",S33)</f>
        <v/>
      </c>
      <c r="T38" s="12">
        <f>IF(T33="","",T33)</f>
        <v/>
      </c>
      <c r="U38" s="12">
        <f>IF(U33="","",U33)</f>
        <v/>
      </c>
      <c r="V38" s="12">
        <f>IF(V33="","",V33)</f>
        <v/>
      </c>
      <c r="W38" s="12">
        <f>IF(W33="","",W33)</f>
        <v/>
      </c>
      <c r="X38" s="12">
        <f>IF(X33="","",X33)</f>
        <v/>
      </c>
      <c r="Y38" s="11" t="n"/>
      <c r="Z38" s="12" t="n"/>
      <c r="AA38" s="12" t="n"/>
      <c r="AB38" s="12" t="n"/>
      <c r="AC38" s="12" t="n"/>
    </row>
    <row r="39">
      <c r="A39" s="18" t="inlineStr">
        <is>
          <t>급여</t>
        </is>
      </c>
      <c r="B39" s="10" t="inlineStr">
        <is>
          <t>고정비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감가상각비</t>
        </is>
      </c>
      <c r="B41" s="10" t="inlineStr">
        <is>
          <t>고정비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8" t="inlineStr">
        <is>
          <t>지급수수료</t>
        </is>
      </c>
      <c r="B43" s="10" t="inlineStr">
        <is>
          <t>고정비</t>
        </is>
      </c>
      <c r="C43" s="19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19" t="n"/>
      <c r="Z43" s="20" t="n"/>
      <c r="AA43" s="20" t="n"/>
      <c r="AB43" s="20" t="n"/>
      <c r="AC43" s="20" t="n"/>
    </row>
    <row r="44">
      <c r="A44" s="13" t="inlineStr">
        <is>
          <t>% of Sales</t>
        </is>
      </c>
      <c r="B44" s="10" t="n"/>
      <c r="C44" s="14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14" t="n"/>
      <c r="Z44" s="15" t="n"/>
      <c r="AA44" s="15" t="n"/>
      <c r="AB44" s="15" t="n"/>
      <c r="AC44" s="15" t="n"/>
    </row>
    <row r="45">
      <c r="A45" s="18" t="inlineStr">
        <is>
          <t>연구개발비</t>
        </is>
      </c>
      <c r="B45" s="10" t="inlineStr">
        <is>
          <t>변동비</t>
        </is>
      </c>
      <c r="C45" s="19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9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19" t="n"/>
      <c r="Z45" s="20" t="n"/>
      <c r="AA45" s="20" t="n"/>
      <c r="AB45" s="20" t="n"/>
      <c r="AC45" s="20" t="n"/>
    </row>
    <row r="46">
      <c r="A46" s="13" t="inlineStr">
        <is>
          <t>% of Sales</t>
        </is>
      </c>
      <c r="B46" s="10" t="n"/>
      <c r="C46" s="14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14" t="n"/>
      <c r="Z46" s="15" t="n"/>
      <c r="AA46" s="15" t="n"/>
      <c r="AB46" s="15" t="n"/>
      <c r="AC46" s="15" t="n"/>
    </row>
    <row r="47">
      <c r="A47" s="18" t="inlineStr">
        <is>
          <t>기타비용</t>
        </is>
      </c>
      <c r="B47" s="10" t="inlineStr">
        <is>
          <t>변동비</t>
        </is>
      </c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>
        <f>IF(OR(O38="",O39="",O41="",O43="",O45=""),"",IFERROR(O38-O39-O41-O43-O45,""))</f>
        <v/>
      </c>
      <c r="P47" s="20">
        <f>IF(OR(P38="",P39="",P41="",P43="",P45=""),"",IFERROR(P38-P39-P41-P43-P45,""))</f>
        <v/>
      </c>
      <c r="Q47" s="20">
        <f>IF(OR(Q38="",Q39="",Q41="",Q43="",Q45=""),"",IFERROR(Q38-Q39-Q41-Q43-Q45,""))</f>
        <v/>
      </c>
      <c r="R47" s="20">
        <f>IF(OR(R38="",R39="",R41="",R43="",R45=""),"",IFERROR(R38-R39-R41-R43-R45,""))</f>
        <v/>
      </c>
      <c r="S47" s="20">
        <f>IF(OR(S38="",S39="",S41="",S43="",S45=""),"",IFERROR(S38-S39-S41-S43-S45,""))</f>
        <v/>
      </c>
      <c r="T47" s="20">
        <f>IF(OR(T38="",T39="",T41="",T43="",T45=""),"",IFERROR(T38-T39-T41-T43-T45,""))</f>
        <v/>
      </c>
      <c r="U47" s="20">
        <f>IF(OR(U38="",U39="",U41="",U43="",U45=""),"",IFERROR(U38-U39-U41-U43-U45,""))</f>
        <v/>
      </c>
      <c r="V47" s="20">
        <f>IF(OR(V38="",V39="",V41="",V43="",V45=""),"",IFERROR(V38-V39-V41-V43-V45,""))</f>
        <v/>
      </c>
      <c r="W47" s="20">
        <f>IF(OR(W38="",W39="",W41="",W43="",W45=""),"",IFERROR(W38-W39-W41-W43-W45,""))</f>
        <v/>
      </c>
      <c r="X47" s="20">
        <f>IF(OR(X38="",X39="",X41="",X43="",X45=""),"",IFERROR(X38-X39-X41-X43-X45,""))</f>
        <v/>
      </c>
      <c r="Y47" s="19" t="n"/>
      <c r="Z47" s="20" t="n"/>
      <c r="AA47" s="20" t="n"/>
      <c r="AB47" s="20" t="n"/>
      <c r="AC47" s="20" t="n"/>
    </row>
    <row r="48">
      <c r="A48" s="13" t="inlineStr">
        <is>
          <t>% of Sales</t>
        </is>
      </c>
      <c r="B48" s="10" t="n"/>
      <c r="C48" s="14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14" t="n"/>
      <c r="Z48" s="15" t="n"/>
      <c r="AA48" s="15" t="n"/>
      <c r="AB48" s="15" t="n"/>
      <c r="AC48" s="15" t="n"/>
    </row>
    <row r="49">
      <c r="A49" s="16" t="inlineStr">
        <is>
          <t>당기순이익 추정</t>
        </is>
      </c>
      <c r="B49" s="16" t="n"/>
      <c r="C49" s="17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7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7" t="n"/>
      <c r="Z49" s="16" t="n"/>
      <c r="AA49" s="16" t="n"/>
      <c r="AB49" s="16" t="n"/>
      <c r="AC49" s="16" t="n"/>
    </row>
    <row r="50">
      <c r="A50" s="18" t="inlineStr">
        <is>
          <t>특별이익</t>
        </is>
      </c>
      <c r="B50" s="10" t="n"/>
      <c r="C50" s="19" t="n">
        <v>0.256</v>
      </c>
      <c r="D50" s="20" t="n">
        <v>0.28</v>
      </c>
      <c r="E50" s="20" t="n">
        <v>0.004</v>
      </c>
      <c r="F50" s="20" t="n">
        <v>0</v>
      </c>
      <c r="G50" s="20" t="n">
        <v>0.626</v>
      </c>
      <c r="H50" s="20" t="n">
        <v>94.905</v>
      </c>
      <c r="I50" s="20" t="n">
        <v>134.514</v>
      </c>
      <c r="J50" s="20" t="n">
        <v>0.031</v>
      </c>
      <c r="K50" s="20" t="n">
        <v>8254.574000000001</v>
      </c>
      <c r="L50" s="20" t="n">
        <v>2689.749</v>
      </c>
      <c r="M50" s="20" t="n">
        <v>-36.78</v>
      </c>
      <c r="N50" s="20" t="n">
        <v>156.226</v>
      </c>
      <c r="O50" s="19" t="n"/>
      <c r="P50" s="20" t="n">
        <v>0.605</v>
      </c>
      <c r="Q50" s="20" t="n">
        <v>3.778</v>
      </c>
      <c r="R50" s="20" t="n">
        <v>1.901</v>
      </c>
      <c r="S50" s="20" t="n">
        <v>101.79</v>
      </c>
      <c r="T50" s="20" t="n">
        <v>2.462</v>
      </c>
      <c r="U50" s="20" t="n">
        <v>1.07</v>
      </c>
      <c r="V50" s="20" t="n">
        <v>1.535</v>
      </c>
      <c r="W50" s="20" t="n">
        <v>0.91</v>
      </c>
      <c r="X50" s="20" t="n">
        <v>8484.023999999999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inlineStr">
        <is>
          <t>MW = 최근 3년 평균</t>
        </is>
      </c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18" t="inlineStr">
        <is>
          <t>특별손실</t>
        </is>
      </c>
      <c r="B52" s="10" t="n"/>
      <c r="C52" s="19" t="n">
        <v>60.21</v>
      </c>
      <c r="D52" s="20" t="n">
        <v>0.07199999999999999</v>
      </c>
      <c r="E52" s="20" t="n">
        <v>10</v>
      </c>
      <c r="F52" s="20" t="n">
        <v>0.723</v>
      </c>
      <c r="G52" s="20" t="n">
        <v>279.472</v>
      </c>
      <c r="H52" s="20" t="n">
        <v>0</v>
      </c>
      <c r="I52" s="20" t="n">
        <v>24.974</v>
      </c>
      <c r="J52" s="20" t="n">
        <v>540.8150000000001</v>
      </c>
      <c r="K52" s="20" t="n">
        <v>647.383</v>
      </c>
      <c r="L52" s="20" t="n">
        <v>221.086</v>
      </c>
      <c r="M52" s="20" t="n">
        <v>96.905</v>
      </c>
      <c r="N52" s="20" t="n">
        <v>4.502</v>
      </c>
      <c r="O52" s="19" t="n"/>
      <c r="P52" s="20" t="n"/>
      <c r="Q52" s="20" t="n">
        <v>0</v>
      </c>
      <c r="R52" s="20" t="n">
        <v>73.928</v>
      </c>
      <c r="S52" s="20" t="n">
        <v>17.69</v>
      </c>
      <c r="T52" s="20" t="n">
        <v>0</v>
      </c>
      <c r="U52" s="20" t="n">
        <v>35.148</v>
      </c>
      <c r="V52" s="20" t="n">
        <v>67.89</v>
      </c>
      <c r="W52" s="20" t="n">
        <v>290.267</v>
      </c>
      <c r="X52" s="20" t="n">
        <v>1213.172</v>
      </c>
      <c r="Y52" s="19">
        <f>IF(OR(Y4="",Y53=""),"",IFERROR(Y4*Y53,""))</f>
        <v/>
      </c>
      <c r="Z52" s="20">
        <f>IF(OR(Z4="",Z53=""),"",IFERROR(Z4*Z53,""))</f>
        <v/>
      </c>
      <c r="AA52" s="20">
        <f>IF(OR(AA4="",AA53=""),"",IFERROR(AA4*AA53,""))</f>
        <v/>
      </c>
      <c r="AB52" s="20">
        <f>IF(OR(AB4="",AB53=""),"",IFERROR(AB4*AB53,""))</f>
        <v/>
      </c>
      <c r="AC52" s="20">
        <f>IF(OR(AC4="",AC53=""),"",IFERROR(AC4*AC53,""))</f>
        <v/>
      </c>
    </row>
    <row r="53">
      <c r="A53" s="13" t="inlineStr">
        <is>
          <t>% of Sales</t>
        </is>
      </c>
      <c r="B53" s="10" t="n"/>
      <c r="C53" s="14">
        <f>IF(OR(C52="",C4=""),"",IFERROR(C52/C4,""))</f>
        <v/>
      </c>
      <c r="D53" s="15">
        <f>IF(OR(D52="",D4=""),"",IFERROR(D52/D4,""))</f>
        <v/>
      </c>
      <c r="E53" s="15">
        <f>IF(OR(E52="",E4=""),"",IFERROR(E52/E4,""))</f>
        <v/>
      </c>
      <c r="F53" s="15">
        <f>IF(OR(F52="",F4=""),"",IFERROR(F52/F4,""))</f>
        <v/>
      </c>
      <c r="G53" s="15">
        <f>IF(OR(G52="",G4=""),"",IFERROR(G52/G4,""))</f>
        <v/>
      </c>
      <c r="H53" s="15">
        <f>IF(OR(H52="",H4=""),"",IFERROR(H52/H4,""))</f>
        <v/>
      </c>
      <c r="I53" s="15">
        <f>IF(OR(I52="",I4=""),"",IFERROR(I52/I4,""))</f>
        <v/>
      </c>
      <c r="J53" s="15">
        <f>IF(OR(J52="",J4=""),"",IFERROR(J52/J4,""))</f>
        <v/>
      </c>
      <c r="K53" s="15">
        <f>IF(OR(K52="",K4=""),"",IFERROR(K52/K4,""))</f>
        <v/>
      </c>
      <c r="L53" s="15">
        <f>IF(OR(L52="",L4=""),"",IFERROR(L52/L4,""))</f>
        <v/>
      </c>
      <c r="M53" s="15">
        <f>IF(OR(M52="",M4=""),"",IFERROR(M52/M4,""))</f>
        <v/>
      </c>
      <c r="N53" s="15">
        <f>IF(OR(N52="",N4=""),"",IFERROR(N52/N4,""))</f>
        <v/>
      </c>
      <c r="O53" s="14">
        <f>IF(OR(O52="",O4=""),"",IFERROR(O52/O4,""))</f>
        <v/>
      </c>
      <c r="P53" s="15">
        <f>IF(OR(P52="",P4=""),"",IFERROR(P52/P4,""))</f>
        <v/>
      </c>
      <c r="Q53" s="15">
        <f>IF(OR(Q52="",Q4=""),"",IFERROR(Q52/Q4,""))</f>
        <v/>
      </c>
      <c r="R53" s="15">
        <f>IF(OR(R52="",R4=""),"",IFERROR(R52/R4,""))</f>
        <v/>
      </c>
      <c r="S53" s="15">
        <f>IF(OR(S52="",S4=""),"",IFERROR(S52/S4,""))</f>
        <v/>
      </c>
      <c r="T53" s="15">
        <f>IF(OR(T52="",T4=""),"",IFERROR(T52/T4,""))</f>
        <v/>
      </c>
      <c r="U53" s="15">
        <f>IF(OR(U52="",U4=""),"",IFERROR(U52/U4,""))</f>
        <v/>
      </c>
      <c r="V53" s="15">
        <f>IF(OR(V52="",V4=""),"",IFERROR(V52/V4,""))</f>
        <v/>
      </c>
      <c r="W53" s="15">
        <f>IF(OR(W52="",W4=""),"",IFERROR(W52/W4,""))</f>
        <v/>
      </c>
      <c r="X53" s="15">
        <f>IF(OR(X52="",X4=""),"",IFERROR(X52/X4,""))</f>
        <v/>
      </c>
      <c r="Y53" s="25">
        <f>IFERROR(AVERAGE(V53,W53,X53),"")</f>
        <v/>
      </c>
      <c r="Z53" s="26">
        <f>Y53</f>
        <v/>
      </c>
      <c r="AA53" s="26">
        <f>Z53</f>
        <v/>
      </c>
      <c r="AB53" s="26">
        <f>AA53</f>
        <v/>
      </c>
      <c r="AC53" s="26">
        <f>AB53</f>
        <v/>
      </c>
    </row>
    <row r="54">
      <c r="A54" s="18" t="inlineStr">
        <is>
          <t>영업외수익</t>
        </is>
      </c>
      <c r="B54" s="10" t="n"/>
      <c r="C54" s="19" t="n">
        <v>4.127</v>
      </c>
      <c r="D54" s="20" t="n">
        <v>4.086</v>
      </c>
      <c r="E54" s="20" t="n">
        <v>3.884</v>
      </c>
      <c r="F54" s="20" t="n">
        <v>10.206</v>
      </c>
      <c r="G54" s="20" t="n">
        <v>9.115</v>
      </c>
      <c r="H54" s="20" t="n">
        <v>62.331</v>
      </c>
      <c r="I54" s="20" t="n">
        <v>37.719</v>
      </c>
      <c r="J54" s="20" t="n">
        <v>42.228</v>
      </c>
      <c r="K54" s="20" t="n">
        <v>-16.251</v>
      </c>
      <c r="L54" s="20" t="n">
        <v>59.89</v>
      </c>
      <c r="M54" s="20" t="n">
        <v>24.582</v>
      </c>
      <c r="N54" s="20" t="n">
        <v>67.80500000000001</v>
      </c>
      <c r="O54" s="19" t="n"/>
      <c r="P54" s="20" t="n">
        <v>0.331</v>
      </c>
      <c r="Q54" s="20" t="n">
        <v>0.063</v>
      </c>
      <c r="R54" s="20" t="n">
        <v>2.602</v>
      </c>
      <c r="S54" s="20" t="n">
        <v>338.107</v>
      </c>
      <c r="T54" s="20" t="n">
        <v>26.491</v>
      </c>
      <c r="U54" s="20" t="n">
        <v>10.606</v>
      </c>
      <c r="V54" s="20" t="n">
        <v>14.868</v>
      </c>
      <c r="W54" s="20" t="n">
        <v>27.291</v>
      </c>
      <c r="X54" s="20" t="n">
        <v>126.027</v>
      </c>
      <c r="Y54" s="19">
        <f>IF(OR(Y4="",Y55=""),"",IFERROR(Y4*Y55,""))</f>
        <v/>
      </c>
      <c r="Z54" s="20">
        <f>IF(OR(Z4="",Z55=""),"",IFERROR(Z4*Z55,""))</f>
        <v/>
      </c>
      <c r="AA54" s="20">
        <f>IF(OR(AA4="",AA55=""),"",IFERROR(AA4*AA55,""))</f>
        <v/>
      </c>
      <c r="AB54" s="20">
        <f>IF(OR(AB4="",AB55=""),"",IFERROR(AB4*AB55,""))</f>
        <v/>
      </c>
      <c r="AC54" s="20">
        <f>IF(OR(AC4="",AC55=""),"",IFERROR(AC4*AC55,""))</f>
        <v/>
      </c>
    </row>
    <row r="55">
      <c r="A55" s="13" t="inlineStr">
        <is>
          <t>% of Sales</t>
        </is>
      </c>
      <c r="B55" s="10" t="n"/>
      <c r="C55" s="14">
        <f>IF(OR(C54="",C4=""),"",IFERROR(C54/C4,""))</f>
        <v/>
      </c>
      <c r="D55" s="15">
        <f>IF(OR(D54="",D4=""),"",IFERROR(D54/D4,""))</f>
        <v/>
      </c>
      <c r="E55" s="15">
        <f>IF(OR(E54="",E4=""),"",IFERROR(E54/E4,""))</f>
        <v/>
      </c>
      <c r="F55" s="15">
        <f>IF(OR(F54="",F4=""),"",IFERROR(F54/F4,""))</f>
        <v/>
      </c>
      <c r="G55" s="15">
        <f>IF(OR(G54="",G4=""),"",IFERROR(G54/G4,""))</f>
        <v/>
      </c>
      <c r="H55" s="15">
        <f>IF(OR(H54="",H4=""),"",IFERROR(H54/H4,""))</f>
        <v/>
      </c>
      <c r="I55" s="15">
        <f>IF(OR(I54="",I4=""),"",IFERROR(I54/I4,""))</f>
        <v/>
      </c>
      <c r="J55" s="15">
        <f>IF(OR(J54="",J4=""),"",IFERROR(J54/J4,""))</f>
        <v/>
      </c>
      <c r="K55" s="15">
        <f>IF(OR(K54="",K4=""),"",IFERROR(K54/K4,""))</f>
        <v/>
      </c>
      <c r="L55" s="15">
        <f>IF(OR(L54="",L4=""),"",IFERROR(L54/L4,""))</f>
        <v/>
      </c>
      <c r="M55" s="15">
        <f>IF(OR(M54="",M4=""),"",IFERROR(M54/M4,""))</f>
        <v/>
      </c>
      <c r="N55" s="15">
        <f>IF(OR(N54="",N4=""),"",IFERROR(N54/N4,""))</f>
        <v/>
      </c>
      <c r="O55" s="14">
        <f>IF(OR(O54="",O4=""),"",IFERROR(O54/O4,""))</f>
        <v/>
      </c>
      <c r="P55" s="15">
        <f>IF(OR(P54="",P4=""),"",IFERROR(P54/P4,""))</f>
        <v/>
      </c>
      <c r="Q55" s="15">
        <f>IF(OR(Q54="",Q4=""),"",IFERROR(Q54/Q4,""))</f>
        <v/>
      </c>
      <c r="R55" s="15">
        <f>IF(OR(R54="",R4=""),"",IFERROR(R54/R4,""))</f>
        <v/>
      </c>
      <c r="S55" s="15">
        <f>IF(OR(S54="",S4=""),"",IFERROR(S54/S4,""))</f>
        <v/>
      </c>
      <c r="T55" s="15">
        <f>IF(OR(T54="",T4=""),"",IFERROR(T54/T4,""))</f>
        <v/>
      </c>
      <c r="U55" s="15">
        <f>IF(OR(U54="",U4=""),"",IFERROR(U54/U4,""))</f>
        <v/>
      </c>
      <c r="V55" s="15">
        <f>IF(OR(V54="",V4=""),"",IFERROR(V54/V4,""))</f>
        <v/>
      </c>
      <c r="W55" s="15">
        <f>IF(OR(W54="",W4=""),"",IFERROR(W54/W4,""))</f>
        <v/>
      </c>
      <c r="X55" s="15">
        <f>IF(OR(X54="",X4=""),"",IFERROR(X54/X4,""))</f>
        <v/>
      </c>
      <c r="Y55" s="25">
        <f>IFERROR(AVERAGE(V55,W55,X55),"")</f>
        <v/>
      </c>
      <c r="Z55" s="26">
        <f>Y55</f>
        <v/>
      </c>
      <c r="AA55" s="26">
        <f>Z55</f>
        <v/>
      </c>
      <c r="AB55" s="26">
        <f>AA55</f>
        <v/>
      </c>
      <c r="AC55" s="26">
        <f>AB55</f>
        <v/>
      </c>
    </row>
    <row r="56">
      <c r="A56" s="18" t="inlineStr">
        <is>
          <t>영업외비용</t>
        </is>
      </c>
      <c r="B56" s="10" t="n"/>
      <c r="C56" s="19" t="n">
        <v>34.804</v>
      </c>
      <c r="D56" s="20" t="n">
        <v>146.78</v>
      </c>
      <c r="E56" s="20" t="n">
        <v>179.022</v>
      </c>
      <c r="F56" s="20" t="n">
        <v>142.986</v>
      </c>
      <c r="G56" s="20" t="n">
        <v>176.761</v>
      </c>
      <c r="H56" s="20" t="n">
        <v>212.229</v>
      </c>
      <c r="I56" s="20" t="n">
        <v>192.698</v>
      </c>
      <c r="J56" s="20" t="n">
        <v>133.269</v>
      </c>
      <c r="K56" s="20" t="n">
        <v>812.086</v>
      </c>
      <c r="L56" s="20" t="n">
        <v>414.582</v>
      </c>
      <c r="M56" s="20" t="n">
        <v>666.112</v>
      </c>
      <c r="N56" s="20" t="n">
        <v>429.747</v>
      </c>
      <c r="O56" s="19" t="n"/>
      <c r="P56" s="20" t="n">
        <v>37.348</v>
      </c>
      <c r="Q56" s="20" t="n">
        <v>28.247</v>
      </c>
      <c r="R56" s="20" t="n">
        <v>123.908</v>
      </c>
      <c r="S56" s="20" t="n">
        <v>72.08</v>
      </c>
      <c r="T56" s="20" t="n">
        <v>396.758</v>
      </c>
      <c r="U56" s="20" t="n">
        <v>1122.857</v>
      </c>
      <c r="V56" s="20" t="n">
        <v>424.058</v>
      </c>
      <c r="W56" s="20" t="n">
        <v>645.549</v>
      </c>
      <c r="X56" s="20" t="n">
        <v>1350.282</v>
      </c>
      <c r="Y56" s="19">
        <f>IF(OR(Y4="",Y57=""),"",IFERROR(Y4*Y57,""))</f>
        <v/>
      </c>
      <c r="Z56" s="20">
        <f>IF(OR(Z4="",Z57=""),"",IFERROR(Z4*Z57,""))</f>
        <v/>
      </c>
      <c r="AA56" s="20">
        <f>IF(OR(AA4="",AA57=""),"",IFERROR(AA4*AA57,""))</f>
        <v/>
      </c>
      <c r="AB56" s="20">
        <f>IF(OR(AB4="",AB57=""),"",IFERROR(AB4*AB57,""))</f>
        <v/>
      </c>
      <c r="AC56" s="20">
        <f>IF(OR(AC4="",AC57=""),"",IFERROR(AC4*AC57,""))</f>
        <v/>
      </c>
    </row>
    <row r="57">
      <c r="A57" s="13" t="inlineStr">
        <is>
          <t>% of Sales</t>
        </is>
      </c>
      <c r="B57" s="10" t="n"/>
      <c r="C57" s="14">
        <f>IF(OR(C56="",C4=""),"",IFERROR(C56/C4,""))</f>
        <v/>
      </c>
      <c r="D57" s="15">
        <f>IF(OR(D56="",D4=""),"",IFERROR(D56/D4,""))</f>
        <v/>
      </c>
      <c r="E57" s="15">
        <f>IF(OR(E56="",E4=""),"",IFERROR(E56/E4,""))</f>
        <v/>
      </c>
      <c r="F57" s="15">
        <f>IF(OR(F56="",F4=""),"",IFERROR(F56/F4,""))</f>
        <v/>
      </c>
      <c r="G57" s="15">
        <f>IF(OR(G56="",G4=""),"",IFERROR(G56/G4,""))</f>
        <v/>
      </c>
      <c r="H57" s="15">
        <f>IF(OR(H56="",H4=""),"",IFERROR(H56/H4,""))</f>
        <v/>
      </c>
      <c r="I57" s="15">
        <f>IF(OR(I56="",I4=""),"",IFERROR(I56/I4,""))</f>
        <v/>
      </c>
      <c r="J57" s="15">
        <f>IF(OR(J56="",J4=""),"",IFERROR(J56/J4,""))</f>
        <v/>
      </c>
      <c r="K57" s="15">
        <f>IF(OR(K56="",K4=""),"",IFERROR(K56/K4,""))</f>
        <v/>
      </c>
      <c r="L57" s="15">
        <f>IF(OR(L56="",L4=""),"",IFERROR(L56/L4,""))</f>
        <v/>
      </c>
      <c r="M57" s="15">
        <f>IF(OR(M56="",M4=""),"",IFERROR(M56/M4,""))</f>
        <v/>
      </c>
      <c r="N57" s="15">
        <f>IF(OR(N56="",N4=""),"",IFERROR(N56/N4,""))</f>
        <v/>
      </c>
      <c r="O57" s="14">
        <f>IF(OR(O56="",O4=""),"",IFERROR(O56/O4,""))</f>
        <v/>
      </c>
      <c r="P57" s="15">
        <f>IF(OR(P56="",P4=""),"",IFERROR(P56/P4,""))</f>
        <v/>
      </c>
      <c r="Q57" s="15">
        <f>IF(OR(Q56="",Q4=""),"",IFERROR(Q56/Q4,""))</f>
        <v/>
      </c>
      <c r="R57" s="15">
        <f>IF(OR(R56="",R4=""),"",IFERROR(R56/R4,""))</f>
        <v/>
      </c>
      <c r="S57" s="15">
        <f>IF(OR(S56="",S4=""),"",IFERROR(S56/S4,""))</f>
        <v/>
      </c>
      <c r="T57" s="15">
        <f>IF(OR(T56="",T4=""),"",IFERROR(T56/T4,""))</f>
        <v/>
      </c>
      <c r="U57" s="15">
        <f>IF(OR(U56="",U4=""),"",IFERROR(U56/U4,""))</f>
        <v/>
      </c>
      <c r="V57" s="15">
        <f>IF(OR(V56="",V4=""),"",IFERROR(V56/V4,""))</f>
        <v/>
      </c>
      <c r="W57" s="15">
        <f>IF(OR(W56="",W4=""),"",IFERROR(W56/W4,""))</f>
        <v/>
      </c>
      <c r="X57" s="15">
        <f>IF(OR(X56="",X4=""),"",IFERROR(X56/X4,""))</f>
        <v/>
      </c>
      <c r="Y57" s="25">
        <f>IFERROR(AVERAGE(V57,W57,X57),"")</f>
        <v/>
      </c>
      <c r="Z57" s="26">
        <f>Y57</f>
        <v/>
      </c>
      <c r="AA57" s="26">
        <f>Z57</f>
        <v/>
      </c>
      <c r="AB57" s="26">
        <f>AA57</f>
        <v/>
      </c>
      <c r="AC57" s="26">
        <f>AB57</f>
        <v/>
      </c>
    </row>
    <row r="58">
      <c r="A58" s="9" t="inlineStr">
        <is>
          <t>법인세비용차감전순이익(손실)</t>
        </is>
      </c>
      <c r="B58" s="10" t="n"/>
      <c r="C58" s="11" t="n">
        <v>-1855.811</v>
      </c>
      <c r="D58" s="12" t="n">
        <v>-1135.049</v>
      </c>
      <c r="E58" s="12" t="n">
        <v>-1020.15</v>
      </c>
      <c r="F58" s="12" t="n">
        <v>-1143.037</v>
      </c>
      <c r="G58" s="12" t="n">
        <v>-2344.522</v>
      </c>
      <c r="H58" s="12" t="n">
        <v>-635.724</v>
      </c>
      <c r="I58" s="12" t="n">
        <v>-1057.576</v>
      </c>
      <c r="J58" s="12" t="n">
        <v>-1018.535</v>
      </c>
      <c r="K58" s="12" t="n">
        <v>6105.036</v>
      </c>
      <c r="L58" s="12" t="n">
        <v>2281.996</v>
      </c>
      <c r="M58" s="12" t="n">
        <v>-1152.359</v>
      </c>
      <c r="N58" s="12" t="n">
        <v>1685.279</v>
      </c>
      <c r="O58" s="11" t="n"/>
      <c r="P58" s="12" t="n">
        <v>-833.7089999999999</v>
      </c>
      <c r="Q58" s="12" t="n">
        <v>-820.595</v>
      </c>
      <c r="R58" s="12" t="n">
        <v>-2639.484</v>
      </c>
      <c r="S58" s="12" t="n">
        <v>-2454.655</v>
      </c>
      <c r="T58" s="12" t="n">
        <v>-1430.066</v>
      </c>
      <c r="U58" s="12" t="n">
        <v>-9615.626</v>
      </c>
      <c r="V58" s="12" t="n">
        <v>-6805.348</v>
      </c>
      <c r="W58" s="12" t="n">
        <v>-5642.758</v>
      </c>
      <c r="X58" s="12" t="n">
        <v>3393.201</v>
      </c>
      <c r="Y58" s="11">
        <f>IF(OR(Y34=""),"",IFERROR(Y34+N(Y50)-N(Y52)+N(Y54)-N(Y56),""))</f>
        <v/>
      </c>
      <c r="Z58" s="12">
        <f>IF(OR(Z34=""),"",IFERROR(Z34+N(Z50)-N(Z52)+N(Z54)-N(Z56),""))</f>
        <v/>
      </c>
      <c r="AA58" s="12">
        <f>IF(OR(AA34=""),"",IFERROR(AA34+N(AA50)-N(AA52)+N(AA54)-N(AA56),""))</f>
        <v/>
      </c>
      <c r="AB58" s="12">
        <f>IF(OR(AB34=""),"",IFERROR(AB34+N(AB50)-N(AB52)+N(AB54)-N(AB56),""))</f>
        <v/>
      </c>
      <c r="AC58" s="12">
        <f>IF(OR(AC34=""),"",IFERROR(AC34+N(AC50)-N(AC52)+N(AC54)-N(AC56),""))</f>
        <v/>
      </c>
    </row>
    <row r="59">
      <c r="A59" s="18" t="inlineStr">
        <is>
          <t>법인세비용(수익)</t>
        </is>
      </c>
      <c r="B59" s="10" t="n"/>
      <c r="C59" s="19" t="n">
        <v>-104.775</v>
      </c>
      <c r="D59" s="20" t="n">
        <v>111.829</v>
      </c>
      <c r="E59" s="20" t="n">
        <v>4.5</v>
      </c>
      <c r="F59" s="20" t="n">
        <v>68.625</v>
      </c>
      <c r="G59" s="20" t="n">
        <v>373.177</v>
      </c>
      <c r="H59" s="20" t="n">
        <v>100.942</v>
      </c>
      <c r="I59" s="20" t="n">
        <v>101.36</v>
      </c>
      <c r="J59" s="20" t="n">
        <v>101.085</v>
      </c>
      <c r="K59" s="20" t="n">
        <v>907.984</v>
      </c>
      <c r="L59" s="20" t="n">
        <v>501.811</v>
      </c>
      <c r="M59" s="20" t="n">
        <v>60.447</v>
      </c>
      <c r="N59" s="20" t="n">
        <v>246.248</v>
      </c>
      <c r="O59" s="19" t="n"/>
      <c r="P59" s="20" t="n">
        <v>9.105</v>
      </c>
      <c r="Q59" s="20" t="n">
        <v>13.322</v>
      </c>
      <c r="R59" s="20" t="n">
        <v>-18.901</v>
      </c>
      <c r="S59" s="20" t="n">
        <v>23.824</v>
      </c>
      <c r="T59" s="20" t="n">
        <v>152.483</v>
      </c>
      <c r="U59" s="20" t="n">
        <v>86.161</v>
      </c>
      <c r="V59" s="20" t="n">
        <v>54.472</v>
      </c>
      <c r="W59" s="20" t="n">
        <v>558.131</v>
      </c>
      <c r="X59" s="20" t="n">
        <v>1211.371</v>
      </c>
      <c r="Y59" s="19">
        <f>IF(OR(Y58="",Y60=""),"",IFERROR(MAX(Y58,0)*Y60,""))</f>
        <v/>
      </c>
      <c r="Z59" s="20">
        <f>IF(OR(Z58="",Z60=""),"",IFERROR(MAX(Z58,0)*Z60,""))</f>
        <v/>
      </c>
      <c r="AA59" s="20">
        <f>IF(OR(AA58="",AA60=""),"",IFERROR(MAX(AA58,0)*AA60,""))</f>
        <v/>
      </c>
      <c r="AB59" s="20">
        <f>IF(OR(AB58="",AB60=""),"",IFERROR(MAX(AB58,0)*AB60,""))</f>
        <v/>
      </c>
      <c r="AC59" s="20">
        <f>IF(OR(AC58="",AC60=""),"",IFERROR(MAX(AC58,0)*AC60,""))</f>
        <v/>
      </c>
    </row>
    <row r="60">
      <c r="A60" s="13" t="inlineStr">
        <is>
          <t>법인세율</t>
        </is>
      </c>
      <c r="B60" s="10" t="inlineStr">
        <is>
          <t>MW 기본 30%</t>
        </is>
      </c>
      <c r="C60" s="14">
        <f>IF(OR(C59="",C58=""),"",IFERROR(C59/C58,""))</f>
        <v/>
      </c>
      <c r="D60" s="15">
        <f>IF(OR(D59="",D58=""),"",IFERROR(D59/D58,""))</f>
        <v/>
      </c>
      <c r="E60" s="15">
        <f>IF(OR(E59="",E58=""),"",IFERROR(E59/E58,""))</f>
        <v/>
      </c>
      <c r="F60" s="15">
        <f>IF(OR(F59="",F58=""),"",IFERROR(F59/F58,""))</f>
        <v/>
      </c>
      <c r="G60" s="15">
        <f>IF(OR(G59="",G58=""),"",IFERROR(G59/G58,""))</f>
        <v/>
      </c>
      <c r="H60" s="15">
        <f>IF(OR(H59="",H58=""),"",IFERROR(H59/H58,""))</f>
        <v/>
      </c>
      <c r="I60" s="15">
        <f>IF(OR(I59="",I58=""),"",IFERROR(I59/I58,""))</f>
        <v/>
      </c>
      <c r="J60" s="15">
        <f>IF(OR(J59="",J58=""),"",IFERROR(J59/J58,""))</f>
        <v/>
      </c>
      <c r="K60" s="15">
        <f>IF(OR(K59="",K58=""),"",IFERROR(K59/K58,""))</f>
        <v/>
      </c>
      <c r="L60" s="15">
        <f>IF(OR(L59="",L58=""),"",IFERROR(L59/L58,""))</f>
        <v/>
      </c>
      <c r="M60" s="15">
        <f>IF(OR(M59="",M58=""),"",IFERROR(M59/M58,""))</f>
        <v/>
      </c>
      <c r="N60" s="15">
        <f>IF(OR(N59="",N58=""),"",IFERROR(N59/N58,""))</f>
        <v/>
      </c>
      <c r="O60" s="14">
        <f>IF(OR(O59="",O58=""),"",IFERROR(O59/O58,""))</f>
        <v/>
      </c>
      <c r="P60" s="15">
        <f>IF(OR(P59="",P58=""),"",IFERROR(P59/P58,""))</f>
        <v/>
      </c>
      <c r="Q60" s="15">
        <f>IF(OR(Q59="",Q58=""),"",IFERROR(Q59/Q58,""))</f>
        <v/>
      </c>
      <c r="R60" s="15">
        <f>IF(OR(R59="",R58=""),"",IFERROR(R59/R58,""))</f>
        <v/>
      </c>
      <c r="S60" s="15">
        <f>IF(OR(S59="",S58=""),"",IFERROR(S59/S58,""))</f>
        <v/>
      </c>
      <c r="T60" s="15">
        <f>IF(OR(T59="",T58=""),"",IFERROR(T59/T58,""))</f>
        <v/>
      </c>
      <c r="U60" s="15">
        <f>IF(OR(U59="",U58=""),"",IFERROR(U59/U58,""))</f>
        <v/>
      </c>
      <c r="V60" s="15">
        <f>IF(OR(V59="",V58=""),"",IFERROR(V59/V58,""))</f>
        <v/>
      </c>
      <c r="W60" s="15">
        <f>IF(OR(W59="",W58=""),"",IFERROR(W59/W58,""))</f>
        <v/>
      </c>
      <c r="X60" s="15">
        <f>IF(OR(X59="",X58=""),"",IFERROR(X59/X58,""))</f>
        <v/>
      </c>
      <c r="Y60" s="25" t="n">
        <v>0.3</v>
      </c>
      <c r="Z60" s="26" t="n">
        <v>0.3</v>
      </c>
      <c r="AA60" s="26" t="n">
        <v>0.3</v>
      </c>
      <c r="AB60" s="26" t="n">
        <v>0.3</v>
      </c>
      <c r="AC60" s="26" t="n">
        <v>0.3</v>
      </c>
    </row>
    <row r="61">
      <c r="A61" s="9" t="inlineStr">
        <is>
          <t>당기순이익(손실)</t>
        </is>
      </c>
      <c r="B61" s="10" t="n"/>
      <c r="C61" s="11" t="n">
        <v>-1751.036</v>
      </c>
      <c r="D61" s="12" t="n">
        <v>-1246.879</v>
      </c>
      <c r="E61" s="12" t="n">
        <v>-1024.65</v>
      </c>
      <c r="F61" s="12" t="n">
        <v>-1211.662</v>
      </c>
      <c r="G61" s="12" t="n">
        <v>-2717.698</v>
      </c>
      <c r="H61" s="12" t="n">
        <v>-736.6660000000001</v>
      </c>
      <c r="I61" s="12" t="n">
        <v>-1158.937</v>
      </c>
      <c r="J61" s="12" t="n">
        <v>-1119.62</v>
      </c>
      <c r="K61" s="12" t="n">
        <v>5197.053</v>
      </c>
      <c r="L61" s="12" t="n">
        <v>1780.184</v>
      </c>
      <c r="M61" s="12" t="n">
        <v>-1212.806</v>
      </c>
      <c r="N61" s="12" t="n">
        <v>1439.031</v>
      </c>
      <c r="O61" s="11" t="n"/>
      <c r="P61" s="12" t="n">
        <v>-842.814</v>
      </c>
      <c r="Q61" s="12" t="n">
        <v>-833.918</v>
      </c>
      <c r="R61" s="12" t="n">
        <v>-2620.583</v>
      </c>
      <c r="S61" s="12" t="n">
        <v>-2478.479</v>
      </c>
      <c r="T61" s="12" t="n">
        <v>-1582.549</v>
      </c>
      <c r="U61" s="12" t="n">
        <v>-9701.788</v>
      </c>
      <c r="V61" s="12" t="n">
        <v>-6859.82</v>
      </c>
      <c r="W61" s="12" t="n">
        <v>-6200.889</v>
      </c>
      <c r="X61" s="12" t="n">
        <v>2181.83</v>
      </c>
      <c r="Y61" s="11">
        <f>IF(OR(Y58=""),"",IFERROR(Y58-Y59,""))</f>
        <v/>
      </c>
      <c r="Z61" s="12">
        <f>IF(OR(Z58=""),"",IFERROR(Z58-Z59,""))</f>
        <v/>
      </c>
      <c r="AA61" s="12">
        <f>IF(OR(AA58=""),"",IFERROR(AA58-AA59,""))</f>
        <v/>
      </c>
      <c r="AB61" s="12">
        <f>IF(OR(AB58=""),"",IFERROR(AB58-AB59,""))</f>
        <v/>
      </c>
      <c r="AC61" s="12">
        <f>IF(OR(AC58=""),"",IFERROR(AC58-AC59,""))</f>
        <v/>
      </c>
    </row>
    <row r="62">
      <c r="A62" s="9" t="inlineStr">
        <is>
          <t>지배주주 순이익</t>
        </is>
      </c>
      <c r="B62" s="10" t="n"/>
      <c r="C62" s="11" t="n">
        <v>-1379.187</v>
      </c>
      <c r="D62" s="12" t="n">
        <v>-1318.876</v>
      </c>
      <c r="E62" s="12" t="n">
        <v>-1278.443</v>
      </c>
      <c r="F62" s="12" t="n">
        <v>-1114.975</v>
      </c>
      <c r="G62" s="12" t="n">
        <v>-2618.283</v>
      </c>
      <c r="H62" s="12" t="n">
        <v>-1119.256</v>
      </c>
      <c r="I62" s="12" t="n">
        <v>-1078.043</v>
      </c>
      <c r="J62" s="12" t="n">
        <v>-1187.274</v>
      </c>
      <c r="K62" s="12" t="n">
        <v>4971.833</v>
      </c>
      <c r="L62" s="12" t="n">
        <v>1828.883</v>
      </c>
      <c r="M62" s="12" t="n">
        <v>-1275.148</v>
      </c>
      <c r="N62" s="12" t="n">
        <v>-55.593</v>
      </c>
      <c r="O62" s="11" t="n"/>
      <c r="P62" s="12" t="n">
        <v>-842.814</v>
      </c>
      <c r="Q62" s="12" t="n">
        <v>-815.4450000000001</v>
      </c>
      <c r="R62" s="12" t="n">
        <v>-2572.05</v>
      </c>
      <c r="S62" s="12" t="n">
        <v>-2423.282</v>
      </c>
      <c r="T62" s="12" t="n">
        <v>-1482.262</v>
      </c>
      <c r="U62" s="12" t="n">
        <v>-9449.804</v>
      </c>
      <c r="V62" s="12" t="n">
        <v>-6315.05</v>
      </c>
      <c r="W62" s="12" t="n">
        <v>-6330.577</v>
      </c>
      <c r="X62" s="12" t="n">
        <v>1587.26</v>
      </c>
      <c r="Y62" s="11">
        <f>IF(OR(Y61="",Y63=""),"",IFERROR(Y61*Y63,""))</f>
        <v/>
      </c>
      <c r="Z62" s="12">
        <f>IF(OR(Z61="",Z63=""),"",IFERROR(Z61*Z63,""))</f>
        <v/>
      </c>
      <c r="AA62" s="12">
        <f>IF(OR(AA61="",AA63=""),"",IFERROR(AA61*AA63,""))</f>
        <v/>
      </c>
      <c r="AB62" s="12">
        <f>IF(OR(AB61="",AB63=""),"",IFERROR(AB61*AB63,""))</f>
        <v/>
      </c>
      <c r="AC62" s="12">
        <f>IF(OR(AC61="",AC63=""),"",IFERROR(AC61*AC63,""))</f>
        <v/>
      </c>
    </row>
    <row r="63">
      <c r="A63" s="13" t="inlineStr">
        <is>
          <t>지배주주 순이익률</t>
        </is>
      </c>
      <c r="B63" s="10" t="inlineStr">
        <is>
          <t>MW 기본 100%</t>
        </is>
      </c>
      <c r="C63" s="14">
        <f>IF(OR(C62="",C61=""),"",IFERROR(C62/C61,""))</f>
        <v/>
      </c>
      <c r="D63" s="15">
        <f>IF(OR(D62="",D61=""),"",IFERROR(D62/D61,""))</f>
        <v/>
      </c>
      <c r="E63" s="15">
        <f>IF(OR(E62="",E61=""),"",IFERROR(E62/E61,""))</f>
        <v/>
      </c>
      <c r="F63" s="15">
        <f>IF(OR(F62="",F61=""),"",IFERROR(F62/F61,""))</f>
        <v/>
      </c>
      <c r="G63" s="15">
        <f>IF(OR(G62="",G61=""),"",IFERROR(G62/G61,""))</f>
        <v/>
      </c>
      <c r="H63" s="15">
        <f>IF(OR(H62="",H61=""),"",IFERROR(H62/H61,""))</f>
        <v/>
      </c>
      <c r="I63" s="15">
        <f>IF(OR(I62="",I61=""),"",IFERROR(I62/I61,""))</f>
        <v/>
      </c>
      <c r="J63" s="15">
        <f>IF(OR(J62="",J61=""),"",IFERROR(J62/J61,""))</f>
        <v/>
      </c>
      <c r="K63" s="15">
        <f>IF(OR(K62="",K61=""),"",IFERROR(K62/K61,""))</f>
        <v/>
      </c>
      <c r="L63" s="15">
        <f>IF(OR(L62="",L61=""),"",IFERROR(L62/L61,""))</f>
        <v/>
      </c>
      <c r="M63" s="15">
        <f>IF(OR(M62="",M61=""),"",IFERROR(M62/M61,""))</f>
        <v/>
      </c>
      <c r="N63" s="15">
        <f>IF(OR(N62="",N61=""),"",IFERROR(N62/N61,""))</f>
        <v/>
      </c>
      <c r="O63" s="14">
        <f>IF(OR(O62="",O61=""),"",IFERROR(O62/O61,""))</f>
        <v/>
      </c>
      <c r="P63" s="15">
        <f>IF(OR(P62="",P61=""),"",IFERROR(P62/P61,""))</f>
        <v/>
      </c>
      <c r="Q63" s="15">
        <f>IF(OR(Q62="",Q61=""),"",IFERROR(Q62/Q61,""))</f>
        <v/>
      </c>
      <c r="R63" s="15">
        <f>IF(OR(R62="",R61=""),"",IFERROR(R62/R61,""))</f>
        <v/>
      </c>
      <c r="S63" s="15">
        <f>IF(OR(S62="",S61=""),"",IFERROR(S62/S61,""))</f>
        <v/>
      </c>
      <c r="T63" s="15">
        <f>IF(OR(T62="",T61=""),"",IFERROR(T62/T61,""))</f>
        <v/>
      </c>
      <c r="U63" s="15">
        <f>IF(OR(U62="",U61=""),"",IFERROR(U62/U61,""))</f>
        <v/>
      </c>
      <c r="V63" s="15">
        <f>IF(OR(V62="",V61=""),"",IFERROR(V62/V61,""))</f>
        <v/>
      </c>
      <c r="W63" s="15">
        <f>IF(OR(W62="",W61=""),"",IFERROR(W62/W61,""))</f>
        <v/>
      </c>
      <c r="X63" s="15">
        <f>IF(OR(X62="",X61=""),"",IFERROR(X62/X61,""))</f>
        <v/>
      </c>
      <c r="Y63" s="25" t="n">
        <v>1</v>
      </c>
      <c r="Z63" s="26" t="n">
        <v>1</v>
      </c>
      <c r="AA63" s="26" t="n">
        <v>1</v>
      </c>
      <c r="AB63" s="26" t="n">
        <v>1</v>
      </c>
      <c r="AC63" s="26" t="n">
        <v>1</v>
      </c>
    </row>
    <row r="64">
      <c r="A64" s="16" t="inlineStr">
        <is>
          <t>목표주가 산출</t>
        </is>
      </c>
      <c r="B64" s="16" t="n"/>
      <c r="C64" s="17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7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7" t="n"/>
      <c r="Z64" s="16" t="n"/>
      <c r="AA64" s="16" t="n"/>
      <c r="AB64" s="16" t="n"/>
      <c r="AC64" s="16" t="n"/>
    </row>
    <row r="65">
      <c r="A65" s="18" t="inlineStr">
        <is>
          <t>현재 주가 (2026.10.27)</t>
        </is>
      </c>
      <c r="B65" s="27" t="n">
        <v>6701</v>
      </c>
      <c r="C65" s="28" t="n"/>
      <c r="D65" s="29" t="n"/>
      <c r="E65" s="29" t="n"/>
      <c r="F65" s="29" t="n"/>
      <c r="G65" s="29" t="n"/>
      <c r="H65" s="29" t="n"/>
      <c r="I65" s="29" t="n"/>
      <c r="J65" s="29" t="n"/>
      <c r="K65" s="29" t="n"/>
      <c r="L65" s="29" t="n"/>
      <c r="M65" s="29" t="n"/>
      <c r="N65" s="29" t="n"/>
      <c r="O65" s="28" t="n"/>
      <c r="P65" s="29" t="n"/>
      <c r="Q65" s="29" t="n"/>
      <c r="R65" s="29" t="n"/>
      <c r="S65" s="29" t="n"/>
      <c r="T65" s="29" t="n"/>
      <c r="U65" s="29" t="n"/>
      <c r="V65" s="29" t="n"/>
      <c r="W65" s="29" t="n"/>
      <c r="X65" s="29" t="n"/>
      <c r="Y65" s="28" t="n"/>
      <c r="Z65" s="29" t="n"/>
      <c r="AA65" s="29" t="n"/>
      <c r="AB65" s="29" t="n"/>
      <c r="AC65" s="29" t="n"/>
    </row>
    <row r="66">
      <c r="A66" s="18" t="inlineStr">
        <is>
          <t>발행주식수 (보통주)</t>
        </is>
      </c>
      <c r="B66" s="27" t="n">
        <v>55702614</v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 t="n"/>
      <c r="P66" s="29" t="n"/>
      <c r="Q66" s="29" t="n"/>
      <c r="R66" s="29" t="n"/>
      <c r="S66" s="29" t="n"/>
      <c r="T66" s="29" t="n"/>
      <c r="U66" s="29" t="n"/>
      <c r="V66" s="29" t="n"/>
      <c r="W66" s="29" t="n"/>
      <c r="X66" s="29" t="n"/>
      <c r="Y66" s="28" t="n"/>
      <c r="Z66" s="29" t="n"/>
      <c r="AA66" s="29" t="n"/>
      <c r="AB66" s="29" t="n"/>
      <c r="AC66" s="29" t="n"/>
    </row>
    <row r="67">
      <c r="A67" s="18" t="inlineStr">
        <is>
          <t>시가총액 (백만엔)</t>
        </is>
      </c>
      <c r="B67" s="12">
        <f>IF(OR(B65="",B66=""),"",B65*B66/1000000.0)</f>
        <v/>
      </c>
      <c r="C67" s="19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19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19" t="n"/>
      <c r="Z67" s="20" t="n"/>
      <c r="AA67" s="20" t="n"/>
      <c r="AB67" s="20" t="n"/>
      <c r="AC67" s="20" t="n"/>
    </row>
    <row r="68">
      <c r="A68" s="13" t="inlineStr">
        <is>
          <t>OPM</t>
        </is>
      </c>
      <c r="B68" s="10" t="n"/>
      <c r="C68" s="14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4">
        <f>IF(O35="","",O35)</f>
        <v/>
      </c>
      <c r="P68" s="15">
        <f>IF(P35="","",P35)</f>
        <v/>
      </c>
      <c r="Q68" s="15">
        <f>IF(Q35="","",Q35)</f>
        <v/>
      </c>
      <c r="R68" s="15">
        <f>IF(R35="","",R35)</f>
        <v/>
      </c>
      <c r="S68" s="15">
        <f>IF(S35="","",S35)</f>
        <v/>
      </c>
      <c r="T68" s="15">
        <f>IF(T35="","",T35)</f>
        <v/>
      </c>
      <c r="U68" s="15">
        <f>IF(U35="","",U35)</f>
        <v/>
      </c>
      <c r="V68" s="15">
        <f>IF(V35="","",V35)</f>
        <v/>
      </c>
      <c r="W68" s="15">
        <f>IF(W35="","",W35)</f>
        <v/>
      </c>
      <c r="X68" s="15">
        <f>IF(X35="","",X35)</f>
        <v/>
      </c>
      <c r="Y68" s="14">
        <f>IF(Y35="","",Y35)</f>
        <v/>
      </c>
      <c r="Z68" s="15">
        <f>IF(Z35="","",Z35)</f>
        <v/>
      </c>
      <c r="AA68" s="15">
        <f>IF(AA35="","",AA35)</f>
        <v/>
      </c>
      <c r="AB68" s="15">
        <f>IF(AB35="","",AB35)</f>
        <v/>
      </c>
      <c r="AC68" s="15">
        <f>IF(AC35="","",AC35)</f>
        <v/>
      </c>
    </row>
    <row r="69">
      <c r="A69" s="13" t="inlineStr">
        <is>
          <t>지배주주 순이익 증가율</t>
        </is>
      </c>
      <c r="B69" s="10" t="n"/>
      <c r="C69" s="14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4" t="n"/>
      <c r="P69" s="15">
        <f>IF(OR(P62="",O62=""),"",IFERROR(P62/O62-1,""))</f>
        <v/>
      </c>
      <c r="Q69" s="15">
        <f>IF(OR(Q62="",P62=""),"",IFERROR(Q62/P62-1,""))</f>
        <v/>
      </c>
      <c r="R69" s="15">
        <f>IF(OR(R62="",Q62=""),"",IFERROR(R62/Q62-1,""))</f>
        <v/>
      </c>
      <c r="S69" s="15">
        <f>IF(OR(S62="",R62=""),"",IFERROR(S62/R62-1,""))</f>
        <v/>
      </c>
      <c r="T69" s="15">
        <f>IF(OR(T62="",S62=""),"",IFERROR(T62/S62-1,""))</f>
        <v/>
      </c>
      <c r="U69" s="15">
        <f>IF(OR(U62="",T62=""),"",IFERROR(U62/T62-1,""))</f>
        <v/>
      </c>
      <c r="V69" s="15">
        <f>IF(OR(V62="",U62=""),"",IFERROR(V62/U62-1,""))</f>
        <v/>
      </c>
      <c r="W69" s="15">
        <f>IF(OR(W62="",V62=""),"",IFERROR(W62/V62-1,""))</f>
        <v/>
      </c>
      <c r="X69" s="15">
        <f>IF(OR(X62="",W62=""),"",IFERROR(X62/W62-1,""))</f>
        <v/>
      </c>
      <c r="Y69" s="14">
        <f>IF(OR(Y62="",X62=""),"",IFERROR(Y62/X62-1,""))</f>
        <v/>
      </c>
      <c r="Z69" s="15">
        <f>IF(OR(Z62="",Y62=""),"",IFERROR(Z62/Y62-1,""))</f>
        <v/>
      </c>
      <c r="AA69" s="15">
        <f>IF(OR(AA62="",Z62=""),"",IFERROR(AA62/Z62-1,""))</f>
        <v/>
      </c>
      <c r="AB69" s="15">
        <f>IF(OR(AB62="",AA62=""),"",IFERROR(AB62/AA62-1,""))</f>
        <v/>
      </c>
      <c r="AC69" s="15">
        <f>IF(OR(AC62="",AB62=""),"",IFERROR(AC62/AB62-1,""))</f>
        <v/>
      </c>
    </row>
    <row r="70">
      <c r="A70" s="18" t="inlineStr">
        <is>
          <t>P/E (현재 주가)</t>
        </is>
      </c>
      <c r="B70" s="10" t="inlineStr">
        <is>
          <t>시총 ÷ 지배순이익</t>
        </is>
      </c>
      <c r="C70" s="30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0" t="n"/>
      <c r="P70" s="31" t="n"/>
      <c r="Q70" s="31" t="n"/>
      <c r="R70" s="31" t="n"/>
      <c r="S70" s="31" t="n"/>
      <c r="T70" s="31" t="n"/>
      <c r="U70" s="31" t="n"/>
      <c r="V70" s="31" t="n"/>
      <c r="W70" s="31" t="n"/>
      <c r="X70" s="31">
        <f>IF(OR($B$67="",X62=""),"",IFERROR($B$67/X62,""))</f>
        <v/>
      </c>
      <c r="Y70" s="30">
        <f>IF(OR($B$67="",Y62=""),"",IFERROR($B$67/Y62,""))</f>
        <v/>
      </c>
      <c r="Z70" s="31">
        <f>IF(OR($B$67="",Z62=""),"",IFERROR($B$67/Z62,""))</f>
        <v/>
      </c>
      <c r="AA70" s="31">
        <f>IF(OR($B$67="",AA62=""),"",IFERROR($B$67/AA62,""))</f>
        <v/>
      </c>
      <c r="AB70" s="31">
        <f>IF(OR($B$67="",AB62=""),"",IFERROR($B$67/AB62,""))</f>
        <v/>
      </c>
      <c r="AC70" s="31">
        <f>IF(OR($B$67="",AC62=""),"",IFERROR($B$67/AC62,""))</f>
        <v/>
      </c>
    </row>
    <row r="71">
      <c r="A71" s="18" t="inlineStr">
        <is>
          <t>Target P/E</t>
        </is>
      </c>
      <c r="B71" s="10" t="inlineStr">
        <is>
          <t>직접 입력</t>
        </is>
      </c>
      <c r="C71" s="30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0" t="n"/>
      <c r="P71" s="31" t="n"/>
      <c r="Q71" s="31" t="n"/>
      <c r="R71" s="31" t="n"/>
      <c r="S71" s="31" t="n"/>
      <c r="T71" s="31" t="n"/>
      <c r="U71" s="31" t="n"/>
      <c r="V71" s="31" t="n"/>
      <c r="W71" s="31" t="n"/>
      <c r="X71" s="31" t="n"/>
      <c r="Y71" s="32" t="n"/>
      <c r="Z71" s="33" t="n"/>
      <c r="AA71" s="33" t="n"/>
      <c r="AB71" s="33" t="n"/>
      <c r="AC71" s="33" t="n"/>
    </row>
    <row r="72">
      <c r="A72" s="18" t="inlineStr">
        <is>
          <t>EPS</t>
        </is>
      </c>
      <c r="B72" s="10" t="inlineStr">
        <is>
          <t>지배순이익 ÷ 주식수</t>
        </is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>
        <f>IF(OR(O62="",$B$66=""),"",IFERROR(O62*1000000.0/$B$66,""))</f>
        <v/>
      </c>
      <c r="P72" s="29">
        <f>IF(OR(P62="",$B$66=""),"",IFERROR(P62*1000000.0/$B$66,""))</f>
        <v/>
      </c>
      <c r="Q72" s="29">
        <f>IF(OR(Q62="",$B$66=""),"",IFERROR(Q62*1000000.0/$B$66,""))</f>
        <v/>
      </c>
      <c r="R72" s="29">
        <f>IF(OR(R62="",$B$66=""),"",IFERROR(R62*1000000.0/$B$66,""))</f>
        <v/>
      </c>
      <c r="S72" s="29">
        <f>IF(OR(S62="",$B$66=""),"",IFERROR(S62*1000000.0/$B$66,""))</f>
        <v/>
      </c>
      <c r="T72" s="29">
        <f>IF(OR(T62="",$B$66=""),"",IFERROR(T62*1000000.0/$B$66,""))</f>
        <v/>
      </c>
      <c r="U72" s="29">
        <f>IF(OR(U62="",$B$66=""),"",IFERROR(U62*1000000.0/$B$66,""))</f>
        <v/>
      </c>
      <c r="V72" s="29">
        <f>IF(OR(V62="",$B$66=""),"",IFERROR(V62*1000000.0/$B$66,""))</f>
        <v/>
      </c>
      <c r="W72" s="29">
        <f>IF(OR(W62="",$B$66=""),"",IFERROR(W62*1000000.0/$B$66,""))</f>
        <v/>
      </c>
      <c r="X72" s="29">
        <f>IF(OR(X62="",$B$66=""),"",IFERROR(X62*1000000.0/$B$66,""))</f>
        <v/>
      </c>
      <c r="Y72" s="28">
        <f>IF(OR(Y62="",$B$66=""),"",IFERROR(Y62*1000000.0/$B$66,""))</f>
        <v/>
      </c>
      <c r="Z72" s="29">
        <f>IF(OR(Z62="",$B$66=""),"",IFERROR(Z62*1000000.0/$B$66,""))</f>
        <v/>
      </c>
      <c r="AA72" s="29">
        <f>IF(OR(AA62="",$B$66=""),"",IFERROR(AA62*1000000.0/$B$66,""))</f>
        <v/>
      </c>
      <c r="AB72" s="29">
        <f>IF(OR(AB62="",$B$66=""),"",IFERROR(AB62*1000000.0/$B$66,""))</f>
        <v/>
      </c>
      <c r="AC72" s="29">
        <f>IF(OR(AC62="",$B$66=""),"",IFERROR(AC62*1000000.0/$B$66,""))</f>
        <v/>
      </c>
    </row>
    <row r="73">
      <c r="A73" s="9" t="inlineStr">
        <is>
          <t>목표주가</t>
        </is>
      </c>
      <c r="B73" s="10" t="n"/>
      <c r="C73" s="34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n"/>
      <c r="O73" s="34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34">
        <f>IF(OR(Y72="",Y71=""),"",IFERROR(Y72*Y71,""))</f>
        <v/>
      </c>
      <c r="Z73" s="27">
        <f>IF(OR(Z72="",Z71=""),"",IFERROR(Z72*Z71,""))</f>
        <v/>
      </c>
      <c r="AA73" s="27">
        <f>IF(OR(AA72="",AA71=""),"",IFERROR(AA72*AA71,""))</f>
        <v/>
      </c>
      <c r="AB73" s="27">
        <f>IF(OR(AB72="",AB71=""),"",IFERROR(AB72*AB71,""))</f>
        <v/>
      </c>
      <c r="AC73" s="27">
        <f>IF(OR(AC72="",AC71=""),"",IFERROR(AC72*AC71,""))</f>
        <v/>
      </c>
    </row>
    <row r="74">
      <c r="A74" s="18" t="inlineStr">
        <is>
          <t>상승여력</t>
        </is>
      </c>
      <c r="B74" s="10" t="n"/>
      <c r="C74" s="35" t="n"/>
      <c r="D74" s="36" t="n"/>
      <c r="E74" s="36" t="n"/>
      <c r="F74" s="36" t="n"/>
      <c r="G74" s="36" t="n"/>
      <c r="H74" s="36" t="n"/>
      <c r="I74" s="36" t="n"/>
      <c r="J74" s="36" t="n"/>
      <c r="K74" s="36" t="n"/>
      <c r="L74" s="36" t="n"/>
      <c r="M74" s="36" t="n"/>
      <c r="N74" s="36" t="n"/>
      <c r="O74" s="35" t="n"/>
      <c r="P74" s="36" t="n"/>
      <c r="Q74" s="36" t="n"/>
      <c r="R74" s="36" t="n"/>
      <c r="S74" s="36" t="n"/>
      <c r="T74" s="36" t="n"/>
      <c r="U74" s="36" t="n"/>
      <c r="V74" s="36" t="n"/>
      <c r="W74" s="36" t="n"/>
      <c r="X74" s="36" t="n"/>
      <c r="Y74" s="37">
        <f>IF(OR(Y73="",$B$65=""),"",IFERROR(Y73/$B$65-1,""))</f>
        <v/>
      </c>
      <c r="Z74" s="38">
        <f>IF(OR(Z73="",$B$65=""),"",IFERROR(Z73/$B$65-1,""))</f>
        <v/>
      </c>
      <c r="AA74" s="38">
        <f>IF(OR(AA73="",$B$65=""),"",IFERROR(AA73/$B$65-1,""))</f>
        <v/>
      </c>
      <c r="AB74" s="38">
        <f>IF(OR(AB73="",$B$65=""),"",IFERROR(AB73/$B$65-1,""))</f>
        <v/>
      </c>
      <c r="AC74" s="38">
        <f>IF(OR(AC73="",$B$65=""),"",IFERROR(AC73/$B$65-1,""))</f>
        <v/>
      </c>
    </row>
    <row r="75">
      <c r="A75" s="16" t="inlineStr">
        <is>
          <t>자산가치 산출</t>
        </is>
      </c>
      <c r="B75" s="16" t="inlineStr">
        <is>
          <t>최신 분기 BS</t>
        </is>
      </c>
      <c r="C75" s="17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7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7" t="n"/>
      <c r="Z75" s="16" t="n"/>
      <c r="AA75" s="16" t="n"/>
      <c r="AB75" s="16" t="n"/>
      <c r="AC75" s="16" t="n"/>
    </row>
    <row r="76">
      <c r="A76" s="18" t="inlineStr">
        <is>
          <t>현금및현금성자산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'재무상태표'!G6</f>
        <v/>
      </c>
      <c r="Y76" s="19">
        <f>'재무상태표'!G6</f>
        <v/>
      </c>
      <c r="Z76" s="20">
        <f>'재무상태표'!G6</f>
        <v/>
      </c>
      <c r="AA76" s="20">
        <f>'재무상태표'!G6</f>
        <v/>
      </c>
      <c r="AB76" s="20">
        <f>'재무상태표'!G6</f>
        <v/>
      </c>
      <c r="AC76" s="20">
        <f>'재무상태표'!G6</f>
        <v/>
      </c>
    </row>
    <row r="77">
      <c r="A77" s="18" t="inlineStr">
        <is>
          <t>단기금융상품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'재무상태표'!G7</f>
        <v/>
      </c>
      <c r="Y77" s="19">
        <f>'재무상태표'!G7</f>
        <v/>
      </c>
      <c r="Z77" s="20">
        <f>'재무상태표'!G7</f>
        <v/>
      </c>
      <c r="AA77" s="20">
        <f>'재무상태표'!G7</f>
        <v/>
      </c>
      <c r="AB77" s="20">
        <f>'재무상태표'!G7</f>
        <v/>
      </c>
      <c r="AC77" s="20">
        <f>'재무상태표'!G7</f>
        <v/>
      </c>
    </row>
    <row r="78">
      <c r="A78" s="18" t="inlineStr">
        <is>
          <t>투자부동산</t>
        </is>
      </c>
      <c r="B78" s="10" t="n"/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>
        <f>'재무상태표'!G14</f>
        <v/>
      </c>
      <c r="Y78" s="19">
        <f>'재무상태표'!G14</f>
        <v/>
      </c>
      <c r="Z78" s="20">
        <f>'재무상태표'!G14</f>
        <v/>
      </c>
      <c r="AA78" s="20">
        <f>'재무상태표'!G14</f>
        <v/>
      </c>
      <c r="AB78" s="20">
        <f>'재무상태표'!G14</f>
        <v/>
      </c>
      <c r="AC78" s="20">
        <f>'재무상태표'!G14</f>
        <v/>
      </c>
    </row>
    <row r="79">
      <c r="A79" s="18" t="inlineStr">
        <is>
          <t>지배자본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'재무상태표'!G31</f>
        <v/>
      </c>
      <c r="Y79" s="19">
        <f>'재무상태표'!G31</f>
        <v/>
      </c>
      <c r="Z79" s="20">
        <f>'재무상태표'!G31</f>
        <v/>
      </c>
      <c r="AA79" s="20">
        <f>'재무상태표'!G31</f>
        <v/>
      </c>
      <c r="AB79" s="20">
        <f>'재무상태표'!G31</f>
        <v/>
      </c>
      <c r="AC79" s="20">
        <f>'재무상태표'!G31</f>
        <v/>
      </c>
    </row>
    <row r="80">
      <c r="A80" s="18" t="inlineStr">
        <is>
          <t>부채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'재무상태표'!G27</f>
        <v/>
      </c>
      <c r="Y80" s="19">
        <f>'재무상태표'!G27</f>
        <v/>
      </c>
      <c r="Z80" s="20">
        <f>'재무상태표'!G27</f>
        <v/>
      </c>
      <c r="AA80" s="20">
        <f>'재무상태표'!G27</f>
        <v/>
      </c>
      <c r="AB80" s="20">
        <f>'재무상태표'!G27</f>
        <v/>
      </c>
      <c r="AC80" s="20">
        <f>'재무상태표'!G27</f>
        <v/>
      </c>
    </row>
    <row r="81">
      <c r="A81" s="13" t="inlineStr">
        <is>
          <t>부채비율</t>
        </is>
      </c>
      <c r="B81" s="10" t="n"/>
      <c r="C81" s="14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4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>
        <f>IF(OR(X80="",X79=""),"",IFERROR(X80/X79,""))</f>
        <v/>
      </c>
      <c r="Y81" s="14">
        <f>IF(OR(Y80="",Y79=""),"",IFERROR(Y80/Y79,""))</f>
        <v/>
      </c>
      <c r="Z81" s="15">
        <f>IF(OR(Z80="",Z79=""),"",IFERROR(Z80/Z79,""))</f>
        <v/>
      </c>
      <c r="AA81" s="15">
        <f>IF(OR(AA80="",AA79=""),"",IFERROR(AA80/AA79,""))</f>
        <v/>
      </c>
      <c r="AB81" s="15">
        <f>IF(OR(AB80="",AB79=""),"",IFERROR(AB80/AB79,""))</f>
        <v/>
      </c>
      <c r="AC81" s="15">
        <f>IF(OR(AC80="",AC79=""),"",IFERROR(AC80/AC79,""))</f>
        <v/>
      </c>
    </row>
    <row r="82">
      <c r="A82" s="9" t="inlineStr">
        <is>
          <t>자산가치</t>
        </is>
      </c>
      <c r="B82" s="10" t="inlineStr">
        <is>
          <t>현금+단기금융+투자부동산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>
        <f>SUM(X76,X77,X78)</f>
        <v/>
      </c>
      <c r="Y82" s="11">
        <f>SUM(Y76,Y77,Y78)</f>
        <v/>
      </c>
      <c r="Z82" s="12">
        <f>SUM(Z76,Z77,Z78)</f>
        <v/>
      </c>
      <c r="AA82" s="12">
        <f>SUM(AA76,AA77,AA78)</f>
        <v/>
      </c>
      <c r="AB82" s="12">
        <f>SUM(AB76,AB77,AB78)</f>
        <v/>
      </c>
      <c r="AC82" s="12">
        <f>SUM(AC76,AC77,AC78)</f>
        <v/>
      </c>
    </row>
    <row r="83">
      <c r="A83" s="16" t="inlineStr">
        <is>
          <t>기업가치 산출</t>
        </is>
      </c>
      <c r="B83" s="16" t="n"/>
      <c r="C83" s="17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7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7" t="n"/>
      <c r="Z83" s="16" t="n"/>
      <c r="AA83" s="16" t="n"/>
      <c r="AB83" s="16" t="n"/>
      <c r="AC83" s="16" t="n"/>
    </row>
    <row r="84">
      <c r="A84" s="18" t="inlineStr">
        <is>
          <t>목표 시가총액 (P/E)</t>
        </is>
      </c>
      <c r="B84" s="10" t="inlineStr">
        <is>
          <t>지배순이익 × Target P/E</t>
        </is>
      </c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 t="n"/>
      <c r="Y84" s="19">
        <f>IF(OR(Y62="",Y71=""),"",IFERROR(Y62*Y71,""))</f>
        <v/>
      </c>
      <c r="Z84" s="20">
        <f>IF(OR(Z62="",Z71=""),"",IFERROR(Z62*Z71,""))</f>
        <v/>
      </c>
      <c r="AA84" s="20">
        <f>IF(OR(AA62="",AA71=""),"",IFERROR(AA62*AA71,""))</f>
        <v/>
      </c>
      <c r="AB84" s="20">
        <f>IF(OR(AB62="",AB71=""),"",IFERROR(AB62*AB71,""))</f>
        <v/>
      </c>
      <c r="AC84" s="20">
        <f>IF(OR(AC62="",AC71=""),"",IFERROR(AC62*AC71,""))</f>
        <v/>
      </c>
    </row>
    <row r="85">
      <c r="A85" s="9" t="inlineStr">
        <is>
          <t>기업가치</t>
        </is>
      </c>
      <c r="B85" s="10" t="inlineStr">
        <is>
          <t>목표시총 + 자산가치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1">
        <f>IF(OR(Y84=""),"",IFERROR(Y84+Y82,""))</f>
        <v/>
      </c>
      <c r="Z85" s="12">
        <f>IF(OR(Z84=""),"",IFERROR(Z84+Z82,""))</f>
        <v/>
      </c>
      <c r="AA85" s="12">
        <f>IF(OR(AA84=""),"",IFERROR(AA84+AA82,""))</f>
        <v/>
      </c>
      <c r="AB85" s="12">
        <f>IF(OR(AB84=""),"",IFERROR(AB84+AB82,""))</f>
        <v/>
      </c>
      <c r="AC85" s="12">
        <f>IF(OR(AC84=""),"",IFERROR(AC84+AC82,""))</f>
        <v/>
      </c>
    </row>
    <row r="86">
      <c r="A86" s="18" t="inlineStr">
        <is>
          <t>현재 시가총액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 t="n"/>
      <c r="Y86" s="19">
        <f>$B$67</f>
        <v/>
      </c>
      <c r="Z86" s="20">
        <f>$B$67</f>
        <v/>
      </c>
      <c r="AA86" s="20">
        <f>$B$67</f>
        <v/>
      </c>
      <c r="AB86" s="20">
        <f>$B$67</f>
        <v/>
      </c>
      <c r="AC86" s="20">
        <f>$B$67</f>
        <v/>
      </c>
    </row>
    <row r="87">
      <c r="A87" s="18" t="inlineStr">
        <is>
          <t>상승여력</t>
        </is>
      </c>
      <c r="B87" s="10" t="n"/>
      <c r="C87" s="35" t="n"/>
      <c r="D87" s="36" t="n"/>
      <c r="E87" s="36" t="n"/>
      <c r="F87" s="36" t="n"/>
      <c r="G87" s="36" t="n"/>
      <c r="H87" s="36" t="n"/>
      <c r="I87" s="36" t="n"/>
      <c r="J87" s="36" t="n"/>
      <c r="K87" s="36" t="n"/>
      <c r="L87" s="36" t="n"/>
      <c r="M87" s="36" t="n"/>
      <c r="N87" s="36" t="n"/>
      <c r="O87" s="35" t="n"/>
      <c r="P87" s="36" t="n"/>
      <c r="Q87" s="36" t="n"/>
      <c r="R87" s="36" t="n"/>
      <c r="S87" s="36" t="n"/>
      <c r="T87" s="36" t="n"/>
      <c r="U87" s="36" t="n"/>
      <c r="V87" s="36" t="n"/>
      <c r="W87" s="36" t="n"/>
      <c r="X87" s="36" t="n"/>
      <c r="Y87" s="37">
        <f>IF(OR(Y85="",Y86=""),"",IFERROR(Y85/Y86-1,""))</f>
        <v/>
      </c>
      <c r="Z87" s="38">
        <f>IF(OR(Z85="",Z86=""),"",IFERROR(Z85/Z86-1,""))</f>
        <v/>
      </c>
      <c r="AA87" s="38">
        <f>IF(OR(AA85="",AA86=""),"",IFERROR(AA85/AA86-1,""))</f>
        <v/>
      </c>
      <c r="AB87" s="38">
        <f>IF(OR(AB85="",AB86=""),"",IFERROR(AB85/AB86-1,""))</f>
        <v/>
      </c>
      <c r="AC87" s="38">
        <f>IF(OR(AC85="",AC86=""),"",IFERROR(AC85/AC86-1,""))</f>
        <v/>
      </c>
    </row>
    <row r="88">
      <c r="C88" s="39" t="n"/>
      <c r="O88" s="39" t="n"/>
      <c r="Y88" s="39" t="n"/>
    </row>
    <row r="89">
      <c r="A89" s="40" t="inlineStr">
        <is>
          <t>출처</t>
        </is>
      </c>
      <c r="C89" s="39" t="n"/>
      <c r="O89" s="39" t="n"/>
      <c r="Y89" s="39" t="n"/>
    </row>
    <row r="90">
      <c r="A90" s="41" t="inlineStr">
        <is>
          <t>결산단신 XBRL(TDnet·JPX 보관소) — 쓴 문서는 '출처' 시트</t>
        </is>
      </c>
      <c r="C90" s="39" t="n"/>
      <c r="O90" s="39" t="n"/>
      <c r="Y90" s="39" t="n"/>
    </row>
    <row r="91">
      <c r="A91" s="41" t="inlineStr">
        <is>
          <t>분기 = 누계에서 앞 분기를 뺀 3개월 값</t>
        </is>
      </c>
      <c r="C91" s="39" t="n"/>
      <c r="O91" s="39" t="n"/>
      <c r="Y91" s="39" t="n"/>
    </row>
    <row r="92">
      <c r="A92" s="41" t="inlineStr">
        <is>
          <t>주가: 야후 파이낸스 일봉 2026.10.27</t>
        </is>
      </c>
      <c r="C92" s="39" t="n"/>
      <c r="O92" s="39" t="n"/>
      <c r="Y92" s="39" t="n"/>
    </row>
    <row r="94">
      <c r="A94" s="16" t="inlineStr">
        <is>
          <t>손익계산서 · 전 항목</t>
        </is>
      </c>
      <c r="B94" s="42" t="inlineStr">
        <is>
          <t>분기 = 3개월 단독</t>
        </is>
      </c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</row>
    <row r="95">
      <c r="A95" s="5" t="inlineStr">
        <is>
          <t>항목</t>
        </is>
      </c>
      <c r="B95" s="5" t="inlineStr">
        <is>
          <t>참고</t>
        </is>
      </c>
      <c r="C95" s="5" t="inlineStr">
        <is>
          <t>2023.4Q</t>
        </is>
      </c>
      <c r="D95" s="5" t="inlineStr">
        <is>
          <t>2024.1Q</t>
        </is>
      </c>
      <c r="E95" s="5" t="inlineStr">
        <is>
          <t>2024.2Q</t>
        </is>
      </c>
      <c r="F95" s="5" t="inlineStr">
        <is>
          <t>2024.3Q</t>
        </is>
      </c>
      <c r="G95" s="5" t="inlineStr">
        <is>
          <t>2024.4Q</t>
        </is>
      </c>
      <c r="H95" s="5" t="inlineStr">
        <is>
          <t>2025.1Q</t>
        </is>
      </c>
      <c r="I95" s="5" t="inlineStr">
        <is>
          <t>2025.2Q</t>
        </is>
      </c>
      <c r="J95" s="5" t="inlineStr">
        <is>
          <t>2025.3Q</t>
        </is>
      </c>
      <c r="K95" s="5" t="inlineStr">
        <is>
          <t>2025.4Q</t>
        </is>
      </c>
      <c r="L95" s="5" t="inlineStr">
        <is>
          <t>2026.1Q</t>
        </is>
      </c>
      <c r="M95" s="5" t="inlineStr">
        <is>
          <t>2026.2Q</t>
        </is>
      </c>
      <c r="N95" s="5" t="inlineStr">
        <is>
          <t>2026.3Q</t>
        </is>
      </c>
      <c r="O95" s="5" t="inlineStr">
        <is>
          <t>2016</t>
        </is>
      </c>
      <c r="P95" s="5" t="inlineStr">
        <is>
          <t>2017</t>
        </is>
      </c>
      <c r="Q95" s="5" t="inlineStr">
        <is>
          <t>2018</t>
        </is>
      </c>
      <c r="R95" s="5" t="inlineStr">
        <is>
          <t>2019</t>
        </is>
      </c>
      <c r="S95" s="5" t="inlineStr">
        <is>
          <t>2020</t>
        </is>
      </c>
      <c r="T95" s="5" t="inlineStr">
        <is>
          <t>2021</t>
        </is>
      </c>
      <c r="U95" s="5" t="inlineStr">
        <is>
          <t>2022</t>
        </is>
      </c>
      <c r="V95" s="5" t="inlineStr">
        <is>
          <t>2023</t>
        </is>
      </c>
      <c r="W95" s="5" t="inlineStr">
        <is>
          <t>2024</t>
        </is>
      </c>
      <c r="X95" s="5" t="inlineStr">
        <is>
          <t>2025</t>
        </is>
      </c>
      <c r="Y95" s="5" t="inlineStr">
        <is>
          <t>2026(MW)</t>
        </is>
      </c>
      <c r="Z95" s="5" t="inlineStr">
        <is>
          <t>2027(MW)</t>
        </is>
      </c>
      <c r="AA95" s="5" t="inlineStr">
        <is>
          <t>2028(MW)</t>
        </is>
      </c>
      <c r="AB95" s="5" t="inlineStr">
        <is>
          <t>2029(MW)</t>
        </is>
      </c>
      <c r="AC95" s="5" t="inlineStr">
        <is>
          <t>2030(MW)</t>
        </is>
      </c>
    </row>
    <row r="96">
      <c r="A96" s="9" t="inlineStr">
        <is>
          <t>매출액</t>
        </is>
      </c>
      <c r="C96" s="12" t="n">
        <v>8796.512000000001</v>
      </c>
      <c r="D96" s="12" t="n">
        <v>9544.098</v>
      </c>
      <c r="E96" s="12" t="n">
        <v>10320.352</v>
      </c>
      <c r="F96" s="12" t="n">
        <v>9809.112999999999</v>
      </c>
      <c r="G96" s="12" t="n">
        <v>10690.274</v>
      </c>
      <c r="H96" s="12" t="n">
        <v>11706.875</v>
      </c>
      <c r="I96" s="12" t="n">
        <v>11530.411</v>
      </c>
      <c r="J96" s="12" t="n">
        <v>12069.209</v>
      </c>
      <c r="K96" s="12" t="n">
        <v>15043.448</v>
      </c>
      <c r="L96" s="12" t="n">
        <v>14670.082</v>
      </c>
      <c r="M96" s="12" t="n">
        <v>14322.475</v>
      </c>
      <c r="N96" s="12" t="n">
        <v>17916.189</v>
      </c>
      <c r="U96" s="12" t="n">
        <v>6181.105</v>
      </c>
      <c r="V96" s="12" t="n">
        <v>8796.512000000001</v>
      </c>
      <c r="W96" s="12" t="n">
        <v>10690.274</v>
      </c>
      <c r="X96" s="12" t="n">
        <v>15043.448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IF(OR(G96="",C96=""),"",IF(C96&lt;=0,"",IFERROR(G96/C96-1,"")))</f>
        <v/>
      </c>
      <c r="H97" s="15">
        <f>IF(OR(H96="",D96=""),"",IF(D96&lt;=0,"",IFERROR(H96/D96-1,"")))</f>
        <v/>
      </c>
      <c r="I97" s="15">
        <f>IF(OR(I96="",E96=""),"",IF(E96&lt;=0,"",IFERROR(I96/E96-1,"")))</f>
        <v/>
      </c>
      <c r="J97" s="15">
        <f>IF(OR(J96="",F96=""),"",IF(F96&lt;=0,"",IFERROR(J96/F96-1,"")))</f>
        <v/>
      </c>
      <c r="K97" s="15">
        <f>IF(OR(K96="",G96=""),"",IF(G96&lt;=0,"",IFERROR(K96/G96-1,"")))</f>
        <v/>
      </c>
      <c r="L97" s="15">
        <f>IF(OR(L96="",H96=""),"",IF(H96&lt;=0,"",IFERROR(L96/H96-1,"")))</f>
        <v/>
      </c>
      <c r="M97" s="15">
        <f>IF(OR(M96="",I96=""),"",IF(I96&lt;=0,"",IFERROR(M96/I96-1,"")))</f>
        <v/>
      </c>
      <c r="N97" s="15">
        <f>IF(OR(N96="",J96=""),"",IF(J96&lt;=0,"",IFERROR(N96/J96-1,"")))</f>
        <v/>
      </c>
      <c r="U97" s="15">
        <f>IF(OR(U96="",T96=""),"",IF(T96&lt;=0,"",IFERROR(U96/T96-1,"")))</f>
        <v/>
      </c>
      <c r="V97" s="15">
        <f>IF(OR(V96="",U96=""),"",IF(U96&lt;=0,"",IFERROR(V96/U96-1,"")))</f>
        <v/>
      </c>
      <c r="W97" s="15">
        <f>IF(OR(W96="",V96=""),"",IF(V96&lt;=0,"",IFERROR(W96/V96-1,"")))</f>
        <v/>
      </c>
      <c r="X97" s="15">
        <f>IF(OR(X96="",W96=""),"",IF(W96&lt;=0,"",IFERROR(X96/W96-1,"")))</f>
        <v/>
      </c>
    </row>
    <row r="98">
      <c r="A98" s="18" t="inlineStr">
        <is>
          <t>매출원가</t>
        </is>
      </c>
      <c r="C98" s="20" t="n">
        <v>3309.614</v>
      </c>
      <c r="D98" s="20" t="n">
        <v>3004.245</v>
      </c>
      <c r="E98" s="20" t="n">
        <v>3468.631</v>
      </c>
      <c r="F98" s="20" t="n">
        <v>3274.851</v>
      </c>
      <c r="G98" s="20" t="n">
        <v>3555.665</v>
      </c>
      <c r="H98" s="20" t="n">
        <v>3680.643</v>
      </c>
      <c r="I98" s="20" t="n">
        <v>3910.143</v>
      </c>
      <c r="J98" s="20" t="n">
        <v>3786.369</v>
      </c>
      <c r="K98" s="20" t="n">
        <v>4742.243</v>
      </c>
      <c r="L98" s="20" t="n">
        <v>4020.24</v>
      </c>
      <c r="M98" s="20" t="n">
        <v>4924.507</v>
      </c>
      <c r="N98" s="20" t="n">
        <v>5578.259</v>
      </c>
      <c r="U98" s="20" t="n">
        <v>2463.419</v>
      </c>
      <c r="V98" s="20" t="n">
        <v>3309.614</v>
      </c>
      <c r="W98" s="20" t="n">
        <v>3555.665</v>
      </c>
      <c r="X98" s="20" t="n">
        <v>4742.243</v>
      </c>
    </row>
    <row r="99">
      <c r="A99" s="9" t="inlineStr">
        <is>
          <t>매출총이익</t>
        </is>
      </c>
      <c r="C99" s="12" t="n">
        <v>5486.898</v>
      </c>
      <c r="D99" s="12" t="n">
        <v>6539.853</v>
      </c>
      <c r="E99" s="12" t="n">
        <v>6851.72</v>
      </c>
      <c r="F99" s="12" t="n">
        <v>6534.262</v>
      </c>
      <c r="G99" s="12" t="n">
        <v>7134.61</v>
      </c>
      <c r="H99" s="12" t="n">
        <v>8026.232</v>
      </c>
      <c r="I99" s="12" t="n">
        <v>7620.268</v>
      </c>
      <c r="J99" s="12" t="n">
        <v>8282.84</v>
      </c>
      <c r="K99" s="12" t="n">
        <v>10301.205</v>
      </c>
      <c r="L99" s="12" t="n">
        <v>10649.841</v>
      </c>
      <c r="M99" s="12" t="n">
        <v>9397.968999999999</v>
      </c>
      <c r="N99" s="12" t="n">
        <v>12337.93</v>
      </c>
      <c r="U99" s="12" t="n">
        <v>3717.686</v>
      </c>
      <c r="V99" s="12" t="n">
        <v>5486.898</v>
      </c>
      <c r="W99" s="12" t="n">
        <v>7134.61</v>
      </c>
      <c r="X99" s="12" t="n">
        <v>10301.205</v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IF(OR(G99="",C99=""),"",IF(C99&lt;=0,"",IFERROR(G99/C99-1,"")))</f>
        <v/>
      </c>
      <c r="H100" s="15">
        <f>IF(OR(H99="",D99=""),"",IF(D99&lt;=0,"",IFERROR(H99/D99-1,"")))</f>
        <v/>
      </c>
      <c r="I100" s="15">
        <f>IF(OR(I99="",E99=""),"",IF(E99&lt;=0,"",IFERROR(I99/E99-1,"")))</f>
        <v/>
      </c>
      <c r="J100" s="15">
        <f>IF(OR(J99="",F99=""),"",IF(F99&lt;=0,"",IFERROR(J99/F99-1,"")))</f>
        <v/>
      </c>
      <c r="K100" s="15">
        <f>IF(OR(K99="",G99=""),"",IF(G99&lt;=0,"",IFERROR(K99/G99-1,"")))</f>
        <v/>
      </c>
      <c r="L100" s="15">
        <f>IF(OR(L99="",H99=""),"",IF(H99&lt;=0,"",IFERROR(L99/H99-1,"")))</f>
        <v/>
      </c>
      <c r="M100" s="15">
        <f>IF(OR(M99="",I99=""),"",IF(I99&lt;=0,"",IFERROR(M99/I99-1,"")))</f>
        <v/>
      </c>
      <c r="N100" s="15">
        <f>IF(OR(N99="",J99=""),"",IF(J99&lt;=0,"",IFERROR(N99/J99-1,"")))</f>
        <v/>
      </c>
      <c r="U100" s="15">
        <f>IF(OR(U99="",T99=""),"",IF(T99&lt;=0,"",IFERROR(U99/T99-1,"")))</f>
        <v/>
      </c>
      <c r="V100" s="15">
        <f>IF(OR(V99="",U99=""),"",IF(U99&lt;=0,"",IFERROR(V99/U99-1,"")))</f>
        <v/>
      </c>
      <c r="W100" s="15">
        <f>IF(OR(W99="",V99=""),"",IF(V99&lt;=0,"",IFERROR(W99/V99-1,"")))</f>
        <v/>
      </c>
      <c r="X100" s="15">
        <f>IF(OR(X99="",W99=""),"",IF(W99&lt;=0,"",IFERROR(X99/W99-1,"")))</f>
        <v/>
      </c>
    </row>
    <row r="101">
      <c r="A101" s="18" t="inlineStr">
        <is>
          <t>판매비와 관리비</t>
        </is>
      </c>
      <c r="C101" s="20" t="n">
        <v>7252.078</v>
      </c>
      <c r="D101" s="20" t="n">
        <v>7532.417</v>
      </c>
      <c r="E101" s="20" t="n">
        <v>7686.735</v>
      </c>
      <c r="F101" s="20" t="n">
        <v>7543.798</v>
      </c>
      <c r="G101" s="20" t="n">
        <v>9032.638000000001</v>
      </c>
      <c r="H101" s="20" t="n">
        <v>8606.963</v>
      </c>
      <c r="I101" s="20" t="n">
        <v>8632.405000000001</v>
      </c>
      <c r="J101" s="20" t="n">
        <v>8669.549999999999</v>
      </c>
      <c r="K101" s="20" t="n">
        <v>10975.023</v>
      </c>
      <c r="L101" s="20" t="n">
        <v>10481.815</v>
      </c>
      <c r="M101" s="20" t="n">
        <v>9775.114</v>
      </c>
      <c r="N101" s="20" t="n">
        <v>10442.432</v>
      </c>
      <c r="U101" s="20" t="n">
        <v>5880.199</v>
      </c>
      <c r="V101" s="20" t="n">
        <v>7252.078</v>
      </c>
      <c r="W101" s="20" t="n">
        <v>9032.638000000001</v>
      </c>
      <c r="X101" s="20" t="n">
        <v>10975.023</v>
      </c>
    </row>
    <row r="102">
      <c r="A102" s="9" t="inlineStr">
        <is>
          <t>영업이익(△는 영업손실)</t>
        </is>
      </c>
      <c r="C102" s="12" t="n">
        <v>-1765.18</v>
      </c>
      <c r="D102" s="12" t="n">
        <v>-992.564</v>
      </c>
      <c r="E102" s="12" t="n">
        <v>-835.015</v>
      </c>
      <c r="F102" s="12" t="n">
        <v>-1009.535</v>
      </c>
      <c r="G102" s="12" t="n">
        <v>-1898.029</v>
      </c>
      <c r="H102" s="12" t="n">
        <v>-580.73</v>
      </c>
      <c r="I102" s="12" t="n">
        <v>-1012.138</v>
      </c>
      <c r="J102" s="12" t="n">
        <v>-386.71</v>
      </c>
      <c r="K102" s="12" t="n">
        <v>-673.818</v>
      </c>
      <c r="L102" s="12" t="n">
        <v>168.026</v>
      </c>
      <c r="M102" s="12" t="n">
        <v>-377.145</v>
      </c>
      <c r="N102" s="12" t="n">
        <v>1895.497</v>
      </c>
      <c r="U102" s="12" t="n">
        <v>-2162.514</v>
      </c>
      <c r="V102" s="12" t="n">
        <v>-1765.18</v>
      </c>
      <c r="W102" s="12" t="n">
        <v>-1898.029</v>
      </c>
      <c r="X102" s="12" t="n">
        <v>-673.818</v>
      </c>
    </row>
    <row r="103">
      <c r="A103" s="43" t="inlineStr">
        <is>
          <t>OPM</t>
        </is>
      </c>
      <c r="B103" s="3" t="inlineStr">
        <is>
          <t>영업이익 ÷ 매출</t>
        </is>
      </c>
      <c r="C103" s="15">
        <f>IF(OR(C102="",C96=""),"",IF(C96&lt;=0,"",IFERROR(C102/C96,"")))</f>
        <v/>
      </c>
      <c r="D103" s="15">
        <f>IF(OR(D102="",D96=""),"",IF(D96&lt;=0,"",IFERROR(D102/D96,"")))</f>
        <v/>
      </c>
      <c r="E103" s="15">
        <f>IF(OR(E102="",E96=""),"",IF(E96&lt;=0,"",IFERROR(E102/E96,"")))</f>
        <v/>
      </c>
      <c r="F103" s="15">
        <f>IF(OR(F102="",F96=""),"",IF(F96&lt;=0,"",IFERROR(F102/F96,"")))</f>
        <v/>
      </c>
      <c r="G103" s="15">
        <f>IF(OR(G102="",G96=""),"",IF(G96&lt;=0,"",IFERROR(G102/G96,"")))</f>
        <v/>
      </c>
      <c r="H103" s="15">
        <f>IF(OR(H102="",H96=""),"",IF(H96&lt;=0,"",IFERROR(H102/H96,"")))</f>
        <v/>
      </c>
      <c r="I103" s="15">
        <f>IF(OR(I102="",I96=""),"",IF(I96&lt;=0,"",IFERROR(I102/I96,"")))</f>
        <v/>
      </c>
      <c r="J103" s="15">
        <f>IF(OR(J102="",J96=""),"",IF(J96&lt;=0,"",IFERROR(J102/J96,"")))</f>
        <v/>
      </c>
      <c r="K103" s="15">
        <f>IF(OR(K102="",K96=""),"",IF(K96&lt;=0,"",IFERROR(K102/K96,"")))</f>
        <v/>
      </c>
      <c r="L103" s="15">
        <f>IF(OR(L102="",L96=""),"",IF(L96&lt;=0,"",IFERROR(L102/L96,"")))</f>
        <v/>
      </c>
      <c r="M103" s="15">
        <f>IF(OR(M102="",M96=""),"",IF(M96&lt;=0,"",IFERROR(M102/M96,"")))</f>
        <v/>
      </c>
      <c r="N103" s="15">
        <f>IF(OR(N102="",N96=""),"",IF(N96&lt;=0,"",IFERROR(N102/N96,"")))</f>
        <v/>
      </c>
      <c r="U103" s="15">
        <f>IF(OR(U102="",U96=""),"",IF(U96&lt;=0,"",IFERROR(U102/U96,"")))</f>
        <v/>
      </c>
      <c r="V103" s="15">
        <f>IF(OR(V102="",V96=""),"",IF(V96&lt;=0,"",IFERROR(V102/V96,"")))</f>
        <v/>
      </c>
      <c r="W103" s="15">
        <f>IF(OR(W102="",W96=""),"",IF(W96&lt;=0,"",IFERROR(W102/W96,"")))</f>
        <v/>
      </c>
      <c r="X103" s="15">
        <f>IF(OR(X102="",X96=""),"",IF(X96&lt;=0,"",IFERROR(X102/X96,"")))</f>
        <v/>
      </c>
    </row>
    <row r="104">
      <c r="A104" s="43" t="inlineStr">
        <is>
          <t>YoY</t>
        </is>
      </c>
      <c r="B104" s="3" t="inlineStr">
        <is>
          <t>전년 같은 분기·전년 대비</t>
        </is>
      </c>
      <c r="G104" s="15">
        <f>IF(OR(G102="",C102=""),"",IF(C102&lt;=0,"",IFERROR(G102/C102-1,"")))</f>
        <v/>
      </c>
      <c r="H104" s="15">
        <f>IF(OR(H102="",D102=""),"",IF(D102&lt;=0,"",IFERROR(H102/D102-1,"")))</f>
        <v/>
      </c>
      <c r="I104" s="15">
        <f>IF(OR(I102="",E102=""),"",IF(E102&lt;=0,"",IFERROR(I102/E102-1,"")))</f>
        <v/>
      </c>
      <c r="J104" s="15">
        <f>IF(OR(J102="",F102=""),"",IF(F102&lt;=0,"",IFERROR(J102/F102-1,"")))</f>
        <v/>
      </c>
      <c r="K104" s="15">
        <f>IF(OR(K102="",G102=""),"",IF(G102&lt;=0,"",IFERROR(K102/G102-1,"")))</f>
        <v/>
      </c>
      <c r="L104" s="15">
        <f>IF(OR(L102="",H102=""),"",IF(H102&lt;=0,"",IFERROR(L102/H102-1,"")))</f>
        <v/>
      </c>
      <c r="M104" s="15">
        <f>IF(OR(M102="",I102=""),"",IF(I102&lt;=0,"",IFERROR(M102/I102-1,"")))</f>
        <v/>
      </c>
      <c r="N104" s="15">
        <f>IF(OR(N102="",J102=""),"",IF(J102&lt;=0,"",IFERROR(N102/J102-1,"")))</f>
        <v/>
      </c>
      <c r="U104" s="15">
        <f>IF(OR(U102="",T102=""),"",IF(T102&lt;=0,"",IFERROR(U102/T102-1,"")))</f>
        <v/>
      </c>
      <c r="V104" s="15">
        <f>IF(OR(V102="",U102=""),"",IF(U102&lt;=0,"",IFERROR(V102/U102-1,"")))</f>
        <v/>
      </c>
      <c r="W104" s="15">
        <f>IF(OR(W102="",V102=""),"",IF(V102&lt;=0,"",IFERROR(W102/V102-1,"")))</f>
        <v/>
      </c>
      <c r="X104" s="15">
        <f>IF(OR(X102="",W102=""),"",IF(W102&lt;=0,"",IFERROR(X102/W102-1,"")))</f>
        <v/>
      </c>
    </row>
    <row r="105">
      <c r="A105" s="18" t="inlineStr">
        <is>
          <t>이자수익</t>
        </is>
      </c>
      <c r="C105" s="20" t="n">
        <v>0.785</v>
      </c>
      <c r="D105" s="20" t="n">
        <v>1.07</v>
      </c>
      <c r="E105" s="20" t="n">
        <v>1.077</v>
      </c>
      <c r="F105" s="20" t="n">
        <v>3.269</v>
      </c>
      <c r="G105" s="20" t="n">
        <v>1.075</v>
      </c>
      <c r="H105" s="20" t="n">
        <v>19.271</v>
      </c>
      <c r="I105" s="20" t="n">
        <v>3.574</v>
      </c>
      <c r="J105" s="20" t="n">
        <v>29.738</v>
      </c>
      <c r="K105" s="20" t="n">
        <v>5.383</v>
      </c>
      <c r="L105" s="20" t="n">
        <v>45.858</v>
      </c>
      <c r="M105" s="20" t="n">
        <v>15.392</v>
      </c>
      <c r="N105" s="20" t="n">
        <v>51.835</v>
      </c>
      <c r="U105" s="20" t="n">
        <v>0.18</v>
      </c>
      <c r="V105" s="20" t="n">
        <v>0.785</v>
      </c>
      <c r="W105" s="20" t="n">
        <v>1.075</v>
      </c>
      <c r="X105" s="20" t="n">
        <v>5.383</v>
      </c>
    </row>
    <row r="106">
      <c r="A106" s="18" t="inlineStr">
        <is>
          <t>외환차익</t>
        </is>
      </c>
      <c r="D106" s="20" t="n">
        <v>0</v>
      </c>
      <c r="E106" s="20" t="n">
        <v>0</v>
      </c>
      <c r="F106" s="20" t="n">
        <v>0</v>
      </c>
      <c r="G106" s="20" t="n">
        <v>0</v>
      </c>
      <c r="H106" s="20" t="n">
        <v>30.362</v>
      </c>
      <c r="I106" s="20" t="n">
        <v>28.56</v>
      </c>
      <c r="J106" s="20" t="n">
        <v>3.499</v>
      </c>
      <c r="K106" s="20" t="n">
        <v>-27.46</v>
      </c>
      <c r="W106" s="20" t="n">
        <v>0</v>
      </c>
      <c r="X106" s="20" t="n">
        <v>-27.46</v>
      </c>
    </row>
    <row r="107">
      <c r="A107" s="18" t="inlineStr">
        <is>
          <t>보조금 수입</t>
        </is>
      </c>
      <c r="C107" s="20" t="n">
        <v>1.696</v>
      </c>
      <c r="D107" s="20" t="n">
        <v>1.752</v>
      </c>
      <c r="E107" s="20" t="n">
        <v>1.32</v>
      </c>
      <c r="F107" s="20" t="n">
        <v>1.375</v>
      </c>
      <c r="G107" s="20" t="n">
        <v>1.82</v>
      </c>
      <c r="H107" s="20" t="n">
        <v>1.963</v>
      </c>
      <c r="I107" s="20" t="n">
        <v>0.2</v>
      </c>
      <c r="J107" s="20" t="n">
        <v>0</v>
      </c>
      <c r="U107" s="20" t="n">
        <v>1.571</v>
      </c>
      <c r="V107" s="20" t="n">
        <v>1.696</v>
      </c>
      <c r="W107" s="20" t="n">
        <v>1.82</v>
      </c>
    </row>
    <row r="108">
      <c r="A108" s="18" t="inlineStr">
        <is>
          <t>수취 지연손해금</t>
        </is>
      </c>
      <c r="D108" s="20" t="n">
        <v>0</v>
      </c>
      <c r="H108" s="20" t="n">
        <v>0.225</v>
      </c>
    </row>
    <row r="109">
      <c r="A109" s="18" t="inlineStr">
        <is>
          <t>리스투자자산 수취이자 상당액</t>
        </is>
      </c>
      <c r="H109" s="20" t="n">
        <v>0</v>
      </c>
      <c r="I109" s="20" t="n">
        <v>0</v>
      </c>
      <c r="J109" s="20" t="n">
        <v>0</v>
      </c>
      <c r="L109" s="20" t="n">
        <v>3.234</v>
      </c>
      <c r="M109" s="20" t="n">
        <v>3.21</v>
      </c>
      <c r="N109" s="20" t="n">
        <v>3.95</v>
      </c>
    </row>
    <row r="110">
      <c r="A110" s="18" t="inlineStr">
        <is>
          <t>배당금수익</t>
        </is>
      </c>
      <c r="C110" s="20" t="n">
        <v>0</v>
      </c>
      <c r="D110" s="20" t="n">
        <v>0</v>
      </c>
      <c r="E110" s="20" t="n">
        <v>0</v>
      </c>
      <c r="F110" s="20" t="n">
        <v>0</v>
      </c>
      <c r="G110" s="20" t="n">
        <v>0</v>
      </c>
      <c r="H110" s="20" t="n">
        <v>3.634</v>
      </c>
      <c r="I110" s="20" t="n">
        <v>2</v>
      </c>
      <c r="J110" s="20" t="n">
        <v>0</v>
      </c>
      <c r="L110" s="20" t="n">
        <v>0</v>
      </c>
      <c r="M110" s="20" t="n">
        <v>0.79</v>
      </c>
      <c r="N110" s="20" t="n">
        <v>0</v>
      </c>
      <c r="U110" s="20" t="n">
        <v>0</v>
      </c>
      <c r="V110" s="20" t="n">
        <v>0</v>
      </c>
      <c r="W110" s="20" t="n">
        <v>0</v>
      </c>
    </row>
    <row r="111">
      <c r="A111" s="18" t="inlineStr">
        <is>
          <t>수취 리스료</t>
        </is>
      </c>
      <c r="J111" s="20" t="n">
        <v>0</v>
      </c>
      <c r="N111" s="20" t="n">
        <v>1.857</v>
      </c>
    </row>
    <row r="112">
      <c r="A112" s="18" t="inlineStr">
        <is>
          <t>기타</t>
        </is>
      </c>
      <c r="C112" s="20" t="n">
        <v>1.646</v>
      </c>
      <c r="D112" s="20" t="n">
        <v>1.263</v>
      </c>
      <c r="E112" s="20" t="n">
        <v>1.487</v>
      </c>
      <c r="F112" s="20" t="n">
        <v>5.563</v>
      </c>
      <c r="G112" s="20" t="n">
        <v>12.486</v>
      </c>
      <c r="H112" s="20" t="n">
        <v>39.425</v>
      </c>
      <c r="I112" s="20" t="n">
        <v>32.146</v>
      </c>
      <c r="J112" s="20" t="n">
        <v>12.489</v>
      </c>
      <c r="K112" s="20" t="n">
        <v>-50.961</v>
      </c>
      <c r="L112" s="20" t="n">
        <v>10.797</v>
      </c>
      <c r="M112" s="20" t="n">
        <v>-1.341</v>
      </c>
      <c r="N112" s="20" t="n">
        <v>10.16</v>
      </c>
      <c r="U112" s="20" t="n">
        <v>1.249</v>
      </c>
      <c r="V112" s="20" t="n">
        <v>1.646</v>
      </c>
      <c r="W112" s="20" t="n">
        <v>12.486</v>
      </c>
      <c r="X112" s="20" t="n">
        <v>-50.961</v>
      </c>
    </row>
    <row r="113">
      <c r="A113" s="18" t="inlineStr">
        <is>
          <t>영업외수익 합계</t>
        </is>
      </c>
      <c r="C113" s="20" t="n">
        <v>4.127</v>
      </c>
      <c r="D113" s="20" t="n">
        <v>4.086</v>
      </c>
      <c r="E113" s="20" t="n">
        <v>3.884</v>
      </c>
      <c r="F113" s="20" t="n">
        <v>10.206</v>
      </c>
      <c r="G113" s="20" t="n">
        <v>9.115</v>
      </c>
      <c r="H113" s="20" t="n">
        <v>62.331</v>
      </c>
      <c r="I113" s="20" t="n">
        <v>37.719</v>
      </c>
      <c r="J113" s="20" t="n">
        <v>42.228</v>
      </c>
      <c r="K113" s="20" t="n">
        <v>-16.251</v>
      </c>
      <c r="L113" s="20" t="n">
        <v>59.89</v>
      </c>
      <c r="M113" s="20" t="n">
        <v>24.582</v>
      </c>
      <c r="N113" s="20" t="n">
        <v>67.80500000000001</v>
      </c>
      <c r="U113" s="20" t="n">
        <v>4.21</v>
      </c>
      <c r="V113" s="20" t="n">
        <v>4.127</v>
      </c>
      <c r="W113" s="20" t="n">
        <v>9.115</v>
      </c>
      <c r="X113" s="20" t="n">
        <v>-16.251</v>
      </c>
    </row>
    <row r="114">
      <c r="A114" s="18" t="inlineStr">
        <is>
          <t>이자비용</t>
        </is>
      </c>
      <c r="C114" s="20" t="n">
        <v>30.65</v>
      </c>
      <c r="D114" s="20" t="n">
        <v>35.224</v>
      </c>
      <c r="E114" s="20" t="n">
        <v>35.682</v>
      </c>
      <c r="F114" s="20" t="n">
        <v>42.513</v>
      </c>
      <c r="G114" s="20" t="n">
        <v>59.233</v>
      </c>
      <c r="H114" s="20" t="n">
        <v>63.67</v>
      </c>
      <c r="I114" s="20" t="n">
        <v>65.129</v>
      </c>
      <c r="J114" s="20" t="n">
        <v>69.857</v>
      </c>
      <c r="K114" s="20" t="n">
        <v>64.50700000000001</v>
      </c>
      <c r="L114" s="20" t="n">
        <v>89.505</v>
      </c>
      <c r="M114" s="20" t="n">
        <v>117.414</v>
      </c>
      <c r="N114" s="20" t="n">
        <v>141.525</v>
      </c>
      <c r="U114" s="20" t="n">
        <v>23.719</v>
      </c>
      <c r="V114" s="20" t="n">
        <v>30.65</v>
      </c>
      <c r="W114" s="20" t="n">
        <v>59.233</v>
      </c>
      <c r="X114" s="20" t="n">
        <v>64.50700000000001</v>
      </c>
    </row>
    <row r="115">
      <c r="A115" s="18" t="inlineStr">
        <is>
          <t>주식교부비</t>
        </is>
      </c>
      <c r="D115" s="20" t="n">
        <v>0</v>
      </c>
      <c r="E115" s="20" t="n">
        <v>4.404</v>
      </c>
      <c r="F115" s="20" t="n">
        <v>0</v>
      </c>
      <c r="G115" s="20" t="n">
        <v>0.67</v>
      </c>
      <c r="H115" s="20" t="n">
        <v>17.972</v>
      </c>
      <c r="I115" s="20" t="n">
        <v>0</v>
      </c>
      <c r="J115" s="20" t="n">
        <v>4.028</v>
      </c>
      <c r="K115" s="20" t="n">
        <v>0.005</v>
      </c>
      <c r="W115" s="20" t="n">
        <v>0.67</v>
      </c>
      <c r="X115" s="20" t="n">
        <v>0.005</v>
      </c>
    </row>
    <row r="116">
      <c r="A116" s="18" t="inlineStr">
        <is>
          <t>사채발행비</t>
        </is>
      </c>
      <c r="C116" s="20" t="n">
        <v>2.978</v>
      </c>
      <c r="G116" s="20" t="n">
        <v>0</v>
      </c>
      <c r="U116" s="20" t="n">
        <v>0</v>
      </c>
      <c r="V116" s="20" t="n">
        <v>2.978</v>
      </c>
      <c r="W116" s="20" t="n">
        <v>0</v>
      </c>
    </row>
    <row r="117">
      <c r="A117" s="18" t="inlineStr">
        <is>
          <t>리스부채 이자비용</t>
        </is>
      </c>
      <c r="H117" s="20" t="n">
        <v>0</v>
      </c>
      <c r="I117" s="20" t="n">
        <v>0</v>
      </c>
      <c r="J117" s="20" t="n">
        <v>0</v>
      </c>
      <c r="L117" s="20" t="n">
        <v>22.709</v>
      </c>
      <c r="M117" s="20" t="n">
        <v>19.453</v>
      </c>
      <c r="N117" s="20" t="n">
        <v>22.506</v>
      </c>
    </row>
    <row r="118">
      <c r="A118" s="18" t="inlineStr">
        <is>
          <t>외환차손</t>
        </is>
      </c>
      <c r="C118" s="20" t="n">
        <v>17.279</v>
      </c>
      <c r="D118" s="20" t="n">
        <v>24.228</v>
      </c>
      <c r="E118" s="20" t="n">
        <v>37.242</v>
      </c>
      <c r="F118" s="20" t="n">
        <v>-40.715</v>
      </c>
      <c r="G118" s="20" t="n">
        <v>44.534</v>
      </c>
      <c r="H118" s="20" t="n">
        <v>0</v>
      </c>
      <c r="I118" s="20" t="n">
        <v>0</v>
      </c>
      <c r="J118" s="20" t="n">
        <v>0</v>
      </c>
      <c r="K118" s="20" t="n">
        <v>0</v>
      </c>
      <c r="U118" s="20" t="n">
        <v>4.864</v>
      </c>
      <c r="V118" s="20" t="n">
        <v>17.279</v>
      </c>
      <c r="W118" s="20" t="n">
        <v>44.534</v>
      </c>
      <c r="X118" s="20" t="n">
        <v>0</v>
      </c>
    </row>
    <row r="119">
      <c r="A119" s="18" t="inlineStr">
        <is>
          <t>투자조합 운용손실</t>
        </is>
      </c>
      <c r="C119" s="20" t="n">
        <v>10.093</v>
      </c>
      <c r="D119" s="20" t="n">
        <v>0</v>
      </c>
      <c r="E119" s="20" t="n">
        <v>40.657</v>
      </c>
      <c r="F119" s="20" t="n">
        <v>44.232</v>
      </c>
      <c r="G119" s="20" t="n">
        <v>1.959</v>
      </c>
      <c r="H119" s="20" t="n">
        <v>2.957</v>
      </c>
      <c r="I119" s="20" t="n">
        <v>32.898</v>
      </c>
      <c r="J119" s="20" t="n">
        <v>-26.415</v>
      </c>
      <c r="K119" s="20" t="n">
        <v>9.679</v>
      </c>
      <c r="U119" s="20" t="n">
        <v>0.895</v>
      </c>
      <c r="V119" s="20" t="n">
        <v>10.093</v>
      </c>
      <c r="W119" s="20" t="n">
        <v>1.959</v>
      </c>
      <c r="X119" s="20" t="n">
        <v>9.679</v>
      </c>
    </row>
    <row r="120">
      <c r="A120" s="18" t="inlineStr">
        <is>
          <t>지분법손실</t>
        </is>
      </c>
      <c r="C120" s="20" t="n">
        <v>-32.838</v>
      </c>
      <c r="D120" s="20" t="n">
        <v>86.85299999999999</v>
      </c>
      <c r="E120" s="20" t="n">
        <v>59.668</v>
      </c>
      <c r="F120" s="20" t="n">
        <v>92.152</v>
      </c>
      <c r="G120" s="20" t="n">
        <v>69.194</v>
      </c>
      <c r="H120" s="20" t="n">
        <v>123.088</v>
      </c>
      <c r="I120" s="20" t="n">
        <v>89.979</v>
      </c>
      <c r="J120" s="20" t="n">
        <v>83.616</v>
      </c>
      <c r="K120" s="20" t="n">
        <v>632.0549999999999</v>
      </c>
      <c r="L120" s="20" t="n">
        <v>163.711</v>
      </c>
      <c r="M120" s="20" t="n">
        <v>377.375</v>
      </c>
      <c r="N120" s="20" t="n">
        <v>132.454</v>
      </c>
      <c r="U120" s="20" t="n">
        <v>36.408</v>
      </c>
      <c r="V120" s="20" t="n">
        <v>-32.838</v>
      </c>
      <c r="W120" s="20" t="n">
        <v>69.194</v>
      </c>
      <c r="X120" s="20" t="n">
        <v>632.0549999999999</v>
      </c>
    </row>
    <row r="121">
      <c r="A121" s="18" t="inlineStr">
        <is>
          <t>지급수수료</t>
        </is>
      </c>
      <c r="H121" s="20" t="n">
        <v>0</v>
      </c>
      <c r="I121" s="20" t="n">
        <v>0</v>
      </c>
      <c r="L121" s="20" t="n">
        <v>110.661</v>
      </c>
      <c r="M121" s="20" t="n">
        <v>0.828</v>
      </c>
    </row>
    <row r="122">
      <c r="A122" s="18" t="inlineStr">
        <is>
          <t>기타</t>
        </is>
      </c>
      <c r="C122" s="20" t="n">
        <v>1.911</v>
      </c>
      <c r="D122" s="20" t="n">
        <v>0.473</v>
      </c>
      <c r="E122" s="20" t="n">
        <v>1.37</v>
      </c>
      <c r="F122" s="20" t="n">
        <v>4.802</v>
      </c>
      <c r="G122" s="20" t="n">
        <v>1.172</v>
      </c>
      <c r="H122" s="20" t="n">
        <v>25.471</v>
      </c>
      <c r="I122" s="20" t="n">
        <v>37.588</v>
      </c>
      <c r="J122" s="20" t="n">
        <v>-20.202</v>
      </c>
      <c r="K122" s="20" t="n">
        <v>-18.978</v>
      </c>
      <c r="L122" s="20" t="n">
        <v>27.995</v>
      </c>
      <c r="M122" s="20" t="n">
        <v>151.042</v>
      </c>
      <c r="N122" s="20" t="n">
        <v>63.33</v>
      </c>
      <c r="U122" s="20" t="n">
        <v>-3.437</v>
      </c>
      <c r="V122" s="20" t="n">
        <v>1.911</v>
      </c>
      <c r="W122" s="20" t="n">
        <v>1.172</v>
      </c>
      <c r="X122" s="20" t="n">
        <v>-18.978</v>
      </c>
    </row>
    <row r="123">
      <c r="A123" s="18" t="inlineStr">
        <is>
          <t>영업외비용 합계</t>
        </is>
      </c>
      <c r="C123" s="20" t="n">
        <v>34.804</v>
      </c>
      <c r="D123" s="20" t="n">
        <v>146.78</v>
      </c>
      <c r="E123" s="20" t="n">
        <v>179.022</v>
      </c>
      <c r="F123" s="20" t="n">
        <v>142.986</v>
      </c>
      <c r="G123" s="20" t="n">
        <v>176.761</v>
      </c>
      <c r="H123" s="20" t="n">
        <v>212.229</v>
      </c>
      <c r="I123" s="20" t="n">
        <v>192.698</v>
      </c>
      <c r="J123" s="20" t="n">
        <v>133.269</v>
      </c>
      <c r="K123" s="20" t="n">
        <v>812.086</v>
      </c>
      <c r="L123" s="20" t="n">
        <v>414.582</v>
      </c>
      <c r="M123" s="20" t="n">
        <v>666.112</v>
      </c>
      <c r="N123" s="20" t="n">
        <v>429.747</v>
      </c>
      <c r="U123" s="20" t="n">
        <v>66.57599999999999</v>
      </c>
      <c r="V123" s="20" t="n">
        <v>34.804</v>
      </c>
      <c r="W123" s="20" t="n">
        <v>176.761</v>
      </c>
      <c r="X123" s="20" t="n">
        <v>812.086</v>
      </c>
    </row>
    <row r="124">
      <c r="A124" s="9" t="inlineStr">
        <is>
          <t>경상이익(△는 경상손실)</t>
        </is>
      </c>
      <c r="C124" s="12" t="n">
        <v>-1795.858</v>
      </c>
      <c r="D124" s="12" t="n">
        <v>-1135.257</v>
      </c>
      <c r="E124" s="12" t="n">
        <v>-1010.154</v>
      </c>
      <c r="F124" s="12" t="n">
        <v>-1142.314</v>
      </c>
      <c r="G124" s="12" t="n">
        <v>-2065.676</v>
      </c>
      <c r="H124" s="12" t="n">
        <v>-730.629</v>
      </c>
      <c r="I124" s="12" t="n">
        <v>-1167.115</v>
      </c>
      <c r="J124" s="12" t="n">
        <v>-477.752</v>
      </c>
      <c r="K124" s="12" t="n">
        <v>-1502.154</v>
      </c>
      <c r="L124" s="12" t="n">
        <v>-186.666</v>
      </c>
      <c r="M124" s="12" t="n">
        <v>-1018.674</v>
      </c>
      <c r="N124" s="12" t="n">
        <v>1533.554</v>
      </c>
      <c r="U124" s="12" t="n">
        <v>-2224.88</v>
      </c>
      <c r="V124" s="12" t="n">
        <v>-1795.858</v>
      </c>
      <c r="W124" s="12" t="n">
        <v>-2065.676</v>
      </c>
      <c r="X124" s="12" t="n">
        <v>-1502.154</v>
      </c>
    </row>
    <row r="125">
      <c r="A125" s="43" t="inlineStr">
        <is>
          <t>YoY</t>
        </is>
      </c>
      <c r="B125" s="3" t="inlineStr">
        <is>
          <t>전년 같은 분기·전년 대비</t>
        </is>
      </c>
      <c r="G125" s="15">
        <f>IF(OR(G124="",C124=""),"",IF(C124&lt;=0,"",IFERROR(G124/C124-1,"")))</f>
        <v/>
      </c>
      <c r="H125" s="15">
        <f>IF(OR(H124="",D124=""),"",IF(D124&lt;=0,"",IFERROR(H124/D124-1,"")))</f>
        <v/>
      </c>
      <c r="I125" s="15">
        <f>IF(OR(I124="",E124=""),"",IF(E124&lt;=0,"",IFERROR(I124/E124-1,"")))</f>
        <v/>
      </c>
      <c r="J125" s="15">
        <f>IF(OR(J124="",F124=""),"",IF(F124&lt;=0,"",IFERROR(J124/F124-1,"")))</f>
        <v/>
      </c>
      <c r="K125" s="15">
        <f>IF(OR(K124="",G124=""),"",IF(G124&lt;=0,"",IFERROR(K124/G124-1,"")))</f>
        <v/>
      </c>
      <c r="L125" s="15">
        <f>IF(OR(L124="",H124=""),"",IF(H124&lt;=0,"",IFERROR(L124/H124-1,"")))</f>
        <v/>
      </c>
      <c r="M125" s="15">
        <f>IF(OR(M124="",I124=""),"",IF(I124&lt;=0,"",IFERROR(M124/I124-1,"")))</f>
        <v/>
      </c>
      <c r="N125" s="15">
        <f>IF(OR(N124="",J124=""),"",IF(J124&lt;=0,"",IFERROR(N124/J124-1,"")))</f>
        <v/>
      </c>
      <c r="U125" s="15">
        <f>IF(OR(U124="",T124=""),"",IF(T124&lt;=0,"",IFERROR(U124/T124-1,"")))</f>
        <v/>
      </c>
      <c r="V125" s="15">
        <f>IF(OR(V124="",U124=""),"",IF(U124&lt;=0,"",IFERROR(V124/U124-1,"")))</f>
        <v/>
      </c>
      <c r="W125" s="15">
        <f>IF(OR(W124="",V124=""),"",IF(V124&lt;=0,"",IFERROR(W124/V124-1,"")))</f>
        <v/>
      </c>
      <c r="X125" s="15">
        <f>IF(OR(X124="",W124=""),"",IF(W124&lt;=0,"",IFERROR(X124/W124-1,"")))</f>
        <v/>
      </c>
    </row>
    <row r="126">
      <c r="A126" s="18" t="inlineStr">
        <is>
          <t>신주예약권 환입이익</t>
        </is>
      </c>
      <c r="C126" s="20" t="n">
        <v>0.256</v>
      </c>
      <c r="D126" s="20" t="n">
        <v>0.28</v>
      </c>
      <c r="E126" s="20" t="n">
        <v>0.004</v>
      </c>
      <c r="F126" s="20" t="n">
        <v>0</v>
      </c>
      <c r="G126" s="20" t="n">
        <v>0.117</v>
      </c>
      <c r="H126" s="20" t="n">
        <v>1.041</v>
      </c>
      <c r="I126" s="20" t="n">
        <v>0.915</v>
      </c>
      <c r="J126" s="20" t="n">
        <v>0.016</v>
      </c>
      <c r="U126" s="20" t="n">
        <v>0.104</v>
      </c>
      <c r="V126" s="20" t="n">
        <v>0.256</v>
      </c>
      <c r="W126" s="20" t="n">
        <v>0.117</v>
      </c>
    </row>
    <row r="127">
      <c r="A127" s="18" t="inlineStr">
        <is>
          <t>고정자산 매각이익</t>
        </is>
      </c>
      <c r="H127" s="20" t="n">
        <v>0</v>
      </c>
      <c r="I127" s="20" t="n">
        <v>0</v>
      </c>
      <c r="J127" s="20" t="n">
        <v>0</v>
      </c>
      <c r="L127" s="20" t="n">
        <v>0.019</v>
      </c>
      <c r="M127" s="20" t="n">
        <v>7.712</v>
      </c>
      <c r="N127" s="20" t="n">
        <v>-0.659</v>
      </c>
    </row>
    <row r="128">
      <c r="A128" s="18" t="inlineStr">
        <is>
          <t>투자유가증권 매각이익</t>
        </is>
      </c>
      <c r="D128" s="20" t="n">
        <v>0</v>
      </c>
      <c r="E128" s="20" t="n">
        <v>0</v>
      </c>
      <c r="F128" s="20" t="n">
        <v>0</v>
      </c>
      <c r="G128" s="20" t="n">
        <v>0</v>
      </c>
      <c r="H128" s="20" t="n">
        <v>50.231</v>
      </c>
      <c r="I128" s="20" t="n">
        <v>57.444</v>
      </c>
      <c r="J128" s="20" t="n">
        <v>0</v>
      </c>
      <c r="K128" s="20" t="n">
        <v>11.658</v>
      </c>
      <c r="L128" s="20" t="n">
        <v>2412.461</v>
      </c>
      <c r="M128" s="20" t="n">
        <v>0</v>
      </c>
      <c r="N128" s="20" t="n">
        <v>16.983</v>
      </c>
      <c r="W128" s="20" t="n">
        <v>0</v>
      </c>
      <c r="X128" s="20" t="n">
        <v>11.658</v>
      </c>
    </row>
    <row r="129">
      <c r="A129" s="18" t="inlineStr">
        <is>
          <t>관계회사 주식 매각이익</t>
        </is>
      </c>
      <c r="F129" s="20" t="n">
        <v>0</v>
      </c>
      <c r="G129" s="20" t="n">
        <v>0.508</v>
      </c>
      <c r="J129" s="20" t="n">
        <v>0</v>
      </c>
      <c r="K129" s="20" t="n">
        <v>6172.438</v>
      </c>
      <c r="W129" s="20" t="n">
        <v>0.508</v>
      </c>
      <c r="X129" s="20" t="n">
        <v>6172.438</v>
      </c>
    </row>
    <row r="130">
      <c r="A130" s="18" t="inlineStr">
        <is>
          <t>지분변동이익</t>
        </is>
      </c>
      <c r="D130" s="20" t="n">
        <v>0</v>
      </c>
      <c r="E130" s="20" t="n">
        <v>0</v>
      </c>
      <c r="F130" s="20" t="n">
        <v>0</v>
      </c>
      <c r="G130" s="20" t="n">
        <v>0</v>
      </c>
      <c r="H130" s="20" t="n">
        <v>43.632</v>
      </c>
      <c r="I130" s="20" t="n">
        <v>0</v>
      </c>
      <c r="J130" s="20" t="n">
        <v>0.015</v>
      </c>
      <c r="K130" s="20" t="n">
        <v>2068.841</v>
      </c>
      <c r="W130" s="20" t="n">
        <v>0</v>
      </c>
      <c r="X130" s="20" t="n">
        <v>2068.841</v>
      </c>
    </row>
    <row r="131">
      <c r="A131" s="18" t="inlineStr">
        <is>
          <t>기타</t>
        </is>
      </c>
      <c r="H131" s="20" t="n">
        <v>44.673</v>
      </c>
      <c r="I131" s="20" t="n">
        <v>77.06999999999999</v>
      </c>
      <c r="J131" s="20" t="n">
        <v>-43.616</v>
      </c>
      <c r="K131" s="20" t="n">
        <v>-74.518</v>
      </c>
      <c r="L131" s="20" t="n">
        <v>277.268</v>
      </c>
      <c r="M131" s="20" t="n">
        <v>-44.492</v>
      </c>
      <c r="N131" s="20" t="n">
        <v>-222.9</v>
      </c>
      <c r="X131" s="20" t="n">
        <v>-74.518</v>
      </c>
    </row>
    <row r="132">
      <c r="A132" s="18" t="inlineStr">
        <is>
          <t>특별이익 합계</t>
        </is>
      </c>
      <c r="C132" s="20" t="n">
        <v>0.256</v>
      </c>
      <c r="D132" s="20" t="n">
        <v>0.28</v>
      </c>
      <c r="E132" s="20" t="n">
        <v>0.004</v>
      </c>
      <c r="F132" s="20" t="n">
        <v>0</v>
      </c>
      <c r="G132" s="20" t="n">
        <v>0.626</v>
      </c>
      <c r="H132" s="20" t="n">
        <v>94.905</v>
      </c>
      <c r="I132" s="20" t="n">
        <v>134.514</v>
      </c>
      <c r="J132" s="20" t="n">
        <v>0.031</v>
      </c>
      <c r="K132" s="20" t="n">
        <v>8254.574000000001</v>
      </c>
      <c r="L132" s="20" t="n">
        <v>2689.749</v>
      </c>
      <c r="M132" s="20" t="n">
        <v>-36.78</v>
      </c>
      <c r="N132" s="20" t="n">
        <v>156.226</v>
      </c>
      <c r="U132" s="20" t="n">
        <v>0.104</v>
      </c>
      <c r="V132" s="20" t="n">
        <v>0.256</v>
      </c>
      <c r="W132" s="20" t="n">
        <v>0.626</v>
      </c>
      <c r="X132" s="20" t="n">
        <v>8254.574000000001</v>
      </c>
    </row>
    <row r="133">
      <c r="A133" s="18" t="inlineStr">
        <is>
          <t>손상차손</t>
        </is>
      </c>
      <c r="H133" s="20" t="n">
        <v>0</v>
      </c>
      <c r="I133" s="20" t="n">
        <v>0</v>
      </c>
      <c r="J133" s="20" t="n">
        <v>0</v>
      </c>
      <c r="K133" s="20" t="n">
        <v>12.367</v>
      </c>
      <c r="L133" s="20" t="n">
        <v>221.086</v>
      </c>
      <c r="M133" s="20" t="n">
        <v>7.724</v>
      </c>
      <c r="N133" s="20" t="n">
        <v>0.147</v>
      </c>
      <c r="X133" s="20" t="n">
        <v>12.367</v>
      </c>
    </row>
    <row r="134">
      <c r="A134" s="18" t="inlineStr">
        <is>
          <t>고정자산 제각손실</t>
        </is>
      </c>
      <c r="C134" s="20" t="n">
        <v>60.21</v>
      </c>
      <c r="D134" s="20" t="n">
        <v>0.07199999999999999</v>
      </c>
      <c r="E134" s="20" t="n">
        <v>0</v>
      </c>
      <c r="F134" s="20" t="n">
        <v>0.723</v>
      </c>
      <c r="G134" s="20" t="n">
        <v>5.746</v>
      </c>
      <c r="H134" s="20" t="n">
        <v>0</v>
      </c>
      <c r="I134" s="20" t="n">
        <v>0</v>
      </c>
      <c r="J134" s="20" t="n">
        <v>0</v>
      </c>
      <c r="K134" s="20" t="n">
        <v>0</v>
      </c>
      <c r="U134" s="20" t="n">
        <v>1.328</v>
      </c>
      <c r="V134" s="20" t="n">
        <v>60.21</v>
      </c>
      <c r="W134" s="20" t="n">
        <v>5.746</v>
      </c>
      <c r="X134" s="20" t="n">
        <v>0</v>
      </c>
    </row>
    <row r="135">
      <c r="A135" s="18" t="inlineStr">
        <is>
          <t>투자유가증권 평가손실</t>
        </is>
      </c>
      <c r="C135" s="20" t="n">
        <v>0</v>
      </c>
      <c r="F135" s="20" t="n">
        <v>0</v>
      </c>
      <c r="G135" s="20" t="n">
        <v>0</v>
      </c>
      <c r="J135" s="20" t="n">
        <v>0</v>
      </c>
      <c r="K135" s="20" t="n">
        <v>635.016</v>
      </c>
      <c r="V135" s="20" t="n">
        <v>0</v>
      </c>
      <c r="W135" s="20" t="n">
        <v>0</v>
      </c>
      <c r="X135" s="20" t="n">
        <v>635.016</v>
      </c>
    </row>
    <row r="136">
      <c r="A136" s="18" t="inlineStr">
        <is>
          <t>미수보험금 평가손실</t>
        </is>
      </c>
      <c r="G136" s="20" t="n">
        <v>0</v>
      </c>
      <c r="K136" s="20" t="n">
        <v>0</v>
      </c>
      <c r="W136" s="20" t="n">
        <v>0</v>
      </c>
      <c r="X136" s="20" t="n">
        <v>0</v>
      </c>
    </row>
    <row r="137">
      <c r="A137" s="18" t="inlineStr">
        <is>
          <t>부정 접속 대응 손실</t>
        </is>
      </c>
      <c r="J137" s="20" t="n">
        <v>0</v>
      </c>
      <c r="N137" s="20" t="n">
        <v>24.183</v>
      </c>
    </row>
    <row r="138">
      <c r="A138" s="18" t="inlineStr">
        <is>
          <t>부정 접속 대응 손실충당금 전입액</t>
        </is>
      </c>
      <c r="J138" s="20" t="n">
        <v>0</v>
      </c>
      <c r="N138" s="20" t="n">
        <v>-20</v>
      </c>
    </row>
    <row r="139">
      <c r="A139" s="18" t="inlineStr">
        <is>
          <t>기타</t>
        </is>
      </c>
      <c r="J139" s="20" t="n">
        <v>540.8150000000001</v>
      </c>
      <c r="N139" s="20" t="n">
        <v>0.173</v>
      </c>
    </row>
    <row r="140">
      <c r="A140" s="18" t="inlineStr">
        <is>
          <t>특별손실 합계</t>
        </is>
      </c>
      <c r="C140" s="20" t="n">
        <v>60.21</v>
      </c>
      <c r="D140" s="20" t="n">
        <v>0.07199999999999999</v>
      </c>
      <c r="E140" s="20" t="n">
        <v>10</v>
      </c>
      <c r="F140" s="20" t="n">
        <v>0.723</v>
      </c>
      <c r="G140" s="20" t="n">
        <v>279.472</v>
      </c>
      <c r="H140" s="20" t="n">
        <v>0</v>
      </c>
      <c r="I140" s="20" t="n">
        <v>24.974</v>
      </c>
      <c r="J140" s="20" t="n">
        <v>540.8150000000001</v>
      </c>
      <c r="K140" s="20" t="n">
        <v>647.383</v>
      </c>
      <c r="L140" s="20" t="n">
        <v>221.086</v>
      </c>
      <c r="M140" s="20" t="n">
        <v>96.905</v>
      </c>
      <c r="N140" s="20" t="n">
        <v>4.502</v>
      </c>
      <c r="U140" s="20" t="n">
        <v>35.148</v>
      </c>
      <c r="V140" s="20" t="n">
        <v>60.21</v>
      </c>
      <c r="W140" s="20" t="n">
        <v>279.472</v>
      </c>
      <c r="X140" s="20" t="n">
        <v>647.383</v>
      </c>
    </row>
    <row r="141">
      <c r="A141" s="9" t="inlineStr">
        <is>
          <t>법인세차감전 분기순이익(△는 손실)</t>
        </is>
      </c>
      <c r="C141" s="12" t="n">
        <v>-1855.811</v>
      </c>
      <c r="D141" s="12" t="n">
        <v>-1135.049</v>
      </c>
      <c r="E141" s="12" t="n">
        <v>-1020.15</v>
      </c>
      <c r="F141" s="12" t="n">
        <v>-1143.037</v>
      </c>
      <c r="G141" s="12" t="n">
        <v>-2344.522</v>
      </c>
      <c r="H141" s="12" t="n">
        <v>-635.724</v>
      </c>
      <c r="I141" s="12" t="n">
        <v>-1057.576</v>
      </c>
      <c r="J141" s="12" t="n">
        <v>-1018.535</v>
      </c>
      <c r="K141" s="12" t="n">
        <v>6105.036</v>
      </c>
      <c r="L141" s="12" t="n">
        <v>2281.996</v>
      </c>
      <c r="M141" s="12" t="n">
        <v>-1152.359</v>
      </c>
      <c r="N141" s="12" t="n">
        <v>1685.279</v>
      </c>
      <c r="U141" s="12" t="n">
        <v>-2259.925</v>
      </c>
      <c r="V141" s="12" t="n">
        <v>-1855.811</v>
      </c>
      <c r="W141" s="12" t="n">
        <v>-2344.522</v>
      </c>
      <c r="X141" s="12" t="n">
        <v>6105.036</v>
      </c>
    </row>
    <row r="142">
      <c r="A142" s="18" t="inlineStr">
        <is>
          <t>법인세 등</t>
        </is>
      </c>
      <c r="C142" s="20" t="n">
        <v>-104.775</v>
      </c>
      <c r="D142" s="20" t="n">
        <v>111.829</v>
      </c>
      <c r="E142" s="20" t="n">
        <v>4.5</v>
      </c>
      <c r="F142" s="20" t="n">
        <v>68.625</v>
      </c>
      <c r="G142" s="20" t="n">
        <v>373.177</v>
      </c>
      <c r="H142" s="20" t="n">
        <v>100.942</v>
      </c>
      <c r="I142" s="20" t="n">
        <v>101.36</v>
      </c>
      <c r="J142" s="20" t="n">
        <v>101.085</v>
      </c>
      <c r="K142" s="20" t="n">
        <v>907.984</v>
      </c>
      <c r="L142" s="20" t="n">
        <v>501.811</v>
      </c>
      <c r="M142" s="20" t="n">
        <v>60.447</v>
      </c>
      <c r="N142" s="20" t="n">
        <v>246.248</v>
      </c>
      <c r="U142" s="20" t="n">
        <v>-72.316</v>
      </c>
      <c r="V142" s="20" t="n">
        <v>-104.775</v>
      </c>
      <c r="W142" s="20" t="n">
        <v>373.177</v>
      </c>
      <c r="X142" s="20" t="n">
        <v>907.984</v>
      </c>
    </row>
    <row r="143">
      <c r="A143" s="9" t="inlineStr">
        <is>
          <t>분기순이익(△는 분기순손실)</t>
        </is>
      </c>
      <c r="C143" s="12" t="n">
        <v>-1751.036</v>
      </c>
      <c r="D143" s="12" t="n">
        <v>-1246.879</v>
      </c>
      <c r="E143" s="12" t="n">
        <v>-1024.65</v>
      </c>
      <c r="F143" s="12" t="n">
        <v>-1211.662</v>
      </c>
      <c r="G143" s="12" t="n">
        <v>-2717.698</v>
      </c>
      <c r="H143" s="12" t="n">
        <v>-736.6660000000001</v>
      </c>
      <c r="I143" s="12" t="n">
        <v>-1158.937</v>
      </c>
      <c r="J143" s="12" t="n">
        <v>-1119.62</v>
      </c>
      <c r="K143" s="12" t="n">
        <v>5197.053</v>
      </c>
      <c r="L143" s="12" t="n">
        <v>1780.184</v>
      </c>
      <c r="M143" s="12" t="n">
        <v>-1212.806</v>
      </c>
      <c r="N143" s="12" t="n">
        <v>1439.031</v>
      </c>
      <c r="U143" s="12" t="n">
        <v>-2187.61</v>
      </c>
      <c r="V143" s="12" t="n">
        <v>-1751.036</v>
      </c>
      <c r="W143" s="12" t="n">
        <v>-2717.698</v>
      </c>
      <c r="X143" s="12" t="n">
        <v>5197.053</v>
      </c>
    </row>
    <row r="144">
      <c r="A144" s="43" t="inlineStr">
        <is>
          <t>YoY</t>
        </is>
      </c>
      <c r="B144" s="3" t="inlineStr">
        <is>
          <t>전년 같은 분기·전년 대비</t>
        </is>
      </c>
      <c r="G144" s="15">
        <f>IF(OR(G143="",C143=""),"",IF(C143&lt;=0,"",IFERROR(G143/C143-1,"")))</f>
        <v/>
      </c>
      <c r="H144" s="15">
        <f>IF(OR(H143="",D143=""),"",IF(D143&lt;=0,"",IFERROR(H143/D143-1,"")))</f>
        <v/>
      </c>
      <c r="I144" s="15">
        <f>IF(OR(I143="",E143=""),"",IF(E143&lt;=0,"",IFERROR(I143/E143-1,"")))</f>
        <v/>
      </c>
      <c r="J144" s="15">
        <f>IF(OR(J143="",F143=""),"",IF(F143&lt;=0,"",IFERROR(J143/F143-1,"")))</f>
        <v/>
      </c>
      <c r="K144" s="15">
        <f>IF(OR(K143="",G143=""),"",IF(G143&lt;=0,"",IFERROR(K143/G143-1,"")))</f>
        <v/>
      </c>
      <c r="L144" s="15">
        <f>IF(OR(L143="",H143=""),"",IF(H143&lt;=0,"",IFERROR(L143/H143-1,"")))</f>
        <v/>
      </c>
      <c r="M144" s="15">
        <f>IF(OR(M143="",I143=""),"",IF(I143&lt;=0,"",IFERROR(M143/I143-1,"")))</f>
        <v/>
      </c>
      <c r="N144" s="15">
        <f>IF(OR(N143="",J143=""),"",IF(J143&lt;=0,"",IFERROR(N143/J143-1,"")))</f>
        <v/>
      </c>
      <c r="U144" s="15">
        <f>IF(OR(U143="",T143=""),"",IF(T143&lt;=0,"",IFERROR(U143/T143-1,"")))</f>
        <v/>
      </c>
      <c r="V144" s="15">
        <f>IF(OR(V143="",U143=""),"",IF(U143&lt;=0,"",IFERROR(V143/U143-1,"")))</f>
        <v/>
      </c>
      <c r="W144" s="15">
        <f>IF(OR(W143="",V143=""),"",IF(V143&lt;=0,"",IFERROR(W143/V143-1,"")))</f>
        <v/>
      </c>
      <c r="X144" s="15">
        <f>IF(OR(X143="",W143=""),"",IF(W143&lt;=0,"",IFERROR(X143/W143-1,"")))</f>
        <v/>
      </c>
    </row>
    <row r="145">
      <c r="A145" s="9" t="inlineStr">
        <is>
          <t>비지배주주 순이익</t>
        </is>
      </c>
      <c r="C145" s="12" t="n">
        <v>-371.848</v>
      </c>
      <c r="D145" s="12" t="n">
        <v>71.996</v>
      </c>
      <c r="E145" s="12" t="n">
        <v>253.794</v>
      </c>
      <c r="F145" s="12" t="n">
        <v>-96.687</v>
      </c>
      <c r="G145" s="12" t="n">
        <v>-99.416</v>
      </c>
      <c r="H145" s="12" t="n">
        <v>382.589</v>
      </c>
      <c r="I145" s="12" t="n">
        <v>-80.893</v>
      </c>
      <c r="J145" s="12" t="n">
        <v>67.654</v>
      </c>
      <c r="K145" s="12" t="n">
        <v>225.219</v>
      </c>
      <c r="L145" s="12" t="n">
        <v>-48.699</v>
      </c>
      <c r="M145" s="12" t="n">
        <v>62.342</v>
      </c>
      <c r="N145" s="12" t="n">
        <v>1494.624</v>
      </c>
      <c r="U145" s="12" t="n">
        <v>-83.61799999999999</v>
      </c>
      <c r="V145" s="12" t="n">
        <v>-371.848</v>
      </c>
      <c r="W145" s="12" t="n">
        <v>-99.416</v>
      </c>
      <c r="X145" s="12" t="n">
        <v>225.219</v>
      </c>
    </row>
    <row r="146">
      <c r="A146" s="9" t="inlineStr">
        <is>
          <t>지배주주 분기순이익(△는 손실)</t>
        </is>
      </c>
      <c r="C146" s="12" t="n">
        <v>-1379.187</v>
      </c>
      <c r="D146" s="12" t="n">
        <v>-1318.876</v>
      </c>
      <c r="E146" s="12" t="n">
        <v>-1278.443</v>
      </c>
      <c r="F146" s="12" t="n">
        <v>-1114.975</v>
      </c>
      <c r="G146" s="12" t="n">
        <v>-2618.283</v>
      </c>
      <c r="H146" s="12" t="n">
        <v>-1119.256</v>
      </c>
      <c r="I146" s="12" t="n">
        <v>-1078.043</v>
      </c>
      <c r="J146" s="12" t="n">
        <v>-1187.274</v>
      </c>
      <c r="K146" s="12" t="n">
        <v>4971.833</v>
      </c>
      <c r="L146" s="12" t="n">
        <v>1828.883</v>
      </c>
      <c r="M146" s="12" t="n">
        <v>-1275.148</v>
      </c>
      <c r="N146" s="12" t="n">
        <v>-55.593</v>
      </c>
      <c r="U146" s="12" t="n">
        <v>-2103.991</v>
      </c>
      <c r="V146" s="12" t="n">
        <v>-1379.187</v>
      </c>
      <c r="W146" s="12" t="n">
        <v>-2618.283</v>
      </c>
      <c r="X146" s="12" t="n">
        <v>4971.833</v>
      </c>
    </row>
    <row r="147">
      <c r="A147" s="43" t="inlineStr">
        <is>
          <t>YoY</t>
        </is>
      </c>
      <c r="B147" s="3" t="inlineStr">
        <is>
          <t>전년 같은 분기·전년 대비</t>
        </is>
      </c>
      <c r="G147" s="15">
        <f>IF(OR(G146="",C146=""),"",IF(C146&lt;=0,"",IFERROR(G146/C146-1,"")))</f>
        <v/>
      </c>
      <c r="H147" s="15">
        <f>IF(OR(H146="",D146=""),"",IF(D146&lt;=0,"",IFERROR(H146/D146-1,"")))</f>
        <v/>
      </c>
      <c r="I147" s="15">
        <f>IF(OR(I146="",E146=""),"",IF(E146&lt;=0,"",IFERROR(I146/E146-1,"")))</f>
        <v/>
      </c>
      <c r="J147" s="15">
        <f>IF(OR(J146="",F146=""),"",IF(F146&lt;=0,"",IFERROR(J146/F146-1,"")))</f>
        <v/>
      </c>
      <c r="K147" s="15">
        <f>IF(OR(K146="",G146=""),"",IF(G146&lt;=0,"",IFERROR(K146/G146-1,"")))</f>
        <v/>
      </c>
      <c r="L147" s="15">
        <f>IF(OR(L146="",H146=""),"",IF(H146&lt;=0,"",IFERROR(L146/H146-1,"")))</f>
        <v/>
      </c>
      <c r="M147" s="15">
        <f>IF(OR(M146="",I146=""),"",IF(I146&lt;=0,"",IFERROR(M146/I146-1,"")))</f>
        <v/>
      </c>
      <c r="N147" s="15">
        <f>IF(OR(N146="",J146=""),"",IF(J146&lt;=0,"",IFERROR(N146/J146-1,"")))</f>
        <v/>
      </c>
      <c r="U147" s="15">
        <f>IF(OR(U146="",T146=""),"",IF(T146&lt;=0,"",IFERROR(U146/T146-1,"")))</f>
        <v/>
      </c>
      <c r="V147" s="15">
        <f>IF(OR(V146="",U146=""),"",IF(U146&lt;=0,"",IFERROR(V146/U146-1,"")))</f>
        <v/>
      </c>
      <c r="W147" s="15">
        <f>IF(OR(W146="",V146=""),"",IF(V146&lt;=0,"",IFERROR(W146/V146-1,"")))</f>
        <v/>
      </c>
      <c r="X147" s="15">
        <f>IF(OR(X146="",W146=""),"",IF(W146&lt;=0,"",IFERROR(X146/W146-1,"")))</f>
        <v/>
      </c>
    </row>
    <row r="149">
      <c r="A149" s="16" t="inlineStr">
        <is>
          <t>포괄손익 · 전 항목</t>
        </is>
      </c>
      <c r="B149" s="42" t="inlineStr">
        <is>
          <t>분기 = 3개월 단독</t>
        </is>
      </c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</row>
    <row r="150">
      <c r="A150" s="5" t="inlineStr">
        <is>
          <t>항목</t>
        </is>
      </c>
      <c r="B150" s="5" t="inlineStr">
        <is>
          <t>참고</t>
        </is>
      </c>
      <c r="C150" s="5" t="inlineStr">
        <is>
          <t>2023.4Q</t>
        </is>
      </c>
      <c r="D150" s="5" t="inlineStr">
        <is>
          <t>2024.1Q</t>
        </is>
      </c>
      <c r="E150" s="5" t="inlineStr">
        <is>
          <t>2024.2Q</t>
        </is>
      </c>
      <c r="F150" s="5" t="inlineStr">
        <is>
          <t>2024.3Q</t>
        </is>
      </c>
      <c r="G150" s="5" t="inlineStr">
        <is>
          <t>2024.4Q</t>
        </is>
      </c>
      <c r="H150" s="5" t="inlineStr">
        <is>
          <t>2025.1Q</t>
        </is>
      </c>
      <c r="I150" s="5" t="inlineStr">
        <is>
          <t>2025.2Q</t>
        </is>
      </c>
      <c r="J150" s="5" t="inlineStr">
        <is>
          <t>2025.3Q</t>
        </is>
      </c>
      <c r="K150" s="5" t="inlineStr">
        <is>
          <t>2025.4Q</t>
        </is>
      </c>
      <c r="L150" s="5" t="inlineStr">
        <is>
          <t>2026.1Q</t>
        </is>
      </c>
      <c r="M150" s="5" t="inlineStr">
        <is>
          <t>2026.2Q</t>
        </is>
      </c>
      <c r="N150" s="5" t="inlineStr">
        <is>
          <t>2026.3Q</t>
        </is>
      </c>
      <c r="O150" s="5" t="inlineStr">
        <is>
          <t>2016</t>
        </is>
      </c>
      <c r="P150" s="5" t="inlineStr">
        <is>
          <t>2017</t>
        </is>
      </c>
      <c r="Q150" s="5" t="inlineStr">
        <is>
          <t>2018</t>
        </is>
      </c>
      <c r="R150" s="5" t="inlineStr">
        <is>
          <t>2019</t>
        </is>
      </c>
      <c r="S150" s="5" t="inlineStr">
        <is>
          <t>2020</t>
        </is>
      </c>
      <c r="T150" s="5" t="inlineStr">
        <is>
          <t>2021</t>
        </is>
      </c>
      <c r="U150" s="5" t="inlineStr">
        <is>
          <t>2022</t>
        </is>
      </c>
      <c r="V150" s="5" t="inlineStr">
        <is>
          <t>2023</t>
        </is>
      </c>
      <c r="W150" s="5" t="inlineStr">
        <is>
          <t>2024</t>
        </is>
      </c>
      <c r="X150" s="5" t="inlineStr">
        <is>
          <t>2025</t>
        </is>
      </c>
      <c r="Y150" s="5" t="inlineStr">
        <is>
          <t>2026(MW)</t>
        </is>
      </c>
      <c r="Z150" s="5" t="inlineStr">
        <is>
          <t>2027(MW)</t>
        </is>
      </c>
      <c r="AA150" s="5" t="inlineStr">
        <is>
          <t>2028(MW)</t>
        </is>
      </c>
      <c r="AB150" s="5" t="inlineStr">
        <is>
          <t>2029(MW)</t>
        </is>
      </c>
      <c r="AC150" s="5" t="inlineStr">
        <is>
          <t>2030(MW)</t>
        </is>
      </c>
    </row>
    <row r="151">
      <c r="A151" s="9" t="inlineStr">
        <is>
          <t>분기순이익(△는 분기순손실)</t>
        </is>
      </c>
      <c r="C151" s="12" t="n">
        <v>-1751.036</v>
      </c>
      <c r="D151" s="12" t="n">
        <v>-1246.879</v>
      </c>
      <c r="E151" s="12" t="n">
        <v>-1024.65</v>
      </c>
      <c r="F151" s="12" t="n">
        <v>-1211.662</v>
      </c>
      <c r="G151" s="12" t="n">
        <v>-2717.698</v>
      </c>
      <c r="H151" s="12" t="n">
        <v>-736.6660000000001</v>
      </c>
      <c r="I151" s="12" t="n">
        <v>-1158.937</v>
      </c>
      <c r="J151" s="12" t="n">
        <v>-1119.62</v>
      </c>
      <c r="K151" s="12" t="n">
        <v>5197.053</v>
      </c>
      <c r="L151" s="12" t="n">
        <v>1780.184</v>
      </c>
      <c r="M151" s="12" t="n">
        <v>-1212.806</v>
      </c>
      <c r="N151" s="12" t="n">
        <v>1439.031</v>
      </c>
      <c r="U151" s="12" t="n">
        <v>-2187.61</v>
      </c>
      <c r="V151" s="12" t="n">
        <v>-1751.036</v>
      </c>
      <c r="W151" s="12" t="n">
        <v>-2717.698</v>
      </c>
      <c r="X151" s="12" t="n">
        <v>5197.053</v>
      </c>
    </row>
    <row r="152">
      <c r="A152" s="18" t="inlineStr">
        <is>
          <t>기타유가증권 평가차액</t>
        </is>
      </c>
      <c r="C152" s="20" t="n">
        <v>9.125</v>
      </c>
      <c r="D152" s="20" t="n">
        <v>293.021</v>
      </c>
      <c r="E152" s="20" t="n">
        <v>-173.942</v>
      </c>
      <c r="F152" s="20" t="n">
        <v>-803.645</v>
      </c>
      <c r="G152" s="20" t="n">
        <v>299.679</v>
      </c>
      <c r="H152" s="20" t="n">
        <v>368.709</v>
      </c>
      <c r="I152" s="20" t="n">
        <v>-454.075</v>
      </c>
      <c r="J152" s="20" t="n">
        <v>463.119</v>
      </c>
      <c r="K152" s="20" t="n">
        <v>-75.55</v>
      </c>
      <c r="L152" s="20" t="n">
        <v>-78.366</v>
      </c>
      <c r="M152" s="20" t="n">
        <v>308.305</v>
      </c>
      <c r="N152" s="20" t="n">
        <v>45.958</v>
      </c>
      <c r="U152" s="20" t="n">
        <v>-82.179</v>
      </c>
      <c r="V152" s="20" t="n">
        <v>9.125</v>
      </c>
      <c r="W152" s="20" t="n">
        <v>299.679</v>
      </c>
      <c r="X152" s="20" t="n">
        <v>-75.55</v>
      </c>
    </row>
    <row r="153">
      <c r="A153" s="18" t="inlineStr">
        <is>
          <t>해외사업환산조정</t>
        </is>
      </c>
      <c r="C153" s="20" t="n">
        <v>5.779</v>
      </c>
      <c r="D153" s="20" t="n">
        <v>-35.118</v>
      </c>
      <c r="E153" s="20" t="n">
        <v>38.585</v>
      </c>
      <c r="F153" s="20" t="n">
        <v>17.202</v>
      </c>
      <c r="G153" s="20" t="n">
        <v>-66.02200000000001</v>
      </c>
      <c r="H153" s="20" t="n">
        <v>51.227</v>
      </c>
      <c r="I153" s="20" t="n">
        <v>-56.183</v>
      </c>
      <c r="J153" s="20" t="n">
        <v>-72.58</v>
      </c>
      <c r="K153" s="20" t="n">
        <v>56.902</v>
      </c>
      <c r="L153" s="20" t="n">
        <v>144.358</v>
      </c>
      <c r="M153" s="20" t="n">
        <v>12.731</v>
      </c>
      <c r="N153" s="20" t="n">
        <v>113.113</v>
      </c>
      <c r="U153" s="20" t="n">
        <v>21.427</v>
      </c>
      <c r="V153" s="20" t="n">
        <v>5.779</v>
      </c>
      <c r="W153" s="20" t="n">
        <v>-66.02200000000001</v>
      </c>
      <c r="X153" s="20" t="n">
        <v>56.902</v>
      </c>
    </row>
    <row r="154">
      <c r="A154" s="18" t="inlineStr">
        <is>
          <t>지분법 적용회사 지분 해당액</t>
        </is>
      </c>
      <c r="C154" s="20" t="n">
        <v>0.113</v>
      </c>
      <c r="D154" s="20" t="n">
        <v>-0.077</v>
      </c>
      <c r="E154" s="20" t="n">
        <v>-1.007</v>
      </c>
      <c r="F154" s="20" t="n">
        <v>0.201</v>
      </c>
      <c r="G154" s="20" t="n">
        <v>-0.155</v>
      </c>
      <c r="H154" s="20" t="n">
        <v>0.078</v>
      </c>
      <c r="I154" s="20" t="n">
        <v>-0.831</v>
      </c>
      <c r="J154" s="20" t="n">
        <v>0.985</v>
      </c>
      <c r="K154" s="20" t="n">
        <v>-0.6879999999999999</v>
      </c>
      <c r="L154" s="20" t="n">
        <v>0.726</v>
      </c>
      <c r="M154" s="20" t="n">
        <v>0</v>
      </c>
      <c r="N154" s="20" t="n">
        <v>-0.795</v>
      </c>
      <c r="U154" s="20" t="n">
        <v>0</v>
      </c>
      <c r="V154" s="20" t="n">
        <v>0.113</v>
      </c>
      <c r="W154" s="20" t="n">
        <v>-0.155</v>
      </c>
      <c r="X154" s="20" t="n">
        <v>-0.6879999999999999</v>
      </c>
    </row>
    <row r="155">
      <c r="A155" s="18" t="inlineStr">
        <is>
          <t>기타포괄손익 합계</t>
        </is>
      </c>
      <c r="C155" s="20" t="n">
        <v>15.017</v>
      </c>
      <c r="D155" s="20" t="n">
        <v>257.826</v>
      </c>
      <c r="E155" s="20" t="n">
        <v>-136.364</v>
      </c>
      <c r="F155" s="20" t="n">
        <v>-786.2430000000001</v>
      </c>
      <c r="G155" s="20" t="n">
        <v>233.502</v>
      </c>
      <c r="H155" s="20" t="n">
        <v>420.015</v>
      </c>
      <c r="I155" s="20" t="n">
        <v>-511.091</v>
      </c>
      <c r="J155" s="20" t="n">
        <v>391.525</v>
      </c>
      <c r="K155" s="20" t="n">
        <v>-19.337</v>
      </c>
      <c r="L155" s="20" t="n">
        <v>66.71899999999999</v>
      </c>
      <c r="M155" s="20" t="n">
        <v>321.036</v>
      </c>
      <c r="N155" s="20" t="n">
        <v>158.276</v>
      </c>
      <c r="U155" s="20" t="n">
        <v>-60.751</v>
      </c>
      <c r="V155" s="20" t="n">
        <v>15.017</v>
      </c>
      <c r="W155" s="20" t="n">
        <v>233.502</v>
      </c>
      <c r="X155" s="20" t="n">
        <v>-19.337</v>
      </c>
    </row>
    <row r="156">
      <c r="A156" s="9" t="inlineStr">
        <is>
          <t>포괄이익</t>
        </is>
      </c>
      <c r="C156" s="12" t="n">
        <v>-1736.018</v>
      </c>
      <c r="D156" s="12" t="n">
        <v>-989.053</v>
      </c>
      <c r="E156" s="12" t="n">
        <v>-1161.014</v>
      </c>
      <c r="F156" s="12" t="n">
        <v>-1997.905</v>
      </c>
      <c r="G156" s="12" t="n">
        <v>-2484.196</v>
      </c>
      <c r="H156" s="12" t="n">
        <v>-316.651</v>
      </c>
      <c r="I156" s="12" t="n">
        <v>-1670.028</v>
      </c>
      <c r="J156" s="12" t="n">
        <v>-728.0940000000001</v>
      </c>
      <c r="K156" s="12" t="n">
        <v>5177.716</v>
      </c>
      <c r="L156" s="12" t="n">
        <v>1846.903</v>
      </c>
      <c r="M156" s="12" t="n">
        <v>-891.769</v>
      </c>
      <c r="N156" s="12" t="n">
        <v>1597.306</v>
      </c>
      <c r="U156" s="12" t="n">
        <v>-2248.36</v>
      </c>
      <c r="V156" s="12" t="n">
        <v>-1736.018</v>
      </c>
      <c r="W156" s="12" t="n">
        <v>-2484.196</v>
      </c>
      <c r="X156" s="12" t="n">
        <v>5177.716</v>
      </c>
    </row>
    <row r="157">
      <c r="A157" s="9" t="inlineStr">
        <is>
          <t>지배주주 포괄이익</t>
        </is>
      </c>
      <c r="C157" s="12" t="n">
        <v>-1261.438</v>
      </c>
      <c r="D157" s="12" t="n">
        <v>-1191.091</v>
      </c>
      <c r="E157" s="12" t="n">
        <v>-809.0410000000001</v>
      </c>
      <c r="F157" s="12" t="n">
        <v>-1877.618</v>
      </c>
      <c r="G157" s="12" t="n">
        <v>-2413.922</v>
      </c>
      <c r="H157" s="12" t="n">
        <v>-1028.801</v>
      </c>
      <c r="I157" s="12" t="n">
        <v>-1682.002</v>
      </c>
      <c r="J157" s="12" t="n">
        <v>-981.646</v>
      </c>
      <c r="K157" s="12" t="n">
        <v>5537.786</v>
      </c>
      <c r="L157" s="12" t="n">
        <v>1895.192</v>
      </c>
      <c r="M157" s="12" t="n">
        <v>-967.49</v>
      </c>
      <c r="N157" s="12" t="n">
        <v>101.086</v>
      </c>
      <c r="U157" s="12" t="n">
        <v>-2164.743</v>
      </c>
      <c r="V157" s="12" t="n">
        <v>-1261.438</v>
      </c>
      <c r="W157" s="12" t="n">
        <v>-2413.922</v>
      </c>
      <c r="X157" s="12" t="n">
        <v>5537.786</v>
      </c>
    </row>
    <row r="158">
      <c r="A158" s="9" t="inlineStr">
        <is>
          <t>비지배주주 포괄이익</t>
        </is>
      </c>
      <c r="C158" s="12" t="n">
        <v>-474.578</v>
      </c>
      <c r="D158" s="12" t="n">
        <v>202.037</v>
      </c>
      <c r="E158" s="12" t="n">
        <v>-351.971</v>
      </c>
      <c r="F158" s="12" t="n">
        <v>-120.288</v>
      </c>
      <c r="G158" s="12" t="n">
        <v>-70.273</v>
      </c>
      <c r="H158" s="12" t="n">
        <v>712.149</v>
      </c>
      <c r="I158" s="12" t="n">
        <v>11.974</v>
      </c>
      <c r="J158" s="12" t="n">
        <v>253.553</v>
      </c>
      <c r="K158" s="12" t="n">
        <v>-360.071</v>
      </c>
      <c r="L158" s="12" t="n">
        <v>-48.289</v>
      </c>
      <c r="M158" s="12" t="n">
        <v>75.721</v>
      </c>
      <c r="N158" s="12" t="n">
        <v>1496.22</v>
      </c>
      <c r="U158" s="12" t="n">
        <v>-83.61799999999999</v>
      </c>
      <c r="V158" s="12" t="n">
        <v>-474.578</v>
      </c>
      <c r="W158" s="12" t="n">
        <v>-70.273</v>
      </c>
      <c r="X158" s="12" t="n">
        <v>-360.071</v>
      </c>
    </row>
    <row r="160">
      <c r="A160" s="16" t="inlineStr">
        <is>
          <t>부문 · 전 항목</t>
        </is>
      </c>
      <c r="B160" s="42" t="inlineStr">
        <is>
          <t>부문 · 항목</t>
        </is>
      </c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</row>
    <row r="161">
      <c r="A161" s="5" t="inlineStr">
        <is>
          <t>항목</t>
        </is>
      </c>
      <c r="B161" s="5" t="inlineStr">
        <is>
          <t>참고</t>
        </is>
      </c>
      <c r="C161" s="5" t="inlineStr">
        <is>
          <t>2023.4Q</t>
        </is>
      </c>
      <c r="D161" s="5" t="inlineStr">
        <is>
          <t>2024.1Q</t>
        </is>
      </c>
      <c r="E161" s="5" t="inlineStr">
        <is>
          <t>2024.2Q</t>
        </is>
      </c>
      <c r="F161" s="5" t="inlineStr">
        <is>
          <t>2024.3Q</t>
        </is>
      </c>
      <c r="G161" s="5" t="inlineStr">
        <is>
          <t>2024.4Q</t>
        </is>
      </c>
      <c r="H161" s="5" t="inlineStr">
        <is>
          <t>2025.1Q</t>
        </is>
      </c>
      <c r="I161" s="5" t="inlineStr">
        <is>
          <t>2025.2Q</t>
        </is>
      </c>
      <c r="J161" s="5" t="inlineStr">
        <is>
          <t>2025.3Q</t>
        </is>
      </c>
      <c r="K161" s="5" t="inlineStr">
        <is>
          <t>2025.4Q</t>
        </is>
      </c>
      <c r="L161" s="5" t="inlineStr">
        <is>
          <t>2026.1Q</t>
        </is>
      </c>
      <c r="M161" s="5" t="inlineStr">
        <is>
          <t>2026.2Q</t>
        </is>
      </c>
      <c r="N161" s="5" t="inlineStr">
        <is>
          <t>2026.3Q</t>
        </is>
      </c>
      <c r="O161" s="5" t="inlineStr">
        <is>
          <t>2016</t>
        </is>
      </c>
      <c r="P161" s="5" t="inlineStr">
        <is>
          <t>2017</t>
        </is>
      </c>
      <c r="Q161" s="5" t="inlineStr">
        <is>
          <t>2018</t>
        </is>
      </c>
      <c r="R161" s="5" t="inlineStr">
        <is>
          <t>2019</t>
        </is>
      </c>
      <c r="S161" s="5" t="inlineStr">
        <is>
          <t>2020</t>
        </is>
      </c>
      <c r="T161" s="5" t="inlineStr">
        <is>
          <t>2021</t>
        </is>
      </c>
      <c r="U161" s="5" t="inlineStr">
        <is>
          <t>2022</t>
        </is>
      </c>
      <c r="V161" s="5" t="inlineStr">
        <is>
          <t>2023</t>
        </is>
      </c>
      <c r="W161" s="5" t="inlineStr">
        <is>
          <t>2024</t>
        </is>
      </c>
      <c r="X161" s="5" t="inlineStr">
        <is>
          <t>2025</t>
        </is>
      </c>
      <c r="Y161" s="5" t="inlineStr">
        <is>
          <t>2026(MW)</t>
        </is>
      </c>
      <c r="Z161" s="5" t="inlineStr">
        <is>
          <t>2027(MW)</t>
        </is>
      </c>
      <c r="AA161" s="5" t="inlineStr">
        <is>
          <t>2028(MW)</t>
        </is>
      </c>
      <c r="AB161" s="5" t="inlineStr">
        <is>
          <t>2029(MW)</t>
        </is>
      </c>
      <c r="AC161" s="5" t="inlineStr">
        <is>
          <t>2030(MW)</t>
        </is>
      </c>
    </row>
    <row r="162">
      <c r="A162" s="18" t="inlineStr">
        <is>
          <t>BusinessReportableSegmentMember · 외부 고객 매출</t>
        </is>
      </c>
      <c r="D162" s="20" t="n">
        <v>6439.861</v>
      </c>
      <c r="E162" s="20" t="n">
        <v>6524.809</v>
      </c>
      <c r="F162" s="20" t="n">
        <v>6649.741</v>
      </c>
      <c r="G162" s="20" t="n">
        <v>7416.522</v>
      </c>
      <c r="H162" s="20" t="n">
        <v>7805.601</v>
      </c>
      <c r="I162" s="20" t="n">
        <v>8369.23</v>
      </c>
      <c r="J162" s="20" t="n">
        <v>8740.335999999999</v>
      </c>
      <c r="K162" s="20" t="n">
        <v>11135.35</v>
      </c>
      <c r="L162" s="20" t="n">
        <v>12375.325</v>
      </c>
      <c r="M162" s="20" t="n">
        <v>11791.168</v>
      </c>
      <c r="N162" s="20" t="n">
        <v>13311.533</v>
      </c>
      <c r="W162" s="20" t="n">
        <v>7416.522</v>
      </c>
      <c r="X162" s="20" t="n">
        <v>11135.35</v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G163" s="15">
        <f>IF(OR(G162="",C162=""),"",IF(C162&lt;=0,"",IFERROR(G162/C162-1,"")))</f>
        <v/>
      </c>
      <c r="H163" s="15">
        <f>IF(OR(H162="",D162=""),"",IF(D162&lt;=0,"",IFERROR(H162/D162-1,"")))</f>
        <v/>
      </c>
      <c r="I163" s="15">
        <f>IF(OR(I162="",E162=""),"",IF(E162&lt;=0,"",IFERROR(I162/E162-1,"")))</f>
        <v/>
      </c>
      <c r="J163" s="15">
        <f>IF(OR(J162="",F162=""),"",IF(F162&lt;=0,"",IFERROR(J162/F162-1,"")))</f>
        <v/>
      </c>
      <c r="K163" s="15">
        <f>IF(OR(K162="",G162=""),"",IF(G162&lt;=0,"",IFERROR(K162/G162-1,"")))</f>
        <v/>
      </c>
      <c r="L163" s="15">
        <f>IF(OR(L162="",H162=""),"",IF(H162&lt;=0,"",IFERROR(L162/H162-1,"")))</f>
        <v/>
      </c>
      <c r="M163" s="15">
        <f>IF(OR(M162="",I162=""),"",IF(I162&lt;=0,"",IFERROR(M162/I162-1,"")))</f>
        <v/>
      </c>
      <c r="N163" s="15">
        <f>IF(OR(N162="",J162=""),"",IF(J162&lt;=0,"",IFERROR(N162/J162-1,"")))</f>
        <v/>
      </c>
      <c r="W163" s="15">
        <f>IF(OR(W162="",V162=""),"",IF(V162&lt;=0,"",IFERROR(W162/V162-1,"")))</f>
        <v/>
      </c>
      <c r="X163" s="15">
        <f>IF(OR(X162="",W162=""),"",IF(W162&lt;=0,"",IFERROR(X162/W162-1,"")))</f>
        <v/>
      </c>
    </row>
    <row r="164">
      <c r="A164" s="18" t="inlineStr">
        <is>
          <t>SaaSMarketingReportableSegmentMember · 외부 고객 매출</t>
        </is>
      </c>
      <c r="D164" s="20" t="n">
        <v>1157.121</v>
      </c>
      <c r="E164" s="20" t="n">
        <v>1288.546</v>
      </c>
      <c r="F164" s="20" t="n">
        <v>1251.396</v>
      </c>
      <c r="G164" s="20" t="n">
        <v>1284.73</v>
      </c>
      <c r="H164" s="20" t="n">
        <v>1241.891</v>
      </c>
      <c r="I164" s="20" t="n">
        <v>1261.514</v>
      </c>
      <c r="J164" s="20" t="n">
        <v>1272.288</v>
      </c>
      <c r="K164" s="20" t="n">
        <v>963.627</v>
      </c>
      <c r="W164" s="20" t="n">
        <v>1284.73</v>
      </c>
      <c r="X164" s="20" t="n">
        <v>963.627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G165" s="15">
        <f>IF(OR(G164="",C164=""),"",IF(C164&lt;=0,"",IFERROR(G164/C164-1,"")))</f>
        <v/>
      </c>
      <c r="H165" s="15">
        <f>IF(OR(H164="",D164=""),"",IF(D164&lt;=0,"",IFERROR(H164/D164-1,"")))</f>
        <v/>
      </c>
      <c r="I165" s="15">
        <f>IF(OR(I164="",E164=""),"",IF(E164&lt;=0,"",IFERROR(I164/E164-1,"")))</f>
        <v/>
      </c>
      <c r="J165" s="15">
        <f>IF(OR(J164="",F164=""),"",IF(F164&lt;=0,"",IFERROR(J164/F164-1,"")))</f>
        <v/>
      </c>
      <c r="K165" s="15">
        <f>IF(OR(K164="",G164=""),"",IF(G164&lt;=0,"",IFERROR(K164/G164-1,"")))</f>
        <v/>
      </c>
      <c r="W165" s="15">
        <f>IF(OR(W164="",V164=""),"",IF(V164&lt;=0,"",IFERROR(W164/V164-1,"")))</f>
        <v/>
      </c>
      <c r="X165" s="15">
        <f>IF(OR(X164="",W164=""),"",IF(W164&lt;=0,"",IFERROR(X164/W164-1,"")))</f>
        <v/>
      </c>
    </row>
    <row r="166">
      <c r="A166" s="18" t="inlineStr">
        <is>
          <t>HOMEReportableSegmentMember · 외부 고객 매출</t>
        </is>
      </c>
      <c r="D166" s="20" t="n">
        <v>1088.573</v>
      </c>
      <c r="E166" s="20" t="n">
        <v>1204.129</v>
      </c>
      <c r="F166" s="20" t="n">
        <v>1166.843</v>
      </c>
      <c r="G166" s="20" t="n">
        <v>1267.238</v>
      </c>
      <c r="H166" s="20" t="n">
        <v>1203.853</v>
      </c>
      <c r="I166" s="20" t="n">
        <v>1148.909</v>
      </c>
      <c r="J166" s="20" t="n">
        <v>1091.034</v>
      </c>
      <c r="K166" s="20" t="n">
        <v>1294.022</v>
      </c>
      <c r="L166" s="20" t="n">
        <v>1257.197</v>
      </c>
      <c r="M166" s="20" t="n">
        <v>1303.583</v>
      </c>
      <c r="N166" s="20" t="n">
        <v>1342.062</v>
      </c>
      <c r="W166" s="20" t="n">
        <v>1267.238</v>
      </c>
      <c r="X166" s="20" t="n">
        <v>1294.022</v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G167" s="15">
        <f>IF(OR(G166="",C166=""),"",IF(C166&lt;=0,"",IFERROR(G166/C166-1,"")))</f>
        <v/>
      </c>
      <c r="H167" s="15">
        <f>IF(OR(H166="",D166=""),"",IF(D166&lt;=0,"",IFERROR(H166/D166-1,"")))</f>
        <v/>
      </c>
      <c r="I167" s="15">
        <f>IF(OR(I166="",E166=""),"",IF(E166&lt;=0,"",IFERROR(I166/E166-1,"")))</f>
        <v/>
      </c>
      <c r="J167" s="15">
        <f>IF(OR(J166="",F166=""),"",IF(F166&lt;=0,"",IFERROR(J166/F166-1,"")))</f>
        <v/>
      </c>
      <c r="K167" s="15">
        <f>IF(OR(K166="",G166=""),"",IF(G166&lt;=0,"",IFERROR(K166/G166-1,"")))</f>
        <v/>
      </c>
      <c r="L167" s="15">
        <f>IF(OR(L166="",H166=""),"",IF(H166&lt;=0,"",IFERROR(L166/H166-1,"")))</f>
        <v/>
      </c>
      <c r="M167" s="15">
        <f>IF(OR(M166="",I166=""),"",IF(I166&lt;=0,"",IFERROR(M166/I166-1,"")))</f>
        <v/>
      </c>
      <c r="N167" s="15">
        <f>IF(OR(N166="",J166=""),"",IF(J166&lt;=0,"",IFERROR(N166/J166-1,"")))</f>
        <v/>
      </c>
      <c r="W167" s="15">
        <f>IF(OR(W166="",V166=""),"",IF(V166&lt;=0,"",IFERROR(W166/V166-1,"")))</f>
        <v/>
      </c>
      <c r="X167" s="15">
        <f>IF(OR(X166="",W166=""),"",IF(W166&lt;=0,"",IFERROR(X166/W166-1,"")))</f>
        <v/>
      </c>
    </row>
    <row r="168">
      <c r="A168" s="18" t="inlineStr">
        <is>
          <t>XReportableSegmentMember · 외부 고객 매출</t>
        </is>
      </c>
      <c r="D168" s="20" t="n">
        <v>660.115</v>
      </c>
      <c r="E168" s="20" t="n">
        <v>736.1950000000001</v>
      </c>
      <c r="F168" s="20" t="n">
        <v>738.976</v>
      </c>
      <c r="G168" s="20" t="n">
        <v>719.2809999999999</v>
      </c>
      <c r="H168" s="20" t="n">
        <v>688.92</v>
      </c>
      <c r="I168" s="20" t="n">
        <v>716.704</v>
      </c>
      <c r="J168" s="20" t="n">
        <v>799.785</v>
      </c>
      <c r="K168" s="20" t="n">
        <v>933.954</v>
      </c>
      <c r="L168" s="20" t="n">
        <v>933.6130000000001</v>
      </c>
      <c r="M168" s="20" t="n">
        <v>1085.476</v>
      </c>
      <c r="N168" s="20" t="n">
        <v>927.6130000000001</v>
      </c>
      <c r="W168" s="20" t="n">
        <v>719.2809999999999</v>
      </c>
      <c r="X168" s="20" t="n">
        <v>933.954</v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IF(OR(G168="",C168=""),"",IF(C168&lt;=0,"",IFERROR(G168/C168-1,"")))</f>
        <v/>
      </c>
      <c r="H169" s="15">
        <f>IF(OR(H168="",D168=""),"",IF(D168&lt;=0,"",IFERROR(H168/D168-1,"")))</f>
        <v/>
      </c>
      <c r="I169" s="15">
        <f>IF(OR(I168="",E168=""),"",IF(E168&lt;=0,"",IFERROR(I168/E168-1,"")))</f>
        <v/>
      </c>
      <c r="J169" s="15">
        <f>IF(OR(J168="",F168=""),"",IF(F168&lt;=0,"",IFERROR(J168/F168-1,"")))</f>
        <v/>
      </c>
      <c r="K169" s="15">
        <f>IF(OR(K168="",G168=""),"",IF(G168&lt;=0,"",IFERROR(K168/G168-1,"")))</f>
        <v/>
      </c>
      <c r="L169" s="15">
        <f>IF(OR(L168="",H168=""),"",IF(H168&lt;=0,"",IFERROR(L168/H168-1,"")))</f>
        <v/>
      </c>
      <c r="M169" s="15">
        <f>IF(OR(M168="",I168=""),"",IF(I168&lt;=0,"",IFERROR(M168/I168-1,"")))</f>
        <v/>
      </c>
      <c r="N169" s="15">
        <f>IF(OR(N168="",J168=""),"",IF(J168&lt;=0,"",IFERROR(N168/J168-1,"")))</f>
        <v/>
      </c>
      <c r="W169" s="15">
        <f>IF(OR(W168="",V168=""),"",IF(V168&lt;=0,"",IFERROR(W168/V168-1,"")))</f>
        <v/>
      </c>
      <c r="X169" s="15">
        <f>IF(OR(X168="",W168=""),"",IF(W168&lt;=0,"",IFERROR(X168/W168-1,"")))</f>
        <v/>
      </c>
    </row>
    <row r="170">
      <c r="A170" s="18" t="inlineStr">
        <is>
          <t>FinanceReportableSegmentMember · 외부 고객 매출</t>
        </is>
      </c>
      <c r="D170" s="20" t="n">
        <v>197.848</v>
      </c>
      <c r="E170" s="20" t="n">
        <v>566.41</v>
      </c>
      <c r="F170" s="20" t="n">
        <v>0.6</v>
      </c>
      <c r="G170" s="20" t="n">
        <v>0.9</v>
      </c>
      <c r="H170" s="20" t="n">
        <v>752.6420000000001</v>
      </c>
      <c r="I170" s="20" t="n">
        <v>1.007</v>
      </c>
      <c r="J170" s="20" t="n">
        <v>139.346</v>
      </c>
      <c r="K170" s="20" t="n">
        <v>656.853</v>
      </c>
      <c r="L170" s="20" t="n">
        <v>0.75</v>
      </c>
      <c r="M170" s="20" t="n">
        <v>0.75</v>
      </c>
      <c r="N170" s="20" t="n">
        <v>2135.091</v>
      </c>
      <c r="W170" s="20" t="n">
        <v>0.9</v>
      </c>
      <c r="X170" s="20" t="n">
        <v>656.853</v>
      </c>
    </row>
    <row r="171">
      <c r="A171" s="43" t="inlineStr">
        <is>
          <t>YoY</t>
        </is>
      </c>
      <c r="B171" s="3" t="inlineStr">
        <is>
          <t>전년 같은 분기·전년 대비</t>
        </is>
      </c>
      <c r="G171" s="15">
        <f>IF(OR(G170="",C170=""),"",IF(C170&lt;=0,"",IFERROR(G170/C170-1,"")))</f>
        <v/>
      </c>
      <c r="H171" s="15">
        <f>IF(OR(H170="",D170=""),"",IF(D170&lt;=0,"",IFERROR(H170/D170-1,"")))</f>
        <v/>
      </c>
      <c r="I171" s="15">
        <f>IF(OR(I170="",E170=""),"",IF(E170&lt;=0,"",IFERROR(I170/E170-1,"")))</f>
        <v/>
      </c>
      <c r="J171" s="15">
        <f>IF(OR(J170="",F170=""),"",IF(F170&lt;=0,"",IFERROR(J170/F170-1,"")))</f>
        <v/>
      </c>
      <c r="K171" s="15">
        <f>IF(OR(K170="",G170=""),"",IF(G170&lt;=0,"",IFERROR(K170/G170-1,"")))</f>
        <v/>
      </c>
      <c r="L171" s="15">
        <f>IF(OR(L170="",H170=""),"",IF(H170&lt;=0,"",IFERROR(L170/H170-1,"")))</f>
        <v/>
      </c>
      <c r="M171" s="15">
        <f>IF(OR(M170="",I170=""),"",IF(I170&lt;=0,"",IFERROR(M170/I170-1,"")))</f>
        <v/>
      </c>
      <c r="N171" s="15">
        <f>IF(OR(N170="",J170=""),"",IF(J170&lt;=0,"",IFERROR(N170/J170-1,"")))</f>
        <v/>
      </c>
      <c r="W171" s="15">
        <f>IF(OR(W170="",V170=""),"",IF(V170&lt;=0,"",IFERROR(W170/V170-1,"")))</f>
        <v/>
      </c>
      <c r="X171" s="15">
        <f>IF(OR(X170="",W170=""),"",IF(W170&lt;=0,"",IFERROR(X170/W170-1,"")))</f>
        <v/>
      </c>
    </row>
    <row r="172">
      <c r="A172" s="18" t="inlineStr">
        <is>
          <t>보고부문 합계 · 외부 고객 매출</t>
        </is>
      </c>
      <c r="D172" s="20" t="n">
        <v>9543.519</v>
      </c>
      <c r="E172" s="20" t="n">
        <v>10320.089</v>
      </c>
      <c r="F172" s="20" t="n">
        <v>9807.555</v>
      </c>
      <c r="G172" s="20" t="n">
        <v>10688.673</v>
      </c>
      <c r="H172" s="20" t="n">
        <v>11692.909</v>
      </c>
      <c r="I172" s="20" t="n">
        <v>11497.364</v>
      </c>
      <c r="J172" s="20" t="n">
        <v>12042.789</v>
      </c>
      <c r="K172" s="20" t="n">
        <v>14983.806</v>
      </c>
      <c r="L172" s="20" t="n">
        <v>14566.886</v>
      </c>
      <c r="M172" s="20" t="n">
        <v>14180.977</v>
      </c>
      <c r="N172" s="20" t="n">
        <v>17716.299</v>
      </c>
      <c r="W172" s="20" t="n">
        <v>10688.673</v>
      </c>
      <c r="X172" s="20" t="n">
        <v>14983.806</v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G173" s="15">
        <f>IF(OR(G172="",C172=""),"",IF(C172&lt;=0,"",IFERROR(G172/C172-1,"")))</f>
        <v/>
      </c>
      <c r="H173" s="15">
        <f>IF(OR(H172="",D172=""),"",IF(D172&lt;=0,"",IFERROR(H172/D172-1,"")))</f>
        <v/>
      </c>
      <c r="I173" s="15">
        <f>IF(OR(I172="",E172=""),"",IF(E172&lt;=0,"",IFERROR(I172/E172-1,"")))</f>
        <v/>
      </c>
      <c r="J173" s="15">
        <f>IF(OR(J172="",F172=""),"",IF(F172&lt;=0,"",IFERROR(J172/F172-1,"")))</f>
        <v/>
      </c>
      <c r="K173" s="15">
        <f>IF(OR(K172="",G172=""),"",IF(G172&lt;=0,"",IFERROR(K172/G172-1,"")))</f>
        <v/>
      </c>
      <c r="L173" s="15">
        <f>IF(OR(L172="",H172=""),"",IF(H172&lt;=0,"",IFERROR(L172/H172-1,"")))</f>
        <v/>
      </c>
      <c r="M173" s="15">
        <f>IF(OR(M172="",I172=""),"",IF(I172&lt;=0,"",IFERROR(M172/I172-1,"")))</f>
        <v/>
      </c>
      <c r="N173" s="15">
        <f>IF(OR(N172="",J172=""),"",IF(J172&lt;=0,"",IFERROR(N172/J172-1,"")))</f>
        <v/>
      </c>
      <c r="W173" s="15">
        <f>IF(OR(W172="",V172=""),"",IF(V172&lt;=0,"",IFERROR(W172/V172-1,"")))</f>
        <v/>
      </c>
      <c r="X173" s="15">
        <f>IF(OR(X172="",W172=""),"",IF(W172&lt;=0,"",IFERROR(X172/W172-1,"")))</f>
        <v/>
      </c>
    </row>
    <row r="174">
      <c r="A174" s="18" t="inlineStr">
        <is>
          <t>BusinessReportableSegmentMember · 부문 간 내부매출·대체</t>
        </is>
      </c>
      <c r="D174" s="20" t="n">
        <v>16.806</v>
      </c>
      <c r="E174" s="20" t="n">
        <v>-3.039</v>
      </c>
      <c r="F174" s="20" t="n">
        <v>6.995</v>
      </c>
      <c r="G174" s="20" t="n">
        <v>5.694</v>
      </c>
      <c r="H174" s="20" t="n">
        <v>8.236000000000001</v>
      </c>
      <c r="I174" s="20" t="n">
        <v>41.307</v>
      </c>
      <c r="J174" s="20" t="n">
        <v>-21.666</v>
      </c>
      <c r="K174" s="20" t="n">
        <v>8.715</v>
      </c>
      <c r="L174" s="20" t="n">
        <v>11.206</v>
      </c>
      <c r="M174" s="20" t="n">
        <v>16.409</v>
      </c>
      <c r="N174" s="20" t="n">
        <v>14.345</v>
      </c>
      <c r="W174" s="20" t="n">
        <v>5.694</v>
      </c>
      <c r="X174" s="20" t="n">
        <v>8.715</v>
      </c>
    </row>
    <row r="175">
      <c r="A175" s="18" t="inlineStr">
        <is>
          <t>SaaSMarketingReportableSegmentMember · 부문 간 내부매출·대체</t>
        </is>
      </c>
      <c r="D175" s="20" t="n">
        <v>86.209</v>
      </c>
      <c r="E175" s="20" t="n">
        <v>74.536</v>
      </c>
      <c r="F175" s="20" t="n">
        <v>57.524</v>
      </c>
      <c r="G175" s="20" t="n">
        <v>58.749</v>
      </c>
      <c r="H175" s="20" t="n">
        <v>57.18</v>
      </c>
      <c r="I175" s="20" t="n">
        <v>59.34</v>
      </c>
      <c r="J175" s="20" t="n">
        <v>73.901</v>
      </c>
      <c r="K175" s="20" t="n">
        <v>62.608</v>
      </c>
      <c r="W175" s="20" t="n">
        <v>58.749</v>
      </c>
      <c r="X175" s="20" t="n">
        <v>62.608</v>
      </c>
    </row>
    <row r="176">
      <c r="A176" s="18" t="inlineStr">
        <is>
          <t>HOMEReportableSegmentMember · 부문 간 내부매출·대체</t>
        </is>
      </c>
      <c r="D176" s="20" t="n">
        <v>0</v>
      </c>
      <c r="E176" s="20" t="n">
        <v>0.8</v>
      </c>
      <c r="F176" s="20" t="n">
        <v>0</v>
      </c>
      <c r="G176" s="20" t="n">
        <v>1.32</v>
      </c>
      <c r="H176" s="20" t="n">
        <v>17.92</v>
      </c>
      <c r="I176" s="20" t="n">
        <v>20.792</v>
      </c>
      <c r="J176" s="20" t="n">
        <v>7.08</v>
      </c>
      <c r="K176" s="20" t="n">
        <v>6.177</v>
      </c>
      <c r="L176" s="20" t="n">
        <v>22.26</v>
      </c>
      <c r="M176" s="20" t="n">
        <v>24.718</v>
      </c>
      <c r="N176" s="20" t="n">
        <v>8.640000000000001</v>
      </c>
      <c r="W176" s="20" t="n">
        <v>1.32</v>
      </c>
      <c r="X176" s="20" t="n">
        <v>6.177</v>
      </c>
    </row>
    <row r="177">
      <c r="A177" s="18" t="inlineStr">
        <is>
          <t>XReportableSegmentMember · 부문 간 내부매출·대체</t>
        </is>
      </c>
      <c r="D177" s="20" t="n">
        <v>3.03</v>
      </c>
      <c r="E177" s="20" t="n">
        <v>3.73</v>
      </c>
      <c r="F177" s="20" t="n">
        <v>3.63</v>
      </c>
      <c r="G177" s="20" t="n">
        <v>9.83</v>
      </c>
      <c r="H177" s="20" t="n">
        <v>25.502</v>
      </c>
      <c r="I177" s="20" t="n">
        <v>23.821</v>
      </c>
      <c r="J177" s="20" t="n">
        <v>16.142</v>
      </c>
      <c r="K177" s="20" t="n">
        <v>15.246</v>
      </c>
      <c r="L177" s="20" t="n">
        <v>14.83</v>
      </c>
      <c r="M177" s="20" t="n">
        <v>12.935</v>
      </c>
      <c r="N177" s="20" t="n">
        <v>16.717</v>
      </c>
      <c r="W177" s="20" t="n">
        <v>9.83</v>
      </c>
      <c r="X177" s="20" t="n">
        <v>15.246</v>
      </c>
    </row>
    <row r="178">
      <c r="A178" s="18" t="inlineStr">
        <is>
          <t>FinanceReportableSegmentMember · 부문 간 내부매출·대체</t>
        </is>
      </c>
      <c r="D178" s="20" t="n">
        <v>0</v>
      </c>
      <c r="E178" s="20" t="n">
        <v>0</v>
      </c>
      <c r="F178" s="20" t="n">
        <v>0</v>
      </c>
      <c r="G178" s="20" t="n">
        <v>0</v>
      </c>
      <c r="H178" s="20" t="n">
        <v>0</v>
      </c>
      <c r="I178" s="20" t="n">
        <v>0</v>
      </c>
      <c r="J178" s="20" t="n">
        <v>0</v>
      </c>
      <c r="K178" s="20" t="n">
        <v>0</v>
      </c>
      <c r="L178" s="20" t="n">
        <v>0</v>
      </c>
      <c r="M178" s="20" t="n">
        <v>0</v>
      </c>
      <c r="N178" s="20" t="n">
        <v>0</v>
      </c>
      <c r="W178" s="20" t="n">
        <v>0</v>
      </c>
      <c r="X178" s="20" t="n">
        <v>0</v>
      </c>
    </row>
    <row r="179">
      <c r="A179" s="18" t="inlineStr">
        <is>
          <t>보고부문 합계 · 부문 간 내부매출·대체</t>
        </is>
      </c>
      <c r="D179" s="20" t="n">
        <v>106.045</v>
      </c>
      <c r="E179" s="20" t="n">
        <v>76.02800000000001</v>
      </c>
      <c r="F179" s="20" t="n">
        <v>68.149</v>
      </c>
      <c r="G179" s="20" t="n">
        <v>75.593</v>
      </c>
      <c r="H179" s="20" t="n">
        <v>108.838</v>
      </c>
      <c r="I179" s="20" t="n">
        <v>145.261</v>
      </c>
      <c r="J179" s="20" t="n">
        <v>75.45699999999999</v>
      </c>
      <c r="K179" s="20" t="n">
        <v>92.746</v>
      </c>
      <c r="L179" s="20" t="n">
        <v>48.297</v>
      </c>
      <c r="M179" s="20" t="n">
        <v>54.062</v>
      </c>
      <c r="N179" s="20" t="n">
        <v>39.703</v>
      </c>
      <c r="W179" s="20" t="n">
        <v>75.593</v>
      </c>
      <c r="X179" s="20" t="n">
        <v>92.746</v>
      </c>
    </row>
    <row r="180">
      <c r="A180" s="18" t="inlineStr">
        <is>
          <t>BusinessReportableSegmentMember · 계</t>
        </is>
      </c>
      <c r="D180" s="20" t="n">
        <v>6456.668</v>
      </c>
      <c r="E180" s="20" t="n">
        <v>6521.77</v>
      </c>
      <c r="F180" s="20" t="n">
        <v>6656.736</v>
      </c>
      <c r="G180" s="20" t="n">
        <v>7422.216</v>
      </c>
      <c r="H180" s="20" t="n">
        <v>7813.837</v>
      </c>
      <c r="I180" s="20" t="n">
        <v>8410.537</v>
      </c>
      <c r="J180" s="20" t="n">
        <v>8718.671</v>
      </c>
      <c r="K180" s="20" t="n">
        <v>11144.065</v>
      </c>
      <c r="L180" s="20" t="n">
        <v>12386.532</v>
      </c>
      <c r="M180" s="20" t="n">
        <v>11807.576</v>
      </c>
      <c r="N180" s="20" t="n">
        <v>13325.879</v>
      </c>
      <c r="W180" s="20" t="n">
        <v>7422.216</v>
      </c>
      <c r="X180" s="20" t="n">
        <v>11144.065</v>
      </c>
    </row>
    <row r="181">
      <c r="A181" s="43" t="inlineStr">
        <is>
          <t>YoY</t>
        </is>
      </c>
      <c r="B181" s="3" t="inlineStr">
        <is>
          <t>전년 같은 분기·전년 대비</t>
        </is>
      </c>
      <c r="G181" s="15">
        <f>IF(OR(G180="",C180=""),"",IF(C180&lt;=0,"",IFERROR(G180/C180-1,"")))</f>
        <v/>
      </c>
      <c r="H181" s="15">
        <f>IF(OR(H180="",D180=""),"",IF(D180&lt;=0,"",IFERROR(H180/D180-1,"")))</f>
        <v/>
      </c>
      <c r="I181" s="15">
        <f>IF(OR(I180="",E180=""),"",IF(E180&lt;=0,"",IFERROR(I180/E180-1,"")))</f>
        <v/>
      </c>
      <c r="J181" s="15">
        <f>IF(OR(J180="",F180=""),"",IF(F180&lt;=0,"",IFERROR(J180/F180-1,"")))</f>
        <v/>
      </c>
      <c r="K181" s="15">
        <f>IF(OR(K180="",G180=""),"",IF(G180&lt;=0,"",IFERROR(K180/G180-1,"")))</f>
        <v/>
      </c>
      <c r="L181" s="15">
        <f>IF(OR(L180="",H180=""),"",IF(H180&lt;=0,"",IFERROR(L180/H180-1,"")))</f>
        <v/>
      </c>
      <c r="M181" s="15">
        <f>IF(OR(M180="",I180=""),"",IF(I180&lt;=0,"",IFERROR(M180/I180-1,"")))</f>
        <v/>
      </c>
      <c r="N181" s="15">
        <f>IF(OR(N180="",J180=""),"",IF(J180&lt;=0,"",IFERROR(N180/J180-1,"")))</f>
        <v/>
      </c>
      <c r="W181" s="15">
        <f>IF(OR(W180="",V180=""),"",IF(V180&lt;=0,"",IFERROR(W180/V180-1,"")))</f>
        <v/>
      </c>
      <c r="X181" s="15">
        <f>IF(OR(X180="",W180=""),"",IF(W180&lt;=0,"",IFERROR(X180/W180-1,"")))</f>
        <v/>
      </c>
    </row>
    <row r="182">
      <c r="A182" s="18" t="inlineStr">
        <is>
          <t>SaaSMarketingReportableSegmentMember · 계</t>
        </is>
      </c>
      <c r="D182" s="20" t="n">
        <v>1243.33</v>
      </c>
      <c r="E182" s="20" t="n">
        <v>1363.082</v>
      </c>
      <c r="F182" s="20" t="n">
        <v>1308.92</v>
      </c>
      <c r="G182" s="20" t="n">
        <v>1343.479</v>
      </c>
      <c r="H182" s="20" t="n">
        <v>1299.071</v>
      </c>
      <c r="I182" s="20" t="n">
        <v>1320.854</v>
      </c>
      <c r="J182" s="20" t="n">
        <v>1346.189</v>
      </c>
      <c r="K182" s="20" t="n">
        <v>1026.236</v>
      </c>
      <c r="W182" s="20" t="n">
        <v>1343.479</v>
      </c>
      <c r="X182" s="20" t="n">
        <v>1026.236</v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G183" s="15">
        <f>IF(OR(G182="",C182=""),"",IF(C182&lt;=0,"",IFERROR(G182/C182-1,"")))</f>
        <v/>
      </c>
      <c r="H183" s="15">
        <f>IF(OR(H182="",D182=""),"",IF(D182&lt;=0,"",IFERROR(H182/D182-1,"")))</f>
        <v/>
      </c>
      <c r="I183" s="15">
        <f>IF(OR(I182="",E182=""),"",IF(E182&lt;=0,"",IFERROR(I182/E182-1,"")))</f>
        <v/>
      </c>
      <c r="J183" s="15">
        <f>IF(OR(J182="",F182=""),"",IF(F182&lt;=0,"",IFERROR(J182/F182-1,"")))</f>
        <v/>
      </c>
      <c r="K183" s="15">
        <f>IF(OR(K182="",G182=""),"",IF(G182&lt;=0,"",IFERROR(K182/G182-1,"")))</f>
        <v/>
      </c>
      <c r="W183" s="15">
        <f>IF(OR(W182="",V182=""),"",IF(V182&lt;=0,"",IFERROR(W182/V182-1,"")))</f>
        <v/>
      </c>
      <c r="X183" s="15">
        <f>IF(OR(X182="",W182=""),"",IF(W182&lt;=0,"",IFERROR(X182/W182-1,"")))</f>
        <v/>
      </c>
    </row>
    <row r="184">
      <c r="A184" s="18" t="inlineStr">
        <is>
          <t>HOMEReportableSegmentMember · 계</t>
        </is>
      </c>
      <c r="D184" s="20" t="n">
        <v>1088.573</v>
      </c>
      <c r="E184" s="20" t="n">
        <v>1204.929</v>
      </c>
      <c r="F184" s="20" t="n">
        <v>1166.843</v>
      </c>
      <c r="G184" s="20" t="n">
        <v>1268.558</v>
      </c>
      <c r="H184" s="20" t="n">
        <v>1221.773</v>
      </c>
      <c r="I184" s="20" t="n">
        <v>1169.701</v>
      </c>
      <c r="J184" s="20" t="n">
        <v>1098.114</v>
      </c>
      <c r="K184" s="20" t="n">
        <v>1300.199</v>
      </c>
      <c r="L184" s="20" t="n">
        <v>1279.457</v>
      </c>
      <c r="M184" s="20" t="n">
        <v>1328.302</v>
      </c>
      <c r="N184" s="20" t="n">
        <v>1350.702</v>
      </c>
      <c r="W184" s="20" t="n">
        <v>1268.558</v>
      </c>
      <c r="X184" s="20" t="n">
        <v>1300.199</v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G185" s="15">
        <f>IF(OR(G184="",C184=""),"",IF(C184&lt;=0,"",IFERROR(G184/C184-1,"")))</f>
        <v/>
      </c>
      <c r="H185" s="15">
        <f>IF(OR(H184="",D184=""),"",IF(D184&lt;=0,"",IFERROR(H184/D184-1,"")))</f>
        <v/>
      </c>
      <c r="I185" s="15">
        <f>IF(OR(I184="",E184=""),"",IF(E184&lt;=0,"",IFERROR(I184/E184-1,"")))</f>
        <v/>
      </c>
      <c r="J185" s="15">
        <f>IF(OR(J184="",F184=""),"",IF(F184&lt;=0,"",IFERROR(J184/F184-1,"")))</f>
        <v/>
      </c>
      <c r="K185" s="15">
        <f>IF(OR(K184="",G184=""),"",IF(G184&lt;=0,"",IFERROR(K184/G184-1,"")))</f>
        <v/>
      </c>
      <c r="L185" s="15">
        <f>IF(OR(L184="",H184=""),"",IF(H184&lt;=0,"",IFERROR(L184/H184-1,"")))</f>
        <v/>
      </c>
      <c r="M185" s="15">
        <f>IF(OR(M184="",I184=""),"",IF(I184&lt;=0,"",IFERROR(M184/I184-1,"")))</f>
        <v/>
      </c>
      <c r="N185" s="15">
        <f>IF(OR(N184="",J184=""),"",IF(J184&lt;=0,"",IFERROR(N184/J184-1,"")))</f>
        <v/>
      </c>
      <c r="W185" s="15">
        <f>IF(OR(W184="",V184=""),"",IF(V184&lt;=0,"",IFERROR(W184/V184-1,"")))</f>
        <v/>
      </c>
      <c r="X185" s="15">
        <f>IF(OR(X184="",W184=""),"",IF(W184&lt;=0,"",IFERROR(X184/W184-1,"")))</f>
        <v/>
      </c>
    </row>
    <row r="186">
      <c r="A186" s="18" t="inlineStr">
        <is>
          <t>XReportableSegmentMember · 계</t>
        </is>
      </c>
      <c r="D186" s="20" t="n">
        <v>663.145</v>
      </c>
      <c r="E186" s="20" t="n">
        <v>739.925</v>
      </c>
      <c r="F186" s="20" t="n">
        <v>742.606</v>
      </c>
      <c r="G186" s="20" t="n">
        <v>729.111</v>
      </c>
      <c r="H186" s="20" t="n">
        <v>714.422</v>
      </c>
      <c r="I186" s="20" t="n">
        <v>740.525</v>
      </c>
      <c r="J186" s="20" t="n">
        <v>815.927</v>
      </c>
      <c r="K186" s="20" t="n">
        <v>949.2</v>
      </c>
      <c r="L186" s="20" t="n">
        <v>948.443</v>
      </c>
      <c r="M186" s="20" t="n">
        <v>1098.412</v>
      </c>
      <c r="N186" s="20" t="n">
        <v>944.33</v>
      </c>
      <c r="W186" s="20" t="n">
        <v>729.111</v>
      </c>
      <c r="X186" s="20" t="n">
        <v>949.2</v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IF(OR(G186="",C186=""),"",IF(C186&lt;=0,"",IFERROR(G186/C186-1,"")))</f>
        <v/>
      </c>
      <c r="H187" s="15">
        <f>IF(OR(H186="",D186=""),"",IF(D186&lt;=0,"",IFERROR(H186/D186-1,"")))</f>
        <v/>
      </c>
      <c r="I187" s="15">
        <f>IF(OR(I186="",E186=""),"",IF(E186&lt;=0,"",IFERROR(I186/E186-1,"")))</f>
        <v/>
      </c>
      <c r="J187" s="15">
        <f>IF(OR(J186="",F186=""),"",IF(F186&lt;=0,"",IFERROR(J186/F186-1,"")))</f>
        <v/>
      </c>
      <c r="K187" s="15">
        <f>IF(OR(K186="",G186=""),"",IF(G186&lt;=0,"",IFERROR(K186/G186-1,"")))</f>
        <v/>
      </c>
      <c r="L187" s="15">
        <f>IF(OR(L186="",H186=""),"",IF(H186&lt;=0,"",IFERROR(L186/H186-1,"")))</f>
        <v/>
      </c>
      <c r="M187" s="15">
        <f>IF(OR(M186="",I186=""),"",IF(I186&lt;=0,"",IFERROR(M186/I186-1,"")))</f>
        <v/>
      </c>
      <c r="N187" s="15">
        <f>IF(OR(N186="",J186=""),"",IF(J186&lt;=0,"",IFERROR(N186/J186-1,"")))</f>
        <v/>
      </c>
      <c r="W187" s="15">
        <f>IF(OR(W186="",V186=""),"",IF(V186&lt;=0,"",IFERROR(W186/V186-1,"")))</f>
        <v/>
      </c>
      <c r="X187" s="15">
        <f>IF(OR(X186="",W186=""),"",IF(W186&lt;=0,"",IFERROR(X186/W186-1,"")))</f>
        <v/>
      </c>
    </row>
    <row r="188">
      <c r="A188" s="18" t="inlineStr">
        <is>
          <t>FinanceReportableSegmentMember · 계</t>
        </is>
      </c>
      <c r="D188" s="20" t="n">
        <v>197.848</v>
      </c>
      <c r="E188" s="20" t="n">
        <v>566.41</v>
      </c>
      <c r="F188" s="20" t="n">
        <v>0.6</v>
      </c>
      <c r="G188" s="20" t="n">
        <v>0.9</v>
      </c>
      <c r="H188" s="20" t="n">
        <v>752.6420000000001</v>
      </c>
      <c r="I188" s="20" t="n">
        <v>1.007</v>
      </c>
      <c r="J188" s="20" t="n">
        <v>139.346</v>
      </c>
      <c r="K188" s="20" t="n">
        <v>656.853</v>
      </c>
      <c r="L188" s="20" t="n">
        <v>0.75</v>
      </c>
      <c r="M188" s="20" t="n">
        <v>0.75</v>
      </c>
      <c r="N188" s="20" t="n">
        <v>2135.091</v>
      </c>
      <c r="W188" s="20" t="n">
        <v>0.9</v>
      </c>
      <c r="X188" s="20" t="n">
        <v>656.853</v>
      </c>
    </row>
    <row r="189">
      <c r="A189" s="43" t="inlineStr">
        <is>
          <t>YoY</t>
        </is>
      </c>
      <c r="B189" s="3" t="inlineStr">
        <is>
          <t>전년 같은 분기·전년 대비</t>
        </is>
      </c>
      <c r="G189" s="15">
        <f>IF(OR(G188="",C188=""),"",IF(C188&lt;=0,"",IFERROR(G188/C188-1,"")))</f>
        <v/>
      </c>
      <c r="H189" s="15">
        <f>IF(OR(H188="",D188=""),"",IF(D188&lt;=0,"",IFERROR(H188/D188-1,"")))</f>
        <v/>
      </c>
      <c r="I189" s="15">
        <f>IF(OR(I188="",E188=""),"",IF(E188&lt;=0,"",IFERROR(I188/E188-1,"")))</f>
        <v/>
      </c>
      <c r="J189" s="15">
        <f>IF(OR(J188="",F188=""),"",IF(F188&lt;=0,"",IFERROR(J188/F188-1,"")))</f>
        <v/>
      </c>
      <c r="K189" s="15">
        <f>IF(OR(K188="",G188=""),"",IF(G188&lt;=0,"",IFERROR(K188/G188-1,"")))</f>
        <v/>
      </c>
      <c r="L189" s="15">
        <f>IF(OR(L188="",H188=""),"",IF(H188&lt;=0,"",IFERROR(L188/H188-1,"")))</f>
        <v/>
      </c>
      <c r="M189" s="15">
        <f>IF(OR(M188="",I188=""),"",IF(I188&lt;=0,"",IFERROR(M188/I188-1,"")))</f>
        <v/>
      </c>
      <c r="N189" s="15">
        <f>IF(OR(N188="",J188=""),"",IF(J188&lt;=0,"",IFERROR(N188/J188-1,"")))</f>
        <v/>
      </c>
      <c r="W189" s="15">
        <f>IF(OR(W188="",V188=""),"",IF(V188&lt;=0,"",IFERROR(W188/V188-1,"")))</f>
        <v/>
      </c>
      <c r="X189" s="15">
        <f>IF(OR(X188="",W188=""),"",IF(W188&lt;=0,"",IFERROR(X188/W188-1,"")))</f>
        <v/>
      </c>
    </row>
    <row r="190">
      <c r="A190" s="18" t="inlineStr">
        <is>
          <t>보고부문 합계 · 계</t>
        </is>
      </c>
      <c r="D190" s="20" t="n">
        <v>9649.565000000001</v>
      </c>
      <c r="E190" s="20" t="n">
        <v>10396.116</v>
      </c>
      <c r="F190" s="20" t="n">
        <v>9875.705</v>
      </c>
      <c r="G190" s="20" t="n">
        <v>10764.265</v>
      </c>
      <c r="H190" s="20" t="n">
        <v>11801.747</v>
      </c>
      <c r="I190" s="20" t="n">
        <v>11642.625</v>
      </c>
      <c r="J190" s="20" t="n">
        <v>12118.246</v>
      </c>
      <c r="K190" s="20" t="n">
        <v>15076.552</v>
      </c>
      <c r="L190" s="20" t="n">
        <v>14615.183</v>
      </c>
      <c r="M190" s="20" t="n">
        <v>14235.04</v>
      </c>
      <c r="N190" s="20" t="n">
        <v>17756.002</v>
      </c>
      <c r="W190" s="20" t="n">
        <v>10764.265</v>
      </c>
      <c r="X190" s="20" t="n">
        <v>15076.552</v>
      </c>
    </row>
    <row r="191">
      <c r="A191" s="43" t="inlineStr">
        <is>
          <t>YoY</t>
        </is>
      </c>
      <c r="B191" s="3" t="inlineStr">
        <is>
          <t>전년 같은 분기·전년 대비</t>
        </is>
      </c>
      <c r="G191" s="15">
        <f>IF(OR(G190="",C190=""),"",IF(C190&lt;=0,"",IFERROR(G190/C190-1,"")))</f>
        <v/>
      </c>
      <c r="H191" s="15">
        <f>IF(OR(H190="",D190=""),"",IF(D190&lt;=0,"",IFERROR(H190/D190-1,"")))</f>
        <v/>
      </c>
      <c r="I191" s="15">
        <f>IF(OR(I190="",E190=""),"",IF(E190&lt;=0,"",IFERROR(I190/E190-1,"")))</f>
        <v/>
      </c>
      <c r="J191" s="15">
        <f>IF(OR(J190="",F190=""),"",IF(F190&lt;=0,"",IFERROR(J190/F190-1,"")))</f>
        <v/>
      </c>
      <c r="K191" s="15">
        <f>IF(OR(K190="",G190=""),"",IF(G190&lt;=0,"",IFERROR(K190/G190-1,"")))</f>
        <v/>
      </c>
      <c r="L191" s="15">
        <f>IF(OR(L190="",H190=""),"",IF(H190&lt;=0,"",IFERROR(L190/H190-1,"")))</f>
        <v/>
      </c>
      <c r="M191" s="15">
        <f>IF(OR(M190="",I190=""),"",IF(I190&lt;=0,"",IFERROR(M190/I190-1,"")))</f>
        <v/>
      </c>
      <c r="N191" s="15">
        <f>IF(OR(N190="",J190=""),"",IF(J190&lt;=0,"",IFERROR(N190/J190-1,"")))</f>
        <v/>
      </c>
      <c r="W191" s="15">
        <f>IF(OR(W190="",V190=""),"",IF(V190&lt;=0,"",IFERROR(W190/V190-1,"")))</f>
        <v/>
      </c>
      <c r="X191" s="15">
        <f>IF(OR(X190="",W190=""),"",IF(W190&lt;=0,"",IFERROR(X190/W190-1,"")))</f>
        <v/>
      </c>
    </row>
    <row r="192">
      <c r="A192" s="18" t="inlineStr">
        <is>
          <t>BusinessReportableSegmentMember · 부문 이익(손실)</t>
        </is>
      </c>
      <c r="D192" s="20" t="n">
        <v>-444.882</v>
      </c>
      <c r="E192" s="20" t="n">
        <v>-741.177</v>
      </c>
      <c r="F192" s="20" t="n">
        <v>-463.615</v>
      </c>
      <c r="G192" s="20" t="n">
        <v>-629.853</v>
      </c>
      <c r="H192" s="20" t="n">
        <v>-343.192</v>
      </c>
      <c r="I192" s="20" t="n">
        <v>-580.201</v>
      </c>
      <c r="J192" s="20" t="n">
        <v>-67.509</v>
      </c>
      <c r="K192" s="20" t="n">
        <v>-221.157</v>
      </c>
      <c r="L192" s="20" t="n">
        <v>789.498</v>
      </c>
      <c r="M192" s="20" t="n">
        <v>264.022</v>
      </c>
      <c r="N192" s="20" t="n">
        <v>997.354</v>
      </c>
      <c r="W192" s="20" t="n">
        <v>-629.853</v>
      </c>
      <c r="X192" s="20" t="n">
        <v>-221.157</v>
      </c>
    </row>
    <row r="193">
      <c r="A193" s="43" t="inlineStr">
        <is>
          <t>OPM</t>
        </is>
      </c>
      <c r="B193" s="3" t="inlineStr">
        <is>
          <t>영업이익 ÷ 매출</t>
        </is>
      </c>
      <c r="D193" s="15">
        <f>IF(OR(D192="",D180=""),"",IF(D180&lt;=0,"",IFERROR(D192/D180,"")))</f>
        <v/>
      </c>
      <c r="E193" s="15">
        <f>IF(OR(E192="",E180=""),"",IF(E180&lt;=0,"",IFERROR(E192/E180,"")))</f>
        <v/>
      </c>
      <c r="F193" s="15">
        <f>IF(OR(F192="",F180=""),"",IF(F180&lt;=0,"",IFERROR(F192/F180,"")))</f>
        <v/>
      </c>
      <c r="G193" s="15">
        <f>IF(OR(G192="",G180=""),"",IF(G180&lt;=0,"",IFERROR(G192/G180,"")))</f>
        <v/>
      </c>
      <c r="H193" s="15">
        <f>IF(OR(H192="",H180=""),"",IF(H180&lt;=0,"",IFERROR(H192/H180,"")))</f>
        <v/>
      </c>
      <c r="I193" s="15">
        <f>IF(OR(I192="",I180=""),"",IF(I180&lt;=0,"",IFERROR(I192/I180,"")))</f>
        <v/>
      </c>
      <c r="J193" s="15">
        <f>IF(OR(J192="",J180=""),"",IF(J180&lt;=0,"",IFERROR(J192/J180,"")))</f>
        <v/>
      </c>
      <c r="K193" s="15">
        <f>IF(OR(K192="",K180=""),"",IF(K180&lt;=0,"",IFERROR(K192/K180,"")))</f>
        <v/>
      </c>
      <c r="L193" s="15">
        <f>IF(OR(L192="",L180=""),"",IF(L180&lt;=0,"",IFERROR(L192/L180,"")))</f>
        <v/>
      </c>
      <c r="M193" s="15">
        <f>IF(OR(M192="",M180=""),"",IF(M180&lt;=0,"",IFERROR(M192/M180,"")))</f>
        <v/>
      </c>
      <c r="N193" s="15">
        <f>IF(OR(N192="",N180=""),"",IF(N180&lt;=0,"",IFERROR(N192/N180,"")))</f>
        <v/>
      </c>
      <c r="W193" s="15">
        <f>IF(OR(W192="",W180=""),"",IF(W180&lt;=0,"",IFERROR(W192/W180,"")))</f>
        <v/>
      </c>
      <c r="X193" s="15">
        <f>IF(OR(X192="",X180=""),"",IF(X180&lt;=0,"",IFERROR(X192/X180,"")))</f>
        <v/>
      </c>
    </row>
    <row r="194">
      <c r="A194" s="43" t="inlineStr">
        <is>
          <t>YoY</t>
        </is>
      </c>
      <c r="B194" s="3" t="inlineStr">
        <is>
          <t>전년 같은 분기·전년 대비</t>
        </is>
      </c>
      <c r="G194" s="15">
        <f>IF(OR(G192="",C192=""),"",IF(C192&lt;=0,"",IFERROR(G192/C192-1,"")))</f>
        <v/>
      </c>
      <c r="H194" s="15">
        <f>IF(OR(H192="",D192=""),"",IF(D192&lt;=0,"",IFERROR(H192/D192-1,"")))</f>
        <v/>
      </c>
      <c r="I194" s="15">
        <f>IF(OR(I192="",E192=""),"",IF(E192&lt;=0,"",IFERROR(I192/E192-1,"")))</f>
        <v/>
      </c>
      <c r="J194" s="15">
        <f>IF(OR(J192="",F192=""),"",IF(F192&lt;=0,"",IFERROR(J192/F192-1,"")))</f>
        <v/>
      </c>
      <c r="K194" s="15">
        <f>IF(OR(K192="",G192=""),"",IF(G192&lt;=0,"",IFERROR(K192/G192-1,"")))</f>
        <v/>
      </c>
      <c r="L194" s="15">
        <f>IF(OR(L192="",H192=""),"",IF(H192&lt;=0,"",IFERROR(L192/H192-1,"")))</f>
        <v/>
      </c>
      <c r="M194" s="15">
        <f>IF(OR(M192="",I192=""),"",IF(I192&lt;=0,"",IFERROR(M192/I192-1,"")))</f>
        <v/>
      </c>
      <c r="N194" s="15">
        <f>IF(OR(N192="",J192=""),"",IF(J192&lt;=0,"",IFERROR(N192/J192-1,"")))</f>
        <v/>
      </c>
      <c r="W194" s="15">
        <f>IF(OR(W192="",V192=""),"",IF(V192&lt;=0,"",IFERROR(W192/V192-1,"")))</f>
        <v/>
      </c>
      <c r="X194" s="15">
        <f>IF(OR(X192="",W192=""),"",IF(W192&lt;=0,"",IFERROR(X192/W192-1,"")))</f>
        <v/>
      </c>
    </row>
    <row r="195">
      <c r="A195" s="18" t="inlineStr">
        <is>
          <t>SaaSMarketingReportableSegmentMember · 부문 이익(손실)</t>
        </is>
      </c>
      <c r="D195" s="20" t="n">
        <v>109.172</v>
      </c>
      <c r="E195" s="20" t="n">
        <v>104.15</v>
      </c>
      <c r="F195" s="20" t="n">
        <v>171.541</v>
      </c>
      <c r="G195" s="20" t="n">
        <v>181.462</v>
      </c>
      <c r="H195" s="20" t="n">
        <v>105.064</v>
      </c>
      <c r="I195" s="20" t="n">
        <v>80.92400000000001</v>
      </c>
      <c r="J195" s="20" t="n">
        <v>127.995</v>
      </c>
      <c r="K195" s="20" t="n">
        <v>164.522</v>
      </c>
      <c r="W195" s="20" t="n">
        <v>181.462</v>
      </c>
      <c r="X195" s="20" t="n">
        <v>164.522</v>
      </c>
    </row>
    <row r="196">
      <c r="A196" s="43" t="inlineStr">
        <is>
          <t>OPM</t>
        </is>
      </c>
      <c r="B196" s="3" t="inlineStr">
        <is>
          <t>영업이익 ÷ 매출</t>
        </is>
      </c>
      <c r="D196" s="15">
        <f>IF(OR(D195="",D182=""),"",IF(D182&lt;=0,"",IFERROR(D195/D182,"")))</f>
        <v/>
      </c>
      <c r="E196" s="15">
        <f>IF(OR(E195="",E182=""),"",IF(E182&lt;=0,"",IFERROR(E195/E182,"")))</f>
        <v/>
      </c>
      <c r="F196" s="15">
        <f>IF(OR(F195="",F182=""),"",IF(F182&lt;=0,"",IFERROR(F195/F182,"")))</f>
        <v/>
      </c>
      <c r="G196" s="15">
        <f>IF(OR(G195="",G182=""),"",IF(G182&lt;=0,"",IFERROR(G195/G182,"")))</f>
        <v/>
      </c>
      <c r="H196" s="15">
        <f>IF(OR(H195="",H182=""),"",IF(H182&lt;=0,"",IFERROR(H195/H182,"")))</f>
        <v/>
      </c>
      <c r="I196" s="15">
        <f>IF(OR(I195="",I182=""),"",IF(I182&lt;=0,"",IFERROR(I195/I182,"")))</f>
        <v/>
      </c>
      <c r="J196" s="15">
        <f>IF(OR(J195="",J182=""),"",IF(J182&lt;=0,"",IFERROR(J195/J182,"")))</f>
        <v/>
      </c>
      <c r="K196" s="15">
        <f>IF(OR(K195="",K182=""),"",IF(K182&lt;=0,"",IFERROR(K195/K182,"")))</f>
        <v/>
      </c>
      <c r="W196" s="15">
        <f>IF(OR(W195="",W182=""),"",IF(W182&lt;=0,"",IFERROR(W195/W182,"")))</f>
        <v/>
      </c>
      <c r="X196" s="15">
        <f>IF(OR(X195="",X182=""),"",IF(X182&lt;=0,"",IFERROR(X195/X182,"")))</f>
        <v/>
      </c>
    </row>
    <row r="197">
      <c r="A197" s="43" t="inlineStr">
        <is>
          <t>YoY</t>
        </is>
      </c>
      <c r="B197" s="3" t="inlineStr">
        <is>
          <t>전년 같은 분기·전년 대비</t>
        </is>
      </c>
      <c r="G197" s="15">
        <f>IF(OR(G195="",C195=""),"",IF(C195&lt;=0,"",IFERROR(G195/C195-1,"")))</f>
        <v/>
      </c>
      <c r="H197" s="15">
        <f>IF(OR(H195="",D195=""),"",IF(D195&lt;=0,"",IFERROR(H195/D195-1,"")))</f>
        <v/>
      </c>
      <c r="I197" s="15">
        <f>IF(OR(I195="",E195=""),"",IF(E195&lt;=0,"",IFERROR(I195/E195-1,"")))</f>
        <v/>
      </c>
      <c r="J197" s="15">
        <f>IF(OR(J195="",F195=""),"",IF(F195&lt;=0,"",IFERROR(J195/F195-1,"")))</f>
        <v/>
      </c>
      <c r="K197" s="15">
        <f>IF(OR(K195="",G195=""),"",IF(G195&lt;=0,"",IFERROR(K195/G195-1,"")))</f>
        <v/>
      </c>
      <c r="W197" s="15">
        <f>IF(OR(W195="",V195=""),"",IF(V195&lt;=0,"",IFERROR(W195/V195-1,"")))</f>
        <v/>
      </c>
      <c r="X197" s="15">
        <f>IF(OR(X195="",W195=""),"",IF(W195&lt;=0,"",IFERROR(X195/W195-1,"")))</f>
        <v/>
      </c>
    </row>
    <row r="198">
      <c r="A198" s="18" t="inlineStr">
        <is>
          <t>HOMEReportableSegmentMember · 부문 이익(손실)</t>
        </is>
      </c>
      <c r="D198" s="20" t="n">
        <v>297.894</v>
      </c>
      <c r="E198" s="20" t="n">
        <v>364.478</v>
      </c>
      <c r="F198" s="20" t="n">
        <v>380.317</v>
      </c>
      <c r="G198" s="20" t="n">
        <v>299.701</v>
      </c>
      <c r="H198" s="20" t="n">
        <v>131.828</v>
      </c>
      <c r="I198" s="20" t="n">
        <v>262.737</v>
      </c>
      <c r="J198" s="20" t="n">
        <v>290.944</v>
      </c>
      <c r="K198" s="20" t="n">
        <v>408.839</v>
      </c>
      <c r="L198" s="20" t="n">
        <v>243.924</v>
      </c>
      <c r="M198" s="20" t="n">
        <v>407.93</v>
      </c>
      <c r="N198" s="20" t="n">
        <v>314.975</v>
      </c>
      <c r="W198" s="20" t="n">
        <v>299.701</v>
      </c>
      <c r="X198" s="20" t="n">
        <v>408.839</v>
      </c>
    </row>
    <row r="199">
      <c r="A199" s="43" t="inlineStr">
        <is>
          <t>OPM</t>
        </is>
      </c>
      <c r="B199" s="3" t="inlineStr">
        <is>
          <t>영업이익 ÷ 매출</t>
        </is>
      </c>
      <c r="D199" s="15">
        <f>IF(OR(D198="",D184=""),"",IF(D184&lt;=0,"",IFERROR(D198/D184,"")))</f>
        <v/>
      </c>
      <c r="E199" s="15">
        <f>IF(OR(E198="",E184=""),"",IF(E184&lt;=0,"",IFERROR(E198/E184,"")))</f>
        <v/>
      </c>
      <c r="F199" s="15">
        <f>IF(OR(F198="",F184=""),"",IF(F184&lt;=0,"",IFERROR(F198/F184,"")))</f>
        <v/>
      </c>
      <c r="G199" s="15">
        <f>IF(OR(G198="",G184=""),"",IF(G184&lt;=0,"",IFERROR(G198/G184,"")))</f>
        <v/>
      </c>
      <c r="H199" s="15">
        <f>IF(OR(H198="",H184=""),"",IF(H184&lt;=0,"",IFERROR(H198/H184,"")))</f>
        <v/>
      </c>
      <c r="I199" s="15">
        <f>IF(OR(I198="",I184=""),"",IF(I184&lt;=0,"",IFERROR(I198/I184,"")))</f>
        <v/>
      </c>
      <c r="J199" s="15">
        <f>IF(OR(J198="",J184=""),"",IF(J184&lt;=0,"",IFERROR(J198/J184,"")))</f>
        <v/>
      </c>
      <c r="K199" s="15">
        <f>IF(OR(K198="",K184=""),"",IF(K184&lt;=0,"",IFERROR(K198/K184,"")))</f>
        <v/>
      </c>
      <c r="L199" s="15">
        <f>IF(OR(L198="",L184=""),"",IF(L184&lt;=0,"",IFERROR(L198/L184,"")))</f>
        <v/>
      </c>
      <c r="M199" s="15">
        <f>IF(OR(M198="",M184=""),"",IF(M184&lt;=0,"",IFERROR(M198/M184,"")))</f>
        <v/>
      </c>
      <c r="N199" s="15">
        <f>IF(OR(N198="",N184=""),"",IF(N184&lt;=0,"",IFERROR(N198/N184,"")))</f>
        <v/>
      </c>
      <c r="W199" s="15">
        <f>IF(OR(W198="",W184=""),"",IF(W184&lt;=0,"",IFERROR(W198/W184,"")))</f>
        <v/>
      </c>
      <c r="X199" s="15">
        <f>IF(OR(X198="",X184=""),"",IF(X184&lt;=0,"",IFERROR(X198/X184,"")))</f>
        <v/>
      </c>
    </row>
    <row r="200">
      <c r="A200" s="43" t="inlineStr">
        <is>
          <t>YoY</t>
        </is>
      </c>
      <c r="B200" s="3" t="inlineStr">
        <is>
          <t>전년 같은 분기·전년 대비</t>
        </is>
      </c>
      <c r="G200" s="15">
        <f>IF(OR(G198="",C198=""),"",IF(C198&lt;=0,"",IFERROR(G198/C198-1,"")))</f>
        <v/>
      </c>
      <c r="H200" s="15">
        <f>IF(OR(H198="",D198=""),"",IF(D198&lt;=0,"",IFERROR(H198/D198-1,"")))</f>
        <v/>
      </c>
      <c r="I200" s="15">
        <f>IF(OR(I198="",E198=""),"",IF(E198&lt;=0,"",IFERROR(I198/E198-1,"")))</f>
        <v/>
      </c>
      <c r="J200" s="15">
        <f>IF(OR(J198="",F198=""),"",IF(F198&lt;=0,"",IFERROR(J198/F198-1,"")))</f>
        <v/>
      </c>
      <c r="K200" s="15">
        <f>IF(OR(K198="",G198=""),"",IF(G198&lt;=0,"",IFERROR(K198/G198-1,"")))</f>
        <v/>
      </c>
      <c r="L200" s="15">
        <f>IF(OR(L198="",H198=""),"",IF(H198&lt;=0,"",IFERROR(L198/H198-1,"")))</f>
        <v/>
      </c>
      <c r="M200" s="15">
        <f>IF(OR(M198="",I198=""),"",IF(I198&lt;=0,"",IFERROR(M198/I198-1,"")))</f>
        <v/>
      </c>
      <c r="N200" s="15">
        <f>IF(OR(N198="",J198=""),"",IF(J198&lt;=0,"",IFERROR(N198/J198-1,"")))</f>
        <v/>
      </c>
      <c r="W200" s="15">
        <f>IF(OR(W198="",V198=""),"",IF(V198&lt;=0,"",IFERROR(W198/V198-1,"")))</f>
        <v/>
      </c>
      <c r="X200" s="15">
        <f>IF(OR(X198="",W198=""),"",IF(W198&lt;=0,"",IFERROR(X198/W198-1,"")))</f>
        <v/>
      </c>
    </row>
    <row r="201">
      <c r="A201" s="18" t="inlineStr">
        <is>
          <t>XReportableSegmentMember · 부문 이익(손실)</t>
        </is>
      </c>
      <c r="D201" s="20" t="n">
        <v>49.916</v>
      </c>
      <c r="E201" s="20" t="n">
        <v>79.032</v>
      </c>
      <c r="F201" s="20" t="n">
        <v>95.226</v>
      </c>
      <c r="G201" s="20" t="n">
        <v>84.907</v>
      </c>
      <c r="H201" s="20" t="n">
        <v>38.169</v>
      </c>
      <c r="I201" s="20" t="n">
        <v>85.92</v>
      </c>
      <c r="J201" s="20" t="n">
        <v>111.72</v>
      </c>
      <c r="K201" s="20" t="n">
        <v>163.757</v>
      </c>
      <c r="L201" s="20" t="n">
        <v>110.377</v>
      </c>
      <c r="M201" s="20" t="n">
        <v>212.559</v>
      </c>
      <c r="N201" s="20" t="n">
        <v>52.082</v>
      </c>
      <c r="W201" s="20" t="n">
        <v>84.907</v>
      </c>
      <c r="X201" s="20" t="n">
        <v>163.757</v>
      </c>
    </row>
    <row r="202">
      <c r="A202" s="43" t="inlineStr">
        <is>
          <t>OPM</t>
        </is>
      </c>
      <c r="B202" s="3" t="inlineStr">
        <is>
          <t>영업이익 ÷ 매출</t>
        </is>
      </c>
      <c r="D202" s="15">
        <f>IF(OR(D201="",D186=""),"",IF(D186&lt;=0,"",IFERROR(D201/D186,"")))</f>
        <v/>
      </c>
      <c r="E202" s="15">
        <f>IF(OR(E201="",E186=""),"",IF(E186&lt;=0,"",IFERROR(E201/E186,"")))</f>
        <v/>
      </c>
      <c r="F202" s="15">
        <f>IF(OR(F201="",F186=""),"",IF(F186&lt;=0,"",IFERROR(F201/F186,"")))</f>
        <v/>
      </c>
      <c r="G202" s="15">
        <f>IF(OR(G201="",G186=""),"",IF(G186&lt;=0,"",IFERROR(G201/G186,"")))</f>
        <v/>
      </c>
      <c r="H202" s="15">
        <f>IF(OR(H201="",H186=""),"",IF(H186&lt;=0,"",IFERROR(H201/H186,"")))</f>
        <v/>
      </c>
      <c r="I202" s="15">
        <f>IF(OR(I201="",I186=""),"",IF(I186&lt;=0,"",IFERROR(I201/I186,"")))</f>
        <v/>
      </c>
      <c r="J202" s="15">
        <f>IF(OR(J201="",J186=""),"",IF(J186&lt;=0,"",IFERROR(J201/J186,"")))</f>
        <v/>
      </c>
      <c r="K202" s="15">
        <f>IF(OR(K201="",K186=""),"",IF(K186&lt;=0,"",IFERROR(K201/K186,"")))</f>
        <v/>
      </c>
      <c r="L202" s="15">
        <f>IF(OR(L201="",L186=""),"",IF(L186&lt;=0,"",IFERROR(L201/L186,"")))</f>
        <v/>
      </c>
      <c r="M202" s="15">
        <f>IF(OR(M201="",M186=""),"",IF(M186&lt;=0,"",IFERROR(M201/M186,"")))</f>
        <v/>
      </c>
      <c r="N202" s="15">
        <f>IF(OR(N201="",N186=""),"",IF(N186&lt;=0,"",IFERROR(N201/N186,"")))</f>
        <v/>
      </c>
      <c r="W202" s="15">
        <f>IF(OR(W201="",W186=""),"",IF(W186&lt;=0,"",IFERROR(W201/W186,"")))</f>
        <v/>
      </c>
      <c r="X202" s="15">
        <f>IF(OR(X201="",X186=""),"",IF(X186&lt;=0,"",IFERROR(X201/X186,"")))</f>
        <v/>
      </c>
    </row>
    <row r="203">
      <c r="A203" s="43" t="inlineStr">
        <is>
          <t>YoY</t>
        </is>
      </c>
      <c r="B203" s="3" t="inlineStr">
        <is>
          <t>전년 같은 분기·전년 대비</t>
        </is>
      </c>
      <c r="G203" s="15">
        <f>IF(OR(G201="",C201=""),"",IF(C201&lt;=0,"",IFERROR(G201/C201-1,"")))</f>
        <v/>
      </c>
      <c r="H203" s="15">
        <f>IF(OR(H201="",D201=""),"",IF(D201&lt;=0,"",IFERROR(H201/D201-1,"")))</f>
        <v/>
      </c>
      <c r="I203" s="15">
        <f>IF(OR(I201="",E201=""),"",IF(E201&lt;=0,"",IFERROR(I201/E201-1,"")))</f>
        <v/>
      </c>
      <c r="J203" s="15">
        <f>IF(OR(J201="",F201=""),"",IF(F201&lt;=0,"",IFERROR(J201/F201-1,"")))</f>
        <v/>
      </c>
      <c r="K203" s="15">
        <f>IF(OR(K201="",G201=""),"",IF(G201&lt;=0,"",IFERROR(K201/G201-1,"")))</f>
        <v/>
      </c>
      <c r="L203" s="15">
        <f>IF(OR(L201="",H201=""),"",IF(H201&lt;=0,"",IFERROR(L201/H201-1,"")))</f>
        <v/>
      </c>
      <c r="M203" s="15">
        <f>IF(OR(M201="",I201=""),"",IF(I201&lt;=0,"",IFERROR(M201/I201-1,"")))</f>
        <v/>
      </c>
      <c r="N203" s="15">
        <f>IF(OR(N201="",J201=""),"",IF(J201&lt;=0,"",IFERROR(N201/J201-1,"")))</f>
        <v/>
      </c>
      <c r="W203" s="15">
        <f>IF(OR(W201="",V201=""),"",IF(V201&lt;=0,"",IFERROR(W201/V201-1,"")))</f>
        <v/>
      </c>
      <c r="X203" s="15">
        <f>IF(OR(X201="",W201=""),"",IF(W201&lt;=0,"",IFERROR(X201/W201-1,"")))</f>
        <v/>
      </c>
    </row>
    <row r="204">
      <c r="A204" s="18" t="inlineStr">
        <is>
          <t>FinanceReportableSegmentMember · 부문 이익(손실)</t>
        </is>
      </c>
      <c r="D204" s="20" t="n">
        <v>107.006</v>
      </c>
      <c r="E204" s="20" t="n">
        <v>301.209</v>
      </c>
      <c r="F204" s="20" t="n">
        <v>-66.938</v>
      </c>
      <c r="G204" s="20" t="n">
        <v>-71.64</v>
      </c>
      <c r="H204" s="20" t="n">
        <v>428.521</v>
      </c>
      <c r="I204" s="20" t="n">
        <v>-215.927</v>
      </c>
      <c r="J204" s="20" t="n">
        <v>-25.689</v>
      </c>
      <c r="K204" s="20" t="n">
        <v>89.25</v>
      </c>
      <c r="L204" s="20" t="n">
        <v>-65.301</v>
      </c>
      <c r="M204" s="20" t="n">
        <v>-85.92</v>
      </c>
      <c r="N204" s="20" t="n">
        <v>1610.963</v>
      </c>
      <c r="W204" s="20" t="n">
        <v>-71.64</v>
      </c>
      <c r="X204" s="20" t="n">
        <v>89.25</v>
      </c>
    </row>
    <row r="205">
      <c r="A205" s="43" t="inlineStr">
        <is>
          <t>OPM</t>
        </is>
      </c>
      <c r="B205" s="3" t="inlineStr">
        <is>
          <t>영업이익 ÷ 매출</t>
        </is>
      </c>
      <c r="D205" s="15">
        <f>IF(OR(D204="",D188=""),"",IF(D188&lt;=0,"",IFERROR(D204/D188,"")))</f>
        <v/>
      </c>
      <c r="E205" s="15">
        <f>IF(OR(E204="",E188=""),"",IF(E188&lt;=0,"",IFERROR(E204/E188,"")))</f>
        <v/>
      </c>
      <c r="F205" s="15">
        <f>IF(OR(F204="",F188=""),"",IF(F188&lt;=0,"",IFERROR(F204/F188,"")))</f>
        <v/>
      </c>
      <c r="G205" s="15">
        <f>IF(OR(G204="",G188=""),"",IF(G188&lt;=0,"",IFERROR(G204/G188,"")))</f>
        <v/>
      </c>
      <c r="H205" s="15">
        <f>IF(OR(H204="",H188=""),"",IF(H188&lt;=0,"",IFERROR(H204/H188,"")))</f>
        <v/>
      </c>
      <c r="I205" s="15">
        <f>IF(OR(I204="",I188=""),"",IF(I188&lt;=0,"",IFERROR(I204/I188,"")))</f>
        <v/>
      </c>
      <c r="J205" s="15">
        <f>IF(OR(J204="",J188=""),"",IF(J188&lt;=0,"",IFERROR(J204/J188,"")))</f>
        <v/>
      </c>
      <c r="K205" s="15">
        <f>IF(OR(K204="",K188=""),"",IF(K188&lt;=0,"",IFERROR(K204/K188,"")))</f>
        <v/>
      </c>
      <c r="L205" s="15">
        <f>IF(OR(L204="",L188=""),"",IF(L188&lt;=0,"",IFERROR(L204/L188,"")))</f>
        <v/>
      </c>
      <c r="M205" s="15">
        <f>IF(OR(M204="",M188=""),"",IF(M188&lt;=0,"",IFERROR(M204/M188,"")))</f>
        <v/>
      </c>
      <c r="N205" s="15">
        <f>IF(OR(N204="",N188=""),"",IF(N188&lt;=0,"",IFERROR(N204/N188,"")))</f>
        <v/>
      </c>
      <c r="W205" s="15">
        <f>IF(OR(W204="",W188=""),"",IF(W188&lt;=0,"",IFERROR(W204/W188,"")))</f>
        <v/>
      </c>
      <c r="X205" s="15">
        <f>IF(OR(X204="",X188=""),"",IF(X188&lt;=0,"",IFERROR(X204/X188,"")))</f>
        <v/>
      </c>
    </row>
    <row r="206">
      <c r="A206" s="43" t="inlineStr">
        <is>
          <t>YoY</t>
        </is>
      </c>
      <c r="B206" s="3" t="inlineStr">
        <is>
          <t>전년 같은 분기·전년 대비</t>
        </is>
      </c>
      <c r="G206" s="15">
        <f>IF(OR(G204="",C204=""),"",IF(C204&lt;=0,"",IFERROR(G204/C204-1,"")))</f>
        <v/>
      </c>
      <c r="H206" s="15">
        <f>IF(OR(H204="",D204=""),"",IF(D204&lt;=0,"",IFERROR(H204/D204-1,"")))</f>
        <v/>
      </c>
      <c r="I206" s="15">
        <f>IF(OR(I204="",E204=""),"",IF(E204&lt;=0,"",IFERROR(I204/E204-1,"")))</f>
        <v/>
      </c>
      <c r="J206" s="15">
        <f>IF(OR(J204="",F204=""),"",IF(F204&lt;=0,"",IFERROR(J204/F204-1,"")))</f>
        <v/>
      </c>
      <c r="K206" s="15">
        <f>IF(OR(K204="",G204=""),"",IF(G204&lt;=0,"",IFERROR(K204/G204-1,"")))</f>
        <v/>
      </c>
      <c r="L206" s="15">
        <f>IF(OR(L204="",H204=""),"",IF(H204&lt;=0,"",IFERROR(L204/H204-1,"")))</f>
        <v/>
      </c>
      <c r="M206" s="15">
        <f>IF(OR(M204="",I204=""),"",IF(I204&lt;=0,"",IFERROR(M204/I204-1,"")))</f>
        <v/>
      </c>
      <c r="N206" s="15">
        <f>IF(OR(N204="",J204=""),"",IF(J204&lt;=0,"",IFERROR(N204/J204-1,"")))</f>
        <v/>
      </c>
      <c r="W206" s="15">
        <f>IF(OR(W204="",V204=""),"",IF(V204&lt;=0,"",IFERROR(W204/V204-1,"")))</f>
        <v/>
      </c>
      <c r="X206" s="15">
        <f>IF(OR(X204="",W204=""),"",IF(W204&lt;=0,"",IFERROR(X204/W204-1,"")))</f>
        <v/>
      </c>
    </row>
    <row r="207">
      <c r="A207" s="18" t="inlineStr">
        <is>
          <t>보고부문 합계 · 부문 이익(손실)</t>
        </is>
      </c>
      <c r="D207" s="20" t="n">
        <v>119.107</v>
      </c>
      <c r="E207" s="20" t="n">
        <v>107.692</v>
      </c>
      <c r="F207" s="20" t="n">
        <v>116.531</v>
      </c>
      <c r="G207" s="20" t="n">
        <v>-135.424</v>
      </c>
      <c r="H207" s="20" t="n">
        <v>360.39</v>
      </c>
      <c r="I207" s="20" t="n">
        <v>-366.545</v>
      </c>
      <c r="J207" s="20" t="n">
        <v>437.461</v>
      </c>
      <c r="K207" s="20" t="n">
        <v>605.2089999999999</v>
      </c>
      <c r="L207" s="20" t="n">
        <v>1078.498</v>
      </c>
      <c r="M207" s="20" t="n">
        <v>798.592</v>
      </c>
      <c r="N207" s="20" t="n">
        <v>2975.374</v>
      </c>
      <c r="W207" s="20" t="n">
        <v>-135.424</v>
      </c>
      <c r="X207" s="20" t="n">
        <v>605.2089999999999</v>
      </c>
    </row>
    <row r="208">
      <c r="A208" s="43" t="inlineStr">
        <is>
          <t>OPM</t>
        </is>
      </c>
      <c r="B208" s="3" t="inlineStr">
        <is>
          <t>영업이익 ÷ 매출</t>
        </is>
      </c>
      <c r="D208" s="15">
        <f>IF(OR(D207="",D190=""),"",IF(D190&lt;=0,"",IFERROR(D207/D190,"")))</f>
        <v/>
      </c>
      <c r="E208" s="15">
        <f>IF(OR(E207="",E190=""),"",IF(E190&lt;=0,"",IFERROR(E207/E190,"")))</f>
        <v/>
      </c>
      <c r="F208" s="15">
        <f>IF(OR(F207="",F190=""),"",IF(F190&lt;=0,"",IFERROR(F207/F190,"")))</f>
        <v/>
      </c>
      <c r="G208" s="15">
        <f>IF(OR(G207="",G190=""),"",IF(G190&lt;=0,"",IFERROR(G207/G190,"")))</f>
        <v/>
      </c>
      <c r="H208" s="15">
        <f>IF(OR(H207="",H190=""),"",IF(H190&lt;=0,"",IFERROR(H207/H190,"")))</f>
        <v/>
      </c>
      <c r="I208" s="15">
        <f>IF(OR(I207="",I190=""),"",IF(I190&lt;=0,"",IFERROR(I207/I190,"")))</f>
        <v/>
      </c>
      <c r="J208" s="15">
        <f>IF(OR(J207="",J190=""),"",IF(J190&lt;=0,"",IFERROR(J207/J190,"")))</f>
        <v/>
      </c>
      <c r="K208" s="15">
        <f>IF(OR(K207="",K190=""),"",IF(K190&lt;=0,"",IFERROR(K207/K190,"")))</f>
        <v/>
      </c>
      <c r="L208" s="15">
        <f>IF(OR(L207="",L190=""),"",IF(L190&lt;=0,"",IFERROR(L207/L190,"")))</f>
        <v/>
      </c>
      <c r="M208" s="15">
        <f>IF(OR(M207="",M190=""),"",IF(M190&lt;=0,"",IFERROR(M207/M190,"")))</f>
        <v/>
      </c>
      <c r="N208" s="15">
        <f>IF(OR(N207="",N190=""),"",IF(N190&lt;=0,"",IFERROR(N207/N190,"")))</f>
        <v/>
      </c>
      <c r="W208" s="15">
        <f>IF(OR(W207="",W190=""),"",IF(W190&lt;=0,"",IFERROR(W207/W190,"")))</f>
        <v/>
      </c>
      <c r="X208" s="15">
        <f>IF(OR(X207="",X190=""),"",IF(X190&lt;=0,"",IFERROR(X207/X190,"")))</f>
        <v/>
      </c>
    </row>
    <row r="209">
      <c r="A209" s="43" t="inlineStr">
        <is>
          <t>YoY</t>
        </is>
      </c>
      <c r="B209" s="3" t="inlineStr">
        <is>
          <t>전년 같은 분기·전년 대비</t>
        </is>
      </c>
      <c r="G209" s="15">
        <f>IF(OR(G207="",C207=""),"",IF(C207&lt;=0,"",IFERROR(G207/C207-1,"")))</f>
        <v/>
      </c>
      <c r="H209" s="15">
        <f>IF(OR(H207="",D207=""),"",IF(D207&lt;=0,"",IFERROR(H207/D207-1,"")))</f>
        <v/>
      </c>
      <c r="I209" s="15">
        <f>IF(OR(I207="",E207=""),"",IF(E207&lt;=0,"",IFERROR(I207/E207-1,"")))</f>
        <v/>
      </c>
      <c r="J209" s="15">
        <f>IF(OR(J207="",F207=""),"",IF(F207&lt;=0,"",IFERROR(J207/F207-1,"")))</f>
        <v/>
      </c>
      <c r="K209" s="15">
        <f>IF(OR(K207="",G207=""),"",IF(G207&lt;=0,"",IFERROR(K207/G207-1,"")))</f>
        <v/>
      </c>
      <c r="L209" s="15">
        <f>IF(OR(L207="",H207=""),"",IF(H207&lt;=0,"",IFERROR(L207/H207-1,"")))</f>
        <v/>
      </c>
      <c r="M209" s="15">
        <f>IF(OR(M207="",I207=""),"",IF(I207&lt;=0,"",IFERROR(M207/I207-1,"")))</f>
        <v/>
      </c>
      <c r="N209" s="15">
        <f>IF(OR(N207="",J207=""),"",IF(J207&lt;=0,"",IFERROR(N207/J207-1,"")))</f>
        <v/>
      </c>
      <c r="W209" s="15">
        <f>IF(OR(W207="",V207=""),"",IF(V207&lt;=0,"",IFERROR(W207/V207-1,"")))</f>
        <v/>
      </c>
      <c r="X209" s="15">
        <f>IF(OR(X207="",W207=""),"",IF(W207&lt;=0,"",IFERROR(X207/W207-1,"")))</f>
        <v/>
      </c>
    </row>
    <row r="210">
      <c r="A210" s="18" t="inlineStr">
        <is>
          <t>기타 · 외부 고객 매출</t>
        </is>
      </c>
      <c r="D210" s="20" t="n">
        <v>0.578</v>
      </c>
      <c r="H210" s="20" t="n">
        <v>13.966</v>
      </c>
    </row>
    <row r="211">
      <c r="A211" s="43" t="inlineStr">
        <is>
          <t>YoY</t>
        </is>
      </c>
      <c r="B211" s="3" t="inlineStr">
        <is>
          <t>전년 같은 분기·전년 대비</t>
        </is>
      </c>
      <c r="H211" s="15">
        <f>IF(OR(H210="",D210=""),"",IF(D210&lt;=0,"",IFERROR(H210/D210-1,"")))</f>
        <v/>
      </c>
    </row>
    <row r="212">
      <c r="A212" s="18" t="inlineStr">
        <is>
          <t>합계 · 외부 고객 매출</t>
        </is>
      </c>
      <c r="D212" s="20" t="n">
        <v>9544.098</v>
      </c>
      <c r="H212" s="20" t="n">
        <v>11706.875</v>
      </c>
    </row>
    <row r="213">
      <c r="A213" s="43" t="inlineStr">
        <is>
          <t>YoY</t>
        </is>
      </c>
      <c r="B213" s="3" t="inlineStr">
        <is>
          <t>전년 같은 분기·전년 대비</t>
        </is>
      </c>
      <c r="H213" s="15">
        <f>IF(OR(H212="",D212=""),"",IF(D212&lt;=0,"",IFERROR(H212/D212-1,"")))</f>
        <v/>
      </c>
    </row>
    <row r="214">
      <c r="A214" s="18" t="inlineStr">
        <is>
          <t>조정액 · 외부 고객 매출</t>
        </is>
      </c>
      <c r="D214" s="20" t="n">
        <v>0</v>
      </c>
      <c r="E214" s="20" t="n">
        <v>0.842</v>
      </c>
      <c r="F214" s="20" t="n">
        <v>1.557</v>
      </c>
      <c r="G214" s="20" t="n">
        <v>1.602</v>
      </c>
      <c r="H214" s="20" t="n">
        <v>13.966</v>
      </c>
      <c r="I214" s="20" t="n">
        <v>33.047</v>
      </c>
      <c r="J214" s="20" t="n">
        <v>26.419</v>
      </c>
      <c r="K214" s="20" t="n">
        <v>59.643</v>
      </c>
      <c r="L214" s="20" t="n">
        <v>103.195</v>
      </c>
      <c r="M214" s="20" t="n">
        <v>141.498</v>
      </c>
      <c r="N214" s="20" t="n">
        <v>199.89</v>
      </c>
      <c r="W214" s="20" t="n">
        <v>1.602</v>
      </c>
      <c r="X214" s="20" t="n">
        <v>59.643</v>
      </c>
    </row>
    <row r="215">
      <c r="A215" s="9" t="inlineStr">
        <is>
          <t>외부 고객 매출</t>
        </is>
      </c>
      <c r="D215" s="12" t="n">
        <v>9544.098</v>
      </c>
      <c r="E215" s="12" t="n">
        <v>10320.352</v>
      </c>
      <c r="F215" s="12" t="n">
        <v>9809.112999999999</v>
      </c>
      <c r="G215" s="12" t="n">
        <v>10690.274</v>
      </c>
      <c r="H215" s="12" t="n">
        <v>11706.875</v>
      </c>
      <c r="I215" s="12" t="n">
        <v>11530.411</v>
      </c>
      <c r="J215" s="12" t="n">
        <v>12069.209</v>
      </c>
      <c r="K215" s="12" t="n">
        <v>15043.448</v>
      </c>
      <c r="W215" s="12" t="n">
        <v>10690.274</v>
      </c>
      <c r="X215" s="12" t="n">
        <v>15043.448</v>
      </c>
    </row>
    <row r="216">
      <c r="A216" s="43" t="inlineStr">
        <is>
          <t>YoY</t>
        </is>
      </c>
      <c r="B216" s="3" t="inlineStr">
        <is>
          <t>전년 같은 분기·전년 대비</t>
        </is>
      </c>
      <c r="G216" s="15">
        <f>IF(OR(G215="",C215=""),"",IF(C215&lt;=0,"",IFERROR(G215/C215-1,"")))</f>
        <v/>
      </c>
      <c r="H216" s="15">
        <f>IF(OR(H215="",D215=""),"",IF(D215&lt;=0,"",IFERROR(H215/D215-1,"")))</f>
        <v/>
      </c>
      <c r="I216" s="15">
        <f>IF(OR(I215="",E215=""),"",IF(E215&lt;=0,"",IFERROR(I215/E215-1,"")))</f>
        <v/>
      </c>
      <c r="J216" s="15">
        <f>IF(OR(J215="",F215=""),"",IF(F215&lt;=0,"",IFERROR(J215/F215-1,"")))</f>
        <v/>
      </c>
      <c r="K216" s="15">
        <f>IF(OR(K215="",G215=""),"",IF(G215&lt;=0,"",IFERROR(K215/G215-1,"")))</f>
        <v/>
      </c>
      <c r="W216" s="15">
        <f>IF(OR(W215="",V215=""),"",IF(V215&lt;=0,"",IFERROR(W215/V215-1,"")))</f>
        <v/>
      </c>
      <c r="X216" s="15">
        <f>IF(OR(X215="",W215=""),"",IF(W215&lt;=0,"",IFERROR(X215/W215-1,"")))</f>
        <v/>
      </c>
    </row>
    <row r="217">
      <c r="A217" s="18" t="inlineStr">
        <is>
          <t>기타 · 부문 간 내부매출·대체</t>
        </is>
      </c>
      <c r="D217" s="20" t="n">
        <v>1758.664</v>
      </c>
      <c r="H217" s="20" t="n">
        <v>2432.46</v>
      </c>
    </row>
    <row r="218">
      <c r="A218" s="18" t="inlineStr">
        <is>
          <t>합계 · 부문 간 내부매출·대체</t>
        </is>
      </c>
      <c r="D218" s="20" t="n">
        <v>1864.709</v>
      </c>
      <c r="H218" s="20" t="n">
        <v>2541.298</v>
      </c>
    </row>
    <row r="219">
      <c r="A219" s="18" t="inlineStr">
        <is>
          <t>EntityTotalMember · 외부 고객 매출</t>
        </is>
      </c>
      <c r="H219" s="20" t="n">
        <v>11706.875</v>
      </c>
      <c r="L219" s="20" t="n">
        <v>14670.082</v>
      </c>
    </row>
    <row r="220">
      <c r="A220" s="18" t="inlineStr">
        <is>
          <t>조정액 · 부문 간 내부매출·대체</t>
        </is>
      </c>
      <c r="D220" s="20" t="n">
        <v>-1864.709</v>
      </c>
      <c r="E220" s="20" t="n">
        <v>1682.636</v>
      </c>
      <c r="F220" s="20" t="n">
        <v>-68.149</v>
      </c>
      <c r="G220" s="20" t="n">
        <v>-75.593</v>
      </c>
      <c r="H220" s="20" t="n">
        <v>-108.838</v>
      </c>
      <c r="I220" s="20" t="n">
        <v>-145.261</v>
      </c>
      <c r="J220" s="20" t="n">
        <v>-75.45699999999999</v>
      </c>
      <c r="K220" s="20" t="n">
        <v>-92.746</v>
      </c>
      <c r="L220" s="20" t="n">
        <v>-48.297</v>
      </c>
      <c r="M220" s="20" t="n">
        <v>-54.062</v>
      </c>
      <c r="N220" s="20" t="n">
        <v>-39.703</v>
      </c>
      <c r="W220" s="20" t="n">
        <v>-75.593</v>
      </c>
      <c r="X220" s="20" t="n">
        <v>-92.746</v>
      </c>
    </row>
    <row r="221">
      <c r="A221" s="18" t="inlineStr">
        <is>
          <t>부문 간 내부매출·대체</t>
        </is>
      </c>
      <c r="D221" s="20" t="n">
        <v>0</v>
      </c>
      <c r="E221" s="20" t="n">
        <v>0</v>
      </c>
      <c r="F221" s="20" t="n">
        <v>0</v>
      </c>
      <c r="G221" s="20" t="n">
        <v>0</v>
      </c>
      <c r="H221" s="20" t="n">
        <v>0</v>
      </c>
      <c r="I221" s="20" t="n">
        <v>0</v>
      </c>
      <c r="J221" s="20" t="n">
        <v>0</v>
      </c>
      <c r="K221" s="20" t="n">
        <v>0</v>
      </c>
      <c r="W221" s="20" t="n">
        <v>0</v>
      </c>
      <c r="X221" s="20" t="n">
        <v>0</v>
      </c>
    </row>
    <row r="222">
      <c r="A222" s="18" t="inlineStr">
        <is>
          <t>기타 · 계</t>
        </is>
      </c>
      <c r="D222" s="20" t="n">
        <v>1759.242</v>
      </c>
      <c r="H222" s="20" t="n">
        <v>2446.426</v>
      </c>
    </row>
    <row r="223">
      <c r="A223" s="43" t="inlineStr">
        <is>
          <t>YoY</t>
        </is>
      </c>
      <c r="B223" s="3" t="inlineStr">
        <is>
          <t>전년 같은 분기·전년 대비</t>
        </is>
      </c>
      <c r="H223" s="15">
        <f>IF(OR(H222="",D222=""),"",IF(D222&lt;=0,"",IFERROR(H222/D222-1,"")))</f>
        <v/>
      </c>
    </row>
    <row r="224">
      <c r="A224" s="18" t="inlineStr">
        <is>
          <t>합계 · 계</t>
        </is>
      </c>
      <c r="D224" s="20" t="n">
        <v>11408.808</v>
      </c>
      <c r="H224" s="20" t="n">
        <v>14248.174</v>
      </c>
    </row>
    <row r="225">
      <c r="A225" s="43" t="inlineStr">
        <is>
          <t>YoY</t>
        </is>
      </c>
      <c r="B225" s="3" t="inlineStr">
        <is>
          <t>전년 같은 분기·전년 대비</t>
        </is>
      </c>
      <c r="H225" s="15">
        <f>IF(OR(H224="",D224=""),"",IF(D224&lt;=0,"",IFERROR(H224/D224-1,"")))</f>
        <v/>
      </c>
    </row>
    <row r="226">
      <c r="A226" s="18" t="inlineStr">
        <is>
          <t>EntityTotalMember · 부문 간 내부매출·대체</t>
        </is>
      </c>
      <c r="H226" s="20" t="n">
        <v>0</v>
      </c>
      <c r="L226" s="20" t="n">
        <v>0</v>
      </c>
    </row>
    <row r="227">
      <c r="A227" s="18" t="inlineStr">
        <is>
          <t>조정액 · 계</t>
        </is>
      </c>
      <c r="D227" s="20" t="n">
        <v>-1864.709</v>
      </c>
      <c r="E227" s="20" t="n">
        <v>1683.478</v>
      </c>
      <c r="F227" s="20" t="n">
        <v>-66.59099999999999</v>
      </c>
      <c r="G227" s="20" t="n">
        <v>-73.992</v>
      </c>
      <c r="H227" s="20" t="n">
        <v>-94.871</v>
      </c>
      <c r="I227" s="20" t="n">
        <v>-112.215</v>
      </c>
      <c r="J227" s="20" t="n">
        <v>-49.037</v>
      </c>
      <c r="K227" s="20" t="n">
        <v>-33.103</v>
      </c>
      <c r="L227" s="20" t="n">
        <v>54.898</v>
      </c>
      <c r="M227" s="20" t="n">
        <v>87.435</v>
      </c>
      <c r="N227" s="20" t="n">
        <v>160.188</v>
      </c>
      <c r="W227" s="20" t="n">
        <v>-73.992</v>
      </c>
      <c r="X227" s="20" t="n">
        <v>-33.103</v>
      </c>
    </row>
    <row r="228">
      <c r="A228" s="9" t="inlineStr">
        <is>
          <t>계</t>
        </is>
      </c>
      <c r="D228" s="12" t="n">
        <v>9544.098</v>
      </c>
      <c r="E228" s="12" t="n">
        <v>10320.352</v>
      </c>
      <c r="F228" s="12" t="n">
        <v>9809.112999999999</v>
      </c>
      <c r="G228" s="12" t="n">
        <v>10690.274</v>
      </c>
      <c r="H228" s="12" t="n">
        <v>11706.875</v>
      </c>
      <c r="I228" s="12" t="n">
        <v>11530.411</v>
      </c>
      <c r="J228" s="12" t="n">
        <v>12069.209</v>
      </c>
      <c r="K228" s="12" t="n">
        <v>15043.448</v>
      </c>
      <c r="W228" s="12" t="n">
        <v>10690.274</v>
      </c>
      <c r="X228" s="12" t="n">
        <v>15043.448</v>
      </c>
    </row>
    <row r="229">
      <c r="A229" s="43" t="inlineStr">
        <is>
          <t>YoY</t>
        </is>
      </c>
      <c r="B229" s="3" t="inlineStr">
        <is>
          <t>전년 같은 분기·전년 대비</t>
        </is>
      </c>
      <c r="G229" s="15">
        <f>IF(OR(G228="",C228=""),"",IF(C228&lt;=0,"",IFERROR(G228/C228-1,"")))</f>
        <v/>
      </c>
      <c r="H229" s="15">
        <f>IF(OR(H228="",D228=""),"",IF(D228&lt;=0,"",IFERROR(H228/D228-1,"")))</f>
        <v/>
      </c>
      <c r="I229" s="15">
        <f>IF(OR(I228="",E228=""),"",IF(E228&lt;=0,"",IFERROR(I228/E228-1,"")))</f>
        <v/>
      </c>
      <c r="J229" s="15">
        <f>IF(OR(J228="",F228=""),"",IF(F228&lt;=0,"",IFERROR(J228/F228-1,"")))</f>
        <v/>
      </c>
      <c r="K229" s="15">
        <f>IF(OR(K228="",G228=""),"",IF(G228&lt;=0,"",IFERROR(K228/G228-1,"")))</f>
        <v/>
      </c>
      <c r="W229" s="15">
        <f>IF(OR(W228="",V228=""),"",IF(V228&lt;=0,"",IFERROR(W228/V228-1,"")))</f>
        <v/>
      </c>
      <c r="X229" s="15">
        <f>IF(OR(X228="",W228=""),"",IF(W228&lt;=0,"",IFERROR(X228/W228-1,"")))</f>
        <v/>
      </c>
    </row>
    <row r="230">
      <c r="A230" s="18" t="inlineStr">
        <is>
          <t>기타 · 부문 이익(손실)</t>
        </is>
      </c>
      <c r="D230" s="20" t="n">
        <v>-1099.299</v>
      </c>
      <c r="H230" s="20" t="n">
        <v>-951.801</v>
      </c>
    </row>
    <row r="231">
      <c r="A231" s="43" t="inlineStr">
        <is>
          <t>OPM</t>
        </is>
      </c>
      <c r="B231" s="3" t="inlineStr">
        <is>
          <t>영업이익 ÷ 매출</t>
        </is>
      </c>
      <c r="D231" s="15">
        <f>IF(OR(D230="",D222=""),"",IF(D222&lt;=0,"",IFERROR(D230/D222,"")))</f>
        <v/>
      </c>
      <c r="H231" s="15">
        <f>IF(OR(H230="",H222=""),"",IF(H222&lt;=0,"",IFERROR(H230/H222,"")))</f>
        <v/>
      </c>
    </row>
    <row r="232">
      <c r="A232" s="43" t="inlineStr">
        <is>
          <t>YoY</t>
        </is>
      </c>
      <c r="B232" s="3" t="inlineStr">
        <is>
          <t>전년 같은 분기·전년 대비</t>
        </is>
      </c>
      <c r="H232" s="15">
        <f>IF(OR(H230="",D230=""),"",IF(D230&lt;=0,"",IFERROR(H230/D230-1,"")))</f>
        <v/>
      </c>
    </row>
    <row r="233">
      <c r="A233" s="18" t="inlineStr">
        <is>
          <t>합계 · 부문 이익(손실)</t>
        </is>
      </c>
      <c r="D233" s="20" t="n">
        <v>-980.192</v>
      </c>
      <c r="H233" s="20" t="n">
        <v>-591.4109999999999</v>
      </c>
    </row>
    <row r="234">
      <c r="A234" s="43" t="inlineStr">
        <is>
          <t>OPM</t>
        </is>
      </c>
      <c r="B234" s="3" t="inlineStr">
        <is>
          <t>영업이익 ÷ 매출</t>
        </is>
      </c>
      <c r="D234" s="15">
        <f>IF(OR(D233="",D224=""),"",IF(D224&lt;=0,"",IFERROR(D233/D224,"")))</f>
        <v/>
      </c>
      <c r="H234" s="15">
        <f>IF(OR(H233="",H224=""),"",IF(H224&lt;=0,"",IFERROR(H233/H224,"")))</f>
        <v/>
      </c>
    </row>
    <row r="235">
      <c r="A235" s="43" t="inlineStr">
        <is>
          <t>YoY</t>
        </is>
      </c>
      <c r="B235" s="3" t="inlineStr">
        <is>
          <t>전년 같은 분기·전년 대비</t>
        </is>
      </c>
      <c r="H235" s="15">
        <f>IF(OR(H233="",D233=""),"",IF(D233&lt;=0,"",IFERROR(H233/D233-1,"")))</f>
        <v/>
      </c>
    </row>
    <row r="236">
      <c r="A236" s="18" t="inlineStr">
        <is>
          <t>EntityTotalMember · 계</t>
        </is>
      </c>
      <c r="H236" s="20" t="n">
        <v>11706.875</v>
      </c>
      <c r="L236" s="20" t="n">
        <v>14670.082</v>
      </c>
    </row>
    <row r="237">
      <c r="A237" s="18" t="inlineStr">
        <is>
          <t>조정액 · 부문 이익(손실)</t>
        </is>
      </c>
      <c r="D237" s="20" t="n">
        <v>-12.371</v>
      </c>
      <c r="E237" s="20" t="n">
        <v>-2042.007</v>
      </c>
      <c r="F237" s="20" t="n">
        <v>-1126.066</v>
      </c>
      <c r="G237" s="20" t="n">
        <v>-1762.605</v>
      </c>
      <c r="H237" s="20" t="n">
        <v>-941.12</v>
      </c>
      <c r="I237" s="20" t="n">
        <v>-645.593</v>
      </c>
      <c r="J237" s="20" t="n">
        <v>-824.171</v>
      </c>
      <c r="K237" s="20" t="n">
        <v>-1279.028</v>
      </c>
      <c r="L237" s="20" t="n">
        <v>-910.472</v>
      </c>
      <c r="M237" s="20" t="n">
        <v>-1175.737</v>
      </c>
      <c r="N237" s="20" t="n">
        <v>-1079.876</v>
      </c>
      <c r="W237" s="20" t="n">
        <v>-1762.605</v>
      </c>
      <c r="X237" s="20" t="n">
        <v>-1279.028</v>
      </c>
    </row>
    <row r="238">
      <c r="A238" s="9" t="inlineStr">
        <is>
          <t>부문 이익(손실)</t>
        </is>
      </c>
      <c r="D238" s="12" t="n">
        <v>-992.564</v>
      </c>
      <c r="E238" s="12" t="n">
        <v>-835.015</v>
      </c>
      <c r="F238" s="12" t="n">
        <v>-1009.535</v>
      </c>
      <c r="G238" s="12" t="n">
        <v>-1898.029</v>
      </c>
      <c r="H238" s="12" t="n">
        <v>-580.73</v>
      </c>
      <c r="I238" s="12" t="n">
        <v>-1012.138</v>
      </c>
      <c r="J238" s="12" t="n">
        <v>-386.71</v>
      </c>
      <c r="K238" s="12" t="n">
        <v>-673.818</v>
      </c>
      <c r="W238" s="12" t="n">
        <v>-1898.029</v>
      </c>
      <c r="X238" s="12" t="n">
        <v>-673.818</v>
      </c>
    </row>
    <row r="239">
      <c r="A239" s="43" t="inlineStr">
        <is>
          <t>OPM</t>
        </is>
      </c>
      <c r="B239" s="3" t="inlineStr">
        <is>
          <t>영업이익 ÷ 매출</t>
        </is>
      </c>
      <c r="D239" s="15">
        <f>IF(OR(D238="",D215=""),"",IF(D215&lt;=0,"",IFERROR(D238/D215,"")))</f>
        <v/>
      </c>
      <c r="E239" s="15">
        <f>IF(OR(E238="",E215=""),"",IF(E215&lt;=0,"",IFERROR(E238/E215,"")))</f>
        <v/>
      </c>
      <c r="F239" s="15">
        <f>IF(OR(F238="",F215=""),"",IF(F215&lt;=0,"",IFERROR(F238/F215,"")))</f>
        <v/>
      </c>
      <c r="G239" s="15">
        <f>IF(OR(G238="",G215=""),"",IF(G215&lt;=0,"",IFERROR(G238/G215,"")))</f>
        <v/>
      </c>
      <c r="H239" s="15">
        <f>IF(OR(H238="",H215=""),"",IF(H215&lt;=0,"",IFERROR(H238/H215,"")))</f>
        <v/>
      </c>
      <c r="I239" s="15">
        <f>IF(OR(I238="",I215=""),"",IF(I215&lt;=0,"",IFERROR(I238/I215,"")))</f>
        <v/>
      </c>
      <c r="J239" s="15">
        <f>IF(OR(J238="",J215=""),"",IF(J215&lt;=0,"",IFERROR(J238/J215,"")))</f>
        <v/>
      </c>
      <c r="K239" s="15">
        <f>IF(OR(K238="",K215=""),"",IF(K215&lt;=0,"",IFERROR(K238/K215,"")))</f>
        <v/>
      </c>
      <c r="W239" s="15">
        <f>IF(OR(W238="",W215=""),"",IF(W215&lt;=0,"",IFERROR(W238/W215,"")))</f>
        <v/>
      </c>
      <c r="X239" s="15">
        <f>IF(OR(X238="",X215=""),"",IF(X215&lt;=0,"",IFERROR(X238/X215,"")))</f>
        <v/>
      </c>
    </row>
    <row r="240">
      <c r="A240" s="43" t="inlineStr">
        <is>
          <t>YoY</t>
        </is>
      </c>
      <c r="B240" s="3" t="inlineStr">
        <is>
          <t>전년 같은 분기·전년 대비</t>
        </is>
      </c>
      <c r="G240" s="15">
        <f>IF(OR(G238="",C238=""),"",IF(C238&lt;=0,"",IFERROR(G238/C238-1,"")))</f>
        <v/>
      </c>
      <c r="H240" s="15">
        <f>IF(OR(H238="",D238=""),"",IF(D238&lt;=0,"",IFERROR(H238/D238-1,"")))</f>
        <v/>
      </c>
      <c r="I240" s="15">
        <f>IF(OR(I238="",E238=""),"",IF(E238&lt;=0,"",IFERROR(I238/E238-1,"")))</f>
        <v/>
      </c>
      <c r="J240" s="15">
        <f>IF(OR(J238="",F238=""),"",IF(F238&lt;=0,"",IFERROR(J238/F238-1,"")))</f>
        <v/>
      </c>
      <c r="K240" s="15">
        <f>IF(OR(K238="",G238=""),"",IF(G238&lt;=0,"",IFERROR(K238/G238-1,"")))</f>
        <v/>
      </c>
      <c r="W240" s="15">
        <f>IF(OR(W238="",V238=""),"",IF(V238&lt;=0,"",IFERROR(W238/V238-1,"")))</f>
        <v/>
      </c>
      <c r="X240" s="15">
        <f>IF(OR(X238="",W238=""),"",IF(W238&lt;=0,"",IFERROR(X238/W238-1,"")))</f>
        <v/>
      </c>
    </row>
    <row r="241">
      <c r="A241" s="18" t="inlineStr">
        <is>
          <t>EntityTotalMember · 부문 이익(손실)</t>
        </is>
      </c>
      <c r="H241" s="20" t="n">
        <v>-580.73</v>
      </c>
      <c r="L241" s="20" t="n">
        <v>168.026</v>
      </c>
    </row>
    <row r="243">
      <c r="A243" s="16" t="inlineStr">
        <is>
          <t>현금흐름표 · 전 항목</t>
        </is>
      </c>
      <c r="B243" s="42" t="inlineStr">
        <is>
          <t>분기 = 결산기 첫날부터 누계(공시 그대로)</t>
        </is>
      </c>
      <c r="C243" s="16" t="n"/>
      <c r="D243" s="16" t="n"/>
      <c r="E243" s="16" t="n"/>
      <c r="F243" s="16" t="n"/>
      <c r="G243" s="16" t="n"/>
      <c r="H243" s="16" t="n"/>
      <c r="I243" s="16" t="n"/>
      <c r="J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  <c r="S243" s="16" t="n"/>
      <c r="T243" s="16" t="n"/>
      <c r="U243" s="16" t="n"/>
      <c r="V243" s="16" t="n"/>
      <c r="W243" s="16" t="n"/>
      <c r="X243" s="16" t="n"/>
      <c r="Y243" s="16" t="n"/>
      <c r="Z243" s="16" t="n"/>
      <c r="AA243" s="16" t="n"/>
      <c r="AB243" s="16" t="n"/>
      <c r="AC243" s="16" t="n"/>
    </row>
    <row r="244">
      <c r="A244" s="5" t="inlineStr">
        <is>
          <t>항목</t>
        </is>
      </c>
      <c r="B244" s="5" t="inlineStr">
        <is>
          <t>참고</t>
        </is>
      </c>
      <c r="C244" s="5" t="inlineStr">
        <is>
          <t>2023.4Q</t>
        </is>
      </c>
      <c r="D244" s="5" t="inlineStr">
        <is>
          <t>2024.1Q</t>
        </is>
      </c>
      <c r="E244" s="5" t="inlineStr">
        <is>
          <t>2024.2Q</t>
        </is>
      </c>
      <c r="F244" s="5" t="inlineStr">
        <is>
          <t>2024.3Q</t>
        </is>
      </c>
      <c r="G244" s="5" t="inlineStr">
        <is>
          <t>2024.4Q</t>
        </is>
      </c>
      <c r="H244" s="5" t="inlineStr">
        <is>
          <t>2025.1Q</t>
        </is>
      </c>
      <c r="I244" s="5" t="inlineStr">
        <is>
          <t>2025.2Q</t>
        </is>
      </c>
      <c r="J244" s="5" t="inlineStr">
        <is>
          <t>2025.3Q</t>
        </is>
      </c>
      <c r="K244" s="5" t="inlineStr">
        <is>
          <t>2025.4Q</t>
        </is>
      </c>
      <c r="L244" s="5" t="inlineStr">
        <is>
          <t>2026.1Q</t>
        </is>
      </c>
      <c r="M244" s="5" t="inlineStr">
        <is>
          <t>2026.2Q</t>
        </is>
      </c>
      <c r="N244" s="5" t="inlineStr">
        <is>
          <t>2026.3Q</t>
        </is>
      </c>
      <c r="O244" s="5" t="inlineStr">
        <is>
          <t>2016</t>
        </is>
      </c>
      <c r="P244" s="5" t="inlineStr">
        <is>
          <t>2017</t>
        </is>
      </c>
      <c r="Q244" s="5" t="inlineStr">
        <is>
          <t>2018</t>
        </is>
      </c>
      <c r="R244" s="5" t="inlineStr">
        <is>
          <t>2019</t>
        </is>
      </c>
      <c r="S244" s="5" t="inlineStr">
        <is>
          <t>2020</t>
        </is>
      </c>
      <c r="T244" s="5" t="inlineStr">
        <is>
          <t>2021</t>
        </is>
      </c>
      <c r="U244" s="5" t="inlineStr">
        <is>
          <t>2022</t>
        </is>
      </c>
      <c r="V244" s="5" t="inlineStr">
        <is>
          <t>2023</t>
        </is>
      </c>
      <c r="W244" s="5" t="inlineStr">
        <is>
          <t>2024</t>
        </is>
      </c>
      <c r="X244" s="5" t="inlineStr">
        <is>
          <t>2025</t>
        </is>
      </c>
      <c r="Y244" s="5" t="inlineStr">
        <is>
          <t>2026(MW)</t>
        </is>
      </c>
      <c r="Z244" s="5" t="inlineStr">
        <is>
          <t>2027(MW)</t>
        </is>
      </c>
      <c r="AA244" s="5" t="inlineStr">
        <is>
          <t>2028(MW)</t>
        </is>
      </c>
      <c r="AB244" s="5" t="inlineStr">
        <is>
          <t>2029(MW)</t>
        </is>
      </c>
      <c r="AC244" s="5" t="inlineStr">
        <is>
          <t>2030(MW)</t>
        </is>
      </c>
    </row>
    <row r="245">
      <c r="A245" s="9" t="inlineStr">
        <is>
          <t>법인세차감전 중간순이익(손실)</t>
        </is>
      </c>
      <c r="C245" s="12" t="n">
        <v>-6805.348</v>
      </c>
      <c r="E245" s="12" t="n">
        <v>-2155.199</v>
      </c>
      <c r="G245" s="12" t="n">
        <v>-5642.758</v>
      </c>
      <c r="I245" s="12" t="n">
        <v>-1693.3</v>
      </c>
      <c r="K245" s="12" t="n">
        <v>3393.201</v>
      </c>
      <c r="M245" s="12" t="n">
        <v>1129.637</v>
      </c>
      <c r="P245" s="12" t="n">
        <v>-833.7089999999999</v>
      </c>
      <c r="Q245" s="12" t="n">
        <v>-820.595</v>
      </c>
      <c r="R245" s="12" t="n">
        <v>-2639.484</v>
      </c>
      <c r="S245" s="12" t="n">
        <v>-2454.655</v>
      </c>
      <c r="T245" s="12" t="n">
        <v>-1430.066</v>
      </c>
      <c r="U245" s="12" t="n">
        <v>-9615.626</v>
      </c>
      <c r="V245" s="12" t="n">
        <v>-6805.348</v>
      </c>
      <c r="W245" s="12" t="n">
        <v>-5642.758</v>
      </c>
      <c r="X245" s="12" t="n">
        <v>3393.201</v>
      </c>
    </row>
    <row r="246">
      <c r="A246" s="18" t="inlineStr">
        <is>
          <t>감가상각비</t>
        </is>
      </c>
      <c r="C246" s="20" t="n">
        <v>1769.723</v>
      </c>
      <c r="E246" s="20" t="n">
        <v>1312.365</v>
      </c>
      <c r="G246" s="20" t="n">
        <v>2867.093</v>
      </c>
      <c r="I246" s="20" t="n">
        <v>1841.49</v>
      </c>
      <c r="K246" s="20" t="n">
        <v>4118.016</v>
      </c>
      <c r="M246" s="20" t="n">
        <v>3323.551</v>
      </c>
      <c r="P246" s="20" t="n">
        <v>15.793</v>
      </c>
      <c r="Q246" s="20" t="n">
        <v>51.615</v>
      </c>
      <c r="R246" s="20" t="n">
        <v>66.92400000000001</v>
      </c>
      <c r="S246" s="20" t="n">
        <v>120.578</v>
      </c>
      <c r="T246" s="20" t="n">
        <v>394.64</v>
      </c>
      <c r="U246" s="20" t="n">
        <v>921.351</v>
      </c>
      <c r="V246" s="20" t="n">
        <v>1769.723</v>
      </c>
      <c r="W246" s="20" t="n">
        <v>2867.093</v>
      </c>
      <c r="X246" s="20" t="n">
        <v>4118.016</v>
      </c>
    </row>
    <row r="247">
      <c r="A247" s="18" t="inlineStr">
        <is>
          <t>손상차손</t>
        </is>
      </c>
      <c r="C247" s="20" t="n">
        <v>0</v>
      </c>
      <c r="G247" s="20" t="n">
        <v>212.116</v>
      </c>
      <c r="I247" s="20" t="n">
        <v>0</v>
      </c>
      <c r="K247" s="20" t="n">
        <v>12.367</v>
      </c>
      <c r="M247" s="20" t="n">
        <v>228.81</v>
      </c>
      <c r="Q247" s="20" t="n">
        <v>0</v>
      </c>
      <c r="R247" s="20" t="n">
        <v>12.533</v>
      </c>
      <c r="S247" s="20" t="n">
        <v>0</v>
      </c>
      <c r="V247" s="20" t="n">
        <v>0</v>
      </c>
      <c r="W247" s="20" t="n">
        <v>212.116</v>
      </c>
      <c r="X247" s="20" t="n">
        <v>12.367</v>
      </c>
    </row>
    <row r="248">
      <c r="A248" s="18" t="inlineStr">
        <is>
          <t>사업정리 손실</t>
        </is>
      </c>
      <c r="Q248" s="20" t="n">
        <v>0</v>
      </c>
      <c r="R248" s="20" t="n">
        <v>61.395</v>
      </c>
      <c r="S248" s="20" t="n">
        <v>0</v>
      </c>
    </row>
    <row r="249">
      <c r="A249" s="18" t="inlineStr">
        <is>
          <t>영업권 상각</t>
        </is>
      </c>
      <c r="C249" s="20" t="n">
        <v>660.886</v>
      </c>
      <c r="E249" s="20" t="n">
        <v>342.292</v>
      </c>
      <c r="G249" s="20" t="n">
        <v>684.585</v>
      </c>
      <c r="I249" s="20" t="n">
        <v>438.984</v>
      </c>
      <c r="K249" s="20" t="n">
        <v>912.026</v>
      </c>
      <c r="M249" s="20" t="n">
        <v>652.2910000000001</v>
      </c>
      <c r="P249" s="20" t="n">
        <v>0</v>
      </c>
      <c r="Q249" s="20" t="n">
        <v>90.794</v>
      </c>
      <c r="R249" s="20" t="n">
        <v>110.184</v>
      </c>
      <c r="S249" s="20" t="n">
        <v>369.962</v>
      </c>
      <c r="T249" s="20" t="n">
        <v>473.425</v>
      </c>
      <c r="U249" s="20" t="n">
        <v>643.093</v>
      </c>
      <c r="V249" s="20" t="n">
        <v>660.886</v>
      </c>
      <c r="W249" s="20" t="n">
        <v>684.585</v>
      </c>
      <c r="X249" s="20" t="n">
        <v>912.026</v>
      </c>
    </row>
    <row r="250">
      <c r="A250" s="18" t="inlineStr">
        <is>
          <t>주식보상비용</t>
        </is>
      </c>
      <c r="C250" s="20" t="n">
        <v>1172.393</v>
      </c>
      <c r="E250" s="20" t="n">
        <v>976.941</v>
      </c>
      <c r="G250" s="20" t="n">
        <v>2208.831</v>
      </c>
      <c r="I250" s="20" t="n">
        <v>821.252</v>
      </c>
      <c r="K250" s="20" t="n">
        <v>1669.027</v>
      </c>
      <c r="M250" s="20" t="n">
        <v>751.4400000000001</v>
      </c>
      <c r="S250" s="20" t="n">
        <v>148.68</v>
      </c>
      <c r="T250" s="20" t="n">
        <v>249.764</v>
      </c>
      <c r="U250" s="20" t="n">
        <v>439.697</v>
      </c>
      <c r="V250" s="20" t="n">
        <v>1172.393</v>
      </c>
      <c r="W250" s="20" t="n">
        <v>2208.831</v>
      </c>
      <c r="X250" s="20" t="n">
        <v>1669.027</v>
      </c>
    </row>
    <row r="251">
      <c r="A251" s="18" t="inlineStr">
        <is>
          <t>상여충당금 증감</t>
        </is>
      </c>
      <c r="C251" s="20" t="n">
        <v>111.427</v>
      </c>
      <c r="E251" s="20" t="n">
        <v>-66.605</v>
      </c>
      <c r="G251" s="20" t="n">
        <v>63.128</v>
      </c>
      <c r="I251" s="20" t="n">
        <v>-86.005</v>
      </c>
      <c r="K251" s="20" t="n">
        <v>-52.586</v>
      </c>
      <c r="M251" s="20" t="n">
        <v>-55.834</v>
      </c>
      <c r="Q251" s="20" t="n">
        <v>0</v>
      </c>
      <c r="R251" s="20" t="n">
        <v>11.641</v>
      </c>
      <c r="S251" s="20" t="n">
        <v>5.232</v>
      </c>
      <c r="T251" s="20" t="n">
        <v>16.961</v>
      </c>
      <c r="U251" s="20" t="n">
        <v>151.1</v>
      </c>
      <c r="V251" s="20" t="n">
        <v>111.427</v>
      </c>
      <c r="W251" s="20" t="n">
        <v>63.128</v>
      </c>
      <c r="X251" s="20" t="n">
        <v>-52.586</v>
      </c>
    </row>
    <row r="252">
      <c r="A252" s="18" t="inlineStr">
        <is>
          <t>임원 상여충당금 증감</t>
        </is>
      </c>
      <c r="C252" s="20" t="n">
        <v>22.594</v>
      </c>
      <c r="E252" s="20" t="n">
        <v>-46.297</v>
      </c>
      <c r="G252" s="20" t="n">
        <v>4.211</v>
      </c>
      <c r="I252" s="20" t="n">
        <v>-49.795</v>
      </c>
      <c r="K252" s="20" t="n">
        <v>-11.509</v>
      </c>
      <c r="M252" s="20" t="n">
        <v>-28.982</v>
      </c>
      <c r="T252" s="20" t="n">
        <v>0</v>
      </c>
      <c r="U252" s="20" t="n">
        <v>58.029</v>
      </c>
      <c r="V252" s="20" t="n">
        <v>22.594</v>
      </c>
      <c r="W252" s="20" t="n">
        <v>4.211</v>
      </c>
      <c r="X252" s="20" t="n">
        <v>-11.509</v>
      </c>
    </row>
    <row r="253">
      <c r="A253" s="18" t="inlineStr">
        <is>
          <t>대손충당금 증감</t>
        </is>
      </c>
      <c r="C253" s="20" t="n">
        <v>60.959</v>
      </c>
      <c r="E253" s="20" t="n">
        <v>-14.167</v>
      </c>
      <c r="G253" s="20" t="n">
        <v>69.99299999999999</v>
      </c>
      <c r="I253" s="20" t="n">
        <v>30.602</v>
      </c>
      <c r="K253" s="20" t="n">
        <v>19.908</v>
      </c>
      <c r="M253" s="20" t="n">
        <v>13.467</v>
      </c>
      <c r="P253" s="20" t="n">
        <v>2.817</v>
      </c>
      <c r="Q253" s="20" t="n">
        <v>1.674</v>
      </c>
      <c r="R253" s="20" t="n">
        <v>48.907</v>
      </c>
      <c r="S253" s="20" t="n">
        <v>14.793</v>
      </c>
      <c r="T253" s="20" t="n">
        <v>83.82899999999999</v>
      </c>
      <c r="U253" s="20" t="n">
        <v>-58.38</v>
      </c>
      <c r="V253" s="20" t="n">
        <v>60.959</v>
      </c>
      <c r="W253" s="20" t="n">
        <v>69.99299999999999</v>
      </c>
      <c r="X253" s="20" t="n">
        <v>19.908</v>
      </c>
    </row>
    <row r="254">
      <c r="A254" s="18" t="inlineStr">
        <is>
          <t>포인트 충당금 증감</t>
        </is>
      </c>
      <c r="C254" s="20" t="n">
        <v>212.707</v>
      </c>
      <c r="E254" s="20" t="n">
        <v>-34</v>
      </c>
      <c r="G254" s="20" t="n">
        <v>121.503</v>
      </c>
      <c r="I254" s="20" t="n">
        <v>102.331</v>
      </c>
      <c r="K254" s="20" t="n">
        <v>1088.728</v>
      </c>
      <c r="M254" s="20" t="n">
        <v>-482.696</v>
      </c>
      <c r="S254" s="20" t="n">
        <v>0</v>
      </c>
      <c r="T254" s="20" t="n">
        <v>0.644</v>
      </c>
      <c r="U254" s="20" t="n">
        <v>46.963</v>
      </c>
      <c r="V254" s="20" t="n">
        <v>212.707</v>
      </c>
      <c r="W254" s="20" t="n">
        <v>121.503</v>
      </c>
      <c r="X254" s="20" t="n">
        <v>1088.728</v>
      </c>
    </row>
    <row r="255">
      <c r="A255" s="18" t="inlineStr">
        <is>
          <t>이자·배당금 수익</t>
        </is>
      </c>
      <c r="C255" s="20" t="n">
        <v>-2.638</v>
      </c>
      <c r="E255" s="20" t="n">
        <v>-2.147</v>
      </c>
      <c r="G255" s="20" t="n">
        <v>-6.491</v>
      </c>
      <c r="I255" s="20" t="n">
        <v>-28.479</v>
      </c>
      <c r="K255" s="20" t="n">
        <v>-63.601</v>
      </c>
      <c r="M255" s="20" t="n">
        <v>-68.48399999999999</v>
      </c>
      <c r="P255" s="20" t="n">
        <v>-0.019</v>
      </c>
      <c r="Q255" s="20" t="n">
        <v>-0.06</v>
      </c>
      <c r="R255" s="20" t="n">
        <v>-0.293</v>
      </c>
      <c r="S255" s="20" t="n">
        <v>-0.113</v>
      </c>
      <c r="T255" s="20" t="n">
        <v>-0.078</v>
      </c>
      <c r="U255" s="20" t="n">
        <v>-1.073</v>
      </c>
      <c r="V255" s="20" t="n">
        <v>-2.638</v>
      </c>
      <c r="W255" s="20" t="n">
        <v>-6.491</v>
      </c>
      <c r="X255" s="20" t="n">
        <v>-63.601</v>
      </c>
    </row>
    <row r="256">
      <c r="A256" s="18" t="inlineStr">
        <is>
          <t>단계적 취득 차손익</t>
        </is>
      </c>
      <c r="R256" s="20" t="n">
        <v>0</v>
      </c>
      <c r="S256" s="20" t="n">
        <v>-100</v>
      </c>
      <c r="T256" s="20" t="n">
        <v>0</v>
      </c>
    </row>
    <row r="257">
      <c r="A257" s="18" t="inlineStr">
        <is>
          <t>투자유가증권 매각손익</t>
        </is>
      </c>
      <c r="C257" s="20" t="n">
        <v>-0.726</v>
      </c>
      <c r="E257" s="20" t="n">
        <v>0</v>
      </c>
      <c r="G257" s="20" t="n">
        <v>0</v>
      </c>
      <c r="I257" s="20" t="n">
        <v>-107.675</v>
      </c>
      <c r="K257" s="20" t="n">
        <v>-119.333</v>
      </c>
      <c r="M257" s="20" t="n">
        <v>-2412.461</v>
      </c>
      <c r="R257" s="20" t="n">
        <v>0</v>
      </c>
      <c r="S257" s="20" t="n">
        <v>-325.233</v>
      </c>
      <c r="T257" s="20" t="n">
        <v>-2.868</v>
      </c>
      <c r="U257" s="20" t="n">
        <v>0</v>
      </c>
      <c r="V257" s="20" t="n">
        <v>-0.726</v>
      </c>
      <c r="W257" s="20" t="n">
        <v>0</v>
      </c>
      <c r="X257" s="20" t="n">
        <v>-119.333</v>
      </c>
    </row>
    <row r="258">
      <c r="A258" s="18" t="inlineStr">
        <is>
          <t>투자유가증권 평가손익</t>
        </is>
      </c>
      <c r="C258" s="20" t="n">
        <v>0</v>
      </c>
      <c r="E258" s="20" t="n">
        <v>9.999000000000001</v>
      </c>
      <c r="G258" s="20" t="n">
        <v>9.999000000000001</v>
      </c>
      <c r="I258" s="20" t="n">
        <v>24.974</v>
      </c>
      <c r="K258" s="20" t="n">
        <v>659.99</v>
      </c>
      <c r="M258" s="20" t="n">
        <v>0</v>
      </c>
      <c r="R258" s="20" t="n">
        <v>0</v>
      </c>
      <c r="S258" s="20" t="n">
        <v>17.69</v>
      </c>
      <c r="T258" s="20" t="n">
        <v>0</v>
      </c>
      <c r="U258" s="20" t="n">
        <v>33.819</v>
      </c>
      <c r="V258" s="20" t="n">
        <v>0</v>
      </c>
      <c r="W258" s="20" t="n">
        <v>9.999000000000001</v>
      </c>
      <c r="X258" s="20" t="n">
        <v>659.99</v>
      </c>
    </row>
    <row r="259">
      <c r="A259" s="18" t="inlineStr">
        <is>
          <t>관계회사 주식 매각손익</t>
        </is>
      </c>
      <c r="E259" s="20" t="n">
        <v>0</v>
      </c>
      <c r="G259" s="20" t="n">
        <v>0</v>
      </c>
      <c r="I259" s="20" t="n">
        <v>-76.154</v>
      </c>
      <c r="K259" s="20" t="n">
        <v>-6248.592</v>
      </c>
      <c r="M259" s="20" t="n">
        <v>0</v>
      </c>
      <c r="W259" s="20" t="n">
        <v>0</v>
      </c>
      <c r="X259" s="20" t="n">
        <v>-6248.592</v>
      </c>
    </row>
    <row r="260">
      <c r="A260" s="18" t="inlineStr">
        <is>
          <t>이자비용</t>
        </is>
      </c>
      <c r="C260" s="20" t="n">
        <v>131.48</v>
      </c>
      <c r="E260" s="20" t="n">
        <v>70.90600000000001</v>
      </c>
      <c r="G260" s="20" t="n">
        <v>172.652</v>
      </c>
      <c r="I260" s="20" t="n">
        <v>128.799</v>
      </c>
      <c r="K260" s="20" t="n">
        <v>263.163</v>
      </c>
      <c r="M260" s="20" t="n">
        <v>249.081</v>
      </c>
      <c r="P260" s="20" t="n">
        <v>11.01</v>
      </c>
      <c r="Q260" s="20" t="n">
        <v>23.927</v>
      </c>
      <c r="R260" s="20" t="n">
        <v>28.524</v>
      </c>
      <c r="S260" s="20" t="n">
        <v>37.035</v>
      </c>
      <c r="T260" s="20" t="n">
        <v>48.325</v>
      </c>
      <c r="U260" s="20" t="n">
        <v>83.054</v>
      </c>
      <c r="V260" s="20" t="n">
        <v>131.48</v>
      </c>
      <c r="W260" s="20" t="n">
        <v>172.652</v>
      </c>
      <c r="X260" s="20" t="n">
        <v>263.163</v>
      </c>
    </row>
    <row r="261">
      <c r="A261" s="18" t="inlineStr">
        <is>
          <t>주식교부비</t>
        </is>
      </c>
      <c r="C261" s="20" t="n">
        <v>4.73</v>
      </c>
      <c r="E261" s="20" t="n">
        <v>4.404</v>
      </c>
      <c r="G261" s="20" t="n">
        <v>5.074</v>
      </c>
      <c r="I261" s="20" t="n">
        <v>17.972</v>
      </c>
      <c r="K261" s="20" t="n">
        <v>22.005</v>
      </c>
      <c r="M261" s="20" t="n">
        <v>2.082</v>
      </c>
      <c r="P261" s="20" t="n">
        <v>11.045</v>
      </c>
      <c r="Q261" s="20" t="n">
        <v>2.271</v>
      </c>
      <c r="R261" s="20" t="n">
        <v>90.735</v>
      </c>
      <c r="S261" s="20" t="n">
        <v>25.351</v>
      </c>
      <c r="T261" s="20" t="n">
        <v>313.935</v>
      </c>
      <c r="U261" s="20" t="n">
        <v>4.126</v>
      </c>
      <c r="V261" s="20" t="n">
        <v>4.73</v>
      </c>
      <c r="W261" s="20" t="n">
        <v>5.074</v>
      </c>
      <c r="X261" s="20" t="n">
        <v>22.005</v>
      </c>
    </row>
    <row r="262">
      <c r="A262" s="18" t="inlineStr">
        <is>
          <t>상장 관련 비용</t>
        </is>
      </c>
      <c r="P262" s="20" t="n">
        <v>13.657</v>
      </c>
      <c r="Q262" s="20" t="n">
        <v>0</v>
      </c>
    </row>
    <row r="263">
      <c r="A263" s="18" t="inlineStr">
        <is>
          <t>사채발행비</t>
        </is>
      </c>
      <c r="C263" s="20" t="n">
        <v>108.324</v>
      </c>
      <c r="E263" s="20" t="n">
        <v>0</v>
      </c>
      <c r="G263" s="20" t="n">
        <v>0</v>
      </c>
      <c r="K263" s="20" t="n">
        <v>1.921</v>
      </c>
      <c r="U263" s="20" t="n">
        <v>0</v>
      </c>
      <c r="V263" s="20" t="n">
        <v>108.324</v>
      </c>
      <c r="W263" s="20" t="n">
        <v>0</v>
      </c>
      <c r="X263" s="20" t="n">
        <v>1.921</v>
      </c>
    </row>
    <row r="264">
      <c r="A264" s="18" t="inlineStr">
        <is>
          <t>지분변동손익</t>
        </is>
      </c>
      <c r="G264" s="20" t="n">
        <v>0</v>
      </c>
      <c r="I264" s="20" t="n">
        <v>0</v>
      </c>
      <c r="K264" s="20" t="n">
        <v>-2112.488</v>
      </c>
      <c r="M264" s="20" t="n">
        <v>-222.9</v>
      </c>
      <c r="W264" s="20" t="n">
        <v>0</v>
      </c>
      <c r="X264" s="20" t="n">
        <v>-2112.488</v>
      </c>
    </row>
    <row r="265">
      <c r="A265" s="18" t="inlineStr">
        <is>
          <t>지분법손익</t>
        </is>
      </c>
      <c r="C265" s="20" t="n">
        <v>70.90600000000001</v>
      </c>
      <c r="E265" s="20" t="n">
        <v>146.521</v>
      </c>
      <c r="G265" s="20" t="n">
        <v>307.867</v>
      </c>
      <c r="I265" s="20" t="n">
        <v>213.067</v>
      </c>
      <c r="K265" s="20" t="n">
        <v>928.7380000000001</v>
      </c>
      <c r="M265" s="20" t="n">
        <v>541.086</v>
      </c>
      <c r="T265" s="20" t="n">
        <v>0</v>
      </c>
      <c r="U265" s="20" t="n">
        <v>922.064</v>
      </c>
      <c r="V265" s="20" t="n">
        <v>70.90600000000001</v>
      </c>
      <c r="W265" s="20" t="n">
        <v>307.867</v>
      </c>
      <c r="X265" s="20" t="n">
        <v>928.7380000000001</v>
      </c>
    </row>
    <row r="266">
      <c r="A266" s="18" t="inlineStr">
        <is>
          <t>매출채권 증감</t>
        </is>
      </c>
      <c r="P266" s="20" t="n">
        <v>-144.113</v>
      </c>
      <c r="Q266" s="20" t="n">
        <v>-231.457</v>
      </c>
      <c r="R266" s="20" t="n">
        <v>-175.085</v>
      </c>
      <c r="S266" s="20" t="n">
        <v>-274.608</v>
      </c>
      <c r="T266" s="20" t="n">
        <v>-303.621</v>
      </c>
      <c r="U266" s="20" t="n">
        <v>0</v>
      </c>
    </row>
    <row r="267">
      <c r="A267" s="18" t="inlineStr">
        <is>
          <t>매출채권·계약자산 증감</t>
        </is>
      </c>
      <c r="C267" s="20" t="n">
        <v>-1811.838</v>
      </c>
      <c r="E267" s="20" t="n">
        <v>-789.544</v>
      </c>
      <c r="T267" s="20" t="n">
        <v>0</v>
      </c>
      <c r="U267" s="20" t="n">
        <v>-804.765</v>
      </c>
      <c r="V267" s="20" t="n">
        <v>-1811.838</v>
      </c>
    </row>
    <row r="268">
      <c r="A268" s="18" t="inlineStr">
        <is>
          <t>매출채권·계약자산 증감</t>
        </is>
      </c>
      <c r="C268" s="20" t="n">
        <v>-1811.838</v>
      </c>
      <c r="E268" s="20" t="n">
        <v>-789.544</v>
      </c>
      <c r="G268" s="20" t="n">
        <v>-1194.01</v>
      </c>
      <c r="I268" s="20" t="n">
        <v>-945.853</v>
      </c>
      <c r="K268" s="20" t="n">
        <v>-2282.953</v>
      </c>
      <c r="M268" s="20" t="n">
        <v>-1226.16</v>
      </c>
      <c r="V268" s="20" t="n">
        <v>-1811.838</v>
      </c>
      <c r="W268" s="20" t="n">
        <v>-1194.01</v>
      </c>
      <c r="X268" s="20" t="n">
        <v>-2282.953</v>
      </c>
    </row>
    <row r="269">
      <c r="A269" s="18" t="inlineStr">
        <is>
          <t>미수금 증감</t>
        </is>
      </c>
      <c r="C269" s="20" t="n">
        <v>-321.162</v>
      </c>
      <c r="E269" s="20" t="n">
        <v>-1405.839</v>
      </c>
      <c r="G269" s="20" t="n">
        <v>-2849.29</v>
      </c>
      <c r="I269" s="20" t="n">
        <v>-526.227</v>
      </c>
      <c r="K269" s="20" t="n">
        <v>-2299.206</v>
      </c>
      <c r="M269" s="20" t="n">
        <v>-2031.655</v>
      </c>
      <c r="V269" s="20" t="n">
        <v>-321.162</v>
      </c>
      <c r="W269" s="20" t="n">
        <v>-2849.29</v>
      </c>
      <c r="X269" s="20" t="n">
        <v>-2299.206</v>
      </c>
    </row>
    <row r="270">
      <c r="A270" s="18" t="inlineStr">
        <is>
          <t>선급비용 증감액(△는 증가)</t>
        </is>
      </c>
      <c r="C270" s="20" t="n">
        <v>108.242</v>
      </c>
      <c r="E270" s="20" t="n">
        <v>-769.546</v>
      </c>
      <c r="G270" s="20" t="n">
        <v>-39.684</v>
      </c>
      <c r="I270" s="20" t="n">
        <v>-1155.968</v>
      </c>
      <c r="K270" s="20" t="n">
        <v>-430.247</v>
      </c>
      <c r="M270" s="20" t="n">
        <v>-520.514</v>
      </c>
      <c r="V270" s="20" t="n">
        <v>108.242</v>
      </c>
      <c r="W270" s="20" t="n">
        <v>-39.684</v>
      </c>
      <c r="X270" s="20" t="n">
        <v>-430.247</v>
      </c>
    </row>
    <row r="271">
      <c r="A271" s="18" t="inlineStr">
        <is>
          <t>예치금 증감액(△는 증가)</t>
        </is>
      </c>
      <c r="G271" s="20" t="n">
        <v>-93.709</v>
      </c>
      <c r="I271" s="20" t="n">
        <v>19.478</v>
      </c>
      <c r="K271" s="20" t="n">
        <v>-4730.837</v>
      </c>
      <c r="M271" s="20" t="n">
        <v>4873.999</v>
      </c>
      <c r="W271" s="20" t="n">
        <v>-93.709</v>
      </c>
      <c r="X271" s="20" t="n">
        <v>-4730.837</v>
      </c>
    </row>
    <row r="272">
      <c r="A272" s="18" t="inlineStr">
        <is>
          <t>영업투자유가증권 증감액</t>
        </is>
      </c>
      <c r="C272" s="20" t="n">
        <v>-1381.025</v>
      </c>
      <c r="E272" s="20" t="n">
        <v>-78.99299999999999</v>
      </c>
      <c r="G272" s="20" t="n">
        <v>-2045.025</v>
      </c>
      <c r="I272" s="20" t="n">
        <v>-1076.472</v>
      </c>
      <c r="K272" s="20" t="n">
        <v>-2586.835</v>
      </c>
      <c r="M272" s="20" t="n">
        <v>-694.491</v>
      </c>
      <c r="R272" s="20" t="n">
        <v>0</v>
      </c>
      <c r="S272" s="20" t="n">
        <v>-219.851</v>
      </c>
      <c r="T272" s="20" t="n">
        <v>-854.4349999999999</v>
      </c>
      <c r="U272" s="20" t="n">
        <v>-694.796</v>
      </c>
      <c r="V272" s="20" t="n">
        <v>-1381.025</v>
      </c>
      <c r="W272" s="20" t="n">
        <v>-2045.025</v>
      </c>
      <c r="X272" s="20" t="n">
        <v>-2586.835</v>
      </c>
    </row>
    <row r="273">
      <c r="A273" s="18" t="inlineStr">
        <is>
          <t>재고자산 증감</t>
        </is>
      </c>
      <c r="C273" s="20" t="n">
        <v>8.289999999999999</v>
      </c>
      <c r="E273" s="20" t="n">
        <v>-13.335</v>
      </c>
      <c r="G273" s="20" t="n">
        <v>-8.614000000000001</v>
      </c>
      <c r="I273" s="20" t="n">
        <v>-14.432</v>
      </c>
      <c r="K273" s="20" t="n">
        <v>-65.252</v>
      </c>
      <c r="M273" s="20" t="n">
        <v>-16.212</v>
      </c>
      <c r="P273" s="20" t="n">
        <v>-2.461</v>
      </c>
      <c r="Q273" s="20" t="n">
        <v>-0.282</v>
      </c>
      <c r="R273" s="20" t="n">
        <v>1.87</v>
      </c>
      <c r="S273" s="20" t="n">
        <v>-64.949</v>
      </c>
      <c r="T273" s="20" t="n">
        <v>61.241</v>
      </c>
      <c r="U273" s="20" t="n">
        <v>-0.434</v>
      </c>
      <c r="V273" s="20" t="n">
        <v>8.289999999999999</v>
      </c>
      <c r="W273" s="20" t="n">
        <v>-8.614000000000001</v>
      </c>
      <c r="X273" s="20" t="n">
        <v>-65.252</v>
      </c>
    </row>
    <row r="274">
      <c r="A274" s="18" t="inlineStr">
        <is>
          <t>매입채권(채권 매입업) 증감액(△는 증가)</t>
        </is>
      </c>
      <c r="P274" s="20" t="n">
        <v>-4.074</v>
      </c>
      <c r="Q274" s="20" t="n">
        <v>-358.041</v>
      </c>
    </row>
    <row r="275">
      <c r="A275" s="18" t="inlineStr">
        <is>
          <t>매입채권(채권 매입업) 증감액(△는 증가)</t>
        </is>
      </c>
      <c r="C275" s="20" t="n">
        <v>-373.871</v>
      </c>
      <c r="E275" s="20" t="n">
        <v>-474.258</v>
      </c>
      <c r="G275" s="20" t="n">
        <v>1023.096</v>
      </c>
      <c r="I275" s="20" t="n">
        <v>1214.022</v>
      </c>
      <c r="K275" s="20" t="n">
        <v>1177.501</v>
      </c>
      <c r="M275" s="20" t="n">
        <v>926.562</v>
      </c>
      <c r="Q275" s="20" t="n">
        <v>-358.041</v>
      </c>
      <c r="R275" s="20" t="n">
        <v>-1706.756</v>
      </c>
      <c r="S275" s="20" t="n">
        <v>-141.431</v>
      </c>
      <c r="T275" s="20" t="n">
        <v>-2011.852</v>
      </c>
      <c r="U275" s="20" t="n">
        <v>-1231.857</v>
      </c>
      <c r="V275" s="20" t="n">
        <v>-373.871</v>
      </c>
      <c r="W275" s="20" t="n">
        <v>1023.096</v>
      </c>
      <c r="X275" s="20" t="n">
        <v>1177.501</v>
      </c>
    </row>
    <row r="276">
      <c r="A276" s="18" t="inlineStr">
        <is>
          <t>매입채무 증감</t>
        </is>
      </c>
      <c r="C276" s="20" t="n">
        <v>29.323</v>
      </c>
      <c r="E276" s="20" t="n">
        <v>-81.05500000000001</v>
      </c>
      <c r="G276" s="20" t="n">
        <v>-77.47799999999999</v>
      </c>
      <c r="I276" s="20" t="n">
        <v>-25.878</v>
      </c>
      <c r="K276" s="20" t="n">
        <v>-58.132</v>
      </c>
      <c r="M276" s="20" t="n">
        <v>7.014</v>
      </c>
      <c r="P276" s="20" t="n">
        <v>46.516</v>
      </c>
      <c r="Q276" s="20" t="n">
        <v>102.845</v>
      </c>
      <c r="R276" s="20" t="n">
        <v>-5.186</v>
      </c>
      <c r="S276" s="20" t="n">
        <v>-16.784</v>
      </c>
      <c r="T276" s="20" t="n">
        <v>36.82</v>
      </c>
      <c r="U276" s="20" t="n">
        <v>122.032</v>
      </c>
      <c r="V276" s="20" t="n">
        <v>29.323</v>
      </c>
      <c r="W276" s="20" t="n">
        <v>-77.47799999999999</v>
      </c>
      <c r="X276" s="20" t="n">
        <v>-58.132</v>
      </c>
    </row>
    <row r="277">
      <c r="A277" s="18" t="inlineStr">
        <is>
          <t>미지급금 증감</t>
        </is>
      </c>
      <c r="C277" s="20" t="n">
        <v>3170.549</v>
      </c>
      <c r="E277" s="20" t="n">
        <v>-1703.553</v>
      </c>
      <c r="G277" s="20" t="n">
        <v>559.667</v>
      </c>
      <c r="I277" s="20" t="n">
        <v>180.641</v>
      </c>
      <c r="K277" s="20" t="n">
        <v>1182.125</v>
      </c>
      <c r="M277" s="20" t="n">
        <v>2488.731</v>
      </c>
      <c r="P277" s="20" t="n">
        <v>62.419</v>
      </c>
      <c r="Q277" s="20" t="n">
        <v>46.087</v>
      </c>
      <c r="R277" s="20" t="n">
        <v>483.48</v>
      </c>
      <c r="S277" s="20" t="n">
        <v>874.817</v>
      </c>
      <c r="T277" s="20" t="n">
        <v>-7.714</v>
      </c>
      <c r="U277" s="20" t="n">
        <v>3207.851</v>
      </c>
      <c r="V277" s="20" t="n">
        <v>3170.549</v>
      </c>
      <c r="W277" s="20" t="n">
        <v>559.667</v>
      </c>
      <c r="X277" s="20" t="n">
        <v>1182.125</v>
      </c>
    </row>
    <row r="278">
      <c r="A278" s="18" t="inlineStr">
        <is>
          <t>미지급비용 증감</t>
        </is>
      </c>
      <c r="C278" s="20" t="n">
        <v>174.299</v>
      </c>
      <c r="E278" s="20" t="n">
        <v>256.232</v>
      </c>
      <c r="G278" s="20" t="n">
        <v>493.74</v>
      </c>
      <c r="I278" s="20" t="n">
        <v>111.924</v>
      </c>
      <c r="K278" s="20" t="n">
        <v>385.61</v>
      </c>
      <c r="M278" s="20" t="n">
        <v>205.369</v>
      </c>
      <c r="P278" s="20" t="n">
        <v>51.295</v>
      </c>
      <c r="Q278" s="20" t="n">
        <v>263.534</v>
      </c>
      <c r="R278" s="20" t="n">
        <v>160.212</v>
      </c>
      <c r="S278" s="20" t="n">
        <v>45.279</v>
      </c>
      <c r="T278" s="20" t="n">
        <v>192.387</v>
      </c>
      <c r="U278" s="20" t="n">
        <v>429.982</v>
      </c>
      <c r="V278" s="20" t="n">
        <v>174.299</v>
      </c>
      <c r="W278" s="20" t="n">
        <v>493.74</v>
      </c>
      <c r="X278" s="20" t="n">
        <v>385.61</v>
      </c>
    </row>
    <row r="279">
      <c r="A279" s="18" t="inlineStr">
        <is>
          <t>선수수익 증감</t>
        </is>
      </c>
      <c r="P279" s="20" t="n">
        <v>265.58</v>
      </c>
      <c r="Q279" s="20" t="n">
        <v>194.689</v>
      </c>
      <c r="R279" s="20" t="n">
        <v>98.063</v>
      </c>
      <c r="S279" s="20" t="n">
        <v>581.586</v>
      </c>
      <c r="T279" s="20" t="n">
        <v>268.468</v>
      </c>
      <c r="U279" s="20" t="n">
        <v>0</v>
      </c>
    </row>
    <row r="280">
      <c r="A280" s="18" t="inlineStr">
        <is>
          <t>계약부채 증감</t>
        </is>
      </c>
      <c r="C280" s="20" t="n">
        <v>1362.623</v>
      </c>
      <c r="E280" s="20" t="n">
        <v>1163.546</v>
      </c>
      <c r="T280" s="20" t="n">
        <v>0</v>
      </c>
      <c r="U280" s="20" t="n">
        <v>1259.605</v>
      </c>
      <c r="V280" s="20" t="n">
        <v>1362.623</v>
      </c>
    </row>
    <row r="281">
      <c r="A281" s="18" t="inlineStr">
        <is>
          <t>계약부채 증감</t>
        </is>
      </c>
      <c r="C281" s="20" t="n">
        <v>1362.623</v>
      </c>
      <c r="E281" s="20" t="n">
        <v>1163.546</v>
      </c>
      <c r="G281" s="20" t="n">
        <v>1300.787</v>
      </c>
      <c r="I281" s="20" t="n">
        <v>1296.609</v>
      </c>
      <c r="K281" s="20" t="n">
        <v>3575.07</v>
      </c>
      <c r="M281" s="20" t="n">
        <v>1373.9</v>
      </c>
      <c r="V281" s="20" t="n">
        <v>1362.623</v>
      </c>
      <c r="W281" s="20" t="n">
        <v>1300.787</v>
      </c>
      <c r="X281" s="20" t="n">
        <v>3575.07</v>
      </c>
    </row>
    <row r="282">
      <c r="A282" s="18" t="inlineStr">
        <is>
          <t>예수금 증감</t>
        </is>
      </c>
      <c r="C282" s="20" t="n">
        <v>3158.126</v>
      </c>
      <c r="E282" s="20" t="n">
        <v>-2230.57</v>
      </c>
      <c r="G282" s="20" t="n">
        <v>-1651.705</v>
      </c>
      <c r="I282" s="20" t="n">
        <v>-990.4930000000001</v>
      </c>
      <c r="K282" s="20" t="n">
        <v>5414.294</v>
      </c>
      <c r="M282" s="20" t="n">
        <v>-3319.88</v>
      </c>
      <c r="U282" s="20" t="n">
        <v>1909.71</v>
      </c>
      <c r="V282" s="20" t="n">
        <v>3158.126</v>
      </c>
      <c r="W282" s="20" t="n">
        <v>-1651.705</v>
      </c>
      <c r="X282" s="20" t="n">
        <v>5414.294</v>
      </c>
    </row>
    <row r="283">
      <c r="A283" s="18" t="inlineStr">
        <is>
          <t>기타</t>
        </is>
      </c>
      <c r="C283" s="20" t="n">
        <v>1041.342</v>
      </c>
      <c r="E283" s="20" t="n">
        <v>-924.386</v>
      </c>
      <c r="G283" s="20" t="n">
        <v>-880.125</v>
      </c>
      <c r="I283" s="20" t="n">
        <v>141.599</v>
      </c>
      <c r="K283" s="20" t="n">
        <v>407.398</v>
      </c>
      <c r="M283" s="20" t="n">
        <v>-66.355</v>
      </c>
      <c r="P283" s="20" t="n">
        <v>26.885</v>
      </c>
      <c r="Q283" s="20" t="n">
        <v>-129.269</v>
      </c>
      <c r="R283" s="20" t="n">
        <v>-203.919</v>
      </c>
      <c r="S283" s="20" t="n">
        <v>306.24</v>
      </c>
      <c r="T283" s="20" t="n">
        <v>242.886</v>
      </c>
      <c r="U283" s="20" t="n">
        <v>-1653.448</v>
      </c>
      <c r="V283" s="20" t="n">
        <v>1041.342</v>
      </c>
      <c r="W283" s="20" t="n">
        <v>-880.125</v>
      </c>
      <c r="X283" s="20" t="n">
        <v>407.398</v>
      </c>
    </row>
    <row r="284">
      <c r="A284" s="18" t="inlineStr">
        <is>
          <t>소계</t>
        </is>
      </c>
      <c r="C284" s="20" t="n">
        <v>2682.322</v>
      </c>
      <c r="E284" s="20" t="n">
        <v>-6506.29</v>
      </c>
      <c r="G284" s="20" t="n">
        <v>-4384.544</v>
      </c>
      <c r="I284" s="20" t="n">
        <v>-192.983</v>
      </c>
      <c r="K284" s="20" t="n">
        <v>4169.519</v>
      </c>
      <c r="M284" s="20" t="n">
        <v>5620.397</v>
      </c>
      <c r="P284" s="20" t="n">
        <v>-477.356</v>
      </c>
      <c r="Q284" s="20" t="n">
        <v>-762.2670000000001</v>
      </c>
      <c r="R284" s="20" t="n">
        <v>-3556.253</v>
      </c>
      <c r="S284" s="20" t="n">
        <v>-1050.378</v>
      </c>
      <c r="T284" s="20" t="n">
        <v>-2227.306</v>
      </c>
      <c r="U284" s="20" t="n">
        <v>-3827.897</v>
      </c>
      <c r="V284" s="20" t="n">
        <v>2682.322</v>
      </c>
      <c r="W284" s="20" t="n">
        <v>-4384.544</v>
      </c>
      <c r="X284" s="20" t="n">
        <v>4169.519</v>
      </c>
    </row>
    <row r="285">
      <c r="A285" s="18" t="inlineStr">
        <is>
          <t>이자·배당금 수취</t>
        </is>
      </c>
      <c r="C285" s="20" t="n">
        <v>2.638</v>
      </c>
      <c r="E285" s="20" t="n">
        <v>2.147</v>
      </c>
      <c r="G285" s="20" t="n">
        <v>6.491</v>
      </c>
      <c r="I285" s="20" t="n">
        <v>28.479</v>
      </c>
      <c r="K285" s="20" t="n">
        <v>63.601</v>
      </c>
      <c r="M285" s="20" t="n">
        <v>68.48399999999999</v>
      </c>
      <c r="P285" s="20" t="n">
        <v>0.019</v>
      </c>
      <c r="Q285" s="20" t="n">
        <v>0.06</v>
      </c>
      <c r="R285" s="20" t="n">
        <v>0.293</v>
      </c>
      <c r="S285" s="20" t="n">
        <v>0.113</v>
      </c>
      <c r="T285" s="20" t="n">
        <v>0.078</v>
      </c>
      <c r="U285" s="20" t="n">
        <v>1.073</v>
      </c>
      <c r="V285" s="20" t="n">
        <v>2.638</v>
      </c>
      <c r="W285" s="20" t="n">
        <v>6.491</v>
      </c>
      <c r="X285" s="20" t="n">
        <v>63.601</v>
      </c>
    </row>
    <row r="286">
      <c r="A286" s="18" t="inlineStr">
        <is>
          <t>이자 지급</t>
        </is>
      </c>
      <c r="C286" s="20" t="n">
        <v>-130.714</v>
      </c>
      <c r="E286" s="20" t="n">
        <v>-70.90600000000001</v>
      </c>
      <c r="G286" s="20" t="n">
        <v>-173.928</v>
      </c>
      <c r="I286" s="20" t="n">
        <v>-128.391</v>
      </c>
      <c r="K286" s="20" t="n">
        <v>-268.492</v>
      </c>
      <c r="M286" s="20" t="n">
        <v>-258.519</v>
      </c>
      <c r="P286" s="20" t="n">
        <v>-14.776</v>
      </c>
      <c r="Q286" s="20" t="n">
        <v>-23.186</v>
      </c>
      <c r="R286" s="20" t="n">
        <v>-26.797</v>
      </c>
      <c r="S286" s="20" t="n">
        <v>-37.829</v>
      </c>
      <c r="T286" s="20" t="n">
        <v>-48.926</v>
      </c>
      <c r="U286" s="20" t="n">
        <v>-84.35599999999999</v>
      </c>
      <c r="V286" s="20" t="n">
        <v>-130.714</v>
      </c>
      <c r="W286" s="20" t="n">
        <v>-173.928</v>
      </c>
      <c r="X286" s="20" t="n">
        <v>-268.492</v>
      </c>
    </row>
    <row r="287">
      <c r="A287" s="18" t="inlineStr">
        <is>
          <t>법인세 납부</t>
        </is>
      </c>
      <c r="C287" s="20" t="n">
        <v>-93.92100000000001</v>
      </c>
      <c r="E287" s="20" t="n">
        <v>-101.864</v>
      </c>
      <c r="G287" s="20" t="n">
        <v>-209.455</v>
      </c>
      <c r="I287" s="20" t="n">
        <v>-1555.708</v>
      </c>
      <c r="K287" s="20" t="n">
        <v>-2467.936</v>
      </c>
      <c r="M287" s="20" t="n">
        <v>-378.549</v>
      </c>
      <c r="P287" s="20" t="n">
        <v>-6.637</v>
      </c>
      <c r="Q287" s="20" t="n">
        <v>-9.970000000000001</v>
      </c>
      <c r="R287" s="20" t="n">
        <v>-22.263</v>
      </c>
      <c r="S287" s="20" t="n">
        <v>-31.562</v>
      </c>
      <c r="T287" s="20" t="n">
        <v>-51.498</v>
      </c>
      <c r="U287" s="20" t="n">
        <v>-212.901</v>
      </c>
      <c r="V287" s="20" t="n">
        <v>-93.92100000000001</v>
      </c>
      <c r="W287" s="20" t="n">
        <v>-209.455</v>
      </c>
      <c r="X287" s="20" t="n">
        <v>-2467.936</v>
      </c>
    </row>
    <row r="288">
      <c r="A288" s="9" t="inlineStr">
        <is>
          <t>영업활동 현금흐름</t>
        </is>
      </c>
      <c r="C288" s="12" t="n">
        <v>2460.324</v>
      </c>
      <c r="E288" s="12" t="n">
        <v>-6676.913</v>
      </c>
      <c r="G288" s="12" t="n">
        <v>-4761.435</v>
      </c>
      <c r="I288" s="12" t="n">
        <v>-1848.604</v>
      </c>
      <c r="K288" s="12" t="n">
        <v>1496.692</v>
      </c>
      <c r="M288" s="12" t="n">
        <v>5051.813</v>
      </c>
      <c r="P288" s="12" t="n">
        <v>-498.75</v>
      </c>
      <c r="Q288" s="12" t="n">
        <v>-795.3630000000001</v>
      </c>
      <c r="R288" s="12" t="n">
        <v>-3605.019</v>
      </c>
      <c r="S288" s="12" t="n">
        <v>-1119.657</v>
      </c>
      <c r="T288" s="12" t="n">
        <v>-2327.653</v>
      </c>
      <c r="U288" s="12" t="n">
        <v>-4124.082</v>
      </c>
      <c r="V288" s="12" t="n">
        <v>2460.324</v>
      </c>
      <c r="W288" s="12" t="n">
        <v>-4761.435</v>
      </c>
      <c r="X288" s="12" t="n">
        <v>1496.692</v>
      </c>
    </row>
    <row r="289">
      <c r="A289" s="18" t="inlineStr">
        <is>
          <t>정기예금 예입</t>
        </is>
      </c>
      <c r="C289" s="20" t="n">
        <v>-31.895</v>
      </c>
      <c r="E289" s="20" t="n">
        <v>-3.56</v>
      </c>
      <c r="G289" s="20" t="n">
        <v>-4.054</v>
      </c>
      <c r="I289" s="20" t="n">
        <v>-0.601</v>
      </c>
      <c r="K289" s="20" t="n">
        <v>-0.579</v>
      </c>
      <c r="M289" s="20" t="n">
        <v>-803.611</v>
      </c>
      <c r="R289" s="20" t="n">
        <v>0</v>
      </c>
      <c r="S289" s="20" t="n">
        <v>-400</v>
      </c>
      <c r="T289" s="20" t="n">
        <v>-400</v>
      </c>
      <c r="U289" s="20" t="n">
        <v>-403.43</v>
      </c>
      <c r="V289" s="20" t="n">
        <v>-31.895</v>
      </c>
      <c r="W289" s="20" t="n">
        <v>-4.054</v>
      </c>
      <c r="X289" s="20" t="n">
        <v>-0.579</v>
      </c>
    </row>
    <row r="290">
      <c r="A290" s="18" t="inlineStr">
        <is>
          <t>정기예금 인출</t>
        </is>
      </c>
      <c r="C290" s="20" t="n">
        <v>400</v>
      </c>
      <c r="E290" s="20" t="n">
        <v>0</v>
      </c>
      <c r="G290" s="20" t="n">
        <v>0</v>
      </c>
      <c r="R290" s="20" t="n">
        <v>0</v>
      </c>
      <c r="S290" s="20" t="n">
        <v>200</v>
      </c>
      <c r="T290" s="20" t="n">
        <v>400</v>
      </c>
      <c r="U290" s="20" t="n">
        <v>200</v>
      </c>
      <c r="V290" s="20" t="n">
        <v>400</v>
      </c>
      <c r="W290" s="20" t="n">
        <v>0</v>
      </c>
    </row>
    <row r="291">
      <c r="A291" s="18" t="inlineStr">
        <is>
          <t>유형자산 취득(설비투자)</t>
        </is>
      </c>
      <c r="C291" s="20" t="n">
        <v>-632.85</v>
      </c>
      <c r="E291" s="20" t="n">
        <v>-55.26</v>
      </c>
      <c r="G291" s="20" t="n">
        <v>-164.152</v>
      </c>
      <c r="I291" s="20" t="n">
        <v>-405.917</v>
      </c>
      <c r="K291" s="20" t="n">
        <v>-779.6319999999999</v>
      </c>
      <c r="M291" s="20" t="n">
        <v>-434.888</v>
      </c>
      <c r="P291" s="20" t="n">
        <v>-9.336</v>
      </c>
      <c r="Q291" s="20" t="n">
        <v>-301.554</v>
      </c>
      <c r="R291" s="20" t="n">
        <v>-117.549</v>
      </c>
      <c r="S291" s="20" t="n">
        <v>-123.639</v>
      </c>
      <c r="T291" s="20" t="n">
        <v>-204.667</v>
      </c>
      <c r="U291" s="20" t="n">
        <v>-333.022</v>
      </c>
      <c r="V291" s="20" t="n">
        <v>-632.85</v>
      </c>
      <c r="W291" s="20" t="n">
        <v>-164.152</v>
      </c>
      <c r="X291" s="20" t="n">
        <v>-779.6319999999999</v>
      </c>
    </row>
    <row r="292">
      <c r="A292" s="18" t="inlineStr">
        <is>
          <t>무형자산 취득</t>
        </is>
      </c>
      <c r="C292" s="20" t="n">
        <v>-4748.177</v>
      </c>
      <c r="E292" s="20" t="n">
        <v>-2795.081</v>
      </c>
      <c r="G292" s="20" t="n">
        <v>-6205.448</v>
      </c>
      <c r="I292" s="20" t="n">
        <v>-3943.137</v>
      </c>
      <c r="K292" s="20" t="n">
        <v>-8318.153</v>
      </c>
      <c r="M292" s="20" t="n">
        <v>-4599.806</v>
      </c>
      <c r="P292" s="20" t="n">
        <v>-1.18</v>
      </c>
      <c r="Q292" s="20" t="n">
        <v>-73.24299999999999</v>
      </c>
      <c r="R292" s="20" t="n">
        <v>-13.52</v>
      </c>
      <c r="S292" s="20" t="n">
        <v>-1042.643</v>
      </c>
      <c r="T292" s="20" t="n">
        <v>-2129.319</v>
      </c>
      <c r="U292" s="20" t="n">
        <v>-3935.312</v>
      </c>
      <c r="V292" s="20" t="n">
        <v>-4748.177</v>
      </c>
      <c r="W292" s="20" t="n">
        <v>-6205.448</v>
      </c>
      <c r="X292" s="20" t="n">
        <v>-8318.153</v>
      </c>
    </row>
    <row r="293">
      <c r="A293" s="18" t="inlineStr">
        <is>
          <t>투자유가증권 취득</t>
        </is>
      </c>
      <c r="C293" s="20" t="n">
        <v>-2593.885</v>
      </c>
      <c r="E293" s="20" t="n">
        <v>-1307.921</v>
      </c>
      <c r="G293" s="20" t="n">
        <v>-2320.277</v>
      </c>
      <c r="I293" s="20" t="n">
        <v>-1773.983</v>
      </c>
      <c r="K293" s="20" t="n">
        <v>-3635.41</v>
      </c>
      <c r="M293" s="20" t="n">
        <v>-419.774</v>
      </c>
      <c r="P293" s="20" t="n">
        <v>-68.02500000000001</v>
      </c>
      <c r="Q293" s="20" t="n">
        <v>-735.591</v>
      </c>
      <c r="R293" s="20" t="n">
        <v>-778.611</v>
      </c>
      <c r="S293" s="20" t="n">
        <v>-459.497</v>
      </c>
      <c r="T293" s="20" t="n">
        <v>-2824.447</v>
      </c>
      <c r="U293" s="20" t="n">
        <v>-7948.53</v>
      </c>
      <c r="V293" s="20" t="n">
        <v>-2593.885</v>
      </c>
      <c r="W293" s="20" t="n">
        <v>-2320.277</v>
      </c>
      <c r="X293" s="20" t="n">
        <v>-3635.41</v>
      </c>
    </row>
    <row r="294">
      <c r="A294" s="18" t="inlineStr">
        <is>
          <t>투자유가증권 상환</t>
        </is>
      </c>
      <c r="P294" s="20" t="n">
        <v>0</v>
      </c>
      <c r="Q294" s="20" t="n">
        <v>3</v>
      </c>
      <c r="R294" s="20" t="n">
        <v>0</v>
      </c>
    </row>
    <row r="295">
      <c r="A295" s="18" t="inlineStr">
        <is>
          <t>투자유가증권 매각</t>
        </is>
      </c>
      <c r="C295" s="20" t="n">
        <v>58.473</v>
      </c>
      <c r="E295" s="20" t="n">
        <v>0</v>
      </c>
      <c r="G295" s="20" t="n">
        <v>0</v>
      </c>
      <c r="I295" s="20" t="n">
        <v>207.665</v>
      </c>
      <c r="K295" s="20" t="n">
        <v>254.033</v>
      </c>
      <c r="M295" s="20" t="n">
        <v>2826.89</v>
      </c>
      <c r="R295" s="20" t="n">
        <v>0</v>
      </c>
      <c r="S295" s="20" t="n">
        <v>349.881</v>
      </c>
      <c r="T295" s="20" t="n">
        <v>24.027</v>
      </c>
      <c r="U295" s="20" t="n">
        <v>0</v>
      </c>
      <c r="V295" s="20" t="n">
        <v>58.473</v>
      </c>
      <c r="W295" s="20" t="n">
        <v>0</v>
      </c>
      <c r="X295" s="20" t="n">
        <v>254.033</v>
      </c>
    </row>
    <row r="296">
      <c r="A296" s="18" t="inlineStr">
        <is>
          <t>리스투자자산 회수 수입</t>
        </is>
      </c>
      <c r="I296" s="20" t="n">
        <v>0</v>
      </c>
      <c r="M296" s="20" t="n">
        <v>261.745</v>
      </c>
    </row>
    <row r="297">
      <c r="A297" s="18" t="inlineStr">
        <is>
          <t>출자금 분배 수입</t>
        </is>
      </c>
      <c r="C297" s="20" t="n">
        <v>19.647</v>
      </c>
      <c r="E297" s="20" t="n">
        <v>3.649</v>
      </c>
      <c r="G297" s="20" t="n">
        <v>3.907</v>
      </c>
      <c r="I297" s="20" t="n">
        <v>12.333</v>
      </c>
      <c r="K297" s="20" t="n">
        <v>12.62</v>
      </c>
      <c r="M297" s="20" t="n">
        <v>15.73</v>
      </c>
      <c r="T297" s="20" t="n">
        <v>0</v>
      </c>
      <c r="U297" s="20" t="n">
        <v>8.340999999999999</v>
      </c>
      <c r="V297" s="20" t="n">
        <v>19.647</v>
      </c>
      <c r="W297" s="20" t="n">
        <v>3.907</v>
      </c>
      <c r="X297" s="20" t="n">
        <v>12.62</v>
      </c>
    </row>
    <row r="298">
      <c r="A298" s="18" t="inlineStr">
        <is>
          <t>임차보증금·보증금 납입</t>
        </is>
      </c>
      <c r="C298" s="20" t="n">
        <v>-2.505</v>
      </c>
      <c r="E298" s="20" t="n">
        <v>-99.738</v>
      </c>
      <c r="G298" s="20" t="n">
        <v>-254.235</v>
      </c>
      <c r="I298" s="20" t="n">
        <v>-405.607</v>
      </c>
      <c r="K298" s="20" t="n">
        <v>-498.913</v>
      </c>
      <c r="M298" s="20" t="n">
        <v>-121.7</v>
      </c>
      <c r="P298" s="20" t="n">
        <v>-201.503</v>
      </c>
      <c r="Q298" s="20" t="n">
        <v>-236.425</v>
      </c>
      <c r="R298" s="20" t="n">
        <v>-16.302</v>
      </c>
      <c r="S298" s="20" t="n">
        <v>-156.923</v>
      </c>
      <c r="T298" s="20" t="n">
        <v>-69.623</v>
      </c>
      <c r="U298" s="20" t="n">
        <v>-730.797</v>
      </c>
      <c r="V298" s="20" t="n">
        <v>-2.505</v>
      </c>
      <c r="W298" s="20" t="n">
        <v>-254.235</v>
      </c>
      <c r="X298" s="20" t="n">
        <v>-498.913</v>
      </c>
    </row>
    <row r="299">
      <c r="A299" s="18" t="inlineStr">
        <is>
          <t>임차보증금·보증금 회수</t>
        </is>
      </c>
      <c r="C299" s="20" t="n">
        <v>132.26</v>
      </c>
      <c r="E299" s="20" t="n">
        <v>13.076</v>
      </c>
      <c r="G299" s="20" t="n">
        <v>5.663</v>
      </c>
      <c r="I299" s="20" t="n">
        <v>49.86</v>
      </c>
      <c r="K299" s="20" t="n">
        <v>60.97</v>
      </c>
      <c r="M299" s="20" t="n">
        <v>25.831</v>
      </c>
      <c r="P299" s="20" t="n">
        <v>0.252</v>
      </c>
      <c r="Q299" s="20" t="n">
        <v>60.936</v>
      </c>
      <c r="R299" s="20" t="n">
        <v>4.112</v>
      </c>
      <c r="S299" s="20" t="n">
        <v>15.227</v>
      </c>
      <c r="T299" s="20" t="n">
        <v>19.159</v>
      </c>
      <c r="U299" s="20" t="n">
        <v>168.053</v>
      </c>
      <c r="V299" s="20" t="n">
        <v>132.26</v>
      </c>
      <c r="W299" s="20" t="n">
        <v>5.663</v>
      </c>
      <c r="X299" s="20" t="n">
        <v>60.97</v>
      </c>
    </row>
    <row r="300">
      <c r="A300" s="18" t="inlineStr">
        <is>
          <t>사업양수 지출</t>
        </is>
      </c>
      <c r="G300" s="20" t="n">
        <v>0</v>
      </c>
      <c r="I300" s="20" t="n">
        <v>0</v>
      </c>
      <c r="K300" s="20" t="n">
        <v>-783.634</v>
      </c>
      <c r="M300" s="20" t="n">
        <v>-5952.625</v>
      </c>
      <c r="W300" s="20" t="n">
        <v>0</v>
      </c>
      <c r="X300" s="20" t="n">
        <v>-783.634</v>
      </c>
    </row>
    <row r="301">
      <c r="A301" s="18" t="inlineStr">
        <is>
          <t>연결범위 변경 자회사 주식 취득</t>
        </is>
      </c>
      <c r="C301" s="20" t="n">
        <v>0</v>
      </c>
      <c r="E301" s="20" t="n">
        <v>-465.165</v>
      </c>
      <c r="G301" s="20" t="n">
        <v>-465.165</v>
      </c>
      <c r="I301" s="20" t="n">
        <v>-2273.124</v>
      </c>
      <c r="K301" s="20" t="n">
        <v>-3683.482</v>
      </c>
      <c r="M301" s="20" t="n">
        <v>0</v>
      </c>
      <c r="P301" s="20" t="n">
        <v>-786.311</v>
      </c>
      <c r="Q301" s="20" t="n">
        <v>-1.33</v>
      </c>
      <c r="R301" s="20" t="n">
        <v>-1836.2</v>
      </c>
      <c r="S301" s="20" t="n">
        <v>-988.862</v>
      </c>
      <c r="T301" s="20" t="n">
        <v>0</v>
      </c>
      <c r="U301" s="20" t="n">
        <v>-1808.29</v>
      </c>
      <c r="V301" s="20" t="n">
        <v>0</v>
      </c>
      <c r="W301" s="20" t="n">
        <v>-465.165</v>
      </c>
      <c r="X301" s="20" t="n">
        <v>-3683.482</v>
      </c>
    </row>
    <row r="302">
      <c r="A302" s="18" t="inlineStr">
        <is>
          <t>연결범위 변경 자회사 주식 취득(수입)</t>
        </is>
      </c>
      <c r="E302" s="20" t="n">
        <v>0</v>
      </c>
      <c r="G302" s="20" t="n">
        <v>0</v>
      </c>
      <c r="I302" s="20" t="n">
        <v>35.038</v>
      </c>
      <c r="K302" s="20" t="n">
        <v>35.038</v>
      </c>
      <c r="M302" s="20" t="n">
        <v>0</v>
      </c>
      <c r="P302" s="20" t="n">
        <v>0</v>
      </c>
      <c r="Q302" s="20" t="n">
        <v>6.802</v>
      </c>
      <c r="R302" s="20" t="n">
        <v>0</v>
      </c>
      <c r="W302" s="20" t="n">
        <v>0</v>
      </c>
      <c r="X302" s="20" t="n">
        <v>35.038</v>
      </c>
    </row>
    <row r="303">
      <c r="A303" s="18" t="inlineStr">
        <is>
          <t>연결범위 변경 자회사 주식 매각</t>
        </is>
      </c>
      <c r="E303" s="20" t="n">
        <v>0</v>
      </c>
      <c r="G303" s="20" t="n">
        <v>0</v>
      </c>
      <c r="I303" s="20" t="n">
        <v>170.401</v>
      </c>
      <c r="K303" s="20" t="n">
        <v>6997.026</v>
      </c>
      <c r="M303" s="20" t="n">
        <v>0</v>
      </c>
      <c r="W303" s="20" t="n">
        <v>0</v>
      </c>
      <c r="X303" s="20" t="n">
        <v>6997.026</v>
      </c>
    </row>
    <row r="304">
      <c r="A304" s="18" t="inlineStr">
        <is>
          <t>연결범위 변경 자회사 주식 매각(지출)</t>
        </is>
      </c>
      <c r="C304" s="20" t="n">
        <v>0</v>
      </c>
      <c r="G304" s="20" t="n">
        <v>-80.39</v>
      </c>
      <c r="K304" s="20" t="n">
        <v>0</v>
      </c>
      <c r="S304" s="20" t="n">
        <v>0</v>
      </c>
      <c r="T304" s="20" t="n">
        <v>-14.218</v>
      </c>
      <c r="U304" s="20" t="n">
        <v>0</v>
      </c>
      <c r="V304" s="20" t="n">
        <v>0</v>
      </c>
      <c r="W304" s="20" t="n">
        <v>-80.39</v>
      </c>
      <c r="X304" s="20" t="n">
        <v>0</v>
      </c>
    </row>
    <row r="305">
      <c r="A305" s="18" t="inlineStr">
        <is>
          <t>기타</t>
        </is>
      </c>
      <c r="C305" s="20" t="n">
        <v>-49.831</v>
      </c>
      <c r="E305" s="20" t="n">
        <v>-0.466</v>
      </c>
      <c r="G305" s="20" t="n">
        <v>-20.933</v>
      </c>
      <c r="I305" s="20" t="n">
        <v>-0.466</v>
      </c>
      <c r="K305" s="20" t="n">
        <v>0.928</v>
      </c>
      <c r="M305" s="20" t="n">
        <v>7.26</v>
      </c>
      <c r="P305" s="20" t="n">
        <v>0.55</v>
      </c>
      <c r="Q305" s="20" t="n">
        <v>-10.607</v>
      </c>
      <c r="R305" s="20" t="n">
        <v>-26.309</v>
      </c>
      <c r="S305" s="20" t="n">
        <v>0.079</v>
      </c>
      <c r="T305" s="20" t="n">
        <v>-0.381</v>
      </c>
      <c r="U305" s="20" t="n">
        <v>2.55</v>
      </c>
      <c r="V305" s="20" t="n">
        <v>-49.831</v>
      </c>
      <c r="W305" s="20" t="n">
        <v>-20.933</v>
      </c>
      <c r="X305" s="20" t="n">
        <v>0.928</v>
      </c>
    </row>
    <row r="306">
      <c r="A306" s="9" t="inlineStr">
        <is>
          <t>투자활동 현금흐름</t>
        </is>
      </c>
      <c r="C306" s="12" t="n">
        <v>-7448.765</v>
      </c>
      <c r="E306" s="12" t="n">
        <v>-4710.467</v>
      </c>
      <c r="G306" s="12" t="n">
        <v>-9505.087</v>
      </c>
      <c r="I306" s="12" t="n">
        <v>-8327.538</v>
      </c>
      <c r="K306" s="12" t="n">
        <v>-10339.188</v>
      </c>
      <c r="M306" s="12" t="n">
        <v>-9194.949000000001</v>
      </c>
      <c r="P306" s="12" t="n">
        <v>-1065.554</v>
      </c>
      <c r="Q306" s="12" t="n">
        <v>-1288.012</v>
      </c>
      <c r="R306" s="12" t="n">
        <v>-2784.38</v>
      </c>
      <c r="S306" s="12" t="n">
        <v>-2606.378</v>
      </c>
      <c r="T306" s="12" t="n">
        <v>-5199.47</v>
      </c>
      <c r="U306" s="12" t="n">
        <v>-14780.439</v>
      </c>
      <c r="V306" s="12" t="n">
        <v>-7448.765</v>
      </c>
      <c r="W306" s="12" t="n">
        <v>-9505.087</v>
      </c>
      <c r="X306" s="12" t="n">
        <v>-10339.188</v>
      </c>
    </row>
    <row r="307">
      <c r="A307" s="18" t="inlineStr">
        <is>
          <t>단기차입금 증감</t>
        </is>
      </c>
      <c r="C307" s="20" t="n">
        <v>-3303</v>
      </c>
      <c r="E307" s="20" t="n">
        <v>1292</v>
      </c>
      <c r="G307" s="20" t="n">
        <v>5125</v>
      </c>
      <c r="I307" s="20" t="n">
        <v>-4978.692</v>
      </c>
      <c r="K307" s="20" t="n">
        <v>-5234.1</v>
      </c>
      <c r="M307" s="20" t="n">
        <v>732.0119999999999</v>
      </c>
      <c r="P307" s="20" t="n">
        <v>0</v>
      </c>
      <c r="Q307" s="20" t="n">
        <v>554.119</v>
      </c>
      <c r="R307" s="20" t="n">
        <v>1445</v>
      </c>
      <c r="S307" s="20" t="n">
        <v>510</v>
      </c>
      <c r="T307" s="20" t="n">
        <v>2190</v>
      </c>
      <c r="U307" s="20" t="n">
        <v>3540</v>
      </c>
      <c r="V307" s="20" t="n">
        <v>-3303</v>
      </c>
      <c r="W307" s="20" t="n">
        <v>5125</v>
      </c>
      <c r="X307" s="20" t="n">
        <v>-5234.1</v>
      </c>
    </row>
    <row r="308">
      <c r="A308" s="18" t="inlineStr">
        <is>
          <t>장기차입</t>
        </is>
      </c>
      <c r="C308" s="20" t="n">
        <v>7000</v>
      </c>
      <c r="E308" s="20" t="n">
        <v>1060</v>
      </c>
      <c r="G308" s="20" t="n">
        <v>3560</v>
      </c>
      <c r="I308" s="20" t="n">
        <v>4477</v>
      </c>
      <c r="K308" s="20" t="n">
        <v>9445</v>
      </c>
      <c r="M308" s="20" t="n">
        <v>11548</v>
      </c>
      <c r="P308" s="20" t="n">
        <v>1800</v>
      </c>
      <c r="Q308" s="20" t="n">
        <v>1000</v>
      </c>
      <c r="R308" s="20" t="n">
        <v>1200</v>
      </c>
      <c r="S308" s="20" t="n">
        <v>1222</v>
      </c>
      <c r="T308" s="20" t="n">
        <v>1000</v>
      </c>
      <c r="U308" s="20" t="n">
        <v>6981.433</v>
      </c>
      <c r="V308" s="20" t="n">
        <v>7000</v>
      </c>
      <c r="W308" s="20" t="n">
        <v>3560</v>
      </c>
      <c r="X308" s="20" t="n">
        <v>9445</v>
      </c>
    </row>
    <row r="309">
      <c r="A309" s="18" t="inlineStr">
        <is>
          <t>장기차입금 상환</t>
        </is>
      </c>
      <c r="C309" s="20" t="n">
        <v>-3225.4</v>
      </c>
      <c r="E309" s="20" t="n">
        <v>-1671.3</v>
      </c>
      <c r="G309" s="20" t="n">
        <v>-3613.75</v>
      </c>
      <c r="I309" s="20" t="n">
        <v>-1946.418</v>
      </c>
      <c r="K309" s="20" t="n">
        <v>-5144.066</v>
      </c>
      <c r="M309" s="20" t="n">
        <v>-2459.484</v>
      </c>
      <c r="P309" s="20" t="n">
        <v>-135</v>
      </c>
      <c r="Q309" s="20" t="n">
        <v>-360</v>
      </c>
      <c r="R309" s="20" t="n">
        <v>-800</v>
      </c>
      <c r="S309" s="20" t="n">
        <v>-632.724</v>
      </c>
      <c r="T309" s="20" t="n">
        <v>-1159.944</v>
      </c>
      <c r="U309" s="20" t="n">
        <v>-2455.089</v>
      </c>
      <c r="V309" s="20" t="n">
        <v>-3225.4</v>
      </c>
      <c r="W309" s="20" t="n">
        <v>-3613.75</v>
      </c>
      <c r="X309" s="20" t="n">
        <v>-5144.066</v>
      </c>
    </row>
    <row r="310">
      <c r="A310" s="18" t="inlineStr">
        <is>
          <t>리스부채 상환</t>
        </is>
      </c>
      <c r="I310" s="20" t="n">
        <v>0</v>
      </c>
      <c r="M310" s="20" t="n">
        <v>-1026.258</v>
      </c>
    </row>
    <row r="311">
      <c r="A311" s="18" t="inlineStr">
        <is>
          <t>주식 발행</t>
        </is>
      </c>
      <c r="C311" s="20" t="n">
        <v>141.118</v>
      </c>
      <c r="E311" s="20" t="n">
        <v>198.341</v>
      </c>
      <c r="G311" s="20" t="n">
        <v>361.065</v>
      </c>
      <c r="I311" s="20" t="n">
        <v>193.315</v>
      </c>
      <c r="K311" s="20" t="n">
        <v>190.855</v>
      </c>
      <c r="M311" s="20" t="n">
        <v>14.087</v>
      </c>
      <c r="P311" s="20" t="n">
        <v>2955.775</v>
      </c>
      <c r="Q311" s="20" t="n">
        <v>51.254</v>
      </c>
      <c r="R311" s="20" t="n">
        <v>6796.736</v>
      </c>
      <c r="S311" s="20" t="n">
        <v>4978.368</v>
      </c>
      <c r="T311" s="20" t="n">
        <v>31444.347</v>
      </c>
      <c r="U311" s="20" t="n">
        <v>144.51</v>
      </c>
      <c r="V311" s="20" t="n">
        <v>141.118</v>
      </c>
      <c r="W311" s="20" t="n">
        <v>361.065</v>
      </c>
      <c r="X311" s="20" t="n">
        <v>190.855</v>
      </c>
    </row>
    <row r="312">
      <c r="A312" s="18" t="inlineStr">
        <is>
          <t>자기주식 취득</t>
        </is>
      </c>
      <c r="C312" s="20" t="n">
        <v>-0.132</v>
      </c>
      <c r="G312" s="20" t="n">
        <v>0</v>
      </c>
      <c r="Q312" s="20" t="n">
        <v>0</v>
      </c>
      <c r="R312" s="20" t="n">
        <v>-0.146</v>
      </c>
      <c r="S312" s="20" t="n">
        <v>0</v>
      </c>
      <c r="T312" s="20" t="n">
        <v>-0.704</v>
      </c>
      <c r="U312" s="20" t="n">
        <v>-0.369</v>
      </c>
      <c r="V312" s="20" t="n">
        <v>-0.132</v>
      </c>
      <c r="W312" s="20" t="n">
        <v>0</v>
      </c>
    </row>
    <row r="313">
      <c r="A313" s="18" t="inlineStr">
        <is>
          <t>신주예약권 발행</t>
        </is>
      </c>
      <c r="C313" s="20" t="n">
        <v>3.986</v>
      </c>
      <c r="E313" s="20" t="n">
        <v>0</v>
      </c>
      <c r="G313" s="20" t="n">
        <v>0</v>
      </c>
      <c r="I313" s="20" t="n">
        <v>3.132</v>
      </c>
      <c r="K313" s="20" t="n">
        <v>3.132</v>
      </c>
      <c r="M313" s="20" t="n">
        <v>0</v>
      </c>
      <c r="P313" s="20" t="n">
        <v>0</v>
      </c>
      <c r="Q313" s="20" t="n">
        <v>46.992</v>
      </c>
      <c r="R313" s="20" t="n">
        <v>0</v>
      </c>
      <c r="U313" s="20" t="n">
        <v>0</v>
      </c>
      <c r="V313" s="20" t="n">
        <v>3.986</v>
      </c>
      <c r="W313" s="20" t="n">
        <v>0</v>
      </c>
      <c r="X313" s="20" t="n">
        <v>3.132</v>
      </c>
    </row>
    <row r="314">
      <c r="A314" s="18" t="inlineStr">
        <is>
          <t>조합원 납입 수입</t>
        </is>
      </c>
      <c r="C314" s="20" t="n">
        <v>4002</v>
      </c>
      <c r="E314" s="20" t="n">
        <v>0</v>
      </c>
      <c r="G314" s="20" t="n">
        <v>1530</v>
      </c>
      <c r="I314" s="20" t="n">
        <v>2010</v>
      </c>
      <c r="K314" s="20" t="n">
        <v>2364.9</v>
      </c>
      <c r="M314" s="20" t="n">
        <v>1710</v>
      </c>
      <c r="S314" s="20" t="n">
        <v>570</v>
      </c>
      <c r="T314" s="20" t="n">
        <v>1140</v>
      </c>
      <c r="U314" s="20" t="n">
        <v>570</v>
      </c>
      <c r="V314" s="20" t="n">
        <v>4002</v>
      </c>
      <c r="W314" s="20" t="n">
        <v>1530</v>
      </c>
      <c r="X314" s="20" t="n">
        <v>2364.9</v>
      </c>
    </row>
    <row r="315">
      <c r="A315" s="18" t="inlineStr">
        <is>
          <t>상장 관련 비용 지출</t>
        </is>
      </c>
      <c r="S315" s="20" t="n">
        <v>0</v>
      </c>
      <c r="T315" s="20" t="n">
        <v>-11.539</v>
      </c>
      <c r="U315" s="20" t="n">
        <v>0</v>
      </c>
    </row>
    <row r="316">
      <c r="A316" s="18" t="inlineStr">
        <is>
          <t>비지배주주 납입</t>
        </is>
      </c>
      <c r="C316" s="20" t="n">
        <v>0</v>
      </c>
      <c r="E316" s="20" t="n">
        <v>98</v>
      </c>
      <c r="G316" s="20" t="n">
        <v>98</v>
      </c>
      <c r="I316" s="20" t="n">
        <v>5000</v>
      </c>
      <c r="K316" s="20" t="n">
        <v>5004.013</v>
      </c>
      <c r="M316" s="20" t="n">
        <v>0</v>
      </c>
      <c r="P316" s="20" t="n">
        <v>1.5</v>
      </c>
      <c r="Q316" s="20" t="n">
        <v>13.5</v>
      </c>
      <c r="R316" s="20" t="n">
        <v>0</v>
      </c>
      <c r="S316" s="20" t="n">
        <v>0</v>
      </c>
      <c r="T316" s="20" t="n">
        <v>196</v>
      </c>
      <c r="U316" s="20" t="n">
        <v>294</v>
      </c>
      <c r="V316" s="20" t="n">
        <v>0</v>
      </c>
      <c r="W316" s="20" t="n">
        <v>98</v>
      </c>
      <c r="X316" s="20" t="n">
        <v>5004.013</v>
      </c>
    </row>
    <row r="317">
      <c r="A317" s="18" t="inlineStr">
        <is>
          <t>상장 관련 비용 지출</t>
        </is>
      </c>
      <c r="P317" s="20" t="n">
        <v>-13.657</v>
      </c>
      <c r="Q317" s="20" t="n">
        <v>0</v>
      </c>
    </row>
    <row r="318">
      <c r="A318" s="18" t="inlineStr">
        <is>
          <t>비지배주주 환급</t>
        </is>
      </c>
      <c r="I318" s="20" t="n">
        <v>0</v>
      </c>
      <c r="M318" s="20" t="n">
        <v>-25.521</v>
      </c>
    </row>
    <row r="319">
      <c r="A319" s="18" t="inlineStr">
        <is>
          <t>투자조합원 분배금 지급액</t>
        </is>
      </c>
      <c r="C319" s="20" t="n">
        <v>-41.441</v>
      </c>
      <c r="E319" s="20" t="n">
        <v>-713.5</v>
      </c>
      <c r="G319" s="20" t="n">
        <v>-713.5</v>
      </c>
      <c r="I319" s="20" t="n">
        <v>-656.691</v>
      </c>
      <c r="K319" s="20" t="n">
        <v>-1398.871</v>
      </c>
      <c r="M319" s="20" t="n">
        <v>0</v>
      </c>
      <c r="U319" s="20" t="n">
        <v>0</v>
      </c>
      <c r="V319" s="20" t="n">
        <v>-41.441</v>
      </c>
      <c r="W319" s="20" t="n">
        <v>-713.5</v>
      </c>
      <c r="X319" s="20" t="n">
        <v>-1398.871</v>
      </c>
    </row>
    <row r="320">
      <c r="A320" s="18" t="inlineStr">
        <is>
          <t>사채 발행</t>
        </is>
      </c>
      <c r="C320" s="20" t="n">
        <v>988.831</v>
      </c>
      <c r="E320" s="20" t="n">
        <v>0</v>
      </c>
      <c r="G320" s="20" t="n">
        <v>0</v>
      </c>
      <c r="U320" s="20" t="n">
        <v>0</v>
      </c>
      <c r="V320" s="20" t="n">
        <v>988.831</v>
      </c>
      <c r="W320" s="20" t="n">
        <v>0</v>
      </c>
    </row>
    <row r="321">
      <c r="A321" s="18" t="inlineStr">
        <is>
          <t>전환사채형 신주예약권부 사채 발행 수입</t>
        </is>
      </c>
      <c r="C321" s="20" t="n">
        <v>11902.843</v>
      </c>
      <c r="G321" s="20" t="n">
        <v>0</v>
      </c>
      <c r="U321" s="20" t="n">
        <v>0</v>
      </c>
      <c r="V321" s="20" t="n">
        <v>11902.843</v>
      </c>
      <c r="W321" s="20" t="n">
        <v>0</v>
      </c>
    </row>
    <row r="322">
      <c r="A322" s="18" t="inlineStr">
        <is>
          <t>자회사 자기주식 취득 지출</t>
        </is>
      </c>
      <c r="E322" s="20" t="n">
        <v>0</v>
      </c>
      <c r="G322" s="20" t="n">
        <v>0</v>
      </c>
      <c r="I322" s="20" t="n">
        <v>-433.558</v>
      </c>
      <c r="K322" s="20" t="n">
        <v>-457.926</v>
      </c>
      <c r="M322" s="20" t="n">
        <v>0</v>
      </c>
      <c r="W322" s="20" t="n">
        <v>0</v>
      </c>
      <c r="X322" s="20" t="n">
        <v>-457.926</v>
      </c>
    </row>
    <row r="323">
      <c r="A323" s="18" t="inlineStr">
        <is>
          <t>비지배주주 배당금 지급</t>
        </is>
      </c>
      <c r="I323" s="20" t="n">
        <v>0</v>
      </c>
      <c r="M323" s="20" t="n">
        <v>-16.307</v>
      </c>
    </row>
    <row r="324">
      <c r="A324" s="18" t="inlineStr">
        <is>
          <t>사채 상환</t>
        </is>
      </c>
      <c r="I324" s="20" t="n">
        <v>0</v>
      </c>
      <c r="M324" s="20" t="n">
        <v>-1000</v>
      </c>
    </row>
    <row r="325">
      <c r="A325" s="18" t="inlineStr">
        <is>
          <t>연결범위 변경 없는 자회사 주식 취득</t>
        </is>
      </c>
      <c r="C325" s="20" t="n">
        <v>-6.02</v>
      </c>
      <c r="E325" s="20" t="n">
        <v>0</v>
      </c>
      <c r="G325" s="20" t="n">
        <v>0</v>
      </c>
      <c r="I325" s="20" t="n">
        <v>-142.58</v>
      </c>
      <c r="K325" s="20" t="n">
        <v>-202.58</v>
      </c>
      <c r="M325" s="20" t="n">
        <v>-1750.071</v>
      </c>
      <c r="Q325" s="20" t="n">
        <v>0</v>
      </c>
      <c r="R325" s="20" t="n">
        <v>-3.39</v>
      </c>
      <c r="S325" s="20" t="n">
        <v>-1390.629</v>
      </c>
      <c r="T325" s="20" t="n">
        <v>0</v>
      </c>
      <c r="U325" s="20" t="n">
        <v>0</v>
      </c>
      <c r="V325" s="20" t="n">
        <v>-6.02</v>
      </c>
      <c r="W325" s="20" t="n">
        <v>0</v>
      </c>
      <c r="X325" s="20" t="n">
        <v>-202.58</v>
      </c>
    </row>
    <row r="326">
      <c r="A326" s="18" t="inlineStr">
        <is>
          <t>조합원 납입 수입</t>
        </is>
      </c>
      <c r="R326" s="20" t="n">
        <v>0</v>
      </c>
      <c r="S326" s="20" t="n">
        <v>570</v>
      </c>
    </row>
    <row r="327">
      <c r="A327" s="18" t="inlineStr">
        <is>
          <t>연결범위 변동 없는 자회사 주식 매각 수입</t>
        </is>
      </c>
      <c r="C327" s="20" t="n">
        <v>0</v>
      </c>
      <c r="G327" s="20" t="n">
        <v>14000</v>
      </c>
      <c r="K327" s="20" t="n">
        <v>0</v>
      </c>
      <c r="V327" s="20" t="n">
        <v>0</v>
      </c>
      <c r="W327" s="20" t="n">
        <v>14000</v>
      </c>
      <c r="X327" s="20" t="n">
        <v>0</v>
      </c>
    </row>
    <row r="328">
      <c r="A328" s="18" t="inlineStr">
        <is>
          <t>기타</t>
        </is>
      </c>
      <c r="C328" s="20" t="n">
        <v>0</v>
      </c>
      <c r="I328" s="20" t="n">
        <v>0</v>
      </c>
      <c r="M328" s="20" t="n">
        <v>8.413</v>
      </c>
      <c r="P328" s="20" t="n">
        <v>0</v>
      </c>
      <c r="Q328" s="20" t="n">
        <v>-0.083</v>
      </c>
      <c r="R328" s="20" t="n">
        <v>-0.334</v>
      </c>
      <c r="S328" s="20" t="n">
        <v>-0.334</v>
      </c>
      <c r="T328" s="20" t="n">
        <v>-0.334</v>
      </c>
      <c r="U328" s="20" t="n">
        <v>-0.111</v>
      </c>
      <c r="V328" s="20" t="n">
        <v>0</v>
      </c>
    </row>
    <row r="329">
      <c r="A329" s="9" t="inlineStr">
        <is>
          <t>재무활동 현금흐름</t>
        </is>
      </c>
      <c r="C329" s="12" t="n">
        <v>17462.785</v>
      </c>
      <c r="E329" s="12" t="n">
        <v>263.541</v>
      </c>
      <c r="G329" s="12" t="n">
        <v>20346.815</v>
      </c>
      <c r="I329" s="12" t="n">
        <v>3525.507</v>
      </c>
      <c r="K329" s="12" t="n">
        <v>4570.355</v>
      </c>
      <c r="M329" s="12" t="n">
        <v>7734.871</v>
      </c>
      <c r="P329" s="12" t="n">
        <v>4608.618</v>
      </c>
      <c r="Q329" s="12" t="n">
        <v>1305.783</v>
      </c>
      <c r="R329" s="12" t="n">
        <v>8637.865</v>
      </c>
      <c r="S329" s="12" t="n">
        <v>5256.681</v>
      </c>
      <c r="T329" s="12" t="n">
        <v>34797.825</v>
      </c>
      <c r="U329" s="12" t="n">
        <v>9074.373</v>
      </c>
      <c r="V329" s="12" t="n">
        <v>17462.785</v>
      </c>
      <c r="W329" s="12" t="n">
        <v>20346.815</v>
      </c>
      <c r="X329" s="12" t="n">
        <v>4570.355</v>
      </c>
    </row>
    <row r="330">
      <c r="A330" s="18" t="inlineStr">
        <is>
          <t>현금성자산 환산차이</t>
        </is>
      </c>
      <c r="C330" s="20" t="n">
        <v>36.956</v>
      </c>
      <c r="E330" s="20" t="n">
        <v>311.695</v>
      </c>
      <c r="G330" s="20" t="n">
        <v>313.461</v>
      </c>
      <c r="I330" s="20" t="n">
        <v>-8.289</v>
      </c>
      <c r="K330" s="20" t="n">
        <v>-5.296</v>
      </c>
      <c r="M330" s="20" t="n">
        <v>15.713</v>
      </c>
      <c r="P330" s="20" t="n">
        <v>0</v>
      </c>
      <c r="Q330" s="20" t="n">
        <v>1.768</v>
      </c>
      <c r="R330" s="20" t="n">
        <v>-7.457</v>
      </c>
      <c r="S330" s="20" t="n">
        <v>-3.332</v>
      </c>
      <c r="T330" s="20" t="n">
        <v>29.97</v>
      </c>
      <c r="U330" s="20" t="n">
        <v>118.64</v>
      </c>
      <c r="V330" s="20" t="n">
        <v>36.956</v>
      </c>
      <c r="W330" s="20" t="n">
        <v>313.461</v>
      </c>
      <c r="X330" s="20" t="n">
        <v>-5.296</v>
      </c>
    </row>
    <row r="331">
      <c r="A331" s="18" t="inlineStr">
        <is>
          <t>연결자회사 결산기 변경에 따른 현금성자산 증감액</t>
        </is>
      </c>
      <c r="E331" s="20" t="n">
        <v>0</v>
      </c>
    </row>
    <row r="332">
      <c r="A332" s="18" t="inlineStr">
        <is>
          <t>연결자회사 결산기 변경에 따른 현금성자산 증감액</t>
        </is>
      </c>
      <c r="C332" s="20" t="n">
        <v>-2.123</v>
      </c>
      <c r="G332" s="20" t="n">
        <v>0</v>
      </c>
      <c r="U332" s="20" t="n">
        <v>0</v>
      </c>
      <c r="V332" s="20" t="n">
        <v>-2.123</v>
      </c>
      <c r="W332" s="20" t="n">
        <v>0</v>
      </c>
    </row>
    <row r="333">
      <c r="A333" s="18" t="inlineStr">
        <is>
          <t>현금성자산 증감</t>
        </is>
      </c>
      <c r="C333" s="20" t="n">
        <v>12509.179</v>
      </c>
      <c r="E333" s="20" t="n">
        <v>-10812.144</v>
      </c>
      <c r="G333" s="20" t="n">
        <v>6393.753</v>
      </c>
      <c r="I333" s="20" t="n">
        <v>-6658.924</v>
      </c>
      <c r="K333" s="20" t="n">
        <v>-4277.438</v>
      </c>
      <c r="M333" s="20" t="n">
        <v>3607.448</v>
      </c>
      <c r="P333" s="20" t="n">
        <v>3044.313</v>
      </c>
      <c r="Q333" s="20" t="n">
        <v>-775.824</v>
      </c>
      <c r="R333" s="20" t="n">
        <v>2241.006</v>
      </c>
      <c r="S333" s="20" t="n">
        <v>1527.313</v>
      </c>
      <c r="T333" s="20" t="n">
        <v>27300.671</v>
      </c>
      <c r="U333" s="20" t="n">
        <v>-9711.507</v>
      </c>
      <c r="V333" s="20" t="n">
        <v>12509.179</v>
      </c>
      <c r="W333" s="20" t="n">
        <v>6393.753</v>
      </c>
      <c r="X333" s="20" t="n">
        <v>-4277.438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머니포워드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2025.3Q</t>
        </is>
      </c>
      <c r="D3" s="5" t="inlineStr">
        <is>
          <t>2025.4Q</t>
        </is>
      </c>
      <c r="E3" s="5" t="inlineStr">
        <is>
          <t>2026.1Q</t>
        </is>
      </c>
      <c r="F3" s="5" t="inlineStr">
        <is>
          <t>2026.2Q</t>
        </is>
      </c>
      <c r="G3" s="5" t="inlineStr">
        <is>
          <t>2026.3Q</t>
        </is>
      </c>
      <c r="H3" s="6" t="inlineStr">
        <is>
          <t>2021</t>
        </is>
      </c>
      <c r="I3" s="5" t="inlineStr">
        <is>
          <t>2022</t>
        </is>
      </c>
      <c r="J3" s="5" t="inlineStr">
        <is>
          <t>2023</t>
        </is>
      </c>
      <c r="K3" s="5" t="inlineStr">
        <is>
          <t>2024</t>
        </is>
      </c>
      <c r="L3" s="5" t="inlineStr">
        <is>
          <t>2025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61879.628</v>
      </c>
      <c r="D5" s="12" t="n">
        <v>73269.943</v>
      </c>
      <c r="E5" s="12" t="n">
        <v>101525.094</v>
      </c>
      <c r="F5" s="12" t="n">
        <v>77332.303</v>
      </c>
      <c r="G5" s="12" t="n">
        <v>71642.132</v>
      </c>
      <c r="H5" s="11" t="n">
        <v>44025.758</v>
      </c>
      <c r="I5" s="12" t="n">
        <v>38815.03</v>
      </c>
      <c r="J5" s="12" t="n">
        <v>54997.22</v>
      </c>
      <c r="K5" s="12" t="n">
        <v>66330.95</v>
      </c>
      <c r="L5" s="12" t="n">
        <v>73269.943</v>
      </c>
    </row>
    <row r="6">
      <c r="A6" s="18" t="inlineStr">
        <is>
          <t>현금및현금성자산</t>
        </is>
      </c>
      <c r="B6" s="10" t="n"/>
      <c r="C6" s="19" t="n">
        <v>36031.465</v>
      </c>
      <c r="D6" s="20" t="n">
        <v>40972.997</v>
      </c>
      <c r="E6" s="20" t="n">
        <v>69323.605</v>
      </c>
      <c r="F6" s="20" t="n">
        <v>45386.941</v>
      </c>
      <c r="G6" s="20" t="n">
        <v>39147.664</v>
      </c>
      <c r="H6" s="19" t="n">
        <v>36220.522</v>
      </c>
      <c r="I6" s="20" t="n">
        <v>26712.865</v>
      </c>
      <c r="J6" s="20" t="n">
        <v>38855.733</v>
      </c>
      <c r="K6" s="20" t="n">
        <v>45251.551</v>
      </c>
      <c r="L6" s="20" t="n">
        <v>40972.997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6948.78</v>
      </c>
      <c r="D8" s="20" t="n">
        <v>7092.357</v>
      </c>
      <c r="E8" s="20" t="n">
        <v>7702.243</v>
      </c>
      <c r="F8" s="20" t="n">
        <v>8632.403</v>
      </c>
      <c r="G8" s="20" t="n">
        <v>8025.178</v>
      </c>
      <c r="H8" s="19" t="n">
        <v>0</v>
      </c>
      <c r="I8" s="20" t="n">
        <v>2327.171</v>
      </c>
      <c r="J8" s="20" t="n">
        <v>4139.325</v>
      </c>
      <c r="K8" s="20" t="n">
        <v>5326.827</v>
      </c>
      <c r="L8" s="20" t="n">
        <v>7092.357</v>
      </c>
    </row>
    <row r="9">
      <c r="A9" s="18" t="inlineStr">
        <is>
          <t>재고자산</t>
        </is>
      </c>
      <c r="B9" s="10" t="n"/>
      <c r="C9" s="19" t="n">
        <v>33.587</v>
      </c>
      <c r="D9" s="20" t="n">
        <v>87.884</v>
      </c>
      <c r="E9" s="20" t="n">
        <v>44.62</v>
      </c>
      <c r="F9" s="20" t="n">
        <v>244.385</v>
      </c>
      <c r="G9" s="20" t="n">
        <v>251.733</v>
      </c>
      <c r="H9" s="19" t="n">
        <v>21.762</v>
      </c>
      <c r="I9" s="20" t="n">
        <v>20.426</v>
      </c>
      <c r="J9" s="20" t="n">
        <v>12.008</v>
      </c>
      <c r="K9" s="20" t="n">
        <v>20.643</v>
      </c>
      <c r="L9" s="20" t="n">
        <v>87.884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50646.149</v>
      </c>
      <c r="D11" s="12" t="n">
        <v>54297.345</v>
      </c>
      <c r="E11" s="12" t="n">
        <v>58737.72</v>
      </c>
      <c r="F11" s="12" t="n">
        <v>66294.556</v>
      </c>
      <c r="G11" s="12" t="n">
        <v>67711.753</v>
      </c>
      <c r="H11" s="11" t="n">
        <v>12916.799</v>
      </c>
      <c r="I11" s="12" t="n">
        <v>27171.675</v>
      </c>
      <c r="J11" s="12" t="n">
        <v>33285.19</v>
      </c>
      <c r="K11" s="12" t="n">
        <v>39860.954</v>
      </c>
      <c r="L11" s="12" t="n">
        <v>54297.345</v>
      </c>
    </row>
    <row r="12">
      <c r="A12" s="18" t="inlineStr">
        <is>
          <t>유형자산</t>
        </is>
      </c>
      <c r="B12" s="10" t="n"/>
      <c r="C12" s="19" t="n">
        <v>1321.809</v>
      </c>
      <c r="D12" s="20" t="n">
        <v>1596.481</v>
      </c>
      <c r="E12" s="20" t="n">
        <v>5392.347</v>
      </c>
      <c r="F12" s="20" t="n">
        <v>5188.582</v>
      </c>
      <c r="G12" s="20" t="n">
        <v>5322.217</v>
      </c>
      <c r="H12" s="19" t="n">
        <v>537.33</v>
      </c>
      <c r="I12" s="20" t="n">
        <v>731.066</v>
      </c>
      <c r="J12" s="20" t="n">
        <v>1163.345</v>
      </c>
      <c r="K12" s="20" t="n">
        <v>1065.341</v>
      </c>
      <c r="L12" s="20" t="n">
        <v>1596.481</v>
      </c>
    </row>
    <row r="13">
      <c r="A13" s="18" t="inlineStr">
        <is>
          <t>무형자산</t>
        </is>
      </c>
      <c r="B13" s="10" t="n"/>
      <c r="C13" s="19" t="n">
        <v>24903.281</v>
      </c>
      <c r="D13" s="20" t="n">
        <v>26834.974</v>
      </c>
      <c r="E13" s="20" t="n">
        <v>27528.151</v>
      </c>
      <c r="F13" s="20" t="n">
        <v>34912.293</v>
      </c>
      <c r="G13" s="20" t="n">
        <v>35792.435</v>
      </c>
      <c r="H13" s="19" t="n">
        <v>6105.189</v>
      </c>
      <c r="I13" s="20" t="n">
        <v>10976.847</v>
      </c>
      <c r="J13" s="20" t="n">
        <v>13465.061</v>
      </c>
      <c r="K13" s="20" t="n">
        <v>17046.713</v>
      </c>
      <c r="L13" s="20" t="n">
        <v>26834.974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112525.777</v>
      </c>
      <c r="D16" s="12" t="n">
        <v>127567.288</v>
      </c>
      <c r="E16" s="12" t="n">
        <v>160262.814</v>
      </c>
      <c r="F16" s="12" t="n">
        <v>143626.86</v>
      </c>
      <c r="G16" s="12" t="n">
        <v>139353.886</v>
      </c>
      <c r="H16" s="11" t="n">
        <v>56942.558</v>
      </c>
      <c r="I16" s="12" t="n">
        <v>65986.70600000001</v>
      </c>
      <c r="J16" s="12" t="n">
        <v>88282.41</v>
      </c>
      <c r="K16" s="12" t="n">
        <v>106191.905</v>
      </c>
      <c r="L16" s="12" t="n">
        <v>127567.288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37312.71</v>
      </c>
      <c r="D18" s="12" t="n">
        <v>46467.56</v>
      </c>
      <c r="E18" s="12" t="n">
        <v>72341.35799999999</v>
      </c>
      <c r="F18" s="12" t="n">
        <v>50197.591</v>
      </c>
      <c r="G18" s="12" t="n">
        <v>46726.675</v>
      </c>
      <c r="H18" s="11" t="n">
        <v>12276.371</v>
      </c>
      <c r="I18" s="12" t="n">
        <v>23964.769</v>
      </c>
      <c r="J18" s="12" t="n">
        <v>30780.576</v>
      </c>
      <c r="K18" s="12" t="n">
        <v>39531.157</v>
      </c>
      <c r="L18" s="12" t="n">
        <v>46467.56</v>
      </c>
    </row>
    <row r="19">
      <c r="A19" s="18" t="inlineStr">
        <is>
          <t>매입채무</t>
        </is>
      </c>
      <c r="B19" s="10" t="n"/>
      <c r="C19" s="19" t="n">
        <v>261.883</v>
      </c>
      <c r="D19" s="20" t="n">
        <v>235.117</v>
      </c>
      <c r="E19" s="20" t="n">
        <v>241.907</v>
      </c>
      <c r="F19" s="20" t="n">
        <v>293.457</v>
      </c>
      <c r="G19" s="20" t="n">
        <v>365.267</v>
      </c>
      <c r="H19" s="19" t="n">
        <v>211.852</v>
      </c>
      <c r="I19" s="20" t="n">
        <v>340.994</v>
      </c>
      <c r="J19" s="20" t="n">
        <v>370.317</v>
      </c>
      <c r="K19" s="20" t="n">
        <v>292.839</v>
      </c>
      <c r="L19" s="20" t="n">
        <v>235.117</v>
      </c>
    </row>
    <row r="20">
      <c r="A20" s="18" t="inlineStr">
        <is>
          <t>단기차입금</t>
        </is>
      </c>
      <c r="B20" s="10" t="n"/>
      <c r="C20" s="19" t="n">
        <v>5502.846</v>
      </c>
      <c r="D20" s="20" t="n">
        <v>5254</v>
      </c>
      <c r="E20" s="20" t="n">
        <v>5116.057</v>
      </c>
      <c r="F20" s="20" t="n">
        <v>6003</v>
      </c>
      <c r="G20" s="20" t="n">
        <v>6063</v>
      </c>
      <c r="H20" s="19" t="n">
        <v>4700</v>
      </c>
      <c r="I20" s="20" t="n">
        <v>8240</v>
      </c>
      <c r="J20" s="20" t="n">
        <v>4937</v>
      </c>
      <c r="K20" s="20" t="n">
        <v>10062</v>
      </c>
      <c r="L20" s="20" t="n">
        <v>5254</v>
      </c>
    </row>
    <row r="21">
      <c r="A21" s="18" t="inlineStr">
        <is>
          <t>유동성장기부채</t>
        </is>
      </c>
      <c r="B21" s="10" t="n"/>
      <c r="C21" s="19" t="n">
        <v>6398.979</v>
      </c>
      <c r="D21" s="20" t="n">
        <v>5600.173</v>
      </c>
      <c r="E21" s="20" t="n">
        <v>6273.623</v>
      </c>
      <c r="F21" s="20" t="n">
        <v>6802.273</v>
      </c>
      <c r="G21" s="20" t="n">
        <v>6578.568</v>
      </c>
      <c r="H21" s="19" t="n">
        <v>1713.041</v>
      </c>
      <c r="I21" s="20" t="n">
        <v>2295</v>
      </c>
      <c r="J21" s="20" t="n">
        <v>3488.75</v>
      </c>
      <c r="K21" s="20" t="n">
        <v>4485.919</v>
      </c>
      <c r="L21" s="20" t="n">
        <v>5600.173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24115.863</v>
      </c>
      <c r="D23" s="12" t="n">
        <v>25234.372</v>
      </c>
      <c r="E23" s="12" t="n">
        <v>30164.342</v>
      </c>
      <c r="F23" s="12" t="n">
        <v>35847.726</v>
      </c>
      <c r="G23" s="12" t="n">
        <v>34156.846</v>
      </c>
      <c r="H23" s="11" t="n">
        <v>2333.205</v>
      </c>
      <c r="I23" s="12" t="n">
        <v>6939.113</v>
      </c>
      <c r="J23" s="12" t="n">
        <v>22841.37</v>
      </c>
      <c r="K23" s="12" t="n">
        <v>21984.99</v>
      </c>
      <c r="L23" s="12" t="n">
        <v>25234.372</v>
      </c>
    </row>
    <row r="24">
      <c r="A24" s="18" t="inlineStr">
        <is>
          <t>장기차입금</t>
        </is>
      </c>
      <c r="B24" s="10" t="n"/>
      <c r="C24" s="19" t="n">
        <v>10362.307</v>
      </c>
      <c r="D24" s="20" t="n">
        <v>10994.842</v>
      </c>
      <c r="E24" s="20" t="n">
        <v>13103.35</v>
      </c>
      <c r="F24" s="20" t="n">
        <v>17881.258</v>
      </c>
      <c r="G24" s="20" t="n">
        <v>16386.616</v>
      </c>
      <c r="H24" s="19" t="n">
        <v>2141.1</v>
      </c>
      <c r="I24" s="20" t="n">
        <v>6367.157</v>
      </c>
      <c r="J24" s="20" t="n">
        <v>8947.869000000001</v>
      </c>
      <c r="K24" s="20" t="n">
        <v>7896.95</v>
      </c>
      <c r="L24" s="20" t="n">
        <v>10994.842</v>
      </c>
    </row>
    <row r="25">
      <c r="A25" s="18" t="inlineStr">
        <is>
          <t>사채</t>
        </is>
      </c>
      <c r="B25" s="10" t="n"/>
      <c r="C25" s="19" t="n">
        <v>0</v>
      </c>
      <c r="D25" s="20" t="n">
        <v>0</v>
      </c>
      <c r="E25" s="20" t="n"/>
      <c r="F25" s="20" t="n"/>
      <c r="G25" s="20" t="n"/>
      <c r="H25" s="19" t="n"/>
      <c r="I25" s="20" t="n">
        <v>0</v>
      </c>
      <c r="J25" s="20" t="n">
        <v>1000</v>
      </c>
      <c r="K25" s="20" t="n">
        <v>1000</v>
      </c>
      <c r="L25" s="20" t="n">
        <v>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61428.574</v>
      </c>
      <c r="D27" s="12" t="n">
        <v>71701.932</v>
      </c>
      <c r="E27" s="12" t="n">
        <v>102505.701</v>
      </c>
      <c r="F27" s="12" t="n">
        <v>86045.317</v>
      </c>
      <c r="G27" s="12" t="n">
        <v>80883.52099999999</v>
      </c>
      <c r="H27" s="11" t="n">
        <v>14609.576</v>
      </c>
      <c r="I27" s="12" t="n">
        <v>30903.882</v>
      </c>
      <c r="J27" s="12" t="n">
        <v>53621.947</v>
      </c>
      <c r="K27" s="12" t="n">
        <v>61516.148</v>
      </c>
      <c r="L27" s="12" t="n">
        <v>71701.932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35306.098</v>
      </c>
      <c r="D31" s="12" t="n">
        <v>40861.375</v>
      </c>
      <c r="E31" s="12" t="n">
        <v>41771.912</v>
      </c>
      <c r="F31" s="12" t="n">
        <v>41234.049</v>
      </c>
      <c r="G31" s="12" t="n">
        <v>41371.945</v>
      </c>
      <c r="H31" s="11" t="n">
        <v>40491.661</v>
      </c>
      <c r="I31" s="12" t="n">
        <v>32600.967</v>
      </c>
      <c r="J31" s="12" t="n">
        <v>27822.743</v>
      </c>
      <c r="K31" s="12" t="n">
        <v>35382.283</v>
      </c>
      <c r="L31" s="12" t="n">
        <v>40861.375</v>
      </c>
    </row>
    <row r="32">
      <c r="A32" s="18" t="inlineStr">
        <is>
          <t>자본금</t>
        </is>
      </c>
      <c r="B32" s="10" t="n"/>
      <c r="C32" s="19" t="n">
        <v>27836.52</v>
      </c>
      <c r="D32" s="20" t="n">
        <v>27836.52</v>
      </c>
      <c r="E32" s="20" t="n">
        <v>27839.445</v>
      </c>
      <c r="F32" s="20" t="n">
        <v>28054.258</v>
      </c>
      <c r="G32" s="20" t="n">
        <v>28055.913</v>
      </c>
      <c r="H32" s="19" t="n">
        <v>25775.494</v>
      </c>
      <c r="I32" s="20" t="n">
        <v>26316.141</v>
      </c>
      <c r="J32" s="20" t="n">
        <v>26716.695</v>
      </c>
      <c r="K32" s="20" t="n">
        <v>27290.265</v>
      </c>
      <c r="L32" s="20" t="n">
        <v>27836.52</v>
      </c>
    </row>
    <row r="33">
      <c r="A33" s="18" t="inlineStr">
        <is>
          <t>이익잉여금</t>
        </is>
      </c>
      <c r="B33" s="10" t="n"/>
      <c r="C33" s="19" t="n">
        <v>-12377.68</v>
      </c>
      <c r="D33" s="20" t="n">
        <v>-7690.558</v>
      </c>
      <c r="E33" s="20" t="n">
        <v>-5939.22</v>
      </c>
      <c r="F33" s="20" t="n">
        <v>-7214.368</v>
      </c>
      <c r="G33" s="20" t="n">
        <v>-7269.961</v>
      </c>
      <c r="H33" s="19" t="n">
        <v>-2755.553</v>
      </c>
      <c r="I33" s="20" t="n">
        <v>-10693.566</v>
      </c>
      <c r="J33" s="20" t="n">
        <v>-8378.441999999999</v>
      </c>
      <c r="K33" s="20" t="n">
        <v>-8993.878000000001</v>
      </c>
      <c r="L33" s="20" t="n">
        <v>-7690.558</v>
      </c>
    </row>
    <row r="34">
      <c r="A34" s="18" t="inlineStr">
        <is>
          <t>비지배지분</t>
        </is>
      </c>
      <c r="B34" s="10" t="n"/>
      <c r="C34" s="19" t="n">
        <v>13121.37</v>
      </c>
      <c r="D34" s="20" t="n">
        <v>12020.99</v>
      </c>
      <c r="E34" s="20" t="n">
        <v>12819.177</v>
      </c>
      <c r="F34" s="20" t="n">
        <v>13014.898</v>
      </c>
      <c r="G34" s="20" t="n">
        <v>13604.104</v>
      </c>
      <c r="H34" s="19" t="n">
        <v>1802.791</v>
      </c>
      <c r="I34" s="20" t="n">
        <v>2448.996</v>
      </c>
      <c r="J34" s="20" t="n">
        <v>6333.228</v>
      </c>
      <c r="K34" s="20" t="n">
        <v>7239.342</v>
      </c>
      <c r="L34" s="20" t="n">
        <v>12020.99</v>
      </c>
    </row>
    <row r="35">
      <c r="A35" s="9" t="inlineStr">
        <is>
          <t>자본총계</t>
        </is>
      </c>
      <c r="B35" s="10" t="n"/>
      <c r="C35" s="11" t="n">
        <v>51097.203</v>
      </c>
      <c r="D35" s="12" t="n">
        <v>55865.356</v>
      </c>
      <c r="E35" s="12" t="n">
        <v>57757.113</v>
      </c>
      <c r="F35" s="12" t="n">
        <v>57581.543</v>
      </c>
      <c r="G35" s="12" t="n">
        <v>58470.364</v>
      </c>
      <c r="H35" s="11" t="n">
        <v>42332.981</v>
      </c>
      <c r="I35" s="12" t="n">
        <v>35082.823</v>
      </c>
      <c r="J35" s="12" t="n">
        <v>34660.463</v>
      </c>
      <c r="K35" s="12" t="n">
        <v>44675.756</v>
      </c>
      <c r="L35" s="12" t="n">
        <v>55865.356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>
        <v>1496.692</v>
      </c>
      <c r="E37" s="12" t="n"/>
      <c r="F37" s="12" t="n">
        <v>8397.109</v>
      </c>
      <c r="G37" s="12" t="n"/>
      <c r="H37" s="11" t="n">
        <v>-2327.653</v>
      </c>
      <c r="I37" s="12" t="n">
        <v>-4124.082</v>
      </c>
      <c r="J37" s="12" t="n">
        <v>2460.324</v>
      </c>
      <c r="K37" s="12" t="n">
        <v>-4761.435</v>
      </c>
      <c r="L37" s="12" t="n">
        <v>1496.692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>
        <v>9097.785</v>
      </c>
      <c r="E38" s="20" t="n"/>
      <c r="F38" s="20" t="n">
        <v>9783.424999999999</v>
      </c>
      <c r="G38" s="20" t="n"/>
      <c r="H38" s="19" t="n">
        <v>2333.986</v>
      </c>
      <c r="I38" s="20" t="n">
        <v>4268.334</v>
      </c>
      <c r="J38" s="20" t="n">
        <v>5381.027</v>
      </c>
      <c r="K38" s="20" t="n">
        <v>6369.6</v>
      </c>
      <c r="L38" s="20" t="n">
        <v>9097.785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/>
      <c r="F40" s="20" t="n"/>
      <c r="G40" s="20" t="n"/>
      <c r="H40" s="19" t="n"/>
      <c r="I40" s="20" t="n"/>
      <c r="J40" s="20" t="n"/>
      <c r="K40" s="20" t="n"/>
      <c r="L40" s="20" t="n"/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IFERROR((IF(COUNT('연간'!G34:J34)&lt;4,"",SUM('연간'!G34:J34)))/(IF(COUNT('연간'!G56:J56)&lt;4,"",SUM('연간'!G56:J56))),"")</f>
        <v/>
      </c>
      <c r="D48" s="31">
        <f>IFERROR((IF(COUNT('연간'!H34:K34)&lt;4,"",SUM('연간'!H34:K34)))/(IF(COUNT('연간'!H56:K56)&lt;4,"",SUM('연간'!H56:K56))),"")</f>
        <v/>
      </c>
      <c r="E48" s="31">
        <f>IFERROR((IF(COUNT('연간'!I34:L34)&lt;4,"",SUM('연간'!I34:L34)))/(IF(COUNT('연간'!I56:L56)&lt;4,"",SUM('연간'!I56:L56))),"")</f>
        <v/>
      </c>
      <c r="F48" s="31">
        <f>IFERROR((IF(COUNT('연간'!J34:M34)&lt;4,"",SUM('연간'!J34:M34)))/(IF(COUNT('연간'!J56:M56)&lt;4,"",SUM('연간'!J56:M56))),"")</f>
        <v/>
      </c>
      <c r="G48" s="31">
        <f>IFERROR((IF(COUNT('연간'!K34:N34)&lt;4,"",SUM('연간'!K34:N34)))/(IF(COUNT('연간'!K56:N56)&lt;4,"",SUM('연간'!K56:N56))),"")</f>
        <v/>
      </c>
      <c r="H48" s="30">
        <f>IFERROR(('연간'!T34)/('연간'!T56),"")</f>
        <v/>
      </c>
      <c r="I48" s="31">
        <f>IFERROR(('연간'!U34)/('연간'!U56),"")</f>
        <v/>
      </c>
      <c r="J48" s="31">
        <f>IFERROR(('연간'!V34)/('연간'!V56),"")</f>
        <v/>
      </c>
      <c r="K48" s="31">
        <f>IFERROR(('연간'!W34)/('연간'!W56),"")</f>
        <v/>
      </c>
      <c r="L48" s="31">
        <f>IFERROR(('연간'!X34)/('연간'!X56),"")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IFERROR(IF((IF(COUNT('연간'!G62:J62)&lt;4,"",SUM('연간'!G62:J62)))&lt;=0,"적자",C28/(IF(COUNT('연간'!G62:J62)&lt;4,"",SUM('연간'!G62:J62)))),"")</f>
        <v/>
      </c>
      <c r="D49" s="47">
        <f>IFERROR(IF((IF(COUNT('연간'!H62:K62)&lt;4,"",SUM('연간'!H62:K62)))&lt;=0,"적자",D28/(IF(COUNT('연간'!H62:K62)&lt;4,"",SUM('연간'!H62:K62)))),"")</f>
        <v/>
      </c>
      <c r="E49" s="47">
        <f>IFERROR(IF((IF(COUNT('연간'!I62:L62)&lt;4,"",SUM('연간'!I62:L62)))&lt;=0,"적자",E28/(IF(COUNT('연간'!I62:L62)&lt;4,"",SUM('연간'!I62:L62)))),"")</f>
        <v/>
      </c>
      <c r="F49" s="47">
        <f>IFERROR(IF((IF(COUNT('연간'!J62:M62)&lt;4,"",SUM('연간'!J62:M62)))&lt;=0,"적자",F28/(IF(COUNT('연간'!J62:M62)&lt;4,"",SUM('연간'!J62:M62)))),"")</f>
        <v/>
      </c>
      <c r="G49" s="47">
        <f>IFERROR(IF((IF(COUNT('연간'!K62:N62)&lt;4,"",SUM('연간'!K62:N62)))&lt;=0,"적자",G28/(IF(COUNT('연간'!K62:N62)&lt;4,"",SUM('연간'!K62:N62)))),"")</f>
        <v/>
      </c>
      <c r="H49" s="46">
        <f>IFERROR(IF(('연간'!T62)&lt;=0,"적자",H28/('연간'!T62)),"")</f>
        <v/>
      </c>
      <c r="I49" s="47">
        <f>IFERROR(IF(('연간'!U62)&lt;=0,"적자",I28/('연간'!U62)),"")</f>
        <v/>
      </c>
      <c r="J49" s="47">
        <f>IFERROR(IF(('연간'!V62)&lt;=0,"적자",J28/('연간'!V62)),"")</f>
        <v/>
      </c>
      <c r="K49" s="47">
        <f>IFERROR(IF(('연간'!W62)&lt;=0,"적자",K28/('연간'!W62)),"")</f>
        <v/>
      </c>
      <c r="L49" s="47">
        <f>IFERROR(IF(('연간'!X62)&lt;=0,"적자",L28/('연간'!X62)),"")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IFERROR((IF(COUNT('연간'!G62:J62)&lt;4,"",SUM('연간'!G62:J62)))/C31,"")</f>
        <v/>
      </c>
      <c r="D51" s="36">
        <f>IFERROR((IF(COUNT('연간'!H62:K62)&lt;4,"",SUM('연간'!H62:K62)))/D31,"")</f>
        <v/>
      </c>
      <c r="E51" s="36">
        <f>IFERROR((IF(COUNT('연간'!I62:L62)&lt;4,"",SUM('연간'!I62:L62)))/E31,"")</f>
        <v/>
      </c>
      <c r="F51" s="36">
        <f>IFERROR((IF(COUNT('연간'!J62:M62)&lt;4,"",SUM('연간'!J62:M62)))/F31,"")</f>
        <v/>
      </c>
      <c r="G51" s="36">
        <f>IFERROR((IF(COUNT('연간'!K62:N62)&lt;4,"",SUM('연간'!K62:N62)))/G31,"")</f>
        <v/>
      </c>
      <c r="H51" s="35">
        <f>IFERROR(('연간'!T62)/H31,"")</f>
        <v/>
      </c>
      <c r="I51" s="36">
        <f>IFERROR(('연간'!U62)/I31,"")</f>
        <v/>
      </c>
      <c r="J51" s="36">
        <f>IFERROR(('연간'!V62)/J31,"")</f>
        <v/>
      </c>
      <c r="K51" s="36">
        <f>IFERROR(('연간'!W62)/K31,"")</f>
        <v/>
      </c>
      <c r="L51" s="36">
        <f>IFERROR(('연간'!X62)/L31,"")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IFERROR((IF(COUNT('연간'!G61:J61)&lt;4,"",SUM('연간'!G61:J61)))/C16,"")</f>
        <v/>
      </c>
      <c r="D52" s="36">
        <f>IFERROR((IF(COUNT('연간'!H61:K61)&lt;4,"",SUM('연간'!H61:K61)))/D16,"")</f>
        <v/>
      </c>
      <c r="E52" s="36">
        <f>IFERROR((IF(COUNT('연간'!I61:L61)&lt;4,"",SUM('연간'!I61:L61)))/E16,"")</f>
        <v/>
      </c>
      <c r="F52" s="36">
        <f>IFERROR((IF(COUNT('연간'!J61:M61)&lt;4,"",SUM('연간'!J61:M61)))/F16,"")</f>
        <v/>
      </c>
      <c r="G52" s="36">
        <f>IFERROR((IF(COUNT('연간'!K61:N61)&lt;4,"",SUM('연간'!K61:N61)))/G16,"")</f>
        <v/>
      </c>
      <c r="H52" s="35">
        <f>IFERROR(('연간'!T61)/H16,"")</f>
        <v/>
      </c>
      <c r="I52" s="36">
        <f>IFERROR(('연간'!U61)/I16,"")</f>
        <v/>
      </c>
      <c r="J52" s="36">
        <f>IFERROR(('연간'!V61)/J16,"")</f>
        <v/>
      </c>
      <c r="K52" s="36">
        <f>IFERROR(('연간'!W61)/K16,"")</f>
        <v/>
      </c>
      <c r="L52" s="36">
        <f>IFERROR(('연간'!X61)/L16,"")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IFERROR((IF(COUNT('연간'!G34:J34)&lt;4,"",SUM('연간'!G34:J34)))*(1-0.3)/(C35+C29),"")</f>
        <v/>
      </c>
      <c r="D53" s="36">
        <f>IFERROR((IF(COUNT('연간'!H34:K34)&lt;4,"",SUM('연간'!H34:K34)))*(1-0.3)/(D35+D29),"")</f>
        <v/>
      </c>
      <c r="E53" s="36">
        <f>IFERROR((IF(COUNT('연간'!I34:L34)&lt;4,"",SUM('연간'!I34:L34)))*(1-0.3)/(E35+E29),"")</f>
        <v/>
      </c>
      <c r="F53" s="36">
        <f>IFERROR((IF(COUNT('연간'!J34:M34)&lt;4,"",SUM('연간'!J34:M34)))*(1-0.3)/(F35+F29),"")</f>
        <v/>
      </c>
      <c r="G53" s="36">
        <f>IFERROR((IF(COUNT('연간'!K34:N34)&lt;4,"",SUM('연간'!K34:N34)))*(1-0.3)/(G35+G29),"")</f>
        <v/>
      </c>
      <c r="H53" s="35">
        <f>IFERROR(('연간'!T34)*(1-0.3)/(H35+H29),"")</f>
        <v/>
      </c>
      <c r="I53" s="36">
        <f>IFERROR(('연간'!U34)*(1-0.3)/(I35+I29),"")</f>
        <v/>
      </c>
      <c r="J53" s="36">
        <f>IFERROR(('연간'!V34)*(1-0.3)/(J35+J29),"")</f>
        <v/>
      </c>
      <c r="K53" s="36">
        <f>IFERROR(('연간'!W34)*(1-0.3)/(K35+K29),"")</f>
        <v/>
      </c>
      <c r="L53" s="36">
        <f>IFERROR(('연간'!X34)*(1-0.3)/(L35+L29),"")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IFERROR((IF(COUNT('연간'!G30:J30)&lt;4,"",SUM('연간'!G30:J30)))/(IF(COUNT('연간'!G4:J4)&lt;4,"",SUM('연간'!G4:J4))),"")</f>
        <v/>
      </c>
      <c r="D54" s="36">
        <f>IFERROR((IF(COUNT('연간'!H30:K30)&lt;4,"",SUM('연간'!H30:K30)))/(IF(COUNT('연간'!H4:K4)&lt;4,"",SUM('연간'!H4:K4))),"")</f>
        <v/>
      </c>
      <c r="E54" s="36">
        <f>IFERROR((IF(COUNT('연간'!I30:L30)&lt;4,"",SUM('연간'!I30:L30)))/(IF(COUNT('연간'!I4:L4)&lt;4,"",SUM('연간'!I4:L4))),"")</f>
        <v/>
      </c>
      <c r="F54" s="36">
        <f>IFERROR((IF(COUNT('연간'!J30:M30)&lt;4,"",SUM('연간'!J30:M30)))/(IF(COUNT('연간'!J4:M4)&lt;4,"",SUM('연간'!J4:M4))),"")</f>
        <v/>
      </c>
      <c r="G54" s="36">
        <f>IFERROR((IF(COUNT('연간'!K30:N30)&lt;4,"",SUM('연간'!K30:N30)))/(IF(COUNT('연간'!K4:N4)&lt;4,"",SUM('연간'!K4:N4))),"")</f>
        <v/>
      </c>
      <c r="H54" s="35">
        <f>IFERROR(('연간'!T30)/('연간'!T4),"")</f>
        <v/>
      </c>
      <c r="I54" s="36">
        <f>IFERROR(('연간'!U30)/('연간'!U4),"")</f>
        <v/>
      </c>
      <c r="J54" s="36">
        <f>IFERROR(('연간'!V30)/('연간'!V4),"")</f>
        <v/>
      </c>
      <c r="K54" s="36">
        <f>IFERROR(('연간'!W30)/('연간'!W4),"")</f>
        <v/>
      </c>
      <c r="L54" s="36">
        <f>IFERROR(('연간'!X30)/('연간'!X4),"")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IFERROR((IF(COUNT('연간'!G34:J34)&lt;4,"",SUM('연간'!G34:J34)))/(IF(COUNT('연간'!G4:J4)&lt;4,"",SUM('연간'!G4:J4))),"")</f>
        <v/>
      </c>
      <c r="D55" s="36">
        <f>IFERROR((IF(COUNT('연간'!H34:K34)&lt;4,"",SUM('연간'!H34:K34)))/(IF(COUNT('연간'!H4:K4)&lt;4,"",SUM('연간'!H4:K4))),"")</f>
        <v/>
      </c>
      <c r="E55" s="36">
        <f>IFERROR((IF(COUNT('연간'!I34:L34)&lt;4,"",SUM('연간'!I34:L34)))/(IF(COUNT('연간'!I4:L4)&lt;4,"",SUM('연간'!I4:L4))),"")</f>
        <v/>
      </c>
      <c r="F55" s="36">
        <f>IFERROR((IF(COUNT('연간'!J34:M34)&lt;4,"",SUM('연간'!J34:M34)))/(IF(COUNT('연간'!J4:M4)&lt;4,"",SUM('연간'!J4:M4))),"")</f>
        <v/>
      </c>
      <c r="G55" s="36">
        <f>IFERROR((IF(COUNT('연간'!K34:N34)&lt;4,"",SUM('연간'!K34:N34)))/(IF(COUNT('연간'!K4:N4)&lt;4,"",SUM('연간'!K4:N4))),"")</f>
        <v/>
      </c>
      <c r="H55" s="35">
        <f>IFERROR(('연간'!T34)/('연간'!T4),"")</f>
        <v/>
      </c>
      <c r="I55" s="36">
        <f>IFERROR(('연간'!U34)/('연간'!U4),"")</f>
        <v/>
      </c>
      <c r="J55" s="36">
        <f>IFERROR(('연간'!V34)/('연간'!V4),"")</f>
        <v/>
      </c>
      <c r="K55" s="36">
        <f>IFERROR(('연간'!W34)/('연간'!W4),"")</f>
        <v/>
      </c>
      <c r="L55" s="36">
        <f>IFERROR(('연간'!X34)/('연간'!X4),"")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IFERROR((IF(COUNT('연간'!G61:J61)&lt;4,"",SUM('연간'!G61:J61)))/(IF(COUNT('연간'!G4:J4)&lt;4,"",SUM('연간'!G4:J4))),"")</f>
        <v/>
      </c>
      <c r="D56" s="36">
        <f>IFERROR((IF(COUNT('연간'!H61:K61)&lt;4,"",SUM('연간'!H61:K61)))/(IF(COUNT('연간'!H4:K4)&lt;4,"",SUM('연간'!H4:K4))),"")</f>
        <v/>
      </c>
      <c r="E56" s="36">
        <f>IFERROR((IF(COUNT('연간'!I61:L61)&lt;4,"",SUM('연간'!I61:L61)))/(IF(COUNT('연간'!I4:L4)&lt;4,"",SUM('연간'!I4:L4))),"")</f>
        <v/>
      </c>
      <c r="F56" s="36">
        <f>IFERROR((IF(COUNT('연간'!J61:M61)&lt;4,"",SUM('연간'!J61:M61)))/(IF(COUNT('연간'!J4:M4)&lt;4,"",SUM('연간'!J4:M4))),"")</f>
        <v/>
      </c>
      <c r="G56" s="36">
        <f>IFERROR((IF(COUNT('연간'!K61:N61)&lt;4,"",SUM('연간'!K61:N61)))/(IF(COUNT('연간'!K4:N4)&lt;4,"",SUM('연간'!K4:N4))),"")</f>
        <v/>
      </c>
      <c r="H56" s="35">
        <f>IFERROR(('연간'!T61)/('연간'!T4),"")</f>
        <v/>
      </c>
      <c r="I56" s="36">
        <f>IFERROR(('연간'!U61)/('연간'!U4),"")</f>
        <v/>
      </c>
      <c r="J56" s="36">
        <f>IFERROR(('연간'!V61)/('연간'!V4),"")</f>
        <v/>
      </c>
      <c r="K56" s="36">
        <f>IFERROR(('연간'!W61)/('연간'!W4),"")</f>
        <v/>
      </c>
      <c r="L56" s="36">
        <f>IFERROR(('연간'!X61)/('연간'!X4),"")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IFERROR(C9/(IF(COUNT('연간'!G29:J29)&lt;4,"",SUM('연간'!G29:J29)))*365,"")</f>
        <v/>
      </c>
      <c r="D60" s="49">
        <f>IFERROR(D9/(IF(COUNT('연간'!H29:K29)&lt;4,"",SUM('연간'!H29:K29)))*365,"")</f>
        <v/>
      </c>
      <c r="E60" s="49">
        <f>IFERROR(E9/(IF(COUNT('연간'!I29:L29)&lt;4,"",SUM('연간'!I29:L29)))*365,"")</f>
        <v/>
      </c>
      <c r="F60" s="49">
        <f>IFERROR(F9/(IF(COUNT('연간'!J29:M29)&lt;4,"",SUM('연간'!J29:M29)))*365,"")</f>
        <v/>
      </c>
      <c r="G60" s="49">
        <f>IFERROR(G9/(IF(COUNT('연간'!K29:N29)&lt;4,"",SUM('연간'!K29:N29)))*365,"")</f>
        <v/>
      </c>
      <c r="H60" s="48">
        <f>IFERROR(H9/('연간'!T29)*365,"")</f>
        <v/>
      </c>
      <c r="I60" s="49">
        <f>IFERROR(I9/('연간'!U29)*365,"")</f>
        <v/>
      </c>
      <c r="J60" s="49">
        <f>IFERROR(J9/('연간'!V29)*365,"")</f>
        <v/>
      </c>
      <c r="K60" s="49">
        <f>IFERROR(K9/('연간'!W29)*365,"")</f>
        <v/>
      </c>
      <c r="L60" s="49">
        <f>IFERROR(L9/('연간'!X29)*365,"")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IFERROR(C19/(IF(COUNT('연간'!G29:J29)&lt;4,"",SUM('연간'!G29:J29)))*365,"")</f>
        <v/>
      </c>
      <c r="D61" s="49">
        <f>IFERROR(D19/(IF(COUNT('연간'!H29:K29)&lt;4,"",SUM('연간'!H29:K29)))*365,"")</f>
        <v/>
      </c>
      <c r="E61" s="49">
        <f>IFERROR(E19/(IF(COUNT('연간'!I29:L29)&lt;4,"",SUM('연간'!I29:L29)))*365,"")</f>
        <v/>
      </c>
      <c r="F61" s="49">
        <f>IFERROR(F19/(IF(COUNT('연간'!J29:M29)&lt;4,"",SUM('연간'!J29:M29)))*365,"")</f>
        <v/>
      </c>
      <c r="G61" s="49">
        <f>IFERROR(G19/(IF(COUNT('연간'!K29:N29)&lt;4,"",SUM('연간'!K29:N29)))*365,"")</f>
        <v/>
      </c>
      <c r="H61" s="48">
        <f>IFERROR(H19/('연간'!T29)*365,"")</f>
        <v/>
      </c>
      <c r="I61" s="49">
        <f>IFERROR(I19/('연간'!U29)*365,"")</f>
        <v/>
      </c>
      <c r="J61" s="49">
        <f>IFERROR(J19/('연간'!V29)*365,"")</f>
        <v/>
      </c>
      <c r="K61" s="49">
        <f>IFERROR(K19/('연간'!W29)*365,"")</f>
        <v/>
      </c>
      <c r="L61" s="49">
        <f>IFERROR(L19/('연간'!X29)*365,"")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IF(C37="","",IFERROR(C37/(IF(COUNT('연간'!G61:J61)&lt;4,"",SUM('연간'!G61:J61))),""))</f>
        <v/>
      </c>
      <c r="D64" s="31">
        <f>IF(D37="","",IFERROR(D37/(IF(COUNT('연간'!H61:K61)&lt;4,"",SUM('연간'!H61:K61))),""))</f>
        <v/>
      </c>
      <c r="E64" s="31">
        <f>IF(E37="","",IFERROR(E37/(IF(COUNT('연간'!I61:L61)&lt;4,"",SUM('연간'!I61:L61))),""))</f>
        <v/>
      </c>
      <c r="F64" s="31">
        <f>IF(F37="","",IFERROR(F37/(IF(COUNT('연간'!J61:M61)&lt;4,"",SUM('연간'!J61:M61))),""))</f>
        <v/>
      </c>
      <c r="G64" s="31">
        <f>IF(G37="","",IFERROR(G37/(IF(COUNT('연간'!K61:N61)&lt;4,"",SUM('연간'!K61:N61))),""))</f>
        <v/>
      </c>
      <c r="H64" s="30">
        <f>IF(H37="","",IFERROR(H37/('연간'!T61),""))</f>
        <v/>
      </c>
      <c r="I64" s="31">
        <f>IF(I37="","",IFERROR(I37/('연간'!U61),""))</f>
        <v/>
      </c>
      <c r="J64" s="31">
        <f>IF(J37="","",IFERROR(J37/('연간'!V61),""))</f>
        <v/>
      </c>
      <c r="K64" s="31">
        <f>IF(K37="","",IFERROR(K37/('연간'!W61),""))</f>
        <v/>
      </c>
      <c r="L64" s="31">
        <f>IF(L37="","",IFERROR(L37/('연간'!X61),""))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IF(C40="","",IFERROR(C40/(IF(COUNT('연간'!G62:J62)&lt;4,"",SUM('연간'!G62:J62))),""))</f>
        <v/>
      </c>
      <c r="D67" s="36">
        <f>IF(D40="","",IFERROR(D40/(IF(COUNT('연간'!H62:K62)&lt;4,"",SUM('연간'!H62:K62))),""))</f>
        <v/>
      </c>
      <c r="E67" s="36">
        <f>IF(E40="","",IFERROR(E40/(IF(COUNT('연간'!I62:L62)&lt;4,"",SUM('연간'!I62:L62))),""))</f>
        <v/>
      </c>
      <c r="F67" s="36">
        <f>IF(F40="","",IFERROR(F40/(IF(COUNT('연간'!J62:M62)&lt;4,"",SUM('연간'!J62:M62))),""))</f>
        <v/>
      </c>
      <c r="G67" s="36">
        <f>IF(G40="","",IFERROR(G40/(IF(COUNT('연간'!K62:N62)&lt;4,"",SUM('연간'!K62:N62))),""))</f>
        <v/>
      </c>
      <c r="H67" s="35">
        <f>IF(H40="","",IFERROR(H40/('연간'!T62),""))</f>
        <v/>
      </c>
      <c r="I67" s="36">
        <f>IF(I40="","",IFERROR(I40/('연간'!U62),""))</f>
        <v/>
      </c>
      <c r="J67" s="36">
        <f>IF(J40="","",IFERROR(J40/('연간'!V62),""))</f>
        <v/>
      </c>
      <c r="K67" s="36">
        <f>IF(K40="","",IFERROR(K40/('연간'!W62),""))</f>
        <v/>
      </c>
      <c r="L67" s="36">
        <f>IF(L40="","",IFERROR(L40/('연간'!X62),""))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2025.3Q</t>
        </is>
      </c>
      <c r="D70" s="5" t="inlineStr">
        <is>
          <t>2025.4Q</t>
        </is>
      </c>
      <c r="E70" s="5" t="inlineStr">
        <is>
          <t>2026.1Q</t>
        </is>
      </c>
      <c r="F70" s="5" t="inlineStr">
        <is>
          <t>2026.2Q</t>
        </is>
      </c>
      <c r="G70" s="5" t="inlineStr">
        <is>
          <t>2026.3Q</t>
        </is>
      </c>
      <c r="H70" s="5" t="inlineStr">
        <is>
          <t>2021</t>
        </is>
      </c>
      <c r="I70" s="5" t="inlineStr">
        <is>
          <t>2022</t>
        </is>
      </c>
      <c r="J70" s="5" t="inlineStr">
        <is>
          <t>2023</t>
        </is>
      </c>
      <c r="K70" s="5" t="inlineStr">
        <is>
          <t>2024</t>
        </is>
      </c>
      <c r="L70" s="5" t="inlineStr">
        <is>
          <t>2025</t>
        </is>
      </c>
    </row>
    <row r="71">
      <c r="A71" s="18" t="inlineStr">
        <is>
          <t>현금 및 예금</t>
        </is>
      </c>
      <c r="C71" s="20" t="n">
        <v>36031.465</v>
      </c>
      <c r="D71" s="20" t="n">
        <v>40972.997</v>
      </c>
      <c r="E71" s="20" t="n">
        <v>69323.605</v>
      </c>
      <c r="F71" s="20" t="n">
        <v>45386.941</v>
      </c>
      <c r="G71" s="20" t="n">
        <v>39147.664</v>
      </c>
      <c r="H71" s="20" t="n">
        <v>36220.522</v>
      </c>
      <c r="I71" s="20" t="n">
        <v>26712.865</v>
      </c>
      <c r="J71" s="20" t="n">
        <v>38855.733</v>
      </c>
      <c r="K71" s="20" t="n">
        <v>45251.551</v>
      </c>
      <c r="L71" s="20" t="n">
        <v>40972.997</v>
      </c>
    </row>
    <row r="72">
      <c r="A72" s="18" t="inlineStr">
        <is>
          <t>받을어음·매출채권</t>
        </is>
      </c>
      <c r="H72" s="20" t="n">
        <v>1516.402</v>
      </c>
      <c r="I72" s="20" t="n">
        <v>0</v>
      </c>
    </row>
    <row r="73">
      <c r="A73" s="18" t="inlineStr">
        <is>
          <t>받을어음·매출채권·계약자산</t>
        </is>
      </c>
      <c r="C73" s="20" t="n">
        <v>6948.78</v>
      </c>
      <c r="D73" s="20" t="n">
        <v>7092.357</v>
      </c>
      <c r="E73" s="20" t="n">
        <v>7702.243</v>
      </c>
      <c r="F73" s="20" t="n">
        <v>8632.403</v>
      </c>
      <c r="G73" s="20" t="n">
        <v>8025.178</v>
      </c>
      <c r="H73" s="20" t="n">
        <v>0</v>
      </c>
      <c r="I73" s="20" t="n">
        <v>2327.171</v>
      </c>
      <c r="J73" s="20" t="n">
        <v>4139.325</v>
      </c>
      <c r="K73" s="20" t="n">
        <v>5326.827</v>
      </c>
      <c r="L73" s="20" t="n">
        <v>7092.357</v>
      </c>
    </row>
    <row r="74">
      <c r="A74" s="18" t="inlineStr">
        <is>
          <t>영업투자유가증권</t>
        </is>
      </c>
      <c r="C74" s="20" t="n">
        <v>7009.796</v>
      </c>
      <c r="D74" s="20" t="n">
        <v>7822.66</v>
      </c>
      <c r="E74" s="20" t="n">
        <v>8116.262</v>
      </c>
      <c r="F74" s="20" t="n">
        <v>8531.744000000001</v>
      </c>
      <c r="G74" s="20" t="n">
        <v>8683.498</v>
      </c>
      <c r="H74" s="20" t="n">
        <v>1074.286</v>
      </c>
      <c r="I74" s="20" t="n">
        <v>1769.083</v>
      </c>
      <c r="J74" s="20" t="n">
        <v>3667.981</v>
      </c>
      <c r="K74" s="20" t="n">
        <v>5211.492</v>
      </c>
      <c r="L74" s="20" t="n">
        <v>7822.66</v>
      </c>
    </row>
    <row r="75">
      <c r="A75" s="18" t="inlineStr">
        <is>
          <t>재고자산</t>
        </is>
      </c>
      <c r="C75" s="20" t="n">
        <v>33.587</v>
      </c>
      <c r="D75" s="20" t="n">
        <v>87.884</v>
      </c>
      <c r="E75" s="20" t="n">
        <v>44.62</v>
      </c>
      <c r="F75" s="20" t="n">
        <v>244.385</v>
      </c>
      <c r="G75" s="20" t="n">
        <v>251.733</v>
      </c>
      <c r="H75" s="20" t="n">
        <v>21.762</v>
      </c>
      <c r="I75" s="20" t="n">
        <v>20.426</v>
      </c>
      <c r="J75" s="20" t="n">
        <v>12.008</v>
      </c>
      <c r="K75" s="20" t="n">
        <v>20.643</v>
      </c>
      <c r="L75" s="20" t="n">
        <v>87.884</v>
      </c>
    </row>
    <row r="76">
      <c r="A76" s="18" t="inlineStr">
        <is>
          <t>예치금</t>
        </is>
      </c>
      <c r="D76" s="20" t="n">
        <v>4880.487</v>
      </c>
      <c r="K76" s="20" t="n">
        <v>149.649</v>
      </c>
      <c r="L76" s="20" t="n">
        <v>4880.487</v>
      </c>
    </row>
    <row r="77">
      <c r="A77" s="18" t="inlineStr">
        <is>
          <t>매입채권(채권 매입업)</t>
        </is>
      </c>
      <c r="C77" s="20" t="n">
        <v>3003.198</v>
      </c>
      <c r="D77" s="20" t="n">
        <v>3627.285</v>
      </c>
      <c r="E77" s="20" t="n">
        <v>2279.576</v>
      </c>
      <c r="F77" s="20" t="n">
        <v>2700.723</v>
      </c>
      <c r="G77" s="20" t="n">
        <v>2330.205</v>
      </c>
      <c r="H77" s="20" t="n">
        <v>4222.155</v>
      </c>
      <c r="I77" s="20" t="n">
        <v>5454.012</v>
      </c>
      <c r="J77" s="20" t="n">
        <v>5827.883</v>
      </c>
      <c r="K77" s="20" t="n">
        <v>4804.787</v>
      </c>
      <c r="L77" s="20" t="n">
        <v>3627.285</v>
      </c>
    </row>
    <row r="78">
      <c r="A78" s="18" t="inlineStr">
        <is>
          <t>미수금</t>
        </is>
      </c>
      <c r="D78" s="20" t="n">
        <v>6106.453</v>
      </c>
      <c r="F78" s="20" t="n">
        <v>8274.128000000001</v>
      </c>
      <c r="G78" s="20" t="n">
        <v>8192.109</v>
      </c>
      <c r="L78" s="20" t="n">
        <v>6106.453</v>
      </c>
    </row>
    <row r="79">
      <c r="A79" s="18" t="inlineStr">
        <is>
          <t>리스투자자산</t>
        </is>
      </c>
      <c r="D79" s="20" t="n">
        <v>0</v>
      </c>
      <c r="E79" s="20" t="n">
        <v>537.963</v>
      </c>
      <c r="F79" s="20" t="n">
        <v>574.149</v>
      </c>
      <c r="G79" s="20" t="n">
        <v>592.313</v>
      </c>
      <c r="L79" s="20" t="n">
        <v>0</v>
      </c>
    </row>
    <row r="80">
      <c r="A80" s="18" t="inlineStr">
        <is>
          <t>기타</t>
        </is>
      </c>
      <c r="C80" s="20" t="n">
        <v>8994.121999999999</v>
      </c>
      <c r="D80" s="20" t="n">
        <v>7688.333</v>
      </c>
      <c r="E80" s="20" t="n">
        <v>13656.642</v>
      </c>
      <c r="F80" s="20" t="n">
        <v>3147.107</v>
      </c>
      <c r="G80" s="20" t="n">
        <v>4577.392</v>
      </c>
      <c r="H80" s="20" t="n">
        <v>1073.146</v>
      </c>
      <c r="I80" s="20" t="n">
        <v>2626.285</v>
      </c>
      <c r="J80" s="20" t="n">
        <v>2650.063</v>
      </c>
      <c r="K80" s="20" t="n">
        <v>5673.22</v>
      </c>
      <c r="L80" s="20" t="n">
        <v>7688.333</v>
      </c>
    </row>
    <row r="81">
      <c r="A81" s="18" t="inlineStr">
        <is>
          <t>대손충당금</t>
        </is>
      </c>
      <c r="C81" s="20" t="n">
        <v>-141.323</v>
      </c>
      <c r="D81" s="20" t="n">
        <v>-128.028</v>
      </c>
      <c r="E81" s="20" t="n">
        <v>-135.82</v>
      </c>
      <c r="F81" s="20" t="n">
        <v>-159.279</v>
      </c>
      <c r="G81" s="20" t="n">
        <v>-157.964</v>
      </c>
      <c r="H81" s="20" t="n">
        <v>-102.517</v>
      </c>
      <c r="I81" s="20" t="n">
        <v>-94.815</v>
      </c>
      <c r="J81" s="20" t="n">
        <v>-155.775</v>
      </c>
      <c r="K81" s="20" t="n">
        <v>-107.221</v>
      </c>
      <c r="L81" s="20" t="n">
        <v>-128.028</v>
      </c>
    </row>
    <row r="82">
      <c r="A82" s="9" t="inlineStr">
        <is>
          <t>유동자산 합계</t>
        </is>
      </c>
      <c r="C82" s="12" t="n">
        <v>61879.628</v>
      </c>
      <c r="D82" s="12" t="n">
        <v>73269.943</v>
      </c>
      <c r="E82" s="12" t="n">
        <v>101525.094</v>
      </c>
      <c r="F82" s="12" t="n">
        <v>77332.303</v>
      </c>
      <c r="G82" s="12" t="n">
        <v>71642.132</v>
      </c>
      <c r="H82" s="12" t="n">
        <v>44025.758</v>
      </c>
      <c r="I82" s="12" t="n">
        <v>38815.03</v>
      </c>
      <c r="J82" s="12" t="n">
        <v>54997.22</v>
      </c>
      <c r="K82" s="12" t="n">
        <v>66330.95</v>
      </c>
      <c r="L82" s="12" t="n">
        <v>73269.943</v>
      </c>
    </row>
    <row r="83">
      <c r="A83" s="18" t="inlineStr">
        <is>
          <t>건물</t>
        </is>
      </c>
      <c r="D83" s="20" t="n">
        <v>1180.123</v>
      </c>
      <c r="H83" s="20" t="n">
        <v>460.326</v>
      </c>
      <c r="I83" s="20" t="n">
        <v>593.629</v>
      </c>
      <c r="J83" s="20" t="n">
        <v>991.232</v>
      </c>
      <c r="K83" s="20" t="n">
        <v>962.535</v>
      </c>
      <c r="L83" s="20" t="n">
        <v>1180.123</v>
      </c>
    </row>
    <row r="84">
      <c r="A84" s="18" t="inlineStr">
        <is>
          <t>감가상각누계액</t>
        </is>
      </c>
      <c r="D84" s="20" t="n">
        <v>-245.445</v>
      </c>
      <c r="H84" s="20" t="n">
        <v>-143.887</v>
      </c>
      <c r="I84" s="20" t="n">
        <v>-202.388</v>
      </c>
      <c r="J84" s="20" t="n">
        <v>-218.201</v>
      </c>
      <c r="K84" s="20" t="n">
        <v>-324.546</v>
      </c>
      <c r="L84" s="20" t="n">
        <v>-245.445</v>
      </c>
    </row>
    <row r="85">
      <c r="A85" s="18" t="inlineStr">
        <is>
          <t>건물(순액)</t>
        </is>
      </c>
      <c r="D85" s="20" t="n">
        <v>934.677</v>
      </c>
      <c r="E85" s="20" t="n">
        <v>898.699</v>
      </c>
      <c r="F85" s="20" t="n">
        <v>897.078</v>
      </c>
      <c r="G85" s="20" t="n">
        <v>870.311</v>
      </c>
      <c r="H85" s="20" t="n">
        <v>316.439</v>
      </c>
      <c r="I85" s="20" t="n">
        <v>391.24</v>
      </c>
      <c r="J85" s="20" t="n">
        <v>773.03</v>
      </c>
      <c r="K85" s="20" t="n">
        <v>637.9880000000001</v>
      </c>
      <c r="L85" s="20" t="n">
        <v>934.677</v>
      </c>
    </row>
    <row r="86">
      <c r="A86" s="18" t="inlineStr">
        <is>
          <t>공구·기구·비품</t>
        </is>
      </c>
      <c r="D86" s="20" t="n">
        <v>1129.286</v>
      </c>
      <c r="H86" s="20" t="n">
        <v>383.671</v>
      </c>
      <c r="I86" s="20" t="n">
        <v>590.452</v>
      </c>
      <c r="J86" s="20" t="n">
        <v>724.783</v>
      </c>
      <c r="K86" s="20" t="n">
        <v>842.433</v>
      </c>
      <c r="L86" s="20" t="n">
        <v>1129.286</v>
      </c>
    </row>
    <row r="87">
      <c r="A87" s="18" t="inlineStr">
        <is>
          <t>감가상각누계액</t>
        </is>
      </c>
      <c r="D87" s="20" t="n">
        <v>-526.074</v>
      </c>
      <c r="H87" s="20" t="n">
        <v>-165.893</v>
      </c>
      <c r="I87" s="20" t="n">
        <v>-259.377</v>
      </c>
      <c r="J87" s="20" t="n">
        <v>-334.468</v>
      </c>
      <c r="K87" s="20" t="n">
        <v>-425.4</v>
      </c>
      <c r="L87" s="20" t="n">
        <v>-526.074</v>
      </c>
    </row>
    <row r="88">
      <c r="A88" s="18" t="inlineStr">
        <is>
          <t>차량운반구(순액)</t>
        </is>
      </c>
      <c r="D88" s="20" t="n">
        <v>0</v>
      </c>
      <c r="G88" s="20" t="n">
        <v>19.23</v>
      </c>
      <c r="L88" s="20" t="n">
        <v>0</v>
      </c>
    </row>
    <row r="89">
      <c r="A89" s="18" t="inlineStr">
        <is>
          <t>공구·기구 및 비품(순액)</t>
        </is>
      </c>
      <c r="D89" s="20" t="n">
        <v>603.212</v>
      </c>
      <c r="E89" s="20" t="n">
        <v>618.816</v>
      </c>
      <c r="F89" s="20" t="n">
        <v>631.277</v>
      </c>
      <c r="G89" s="20" t="n">
        <v>589.193</v>
      </c>
      <c r="H89" s="20" t="n">
        <v>217.778</v>
      </c>
      <c r="I89" s="20" t="n">
        <v>331.075</v>
      </c>
      <c r="J89" s="20" t="n">
        <v>390.314</v>
      </c>
      <c r="K89" s="20" t="n">
        <v>417.033</v>
      </c>
      <c r="L89" s="20" t="n">
        <v>603.212</v>
      </c>
    </row>
    <row r="90">
      <c r="A90" s="18" t="inlineStr">
        <is>
          <t>사용권자산(순액)</t>
        </is>
      </c>
      <c r="D90" s="20" t="n">
        <v>0</v>
      </c>
      <c r="E90" s="20" t="n">
        <v>3812.802</v>
      </c>
      <c r="F90" s="20" t="n">
        <v>3609.845</v>
      </c>
      <c r="G90" s="20" t="n">
        <v>3778.895</v>
      </c>
      <c r="L90" s="20" t="n">
        <v>0</v>
      </c>
    </row>
    <row r="91">
      <c r="A91" s="18" t="inlineStr">
        <is>
          <t>건설중인자산</t>
        </is>
      </c>
      <c r="D91" s="20" t="n">
        <v>58.591</v>
      </c>
      <c r="E91" s="20" t="n">
        <v>62.03</v>
      </c>
      <c r="F91" s="20" t="n">
        <v>50.38</v>
      </c>
      <c r="G91" s="20" t="n">
        <v>64.587</v>
      </c>
      <c r="H91" s="20" t="n">
        <v>3.112</v>
      </c>
      <c r="I91" s="20" t="n">
        <v>8.75</v>
      </c>
      <c r="J91" s="20" t="n">
        <v>0</v>
      </c>
      <c r="K91" s="20" t="n">
        <v>10.319</v>
      </c>
      <c r="L91" s="20" t="n">
        <v>58.591</v>
      </c>
    </row>
    <row r="92">
      <c r="A92" s="18" t="inlineStr">
        <is>
          <t>기타</t>
        </is>
      </c>
      <c r="H92" s="20" t="n">
        <v>0</v>
      </c>
      <c r="I92" s="20" t="n">
        <v>0</v>
      </c>
    </row>
    <row r="93">
      <c r="A93" s="18" t="inlineStr">
        <is>
          <t>유형자산 합계</t>
        </is>
      </c>
      <c r="C93" s="20" t="n">
        <v>1321.809</v>
      </c>
      <c r="D93" s="20" t="n">
        <v>1596.481</v>
      </c>
      <c r="E93" s="20" t="n">
        <v>5392.347</v>
      </c>
      <c r="F93" s="20" t="n">
        <v>5188.582</v>
      </c>
      <c r="G93" s="20" t="n">
        <v>5322.217</v>
      </c>
      <c r="H93" s="20" t="n">
        <v>537.33</v>
      </c>
      <c r="I93" s="20" t="n">
        <v>731.066</v>
      </c>
      <c r="J93" s="20" t="n">
        <v>1163.345</v>
      </c>
      <c r="K93" s="20" t="n">
        <v>1065.341</v>
      </c>
      <c r="L93" s="20" t="n">
        <v>1596.481</v>
      </c>
    </row>
    <row r="94">
      <c r="A94" s="18" t="inlineStr">
        <is>
          <t>영업권</t>
        </is>
      </c>
      <c r="C94" s="20" t="n">
        <v>5302.335</v>
      </c>
      <c r="D94" s="20" t="n">
        <v>6731.965</v>
      </c>
      <c r="E94" s="20" t="n">
        <v>6527.561</v>
      </c>
      <c r="F94" s="20" t="n">
        <v>12620.367</v>
      </c>
      <c r="G94" s="20" t="n">
        <v>12250.224</v>
      </c>
      <c r="H94" s="20" t="n">
        <v>3068.762</v>
      </c>
      <c r="I94" s="20" t="n">
        <v>4504.481</v>
      </c>
      <c r="J94" s="20" t="n">
        <v>3843.595</v>
      </c>
      <c r="K94" s="20" t="n">
        <v>3381.553</v>
      </c>
      <c r="L94" s="20" t="n">
        <v>6731.965</v>
      </c>
    </row>
    <row r="95">
      <c r="A95" s="18" t="inlineStr">
        <is>
          <t>고객관계자산</t>
        </is>
      </c>
      <c r="C95" s="20" t="n">
        <v>1420.041</v>
      </c>
      <c r="D95" s="20" t="n">
        <v>1038.906</v>
      </c>
      <c r="J95" s="20" t="n">
        <v>0</v>
      </c>
      <c r="K95" s="20" t="n">
        <v>401.769</v>
      </c>
      <c r="L95" s="20" t="n">
        <v>1038.906</v>
      </c>
    </row>
    <row r="96">
      <c r="A96" s="18" t="inlineStr">
        <is>
          <t>기술 관련 자산</t>
        </is>
      </c>
      <c r="C96" s="20" t="n">
        <v>1345.593</v>
      </c>
      <c r="D96" s="20" t="n">
        <v>1323.89</v>
      </c>
      <c r="K96" s="20" t="n">
        <v>0</v>
      </c>
      <c r="L96" s="20" t="n">
        <v>1323.89</v>
      </c>
    </row>
    <row r="97">
      <c r="A97" s="18" t="inlineStr">
        <is>
          <t>소프트웨어</t>
        </is>
      </c>
      <c r="C97" s="20" t="n">
        <v>12608.842</v>
      </c>
      <c r="D97" s="20" t="n">
        <v>17739.879</v>
      </c>
      <c r="E97" s="20" t="n">
        <v>18676.21</v>
      </c>
      <c r="F97" s="20" t="n">
        <v>20006.297</v>
      </c>
      <c r="G97" s="20" t="n">
        <v>21321.154</v>
      </c>
      <c r="H97" s="20" t="n">
        <v>2313.203</v>
      </c>
      <c r="I97" s="20" t="n">
        <v>4552.583</v>
      </c>
      <c r="J97" s="20" t="n">
        <v>7848.892</v>
      </c>
      <c r="K97" s="20" t="n">
        <v>10637.483</v>
      </c>
      <c r="L97" s="20" t="n">
        <v>17739.879</v>
      </c>
    </row>
    <row r="98">
      <c r="A98" s="18" t="inlineStr">
        <is>
          <t>개발 중 소프트웨어</t>
        </is>
      </c>
      <c r="C98" s="20" t="n">
        <v>4224.761</v>
      </c>
      <c r="D98" s="20" t="n">
        <v>4125.683</v>
      </c>
      <c r="H98" s="20" t="n">
        <v>723.223</v>
      </c>
      <c r="I98" s="20" t="n">
        <v>1919.275</v>
      </c>
      <c r="J98" s="20" t="n">
        <v>1772.113</v>
      </c>
      <c r="K98" s="20" t="n">
        <v>2625.51</v>
      </c>
      <c r="L98" s="20" t="n">
        <v>4125.683</v>
      </c>
    </row>
    <row r="99">
      <c r="A99" s="18" t="inlineStr">
        <is>
          <t>기타</t>
        </is>
      </c>
      <c r="C99" s="20" t="n">
        <v>1.707</v>
      </c>
      <c r="D99" s="20" t="n">
        <v>2363.129</v>
      </c>
      <c r="E99" s="20" t="n">
        <v>2324.379</v>
      </c>
      <c r="F99" s="20" t="n">
        <v>2285.629</v>
      </c>
      <c r="G99" s="20" t="n">
        <v>2221.055</v>
      </c>
      <c r="H99" s="20" t="n">
        <v>0</v>
      </c>
      <c r="I99" s="20" t="n">
        <v>0.507</v>
      </c>
      <c r="J99" s="20" t="n">
        <v>0.459</v>
      </c>
      <c r="K99" s="20" t="n">
        <v>0.396</v>
      </c>
      <c r="L99" s="20" t="n">
        <v>2363.129</v>
      </c>
    </row>
    <row r="100">
      <c r="A100" s="18" t="inlineStr">
        <is>
          <t>무형자산 합계</t>
        </is>
      </c>
      <c r="C100" s="20" t="n">
        <v>24903.281</v>
      </c>
      <c r="D100" s="20" t="n">
        <v>26834.974</v>
      </c>
      <c r="E100" s="20" t="n">
        <v>27528.151</v>
      </c>
      <c r="F100" s="20" t="n">
        <v>34912.293</v>
      </c>
      <c r="G100" s="20" t="n">
        <v>35792.435</v>
      </c>
      <c r="H100" s="20" t="n">
        <v>6105.189</v>
      </c>
      <c r="I100" s="20" t="n">
        <v>10976.847</v>
      </c>
      <c r="J100" s="20" t="n">
        <v>13465.061</v>
      </c>
      <c r="K100" s="20" t="n">
        <v>17046.713</v>
      </c>
      <c r="L100" s="20" t="n">
        <v>26834.974</v>
      </c>
    </row>
    <row r="101">
      <c r="A101" s="18" t="inlineStr">
        <is>
          <t>투자유가증권</t>
        </is>
      </c>
      <c r="C101" s="20" t="n">
        <v>21399.153</v>
      </c>
      <c r="D101" s="20" t="n">
        <v>23193.328</v>
      </c>
      <c r="E101" s="20" t="n">
        <v>22996.017</v>
      </c>
      <c r="F101" s="20" t="n">
        <v>23161.758</v>
      </c>
      <c r="G101" s="20" t="n">
        <v>23765.569</v>
      </c>
      <c r="H101" s="20" t="n">
        <v>5006.164</v>
      </c>
      <c r="I101" s="20" t="n">
        <v>13284.537</v>
      </c>
      <c r="J101" s="20" t="n">
        <v>16640.845</v>
      </c>
      <c r="K101" s="20" t="n">
        <v>18759.72</v>
      </c>
      <c r="L101" s="20" t="n">
        <v>23193.328</v>
      </c>
    </row>
    <row r="102">
      <c r="A102" s="18" t="inlineStr">
        <is>
          <t>임차보증금·보증금</t>
        </is>
      </c>
      <c r="C102" s="20" t="n">
        <v>1600.24</v>
      </c>
      <c r="D102" s="20" t="n">
        <v>1484.844</v>
      </c>
      <c r="H102" s="20" t="n">
        <v>606.325</v>
      </c>
      <c r="I102" s="20" t="n">
        <v>1156.316</v>
      </c>
      <c r="J102" s="20" t="n">
        <v>984.183</v>
      </c>
      <c r="K102" s="20" t="n">
        <v>1189.719</v>
      </c>
      <c r="L102" s="20" t="n">
        <v>1484.844</v>
      </c>
    </row>
    <row r="103">
      <c r="A103" s="18" t="inlineStr">
        <is>
          <t>장기대여금</t>
        </is>
      </c>
      <c r="D103" s="20" t="n">
        <v>68</v>
      </c>
      <c r="E103" s="20" t="n">
        <v>68</v>
      </c>
      <c r="F103" s="20" t="n">
        <v>68</v>
      </c>
      <c r="G103" s="20" t="n">
        <v>97.2</v>
      </c>
      <c r="L103" s="20" t="n">
        <v>68</v>
      </c>
    </row>
    <row r="104">
      <c r="A104" s="18" t="inlineStr">
        <is>
          <t>이연법인세자산</t>
        </is>
      </c>
      <c r="D104" s="20" t="n">
        <v>121.785</v>
      </c>
      <c r="E104" s="20" t="n">
        <v>110.846</v>
      </c>
      <c r="F104" s="20" t="n">
        <v>135.318</v>
      </c>
      <c r="G104" s="20" t="n">
        <v>164.825</v>
      </c>
      <c r="L104" s="20" t="n">
        <v>121.785</v>
      </c>
    </row>
    <row r="105">
      <c r="A105" s="18" t="inlineStr">
        <is>
          <t>기타</t>
        </is>
      </c>
      <c r="C105" s="20" t="n">
        <v>1540.848</v>
      </c>
      <c r="D105" s="20" t="n">
        <v>2599.559</v>
      </c>
      <c r="E105" s="20" t="n">
        <v>2759.141</v>
      </c>
      <c r="F105" s="20" t="n">
        <v>2945.373</v>
      </c>
      <c r="G105" s="20" t="n">
        <v>2686.276</v>
      </c>
      <c r="H105" s="20" t="n">
        <v>712.468</v>
      </c>
      <c r="I105" s="20" t="n">
        <v>1022.906</v>
      </c>
      <c r="J105" s="20" t="n">
        <v>1031.754</v>
      </c>
      <c r="K105" s="20" t="n">
        <v>1918.006</v>
      </c>
      <c r="L105" s="20" t="n">
        <v>2599.559</v>
      </c>
    </row>
    <row r="106">
      <c r="A106" s="18" t="inlineStr">
        <is>
          <t>대손충당금</t>
        </is>
      </c>
      <c r="C106" s="20" t="n">
        <v>-119.185</v>
      </c>
      <c r="D106" s="20" t="n">
        <v>-116.785</v>
      </c>
      <c r="E106" s="20" t="n">
        <v>-116.785</v>
      </c>
      <c r="F106" s="20" t="n">
        <v>-116.77</v>
      </c>
      <c r="G106" s="20" t="n">
        <v>-116.77</v>
      </c>
      <c r="H106" s="20" t="n">
        <v>-50.678</v>
      </c>
      <c r="I106" s="20" t="n">
        <v>0</v>
      </c>
      <c r="J106" s="20" t="n">
        <v>0</v>
      </c>
      <c r="K106" s="20" t="n">
        <v>-118.546</v>
      </c>
      <c r="L106" s="20" t="n">
        <v>-116.785</v>
      </c>
    </row>
    <row r="107">
      <c r="A107" s="18" t="inlineStr">
        <is>
          <t>투자 및 기타자산 합계</t>
        </is>
      </c>
      <c r="C107" s="20" t="n">
        <v>24421.057</v>
      </c>
      <c r="D107" s="20" t="n">
        <v>25865.888</v>
      </c>
      <c r="E107" s="20" t="n">
        <v>25817.22</v>
      </c>
      <c r="F107" s="20" t="n">
        <v>26193.679</v>
      </c>
      <c r="G107" s="20" t="n">
        <v>26597.1</v>
      </c>
      <c r="H107" s="20" t="n">
        <v>6274.279</v>
      </c>
      <c r="I107" s="20" t="n">
        <v>15463.76</v>
      </c>
      <c r="J107" s="20" t="n">
        <v>18656.783</v>
      </c>
      <c r="K107" s="20" t="n">
        <v>21748.9</v>
      </c>
      <c r="L107" s="20" t="n">
        <v>25865.888</v>
      </c>
    </row>
    <row r="108">
      <c r="A108" s="9" t="inlineStr">
        <is>
          <t>비유동자산 합계</t>
        </is>
      </c>
      <c r="C108" s="12" t="n">
        <v>50646.149</v>
      </c>
      <c r="D108" s="12" t="n">
        <v>54297.345</v>
      </c>
      <c r="E108" s="12" t="n">
        <v>58737.72</v>
      </c>
      <c r="F108" s="12" t="n">
        <v>66294.556</v>
      </c>
      <c r="G108" s="12" t="n">
        <v>67711.753</v>
      </c>
      <c r="H108" s="12" t="n">
        <v>12916.799</v>
      </c>
      <c r="I108" s="12" t="n">
        <v>27171.675</v>
      </c>
      <c r="J108" s="12" t="n">
        <v>33285.19</v>
      </c>
      <c r="K108" s="12" t="n">
        <v>39860.954</v>
      </c>
      <c r="L108" s="12" t="n">
        <v>54297.345</v>
      </c>
    </row>
    <row r="109">
      <c r="A109" s="9" t="inlineStr">
        <is>
          <t>자산 합계</t>
        </is>
      </c>
      <c r="C109" s="12" t="n">
        <v>112525.777</v>
      </c>
      <c r="D109" s="12" t="n">
        <v>127567.288</v>
      </c>
      <c r="E109" s="12" t="n">
        <v>160262.814</v>
      </c>
      <c r="F109" s="12" t="n">
        <v>143626.86</v>
      </c>
      <c r="G109" s="12" t="n">
        <v>139353.886</v>
      </c>
      <c r="H109" s="12" t="n">
        <v>56942.558</v>
      </c>
      <c r="I109" s="12" t="n">
        <v>65986.70600000001</v>
      </c>
      <c r="J109" s="12" t="n">
        <v>88282.41</v>
      </c>
      <c r="K109" s="12" t="n">
        <v>106191.905</v>
      </c>
      <c r="L109" s="12" t="n">
        <v>127567.288</v>
      </c>
    </row>
    <row r="110">
      <c r="A110" s="18" t="inlineStr">
        <is>
          <t>매입채무</t>
        </is>
      </c>
      <c r="C110" s="20" t="n">
        <v>261.883</v>
      </c>
      <c r="D110" s="20" t="n">
        <v>235.117</v>
      </c>
      <c r="E110" s="20" t="n">
        <v>241.907</v>
      </c>
      <c r="F110" s="20" t="n">
        <v>293.457</v>
      </c>
      <c r="G110" s="20" t="n">
        <v>365.267</v>
      </c>
      <c r="H110" s="20" t="n">
        <v>211.852</v>
      </c>
      <c r="I110" s="20" t="n">
        <v>340.994</v>
      </c>
      <c r="J110" s="20" t="n">
        <v>370.317</v>
      </c>
      <c r="K110" s="20" t="n">
        <v>292.839</v>
      </c>
      <c r="L110" s="20" t="n">
        <v>235.117</v>
      </c>
    </row>
    <row r="111">
      <c r="A111" s="18" t="inlineStr">
        <is>
          <t>단기차입금</t>
        </is>
      </c>
      <c r="C111" s="20" t="n">
        <v>5502.846</v>
      </c>
      <c r="D111" s="20" t="n">
        <v>5254</v>
      </c>
      <c r="E111" s="20" t="n">
        <v>5116.057</v>
      </c>
      <c r="F111" s="20" t="n">
        <v>6003</v>
      </c>
      <c r="G111" s="20" t="n">
        <v>6063</v>
      </c>
      <c r="H111" s="20" t="n">
        <v>4700</v>
      </c>
      <c r="I111" s="20" t="n">
        <v>8240</v>
      </c>
      <c r="J111" s="20" t="n">
        <v>4937</v>
      </c>
      <c r="K111" s="20" t="n">
        <v>10062</v>
      </c>
      <c r="L111" s="20" t="n">
        <v>5254</v>
      </c>
    </row>
    <row r="112">
      <c r="A112" s="18" t="inlineStr">
        <is>
          <t>1년 내 상환 예정 사채</t>
        </is>
      </c>
      <c r="C112" s="20" t="n">
        <v>1000</v>
      </c>
      <c r="D112" s="20" t="n">
        <v>1000</v>
      </c>
      <c r="E112" s="20" t="n">
        <v>1000</v>
      </c>
      <c r="F112" s="20" t="n">
        <v>0</v>
      </c>
      <c r="G112" s="20" t="n">
        <v>0</v>
      </c>
      <c r="K112" s="20" t="n">
        <v>0</v>
      </c>
      <c r="L112" s="20" t="n">
        <v>1000</v>
      </c>
    </row>
    <row r="113">
      <c r="A113" s="18" t="inlineStr">
        <is>
          <t>1년 내 상환 장기차입금</t>
        </is>
      </c>
      <c r="C113" s="20" t="n">
        <v>5398.979</v>
      </c>
      <c r="D113" s="20" t="n">
        <v>4600.173</v>
      </c>
      <c r="E113" s="20" t="n">
        <v>5273.623</v>
      </c>
      <c r="F113" s="20" t="n">
        <v>6802.273</v>
      </c>
      <c r="G113" s="20" t="n">
        <v>6578.568</v>
      </c>
      <c r="H113" s="20" t="n">
        <v>1713.041</v>
      </c>
      <c r="I113" s="20" t="n">
        <v>2295</v>
      </c>
      <c r="J113" s="20" t="n">
        <v>3488.75</v>
      </c>
      <c r="K113" s="20" t="n">
        <v>4485.919</v>
      </c>
      <c r="L113" s="20" t="n">
        <v>4600.173</v>
      </c>
    </row>
    <row r="114">
      <c r="A114" s="18" t="inlineStr">
        <is>
          <t>미지급금</t>
        </is>
      </c>
      <c r="C114" s="20" t="n">
        <v>8875.712</v>
      </c>
      <c r="D114" s="20" t="n">
        <v>10771.04</v>
      </c>
      <c r="E114" s="20" t="n">
        <v>34376.163</v>
      </c>
      <c r="F114" s="20" t="n">
        <v>13197.106</v>
      </c>
      <c r="G114" s="20" t="n">
        <v>9820.245000000001</v>
      </c>
      <c r="H114" s="20" t="n">
        <v>1822.487</v>
      </c>
      <c r="I114" s="20" t="n">
        <v>5386.371</v>
      </c>
      <c r="J114" s="20" t="n">
        <v>8563.985000000001</v>
      </c>
      <c r="K114" s="20" t="n">
        <v>9411.237999999999</v>
      </c>
      <c r="L114" s="20" t="n">
        <v>10771.04</v>
      </c>
    </row>
    <row r="115">
      <c r="A115" s="18" t="inlineStr">
        <is>
          <t>미지급비용</t>
        </is>
      </c>
      <c r="C115" s="20" t="n">
        <v>2269.041</v>
      </c>
      <c r="D115" s="20" t="n">
        <v>2198.264</v>
      </c>
      <c r="H115" s="20" t="n">
        <v>908.826</v>
      </c>
      <c r="I115" s="20" t="n">
        <v>1352.406</v>
      </c>
      <c r="J115" s="20" t="n">
        <v>1519.897</v>
      </c>
      <c r="K115" s="20" t="n">
        <v>2013.181</v>
      </c>
      <c r="L115" s="20" t="n">
        <v>2198.264</v>
      </c>
    </row>
    <row r="116">
      <c r="A116" s="18" t="inlineStr">
        <is>
          <t>미지급법인세</t>
        </is>
      </c>
      <c r="C116" s="20" t="n">
        <v>356.686</v>
      </c>
      <c r="D116" s="20" t="n">
        <v>889.22</v>
      </c>
      <c r="E116" s="20" t="n">
        <v>581.8049999999999</v>
      </c>
      <c r="F116" s="20" t="n">
        <v>737.744</v>
      </c>
      <c r="G116" s="20" t="n">
        <v>400.305</v>
      </c>
      <c r="H116" s="20" t="n">
        <v>350.189</v>
      </c>
      <c r="I116" s="20" t="n">
        <v>169.55</v>
      </c>
      <c r="J116" s="20" t="n">
        <v>219.037</v>
      </c>
      <c r="K116" s="20" t="n">
        <v>1877.042</v>
      </c>
      <c r="L116" s="20" t="n">
        <v>889.22</v>
      </c>
    </row>
    <row r="117">
      <c r="A117" s="18" t="inlineStr">
        <is>
          <t>선수수익</t>
        </is>
      </c>
      <c r="H117" s="20" t="n">
        <v>1722.767</v>
      </c>
      <c r="I117" s="20" t="n">
        <v>0</v>
      </c>
    </row>
    <row r="118">
      <c r="A118" s="18" t="inlineStr">
        <is>
          <t>계약부채</t>
        </is>
      </c>
      <c r="C118" s="20" t="n">
        <v>9147.213</v>
      </c>
      <c r="D118" s="20" t="n">
        <v>9934.289000000001</v>
      </c>
      <c r="E118" s="20" t="n">
        <v>10112.914</v>
      </c>
      <c r="F118" s="20" t="n">
        <v>11337.021</v>
      </c>
      <c r="G118" s="20" t="n">
        <v>11796.726</v>
      </c>
      <c r="H118" s="20" t="n">
        <v>0</v>
      </c>
      <c r="I118" s="20" t="n">
        <v>3486.806</v>
      </c>
      <c r="J118" s="20" t="n">
        <v>4849.429</v>
      </c>
      <c r="K118" s="20" t="n">
        <v>6150.217</v>
      </c>
      <c r="L118" s="20" t="n">
        <v>9934.289000000001</v>
      </c>
    </row>
    <row r="119">
      <c r="A119" s="18" t="inlineStr">
        <is>
          <t>예수금</t>
        </is>
      </c>
      <c r="C119" s="20" t="n">
        <v>2982.029</v>
      </c>
      <c r="D119" s="20" t="n">
        <v>8966.402</v>
      </c>
      <c r="E119" s="20" t="n">
        <v>9487.645</v>
      </c>
      <c r="I119" s="20" t="n">
        <v>2264.56</v>
      </c>
      <c r="J119" s="20" t="n">
        <v>5422.686</v>
      </c>
      <c r="K119" s="20" t="n">
        <v>3586.139</v>
      </c>
      <c r="L119" s="20" t="n">
        <v>8966.402</v>
      </c>
    </row>
    <row r="120">
      <c r="A120" s="18" t="inlineStr">
        <is>
          <t>리스부채</t>
        </is>
      </c>
      <c r="D120" s="20" t="n">
        <v>0</v>
      </c>
      <c r="E120" s="20" t="n">
        <v>1970.958</v>
      </c>
      <c r="F120" s="20" t="n">
        <v>2057.382</v>
      </c>
      <c r="G120" s="20" t="n">
        <v>2084.861</v>
      </c>
      <c r="L120" s="20" t="n">
        <v>0</v>
      </c>
    </row>
    <row r="121">
      <c r="A121" s="18" t="inlineStr">
        <is>
          <t>상여충당금</t>
        </is>
      </c>
      <c r="C121" s="20" t="n">
        <v>221.993</v>
      </c>
      <c r="D121" s="20" t="n">
        <v>408.917</v>
      </c>
      <c r="E121" s="20" t="n">
        <v>351.9</v>
      </c>
      <c r="F121" s="20" t="n">
        <v>355.859</v>
      </c>
      <c r="G121" s="20" t="n">
        <v>248.975</v>
      </c>
      <c r="H121" s="20" t="n">
        <v>34.506</v>
      </c>
      <c r="I121" s="20" t="n">
        <v>190.6</v>
      </c>
      <c r="J121" s="20" t="n">
        <v>297.96</v>
      </c>
      <c r="K121" s="20" t="n">
        <v>363.251</v>
      </c>
      <c r="L121" s="20" t="n">
        <v>408.917</v>
      </c>
    </row>
    <row r="122">
      <c r="A122" s="18" t="inlineStr">
        <is>
          <t>임원 상여충당금</t>
        </is>
      </c>
      <c r="C122" s="20" t="n">
        <v>47.535</v>
      </c>
      <c r="D122" s="20" t="n">
        <v>73.241</v>
      </c>
      <c r="E122" s="20" t="n">
        <v>92.678</v>
      </c>
      <c r="F122" s="20" t="n">
        <v>44.851</v>
      </c>
      <c r="G122" s="20" t="n">
        <v>72.786</v>
      </c>
      <c r="H122" s="20" t="n">
        <v>0</v>
      </c>
      <c r="I122" s="20" t="n">
        <v>58.029</v>
      </c>
      <c r="J122" s="20" t="n">
        <v>80.042</v>
      </c>
      <c r="K122" s="20" t="n">
        <v>84.236</v>
      </c>
      <c r="L122" s="20" t="n">
        <v>73.241</v>
      </c>
    </row>
    <row r="123">
      <c r="A123" s="18" t="inlineStr">
        <is>
          <t>포인트 충당금</t>
        </is>
      </c>
      <c r="C123" s="20" t="n">
        <v>546.575</v>
      </c>
      <c r="D123" s="20" t="n">
        <v>1470.548</v>
      </c>
      <c r="E123" s="20" t="n">
        <v>999.8579999999999</v>
      </c>
      <c r="F123" s="20" t="n">
        <v>987.851</v>
      </c>
      <c r="G123" s="20" t="n">
        <v>1159.541</v>
      </c>
      <c r="H123" s="20" t="n">
        <v>0.644</v>
      </c>
      <c r="I123" s="20" t="n">
        <v>47.608</v>
      </c>
      <c r="J123" s="20" t="n">
        <v>260.316</v>
      </c>
      <c r="K123" s="20" t="n">
        <v>381.819</v>
      </c>
      <c r="L123" s="20" t="n">
        <v>1470.548</v>
      </c>
    </row>
    <row r="124">
      <c r="A124" s="18" t="inlineStr">
        <is>
          <t>부정 접속 대응 손실충당금</t>
        </is>
      </c>
      <c r="D124" s="20" t="n">
        <v>0</v>
      </c>
      <c r="F124" s="20" t="n">
        <v>28.73</v>
      </c>
      <c r="G124" s="20" t="n">
        <v>8.73</v>
      </c>
      <c r="L124" s="20" t="n">
        <v>0</v>
      </c>
    </row>
    <row r="125">
      <c r="A125" s="18" t="inlineStr">
        <is>
          <t>기타</t>
        </is>
      </c>
      <c r="C125" s="20" t="n">
        <v>702.212</v>
      </c>
      <c r="D125" s="20" t="n">
        <v>11831.011</v>
      </c>
      <c r="E125" s="20" t="n">
        <v>2735.842</v>
      </c>
      <c r="F125" s="20" t="n">
        <v>8352.312</v>
      </c>
      <c r="G125" s="20" t="n">
        <v>8127.667</v>
      </c>
      <c r="H125" s="20" t="n">
        <v>812.054</v>
      </c>
      <c r="I125" s="20" t="n">
        <v>132.841</v>
      </c>
      <c r="J125" s="20" t="n">
        <v>771.154</v>
      </c>
      <c r="K125" s="20" t="n">
        <v>823.273</v>
      </c>
      <c r="L125" s="20" t="n">
        <v>11831.011</v>
      </c>
    </row>
    <row r="126">
      <c r="A126" s="9" t="inlineStr">
        <is>
          <t>유동부채 합계</t>
        </is>
      </c>
      <c r="C126" s="12" t="n">
        <v>37312.71</v>
      </c>
      <c r="D126" s="12" t="n">
        <v>46467.56</v>
      </c>
      <c r="E126" s="12" t="n">
        <v>72341.35799999999</v>
      </c>
      <c r="F126" s="12" t="n">
        <v>50197.591</v>
      </c>
      <c r="G126" s="12" t="n">
        <v>46726.675</v>
      </c>
      <c r="H126" s="12" t="n">
        <v>12276.371</v>
      </c>
      <c r="I126" s="12" t="n">
        <v>23964.769</v>
      </c>
      <c r="J126" s="12" t="n">
        <v>30780.576</v>
      </c>
      <c r="K126" s="12" t="n">
        <v>39531.157</v>
      </c>
      <c r="L126" s="12" t="n">
        <v>46467.56</v>
      </c>
    </row>
    <row r="127">
      <c r="A127" s="18" t="inlineStr">
        <is>
          <t>장기차입금</t>
        </is>
      </c>
      <c r="C127" s="20" t="n">
        <v>10362.307</v>
      </c>
      <c r="D127" s="20" t="n">
        <v>10994.842</v>
      </c>
      <c r="E127" s="20" t="n">
        <v>13103.35</v>
      </c>
      <c r="F127" s="20" t="n">
        <v>17881.258</v>
      </c>
      <c r="G127" s="20" t="n">
        <v>16386.616</v>
      </c>
      <c r="H127" s="20" t="n">
        <v>2141.1</v>
      </c>
      <c r="I127" s="20" t="n">
        <v>6367.157</v>
      </c>
      <c r="J127" s="20" t="n">
        <v>8947.869000000001</v>
      </c>
      <c r="K127" s="20" t="n">
        <v>7896.95</v>
      </c>
      <c r="L127" s="20" t="n">
        <v>10994.842</v>
      </c>
    </row>
    <row r="128">
      <c r="A128" s="18" t="inlineStr">
        <is>
          <t>전환사채형 신주예약권부 사채</t>
        </is>
      </c>
      <c r="C128" s="20" t="n">
        <v>12000</v>
      </c>
      <c r="D128" s="20" t="n">
        <v>12000</v>
      </c>
      <c r="E128" s="20" t="n">
        <v>12000</v>
      </c>
      <c r="F128" s="20" t="n">
        <v>12000</v>
      </c>
      <c r="G128" s="20" t="n">
        <v>12000</v>
      </c>
      <c r="I128" s="20" t="n">
        <v>0</v>
      </c>
      <c r="J128" s="20" t="n">
        <v>12000</v>
      </c>
      <c r="K128" s="20" t="n">
        <v>12000</v>
      </c>
      <c r="L128" s="20" t="n">
        <v>12000</v>
      </c>
    </row>
    <row r="129">
      <c r="A129" s="18" t="inlineStr">
        <is>
          <t>사채</t>
        </is>
      </c>
      <c r="C129" s="20" t="n">
        <v>0</v>
      </c>
      <c r="D129" s="20" t="n">
        <v>0</v>
      </c>
      <c r="I129" s="20" t="n">
        <v>0</v>
      </c>
      <c r="J129" s="20" t="n">
        <v>1000</v>
      </c>
      <c r="K129" s="20" t="n">
        <v>1000</v>
      </c>
      <c r="L129" s="20" t="n">
        <v>0</v>
      </c>
    </row>
    <row r="130">
      <c r="A130" s="18" t="inlineStr">
        <is>
          <t>퇴직급여부채</t>
        </is>
      </c>
      <c r="C130" s="20" t="n">
        <v>5.795</v>
      </c>
      <c r="D130" s="20" t="n">
        <v>5.581</v>
      </c>
      <c r="E130" s="20" t="n">
        <v>5.533</v>
      </c>
      <c r="F130" s="20" t="n">
        <v>5.346</v>
      </c>
      <c r="G130" s="20" t="n">
        <v>6.069</v>
      </c>
      <c r="H130" s="20" t="n">
        <v>2.376</v>
      </c>
      <c r="I130" s="20" t="n">
        <v>4.848</v>
      </c>
      <c r="J130" s="20" t="n">
        <v>6.454</v>
      </c>
      <c r="K130" s="20" t="n">
        <v>6.503</v>
      </c>
      <c r="L130" s="20" t="n">
        <v>5.581</v>
      </c>
    </row>
    <row r="131">
      <c r="A131" s="18" t="inlineStr">
        <is>
          <t>상여충당금</t>
        </is>
      </c>
      <c r="I131" s="20" t="n">
        <v>0</v>
      </c>
      <c r="J131" s="20" t="n">
        <v>6.288</v>
      </c>
    </row>
    <row r="132">
      <c r="A132" s="18" t="inlineStr">
        <is>
          <t>임원 상여충당금</t>
        </is>
      </c>
      <c r="I132" s="20" t="n">
        <v>0</v>
      </c>
      <c r="J132" s="20" t="n">
        <v>1.317</v>
      </c>
    </row>
    <row r="133">
      <c r="A133" s="18" t="inlineStr">
        <is>
          <t>상여충당금</t>
        </is>
      </c>
      <c r="I133" s="20" t="n">
        <v>0</v>
      </c>
      <c r="J133" s="20" t="n">
        <v>6.288</v>
      </c>
    </row>
    <row r="134">
      <c r="A134" s="18" t="inlineStr">
        <is>
          <t>임원 상여충당금</t>
        </is>
      </c>
      <c r="I134" s="20" t="n">
        <v>0</v>
      </c>
      <c r="J134" s="20" t="n">
        <v>1.317</v>
      </c>
    </row>
    <row r="135">
      <c r="A135" s="18" t="inlineStr">
        <is>
          <t>상여충당금</t>
        </is>
      </c>
      <c r="C135" s="20" t="n">
        <v>5.4</v>
      </c>
      <c r="D135" s="20" t="n">
        <v>3.884</v>
      </c>
      <c r="E135" s="20" t="n">
        <v>3.406</v>
      </c>
      <c r="F135" s="20" t="n">
        <v>1.178</v>
      </c>
      <c r="G135" s="20" t="n">
        <v>1.875</v>
      </c>
      <c r="J135" s="20" t="n">
        <v>6.288</v>
      </c>
      <c r="K135" s="20" t="n">
        <v>6.901</v>
      </c>
      <c r="L135" s="20" t="n">
        <v>3.884</v>
      </c>
    </row>
    <row r="136">
      <c r="A136" s="18" t="inlineStr">
        <is>
          <t>임원 상여충당금</t>
        </is>
      </c>
      <c r="C136" s="20" t="n">
        <v>0.632</v>
      </c>
      <c r="D136" s="20" t="n">
        <v>0.897</v>
      </c>
      <c r="E136" s="20" t="n">
        <v>0.6919999999999999</v>
      </c>
      <c r="F136" s="20" t="n">
        <v>0.548</v>
      </c>
      <c r="G136" s="20" t="n">
        <v>0</v>
      </c>
      <c r="J136" s="20" t="n">
        <v>1.317</v>
      </c>
      <c r="K136" s="20" t="n">
        <v>1.345</v>
      </c>
      <c r="L136" s="20" t="n">
        <v>0.897</v>
      </c>
    </row>
    <row r="137">
      <c r="A137" s="18" t="inlineStr">
        <is>
          <t>리스부채</t>
        </is>
      </c>
      <c r="D137" s="20" t="n">
        <v>0.218</v>
      </c>
      <c r="E137" s="20" t="n">
        <v>2802.39</v>
      </c>
      <c r="F137" s="20" t="n">
        <v>2545.567</v>
      </c>
      <c r="G137" s="20" t="n">
        <v>2689.782</v>
      </c>
      <c r="L137" s="20" t="n">
        <v>0.218</v>
      </c>
    </row>
    <row r="138">
      <c r="A138" s="18" t="inlineStr">
        <is>
          <t>이연법인세부채</t>
        </is>
      </c>
      <c r="D138" s="20" t="n">
        <v>1761.249</v>
      </c>
      <c r="E138" s="20" t="n">
        <v>1723.735</v>
      </c>
      <c r="F138" s="20" t="n">
        <v>1902.68</v>
      </c>
      <c r="G138" s="20" t="n">
        <v>1959.57</v>
      </c>
      <c r="L138" s="20" t="n">
        <v>1761.249</v>
      </c>
    </row>
    <row r="139">
      <c r="A139" s="18" t="inlineStr">
        <is>
          <t>기타</t>
        </is>
      </c>
      <c r="C139" s="20" t="n">
        <v>1741.727</v>
      </c>
      <c r="D139" s="20" t="n">
        <v>467.698</v>
      </c>
      <c r="E139" s="20" t="n">
        <v>525.2329999999999</v>
      </c>
      <c r="F139" s="20" t="n">
        <v>1511.145</v>
      </c>
      <c r="G139" s="20" t="n">
        <v>1112.932</v>
      </c>
      <c r="H139" s="20" t="n">
        <v>189.728</v>
      </c>
      <c r="I139" s="20" t="n">
        <v>567.107</v>
      </c>
      <c r="J139" s="20" t="n">
        <v>879.4400000000001</v>
      </c>
      <c r="K139" s="20" t="n">
        <v>1073.289</v>
      </c>
      <c r="L139" s="20" t="n">
        <v>467.698</v>
      </c>
    </row>
    <row r="140">
      <c r="A140" s="9" t="inlineStr">
        <is>
          <t>비유동부채 합계</t>
        </is>
      </c>
      <c r="C140" s="12" t="n">
        <v>24115.863</v>
      </c>
      <c r="D140" s="12" t="n">
        <v>25234.372</v>
      </c>
      <c r="E140" s="12" t="n">
        <v>30164.342</v>
      </c>
      <c r="F140" s="12" t="n">
        <v>35847.726</v>
      </c>
      <c r="G140" s="12" t="n">
        <v>34156.846</v>
      </c>
      <c r="H140" s="12" t="n">
        <v>2333.205</v>
      </c>
      <c r="I140" s="12" t="n">
        <v>6939.113</v>
      </c>
      <c r="J140" s="12" t="n">
        <v>22841.37</v>
      </c>
      <c r="K140" s="12" t="n">
        <v>21984.99</v>
      </c>
      <c r="L140" s="12" t="n">
        <v>25234.372</v>
      </c>
    </row>
    <row r="141">
      <c r="A141" s="9" t="inlineStr">
        <is>
          <t>부채 합계</t>
        </is>
      </c>
      <c r="C141" s="12" t="n">
        <v>61428.574</v>
      </c>
      <c r="D141" s="12" t="n">
        <v>71701.932</v>
      </c>
      <c r="E141" s="12" t="n">
        <v>102505.701</v>
      </c>
      <c r="F141" s="12" t="n">
        <v>86045.317</v>
      </c>
      <c r="G141" s="12" t="n">
        <v>80883.52099999999</v>
      </c>
      <c r="H141" s="12" t="n">
        <v>14609.576</v>
      </c>
      <c r="I141" s="12" t="n">
        <v>30903.882</v>
      </c>
      <c r="J141" s="12" t="n">
        <v>53621.947</v>
      </c>
      <c r="K141" s="12" t="n">
        <v>61516.148</v>
      </c>
      <c r="L141" s="12" t="n">
        <v>71701.932</v>
      </c>
    </row>
    <row r="142">
      <c r="A142" s="18" t="inlineStr">
        <is>
          <t>자본금</t>
        </is>
      </c>
      <c r="C142" s="20" t="n">
        <v>27836.52</v>
      </c>
      <c r="D142" s="20" t="n">
        <v>27836.52</v>
      </c>
      <c r="E142" s="20" t="n">
        <v>27839.445</v>
      </c>
      <c r="F142" s="20" t="n">
        <v>28054.258</v>
      </c>
      <c r="G142" s="20" t="n">
        <v>28055.913</v>
      </c>
      <c r="H142" s="20" t="n">
        <v>25775.494</v>
      </c>
      <c r="I142" s="20" t="n">
        <v>26316.141</v>
      </c>
      <c r="J142" s="20" t="n">
        <v>26716.695</v>
      </c>
      <c r="K142" s="20" t="n">
        <v>27290.265</v>
      </c>
      <c r="L142" s="20" t="n">
        <v>27836.52</v>
      </c>
    </row>
    <row r="143">
      <c r="A143" s="18" t="inlineStr">
        <is>
          <t>자본잉여금</t>
        </is>
      </c>
      <c r="C143" s="20" t="n">
        <v>18228.35</v>
      </c>
      <c r="D143" s="20" t="n">
        <v>18530.475</v>
      </c>
      <c r="E143" s="20" t="n">
        <v>17620.44</v>
      </c>
      <c r="F143" s="20" t="n">
        <v>17835.255</v>
      </c>
      <c r="G143" s="20" t="n">
        <v>17870.424</v>
      </c>
      <c r="H143" s="20" t="n">
        <v>17233.262</v>
      </c>
      <c r="I143" s="20" t="n">
        <v>15804.942</v>
      </c>
      <c r="J143" s="20" t="n">
        <v>7595.957</v>
      </c>
      <c r="K143" s="20" t="n">
        <v>15159.005</v>
      </c>
      <c r="L143" s="20" t="n">
        <v>18530.475</v>
      </c>
    </row>
    <row r="144">
      <c r="A144" s="18" t="inlineStr">
        <is>
          <t>이익잉여금</t>
        </is>
      </c>
      <c r="C144" s="20" t="n">
        <v>-12377.68</v>
      </c>
      <c r="D144" s="20" t="n">
        <v>-7690.558</v>
      </c>
      <c r="E144" s="20" t="n">
        <v>-5939.22</v>
      </c>
      <c r="F144" s="20" t="n">
        <v>-7214.368</v>
      </c>
      <c r="G144" s="20" t="n">
        <v>-7269.961</v>
      </c>
      <c r="H144" s="20" t="n">
        <v>-2755.553</v>
      </c>
      <c r="I144" s="20" t="n">
        <v>-10693.566</v>
      </c>
      <c r="J144" s="20" t="n">
        <v>-8378.441999999999</v>
      </c>
      <c r="K144" s="20" t="n">
        <v>-8993.878000000001</v>
      </c>
      <c r="L144" s="20" t="n">
        <v>-7690.558</v>
      </c>
    </row>
    <row r="145">
      <c r="A145" s="18" t="inlineStr">
        <is>
          <t>자기주식</t>
        </is>
      </c>
      <c r="C145" s="20" t="n">
        <v>-2.006</v>
      </c>
      <c r="D145" s="20" t="n">
        <v>-1.928</v>
      </c>
      <c r="E145" s="20" t="n">
        <v>-1.928</v>
      </c>
      <c r="F145" s="20" t="n">
        <v>-1.928</v>
      </c>
      <c r="G145" s="20" t="n">
        <v>-1.943</v>
      </c>
      <c r="H145" s="20" t="n">
        <v>-0.85</v>
      </c>
      <c r="I145" s="20" t="n">
        <v>-1.219</v>
      </c>
      <c r="J145" s="20" t="n">
        <v>-1.352</v>
      </c>
      <c r="K145" s="20" t="n">
        <v>-1.9</v>
      </c>
      <c r="L145" s="20" t="n">
        <v>-1.928</v>
      </c>
    </row>
    <row r="146">
      <c r="A146" s="9" t="inlineStr">
        <is>
          <t>주주자본 합계</t>
        </is>
      </c>
      <c r="C146" s="12" t="n">
        <v>33685.184</v>
      </c>
      <c r="D146" s="12" t="n">
        <v>38674.508</v>
      </c>
      <c r="E146" s="12" t="n">
        <v>39518.737</v>
      </c>
      <c r="F146" s="12" t="n">
        <v>38673.216</v>
      </c>
      <c r="G146" s="12" t="n">
        <v>38654.432</v>
      </c>
      <c r="H146" s="12" t="n">
        <v>40252.352</v>
      </c>
      <c r="I146" s="12" t="n">
        <v>31426.298</v>
      </c>
      <c r="J146" s="12" t="n">
        <v>25932.858</v>
      </c>
      <c r="K146" s="12" t="n">
        <v>33453.493</v>
      </c>
      <c r="L146" s="12" t="n">
        <v>38674.508</v>
      </c>
    </row>
    <row r="147">
      <c r="A147" s="18" t="inlineStr">
        <is>
          <t>기타유가증권 평가차액</t>
        </is>
      </c>
      <c r="C147" s="20" t="n">
        <v>1620.358</v>
      </c>
      <c r="D147" s="20" t="n">
        <v>2129.408</v>
      </c>
      <c r="E147" s="20" t="n">
        <v>2051.358</v>
      </c>
      <c r="F147" s="20" t="n">
        <v>2346.285</v>
      </c>
      <c r="G147" s="20" t="n">
        <v>2389.851</v>
      </c>
      <c r="H147" s="20" t="n">
        <v>228.409</v>
      </c>
      <c r="I147" s="20" t="n">
        <v>1073.608</v>
      </c>
      <c r="J147" s="20" t="n">
        <v>1766.439</v>
      </c>
      <c r="K147" s="20" t="n">
        <v>1850.697</v>
      </c>
      <c r="L147" s="20" t="n">
        <v>2129.408</v>
      </c>
    </row>
    <row r="148">
      <c r="A148" s="18" t="inlineStr">
        <is>
          <t>해외사업환산조정</t>
        </is>
      </c>
      <c r="C148" s="20" t="n">
        <v>0.555</v>
      </c>
      <c r="D148" s="20" t="n">
        <v>57.457</v>
      </c>
      <c r="E148" s="20" t="n">
        <v>201.816</v>
      </c>
      <c r="F148" s="20" t="n">
        <v>214.546</v>
      </c>
      <c r="G148" s="20" t="n">
        <v>327.659</v>
      </c>
      <c r="H148" s="20" t="n">
        <v>10.898</v>
      </c>
      <c r="I148" s="20" t="n">
        <v>101.059</v>
      </c>
      <c r="J148" s="20" t="n">
        <v>123.445</v>
      </c>
      <c r="K148" s="20" t="n">
        <v>78.09099999999999</v>
      </c>
      <c r="L148" s="20" t="n">
        <v>57.457</v>
      </c>
    </row>
    <row r="149">
      <c r="A149" s="18" t="inlineStr">
        <is>
          <t>기타포괄손익누계액 합계</t>
        </is>
      </c>
      <c r="C149" s="20" t="n">
        <v>1620.913</v>
      </c>
      <c r="D149" s="20" t="n">
        <v>2186.865</v>
      </c>
      <c r="E149" s="20" t="n">
        <v>2253.174</v>
      </c>
      <c r="F149" s="20" t="n">
        <v>2560.832</v>
      </c>
      <c r="G149" s="20" t="n">
        <v>2717.511</v>
      </c>
      <c r="H149" s="20" t="n">
        <v>239.307</v>
      </c>
      <c r="I149" s="20" t="n">
        <v>1174.667</v>
      </c>
      <c r="J149" s="20" t="n">
        <v>1889.884</v>
      </c>
      <c r="K149" s="20" t="n">
        <v>1928.789</v>
      </c>
      <c r="L149" s="20" t="n">
        <v>2186.865</v>
      </c>
    </row>
    <row r="150">
      <c r="A150" s="18" t="inlineStr">
        <is>
          <t>신주예약권</t>
        </is>
      </c>
      <c r="C150" s="20" t="n">
        <v>2669.735</v>
      </c>
      <c r="D150" s="20" t="n">
        <v>2982.991</v>
      </c>
      <c r="E150" s="20" t="n">
        <v>3166.024</v>
      </c>
      <c r="F150" s="20" t="n">
        <v>3332.596</v>
      </c>
      <c r="G150" s="20" t="n">
        <v>3494.315</v>
      </c>
      <c r="H150" s="20" t="n">
        <v>38.529</v>
      </c>
      <c r="I150" s="20" t="n">
        <v>32.86</v>
      </c>
      <c r="J150" s="20" t="n">
        <v>504.492</v>
      </c>
      <c r="K150" s="20" t="n">
        <v>2054.131</v>
      </c>
      <c r="L150" s="20" t="n">
        <v>2982.991</v>
      </c>
    </row>
    <row r="151">
      <c r="A151" s="18" t="inlineStr">
        <is>
          <t>비지배지분</t>
        </is>
      </c>
      <c r="C151" s="20" t="n">
        <v>13121.37</v>
      </c>
      <c r="D151" s="20" t="n">
        <v>12020.99</v>
      </c>
      <c r="E151" s="20" t="n">
        <v>12819.177</v>
      </c>
      <c r="F151" s="20" t="n">
        <v>13014.898</v>
      </c>
      <c r="G151" s="20" t="n">
        <v>13604.104</v>
      </c>
      <c r="H151" s="20" t="n">
        <v>1802.791</v>
      </c>
      <c r="I151" s="20" t="n">
        <v>2448.996</v>
      </c>
      <c r="J151" s="20" t="n">
        <v>6333.228</v>
      </c>
      <c r="K151" s="20" t="n">
        <v>7239.342</v>
      </c>
      <c r="L151" s="20" t="n">
        <v>12020.99</v>
      </c>
    </row>
    <row r="152">
      <c r="A152" s="9" t="inlineStr">
        <is>
          <t>순자산 합계</t>
        </is>
      </c>
      <c r="C152" s="12" t="n">
        <v>51097.203</v>
      </c>
      <c r="D152" s="12" t="n">
        <v>55865.356</v>
      </c>
      <c r="E152" s="12" t="n">
        <v>57757.113</v>
      </c>
      <c r="F152" s="12" t="n">
        <v>57581.543</v>
      </c>
      <c r="G152" s="12" t="n">
        <v>58470.364</v>
      </c>
      <c r="H152" s="12" t="n">
        <v>42332.981</v>
      </c>
      <c r="I152" s="12" t="n">
        <v>35082.823</v>
      </c>
      <c r="J152" s="12" t="n">
        <v>34660.463</v>
      </c>
      <c r="K152" s="12" t="n">
        <v>44675.756</v>
      </c>
      <c r="L152" s="12" t="n">
        <v>55865.356</v>
      </c>
    </row>
    <row r="153">
      <c r="A153" s="9" t="inlineStr">
        <is>
          <t>부채·순자산 합계</t>
        </is>
      </c>
      <c r="C153" s="12" t="n">
        <v>112525.777</v>
      </c>
      <c r="D153" s="12" t="n">
        <v>127567.288</v>
      </c>
      <c r="E153" s="12" t="n">
        <v>160262.814</v>
      </c>
      <c r="F153" s="12" t="n">
        <v>143626.86</v>
      </c>
      <c r="G153" s="12" t="n">
        <v>139353.886</v>
      </c>
      <c r="H153" s="12" t="n">
        <v>56942.558</v>
      </c>
      <c r="I153" s="12" t="n">
        <v>65986.70600000001</v>
      </c>
      <c r="J153" s="12" t="n">
        <v>88282.41</v>
      </c>
      <c r="K153" s="12" t="n">
        <v>106191.905</v>
      </c>
      <c r="L153" s="12" t="n">
        <v>127567.288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50" t="inlineStr">
        <is>
          <t>머니포워드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컨센서스</t>
        </is>
      </c>
      <c r="B4" s="52" t="n"/>
      <c r="C4" s="52" t="n"/>
    </row>
    <row r="5">
      <c r="A5" s="53" t="inlineStr">
        <is>
          <t>항목</t>
        </is>
      </c>
      <c r="B5" s="53" t="inlineStr">
        <is>
          <t>값</t>
        </is>
      </c>
      <c r="C5" s="53" t="inlineStr">
        <is>
          <t>출처</t>
        </is>
      </c>
    </row>
    <row r="6">
      <c r="A6" s="54" t="inlineStr">
        <is>
          <t>4Q 매출</t>
        </is>
      </c>
      <c r="B6" s="55" t="n">
        <v>168.3</v>
      </c>
      <c r="C6" s="56" t="inlineStr">
        <is>
          <t>2단계 보고서 자료(회사 설명회 자료·공시)</t>
        </is>
      </c>
    </row>
    <row r="7">
      <c r="A7" s="54" t="inlineStr">
        <is>
          <t>fy26 매출</t>
        </is>
      </c>
      <c r="B7" s="55" t="n">
        <v>622.5</v>
      </c>
    </row>
    <row r="8">
      <c r="A8" s="54" t="inlineStr">
        <is>
          <t>fy26 EPS</t>
        </is>
      </c>
      <c r="B8" s="55" t="n">
        <v>0.4</v>
      </c>
    </row>
    <row r="9">
      <c r="A9" s="54" t="inlineStr">
        <is>
          <t>fy27 매출</t>
        </is>
      </c>
      <c r="B9" s="55" t="n">
        <v>744.7</v>
      </c>
    </row>
    <row r="10">
      <c r="A10" s="54" t="inlineStr">
        <is>
          <t>fy27 EPS</t>
        </is>
      </c>
      <c r="B10" s="55" t="n">
        <v>66.03</v>
      </c>
    </row>
    <row r="11">
      <c r="A11" s="54" t="inlineStr">
        <is>
          <t>tp 평균</t>
        </is>
      </c>
      <c r="B11" s="57" t="n">
        <v>6418</v>
      </c>
    </row>
    <row r="12">
      <c r="A12" s="54" t="inlineStr">
        <is>
          <t>tp 중앙값</t>
        </is>
      </c>
      <c r="B12" s="57" t="n">
        <v>6200</v>
      </c>
    </row>
    <row r="13">
      <c r="A13" s="54" t="inlineStr">
        <is>
          <t>애널리스트 수 tp</t>
        </is>
      </c>
      <c r="B13" s="57" t="n">
        <v>11</v>
      </c>
    </row>
    <row r="15">
      <c r="A15" s="52" t="inlineStr">
        <is>
          <t>psr band</t>
        </is>
      </c>
      <c r="B15" s="52" t="n"/>
      <c r="C15" s="52" t="n"/>
    </row>
    <row r="16">
      <c r="A16" s="53" t="inlineStr">
        <is>
          <t>항목</t>
        </is>
      </c>
      <c r="B16" s="53" t="inlineStr">
        <is>
          <t>값</t>
        </is>
      </c>
      <c r="C16" s="53" t="inlineStr">
        <is>
          <t>출처</t>
        </is>
      </c>
    </row>
    <row r="17">
      <c r="A17" s="54" t="inlineStr">
        <is>
          <t>lo</t>
        </is>
      </c>
      <c r="B17" s="55" t="n">
        <v>2.76</v>
      </c>
      <c r="C17" s="56" t="inlineStr">
        <is>
          <t>2단계 보고서 자료(회사 설명회 자료·공시)</t>
        </is>
      </c>
    </row>
    <row r="18">
      <c r="A18" s="54" t="inlineStr">
        <is>
          <t>평균</t>
        </is>
      </c>
      <c r="B18" s="55" t="n">
        <v>5.96</v>
      </c>
    </row>
    <row r="19">
      <c r="A19" s="54" t="inlineStr">
        <is>
          <t>hi</t>
        </is>
      </c>
      <c r="B19" s="55" t="n">
        <v>9.35</v>
      </c>
    </row>
    <row r="20">
      <c r="A20" s="54" t="inlineStr">
        <is>
          <t>now</t>
        </is>
      </c>
      <c r="B20" s="55" t="n">
        <v>6.03</v>
      </c>
    </row>
    <row r="22">
      <c r="A22" s="52" t="inlineStr">
        <is>
          <t>arr q</t>
        </is>
      </c>
      <c r="B22" s="52" t="n"/>
      <c r="C22" s="52" t="n"/>
    </row>
    <row r="23">
      <c r="A23" s="53" t="inlineStr">
        <is>
          <t>항목</t>
        </is>
      </c>
      <c r="B23" s="53" t="inlineStr">
        <is>
          <t>값</t>
        </is>
      </c>
      <c r="C23" s="53" t="inlineStr">
        <is>
          <t>출처</t>
        </is>
      </c>
    </row>
    <row r="24">
      <c r="A24" s="54" t="inlineStr">
        <is>
          <t>2024.1Q</t>
        </is>
      </c>
      <c r="B24" s="55" t="n">
        <v>255</v>
      </c>
      <c r="C24" s="56" t="inlineStr">
        <is>
          <t>2단계 보고서 자료(회사 설명회 자료·공시)</t>
        </is>
      </c>
    </row>
    <row r="25">
      <c r="A25" s="54" t="inlineStr">
        <is>
          <t>2024.2Q</t>
        </is>
      </c>
      <c r="B25" s="55" t="n">
        <v>268.4</v>
      </c>
    </row>
    <row r="26">
      <c r="A26" s="54" t="inlineStr">
        <is>
          <t>2024.3Q</t>
        </is>
      </c>
      <c r="B26" s="55" t="n">
        <v>279.5</v>
      </c>
    </row>
    <row r="27">
      <c r="A27" s="54" t="inlineStr">
        <is>
          <t>2024.4Q</t>
        </is>
      </c>
      <c r="B27" s="55" t="n">
        <v>300</v>
      </c>
    </row>
    <row r="28">
      <c r="A28" s="54" t="inlineStr">
        <is>
          <t>2025.1Q</t>
        </is>
      </c>
      <c r="B28" s="55" t="n">
        <v>330.1</v>
      </c>
    </row>
    <row r="29">
      <c r="A29" s="54" t="inlineStr">
        <is>
          <t>2025.2Q</t>
        </is>
      </c>
      <c r="B29" s="55" t="n">
        <v>355.2</v>
      </c>
    </row>
    <row r="30">
      <c r="A30" s="54" t="inlineStr">
        <is>
          <t>2025.3Q</t>
        </is>
      </c>
      <c r="B30" s="55" t="n">
        <v>375.2</v>
      </c>
    </row>
    <row r="31">
      <c r="A31" s="54" t="inlineStr">
        <is>
          <t>2025.4Q</t>
        </is>
      </c>
      <c r="B31" s="55" t="n">
        <v>408.8</v>
      </c>
    </row>
    <row r="32">
      <c r="A32" s="54" t="inlineStr">
        <is>
          <t>2026.1Q</t>
        </is>
      </c>
      <c r="B32" s="55" t="n">
        <v>443</v>
      </c>
    </row>
    <row r="33">
      <c r="A33" s="54" t="inlineStr">
        <is>
          <t>2026.2Q</t>
        </is>
      </c>
      <c r="B33" s="55" t="n">
        <v>476.7</v>
      </c>
    </row>
    <row r="34">
      <c r="A34" s="54" t="inlineStr">
        <is>
          <t>2026.3Q</t>
        </is>
      </c>
      <c r="B34" s="55" t="n">
        <v>486.5</v>
      </c>
    </row>
    <row r="36">
      <c r="A36" s="52" t="inlineStr">
        <is>
          <t>bhx 매출 q</t>
        </is>
      </c>
      <c r="B36" s="52" t="n"/>
      <c r="C36" s="52" t="n"/>
    </row>
    <row r="37">
      <c r="A37" s="53" t="inlineStr">
        <is>
          <t>항목</t>
        </is>
      </c>
      <c r="B37" s="53" t="inlineStr">
        <is>
          <t>값</t>
        </is>
      </c>
      <c r="C37" s="53" t="inlineStr">
        <is>
          <t>출처</t>
        </is>
      </c>
    </row>
    <row r="38">
      <c r="A38" s="54" t="inlineStr">
        <is>
          <t>2024.1Q</t>
        </is>
      </c>
      <c r="B38" s="55" t="n">
        <v>81.90000000000001</v>
      </c>
      <c r="C38" s="56" t="inlineStr">
        <is>
          <t>2단계 보고서 자료(회사 설명회 자료·공시)</t>
        </is>
      </c>
    </row>
    <row r="39">
      <c r="A39" s="54" t="inlineStr">
        <is>
          <t>2024.2Q</t>
        </is>
      </c>
      <c r="B39" s="55" t="n">
        <v>84.59999999999999</v>
      </c>
    </row>
    <row r="40">
      <c r="A40" s="54" t="inlineStr">
        <is>
          <t>2024.3Q</t>
        </is>
      </c>
      <c r="B40" s="55" t="n">
        <v>85.59999999999999</v>
      </c>
    </row>
    <row r="41">
      <c r="A41" s="54" t="inlineStr">
        <is>
          <t>2024.4Q</t>
        </is>
      </c>
      <c r="B41" s="55" t="n">
        <v>94.09999999999999</v>
      </c>
    </row>
    <row r="42">
      <c r="A42" s="54" t="inlineStr">
        <is>
          <t>2025.1Q</t>
        </is>
      </c>
      <c r="B42" s="55" t="n">
        <v>97</v>
      </c>
    </row>
    <row r="43">
      <c r="A43" s="54" t="inlineStr">
        <is>
          <t>2025.2Q</t>
        </is>
      </c>
      <c r="B43" s="55" t="n">
        <v>102.4</v>
      </c>
    </row>
    <row r="44">
      <c r="A44" s="54" t="inlineStr">
        <is>
          <t>2025.3Q</t>
        </is>
      </c>
      <c r="B44" s="55" t="n">
        <v>106.3</v>
      </c>
    </row>
    <row r="45">
      <c r="A45" s="54" t="inlineStr">
        <is>
          <t>2025.4Q</t>
        </is>
      </c>
      <c r="B45" s="55" t="n">
        <v>133.6</v>
      </c>
    </row>
    <row r="46">
      <c r="A46" s="54" t="inlineStr">
        <is>
          <t>2026.1Q</t>
        </is>
      </c>
      <c r="B46" s="55" t="n">
        <v>145.7</v>
      </c>
    </row>
    <row r="47">
      <c r="A47" s="54" t="inlineStr">
        <is>
          <t>2026.2Q</t>
        </is>
      </c>
      <c r="B47" s="55" t="n">
        <v>141.8</v>
      </c>
    </row>
    <row r="48">
      <c r="A48" s="54" t="inlineStr">
        <is>
          <t>2026.3Q</t>
        </is>
      </c>
      <c r="B48" s="55" t="n">
        <v>155.8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8" t="inlineStr">
        <is>
          <t>공시일</t>
        </is>
      </c>
      <c r="B3" s="58" t="inlineStr">
        <is>
          <t>문서</t>
        </is>
      </c>
      <c r="C3" s="58" t="inlineStr">
        <is>
          <t>PDF</t>
        </is>
      </c>
    </row>
    <row r="4">
      <c r="A4" t="inlineStr">
        <is>
          <t>2026-10-15</t>
        </is>
      </c>
      <c r="B4" t="inlineStr">
        <is>
          <t>2026년 11월 결산기 3분기 결산단신</t>
        </is>
      </c>
      <c r="C4" t="inlineStr">
        <is>
          <t>https://www2.jpx.co.jp/disc/39940/140120261015551566.pdf</t>
        </is>
      </c>
    </row>
    <row r="5">
      <c r="A5" t="inlineStr">
        <is>
          <t>2026-07-13</t>
        </is>
      </c>
      <c r="B5" t="inlineStr">
        <is>
          <t>2026년 11월 결산기 2분기 결산단신</t>
        </is>
      </c>
      <c r="C5" t="inlineStr">
        <is>
          <t>https://www2.jpx.co.jp/disc/39940/140120260713592274.pdf</t>
        </is>
      </c>
    </row>
    <row r="6">
      <c r="A6" t="inlineStr">
        <is>
          <t>2026-04-14</t>
        </is>
      </c>
      <c r="B6" t="inlineStr">
        <is>
          <t>2026년 11월 결산기 1분기 결산단신</t>
        </is>
      </c>
      <c r="C6" t="inlineStr">
        <is>
          <t>https://www2.jpx.co.jp/disc/39940/140120260414503909.pdf</t>
        </is>
      </c>
    </row>
    <row r="7">
      <c r="A7" t="inlineStr">
        <is>
          <t>2026-01-14</t>
        </is>
      </c>
      <c r="B7" t="inlineStr">
        <is>
          <t>2025년 11월 결산기 연간 결산단신</t>
        </is>
      </c>
      <c r="C7" t="inlineStr">
        <is>
          <t>https://www2.jpx.co.jp/disc/39940/140120260114533704.pdf</t>
        </is>
      </c>
    </row>
    <row r="8">
      <c r="A8" t="inlineStr">
        <is>
          <t>2025-10-15</t>
        </is>
      </c>
      <c r="B8" t="inlineStr">
        <is>
          <t>2025년 11월 결산기 3분기 결산단신</t>
        </is>
      </c>
      <c r="C8" t="inlineStr">
        <is>
          <t>https://www2.jpx.co.jp/disc/39940/140120251015573937.pdf</t>
        </is>
      </c>
    </row>
    <row r="9">
      <c r="A9" t="inlineStr">
        <is>
          <t>2025-07-15</t>
        </is>
      </c>
      <c r="B9" t="inlineStr">
        <is>
          <t>2025년 11월 결산기 2분기 결산단신</t>
        </is>
      </c>
      <c r="C9" t="inlineStr">
        <is>
          <t>https://www2.jpx.co.jp/disc/39940/140120250714513800.pdf</t>
        </is>
      </c>
    </row>
    <row r="10">
      <c r="A10" t="inlineStr">
        <is>
          <t>2025-04-14</t>
        </is>
      </c>
      <c r="B10" t="inlineStr">
        <is>
          <t>2025년 11월 결산기 1분기 결산단신</t>
        </is>
      </c>
      <c r="C10" t="inlineStr">
        <is>
          <t>https://www2.jpx.co.jp/disc/39940/140120250408510433.pdf</t>
        </is>
      </c>
    </row>
    <row r="11">
      <c r="A11" t="inlineStr">
        <is>
          <t>2025-01-14</t>
        </is>
      </c>
      <c r="B11" t="inlineStr">
        <is>
          <t>2024년 11월 결산기 연간 결산단신</t>
        </is>
      </c>
      <c r="C11" t="inlineStr">
        <is>
          <t>https://www2.jpx.co.jp/disc/39940/140120250110549148.pdf</t>
        </is>
      </c>
    </row>
    <row r="12">
      <c r="A12" t="inlineStr">
        <is>
          <t>2024-10-15</t>
        </is>
      </c>
      <c r="B12" t="inlineStr">
        <is>
          <t>2024년 11월 결산기 3분기 결산단신</t>
        </is>
      </c>
      <c r="C12" t="inlineStr">
        <is>
          <t>https://www2.jpx.co.jp/disc/39940/140120241011597424.pdf</t>
        </is>
      </c>
    </row>
    <row r="13">
      <c r="A13" t="inlineStr">
        <is>
          <t>2024-07-12</t>
        </is>
      </c>
      <c r="B13" t="inlineStr">
        <is>
          <t>2024년 11월 결산기 2분기 결산단신</t>
        </is>
      </c>
      <c r="C13" t="inlineStr">
        <is>
          <t>https://www2.jpx.co.jp/disc/39940/140120240711547924.pdf</t>
        </is>
      </c>
    </row>
    <row r="14">
      <c r="A14" t="inlineStr">
        <is>
          <t>2024-04-12</t>
        </is>
      </c>
      <c r="B14" t="inlineStr">
        <is>
          <t>2024년 11월 결산기 1분기 결산단신</t>
        </is>
      </c>
      <c r="C14" t="inlineStr">
        <is>
          <t>https://www2.jpx.co.jp/disc/39940/140120240411568723.pdf</t>
        </is>
      </c>
    </row>
    <row r="15">
      <c r="A15" t="inlineStr">
        <is>
          <t>2024-01-12</t>
        </is>
      </c>
      <c r="B15" t="inlineStr">
        <is>
          <t>2023년 11월 결산기 연간 결산단신</t>
        </is>
      </c>
      <c r="C15" t="inlineStr">
        <is>
          <t>https://www2.jpx.co.jp/disc/39940/140120240111513560.pdf</t>
        </is>
      </c>
    </row>
    <row r="16">
      <c r="A16" t="inlineStr">
        <is>
          <t>2023-10-13</t>
        </is>
      </c>
      <c r="B16" t="inlineStr">
        <is>
          <t>2023년 11월 결산기 3분기 결산단신</t>
        </is>
      </c>
      <c r="C16" t="inlineStr">
        <is>
          <t>https://www2.jpx.co.jp/disc/39940/140120231012566215.pdf</t>
        </is>
      </c>
    </row>
    <row r="17">
      <c r="A17" t="inlineStr">
        <is>
          <t>2023-07-18</t>
        </is>
      </c>
      <c r="B17" t="inlineStr">
        <is>
          <t>2023년 11월 결산기 2분기 결산단신</t>
        </is>
      </c>
      <c r="C17" t="inlineStr">
        <is>
          <t>https://www2.jpx.co.jp/disc/39940/140120230718523431.pdf</t>
        </is>
      </c>
    </row>
    <row r="18">
      <c r="A18" t="inlineStr">
        <is>
          <t>2023-04-14</t>
        </is>
      </c>
      <c r="B18" t="inlineStr">
        <is>
          <t>2023년 11월 결산기 1분기 결산단신</t>
        </is>
      </c>
      <c r="C18" t="inlineStr">
        <is>
          <t>https://www2.jpx.co.jp/disc/39940/140120230414547617.pdf</t>
        </is>
      </c>
    </row>
    <row r="19">
      <c r="A19" t="inlineStr">
        <is>
          <t>2023-01-16</t>
        </is>
      </c>
      <c r="B19" t="inlineStr">
        <is>
          <t>2022년 11월 결산기 연간 결산단신</t>
        </is>
      </c>
      <c r="C19" t="inlineStr">
        <is>
          <t>https://www2.jpx.co.jp/disc/39940/140120230116589952.pdf</t>
        </is>
      </c>
    </row>
    <row r="20">
      <c r="A20" t="inlineStr">
        <is>
          <t>2022-01-14</t>
        </is>
      </c>
      <c r="B20" t="inlineStr">
        <is>
          <t>2021년 11월 결산기 연간 결산단신</t>
        </is>
      </c>
      <c r="C20" t="inlineStr">
        <is>
          <t>https://www2.jpx.co.jp/disc/39940/140120220114568251.pdf</t>
        </is>
      </c>
    </row>
    <row r="21">
      <c r="A21" t="inlineStr">
        <is>
          <t>2021-01-14</t>
        </is>
      </c>
      <c r="B21" t="inlineStr">
        <is>
          <t>2020년 11월 결산기 연간 결산단신</t>
        </is>
      </c>
      <c r="C21" t="inlineStr">
        <is>
          <t>https://www2.jpx.co.jp/disc/39940/140120210114444309.pdf</t>
        </is>
      </c>
    </row>
    <row r="22">
      <c r="A22" t="inlineStr">
        <is>
          <t>2020-01-14</t>
        </is>
      </c>
      <c r="B22" t="inlineStr">
        <is>
          <t>2019년 11월 결산기 연간 결산단신</t>
        </is>
      </c>
      <c r="C22" t="inlineStr">
        <is>
          <t>https://www2.jpx.co.jp/disc/39940/140120200114446293.pdf</t>
        </is>
      </c>
    </row>
    <row r="23">
      <c r="A23" t="inlineStr">
        <is>
          <t>2019-01-15</t>
        </is>
      </c>
      <c r="B23" t="inlineStr">
        <is>
          <t>2018년 11월 결산기 연간 결산단신</t>
        </is>
      </c>
      <c r="C23" t="inlineStr">
        <is>
          <t>https://www2.jpx.co.jp/disc/39940/140120190115459679.pdf</t>
        </is>
      </c>
    </row>
    <row r="24">
      <c r="A24" t="inlineStr">
        <is>
          <t>2018-01-15</t>
        </is>
      </c>
      <c r="B24" t="inlineStr">
        <is>
          <t>연간 결산단신</t>
        </is>
      </c>
      <c r="C24" t="inlineStr">
        <is>
          <t>https://www2.jpx.co.jp/disc/39940/140120180115450636.pdf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2026-10-27T04:52:55Z</dcterms:created>
  <dcterms:modified xmlns:dcterms="http://purl.org/dc/terms/" xmlns:xsi="http://www.w3.org/2001/XMLSchema-instance" xsi:type="dcterms:W3CDTF">2026-10-27T04:52:55Z</dcterms:modified>
</cp:coreProperties>
</file>