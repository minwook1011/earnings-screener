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머니포워드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2026.3Q = 2026년 11월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8796.512000000001</v>
      </c>
      <c r="D4" s="12" t="n">
        <v>9544.098</v>
      </c>
      <c r="E4" s="12" t="n">
        <v>10320.352</v>
      </c>
      <c r="F4" s="12" t="n">
        <v>9809.112999999999</v>
      </c>
      <c r="G4" s="12" t="n">
        <v>10690.274</v>
      </c>
      <c r="H4" s="12" t="n">
        <v>11706.875</v>
      </c>
      <c r="I4" s="12" t="n">
        <v>11530.411</v>
      </c>
      <c r="J4" s="12" t="n">
        <v>12069.209</v>
      </c>
      <c r="K4" s="12" t="n">
        <v>15043.448</v>
      </c>
      <c r="L4" s="12" t="n">
        <v>14670.082</v>
      </c>
      <c r="M4" s="12" t="n">
        <v>14322.475</v>
      </c>
      <c r="N4" s="12" t="n">
        <v>17916.189</v>
      </c>
      <c r="O4" s="11" t="n"/>
      <c r="P4" s="12" t="n">
        <v>2899.548</v>
      </c>
      <c r="Q4" s="12" t="n">
        <v>4594.789</v>
      </c>
      <c r="R4" s="12" t="n">
        <v>7156.784</v>
      </c>
      <c r="S4" s="12" t="n">
        <v>11318.217</v>
      </c>
      <c r="T4" s="12" t="n">
        <v>15632.601</v>
      </c>
      <c r="U4" s="12" t="n">
        <v>21477.195</v>
      </c>
      <c r="V4" s="12" t="n">
        <v>30380.629</v>
      </c>
      <c r="W4" s="12" t="n">
        <v>40363.837</v>
      </c>
      <c r="X4" s="12" t="n">
        <v>50349.943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BusinessReportableSegmentMember</t>
        </is>
      </c>
      <c r="B7" s="10" t="n"/>
      <c r="C7" s="19" t="n"/>
      <c r="D7" s="20" t="n">
        <v>6439.861</v>
      </c>
      <c r="E7" s="20" t="n">
        <v>6524.809</v>
      </c>
      <c r="F7" s="20" t="n">
        <v>6649.741</v>
      </c>
      <c r="G7" s="20" t="n">
        <v>7416.522</v>
      </c>
      <c r="H7" s="20" t="n">
        <v>7805.601</v>
      </c>
      <c r="I7" s="20" t="n">
        <v>8369.23</v>
      </c>
      <c r="J7" s="20" t="n">
        <v>8740.335999999999</v>
      </c>
      <c r="K7" s="20" t="n">
        <v>11135.35</v>
      </c>
      <c r="L7" s="20" t="n">
        <v>12375.325</v>
      </c>
      <c r="M7" s="20" t="n">
        <v>11791.168</v>
      </c>
      <c r="N7" s="20" t="n">
        <v>13311.533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27030.933</v>
      </c>
      <c r="X7" s="20" t="n">
        <v>36050.517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SaaSMarketingReportableSegmentMember</t>
        </is>
      </c>
      <c r="B10" s="10" t="n"/>
      <c r="C10" s="19" t="n"/>
      <c r="D10" s="20" t="n">
        <v>1157.121</v>
      </c>
      <c r="E10" s="20" t="n">
        <v>1288.546</v>
      </c>
      <c r="F10" s="20" t="n">
        <v>1251.396</v>
      </c>
      <c r="G10" s="20" t="n">
        <v>1284.73</v>
      </c>
      <c r="H10" s="20" t="n">
        <v>1241.891</v>
      </c>
      <c r="I10" s="20" t="n">
        <v>1261.514</v>
      </c>
      <c r="J10" s="20" t="n">
        <v>1272.288</v>
      </c>
      <c r="K10" s="20" t="n">
        <v>963.627</v>
      </c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4981.793</v>
      </c>
      <c r="X10" s="20" t="n">
        <v>4739.32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HOMEReportableSegmentMember</t>
        </is>
      </c>
      <c r="B13" s="10" t="n"/>
      <c r="C13" s="19" t="n"/>
      <c r="D13" s="20" t="n">
        <v>1088.573</v>
      </c>
      <c r="E13" s="20" t="n">
        <v>1204.129</v>
      </c>
      <c r="F13" s="20" t="n">
        <v>1166.843</v>
      </c>
      <c r="G13" s="20" t="n">
        <v>1267.238</v>
      </c>
      <c r="H13" s="20" t="n">
        <v>1203.853</v>
      </c>
      <c r="I13" s="20" t="n">
        <v>1148.909</v>
      </c>
      <c r="J13" s="20" t="n">
        <v>1091.034</v>
      </c>
      <c r="K13" s="20" t="n">
        <v>1294.022</v>
      </c>
      <c r="L13" s="20" t="n">
        <v>1257.197</v>
      </c>
      <c r="M13" s="20" t="n">
        <v>1303.583</v>
      </c>
      <c r="N13" s="20" t="n">
        <v>1342.062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4726.783</v>
      </c>
      <c r="X13" s="20" t="n">
        <v>4737.818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XReportableSegmentMember</t>
        </is>
      </c>
      <c r="B16" s="10" t="n"/>
      <c r="C16" s="19" t="n"/>
      <c r="D16" s="20" t="n">
        <v>660.115</v>
      </c>
      <c r="E16" s="20" t="n">
        <v>736.1950000000001</v>
      </c>
      <c r="F16" s="20" t="n">
        <v>738.976</v>
      </c>
      <c r="G16" s="20" t="n">
        <v>719.2809999999999</v>
      </c>
      <c r="H16" s="20" t="n">
        <v>688.92</v>
      </c>
      <c r="I16" s="20" t="n">
        <v>716.704</v>
      </c>
      <c r="J16" s="20" t="n">
        <v>799.785</v>
      </c>
      <c r="K16" s="20" t="n">
        <v>933.954</v>
      </c>
      <c r="L16" s="20" t="n">
        <v>933.6130000000001</v>
      </c>
      <c r="M16" s="20" t="n">
        <v>1085.476</v>
      </c>
      <c r="N16" s="20" t="n">
        <v>927.6130000000001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2854.567</v>
      </c>
      <c r="X16" s="20" t="n">
        <v>3139.363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FinanceReportableSegmentMember</t>
        </is>
      </c>
      <c r="B19" s="10" t="n"/>
      <c r="C19" s="19" t="n"/>
      <c r="D19" s="20" t="n">
        <v>197.848</v>
      </c>
      <c r="E19" s="20" t="n">
        <v>566.41</v>
      </c>
      <c r="F19" s="20" t="n">
        <v>0.6</v>
      </c>
      <c r="G19" s="20" t="n">
        <v>0.9</v>
      </c>
      <c r="H19" s="20" t="n">
        <v>752.6420000000001</v>
      </c>
      <c r="I19" s="20" t="n">
        <v>1.007</v>
      </c>
      <c r="J19" s="20" t="n">
        <v>139.346</v>
      </c>
      <c r="K19" s="20" t="n">
        <v>656.853</v>
      </c>
      <c r="L19" s="20" t="n">
        <v>0.75</v>
      </c>
      <c r="M19" s="20" t="n">
        <v>0.75</v>
      </c>
      <c r="N19" s="20" t="n">
        <v>2135.091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765.758</v>
      </c>
      <c r="X19" s="20" t="n">
        <v>1549.848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>
        <v>0.578</v>
      </c>
      <c r="E22" s="20" t="n"/>
      <c r="F22" s="20" t="n"/>
      <c r="G22" s="20" t="n"/>
      <c r="H22" s="20" t="n">
        <v>13.966</v>
      </c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/>
      <c r="G25" s="20" t="n"/>
      <c r="H25" s="20" t="n">
        <v>11706.875</v>
      </c>
      <c r="I25" s="20" t="n"/>
      <c r="J25" s="20" t="n"/>
      <c r="K25" s="20" t="n"/>
      <c r="L25" s="20" t="n">
        <v>14670.082</v>
      </c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3309.614</v>
      </c>
      <c r="D29" s="20" t="n">
        <v>3004.245</v>
      </c>
      <c r="E29" s="20" t="n">
        <v>3468.631</v>
      </c>
      <c r="F29" s="20" t="n">
        <v>3274.851</v>
      </c>
      <c r="G29" s="20" t="n">
        <v>3555.665</v>
      </c>
      <c r="H29" s="20" t="n">
        <v>3680.643</v>
      </c>
      <c r="I29" s="20" t="n">
        <v>3910.143</v>
      </c>
      <c r="J29" s="20" t="n">
        <v>3786.369</v>
      </c>
      <c r="K29" s="20" t="n">
        <v>4742.243</v>
      </c>
      <c r="L29" s="20" t="n">
        <v>4020.24</v>
      </c>
      <c r="M29" s="20" t="n">
        <v>4924.507</v>
      </c>
      <c r="N29" s="20" t="n">
        <v>5578.259</v>
      </c>
      <c r="O29" s="19" t="n"/>
      <c r="P29" s="20" t="n">
        <v>959.063</v>
      </c>
      <c r="Q29" s="20" t="n">
        <v>1811.91</v>
      </c>
      <c r="R29" s="20" t="n">
        <v>2832.672</v>
      </c>
      <c r="S29" s="20" t="n">
        <v>3700.849</v>
      </c>
      <c r="T29" s="20" t="n">
        <v>4814.024</v>
      </c>
      <c r="U29" s="20" t="n">
        <v>8079.469</v>
      </c>
      <c r="V29" s="20" t="n">
        <v>11298.423</v>
      </c>
      <c r="W29" s="20" t="n">
        <v>13303.392</v>
      </c>
      <c r="X29" s="20" t="n">
        <v>16119.398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7252.078</v>
      </c>
      <c r="D35" s="20" t="n">
        <v>7532.417</v>
      </c>
      <c r="E35" s="20" t="n">
        <v>7686.735</v>
      </c>
      <c r="F35" s="20" t="n">
        <v>7543.798</v>
      </c>
      <c r="G35" s="20" t="n">
        <v>9032.638000000001</v>
      </c>
      <c r="H35" s="20" t="n">
        <v>8606.963</v>
      </c>
      <c r="I35" s="20" t="n">
        <v>8632.405000000001</v>
      </c>
      <c r="J35" s="20" t="n">
        <v>8669.549999999999</v>
      </c>
      <c r="K35" s="20" t="n">
        <v>10975.023</v>
      </c>
      <c r="L35" s="20" t="n">
        <v>10481.815</v>
      </c>
      <c r="M35" s="20" t="n">
        <v>9775.114</v>
      </c>
      <c r="N35" s="20" t="n">
        <v>10442.432</v>
      </c>
      <c r="O35" s="19" t="n"/>
      <c r="P35" s="20" t="n">
        <v>2737.783</v>
      </c>
      <c r="Q35" s="20" t="n">
        <v>3579.07</v>
      </c>
      <c r="R35" s="20" t="n">
        <v>6770.263</v>
      </c>
      <c r="S35" s="20" t="n">
        <v>10422.15</v>
      </c>
      <c r="T35" s="20" t="n">
        <v>11880.838</v>
      </c>
      <c r="U35" s="20" t="n">
        <v>21867.022</v>
      </c>
      <c r="V35" s="20" t="n">
        <v>25412.008</v>
      </c>
      <c r="W35" s="20" t="n">
        <v>31795.588</v>
      </c>
      <c r="X35" s="20" t="n">
        <v>36883.941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-1765.18</v>
      </c>
      <c r="D37" s="12" t="n">
        <v>-992.564</v>
      </c>
      <c r="E37" s="12" t="n">
        <v>-835.015</v>
      </c>
      <c r="F37" s="12" t="n">
        <v>-1009.535</v>
      </c>
      <c r="G37" s="12" t="n">
        <v>-1898.029</v>
      </c>
      <c r="H37" s="12" t="n">
        <v>-580.73</v>
      </c>
      <c r="I37" s="12" t="n">
        <v>-1012.138</v>
      </c>
      <c r="J37" s="12" t="n">
        <v>-386.71</v>
      </c>
      <c r="K37" s="12" t="n">
        <v>-673.818</v>
      </c>
      <c r="L37" s="12" t="n">
        <v>168.026</v>
      </c>
      <c r="M37" s="12" t="n">
        <v>-377.145</v>
      </c>
      <c r="N37" s="12" t="n">
        <v>1895.497</v>
      </c>
      <c r="O37" s="11" t="n"/>
      <c r="P37" s="12" t="n">
        <v>-797.298</v>
      </c>
      <c r="Q37" s="12" t="n">
        <v>-796.191</v>
      </c>
      <c r="R37" s="12" t="n">
        <v>-2446.151</v>
      </c>
      <c r="S37" s="12" t="n">
        <v>-2804.783</v>
      </c>
      <c r="T37" s="12" t="n">
        <v>-1062.262</v>
      </c>
      <c r="U37" s="12" t="n">
        <v>-8469.297</v>
      </c>
      <c r="V37" s="12" t="n">
        <v>-6329.802</v>
      </c>
      <c r="W37" s="12" t="n">
        <v>-4735.143</v>
      </c>
      <c r="X37" s="12" t="n">
        <v>-2653.396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0.256</v>
      </c>
      <c r="D53" s="20" t="n">
        <v>0.28</v>
      </c>
      <c r="E53" s="20" t="n">
        <v>0.004</v>
      </c>
      <c r="F53" s="20" t="n">
        <v>0</v>
      </c>
      <c r="G53" s="20" t="n">
        <v>0.626</v>
      </c>
      <c r="H53" s="20" t="n">
        <v>94.905</v>
      </c>
      <c r="I53" s="20" t="n">
        <v>134.514</v>
      </c>
      <c r="J53" s="20" t="n">
        <v>0.031</v>
      </c>
      <c r="K53" s="20" t="n">
        <v>8254.574000000001</v>
      </c>
      <c r="L53" s="20" t="n">
        <v>2689.749</v>
      </c>
      <c r="M53" s="20" t="n">
        <v>-36.78</v>
      </c>
      <c r="N53" s="20" t="n">
        <v>156.226</v>
      </c>
      <c r="O53" s="19" t="n"/>
      <c r="P53" s="20" t="n">
        <v>0.605</v>
      </c>
      <c r="Q53" s="20" t="n">
        <v>3.778</v>
      </c>
      <c r="R53" s="20" t="n">
        <v>1.901</v>
      </c>
      <c r="S53" s="20" t="n">
        <v>101.79</v>
      </c>
      <c r="T53" s="20" t="n">
        <v>2.462</v>
      </c>
      <c r="U53" s="20" t="n">
        <v>1.07</v>
      </c>
      <c r="V53" s="20" t="n">
        <v>1.535</v>
      </c>
      <c r="W53" s="20" t="n">
        <v>0.91</v>
      </c>
      <c r="X53" s="20" t="n">
        <v>8484.023999999999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60.21</v>
      </c>
      <c r="D55" s="20" t="n">
        <v>0.07199999999999999</v>
      </c>
      <c r="E55" s="20" t="n">
        <v>10</v>
      </c>
      <c r="F55" s="20" t="n">
        <v>0.723</v>
      </c>
      <c r="G55" s="20" t="n">
        <v>279.472</v>
      </c>
      <c r="H55" s="20" t="n">
        <v>0</v>
      </c>
      <c r="I55" s="20" t="n">
        <v>24.974</v>
      </c>
      <c r="J55" s="20" t="n">
        <v>540.8150000000001</v>
      </c>
      <c r="K55" s="20" t="n">
        <v>647.383</v>
      </c>
      <c r="L55" s="20" t="n">
        <v>221.086</v>
      </c>
      <c r="M55" s="20" t="n">
        <v>96.905</v>
      </c>
      <c r="N55" s="20" t="n">
        <v>4.502</v>
      </c>
      <c r="O55" s="19" t="n"/>
      <c r="P55" s="20" t="n"/>
      <c r="Q55" s="20" t="n">
        <v>0</v>
      </c>
      <c r="R55" s="20" t="n">
        <v>73.928</v>
      </c>
      <c r="S55" s="20" t="n">
        <v>17.69</v>
      </c>
      <c r="T55" s="20" t="n">
        <v>0</v>
      </c>
      <c r="U55" s="20" t="n">
        <v>35.148</v>
      </c>
      <c r="V55" s="20" t="n">
        <v>67.89</v>
      </c>
      <c r="W55" s="20" t="n">
        <v>290.267</v>
      </c>
      <c r="X55" s="20" t="n">
        <v>1213.172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4.127</v>
      </c>
      <c r="D57" s="20" t="n">
        <v>4.086</v>
      </c>
      <c r="E57" s="20" t="n">
        <v>3.884</v>
      </c>
      <c r="F57" s="20" t="n">
        <v>10.206</v>
      </c>
      <c r="G57" s="20" t="n">
        <v>9.115</v>
      </c>
      <c r="H57" s="20" t="n">
        <v>62.331</v>
      </c>
      <c r="I57" s="20" t="n">
        <v>37.719</v>
      </c>
      <c r="J57" s="20" t="n">
        <v>42.228</v>
      </c>
      <c r="K57" s="20" t="n">
        <v>-16.251</v>
      </c>
      <c r="L57" s="20" t="n">
        <v>59.89</v>
      </c>
      <c r="M57" s="20" t="n">
        <v>24.582</v>
      </c>
      <c r="N57" s="20" t="n">
        <v>67.80500000000001</v>
      </c>
      <c r="O57" s="19" t="n"/>
      <c r="P57" s="20" t="n">
        <v>0.331</v>
      </c>
      <c r="Q57" s="20" t="n">
        <v>0.063</v>
      </c>
      <c r="R57" s="20" t="n">
        <v>2.602</v>
      </c>
      <c r="S57" s="20" t="n">
        <v>338.107</v>
      </c>
      <c r="T57" s="20" t="n">
        <v>26.491</v>
      </c>
      <c r="U57" s="20" t="n">
        <v>10.606</v>
      </c>
      <c r="V57" s="20" t="n">
        <v>14.868</v>
      </c>
      <c r="W57" s="20" t="n">
        <v>27.291</v>
      </c>
      <c r="X57" s="20" t="n">
        <v>126.027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34.804</v>
      </c>
      <c r="D59" s="20" t="n">
        <v>146.78</v>
      </c>
      <c r="E59" s="20" t="n">
        <v>179.022</v>
      </c>
      <c r="F59" s="20" t="n">
        <v>142.986</v>
      </c>
      <c r="G59" s="20" t="n">
        <v>176.761</v>
      </c>
      <c r="H59" s="20" t="n">
        <v>212.229</v>
      </c>
      <c r="I59" s="20" t="n">
        <v>192.698</v>
      </c>
      <c r="J59" s="20" t="n">
        <v>133.269</v>
      </c>
      <c r="K59" s="20" t="n">
        <v>812.086</v>
      </c>
      <c r="L59" s="20" t="n">
        <v>414.582</v>
      </c>
      <c r="M59" s="20" t="n">
        <v>666.112</v>
      </c>
      <c r="N59" s="20" t="n">
        <v>429.747</v>
      </c>
      <c r="O59" s="19" t="n"/>
      <c r="P59" s="20" t="n">
        <v>37.348</v>
      </c>
      <c r="Q59" s="20" t="n">
        <v>28.247</v>
      </c>
      <c r="R59" s="20" t="n">
        <v>123.908</v>
      </c>
      <c r="S59" s="20" t="n">
        <v>72.08</v>
      </c>
      <c r="T59" s="20" t="n">
        <v>396.758</v>
      </c>
      <c r="U59" s="20" t="n">
        <v>1122.857</v>
      </c>
      <c r="V59" s="20" t="n">
        <v>424.058</v>
      </c>
      <c r="W59" s="20" t="n">
        <v>645.549</v>
      </c>
      <c r="X59" s="20" t="n">
        <v>1350.282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-1855.811</v>
      </c>
      <c r="D61" s="12" t="n">
        <v>-1135.049</v>
      </c>
      <c r="E61" s="12" t="n">
        <v>-1020.15</v>
      </c>
      <c r="F61" s="12" t="n">
        <v>-1143.037</v>
      </c>
      <c r="G61" s="12" t="n">
        <v>-2344.522</v>
      </c>
      <c r="H61" s="12" t="n">
        <v>-635.724</v>
      </c>
      <c r="I61" s="12" t="n">
        <v>-1057.576</v>
      </c>
      <c r="J61" s="12" t="n">
        <v>-1018.535</v>
      </c>
      <c r="K61" s="12" t="n">
        <v>6105.036</v>
      </c>
      <c r="L61" s="12" t="n">
        <v>2281.996</v>
      </c>
      <c r="M61" s="12" t="n">
        <v>-1152.359</v>
      </c>
      <c r="N61" s="12" t="n">
        <v>1685.279</v>
      </c>
      <c r="O61" s="11" t="n"/>
      <c r="P61" s="12" t="n">
        <v>-833.7089999999999</v>
      </c>
      <c r="Q61" s="12" t="n">
        <v>-820.595</v>
      </c>
      <c r="R61" s="12" t="n">
        <v>-2639.484</v>
      </c>
      <c r="S61" s="12" t="n">
        <v>-2454.655</v>
      </c>
      <c r="T61" s="12" t="n">
        <v>-1430.066</v>
      </c>
      <c r="U61" s="12" t="n">
        <v>-9615.626</v>
      </c>
      <c r="V61" s="12" t="n">
        <v>-6805.348</v>
      </c>
      <c r="W61" s="12" t="n">
        <v>-5642.758</v>
      </c>
      <c r="X61" s="12" t="n">
        <v>3393.201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-104.775</v>
      </c>
      <c r="D63" s="20" t="n">
        <v>111.829</v>
      </c>
      <c r="E63" s="20" t="n">
        <v>4.5</v>
      </c>
      <c r="F63" s="20" t="n">
        <v>68.625</v>
      </c>
      <c r="G63" s="20" t="n">
        <v>373.177</v>
      </c>
      <c r="H63" s="20" t="n">
        <v>100.942</v>
      </c>
      <c r="I63" s="20" t="n">
        <v>101.36</v>
      </c>
      <c r="J63" s="20" t="n">
        <v>101.085</v>
      </c>
      <c r="K63" s="20" t="n">
        <v>907.984</v>
      </c>
      <c r="L63" s="20" t="n">
        <v>501.811</v>
      </c>
      <c r="M63" s="20" t="n">
        <v>60.447</v>
      </c>
      <c r="N63" s="20" t="n">
        <v>246.248</v>
      </c>
      <c r="O63" s="19" t="n"/>
      <c r="P63" s="20" t="n">
        <v>9.105</v>
      </c>
      <c r="Q63" s="20" t="n">
        <v>13.322</v>
      </c>
      <c r="R63" s="20" t="n">
        <v>-18.901</v>
      </c>
      <c r="S63" s="20" t="n">
        <v>23.824</v>
      </c>
      <c r="T63" s="20" t="n">
        <v>152.483</v>
      </c>
      <c r="U63" s="20" t="n">
        <v>86.161</v>
      </c>
      <c r="V63" s="20" t="n">
        <v>54.472</v>
      </c>
      <c r="W63" s="20" t="n">
        <v>558.131</v>
      </c>
      <c r="X63" s="20" t="n">
        <v>1211.371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-1751.036</v>
      </c>
      <c r="D65" s="12" t="n">
        <v>-1246.879</v>
      </c>
      <c r="E65" s="12" t="n">
        <v>-1024.65</v>
      </c>
      <c r="F65" s="12" t="n">
        <v>-1211.662</v>
      </c>
      <c r="G65" s="12" t="n">
        <v>-2717.698</v>
      </c>
      <c r="H65" s="12" t="n">
        <v>-736.6660000000001</v>
      </c>
      <c r="I65" s="12" t="n">
        <v>-1158.937</v>
      </c>
      <c r="J65" s="12" t="n">
        <v>-1119.62</v>
      </c>
      <c r="K65" s="12" t="n">
        <v>5197.053</v>
      </c>
      <c r="L65" s="12" t="n">
        <v>1780.184</v>
      </c>
      <c r="M65" s="12" t="n">
        <v>-1212.806</v>
      </c>
      <c r="N65" s="12" t="n">
        <v>1439.031</v>
      </c>
      <c r="O65" s="11" t="n"/>
      <c r="P65" s="12" t="n">
        <v>-842.814</v>
      </c>
      <c r="Q65" s="12" t="n">
        <v>-833.918</v>
      </c>
      <c r="R65" s="12" t="n">
        <v>-2620.583</v>
      </c>
      <c r="S65" s="12" t="n">
        <v>-2478.479</v>
      </c>
      <c r="T65" s="12" t="n">
        <v>-1582.549</v>
      </c>
      <c r="U65" s="12" t="n">
        <v>-9701.788</v>
      </c>
      <c r="V65" s="12" t="n">
        <v>-6859.82</v>
      </c>
      <c r="W65" s="12" t="n">
        <v>-6200.889</v>
      </c>
      <c r="X65" s="12" t="n">
        <v>2181.83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-1379.187</v>
      </c>
      <c r="D67" s="12" t="n">
        <v>-1318.876</v>
      </c>
      <c r="E67" s="12" t="n">
        <v>-1278.443</v>
      </c>
      <c r="F67" s="12" t="n">
        <v>-1114.975</v>
      </c>
      <c r="G67" s="12" t="n">
        <v>-2618.283</v>
      </c>
      <c r="H67" s="12" t="n">
        <v>-1119.256</v>
      </c>
      <c r="I67" s="12" t="n">
        <v>-1078.043</v>
      </c>
      <c r="J67" s="12" t="n">
        <v>-1187.274</v>
      </c>
      <c r="K67" s="12" t="n">
        <v>4971.833</v>
      </c>
      <c r="L67" s="12" t="n">
        <v>1828.883</v>
      </c>
      <c r="M67" s="12" t="n">
        <v>-1275.148</v>
      </c>
      <c r="N67" s="12" t="n">
        <v>-55.593</v>
      </c>
      <c r="O67" s="11" t="n"/>
      <c r="P67" s="12" t="n">
        <v>-842.814</v>
      </c>
      <c r="Q67" s="12" t="n">
        <v>-815.4450000000001</v>
      </c>
      <c r="R67" s="12" t="n">
        <v>-2572.05</v>
      </c>
      <c r="S67" s="12" t="n">
        <v>-2423.282</v>
      </c>
      <c r="T67" s="12" t="n">
        <v>-1482.262</v>
      </c>
      <c r="U67" s="12" t="n">
        <v>-9449.804</v>
      </c>
      <c r="V67" s="12" t="n">
        <v>-6315.05</v>
      </c>
      <c r="W67" s="12" t="n">
        <v>-6330.577</v>
      </c>
      <c r="X67" s="12" t="n">
        <v>1587.26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(2026.10.28)</t>
        </is>
      </c>
      <c r="B71" s="27" t="n">
        <v>6723</v>
      </c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>
        <v>55702614</v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 2026.10.28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2023.4Q</t>
        </is>
      </c>
      <c r="D101" s="5" t="inlineStr">
        <is>
          <t>2024.1Q</t>
        </is>
      </c>
      <c r="E101" s="5" t="inlineStr">
        <is>
          <t>2024.2Q</t>
        </is>
      </c>
      <c r="F101" s="5" t="inlineStr">
        <is>
          <t>2024.3Q</t>
        </is>
      </c>
      <c r="G101" s="5" t="inlineStr">
        <is>
          <t>2024.4Q</t>
        </is>
      </c>
      <c r="H101" s="5" t="inlineStr">
        <is>
          <t>2025.1Q</t>
        </is>
      </c>
      <c r="I101" s="5" t="inlineStr">
        <is>
          <t>2025.2Q</t>
        </is>
      </c>
      <c r="J101" s="5" t="inlineStr">
        <is>
          <t>2025.3Q</t>
        </is>
      </c>
      <c r="K101" s="5" t="inlineStr">
        <is>
          <t>2025.4Q</t>
        </is>
      </c>
      <c r="L101" s="5" t="inlineStr">
        <is>
          <t>2026.1Q</t>
        </is>
      </c>
      <c r="M101" s="5" t="inlineStr">
        <is>
          <t>2026.2Q</t>
        </is>
      </c>
      <c r="N101" s="5" t="inlineStr">
        <is>
          <t>2026.3Q</t>
        </is>
      </c>
      <c r="O101" s="5" t="inlineStr">
        <is>
          <t>2016</t>
        </is>
      </c>
      <c r="P101" s="5" t="inlineStr">
        <is>
          <t>2017</t>
        </is>
      </c>
      <c r="Q101" s="5" t="inlineStr">
        <is>
          <t>2018</t>
        </is>
      </c>
      <c r="R101" s="5" t="inlineStr">
        <is>
          <t>2019</t>
        </is>
      </c>
      <c r="S101" s="5" t="inlineStr">
        <is>
          <t>2020</t>
        </is>
      </c>
      <c r="T101" s="5" t="inlineStr">
        <is>
          <t>2021</t>
        </is>
      </c>
      <c r="U101" s="5" t="inlineStr">
        <is>
          <t>2022</t>
        </is>
      </c>
      <c r="V101" s="5" t="inlineStr">
        <is>
          <t>2023</t>
        </is>
      </c>
      <c r="W101" s="5" t="inlineStr">
        <is>
          <t>2024</t>
        </is>
      </c>
      <c r="X101" s="5" t="inlineStr">
        <is>
          <t>2025</t>
        </is>
      </c>
      <c r="Y101" s="5" t="inlineStr">
        <is>
          <t>2026(MW)</t>
        </is>
      </c>
      <c r="Z101" s="5" t="inlineStr">
        <is>
          <t>2027(MW)</t>
        </is>
      </c>
      <c r="AA101" s="5" t="inlineStr">
        <is>
          <t>2028(MW)</t>
        </is>
      </c>
      <c r="AB101" s="5" t="inlineStr">
        <is>
          <t>2029(MW)</t>
        </is>
      </c>
      <c r="AC101" s="5" t="inlineStr">
        <is>
          <t>2030(MW)</t>
        </is>
      </c>
    </row>
    <row r="102">
      <c r="A102" s="9" t="inlineStr">
        <is>
          <t>매출액</t>
        </is>
      </c>
      <c r="C102" s="12" t="n">
        <v>8796.512000000001</v>
      </c>
      <c r="D102" s="12" t="n">
        <v>9544.098</v>
      </c>
      <c r="E102" s="12" t="n">
        <v>10320.352</v>
      </c>
      <c r="F102" s="12" t="n">
        <v>9809.112999999999</v>
      </c>
      <c r="G102" s="12" t="n">
        <v>10690.274</v>
      </c>
      <c r="H102" s="12" t="n">
        <v>11706.875</v>
      </c>
      <c r="I102" s="12" t="n">
        <v>11530.411</v>
      </c>
      <c r="J102" s="12" t="n">
        <v>12069.209</v>
      </c>
      <c r="K102" s="12" t="n">
        <v>15043.448</v>
      </c>
      <c r="L102" s="12" t="n">
        <v>14670.082</v>
      </c>
      <c r="M102" s="12" t="n">
        <v>14322.475</v>
      </c>
      <c r="N102" s="12" t="n">
        <v>17916.189</v>
      </c>
      <c r="U102" s="12" t="n">
        <v>6181.105</v>
      </c>
      <c r="V102" s="12" t="n">
        <v>8796.512000000001</v>
      </c>
      <c r="W102" s="12" t="n">
        <v>10690.274</v>
      </c>
      <c r="X102" s="12" t="n">
        <v>15043.448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3309.614</v>
      </c>
      <c r="D104" s="20" t="n">
        <v>3004.245</v>
      </c>
      <c r="E104" s="20" t="n">
        <v>3468.631</v>
      </c>
      <c r="F104" s="20" t="n">
        <v>3274.851</v>
      </c>
      <c r="G104" s="20" t="n">
        <v>3555.665</v>
      </c>
      <c r="H104" s="20" t="n">
        <v>3680.643</v>
      </c>
      <c r="I104" s="20" t="n">
        <v>3910.143</v>
      </c>
      <c r="J104" s="20" t="n">
        <v>3786.369</v>
      </c>
      <c r="K104" s="20" t="n">
        <v>4742.243</v>
      </c>
      <c r="L104" s="20" t="n">
        <v>4020.24</v>
      </c>
      <c r="M104" s="20" t="n">
        <v>4924.507</v>
      </c>
      <c r="N104" s="20" t="n">
        <v>5578.259</v>
      </c>
      <c r="U104" s="20" t="n">
        <v>2463.419</v>
      </c>
      <c r="V104" s="20" t="n">
        <v>3309.614</v>
      </c>
      <c r="W104" s="20" t="n">
        <v>3555.665</v>
      </c>
      <c r="X104" s="20" t="n">
        <v>4742.243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5486.898</v>
      </c>
      <c r="D106" s="12" t="n">
        <v>6539.853</v>
      </c>
      <c r="E106" s="12" t="n">
        <v>6851.72</v>
      </c>
      <c r="F106" s="12" t="n">
        <v>6534.262</v>
      </c>
      <c r="G106" s="12" t="n">
        <v>7134.61</v>
      </c>
      <c r="H106" s="12" t="n">
        <v>8026.232</v>
      </c>
      <c r="I106" s="12" t="n">
        <v>7620.268</v>
      </c>
      <c r="J106" s="12" t="n">
        <v>8282.84</v>
      </c>
      <c r="K106" s="12" t="n">
        <v>10301.205</v>
      </c>
      <c r="L106" s="12" t="n">
        <v>10649.841</v>
      </c>
      <c r="M106" s="12" t="n">
        <v>9397.968999999999</v>
      </c>
      <c r="N106" s="12" t="n">
        <v>12337.93</v>
      </c>
      <c r="U106" s="12" t="n">
        <v>3717.686</v>
      </c>
      <c r="V106" s="12" t="n">
        <v>5486.898</v>
      </c>
      <c r="W106" s="12" t="n">
        <v>7134.61</v>
      </c>
      <c r="X106" s="12" t="n">
        <v>10301.205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판매비와 관리비</t>
        </is>
      </c>
      <c r="C108" s="20" t="n">
        <v>7252.078</v>
      </c>
      <c r="D108" s="20" t="n">
        <v>7532.417</v>
      </c>
      <c r="E108" s="20" t="n">
        <v>7686.735</v>
      </c>
      <c r="F108" s="20" t="n">
        <v>7543.798</v>
      </c>
      <c r="G108" s="20" t="n">
        <v>9032.638000000001</v>
      </c>
      <c r="H108" s="20" t="n">
        <v>8606.963</v>
      </c>
      <c r="I108" s="20" t="n">
        <v>8632.405000000001</v>
      </c>
      <c r="J108" s="20" t="n">
        <v>8669.549999999999</v>
      </c>
      <c r="K108" s="20" t="n">
        <v>10975.023</v>
      </c>
      <c r="L108" s="20" t="n">
        <v>10481.815</v>
      </c>
      <c r="M108" s="20" t="n">
        <v>9775.114</v>
      </c>
      <c r="N108" s="20" t="n">
        <v>10442.432</v>
      </c>
      <c r="U108" s="20" t="n">
        <v>5880.199</v>
      </c>
      <c r="V108" s="20" t="n">
        <v>7252.078</v>
      </c>
      <c r="W108" s="20" t="n">
        <v>9032.638000000001</v>
      </c>
      <c r="X108" s="20" t="n">
        <v>10975.023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영업이익(△는 영업손실)</t>
        </is>
      </c>
      <c r="C110" s="12" t="n">
        <v>-1765.18</v>
      </c>
      <c r="D110" s="12" t="n">
        <v>-992.564</v>
      </c>
      <c r="E110" s="12" t="n">
        <v>-835.015</v>
      </c>
      <c r="F110" s="12" t="n">
        <v>-1009.535</v>
      </c>
      <c r="G110" s="12" t="n">
        <v>-1898.029</v>
      </c>
      <c r="H110" s="12" t="n">
        <v>-580.73</v>
      </c>
      <c r="I110" s="12" t="n">
        <v>-1012.138</v>
      </c>
      <c r="J110" s="12" t="n">
        <v>-386.71</v>
      </c>
      <c r="K110" s="12" t="n">
        <v>-673.818</v>
      </c>
      <c r="L110" s="12" t="n">
        <v>168.026</v>
      </c>
      <c r="M110" s="12" t="n">
        <v>-377.145</v>
      </c>
      <c r="N110" s="12" t="n">
        <v>1895.497</v>
      </c>
      <c r="U110" s="12" t="n">
        <v>-2162.514</v>
      </c>
      <c r="V110" s="12" t="n">
        <v>-1765.18</v>
      </c>
      <c r="W110" s="12" t="n">
        <v>-1898.029</v>
      </c>
      <c r="X110" s="12" t="n">
        <v>-673.818</v>
      </c>
    </row>
    <row r="111">
      <c r="A111" s="43" t="inlineStr">
        <is>
          <t>OPM</t>
        </is>
      </c>
      <c r="B111" s="3" t="inlineStr">
        <is>
          <t>영업이익 ÷ 매출</t>
        </is>
      </c>
      <c r="C111" s="15">
        <f>IF(OR(C110="",C102=""),"",IF(C102&lt;=0,"",IFERROR(C110/C102,"")))</f>
        <v/>
      </c>
      <c r="D111" s="15">
        <f>IF(OR(D110="",D102=""),"",IF(D102&lt;=0,"",IFERROR(D110/D102,"")))</f>
        <v/>
      </c>
      <c r="E111" s="15">
        <f>IF(OR(E110="",E102=""),"",IF(E102&lt;=0,"",IFERROR(E110/E102,"")))</f>
        <v/>
      </c>
      <c r="F111" s="15">
        <f>IF(OR(F110="",F102=""),"",IF(F102&lt;=0,"",IFERROR(F110/F102,"")))</f>
        <v/>
      </c>
      <c r="G111" s="15">
        <f>IF(OR(G110="",G102=""),"",IF(G102&lt;=0,"",IFERROR(G110/G102,"")))</f>
        <v/>
      </c>
      <c r="H111" s="15">
        <f>IF(OR(H110="",H102=""),"",IF(H102&lt;=0,"",IFERROR(H110/H102,"")))</f>
        <v/>
      </c>
      <c r="I111" s="15">
        <f>IF(OR(I110="",I102=""),"",IF(I102&lt;=0,"",IFERROR(I110/I102,"")))</f>
        <v/>
      </c>
      <c r="J111" s="15">
        <f>IF(OR(J110="",J102=""),"",IF(J102&lt;=0,"",IFERROR(J110/J102,"")))</f>
        <v/>
      </c>
      <c r="K111" s="15">
        <f>IF(OR(K110="",K102=""),"",IF(K102&lt;=0,"",IFERROR(K110/K102,"")))</f>
        <v/>
      </c>
      <c r="L111" s="15">
        <f>IF(OR(L110="",L102=""),"",IF(L102&lt;=0,"",IFERROR(L110/L102,"")))</f>
        <v/>
      </c>
      <c r="M111" s="15">
        <f>IF(OR(M110="",M102=""),"",IF(M102&lt;=0,"",IFERROR(M110/M102,"")))</f>
        <v/>
      </c>
      <c r="N111" s="15">
        <f>IF(OR(N110="",N102=""),"",IF(N102&lt;=0,"",IFERROR(N110/N102,"")))</f>
        <v/>
      </c>
      <c r="U111" s="15">
        <f>IF(OR(U110="",U102=""),"",IF(U102&lt;=0,"",IFERROR(U110/U102,"")))</f>
        <v/>
      </c>
      <c r="V111" s="15">
        <f>IF(OR(V110="",V102=""),"",IF(V102&lt;=0,"",IFERROR(V110/V102,"")))</f>
        <v/>
      </c>
      <c r="W111" s="15">
        <f>IF(OR(W110="",W102=""),"",IF(W102&lt;=0,"",IFERROR(W110/W102,"")))</f>
        <v/>
      </c>
      <c r="X111" s="15">
        <f>IF(OR(X110="",X102=""),"",IF(X102&lt;=0,"",IFERROR(X110/X102,"")))</f>
        <v/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IF(OR(G110="",C110=""),"",IF(C110&lt;=0,"",IFERROR(G110/C110-1,"")))</f>
        <v/>
      </c>
      <c r="H112" s="15">
        <f>IF(OR(H110="",D110=""),"",IF(D110&lt;=0,"",IFERROR(H110/D110-1,"")))</f>
        <v/>
      </c>
      <c r="I112" s="15">
        <f>IF(OR(I110="",E110=""),"",IF(E110&lt;=0,"",IFERROR(I110/E110-1,"")))</f>
        <v/>
      </c>
      <c r="J112" s="15">
        <f>IF(OR(J110="",F110=""),"",IF(F110&lt;=0,"",IFERROR(J110/F110-1,"")))</f>
        <v/>
      </c>
      <c r="K112" s="15">
        <f>IF(OR(K110="",G110=""),"",IF(G110&lt;=0,"",IFERROR(K110/G110-1,"")))</f>
        <v/>
      </c>
      <c r="L112" s="15">
        <f>IF(OR(L110="",H110=""),"",IF(H110&lt;=0,"",IFERROR(L110/H110-1,"")))</f>
        <v/>
      </c>
      <c r="M112" s="15">
        <f>IF(OR(M110="",I110=""),"",IF(I110&lt;=0,"",IFERROR(M110/I110-1,"")))</f>
        <v/>
      </c>
      <c r="N112" s="15">
        <f>IF(OR(N110="",J110=""),"",IF(J110&lt;=0,"",IFERROR(N110/J110-1,"")))</f>
        <v/>
      </c>
      <c r="U112" s="15">
        <f>IF(OR(U110="",T110=""),"",IF(T110&lt;=0,"",IFERROR(U110/T110-1,"")))</f>
        <v/>
      </c>
      <c r="V112" s="15">
        <f>IF(OR(V110="",U110=""),"",IF(U110&lt;=0,"",IFERROR(V110/U110-1,"")))</f>
        <v/>
      </c>
      <c r="W112" s="15">
        <f>IF(OR(W110="",V110=""),"",IF(V110&lt;=0,"",IFERROR(W110/V110-1,"")))</f>
        <v/>
      </c>
      <c r="X112" s="15">
        <f>IF(OR(X110="",W110=""),"",IF(W110&lt;=0,"",IFERROR(X110/W110-1,"")))</f>
        <v/>
      </c>
    </row>
    <row r="113">
      <c r="A113" s="18" t="inlineStr">
        <is>
          <t>이자수익</t>
        </is>
      </c>
      <c r="C113" s="20" t="n">
        <v>0.785</v>
      </c>
      <c r="D113" s="20" t="n">
        <v>1.07</v>
      </c>
      <c r="E113" s="20" t="n">
        <v>1.077</v>
      </c>
      <c r="F113" s="20" t="n">
        <v>3.269</v>
      </c>
      <c r="G113" s="20" t="n">
        <v>1.075</v>
      </c>
      <c r="H113" s="20" t="n">
        <v>19.271</v>
      </c>
      <c r="I113" s="20" t="n">
        <v>3.574</v>
      </c>
      <c r="J113" s="20" t="n">
        <v>29.738</v>
      </c>
      <c r="K113" s="20" t="n">
        <v>5.383</v>
      </c>
      <c r="L113" s="20" t="n">
        <v>45.858</v>
      </c>
      <c r="M113" s="20" t="n">
        <v>15.392</v>
      </c>
      <c r="N113" s="20" t="n">
        <v>51.835</v>
      </c>
      <c r="U113" s="20" t="n">
        <v>0.18</v>
      </c>
      <c r="V113" s="20" t="n">
        <v>0.785</v>
      </c>
      <c r="W113" s="20" t="n">
        <v>1.075</v>
      </c>
      <c r="X113" s="20" t="n">
        <v>5.383</v>
      </c>
    </row>
    <row r="114">
      <c r="A114" s="18" t="inlineStr">
        <is>
          <t>외환차익</t>
        </is>
      </c>
      <c r="D114" s="20" t="n">
        <v>0</v>
      </c>
      <c r="E114" s="20" t="n">
        <v>0</v>
      </c>
      <c r="F114" s="20" t="n">
        <v>0</v>
      </c>
      <c r="G114" s="20" t="n">
        <v>0</v>
      </c>
      <c r="H114" s="20" t="n">
        <v>30.362</v>
      </c>
      <c r="I114" s="20" t="n">
        <v>28.56</v>
      </c>
      <c r="J114" s="20" t="n">
        <v>3.499</v>
      </c>
      <c r="K114" s="20" t="n">
        <v>-27.46</v>
      </c>
      <c r="W114" s="20" t="n">
        <v>0</v>
      </c>
      <c r="X114" s="20" t="n">
        <v>-27.46</v>
      </c>
    </row>
    <row r="115">
      <c r="A115" s="18" t="inlineStr">
        <is>
          <t>보조금 수입</t>
        </is>
      </c>
      <c r="C115" s="20" t="n">
        <v>1.696</v>
      </c>
      <c r="D115" s="20" t="n">
        <v>1.752</v>
      </c>
      <c r="E115" s="20" t="n">
        <v>1.32</v>
      </c>
      <c r="F115" s="20" t="n">
        <v>1.375</v>
      </c>
      <c r="G115" s="20" t="n">
        <v>1.82</v>
      </c>
      <c r="H115" s="20" t="n">
        <v>1.963</v>
      </c>
      <c r="I115" s="20" t="n">
        <v>0.2</v>
      </c>
      <c r="J115" s="20" t="n">
        <v>0</v>
      </c>
      <c r="U115" s="20" t="n">
        <v>1.571</v>
      </c>
      <c r="V115" s="20" t="n">
        <v>1.696</v>
      </c>
      <c r="W115" s="20" t="n">
        <v>1.82</v>
      </c>
    </row>
    <row r="116">
      <c r="A116" s="18" t="inlineStr">
        <is>
          <t>수취 지연손해금</t>
        </is>
      </c>
      <c r="D116" s="20" t="n">
        <v>0</v>
      </c>
      <c r="H116" s="20" t="n">
        <v>0.225</v>
      </c>
    </row>
    <row r="117">
      <c r="A117" s="18" t="inlineStr">
        <is>
          <t>리스투자자산 수취이자 상당액</t>
        </is>
      </c>
      <c r="H117" s="20" t="n">
        <v>0</v>
      </c>
      <c r="I117" s="20" t="n">
        <v>0</v>
      </c>
      <c r="J117" s="20" t="n">
        <v>0</v>
      </c>
      <c r="L117" s="20" t="n">
        <v>3.234</v>
      </c>
      <c r="M117" s="20" t="n">
        <v>3.21</v>
      </c>
      <c r="N117" s="20" t="n">
        <v>3.95</v>
      </c>
    </row>
    <row r="118">
      <c r="A118" s="18" t="inlineStr">
        <is>
          <t>배당금수익</t>
        </is>
      </c>
      <c r="C118" s="20" t="n">
        <v>0</v>
      </c>
      <c r="D118" s="20" t="n">
        <v>0</v>
      </c>
      <c r="E118" s="20" t="n">
        <v>0</v>
      </c>
      <c r="F118" s="20" t="n">
        <v>0</v>
      </c>
      <c r="G118" s="20" t="n">
        <v>0</v>
      </c>
      <c r="H118" s="20" t="n">
        <v>3.634</v>
      </c>
      <c r="I118" s="20" t="n">
        <v>2</v>
      </c>
      <c r="J118" s="20" t="n">
        <v>0</v>
      </c>
      <c r="L118" s="20" t="n">
        <v>0</v>
      </c>
      <c r="M118" s="20" t="n">
        <v>0.79</v>
      </c>
      <c r="N118" s="20" t="n">
        <v>0</v>
      </c>
      <c r="U118" s="20" t="n">
        <v>0</v>
      </c>
      <c r="V118" s="20" t="n">
        <v>0</v>
      </c>
      <c r="W118" s="20" t="n">
        <v>0</v>
      </c>
    </row>
    <row r="119">
      <c r="A119" s="18" t="inlineStr">
        <is>
          <t>수취 리스료</t>
        </is>
      </c>
      <c r="J119" s="20" t="n">
        <v>0</v>
      </c>
      <c r="N119" s="20" t="n">
        <v>1.857</v>
      </c>
    </row>
    <row r="120">
      <c r="A120" s="18" t="inlineStr">
        <is>
          <t>기타</t>
        </is>
      </c>
      <c r="C120" s="20" t="n">
        <v>1.646</v>
      </c>
      <c r="D120" s="20" t="n">
        <v>1.263</v>
      </c>
      <c r="E120" s="20" t="n">
        <v>1.487</v>
      </c>
      <c r="F120" s="20" t="n">
        <v>5.563</v>
      </c>
      <c r="G120" s="20" t="n">
        <v>12.486</v>
      </c>
      <c r="H120" s="20" t="n">
        <v>39.425</v>
      </c>
      <c r="I120" s="20" t="n">
        <v>32.146</v>
      </c>
      <c r="J120" s="20" t="n">
        <v>12.489</v>
      </c>
      <c r="K120" s="20" t="n">
        <v>-50.961</v>
      </c>
      <c r="L120" s="20" t="n">
        <v>10.797</v>
      </c>
      <c r="M120" s="20" t="n">
        <v>-1.341</v>
      </c>
      <c r="N120" s="20" t="n">
        <v>10.16</v>
      </c>
      <c r="U120" s="20" t="n">
        <v>1.249</v>
      </c>
      <c r="V120" s="20" t="n">
        <v>1.646</v>
      </c>
      <c r="W120" s="20" t="n">
        <v>12.486</v>
      </c>
      <c r="X120" s="20" t="n">
        <v>-50.961</v>
      </c>
    </row>
    <row r="121">
      <c r="A121" s="18" t="inlineStr">
        <is>
          <t>영업외수익 합계</t>
        </is>
      </c>
      <c r="C121" s="20" t="n">
        <v>4.127</v>
      </c>
      <c r="D121" s="20" t="n">
        <v>4.086</v>
      </c>
      <c r="E121" s="20" t="n">
        <v>3.884</v>
      </c>
      <c r="F121" s="20" t="n">
        <v>10.206</v>
      </c>
      <c r="G121" s="20" t="n">
        <v>9.115</v>
      </c>
      <c r="H121" s="20" t="n">
        <v>62.331</v>
      </c>
      <c r="I121" s="20" t="n">
        <v>37.719</v>
      </c>
      <c r="J121" s="20" t="n">
        <v>42.228</v>
      </c>
      <c r="K121" s="20" t="n">
        <v>-16.251</v>
      </c>
      <c r="L121" s="20" t="n">
        <v>59.89</v>
      </c>
      <c r="M121" s="20" t="n">
        <v>24.582</v>
      </c>
      <c r="N121" s="20" t="n">
        <v>67.80500000000001</v>
      </c>
      <c r="U121" s="20" t="n">
        <v>4.21</v>
      </c>
      <c r="V121" s="20" t="n">
        <v>4.127</v>
      </c>
      <c r="W121" s="20" t="n">
        <v>9.115</v>
      </c>
      <c r="X121" s="20" t="n">
        <v>-16.251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18" t="inlineStr">
        <is>
          <t>이자비용</t>
        </is>
      </c>
      <c r="C123" s="20" t="n">
        <v>30.65</v>
      </c>
      <c r="D123" s="20" t="n">
        <v>35.224</v>
      </c>
      <c r="E123" s="20" t="n">
        <v>35.682</v>
      </c>
      <c r="F123" s="20" t="n">
        <v>42.513</v>
      </c>
      <c r="G123" s="20" t="n">
        <v>59.233</v>
      </c>
      <c r="H123" s="20" t="n">
        <v>63.67</v>
      </c>
      <c r="I123" s="20" t="n">
        <v>65.129</v>
      </c>
      <c r="J123" s="20" t="n">
        <v>69.857</v>
      </c>
      <c r="K123" s="20" t="n">
        <v>64.50700000000001</v>
      </c>
      <c r="L123" s="20" t="n">
        <v>89.505</v>
      </c>
      <c r="M123" s="20" t="n">
        <v>117.414</v>
      </c>
      <c r="N123" s="20" t="n">
        <v>141.525</v>
      </c>
      <c r="U123" s="20" t="n">
        <v>23.719</v>
      </c>
      <c r="V123" s="20" t="n">
        <v>30.65</v>
      </c>
      <c r="W123" s="20" t="n">
        <v>59.233</v>
      </c>
      <c r="X123" s="20" t="n">
        <v>64.50700000000001</v>
      </c>
    </row>
    <row r="124">
      <c r="A124" s="18" t="inlineStr">
        <is>
          <t>주식교부비</t>
        </is>
      </c>
      <c r="D124" s="20" t="n">
        <v>0</v>
      </c>
      <c r="E124" s="20" t="n">
        <v>4.404</v>
      </c>
      <c r="F124" s="20" t="n">
        <v>0</v>
      </c>
      <c r="G124" s="20" t="n">
        <v>0.67</v>
      </c>
      <c r="H124" s="20" t="n">
        <v>17.972</v>
      </c>
      <c r="I124" s="20" t="n">
        <v>0</v>
      </c>
      <c r="J124" s="20" t="n">
        <v>4.028</v>
      </c>
      <c r="K124" s="20" t="n">
        <v>0.005</v>
      </c>
      <c r="W124" s="20" t="n">
        <v>0.67</v>
      </c>
      <c r="X124" s="20" t="n">
        <v>0.005</v>
      </c>
    </row>
    <row r="125">
      <c r="A125" s="18" t="inlineStr">
        <is>
          <t>사채발행비</t>
        </is>
      </c>
      <c r="C125" s="20" t="n">
        <v>2.978</v>
      </c>
      <c r="G125" s="20" t="n">
        <v>0</v>
      </c>
      <c r="U125" s="20" t="n">
        <v>0</v>
      </c>
      <c r="V125" s="20" t="n">
        <v>2.978</v>
      </c>
      <c r="W125" s="20" t="n">
        <v>0</v>
      </c>
    </row>
    <row r="126">
      <c r="A126" s="18" t="inlineStr">
        <is>
          <t>리스부채 이자비용</t>
        </is>
      </c>
      <c r="H126" s="20" t="n">
        <v>0</v>
      </c>
      <c r="I126" s="20" t="n">
        <v>0</v>
      </c>
      <c r="J126" s="20" t="n">
        <v>0</v>
      </c>
      <c r="L126" s="20" t="n">
        <v>22.709</v>
      </c>
      <c r="M126" s="20" t="n">
        <v>19.453</v>
      </c>
      <c r="N126" s="20" t="n">
        <v>22.506</v>
      </c>
    </row>
    <row r="127">
      <c r="A127" s="18" t="inlineStr">
        <is>
          <t>외환차손</t>
        </is>
      </c>
      <c r="C127" s="20" t="n">
        <v>17.279</v>
      </c>
      <c r="D127" s="20" t="n">
        <v>24.228</v>
      </c>
      <c r="E127" s="20" t="n">
        <v>37.242</v>
      </c>
      <c r="F127" s="20" t="n">
        <v>-40.715</v>
      </c>
      <c r="G127" s="20" t="n">
        <v>44.534</v>
      </c>
      <c r="H127" s="20" t="n">
        <v>0</v>
      </c>
      <c r="I127" s="20" t="n">
        <v>0</v>
      </c>
      <c r="J127" s="20" t="n">
        <v>0</v>
      </c>
      <c r="K127" s="20" t="n">
        <v>0</v>
      </c>
      <c r="U127" s="20" t="n">
        <v>4.864</v>
      </c>
      <c r="V127" s="20" t="n">
        <v>17.279</v>
      </c>
      <c r="W127" s="20" t="n">
        <v>44.534</v>
      </c>
      <c r="X127" s="20" t="n">
        <v>0</v>
      </c>
    </row>
    <row r="128">
      <c r="A128" s="18" t="inlineStr">
        <is>
          <t>투자조합 운용손실</t>
        </is>
      </c>
      <c r="C128" s="20" t="n">
        <v>10.093</v>
      </c>
      <c r="D128" s="20" t="n">
        <v>0</v>
      </c>
      <c r="E128" s="20" t="n">
        <v>40.657</v>
      </c>
      <c r="F128" s="20" t="n">
        <v>44.232</v>
      </c>
      <c r="G128" s="20" t="n">
        <v>1.959</v>
      </c>
      <c r="H128" s="20" t="n">
        <v>2.957</v>
      </c>
      <c r="I128" s="20" t="n">
        <v>32.898</v>
      </c>
      <c r="J128" s="20" t="n">
        <v>-26.415</v>
      </c>
      <c r="K128" s="20" t="n">
        <v>9.679</v>
      </c>
      <c r="U128" s="20" t="n">
        <v>0.895</v>
      </c>
      <c r="V128" s="20" t="n">
        <v>10.093</v>
      </c>
      <c r="W128" s="20" t="n">
        <v>1.959</v>
      </c>
      <c r="X128" s="20" t="n">
        <v>9.679</v>
      </c>
    </row>
    <row r="129">
      <c r="A129" s="18" t="inlineStr">
        <is>
          <t>지분법손실</t>
        </is>
      </c>
      <c r="C129" s="20" t="n">
        <v>-32.838</v>
      </c>
      <c r="D129" s="20" t="n">
        <v>86.85299999999999</v>
      </c>
      <c r="E129" s="20" t="n">
        <v>59.668</v>
      </c>
      <c r="F129" s="20" t="n">
        <v>92.152</v>
      </c>
      <c r="G129" s="20" t="n">
        <v>69.194</v>
      </c>
      <c r="H129" s="20" t="n">
        <v>123.088</v>
      </c>
      <c r="I129" s="20" t="n">
        <v>89.979</v>
      </c>
      <c r="J129" s="20" t="n">
        <v>83.616</v>
      </c>
      <c r="K129" s="20" t="n">
        <v>632.0549999999999</v>
      </c>
      <c r="L129" s="20" t="n">
        <v>163.711</v>
      </c>
      <c r="M129" s="20" t="n">
        <v>377.375</v>
      </c>
      <c r="N129" s="20" t="n">
        <v>132.454</v>
      </c>
      <c r="U129" s="20" t="n">
        <v>36.408</v>
      </c>
      <c r="V129" s="20" t="n">
        <v>-32.838</v>
      </c>
      <c r="W129" s="20" t="n">
        <v>69.194</v>
      </c>
      <c r="X129" s="20" t="n">
        <v>632.0549999999999</v>
      </c>
    </row>
    <row r="130">
      <c r="A130" s="18" t="inlineStr">
        <is>
          <t>지급수수료</t>
        </is>
      </c>
      <c r="H130" s="20" t="n">
        <v>0</v>
      </c>
      <c r="I130" s="20" t="n">
        <v>0</v>
      </c>
      <c r="L130" s="20" t="n">
        <v>110.661</v>
      </c>
      <c r="M130" s="20" t="n">
        <v>0.828</v>
      </c>
    </row>
    <row r="131">
      <c r="A131" s="18" t="inlineStr">
        <is>
          <t>기타</t>
        </is>
      </c>
      <c r="C131" s="20" t="n">
        <v>1.911</v>
      </c>
      <c r="D131" s="20" t="n">
        <v>0.473</v>
      </c>
      <c r="E131" s="20" t="n">
        <v>1.37</v>
      </c>
      <c r="F131" s="20" t="n">
        <v>4.802</v>
      </c>
      <c r="G131" s="20" t="n">
        <v>1.172</v>
      </c>
      <c r="H131" s="20" t="n">
        <v>25.471</v>
      </c>
      <c r="I131" s="20" t="n">
        <v>37.588</v>
      </c>
      <c r="J131" s="20" t="n">
        <v>-20.202</v>
      </c>
      <c r="K131" s="20" t="n">
        <v>-18.978</v>
      </c>
      <c r="L131" s="20" t="n">
        <v>27.995</v>
      </c>
      <c r="M131" s="20" t="n">
        <v>151.042</v>
      </c>
      <c r="N131" s="20" t="n">
        <v>63.33</v>
      </c>
      <c r="U131" s="20" t="n">
        <v>-3.437</v>
      </c>
      <c r="V131" s="20" t="n">
        <v>1.911</v>
      </c>
      <c r="W131" s="20" t="n">
        <v>1.172</v>
      </c>
      <c r="X131" s="20" t="n">
        <v>-18.978</v>
      </c>
    </row>
    <row r="132">
      <c r="A132" s="18" t="inlineStr">
        <is>
          <t>영업외비용 합계</t>
        </is>
      </c>
      <c r="C132" s="20" t="n">
        <v>34.804</v>
      </c>
      <c r="D132" s="20" t="n">
        <v>146.78</v>
      </c>
      <c r="E132" s="20" t="n">
        <v>179.022</v>
      </c>
      <c r="F132" s="20" t="n">
        <v>142.986</v>
      </c>
      <c r="G132" s="20" t="n">
        <v>176.761</v>
      </c>
      <c r="H132" s="20" t="n">
        <v>212.229</v>
      </c>
      <c r="I132" s="20" t="n">
        <v>192.698</v>
      </c>
      <c r="J132" s="20" t="n">
        <v>133.269</v>
      </c>
      <c r="K132" s="20" t="n">
        <v>812.086</v>
      </c>
      <c r="L132" s="20" t="n">
        <v>414.582</v>
      </c>
      <c r="M132" s="20" t="n">
        <v>666.112</v>
      </c>
      <c r="N132" s="20" t="n">
        <v>429.747</v>
      </c>
      <c r="U132" s="20" t="n">
        <v>66.57599999999999</v>
      </c>
      <c r="V132" s="20" t="n">
        <v>34.804</v>
      </c>
      <c r="W132" s="20" t="n">
        <v>176.761</v>
      </c>
      <c r="X132" s="20" t="n">
        <v>812.086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경상이익(△는 경상손실)</t>
        </is>
      </c>
      <c r="C134" s="12" t="n">
        <v>-1795.858</v>
      </c>
      <c r="D134" s="12" t="n">
        <v>-1135.257</v>
      </c>
      <c r="E134" s="12" t="n">
        <v>-1010.154</v>
      </c>
      <c r="F134" s="12" t="n">
        <v>-1142.314</v>
      </c>
      <c r="G134" s="12" t="n">
        <v>-2065.676</v>
      </c>
      <c r="H134" s="12" t="n">
        <v>-730.629</v>
      </c>
      <c r="I134" s="12" t="n">
        <v>-1167.115</v>
      </c>
      <c r="J134" s="12" t="n">
        <v>-477.752</v>
      </c>
      <c r="K134" s="12" t="n">
        <v>-1502.154</v>
      </c>
      <c r="L134" s="12" t="n">
        <v>-186.666</v>
      </c>
      <c r="M134" s="12" t="n">
        <v>-1018.674</v>
      </c>
      <c r="N134" s="12" t="n">
        <v>1533.554</v>
      </c>
      <c r="U134" s="12" t="n">
        <v>-2224.88</v>
      </c>
      <c r="V134" s="12" t="n">
        <v>-1795.858</v>
      </c>
      <c r="W134" s="12" t="n">
        <v>-2065.676</v>
      </c>
      <c r="X134" s="12" t="n">
        <v>-1502.154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신주예약권 환입이익</t>
        </is>
      </c>
      <c r="C136" s="20" t="n">
        <v>0.256</v>
      </c>
      <c r="D136" s="20" t="n">
        <v>0.28</v>
      </c>
      <c r="E136" s="20" t="n">
        <v>0.004</v>
      </c>
      <c r="F136" s="20" t="n">
        <v>0</v>
      </c>
      <c r="G136" s="20" t="n">
        <v>0.117</v>
      </c>
      <c r="H136" s="20" t="n">
        <v>1.041</v>
      </c>
      <c r="I136" s="20" t="n">
        <v>0.915</v>
      </c>
      <c r="J136" s="20" t="n">
        <v>0.016</v>
      </c>
      <c r="U136" s="20" t="n">
        <v>0.104</v>
      </c>
      <c r="V136" s="20" t="n">
        <v>0.256</v>
      </c>
      <c r="W136" s="20" t="n">
        <v>0.117</v>
      </c>
    </row>
    <row r="137">
      <c r="A137" s="18" t="inlineStr">
        <is>
          <t>고정자산 매각이익</t>
        </is>
      </c>
      <c r="H137" s="20" t="n">
        <v>0</v>
      </c>
      <c r="I137" s="20" t="n">
        <v>0</v>
      </c>
      <c r="J137" s="20" t="n">
        <v>0</v>
      </c>
      <c r="L137" s="20" t="n">
        <v>0.019</v>
      </c>
      <c r="M137" s="20" t="n">
        <v>7.712</v>
      </c>
      <c r="N137" s="20" t="n">
        <v>-0.659</v>
      </c>
    </row>
    <row r="138">
      <c r="A138" s="18" t="inlineStr">
        <is>
          <t>투자유가증권 매각이익</t>
        </is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50.231</v>
      </c>
      <c r="I138" s="20" t="n">
        <v>57.444</v>
      </c>
      <c r="J138" s="20" t="n">
        <v>0</v>
      </c>
      <c r="K138" s="20" t="n">
        <v>11.658</v>
      </c>
      <c r="L138" s="20" t="n">
        <v>2412.461</v>
      </c>
      <c r="M138" s="20" t="n">
        <v>0</v>
      </c>
      <c r="N138" s="20" t="n">
        <v>16.983</v>
      </c>
      <c r="W138" s="20" t="n">
        <v>0</v>
      </c>
      <c r="X138" s="20" t="n">
        <v>11.658</v>
      </c>
    </row>
    <row r="139">
      <c r="A139" s="18" t="inlineStr">
        <is>
          <t>관계회사 주식 매각이익</t>
        </is>
      </c>
      <c r="F139" s="20" t="n">
        <v>0</v>
      </c>
      <c r="G139" s="20" t="n">
        <v>0.508</v>
      </c>
      <c r="J139" s="20" t="n">
        <v>0</v>
      </c>
      <c r="K139" s="20" t="n">
        <v>6172.438</v>
      </c>
      <c r="W139" s="20" t="n">
        <v>0.508</v>
      </c>
      <c r="X139" s="20" t="n">
        <v>6172.438</v>
      </c>
    </row>
    <row r="140">
      <c r="A140" s="18" t="inlineStr">
        <is>
          <t>지분변동이익</t>
        </is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43.632</v>
      </c>
      <c r="I140" s="20" t="n">
        <v>0</v>
      </c>
      <c r="J140" s="20" t="n">
        <v>0.015</v>
      </c>
      <c r="K140" s="20" t="n">
        <v>2068.841</v>
      </c>
      <c r="W140" s="20" t="n">
        <v>0</v>
      </c>
      <c r="X140" s="20" t="n">
        <v>2068.841</v>
      </c>
    </row>
    <row r="141">
      <c r="A141" s="18" t="inlineStr">
        <is>
          <t>기타</t>
        </is>
      </c>
      <c r="H141" s="20" t="n">
        <v>44.673</v>
      </c>
      <c r="I141" s="20" t="n">
        <v>77.06999999999999</v>
      </c>
      <c r="J141" s="20" t="n">
        <v>-43.616</v>
      </c>
      <c r="K141" s="20" t="n">
        <v>-74.518</v>
      </c>
      <c r="L141" s="20" t="n">
        <v>277.268</v>
      </c>
      <c r="M141" s="20" t="n">
        <v>-44.492</v>
      </c>
      <c r="N141" s="20" t="n">
        <v>-222.9</v>
      </c>
      <c r="X141" s="20" t="n">
        <v>-74.518</v>
      </c>
    </row>
    <row r="142">
      <c r="A142" s="18" t="inlineStr">
        <is>
          <t>특별이익 합계</t>
        </is>
      </c>
      <c r="C142" s="20" t="n">
        <v>0.256</v>
      </c>
      <c r="D142" s="20" t="n">
        <v>0.28</v>
      </c>
      <c r="E142" s="20" t="n">
        <v>0.004</v>
      </c>
      <c r="F142" s="20" t="n">
        <v>0</v>
      </c>
      <c r="G142" s="20" t="n">
        <v>0.626</v>
      </c>
      <c r="H142" s="20" t="n">
        <v>94.905</v>
      </c>
      <c r="I142" s="20" t="n">
        <v>134.514</v>
      </c>
      <c r="J142" s="20" t="n">
        <v>0.031</v>
      </c>
      <c r="K142" s="20" t="n">
        <v>8254.574000000001</v>
      </c>
      <c r="L142" s="20" t="n">
        <v>2689.749</v>
      </c>
      <c r="M142" s="20" t="n">
        <v>-36.78</v>
      </c>
      <c r="N142" s="20" t="n">
        <v>156.226</v>
      </c>
      <c r="U142" s="20" t="n">
        <v>0.104</v>
      </c>
      <c r="V142" s="20" t="n">
        <v>0.256</v>
      </c>
      <c r="W142" s="20" t="n">
        <v>0.626</v>
      </c>
      <c r="X142" s="20" t="n">
        <v>8254.574000000001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IF(OR(G142="",C142=""),"",IF(G142*C142&lt;=0,"",IFERROR(G142/C142-1,"")))</f>
        <v/>
      </c>
      <c r="H143" s="15">
        <f>IF(OR(H142="",D142=""),"",IF(H142*D142&lt;=0,"",IFERROR(H142/D142-1,"")))</f>
        <v/>
      </c>
      <c r="I143" s="15">
        <f>IF(OR(I142="",E142=""),"",IF(I142*E142&lt;=0,"",IFERROR(I142/E142-1,"")))</f>
        <v/>
      </c>
      <c r="J143" s="15">
        <f>IF(OR(J142="",F142=""),"",IF(J142*F142&lt;=0,"",IFERROR(J142/F142-1,"")))</f>
        <v/>
      </c>
      <c r="K143" s="15">
        <f>IF(OR(K142="",G142=""),"",IF(K142*G142&lt;=0,"",IFERROR(K142/G142-1,"")))</f>
        <v/>
      </c>
      <c r="L143" s="15">
        <f>IF(OR(L142="",H142=""),"",IF(L142*H142&lt;=0,"",IFERROR(L142/H142-1,"")))</f>
        <v/>
      </c>
      <c r="M143" s="15">
        <f>IF(OR(M142="",I142=""),"",IF(M142*I142&lt;=0,"",IFERROR(M142/I142-1,"")))</f>
        <v/>
      </c>
      <c r="N143" s="15">
        <f>IF(OR(N142="",J142=""),"",IF(N142*J142&lt;=0,"",IFERROR(N142/J142-1,"")))</f>
        <v/>
      </c>
      <c r="U143" s="15">
        <f>IF(OR(U142="",T142=""),"",IF(U142*T142&lt;=0,"",IFERROR(U142/T142-1,"")))</f>
        <v/>
      </c>
      <c r="V143" s="15">
        <f>IF(OR(V142="",U142=""),"",IF(V142*U142&lt;=0,"",IFERROR(V142/U142-1,"")))</f>
        <v/>
      </c>
      <c r="W143" s="15">
        <f>IF(OR(W142="",V142=""),"",IF(W142*V142&lt;=0,"",IFERROR(W142/V142-1,"")))</f>
        <v/>
      </c>
      <c r="X143" s="15">
        <f>IF(OR(X142="",W142=""),"",IF(X142*W142&lt;=0,"",IFERROR(X142/W142-1,"")))</f>
        <v/>
      </c>
    </row>
    <row r="144">
      <c r="A144" s="18" t="inlineStr">
        <is>
          <t>손상차손</t>
        </is>
      </c>
      <c r="H144" s="20" t="n">
        <v>0</v>
      </c>
      <c r="I144" s="20" t="n">
        <v>0</v>
      </c>
      <c r="J144" s="20" t="n">
        <v>0</v>
      </c>
      <c r="K144" s="20" t="n">
        <v>12.367</v>
      </c>
      <c r="L144" s="20" t="n">
        <v>221.086</v>
      </c>
      <c r="M144" s="20" t="n">
        <v>7.724</v>
      </c>
      <c r="N144" s="20" t="n">
        <v>0.147</v>
      </c>
      <c r="X144" s="20" t="n">
        <v>12.367</v>
      </c>
    </row>
    <row r="145">
      <c r="A145" s="18" t="inlineStr">
        <is>
          <t>고정자산 제각손실</t>
        </is>
      </c>
      <c r="C145" s="20" t="n">
        <v>60.21</v>
      </c>
      <c r="D145" s="20" t="n">
        <v>0.07199999999999999</v>
      </c>
      <c r="E145" s="20" t="n">
        <v>0</v>
      </c>
      <c r="F145" s="20" t="n">
        <v>0.723</v>
      </c>
      <c r="G145" s="20" t="n">
        <v>5.746</v>
      </c>
      <c r="H145" s="20" t="n">
        <v>0</v>
      </c>
      <c r="I145" s="20" t="n">
        <v>0</v>
      </c>
      <c r="J145" s="20" t="n">
        <v>0</v>
      </c>
      <c r="K145" s="20" t="n">
        <v>0</v>
      </c>
      <c r="U145" s="20" t="n">
        <v>1.328</v>
      </c>
      <c r="V145" s="20" t="n">
        <v>60.21</v>
      </c>
      <c r="W145" s="20" t="n">
        <v>5.746</v>
      </c>
      <c r="X145" s="20" t="n">
        <v>0</v>
      </c>
    </row>
    <row r="146">
      <c r="A146" s="18" t="inlineStr">
        <is>
          <t>투자유가증권 평가손실</t>
        </is>
      </c>
      <c r="C146" s="20" t="n">
        <v>0</v>
      </c>
      <c r="F146" s="20" t="n">
        <v>0</v>
      </c>
      <c r="G146" s="20" t="n">
        <v>0</v>
      </c>
      <c r="J146" s="20" t="n">
        <v>0</v>
      </c>
      <c r="K146" s="20" t="n">
        <v>635.016</v>
      </c>
      <c r="V146" s="20" t="n">
        <v>0</v>
      </c>
      <c r="W146" s="20" t="n">
        <v>0</v>
      </c>
      <c r="X146" s="20" t="n">
        <v>635.016</v>
      </c>
    </row>
    <row r="147">
      <c r="A147" s="18" t="inlineStr">
        <is>
          <t>미수보험금 평가손실</t>
        </is>
      </c>
      <c r="G147" s="20" t="n">
        <v>0</v>
      </c>
      <c r="K147" s="20" t="n">
        <v>0</v>
      </c>
      <c r="W147" s="20" t="n">
        <v>0</v>
      </c>
      <c r="X147" s="20" t="n">
        <v>0</v>
      </c>
    </row>
    <row r="148">
      <c r="A148" s="18" t="inlineStr">
        <is>
          <t>부정 접속 대응 손실</t>
        </is>
      </c>
      <c r="J148" s="20" t="n">
        <v>0</v>
      </c>
      <c r="N148" s="20" t="n">
        <v>24.183</v>
      </c>
    </row>
    <row r="149">
      <c r="A149" s="18" t="inlineStr">
        <is>
          <t>부정 접속 대응 손실충당금 전입액</t>
        </is>
      </c>
      <c r="J149" s="20" t="n">
        <v>0</v>
      </c>
      <c r="N149" s="20" t="n">
        <v>-20</v>
      </c>
    </row>
    <row r="150">
      <c r="A150" s="18" t="inlineStr">
        <is>
          <t>기타</t>
        </is>
      </c>
      <c r="J150" s="20" t="n">
        <v>540.8150000000001</v>
      </c>
      <c r="N150" s="20" t="n">
        <v>0.173</v>
      </c>
    </row>
    <row r="151">
      <c r="A151" s="18" t="inlineStr">
        <is>
          <t>특별손실 합계</t>
        </is>
      </c>
      <c r="C151" s="20" t="n">
        <v>60.21</v>
      </c>
      <c r="D151" s="20" t="n">
        <v>0.07199999999999999</v>
      </c>
      <c r="E151" s="20" t="n">
        <v>10</v>
      </c>
      <c r="F151" s="20" t="n">
        <v>0.723</v>
      </c>
      <c r="G151" s="20" t="n">
        <v>279.472</v>
      </c>
      <c r="H151" s="20" t="n">
        <v>0</v>
      </c>
      <c r="I151" s="20" t="n">
        <v>24.974</v>
      </c>
      <c r="J151" s="20" t="n">
        <v>540.8150000000001</v>
      </c>
      <c r="K151" s="20" t="n">
        <v>647.383</v>
      </c>
      <c r="L151" s="20" t="n">
        <v>221.086</v>
      </c>
      <c r="M151" s="20" t="n">
        <v>96.905</v>
      </c>
      <c r="N151" s="20" t="n">
        <v>4.502</v>
      </c>
      <c r="U151" s="20" t="n">
        <v>35.148</v>
      </c>
      <c r="V151" s="20" t="n">
        <v>60.21</v>
      </c>
      <c r="W151" s="20" t="n">
        <v>279.472</v>
      </c>
      <c r="X151" s="20" t="n">
        <v>647.383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IF(OR(G151="",C151=""),"",IF(G151*C151&lt;=0,"",IFERROR(G151/C151-1,"")))</f>
        <v/>
      </c>
      <c r="H152" s="15">
        <f>IF(OR(H151="",D151=""),"",IF(H151*D151&lt;=0,"",IFERROR(H151/D151-1,"")))</f>
        <v/>
      </c>
      <c r="I152" s="15">
        <f>IF(OR(I151="",E151=""),"",IF(I151*E151&lt;=0,"",IFERROR(I151/E151-1,"")))</f>
        <v/>
      </c>
      <c r="J152" s="15">
        <f>IF(OR(J151="",F151=""),"",IF(J151*F151&lt;=0,"",IFERROR(J151/F151-1,"")))</f>
        <v/>
      </c>
      <c r="K152" s="15">
        <f>IF(OR(K151="",G151=""),"",IF(K151*G151&lt;=0,"",IFERROR(K151/G151-1,"")))</f>
        <v/>
      </c>
      <c r="L152" s="15">
        <f>IF(OR(L151="",H151=""),"",IF(L151*H151&lt;=0,"",IFERROR(L151/H151-1,"")))</f>
        <v/>
      </c>
      <c r="M152" s="15">
        <f>IF(OR(M151="",I151=""),"",IF(M151*I151&lt;=0,"",IFERROR(M151/I151-1,"")))</f>
        <v/>
      </c>
      <c r="N152" s="15">
        <f>IF(OR(N151="",J151=""),"",IF(N151*J151&lt;=0,"",IFERROR(N151/J151-1,"")))</f>
        <v/>
      </c>
      <c r="U152" s="15">
        <f>IF(OR(U151="",T151=""),"",IF(U151*T151&lt;=0,"",IFERROR(U151/T151-1,"")))</f>
        <v/>
      </c>
      <c r="V152" s="15">
        <f>IF(OR(V151="",U151=""),"",IF(V151*U151&lt;=0,"",IFERROR(V151/U151-1,"")))</f>
        <v/>
      </c>
      <c r="W152" s="15">
        <f>IF(OR(W151="",V151=""),"",IF(W151*V151&lt;=0,"",IFERROR(W151/V151-1,"")))</f>
        <v/>
      </c>
      <c r="X152" s="15">
        <f>IF(OR(X151="",W151=""),"",IF(X151*W151&lt;=0,"",IFERROR(X151/W151-1,"")))</f>
        <v/>
      </c>
    </row>
    <row r="153">
      <c r="A153" s="9" t="inlineStr">
        <is>
          <t>법인세차감전 분기순이익(△는 손실)</t>
        </is>
      </c>
      <c r="C153" s="12" t="n">
        <v>-1855.811</v>
      </c>
      <c r="D153" s="12" t="n">
        <v>-1135.049</v>
      </c>
      <c r="E153" s="12" t="n">
        <v>-1020.15</v>
      </c>
      <c r="F153" s="12" t="n">
        <v>-1143.037</v>
      </c>
      <c r="G153" s="12" t="n">
        <v>-2344.522</v>
      </c>
      <c r="H153" s="12" t="n">
        <v>-635.724</v>
      </c>
      <c r="I153" s="12" t="n">
        <v>-1057.576</v>
      </c>
      <c r="J153" s="12" t="n">
        <v>-1018.535</v>
      </c>
      <c r="K153" s="12" t="n">
        <v>6105.036</v>
      </c>
      <c r="L153" s="12" t="n">
        <v>2281.996</v>
      </c>
      <c r="M153" s="12" t="n">
        <v>-1152.359</v>
      </c>
      <c r="N153" s="12" t="n">
        <v>1685.279</v>
      </c>
      <c r="U153" s="12" t="n">
        <v>-2259.925</v>
      </c>
      <c r="V153" s="12" t="n">
        <v>-1855.811</v>
      </c>
      <c r="W153" s="12" t="n">
        <v>-2344.522</v>
      </c>
      <c r="X153" s="12" t="n">
        <v>6105.036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U154" s="15">
        <f>IF(OR(U153="",T153=""),"",IF(T153&lt;=0,"",IFERROR(U153/T153-1,"")))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법인세 등</t>
        </is>
      </c>
      <c r="C155" s="20" t="n">
        <v>-104.775</v>
      </c>
      <c r="D155" s="20" t="n">
        <v>111.829</v>
      </c>
      <c r="E155" s="20" t="n">
        <v>4.5</v>
      </c>
      <c r="F155" s="20" t="n">
        <v>68.625</v>
      </c>
      <c r="G155" s="20" t="n">
        <v>373.177</v>
      </c>
      <c r="H155" s="20" t="n">
        <v>100.942</v>
      </c>
      <c r="I155" s="20" t="n">
        <v>101.36</v>
      </c>
      <c r="J155" s="20" t="n">
        <v>101.085</v>
      </c>
      <c r="K155" s="20" t="n">
        <v>907.984</v>
      </c>
      <c r="L155" s="20" t="n">
        <v>501.811</v>
      </c>
      <c r="M155" s="20" t="n">
        <v>60.447</v>
      </c>
      <c r="N155" s="20" t="n">
        <v>246.248</v>
      </c>
      <c r="U155" s="20" t="n">
        <v>-72.316</v>
      </c>
      <c r="V155" s="20" t="n">
        <v>-104.775</v>
      </c>
      <c r="W155" s="20" t="n">
        <v>373.177</v>
      </c>
      <c r="X155" s="20" t="n">
        <v>907.984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IF(OR(G155="",C155=""),"",IF(G155*C155&lt;=0,"",IFERROR(G155/C155-1,"")))</f>
        <v/>
      </c>
      <c r="H156" s="15">
        <f>IF(OR(H155="",D155=""),"",IF(H155*D155&lt;=0,"",IFERROR(H155/D155-1,"")))</f>
        <v/>
      </c>
      <c r="I156" s="15">
        <f>IF(OR(I155="",E155=""),"",IF(I155*E155&lt;=0,"",IFERROR(I155/E155-1,"")))</f>
        <v/>
      </c>
      <c r="J156" s="15">
        <f>IF(OR(J155="",F155=""),"",IF(J155*F155&lt;=0,"",IFERROR(J155/F155-1,"")))</f>
        <v/>
      </c>
      <c r="K156" s="15">
        <f>IF(OR(K155="",G155=""),"",IF(K155*G155&lt;=0,"",IFERROR(K155/G155-1,"")))</f>
        <v/>
      </c>
      <c r="L156" s="15">
        <f>IF(OR(L155="",H155=""),"",IF(L155*H155&lt;=0,"",IFERROR(L155/H155-1,"")))</f>
        <v/>
      </c>
      <c r="M156" s="15">
        <f>IF(OR(M155="",I155=""),"",IF(M155*I155&lt;=0,"",IFERROR(M155/I155-1,"")))</f>
        <v/>
      </c>
      <c r="N156" s="15">
        <f>IF(OR(N155="",J155=""),"",IF(N155*J155&lt;=0,"",IFERROR(N155/J155-1,"")))</f>
        <v/>
      </c>
      <c r="U156" s="15">
        <f>IF(OR(U155="",T155=""),"",IF(U155*T155&lt;=0,"",IFERROR(U155/T155-1,"")))</f>
        <v/>
      </c>
      <c r="V156" s="15">
        <f>IF(OR(V155="",U155=""),"",IF(V155*U155&lt;=0,"",IFERROR(V155/U155-1,"")))</f>
        <v/>
      </c>
      <c r="W156" s="15">
        <f>IF(OR(W155="",V155=""),"",IF(W155*V155&lt;=0,"",IFERROR(W155/V155-1,"")))</f>
        <v/>
      </c>
      <c r="X156" s="15">
        <f>IF(OR(X155="",W155=""),"",IF(X155*W155&lt;=0,"",IFERROR(X155/W155-1,"")))</f>
        <v/>
      </c>
    </row>
    <row r="157">
      <c r="A157" s="9" t="inlineStr">
        <is>
          <t>분기순이익(△는 분기순손실)</t>
        </is>
      </c>
      <c r="C157" s="12" t="n">
        <v>-1751.036</v>
      </c>
      <c r="D157" s="12" t="n">
        <v>-1246.879</v>
      </c>
      <c r="E157" s="12" t="n">
        <v>-1024.65</v>
      </c>
      <c r="F157" s="12" t="n">
        <v>-1211.662</v>
      </c>
      <c r="G157" s="12" t="n">
        <v>-2717.698</v>
      </c>
      <c r="H157" s="12" t="n">
        <v>-736.6660000000001</v>
      </c>
      <c r="I157" s="12" t="n">
        <v>-1158.937</v>
      </c>
      <c r="J157" s="12" t="n">
        <v>-1119.62</v>
      </c>
      <c r="K157" s="12" t="n">
        <v>5197.053</v>
      </c>
      <c r="L157" s="12" t="n">
        <v>1780.184</v>
      </c>
      <c r="M157" s="12" t="n">
        <v>-1212.806</v>
      </c>
      <c r="N157" s="12" t="n">
        <v>1439.031</v>
      </c>
      <c r="U157" s="12" t="n">
        <v>-2187.61</v>
      </c>
      <c r="V157" s="12" t="n">
        <v>-1751.036</v>
      </c>
      <c r="W157" s="12" t="n">
        <v>-2717.698</v>
      </c>
      <c r="X157" s="12" t="n">
        <v>5197.053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U158" s="15">
        <f>IF(OR(U157="",T157=""),"",IF(T157&lt;=0,"",IFERROR(U157/T157-1,"")))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9" t="inlineStr">
        <is>
          <t>비지배주주 순이익</t>
        </is>
      </c>
      <c r="C159" s="12" t="n">
        <v>-371.848</v>
      </c>
      <c r="D159" s="12" t="n">
        <v>71.996</v>
      </c>
      <c r="E159" s="12" t="n">
        <v>253.794</v>
      </c>
      <c r="F159" s="12" t="n">
        <v>-96.687</v>
      </c>
      <c r="G159" s="12" t="n">
        <v>-99.416</v>
      </c>
      <c r="H159" s="12" t="n">
        <v>382.589</v>
      </c>
      <c r="I159" s="12" t="n">
        <v>-80.893</v>
      </c>
      <c r="J159" s="12" t="n">
        <v>67.654</v>
      </c>
      <c r="K159" s="12" t="n">
        <v>225.219</v>
      </c>
      <c r="L159" s="12" t="n">
        <v>-48.699</v>
      </c>
      <c r="M159" s="12" t="n">
        <v>62.342</v>
      </c>
      <c r="N159" s="12" t="n">
        <v>1494.624</v>
      </c>
      <c r="U159" s="12" t="n">
        <v>-83.61799999999999</v>
      </c>
      <c r="V159" s="12" t="n">
        <v>-371.848</v>
      </c>
      <c r="W159" s="12" t="n">
        <v>-99.416</v>
      </c>
      <c r="X159" s="12" t="n">
        <v>225.219</v>
      </c>
    </row>
    <row r="160">
      <c r="A160" s="9" t="inlineStr">
        <is>
          <t>지배주주 분기순이익(△는 손실)</t>
        </is>
      </c>
      <c r="C160" s="12" t="n">
        <v>-1379.187</v>
      </c>
      <c r="D160" s="12" t="n">
        <v>-1318.876</v>
      </c>
      <c r="E160" s="12" t="n">
        <v>-1278.443</v>
      </c>
      <c r="F160" s="12" t="n">
        <v>-1114.975</v>
      </c>
      <c r="G160" s="12" t="n">
        <v>-2618.283</v>
      </c>
      <c r="H160" s="12" t="n">
        <v>-1119.256</v>
      </c>
      <c r="I160" s="12" t="n">
        <v>-1078.043</v>
      </c>
      <c r="J160" s="12" t="n">
        <v>-1187.274</v>
      </c>
      <c r="K160" s="12" t="n">
        <v>4971.833</v>
      </c>
      <c r="L160" s="12" t="n">
        <v>1828.883</v>
      </c>
      <c r="M160" s="12" t="n">
        <v>-1275.148</v>
      </c>
      <c r="N160" s="12" t="n">
        <v>-55.593</v>
      </c>
      <c r="U160" s="12" t="n">
        <v>-2103.991</v>
      </c>
      <c r="V160" s="12" t="n">
        <v>-1379.187</v>
      </c>
      <c r="W160" s="12" t="n">
        <v>-2618.283</v>
      </c>
      <c r="X160" s="12" t="n">
        <v>4971.833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U161" s="15">
        <f>IF(OR(U160="",T160=""),"",IF(T160&lt;=0,"",IFERROR(U160/T160-1,"")))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3">
      <c r="A163" s="16" t="inlineStr">
        <is>
          <t>포괄손익 · 전 항목</t>
        </is>
      </c>
      <c r="B163" s="42" t="inlineStr">
        <is>
          <t>분기 = 3개월 단독</t>
        </is>
      </c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</row>
    <row r="164">
      <c r="A164" s="5" t="inlineStr">
        <is>
          <t>항목</t>
        </is>
      </c>
      <c r="B164" s="5" t="inlineStr">
        <is>
          <t>참고</t>
        </is>
      </c>
      <c r="C164" s="5" t="inlineStr">
        <is>
          <t>2023.4Q</t>
        </is>
      </c>
      <c r="D164" s="5" t="inlineStr">
        <is>
          <t>2024.1Q</t>
        </is>
      </c>
      <c r="E164" s="5" t="inlineStr">
        <is>
          <t>2024.2Q</t>
        </is>
      </c>
      <c r="F164" s="5" t="inlineStr">
        <is>
          <t>2024.3Q</t>
        </is>
      </c>
      <c r="G164" s="5" t="inlineStr">
        <is>
          <t>2024.4Q</t>
        </is>
      </c>
      <c r="H164" s="5" t="inlineStr">
        <is>
          <t>2025.1Q</t>
        </is>
      </c>
      <c r="I164" s="5" t="inlineStr">
        <is>
          <t>2025.2Q</t>
        </is>
      </c>
      <c r="J164" s="5" t="inlineStr">
        <is>
          <t>2025.3Q</t>
        </is>
      </c>
      <c r="K164" s="5" t="inlineStr">
        <is>
          <t>2025.4Q</t>
        </is>
      </c>
      <c r="L164" s="5" t="inlineStr">
        <is>
          <t>2026.1Q</t>
        </is>
      </c>
      <c r="M164" s="5" t="inlineStr">
        <is>
          <t>2026.2Q</t>
        </is>
      </c>
      <c r="N164" s="5" t="inlineStr">
        <is>
          <t>2026.3Q</t>
        </is>
      </c>
      <c r="O164" s="5" t="inlineStr">
        <is>
          <t>2016</t>
        </is>
      </c>
      <c r="P164" s="5" t="inlineStr">
        <is>
          <t>2017</t>
        </is>
      </c>
      <c r="Q164" s="5" t="inlineStr">
        <is>
          <t>2018</t>
        </is>
      </c>
      <c r="R164" s="5" t="inlineStr">
        <is>
          <t>2019</t>
        </is>
      </c>
      <c r="S164" s="5" t="inlineStr">
        <is>
          <t>2020</t>
        </is>
      </c>
      <c r="T164" s="5" t="inlineStr">
        <is>
          <t>2021</t>
        </is>
      </c>
      <c r="U164" s="5" t="inlineStr">
        <is>
          <t>2022</t>
        </is>
      </c>
      <c r="V164" s="5" t="inlineStr">
        <is>
          <t>2023</t>
        </is>
      </c>
      <c r="W164" s="5" t="inlineStr">
        <is>
          <t>2024</t>
        </is>
      </c>
      <c r="X164" s="5" t="inlineStr">
        <is>
          <t>2025</t>
        </is>
      </c>
      <c r="Y164" s="5" t="inlineStr">
        <is>
          <t>2026(MW)</t>
        </is>
      </c>
      <c r="Z164" s="5" t="inlineStr">
        <is>
          <t>2027(MW)</t>
        </is>
      </c>
      <c r="AA164" s="5" t="inlineStr">
        <is>
          <t>2028(MW)</t>
        </is>
      </c>
      <c r="AB164" s="5" t="inlineStr">
        <is>
          <t>2029(MW)</t>
        </is>
      </c>
      <c r="AC164" s="5" t="inlineStr">
        <is>
          <t>2030(MW)</t>
        </is>
      </c>
    </row>
    <row r="165">
      <c r="A165" s="9" t="inlineStr">
        <is>
          <t>분기순이익(△는 분기순손실)</t>
        </is>
      </c>
      <c r="C165" s="12" t="n">
        <v>-1751.036</v>
      </c>
      <c r="D165" s="12" t="n">
        <v>-1246.879</v>
      </c>
      <c r="E165" s="12" t="n">
        <v>-1024.65</v>
      </c>
      <c r="F165" s="12" t="n">
        <v>-1211.662</v>
      </c>
      <c r="G165" s="12" t="n">
        <v>-2717.698</v>
      </c>
      <c r="H165" s="12" t="n">
        <v>-736.6660000000001</v>
      </c>
      <c r="I165" s="12" t="n">
        <v>-1158.937</v>
      </c>
      <c r="J165" s="12" t="n">
        <v>-1119.62</v>
      </c>
      <c r="K165" s="12" t="n">
        <v>5197.053</v>
      </c>
      <c r="L165" s="12" t="n">
        <v>1780.184</v>
      </c>
      <c r="M165" s="12" t="n">
        <v>-1212.806</v>
      </c>
      <c r="N165" s="12" t="n">
        <v>1439.031</v>
      </c>
      <c r="U165" s="12" t="n">
        <v>-2187.61</v>
      </c>
      <c r="V165" s="12" t="n">
        <v>-1751.036</v>
      </c>
      <c r="W165" s="12" t="n">
        <v>-2717.698</v>
      </c>
      <c r="X165" s="12" t="n">
        <v>5197.053</v>
      </c>
    </row>
    <row r="166">
      <c r="A166" s="18" t="inlineStr">
        <is>
          <t>기타유가증권 평가차액</t>
        </is>
      </c>
      <c r="C166" s="20" t="n">
        <v>9.125</v>
      </c>
      <c r="D166" s="20" t="n">
        <v>293.021</v>
      </c>
      <c r="E166" s="20" t="n">
        <v>-173.942</v>
      </c>
      <c r="F166" s="20" t="n">
        <v>-803.645</v>
      </c>
      <c r="G166" s="20" t="n">
        <v>299.679</v>
      </c>
      <c r="H166" s="20" t="n">
        <v>368.709</v>
      </c>
      <c r="I166" s="20" t="n">
        <v>-454.075</v>
      </c>
      <c r="J166" s="20" t="n">
        <v>463.119</v>
      </c>
      <c r="K166" s="20" t="n">
        <v>-75.55</v>
      </c>
      <c r="L166" s="20" t="n">
        <v>-78.366</v>
      </c>
      <c r="M166" s="20" t="n">
        <v>308.305</v>
      </c>
      <c r="N166" s="20" t="n">
        <v>45.958</v>
      </c>
      <c r="U166" s="20" t="n">
        <v>-82.179</v>
      </c>
      <c r="V166" s="20" t="n">
        <v>9.125</v>
      </c>
      <c r="W166" s="20" t="n">
        <v>299.679</v>
      </c>
      <c r="X166" s="20" t="n">
        <v>-75.55</v>
      </c>
    </row>
    <row r="167">
      <c r="A167" s="18" t="inlineStr">
        <is>
          <t>해외사업환산조정</t>
        </is>
      </c>
      <c r="C167" s="20" t="n">
        <v>5.779</v>
      </c>
      <c r="D167" s="20" t="n">
        <v>-35.118</v>
      </c>
      <c r="E167" s="20" t="n">
        <v>38.585</v>
      </c>
      <c r="F167" s="20" t="n">
        <v>17.202</v>
      </c>
      <c r="G167" s="20" t="n">
        <v>-66.02200000000001</v>
      </c>
      <c r="H167" s="20" t="n">
        <v>51.227</v>
      </c>
      <c r="I167" s="20" t="n">
        <v>-56.183</v>
      </c>
      <c r="J167" s="20" t="n">
        <v>-72.58</v>
      </c>
      <c r="K167" s="20" t="n">
        <v>56.902</v>
      </c>
      <c r="L167" s="20" t="n">
        <v>144.358</v>
      </c>
      <c r="M167" s="20" t="n">
        <v>12.731</v>
      </c>
      <c r="N167" s="20" t="n">
        <v>113.113</v>
      </c>
      <c r="U167" s="20" t="n">
        <v>21.427</v>
      </c>
      <c r="V167" s="20" t="n">
        <v>5.779</v>
      </c>
      <c r="W167" s="20" t="n">
        <v>-66.02200000000001</v>
      </c>
      <c r="X167" s="20" t="n">
        <v>56.902</v>
      </c>
    </row>
    <row r="168">
      <c r="A168" s="18" t="inlineStr">
        <is>
          <t>지분법 적용회사 지분 해당액</t>
        </is>
      </c>
      <c r="C168" s="20" t="n">
        <v>0.113</v>
      </c>
      <c r="D168" s="20" t="n">
        <v>-0.077</v>
      </c>
      <c r="E168" s="20" t="n">
        <v>-1.007</v>
      </c>
      <c r="F168" s="20" t="n">
        <v>0.201</v>
      </c>
      <c r="G168" s="20" t="n">
        <v>-0.155</v>
      </c>
      <c r="H168" s="20" t="n">
        <v>0.078</v>
      </c>
      <c r="I168" s="20" t="n">
        <v>-0.831</v>
      </c>
      <c r="J168" s="20" t="n">
        <v>0.985</v>
      </c>
      <c r="K168" s="20" t="n">
        <v>-0.6879999999999999</v>
      </c>
      <c r="L168" s="20" t="n">
        <v>0.726</v>
      </c>
      <c r="M168" s="20" t="n">
        <v>0</v>
      </c>
      <c r="N168" s="20" t="n">
        <v>-0.795</v>
      </c>
      <c r="U168" s="20" t="n">
        <v>0</v>
      </c>
      <c r="V168" s="20" t="n">
        <v>0.113</v>
      </c>
      <c r="W168" s="20" t="n">
        <v>-0.155</v>
      </c>
      <c r="X168" s="20" t="n">
        <v>-0.6879999999999999</v>
      </c>
    </row>
    <row r="169">
      <c r="A169" s="18" t="inlineStr">
        <is>
          <t>기타포괄손익 합계</t>
        </is>
      </c>
      <c r="C169" s="20" t="n">
        <v>15.017</v>
      </c>
      <c r="D169" s="20" t="n">
        <v>257.826</v>
      </c>
      <c r="E169" s="20" t="n">
        <v>-136.364</v>
      </c>
      <c r="F169" s="20" t="n">
        <v>-786.2430000000001</v>
      </c>
      <c r="G169" s="20" t="n">
        <v>233.502</v>
      </c>
      <c r="H169" s="20" t="n">
        <v>420.015</v>
      </c>
      <c r="I169" s="20" t="n">
        <v>-511.091</v>
      </c>
      <c r="J169" s="20" t="n">
        <v>391.525</v>
      </c>
      <c r="K169" s="20" t="n">
        <v>-19.337</v>
      </c>
      <c r="L169" s="20" t="n">
        <v>66.71899999999999</v>
      </c>
      <c r="M169" s="20" t="n">
        <v>321.036</v>
      </c>
      <c r="N169" s="20" t="n">
        <v>158.276</v>
      </c>
      <c r="U169" s="20" t="n">
        <v>-60.751</v>
      </c>
      <c r="V169" s="20" t="n">
        <v>15.017</v>
      </c>
      <c r="W169" s="20" t="n">
        <v>233.502</v>
      </c>
      <c r="X169" s="20" t="n">
        <v>-19.337</v>
      </c>
    </row>
    <row r="170">
      <c r="A170" s="9" t="inlineStr">
        <is>
          <t>포괄이익</t>
        </is>
      </c>
      <c r="C170" s="12" t="n">
        <v>-1736.018</v>
      </c>
      <c r="D170" s="12" t="n">
        <v>-989.053</v>
      </c>
      <c r="E170" s="12" t="n">
        <v>-1161.014</v>
      </c>
      <c r="F170" s="12" t="n">
        <v>-1997.905</v>
      </c>
      <c r="G170" s="12" t="n">
        <v>-2484.196</v>
      </c>
      <c r="H170" s="12" t="n">
        <v>-316.651</v>
      </c>
      <c r="I170" s="12" t="n">
        <v>-1670.028</v>
      </c>
      <c r="J170" s="12" t="n">
        <v>-728.0940000000001</v>
      </c>
      <c r="K170" s="12" t="n">
        <v>5177.716</v>
      </c>
      <c r="L170" s="12" t="n">
        <v>1846.903</v>
      </c>
      <c r="M170" s="12" t="n">
        <v>-891.769</v>
      </c>
      <c r="N170" s="12" t="n">
        <v>1597.306</v>
      </c>
      <c r="U170" s="12" t="n">
        <v>-2248.36</v>
      </c>
      <c r="V170" s="12" t="n">
        <v>-1736.018</v>
      </c>
      <c r="W170" s="12" t="n">
        <v>-2484.196</v>
      </c>
      <c r="X170" s="12" t="n">
        <v>5177.716</v>
      </c>
    </row>
    <row r="171">
      <c r="A171" s="9" t="inlineStr">
        <is>
          <t>지배주주 포괄이익</t>
        </is>
      </c>
      <c r="C171" s="12" t="n">
        <v>-1261.438</v>
      </c>
      <c r="D171" s="12" t="n">
        <v>-1191.091</v>
      </c>
      <c r="E171" s="12" t="n">
        <v>-809.0410000000001</v>
      </c>
      <c r="F171" s="12" t="n">
        <v>-1877.618</v>
      </c>
      <c r="G171" s="12" t="n">
        <v>-2413.922</v>
      </c>
      <c r="H171" s="12" t="n">
        <v>-1028.801</v>
      </c>
      <c r="I171" s="12" t="n">
        <v>-1682.002</v>
      </c>
      <c r="J171" s="12" t="n">
        <v>-981.646</v>
      </c>
      <c r="K171" s="12" t="n">
        <v>5537.786</v>
      </c>
      <c r="L171" s="12" t="n">
        <v>1895.192</v>
      </c>
      <c r="M171" s="12" t="n">
        <v>-967.49</v>
      </c>
      <c r="N171" s="12" t="n">
        <v>101.086</v>
      </c>
      <c r="U171" s="12" t="n">
        <v>-2164.743</v>
      </c>
      <c r="V171" s="12" t="n">
        <v>-1261.438</v>
      </c>
      <c r="W171" s="12" t="n">
        <v>-2413.922</v>
      </c>
      <c r="X171" s="12" t="n">
        <v>5537.786</v>
      </c>
    </row>
    <row r="172">
      <c r="A172" s="9" t="inlineStr">
        <is>
          <t>비지배주주 포괄이익</t>
        </is>
      </c>
      <c r="C172" s="12" t="n">
        <v>-474.578</v>
      </c>
      <c r="D172" s="12" t="n">
        <v>202.037</v>
      </c>
      <c r="E172" s="12" t="n">
        <v>-351.971</v>
      </c>
      <c r="F172" s="12" t="n">
        <v>-120.288</v>
      </c>
      <c r="G172" s="12" t="n">
        <v>-70.273</v>
      </c>
      <c r="H172" s="12" t="n">
        <v>712.149</v>
      </c>
      <c r="I172" s="12" t="n">
        <v>11.974</v>
      </c>
      <c r="J172" s="12" t="n">
        <v>253.553</v>
      </c>
      <c r="K172" s="12" t="n">
        <v>-360.071</v>
      </c>
      <c r="L172" s="12" t="n">
        <v>-48.289</v>
      </c>
      <c r="M172" s="12" t="n">
        <v>75.721</v>
      </c>
      <c r="N172" s="12" t="n">
        <v>1496.22</v>
      </c>
      <c r="U172" s="12" t="n">
        <v>-83.61799999999999</v>
      </c>
      <c r="V172" s="12" t="n">
        <v>-474.578</v>
      </c>
      <c r="W172" s="12" t="n">
        <v>-70.273</v>
      </c>
      <c r="X172" s="12" t="n">
        <v>-360.071</v>
      </c>
    </row>
    <row r="174">
      <c r="A174" s="16" t="inlineStr">
        <is>
          <t>부문 · 전 항목</t>
        </is>
      </c>
      <c r="B174" s="42" t="inlineStr">
        <is>
          <t>부문 · 항목</t>
        </is>
      </c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</row>
    <row r="175">
      <c r="A175" s="5" t="inlineStr">
        <is>
          <t>항목</t>
        </is>
      </c>
      <c r="B175" s="5" t="inlineStr">
        <is>
          <t>참고</t>
        </is>
      </c>
      <c r="C175" s="5" t="inlineStr">
        <is>
          <t>2023.4Q</t>
        </is>
      </c>
      <c r="D175" s="5" t="inlineStr">
        <is>
          <t>2024.1Q</t>
        </is>
      </c>
      <c r="E175" s="5" t="inlineStr">
        <is>
          <t>2024.2Q</t>
        </is>
      </c>
      <c r="F175" s="5" t="inlineStr">
        <is>
          <t>2024.3Q</t>
        </is>
      </c>
      <c r="G175" s="5" t="inlineStr">
        <is>
          <t>2024.4Q</t>
        </is>
      </c>
      <c r="H175" s="5" t="inlineStr">
        <is>
          <t>2025.1Q</t>
        </is>
      </c>
      <c r="I175" s="5" t="inlineStr">
        <is>
          <t>2025.2Q</t>
        </is>
      </c>
      <c r="J175" s="5" t="inlineStr">
        <is>
          <t>2025.3Q</t>
        </is>
      </c>
      <c r="K175" s="5" t="inlineStr">
        <is>
          <t>2025.4Q</t>
        </is>
      </c>
      <c r="L175" s="5" t="inlineStr">
        <is>
          <t>2026.1Q</t>
        </is>
      </c>
      <c r="M175" s="5" t="inlineStr">
        <is>
          <t>2026.2Q</t>
        </is>
      </c>
      <c r="N175" s="5" t="inlineStr">
        <is>
          <t>2026.3Q</t>
        </is>
      </c>
      <c r="O175" s="5" t="inlineStr">
        <is>
          <t>2016</t>
        </is>
      </c>
      <c r="P175" s="5" t="inlineStr">
        <is>
          <t>2017</t>
        </is>
      </c>
      <c r="Q175" s="5" t="inlineStr">
        <is>
          <t>2018</t>
        </is>
      </c>
      <c r="R175" s="5" t="inlineStr">
        <is>
          <t>2019</t>
        </is>
      </c>
      <c r="S175" s="5" t="inlineStr">
        <is>
          <t>2020</t>
        </is>
      </c>
      <c r="T175" s="5" t="inlineStr">
        <is>
          <t>2021</t>
        </is>
      </c>
      <c r="U175" s="5" t="inlineStr">
        <is>
          <t>2022</t>
        </is>
      </c>
      <c r="V175" s="5" t="inlineStr">
        <is>
          <t>2023</t>
        </is>
      </c>
      <c r="W175" s="5" t="inlineStr">
        <is>
          <t>2024</t>
        </is>
      </c>
      <c r="X175" s="5" t="inlineStr">
        <is>
          <t>2025</t>
        </is>
      </c>
      <c r="Y175" s="5" t="inlineStr">
        <is>
          <t>2026(MW)</t>
        </is>
      </c>
      <c r="Z175" s="5" t="inlineStr">
        <is>
          <t>2027(MW)</t>
        </is>
      </c>
      <c r="AA175" s="5" t="inlineStr">
        <is>
          <t>2028(MW)</t>
        </is>
      </c>
      <c r="AB175" s="5" t="inlineStr">
        <is>
          <t>2029(MW)</t>
        </is>
      </c>
      <c r="AC175" s="5" t="inlineStr">
        <is>
          <t>2030(MW)</t>
        </is>
      </c>
    </row>
    <row r="176">
      <c r="A176" s="18" t="inlineStr">
        <is>
          <t>BusinessReportableSegmentMember · 외부 고객 매출</t>
        </is>
      </c>
      <c r="D176" s="20" t="n">
        <v>6439.861</v>
      </c>
      <c r="E176" s="20" t="n">
        <v>6524.809</v>
      </c>
      <c r="F176" s="20" t="n">
        <v>6649.741</v>
      </c>
      <c r="G176" s="20" t="n">
        <v>7416.522</v>
      </c>
      <c r="H176" s="20" t="n">
        <v>7805.601</v>
      </c>
      <c r="I176" s="20" t="n">
        <v>8369.23</v>
      </c>
      <c r="J176" s="20" t="n">
        <v>8740.335999999999</v>
      </c>
      <c r="K176" s="20" t="n">
        <v>11135.35</v>
      </c>
      <c r="L176" s="20" t="n">
        <v>12375.325</v>
      </c>
      <c r="M176" s="20" t="n">
        <v>11791.168</v>
      </c>
      <c r="N176" s="20" t="n">
        <v>13311.533</v>
      </c>
      <c r="W176" s="20" t="n">
        <v>7416.522</v>
      </c>
      <c r="X176" s="20" t="n">
        <v>11135.35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SaaSMarketingReportableSegmentMember · 외부 고객 매출</t>
        </is>
      </c>
      <c r="D178" s="20" t="n">
        <v>1157.121</v>
      </c>
      <c r="E178" s="20" t="n">
        <v>1288.546</v>
      </c>
      <c r="F178" s="20" t="n">
        <v>1251.396</v>
      </c>
      <c r="G178" s="20" t="n">
        <v>1284.73</v>
      </c>
      <c r="H178" s="20" t="n">
        <v>1241.891</v>
      </c>
      <c r="I178" s="20" t="n">
        <v>1261.514</v>
      </c>
      <c r="J178" s="20" t="n">
        <v>1272.288</v>
      </c>
      <c r="K178" s="20" t="n">
        <v>963.627</v>
      </c>
      <c r="W178" s="20" t="n">
        <v>1284.73</v>
      </c>
      <c r="X178" s="20" t="n">
        <v>963.627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HOMEReportableSegmentMember · 외부 고객 매출</t>
        </is>
      </c>
      <c r="D180" s="20" t="n">
        <v>1088.573</v>
      </c>
      <c r="E180" s="20" t="n">
        <v>1204.129</v>
      </c>
      <c r="F180" s="20" t="n">
        <v>1166.843</v>
      </c>
      <c r="G180" s="20" t="n">
        <v>1267.238</v>
      </c>
      <c r="H180" s="20" t="n">
        <v>1203.853</v>
      </c>
      <c r="I180" s="20" t="n">
        <v>1148.909</v>
      </c>
      <c r="J180" s="20" t="n">
        <v>1091.034</v>
      </c>
      <c r="K180" s="20" t="n">
        <v>1294.022</v>
      </c>
      <c r="L180" s="20" t="n">
        <v>1257.197</v>
      </c>
      <c r="M180" s="20" t="n">
        <v>1303.583</v>
      </c>
      <c r="N180" s="20" t="n">
        <v>1342.062</v>
      </c>
      <c r="W180" s="20" t="n">
        <v>1267.238</v>
      </c>
      <c r="X180" s="20" t="n">
        <v>1294.022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XReportableSegmentMember · 외부 고객 매출</t>
        </is>
      </c>
      <c r="D182" s="20" t="n">
        <v>660.115</v>
      </c>
      <c r="E182" s="20" t="n">
        <v>736.1950000000001</v>
      </c>
      <c r="F182" s="20" t="n">
        <v>738.976</v>
      </c>
      <c r="G182" s="20" t="n">
        <v>719.2809999999999</v>
      </c>
      <c r="H182" s="20" t="n">
        <v>688.92</v>
      </c>
      <c r="I182" s="20" t="n">
        <v>716.704</v>
      </c>
      <c r="J182" s="20" t="n">
        <v>799.785</v>
      </c>
      <c r="K182" s="20" t="n">
        <v>933.954</v>
      </c>
      <c r="L182" s="20" t="n">
        <v>933.6130000000001</v>
      </c>
      <c r="M182" s="20" t="n">
        <v>1085.476</v>
      </c>
      <c r="N182" s="20" t="n">
        <v>927.6130000000001</v>
      </c>
      <c r="W182" s="20" t="n">
        <v>719.2809999999999</v>
      </c>
      <c r="X182" s="20" t="n">
        <v>933.954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FinanceReportableSegmentMember · 외부 고객 매출</t>
        </is>
      </c>
      <c r="D184" s="20" t="n">
        <v>197.848</v>
      </c>
      <c r="E184" s="20" t="n">
        <v>566.41</v>
      </c>
      <c r="F184" s="20" t="n">
        <v>0.6</v>
      </c>
      <c r="G184" s="20" t="n">
        <v>0.9</v>
      </c>
      <c r="H184" s="20" t="n">
        <v>752.6420000000001</v>
      </c>
      <c r="I184" s="20" t="n">
        <v>1.007</v>
      </c>
      <c r="J184" s="20" t="n">
        <v>139.346</v>
      </c>
      <c r="K184" s="20" t="n">
        <v>656.853</v>
      </c>
      <c r="L184" s="20" t="n">
        <v>0.75</v>
      </c>
      <c r="M184" s="20" t="n">
        <v>0.75</v>
      </c>
      <c r="N184" s="20" t="n">
        <v>2135.091</v>
      </c>
      <c r="W184" s="20" t="n">
        <v>0.9</v>
      </c>
      <c r="X184" s="20" t="n">
        <v>656.853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보고부문 합계 · 외부 고객 매출</t>
        </is>
      </c>
      <c r="D186" s="20" t="n">
        <v>9543.519</v>
      </c>
      <c r="E186" s="20" t="n">
        <v>10320.089</v>
      </c>
      <c r="F186" s="20" t="n">
        <v>9807.555</v>
      </c>
      <c r="G186" s="20" t="n">
        <v>10688.673</v>
      </c>
      <c r="H186" s="20" t="n">
        <v>11692.909</v>
      </c>
      <c r="I186" s="20" t="n">
        <v>11497.364</v>
      </c>
      <c r="J186" s="20" t="n">
        <v>12042.789</v>
      </c>
      <c r="K186" s="20" t="n">
        <v>14983.806</v>
      </c>
      <c r="L186" s="20" t="n">
        <v>14566.886</v>
      </c>
      <c r="M186" s="20" t="n">
        <v>14180.977</v>
      </c>
      <c r="N186" s="20" t="n">
        <v>17716.299</v>
      </c>
      <c r="W186" s="20" t="n">
        <v>10688.673</v>
      </c>
      <c r="X186" s="20" t="n">
        <v>14983.806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BusinessReportableSegmentMember · 부문 간 내부매출·대체</t>
        </is>
      </c>
      <c r="D188" s="20" t="n">
        <v>16.806</v>
      </c>
      <c r="E188" s="20" t="n">
        <v>-3.039</v>
      </c>
      <c r="F188" s="20" t="n">
        <v>6.995</v>
      </c>
      <c r="G188" s="20" t="n">
        <v>5.694</v>
      </c>
      <c r="H188" s="20" t="n">
        <v>8.236000000000001</v>
      </c>
      <c r="I188" s="20" t="n">
        <v>41.307</v>
      </c>
      <c r="J188" s="20" t="n">
        <v>-21.666</v>
      </c>
      <c r="K188" s="20" t="n">
        <v>8.715</v>
      </c>
      <c r="L188" s="20" t="n">
        <v>11.206</v>
      </c>
      <c r="M188" s="20" t="n">
        <v>16.409</v>
      </c>
      <c r="N188" s="20" t="n">
        <v>14.345</v>
      </c>
      <c r="W188" s="20" t="n">
        <v>5.694</v>
      </c>
      <c r="X188" s="20" t="n">
        <v>8.715</v>
      </c>
    </row>
    <row r="189">
      <c r="A189" s="18" t="inlineStr">
        <is>
          <t>SaaSMarketingReportableSegmentMember · 부문 간 내부매출·대체</t>
        </is>
      </c>
      <c r="D189" s="20" t="n">
        <v>86.209</v>
      </c>
      <c r="E189" s="20" t="n">
        <v>74.536</v>
      </c>
      <c r="F189" s="20" t="n">
        <v>57.524</v>
      </c>
      <c r="G189" s="20" t="n">
        <v>58.749</v>
      </c>
      <c r="H189" s="20" t="n">
        <v>57.18</v>
      </c>
      <c r="I189" s="20" t="n">
        <v>59.34</v>
      </c>
      <c r="J189" s="20" t="n">
        <v>73.901</v>
      </c>
      <c r="K189" s="20" t="n">
        <v>62.608</v>
      </c>
      <c r="W189" s="20" t="n">
        <v>58.749</v>
      </c>
      <c r="X189" s="20" t="n">
        <v>62.608</v>
      </c>
    </row>
    <row r="190">
      <c r="A190" s="18" t="inlineStr">
        <is>
          <t>HOMEReportableSegmentMember · 부문 간 내부매출·대체</t>
        </is>
      </c>
      <c r="D190" s="20" t="n">
        <v>0</v>
      </c>
      <c r="E190" s="20" t="n">
        <v>0.8</v>
      </c>
      <c r="F190" s="20" t="n">
        <v>0</v>
      </c>
      <c r="G190" s="20" t="n">
        <v>1.32</v>
      </c>
      <c r="H190" s="20" t="n">
        <v>17.92</v>
      </c>
      <c r="I190" s="20" t="n">
        <v>20.792</v>
      </c>
      <c r="J190" s="20" t="n">
        <v>7.08</v>
      </c>
      <c r="K190" s="20" t="n">
        <v>6.177</v>
      </c>
      <c r="L190" s="20" t="n">
        <v>22.26</v>
      </c>
      <c r="M190" s="20" t="n">
        <v>24.718</v>
      </c>
      <c r="N190" s="20" t="n">
        <v>8.640000000000001</v>
      </c>
      <c r="W190" s="20" t="n">
        <v>1.32</v>
      </c>
      <c r="X190" s="20" t="n">
        <v>6.177</v>
      </c>
    </row>
    <row r="191">
      <c r="A191" s="18" t="inlineStr">
        <is>
          <t>XReportableSegmentMember · 부문 간 내부매출·대체</t>
        </is>
      </c>
      <c r="D191" s="20" t="n">
        <v>3.03</v>
      </c>
      <c r="E191" s="20" t="n">
        <v>3.73</v>
      </c>
      <c r="F191" s="20" t="n">
        <v>3.63</v>
      </c>
      <c r="G191" s="20" t="n">
        <v>9.83</v>
      </c>
      <c r="H191" s="20" t="n">
        <v>25.502</v>
      </c>
      <c r="I191" s="20" t="n">
        <v>23.821</v>
      </c>
      <c r="J191" s="20" t="n">
        <v>16.142</v>
      </c>
      <c r="K191" s="20" t="n">
        <v>15.246</v>
      </c>
      <c r="L191" s="20" t="n">
        <v>14.83</v>
      </c>
      <c r="M191" s="20" t="n">
        <v>12.935</v>
      </c>
      <c r="N191" s="20" t="n">
        <v>16.717</v>
      </c>
      <c r="W191" s="20" t="n">
        <v>9.83</v>
      </c>
      <c r="X191" s="20" t="n">
        <v>15.246</v>
      </c>
    </row>
    <row r="192">
      <c r="A192" s="18" t="inlineStr">
        <is>
          <t>FinanceReportableSegmentMember · 부문 간 내부매출·대체</t>
        </is>
      </c>
      <c r="D192" s="20" t="n">
        <v>0</v>
      </c>
      <c r="E192" s="20" t="n">
        <v>0</v>
      </c>
      <c r="F192" s="20" t="n">
        <v>0</v>
      </c>
      <c r="G192" s="20" t="n">
        <v>0</v>
      </c>
      <c r="H192" s="20" t="n">
        <v>0</v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0</v>
      </c>
      <c r="W192" s="20" t="n">
        <v>0</v>
      </c>
      <c r="X192" s="20" t="n">
        <v>0</v>
      </c>
    </row>
    <row r="193">
      <c r="A193" s="18" t="inlineStr">
        <is>
          <t>보고부문 합계 · 부문 간 내부매출·대체</t>
        </is>
      </c>
      <c r="D193" s="20" t="n">
        <v>106.045</v>
      </c>
      <c r="E193" s="20" t="n">
        <v>76.02800000000001</v>
      </c>
      <c r="F193" s="20" t="n">
        <v>68.149</v>
      </c>
      <c r="G193" s="20" t="n">
        <v>75.593</v>
      </c>
      <c r="H193" s="20" t="n">
        <v>108.838</v>
      </c>
      <c r="I193" s="20" t="n">
        <v>145.261</v>
      </c>
      <c r="J193" s="20" t="n">
        <v>75.45699999999999</v>
      </c>
      <c r="K193" s="20" t="n">
        <v>92.746</v>
      </c>
      <c r="L193" s="20" t="n">
        <v>48.297</v>
      </c>
      <c r="M193" s="20" t="n">
        <v>54.062</v>
      </c>
      <c r="N193" s="20" t="n">
        <v>39.703</v>
      </c>
      <c r="W193" s="20" t="n">
        <v>75.593</v>
      </c>
      <c r="X193" s="20" t="n">
        <v>92.746</v>
      </c>
    </row>
    <row r="194">
      <c r="A194" s="18" t="inlineStr">
        <is>
          <t>BusinessReportableSegmentMember · 계</t>
        </is>
      </c>
      <c r="D194" s="20" t="n">
        <v>6456.668</v>
      </c>
      <c r="E194" s="20" t="n">
        <v>6521.77</v>
      </c>
      <c r="F194" s="20" t="n">
        <v>6656.736</v>
      </c>
      <c r="G194" s="20" t="n">
        <v>7422.216</v>
      </c>
      <c r="H194" s="20" t="n">
        <v>7813.837</v>
      </c>
      <c r="I194" s="20" t="n">
        <v>8410.537</v>
      </c>
      <c r="J194" s="20" t="n">
        <v>8718.671</v>
      </c>
      <c r="K194" s="20" t="n">
        <v>11144.065</v>
      </c>
      <c r="L194" s="20" t="n">
        <v>12386.532</v>
      </c>
      <c r="M194" s="20" t="n">
        <v>11807.576</v>
      </c>
      <c r="N194" s="20" t="n">
        <v>13325.879</v>
      </c>
      <c r="W194" s="20" t="n">
        <v>7422.216</v>
      </c>
      <c r="X194" s="20" t="n">
        <v>11144.065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SaaSMarketingReportableSegmentMember · 계</t>
        </is>
      </c>
      <c r="D196" s="20" t="n">
        <v>1243.33</v>
      </c>
      <c r="E196" s="20" t="n">
        <v>1363.082</v>
      </c>
      <c r="F196" s="20" t="n">
        <v>1308.92</v>
      </c>
      <c r="G196" s="20" t="n">
        <v>1343.479</v>
      </c>
      <c r="H196" s="20" t="n">
        <v>1299.071</v>
      </c>
      <c r="I196" s="20" t="n">
        <v>1320.854</v>
      </c>
      <c r="J196" s="20" t="n">
        <v>1346.189</v>
      </c>
      <c r="K196" s="20" t="n">
        <v>1026.236</v>
      </c>
      <c r="W196" s="20" t="n">
        <v>1343.479</v>
      </c>
      <c r="X196" s="20" t="n">
        <v>1026.236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HOMEReportableSegmentMember · 계</t>
        </is>
      </c>
      <c r="D198" s="20" t="n">
        <v>1088.573</v>
      </c>
      <c r="E198" s="20" t="n">
        <v>1204.929</v>
      </c>
      <c r="F198" s="20" t="n">
        <v>1166.843</v>
      </c>
      <c r="G198" s="20" t="n">
        <v>1268.558</v>
      </c>
      <c r="H198" s="20" t="n">
        <v>1221.773</v>
      </c>
      <c r="I198" s="20" t="n">
        <v>1169.701</v>
      </c>
      <c r="J198" s="20" t="n">
        <v>1098.114</v>
      </c>
      <c r="K198" s="20" t="n">
        <v>1300.199</v>
      </c>
      <c r="L198" s="20" t="n">
        <v>1279.457</v>
      </c>
      <c r="M198" s="20" t="n">
        <v>1328.302</v>
      </c>
      <c r="N198" s="20" t="n">
        <v>1350.702</v>
      </c>
      <c r="W198" s="20" t="n">
        <v>1268.558</v>
      </c>
      <c r="X198" s="20" t="n">
        <v>1300.199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XReportableSegmentMember · 계</t>
        </is>
      </c>
      <c r="D200" s="20" t="n">
        <v>663.145</v>
      </c>
      <c r="E200" s="20" t="n">
        <v>739.925</v>
      </c>
      <c r="F200" s="20" t="n">
        <v>742.606</v>
      </c>
      <c r="G200" s="20" t="n">
        <v>729.111</v>
      </c>
      <c r="H200" s="20" t="n">
        <v>714.422</v>
      </c>
      <c r="I200" s="20" t="n">
        <v>740.525</v>
      </c>
      <c r="J200" s="20" t="n">
        <v>815.927</v>
      </c>
      <c r="K200" s="20" t="n">
        <v>949.2</v>
      </c>
      <c r="L200" s="20" t="n">
        <v>948.443</v>
      </c>
      <c r="M200" s="20" t="n">
        <v>1098.412</v>
      </c>
      <c r="N200" s="20" t="n">
        <v>944.33</v>
      </c>
      <c r="W200" s="20" t="n">
        <v>729.111</v>
      </c>
      <c r="X200" s="20" t="n">
        <v>949.2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FinanceReportableSegmentMember · 계</t>
        </is>
      </c>
      <c r="D202" s="20" t="n">
        <v>197.848</v>
      </c>
      <c r="E202" s="20" t="n">
        <v>566.41</v>
      </c>
      <c r="F202" s="20" t="n">
        <v>0.6</v>
      </c>
      <c r="G202" s="20" t="n">
        <v>0.9</v>
      </c>
      <c r="H202" s="20" t="n">
        <v>752.6420000000001</v>
      </c>
      <c r="I202" s="20" t="n">
        <v>1.007</v>
      </c>
      <c r="J202" s="20" t="n">
        <v>139.346</v>
      </c>
      <c r="K202" s="20" t="n">
        <v>656.853</v>
      </c>
      <c r="L202" s="20" t="n">
        <v>0.75</v>
      </c>
      <c r="M202" s="20" t="n">
        <v>0.75</v>
      </c>
      <c r="N202" s="20" t="n">
        <v>2135.091</v>
      </c>
      <c r="W202" s="20" t="n">
        <v>0.9</v>
      </c>
      <c r="X202" s="20" t="n">
        <v>656.853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보고부문 합계 · 계</t>
        </is>
      </c>
      <c r="D204" s="20" t="n">
        <v>9649.565000000001</v>
      </c>
      <c r="E204" s="20" t="n">
        <v>10396.116</v>
      </c>
      <c r="F204" s="20" t="n">
        <v>9875.705</v>
      </c>
      <c r="G204" s="20" t="n">
        <v>10764.265</v>
      </c>
      <c r="H204" s="20" t="n">
        <v>11801.747</v>
      </c>
      <c r="I204" s="20" t="n">
        <v>11642.625</v>
      </c>
      <c r="J204" s="20" t="n">
        <v>12118.246</v>
      </c>
      <c r="K204" s="20" t="n">
        <v>15076.552</v>
      </c>
      <c r="L204" s="20" t="n">
        <v>14615.183</v>
      </c>
      <c r="M204" s="20" t="n">
        <v>14235.04</v>
      </c>
      <c r="N204" s="20" t="n">
        <v>17756.002</v>
      </c>
      <c r="W204" s="20" t="n">
        <v>10764.265</v>
      </c>
      <c r="X204" s="20" t="n">
        <v>15076.552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BusinessReportableSegmentMember · 부문 이익(손실)</t>
        </is>
      </c>
      <c r="D206" s="20" t="n">
        <v>-444.882</v>
      </c>
      <c r="E206" s="20" t="n">
        <v>-741.177</v>
      </c>
      <c r="F206" s="20" t="n">
        <v>-463.615</v>
      </c>
      <c r="G206" s="20" t="n">
        <v>-629.853</v>
      </c>
      <c r="H206" s="20" t="n">
        <v>-343.192</v>
      </c>
      <c r="I206" s="20" t="n">
        <v>-580.201</v>
      </c>
      <c r="J206" s="20" t="n">
        <v>-67.509</v>
      </c>
      <c r="K206" s="20" t="n">
        <v>-221.157</v>
      </c>
      <c r="L206" s="20" t="n">
        <v>789.498</v>
      </c>
      <c r="M206" s="20" t="n">
        <v>264.022</v>
      </c>
      <c r="N206" s="20" t="n">
        <v>997.354</v>
      </c>
      <c r="W206" s="20" t="n">
        <v>-629.853</v>
      </c>
      <c r="X206" s="20" t="n">
        <v>-221.157</v>
      </c>
    </row>
    <row r="207">
      <c r="A207" s="43" t="inlineStr">
        <is>
          <t>OPM</t>
        </is>
      </c>
      <c r="B207" s="3" t="inlineStr">
        <is>
          <t>영업이익 ÷ 매출</t>
        </is>
      </c>
      <c r="D207" s="15">
        <f>IF(OR(D206="",D194=""),"",IF(D194&lt;=0,"",IFERROR(D206/D194,"")))</f>
        <v/>
      </c>
      <c r="E207" s="15">
        <f>IF(OR(E206="",E194=""),"",IF(E194&lt;=0,"",IFERROR(E206/E194,"")))</f>
        <v/>
      </c>
      <c r="F207" s="15">
        <f>IF(OR(F206="",F194=""),"",IF(F194&lt;=0,"",IFERROR(F206/F194,"")))</f>
        <v/>
      </c>
      <c r="G207" s="15">
        <f>IF(OR(G206="",G194=""),"",IF(G194&lt;=0,"",IFERROR(G206/G194,"")))</f>
        <v/>
      </c>
      <c r="H207" s="15">
        <f>IF(OR(H206="",H194=""),"",IF(H194&lt;=0,"",IFERROR(H206/H194,"")))</f>
        <v/>
      </c>
      <c r="I207" s="15">
        <f>IF(OR(I206="",I194=""),"",IF(I194&lt;=0,"",IFERROR(I206/I194,"")))</f>
        <v/>
      </c>
      <c r="J207" s="15">
        <f>IF(OR(J206="",J194=""),"",IF(J194&lt;=0,"",IFERROR(J206/J194,"")))</f>
        <v/>
      </c>
      <c r="K207" s="15">
        <f>IF(OR(K206="",K194=""),"",IF(K194&lt;=0,"",IFERROR(K206/K194,"")))</f>
        <v/>
      </c>
      <c r="L207" s="15">
        <f>IF(OR(L206="",L194=""),"",IF(L194&lt;=0,"",IFERROR(L206/L194,"")))</f>
        <v/>
      </c>
      <c r="M207" s="15">
        <f>IF(OR(M206="",M194=""),"",IF(M194&lt;=0,"",IFERROR(M206/M194,"")))</f>
        <v/>
      </c>
      <c r="N207" s="15">
        <f>IF(OR(N206="",N194=""),"",IF(N194&lt;=0,"",IFERROR(N206/N194,"")))</f>
        <v/>
      </c>
      <c r="W207" s="15">
        <f>IF(OR(W206="",W194=""),"",IF(W194&lt;=0,"",IFERROR(W206/W194,"")))</f>
        <v/>
      </c>
      <c r="X207" s="15">
        <f>IF(OR(X206="",X194=""),"",IF(X194&lt;=0,"",IFERROR(X206/X194,"")))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SaaSMarketingReportableSegmentMember · 부문 이익(손실)</t>
        </is>
      </c>
      <c r="D209" s="20" t="n">
        <v>109.172</v>
      </c>
      <c r="E209" s="20" t="n">
        <v>104.15</v>
      </c>
      <c r="F209" s="20" t="n">
        <v>171.541</v>
      </c>
      <c r="G209" s="20" t="n">
        <v>181.462</v>
      </c>
      <c r="H209" s="20" t="n">
        <v>105.064</v>
      </c>
      <c r="I209" s="20" t="n">
        <v>80.92400000000001</v>
      </c>
      <c r="J209" s="20" t="n">
        <v>127.995</v>
      </c>
      <c r="K209" s="20" t="n">
        <v>164.522</v>
      </c>
      <c r="W209" s="20" t="n">
        <v>181.462</v>
      </c>
      <c r="X209" s="20" t="n">
        <v>164.522</v>
      </c>
    </row>
    <row r="210">
      <c r="A210" s="43" t="inlineStr">
        <is>
          <t>OPM</t>
        </is>
      </c>
      <c r="B210" s="3" t="inlineStr">
        <is>
          <t>영업이익 ÷ 매출</t>
        </is>
      </c>
      <c r="D210" s="15">
        <f>IF(OR(D209="",D196=""),"",IF(D196&lt;=0,"",IFERROR(D209/D196,"")))</f>
        <v/>
      </c>
      <c r="E210" s="15">
        <f>IF(OR(E209="",E196=""),"",IF(E196&lt;=0,"",IFERROR(E209/E196,"")))</f>
        <v/>
      </c>
      <c r="F210" s="15">
        <f>IF(OR(F209="",F196=""),"",IF(F196&lt;=0,"",IFERROR(F209/F196,"")))</f>
        <v/>
      </c>
      <c r="G210" s="15">
        <f>IF(OR(G209="",G196=""),"",IF(G196&lt;=0,"",IFERROR(G209/G196,"")))</f>
        <v/>
      </c>
      <c r="H210" s="15">
        <f>IF(OR(H209="",H196=""),"",IF(H196&lt;=0,"",IFERROR(H209/H196,"")))</f>
        <v/>
      </c>
      <c r="I210" s="15">
        <f>IF(OR(I209="",I196=""),"",IF(I196&lt;=0,"",IFERROR(I209/I196,"")))</f>
        <v/>
      </c>
      <c r="J210" s="15">
        <f>IF(OR(J209="",J196=""),"",IF(J196&lt;=0,"",IFERROR(J209/J196,"")))</f>
        <v/>
      </c>
      <c r="K210" s="15">
        <f>IF(OR(K209="",K196=""),"",IF(K196&lt;=0,"",IFERROR(K209/K196,"")))</f>
        <v/>
      </c>
      <c r="W210" s="15">
        <f>IF(OR(W209="",W196=""),"",IF(W196&lt;=0,"",IFERROR(W209/W196,"")))</f>
        <v/>
      </c>
      <c r="X210" s="15">
        <f>IF(OR(X209="",X196=""),"",IF(X196&lt;=0,"",IFERROR(X209/X196,"")))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HOMEReportableSegmentMember · 부문 이익(손실)</t>
        </is>
      </c>
      <c r="D212" s="20" t="n">
        <v>297.894</v>
      </c>
      <c r="E212" s="20" t="n">
        <v>364.478</v>
      </c>
      <c r="F212" s="20" t="n">
        <v>380.317</v>
      </c>
      <c r="G212" s="20" t="n">
        <v>299.701</v>
      </c>
      <c r="H212" s="20" t="n">
        <v>131.828</v>
      </c>
      <c r="I212" s="20" t="n">
        <v>262.737</v>
      </c>
      <c r="J212" s="20" t="n">
        <v>290.944</v>
      </c>
      <c r="K212" s="20" t="n">
        <v>408.839</v>
      </c>
      <c r="L212" s="20" t="n">
        <v>243.924</v>
      </c>
      <c r="M212" s="20" t="n">
        <v>407.93</v>
      </c>
      <c r="N212" s="20" t="n">
        <v>314.975</v>
      </c>
      <c r="W212" s="20" t="n">
        <v>299.701</v>
      </c>
      <c r="X212" s="20" t="n">
        <v>408.839</v>
      </c>
    </row>
    <row r="213">
      <c r="A213" s="43" t="inlineStr">
        <is>
          <t>OPM</t>
        </is>
      </c>
      <c r="B213" s="3" t="inlineStr">
        <is>
          <t>영업이익 ÷ 매출</t>
        </is>
      </c>
      <c r="D213" s="15">
        <f>IF(OR(D212="",D198=""),"",IF(D198&lt;=0,"",IFERROR(D212/D198,"")))</f>
        <v/>
      </c>
      <c r="E213" s="15">
        <f>IF(OR(E212="",E198=""),"",IF(E198&lt;=0,"",IFERROR(E212/E198,"")))</f>
        <v/>
      </c>
      <c r="F213" s="15">
        <f>IF(OR(F212="",F198=""),"",IF(F198&lt;=0,"",IFERROR(F212/F198,"")))</f>
        <v/>
      </c>
      <c r="G213" s="15">
        <f>IF(OR(G212="",G198=""),"",IF(G198&lt;=0,"",IFERROR(G212/G198,"")))</f>
        <v/>
      </c>
      <c r="H213" s="15">
        <f>IF(OR(H212="",H198=""),"",IF(H198&lt;=0,"",IFERROR(H212/H198,"")))</f>
        <v/>
      </c>
      <c r="I213" s="15">
        <f>IF(OR(I212="",I198=""),"",IF(I198&lt;=0,"",IFERROR(I212/I198,"")))</f>
        <v/>
      </c>
      <c r="J213" s="15">
        <f>IF(OR(J212="",J198=""),"",IF(J198&lt;=0,"",IFERROR(J212/J198,"")))</f>
        <v/>
      </c>
      <c r="K213" s="15">
        <f>IF(OR(K212="",K198=""),"",IF(K198&lt;=0,"",IFERROR(K212/K198,"")))</f>
        <v/>
      </c>
      <c r="L213" s="15">
        <f>IF(OR(L212="",L198=""),"",IF(L198&lt;=0,"",IFERROR(L212/L198,"")))</f>
        <v/>
      </c>
      <c r="M213" s="15">
        <f>IF(OR(M212="",M198=""),"",IF(M198&lt;=0,"",IFERROR(M212/M198,"")))</f>
        <v/>
      </c>
      <c r="N213" s="15">
        <f>IF(OR(N212="",N198=""),"",IF(N198&lt;=0,"",IFERROR(N212/N198,"")))</f>
        <v/>
      </c>
      <c r="W213" s="15">
        <f>IF(OR(W212="",W198=""),"",IF(W198&lt;=0,"",IFERROR(W212/W198,"")))</f>
        <v/>
      </c>
      <c r="X213" s="15">
        <f>IF(OR(X212="",X198=""),"",IF(X198&lt;=0,"",IFERROR(X212/X198,"")))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XReportableSegmentMember · 부문 이익(손실)</t>
        </is>
      </c>
      <c r="D215" s="20" t="n">
        <v>49.916</v>
      </c>
      <c r="E215" s="20" t="n">
        <v>79.032</v>
      </c>
      <c r="F215" s="20" t="n">
        <v>95.226</v>
      </c>
      <c r="G215" s="20" t="n">
        <v>84.907</v>
      </c>
      <c r="H215" s="20" t="n">
        <v>38.169</v>
      </c>
      <c r="I215" s="20" t="n">
        <v>85.92</v>
      </c>
      <c r="J215" s="20" t="n">
        <v>111.72</v>
      </c>
      <c r="K215" s="20" t="n">
        <v>163.757</v>
      </c>
      <c r="L215" s="20" t="n">
        <v>110.377</v>
      </c>
      <c r="M215" s="20" t="n">
        <v>212.559</v>
      </c>
      <c r="N215" s="20" t="n">
        <v>52.082</v>
      </c>
      <c r="W215" s="20" t="n">
        <v>84.907</v>
      </c>
      <c r="X215" s="20" t="n">
        <v>163.757</v>
      </c>
    </row>
    <row r="216">
      <c r="A216" s="43" t="inlineStr">
        <is>
          <t>OPM</t>
        </is>
      </c>
      <c r="B216" s="3" t="inlineStr">
        <is>
          <t>영업이익 ÷ 매출</t>
        </is>
      </c>
      <c r="D216" s="15">
        <f>IF(OR(D215="",D200=""),"",IF(D200&lt;=0,"",IFERROR(D215/D200,"")))</f>
        <v/>
      </c>
      <c r="E216" s="15">
        <f>IF(OR(E215="",E200=""),"",IF(E200&lt;=0,"",IFERROR(E215/E200,"")))</f>
        <v/>
      </c>
      <c r="F216" s="15">
        <f>IF(OR(F215="",F200=""),"",IF(F200&lt;=0,"",IFERROR(F215/F200,"")))</f>
        <v/>
      </c>
      <c r="G216" s="15">
        <f>IF(OR(G215="",G200=""),"",IF(G200&lt;=0,"",IFERROR(G215/G200,"")))</f>
        <v/>
      </c>
      <c r="H216" s="15">
        <f>IF(OR(H215="",H200=""),"",IF(H200&lt;=0,"",IFERROR(H215/H200,"")))</f>
        <v/>
      </c>
      <c r="I216" s="15">
        <f>IF(OR(I215="",I200=""),"",IF(I200&lt;=0,"",IFERROR(I215/I200,"")))</f>
        <v/>
      </c>
      <c r="J216" s="15">
        <f>IF(OR(J215="",J200=""),"",IF(J200&lt;=0,"",IFERROR(J215/J200,"")))</f>
        <v/>
      </c>
      <c r="K216" s="15">
        <f>IF(OR(K215="",K200=""),"",IF(K200&lt;=0,"",IFERROR(K215/K200,"")))</f>
        <v/>
      </c>
      <c r="L216" s="15">
        <f>IF(OR(L215="",L200=""),"",IF(L200&lt;=0,"",IFERROR(L215/L200,"")))</f>
        <v/>
      </c>
      <c r="M216" s="15">
        <f>IF(OR(M215="",M200=""),"",IF(M200&lt;=0,"",IFERROR(M215/M200,"")))</f>
        <v/>
      </c>
      <c r="N216" s="15">
        <f>IF(OR(N215="",N200=""),"",IF(N200&lt;=0,"",IFERROR(N215/N200,"")))</f>
        <v/>
      </c>
      <c r="W216" s="15">
        <f>IF(OR(W215="",W200=""),"",IF(W200&lt;=0,"",IFERROR(W215/W200,"")))</f>
        <v/>
      </c>
      <c r="X216" s="15">
        <f>IF(OR(X215="",X200=""),"",IF(X200&lt;=0,"",IFERROR(X215/X200,"")))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K217" s="15">
        <f>IF(OR(K215="",G215=""),"",IF(G215&lt;=0,"",IFERROR(K215/G215-1,"")))</f>
        <v/>
      </c>
      <c r="L217" s="15">
        <f>IF(OR(L215="",H215=""),"",IF(H215&lt;=0,"",IFERROR(L215/H215-1,"")))</f>
        <v/>
      </c>
      <c r="M217" s="15">
        <f>IF(OR(M215="",I215=""),"",IF(I215&lt;=0,"",IFERROR(M215/I215-1,"")))</f>
        <v/>
      </c>
      <c r="N217" s="15">
        <f>IF(OR(N215="",J215=""),"",IF(J215&lt;=0,"",IFERROR(N215/J215-1,"")))</f>
        <v/>
      </c>
      <c r="W217" s="15">
        <f>IF(OR(W215="",V215=""),"",IF(V215&lt;=0,"",IFERROR(W215/V215-1,"")))</f>
        <v/>
      </c>
      <c r="X217" s="15">
        <f>IF(OR(X215="",W215=""),"",IF(W215&lt;=0,"",IFERROR(X215/W215-1,"")))</f>
        <v/>
      </c>
    </row>
    <row r="218">
      <c r="A218" s="18" t="inlineStr">
        <is>
          <t>FinanceReportableSegmentMember · 부문 이익(손실)</t>
        </is>
      </c>
      <c r="D218" s="20" t="n">
        <v>107.006</v>
      </c>
      <c r="E218" s="20" t="n">
        <v>301.209</v>
      </c>
      <c r="F218" s="20" t="n">
        <v>-66.938</v>
      </c>
      <c r="G218" s="20" t="n">
        <v>-71.64</v>
      </c>
      <c r="H218" s="20" t="n">
        <v>428.521</v>
      </c>
      <c r="I218" s="20" t="n">
        <v>-215.927</v>
      </c>
      <c r="J218" s="20" t="n">
        <v>-25.689</v>
      </c>
      <c r="K218" s="20" t="n">
        <v>89.25</v>
      </c>
      <c r="L218" s="20" t="n">
        <v>-65.301</v>
      </c>
      <c r="M218" s="20" t="n">
        <v>-85.92</v>
      </c>
      <c r="N218" s="20" t="n">
        <v>1610.963</v>
      </c>
      <c r="W218" s="20" t="n">
        <v>-71.64</v>
      </c>
      <c r="X218" s="20" t="n">
        <v>89.25</v>
      </c>
    </row>
    <row r="219">
      <c r="A219" s="43" t="inlineStr">
        <is>
          <t>OPM</t>
        </is>
      </c>
      <c r="B219" s="3" t="inlineStr">
        <is>
          <t>영업이익 ÷ 매출</t>
        </is>
      </c>
      <c r="D219" s="15">
        <f>IF(OR(D218="",D202=""),"",IF(D202&lt;=0,"",IFERROR(D218/D202,"")))</f>
        <v/>
      </c>
      <c r="E219" s="15">
        <f>IF(OR(E218="",E202=""),"",IF(E202&lt;=0,"",IFERROR(E218/E202,"")))</f>
        <v/>
      </c>
      <c r="F219" s="15">
        <f>IF(OR(F218="",F202=""),"",IF(F202&lt;=0,"",IFERROR(F218/F202,"")))</f>
        <v/>
      </c>
      <c r="G219" s="15">
        <f>IF(OR(G218="",G202=""),"",IF(G202&lt;=0,"",IFERROR(G218/G202,"")))</f>
        <v/>
      </c>
      <c r="H219" s="15">
        <f>IF(OR(H218="",H202=""),"",IF(H202&lt;=0,"",IFERROR(H218/H202,"")))</f>
        <v/>
      </c>
      <c r="I219" s="15">
        <f>IF(OR(I218="",I202=""),"",IF(I202&lt;=0,"",IFERROR(I218/I202,"")))</f>
        <v/>
      </c>
      <c r="J219" s="15">
        <f>IF(OR(J218="",J202=""),"",IF(J202&lt;=0,"",IFERROR(J218/J202,"")))</f>
        <v/>
      </c>
      <c r="K219" s="15">
        <f>IF(OR(K218="",K202=""),"",IF(K202&lt;=0,"",IFERROR(K218/K202,"")))</f>
        <v/>
      </c>
      <c r="L219" s="15">
        <f>IF(OR(L218="",L202=""),"",IF(L202&lt;=0,"",IFERROR(L218/L202,"")))</f>
        <v/>
      </c>
      <c r="M219" s="15">
        <f>IF(OR(M218="",M202=""),"",IF(M202&lt;=0,"",IFERROR(M218/M202,"")))</f>
        <v/>
      </c>
      <c r="N219" s="15">
        <f>IF(OR(N218="",N202=""),"",IF(N202&lt;=0,"",IFERROR(N218/N202,"")))</f>
        <v/>
      </c>
      <c r="W219" s="15">
        <f>IF(OR(W218="",W202=""),"",IF(W202&lt;=0,"",IFERROR(W218/W202,"")))</f>
        <v/>
      </c>
      <c r="X219" s="15">
        <f>IF(OR(X218="",X202=""),"",IF(X202&lt;=0,"",IFERROR(X218/X202,"")))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J220" s="15">
        <f>IF(OR(J218="",F218=""),"",IF(F218&lt;=0,"",IFERROR(J218/F218-1,"")))</f>
        <v/>
      </c>
      <c r="K220" s="15">
        <f>IF(OR(K218="",G218=""),"",IF(G218&lt;=0,"",IFERROR(K218/G218-1,"")))</f>
        <v/>
      </c>
      <c r="L220" s="15">
        <f>IF(OR(L218="",H218=""),"",IF(H218&lt;=0,"",IFERROR(L218/H218-1,"")))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W220" s="15">
        <f>IF(OR(W218="",V218=""),"",IF(V218&lt;=0,"",IFERROR(W218/V218-1,"")))</f>
        <v/>
      </c>
      <c r="X220" s="15">
        <f>IF(OR(X218="",W218=""),"",IF(W218&lt;=0,"",IFERROR(X218/W218-1,"")))</f>
        <v/>
      </c>
    </row>
    <row r="221">
      <c r="A221" s="18" t="inlineStr">
        <is>
          <t>보고부문 합계 · 부문 이익(손실)</t>
        </is>
      </c>
      <c r="D221" s="20" t="n">
        <v>119.107</v>
      </c>
      <c r="E221" s="20" t="n">
        <v>107.692</v>
      </c>
      <c r="F221" s="20" t="n">
        <v>116.531</v>
      </c>
      <c r="G221" s="20" t="n">
        <v>-135.424</v>
      </c>
      <c r="H221" s="20" t="n">
        <v>360.39</v>
      </c>
      <c r="I221" s="20" t="n">
        <v>-366.545</v>
      </c>
      <c r="J221" s="20" t="n">
        <v>437.461</v>
      </c>
      <c r="K221" s="20" t="n">
        <v>605.2089999999999</v>
      </c>
      <c r="L221" s="20" t="n">
        <v>1078.498</v>
      </c>
      <c r="M221" s="20" t="n">
        <v>798.592</v>
      </c>
      <c r="N221" s="20" t="n">
        <v>2975.374</v>
      </c>
      <c r="W221" s="20" t="n">
        <v>-135.424</v>
      </c>
      <c r="X221" s="20" t="n">
        <v>605.2089999999999</v>
      </c>
    </row>
    <row r="222">
      <c r="A222" s="43" t="inlineStr">
        <is>
          <t>OPM</t>
        </is>
      </c>
      <c r="B222" s="3" t="inlineStr">
        <is>
          <t>영업이익 ÷ 매출</t>
        </is>
      </c>
      <c r="D222" s="15">
        <f>IF(OR(D221="",D204=""),"",IF(D204&lt;=0,"",IFERROR(D221/D204,"")))</f>
        <v/>
      </c>
      <c r="E222" s="15">
        <f>IF(OR(E221="",E204=""),"",IF(E204&lt;=0,"",IFERROR(E221/E204,"")))</f>
        <v/>
      </c>
      <c r="F222" s="15">
        <f>IF(OR(F221="",F204=""),"",IF(F204&lt;=0,"",IFERROR(F221/F204,"")))</f>
        <v/>
      </c>
      <c r="G222" s="15">
        <f>IF(OR(G221="",G204=""),"",IF(G204&lt;=0,"",IFERROR(G221/G204,"")))</f>
        <v/>
      </c>
      <c r="H222" s="15">
        <f>IF(OR(H221="",H204=""),"",IF(H204&lt;=0,"",IFERROR(H221/H204,"")))</f>
        <v/>
      </c>
      <c r="I222" s="15">
        <f>IF(OR(I221="",I204=""),"",IF(I204&lt;=0,"",IFERROR(I221/I204,"")))</f>
        <v/>
      </c>
      <c r="J222" s="15">
        <f>IF(OR(J221="",J204=""),"",IF(J204&lt;=0,"",IFERROR(J221/J204,"")))</f>
        <v/>
      </c>
      <c r="K222" s="15">
        <f>IF(OR(K221="",K204=""),"",IF(K204&lt;=0,"",IFERROR(K221/K204,"")))</f>
        <v/>
      </c>
      <c r="L222" s="15">
        <f>IF(OR(L221="",L204=""),"",IF(L204&lt;=0,"",IFERROR(L221/L204,"")))</f>
        <v/>
      </c>
      <c r="M222" s="15">
        <f>IF(OR(M221="",M204=""),"",IF(M204&lt;=0,"",IFERROR(M221/M204,"")))</f>
        <v/>
      </c>
      <c r="N222" s="15">
        <f>IF(OR(N221="",N204=""),"",IF(N204&lt;=0,"",IFERROR(N221/N204,"")))</f>
        <v/>
      </c>
      <c r="W222" s="15">
        <f>IF(OR(W221="",W204=""),"",IF(W204&lt;=0,"",IFERROR(W221/W204,"")))</f>
        <v/>
      </c>
      <c r="X222" s="15">
        <f>IF(OR(X221="",X204=""),"",IF(X204&lt;=0,"",IFERROR(X221/X204,"")))</f>
        <v/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IF(OR(G221="",C221=""),"",IF(C221&lt;=0,"",IFERROR(G221/C221-1,"")))</f>
        <v/>
      </c>
      <c r="H223" s="15">
        <f>IF(OR(H221="",D221=""),"",IF(D221&lt;=0,"",IFERROR(H221/D221-1,"")))</f>
        <v/>
      </c>
      <c r="I223" s="15">
        <f>IF(OR(I221="",E221=""),"",IF(E221&lt;=0,"",IFERROR(I221/E221-1,"")))</f>
        <v/>
      </c>
      <c r="J223" s="15">
        <f>IF(OR(J221="",F221=""),"",IF(F221&lt;=0,"",IFERROR(J221/F221-1,"")))</f>
        <v/>
      </c>
      <c r="K223" s="15">
        <f>IF(OR(K221="",G221=""),"",IF(G221&lt;=0,"",IFERROR(K221/G221-1,"")))</f>
        <v/>
      </c>
      <c r="L223" s="15">
        <f>IF(OR(L221="",H221=""),"",IF(H221&lt;=0,"",IFERROR(L221/H221-1,"")))</f>
        <v/>
      </c>
      <c r="M223" s="15">
        <f>IF(OR(M221="",I221=""),"",IF(I221&lt;=0,"",IFERROR(M221/I221-1,"")))</f>
        <v/>
      </c>
      <c r="N223" s="15">
        <f>IF(OR(N221="",J221=""),"",IF(J221&lt;=0,"",IFERROR(N221/J221-1,"")))</f>
        <v/>
      </c>
      <c r="W223" s="15">
        <f>IF(OR(W221="",V221=""),"",IF(V221&lt;=0,"",IFERROR(W221/V221-1,"")))</f>
        <v/>
      </c>
      <c r="X223" s="15">
        <f>IF(OR(X221="",W221=""),"",IF(W221&lt;=0,"",IFERROR(X221/W221-1,"")))</f>
        <v/>
      </c>
    </row>
    <row r="224">
      <c r="A224" s="18" t="inlineStr">
        <is>
          <t>기타 · 외부 고객 매출</t>
        </is>
      </c>
      <c r="D224" s="20" t="n">
        <v>0.578</v>
      </c>
      <c r="H224" s="20" t="n">
        <v>13.966</v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H225" s="15">
        <f>IF(OR(H224="",D224=""),"",IF(D224&lt;=0,"",IFERROR(H224/D224-1,"")))</f>
        <v/>
      </c>
    </row>
    <row r="226">
      <c r="A226" s="18" t="inlineStr">
        <is>
          <t>합계 · 외부 고객 매출</t>
        </is>
      </c>
      <c r="D226" s="20" t="n">
        <v>9544.098</v>
      </c>
      <c r="H226" s="20" t="n">
        <v>11706.875</v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H227" s="15">
        <f>IF(OR(H226="",D226=""),"",IF(D226&lt;=0,"",IFERROR(H226/D226-1,"")))</f>
        <v/>
      </c>
    </row>
    <row r="228">
      <c r="A228" s="18" t="inlineStr">
        <is>
          <t>조정액 · 외부 고객 매출</t>
        </is>
      </c>
      <c r="D228" s="20" t="n">
        <v>0</v>
      </c>
      <c r="E228" s="20" t="n">
        <v>0.842</v>
      </c>
      <c r="F228" s="20" t="n">
        <v>1.557</v>
      </c>
      <c r="G228" s="20" t="n">
        <v>1.602</v>
      </c>
      <c r="H228" s="20" t="n">
        <v>13.966</v>
      </c>
      <c r="I228" s="20" t="n">
        <v>33.047</v>
      </c>
      <c r="J228" s="20" t="n">
        <v>26.419</v>
      </c>
      <c r="K228" s="20" t="n">
        <v>59.643</v>
      </c>
      <c r="L228" s="20" t="n">
        <v>103.195</v>
      </c>
      <c r="M228" s="20" t="n">
        <v>141.498</v>
      </c>
      <c r="N228" s="20" t="n">
        <v>199.89</v>
      </c>
      <c r="W228" s="20" t="n">
        <v>1.602</v>
      </c>
      <c r="X228" s="20" t="n">
        <v>59.643</v>
      </c>
    </row>
    <row r="229">
      <c r="A229" s="9" t="inlineStr">
        <is>
          <t>외부 고객 매출</t>
        </is>
      </c>
      <c r="D229" s="12" t="n">
        <v>9544.098</v>
      </c>
      <c r="E229" s="12" t="n">
        <v>10320.352</v>
      </c>
      <c r="F229" s="12" t="n">
        <v>9809.112999999999</v>
      </c>
      <c r="G229" s="12" t="n">
        <v>10690.274</v>
      </c>
      <c r="H229" s="12" t="n">
        <v>11706.875</v>
      </c>
      <c r="I229" s="12" t="n">
        <v>11530.411</v>
      </c>
      <c r="J229" s="12" t="n">
        <v>12069.209</v>
      </c>
      <c r="K229" s="12" t="n">
        <v>15043.448</v>
      </c>
      <c r="W229" s="12" t="n">
        <v>10690.274</v>
      </c>
      <c r="X229" s="12" t="n">
        <v>15043.448</v>
      </c>
    </row>
    <row r="230">
      <c r="A230" s="43" t="inlineStr">
        <is>
          <t>YoY</t>
        </is>
      </c>
      <c r="B230" s="3" t="inlineStr">
        <is>
          <t>전년 같은 분기·전년 대비</t>
        </is>
      </c>
      <c r="G230" s="15">
        <f>IF(OR(G229="",C229=""),"",IF(C229&lt;=0,"",IFERROR(G229/C229-1,"")))</f>
        <v/>
      </c>
      <c r="H230" s="15">
        <f>IF(OR(H229="",D229=""),"",IF(D229&lt;=0,"",IFERROR(H229/D229-1,"")))</f>
        <v/>
      </c>
      <c r="I230" s="15">
        <f>IF(OR(I229="",E229=""),"",IF(E229&lt;=0,"",IFERROR(I229/E229-1,"")))</f>
        <v/>
      </c>
      <c r="J230" s="15">
        <f>IF(OR(J229="",F229=""),"",IF(F229&lt;=0,"",IFERROR(J229/F229-1,"")))</f>
        <v/>
      </c>
      <c r="K230" s="15">
        <f>IF(OR(K229="",G229=""),"",IF(G229&lt;=0,"",IFERROR(K229/G229-1,"")))</f>
        <v/>
      </c>
      <c r="W230" s="15">
        <f>IF(OR(W229="",V229=""),"",IF(V229&lt;=0,"",IFERROR(W229/V229-1,"")))</f>
        <v/>
      </c>
      <c r="X230" s="15">
        <f>IF(OR(X229="",W229=""),"",IF(W229&lt;=0,"",IFERROR(X229/W229-1,"")))</f>
        <v/>
      </c>
    </row>
    <row r="231">
      <c r="A231" s="18" t="inlineStr">
        <is>
          <t>기타 · 부문 간 내부매출·대체</t>
        </is>
      </c>
      <c r="D231" s="20" t="n">
        <v>1758.664</v>
      </c>
      <c r="H231" s="20" t="n">
        <v>2432.46</v>
      </c>
    </row>
    <row r="232">
      <c r="A232" s="18" t="inlineStr">
        <is>
          <t>합계 · 부문 간 내부매출·대체</t>
        </is>
      </c>
      <c r="D232" s="20" t="n">
        <v>1864.709</v>
      </c>
      <c r="H232" s="20" t="n">
        <v>2541.298</v>
      </c>
    </row>
    <row r="233">
      <c r="A233" s="18" t="inlineStr">
        <is>
          <t>EntityTotalMember · 외부 고객 매출</t>
        </is>
      </c>
      <c r="H233" s="20" t="n">
        <v>11706.875</v>
      </c>
      <c r="L233" s="20" t="n">
        <v>14670.082</v>
      </c>
    </row>
    <row r="234">
      <c r="A234" s="18" t="inlineStr">
        <is>
          <t>조정액 · 부문 간 내부매출·대체</t>
        </is>
      </c>
      <c r="D234" s="20" t="n">
        <v>-1864.709</v>
      </c>
      <c r="E234" s="20" t="n">
        <v>1682.636</v>
      </c>
      <c r="F234" s="20" t="n">
        <v>-68.149</v>
      </c>
      <c r="G234" s="20" t="n">
        <v>-75.593</v>
      </c>
      <c r="H234" s="20" t="n">
        <v>-108.838</v>
      </c>
      <c r="I234" s="20" t="n">
        <v>-145.261</v>
      </c>
      <c r="J234" s="20" t="n">
        <v>-75.45699999999999</v>
      </c>
      <c r="K234" s="20" t="n">
        <v>-92.746</v>
      </c>
      <c r="L234" s="20" t="n">
        <v>-48.297</v>
      </c>
      <c r="M234" s="20" t="n">
        <v>-54.062</v>
      </c>
      <c r="N234" s="20" t="n">
        <v>-39.703</v>
      </c>
      <c r="W234" s="20" t="n">
        <v>-75.593</v>
      </c>
      <c r="X234" s="20" t="n">
        <v>-92.746</v>
      </c>
    </row>
    <row r="235">
      <c r="A235" s="18" t="inlineStr">
        <is>
          <t>부문 간 내부매출·대체</t>
        </is>
      </c>
      <c r="D235" s="20" t="n">
        <v>0</v>
      </c>
      <c r="E235" s="20" t="n">
        <v>0</v>
      </c>
      <c r="F235" s="20" t="n">
        <v>0</v>
      </c>
      <c r="G235" s="20" t="n">
        <v>0</v>
      </c>
      <c r="H235" s="20" t="n">
        <v>0</v>
      </c>
      <c r="I235" s="20" t="n">
        <v>0</v>
      </c>
      <c r="J235" s="20" t="n">
        <v>0</v>
      </c>
      <c r="K235" s="20" t="n">
        <v>0</v>
      </c>
      <c r="W235" s="20" t="n">
        <v>0</v>
      </c>
      <c r="X235" s="20" t="n">
        <v>0</v>
      </c>
    </row>
    <row r="236">
      <c r="A236" s="18" t="inlineStr">
        <is>
          <t>기타 · 계</t>
        </is>
      </c>
      <c r="D236" s="20" t="n">
        <v>1759.242</v>
      </c>
      <c r="H236" s="20" t="n">
        <v>2446.426</v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H237" s="15">
        <f>IF(OR(H236="",D236=""),"",IF(D236&lt;=0,"",IFERROR(H236/D236-1,"")))</f>
        <v/>
      </c>
    </row>
    <row r="238">
      <c r="A238" s="18" t="inlineStr">
        <is>
          <t>합계 · 계</t>
        </is>
      </c>
      <c r="D238" s="20" t="n">
        <v>11408.808</v>
      </c>
      <c r="H238" s="20" t="n">
        <v>14248.174</v>
      </c>
    </row>
    <row r="239">
      <c r="A239" s="43" t="inlineStr">
        <is>
          <t>YoY</t>
        </is>
      </c>
      <c r="B239" s="3" t="inlineStr">
        <is>
          <t>전년 같은 분기·전년 대비</t>
        </is>
      </c>
      <c r="H239" s="15">
        <f>IF(OR(H238="",D238=""),"",IF(D238&lt;=0,"",IFERROR(H238/D238-1,"")))</f>
        <v/>
      </c>
    </row>
    <row r="240">
      <c r="A240" s="18" t="inlineStr">
        <is>
          <t>EntityTotalMember · 부문 간 내부매출·대체</t>
        </is>
      </c>
      <c r="H240" s="20" t="n">
        <v>0</v>
      </c>
      <c r="L240" s="20" t="n">
        <v>0</v>
      </c>
    </row>
    <row r="241">
      <c r="A241" s="18" t="inlineStr">
        <is>
          <t>조정액 · 계</t>
        </is>
      </c>
      <c r="D241" s="20" t="n">
        <v>-1864.709</v>
      </c>
      <c r="E241" s="20" t="n">
        <v>1683.478</v>
      </c>
      <c r="F241" s="20" t="n">
        <v>-66.59099999999999</v>
      </c>
      <c r="G241" s="20" t="n">
        <v>-73.992</v>
      </c>
      <c r="H241" s="20" t="n">
        <v>-94.871</v>
      </c>
      <c r="I241" s="20" t="n">
        <v>-112.215</v>
      </c>
      <c r="J241" s="20" t="n">
        <v>-49.037</v>
      </c>
      <c r="K241" s="20" t="n">
        <v>-33.103</v>
      </c>
      <c r="L241" s="20" t="n">
        <v>54.898</v>
      </c>
      <c r="M241" s="20" t="n">
        <v>87.435</v>
      </c>
      <c r="N241" s="20" t="n">
        <v>160.188</v>
      </c>
      <c r="W241" s="20" t="n">
        <v>-73.992</v>
      </c>
      <c r="X241" s="20" t="n">
        <v>-33.103</v>
      </c>
    </row>
    <row r="242">
      <c r="A242" s="9" t="inlineStr">
        <is>
          <t>계</t>
        </is>
      </c>
      <c r="D242" s="12" t="n">
        <v>9544.098</v>
      </c>
      <c r="E242" s="12" t="n">
        <v>10320.352</v>
      </c>
      <c r="F242" s="12" t="n">
        <v>9809.112999999999</v>
      </c>
      <c r="G242" s="12" t="n">
        <v>10690.274</v>
      </c>
      <c r="H242" s="12" t="n">
        <v>11706.875</v>
      </c>
      <c r="I242" s="12" t="n">
        <v>11530.411</v>
      </c>
      <c r="J242" s="12" t="n">
        <v>12069.209</v>
      </c>
      <c r="K242" s="12" t="n">
        <v>15043.448</v>
      </c>
      <c r="W242" s="12" t="n">
        <v>10690.274</v>
      </c>
      <c r="X242" s="12" t="n">
        <v>15043.448</v>
      </c>
    </row>
    <row r="243">
      <c r="A243" s="43" t="inlineStr">
        <is>
          <t>YoY</t>
        </is>
      </c>
      <c r="B243" s="3" t="inlineStr">
        <is>
          <t>전년 같은 분기·전년 대비</t>
        </is>
      </c>
      <c r="G243" s="15">
        <f>IF(OR(G242="",C242=""),"",IF(C242&lt;=0,"",IFERROR(G242/C242-1,"")))</f>
        <v/>
      </c>
      <c r="H243" s="15">
        <f>IF(OR(H242="",D242=""),"",IF(D242&lt;=0,"",IFERROR(H242/D242-1,"")))</f>
        <v/>
      </c>
      <c r="I243" s="15">
        <f>IF(OR(I242="",E242=""),"",IF(E242&lt;=0,"",IFERROR(I242/E242-1,"")))</f>
        <v/>
      </c>
      <c r="J243" s="15">
        <f>IF(OR(J242="",F242=""),"",IF(F242&lt;=0,"",IFERROR(J242/F242-1,"")))</f>
        <v/>
      </c>
      <c r="K243" s="15">
        <f>IF(OR(K242="",G242=""),"",IF(G242&lt;=0,"",IFERROR(K242/G242-1,"")))</f>
        <v/>
      </c>
      <c r="W243" s="15">
        <f>IF(OR(W242="",V242=""),"",IF(V242&lt;=0,"",IFERROR(W242/V242-1,"")))</f>
        <v/>
      </c>
      <c r="X243" s="15">
        <f>IF(OR(X242="",W242=""),"",IF(W242&lt;=0,"",IFERROR(X242/W242-1,"")))</f>
        <v/>
      </c>
    </row>
    <row r="244">
      <c r="A244" s="18" t="inlineStr">
        <is>
          <t>기타 · 부문 이익(손실)</t>
        </is>
      </c>
      <c r="D244" s="20" t="n">
        <v>-1099.299</v>
      </c>
      <c r="H244" s="20" t="n">
        <v>-951.801</v>
      </c>
    </row>
    <row r="245">
      <c r="A245" s="43" t="inlineStr">
        <is>
          <t>OPM</t>
        </is>
      </c>
      <c r="B245" s="3" t="inlineStr">
        <is>
          <t>영업이익 ÷ 매출</t>
        </is>
      </c>
      <c r="D245" s="15">
        <f>IF(OR(D244="",D236=""),"",IF(D236&lt;=0,"",IFERROR(D244/D236,"")))</f>
        <v/>
      </c>
      <c r="H245" s="15">
        <f>IF(OR(H244="",H236=""),"",IF(H236&lt;=0,"",IFERROR(H244/H236,"")))</f>
        <v/>
      </c>
    </row>
    <row r="246">
      <c r="A246" s="43" t="inlineStr">
        <is>
          <t>YoY</t>
        </is>
      </c>
      <c r="B246" s="3" t="inlineStr">
        <is>
          <t>전년 같은 분기·전년 대비</t>
        </is>
      </c>
      <c r="H246" s="15">
        <f>IF(OR(H244="",D244=""),"",IF(D244&lt;=0,"",IFERROR(H244/D244-1,"")))</f>
        <v/>
      </c>
    </row>
    <row r="247">
      <c r="A247" s="18" t="inlineStr">
        <is>
          <t>합계 · 부문 이익(손실)</t>
        </is>
      </c>
      <c r="D247" s="20" t="n">
        <v>-980.192</v>
      </c>
      <c r="H247" s="20" t="n">
        <v>-591.4109999999999</v>
      </c>
    </row>
    <row r="248">
      <c r="A248" s="43" t="inlineStr">
        <is>
          <t>OPM</t>
        </is>
      </c>
      <c r="B248" s="3" t="inlineStr">
        <is>
          <t>영업이익 ÷ 매출</t>
        </is>
      </c>
      <c r="D248" s="15">
        <f>IF(OR(D247="",D238=""),"",IF(D238&lt;=0,"",IFERROR(D247/D238,"")))</f>
        <v/>
      </c>
      <c r="H248" s="15">
        <f>IF(OR(H247="",H238=""),"",IF(H238&lt;=0,"",IFERROR(H247/H238,"")))</f>
        <v/>
      </c>
    </row>
    <row r="249">
      <c r="A249" s="43" t="inlineStr">
        <is>
          <t>YoY</t>
        </is>
      </c>
      <c r="B249" s="3" t="inlineStr">
        <is>
          <t>전년 같은 분기·전년 대비</t>
        </is>
      </c>
      <c r="H249" s="15">
        <f>IF(OR(H247="",D247=""),"",IF(D247&lt;=0,"",IFERROR(H247/D247-1,"")))</f>
        <v/>
      </c>
    </row>
    <row r="250">
      <c r="A250" s="18" t="inlineStr">
        <is>
          <t>EntityTotalMember · 계</t>
        </is>
      </c>
      <c r="H250" s="20" t="n">
        <v>11706.875</v>
      </c>
      <c r="L250" s="20" t="n">
        <v>14670.082</v>
      </c>
    </row>
    <row r="251">
      <c r="A251" s="18" t="inlineStr">
        <is>
          <t>조정액 · 부문 이익(손실)</t>
        </is>
      </c>
      <c r="D251" s="20" t="n">
        <v>-12.371</v>
      </c>
      <c r="E251" s="20" t="n">
        <v>-2042.007</v>
      </c>
      <c r="F251" s="20" t="n">
        <v>-1126.066</v>
      </c>
      <c r="G251" s="20" t="n">
        <v>-1762.605</v>
      </c>
      <c r="H251" s="20" t="n">
        <v>-941.12</v>
      </c>
      <c r="I251" s="20" t="n">
        <v>-645.593</v>
      </c>
      <c r="J251" s="20" t="n">
        <v>-824.171</v>
      </c>
      <c r="K251" s="20" t="n">
        <v>-1279.028</v>
      </c>
      <c r="L251" s="20" t="n">
        <v>-910.472</v>
      </c>
      <c r="M251" s="20" t="n">
        <v>-1175.737</v>
      </c>
      <c r="N251" s="20" t="n">
        <v>-1079.876</v>
      </c>
      <c r="W251" s="20" t="n">
        <v>-1762.605</v>
      </c>
      <c r="X251" s="20" t="n">
        <v>-1279.028</v>
      </c>
    </row>
    <row r="252">
      <c r="A252" s="9" t="inlineStr">
        <is>
          <t>부문 이익(손실)</t>
        </is>
      </c>
      <c r="D252" s="12" t="n">
        <v>-992.564</v>
      </c>
      <c r="E252" s="12" t="n">
        <v>-835.015</v>
      </c>
      <c r="F252" s="12" t="n">
        <v>-1009.535</v>
      </c>
      <c r="G252" s="12" t="n">
        <v>-1898.029</v>
      </c>
      <c r="H252" s="12" t="n">
        <v>-580.73</v>
      </c>
      <c r="I252" s="12" t="n">
        <v>-1012.138</v>
      </c>
      <c r="J252" s="12" t="n">
        <v>-386.71</v>
      </c>
      <c r="K252" s="12" t="n">
        <v>-673.818</v>
      </c>
      <c r="W252" s="12" t="n">
        <v>-1898.029</v>
      </c>
      <c r="X252" s="12" t="n">
        <v>-673.818</v>
      </c>
    </row>
    <row r="253">
      <c r="A253" s="43" t="inlineStr">
        <is>
          <t>OPM</t>
        </is>
      </c>
      <c r="B253" s="3" t="inlineStr">
        <is>
          <t>영업이익 ÷ 매출</t>
        </is>
      </c>
      <c r="D253" s="15">
        <f>IF(OR(D252="",D229=""),"",IF(D229&lt;=0,"",IFERROR(D252/D229,"")))</f>
        <v/>
      </c>
      <c r="E253" s="15">
        <f>IF(OR(E252="",E229=""),"",IF(E229&lt;=0,"",IFERROR(E252/E229,"")))</f>
        <v/>
      </c>
      <c r="F253" s="15">
        <f>IF(OR(F252="",F229=""),"",IF(F229&lt;=0,"",IFERROR(F252/F229,"")))</f>
        <v/>
      </c>
      <c r="G253" s="15">
        <f>IF(OR(G252="",G229=""),"",IF(G229&lt;=0,"",IFERROR(G252/G229,"")))</f>
        <v/>
      </c>
      <c r="H253" s="15">
        <f>IF(OR(H252="",H229=""),"",IF(H229&lt;=0,"",IFERROR(H252/H229,"")))</f>
        <v/>
      </c>
      <c r="I253" s="15">
        <f>IF(OR(I252="",I229=""),"",IF(I229&lt;=0,"",IFERROR(I252/I229,"")))</f>
        <v/>
      </c>
      <c r="J253" s="15">
        <f>IF(OR(J252="",J229=""),"",IF(J229&lt;=0,"",IFERROR(J252/J229,"")))</f>
        <v/>
      </c>
      <c r="K253" s="15">
        <f>IF(OR(K252="",K229=""),"",IF(K229&lt;=0,"",IFERROR(K252/K229,"")))</f>
        <v/>
      </c>
      <c r="W253" s="15">
        <f>IF(OR(W252="",W229=""),"",IF(W229&lt;=0,"",IFERROR(W252/W229,"")))</f>
        <v/>
      </c>
      <c r="X253" s="15">
        <f>IF(OR(X252="",X229=""),"",IF(X229&lt;=0,"",IFERROR(X252/X229,"")))</f>
        <v/>
      </c>
    </row>
    <row r="254">
      <c r="A254" s="43" t="inlineStr">
        <is>
          <t>YoY</t>
        </is>
      </c>
      <c r="B254" s="3" t="inlineStr">
        <is>
          <t>전년 같은 분기·전년 대비</t>
        </is>
      </c>
      <c r="G254" s="15">
        <f>IF(OR(G252="",C252=""),"",IF(C252&lt;=0,"",IFERROR(G252/C252-1,"")))</f>
        <v/>
      </c>
      <c r="H254" s="15">
        <f>IF(OR(H252="",D252=""),"",IF(D252&lt;=0,"",IFERROR(H252/D252-1,"")))</f>
        <v/>
      </c>
      <c r="I254" s="15">
        <f>IF(OR(I252="",E252=""),"",IF(E252&lt;=0,"",IFERROR(I252/E252-1,"")))</f>
        <v/>
      </c>
      <c r="J254" s="15">
        <f>IF(OR(J252="",F252=""),"",IF(F252&lt;=0,"",IFERROR(J252/F252-1,"")))</f>
        <v/>
      </c>
      <c r="K254" s="15">
        <f>IF(OR(K252="",G252=""),"",IF(G252&lt;=0,"",IFERROR(K252/G252-1,"")))</f>
        <v/>
      </c>
      <c r="W254" s="15">
        <f>IF(OR(W252="",V252=""),"",IF(V252&lt;=0,"",IFERROR(W252/V252-1,"")))</f>
        <v/>
      </c>
      <c r="X254" s="15">
        <f>IF(OR(X252="",W252=""),"",IF(W252&lt;=0,"",IFERROR(X252/W252-1,"")))</f>
        <v/>
      </c>
    </row>
    <row r="255">
      <c r="A255" s="18" t="inlineStr">
        <is>
          <t>EntityTotalMember · 부문 이익(손실)</t>
        </is>
      </c>
      <c r="H255" s="20" t="n">
        <v>-580.73</v>
      </c>
      <c r="L255" s="20" t="n">
        <v>168.026</v>
      </c>
    </row>
    <row r="257">
      <c r="A257" s="16" t="inlineStr">
        <is>
          <t>현금흐름표 · 전 항목</t>
        </is>
      </c>
      <c r="B257" s="42" t="inlineStr">
        <is>
          <t>분기 = 결산기 첫날부터 누계(공시 그대로)</t>
        </is>
      </c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</row>
    <row r="258">
      <c r="A258" s="5" t="inlineStr">
        <is>
          <t>항목</t>
        </is>
      </c>
      <c r="B258" s="5" t="inlineStr">
        <is>
          <t>참고</t>
        </is>
      </c>
      <c r="C258" s="5" t="inlineStr">
        <is>
          <t>2023.4Q</t>
        </is>
      </c>
      <c r="D258" s="5" t="inlineStr">
        <is>
          <t>2024.1Q</t>
        </is>
      </c>
      <c r="E258" s="5" t="inlineStr">
        <is>
          <t>2024.2Q</t>
        </is>
      </c>
      <c r="F258" s="5" t="inlineStr">
        <is>
          <t>2024.3Q</t>
        </is>
      </c>
      <c r="G258" s="5" t="inlineStr">
        <is>
          <t>2024.4Q</t>
        </is>
      </c>
      <c r="H258" s="5" t="inlineStr">
        <is>
          <t>2025.1Q</t>
        </is>
      </c>
      <c r="I258" s="5" t="inlineStr">
        <is>
          <t>2025.2Q</t>
        </is>
      </c>
      <c r="J258" s="5" t="inlineStr">
        <is>
          <t>2025.3Q</t>
        </is>
      </c>
      <c r="K258" s="5" t="inlineStr">
        <is>
          <t>2025.4Q</t>
        </is>
      </c>
      <c r="L258" s="5" t="inlineStr">
        <is>
          <t>2026.1Q</t>
        </is>
      </c>
      <c r="M258" s="5" t="inlineStr">
        <is>
          <t>2026.2Q</t>
        </is>
      </c>
      <c r="N258" s="5" t="inlineStr">
        <is>
          <t>2026.3Q</t>
        </is>
      </c>
      <c r="O258" s="5" t="inlineStr">
        <is>
          <t>2016</t>
        </is>
      </c>
      <c r="P258" s="5" t="inlineStr">
        <is>
          <t>2017</t>
        </is>
      </c>
      <c r="Q258" s="5" t="inlineStr">
        <is>
          <t>2018</t>
        </is>
      </c>
      <c r="R258" s="5" t="inlineStr">
        <is>
          <t>2019</t>
        </is>
      </c>
      <c r="S258" s="5" t="inlineStr">
        <is>
          <t>2020</t>
        </is>
      </c>
      <c r="T258" s="5" t="inlineStr">
        <is>
          <t>2021</t>
        </is>
      </c>
      <c r="U258" s="5" t="inlineStr">
        <is>
          <t>2022</t>
        </is>
      </c>
      <c r="V258" s="5" t="inlineStr">
        <is>
          <t>2023</t>
        </is>
      </c>
      <c r="W258" s="5" t="inlineStr">
        <is>
          <t>2024</t>
        </is>
      </c>
      <c r="X258" s="5" t="inlineStr">
        <is>
          <t>2025</t>
        </is>
      </c>
      <c r="Y258" s="5" t="inlineStr">
        <is>
          <t>2026(MW)</t>
        </is>
      </c>
      <c r="Z258" s="5" t="inlineStr">
        <is>
          <t>2027(MW)</t>
        </is>
      </c>
      <c r="AA258" s="5" t="inlineStr">
        <is>
          <t>2028(MW)</t>
        </is>
      </c>
      <c r="AB258" s="5" t="inlineStr">
        <is>
          <t>2029(MW)</t>
        </is>
      </c>
      <c r="AC258" s="5" t="inlineStr">
        <is>
          <t>2030(MW)</t>
        </is>
      </c>
    </row>
    <row r="259">
      <c r="A259" s="9" t="inlineStr">
        <is>
          <t>법인세차감전 중간순이익(손실)</t>
        </is>
      </c>
      <c r="C259" s="12" t="n">
        <v>-6805.348</v>
      </c>
      <c r="E259" s="12" t="n">
        <v>-2155.199</v>
      </c>
      <c r="G259" s="12" t="n">
        <v>-5642.758</v>
      </c>
      <c r="I259" s="12" t="n">
        <v>-1693.3</v>
      </c>
      <c r="K259" s="12" t="n">
        <v>3393.201</v>
      </c>
      <c r="M259" s="12" t="n">
        <v>1129.637</v>
      </c>
      <c r="P259" s="12" t="n">
        <v>-833.7089999999999</v>
      </c>
      <c r="Q259" s="12" t="n">
        <v>-820.595</v>
      </c>
      <c r="R259" s="12" t="n">
        <v>-2639.484</v>
      </c>
      <c r="S259" s="12" t="n">
        <v>-2454.655</v>
      </c>
      <c r="T259" s="12" t="n">
        <v>-1430.066</v>
      </c>
      <c r="U259" s="12" t="n">
        <v>-9615.626</v>
      </c>
      <c r="V259" s="12" t="n">
        <v>-6805.348</v>
      </c>
      <c r="W259" s="12" t="n">
        <v>-5642.758</v>
      </c>
      <c r="X259" s="12" t="n">
        <v>3393.201</v>
      </c>
    </row>
    <row r="260">
      <c r="A260" s="18" t="inlineStr">
        <is>
          <t>감가상각비</t>
        </is>
      </c>
      <c r="C260" s="20" t="n">
        <v>1769.723</v>
      </c>
      <c r="E260" s="20" t="n">
        <v>1312.365</v>
      </c>
      <c r="G260" s="20" t="n">
        <v>2867.093</v>
      </c>
      <c r="I260" s="20" t="n">
        <v>1841.49</v>
      </c>
      <c r="K260" s="20" t="n">
        <v>4118.016</v>
      </c>
      <c r="M260" s="20" t="n">
        <v>3323.551</v>
      </c>
      <c r="P260" s="20" t="n">
        <v>15.793</v>
      </c>
      <c r="Q260" s="20" t="n">
        <v>51.615</v>
      </c>
      <c r="R260" s="20" t="n">
        <v>66.92400000000001</v>
      </c>
      <c r="S260" s="20" t="n">
        <v>120.578</v>
      </c>
      <c r="T260" s="20" t="n">
        <v>394.64</v>
      </c>
      <c r="U260" s="20" t="n">
        <v>921.351</v>
      </c>
      <c r="V260" s="20" t="n">
        <v>1769.723</v>
      </c>
      <c r="W260" s="20" t="n">
        <v>2867.093</v>
      </c>
      <c r="X260" s="20" t="n">
        <v>4118.016</v>
      </c>
    </row>
    <row r="261">
      <c r="A261" s="18" t="inlineStr">
        <is>
          <t>손상차손</t>
        </is>
      </c>
      <c r="C261" s="20" t="n">
        <v>0</v>
      </c>
      <c r="G261" s="20" t="n">
        <v>212.116</v>
      </c>
      <c r="I261" s="20" t="n">
        <v>0</v>
      </c>
      <c r="K261" s="20" t="n">
        <v>12.367</v>
      </c>
      <c r="M261" s="20" t="n">
        <v>228.81</v>
      </c>
      <c r="Q261" s="20" t="n">
        <v>0</v>
      </c>
      <c r="R261" s="20" t="n">
        <v>12.533</v>
      </c>
      <c r="S261" s="20" t="n">
        <v>0</v>
      </c>
      <c r="V261" s="20" t="n">
        <v>0</v>
      </c>
      <c r="W261" s="20" t="n">
        <v>212.116</v>
      </c>
      <c r="X261" s="20" t="n">
        <v>12.367</v>
      </c>
    </row>
    <row r="262">
      <c r="A262" s="18" t="inlineStr">
        <is>
          <t>사업정리 손실</t>
        </is>
      </c>
      <c r="Q262" s="20" t="n">
        <v>0</v>
      </c>
      <c r="R262" s="20" t="n">
        <v>61.395</v>
      </c>
      <c r="S262" s="20" t="n">
        <v>0</v>
      </c>
    </row>
    <row r="263">
      <c r="A263" s="18" t="inlineStr">
        <is>
          <t>영업권 상각</t>
        </is>
      </c>
      <c r="C263" s="20" t="n">
        <v>660.886</v>
      </c>
      <c r="E263" s="20" t="n">
        <v>342.292</v>
      </c>
      <c r="G263" s="20" t="n">
        <v>684.585</v>
      </c>
      <c r="I263" s="20" t="n">
        <v>438.984</v>
      </c>
      <c r="K263" s="20" t="n">
        <v>912.026</v>
      </c>
      <c r="M263" s="20" t="n">
        <v>652.2910000000001</v>
      </c>
      <c r="P263" s="20" t="n">
        <v>0</v>
      </c>
      <c r="Q263" s="20" t="n">
        <v>90.794</v>
      </c>
      <c r="R263" s="20" t="n">
        <v>110.184</v>
      </c>
      <c r="S263" s="20" t="n">
        <v>369.962</v>
      </c>
      <c r="T263" s="20" t="n">
        <v>473.425</v>
      </c>
      <c r="U263" s="20" t="n">
        <v>643.093</v>
      </c>
      <c r="V263" s="20" t="n">
        <v>660.886</v>
      </c>
      <c r="W263" s="20" t="n">
        <v>684.585</v>
      </c>
      <c r="X263" s="20" t="n">
        <v>912.026</v>
      </c>
    </row>
    <row r="264">
      <c r="A264" s="18" t="inlineStr">
        <is>
          <t>주식보상비용</t>
        </is>
      </c>
      <c r="C264" s="20" t="n">
        <v>1172.393</v>
      </c>
      <c r="E264" s="20" t="n">
        <v>976.941</v>
      </c>
      <c r="G264" s="20" t="n">
        <v>2208.831</v>
      </c>
      <c r="I264" s="20" t="n">
        <v>821.252</v>
      </c>
      <c r="K264" s="20" t="n">
        <v>1669.027</v>
      </c>
      <c r="M264" s="20" t="n">
        <v>751.4400000000001</v>
      </c>
      <c r="S264" s="20" t="n">
        <v>148.68</v>
      </c>
      <c r="T264" s="20" t="n">
        <v>249.764</v>
      </c>
      <c r="U264" s="20" t="n">
        <v>439.697</v>
      </c>
      <c r="V264" s="20" t="n">
        <v>1172.393</v>
      </c>
      <c r="W264" s="20" t="n">
        <v>2208.831</v>
      </c>
      <c r="X264" s="20" t="n">
        <v>1669.027</v>
      </c>
    </row>
    <row r="265">
      <c r="A265" s="18" t="inlineStr">
        <is>
          <t>상여충당금 증감</t>
        </is>
      </c>
      <c r="C265" s="20" t="n">
        <v>111.427</v>
      </c>
      <c r="E265" s="20" t="n">
        <v>-66.605</v>
      </c>
      <c r="G265" s="20" t="n">
        <v>63.128</v>
      </c>
      <c r="I265" s="20" t="n">
        <v>-86.005</v>
      </c>
      <c r="K265" s="20" t="n">
        <v>-52.586</v>
      </c>
      <c r="M265" s="20" t="n">
        <v>-55.834</v>
      </c>
      <c r="Q265" s="20" t="n">
        <v>0</v>
      </c>
      <c r="R265" s="20" t="n">
        <v>11.641</v>
      </c>
      <c r="S265" s="20" t="n">
        <v>5.232</v>
      </c>
      <c r="T265" s="20" t="n">
        <v>16.961</v>
      </c>
      <c r="U265" s="20" t="n">
        <v>151.1</v>
      </c>
      <c r="V265" s="20" t="n">
        <v>111.427</v>
      </c>
      <c r="W265" s="20" t="n">
        <v>63.128</v>
      </c>
      <c r="X265" s="20" t="n">
        <v>-52.586</v>
      </c>
    </row>
    <row r="266">
      <c r="A266" s="18" t="inlineStr">
        <is>
          <t>임원 상여충당금 증감</t>
        </is>
      </c>
      <c r="C266" s="20" t="n">
        <v>22.594</v>
      </c>
      <c r="E266" s="20" t="n">
        <v>-46.297</v>
      </c>
      <c r="G266" s="20" t="n">
        <v>4.211</v>
      </c>
      <c r="I266" s="20" t="n">
        <v>-49.795</v>
      </c>
      <c r="K266" s="20" t="n">
        <v>-11.509</v>
      </c>
      <c r="M266" s="20" t="n">
        <v>-28.982</v>
      </c>
      <c r="T266" s="20" t="n">
        <v>0</v>
      </c>
      <c r="U266" s="20" t="n">
        <v>58.029</v>
      </c>
      <c r="V266" s="20" t="n">
        <v>22.594</v>
      </c>
      <c r="W266" s="20" t="n">
        <v>4.211</v>
      </c>
      <c r="X266" s="20" t="n">
        <v>-11.509</v>
      </c>
    </row>
    <row r="267">
      <c r="A267" s="18" t="inlineStr">
        <is>
          <t>대손충당금 증감</t>
        </is>
      </c>
      <c r="C267" s="20" t="n">
        <v>60.959</v>
      </c>
      <c r="E267" s="20" t="n">
        <v>-14.167</v>
      </c>
      <c r="G267" s="20" t="n">
        <v>69.99299999999999</v>
      </c>
      <c r="I267" s="20" t="n">
        <v>30.602</v>
      </c>
      <c r="K267" s="20" t="n">
        <v>19.908</v>
      </c>
      <c r="M267" s="20" t="n">
        <v>13.467</v>
      </c>
      <c r="P267" s="20" t="n">
        <v>2.817</v>
      </c>
      <c r="Q267" s="20" t="n">
        <v>1.674</v>
      </c>
      <c r="R267" s="20" t="n">
        <v>48.907</v>
      </c>
      <c r="S267" s="20" t="n">
        <v>14.793</v>
      </c>
      <c r="T267" s="20" t="n">
        <v>83.82899999999999</v>
      </c>
      <c r="U267" s="20" t="n">
        <v>-58.38</v>
      </c>
      <c r="V267" s="20" t="n">
        <v>60.959</v>
      </c>
      <c r="W267" s="20" t="n">
        <v>69.99299999999999</v>
      </c>
      <c r="X267" s="20" t="n">
        <v>19.908</v>
      </c>
    </row>
    <row r="268">
      <c r="A268" s="18" t="inlineStr">
        <is>
          <t>포인트 충당금 증감</t>
        </is>
      </c>
      <c r="C268" s="20" t="n">
        <v>212.707</v>
      </c>
      <c r="E268" s="20" t="n">
        <v>-34</v>
      </c>
      <c r="G268" s="20" t="n">
        <v>121.503</v>
      </c>
      <c r="I268" s="20" t="n">
        <v>102.331</v>
      </c>
      <c r="K268" s="20" t="n">
        <v>1088.728</v>
      </c>
      <c r="M268" s="20" t="n">
        <v>-482.696</v>
      </c>
      <c r="S268" s="20" t="n">
        <v>0</v>
      </c>
      <c r="T268" s="20" t="n">
        <v>0.644</v>
      </c>
      <c r="U268" s="20" t="n">
        <v>46.963</v>
      </c>
      <c r="V268" s="20" t="n">
        <v>212.707</v>
      </c>
      <c r="W268" s="20" t="n">
        <v>121.503</v>
      </c>
      <c r="X268" s="20" t="n">
        <v>1088.728</v>
      </c>
    </row>
    <row r="269">
      <c r="A269" s="18" t="inlineStr">
        <is>
          <t>이자·배당금 수익</t>
        </is>
      </c>
      <c r="C269" s="20" t="n">
        <v>-2.638</v>
      </c>
      <c r="E269" s="20" t="n">
        <v>-2.147</v>
      </c>
      <c r="G269" s="20" t="n">
        <v>-6.491</v>
      </c>
      <c r="I269" s="20" t="n">
        <v>-28.479</v>
      </c>
      <c r="K269" s="20" t="n">
        <v>-63.601</v>
      </c>
      <c r="M269" s="20" t="n">
        <v>-68.48399999999999</v>
      </c>
      <c r="P269" s="20" t="n">
        <v>-0.019</v>
      </c>
      <c r="Q269" s="20" t="n">
        <v>-0.06</v>
      </c>
      <c r="R269" s="20" t="n">
        <v>-0.293</v>
      </c>
      <c r="S269" s="20" t="n">
        <v>-0.113</v>
      </c>
      <c r="T269" s="20" t="n">
        <v>-0.078</v>
      </c>
      <c r="U269" s="20" t="n">
        <v>-1.073</v>
      </c>
      <c r="V269" s="20" t="n">
        <v>-2.638</v>
      </c>
      <c r="W269" s="20" t="n">
        <v>-6.491</v>
      </c>
      <c r="X269" s="20" t="n">
        <v>-63.601</v>
      </c>
    </row>
    <row r="270">
      <c r="A270" s="18" t="inlineStr">
        <is>
          <t>단계적 취득 차손익</t>
        </is>
      </c>
      <c r="R270" s="20" t="n">
        <v>0</v>
      </c>
      <c r="S270" s="20" t="n">
        <v>-100</v>
      </c>
      <c r="T270" s="20" t="n">
        <v>0</v>
      </c>
    </row>
    <row r="271">
      <c r="A271" s="18" t="inlineStr">
        <is>
          <t>투자유가증권 매각손익</t>
        </is>
      </c>
      <c r="C271" s="20" t="n">
        <v>-0.726</v>
      </c>
      <c r="E271" s="20" t="n">
        <v>0</v>
      </c>
      <c r="G271" s="20" t="n">
        <v>0</v>
      </c>
      <c r="I271" s="20" t="n">
        <v>-107.675</v>
      </c>
      <c r="K271" s="20" t="n">
        <v>-119.333</v>
      </c>
      <c r="M271" s="20" t="n">
        <v>-2412.461</v>
      </c>
      <c r="R271" s="20" t="n">
        <v>0</v>
      </c>
      <c r="S271" s="20" t="n">
        <v>-325.233</v>
      </c>
      <c r="T271" s="20" t="n">
        <v>-2.868</v>
      </c>
      <c r="U271" s="20" t="n">
        <v>0</v>
      </c>
      <c r="V271" s="20" t="n">
        <v>-0.726</v>
      </c>
      <c r="W271" s="20" t="n">
        <v>0</v>
      </c>
      <c r="X271" s="20" t="n">
        <v>-119.333</v>
      </c>
    </row>
    <row r="272">
      <c r="A272" s="18" t="inlineStr">
        <is>
          <t>투자유가증권 평가손익</t>
        </is>
      </c>
      <c r="C272" s="20" t="n">
        <v>0</v>
      </c>
      <c r="E272" s="20" t="n">
        <v>9.999000000000001</v>
      </c>
      <c r="G272" s="20" t="n">
        <v>9.999000000000001</v>
      </c>
      <c r="I272" s="20" t="n">
        <v>24.974</v>
      </c>
      <c r="K272" s="20" t="n">
        <v>659.99</v>
      </c>
      <c r="M272" s="20" t="n">
        <v>0</v>
      </c>
      <c r="R272" s="20" t="n">
        <v>0</v>
      </c>
      <c r="S272" s="20" t="n">
        <v>17.69</v>
      </c>
      <c r="T272" s="20" t="n">
        <v>0</v>
      </c>
      <c r="U272" s="20" t="n">
        <v>33.819</v>
      </c>
      <c r="V272" s="20" t="n">
        <v>0</v>
      </c>
      <c r="W272" s="20" t="n">
        <v>9.999000000000001</v>
      </c>
      <c r="X272" s="20" t="n">
        <v>659.99</v>
      </c>
    </row>
    <row r="273">
      <c r="A273" s="18" t="inlineStr">
        <is>
          <t>관계회사 주식 매각손익</t>
        </is>
      </c>
      <c r="E273" s="20" t="n">
        <v>0</v>
      </c>
      <c r="G273" s="20" t="n">
        <v>0</v>
      </c>
      <c r="I273" s="20" t="n">
        <v>-76.154</v>
      </c>
      <c r="K273" s="20" t="n">
        <v>-6248.592</v>
      </c>
      <c r="M273" s="20" t="n">
        <v>0</v>
      </c>
      <c r="W273" s="20" t="n">
        <v>0</v>
      </c>
      <c r="X273" s="20" t="n">
        <v>-6248.592</v>
      </c>
    </row>
    <row r="274">
      <c r="A274" s="18" t="inlineStr">
        <is>
          <t>이자비용</t>
        </is>
      </c>
      <c r="C274" s="20" t="n">
        <v>131.48</v>
      </c>
      <c r="E274" s="20" t="n">
        <v>70.90600000000001</v>
      </c>
      <c r="G274" s="20" t="n">
        <v>172.652</v>
      </c>
      <c r="I274" s="20" t="n">
        <v>128.799</v>
      </c>
      <c r="K274" s="20" t="n">
        <v>263.163</v>
      </c>
      <c r="M274" s="20" t="n">
        <v>249.081</v>
      </c>
      <c r="P274" s="20" t="n">
        <v>11.01</v>
      </c>
      <c r="Q274" s="20" t="n">
        <v>23.927</v>
      </c>
      <c r="R274" s="20" t="n">
        <v>28.524</v>
      </c>
      <c r="S274" s="20" t="n">
        <v>37.035</v>
      </c>
      <c r="T274" s="20" t="n">
        <v>48.325</v>
      </c>
      <c r="U274" s="20" t="n">
        <v>83.054</v>
      </c>
      <c r="V274" s="20" t="n">
        <v>131.48</v>
      </c>
      <c r="W274" s="20" t="n">
        <v>172.652</v>
      </c>
      <c r="X274" s="20" t="n">
        <v>263.163</v>
      </c>
    </row>
    <row r="275">
      <c r="A275" s="18" t="inlineStr">
        <is>
          <t>주식교부비</t>
        </is>
      </c>
      <c r="C275" s="20" t="n">
        <v>4.73</v>
      </c>
      <c r="E275" s="20" t="n">
        <v>4.404</v>
      </c>
      <c r="G275" s="20" t="n">
        <v>5.074</v>
      </c>
      <c r="I275" s="20" t="n">
        <v>17.972</v>
      </c>
      <c r="K275" s="20" t="n">
        <v>22.005</v>
      </c>
      <c r="M275" s="20" t="n">
        <v>2.082</v>
      </c>
      <c r="P275" s="20" t="n">
        <v>11.045</v>
      </c>
      <c r="Q275" s="20" t="n">
        <v>2.271</v>
      </c>
      <c r="R275" s="20" t="n">
        <v>90.735</v>
      </c>
      <c r="S275" s="20" t="n">
        <v>25.351</v>
      </c>
      <c r="T275" s="20" t="n">
        <v>313.935</v>
      </c>
      <c r="U275" s="20" t="n">
        <v>4.126</v>
      </c>
      <c r="V275" s="20" t="n">
        <v>4.73</v>
      </c>
      <c r="W275" s="20" t="n">
        <v>5.074</v>
      </c>
      <c r="X275" s="20" t="n">
        <v>22.005</v>
      </c>
    </row>
    <row r="276">
      <c r="A276" s="18" t="inlineStr">
        <is>
          <t>상장 관련 비용</t>
        </is>
      </c>
      <c r="P276" s="20" t="n">
        <v>13.657</v>
      </c>
      <c r="Q276" s="20" t="n">
        <v>0</v>
      </c>
    </row>
    <row r="277">
      <c r="A277" s="18" t="inlineStr">
        <is>
          <t>사채발행비</t>
        </is>
      </c>
      <c r="C277" s="20" t="n">
        <v>108.324</v>
      </c>
      <c r="E277" s="20" t="n">
        <v>0</v>
      </c>
      <c r="G277" s="20" t="n">
        <v>0</v>
      </c>
      <c r="K277" s="20" t="n">
        <v>1.921</v>
      </c>
      <c r="U277" s="20" t="n">
        <v>0</v>
      </c>
      <c r="V277" s="20" t="n">
        <v>108.324</v>
      </c>
      <c r="W277" s="20" t="n">
        <v>0</v>
      </c>
      <c r="X277" s="20" t="n">
        <v>1.921</v>
      </c>
    </row>
    <row r="278">
      <c r="A278" s="18" t="inlineStr">
        <is>
          <t>지분변동손익</t>
        </is>
      </c>
      <c r="G278" s="20" t="n">
        <v>0</v>
      </c>
      <c r="I278" s="20" t="n">
        <v>0</v>
      </c>
      <c r="K278" s="20" t="n">
        <v>-2112.488</v>
      </c>
      <c r="M278" s="20" t="n">
        <v>-222.9</v>
      </c>
      <c r="W278" s="20" t="n">
        <v>0</v>
      </c>
      <c r="X278" s="20" t="n">
        <v>-2112.488</v>
      </c>
    </row>
    <row r="279">
      <c r="A279" s="18" t="inlineStr">
        <is>
          <t>지분법손익</t>
        </is>
      </c>
      <c r="C279" s="20" t="n">
        <v>70.90600000000001</v>
      </c>
      <c r="E279" s="20" t="n">
        <v>146.521</v>
      </c>
      <c r="G279" s="20" t="n">
        <v>307.867</v>
      </c>
      <c r="I279" s="20" t="n">
        <v>213.067</v>
      </c>
      <c r="K279" s="20" t="n">
        <v>928.7380000000001</v>
      </c>
      <c r="M279" s="20" t="n">
        <v>541.086</v>
      </c>
      <c r="T279" s="20" t="n">
        <v>0</v>
      </c>
      <c r="U279" s="20" t="n">
        <v>922.064</v>
      </c>
      <c r="V279" s="20" t="n">
        <v>70.90600000000001</v>
      </c>
      <c r="W279" s="20" t="n">
        <v>307.867</v>
      </c>
      <c r="X279" s="20" t="n">
        <v>928.7380000000001</v>
      </c>
    </row>
    <row r="280">
      <c r="A280" s="18" t="inlineStr">
        <is>
          <t>매출채권 증감</t>
        </is>
      </c>
      <c r="P280" s="20" t="n">
        <v>-144.113</v>
      </c>
      <c r="Q280" s="20" t="n">
        <v>-231.457</v>
      </c>
      <c r="R280" s="20" t="n">
        <v>-175.085</v>
      </c>
      <c r="S280" s="20" t="n">
        <v>-274.608</v>
      </c>
      <c r="T280" s="20" t="n">
        <v>-303.621</v>
      </c>
      <c r="U280" s="20" t="n">
        <v>0</v>
      </c>
    </row>
    <row r="281">
      <c r="A281" s="18" t="inlineStr">
        <is>
          <t>매출채권·계약자산 증감</t>
        </is>
      </c>
      <c r="C281" s="20" t="n">
        <v>-1811.838</v>
      </c>
      <c r="E281" s="20" t="n">
        <v>-789.544</v>
      </c>
      <c r="T281" s="20" t="n">
        <v>0</v>
      </c>
      <c r="U281" s="20" t="n">
        <v>-804.765</v>
      </c>
      <c r="V281" s="20" t="n">
        <v>-1811.838</v>
      </c>
    </row>
    <row r="282">
      <c r="A282" s="18" t="inlineStr">
        <is>
          <t>매출채권·계약자산 증감</t>
        </is>
      </c>
      <c r="C282" s="20" t="n">
        <v>-1811.838</v>
      </c>
      <c r="E282" s="20" t="n">
        <v>-789.544</v>
      </c>
      <c r="G282" s="20" t="n">
        <v>-1194.01</v>
      </c>
      <c r="I282" s="20" t="n">
        <v>-945.853</v>
      </c>
      <c r="K282" s="20" t="n">
        <v>-2282.953</v>
      </c>
      <c r="M282" s="20" t="n">
        <v>-1226.16</v>
      </c>
      <c r="V282" s="20" t="n">
        <v>-1811.838</v>
      </c>
      <c r="W282" s="20" t="n">
        <v>-1194.01</v>
      </c>
      <c r="X282" s="20" t="n">
        <v>-2282.953</v>
      </c>
    </row>
    <row r="283">
      <c r="A283" s="18" t="inlineStr">
        <is>
          <t>미수금 증감</t>
        </is>
      </c>
      <c r="C283" s="20" t="n">
        <v>-321.162</v>
      </c>
      <c r="E283" s="20" t="n">
        <v>-1405.839</v>
      </c>
      <c r="G283" s="20" t="n">
        <v>-2849.29</v>
      </c>
      <c r="I283" s="20" t="n">
        <v>-526.227</v>
      </c>
      <c r="K283" s="20" t="n">
        <v>-2299.206</v>
      </c>
      <c r="M283" s="20" t="n">
        <v>-2031.655</v>
      </c>
      <c r="V283" s="20" t="n">
        <v>-321.162</v>
      </c>
      <c r="W283" s="20" t="n">
        <v>-2849.29</v>
      </c>
      <c r="X283" s="20" t="n">
        <v>-2299.206</v>
      </c>
    </row>
    <row r="284">
      <c r="A284" s="18" t="inlineStr">
        <is>
          <t>선급비용 증감액(△는 증가)</t>
        </is>
      </c>
      <c r="C284" s="20" t="n">
        <v>108.242</v>
      </c>
      <c r="E284" s="20" t="n">
        <v>-769.546</v>
      </c>
      <c r="G284" s="20" t="n">
        <v>-39.684</v>
      </c>
      <c r="I284" s="20" t="n">
        <v>-1155.968</v>
      </c>
      <c r="K284" s="20" t="n">
        <v>-430.247</v>
      </c>
      <c r="M284" s="20" t="n">
        <v>-520.514</v>
      </c>
      <c r="V284" s="20" t="n">
        <v>108.242</v>
      </c>
      <c r="W284" s="20" t="n">
        <v>-39.684</v>
      </c>
      <c r="X284" s="20" t="n">
        <v>-430.247</v>
      </c>
    </row>
    <row r="285">
      <c r="A285" s="18" t="inlineStr">
        <is>
          <t>예치금 증감액(△는 증가)</t>
        </is>
      </c>
      <c r="G285" s="20" t="n">
        <v>-93.709</v>
      </c>
      <c r="I285" s="20" t="n">
        <v>19.478</v>
      </c>
      <c r="K285" s="20" t="n">
        <v>-4730.837</v>
      </c>
      <c r="M285" s="20" t="n">
        <v>4873.999</v>
      </c>
      <c r="W285" s="20" t="n">
        <v>-93.709</v>
      </c>
      <c r="X285" s="20" t="n">
        <v>-4730.837</v>
      </c>
    </row>
    <row r="286">
      <c r="A286" s="18" t="inlineStr">
        <is>
          <t>영업투자유가증권 증감액</t>
        </is>
      </c>
      <c r="C286" s="20" t="n">
        <v>-1381.025</v>
      </c>
      <c r="E286" s="20" t="n">
        <v>-78.99299999999999</v>
      </c>
      <c r="G286" s="20" t="n">
        <v>-2045.025</v>
      </c>
      <c r="I286" s="20" t="n">
        <v>-1076.472</v>
      </c>
      <c r="K286" s="20" t="n">
        <v>-2586.835</v>
      </c>
      <c r="M286" s="20" t="n">
        <v>-694.491</v>
      </c>
      <c r="R286" s="20" t="n">
        <v>0</v>
      </c>
      <c r="S286" s="20" t="n">
        <v>-219.851</v>
      </c>
      <c r="T286" s="20" t="n">
        <v>-854.4349999999999</v>
      </c>
      <c r="U286" s="20" t="n">
        <v>-694.796</v>
      </c>
      <c r="V286" s="20" t="n">
        <v>-1381.025</v>
      </c>
      <c r="W286" s="20" t="n">
        <v>-2045.025</v>
      </c>
      <c r="X286" s="20" t="n">
        <v>-2586.835</v>
      </c>
    </row>
    <row r="287">
      <c r="A287" s="18" t="inlineStr">
        <is>
          <t>재고자산 증감</t>
        </is>
      </c>
      <c r="C287" s="20" t="n">
        <v>8.289999999999999</v>
      </c>
      <c r="E287" s="20" t="n">
        <v>-13.335</v>
      </c>
      <c r="G287" s="20" t="n">
        <v>-8.614000000000001</v>
      </c>
      <c r="I287" s="20" t="n">
        <v>-14.432</v>
      </c>
      <c r="K287" s="20" t="n">
        <v>-65.252</v>
      </c>
      <c r="M287" s="20" t="n">
        <v>-16.212</v>
      </c>
      <c r="P287" s="20" t="n">
        <v>-2.461</v>
      </c>
      <c r="Q287" s="20" t="n">
        <v>-0.282</v>
      </c>
      <c r="R287" s="20" t="n">
        <v>1.87</v>
      </c>
      <c r="S287" s="20" t="n">
        <v>-64.949</v>
      </c>
      <c r="T287" s="20" t="n">
        <v>61.241</v>
      </c>
      <c r="U287" s="20" t="n">
        <v>-0.434</v>
      </c>
      <c r="V287" s="20" t="n">
        <v>8.289999999999999</v>
      </c>
      <c r="W287" s="20" t="n">
        <v>-8.614000000000001</v>
      </c>
      <c r="X287" s="20" t="n">
        <v>-65.252</v>
      </c>
    </row>
    <row r="288">
      <c r="A288" s="18" t="inlineStr">
        <is>
          <t>매입채권(채권 매입업) 증감액(△는 증가)</t>
        </is>
      </c>
      <c r="P288" s="20" t="n">
        <v>-4.074</v>
      </c>
      <c r="Q288" s="20" t="n">
        <v>-358.041</v>
      </c>
    </row>
    <row r="289">
      <c r="A289" s="18" t="inlineStr">
        <is>
          <t>매입채권(채권 매입업) 증감액(△는 증가)</t>
        </is>
      </c>
      <c r="C289" s="20" t="n">
        <v>-373.871</v>
      </c>
      <c r="E289" s="20" t="n">
        <v>-474.258</v>
      </c>
      <c r="G289" s="20" t="n">
        <v>1023.096</v>
      </c>
      <c r="I289" s="20" t="n">
        <v>1214.022</v>
      </c>
      <c r="K289" s="20" t="n">
        <v>1177.501</v>
      </c>
      <c r="M289" s="20" t="n">
        <v>926.562</v>
      </c>
      <c r="Q289" s="20" t="n">
        <v>-358.041</v>
      </c>
      <c r="R289" s="20" t="n">
        <v>-1706.756</v>
      </c>
      <c r="S289" s="20" t="n">
        <v>-141.431</v>
      </c>
      <c r="T289" s="20" t="n">
        <v>-2011.852</v>
      </c>
      <c r="U289" s="20" t="n">
        <v>-1231.857</v>
      </c>
      <c r="V289" s="20" t="n">
        <v>-373.871</v>
      </c>
      <c r="W289" s="20" t="n">
        <v>1023.096</v>
      </c>
      <c r="X289" s="20" t="n">
        <v>1177.501</v>
      </c>
    </row>
    <row r="290">
      <c r="A290" s="18" t="inlineStr">
        <is>
          <t>매입채무 증감</t>
        </is>
      </c>
      <c r="C290" s="20" t="n">
        <v>29.323</v>
      </c>
      <c r="E290" s="20" t="n">
        <v>-81.05500000000001</v>
      </c>
      <c r="G290" s="20" t="n">
        <v>-77.47799999999999</v>
      </c>
      <c r="I290" s="20" t="n">
        <v>-25.878</v>
      </c>
      <c r="K290" s="20" t="n">
        <v>-58.132</v>
      </c>
      <c r="M290" s="20" t="n">
        <v>7.014</v>
      </c>
      <c r="P290" s="20" t="n">
        <v>46.516</v>
      </c>
      <c r="Q290" s="20" t="n">
        <v>102.845</v>
      </c>
      <c r="R290" s="20" t="n">
        <v>-5.186</v>
      </c>
      <c r="S290" s="20" t="n">
        <v>-16.784</v>
      </c>
      <c r="T290" s="20" t="n">
        <v>36.82</v>
      </c>
      <c r="U290" s="20" t="n">
        <v>122.032</v>
      </c>
      <c r="V290" s="20" t="n">
        <v>29.323</v>
      </c>
      <c r="W290" s="20" t="n">
        <v>-77.47799999999999</v>
      </c>
      <c r="X290" s="20" t="n">
        <v>-58.132</v>
      </c>
    </row>
    <row r="291">
      <c r="A291" s="18" t="inlineStr">
        <is>
          <t>미지급금 증감</t>
        </is>
      </c>
      <c r="C291" s="20" t="n">
        <v>3170.549</v>
      </c>
      <c r="E291" s="20" t="n">
        <v>-1703.553</v>
      </c>
      <c r="G291" s="20" t="n">
        <v>559.667</v>
      </c>
      <c r="I291" s="20" t="n">
        <v>180.641</v>
      </c>
      <c r="K291" s="20" t="n">
        <v>1182.125</v>
      </c>
      <c r="M291" s="20" t="n">
        <v>2488.731</v>
      </c>
      <c r="P291" s="20" t="n">
        <v>62.419</v>
      </c>
      <c r="Q291" s="20" t="n">
        <v>46.087</v>
      </c>
      <c r="R291" s="20" t="n">
        <v>483.48</v>
      </c>
      <c r="S291" s="20" t="n">
        <v>874.817</v>
      </c>
      <c r="T291" s="20" t="n">
        <v>-7.714</v>
      </c>
      <c r="U291" s="20" t="n">
        <v>3207.851</v>
      </c>
      <c r="V291" s="20" t="n">
        <v>3170.549</v>
      </c>
      <c r="W291" s="20" t="n">
        <v>559.667</v>
      </c>
      <c r="X291" s="20" t="n">
        <v>1182.125</v>
      </c>
    </row>
    <row r="292">
      <c r="A292" s="18" t="inlineStr">
        <is>
          <t>미지급비용 증감</t>
        </is>
      </c>
      <c r="C292" s="20" t="n">
        <v>174.299</v>
      </c>
      <c r="E292" s="20" t="n">
        <v>256.232</v>
      </c>
      <c r="G292" s="20" t="n">
        <v>493.74</v>
      </c>
      <c r="I292" s="20" t="n">
        <v>111.924</v>
      </c>
      <c r="K292" s="20" t="n">
        <v>385.61</v>
      </c>
      <c r="M292" s="20" t="n">
        <v>205.369</v>
      </c>
      <c r="P292" s="20" t="n">
        <v>51.295</v>
      </c>
      <c r="Q292" s="20" t="n">
        <v>263.534</v>
      </c>
      <c r="R292" s="20" t="n">
        <v>160.212</v>
      </c>
      <c r="S292" s="20" t="n">
        <v>45.279</v>
      </c>
      <c r="T292" s="20" t="n">
        <v>192.387</v>
      </c>
      <c r="U292" s="20" t="n">
        <v>429.982</v>
      </c>
      <c r="V292" s="20" t="n">
        <v>174.299</v>
      </c>
      <c r="W292" s="20" t="n">
        <v>493.74</v>
      </c>
      <c r="X292" s="20" t="n">
        <v>385.61</v>
      </c>
    </row>
    <row r="293">
      <c r="A293" s="18" t="inlineStr">
        <is>
          <t>선수수익 증감</t>
        </is>
      </c>
      <c r="P293" s="20" t="n">
        <v>265.58</v>
      </c>
      <c r="Q293" s="20" t="n">
        <v>194.689</v>
      </c>
      <c r="R293" s="20" t="n">
        <v>98.063</v>
      </c>
      <c r="S293" s="20" t="n">
        <v>581.586</v>
      </c>
      <c r="T293" s="20" t="n">
        <v>268.468</v>
      </c>
      <c r="U293" s="20" t="n">
        <v>0</v>
      </c>
    </row>
    <row r="294">
      <c r="A294" s="18" t="inlineStr">
        <is>
          <t>계약부채 증감</t>
        </is>
      </c>
      <c r="C294" s="20" t="n">
        <v>1362.623</v>
      </c>
      <c r="E294" s="20" t="n">
        <v>1163.546</v>
      </c>
      <c r="T294" s="20" t="n">
        <v>0</v>
      </c>
      <c r="U294" s="20" t="n">
        <v>1259.605</v>
      </c>
      <c r="V294" s="20" t="n">
        <v>1362.623</v>
      </c>
    </row>
    <row r="295">
      <c r="A295" s="18" t="inlineStr">
        <is>
          <t>계약부채 증감</t>
        </is>
      </c>
      <c r="C295" s="20" t="n">
        <v>1362.623</v>
      </c>
      <c r="E295" s="20" t="n">
        <v>1163.546</v>
      </c>
      <c r="G295" s="20" t="n">
        <v>1300.787</v>
      </c>
      <c r="I295" s="20" t="n">
        <v>1296.609</v>
      </c>
      <c r="K295" s="20" t="n">
        <v>3575.07</v>
      </c>
      <c r="M295" s="20" t="n">
        <v>1373.9</v>
      </c>
      <c r="V295" s="20" t="n">
        <v>1362.623</v>
      </c>
      <c r="W295" s="20" t="n">
        <v>1300.787</v>
      </c>
      <c r="X295" s="20" t="n">
        <v>3575.07</v>
      </c>
    </row>
    <row r="296">
      <c r="A296" s="18" t="inlineStr">
        <is>
          <t>예수금 증감</t>
        </is>
      </c>
      <c r="C296" s="20" t="n">
        <v>3158.126</v>
      </c>
      <c r="E296" s="20" t="n">
        <v>-2230.57</v>
      </c>
      <c r="G296" s="20" t="n">
        <v>-1651.705</v>
      </c>
      <c r="I296" s="20" t="n">
        <v>-990.4930000000001</v>
      </c>
      <c r="K296" s="20" t="n">
        <v>5414.294</v>
      </c>
      <c r="M296" s="20" t="n">
        <v>-3319.88</v>
      </c>
      <c r="U296" s="20" t="n">
        <v>1909.71</v>
      </c>
      <c r="V296" s="20" t="n">
        <v>3158.126</v>
      </c>
      <c r="W296" s="20" t="n">
        <v>-1651.705</v>
      </c>
      <c r="X296" s="20" t="n">
        <v>5414.294</v>
      </c>
    </row>
    <row r="297">
      <c r="A297" s="18" t="inlineStr">
        <is>
          <t>기타</t>
        </is>
      </c>
      <c r="C297" s="20" t="n">
        <v>1041.342</v>
      </c>
      <c r="E297" s="20" t="n">
        <v>-924.386</v>
      </c>
      <c r="G297" s="20" t="n">
        <v>-880.125</v>
      </c>
      <c r="I297" s="20" t="n">
        <v>141.599</v>
      </c>
      <c r="K297" s="20" t="n">
        <v>407.398</v>
      </c>
      <c r="M297" s="20" t="n">
        <v>-66.355</v>
      </c>
      <c r="P297" s="20" t="n">
        <v>26.885</v>
      </c>
      <c r="Q297" s="20" t="n">
        <v>-129.269</v>
      </c>
      <c r="R297" s="20" t="n">
        <v>-203.919</v>
      </c>
      <c r="S297" s="20" t="n">
        <v>306.24</v>
      </c>
      <c r="T297" s="20" t="n">
        <v>242.886</v>
      </c>
      <c r="U297" s="20" t="n">
        <v>-1653.448</v>
      </c>
      <c r="V297" s="20" t="n">
        <v>1041.342</v>
      </c>
      <c r="W297" s="20" t="n">
        <v>-880.125</v>
      </c>
      <c r="X297" s="20" t="n">
        <v>407.398</v>
      </c>
    </row>
    <row r="298">
      <c r="A298" s="18" t="inlineStr">
        <is>
          <t>소계</t>
        </is>
      </c>
      <c r="C298" s="20" t="n">
        <v>2682.322</v>
      </c>
      <c r="E298" s="20" t="n">
        <v>-6506.29</v>
      </c>
      <c r="G298" s="20" t="n">
        <v>-4384.544</v>
      </c>
      <c r="I298" s="20" t="n">
        <v>-192.983</v>
      </c>
      <c r="K298" s="20" t="n">
        <v>4169.519</v>
      </c>
      <c r="M298" s="20" t="n">
        <v>5620.397</v>
      </c>
      <c r="P298" s="20" t="n">
        <v>-477.356</v>
      </c>
      <c r="Q298" s="20" t="n">
        <v>-762.2670000000001</v>
      </c>
      <c r="R298" s="20" t="n">
        <v>-3556.253</v>
      </c>
      <c r="S298" s="20" t="n">
        <v>-1050.378</v>
      </c>
      <c r="T298" s="20" t="n">
        <v>-2227.306</v>
      </c>
      <c r="U298" s="20" t="n">
        <v>-3827.897</v>
      </c>
      <c r="V298" s="20" t="n">
        <v>2682.322</v>
      </c>
      <c r="W298" s="20" t="n">
        <v>-4384.544</v>
      </c>
      <c r="X298" s="20" t="n">
        <v>4169.519</v>
      </c>
    </row>
    <row r="299">
      <c r="A299" s="18" t="inlineStr">
        <is>
          <t>이자·배당금 수취</t>
        </is>
      </c>
      <c r="C299" s="20" t="n">
        <v>2.638</v>
      </c>
      <c r="E299" s="20" t="n">
        <v>2.147</v>
      </c>
      <c r="G299" s="20" t="n">
        <v>6.491</v>
      </c>
      <c r="I299" s="20" t="n">
        <v>28.479</v>
      </c>
      <c r="K299" s="20" t="n">
        <v>63.601</v>
      </c>
      <c r="M299" s="20" t="n">
        <v>68.48399999999999</v>
      </c>
      <c r="P299" s="20" t="n">
        <v>0.019</v>
      </c>
      <c r="Q299" s="20" t="n">
        <v>0.06</v>
      </c>
      <c r="R299" s="20" t="n">
        <v>0.293</v>
      </c>
      <c r="S299" s="20" t="n">
        <v>0.113</v>
      </c>
      <c r="T299" s="20" t="n">
        <v>0.078</v>
      </c>
      <c r="U299" s="20" t="n">
        <v>1.073</v>
      </c>
      <c r="V299" s="20" t="n">
        <v>2.638</v>
      </c>
      <c r="W299" s="20" t="n">
        <v>6.491</v>
      </c>
      <c r="X299" s="20" t="n">
        <v>63.601</v>
      </c>
    </row>
    <row r="300">
      <c r="A300" s="18" t="inlineStr">
        <is>
          <t>이자 지급</t>
        </is>
      </c>
      <c r="C300" s="20" t="n">
        <v>-130.714</v>
      </c>
      <c r="E300" s="20" t="n">
        <v>-70.90600000000001</v>
      </c>
      <c r="G300" s="20" t="n">
        <v>-173.928</v>
      </c>
      <c r="I300" s="20" t="n">
        <v>-128.391</v>
      </c>
      <c r="K300" s="20" t="n">
        <v>-268.492</v>
      </c>
      <c r="M300" s="20" t="n">
        <v>-258.519</v>
      </c>
      <c r="P300" s="20" t="n">
        <v>-14.776</v>
      </c>
      <c r="Q300" s="20" t="n">
        <v>-23.186</v>
      </c>
      <c r="R300" s="20" t="n">
        <v>-26.797</v>
      </c>
      <c r="S300" s="20" t="n">
        <v>-37.829</v>
      </c>
      <c r="T300" s="20" t="n">
        <v>-48.926</v>
      </c>
      <c r="U300" s="20" t="n">
        <v>-84.35599999999999</v>
      </c>
      <c r="V300" s="20" t="n">
        <v>-130.714</v>
      </c>
      <c r="W300" s="20" t="n">
        <v>-173.928</v>
      </c>
      <c r="X300" s="20" t="n">
        <v>-268.492</v>
      </c>
    </row>
    <row r="301">
      <c r="A301" s="18" t="inlineStr">
        <is>
          <t>법인세 납부</t>
        </is>
      </c>
      <c r="C301" s="20" t="n">
        <v>-93.92100000000001</v>
      </c>
      <c r="E301" s="20" t="n">
        <v>-101.864</v>
      </c>
      <c r="G301" s="20" t="n">
        <v>-209.455</v>
      </c>
      <c r="I301" s="20" t="n">
        <v>-1555.708</v>
      </c>
      <c r="K301" s="20" t="n">
        <v>-2467.936</v>
      </c>
      <c r="M301" s="20" t="n">
        <v>-378.549</v>
      </c>
      <c r="P301" s="20" t="n">
        <v>-6.637</v>
      </c>
      <c r="Q301" s="20" t="n">
        <v>-9.970000000000001</v>
      </c>
      <c r="R301" s="20" t="n">
        <v>-22.263</v>
      </c>
      <c r="S301" s="20" t="n">
        <v>-31.562</v>
      </c>
      <c r="T301" s="20" t="n">
        <v>-51.498</v>
      </c>
      <c r="U301" s="20" t="n">
        <v>-212.901</v>
      </c>
      <c r="V301" s="20" t="n">
        <v>-93.92100000000001</v>
      </c>
      <c r="W301" s="20" t="n">
        <v>-209.455</v>
      </c>
      <c r="X301" s="20" t="n">
        <v>-2467.936</v>
      </c>
    </row>
    <row r="302">
      <c r="A302" s="9" t="inlineStr">
        <is>
          <t>영업활동 현금흐름</t>
        </is>
      </c>
      <c r="C302" s="12" t="n">
        <v>2460.324</v>
      </c>
      <c r="E302" s="12" t="n">
        <v>-6676.913</v>
      </c>
      <c r="G302" s="12" t="n">
        <v>-4761.435</v>
      </c>
      <c r="I302" s="12" t="n">
        <v>-1848.604</v>
      </c>
      <c r="K302" s="12" t="n">
        <v>1496.692</v>
      </c>
      <c r="M302" s="12" t="n">
        <v>5051.813</v>
      </c>
      <c r="P302" s="12" t="n">
        <v>-498.75</v>
      </c>
      <c r="Q302" s="12" t="n">
        <v>-795.3630000000001</v>
      </c>
      <c r="R302" s="12" t="n">
        <v>-3605.019</v>
      </c>
      <c r="S302" s="12" t="n">
        <v>-1119.657</v>
      </c>
      <c r="T302" s="12" t="n">
        <v>-2327.653</v>
      </c>
      <c r="U302" s="12" t="n">
        <v>-4124.082</v>
      </c>
      <c r="V302" s="12" t="n">
        <v>2460.324</v>
      </c>
      <c r="W302" s="12" t="n">
        <v>-4761.435</v>
      </c>
      <c r="X302" s="12" t="n">
        <v>1496.692</v>
      </c>
    </row>
    <row r="303">
      <c r="A303" s="18" t="inlineStr">
        <is>
          <t>정기예금 예입</t>
        </is>
      </c>
      <c r="C303" s="20" t="n">
        <v>-31.895</v>
      </c>
      <c r="E303" s="20" t="n">
        <v>-3.56</v>
      </c>
      <c r="G303" s="20" t="n">
        <v>-4.054</v>
      </c>
      <c r="I303" s="20" t="n">
        <v>-0.601</v>
      </c>
      <c r="K303" s="20" t="n">
        <v>-0.579</v>
      </c>
      <c r="M303" s="20" t="n">
        <v>-803.611</v>
      </c>
      <c r="R303" s="20" t="n">
        <v>0</v>
      </c>
      <c r="S303" s="20" t="n">
        <v>-400</v>
      </c>
      <c r="T303" s="20" t="n">
        <v>-400</v>
      </c>
      <c r="U303" s="20" t="n">
        <v>-403.43</v>
      </c>
      <c r="V303" s="20" t="n">
        <v>-31.895</v>
      </c>
      <c r="W303" s="20" t="n">
        <v>-4.054</v>
      </c>
      <c r="X303" s="20" t="n">
        <v>-0.579</v>
      </c>
    </row>
    <row r="304">
      <c r="A304" s="18" t="inlineStr">
        <is>
          <t>정기예금 인출</t>
        </is>
      </c>
      <c r="C304" s="20" t="n">
        <v>400</v>
      </c>
      <c r="E304" s="20" t="n">
        <v>0</v>
      </c>
      <c r="G304" s="20" t="n">
        <v>0</v>
      </c>
      <c r="R304" s="20" t="n">
        <v>0</v>
      </c>
      <c r="S304" s="20" t="n">
        <v>200</v>
      </c>
      <c r="T304" s="20" t="n">
        <v>400</v>
      </c>
      <c r="U304" s="20" t="n">
        <v>200</v>
      </c>
      <c r="V304" s="20" t="n">
        <v>400</v>
      </c>
      <c r="W304" s="20" t="n">
        <v>0</v>
      </c>
    </row>
    <row r="305">
      <c r="A305" s="18" t="inlineStr">
        <is>
          <t>유형자산 취득(설비투자)</t>
        </is>
      </c>
      <c r="C305" s="20" t="n">
        <v>-632.85</v>
      </c>
      <c r="E305" s="20" t="n">
        <v>-55.26</v>
      </c>
      <c r="G305" s="20" t="n">
        <v>-164.152</v>
      </c>
      <c r="I305" s="20" t="n">
        <v>-405.917</v>
      </c>
      <c r="K305" s="20" t="n">
        <v>-779.6319999999999</v>
      </c>
      <c r="M305" s="20" t="n">
        <v>-434.888</v>
      </c>
      <c r="P305" s="20" t="n">
        <v>-9.336</v>
      </c>
      <c r="Q305" s="20" t="n">
        <v>-301.554</v>
      </c>
      <c r="R305" s="20" t="n">
        <v>-117.549</v>
      </c>
      <c r="S305" s="20" t="n">
        <v>-123.639</v>
      </c>
      <c r="T305" s="20" t="n">
        <v>-204.667</v>
      </c>
      <c r="U305" s="20" t="n">
        <v>-333.022</v>
      </c>
      <c r="V305" s="20" t="n">
        <v>-632.85</v>
      </c>
      <c r="W305" s="20" t="n">
        <v>-164.152</v>
      </c>
      <c r="X305" s="20" t="n">
        <v>-779.6319999999999</v>
      </c>
    </row>
    <row r="306">
      <c r="A306" s="18" t="inlineStr">
        <is>
          <t>무형자산 취득</t>
        </is>
      </c>
      <c r="C306" s="20" t="n">
        <v>-4748.177</v>
      </c>
      <c r="E306" s="20" t="n">
        <v>-2795.081</v>
      </c>
      <c r="G306" s="20" t="n">
        <v>-6205.448</v>
      </c>
      <c r="I306" s="20" t="n">
        <v>-3943.137</v>
      </c>
      <c r="K306" s="20" t="n">
        <v>-8318.153</v>
      </c>
      <c r="M306" s="20" t="n">
        <v>-4599.806</v>
      </c>
      <c r="P306" s="20" t="n">
        <v>-1.18</v>
      </c>
      <c r="Q306" s="20" t="n">
        <v>-73.24299999999999</v>
      </c>
      <c r="R306" s="20" t="n">
        <v>-13.52</v>
      </c>
      <c r="S306" s="20" t="n">
        <v>-1042.643</v>
      </c>
      <c r="T306" s="20" t="n">
        <v>-2129.319</v>
      </c>
      <c r="U306" s="20" t="n">
        <v>-3935.312</v>
      </c>
      <c r="V306" s="20" t="n">
        <v>-4748.177</v>
      </c>
      <c r="W306" s="20" t="n">
        <v>-6205.448</v>
      </c>
      <c r="X306" s="20" t="n">
        <v>-8318.153</v>
      </c>
    </row>
    <row r="307">
      <c r="A307" s="18" t="inlineStr">
        <is>
          <t>투자유가증권 취득</t>
        </is>
      </c>
      <c r="C307" s="20" t="n">
        <v>-2593.885</v>
      </c>
      <c r="E307" s="20" t="n">
        <v>-1307.921</v>
      </c>
      <c r="G307" s="20" t="n">
        <v>-2320.277</v>
      </c>
      <c r="I307" s="20" t="n">
        <v>-1773.983</v>
      </c>
      <c r="K307" s="20" t="n">
        <v>-3635.41</v>
      </c>
      <c r="M307" s="20" t="n">
        <v>-419.774</v>
      </c>
      <c r="P307" s="20" t="n">
        <v>-68.02500000000001</v>
      </c>
      <c r="Q307" s="20" t="n">
        <v>-735.591</v>
      </c>
      <c r="R307" s="20" t="n">
        <v>-778.611</v>
      </c>
      <c r="S307" s="20" t="n">
        <v>-459.497</v>
      </c>
      <c r="T307" s="20" t="n">
        <v>-2824.447</v>
      </c>
      <c r="U307" s="20" t="n">
        <v>-7948.53</v>
      </c>
      <c r="V307" s="20" t="n">
        <v>-2593.885</v>
      </c>
      <c r="W307" s="20" t="n">
        <v>-2320.277</v>
      </c>
      <c r="X307" s="20" t="n">
        <v>-3635.41</v>
      </c>
    </row>
    <row r="308">
      <c r="A308" s="18" t="inlineStr">
        <is>
          <t>투자유가증권 상환</t>
        </is>
      </c>
      <c r="P308" s="20" t="n">
        <v>0</v>
      </c>
      <c r="Q308" s="20" t="n">
        <v>3</v>
      </c>
      <c r="R308" s="20" t="n">
        <v>0</v>
      </c>
    </row>
    <row r="309">
      <c r="A309" s="18" t="inlineStr">
        <is>
          <t>투자유가증권 매각</t>
        </is>
      </c>
      <c r="C309" s="20" t="n">
        <v>58.473</v>
      </c>
      <c r="E309" s="20" t="n">
        <v>0</v>
      </c>
      <c r="G309" s="20" t="n">
        <v>0</v>
      </c>
      <c r="I309" s="20" t="n">
        <v>207.665</v>
      </c>
      <c r="K309" s="20" t="n">
        <v>254.033</v>
      </c>
      <c r="M309" s="20" t="n">
        <v>2826.89</v>
      </c>
      <c r="R309" s="20" t="n">
        <v>0</v>
      </c>
      <c r="S309" s="20" t="n">
        <v>349.881</v>
      </c>
      <c r="T309" s="20" t="n">
        <v>24.027</v>
      </c>
      <c r="U309" s="20" t="n">
        <v>0</v>
      </c>
      <c r="V309" s="20" t="n">
        <v>58.473</v>
      </c>
      <c r="W309" s="20" t="n">
        <v>0</v>
      </c>
      <c r="X309" s="20" t="n">
        <v>254.033</v>
      </c>
    </row>
    <row r="310">
      <c r="A310" s="18" t="inlineStr">
        <is>
          <t>리스투자자산 회수 수입</t>
        </is>
      </c>
      <c r="I310" s="20" t="n">
        <v>0</v>
      </c>
      <c r="M310" s="20" t="n">
        <v>261.745</v>
      </c>
    </row>
    <row r="311">
      <c r="A311" s="18" t="inlineStr">
        <is>
          <t>출자금 분배 수입</t>
        </is>
      </c>
      <c r="C311" s="20" t="n">
        <v>19.647</v>
      </c>
      <c r="E311" s="20" t="n">
        <v>3.649</v>
      </c>
      <c r="G311" s="20" t="n">
        <v>3.907</v>
      </c>
      <c r="I311" s="20" t="n">
        <v>12.333</v>
      </c>
      <c r="K311" s="20" t="n">
        <v>12.62</v>
      </c>
      <c r="M311" s="20" t="n">
        <v>15.73</v>
      </c>
      <c r="T311" s="20" t="n">
        <v>0</v>
      </c>
      <c r="U311" s="20" t="n">
        <v>8.340999999999999</v>
      </c>
      <c r="V311" s="20" t="n">
        <v>19.647</v>
      </c>
      <c r="W311" s="20" t="n">
        <v>3.907</v>
      </c>
      <c r="X311" s="20" t="n">
        <v>12.62</v>
      </c>
    </row>
    <row r="312">
      <c r="A312" s="18" t="inlineStr">
        <is>
          <t>임차보증금·보증금 납입</t>
        </is>
      </c>
      <c r="C312" s="20" t="n">
        <v>-2.505</v>
      </c>
      <c r="E312" s="20" t="n">
        <v>-99.738</v>
      </c>
      <c r="G312" s="20" t="n">
        <v>-254.235</v>
      </c>
      <c r="I312" s="20" t="n">
        <v>-405.607</v>
      </c>
      <c r="K312" s="20" t="n">
        <v>-498.913</v>
      </c>
      <c r="M312" s="20" t="n">
        <v>-121.7</v>
      </c>
      <c r="P312" s="20" t="n">
        <v>-201.503</v>
      </c>
      <c r="Q312" s="20" t="n">
        <v>-236.425</v>
      </c>
      <c r="R312" s="20" t="n">
        <v>-16.302</v>
      </c>
      <c r="S312" s="20" t="n">
        <v>-156.923</v>
      </c>
      <c r="T312" s="20" t="n">
        <v>-69.623</v>
      </c>
      <c r="U312" s="20" t="n">
        <v>-730.797</v>
      </c>
      <c r="V312" s="20" t="n">
        <v>-2.505</v>
      </c>
      <c r="W312" s="20" t="n">
        <v>-254.235</v>
      </c>
      <c r="X312" s="20" t="n">
        <v>-498.913</v>
      </c>
    </row>
    <row r="313">
      <c r="A313" s="18" t="inlineStr">
        <is>
          <t>임차보증금·보증금 회수</t>
        </is>
      </c>
      <c r="C313" s="20" t="n">
        <v>132.26</v>
      </c>
      <c r="E313" s="20" t="n">
        <v>13.076</v>
      </c>
      <c r="G313" s="20" t="n">
        <v>5.663</v>
      </c>
      <c r="I313" s="20" t="n">
        <v>49.86</v>
      </c>
      <c r="K313" s="20" t="n">
        <v>60.97</v>
      </c>
      <c r="M313" s="20" t="n">
        <v>25.831</v>
      </c>
      <c r="P313" s="20" t="n">
        <v>0.252</v>
      </c>
      <c r="Q313" s="20" t="n">
        <v>60.936</v>
      </c>
      <c r="R313" s="20" t="n">
        <v>4.112</v>
      </c>
      <c r="S313" s="20" t="n">
        <v>15.227</v>
      </c>
      <c r="T313" s="20" t="n">
        <v>19.159</v>
      </c>
      <c r="U313" s="20" t="n">
        <v>168.053</v>
      </c>
      <c r="V313" s="20" t="n">
        <v>132.26</v>
      </c>
      <c r="W313" s="20" t="n">
        <v>5.663</v>
      </c>
      <c r="X313" s="20" t="n">
        <v>60.97</v>
      </c>
    </row>
    <row r="314">
      <c r="A314" s="18" t="inlineStr">
        <is>
          <t>사업양수 지출</t>
        </is>
      </c>
      <c r="G314" s="20" t="n">
        <v>0</v>
      </c>
      <c r="I314" s="20" t="n">
        <v>0</v>
      </c>
      <c r="K314" s="20" t="n">
        <v>-783.634</v>
      </c>
      <c r="M314" s="20" t="n">
        <v>-5952.625</v>
      </c>
      <c r="W314" s="20" t="n">
        <v>0</v>
      </c>
      <c r="X314" s="20" t="n">
        <v>-783.634</v>
      </c>
    </row>
    <row r="315">
      <c r="A315" s="18" t="inlineStr">
        <is>
          <t>연결범위 변경 자회사 주식 취득</t>
        </is>
      </c>
      <c r="C315" s="20" t="n">
        <v>0</v>
      </c>
      <c r="E315" s="20" t="n">
        <v>-465.165</v>
      </c>
      <c r="G315" s="20" t="n">
        <v>-465.165</v>
      </c>
      <c r="I315" s="20" t="n">
        <v>-2273.124</v>
      </c>
      <c r="K315" s="20" t="n">
        <v>-3683.482</v>
      </c>
      <c r="M315" s="20" t="n">
        <v>0</v>
      </c>
      <c r="P315" s="20" t="n">
        <v>-786.311</v>
      </c>
      <c r="Q315" s="20" t="n">
        <v>-1.33</v>
      </c>
      <c r="R315" s="20" t="n">
        <v>-1836.2</v>
      </c>
      <c r="S315" s="20" t="n">
        <v>-988.862</v>
      </c>
      <c r="T315" s="20" t="n">
        <v>0</v>
      </c>
      <c r="U315" s="20" t="n">
        <v>-1808.29</v>
      </c>
      <c r="V315" s="20" t="n">
        <v>0</v>
      </c>
      <c r="W315" s="20" t="n">
        <v>-465.165</v>
      </c>
      <c r="X315" s="20" t="n">
        <v>-3683.482</v>
      </c>
    </row>
    <row r="316">
      <c r="A316" s="18" t="inlineStr">
        <is>
          <t>연결범위 변경 자회사 주식 취득(수입)</t>
        </is>
      </c>
      <c r="E316" s="20" t="n">
        <v>0</v>
      </c>
      <c r="G316" s="20" t="n">
        <v>0</v>
      </c>
      <c r="I316" s="20" t="n">
        <v>35.038</v>
      </c>
      <c r="K316" s="20" t="n">
        <v>35.038</v>
      </c>
      <c r="M316" s="20" t="n">
        <v>0</v>
      </c>
      <c r="P316" s="20" t="n">
        <v>0</v>
      </c>
      <c r="Q316" s="20" t="n">
        <v>6.802</v>
      </c>
      <c r="R316" s="20" t="n">
        <v>0</v>
      </c>
      <c r="W316" s="20" t="n">
        <v>0</v>
      </c>
      <c r="X316" s="20" t="n">
        <v>35.038</v>
      </c>
    </row>
    <row r="317">
      <c r="A317" s="18" t="inlineStr">
        <is>
          <t>연결범위 변경 자회사 주식 매각</t>
        </is>
      </c>
      <c r="E317" s="20" t="n">
        <v>0</v>
      </c>
      <c r="G317" s="20" t="n">
        <v>0</v>
      </c>
      <c r="I317" s="20" t="n">
        <v>170.401</v>
      </c>
      <c r="K317" s="20" t="n">
        <v>6997.026</v>
      </c>
      <c r="M317" s="20" t="n">
        <v>0</v>
      </c>
      <c r="W317" s="20" t="n">
        <v>0</v>
      </c>
      <c r="X317" s="20" t="n">
        <v>6997.026</v>
      </c>
    </row>
    <row r="318">
      <c r="A318" s="18" t="inlineStr">
        <is>
          <t>연결범위 변경 자회사 주식 매각(지출)</t>
        </is>
      </c>
      <c r="C318" s="20" t="n">
        <v>0</v>
      </c>
      <c r="G318" s="20" t="n">
        <v>-80.39</v>
      </c>
      <c r="K318" s="20" t="n">
        <v>0</v>
      </c>
      <c r="S318" s="20" t="n">
        <v>0</v>
      </c>
      <c r="T318" s="20" t="n">
        <v>-14.218</v>
      </c>
      <c r="U318" s="20" t="n">
        <v>0</v>
      </c>
      <c r="V318" s="20" t="n">
        <v>0</v>
      </c>
      <c r="W318" s="20" t="n">
        <v>-80.39</v>
      </c>
      <c r="X318" s="20" t="n">
        <v>0</v>
      </c>
    </row>
    <row r="319">
      <c r="A319" s="18" t="inlineStr">
        <is>
          <t>기타</t>
        </is>
      </c>
      <c r="C319" s="20" t="n">
        <v>-49.831</v>
      </c>
      <c r="E319" s="20" t="n">
        <v>-0.466</v>
      </c>
      <c r="G319" s="20" t="n">
        <v>-20.933</v>
      </c>
      <c r="I319" s="20" t="n">
        <v>-0.466</v>
      </c>
      <c r="K319" s="20" t="n">
        <v>0.928</v>
      </c>
      <c r="M319" s="20" t="n">
        <v>7.26</v>
      </c>
      <c r="P319" s="20" t="n">
        <v>0.55</v>
      </c>
      <c r="Q319" s="20" t="n">
        <v>-10.607</v>
      </c>
      <c r="R319" s="20" t="n">
        <v>-26.309</v>
      </c>
      <c r="S319" s="20" t="n">
        <v>0.079</v>
      </c>
      <c r="T319" s="20" t="n">
        <v>-0.381</v>
      </c>
      <c r="U319" s="20" t="n">
        <v>2.55</v>
      </c>
      <c r="V319" s="20" t="n">
        <v>-49.831</v>
      </c>
      <c r="W319" s="20" t="n">
        <v>-20.933</v>
      </c>
      <c r="X319" s="20" t="n">
        <v>0.928</v>
      </c>
    </row>
    <row r="320">
      <c r="A320" s="9" t="inlineStr">
        <is>
          <t>투자활동 현금흐름</t>
        </is>
      </c>
      <c r="C320" s="12" t="n">
        <v>-7448.765</v>
      </c>
      <c r="E320" s="12" t="n">
        <v>-4710.467</v>
      </c>
      <c r="G320" s="12" t="n">
        <v>-9505.087</v>
      </c>
      <c r="I320" s="12" t="n">
        <v>-8327.538</v>
      </c>
      <c r="K320" s="12" t="n">
        <v>-10339.188</v>
      </c>
      <c r="M320" s="12" t="n">
        <v>-9194.949000000001</v>
      </c>
      <c r="P320" s="12" t="n">
        <v>-1065.554</v>
      </c>
      <c r="Q320" s="12" t="n">
        <v>-1288.012</v>
      </c>
      <c r="R320" s="12" t="n">
        <v>-2784.38</v>
      </c>
      <c r="S320" s="12" t="n">
        <v>-2606.378</v>
      </c>
      <c r="T320" s="12" t="n">
        <v>-5199.47</v>
      </c>
      <c r="U320" s="12" t="n">
        <v>-14780.439</v>
      </c>
      <c r="V320" s="12" t="n">
        <v>-7448.765</v>
      </c>
      <c r="W320" s="12" t="n">
        <v>-9505.087</v>
      </c>
      <c r="X320" s="12" t="n">
        <v>-10339.188</v>
      </c>
    </row>
    <row r="321">
      <c r="A321" s="18" t="inlineStr">
        <is>
          <t>단기차입금 증감</t>
        </is>
      </c>
      <c r="C321" s="20" t="n">
        <v>-3303</v>
      </c>
      <c r="E321" s="20" t="n">
        <v>1292</v>
      </c>
      <c r="G321" s="20" t="n">
        <v>5125</v>
      </c>
      <c r="I321" s="20" t="n">
        <v>-4978.692</v>
      </c>
      <c r="K321" s="20" t="n">
        <v>-5234.1</v>
      </c>
      <c r="M321" s="20" t="n">
        <v>732.0119999999999</v>
      </c>
      <c r="P321" s="20" t="n">
        <v>0</v>
      </c>
      <c r="Q321" s="20" t="n">
        <v>554.119</v>
      </c>
      <c r="R321" s="20" t="n">
        <v>1445</v>
      </c>
      <c r="S321" s="20" t="n">
        <v>510</v>
      </c>
      <c r="T321" s="20" t="n">
        <v>2190</v>
      </c>
      <c r="U321" s="20" t="n">
        <v>3540</v>
      </c>
      <c r="V321" s="20" t="n">
        <v>-3303</v>
      </c>
      <c r="W321" s="20" t="n">
        <v>5125</v>
      </c>
      <c r="X321" s="20" t="n">
        <v>-5234.1</v>
      </c>
    </row>
    <row r="322">
      <c r="A322" s="18" t="inlineStr">
        <is>
          <t>장기차입</t>
        </is>
      </c>
      <c r="C322" s="20" t="n">
        <v>7000</v>
      </c>
      <c r="E322" s="20" t="n">
        <v>1060</v>
      </c>
      <c r="G322" s="20" t="n">
        <v>3560</v>
      </c>
      <c r="I322" s="20" t="n">
        <v>4477</v>
      </c>
      <c r="K322" s="20" t="n">
        <v>9445</v>
      </c>
      <c r="M322" s="20" t="n">
        <v>11548</v>
      </c>
      <c r="P322" s="20" t="n">
        <v>1800</v>
      </c>
      <c r="Q322" s="20" t="n">
        <v>1000</v>
      </c>
      <c r="R322" s="20" t="n">
        <v>1200</v>
      </c>
      <c r="S322" s="20" t="n">
        <v>1222</v>
      </c>
      <c r="T322" s="20" t="n">
        <v>1000</v>
      </c>
      <c r="U322" s="20" t="n">
        <v>6981.433</v>
      </c>
      <c r="V322" s="20" t="n">
        <v>7000</v>
      </c>
      <c r="W322" s="20" t="n">
        <v>3560</v>
      </c>
      <c r="X322" s="20" t="n">
        <v>9445</v>
      </c>
    </row>
    <row r="323">
      <c r="A323" s="18" t="inlineStr">
        <is>
          <t>장기차입금 상환</t>
        </is>
      </c>
      <c r="C323" s="20" t="n">
        <v>-3225.4</v>
      </c>
      <c r="E323" s="20" t="n">
        <v>-1671.3</v>
      </c>
      <c r="G323" s="20" t="n">
        <v>-3613.75</v>
      </c>
      <c r="I323" s="20" t="n">
        <v>-1946.418</v>
      </c>
      <c r="K323" s="20" t="n">
        <v>-5144.066</v>
      </c>
      <c r="M323" s="20" t="n">
        <v>-2459.484</v>
      </c>
      <c r="P323" s="20" t="n">
        <v>-135</v>
      </c>
      <c r="Q323" s="20" t="n">
        <v>-360</v>
      </c>
      <c r="R323" s="20" t="n">
        <v>-800</v>
      </c>
      <c r="S323" s="20" t="n">
        <v>-632.724</v>
      </c>
      <c r="T323" s="20" t="n">
        <v>-1159.944</v>
      </c>
      <c r="U323" s="20" t="n">
        <v>-2455.089</v>
      </c>
      <c r="V323" s="20" t="n">
        <v>-3225.4</v>
      </c>
      <c r="W323" s="20" t="n">
        <v>-3613.75</v>
      </c>
      <c r="X323" s="20" t="n">
        <v>-5144.066</v>
      </c>
    </row>
    <row r="324">
      <c r="A324" s="18" t="inlineStr">
        <is>
          <t>리스부채 상환</t>
        </is>
      </c>
      <c r="I324" s="20" t="n">
        <v>0</v>
      </c>
      <c r="M324" s="20" t="n">
        <v>-1026.258</v>
      </c>
    </row>
    <row r="325">
      <c r="A325" s="18" t="inlineStr">
        <is>
          <t>주식 발행</t>
        </is>
      </c>
      <c r="C325" s="20" t="n">
        <v>141.118</v>
      </c>
      <c r="E325" s="20" t="n">
        <v>198.341</v>
      </c>
      <c r="G325" s="20" t="n">
        <v>361.065</v>
      </c>
      <c r="I325" s="20" t="n">
        <v>193.315</v>
      </c>
      <c r="K325" s="20" t="n">
        <v>190.855</v>
      </c>
      <c r="M325" s="20" t="n">
        <v>14.087</v>
      </c>
      <c r="P325" s="20" t="n">
        <v>2955.775</v>
      </c>
      <c r="Q325" s="20" t="n">
        <v>51.254</v>
      </c>
      <c r="R325" s="20" t="n">
        <v>6796.736</v>
      </c>
      <c r="S325" s="20" t="n">
        <v>4978.368</v>
      </c>
      <c r="T325" s="20" t="n">
        <v>31444.347</v>
      </c>
      <c r="U325" s="20" t="n">
        <v>144.51</v>
      </c>
      <c r="V325" s="20" t="n">
        <v>141.118</v>
      </c>
      <c r="W325" s="20" t="n">
        <v>361.065</v>
      </c>
      <c r="X325" s="20" t="n">
        <v>190.855</v>
      </c>
    </row>
    <row r="326">
      <c r="A326" s="18" t="inlineStr">
        <is>
          <t>자기주식 취득</t>
        </is>
      </c>
      <c r="C326" s="20" t="n">
        <v>-0.132</v>
      </c>
      <c r="G326" s="20" t="n">
        <v>0</v>
      </c>
      <c r="Q326" s="20" t="n">
        <v>0</v>
      </c>
      <c r="R326" s="20" t="n">
        <v>-0.146</v>
      </c>
      <c r="S326" s="20" t="n">
        <v>0</v>
      </c>
      <c r="T326" s="20" t="n">
        <v>-0.704</v>
      </c>
      <c r="U326" s="20" t="n">
        <v>-0.369</v>
      </c>
      <c r="V326" s="20" t="n">
        <v>-0.132</v>
      </c>
      <c r="W326" s="20" t="n">
        <v>0</v>
      </c>
    </row>
    <row r="327">
      <c r="A327" s="18" t="inlineStr">
        <is>
          <t>신주예약권 발행</t>
        </is>
      </c>
      <c r="C327" s="20" t="n">
        <v>3.986</v>
      </c>
      <c r="E327" s="20" t="n">
        <v>0</v>
      </c>
      <c r="G327" s="20" t="n">
        <v>0</v>
      </c>
      <c r="I327" s="20" t="n">
        <v>3.132</v>
      </c>
      <c r="K327" s="20" t="n">
        <v>3.132</v>
      </c>
      <c r="M327" s="20" t="n">
        <v>0</v>
      </c>
      <c r="P327" s="20" t="n">
        <v>0</v>
      </c>
      <c r="Q327" s="20" t="n">
        <v>46.992</v>
      </c>
      <c r="R327" s="20" t="n">
        <v>0</v>
      </c>
      <c r="U327" s="20" t="n">
        <v>0</v>
      </c>
      <c r="V327" s="20" t="n">
        <v>3.986</v>
      </c>
      <c r="W327" s="20" t="n">
        <v>0</v>
      </c>
      <c r="X327" s="20" t="n">
        <v>3.132</v>
      </c>
    </row>
    <row r="328">
      <c r="A328" s="18" t="inlineStr">
        <is>
          <t>조합원 납입 수입</t>
        </is>
      </c>
      <c r="C328" s="20" t="n">
        <v>4002</v>
      </c>
      <c r="E328" s="20" t="n">
        <v>0</v>
      </c>
      <c r="G328" s="20" t="n">
        <v>1530</v>
      </c>
      <c r="I328" s="20" t="n">
        <v>2010</v>
      </c>
      <c r="K328" s="20" t="n">
        <v>2364.9</v>
      </c>
      <c r="M328" s="20" t="n">
        <v>1710</v>
      </c>
      <c r="S328" s="20" t="n">
        <v>570</v>
      </c>
      <c r="T328" s="20" t="n">
        <v>1140</v>
      </c>
      <c r="U328" s="20" t="n">
        <v>570</v>
      </c>
      <c r="V328" s="20" t="n">
        <v>4002</v>
      </c>
      <c r="W328" s="20" t="n">
        <v>1530</v>
      </c>
      <c r="X328" s="20" t="n">
        <v>2364.9</v>
      </c>
    </row>
    <row r="329">
      <c r="A329" s="18" t="inlineStr">
        <is>
          <t>상장 관련 비용 지출</t>
        </is>
      </c>
      <c r="S329" s="20" t="n">
        <v>0</v>
      </c>
      <c r="T329" s="20" t="n">
        <v>-11.539</v>
      </c>
      <c r="U329" s="20" t="n">
        <v>0</v>
      </c>
    </row>
    <row r="330">
      <c r="A330" s="18" t="inlineStr">
        <is>
          <t>비지배주주 납입</t>
        </is>
      </c>
      <c r="C330" s="20" t="n">
        <v>0</v>
      </c>
      <c r="E330" s="20" t="n">
        <v>98</v>
      </c>
      <c r="G330" s="20" t="n">
        <v>98</v>
      </c>
      <c r="I330" s="20" t="n">
        <v>5000</v>
      </c>
      <c r="K330" s="20" t="n">
        <v>5004.013</v>
      </c>
      <c r="M330" s="20" t="n">
        <v>0</v>
      </c>
      <c r="P330" s="20" t="n">
        <v>1.5</v>
      </c>
      <c r="Q330" s="20" t="n">
        <v>13.5</v>
      </c>
      <c r="R330" s="20" t="n">
        <v>0</v>
      </c>
      <c r="S330" s="20" t="n">
        <v>0</v>
      </c>
      <c r="T330" s="20" t="n">
        <v>196</v>
      </c>
      <c r="U330" s="20" t="n">
        <v>294</v>
      </c>
      <c r="V330" s="20" t="n">
        <v>0</v>
      </c>
      <c r="W330" s="20" t="n">
        <v>98</v>
      </c>
      <c r="X330" s="20" t="n">
        <v>5004.013</v>
      </c>
    </row>
    <row r="331">
      <c r="A331" s="18" t="inlineStr">
        <is>
          <t>상장 관련 비용 지출</t>
        </is>
      </c>
      <c r="P331" s="20" t="n">
        <v>-13.657</v>
      </c>
      <c r="Q331" s="20" t="n">
        <v>0</v>
      </c>
    </row>
    <row r="332">
      <c r="A332" s="18" t="inlineStr">
        <is>
          <t>비지배주주 환급</t>
        </is>
      </c>
      <c r="I332" s="20" t="n">
        <v>0</v>
      </c>
      <c r="M332" s="20" t="n">
        <v>-25.521</v>
      </c>
    </row>
    <row r="333">
      <c r="A333" s="18" t="inlineStr">
        <is>
          <t>투자조합원 분배금 지급액</t>
        </is>
      </c>
      <c r="C333" s="20" t="n">
        <v>-41.441</v>
      </c>
      <c r="E333" s="20" t="n">
        <v>-713.5</v>
      </c>
      <c r="G333" s="20" t="n">
        <v>-713.5</v>
      </c>
      <c r="I333" s="20" t="n">
        <v>-656.691</v>
      </c>
      <c r="K333" s="20" t="n">
        <v>-1398.871</v>
      </c>
      <c r="M333" s="20" t="n">
        <v>0</v>
      </c>
      <c r="U333" s="20" t="n">
        <v>0</v>
      </c>
      <c r="V333" s="20" t="n">
        <v>-41.441</v>
      </c>
      <c r="W333" s="20" t="n">
        <v>-713.5</v>
      </c>
      <c r="X333" s="20" t="n">
        <v>-1398.871</v>
      </c>
    </row>
    <row r="334">
      <c r="A334" s="18" t="inlineStr">
        <is>
          <t>사채 발행</t>
        </is>
      </c>
      <c r="C334" s="20" t="n">
        <v>988.831</v>
      </c>
      <c r="E334" s="20" t="n">
        <v>0</v>
      </c>
      <c r="G334" s="20" t="n">
        <v>0</v>
      </c>
      <c r="U334" s="20" t="n">
        <v>0</v>
      </c>
      <c r="V334" s="20" t="n">
        <v>988.831</v>
      </c>
      <c r="W334" s="20" t="n">
        <v>0</v>
      </c>
    </row>
    <row r="335">
      <c r="A335" s="18" t="inlineStr">
        <is>
          <t>전환사채형 신주예약권부 사채 발행 수입</t>
        </is>
      </c>
      <c r="C335" s="20" t="n">
        <v>11902.843</v>
      </c>
      <c r="G335" s="20" t="n">
        <v>0</v>
      </c>
      <c r="U335" s="20" t="n">
        <v>0</v>
      </c>
      <c r="V335" s="20" t="n">
        <v>11902.843</v>
      </c>
      <c r="W335" s="20" t="n">
        <v>0</v>
      </c>
    </row>
    <row r="336">
      <c r="A336" s="18" t="inlineStr">
        <is>
          <t>자회사 자기주식 취득 지출</t>
        </is>
      </c>
      <c r="E336" s="20" t="n">
        <v>0</v>
      </c>
      <c r="G336" s="20" t="n">
        <v>0</v>
      </c>
      <c r="I336" s="20" t="n">
        <v>-433.558</v>
      </c>
      <c r="K336" s="20" t="n">
        <v>-457.926</v>
      </c>
      <c r="M336" s="20" t="n">
        <v>0</v>
      </c>
      <c r="W336" s="20" t="n">
        <v>0</v>
      </c>
      <c r="X336" s="20" t="n">
        <v>-457.926</v>
      </c>
    </row>
    <row r="337">
      <c r="A337" s="18" t="inlineStr">
        <is>
          <t>비지배주주 배당금 지급</t>
        </is>
      </c>
      <c r="I337" s="20" t="n">
        <v>0</v>
      </c>
      <c r="M337" s="20" t="n">
        <v>-16.307</v>
      </c>
    </row>
    <row r="338">
      <c r="A338" s="18" t="inlineStr">
        <is>
          <t>사채 상환</t>
        </is>
      </c>
      <c r="I338" s="20" t="n">
        <v>0</v>
      </c>
      <c r="M338" s="20" t="n">
        <v>-1000</v>
      </c>
    </row>
    <row r="339">
      <c r="A339" s="18" t="inlineStr">
        <is>
          <t>연결범위 변경 없는 자회사 주식 취득</t>
        </is>
      </c>
      <c r="C339" s="20" t="n">
        <v>-6.02</v>
      </c>
      <c r="E339" s="20" t="n">
        <v>0</v>
      </c>
      <c r="G339" s="20" t="n">
        <v>0</v>
      </c>
      <c r="I339" s="20" t="n">
        <v>-142.58</v>
      </c>
      <c r="K339" s="20" t="n">
        <v>-202.58</v>
      </c>
      <c r="M339" s="20" t="n">
        <v>-1750.071</v>
      </c>
      <c r="Q339" s="20" t="n">
        <v>0</v>
      </c>
      <c r="R339" s="20" t="n">
        <v>-3.39</v>
      </c>
      <c r="S339" s="20" t="n">
        <v>-1390.629</v>
      </c>
      <c r="T339" s="20" t="n">
        <v>0</v>
      </c>
      <c r="U339" s="20" t="n">
        <v>0</v>
      </c>
      <c r="V339" s="20" t="n">
        <v>-6.02</v>
      </c>
      <c r="W339" s="20" t="n">
        <v>0</v>
      </c>
      <c r="X339" s="20" t="n">
        <v>-202.58</v>
      </c>
    </row>
    <row r="340">
      <c r="A340" s="18" t="inlineStr">
        <is>
          <t>조합원 납입 수입</t>
        </is>
      </c>
      <c r="R340" s="20" t="n">
        <v>0</v>
      </c>
      <c r="S340" s="20" t="n">
        <v>570</v>
      </c>
    </row>
    <row r="341">
      <c r="A341" s="18" t="inlineStr">
        <is>
          <t>연결범위 변동 없는 자회사 주식 매각 수입</t>
        </is>
      </c>
      <c r="C341" s="20" t="n">
        <v>0</v>
      </c>
      <c r="G341" s="20" t="n">
        <v>14000</v>
      </c>
      <c r="K341" s="20" t="n">
        <v>0</v>
      </c>
      <c r="V341" s="20" t="n">
        <v>0</v>
      </c>
      <c r="W341" s="20" t="n">
        <v>14000</v>
      </c>
      <c r="X341" s="20" t="n">
        <v>0</v>
      </c>
    </row>
    <row r="342">
      <c r="A342" s="18" t="inlineStr">
        <is>
          <t>기타</t>
        </is>
      </c>
      <c r="C342" s="20" t="n">
        <v>0</v>
      </c>
      <c r="I342" s="20" t="n">
        <v>0</v>
      </c>
      <c r="M342" s="20" t="n">
        <v>8.413</v>
      </c>
      <c r="P342" s="20" t="n">
        <v>0</v>
      </c>
      <c r="Q342" s="20" t="n">
        <v>-0.083</v>
      </c>
      <c r="R342" s="20" t="n">
        <v>-0.334</v>
      </c>
      <c r="S342" s="20" t="n">
        <v>-0.334</v>
      </c>
      <c r="T342" s="20" t="n">
        <v>-0.334</v>
      </c>
      <c r="U342" s="20" t="n">
        <v>-0.111</v>
      </c>
      <c r="V342" s="20" t="n">
        <v>0</v>
      </c>
    </row>
    <row r="343">
      <c r="A343" s="9" t="inlineStr">
        <is>
          <t>재무활동 현금흐름</t>
        </is>
      </c>
      <c r="C343" s="12" t="n">
        <v>17462.785</v>
      </c>
      <c r="E343" s="12" t="n">
        <v>263.541</v>
      </c>
      <c r="G343" s="12" t="n">
        <v>20346.815</v>
      </c>
      <c r="I343" s="12" t="n">
        <v>3525.507</v>
      </c>
      <c r="K343" s="12" t="n">
        <v>4570.355</v>
      </c>
      <c r="M343" s="12" t="n">
        <v>7734.871</v>
      </c>
      <c r="P343" s="12" t="n">
        <v>4608.618</v>
      </c>
      <c r="Q343" s="12" t="n">
        <v>1305.783</v>
      </c>
      <c r="R343" s="12" t="n">
        <v>8637.865</v>
      </c>
      <c r="S343" s="12" t="n">
        <v>5256.681</v>
      </c>
      <c r="T343" s="12" t="n">
        <v>34797.825</v>
      </c>
      <c r="U343" s="12" t="n">
        <v>9074.373</v>
      </c>
      <c r="V343" s="12" t="n">
        <v>17462.785</v>
      </c>
      <c r="W343" s="12" t="n">
        <v>20346.815</v>
      </c>
      <c r="X343" s="12" t="n">
        <v>4570.355</v>
      </c>
    </row>
    <row r="344">
      <c r="A344" s="18" t="inlineStr">
        <is>
          <t>현금성자산 환산차이</t>
        </is>
      </c>
      <c r="C344" s="20" t="n">
        <v>36.956</v>
      </c>
      <c r="E344" s="20" t="n">
        <v>311.695</v>
      </c>
      <c r="G344" s="20" t="n">
        <v>313.461</v>
      </c>
      <c r="I344" s="20" t="n">
        <v>-8.289</v>
      </c>
      <c r="K344" s="20" t="n">
        <v>-5.296</v>
      </c>
      <c r="M344" s="20" t="n">
        <v>15.713</v>
      </c>
      <c r="P344" s="20" t="n">
        <v>0</v>
      </c>
      <c r="Q344" s="20" t="n">
        <v>1.768</v>
      </c>
      <c r="R344" s="20" t="n">
        <v>-7.457</v>
      </c>
      <c r="S344" s="20" t="n">
        <v>-3.332</v>
      </c>
      <c r="T344" s="20" t="n">
        <v>29.97</v>
      </c>
      <c r="U344" s="20" t="n">
        <v>118.64</v>
      </c>
      <c r="V344" s="20" t="n">
        <v>36.956</v>
      </c>
      <c r="W344" s="20" t="n">
        <v>313.461</v>
      </c>
      <c r="X344" s="20" t="n">
        <v>-5.296</v>
      </c>
    </row>
    <row r="345">
      <c r="A345" s="18" t="inlineStr">
        <is>
          <t>연결자회사 결산기 변경에 따른 현금성자산 증감액</t>
        </is>
      </c>
      <c r="E345" s="20" t="n">
        <v>0</v>
      </c>
    </row>
    <row r="346">
      <c r="A346" s="18" t="inlineStr">
        <is>
          <t>연결자회사 결산기 변경에 따른 현금성자산 증감액</t>
        </is>
      </c>
      <c r="C346" s="20" t="n">
        <v>-2.123</v>
      </c>
      <c r="G346" s="20" t="n">
        <v>0</v>
      </c>
      <c r="U346" s="20" t="n">
        <v>0</v>
      </c>
      <c r="V346" s="20" t="n">
        <v>-2.123</v>
      </c>
      <c r="W346" s="20" t="n">
        <v>0</v>
      </c>
    </row>
    <row r="347">
      <c r="A347" s="18" t="inlineStr">
        <is>
          <t>현금성자산 증감</t>
        </is>
      </c>
      <c r="C347" s="20" t="n">
        <v>12509.179</v>
      </c>
      <c r="E347" s="20" t="n">
        <v>-10812.144</v>
      </c>
      <c r="G347" s="20" t="n">
        <v>6393.753</v>
      </c>
      <c r="I347" s="20" t="n">
        <v>-6658.924</v>
      </c>
      <c r="K347" s="20" t="n">
        <v>-4277.438</v>
      </c>
      <c r="M347" s="20" t="n">
        <v>3607.448</v>
      </c>
      <c r="P347" s="20" t="n">
        <v>3044.313</v>
      </c>
      <c r="Q347" s="20" t="n">
        <v>-775.824</v>
      </c>
      <c r="R347" s="20" t="n">
        <v>2241.006</v>
      </c>
      <c r="S347" s="20" t="n">
        <v>1527.313</v>
      </c>
      <c r="T347" s="20" t="n">
        <v>27300.671</v>
      </c>
      <c r="U347" s="20" t="n">
        <v>-9711.507</v>
      </c>
      <c r="V347" s="20" t="n">
        <v>12509.179</v>
      </c>
      <c r="W347" s="20" t="n">
        <v>6393.753</v>
      </c>
      <c r="X347" s="20" t="n">
        <v>-4277.438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머니포워드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61879.628</v>
      </c>
      <c r="D5" s="12" t="n">
        <v>73269.943</v>
      </c>
      <c r="E5" s="12" t="n">
        <v>101525.094</v>
      </c>
      <c r="F5" s="12" t="n">
        <v>77332.303</v>
      </c>
      <c r="G5" s="12" t="n">
        <v>71642.132</v>
      </c>
      <c r="H5" s="11" t="n">
        <v>44025.758</v>
      </c>
      <c r="I5" s="12" t="n">
        <v>38815.03</v>
      </c>
      <c r="J5" s="12" t="n">
        <v>54997.22</v>
      </c>
      <c r="K5" s="12" t="n">
        <v>66330.95</v>
      </c>
      <c r="L5" s="12" t="n">
        <v>73269.943</v>
      </c>
    </row>
    <row r="6">
      <c r="A6" s="18" t="inlineStr">
        <is>
          <t>현금및현금성자산</t>
        </is>
      </c>
      <c r="B6" s="10" t="n"/>
      <c r="C6" s="19" t="n">
        <v>36031.465</v>
      </c>
      <c r="D6" s="20" t="n">
        <v>40972.997</v>
      </c>
      <c r="E6" s="20" t="n">
        <v>69323.605</v>
      </c>
      <c r="F6" s="20" t="n">
        <v>45386.941</v>
      </c>
      <c r="G6" s="20" t="n">
        <v>39147.664</v>
      </c>
      <c r="H6" s="19" t="n">
        <v>36220.522</v>
      </c>
      <c r="I6" s="20" t="n">
        <v>26712.865</v>
      </c>
      <c r="J6" s="20" t="n">
        <v>38855.733</v>
      </c>
      <c r="K6" s="20" t="n">
        <v>45251.551</v>
      </c>
      <c r="L6" s="20" t="n">
        <v>40972.997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6948.78</v>
      </c>
      <c r="D8" s="20" t="n">
        <v>7092.357</v>
      </c>
      <c r="E8" s="20" t="n">
        <v>7702.243</v>
      </c>
      <c r="F8" s="20" t="n">
        <v>8632.403</v>
      </c>
      <c r="G8" s="20" t="n">
        <v>8025.178</v>
      </c>
      <c r="H8" s="19" t="n">
        <v>0</v>
      </c>
      <c r="I8" s="20" t="n">
        <v>2327.171</v>
      </c>
      <c r="J8" s="20" t="n">
        <v>4139.325</v>
      </c>
      <c r="K8" s="20" t="n">
        <v>5326.827</v>
      </c>
      <c r="L8" s="20" t="n">
        <v>7092.357</v>
      </c>
    </row>
    <row r="9">
      <c r="A9" s="18" t="inlineStr">
        <is>
          <t>재고자산</t>
        </is>
      </c>
      <c r="B9" s="10" t="n"/>
      <c r="C9" s="19" t="n">
        <v>33.587</v>
      </c>
      <c r="D9" s="20" t="n">
        <v>87.884</v>
      </c>
      <c r="E9" s="20" t="n">
        <v>44.62</v>
      </c>
      <c r="F9" s="20" t="n">
        <v>244.385</v>
      </c>
      <c r="G9" s="20" t="n">
        <v>251.733</v>
      </c>
      <c r="H9" s="19" t="n">
        <v>21.762</v>
      </c>
      <c r="I9" s="20" t="n">
        <v>20.426</v>
      </c>
      <c r="J9" s="20" t="n">
        <v>12.008</v>
      </c>
      <c r="K9" s="20" t="n">
        <v>20.643</v>
      </c>
      <c r="L9" s="20" t="n">
        <v>87.884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50646.149</v>
      </c>
      <c r="D11" s="12" t="n">
        <v>54297.345</v>
      </c>
      <c r="E11" s="12" t="n">
        <v>58737.72</v>
      </c>
      <c r="F11" s="12" t="n">
        <v>66294.556</v>
      </c>
      <c r="G11" s="12" t="n">
        <v>67711.753</v>
      </c>
      <c r="H11" s="11" t="n">
        <v>12916.799</v>
      </c>
      <c r="I11" s="12" t="n">
        <v>27171.675</v>
      </c>
      <c r="J11" s="12" t="n">
        <v>33285.19</v>
      </c>
      <c r="K11" s="12" t="n">
        <v>39860.954</v>
      </c>
      <c r="L11" s="12" t="n">
        <v>54297.345</v>
      </c>
    </row>
    <row r="12">
      <c r="A12" s="18" t="inlineStr">
        <is>
          <t>유형자산</t>
        </is>
      </c>
      <c r="B12" s="10" t="n"/>
      <c r="C12" s="19" t="n">
        <v>1321.809</v>
      </c>
      <c r="D12" s="20" t="n">
        <v>1596.481</v>
      </c>
      <c r="E12" s="20" t="n">
        <v>5392.347</v>
      </c>
      <c r="F12" s="20" t="n">
        <v>5188.582</v>
      </c>
      <c r="G12" s="20" t="n">
        <v>5322.217</v>
      </c>
      <c r="H12" s="19" t="n">
        <v>537.33</v>
      </c>
      <c r="I12" s="20" t="n">
        <v>731.066</v>
      </c>
      <c r="J12" s="20" t="n">
        <v>1163.345</v>
      </c>
      <c r="K12" s="20" t="n">
        <v>1065.341</v>
      </c>
      <c r="L12" s="20" t="n">
        <v>1596.481</v>
      </c>
    </row>
    <row r="13">
      <c r="A13" s="18" t="inlineStr">
        <is>
          <t>무형자산</t>
        </is>
      </c>
      <c r="B13" s="10" t="n"/>
      <c r="C13" s="19" t="n">
        <v>24903.281</v>
      </c>
      <c r="D13" s="20" t="n">
        <v>26834.974</v>
      </c>
      <c r="E13" s="20" t="n">
        <v>27528.151</v>
      </c>
      <c r="F13" s="20" t="n">
        <v>34912.293</v>
      </c>
      <c r="G13" s="20" t="n">
        <v>35792.435</v>
      </c>
      <c r="H13" s="19" t="n">
        <v>6105.189</v>
      </c>
      <c r="I13" s="20" t="n">
        <v>10976.847</v>
      </c>
      <c r="J13" s="20" t="n">
        <v>13465.061</v>
      </c>
      <c r="K13" s="20" t="n">
        <v>17046.713</v>
      </c>
      <c r="L13" s="20" t="n">
        <v>26834.974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112525.777</v>
      </c>
      <c r="D16" s="12" t="n">
        <v>127567.288</v>
      </c>
      <c r="E16" s="12" t="n">
        <v>160262.814</v>
      </c>
      <c r="F16" s="12" t="n">
        <v>143626.86</v>
      </c>
      <c r="G16" s="12" t="n">
        <v>139353.886</v>
      </c>
      <c r="H16" s="11" t="n">
        <v>56942.558</v>
      </c>
      <c r="I16" s="12" t="n">
        <v>65986.70600000001</v>
      </c>
      <c r="J16" s="12" t="n">
        <v>88282.41</v>
      </c>
      <c r="K16" s="12" t="n">
        <v>106191.905</v>
      </c>
      <c r="L16" s="12" t="n">
        <v>127567.288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37312.71</v>
      </c>
      <c r="D18" s="12" t="n">
        <v>46467.56</v>
      </c>
      <c r="E18" s="12" t="n">
        <v>72341.35799999999</v>
      </c>
      <c r="F18" s="12" t="n">
        <v>50197.591</v>
      </c>
      <c r="G18" s="12" t="n">
        <v>46726.675</v>
      </c>
      <c r="H18" s="11" t="n">
        <v>12276.371</v>
      </c>
      <c r="I18" s="12" t="n">
        <v>23964.769</v>
      </c>
      <c r="J18" s="12" t="n">
        <v>30780.576</v>
      </c>
      <c r="K18" s="12" t="n">
        <v>39531.157</v>
      </c>
      <c r="L18" s="12" t="n">
        <v>46467.56</v>
      </c>
    </row>
    <row r="19">
      <c r="A19" s="18" t="inlineStr">
        <is>
          <t>매입채무</t>
        </is>
      </c>
      <c r="B19" s="10" t="n"/>
      <c r="C19" s="19" t="n">
        <v>261.883</v>
      </c>
      <c r="D19" s="20" t="n">
        <v>235.117</v>
      </c>
      <c r="E19" s="20" t="n">
        <v>241.907</v>
      </c>
      <c r="F19" s="20" t="n">
        <v>293.457</v>
      </c>
      <c r="G19" s="20" t="n">
        <v>365.267</v>
      </c>
      <c r="H19" s="19" t="n">
        <v>211.852</v>
      </c>
      <c r="I19" s="20" t="n">
        <v>340.994</v>
      </c>
      <c r="J19" s="20" t="n">
        <v>370.317</v>
      </c>
      <c r="K19" s="20" t="n">
        <v>292.839</v>
      </c>
      <c r="L19" s="20" t="n">
        <v>235.117</v>
      </c>
    </row>
    <row r="20">
      <c r="A20" s="18" t="inlineStr">
        <is>
          <t>단기차입금</t>
        </is>
      </c>
      <c r="B20" s="10" t="n"/>
      <c r="C20" s="19" t="n">
        <v>5502.846</v>
      </c>
      <c r="D20" s="20" t="n">
        <v>5254</v>
      </c>
      <c r="E20" s="20" t="n">
        <v>5116.057</v>
      </c>
      <c r="F20" s="20" t="n">
        <v>6003</v>
      </c>
      <c r="G20" s="20" t="n">
        <v>6063</v>
      </c>
      <c r="H20" s="19" t="n">
        <v>4700</v>
      </c>
      <c r="I20" s="20" t="n">
        <v>8240</v>
      </c>
      <c r="J20" s="20" t="n">
        <v>4937</v>
      </c>
      <c r="K20" s="20" t="n">
        <v>10062</v>
      </c>
      <c r="L20" s="20" t="n">
        <v>5254</v>
      </c>
    </row>
    <row r="21">
      <c r="A21" s="18" t="inlineStr">
        <is>
          <t>유동성장기부채</t>
        </is>
      </c>
      <c r="B21" s="10" t="n"/>
      <c r="C21" s="19" t="n">
        <v>6398.979</v>
      </c>
      <c r="D21" s="20" t="n">
        <v>5600.173</v>
      </c>
      <c r="E21" s="20" t="n">
        <v>6273.623</v>
      </c>
      <c r="F21" s="20" t="n">
        <v>6802.273</v>
      </c>
      <c r="G21" s="20" t="n">
        <v>6578.568</v>
      </c>
      <c r="H21" s="19" t="n">
        <v>1713.041</v>
      </c>
      <c r="I21" s="20" t="n">
        <v>2295</v>
      </c>
      <c r="J21" s="20" t="n">
        <v>3488.75</v>
      </c>
      <c r="K21" s="20" t="n">
        <v>4485.919</v>
      </c>
      <c r="L21" s="20" t="n">
        <v>5600.173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24115.863</v>
      </c>
      <c r="D23" s="12" t="n">
        <v>25234.372</v>
      </c>
      <c r="E23" s="12" t="n">
        <v>30164.342</v>
      </c>
      <c r="F23" s="12" t="n">
        <v>35847.726</v>
      </c>
      <c r="G23" s="12" t="n">
        <v>34156.846</v>
      </c>
      <c r="H23" s="11" t="n">
        <v>2333.205</v>
      </c>
      <c r="I23" s="12" t="n">
        <v>6939.113</v>
      </c>
      <c r="J23" s="12" t="n">
        <v>22841.37</v>
      </c>
      <c r="K23" s="12" t="n">
        <v>21984.99</v>
      </c>
      <c r="L23" s="12" t="n">
        <v>25234.372</v>
      </c>
    </row>
    <row r="24">
      <c r="A24" s="18" t="inlineStr">
        <is>
          <t>장기차입금</t>
        </is>
      </c>
      <c r="B24" s="10" t="n"/>
      <c r="C24" s="19" t="n">
        <v>10362.307</v>
      </c>
      <c r="D24" s="20" t="n">
        <v>10994.842</v>
      </c>
      <c r="E24" s="20" t="n">
        <v>13103.35</v>
      </c>
      <c r="F24" s="20" t="n">
        <v>17881.258</v>
      </c>
      <c r="G24" s="20" t="n">
        <v>16386.616</v>
      </c>
      <c r="H24" s="19" t="n">
        <v>2141.1</v>
      </c>
      <c r="I24" s="20" t="n">
        <v>6367.157</v>
      </c>
      <c r="J24" s="20" t="n">
        <v>8947.869000000001</v>
      </c>
      <c r="K24" s="20" t="n">
        <v>7896.95</v>
      </c>
      <c r="L24" s="20" t="n">
        <v>10994.842</v>
      </c>
    </row>
    <row r="25">
      <c r="A25" s="18" t="inlineStr">
        <is>
          <t>사채</t>
        </is>
      </c>
      <c r="B25" s="10" t="n"/>
      <c r="C25" s="19" t="n">
        <v>0</v>
      </c>
      <c r="D25" s="20" t="n">
        <v>0</v>
      </c>
      <c r="E25" s="20" t="n"/>
      <c r="F25" s="20" t="n"/>
      <c r="G25" s="20" t="n"/>
      <c r="H25" s="19" t="n"/>
      <c r="I25" s="20" t="n">
        <v>0</v>
      </c>
      <c r="J25" s="20" t="n">
        <v>1000</v>
      </c>
      <c r="K25" s="20" t="n">
        <v>1000</v>
      </c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61428.574</v>
      </c>
      <c r="D27" s="12" t="n">
        <v>71701.932</v>
      </c>
      <c r="E27" s="12" t="n">
        <v>102505.701</v>
      </c>
      <c r="F27" s="12" t="n">
        <v>86045.317</v>
      </c>
      <c r="G27" s="12" t="n">
        <v>80883.52099999999</v>
      </c>
      <c r="H27" s="11" t="n">
        <v>14609.576</v>
      </c>
      <c r="I27" s="12" t="n">
        <v>30903.882</v>
      </c>
      <c r="J27" s="12" t="n">
        <v>53621.947</v>
      </c>
      <c r="K27" s="12" t="n">
        <v>61516.148</v>
      </c>
      <c r="L27" s="12" t="n">
        <v>71701.932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35306.098</v>
      </c>
      <c r="D31" s="12" t="n">
        <v>40861.375</v>
      </c>
      <c r="E31" s="12" t="n">
        <v>41771.912</v>
      </c>
      <c r="F31" s="12" t="n">
        <v>41234.049</v>
      </c>
      <c r="G31" s="12" t="n">
        <v>41371.945</v>
      </c>
      <c r="H31" s="11" t="n">
        <v>40491.661</v>
      </c>
      <c r="I31" s="12" t="n">
        <v>32600.967</v>
      </c>
      <c r="J31" s="12" t="n">
        <v>27822.743</v>
      </c>
      <c r="K31" s="12" t="n">
        <v>35382.283</v>
      </c>
      <c r="L31" s="12" t="n">
        <v>40861.375</v>
      </c>
    </row>
    <row r="32">
      <c r="A32" s="18" t="inlineStr">
        <is>
          <t>자본금</t>
        </is>
      </c>
      <c r="B32" s="10" t="n"/>
      <c r="C32" s="19" t="n">
        <v>27836.52</v>
      </c>
      <c r="D32" s="20" t="n">
        <v>27836.52</v>
      </c>
      <c r="E32" s="20" t="n">
        <v>27839.445</v>
      </c>
      <c r="F32" s="20" t="n">
        <v>28054.258</v>
      </c>
      <c r="G32" s="20" t="n">
        <v>28055.913</v>
      </c>
      <c r="H32" s="19" t="n">
        <v>25775.494</v>
      </c>
      <c r="I32" s="20" t="n">
        <v>26316.141</v>
      </c>
      <c r="J32" s="20" t="n">
        <v>26716.695</v>
      </c>
      <c r="K32" s="20" t="n">
        <v>27290.265</v>
      </c>
      <c r="L32" s="20" t="n">
        <v>27836.52</v>
      </c>
    </row>
    <row r="33">
      <c r="A33" s="18" t="inlineStr">
        <is>
          <t>이익잉여금</t>
        </is>
      </c>
      <c r="B33" s="10" t="n"/>
      <c r="C33" s="19" t="n">
        <v>-12377.68</v>
      </c>
      <c r="D33" s="20" t="n">
        <v>-7690.558</v>
      </c>
      <c r="E33" s="20" t="n">
        <v>-5939.22</v>
      </c>
      <c r="F33" s="20" t="n">
        <v>-7214.368</v>
      </c>
      <c r="G33" s="20" t="n">
        <v>-7269.961</v>
      </c>
      <c r="H33" s="19" t="n">
        <v>-2755.553</v>
      </c>
      <c r="I33" s="20" t="n">
        <v>-10693.566</v>
      </c>
      <c r="J33" s="20" t="n">
        <v>-8378.441999999999</v>
      </c>
      <c r="K33" s="20" t="n">
        <v>-8993.878000000001</v>
      </c>
      <c r="L33" s="20" t="n">
        <v>-7690.558</v>
      </c>
    </row>
    <row r="34">
      <c r="A34" s="18" t="inlineStr">
        <is>
          <t>비지배지분</t>
        </is>
      </c>
      <c r="B34" s="10" t="n"/>
      <c r="C34" s="19" t="n">
        <v>13121.37</v>
      </c>
      <c r="D34" s="20" t="n">
        <v>12020.99</v>
      </c>
      <c r="E34" s="20" t="n">
        <v>12819.177</v>
      </c>
      <c r="F34" s="20" t="n">
        <v>13014.898</v>
      </c>
      <c r="G34" s="20" t="n">
        <v>13604.104</v>
      </c>
      <c r="H34" s="19" t="n">
        <v>1802.791</v>
      </c>
      <c r="I34" s="20" t="n">
        <v>2448.996</v>
      </c>
      <c r="J34" s="20" t="n">
        <v>6333.228</v>
      </c>
      <c r="K34" s="20" t="n">
        <v>7239.342</v>
      </c>
      <c r="L34" s="20" t="n">
        <v>12020.99</v>
      </c>
    </row>
    <row r="35">
      <c r="A35" s="9" t="inlineStr">
        <is>
          <t>자본총계</t>
        </is>
      </c>
      <c r="B35" s="10" t="n"/>
      <c r="C35" s="11" t="n">
        <v>51097.203</v>
      </c>
      <c r="D35" s="12" t="n">
        <v>55865.356</v>
      </c>
      <c r="E35" s="12" t="n">
        <v>57757.113</v>
      </c>
      <c r="F35" s="12" t="n">
        <v>57581.543</v>
      </c>
      <c r="G35" s="12" t="n">
        <v>58470.364</v>
      </c>
      <c r="H35" s="11" t="n">
        <v>42332.981</v>
      </c>
      <c r="I35" s="12" t="n">
        <v>35082.823</v>
      </c>
      <c r="J35" s="12" t="n">
        <v>34660.463</v>
      </c>
      <c r="K35" s="12" t="n">
        <v>44675.756</v>
      </c>
      <c r="L35" s="12" t="n">
        <v>55865.356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1496.692</v>
      </c>
      <c r="E37" s="12" t="n"/>
      <c r="F37" s="12" t="n">
        <v>8397.109</v>
      </c>
      <c r="G37" s="12" t="n"/>
      <c r="H37" s="11" t="n">
        <v>-2327.653</v>
      </c>
      <c r="I37" s="12" t="n">
        <v>-4124.082</v>
      </c>
      <c r="J37" s="12" t="n">
        <v>2460.324</v>
      </c>
      <c r="K37" s="12" t="n">
        <v>-4761.435</v>
      </c>
      <c r="L37" s="12" t="n">
        <v>1496.692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9097.785</v>
      </c>
      <c r="E38" s="20" t="n"/>
      <c r="F38" s="20" t="n">
        <v>9783.424999999999</v>
      </c>
      <c r="G38" s="20" t="n"/>
      <c r="H38" s="19" t="n">
        <v>2333.986</v>
      </c>
      <c r="I38" s="20" t="n">
        <v>4268.334</v>
      </c>
      <c r="J38" s="20" t="n">
        <v>5381.027</v>
      </c>
      <c r="K38" s="20" t="n">
        <v>6369.6</v>
      </c>
      <c r="L38" s="20" t="n">
        <v>9097.785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36031.465</v>
      </c>
      <c r="D71" s="20" t="n">
        <v>40972.997</v>
      </c>
      <c r="E71" s="20" t="n">
        <v>69323.605</v>
      </c>
      <c r="F71" s="20" t="n">
        <v>45386.941</v>
      </c>
      <c r="G71" s="20" t="n">
        <v>39147.664</v>
      </c>
      <c r="H71" s="20" t="n">
        <v>36220.522</v>
      </c>
      <c r="I71" s="20" t="n">
        <v>26712.865</v>
      </c>
      <c r="J71" s="20" t="n">
        <v>38855.733</v>
      </c>
      <c r="K71" s="20" t="n">
        <v>45251.551</v>
      </c>
      <c r="L71" s="20" t="n">
        <v>40972.997</v>
      </c>
    </row>
    <row r="72">
      <c r="A72" s="18" t="inlineStr">
        <is>
          <t>받을어음·매출채권</t>
        </is>
      </c>
      <c r="H72" s="20" t="n">
        <v>1516.402</v>
      </c>
      <c r="I72" s="20" t="n">
        <v>0</v>
      </c>
    </row>
    <row r="73">
      <c r="A73" s="18" t="inlineStr">
        <is>
          <t>받을어음·매출채권·계약자산</t>
        </is>
      </c>
      <c r="C73" s="20" t="n">
        <v>6948.78</v>
      </c>
      <c r="D73" s="20" t="n">
        <v>7092.357</v>
      </c>
      <c r="E73" s="20" t="n">
        <v>7702.243</v>
      </c>
      <c r="F73" s="20" t="n">
        <v>8632.403</v>
      </c>
      <c r="G73" s="20" t="n">
        <v>8025.178</v>
      </c>
      <c r="H73" s="20" t="n">
        <v>0</v>
      </c>
      <c r="I73" s="20" t="n">
        <v>2327.171</v>
      </c>
      <c r="J73" s="20" t="n">
        <v>4139.325</v>
      </c>
      <c r="K73" s="20" t="n">
        <v>5326.827</v>
      </c>
      <c r="L73" s="20" t="n">
        <v>7092.357</v>
      </c>
    </row>
    <row r="74">
      <c r="A74" s="18" t="inlineStr">
        <is>
          <t>영업투자유가증권</t>
        </is>
      </c>
      <c r="C74" s="20" t="n">
        <v>7009.796</v>
      </c>
      <c r="D74" s="20" t="n">
        <v>7822.66</v>
      </c>
      <c r="E74" s="20" t="n">
        <v>8116.262</v>
      </c>
      <c r="F74" s="20" t="n">
        <v>8531.744000000001</v>
      </c>
      <c r="G74" s="20" t="n">
        <v>8683.498</v>
      </c>
      <c r="H74" s="20" t="n">
        <v>1074.286</v>
      </c>
      <c r="I74" s="20" t="n">
        <v>1769.083</v>
      </c>
      <c r="J74" s="20" t="n">
        <v>3667.981</v>
      </c>
      <c r="K74" s="20" t="n">
        <v>5211.492</v>
      </c>
      <c r="L74" s="20" t="n">
        <v>7822.66</v>
      </c>
    </row>
    <row r="75">
      <c r="A75" s="18" t="inlineStr">
        <is>
          <t>재고자산</t>
        </is>
      </c>
      <c r="C75" s="20" t="n">
        <v>33.587</v>
      </c>
      <c r="D75" s="20" t="n">
        <v>87.884</v>
      </c>
      <c r="E75" s="20" t="n">
        <v>44.62</v>
      </c>
      <c r="F75" s="20" t="n">
        <v>244.385</v>
      </c>
      <c r="G75" s="20" t="n">
        <v>251.733</v>
      </c>
      <c r="H75" s="20" t="n">
        <v>21.762</v>
      </c>
      <c r="I75" s="20" t="n">
        <v>20.426</v>
      </c>
      <c r="J75" s="20" t="n">
        <v>12.008</v>
      </c>
      <c r="K75" s="20" t="n">
        <v>20.643</v>
      </c>
      <c r="L75" s="20" t="n">
        <v>87.884</v>
      </c>
    </row>
    <row r="76">
      <c r="A76" s="18" t="inlineStr">
        <is>
          <t>예치금</t>
        </is>
      </c>
      <c r="D76" s="20" t="n">
        <v>4880.487</v>
      </c>
      <c r="K76" s="20" t="n">
        <v>149.649</v>
      </c>
      <c r="L76" s="20" t="n">
        <v>4880.487</v>
      </c>
    </row>
    <row r="77">
      <c r="A77" s="18" t="inlineStr">
        <is>
          <t>매입채권(채권 매입업)</t>
        </is>
      </c>
      <c r="C77" s="20" t="n">
        <v>3003.198</v>
      </c>
      <c r="D77" s="20" t="n">
        <v>3627.285</v>
      </c>
      <c r="E77" s="20" t="n">
        <v>2279.576</v>
      </c>
      <c r="F77" s="20" t="n">
        <v>2700.723</v>
      </c>
      <c r="G77" s="20" t="n">
        <v>2330.205</v>
      </c>
      <c r="H77" s="20" t="n">
        <v>4222.155</v>
      </c>
      <c r="I77" s="20" t="n">
        <v>5454.012</v>
      </c>
      <c r="J77" s="20" t="n">
        <v>5827.883</v>
      </c>
      <c r="K77" s="20" t="n">
        <v>4804.787</v>
      </c>
      <c r="L77" s="20" t="n">
        <v>3627.285</v>
      </c>
    </row>
    <row r="78">
      <c r="A78" s="18" t="inlineStr">
        <is>
          <t>미수금</t>
        </is>
      </c>
      <c r="D78" s="20" t="n">
        <v>6106.453</v>
      </c>
      <c r="F78" s="20" t="n">
        <v>8274.128000000001</v>
      </c>
      <c r="G78" s="20" t="n">
        <v>8192.109</v>
      </c>
      <c r="L78" s="20" t="n">
        <v>6106.453</v>
      </c>
    </row>
    <row r="79">
      <c r="A79" s="18" t="inlineStr">
        <is>
          <t>리스투자자산</t>
        </is>
      </c>
      <c r="D79" s="20" t="n">
        <v>0</v>
      </c>
      <c r="E79" s="20" t="n">
        <v>537.963</v>
      </c>
      <c r="F79" s="20" t="n">
        <v>574.149</v>
      </c>
      <c r="G79" s="20" t="n">
        <v>592.313</v>
      </c>
      <c r="L79" s="20" t="n">
        <v>0</v>
      </c>
    </row>
    <row r="80">
      <c r="A80" s="18" t="inlineStr">
        <is>
          <t>기타</t>
        </is>
      </c>
      <c r="C80" s="20" t="n">
        <v>8994.121999999999</v>
      </c>
      <c r="D80" s="20" t="n">
        <v>7688.333</v>
      </c>
      <c r="E80" s="20" t="n">
        <v>13656.642</v>
      </c>
      <c r="F80" s="20" t="n">
        <v>3147.107</v>
      </c>
      <c r="G80" s="20" t="n">
        <v>4577.392</v>
      </c>
      <c r="H80" s="20" t="n">
        <v>1073.146</v>
      </c>
      <c r="I80" s="20" t="n">
        <v>2626.285</v>
      </c>
      <c r="J80" s="20" t="n">
        <v>2650.063</v>
      </c>
      <c r="K80" s="20" t="n">
        <v>5673.22</v>
      </c>
      <c r="L80" s="20" t="n">
        <v>7688.333</v>
      </c>
    </row>
    <row r="81">
      <c r="A81" s="18" t="inlineStr">
        <is>
          <t>대손충당금</t>
        </is>
      </c>
      <c r="C81" s="20" t="n">
        <v>-141.323</v>
      </c>
      <c r="D81" s="20" t="n">
        <v>-128.028</v>
      </c>
      <c r="E81" s="20" t="n">
        <v>-135.82</v>
      </c>
      <c r="F81" s="20" t="n">
        <v>-159.279</v>
      </c>
      <c r="G81" s="20" t="n">
        <v>-157.964</v>
      </c>
      <c r="H81" s="20" t="n">
        <v>-102.517</v>
      </c>
      <c r="I81" s="20" t="n">
        <v>-94.815</v>
      </c>
      <c r="J81" s="20" t="n">
        <v>-155.775</v>
      </c>
      <c r="K81" s="20" t="n">
        <v>-107.221</v>
      </c>
      <c r="L81" s="20" t="n">
        <v>-128.028</v>
      </c>
    </row>
    <row r="82">
      <c r="A82" s="9" t="inlineStr">
        <is>
          <t>유동자산 합계</t>
        </is>
      </c>
      <c r="C82" s="12" t="n">
        <v>61879.628</v>
      </c>
      <c r="D82" s="12" t="n">
        <v>73269.943</v>
      </c>
      <c r="E82" s="12" t="n">
        <v>101525.094</v>
      </c>
      <c r="F82" s="12" t="n">
        <v>77332.303</v>
      </c>
      <c r="G82" s="12" t="n">
        <v>71642.132</v>
      </c>
      <c r="H82" s="12" t="n">
        <v>44025.758</v>
      </c>
      <c r="I82" s="12" t="n">
        <v>38815.03</v>
      </c>
      <c r="J82" s="12" t="n">
        <v>54997.22</v>
      </c>
      <c r="K82" s="12" t="n">
        <v>66330.95</v>
      </c>
      <c r="L82" s="12" t="n">
        <v>73269.943</v>
      </c>
    </row>
    <row r="83">
      <c r="A83" s="18" t="inlineStr">
        <is>
          <t>건물</t>
        </is>
      </c>
      <c r="D83" s="20" t="n">
        <v>1180.123</v>
      </c>
      <c r="H83" s="20" t="n">
        <v>460.326</v>
      </c>
      <c r="I83" s="20" t="n">
        <v>593.629</v>
      </c>
      <c r="J83" s="20" t="n">
        <v>991.232</v>
      </c>
      <c r="K83" s="20" t="n">
        <v>962.535</v>
      </c>
      <c r="L83" s="20" t="n">
        <v>1180.123</v>
      </c>
    </row>
    <row r="84">
      <c r="A84" s="18" t="inlineStr">
        <is>
          <t>감가상각누계액</t>
        </is>
      </c>
      <c r="D84" s="20" t="n">
        <v>-245.445</v>
      </c>
      <c r="H84" s="20" t="n">
        <v>-143.887</v>
      </c>
      <c r="I84" s="20" t="n">
        <v>-202.388</v>
      </c>
      <c r="J84" s="20" t="n">
        <v>-218.201</v>
      </c>
      <c r="K84" s="20" t="n">
        <v>-324.546</v>
      </c>
      <c r="L84" s="20" t="n">
        <v>-245.445</v>
      </c>
    </row>
    <row r="85">
      <c r="A85" s="18" t="inlineStr">
        <is>
          <t>건물(순액)</t>
        </is>
      </c>
      <c r="D85" s="20" t="n">
        <v>934.677</v>
      </c>
      <c r="E85" s="20" t="n">
        <v>898.699</v>
      </c>
      <c r="F85" s="20" t="n">
        <v>897.078</v>
      </c>
      <c r="G85" s="20" t="n">
        <v>870.311</v>
      </c>
      <c r="H85" s="20" t="n">
        <v>316.439</v>
      </c>
      <c r="I85" s="20" t="n">
        <v>391.24</v>
      </c>
      <c r="J85" s="20" t="n">
        <v>773.03</v>
      </c>
      <c r="K85" s="20" t="n">
        <v>637.9880000000001</v>
      </c>
      <c r="L85" s="20" t="n">
        <v>934.677</v>
      </c>
    </row>
    <row r="86">
      <c r="A86" s="18" t="inlineStr">
        <is>
          <t>공구·기구·비품</t>
        </is>
      </c>
      <c r="D86" s="20" t="n">
        <v>1129.286</v>
      </c>
      <c r="H86" s="20" t="n">
        <v>383.671</v>
      </c>
      <c r="I86" s="20" t="n">
        <v>590.452</v>
      </c>
      <c r="J86" s="20" t="n">
        <v>724.783</v>
      </c>
      <c r="K86" s="20" t="n">
        <v>842.433</v>
      </c>
      <c r="L86" s="20" t="n">
        <v>1129.286</v>
      </c>
    </row>
    <row r="87">
      <c r="A87" s="18" t="inlineStr">
        <is>
          <t>감가상각누계액</t>
        </is>
      </c>
      <c r="D87" s="20" t="n">
        <v>-526.074</v>
      </c>
      <c r="H87" s="20" t="n">
        <v>-165.893</v>
      </c>
      <c r="I87" s="20" t="n">
        <v>-259.377</v>
      </c>
      <c r="J87" s="20" t="n">
        <v>-334.468</v>
      </c>
      <c r="K87" s="20" t="n">
        <v>-425.4</v>
      </c>
      <c r="L87" s="20" t="n">
        <v>-526.074</v>
      </c>
    </row>
    <row r="88">
      <c r="A88" s="18" t="inlineStr">
        <is>
          <t>차량운반구(순액)</t>
        </is>
      </c>
      <c r="D88" s="20" t="n">
        <v>0</v>
      </c>
      <c r="G88" s="20" t="n">
        <v>19.23</v>
      </c>
      <c r="L88" s="20" t="n">
        <v>0</v>
      </c>
    </row>
    <row r="89">
      <c r="A89" s="18" t="inlineStr">
        <is>
          <t>공구·기구 및 비품(순액)</t>
        </is>
      </c>
      <c r="D89" s="20" t="n">
        <v>603.212</v>
      </c>
      <c r="E89" s="20" t="n">
        <v>618.816</v>
      </c>
      <c r="F89" s="20" t="n">
        <v>631.277</v>
      </c>
      <c r="G89" s="20" t="n">
        <v>589.193</v>
      </c>
      <c r="H89" s="20" t="n">
        <v>217.778</v>
      </c>
      <c r="I89" s="20" t="n">
        <v>331.075</v>
      </c>
      <c r="J89" s="20" t="n">
        <v>390.314</v>
      </c>
      <c r="K89" s="20" t="n">
        <v>417.033</v>
      </c>
      <c r="L89" s="20" t="n">
        <v>603.212</v>
      </c>
    </row>
    <row r="90">
      <c r="A90" s="18" t="inlineStr">
        <is>
          <t>사용권자산(순액)</t>
        </is>
      </c>
      <c r="D90" s="20" t="n">
        <v>0</v>
      </c>
      <c r="E90" s="20" t="n">
        <v>3812.802</v>
      </c>
      <c r="F90" s="20" t="n">
        <v>3609.845</v>
      </c>
      <c r="G90" s="20" t="n">
        <v>3778.895</v>
      </c>
      <c r="L90" s="20" t="n">
        <v>0</v>
      </c>
    </row>
    <row r="91">
      <c r="A91" s="18" t="inlineStr">
        <is>
          <t>건설중인자산</t>
        </is>
      </c>
      <c r="D91" s="20" t="n">
        <v>58.591</v>
      </c>
      <c r="E91" s="20" t="n">
        <v>62.03</v>
      </c>
      <c r="F91" s="20" t="n">
        <v>50.38</v>
      </c>
      <c r="G91" s="20" t="n">
        <v>64.587</v>
      </c>
      <c r="H91" s="20" t="n">
        <v>3.112</v>
      </c>
      <c r="I91" s="20" t="n">
        <v>8.75</v>
      </c>
      <c r="J91" s="20" t="n">
        <v>0</v>
      </c>
      <c r="K91" s="20" t="n">
        <v>10.319</v>
      </c>
      <c r="L91" s="20" t="n">
        <v>58.591</v>
      </c>
    </row>
    <row r="92">
      <c r="A92" s="18" t="inlineStr">
        <is>
          <t>기타</t>
        </is>
      </c>
      <c r="H92" s="20" t="n">
        <v>0</v>
      </c>
      <c r="I92" s="20" t="n">
        <v>0</v>
      </c>
    </row>
    <row r="93">
      <c r="A93" s="18" t="inlineStr">
        <is>
          <t>유형자산 합계</t>
        </is>
      </c>
      <c r="C93" s="20" t="n">
        <v>1321.809</v>
      </c>
      <c r="D93" s="20" t="n">
        <v>1596.481</v>
      </c>
      <c r="E93" s="20" t="n">
        <v>5392.347</v>
      </c>
      <c r="F93" s="20" t="n">
        <v>5188.582</v>
      </c>
      <c r="G93" s="20" t="n">
        <v>5322.217</v>
      </c>
      <c r="H93" s="20" t="n">
        <v>537.33</v>
      </c>
      <c r="I93" s="20" t="n">
        <v>731.066</v>
      </c>
      <c r="J93" s="20" t="n">
        <v>1163.345</v>
      </c>
      <c r="K93" s="20" t="n">
        <v>1065.341</v>
      </c>
      <c r="L93" s="20" t="n">
        <v>1596.481</v>
      </c>
    </row>
    <row r="94">
      <c r="A94" s="18" t="inlineStr">
        <is>
          <t>영업권</t>
        </is>
      </c>
      <c r="C94" s="20" t="n">
        <v>5302.335</v>
      </c>
      <c r="D94" s="20" t="n">
        <v>6731.965</v>
      </c>
      <c r="E94" s="20" t="n">
        <v>6527.561</v>
      </c>
      <c r="F94" s="20" t="n">
        <v>12620.367</v>
      </c>
      <c r="G94" s="20" t="n">
        <v>12250.224</v>
      </c>
      <c r="H94" s="20" t="n">
        <v>3068.762</v>
      </c>
      <c r="I94" s="20" t="n">
        <v>4504.481</v>
      </c>
      <c r="J94" s="20" t="n">
        <v>3843.595</v>
      </c>
      <c r="K94" s="20" t="n">
        <v>3381.553</v>
      </c>
      <c r="L94" s="20" t="n">
        <v>6731.965</v>
      </c>
    </row>
    <row r="95">
      <c r="A95" s="18" t="inlineStr">
        <is>
          <t>고객관계자산</t>
        </is>
      </c>
      <c r="C95" s="20" t="n">
        <v>1420.041</v>
      </c>
      <c r="D95" s="20" t="n">
        <v>1038.906</v>
      </c>
      <c r="J95" s="20" t="n">
        <v>0</v>
      </c>
      <c r="K95" s="20" t="n">
        <v>401.769</v>
      </c>
      <c r="L95" s="20" t="n">
        <v>1038.906</v>
      </c>
    </row>
    <row r="96">
      <c r="A96" s="18" t="inlineStr">
        <is>
          <t>기술 관련 자산</t>
        </is>
      </c>
      <c r="C96" s="20" t="n">
        <v>1345.593</v>
      </c>
      <c r="D96" s="20" t="n">
        <v>1323.89</v>
      </c>
      <c r="K96" s="20" t="n">
        <v>0</v>
      </c>
      <c r="L96" s="20" t="n">
        <v>1323.89</v>
      </c>
    </row>
    <row r="97">
      <c r="A97" s="18" t="inlineStr">
        <is>
          <t>소프트웨어</t>
        </is>
      </c>
      <c r="C97" s="20" t="n">
        <v>12608.842</v>
      </c>
      <c r="D97" s="20" t="n">
        <v>17739.879</v>
      </c>
      <c r="E97" s="20" t="n">
        <v>18676.21</v>
      </c>
      <c r="F97" s="20" t="n">
        <v>20006.297</v>
      </c>
      <c r="G97" s="20" t="n">
        <v>21321.154</v>
      </c>
      <c r="H97" s="20" t="n">
        <v>2313.203</v>
      </c>
      <c r="I97" s="20" t="n">
        <v>4552.583</v>
      </c>
      <c r="J97" s="20" t="n">
        <v>7848.892</v>
      </c>
      <c r="K97" s="20" t="n">
        <v>10637.483</v>
      </c>
      <c r="L97" s="20" t="n">
        <v>17739.879</v>
      </c>
    </row>
    <row r="98">
      <c r="A98" s="18" t="inlineStr">
        <is>
          <t>개발 중 소프트웨어</t>
        </is>
      </c>
      <c r="C98" s="20" t="n">
        <v>4224.761</v>
      </c>
      <c r="D98" s="20" t="n">
        <v>4125.683</v>
      </c>
      <c r="H98" s="20" t="n">
        <v>723.223</v>
      </c>
      <c r="I98" s="20" t="n">
        <v>1919.275</v>
      </c>
      <c r="J98" s="20" t="n">
        <v>1772.113</v>
      </c>
      <c r="K98" s="20" t="n">
        <v>2625.51</v>
      </c>
      <c r="L98" s="20" t="n">
        <v>4125.683</v>
      </c>
    </row>
    <row r="99">
      <c r="A99" s="18" t="inlineStr">
        <is>
          <t>기타</t>
        </is>
      </c>
      <c r="C99" s="20" t="n">
        <v>1.707</v>
      </c>
      <c r="D99" s="20" t="n">
        <v>2363.129</v>
      </c>
      <c r="E99" s="20" t="n">
        <v>2324.379</v>
      </c>
      <c r="F99" s="20" t="n">
        <v>2285.629</v>
      </c>
      <c r="G99" s="20" t="n">
        <v>2221.055</v>
      </c>
      <c r="H99" s="20" t="n">
        <v>0</v>
      </c>
      <c r="I99" s="20" t="n">
        <v>0.507</v>
      </c>
      <c r="J99" s="20" t="n">
        <v>0.459</v>
      </c>
      <c r="K99" s="20" t="n">
        <v>0.396</v>
      </c>
      <c r="L99" s="20" t="n">
        <v>2363.129</v>
      </c>
    </row>
    <row r="100">
      <c r="A100" s="18" t="inlineStr">
        <is>
          <t>무형자산 합계</t>
        </is>
      </c>
      <c r="C100" s="20" t="n">
        <v>24903.281</v>
      </c>
      <c r="D100" s="20" t="n">
        <v>26834.974</v>
      </c>
      <c r="E100" s="20" t="n">
        <v>27528.151</v>
      </c>
      <c r="F100" s="20" t="n">
        <v>34912.293</v>
      </c>
      <c r="G100" s="20" t="n">
        <v>35792.435</v>
      </c>
      <c r="H100" s="20" t="n">
        <v>6105.189</v>
      </c>
      <c r="I100" s="20" t="n">
        <v>10976.847</v>
      </c>
      <c r="J100" s="20" t="n">
        <v>13465.061</v>
      </c>
      <c r="K100" s="20" t="n">
        <v>17046.713</v>
      </c>
      <c r="L100" s="20" t="n">
        <v>26834.974</v>
      </c>
    </row>
    <row r="101">
      <c r="A101" s="18" t="inlineStr">
        <is>
          <t>투자유가증권</t>
        </is>
      </c>
      <c r="C101" s="20" t="n">
        <v>21399.153</v>
      </c>
      <c r="D101" s="20" t="n">
        <v>23193.328</v>
      </c>
      <c r="E101" s="20" t="n">
        <v>22996.017</v>
      </c>
      <c r="F101" s="20" t="n">
        <v>23161.758</v>
      </c>
      <c r="G101" s="20" t="n">
        <v>23765.569</v>
      </c>
      <c r="H101" s="20" t="n">
        <v>5006.164</v>
      </c>
      <c r="I101" s="20" t="n">
        <v>13284.537</v>
      </c>
      <c r="J101" s="20" t="n">
        <v>16640.845</v>
      </c>
      <c r="K101" s="20" t="n">
        <v>18759.72</v>
      </c>
      <c r="L101" s="20" t="n">
        <v>23193.328</v>
      </c>
    </row>
    <row r="102">
      <c r="A102" s="18" t="inlineStr">
        <is>
          <t>임차보증금·보증금</t>
        </is>
      </c>
      <c r="C102" s="20" t="n">
        <v>1600.24</v>
      </c>
      <c r="D102" s="20" t="n">
        <v>1484.844</v>
      </c>
      <c r="H102" s="20" t="n">
        <v>606.325</v>
      </c>
      <c r="I102" s="20" t="n">
        <v>1156.316</v>
      </c>
      <c r="J102" s="20" t="n">
        <v>984.183</v>
      </c>
      <c r="K102" s="20" t="n">
        <v>1189.719</v>
      </c>
      <c r="L102" s="20" t="n">
        <v>1484.844</v>
      </c>
    </row>
    <row r="103">
      <c r="A103" s="18" t="inlineStr">
        <is>
          <t>장기대여금</t>
        </is>
      </c>
      <c r="D103" s="20" t="n">
        <v>68</v>
      </c>
      <c r="E103" s="20" t="n">
        <v>68</v>
      </c>
      <c r="F103" s="20" t="n">
        <v>68</v>
      </c>
      <c r="G103" s="20" t="n">
        <v>97.2</v>
      </c>
      <c r="L103" s="20" t="n">
        <v>68</v>
      </c>
    </row>
    <row r="104">
      <c r="A104" s="18" t="inlineStr">
        <is>
          <t>이연법인세자산</t>
        </is>
      </c>
      <c r="D104" s="20" t="n">
        <v>121.785</v>
      </c>
      <c r="E104" s="20" t="n">
        <v>110.846</v>
      </c>
      <c r="F104" s="20" t="n">
        <v>135.318</v>
      </c>
      <c r="G104" s="20" t="n">
        <v>164.825</v>
      </c>
      <c r="L104" s="20" t="n">
        <v>121.785</v>
      </c>
    </row>
    <row r="105">
      <c r="A105" s="18" t="inlineStr">
        <is>
          <t>기타</t>
        </is>
      </c>
      <c r="C105" s="20" t="n">
        <v>1540.848</v>
      </c>
      <c r="D105" s="20" t="n">
        <v>2599.559</v>
      </c>
      <c r="E105" s="20" t="n">
        <v>2759.141</v>
      </c>
      <c r="F105" s="20" t="n">
        <v>2945.373</v>
      </c>
      <c r="G105" s="20" t="n">
        <v>2686.276</v>
      </c>
      <c r="H105" s="20" t="n">
        <v>712.468</v>
      </c>
      <c r="I105" s="20" t="n">
        <v>1022.906</v>
      </c>
      <c r="J105" s="20" t="n">
        <v>1031.754</v>
      </c>
      <c r="K105" s="20" t="n">
        <v>1918.006</v>
      </c>
      <c r="L105" s="20" t="n">
        <v>2599.559</v>
      </c>
    </row>
    <row r="106">
      <c r="A106" s="18" t="inlineStr">
        <is>
          <t>대손충당금</t>
        </is>
      </c>
      <c r="C106" s="20" t="n">
        <v>-119.185</v>
      </c>
      <c r="D106" s="20" t="n">
        <v>-116.785</v>
      </c>
      <c r="E106" s="20" t="n">
        <v>-116.785</v>
      </c>
      <c r="F106" s="20" t="n">
        <v>-116.77</v>
      </c>
      <c r="G106" s="20" t="n">
        <v>-116.77</v>
      </c>
      <c r="H106" s="20" t="n">
        <v>-50.678</v>
      </c>
      <c r="I106" s="20" t="n">
        <v>0</v>
      </c>
      <c r="J106" s="20" t="n">
        <v>0</v>
      </c>
      <c r="K106" s="20" t="n">
        <v>-118.546</v>
      </c>
      <c r="L106" s="20" t="n">
        <v>-116.785</v>
      </c>
    </row>
    <row r="107">
      <c r="A107" s="18" t="inlineStr">
        <is>
          <t>투자 및 기타자산 합계</t>
        </is>
      </c>
      <c r="C107" s="20" t="n">
        <v>24421.057</v>
      </c>
      <c r="D107" s="20" t="n">
        <v>25865.888</v>
      </c>
      <c r="E107" s="20" t="n">
        <v>25817.22</v>
      </c>
      <c r="F107" s="20" t="n">
        <v>26193.679</v>
      </c>
      <c r="G107" s="20" t="n">
        <v>26597.1</v>
      </c>
      <c r="H107" s="20" t="n">
        <v>6274.279</v>
      </c>
      <c r="I107" s="20" t="n">
        <v>15463.76</v>
      </c>
      <c r="J107" s="20" t="n">
        <v>18656.783</v>
      </c>
      <c r="K107" s="20" t="n">
        <v>21748.9</v>
      </c>
      <c r="L107" s="20" t="n">
        <v>25865.888</v>
      </c>
    </row>
    <row r="108">
      <c r="A108" s="9" t="inlineStr">
        <is>
          <t>비유동자산 합계</t>
        </is>
      </c>
      <c r="C108" s="12" t="n">
        <v>50646.149</v>
      </c>
      <c r="D108" s="12" t="n">
        <v>54297.345</v>
      </c>
      <c r="E108" s="12" t="n">
        <v>58737.72</v>
      </c>
      <c r="F108" s="12" t="n">
        <v>66294.556</v>
      </c>
      <c r="G108" s="12" t="n">
        <v>67711.753</v>
      </c>
      <c r="H108" s="12" t="n">
        <v>12916.799</v>
      </c>
      <c r="I108" s="12" t="n">
        <v>27171.675</v>
      </c>
      <c r="J108" s="12" t="n">
        <v>33285.19</v>
      </c>
      <c r="K108" s="12" t="n">
        <v>39860.954</v>
      </c>
      <c r="L108" s="12" t="n">
        <v>54297.345</v>
      </c>
    </row>
    <row r="109">
      <c r="A109" s="9" t="inlineStr">
        <is>
          <t>자산 합계</t>
        </is>
      </c>
      <c r="C109" s="12" t="n">
        <v>112525.777</v>
      </c>
      <c r="D109" s="12" t="n">
        <v>127567.288</v>
      </c>
      <c r="E109" s="12" t="n">
        <v>160262.814</v>
      </c>
      <c r="F109" s="12" t="n">
        <v>143626.86</v>
      </c>
      <c r="G109" s="12" t="n">
        <v>139353.886</v>
      </c>
      <c r="H109" s="12" t="n">
        <v>56942.558</v>
      </c>
      <c r="I109" s="12" t="n">
        <v>65986.70600000001</v>
      </c>
      <c r="J109" s="12" t="n">
        <v>88282.41</v>
      </c>
      <c r="K109" s="12" t="n">
        <v>106191.905</v>
      </c>
      <c r="L109" s="12" t="n">
        <v>127567.288</v>
      </c>
    </row>
    <row r="110">
      <c r="A110" s="18" t="inlineStr">
        <is>
          <t>매입채무</t>
        </is>
      </c>
      <c r="C110" s="20" t="n">
        <v>261.883</v>
      </c>
      <c r="D110" s="20" t="n">
        <v>235.117</v>
      </c>
      <c r="E110" s="20" t="n">
        <v>241.907</v>
      </c>
      <c r="F110" s="20" t="n">
        <v>293.457</v>
      </c>
      <c r="G110" s="20" t="n">
        <v>365.267</v>
      </c>
      <c r="H110" s="20" t="n">
        <v>211.852</v>
      </c>
      <c r="I110" s="20" t="n">
        <v>340.994</v>
      </c>
      <c r="J110" s="20" t="n">
        <v>370.317</v>
      </c>
      <c r="K110" s="20" t="n">
        <v>292.839</v>
      </c>
      <c r="L110" s="20" t="n">
        <v>235.117</v>
      </c>
    </row>
    <row r="111">
      <c r="A111" s="18" t="inlineStr">
        <is>
          <t>단기차입금</t>
        </is>
      </c>
      <c r="C111" s="20" t="n">
        <v>5502.846</v>
      </c>
      <c r="D111" s="20" t="n">
        <v>5254</v>
      </c>
      <c r="E111" s="20" t="n">
        <v>5116.057</v>
      </c>
      <c r="F111" s="20" t="n">
        <v>6003</v>
      </c>
      <c r="G111" s="20" t="n">
        <v>6063</v>
      </c>
      <c r="H111" s="20" t="n">
        <v>4700</v>
      </c>
      <c r="I111" s="20" t="n">
        <v>8240</v>
      </c>
      <c r="J111" s="20" t="n">
        <v>4937</v>
      </c>
      <c r="K111" s="20" t="n">
        <v>10062</v>
      </c>
      <c r="L111" s="20" t="n">
        <v>5254</v>
      </c>
    </row>
    <row r="112">
      <c r="A112" s="18" t="inlineStr">
        <is>
          <t>1년 내 상환 예정 사채</t>
        </is>
      </c>
      <c r="C112" s="20" t="n">
        <v>1000</v>
      </c>
      <c r="D112" s="20" t="n">
        <v>1000</v>
      </c>
      <c r="E112" s="20" t="n">
        <v>1000</v>
      </c>
      <c r="F112" s="20" t="n">
        <v>0</v>
      </c>
      <c r="G112" s="20" t="n">
        <v>0</v>
      </c>
      <c r="K112" s="20" t="n">
        <v>0</v>
      </c>
      <c r="L112" s="20" t="n">
        <v>1000</v>
      </c>
    </row>
    <row r="113">
      <c r="A113" s="18" t="inlineStr">
        <is>
          <t>1년 내 상환 장기차입금</t>
        </is>
      </c>
      <c r="C113" s="20" t="n">
        <v>5398.979</v>
      </c>
      <c r="D113" s="20" t="n">
        <v>4600.173</v>
      </c>
      <c r="E113" s="20" t="n">
        <v>5273.623</v>
      </c>
      <c r="F113" s="20" t="n">
        <v>6802.273</v>
      </c>
      <c r="G113" s="20" t="n">
        <v>6578.568</v>
      </c>
      <c r="H113" s="20" t="n">
        <v>1713.041</v>
      </c>
      <c r="I113" s="20" t="n">
        <v>2295</v>
      </c>
      <c r="J113" s="20" t="n">
        <v>3488.75</v>
      </c>
      <c r="K113" s="20" t="n">
        <v>4485.919</v>
      </c>
      <c r="L113" s="20" t="n">
        <v>4600.173</v>
      </c>
    </row>
    <row r="114">
      <c r="A114" s="18" t="inlineStr">
        <is>
          <t>미지급금</t>
        </is>
      </c>
      <c r="C114" s="20" t="n">
        <v>8875.712</v>
      </c>
      <c r="D114" s="20" t="n">
        <v>10771.04</v>
      </c>
      <c r="E114" s="20" t="n">
        <v>34376.163</v>
      </c>
      <c r="F114" s="20" t="n">
        <v>13197.106</v>
      </c>
      <c r="G114" s="20" t="n">
        <v>9820.245000000001</v>
      </c>
      <c r="H114" s="20" t="n">
        <v>1822.487</v>
      </c>
      <c r="I114" s="20" t="n">
        <v>5386.371</v>
      </c>
      <c r="J114" s="20" t="n">
        <v>8563.985000000001</v>
      </c>
      <c r="K114" s="20" t="n">
        <v>9411.237999999999</v>
      </c>
      <c r="L114" s="20" t="n">
        <v>10771.04</v>
      </c>
    </row>
    <row r="115">
      <c r="A115" s="18" t="inlineStr">
        <is>
          <t>미지급비용</t>
        </is>
      </c>
      <c r="C115" s="20" t="n">
        <v>2269.041</v>
      </c>
      <c r="D115" s="20" t="n">
        <v>2198.264</v>
      </c>
      <c r="H115" s="20" t="n">
        <v>908.826</v>
      </c>
      <c r="I115" s="20" t="n">
        <v>1352.406</v>
      </c>
      <c r="J115" s="20" t="n">
        <v>1519.897</v>
      </c>
      <c r="K115" s="20" t="n">
        <v>2013.181</v>
      </c>
      <c r="L115" s="20" t="n">
        <v>2198.264</v>
      </c>
    </row>
    <row r="116">
      <c r="A116" s="18" t="inlineStr">
        <is>
          <t>미지급법인세</t>
        </is>
      </c>
      <c r="C116" s="20" t="n">
        <v>356.686</v>
      </c>
      <c r="D116" s="20" t="n">
        <v>889.22</v>
      </c>
      <c r="E116" s="20" t="n">
        <v>581.8049999999999</v>
      </c>
      <c r="F116" s="20" t="n">
        <v>737.744</v>
      </c>
      <c r="G116" s="20" t="n">
        <v>400.305</v>
      </c>
      <c r="H116" s="20" t="n">
        <v>350.189</v>
      </c>
      <c r="I116" s="20" t="n">
        <v>169.55</v>
      </c>
      <c r="J116" s="20" t="n">
        <v>219.037</v>
      </c>
      <c r="K116" s="20" t="n">
        <v>1877.042</v>
      </c>
      <c r="L116" s="20" t="n">
        <v>889.22</v>
      </c>
    </row>
    <row r="117">
      <c r="A117" s="18" t="inlineStr">
        <is>
          <t>선수수익</t>
        </is>
      </c>
      <c r="H117" s="20" t="n">
        <v>1722.767</v>
      </c>
      <c r="I117" s="20" t="n">
        <v>0</v>
      </c>
    </row>
    <row r="118">
      <c r="A118" s="18" t="inlineStr">
        <is>
          <t>계약부채</t>
        </is>
      </c>
      <c r="C118" s="20" t="n">
        <v>9147.213</v>
      </c>
      <c r="D118" s="20" t="n">
        <v>9934.289000000001</v>
      </c>
      <c r="E118" s="20" t="n">
        <v>10112.914</v>
      </c>
      <c r="F118" s="20" t="n">
        <v>11337.021</v>
      </c>
      <c r="G118" s="20" t="n">
        <v>11796.726</v>
      </c>
      <c r="H118" s="20" t="n">
        <v>0</v>
      </c>
      <c r="I118" s="20" t="n">
        <v>3486.806</v>
      </c>
      <c r="J118" s="20" t="n">
        <v>4849.429</v>
      </c>
      <c r="K118" s="20" t="n">
        <v>6150.217</v>
      </c>
      <c r="L118" s="20" t="n">
        <v>9934.289000000001</v>
      </c>
    </row>
    <row r="119">
      <c r="A119" s="18" t="inlineStr">
        <is>
          <t>예수금</t>
        </is>
      </c>
      <c r="C119" s="20" t="n">
        <v>2982.029</v>
      </c>
      <c r="D119" s="20" t="n">
        <v>8966.402</v>
      </c>
      <c r="E119" s="20" t="n">
        <v>9487.645</v>
      </c>
      <c r="I119" s="20" t="n">
        <v>2264.56</v>
      </c>
      <c r="J119" s="20" t="n">
        <v>5422.686</v>
      </c>
      <c r="K119" s="20" t="n">
        <v>3586.139</v>
      </c>
      <c r="L119" s="20" t="n">
        <v>8966.402</v>
      </c>
    </row>
    <row r="120">
      <c r="A120" s="18" t="inlineStr">
        <is>
          <t>리스부채</t>
        </is>
      </c>
      <c r="D120" s="20" t="n">
        <v>0</v>
      </c>
      <c r="E120" s="20" t="n">
        <v>1970.958</v>
      </c>
      <c r="F120" s="20" t="n">
        <v>2057.382</v>
      </c>
      <c r="G120" s="20" t="n">
        <v>2084.861</v>
      </c>
      <c r="L120" s="20" t="n">
        <v>0</v>
      </c>
    </row>
    <row r="121">
      <c r="A121" s="18" t="inlineStr">
        <is>
          <t>상여충당금</t>
        </is>
      </c>
      <c r="C121" s="20" t="n">
        <v>221.993</v>
      </c>
      <c r="D121" s="20" t="n">
        <v>408.917</v>
      </c>
      <c r="E121" s="20" t="n">
        <v>351.9</v>
      </c>
      <c r="F121" s="20" t="n">
        <v>355.859</v>
      </c>
      <c r="G121" s="20" t="n">
        <v>248.975</v>
      </c>
      <c r="H121" s="20" t="n">
        <v>34.506</v>
      </c>
      <c r="I121" s="20" t="n">
        <v>190.6</v>
      </c>
      <c r="J121" s="20" t="n">
        <v>297.96</v>
      </c>
      <c r="K121" s="20" t="n">
        <v>363.251</v>
      </c>
      <c r="L121" s="20" t="n">
        <v>408.917</v>
      </c>
    </row>
    <row r="122">
      <c r="A122" s="18" t="inlineStr">
        <is>
          <t>임원 상여충당금</t>
        </is>
      </c>
      <c r="C122" s="20" t="n">
        <v>47.535</v>
      </c>
      <c r="D122" s="20" t="n">
        <v>73.241</v>
      </c>
      <c r="E122" s="20" t="n">
        <v>92.678</v>
      </c>
      <c r="F122" s="20" t="n">
        <v>44.851</v>
      </c>
      <c r="G122" s="20" t="n">
        <v>72.786</v>
      </c>
      <c r="H122" s="20" t="n">
        <v>0</v>
      </c>
      <c r="I122" s="20" t="n">
        <v>58.029</v>
      </c>
      <c r="J122" s="20" t="n">
        <v>80.042</v>
      </c>
      <c r="K122" s="20" t="n">
        <v>84.236</v>
      </c>
      <c r="L122" s="20" t="n">
        <v>73.241</v>
      </c>
    </row>
    <row r="123">
      <c r="A123" s="18" t="inlineStr">
        <is>
          <t>포인트 충당금</t>
        </is>
      </c>
      <c r="C123" s="20" t="n">
        <v>546.575</v>
      </c>
      <c r="D123" s="20" t="n">
        <v>1470.548</v>
      </c>
      <c r="E123" s="20" t="n">
        <v>999.8579999999999</v>
      </c>
      <c r="F123" s="20" t="n">
        <v>987.851</v>
      </c>
      <c r="G123" s="20" t="n">
        <v>1159.541</v>
      </c>
      <c r="H123" s="20" t="n">
        <v>0.644</v>
      </c>
      <c r="I123" s="20" t="n">
        <v>47.608</v>
      </c>
      <c r="J123" s="20" t="n">
        <v>260.316</v>
      </c>
      <c r="K123" s="20" t="n">
        <v>381.819</v>
      </c>
      <c r="L123" s="20" t="n">
        <v>1470.548</v>
      </c>
    </row>
    <row r="124">
      <c r="A124" s="18" t="inlineStr">
        <is>
          <t>부정 접속 대응 손실충당금</t>
        </is>
      </c>
      <c r="D124" s="20" t="n">
        <v>0</v>
      </c>
      <c r="F124" s="20" t="n">
        <v>28.73</v>
      </c>
      <c r="G124" s="20" t="n">
        <v>8.73</v>
      </c>
      <c r="L124" s="20" t="n">
        <v>0</v>
      </c>
    </row>
    <row r="125">
      <c r="A125" s="18" t="inlineStr">
        <is>
          <t>기타</t>
        </is>
      </c>
      <c r="C125" s="20" t="n">
        <v>702.212</v>
      </c>
      <c r="D125" s="20" t="n">
        <v>11831.011</v>
      </c>
      <c r="E125" s="20" t="n">
        <v>2735.842</v>
      </c>
      <c r="F125" s="20" t="n">
        <v>8352.312</v>
      </c>
      <c r="G125" s="20" t="n">
        <v>8127.667</v>
      </c>
      <c r="H125" s="20" t="n">
        <v>812.054</v>
      </c>
      <c r="I125" s="20" t="n">
        <v>132.841</v>
      </c>
      <c r="J125" s="20" t="n">
        <v>771.154</v>
      </c>
      <c r="K125" s="20" t="n">
        <v>823.273</v>
      </c>
      <c r="L125" s="20" t="n">
        <v>11831.011</v>
      </c>
    </row>
    <row r="126">
      <c r="A126" s="9" t="inlineStr">
        <is>
          <t>유동부채 합계</t>
        </is>
      </c>
      <c r="C126" s="12" t="n">
        <v>37312.71</v>
      </c>
      <c r="D126" s="12" t="n">
        <v>46467.56</v>
      </c>
      <c r="E126" s="12" t="n">
        <v>72341.35799999999</v>
      </c>
      <c r="F126" s="12" t="n">
        <v>50197.591</v>
      </c>
      <c r="G126" s="12" t="n">
        <v>46726.675</v>
      </c>
      <c r="H126" s="12" t="n">
        <v>12276.371</v>
      </c>
      <c r="I126" s="12" t="n">
        <v>23964.769</v>
      </c>
      <c r="J126" s="12" t="n">
        <v>30780.576</v>
      </c>
      <c r="K126" s="12" t="n">
        <v>39531.157</v>
      </c>
      <c r="L126" s="12" t="n">
        <v>46467.56</v>
      </c>
    </row>
    <row r="127">
      <c r="A127" s="18" t="inlineStr">
        <is>
          <t>장기차입금</t>
        </is>
      </c>
      <c r="C127" s="20" t="n">
        <v>10362.307</v>
      </c>
      <c r="D127" s="20" t="n">
        <v>10994.842</v>
      </c>
      <c r="E127" s="20" t="n">
        <v>13103.35</v>
      </c>
      <c r="F127" s="20" t="n">
        <v>17881.258</v>
      </c>
      <c r="G127" s="20" t="n">
        <v>16386.616</v>
      </c>
      <c r="H127" s="20" t="n">
        <v>2141.1</v>
      </c>
      <c r="I127" s="20" t="n">
        <v>6367.157</v>
      </c>
      <c r="J127" s="20" t="n">
        <v>8947.869000000001</v>
      </c>
      <c r="K127" s="20" t="n">
        <v>7896.95</v>
      </c>
      <c r="L127" s="20" t="n">
        <v>10994.842</v>
      </c>
    </row>
    <row r="128">
      <c r="A128" s="18" t="inlineStr">
        <is>
          <t>전환사채형 신주예약권부 사채</t>
        </is>
      </c>
      <c r="C128" s="20" t="n">
        <v>12000</v>
      </c>
      <c r="D128" s="20" t="n">
        <v>12000</v>
      </c>
      <c r="E128" s="20" t="n">
        <v>12000</v>
      </c>
      <c r="F128" s="20" t="n">
        <v>12000</v>
      </c>
      <c r="G128" s="20" t="n">
        <v>12000</v>
      </c>
      <c r="I128" s="20" t="n">
        <v>0</v>
      </c>
      <c r="J128" s="20" t="n">
        <v>12000</v>
      </c>
      <c r="K128" s="20" t="n">
        <v>12000</v>
      </c>
      <c r="L128" s="20" t="n">
        <v>12000</v>
      </c>
    </row>
    <row r="129">
      <c r="A129" s="18" t="inlineStr">
        <is>
          <t>사채</t>
        </is>
      </c>
      <c r="C129" s="20" t="n">
        <v>0</v>
      </c>
      <c r="D129" s="20" t="n">
        <v>0</v>
      </c>
      <c r="I129" s="20" t="n">
        <v>0</v>
      </c>
      <c r="J129" s="20" t="n">
        <v>1000</v>
      </c>
      <c r="K129" s="20" t="n">
        <v>1000</v>
      </c>
      <c r="L129" s="20" t="n">
        <v>0</v>
      </c>
    </row>
    <row r="130">
      <c r="A130" s="18" t="inlineStr">
        <is>
          <t>퇴직급여부채</t>
        </is>
      </c>
      <c r="C130" s="20" t="n">
        <v>5.795</v>
      </c>
      <c r="D130" s="20" t="n">
        <v>5.581</v>
      </c>
      <c r="E130" s="20" t="n">
        <v>5.533</v>
      </c>
      <c r="F130" s="20" t="n">
        <v>5.346</v>
      </c>
      <c r="G130" s="20" t="n">
        <v>6.069</v>
      </c>
      <c r="H130" s="20" t="n">
        <v>2.376</v>
      </c>
      <c r="I130" s="20" t="n">
        <v>4.848</v>
      </c>
      <c r="J130" s="20" t="n">
        <v>6.454</v>
      </c>
      <c r="K130" s="20" t="n">
        <v>6.503</v>
      </c>
      <c r="L130" s="20" t="n">
        <v>5.581</v>
      </c>
    </row>
    <row r="131">
      <c r="A131" s="18" t="inlineStr">
        <is>
          <t>상여충당금</t>
        </is>
      </c>
      <c r="I131" s="20" t="n">
        <v>0</v>
      </c>
      <c r="J131" s="20" t="n">
        <v>6.288</v>
      </c>
    </row>
    <row r="132">
      <c r="A132" s="18" t="inlineStr">
        <is>
          <t>임원 상여충당금</t>
        </is>
      </c>
      <c r="I132" s="20" t="n">
        <v>0</v>
      </c>
      <c r="J132" s="20" t="n">
        <v>1.317</v>
      </c>
    </row>
    <row r="133">
      <c r="A133" s="18" t="inlineStr">
        <is>
          <t>상여충당금</t>
        </is>
      </c>
      <c r="I133" s="20" t="n">
        <v>0</v>
      </c>
      <c r="J133" s="20" t="n">
        <v>6.288</v>
      </c>
    </row>
    <row r="134">
      <c r="A134" s="18" t="inlineStr">
        <is>
          <t>임원 상여충당금</t>
        </is>
      </c>
      <c r="I134" s="20" t="n">
        <v>0</v>
      </c>
      <c r="J134" s="20" t="n">
        <v>1.317</v>
      </c>
    </row>
    <row r="135">
      <c r="A135" s="18" t="inlineStr">
        <is>
          <t>상여충당금</t>
        </is>
      </c>
      <c r="C135" s="20" t="n">
        <v>5.4</v>
      </c>
      <c r="D135" s="20" t="n">
        <v>3.884</v>
      </c>
      <c r="E135" s="20" t="n">
        <v>3.406</v>
      </c>
      <c r="F135" s="20" t="n">
        <v>1.178</v>
      </c>
      <c r="G135" s="20" t="n">
        <v>1.875</v>
      </c>
      <c r="J135" s="20" t="n">
        <v>6.288</v>
      </c>
      <c r="K135" s="20" t="n">
        <v>6.901</v>
      </c>
      <c r="L135" s="20" t="n">
        <v>3.884</v>
      </c>
    </row>
    <row r="136">
      <c r="A136" s="18" t="inlineStr">
        <is>
          <t>임원 상여충당금</t>
        </is>
      </c>
      <c r="C136" s="20" t="n">
        <v>0.632</v>
      </c>
      <c r="D136" s="20" t="n">
        <v>0.897</v>
      </c>
      <c r="E136" s="20" t="n">
        <v>0.6919999999999999</v>
      </c>
      <c r="F136" s="20" t="n">
        <v>0.548</v>
      </c>
      <c r="G136" s="20" t="n">
        <v>0</v>
      </c>
      <c r="J136" s="20" t="n">
        <v>1.317</v>
      </c>
      <c r="K136" s="20" t="n">
        <v>1.345</v>
      </c>
      <c r="L136" s="20" t="n">
        <v>0.897</v>
      </c>
    </row>
    <row r="137">
      <c r="A137" s="18" t="inlineStr">
        <is>
          <t>리스부채</t>
        </is>
      </c>
      <c r="D137" s="20" t="n">
        <v>0.218</v>
      </c>
      <c r="E137" s="20" t="n">
        <v>2802.39</v>
      </c>
      <c r="F137" s="20" t="n">
        <v>2545.567</v>
      </c>
      <c r="G137" s="20" t="n">
        <v>2689.782</v>
      </c>
      <c r="L137" s="20" t="n">
        <v>0.218</v>
      </c>
    </row>
    <row r="138">
      <c r="A138" s="18" t="inlineStr">
        <is>
          <t>이연법인세부채</t>
        </is>
      </c>
      <c r="D138" s="20" t="n">
        <v>1761.249</v>
      </c>
      <c r="E138" s="20" t="n">
        <v>1723.735</v>
      </c>
      <c r="F138" s="20" t="n">
        <v>1902.68</v>
      </c>
      <c r="G138" s="20" t="n">
        <v>1959.57</v>
      </c>
      <c r="L138" s="20" t="n">
        <v>1761.249</v>
      </c>
    </row>
    <row r="139">
      <c r="A139" s="18" t="inlineStr">
        <is>
          <t>기타</t>
        </is>
      </c>
      <c r="C139" s="20" t="n">
        <v>1741.727</v>
      </c>
      <c r="D139" s="20" t="n">
        <v>467.698</v>
      </c>
      <c r="E139" s="20" t="n">
        <v>525.2329999999999</v>
      </c>
      <c r="F139" s="20" t="n">
        <v>1511.145</v>
      </c>
      <c r="G139" s="20" t="n">
        <v>1112.932</v>
      </c>
      <c r="H139" s="20" t="n">
        <v>189.728</v>
      </c>
      <c r="I139" s="20" t="n">
        <v>567.107</v>
      </c>
      <c r="J139" s="20" t="n">
        <v>879.4400000000001</v>
      </c>
      <c r="K139" s="20" t="n">
        <v>1073.289</v>
      </c>
      <c r="L139" s="20" t="n">
        <v>467.698</v>
      </c>
    </row>
    <row r="140">
      <c r="A140" s="9" t="inlineStr">
        <is>
          <t>비유동부채 합계</t>
        </is>
      </c>
      <c r="C140" s="12" t="n">
        <v>24115.863</v>
      </c>
      <c r="D140" s="12" t="n">
        <v>25234.372</v>
      </c>
      <c r="E140" s="12" t="n">
        <v>30164.342</v>
      </c>
      <c r="F140" s="12" t="n">
        <v>35847.726</v>
      </c>
      <c r="G140" s="12" t="n">
        <v>34156.846</v>
      </c>
      <c r="H140" s="12" t="n">
        <v>2333.205</v>
      </c>
      <c r="I140" s="12" t="n">
        <v>6939.113</v>
      </c>
      <c r="J140" s="12" t="n">
        <v>22841.37</v>
      </c>
      <c r="K140" s="12" t="n">
        <v>21984.99</v>
      </c>
      <c r="L140" s="12" t="n">
        <v>25234.372</v>
      </c>
    </row>
    <row r="141">
      <c r="A141" s="9" t="inlineStr">
        <is>
          <t>부채 합계</t>
        </is>
      </c>
      <c r="C141" s="12" t="n">
        <v>61428.574</v>
      </c>
      <c r="D141" s="12" t="n">
        <v>71701.932</v>
      </c>
      <c r="E141" s="12" t="n">
        <v>102505.701</v>
      </c>
      <c r="F141" s="12" t="n">
        <v>86045.317</v>
      </c>
      <c r="G141" s="12" t="n">
        <v>80883.52099999999</v>
      </c>
      <c r="H141" s="12" t="n">
        <v>14609.576</v>
      </c>
      <c r="I141" s="12" t="n">
        <v>30903.882</v>
      </c>
      <c r="J141" s="12" t="n">
        <v>53621.947</v>
      </c>
      <c r="K141" s="12" t="n">
        <v>61516.148</v>
      </c>
      <c r="L141" s="12" t="n">
        <v>71701.932</v>
      </c>
    </row>
    <row r="142">
      <c r="A142" s="18" t="inlineStr">
        <is>
          <t>자본금</t>
        </is>
      </c>
      <c r="C142" s="20" t="n">
        <v>27836.52</v>
      </c>
      <c r="D142" s="20" t="n">
        <v>27836.52</v>
      </c>
      <c r="E142" s="20" t="n">
        <v>27839.445</v>
      </c>
      <c r="F142" s="20" t="n">
        <v>28054.258</v>
      </c>
      <c r="G142" s="20" t="n">
        <v>28055.913</v>
      </c>
      <c r="H142" s="20" t="n">
        <v>25775.494</v>
      </c>
      <c r="I142" s="20" t="n">
        <v>26316.141</v>
      </c>
      <c r="J142" s="20" t="n">
        <v>26716.695</v>
      </c>
      <c r="K142" s="20" t="n">
        <v>27290.265</v>
      </c>
      <c r="L142" s="20" t="n">
        <v>27836.52</v>
      </c>
    </row>
    <row r="143">
      <c r="A143" s="18" t="inlineStr">
        <is>
          <t>자본잉여금</t>
        </is>
      </c>
      <c r="C143" s="20" t="n">
        <v>18228.35</v>
      </c>
      <c r="D143" s="20" t="n">
        <v>18530.475</v>
      </c>
      <c r="E143" s="20" t="n">
        <v>17620.44</v>
      </c>
      <c r="F143" s="20" t="n">
        <v>17835.255</v>
      </c>
      <c r="G143" s="20" t="n">
        <v>17870.424</v>
      </c>
      <c r="H143" s="20" t="n">
        <v>17233.262</v>
      </c>
      <c r="I143" s="20" t="n">
        <v>15804.942</v>
      </c>
      <c r="J143" s="20" t="n">
        <v>7595.957</v>
      </c>
      <c r="K143" s="20" t="n">
        <v>15159.005</v>
      </c>
      <c r="L143" s="20" t="n">
        <v>18530.475</v>
      </c>
    </row>
    <row r="144">
      <c r="A144" s="18" t="inlineStr">
        <is>
          <t>이익잉여금</t>
        </is>
      </c>
      <c r="C144" s="20" t="n">
        <v>-12377.68</v>
      </c>
      <c r="D144" s="20" t="n">
        <v>-7690.558</v>
      </c>
      <c r="E144" s="20" t="n">
        <v>-5939.22</v>
      </c>
      <c r="F144" s="20" t="n">
        <v>-7214.368</v>
      </c>
      <c r="G144" s="20" t="n">
        <v>-7269.961</v>
      </c>
      <c r="H144" s="20" t="n">
        <v>-2755.553</v>
      </c>
      <c r="I144" s="20" t="n">
        <v>-10693.566</v>
      </c>
      <c r="J144" s="20" t="n">
        <v>-8378.441999999999</v>
      </c>
      <c r="K144" s="20" t="n">
        <v>-8993.878000000001</v>
      </c>
      <c r="L144" s="20" t="n">
        <v>-7690.558</v>
      </c>
    </row>
    <row r="145">
      <c r="A145" s="18" t="inlineStr">
        <is>
          <t>자기주식</t>
        </is>
      </c>
      <c r="C145" s="20" t="n">
        <v>-2.006</v>
      </c>
      <c r="D145" s="20" t="n">
        <v>-1.928</v>
      </c>
      <c r="E145" s="20" t="n">
        <v>-1.928</v>
      </c>
      <c r="F145" s="20" t="n">
        <v>-1.928</v>
      </c>
      <c r="G145" s="20" t="n">
        <v>-1.943</v>
      </c>
      <c r="H145" s="20" t="n">
        <v>-0.85</v>
      </c>
      <c r="I145" s="20" t="n">
        <v>-1.219</v>
      </c>
      <c r="J145" s="20" t="n">
        <v>-1.352</v>
      </c>
      <c r="K145" s="20" t="n">
        <v>-1.9</v>
      </c>
      <c r="L145" s="20" t="n">
        <v>-1.928</v>
      </c>
    </row>
    <row r="146">
      <c r="A146" s="9" t="inlineStr">
        <is>
          <t>주주자본 합계</t>
        </is>
      </c>
      <c r="C146" s="12" t="n">
        <v>33685.184</v>
      </c>
      <c r="D146" s="12" t="n">
        <v>38674.508</v>
      </c>
      <c r="E146" s="12" t="n">
        <v>39518.737</v>
      </c>
      <c r="F146" s="12" t="n">
        <v>38673.216</v>
      </c>
      <c r="G146" s="12" t="n">
        <v>38654.432</v>
      </c>
      <c r="H146" s="12" t="n">
        <v>40252.352</v>
      </c>
      <c r="I146" s="12" t="n">
        <v>31426.298</v>
      </c>
      <c r="J146" s="12" t="n">
        <v>25932.858</v>
      </c>
      <c r="K146" s="12" t="n">
        <v>33453.493</v>
      </c>
      <c r="L146" s="12" t="n">
        <v>38674.508</v>
      </c>
    </row>
    <row r="147">
      <c r="A147" s="18" t="inlineStr">
        <is>
          <t>기타유가증권 평가차액</t>
        </is>
      </c>
      <c r="C147" s="20" t="n">
        <v>1620.358</v>
      </c>
      <c r="D147" s="20" t="n">
        <v>2129.408</v>
      </c>
      <c r="E147" s="20" t="n">
        <v>2051.358</v>
      </c>
      <c r="F147" s="20" t="n">
        <v>2346.285</v>
      </c>
      <c r="G147" s="20" t="n">
        <v>2389.851</v>
      </c>
      <c r="H147" s="20" t="n">
        <v>228.409</v>
      </c>
      <c r="I147" s="20" t="n">
        <v>1073.608</v>
      </c>
      <c r="J147" s="20" t="n">
        <v>1766.439</v>
      </c>
      <c r="K147" s="20" t="n">
        <v>1850.697</v>
      </c>
      <c r="L147" s="20" t="n">
        <v>2129.408</v>
      </c>
    </row>
    <row r="148">
      <c r="A148" s="18" t="inlineStr">
        <is>
          <t>해외사업환산조정</t>
        </is>
      </c>
      <c r="C148" s="20" t="n">
        <v>0.555</v>
      </c>
      <c r="D148" s="20" t="n">
        <v>57.457</v>
      </c>
      <c r="E148" s="20" t="n">
        <v>201.816</v>
      </c>
      <c r="F148" s="20" t="n">
        <v>214.546</v>
      </c>
      <c r="G148" s="20" t="n">
        <v>327.659</v>
      </c>
      <c r="H148" s="20" t="n">
        <v>10.898</v>
      </c>
      <c r="I148" s="20" t="n">
        <v>101.059</v>
      </c>
      <c r="J148" s="20" t="n">
        <v>123.445</v>
      </c>
      <c r="K148" s="20" t="n">
        <v>78.09099999999999</v>
      </c>
      <c r="L148" s="20" t="n">
        <v>57.457</v>
      </c>
    </row>
    <row r="149">
      <c r="A149" s="18" t="inlineStr">
        <is>
          <t>기타포괄손익누계액 합계</t>
        </is>
      </c>
      <c r="C149" s="20" t="n">
        <v>1620.913</v>
      </c>
      <c r="D149" s="20" t="n">
        <v>2186.865</v>
      </c>
      <c r="E149" s="20" t="n">
        <v>2253.174</v>
      </c>
      <c r="F149" s="20" t="n">
        <v>2560.832</v>
      </c>
      <c r="G149" s="20" t="n">
        <v>2717.511</v>
      </c>
      <c r="H149" s="20" t="n">
        <v>239.307</v>
      </c>
      <c r="I149" s="20" t="n">
        <v>1174.667</v>
      </c>
      <c r="J149" s="20" t="n">
        <v>1889.884</v>
      </c>
      <c r="K149" s="20" t="n">
        <v>1928.789</v>
      </c>
      <c r="L149" s="20" t="n">
        <v>2186.865</v>
      </c>
    </row>
    <row r="150">
      <c r="A150" s="18" t="inlineStr">
        <is>
          <t>신주예약권</t>
        </is>
      </c>
      <c r="C150" s="20" t="n">
        <v>2669.735</v>
      </c>
      <c r="D150" s="20" t="n">
        <v>2982.991</v>
      </c>
      <c r="E150" s="20" t="n">
        <v>3166.024</v>
      </c>
      <c r="F150" s="20" t="n">
        <v>3332.596</v>
      </c>
      <c r="G150" s="20" t="n">
        <v>3494.315</v>
      </c>
      <c r="H150" s="20" t="n">
        <v>38.529</v>
      </c>
      <c r="I150" s="20" t="n">
        <v>32.86</v>
      </c>
      <c r="J150" s="20" t="n">
        <v>504.492</v>
      </c>
      <c r="K150" s="20" t="n">
        <v>2054.131</v>
      </c>
      <c r="L150" s="20" t="n">
        <v>2982.991</v>
      </c>
    </row>
    <row r="151">
      <c r="A151" s="18" t="inlineStr">
        <is>
          <t>비지배지분</t>
        </is>
      </c>
      <c r="C151" s="20" t="n">
        <v>13121.37</v>
      </c>
      <c r="D151" s="20" t="n">
        <v>12020.99</v>
      </c>
      <c r="E151" s="20" t="n">
        <v>12819.177</v>
      </c>
      <c r="F151" s="20" t="n">
        <v>13014.898</v>
      </c>
      <c r="G151" s="20" t="n">
        <v>13604.104</v>
      </c>
      <c r="H151" s="20" t="n">
        <v>1802.791</v>
      </c>
      <c r="I151" s="20" t="n">
        <v>2448.996</v>
      </c>
      <c r="J151" s="20" t="n">
        <v>6333.228</v>
      </c>
      <c r="K151" s="20" t="n">
        <v>7239.342</v>
      </c>
      <c r="L151" s="20" t="n">
        <v>12020.99</v>
      </c>
    </row>
    <row r="152">
      <c r="A152" s="9" t="inlineStr">
        <is>
          <t>순자산 합계</t>
        </is>
      </c>
      <c r="C152" s="12" t="n">
        <v>51097.203</v>
      </c>
      <c r="D152" s="12" t="n">
        <v>55865.356</v>
      </c>
      <c r="E152" s="12" t="n">
        <v>57757.113</v>
      </c>
      <c r="F152" s="12" t="n">
        <v>57581.543</v>
      </c>
      <c r="G152" s="12" t="n">
        <v>58470.364</v>
      </c>
      <c r="H152" s="12" t="n">
        <v>42332.981</v>
      </c>
      <c r="I152" s="12" t="n">
        <v>35082.823</v>
      </c>
      <c r="J152" s="12" t="n">
        <v>34660.463</v>
      </c>
      <c r="K152" s="12" t="n">
        <v>44675.756</v>
      </c>
      <c r="L152" s="12" t="n">
        <v>55865.356</v>
      </c>
    </row>
    <row r="153">
      <c r="A153" s="9" t="inlineStr">
        <is>
          <t>부채·순자산 합계</t>
        </is>
      </c>
      <c r="C153" s="12" t="n">
        <v>112525.777</v>
      </c>
      <c r="D153" s="12" t="n">
        <v>127567.288</v>
      </c>
      <c r="E153" s="12" t="n">
        <v>160262.814</v>
      </c>
      <c r="F153" s="12" t="n">
        <v>143626.86</v>
      </c>
      <c r="G153" s="12" t="n">
        <v>139353.886</v>
      </c>
      <c r="H153" s="12" t="n">
        <v>56942.558</v>
      </c>
      <c r="I153" s="12" t="n">
        <v>65986.70600000001</v>
      </c>
      <c r="J153" s="12" t="n">
        <v>88282.41</v>
      </c>
      <c r="K153" s="12" t="n">
        <v>106191.905</v>
      </c>
      <c r="L153" s="12" t="n">
        <v>127567.288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머니포워드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컨센서스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4Q 매출</t>
        </is>
      </c>
      <c r="B6" s="55" t="n">
        <v>168.3</v>
      </c>
      <c r="C6" s="56" t="inlineStr">
        <is>
          <t>2단계 보고서 자료(회사 설명회 자료·공시)</t>
        </is>
      </c>
    </row>
    <row r="7">
      <c r="A7" s="54" t="inlineStr">
        <is>
          <t>fy26 매출</t>
        </is>
      </c>
      <c r="B7" s="55" t="n">
        <v>622.5</v>
      </c>
    </row>
    <row r="8">
      <c r="A8" s="54" t="inlineStr">
        <is>
          <t>fy26 EPS</t>
        </is>
      </c>
      <c r="B8" s="55" t="n">
        <v>0.4</v>
      </c>
    </row>
    <row r="9">
      <c r="A9" s="54" t="inlineStr">
        <is>
          <t>fy27 매출</t>
        </is>
      </c>
      <c r="B9" s="55" t="n">
        <v>744.7</v>
      </c>
    </row>
    <row r="10">
      <c r="A10" s="54" t="inlineStr">
        <is>
          <t>fy27 EPS</t>
        </is>
      </c>
      <c r="B10" s="55" t="n">
        <v>66.03</v>
      </c>
    </row>
    <row r="11">
      <c r="A11" s="54" t="inlineStr">
        <is>
          <t>tp 평균</t>
        </is>
      </c>
      <c r="B11" s="57" t="n">
        <v>6418</v>
      </c>
    </row>
    <row r="12">
      <c r="A12" s="54" t="inlineStr">
        <is>
          <t>tp 중앙값</t>
        </is>
      </c>
      <c r="B12" s="57" t="n">
        <v>6200</v>
      </c>
    </row>
    <row r="13">
      <c r="A13" s="54" t="inlineStr">
        <is>
          <t>애널리스트 수 tp</t>
        </is>
      </c>
      <c r="B13" s="57" t="n">
        <v>11</v>
      </c>
    </row>
    <row r="15">
      <c r="A15" s="52" t="inlineStr">
        <is>
          <t>psr band</t>
        </is>
      </c>
      <c r="B15" s="52" t="n"/>
      <c r="C15" s="52" t="n"/>
    </row>
    <row r="16">
      <c r="A16" s="53" t="inlineStr">
        <is>
          <t>항목</t>
        </is>
      </c>
      <c r="B16" s="53" t="inlineStr">
        <is>
          <t>값</t>
        </is>
      </c>
      <c r="C16" s="53" t="inlineStr">
        <is>
          <t>출처</t>
        </is>
      </c>
    </row>
    <row r="17">
      <c r="A17" s="54" t="inlineStr">
        <is>
          <t>lo</t>
        </is>
      </c>
      <c r="B17" s="55" t="n">
        <v>2.76</v>
      </c>
      <c r="C17" s="56" t="inlineStr">
        <is>
          <t>2단계 보고서 자료(회사 설명회 자료·공시)</t>
        </is>
      </c>
    </row>
    <row r="18">
      <c r="A18" s="54" t="inlineStr">
        <is>
          <t>평균</t>
        </is>
      </c>
      <c r="B18" s="55" t="n">
        <v>5.96</v>
      </c>
    </row>
    <row r="19">
      <c r="A19" s="54" t="inlineStr">
        <is>
          <t>hi</t>
        </is>
      </c>
      <c r="B19" s="55" t="n">
        <v>9.35</v>
      </c>
    </row>
    <row r="20">
      <c r="A20" s="54" t="inlineStr">
        <is>
          <t>now</t>
        </is>
      </c>
      <c r="B20" s="55" t="n">
        <v>6.03</v>
      </c>
    </row>
    <row r="22">
      <c r="A22" s="52" t="inlineStr">
        <is>
          <t>arr q</t>
        </is>
      </c>
      <c r="B22" s="52" t="n"/>
      <c r="C22" s="52" t="n"/>
    </row>
    <row r="23">
      <c r="A23" s="53" t="inlineStr">
        <is>
          <t>항목</t>
        </is>
      </c>
      <c r="B23" s="53" t="inlineStr">
        <is>
          <t>값</t>
        </is>
      </c>
      <c r="C23" s="53" t="inlineStr">
        <is>
          <t>출처</t>
        </is>
      </c>
    </row>
    <row r="24">
      <c r="A24" s="54" t="inlineStr">
        <is>
          <t>2024.1Q</t>
        </is>
      </c>
      <c r="B24" s="55" t="n">
        <v>255</v>
      </c>
      <c r="C24" s="56" t="inlineStr">
        <is>
          <t>2단계 보고서 자료(회사 설명회 자료·공시)</t>
        </is>
      </c>
    </row>
    <row r="25">
      <c r="A25" s="54" t="inlineStr">
        <is>
          <t>2024.2Q</t>
        </is>
      </c>
      <c r="B25" s="55" t="n">
        <v>268.4</v>
      </c>
    </row>
    <row r="26">
      <c r="A26" s="54" t="inlineStr">
        <is>
          <t>2024.3Q</t>
        </is>
      </c>
      <c r="B26" s="55" t="n">
        <v>279.5</v>
      </c>
    </row>
    <row r="27">
      <c r="A27" s="54" t="inlineStr">
        <is>
          <t>2024.4Q</t>
        </is>
      </c>
      <c r="B27" s="55" t="n">
        <v>300</v>
      </c>
    </row>
    <row r="28">
      <c r="A28" s="54" t="inlineStr">
        <is>
          <t>2025.1Q</t>
        </is>
      </c>
      <c r="B28" s="55" t="n">
        <v>330.1</v>
      </c>
    </row>
    <row r="29">
      <c r="A29" s="54" t="inlineStr">
        <is>
          <t>2025.2Q</t>
        </is>
      </c>
      <c r="B29" s="55" t="n">
        <v>355.2</v>
      </c>
    </row>
    <row r="30">
      <c r="A30" s="54" t="inlineStr">
        <is>
          <t>2025.3Q</t>
        </is>
      </c>
      <c r="B30" s="55" t="n">
        <v>375.2</v>
      </c>
    </row>
    <row r="31">
      <c r="A31" s="54" t="inlineStr">
        <is>
          <t>2025.4Q</t>
        </is>
      </c>
      <c r="B31" s="55" t="n">
        <v>408.8</v>
      </c>
    </row>
    <row r="32">
      <c r="A32" s="54" t="inlineStr">
        <is>
          <t>2026.1Q</t>
        </is>
      </c>
      <c r="B32" s="55" t="n">
        <v>443</v>
      </c>
    </row>
    <row r="33">
      <c r="A33" s="54" t="inlineStr">
        <is>
          <t>2026.2Q</t>
        </is>
      </c>
      <c r="B33" s="55" t="n">
        <v>476.7</v>
      </c>
    </row>
    <row r="34">
      <c r="A34" s="54" t="inlineStr">
        <is>
          <t>2026.3Q</t>
        </is>
      </c>
      <c r="B34" s="55" t="n">
        <v>486.5</v>
      </c>
    </row>
    <row r="36">
      <c r="A36" s="52" t="inlineStr">
        <is>
          <t>bhx 매출 q</t>
        </is>
      </c>
      <c r="B36" s="52" t="n"/>
      <c r="C36" s="52" t="n"/>
    </row>
    <row r="37">
      <c r="A37" s="53" t="inlineStr">
        <is>
          <t>항목</t>
        </is>
      </c>
      <c r="B37" s="53" t="inlineStr">
        <is>
          <t>값</t>
        </is>
      </c>
      <c r="C37" s="53" t="inlineStr">
        <is>
          <t>출처</t>
        </is>
      </c>
    </row>
    <row r="38">
      <c r="A38" s="54" t="inlineStr">
        <is>
          <t>2024.1Q</t>
        </is>
      </c>
      <c r="B38" s="55" t="n">
        <v>81.90000000000001</v>
      </c>
      <c r="C38" s="56" t="inlineStr">
        <is>
          <t>2단계 보고서 자료(회사 설명회 자료·공시)</t>
        </is>
      </c>
    </row>
    <row r="39">
      <c r="A39" s="54" t="inlineStr">
        <is>
          <t>2024.2Q</t>
        </is>
      </c>
      <c r="B39" s="55" t="n">
        <v>84.59999999999999</v>
      </c>
    </row>
    <row r="40">
      <c r="A40" s="54" t="inlineStr">
        <is>
          <t>2024.3Q</t>
        </is>
      </c>
      <c r="B40" s="55" t="n">
        <v>85.59999999999999</v>
      </c>
    </row>
    <row r="41">
      <c r="A41" s="54" t="inlineStr">
        <is>
          <t>2024.4Q</t>
        </is>
      </c>
      <c r="B41" s="55" t="n">
        <v>94.09999999999999</v>
      </c>
    </row>
    <row r="42">
      <c r="A42" s="54" t="inlineStr">
        <is>
          <t>2025.1Q</t>
        </is>
      </c>
      <c r="B42" s="55" t="n">
        <v>97</v>
      </c>
    </row>
    <row r="43">
      <c r="A43" s="54" t="inlineStr">
        <is>
          <t>2025.2Q</t>
        </is>
      </c>
      <c r="B43" s="55" t="n">
        <v>102.4</v>
      </c>
    </row>
    <row r="44">
      <c r="A44" s="54" t="inlineStr">
        <is>
          <t>2025.3Q</t>
        </is>
      </c>
      <c r="B44" s="55" t="n">
        <v>106.3</v>
      </c>
    </row>
    <row r="45">
      <c r="A45" s="54" t="inlineStr">
        <is>
          <t>2025.4Q</t>
        </is>
      </c>
      <c r="B45" s="55" t="n">
        <v>133.6</v>
      </c>
    </row>
    <row r="46">
      <c r="A46" s="54" t="inlineStr">
        <is>
          <t>2026.1Q</t>
        </is>
      </c>
      <c r="B46" s="55" t="n">
        <v>145.7</v>
      </c>
    </row>
    <row r="47">
      <c r="A47" s="54" t="inlineStr">
        <is>
          <t>2026.2Q</t>
        </is>
      </c>
      <c r="B47" s="55" t="n">
        <v>141.8</v>
      </c>
    </row>
    <row r="48">
      <c r="A48" s="54" t="inlineStr">
        <is>
          <t>2026.3Q</t>
        </is>
      </c>
      <c r="B48" s="55" t="n">
        <v>155.8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2026년 11월 결산기 3분기 결산단신</t>
        </is>
      </c>
      <c r="C4" t="inlineStr">
        <is>
          <t>https://www2.jpx.co.jp/disc/39940/140120261015551566.pdf</t>
        </is>
      </c>
    </row>
    <row r="5">
      <c r="A5" t="inlineStr">
        <is>
          <t>2026-07-13</t>
        </is>
      </c>
      <c r="B5" t="inlineStr">
        <is>
          <t>2026년 11월 결산기 2분기 결산단신</t>
        </is>
      </c>
      <c r="C5" t="inlineStr">
        <is>
          <t>https://www2.jpx.co.jp/disc/39940/140120260713592274.pdf</t>
        </is>
      </c>
    </row>
    <row r="6">
      <c r="A6" t="inlineStr">
        <is>
          <t>2026-04-14</t>
        </is>
      </c>
      <c r="B6" t="inlineStr">
        <is>
          <t>2026년 11월 결산기 1분기 결산단신</t>
        </is>
      </c>
      <c r="C6" t="inlineStr">
        <is>
          <t>https://www2.jpx.co.jp/disc/39940/140120260414503909.pdf</t>
        </is>
      </c>
    </row>
    <row r="7">
      <c r="A7" t="inlineStr">
        <is>
          <t>2026-01-14</t>
        </is>
      </c>
      <c r="B7" t="inlineStr">
        <is>
          <t>2025년 11월 결산기 연간 결산단신</t>
        </is>
      </c>
      <c r="C7" t="inlineStr">
        <is>
          <t>https://www2.jpx.co.jp/disc/39940/140120260114533704.pdf</t>
        </is>
      </c>
    </row>
    <row r="8">
      <c r="A8" t="inlineStr">
        <is>
          <t>2025-10-15</t>
        </is>
      </c>
      <c r="B8" t="inlineStr">
        <is>
          <t>2025년 11월 결산기 3분기 결산단신</t>
        </is>
      </c>
      <c r="C8" t="inlineStr">
        <is>
          <t>https://www2.jpx.co.jp/disc/39940/140120251015573937.pdf</t>
        </is>
      </c>
    </row>
    <row r="9">
      <c r="A9" t="inlineStr">
        <is>
          <t>2025-07-15</t>
        </is>
      </c>
      <c r="B9" t="inlineStr">
        <is>
          <t>2025년 11월 결산기 2분기 결산단신</t>
        </is>
      </c>
      <c r="C9" t="inlineStr">
        <is>
          <t>https://www2.jpx.co.jp/disc/39940/140120250714513800.pdf</t>
        </is>
      </c>
    </row>
    <row r="10">
      <c r="A10" t="inlineStr">
        <is>
          <t>2025-04-14</t>
        </is>
      </c>
      <c r="B10" t="inlineStr">
        <is>
          <t>2025년 11월 결산기 1분기 결산단신</t>
        </is>
      </c>
      <c r="C10" t="inlineStr">
        <is>
          <t>https://www2.jpx.co.jp/disc/39940/140120250408510433.pdf</t>
        </is>
      </c>
    </row>
    <row r="11">
      <c r="A11" t="inlineStr">
        <is>
          <t>2025-01-14</t>
        </is>
      </c>
      <c r="B11" t="inlineStr">
        <is>
          <t>2024년 11월 결산기 연간 결산단신</t>
        </is>
      </c>
      <c r="C11" t="inlineStr">
        <is>
          <t>https://www2.jpx.co.jp/disc/39940/140120250110549148.pdf</t>
        </is>
      </c>
    </row>
    <row r="12">
      <c r="A12" t="inlineStr">
        <is>
          <t>2024-10-15</t>
        </is>
      </c>
      <c r="B12" t="inlineStr">
        <is>
          <t>2024년 11월 결산기 3분기 결산단신</t>
        </is>
      </c>
      <c r="C12" t="inlineStr">
        <is>
          <t>https://www2.jpx.co.jp/disc/39940/140120241011597424.pdf</t>
        </is>
      </c>
    </row>
    <row r="13">
      <c r="A13" t="inlineStr">
        <is>
          <t>2024-07-12</t>
        </is>
      </c>
      <c r="B13" t="inlineStr">
        <is>
          <t>2024년 11월 결산기 2분기 결산단신</t>
        </is>
      </c>
      <c r="C13" t="inlineStr">
        <is>
          <t>https://www2.jpx.co.jp/disc/39940/140120240711547924.pdf</t>
        </is>
      </c>
    </row>
    <row r="14">
      <c r="A14" t="inlineStr">
        <is>
          <t>2024-04-12</t>
        </is>
      </c>
      <c r="B14" t="inlineStr">
        <is>
          <t>2024년 11월 결산기 1분기 결산단신</t>
        </is>
      </c>
      <c r="C14" t="inlineStr">
        <is>
          <t>https://www2.jpx.co.jp/disc/39940/140120240411568723.pdf</t>
        </is>
      </c>
    </row>
    <row r="15">
      <c r="A15" t="inlineStr">
        <is>
          <t>2024-01-12</t>
        </is>
      </c>
      <c r="B15" t="inlineStr">
        <is>
          <t>2023년 11월 결산기 연간 결산단신</t>
        </is>
      </c>
      <c r="C15" t="inlineStr">
        <is>
          <t>https://www2.jpx.co.jp/disc/39940/140120240111513560.pdf</t>
        </is>
      </c>
    </row>
    <row r="16">
      <c r="A16" t="inlineStr">
        <is>
          <t>2023-10-13</t>
        </is>
      </c>
      <c r="B16" t="inlineStr">
        <is>
          <t>2023년 11월 결산기 3분기 결산단신</t>
        </is>
      </c>
      <c r="C16" t="inlineStr">
        <is>
          <t>https://www2.jpx.co.jp/disc/39940/140120231012566215.pdf</t>
        </is>
      </c>
    </row>
    <row r="17">
      <c r="A17" t="inlineStr">
        <is>
          <t>2023-07-18</t>
        </is>
      </c>
      <c r="B17" t="inlineStr">
        <is>
          <t>2023년 11월 결산기 2분기 결산단신</t>
        </is>
      </c>
      <c r="C17" t="inlineStr">
        <is>
          <t>https://www2.jpx.co.jp/disc/39940/140120230718523431.pdf</t>
        </is>
      </c>
    </row>
    <row r="18">
      <c r="A18" t="inlineStr">
        <is>
          <t>2023-04-14</t>
        </is>
      </c>
      <c r="B18" t="inlineStr">
        <is>
          <t>2023년 11월 결산기 1분기 결산단신</t>
        </is>
      </c>
      <c r="C18" t="inlineStr">
        <is>
          <t>https://www2.jpx.co.jp/disc/39940/140120230414547617.pdf</t>
        </is>
      </c>
    </row>
    <row r="19">
      <c r="A19" t="inlineStr">
        <is>
          <t>2023-01-16</t>
        </is>
      </c>
      <c r="B19" t="inlineStr">
        <is>
          <t>2022년 11월 결산기 연간 결산단신</t>
        </is>
      </c>
      <c r="C19" t="inlineStr">
        <is>
          <t>https://www2.jpx.co.jp/disc/39940/140120230116589952.pdf</t>
        </is>
      </c>
    </row>
    <row r="20">
      <c r="A20" t="inlineStr">
        <is>
          <t>2022-01-14</t>
        </is>
      </c>
      <c r="B20" t="inlineStr">
        <is>
          <t>2021년 11월 결산기 연간 결산단신</t>
        </is>
      </c>
      <c r="C20" t="inlineStr">
        <is>
          <t>https://www2.jpx.co.jp/disc/39940/140120220114568251.pdf</t>
        </is>
      </c>
    </row>
    <row r="21">
      <c r="A21" t="inlineStr">
        <is>
          <t>2021-01-14</t>
        </is>
      </c>
      <c r="B21" t="inlineStr">
        <is>
          <t>2020년 11월 결산기 연간 결산단신</t>
        </is>
      </c>
      <c r="C21" t="inlineStr">
        <is>
          <t>https://www2.jpx.co.jp/disc/39940/140120210114444309.pdf</t>
        </is>
      </c>
    </row>
    <row r="22">
      <c r="A22" t="inlineStr">
        <is>
          <t>2020-01-14</t>
        </is>
      </c>
      <c r="B22" t="inlineStr">
        <is>
          <t>2019년 11월 결산기 연간 결산단신</t>
        </is>
      </c>
      <c r="C22" t="inlineStr">
        <is>
          <t>https://www2.jpx.co.jp/disc/39940/140120200114446293.pdf</t>
        </is>
      </c>
    </row>
    <row r="23">
      <c r="A23" t="inlineStr">
        <is>
          <t>2019-01-15</t>
        </is>
      </c>
      <c r="B23" t="inlineStr">
        <is>
          <t>2018년 11월 결산기 연간 결산단신</t>
        </is>
      </c>
      <c r="C23" t="inlineStr">
        <is>
          <t>https://www2.jpx.co.jp/disc/39940/140120190115459679.pdf</t>
        </is>
      </c>
    </row>
    <row r="24">
      <c r="A24" t="inlineStr">
        <is>
          <t>2018-01-15</t>
        </is>
      </c>
      <c r="B24" t="inlineStr">
        <is>
          <t>연간 결산단신</t>
        </is>
      </c>
      <c r="C24" t="inlineStr">
        <is>
          <t>https://www2.jpx.co.jp/disc/39940/140120180115450636.pdf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2026-10-28T07:02:33Z</dcterms:created>
  <dcterms:modified xmlns:dcterms="http://purl.org/dc/terms/" xmlns:xsi="http://www.w3.org/2001/XMLSchema-instance" xsi:type="dcterms:W3CDTF">2026-10-28T07:02:34Z</dcterms:modified>
</cp:coreProperties>
</file>