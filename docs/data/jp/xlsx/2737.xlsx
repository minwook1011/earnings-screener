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2737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83713</v>
      </c>
      <c r="D4" s="12" t="n">
        <v>103182</v>
      </c>
      <c r="E4" s="12" t="n">
        <v>102886</v>
      </c>
      <c r="F4" s="12" t="n">
        <v>104418</v>
      </c>
      <c r="G4" s="12" t="n">
        <v>100208</v>
      </c>
      <c r="H4" s="12" t="n">
        <v>114159</v>
      </c>
      <c r="I4" s="12" t="n">
        <v>102386</v>
      </c>
      <c r="J4" s="12" t="n">
        <v>140703</v>
      </c>
      <c r="K4" s="12" t="n">
        <v>151258</v>
      </c>
      <c r="L4" s="12" t="n">
        <v>239321</v>
      </c>
      <c r="M4" s="12" t="n">
        <v>395578</v>
      </c>
      <c r="N4" s="12" t="n">
        <v>390262</v>
      </c>
      <c r="O4" s="11" t="n">
        <v>156677</v>
      </c>
      <c r="P4" s="12" t="n">
        <v>197569</v>
      </c>
      <c r="Q4" s="12" t="n">
        <v>217632</v>
      </c>
      <c r="R4" s="12" t="n">
        <v>260367</v>
      </c>
      <c r="S4" s="12" t="n">
        <v>302385</v>
      </c>
      <c r="T4" s="12" t="n">
        <v>462822</v>
      </c>
      <c r="U4" s="12" t="n">
        <v>417621</v>
      </c>
      <c r="V4" s="12" t="n">
        <v>370676</v>
      </c>
      <c r="W4" s="12" t="n">
        <v>421671</v>
      </c>
      <c r="X4" s="12" t="n">
        <v>633668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일본</t>
        </is>
      </c>
      <c r="B7" s="10" t="n"/>
      <c r="C7" s="19" t="n"/>
      <c r="D7" s="20" t="n">
        <v>29561</v>
      </c>
      <c r="E7" s="20" t="n">
        <v>30324</v>
      </c>
      <c r="F7" s="20" t="n"/>
      <c r="G7" s="20" t="n"/>
      <c r="H7" s="20" t="n">
        <v>30224</v>
      </c>
      <c r="I7" s="20" t="n">
        <v>27340</v>
      </c>
      <c r="J7" s="20" t="n"/>
      <c r="K7" s="20" t="n"/>
      <c r="L7" s="20" t="n">
        <v>51111</v>
      </c>
      <c r="M7" s="20" t="n">
        <v>132595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108753</v>
      </c>
      <c r="W7" s="20" t="n">
        <v>127314</v>
      </c>
      <c r="X7" s="20" t="n">
        <v>159885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해외</t>
        </is>
      </c>
      <c r="B10" s="10" t="n"/>
      <c r="C10" s="19" t="n"/>
      <c r="D10" s="20" t="n">
        <v>73621</v>
      </c>
      <c r="E10" s="20" t="n">
        <v>72562</v>
      </c>
      <c r="F10" s="20" t="n"/>
      <c r="G10" s="20" t="n"/>
      <c r="H10" s="20" t="n">
        <v>83935</v>
      </c>
      <c r="I10" s="20" t="n">
        <v>75046</v>
      </c>
      <c r="J10" s="20" t="n"/>
      <c r="K10" s="20" t="n"/>
      <c r="L10" s="20" t="n">
        <v>188211</v>
      </c>
      <c r="M10" s="20" t="n">
        <v>262983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261923</v>
      </c>
      <c r="W10" s="20" t="n">
        <v>294356</v>
      </c>
      <c r="X10" s="20" t="n">
        <v>473783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 합계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370676</v>
      </c>
      <c r="W13" s="20" t="n">
        <v>421671</v>
      </c>
      <c r="X13" s="20" t="n">
        <v>633668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81376</v>
      </c>
      <c r="D17" s="20" t="n">
        <v>99309</v>
      </c>
      <c r="E17" s="20" t="n">
        <v>98601</v>
      </c>
      <c r="F17" s="20" t="n">
        <v>100702</v>
      </c>
      <c r="G17" s="20" t="n">
        <v>96362</v>
      </c>
      <c r="H17" s="20" t="n">
        <v>111309</v>
      </c>
      <c r="I17" s="20" t="n">
        <v>99552</v>
      </c>
      <c r="J17" s="20" t="n">
        <v>133296</v>
      </c>
      <c r="K17" s="20" t="n">
        <v>144679</v>
      </c>
      <c r="L17" s="20" t="n">
        <v>231939</v>
      </c>
      <c r="M17" s="20" t="n">
        <v>371795</v>
      </c>
      <c r="N17" s="20" t="n">
        <v>373262</v>
      </c>
      <c r="O17" s="19" t="n">
        <v>153378</v>
      </c>
      <c r="P17" s="20" t="n">
        <v>192701</v>
      </c>
      <c r="Q17" s="20" t="n">
        <v>211440</v>
      </c>
      <c r="R17" s="20" t="n">
        <v>252944</v>
      </c>
      <c r="S17" s="20" t="n">
        <v>294526</v>
      </c>
      <c r="T17" s="20" t="n">
        <v>448491</v>
      </c>
      <c r="U17" s="20" t="n">
        <v>401486</v>
      </c>
      <c r="V17" s="20" t="n">
        <v>357004</v>
      </c>
      <c r="W17" s="20" t="n">
        <v>406974</v>
      </c>
      <c r="X17" s="20" t="n">
        <v>609466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922</v>
      </c>
      <c r="D23" s="20" t="n">
        <v>1511</v>
      </c>
      <c r="E23" s="20" t="n">
        <v>989</v>
      </c>
      <c r="F23" s="20" t="n">
        <v>1023</v>
      </c>
      <c r="G23" s="20" t="n">
        <v>1112</v>
      </c>
      <c r="H23" s="20" t="n">
        <v>1403</v>
      </c>
      <c r="I23" s="20" t="n">
        <v>986</v>
      </c>
      <c r="J23" s="20" t="n">
        <v>1087</v>
      </c>
      <c r="K23" s="20" t="n">
        <v>1346</v>
      </c>
      <c r="L23" s="20" t="n">
        <v>1998</v>
      </c>
      <c r="M23" s="20" t="n">
        <v>1500</v>
      </c>
      <c r="N23" s="20" t="n">
        <v>1740</v>
      </c>
      <c r="O23" s="19" t="n">
        <v>2046</v>
      </c>
      <c r="P23" s="20" t="n">
        <v>2269</v>
      </c>
      <c r="Q23" s="20" t="n">
        <v>2663</v>
      </c>
      <c r="R23" s="20" t="n">
        <v>2896</v>
      </c>
      <c r="S23" s="20" t="n">
        <v>2861</v>
      </c>
      <c r="T23" s="20" t="n">
        <v>3700</v>
      </c>
      <c r="U23" s="20" t="n">
        <v>3905</v>
      </c>
      <c r="V23" s="20" t="n">
        <v>4191</v>
      </c>
      <c r="W23" s="20" t="n">
        <v>4527</v>
      </c>
      <c r="X23" s="20" t="n">
        <v>5417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1416</v>
      </c>
      <c r="D25" s="12" t="n">
        <v>2361</v>
      </c>
      <c r="E25" s="12" t="n">
        <v>3295</v>
      </c>
      <c r="F25" s="12" t="n">
        <v>2693</v>
      </c>
      <c r="G25" s="12" t="n">
        <v>2735</v>
      </c>
      <c r="H25" s="12" t="n">
        <v>1446</v>
      </c>
      <c r="I25" s="12" t="n">
        <v>1846</v>
      </c>
      <c r="J25" s="12" t="n">
        <v>6321</v>
      </c>
      <c r="K25" s="12" t="n">
        <v>5233</v>
      </c>
      <c r="L25" s="12" t="n">
        <v>5384</v>
      </c>
      <c r="M25" s="12" t="n">
        <v>22282</v>
      </c>
      <c r="N25" s="12" t="n">
        <v>15260</v>
      </c>
      <c r="O25" s="11" t="n">
        <v>1252</v>
      </c>
      <c r="P25" s="12" t="n">
        <v>2598</v>
      </c>
      <c r="Q25" s="12" t="n">
        <v>3528</v>
      </c>
      <c r="R25" s="12" t="n">
        <v>4526</v>
      </c>
      <c r="S25" s="12" t="n">
        <v>4997</v>
      </c>
      <c r="T25" s="12" t="n">
        <v>10629</v>
      </c>
      <c r="U25" s="12" t="n">
        <v>12230</v>
      </c>
      <c r="V25" s="12" t="n">
        <v>9480</v>
      </c>
      <c r="W25" s="12" t="n">
        <v>10169</v>
      </c>
      <c r="X25" s="12" t="n">
        <v>18784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</v>
      </c>
      <c r="E41" s="20" t="n">
        <v>34</v>
      </c>
      <c r="F41" s="20" t="n">
        <v>0</v>
      </c>
      <c r="G41" s="20" t="n">
        <v>73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>
        <v>0</v>
      </c>
      <c r="V41" s="20" t="n">
        <v>445</v>
      </c>
      <c r="W41" s="20" t="n">
        <v>107</v>
      </c>
      <c r="X41" s="20" t="n">
        <v>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0</v>
      </c>
      <c r="D43" s="20" t="n">
        <v>-52</v>
      </c>
      <c r="E43" s="20" t="n">
        <v>0</v>
      </c>
      <c r="F43" s="20" t="n">
        <v>0</v>
      </c>
      <c r="G43" s="20" t="n">
        <v>0</v>
      </c>
      <c r="H43" s="20" t="n">
        <v>0</v>
      </c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>
        <v>0</v>
      </c>
      <c r="V43" s="20" t="n">
        <v>4184</v>
      </c>
      <c r="W43" s="20" t="n">
        <v>0</v>
      </c>
      <c r="X43" s="20" t="n"/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-8</v>
      </c>
      <c r="D45" s="20" t="n">
        <v>369</v>
      </c>
      <c r="E45" s="20" t="n">
        <v>27</v>
      </c>
      <c r="F45" s="20" t="n">
        <v>669</v>
      </c>
      <c r="G45" s="20" t="n">
        <v>-617</v>
      </c>
      <c r="H45" s="20" t="n">
        <v>-10</v>
      </c>
      <c r="I45" s="20" t="n">
        <v>373</v>
      </c>
      <c r="J45" s="20" t="n">
        <v>-333</v>
      </c>
      <c r="K45" s="20" t="n">
        <v>37</v>
      </c>
      <c r="L45" s="20" t="n">
        <v>2</v>
      </c>
      <c r="M45" s="20" t="n">
        <v>80</v>
      </c>
      <c r="N45" s="20" t="n">
        <v>273</v>
      </c>
      <c r="O45" s="19" t="n">
        <v>616</v>
      </c>
      <c r="P45" s="20" t="n">
        <v>107</v>
      </c>
      <c r="Q45" s="20" t="n">
        <v>45</v>
      </c>
      <c r="R45" s="20" t="n">
        <v>272</v>
      </c>
      <c r="S45" s="20" t="n">
        <v>89</v>
      </c>
      <c r="T45" s="20" t="n">
        <v>110</v>
      </c>
      <c r="U45" s="20" t="n">
        <v>53</v>
      </c>
      <c r="V45" s="20" t="n">
        <v>391</v>
      </c>
      <c r="W45" s="20" t="n">
        <v>69</v>
      </c>
      <c r="X45" s="20" t="n">
        <v>79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334</v>
      </c>
      <c r="D47" s="20" t="n">
        <v>1012</v>
      </c>
      <c r="E47" s="20" t="n">
        <v>1250</v>
      </c>
      <c r="F47" s="20" t="n">
        <v>-117</v>
      </c>
      <c r="G47" s="20" t="n">
        <v>1300</v>
      </c>
      <c r="H47" s="20" t="n">
        <v>427</v>
      </c>
      <c r="I47" s="20" t="n">
        <v>511</v>
      </c>
      <c r="J47" s="20" t="n">
        <v>699</v>
      </c>
      <c r="K47" s="20" t="n">
        <v>1861</v>
      </c>
      <c r="L47" s="20" t="n">
        <v>2469</v>
      </c>
      <c r="M47" s="20" t="n">
        <v>2622</v>
      </c>
      <c r="N47" s="20" t="n">
        <v>729</v>
      </c>
      <c r="O47" s="19" t="n">
        <v>178</v>
      </c>
      <c r="P47" s="20" t="n">
        <v>277</v>
      </c>
      <c r="Q47" s="20" t="n">
        <v>933</v>
      </c>
      <c r="R47" s="20" t="n">
        <v>425</v>
      </c>
      <c r="S47" s="20" t="n">
        <v>525</v>
      </c>
      <c r="T47" s="20" t="n">
        <v>2261</v>
      </c>
      <c r="U47" s="20" t="n">
        <v>5693</v>
      </c>
      <c r="V47" s="20" t="n">
        <v>3667</v>
      </c>
      <c r="W47" s="20" t="n">
        <v>2860</v>
      </c>
      <c r="X47" s="20" t="n">
        <v>5540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1072</v>
      </c>
      <c r="D49" s="12" t="n">
        <v>1768</v>
      </c>
      <c r="E49" s="12" t="n">
        <v>2107</v>
      </c>
      <c r="F49" s="12" t="n">
        <v>3479</v>
      </c>
      <c r="G49" s="12" t="n">
        <v>890</v>
      </c>
      <c r="H49" s="12" t="n">
        <v>1008</v>
      </c>
      <c r="I49" s="12" t="n">
        <v>1709</v>
      </c>
      <c r="J49" s="12" t="n">
        <v>5288</v>
      </c>
      <c r="K49" s="12" t="n">
        <v>3408</v>
      </c>
      <c r="L49" s="12" t="n">
        <v>2917</v>
      </c>
      <c r="M49" s="12" t="n">
        <v>19741</v>
      </c>
      <c r="N49" s="12" t="n">
        <v>14803</v>
      </c>
      <c r="O49" s="11" t="n">
        <v>1690</v>
      </c>
      <c r="P49" s="12" t="n">
        <v>2428</v>
      </c>
      <c r="Q49" s="12" t="n">
        <v>2639</v>
      </c>
      <c r="R49" s="12" t="n">
        <v>4374</v>
      </c>
      <c r="S49" s="12" t="n">
        <v>4561</v>
      </c>
      <c r="T49" s="12" t="n">
        <v>8478</v>
      </c>
      <c r="U49" s="12" t="n">
        <v>6589</v>
      </c>
      <c r="V49" s="12" t="n">
        <v>2463</v>
      </c>
      <c r="W49" s="12" t="n">
        <v>7484</v>
      </c>
      <c r="X49" s="12" t="n">
        <v>13322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281</v>
      </c>
      <c r="D51" s="20" t="n">
        <v>459</v>
      </c>
      <c r="E51" s="20" t="n">
        <v>567</v>
      </c>
      <c r="F51" s="20" t="n">
        <v>995</v>
      </c>
      <c r="G51" s="20" t="n">
        <v>159</v>
      </c>
      <c r="H51" s="20" t="n">
        <v>175</v>
      </c>
      <c r="I51" s="20" t="n">
        <v>438</v>
      </c>
      <c r="J51" s="20" t="n">
        <v>1780</v>
      </c>
      <c r="K51" s="20" t="n">
        <v>844</v>
      </c>
      <c r="L51" s="20" t="n">
        <v>245</v>
      </c>
      <c r="M51" s="20" t="n">
        <v>5221</v>
      </c>
      <c r="N51" s="20" t="n">
        <v>4209</v>
      </c>
      <c r="O51" s="19" t="n">
        <v>438</v>
      </c>
      <c r="P51" s="20" t="n">
        <v>659</v>
      </c>
      <c r="Q51" s="20" t="n">
        <v>701</v>
      </c>
      <c r="R51" s="20" t="n">
        <v>887</v>
      </c>
      <c r="S51" s="20" t="n">
        <v>1020</v>
      </c>
      <c r="T51" s="20" t="n">
        <v>1890</v>
      </c>
      <c r="U51" s="20" t="n">
        <v>1545</v>
      </c>
      <c r="V51" s="20" t="n">
        <v>359</v>
      </c>
      <c r="W51" s="20" t="n">
        <v>1896</v>
      </c>
      <c r="X51" s="20" t="n">
        <v>3307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792</v>
      </c>
      <c r="D53" s="12" t="n">
        <v>1308</v>
      </c>
      <c r="E53" s="12" t="n">
        <v>1539</v>
      </c>
      <c r="F53" s="12" t="n">
        <v>2485</v>
      </c>
      <c r="G53" s="12" t="n">
        <v>730</v>
      </c>
      <c r="H53" s="12" t="n">
        <v>834</v>
      </c>
      <c r="I53" s="12" t="n">
        <v>1270</v>
      </c>
      <c r="J53" s="12" t="n">
        <v>3509</v>
      </c>
      <c r="K53" s="12" t="n">
        <v>2563</v>
      </c>
      <c r="L53" s="12" t="n">
        <v>2673</v>
      </c>
      <c r="M53" s="12" t="n">
        <v>14520</v>
      </c>
      <c r="N53" s="12" t="n">
        <v>10594</v>
      </c>
      <c r="O53" s="11" t="n">
        <v>1251</v>
      </c>
      <c r="P53" s="12" t="n">
        <v>1769</v>
      </c>
      <c r="Q53" s="12" t="n">
        <v>1938</v>
      </c>
      <c r="R53" s="12" t="n">
        <v>3486</v>
      </c>
      <c r="S53" s="12" t="n">
        <v>3540</v>
      </c>
      <c r="T53" s="12" t="n">
        <v>6587</v>
      </c>
      <c r="U53" s="12" t="n">
        <v>5044</v>
      </c>
      <c r="V53" s="12" t="n">
        <v>2103</v>
      </c>
      <c r="W53" s="12" t="n">
        <v>5588</v>
      </c>
      <c r="X53" s="12" t="n">
        <v>10015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791</v>
      </c>
      <c r="D55" s="12" t="n">
        <v>1309</v>
      </c>
      <c r="E55" s="12" t="n">
        <v>1539</v>
      </c>
      <c r="F55" s="12" t="n">
        <v>2485</v>
      </c>
      <c r="G55" s="12" t="n">
        <v>730</v>
      </c>
      <c r="H55" s="12" t="n">
        <v>834</v>
      </c>
      <c r="I55" s="12" t="n">
        <v>1270</v>
      </c>
      <c r="J55" s="12" t="n">
        <v>3509</v>
      </c>
      <c r="K55" s="12" t="n">
        <v>2563</v>
      </c>
      <c r="L55" s="12" t="n">
        <v>2673</v>
      </c>
      <c r="M55" s="12" t="n">
        <v>14520</v>
      </c>
      <c r="N55" s="12" t="n">
        <v>10594</v>
      </c>
      <c r="O55" s="11" t="n">
        <v>1230</v>
      </c>
      <c r="P55" s="12" t="n">
        <v>1741</v>
      </c>
      <c r="Q55" s="12" t="n">
        <v>1902</v>
      </c>
      <c r="R55" s="12" t="n">
        <v>3382</v>
      </c>
      <c r="S55" s="12" t="n">
        <v>3446</v>
      </c>
      <c r="T55" s="12" t="n">
        <v>6379</v>
      </c>
      <c r="U55" s="12" t="n">
        <v>4906</v>
      </c>
      <c r="V55" s="12" t="n">
        <v>2096</v>
      </c>
      <c r="W55" s="12" t="n">
        <v>5588</v>
      </c>
      <c r="X55" s="12" t="n">
        <v>10015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25450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6802000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83713</v>
      </c>
      <c r="D90" s="12" t="n">
        <v>103182</v>
      </c>
      <c r="E90" s="12" t="n">
        <v>102886</v>
      </c>
      <c r="F90" s="12" t="n">
        <v>104418</v>
      </c>
      <c r="G90" s="12" t="n">
        <v>100208</v>
      </c>
      <c r="H90" s="12" t="n">
        <v>114159</v>
      </c>
      <c r="I90" s="12" t="n">
        <v>102386</v>
      </c>
      <c r="J90" s="12" t="n">
        <v>140703</v>
      </c>
      <c r="K90" s="12" t="n">
        <v>151258</v>
      </c>
      <c r="L90" s="12" t="n">
        <v>239321</v>
      </c>
      <c r="M90" s="12" t="n">
        <v>395578</v>
      </c>
      <c r="N90" s="12" t="n">
        <v>390262</v>
      </c>
      <c r="T90" s="12" t="n">
        <v>119133</v>
      </c>
      <c r="U90" s="12" t="n">
        <v>85375</v>
      </c>
      <c r="V90" s="12" t="n">
        <v>103182</v>
      </c>
      <c r="W90" s="12" t="n">
        <v>114159</v>
      </c>
      <c r="X90" s="12" t="n">
        <v>239321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81376</v>
      </c>
      <c r="D92" s="20" t="n">
        <v>99309</v>
      </c>
      <c r="E92" s="20" t="n">
        <v>98601</v>
      </c>
      <c r="F92" s="20" t="n">
        <v>100702</v>
      </c>
      <c r="G92" s="20" t="n">
        <v>96362</v>
      </c>
      <c r="H92" s="20" t="n">
        <v>111309</v>
      </c>
      <c r="I92" s="20" t="n">
        <v>99552</v>
      </c>
      <c r="J92" s="20" t="n">
        <v>133296</v>
      </c>
      <c r="K92" s="20" t="n">
        <v>144679</v>
      </c>
      <c r="L92" s="20" t="n">
        <v>231939</v>
      </c>
      <c r="M92" s="20" t="n">
        <v>371795</v>
      </c>
      <c r="N92" s="20" t="n">
        <v>373262</v>
      </c>
      <c r="T92" s="20" t="n">
        <v>116166</v>
      </c>
      <c r="U92" s="20" t="n">
        <v>82672</v>
      </c>
      <c r="V92" s="20" t="n">
        <v>99309</v>
      </c>
      <c r="W92" s="20" t="n">
        <v>111309</v>
      </c>
      <c r="X92" s="20" t="n">
        <v>231939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2337</v>
      </c>
      <c r="D94" s="12" t="n">
        <v>3872</v>
      </c>
      <c r="E94" s="12" t="n">
        <v>4285</v>
      </c>
      <c r="F94" s="12" t="n">
        <v>3716</v>
      </c>
      <c r="G94" s="12" t="n">
        <v>3846</v>
      </c>
      <c r="H94" s="12" t="n">
        <v>2849</v>
      </c>
      <c r="I94" s="12" t="n">
        <v>2833</v>
      </c>
      <c r="J94" s="12" t="n">
        <v>7407</v>
      </c>
      <c r="K94" s="12" t="n">
        <v>6579</v>
      </c>
      <c r="L94" s="12" t="n">
        <v>7383</v>
      </c>
      <c r="M94" s="12" t="n">
        <v>23783</v>
      </c>
      <c r="N94" s="12" t="n">
        <v>16999</v>
      </c>
      <c r="T94" s="12" t="n">
        <v>2966</v>
      </c>
      <c r="U94" s="12" t="n">
        <v>2703</v>
      </c>
      <c r="V94" s="12" t="n">
        <v>3872</v>
      </c>
      <c r="W94" s="12" t="n">
        <v>2849</v>
      </c>
      <c r="X94" s="12" t="n">
        <v>7383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922</v>
      </c>
      <c r="D96" s="20" t="n">
        <v>1511</v>
      </c>
      <c r="E96" s="20" t="n">
        <v>989</v>
      </c>
      <c r="F96" s="20" t="n">
        <v>1023</v>
      </c>
      <c r="G96" s="20" t="n">
        <v>1112</v>
      </c>
      <c r="H96" s="20" t="n">
        <v>1403</v>
      </c>
      <c r="I96" s="20" t="n">
        <v>986</v>
      </c>
      <c r="J96" s="20" t="n">
        <v>1087</v>
      </c>
      <c r="K96" s="20" t="n">
        <v>1346</v>
      </c>
      <c r="L96" s="20" t="n">
        <v>1998</v>
      </c>
      <c r="M96" s="20" t="n">
        <v>1500</v>
      </c>
      <c r="N96" s="20" t="n">
        <v>1740</v>
      </c>
      <c r="T96" s="20" t="n">
        <v>1277</v>
      </c>
      <c r="U96" s="20" t="n">
        <v>1252</v>
      </c>
      <c r="V96" s="20" t="n">
        <v>1511</v>
      </c>
      <c r="W96" s="20" t="n">
        <v>1403</v>
      </c>
      <c r="X96" s="20" t="n">
        <v>1998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T97" s="15">
        <f>IF(OR(T96="",S96=""),"",IF(T96*S96&lt;=0,"",IFERROR(T96/S96-1,"")))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1416</v>
      </c>
      <c r="D98" s="12" t="n">
        <v>2361</v>
      </c>
      <c r="E98" s="12" t="n">
        <v>3295</v>
      </c>
      <c r="F98" s="12" t="n">
        <v>2693</v>
      </c>
      <c r="G98" s="12" t="n">
        <v>2735</v>
      </c>
      <c r="H98" s="12" t="n">
        <v>1446</v>
      </c>
      <c r="I98" s="12" t="n">
        <v>1846</v>
      </c>
      <c r="J98" s="12" t="n">
        <v>6321</v>
      </c>
      <c r="K98" s="12" t="n">
        <v>5233</v>
      </c>
      <c r="L98" s="12" t="n">
        <v>5384</v>
      </c>
      <c r="M98" s="12" t="n">
        <v>22282</v>
      </c>
      <c r="N98" s="12" t="n">
        <v>15260</v>
      </c>
      <c r="T98" s="12" t="n">
        <v>1689</v>
      </c>
      <c r="U98" s="12" t="n">
        <v>1451</v>
      </c>
      <c r="V98" s="12" t="n">
        <v>2361</v>
      </c>
      <c r="W98" s="12" t="n">
        <v>1446</v>
      </c>
      <c r="X98" s="12" t="n">
        <v>5384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T99" s="15">
        <f>IF(OR(T98="",T90=""),"",IF(T90&lt;=0,"",IFERROR(T98/T90,"")))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T100" s="15">
        <f>IF(OR(T98="",S98=""),"",IF(S98&lt;=0,"",IFERROR(T98/S98-1,"")))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이자수익</t>
        </is>
      </c>
      <c r="C101" s="20" t="n">
        <v>3</v>
      </c>
      <c r="D101" s="20" t="n">
        <v>2</v>
      </c>
      <c r="E101" s="20" t="n">
        <v>8</v>
      </c>
      <c r="F101" s="20" t="n">
        <v>6</v>
      </c>
      <c r="G101" s="20" t="n">
        <v>12</v>
      </c>
      <c r="H101" s="20" t="n">
        <v>9</v>
      </c>
      <c r="I101" s="20" t="n">
        <v>13</v>
      </c>
      <c r="J101" s="20" t="n">
        <v>9</v>
      </c>
      <c r="K101" s="20" t="n">
        <v>11</v>
      </c>
      <c r="L101" s="20" t="n">
        <v>4</v>
      </c>
      <c r="M101" s="20" t="n">
        <v>5</v>
      </c>
      <c r="N101" s="20" t="n">
        <v>7</v>
      </c>
      <c r="T101" s="20" t="n">
        <v>1</v>
      </c>
      <c r="U101" s="20" t="n">
        <v>0</v>
      </c>
      <c r="V101" s="20" t="n">
        <v>2</v>
      </c>
      <c r="W101" s="20" t="n">
        <v>9</v>
      </c>
      <c r="X101" s="20" t="n">
        <v>4</v>
      </c>
    </row>
    <row r="102">
      <c r="A102" s="18" t="inlineStr">
        <is>
          <t>배당금수익</t>
        </is>
      </c>
      <c r="C102" s="20" t="n">
        <v>0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</row>
    <row r="103">
      <c r="A103" s="18" t="inlineStr">
        <is>
          <t>외환차익</t>
        </is>
      </c>
      <c r="E103" s="20" t="n">
        <v>0</v>
      </c>
      <c r="F103" s="20" t="n">
        <v>651</v>
      </c>
      <c r="I103" s="20" t="n">
        <v>349</v>
      </c>
      <c r="J103" s="20" t="n">
        <v>-349</v>
      </c>
      <c r="M103" s="20" t="n">
        <v>0</v>
      </c>
      <c r="N103" s="20" t="n">
        <v>219</v>
      </c>
    </row>
    <row r="104">
      <c r="A104" s="18" t="inlineStr">
        <is>
          <t>지분법이익</t>
        </is>
      </c>
      <c r="C104" s="20" t="n">
        <v>-6</v>
      </c>
      <c r="D104" s="20" t="n">
        <v>17</v>
      </c>
      <c r="E104" s="20" t="n">
        <v>18</v>
      </c>
      <c r="F104" s="20" t="n">
        <v>5</v>
      </c>
      <c r="G104" s="20" t="n">
        <v>6</v>
      </c>
      <c r="H104" s="20" t="n">
        <v>-2</v>
      </c>
      <c r="I104" s="20" t="n">
        <v>3</v>
      </c>
      <c r="J104" s="20" t="n">
        <v>6</v>
      </c>
      <c r="K104" s="20" t="n">
        <v>12</v>
      </c>
      <c r="L104" s="20" t="n">
        <v>8</v>
      </c>
      <c r="M104" s="20" t="n">
        <v>63</v>
      </c>
      <c r="N104" s="20" t="n">
        <v>29</v>
      </c>
      <c r="T104" s="20" t="n">
        <v>15</v>
      </c>
      <c r="U104" s="20" t="n">
        <v>-2</v>
      </c>
      <c r="V104" s="20" t="n">
        <v>17</v>
      </c>
      <c r="W104" s="20" t="n">
        <v>-2</v>
      </c>
      <c r="X104" s="20" t="n">
        <v>8</v>
      </c>
    </row>
    <row r="105">
      <c r="A105" s="18" t="inlineStr">
        <is>
          <t>기타</t>
        </is>
      </c>
      <c r="C105" s="20" t="n">
        <v>-4</v>
      </c>
      <c r="D105" s="20" t="n">
        <v>2</v>
      </c>
      <c r="E105" s="20" t="n">
        <v>0</v>
      </c>
      <c r="F105" s="20" t="n">
        <v>7</v>
      </c>
      <c r="G105" s="20" t="n">
        <v>17</v>
      </c>
      <c r="H105" s="20" t="n">
        <v>-19</v>
      </c>
      <c r="I105" s="20" t="n">
        <v>7</v>
      </c>
      <c r="J105" s="20" t="n">
        <v>1</v>
      </c>
      <c r="K105" s="20" t="n">
        <v>14</v>
      </c>
      <c r="L105" s="20" t="n">
        <v>-10</v>
      </c>
      <c r="M105" s="20" t="n">
        <v>11</v>
      </c>
      <c r="N105" s="20" t="n">
        <v>17</v>
      </c>
      <c r="T105" s="20" t="n">
        <v>8</v>
      </c>
      <c r="U105" s="20" t="n">
        <v>14</v>
      </c>
      <c r="V105" s="20" t="n">
        <v>2</v>
      </c>
      <c r="W105" s="20" t="n">
        <v>-19</v>
      </c>
      <c r="X105" s="20" t="n">
        <v>-10</v>
      </c>
    </row>
    <row r="106">
      <c r="A106" s="18" t="inlineStr">
        <is>
          <t>영업외수익 합계</t>
        </is>
      </c>
      <c r="C106" s="20" t="n">
        <v>-8</v>
      </c>
      <c r="D106" s="20" t="n">
        <v>369</v>
      </c>
      <c r="E106" s="20" t="n">
        <v>27</v>
      </c>
      <c r="F106" s="20" t="n">
        <v>669</v>
      </c>
      <c r="G106" s="20" t="n">
        <v>-617</v>
      </c>
      <c r="H106" s="20" t="n">
        <v>-10</v>
      </c>
      <c r="I106" s="20" t="n">
        <v>373</v>
      </c>
      <c r="J106" s="20" t="n">
        <v>-333</v>
      </c>
      <c r="K106" s="20" t="n">
        <v>37</v>
      </c>
      <c r="L106" s="20" t="n">
        <v>2</v>
      </c>
      <c r="M106" s="20" t="n">
        <v>80</v>
      </c>
      <c r="N106" s="20" t="n">
        <v>273</v>
      </c>
      <c r="T106" s="20" t="n">
        <v>37</v>
      </c>
      <c r="U106" s="20" t="n">
        <v>12</v>
      </c>
      <c r="V106" s="20" t="n">
        <v>369</v>
      </c>
      <c r="W106" s="20" t="n">
        <v>-10</v>
      </c>
      <c r="X106" s="20" t="n">
        <v>2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IF(OR(G106="",C106=""),"",IF(G106*C106&lt;=0,"",IFERROR(G106/C106-1,"")))</f>
        <v/>
      </c>
      <c r="H107" s="15">
        <f>IF(OR(H106="",D106=""),"",IF(H106*D106&lt;=0,"",IFERROR(H106/D106-1,"")))</f>
        <v/>
      </c>
      <c r="I107" s="15">
        <f>IF(OR(I106="",E106=""),"",IF(I106*E106&lt;=0,"",IFERROR(I106/E106-1,"")))</f>
        <v/>
      </c>
      <c r="J107" s="15">
        <f>IF(OR(J106="",F106=""),"",IF(J106*F106&lt;=0,"",IFERROR(J106/F106-1,"")))</f>
        <v/>
      </c>
      <c r="K107" s="15">
        <f>IF(OR(K106="",G106=""),"",IF(K106*G106&lt;=0,"",IFERROR(K106/G106-1,"")))</f>
        <v/>
      </c>
      <c r="L107" s="15">
        <f>IF(OR(L106="",H106=""),"",IF(L106*H106&lt;=0,"",IFERROR(L106/H106-1,"")))</f>
        <v/>
      </c>
      <c r="M107" s="15">
        <f>IF(OR(M106="",I106=""),"",IF(M106*I106&lt;=0,"",IFERROR(M106/I106-1,"")))</f>
        <v/>
      </c>
      <c r="N107" s="15">
        <f>IF(OR(N106="",J106=""),"",IF(N106*J106&lt;=0,"",IFERROR(N106/J106-1,"")))</f>
        <v/>
      </c>
      <c r="T107" s="15">
        <f>IF(OR(T106="",S106=""),"",IF(T106*S106&lt;=0,"",IFERROR(T106/S106-1,"")))</f>
        <v/>
      </c>
      <c r="U107" s="15">
        <f>IF(OR(U106="",T106=""),"",IF(U106*T106&lt;=0,"",IFERROR(U106/T106-1,"")))</f>
        <v/>
      </c>
      <c r="V107" s="15">
        <f>IF(OR(V106="",U106=""),"",IF(V106*U106&lt;=0,"",IFERROR(V106/U106-1,"")))</f>
        <v/>
      </c>
      <c r="W107" s="15">
        <f>IF(OR(W106="",V106=""),"",IF(W106*V106&lt;=0,"",IFERROR(W106/V106-1,"")))</f>
        <v/>
      </c>
      <c r="X107" s="15">
        <f>IF(OR(X106="",W106=""),"",IF(X106*W106&lt;=0,"",IFERROR(X106/W106-1,"")))</f>
        <v/>
      </c>
    </row>
    <row r="108">
      <c r="A108" s="18" t="inlineStr">
        <is>
          <t>이자비용</t>
        </is>
      </c>
      <c r="C108" s="20" t="n">
        <v>222</v>
      </c>
      <c r="D108" s="20" t="n">
        <v>408</v>
      </c>
      <c r="E108" s="20" t="n">
        <v>370</v>
      </c>
      <c r="F108" s="20" t="n">
        <v>569</v>
      </c>
      <c r="G108" s="20" t="n">
        <v>406</v>
      </c>
      <c r="H108" s="20" t="n">
        <v>453</v>
      </c>
      <c r="I108" s="20" t="n">
        <v>343</v>
      </c>
      <c r="J108" s="20" t="n">
        <v>509</v>
      </c>
      <c r="K108" s="20" t="n">
        <v>552</v>
      </c>
      <c r="L108" s="20" t="n">
        <v>662</v>
      </c>
      <c r="M108" s="20" t="n">
        <v>1216</v>
      </c>
      <c r="N108" s="20" t="n">
        <v>1345</v>
      </c>
      <c r="T108" s="20" t="n">
        <v>31</v>
      </c>
      <c r="U108" s="20" t="n">
        <v>356</v>
      </c>
      <c r="V108" s="20" t="n">
        <v>408</v>
      </c>
      <c r="W108" s="20" t="n">
        <v>453</v>
      </c>
      <c r="X108" s="20" t="n">
        <v>662</v>
      </c>
    </row>
    <row r="109">
      <c r="A109" s="18" t="inlineStr">
        <is>
          <t>채권매각손실</t>
        </is>
      </c>
      <c r="C109" s="20" t="n">
        <v>128</v>
      </c>
      <c r="D109" s="20" t="n">
        <v>117</v>
      </c>
      <c r="E109" s="20" t="n">
        <v>55</v>
      </c>
      <c r="F109" s="20" t="n">
        <v>122</v>
      </c>
      <c r="G109" s="20" t="n">
        <v>172</v>
      </c>
      <c r="H109" s="20" t="n">
        <v>136</v>
      </c>
      <c r="I109" s="20" t="n">
        <v>159</v>
      </c>
      <c r="J109" s="20" t="n">
        <v>109</v>
      </c>
      <c r="K109" s="20" t="n">
        <v>140</v>
      </c>
      <c r="L109" s="20" t="n">
        <v>109</v>
      </c>
      <c r="M109" s="20" t="n">
        <v>289</v>
      </c>
      <c r="N109" s="20" t="n">
        <v>463</v>
      </c>
      <c r="T109" s="20" t="n">
        <v>113</v>
      </c>
      <c r="U109" s="20" t="n">
        <v>12</v>
      </c>
      <c r="V109" s="20" t="n">
        <v>117</v>
      </c>
      <c r="W109" s="20" t="n">
        <v>136</v>
      </c>
      <c r="X109" s="20" t="n">
        <v>109</v>
      </c>
    </row>
    <row r="110">
      <c r="A110" s="18" t="inlineStr">
        <is>
          <t>외환차손</t>
        </is>
      </c>
      <c r="C110" s="20" t="n">
        <v>-22</v>
      </c>
      <c r="D110" s="20" t="n">
        <v>483</v>
      </c>
      <c r="E110" s="20" t="n">
        <v>815</v>
      </c>
      <c r="F110" s="20" t="n">
        <v>-815</v>
      </c>
      <c r="G110" s="20" t="n">
        <v>712</v>
      </c>
      <c r="H110" s="20" t="n">
        <v>-165</v>
      </c>
      <c r="I110" s="20" t="n">
        <v>0</v>
      </c>
      <c r="J110" s="20" t="n">
        <v>70</v>
      </c>
      <c r="K110" s="20" t="n">
        <v>1161</v>
      </c>
      <c r="L110" s="20" t="n">
        <v>1667</v>
      </c>
      <c r="M110" s="20" t="n">
        <v>1088</v>
      </c>
      <c r="N110" s="20" t="n">
        <v>-1088</v>
      </c>
      <c r="T110" s="20" t="n">
        <v>923</v>
      </c>
      <c r="U110" s="20" t="n">
        <v>353</v>
      </c>
      <c r="V110" s="20" t="n">
        <v>483</v>
      </c>
      <c r="W110" s="20" t="n">
        <v>-165</v>
      </c>
      <c r="X110" s="20" t="n">
        <v>1667</v>
      </c>
    </row>
    <row r="111">
      <c r="A111" s="18" t="inlineStr">
        <is>
          <t>기타</t>
        </is>
      </c>
      <c r="C111" s="20" t="n">
        <v>7</v>
      </c>
      <c r="D111" s="20" t="n">
        <v>4</v>
      </c>
      <c r="E111" s="20" t="n">
        <v>8</v>
      </c>
      <c r="F111" s="20" t="n">
        <v>8</v>
      </c>
      <c r="G111" s="20" t="n">
        <v>10</v>
      </c>
      <c r="H111" s="20" t="n">
        <v>3</v>
      </c>
      <c r="I111" s="20" t="n">
        <v>9</v>
      </c>
      <c r="J111" s="20" t="n">
        <v>10</v>
      </c>
      <c r="K111" s="20" t="n">
        <v>8</v>
      </c>
      <c r="L111" s="20" t="n">
        <v>30</v>
      </c>
      <c r="M111" s="20" t="n">
        <v>27</v>
      </c>
      <c r="N111" s="20" t="n">
        <v>10</v>
      </c>
      <c r="T111" s="20" t="n">
        <v>4</v>
      </c>
      <c r="U111" s="20" t="n">
        <v>4</v>
      </c>
      <c r="V111" s="20" t="n">
        <v>4</v>
      </c>
      <c r="W111" s="20" t="n">
        <v>3</v>
      </c>
      <c r="X111" s="20" t="n">
        <v>30</v>
      </c>
    </row>
    <row r="112">
      <c r="A112" s="18" t="inlineStr">
        <is>
          <t>영업외비용 합계</t>
        </is>
      </c>
      <c r="C112" s="20" t="n">
        <v>334</v>
      </c>
      <c r="D112" s="20" t="n">
        <v>1012</v>
      </c>
      <c r="E112" s="20" t="n">
        <v>1250</v>
      </c>
      <c r="F112" s="20" t="n">
        <v>-117</v>
      </c>
      <c r="G112" s="20" t="n">
        <v>1300</v>
      </c>
      <c r="H112" s="20" t="n">
        <v>427</v>
      </c>
      <c r="I112" s="20" t="n">
        <v>511</v>
      </c>
      <c r="J112" s="20" t="n">
        <v>699</v>
      </c>
      <c r="K112" s="20" t="n">
        <v>1861</v>
      </c>
      <c r="L112" s="20" t="n">
        <v>2469</v>
      </c>
      <c r="M112" s="20" t="n">
        <v>2622</v>
      </c>
      <c r="N112" s="20" t="n">
        <v>729</v>
      </c>
      <c r="T112" s="20" t="n">
        <v>1070</v>
      </c>
      <c r="U112" s="20" t="n">
        <v>734</v>
      </c>
      <c r="V112" s="20" t="n">
        <v>1012</v>
      </c>
      <c r="W112" s="20" t="n">
        <v>427</v>
      </c>
      <c r="X112" s="20" t="n">
        <v>2469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9" t="inlineStr">
        <is>
          <t>경상이익</t>
        </is>
      </c>
      <c r="C114" s="12" t="n">
        <v>1073</v>
      </c>
      <c r="D114" s="12" t="n">
        <v>1717</v>
      </c>
      <c r="E114" s="12" t="n">
        <v>2072</v>
      </c>
      <c r="F114" s="12" t="n">
        <v>3480</v>
      </c>
      <c r="G114" s="12" t="n">
        <v>816</v>
      </c>
      <c r="H114" s="12" t="n">
        <v>1009</v>
      </c>
      <c r="I114" s="12" t="n">
        <v>1709</v>
      </c>
      <c r="J114" s="12" t="n">
        <v>5288</v>
      </c>
      <c r="K114" s="12" t="n">
        <v>3408</v>
      </c>
      <c r="L114" s="12" t="n">
        <v>2917</v>
      </c>
      <c r="M114" s="12" t="n">
        <v>19741</v>
      </c>
      <c r="N114" s="12" t="n">
        <v>14803</v>
      </c>
      <c r="T114" s="12" t="n">
        <v>656</v>
      </c>
      <c r="U114" s="12" t="n">
        <v>728</v>
      </c>
      <c r="V114" s="12" t="n">
        <v>1717</v>
      </c>
      <c r="W114" s="12" t="n">
        <v>1009</v>
      </c>
      <c r="X114" s="12" t="n">
        <v>2917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IF(OR(G114="",C114=""),"",IF(C114&lt;=0,"",IFERROR(G114/C114-1,"")))</f>
        <v/>
      </c>
      <c r="H115" s="15">
        <f>IF(OR(H114="",D114=""),"",IF(D114&lt;=0,"",IFERROR(H114/D114-1,"")))</f>
        <v/>
      </c>
      <c r="I115" s="15">
        <f>IF(OR(I114="",E114=""),"",IF(E114&lt;=0,"",IFERROR(I114/E114-1,"")))</f>
        <v/>
      </c>
      <c r="J115" s="15">
        <f>IF(OR(J114="",F114=""),"",IF(F114&lt;=0,"",IFERROR(J114/F114-1,"")))</f>
        <v/>
      </c>
      <c r="K115" s="15">
        <f>IF(OR(K114="",G114=""),"",IF(G114&lt;=0,"",IFERROR(K114/G114-1,"")))</f>
        <v/>
      </c>
      <c r="L115" s="15">
        <f>IF(OR(L114="",H114=""),"",IF(H114&lt;=0,"",IFERROR(L114/H114-1,"")))</f>
        <v/>
      </c>
      <c r="M115" s="15">
        <f>IF(OR(M114="",I114=""),"",IF(I114&lt;=0,"",IFERROR(M114/I114-1,"")))</f>
        <v/>
      </c>
      <c r="N115" s="15">
        <f>IF(OR(N114="",J114=""),"",IF(J114&lt;=0,"",IFERROR(N114/J114-1,"")))</f>
        <v/>
      </c>
      <c r="T115" s="15">
        <f>IF(OR(T114="",S114=""),"",IF(S114&lt;=0,"",IFERROR(T114/S114-1,"")))</f>
        <v/>
      </c>
      <c r="U115" s="15">
        <f>IF(OR(U114="",T114=""),"",IF(T114&lt;=0,"",IFERROR(U114/T114-1,"")))</f>
        <v/>
      </c>
      <c r="V115" s="15">
        <f>IF(OR(V114="",U114=""),"",IF(U114&lt;=0,"",IFERROR(V114/U114-1,"")))</f>
        <v/>
      </c>
      <c r="W115" s="15">
        <f>IF(OR(W114="",V114=""),"",IF(V114&lt;=0,"",IFERROR(W114/V114-1,"")))</f>
        <v/>
      </c>
      <c r="X115" s="15">
        <f>IF(OR(X114="",W114=""),"",IF(W114&lt;=0,"",IFERROR(X114/W114-1,"")))</f>
        <v/>
      </c>
    </row>
    <row r="116">
      <c r="A116" s="18" t="inlineStr">
        <is>
          <t>투자유가증권 매각이익</t>
        </is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U116" s="20" t="n">
        <v>0</v>
      </c>
      <c r="V116" s="20" t="n">
        <v>0</v>
      </c>
      <c r="W116" s="20" t="n">
        <v>0</v>
      </c>
    </row>
    <row r="117">
      <c r="A117" s="18" t="inlineStr">
        <is>
          <t>상각채권 추심이익</t>
        </is>
      </c>
      <c r="C117" s="20" t="n">
        <v>0</v>
      </c>
      <c r="D117" s="20" t="n">
        <v>0</v>
      </c>
      <c r="E117" s="20" t="n">
        <v>34</v>
      </c>
      <c r="F117" s="20" t="n">
        <v>0</v>
      </c>
      <c r="G117" s="20" t="n">
        <v>73</v>
      </c>
      <c r="H117" s="20" t="n">
        <v>0</v>
      </c>
      <c r="I117" s="20" t="n">
        <v>0</v>
      </c>
      <c r="J117" s="20" t="n">
        <v>0</v>
      </c>
      <c r="K117" s="20" t="n">
        <v>0</v>
      </c>
      <c r="L117" s="20" t="n">
        <v>0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특별이익 합계</t>
        </is>
      </c>
      <c r="C118" s="20" t="n">
        <v>0</v>
      </c>
      <c r="D118" s="20" t="n">
        <v>0</v>
      </c>
      <c r="E118" s="20" t="n">
        <v>34</v>
      </c>
      <c r="F118" s="20" t="n">
        <v>0</v>
      </c>
      <c r="G118" s="20" t="n">
        <v>73</v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U118" s="20" t="n">
        <v>0</v>
      </c>
      <c r="V118" s="20" t="n">
        <v>0</v>
      </c>
      <c r="W118" s="20" t="n">
        <v>0</v>
      </c>
      <c r="X118" s="20" t="n">
        <v>0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K119" s="15">
        <f>IF(OR(K118="",G118=""),"",IF(K118*G118&lt;=0,"",IFERROR(K118/G118-1,"")))</f>
        <v/>
      </c>
      <c r="L119" s="15">
        <f>IF(OR(L118="",H118=""),"",IF(L118*H118&lt;=0,"",IFERROR(L118/H118-1,"")))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  <c r="X119" s="15">
        <f>IF(OR(X118="",W118=""),"",IF(X118*W118&lt;=0,"",IFERROR(X118/W118-1,"")))</f>
        <v/>
      </c>
    </row>
    <row r="120">
      <c r="A120" s="18" t="inlineStr">
        <is>
          <t>대손충당금 전입</t>
        </is>
      </c>
      <c r="C120" s="20" t="n">
        <v>0</v>
      </c>
      <c r="D120" s="20" t="n">
        <v>-51</v>
      </c>
      <c r="E120" s="20" t="n">
        <v>0</v>
      </c>
      <c r="F120" s="20" t="n">
        <v>0</v>
      </c>
      <c r="G120" s="20" t="n">
        <v>0</v>
      </c>
      <c r="H120" s="20" t="n">
        <v>0</v>
      </c>
      <c r="U120" s="20" t="n">
        <v>0</v>
      </c>
      <c r="V120" s="20" t="n">
        <v>-51</v>
      </c>
      <c r="W120" s="20" t="n">
        <v>0</v>
      </c>
    </row>
    <row r="121">
      <c r="A121" s="18" t="inlineStr">
        <is>
          <t>재고자산 평가손실</t>
        </is>
      </c>
      <c r="C121" s="20" t="n">
        <v>0</v>
      </c>
      <c r="D121" s="20" t="n">
        <v>0</v>
      </c>
      <c r="E121" s="20" t="n">
        <v>0</v>
      </c>
      <c r="F121" s="20" t="n">
        <v>0</v>
      </c>
      <c r="G121" s="20" t="n">
        <v>0</v>
      </c>
      <c r="H121" s="20" t="n">
        <v>0</v>
      </c>
      <c r="U121" s="20" t="n">
        <v>0</v>
      </c>
      <c r="V121" s="20" t="n">
        <v>0</v>
      </c>
      <c r="W121" s="20" t="n">
        <v>0</v>
      </c>
    </row>
    <row r="122">
      <c r="A122" s="18" t="inlineStr">
        <is>
          <t>특별손실 합계</t>
        </is>
      </c>
      <c r="C122" s="20" t="n">
        <v>0</v>
      </c>
      <c r="D122" s="20" t="n">
        <v>-52</v>
      </c>
      <c r="E122" s="20" t="n">
        <v>0</v>
      </c>
      <c r="F122" s="20" t="n">
        <v>0</v>
      </c>
      <c r="G122" s="20" t="n">
        <v>0</v>
      </c>
      <c r="H122" s="20" t="n">
        <v>0</v>
      </c>
      <c r="U122" s="20" t="n">
        <v>0</v>
      </c>
      <c r="V122" s="20" t="n">
        <v>-52</v>
      </c>
      <c r="W122" s="20" t="n">
        <v>0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U123" s="15">
        <f>IF(OR(U122="",T122=""),"",IF(U122*T122&lt;=0,"",IFERROR(U122/T122-1,"")))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</row>
    <row r="124">
      <c r="A124" s="9" t="inlineStr">
        <is>
          <t>법인세차감전 순이익</t>
        </is>
      </c>
      <c r="C124" s="12" t="n">
        <v>1072</v>
      </c>
      <c r="D124" s="12" t="n">
        <v>1768</v>
      </c>
      <c r="E124" s="12" t="n">
        <v>2107</v>
      </c>
      <c r="F124" s="12" t="n">
        <v>3479</v>
      </c>
      <c r="G124" s="12" t="n">
        <v>890</v>
      </c>
      <c r="H124" s="12" t="n">
        <v>1008</v>
      </c>
      <c r="I124" s="12" t="n">
        <v>1709</v>
      </c>
      <c r="J124" s="12" t="n">
        <v>5288</v>
      </c>
      <c r="K124" s="12" t="n">
        <v>3408</v>
      </c>
      <c r="L124" s="12" t="n">
        <v>2917</v>
      </c>
      <c r="M124" s="12" t="n">
        <v>19741</v>
      </c>
      <c r="N124" s="12" t="n">
        <v>14803</v>
      </c>
      <c r="T124" s="12" t="n">
        <v>656</v>
      </c>
      <c r="U124" s="12" t="n">
        <v>728</v>
      </c>
      <c r="V124" s="12" t="n">
        <v>1768</v>
      </c>
      <c r="W124" s="12" t="n">
        <v>1008</v>
      </c>
      <c r="X124" s="12" t="n">
        <v>2917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T125" s="15">
        <f>IF(OR(T124="",S124=""),"",IF(S124&lt;=0,"",IFERROR(T124/S124-1,"")))</f>
        <v/>
      </c>
      <c r="U125" s="15">
        <f>IF(OR(U124="",T124=""),"",IF(T124&lt;=0,"",IFERROR(U124/T124-1,"")))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6">
      <c r="A126" s="18" t="inlineStr">
        <is>
          <t>법인세 등</t>
        </is>
      </c>
      <c r="C126" s="20" t="n">
        <v>281</v>
      </c>
      <c r="D126" s="20" t="n">
        <v>459</v>
      </c>
      <c r="E126" s="20" t="n">
        <v>567</v>
      </c>
      <c r="F126" s="20" t="n">
        <v>995</v>
      </c>
      <c r="G126" s="20" t="n">
        <v>159</v>
      </c>
      <c r="H126" s="20" t="n">
        <v>175</v>
      </c>
      <c r="I126" s="20" t="n">
        <v>438</v>
      </c>
      <c r="J126" s="20" t="n">
        <v>1780</v>
      </c>
      <c r="K126" s="20" t="n">
        <v>844</v>
      </c>
      <c r="L126" s="20" t="n">
        <v>245</v>
      </c>
      <c r="M126" s="20" t="n">
        <v>5221</v>
      </c>
      <c r="N126" s="20" t="n">
        <v>4209</v>
      </c>
      <c r="T126" s="20" t="n">
        <v>56</v>
      </c>
      <c r="U126" s="20" t="n">
        <v>191</v>
      </c>
      <c r="V126" s="20" t="n">
        <v>459</v>
      </c>
      <c r="W126" s="20" t="n">
        <v>175</v>
      </c>
      <c r="X126" s="20" t="n">
        <v>245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순이익</t>
        </is>
      </c>
      <c r="C128" s="12" t="n">
        <v>792</v>
      </c>
      <c r="D128" s="12" t="n">
        <v>1308</v>
      </c>
      <c r="E128" s="12" t="n">
        <v>1539</v>
      </c>
      <c r="F128" s="12" t="n">
        <v>2485</v>
      </c>
      <c r="G128" s="12" t="n">
        <v>730</v>
      </c>
      <c r="H128" s="12" t="n">
        <v>834</v>
      </c>
      <c r="I128" s="12" t="n">
        <v>1270</v>
      </c>
      <c r="J128" s="12" t="n">
        <v>3509</v>
      </c>
      <c r="K128" s="12" t="n">
        <v>2563</v>
      </c>
      <c r="L128" s="12" t="n">
        <v>2673</v>
      </c>
      <c r="M128" s="12" t="n">
        <v>14520</v>
      </c>
      <c r="N128" s="12" t="n">
        <v>10594</v>
      </c>
      <c r="T128" s="12" t="n">
        <v>600</v>
      </c>
      <c r="U128" s="12" t="n">
        <v>538</v>
      </c>
      <c r="V128" s="12" t="n">
        <v>1308</v>
      </c>
      <c r="W128" s="12" t="n">
        <v>834</v>
      </c>
      <c r="X128" s="12" t="n">
        <v>2673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9" t="inlineStr">
        <is>
          <t>비지배주주 순이익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T130" s="12" t="n">
        <v>41</v>
      </c>
      <c r="U130" s="12" t="n">
        <v>1</v>
      </c>
      <c r="V130" s="12" t="n">
        <v>0</v>
      </c>
      <c r="W130" s="12" t="n">
        <v>0</v>
      </c>
    </row>
    <row r="131">
      <c r="A131" s="9" t="inlineStr">
        <is>
          <t>지배주주 순이익</t>
        </is>
      </c>
      <c r="C131" s="12" t="n">
        <v>791</v>
      </c>
      <c r="D131" s="12" t="n">
        <v>1309</v>
      </c>
      <c r="E131" s="12" t="n">
        <v>1539</v>
      </c>
      <c r="F131" s="12" t="n">
        <v>2485</v>
      </c>
      <c r="G131" s="12" t="n">
        <v>730</v>
      </c>
      <c r="H131" s="12" t="n">
        <v>834</v>
      </c>
      <c r="I131" s="12" t="n">
        <v>1270</v>
      </c>
      <c r="J131" s="12" t="n">
        <v>3509</v>
      </c>
      <c r="K131" s="12" t="n">
        <v>2563</v>
      </c>
      <c r="L131" s="12" t="n">
        <v>2673</v>
      </c>
      <c r="M131" s="12" t="n">
        <v>14520</v>
      </c>
      <c r="N131" s="12" t="n">
        <v>10594</v>
      </c>
      <c r="T131" s="12" t="n">
        <v>559</v>
      </c>
      <c r="U131" s="12" t="n">
        <v>537</v>
      </c>
      <c r="V131" s="12" t="n">
        <v>1309</v>
      </c>
      <c r="W131" s="12" t="n">
        <v>834</v>
      </c>
      <c r="X131" s="12" t="n">
        <v>2673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4">
      <c r="A134" s="16" t="inlineStr">
        <is>
          <t>포괄손익 · 전 항목</t>
        </is>
      </c>
      <c r="B134" s="42" t="inlineStr">
        <is>
          <t>분기 = 3개월 단독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2024.3Q</t>
        </is>
      </c>
      <c r="D135" s="5" t="inlineStr">
        <is>
          <t>2024.4Q</t>
        </is>
      </c>
      <c r="E135" s="5" t="inlineStr">
        <is>
          <t>2025.1Q</t>
        </is>
      </c>
      <c r="F135" s="5" t="inlineStr">
        <is>
          <t>2025.2Q</t>
        </is>
      </c>
      <c r="G135" s="5" t="inlineStr">
        <is>
          <t>2025.3Q</t>
        </is>
      </c>
      <c r="H135" s="5" t="inlineStr">
        <is>
          <t>2025.4Q</t>
        </is>
      </c>
      <c r="I135" s="5" t="inlineStr">
        <is>
          <t>2026.1Q</t>
        </is>
      </c>
      <c r="J135" s="5" t="inlineStr">
        <is>
          <t>2026.2Q</t>
        </is>
      </c>
      <c r="K135" s="5" t="inlineStr">
        <is>
          <t>2026.3Q</t>
        </is>
      </c>
      <c r="L135" s="5" t="inlineStr">
        <is>
          <t>2026.4Q</t>
        </is>
      </c>
      <c r="M135" s="5" t="inlineStr">
        <is>
          <t>2027.1Q</t>
        </is>
      </c>
      <c r="N135" s="5" t="inlineStr">
        <is>
          <t>2027.2Q</t>
        </is>
      </c>
      <c r="O135" s="5" t="inlineStr">
        <is>
          <t>2017</t>
        </is>
      </c>
      <c r="P135" s="5" t="inlineStr">
        <is>
          <t>2018</t>
        </is>
      </c>
      <c r="Q135" s="5" t="inlineStr">
        <is>
          <t>2019</t>
        </is>
      </c>
      <c r="R135" s="5" t="inlineStr">
        <is>
          <t>2020</t>
        </is>
      </c>
      <c r="S135" s="5" t="inlineStr">
        <is>
          <t>2021</t>
        </is>
      </c>
      <c r="T135" s="5" t="inlineStr">
        <is>
          <t>2022</t>
        </is>
      </c>
      <c r="U135" s="5" t="inlineStr">
        <is>
          <t>2023</t>
        </is>
      </c>
      <c r="V135" s="5" t="inlineStr">
        <is>
          <t>2024</t>
        </is>
      </c>
      <c r="W135" s="5" t="inlineStr">
        <is>
          <t>2025</t>
        </is>
      </c>
      <c r="X135" s="5" t="inlineStr">
        <is>
          <t>2026</t>
        </is>
      </c>
      <c r="Y135" s="5" t="inlineStr">
        <is>
          <t>2027(MW)</t>
        </is>
      </c>
      <c r="Z135" s="5" t="inlineStr">
        <is>
          <t>2028(MW)</t>
        </is>
      </c>
      <c r="AA135" s="5" t="inlineStr">
        <is>
          <t>2029(MW)</t>
        </is>
      </c>
      <c r="AB135" s="5" t="inlineStr">
        <is>
          <t>2030(MW)</t>
        </is>
      </c>
      <c r="AC135" s="5" t="inlineStr">
        <is>
          <t>2031(MW)</t>
        </is>
      </c>
    </row>
    <row r="136">
      <c r="A136" s="9" t="inlineStr">
        <is>
          <t>순이익</t>
        </is>
      </c>
      <c r="C136" s="12" t="n">
        <v>792</v>
      </c>
      <c r="D136" s="12" t="n">
        <v>1308</v>
      </c>
      <c r="E136" s="12" t="n">
        <v>1539</v>
      </c>
      <c r="F136" s="12" t="n">
        <v>2485</v>
      </c>
      <c r="G136" s="12" t="n">
        <v>730</v>
      </c>
      <c r="H136" s="12" t="n">
        <v>834</v>
      </c>
      <c r="I136" s="12" t="n">
        <v>1270</v>
      </c>
      <c r="J136" s="12" t="n">
        <v>3509</v>
      </c>
      <c r="K136" s="12" t="n">
        <v>2563</v>
      </c>
      <c r="L136" s="12" t="n">
        <v>2673</v>
      </c>
      <c r="M136" s="12" t="n">
        <v>14520</v>
      </c>
      <c r="N136" s="12" t="n">
        <v>10594</v>
      </c>
      <c r="T136" s="12" t="n">
        <v>600</v>
      </c>
      <c r="U136" s="12" t="n">
        <v>538</v>
      </c>
      <c r="V136" s="12" t="n">
        <v>1308</v>
      </c>
      <c r="W136" s="12" t="n">
        <v>834</v>
      </c>
      <c r="X136" s="12" t="n">
        <v>2673</v>
      </c>
    </row>
    <row r="137">
      <c r="A137" s="18" t="inlineStr">
        <is>
          <t>기타유가증권 평가차액</t>
        </is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T137" s="20" t="n">
        <v>-53</v>
      </c>
      <c r="U137" s="20" t="n">
        <v>70</v>
      </c>
      <c r="V137" s="20" t="n">
        <v>0</v>
      </c>
      <c r="W137" s="20" t="n">
        <v>0</v>
      </c>
    </row>
    <row r="138">
      <c r="A138" s="18" t="inlineStr">
        <is>
          <t>이연헤지손익</t>
        </is>
      </c>
      <c r="C138" s="20" t="n">
        <v>120</v>
      </c>
      <c r="D138" s="20" t="n">
        <v>-178</v>
      </c>
      <c r="E138" s="20" t="n">
        <v>-132</v>
      </c>
      <c r="F138" s="20" t="n">
        <v>315</v>
      </c>
      <c r="G138" s="20" t="n">
        <v>-398</v>
      </c>
      <c r="H138" s="20" t="n">
        <v>427</v>
      </c>
      <c r="I138" s="20" t="n">
        <v>-9</v>
      </c>
      <c r="J138" s="20" t="n">
        <v>-345</v>
      </c>
      <c r="K138" s="20" t="n">
        <v>-209</v>
      </c>
      <c r="L138" s="20" t="n">
        <v>-65</v>
      </c>
      <c r="M138" s="20" t="n">
        <v>-293</v>
      </c>
      <c r="N138" s="20" t="n">
        <v>751</v>
      </c>
      <c r="T138" s="20" t="n">
        <v>-53</v>
      </c>
      <c r="U138" s="20" t="n">
        <v>-22</v>
      </c>
      <c r="V138" s="20" t="n">
        <v>-178</v>
      </c>
      <c r="W138" s="20" t="n">
        <v>427</v>
      </c>
      <c r="X138" s="20" t="n">
        <v>-65</v>
      </c>
    </row>
    <row r="139">
      <c r="A139" s="18" t="inlineStr">
        <is>
          <t>해외사업환산조정</t>
        </is>
      </c>
      <c r="C139" s="20" t="n">
        <v>-1212</v>
      </c>
      <c r="D139" s="20" t="n">
        <v>1537</v>
      </c>
      <c r="E139" s="20" t="n">
        <v>1612</v>
      </c>
      <c r="F139" s="20" t="n">
        <v>-3092</v>
      </c>
      <c r="G139" s="20" t="n">
        <v>2687</v>
      </c>
      <c r="H139" s="20" t="n">
        <v>-1534</v>
      </c>
      <c r="I139" s="20" t="n">
        <v>-863</v>
      </c>
      <c r="J139" s="20" t="n">
        <v>784</v>
      </c>
      <c r="K139" s="20" t="n">
        <v>1549</v>
      </c>
      <c r="L139" s="20" t="n">
        <v>799</v>
      </c>
      <c r="M139" s="20" t="n">
        <v>721</v>
      </c>
      <c r="N139" s="20" t="n">
        <v>-1421</v>
      </c>
      <c r="T139" s="20" t="n">
        <v>932</v>
      </c>
      <c r="U139" s="20" t="n">
        <v>128</v>
      </c>
      <c r="V139" s="20" t="n">
        <v>1537</v>
      </c>
      <c r="W139" s="20" t="n">
        <v>-1534</v>
      </c>
      <c r="X139" s="20" t="n">
        <v>799</v>
      </c>
    </row>
    <row r="140">
      <c r="A140" s="18" t="inlineStr">
        <is>
          <t>기타포괄손익 합계</t>
        </is>
      </c>
      <c r="C140" s="20" t="n">
        <v>-1092</v>
      </c>
      <c r="D140" s="20" t="n">
        <v>1359</v>
      </c>
      <c r="E140" s="20" t="n">
        <v>1480</v>
      </c>
      <c r="F140" s="20" t="n">
        <v>-2776</v>
      </c>
      <c r="G140" s="20" t="n">
        <v>2288</v>
      </c>
      <c r="H140" s="20" t="n">
        <v>-1107</v>
      </c>
      <c r="I140" s="20" t="n">
        <v>-873</v>
      </c>
      <c r="J140" s="20" t="n">
        <v>439</v>
      </c>
      <c r="K140" s="20" t="n">
        <v>1340</v>
      </c>
      <c r="L140" s="20" t="n">
        <v>735</v>
      </c>
      <c r="M140" s="20" t="n">
        <v>427</v>
      </c>
      <c r="N140" s="20" t="n">
        <v>-668</v>
      </c>
      <c r="T140" s="20" t="n">
        <v>827</v>
      </c>
      <c r="U140" s="20" t="n">
        <v>178</v>
      </c>
      <c r="V140" s="20" t="n">
        <v>1359</v>
      </c>
      <c r="W140" s="20" t="n">
        <v>-1107</v>
      </c>
      <c r="X140" s="20" t="n">
        <v>735</v>
      </c>
    </row>
    <row r="141">
      <c r="A141" s="9" t="inlineStr">
        <is>
          <t>포괄이익</t>
        </is>
      </c>
      <c r="C141" s="12" t="n">
        <v>-301</v>
      </c>
      <c r="D141" s="12" t="n">
        <v>2668</v>
      </c>
      <c r="E141" s="12" t="n">
        <v>3020</v>
      </c>
      <c r="F141" s="12" t="n">
        <v>-293</v>
      </c>
      <c r="G141" s="12" t="n">
        <v>3019</v>
      </c>
      <c r="H141" s="12" t="n">
        <v>-273</v>
      </c>
      <c r="I141" s="12" t="n">
        <v>396</v>
      </c>
      <c r="J141" s="12" t="n">
        <v>3949</v>
      </c>
      <c r="K141" s="12" t="n">
        <v>3904</v>
      </c>
      <c r="L141" s="12" t="n">
        <v>3408</v>
      </c>
      <c r="M141" s="12" t="n">
        <v>14947</v>
      </c>
      <c r="N141" s="12" t="n">
        <v>9925</v>
      </c>
      <c r="T141" s="12" t="n">
        <v>1427</v>
      </c>
      <c r="U141" s="12" t="n">
        <v>715</v>
      </c>
      <c r="V141" s="12" t="n">
        <v>2668</v>
      </c>
      <c r="W141" s="12" t="n">
        <v>-273</v>
      </c>
      <c r="X141" s="12" t="n">
        <v>3408</v>
      </c>
    </row>
    <row r="142">
      <c r="A142" s="9" t="inlineStr">
        <is>
          <t>지배주주 포괄이익</t>
        </is>
      </c>
      <c r="C142" s="12" t="n">
        <v>-301</v>
      </c>
      <c r="D142" s="12" t="n">
        <v>2668</v>
      </c>
      <c r="E142" s="12" t="n">
        <v>3020</v>
      </c>
      <c r="F142" s="12" t="n">
        <v>-293</v>
      </c>
      <c r="G142" s="12" t="n">
        <v>3019</v>
      </c>
      <c r="H142" s="12" t="n">
        <v>-273</v>
      </c>
      <c r="I142" s="12" t="n">
        <v>396</v>
      </c>
      <c r="J142" s="12" t="n">
        <v>3949</v>
      </c>
      <c r="K142" s="12" t="n">
        <v>3904</v>
      </c>
      <c r="L142" s="12" t="n">
        <v>3408</v>
      </c>
      <c r="M142" s="12" t="n">
        <v>14947</v>
      </c>
      <c r="N142" s="12" t="n">
        <v>9925</v>
      </c>
      <c r="T142" s="12" t="n">
        <v>1340</v>
      </c>
      <c r="U142" s="12" t="n">
        <v>708</v>
      </c>
      <c r="V142" s="12" t="n">
        <v>2668</v>
      </c>
      <c r="W142" s="12" t="n">
        <v>-273</v>
      </c>
      <c r="X142" s="12" t="n">
        <v>3408</v>
      </c>
    </row>
    <row r="143">
      <c r="A143" s="9" t="inlineStr">
        <is>
          <t>비지배주주 포괄이익</t>
        </is>
      </c>
      <c r="C143" s="12" t="n">
        <v>0</v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T143" s="12" t="n">
        <v>87</v>
      </c>
      <c r="U143" s="12" t="n">
        <v>7</v>
      </c>
      <c r="V143" s="12" t="n">
        <v>0</v>
      </c>
      <c r="W143" s="12" t="n">
        <v>0</v>
      </c>
    </row>
    <row r="145">
      <c r="A145" s="16" t="inlineStr">
        <is>
          <t>부문 · 전 항목</t>
        </is>
      </c>
      <c r="B145" s="42" t="inlineStr">
        <is>
          <t>부문 · 항목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2024.3Q</t>
        </is>
      </c>
      <c r="D146" s="5" t="inlineStr">
        <is>
          <t>2024.4Q</t>
        </is>
      </c>
      <c r="E146" s="5" t="inlineStr">
        <is>
          <t>2025.1Q</t>
        </is>
      </c>
      <c r="F146" s="5" t="inlineStr">
        <is>
          <t>2025.2Q</t>
        </is>
      </c>
      <c r="G146" s="5" t="inlineStr">
        <is>
          <t>2025.3Q</t>
        </is>
      </c>
      <c r="H146" s="5" t="inlineStr">
        <is>
          <t>2025.4Q</t>
        </is>
      </c>
      <c r="I146" s="5" t="inlineStr">
        <is>
          <t>2026.1Q</t>
        </is>
      </c>
      <c r="J146" s="5" t="inlineStr">
        <is>
          <t>2026.2Q</t>
        </is>
      </c>
      <c r="K146" s="5" t="inlineStr">
        <is>
          <t>2026.3Q</t>
        </is>
      </c>
      <c r="L146" s="5" t="inlineStr">
        <is>
          <t>2026.4Q</t>
        </is>
      </c>
      <c r="M146" s="5" t="inlineStr">
        <is>
          <t>2027.1Q</t>
        </is>
      </c>
      <c r="N146" s="5" t="inlineStr">
        <is>
          <t>2027.2Q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18" t="inlineStr">
        <is>
          <t>일본 · 외부 고객 매출</t>
        </is>
      </c>
      <c r="D147" s="20" t="n">
        <v>29561</v>
      </c>
      <c r="E147" s="20" t="n">
        <v>30324</v>
      </c>
      <c r="H147" s="20" t="n">
        <v>30224</v>
      </c>
      <c r="I147" s="20" t="n">
        <v>27340</v>
      </c>
      <c r="L147" s="20" t="n">
        <v>51111</v>
      </c>
      <c r="M147" s="20" t="n">
        <v>132595</v>
      </c>
      <c r="V147" s="20" t="n">
        <v>29561</v>
      </c>
      <c r="W147" s="20" t="n">
        <v>30224</v>
      </c>
      <c r="X147" s="20" t="n">
        <v>51111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해외 · 외부 고객 매출</t>
        </is>
      </c>
      <c r="D149" s="20" t="n">
        <v>73621</v>
      </c>
      <c r="E149" s="20" t="n">
        <v>72562</v>
      </c>
      <c r="H149" s="20" t="n">
        <v>83935</v>
      </c>
      <c r="I149" s="20" t="n">
        <v>75046</v>
      </c>
      <c r="L149" s="20" t="n">
        <v>188211</v>
      </c>
      <c r="M149" s="20" t="n">
        <v>262983</v>
      </c>
      <c r="V149" s="20" t="n">
        <v>73621</v>
      </c>
      <c r="W149" s="20" t="n">
        <v>83935</v>
      </c>
      <c r="X149" s="20" t="n">
        <v>188211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보고부문 합계 · 외부 고객 매출</t>
        </is>
      </c>
      <c r="E151" s="20" t="n">
        <v>102886</v>
      </c>
      <c r="I151" s="20" t="n">
        <v>102386</v>
      </c>
      <c r="M151" s="20" t="n">
        <v>395578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I152" s="15">
        <f>IF(OR(I151="",E151=""),"",IF(E151&lt;=0,"",IFERROR(I151/E151-1,"")))</f>
        <v/>
      </c>
      <c r="M152" s="15">
        <f>IF(OR(M151="",I151=""),"",IF(I151&lt;=0,"",IFERROR(M151/I151-1,"")))</f>
        <v/>
      </c>
    </row>
    <row r="153">
      <c r="A153" s="18" t="inlineStr">
        <is>
          <t>일본 · 부문 간 내부매출·대체</t>
        </is>
      </c>
      <c r="D153" s="20" t="n">
        <v>8938</v>
      </c>
      <c r="E153" s="20" t="n">
        <v>14003</v>
      </c>
      <c r="H153" s="20" t="n">
        <v>9473</v>
      </c>
      <c r="I153" s="20" t="n">
        <v>10818</v>
      </c>
      <c r="L153" s="20" t="n">
        <v>17147</v>
      </c>
      <c r="M153" s="20" t="n">
        <v>38742</v>
      </c>
      <c r="V153" s="20" t="n">
        <v>8938</v>
      </c>
      <c r="W153" s="20" t="n">
        <v>9473</v>
      </c>
      <c r="X153" s="20" t="n">
        <v>17147</v>
      </c>
    </row>
    <row r="154">
      <c r="A154" s="18" t="inlineStr">
        <is>
          <t>해외 · 부문 간 내부매출·대체</t>
        </is>
      </c>
      <c r="D154" s="20" t="n">
        <v>1209</v>
      </c>
      <c r="E154" s="20" t="n">
        <v>3</v>
      </c>
      <c r="H154" s="20" t="n">
        <v>0</v>
      </c>
      <c r="I154" s="20" t="n">
        <v>30</v>
      </c>
      <c r="L154" s="20" t="n">
        <v>0</v>
      </c>
      <c r="M154" s="20" t="n">
        <v>0</v>
      </c>
      <c r="V154" s="20" t="n">
        <v>1209</v>
      </c>
      <c r="W154" s="20" t="n">
        <v>0</v>
      </c>
      <c r="X154" s="20" t="n">
        <v>0</v>
      </c>
    </row>
    <row r="155">
      <c r="A155" s="18" t="inlineStr">
        <is>
          <t>보고부문 합계 · 부문 간 내부매출·대체</t>
        </is>
      </c>
      <c r="E155" s="20" t="n">
        <v>14006</v>
      </c>
      <c r="I155" s="20" t="n">
        <v>10849</v>
      </c>
      <c r="M155" s="20" t="n">
        <v>38742</v>
      </c>
    </row>
    <row r="156">
      <c r="A156" s="18" t="inlineStr">
        <is>
          <t>일본 · 계</t>
        </is>
      </c>
      <c r="D156" s="20" t="n">
        <v>38500</v>
      </c>
      <c r="E156" s="20" t="n">
        <v>44327</v>
      </c>
      <c r="H156" s="20" t="n">
        <v>39697</v>
      </c>
      <c r="I156" s="20" t="n">
        <v>38159</v>
      </c>
      <c r="L156" s="20" t="n">
        <v>68259</v>
      </c>
      <c r="M156" s="20" t="n">
        <v>171337</v>
      </c>
      <c r="V156" s="20" t="n">
        <v>38500</v>
      </c>
      <c r="W156" s="20" t="n">
        <v>39697</v>
      </c>
      <c r="X156" s="20" t="n">
        <v>68259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해외 · 계</t>
        </is>
      </c>
      <c r="D158" s="20" t="n">
        <v>74830</v>
      </c>
      <c r="E158" s="20" t="n">
        <v>72565</v>
      </c>
      <c r="H158" s="20" t="n">
        <v>83935</v>
      </c>
      <c r="I158" s="20" t="n">
        <v>75076</v>
      </c>
      <c r="L158" s="20" t="n">
        <v>188210</v>
      </c>
      <c r="M158" s="20" t="n">
        <v>262983</v>
      </c>
      <c r="V158" s="20" t="n">
        <v>74830</v>
      </c>
      <c r="W158" s="20" t="n">
        <v>83935</v>
      </c>
      <c r="X158" s="20" t="n">
        <v>188210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보고부문 합계 · 계</t>
        </is>
      </c>
      <c r="E160" s="20" t="n">
        <v>116893</v>
      </c>
      <c r="I160" s="20" t="n">
        <v>113236</v>
      </c>
      <c r="M160" s="20" t="n">
        <v>434321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I161" s="15">
        <f>IF(OR(I160="",E160=""),"",IF(E160&lt;=0,"",IFERROR(I160/E160-1,"")))</f>
        <v/>
      </c>
      <c r="M161" s="15">
        <f>IF(OR(M160="",I160=""),"",IF(I160&lt;=0,"",IFERROR(M160/I160-1,"")))</f>
        <v/>
      </c>
    </row>
    <row r="162">
      <c r="A162" s="18" t="inlineStr">
        <is>
          <t>일본 · 부문 이익</t>
        </is>
      </c>
      <c r="D162" s="20" t="n">
        <v>740</v>
      </c>
      <c r="E162" s="20" t="n">
        <v>2052</v>
      </c>
      <c r="H162" s="20" t="n">
        <v>-159</v>
      </c>
      <c r="I162" s="20" t="n">
        <v>654</v>
      </c>
      <c r="L162" s="20" t="n">
        <v>66</v>
      </c>
      <c r="M162" s="20" t="n">
        <v>12782</v>
      </c>
      <c r="V162" s="20" t="n">
        <v>740</v>
      </c>
      <c r="W162" s="20" t="n">
        <v>-159</v>
      </c>
      <c r="X162" s="20" t="n">
        <v>66</v>
      </c>
    </row>
    <row r="163">
      <c r="A163" s="43" t="inlineStr">
        <is>
          <t>OPM</t>
        </is>
      </c>
      <c r="B163" s="3" t="inlineStr">
        <is>
          <t>영업이익 ÷ 매출</t>
        </is>
      </c>
      <c r="D163" s="15">
        <f>IF(OR(D162="",D156=""),"",IF(D156&lt;=0,"",IFERROR(D162/D156,"")))</f>
        <v/>
      </c>
      <c r="E163" s="15">
        <f>IF(OR(E162="",E156=""),"",IF(E156&lt;=0,"",IFERROR(E162/E156,"")))</f>
        <v/>
      </c>
      <c r="H163" s="15">
        <f>IF(OR(H162="",H156=""),"",IF(H156&lt;=0,"",IFERROR(H162/H156,"")))</f>
        <v/>
      </c>
      <c r="I163" s="15">
        <f>IF(OR(I162="",I156=""),"",IF(I156&lt;=0,"",IFERROR(I162/I156,"")))</f>
        <v/>
      </c>
      <c r="L163" s="15">
        <f>IF(OR(L162="",L156=""),"",IF(L156&lt;=0,"",IFERROR(L162/L156,"")))</f>
        <v/>
      </c>
      <c r="M163" s="15">
        <f>IF(OR(M162="",M156=""),"",IF(M156&lt;=0,"",IFERROR(M162/M156,"")))</f>
        <v/>
      </c>
      <c r="V163" s="15">
        <f>IF(OR(V162="",V156=""),"",IF(V156&lt;=0,"",IFERROR(V162/V156,"")))</f>
        <v/>
      </c>
      <c r="W163" s="15">
        <f>IF(OR(W162="",W156=""),"",IF(W156&lt;=0,"",IFERROR(W162/W156,"")))</f>
        <v/>
      </c>
      <c r="X163" s="15">
        <f>IF(OR(X162="",X156=""),"",IF(X156&lt;=0,"",IFERROR(X162/X156,"")))</f>
        <v/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H164" s="15">
        <f>IF(OR(H162="",D162=""),"",IF(D162&lt;=0,"",IFERROR(H162/D162-1,"")))</f>
        <v/>
      </c>
      <c r="I164" s="15">
        <f>IF(OR(I162="",E162=""),"",IF(E162&lt;=0,"",IFERROR(I162/E162-1,"")))</f>
        <v/>
      </c>
      <c r="L164" s="15">
        <f>IF(OR(L162="",H162=""),"",IF(H162&lt;=0,"",IFERROR(L162/H162-1,"")))</f>
        <v/>
      </c>
      <c r="M164" s="15">
        <f>IF(OR(M162="",I162=""),"",IF(I162&lt;=0,"",IFERROR(M162/I162-1,"")))</f>
        <v/>
      </c>
      <c r="V164" s="15">
        <f>IF(OR(V162="",U162=""),"",IF(U162&lt;=0,"",IFERROR(V162/U162-1,"")))</f>
        <v/>
      </c>
      <c r="W164" s="15">
        <f>IF(OR(W162="",V162=""),"",IF(V162&lt;=0,"",IFERROR(W162/V162-1,"")))</f>
        <v/>
      </c>
      <c r="X164" s="15">
        <f>IF(OR(X162="",W162=""),"",IF(W162&lt;=0,"",IFERROR(X162/W162-1,"")))</f>
        <v/>
      </c>
    </row>
    <row r="165">
      <c r="A165" s="18" t="inlineStr">
        <is>
          <t>해외 · 부문 이익</t>
        </is>
      </c>
      <c r="D165" s="20" t="n">
        <v>1510</v>
      </c>
      <c r="E165" s="20" t="n">
        <v>1185</v>
      </c>
      <c r="H165" s="20" t="n">
        <v>1687</v>
      </c>
      <c r="I165" s="20" t="n">
        <v>1252</v>
      </c>
      <c r="L165" s="20" t="n">
        <v>5129</v>
      </c>
      <c r="M165" s="20" t="n">
        <v>9583</v>
      </c>
      <c r="V165" s="20" t="n">
        <v>1510</v>
      </c>
      <c r="W165" s="20" t="n">
        <v>1687</v>
      </c>
      <c r="X165" s="20" t="n">
        <v>5129</v>
      </c>
    </row>
    <row r="166">
      <c r="A166" s="43" t="inlineStr">
        <is>
          <t>OPM</t>
        </is>
      </c>
      <c r="B166" s="3" t="inlineStr">
        <is>
          <t>영업이익 ÷ 매출</t>
        </is>
      </c>
      <c r="D166" s="15">
        <f>IF(OR(D165="",D158=""),"",IF(D158&lt;=0,"",IFERROR(D165/D158,"")))</f>
        <v/>
      </c>
      <c r="E166" s="15">
        <f>IF(OR(E165="",E158=""),"",IF(E158&lt;=0,"",IFERROR(E165/E158,"")))</f>
        <v/>
      </c>
      <c r="H166" s="15">
        <f>IF(OR(H165="",H158=""),"",IF(H158&lt;=0,"",IFERROR(H165/H158,"")))</f>
        <v/>
      </c>
      <c r="I166" s="15">
        <f>IF(OR(I165="",I158=""),"",IF(I158&lt;=0,"",IFERROR(I165/I158,"")))</f>
        <v/>
      </c>
      <c r="L166" s="15">
        <f>IF(OR(L165="",L158=""),"",IF(L158&lt;=0,"",IFERROR(L165/L158,"")))</f>
        <v/>
      </c>
      <c r="M166" s="15">
        <f>IF(OR(M165="",M158=""),"",IF(M158&lt;=0,"",IFERROR(M165/M158,"")))</f>
        <v/>
      </c>
      <c r="V166" s="15">
        <f>IF(OR(V165="",V158=""),"",IF(V158&lt;=0,"",IFERROR(V165/V158,"")))</f>
        <v/>
      </c>
      <c r="W166" s="15">
        <f>IF(OR(W165="",W158=""),"",IF(W158&lt;=0,"",IFERROR(W165/W158,"")))</f>
        <v/>
      </c>
      <c r="X166" s="15">
        <f>IF(OR(X165="",X158=""),"",IF(X158&lt;=0,"",IFERROR(X165/X158,"")))</f>
        <v/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H167" s="15">
        <f>IF(OR(H165="",D165=""),"",IF(D165&lt;=0,"",IFERROR(H165/D165-1,"")))</f>
        <v/>
      </c>
      <c r="I167" s="15">
        <f>IF(OR(I165="",E165=""),"",IF(E165&lt;=0,"",IFERROR(I165/E165-1,"")))</f>
        <v/>
      </c>
      <c r="L167" s="15">
        <f>IF(OR(L165="",H165=""),"",IF(H165&lt;=0,"",IFERROR(L165/H165-1,"")))</f>
        <v/>
      </c>
      <c r="M167" s="15">
        <f>IF(OR(M165="",I165=""),"",IF(I165&lt;=0,"",IFERROR(M165/I165-1,"")))</f>
        <v/>
      </c>
      <c r="V167" s="15">
        <f>IF(OR(V165="",U165=""),"",IF(U165&lt;=0,"",IFERROR(V165/U165-1,"")))</f>
        <v/>
      </c>
      <c r="W167" s="15">
        <f>IF(OR(W165="",V165=""),"",IF(V165&lt;=0,"",IFERROR(W165/V165-1,"")))</f>
        <v/>
      </c>
      <c r="X167" s="15">
        <f>IF(OR(X165="",W165=""),"",IF(W165&lt;=0,"",IFERROR(X165/W165-1,"")))</f>
        <v/>
      </c>
    </row>
    <row r="168">
      <c r="A168" s="18" t="inlineStr">
        <is>
          <t>보고부문 합계 · 부문 이익</t>
        </is>
      </c>
      <c r="E168" s="20" t="n">
        <v>3237</v>
      </c>
      <c r="I168" s="20" t="n">
        <v>1907</v>
      </c>
      <c r="M168" s="20" t="n">
        <v>22366</v>
      </c>
    </row>
    <row r="169">
      <c r="A169" s="43" t="inlineStr">
        <is>
          <t>OPM</t>
        </is>
      </c>
      <c r="B169" s="3" t="inlineStr">
        <is>
          <t>영업이익 ÷ 매출</t>
        </is>
      </c>
      <c r="E169" s="15">
        <f>IF(OR(E168="",E160=""),"",IF(E160&lt;=0,"",IFERROR(E168/E160,"")))</f>
        <v/>
      </c>
      <c r="I169" s="15">
        <f>IF(OR(I168="",I160=""),"",IF(I160&lt;=0,"",IFERROR(I168/I160,"")))</f>
        <v/>
      </c>
      <c r="M169" s="15">
        <f>IF(OR(M168="",M160=""),"",IF(M160&lt;=0,"",IFERROR(M168/M160,"")))</f>
        <v/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I170" s="15">
        <f>IF(OR(I168="",E168=""),"",IF(E168&lt;=0,"",IFERROR(I168/E168-1,"")))</f>
        <v/>
      </c>
      <c r="M170" s="15">
        <f>IF(OR(M168="",I168=""),"",IF(I168&lt;=0,"",IFERROR(M168/I168-1,"")))</f>
        <v/>
      </c>
    </row>
    <row r="172">
      <c r="A172" s="16" t="inlineStr">
        <is>
          <t>현금흐름표 · 전 항목</t>
        </is>
      </c>
      <c r="B172" s="42" t="inlineStr">
        <is>
          <t>분기 = 결산기 첫날부터 누계(공시 그대로)</t>
        </is>
      </c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</row>
    <row r="173">
      <c r="A173" s="5" t="inlineStr">
        <is>
          <t>항목</t>
        </is>
      </c>
      <c r="B173" s="5" t="inlineStr">
        <is>
          <t>참고</t>
        </is>
      </c>
      <c r="C173" s="5" t="inlineStr">
        <is>
          <t>2024.3Q</t>
        </is>
      </c>
      <c r="D173" s="5" t="inlineStr">
        <is>
          <t>2024.4Q</t>
        </is>
      </c>
      <c r="E173" s="5" t="inlineStr">
        <is>
          <t>2025.1Q</t>
        </is>
      </c>
      <c r="F173" s="5" t="inlineStr">
        <is>
          <t>2025.2Q</t>
        </is>
      </c>
      <c r="G173" s="5" t="inlineStr">
        <is>
          <t>2025.3Q</t>
        </is>
      </c>
      <c r="H173" s="5" t="inlineStr">
        <is>
          <t>2025.4Q</t>
        </is>
      </c>
      <c r="I173" s="5" t="inlineStr">
        <is>
          <t>2026.1Q</t>
        </is>
      </c>
      <c r="J173" s="5" t="inlineStr">
        <is>
          <t>2026.2Q</t>
        </is>
      </c>
      <c r="K173" s="5" t="inlineStr">
        <is>
          <t>2026.3Q</t>
        </is>
      </c>
      <c r="L173" s="5" t="inlineStr">
        <is>
          <t>2026.4Q</t>
        </is>
      </c>
      <c r="M173" s="5" t="inlineStr">
        <is>
          <t>2027.1Q</t>
        </is>
      </c>
      <c r="N173" s="5" t="inlineStr">
        <is>
          <t>2027.2Q</t>
        </is>
      </c>
      <c r="O173" s="5" t="inlineStr">
        <is>
          <t>2017</t>
        </is>
      </c>
      <c r="P173" s="5" t="inlineStr">
        <is>
          <t>2018</t>
        </is>
      </c>
      <c r="Q173" s="5" t="inlineStr">
        <is>
          <t>2019</t>
        </is>
      </c>
      <c r="R173" s="5" t="inlineStr">
        <is>
          <t>2020</t>
        </is>
      </c>
      <c r="S173" s="5" t="inlineStr">
        <is>
          <t>2021</t>
        </is>
      </c>
      <c r="T173" s="5" t="inlineStr">
        <is>
          <t>2022</t>
        </is>
      </c>
      <c r="U173" s="5" t="inlineStr">
        <is>
          <t>2023</t>
        </is>
      </c>
      <c r="V173" s="5" t="inlineStr">
        <is>
          <t>2024</t>
        </is>
      </c>
      <c r="W173" s="5" t="inlineStr">
        <is>
          <t>2025</t>
        </is>
      </c>
      <c r="X173" s="5" t="inlineStr">
        <is>
          <t>2026</t>
        </is>
      </c>
      <c r="Y173" s="5" t="inlineStr">
        <is>
          <t>2027(MW)</t>
        </is>
      </c>
      <c r="Z173" s="5" t="inlineStr">
        <is>
          <t>2028(MW)</t>
        </is>
      </c>
      <c r="AA173" s="5" t="inlineStr">
        <is>
          <t>2029(MW)</t>
        </is>
      </c>
      <c r="AB173" s="5" t="inlineStr">
        <is>
          <t>2030(MW)</t>
        </is>
      </c>
      <c r="AC173" s="5" t="inlineStr">
        <is>
          <t>2031(MW)</t>
        </is>
      </c>
    </row>
    <row r="174">
      <c r="A174" s="9" t="inlineStr">
        <is>
          <t>법인세차감전 순이익</t>
        </is>
      </c>
      <c r="D174" s="12" t="n">
        <v>2463</v>
      </c>
      <c r="H174" s="12" t="n">
        <v>7484</v>
      </c>
      <c r="L174" s="12" t="n">
        <v>13322</v>
      </c>
      <c r="O174" s="12" t="n">
        <v>1690</v>
      </c>
      <c r="P174" s="12" t="n">
        <v>2428</v>
      </c>
      <c r="Q174" s="12" t="n">
        <v>2639</v>
      </c>
      <c r="R174" s="12" t="n">
        <v>4374</v>
      </c>
      <c r="S174" s="12" t="n">
        <v>4561</v>
      </c>
      <c r="T174" s="12" t="n">
        <v>8478</v>
      </c>
      <c r="U174" s="12" t="n">
        <v>6589</v>
      </c>
      <c r="V174" s="12" t="n">
        <v>2463</v>
      </c>
      <c r="W174" s="12" t="n">
        <v>7484</v>
      </c>
      <c r="X174" s="12" t="n">
        <v>13322</v>
      </c>
    </row>
    <row r="175">
      <c r="A175" s="18" t="inlineStr">
        <is>
          <t>감가상각비</t>
        </is>
      </c>
      <c r="D175" s="20" t="n">
        <v>223</v>
      </c>
      <c r="H175" s="20" t="n">
        <v>231</v>
      </c>
      <c r="L175" s="20" t="n">
        <v>265</v>
      </c>
      <c r="O175" s="20" t="n">
        <v>18</v>
      </c>
      <c r="P175" s="20" t="n">
        <v>22</v>
      </c>
      <c r="Q175" s="20" t="n">
        <v>78</v>
      </c>
      <c r="R175" s="20" t="n">
        <v>112</v>
      </c>
      <c r="S175" s="20" t="n">
        <v>113</v>
      </c>
      <c r="T175" s="20" t="n">
        <v>149</v>
      </c>
      <c r="U175" s="20" t="n">
        <v>364</v>
      </c>
      <c r="V175" s="20" t="n">
        <v>223</v>
      </c>
      <c r="W175" s="20" t="n">
        <v>231</v>
      </c>
      <c r="X175" s="20" t="n">
        <v>265</v>
      </c>
    </row>
    <row r="176">
      <c r="A176" s="18" t="inlineStr">
        <is>
          <t>상여충당금 증감</t>
        </is>
      </c>
      <c r="D176" s="20" t="n">
        <v>65</v>
      </c>
      <c r="H176" s="20" t="n">
        <v>-8</v>
      </c>
      <c r="L176" s="20" t="n">
        <v>37</v>
      </c>
      <c r="O176" s="20" t="n">
        <v>3</v>
      </c>
      <c r="P176" s="20" t="n">
        <v>1</v>
      </c>
      <c r="Q176" s="20" t="n">
        <v>0</v>
      </c>
      <c r="R176" s="20" t="n">
        <v>59</v>
      </c>
      <c r="S176" s="20" t="n">
        <v>-5</v>
      </c>
      <c r="T176" s="20" t="n">
        <v>147</v>
      </c>
      <c r="U176" s="20" t="n">
        <v>-47</v>
      </c>
      <c r="V176" s="20" t="n">
        <v>65</v>
      </c>
      <c r="W176" s="20" t="n">
        <v>-8</v>
      </c>
      <c r="X176" s="20" t="n">
        <v>37</v>
      </c>
    </row>
    <row r="177">
      <c r="A177" s="18" t="inlineStr">
        <is>
          <t>퇴직급여부채 증감</t>
        </is>
      </c>
      <c r="D177" s="20" t="n">
        <v>55</v>
      </c>
      <c r="H177" s="20" t="n">
        <v>27</v>
      </c>
      <c r="L177" s="20" t="n">
        <v>-24</v>
      </c>
      <c r="O177" s="20" t="n">
        <v>32</v>
      </c>
      <c r="P177" s="20" t="n">
        <v>29</v>
      </c>
      <c r="Q177" s="20" t="n">
        <v>43</v>
      </c>
      <c r="R177" s="20" t="n">
        <v>40</v>
      </c>
      <c r="S177" s="20" t="n">
        <v>41</v>
      </c>
      <c r="T177" s="20" t="n">
        <v>20</v>
      </c>
      <c r="U177" s="20" t="n">
        <v>18</v>
      </c>
      <c r="V177" s="20" t="n">
        <v>55</v>
      </c>
      <c r="W177" s="20" t="n">
        <v>27</v>
      </c>
      <c r="X177" s="20" t="n">
        <v>-24</v>
      </c>
    </row>
    <row r="178">
      <c r="A178" s="18" t="inlineStr">
        <is>
          <t>대손충당금 증감</t>
        </is>
      </c>
      <c r="D178" s="20" t="n">
        <v>8</v>
      </c>
      <c r="H178" s="20" t="n">
        <v>-7</v>
      </c>
      <c r="L178" s="20" t="n">
        <v>50</v>
      </c>
      <c r="O178" s="20" t="n">
        <v>-299</v>
      </c>
      <c r="P178" s="20" t="n">
        <v>17</v>
      </c>
      <c r="Q178" s="20" t="n">
        <v>-5</v>
      </c>
      <c r="R178" s="20" t="n">
        <v>-58</v>
      </c>
      <c r="S178" s="20" t="n">
        <v>30</v>
      </c>
      <c r="T178" s="20" t="n">
        <v>-71</v>
      </c>
      <c r="U178" s="20" t="n">
        <v>-7</v>
      </c>
      <c r="V178" s="20" t="n">
        <v>8</v>
      </c>
      <c r="W178" s="20" t="n">
        <v>-7</v>
      </c>
      <c r="X178" s="20" t="n">
        <v>50</v>
      </c>
    </row>
    <row r="179">
      <c r="A179" s="18" t="inlineStr">
        <is>
          <t>지분법손익</t>
        </is>
      </c>
      <c r="D179" s="20" t="n">
        <v>-22</v>
      </c>
      <c r="H179" s="20" t="n">
        <v>-27</v>
      </c>
      <c r="L179" s="20" t="n">
        <v>-29</v>
      </c>
      <c r="O179" s="20" t="n">
        <v>-40</v>
      </c>
      <c r="P179" s="20" t="n">
        <v>-73</v>
      </c>
      <c r="Q179" s="20" t="n">
        <v>12</v>
      </c>
      <c r="R179" s="20" t="n">
        <v>-43</v>
      </c>
      <c r="S179" s="20" t="n">
        <v>-15</v>
      </c>
      <c r="T179" s="20" t="n">
        <v>-39</v>
      </c>
      <c r="U179" s="20" t="n">
        <v>7</v>
      </c>
      <c r="V179" s="20" t="n">
        <v>-22</v>
      </c>
      <c r="W179" s="20" t="n">
        <v>-27</v>
      </c>
      <c r="X179" s="20" t="n">
        <v>-29</v>
      </c>
    </row>
    <row r="180">
      <c r="A180" s="18" t="inlineStr">
        <is>
          <t>이자·배당금 수익</t>
        </is>
      </c>
      <c r="D180" s="20" t="n">
        <v>-18</v>
      </c>
      <c r="H180" s="20" t="n">
        <v>-35</v>
      </c>
      <c r="L180" s="20" t="n">
        <v>-37</v>
      </c>
      <c r="O180" s="20" t="n">
        <v>-20</v>
      </c>
      <c r="P180" s="20" t="n">
        <v>-20</v>
      </c>
      <c r="Q180" s="20" t="n">
        <v>-18</v>
      </c>
      <c r="R180" s="20" t="n">
        <v>-198</v>
      </c>
      <c r="S180" s="20" t="n">
        <v>-26</v>
      </c>
      <c r="T180" s="20" t="n">
        <v>-22</v>
      </c>
      <c r="U180" s="20" t="n">
        <v>-21</v>
      </c>
      <c r="V180" s="20" t="n">
        <v>-18</v>
      </c>
      <c r="W180" s="20" t="n">
        <v>-35</v>
      </c>
      <c r="X180" s="20" t="n">
        <v>-37</v>
      </c>
    </row>
    <row r="181">
      <c r="A181" s="18" t="inlineStr">
        <is>
          <t>이자비용</t>
        </is>
      </c>
      <c r="D181" s="20" t="n">
        <v>1539</v>
      </c>
      <c r="H181" s="20" t="n">
        <v>1798</v>
      </c>
      <c r="L181" s="20" t="n">
        <v>2066</v>
      </c>
      <c r="O181" s="20" t="n">
        <v>132</v>
      </c>
      <c r="P181" s="20" t="n">
        <v>214</v>
      </c>
      <c r="Q181" s="20" t="n">
        <v>391</v>
      </c>
      <c r="R181" s="20" t="n">
        <v>55</v>
      </c>
      <c r="S181" s="20" t="n">
        <v>17</v>
      </c>
      <c r="T181" s="20" t="n">
        <v>108</v>
      </c>
      <c r="U181" s="20" t="n">
        <v>1199</v>
      </c>
      <c r="V181" s="20" t="n">
        <v>1539</v>
      </c>
      <c r="W181" s="20" t="n">
        <v>1798</v>
      </c>
      <c r="X181" s="20" t="n">
        <v>2066</v>
      </c>
    </row>
    <row r="182">
      <c r="A182" s="18" t="inlineStr">
        <is>
          <t>외환차손익</t>
        </is>
      </c>
      <c r="D182" s="20" t="n">
        <v>-178</v>
      </c>
      <c r="H182" s="20" t="n">
        <v>51</v>
      </c>
      <c r="L182" s="20" t="n">
        <v>-233</v>
      </c>
      <c r="O182" s="20" t="n">
        <v>4</v>
      </c>
      <c r="P182" s="20" t="n">
        <v>-10</v>
      </c>
      <c r="Q182" s="20" t="n">
        <v>6</v>
      </c>
      <c r="R182" s="20" t="n">
        <v>-7</v>
      </c>
      <c r="S182" s="20" t="n">
        <v>205</v>
      </c>
      <c r="T182" s="20" t="n">
        <v>214</v>
      </c>
      <c r="U182" s="20" t="n">
        <v>-40</v>
      </c>
      <c r="V182" s="20" t="n">
        <v>-178</v>
      </c>
      <c r="W182" s="20" t="n">
        <v>51</v>
      </c>
      <c r="X182" s="20" t="n">
        <v>-233</v>
      </c>
    </row>
    <row r="183">
      <c r="A183" s="18" t="inlineStr">
        <is>
          <t>투자유가증권 매각손익</t>
        </is>
      </c>
      <c r="D183" s="20" t="n">
        <v>-445</v>
      </c>
      <c r="H183" s="20" t="n">
        <v>0</v>
      </c>
      <c r="U183" s="20" t="n">
        <v>0</v>
      </c>
      <c r="V183" s="20" t="n">
        <v>-445</v>
      </c>
      <c r="W183" s="20" t="n">
        <v>0</v>
      </c>
    </row>
    <row r="184">
      <c r="A184" s="18" t="inlineStr">
        <is>
          <t>매출채권 증감</t>
        </is>
      </c>
      <c r="D184" s="20" t="n">
        <v>-4426</v>
      </c>
      <c r="H184" s="20" t="n">
        <v>5151</v>
      </c>
      <c r="L184" s="20" t="n">
        <v>-43312</v>
      </c>
      <c r="O184" s="20" t="n">
        <v>2008</v>
      </c>
      <c r="P184" s="20" t="n">
        <v>-11172</v>
      </c>
      <c r="Q184" s="20" t="n">
        <v>-4004</v>
      </c>
      <c r="R184" s="20" t="n">
        <v>-7028</v>
      </c>
      <c r="S184" s="20" t="n">
        <v>-6982</v>
      </c>
      <c r="T184" s="20" t="n">
        <v>-1264</v>
      </c>
      <c r="U184" s="20" t="n">
        <v>13575</v>
      </c>
      <c r="V184" s="20" t="n">
        <v>-4426</v>
      </c>
      <c r="W184" s="20" t="n">
        <v>5151</v>
      </c>
      <c r="X184" s="20" t="n">
        <v>-43312</v>
      </c>
    </row>
    <row r="185">
      <c r="A185" s="18" t="inlineStr">
        <is>
          <t>재고자산 증감</t>
        </is>
      </c>
      <c r="D185" s="20" t="n">
        <v>-3423</v>
      </c>
      <c r="H185" s="20" t="n">
        <v>1140</v>
      </c>
      <c r="L185" s="20" t="n">
        <v>-170870</v>
      </c>
      <c r="O185" s="20" t="n">
        <v>-178</v>
      </c>
      <c r="P185" s="20" t="n">
        <v>-455</v>
      </c>
      <c r="Q185" s="20" t="n">
        <v>88</v>
      </c>
      <c r="R185" s="20" t="n">
        <v>-11127</v>
      </c>
      <c r="S185" s="20" t="n">
        <v>-20492</v>
      </c>
      <c r="T185" s="20" t="n">
        <v>5740</v>
      </c>
      <c r="U185" s="20" t="n">
        <v>6224</v>
      </c>
      <c r="V185" s="20" t="n">
        <v>-3423</v>
      </c>
      <c r="W185" s="20" t="n">
        <v>1140</v>
      </c>
      <c r="X185" s="20" t="n">
        <v>-170870</v>
      </c>
    </row>
    <row r="186">
      <c r="A186" s="18" t="inlineStr">
        <is>
          <t>선급금 증감</t>
        </is>
      </c>
      <c r="D186" s="20" t="n">
        <v>2139</v>
      </c>
      <c r="H186" s="20" t="n">
        <v>109</v>
      </c>
      <c r="L186" s="20" t="n">
        <v>-1379</v>
      </c>
      <c r="O186" s="20" t="n">
        <v>-3188</v>
      </c>
      <c r="P186" s="20" t="n">
        <v>4922</v>
      </c>
      <c r="Q186" s="20" t="n">
        <v>-9494</v>
      </c>
      <c r="R186" s="20" t="n">
        <v>8373</v>
      </c>
      <c r="S186" s="20" t="n">
        <v>1438</v>
      </c>
      <c r="T186" s="20" t="n">
        <v>1387</v>
      </c>
      <c r="U186" s="20" t="n">
        <v>-2444</v>
      </c>
      <c r="V186" s="20" t="n">
        <v>2139</v>
      </c>
      <c r="W186" s="20" t="n">
        <v>109</v>
      </c>
      <c r="X186" s="20" t="n">
        <v>-1379</v>
      </c>
    </row>
    <row r="187">
      <c r="A187" s="18" t="inlineStr">
        <is>
          <t>매입채무 증감</t>
        </is>
      </c>
      <c r="D187" s="20" t="n">
        <v>6948</v>
      </c>
      <c r="H187" s="20" t="n">
        <v>-6132</v>
      </c>
      <c r="L187" s="20" t="n">
        <v>63535</v>
      </c>
      <c r="O187" s="20" t="n">
        <v>-3531</v>
      </c>
      <c r="P187" s="20" t="n">
        <v>13254</v>
      </c>
      <c r="Q187" s="20" t="n">
        <v>3421</v>
      </c>
      <c r="R187" s="20" t="n">
        <v>8140</v>
      </c>
      <c r="S187" s="20" t="n">
        <v>8359</v>
      </c>
      <c r="T187" s="20" t="n">
        <v>-418</v>
      </c>
      <c r="U187" s="20" t="n">
        <v>-12740</v>
      </c>
      <c r="V187" s="20" t="n">
        <v>6948</v>
      </c>
      <c r="W187" s="20" t="n">
        <v>-6132</v>
      </c>
      <c r="X187" s="20" t="n">
        <v>63535</v>
      </c>
    </row>
    <row r="188">
      <c r="A188" s="18" t="inlineStr">
        <is>
          <t>선수금 증감</t>
        </is>
      </c>
      <c r="D188" s="20" t="n">
        <v>840</v>
      </c>
      <c r="H188" s="20" t="n">
        <v>407</v>
      </c>
      <c r="L188" s="20" t="n">
        <v>45699</v>
      </c>
      <c r="P188" s="20" t="n">
        <v>258</v>
      </c>
      <c r="Q188" s="20" t="n">
        <v>2811</v>
      </c>
      <c r="R188" s="20" t="n">
        <v>6177</v>
      </c>
      <c r="S188" s="20" t="n">
        <v>967</v>
      </c>
      <c r="T188" s="20" t="n">
        <v>-10187</v>
      </c>
      <c r="U188" s="20" t="n">
        <v>-272</v>
      </c>
      <c r="V188" s="20" t="n">
        <v>840</v>
      </c>
      <c r="W188" s="20" t="n">
        <v>407</v>
      </c>
      <c r="X188" s="20" t="n">
        <v>45699</v>
      </c>
    </row>
    <row r="189">
      <c r="A189" s="18" t="inlineStr">
        <is>
          <t>미지급금 증감</t>
        </is>
      </c>
      <c r="D189" s="20" t="n">
        <v>2033</v>
      </c>
      <c r="H189" s="20" t="n">
        <v>1035</v>
      </c>
      <c r="L189" s="20" t="n">
        <v>-2607</v>
      </c>
      <c r="O189" s="20" t="n">
        <v>12814</v>
      </c>
      <c r="P189" s="20" t="n">
        <v>-10668</v>
      </c>
      <c r="Q189" s="20" t="n">
        <v>4040</v>
      </c>
      <c r="R189" s="20" t="n">
        <v>1610</v>
      </c>
      <c r="S189" s="20" t="n">
        <v>2470</v>
      </c>
      <c r="T189" s="20" t="n">
        <v>373</v>
      </c>
      <c r="U189" s="20" t="n">
        <v>-12687</v>
      </c>
      <c r="V189" s="20" t="n">
        <v>2033</v>
      </c>
      <c r="W189" s="20" t="n">
        <v>1035</v>
      </c>
      <c r="X189" s="20" t="n">
        <v>-2607</v>
      </c>
    </row>
    <row r="190">
      <c r="A190" s="18" t="inlineStr">
        <is>
          <t>기타</t>
        </is>
      </c>
      <c r="D190" s="20" t="n">
        <v>-587</v>
      </c>
      <c r="H190" s="20" t="n">
        <v>-183</v>
      </c>
      <c r="L190" s="20" t="n">
        <v>38</v>
      </c>
      <c r="O190" s="20" t="n">
        <v>961</v>
      </c>
      <c r="P190" s="20" t="n">
        <v>-488</v>
      </c>
      <c r="Q190" s="20" t="n">
        <v>549</v>
      </c>
      <c r="R190" s="20" t="n">
        <v>-322</v>
      </c>
      <c r="S190" s="20" t="n">
        <v>-1106</v>
      </c>
      <c r="T190" s="20" t="n">
        <v>2552</v>
      </c>
      <c r="U190" s="20" t="n">
        <v>-1030</v>
      </c>
      <c r="V190" s="20" t="n">
        <v>-587</v>
      </c>
      <c r="W190" s="20" t="n">
        <v>-183</v>
      </c>
      <c r="X190" s="20" t="n">
        <v>38</v>
      </c>
    </row>
    <row r="191">
      <c r="A191" s="18" t="inlineStr">
        <is>
          <t>소계</t>
        </is>
      </c>
      <c r="D191" s="20" t="n">
        <v>7216</v>
      </c>
      <c r="H191" s="20" t="n">
        <v>11042</v>
      </c>
      <c r="L191" s="20" t="n">
        <v>-93480</v>
      </c>
      <c r="O191" s="20" t="n">
        <v>10407</v>
      </c>
      <c r="P191" s="20" t="n">
        <v>-1740</v>
      </c>
      <c r="Q191" s="20" t="n">
        <v>561</v>
      </c>
      <c r="R191" s="20" t="n">
        <v>10158</v>
      </c>
      <c r="S191" s="20" t="n">
        <v>-10422</v>
      </c>
      <c r="T191" s="20" t="n">
        <v>7167</v>
      </c>
      <c r="U191" s="20" t="n">
        <v>-1311</v>
      </c>
      <c r="V191" s="20" t="n">
        <v>7216</v>
      </c>
      <c r="W191" s="20" t="n">
        <v>11042</v>
      </c>
      <c r="X191" s="20" t="n">
        <v>-93480</v>
      </c>
    </row>
    <row r="192">
      <c r="A192" s="18" t="inlineStr">
        <is>
          <t>이자·배당금 수취</t>
        </is>
      </c>
      <c r="D192" s="20" t="n">
        <v>19</v>
      </c>
      <c r="H192" s="20" t="n">
        <v>46</v>
      </c>
      <c r="L192" s="20" t="n">
        <v>41</v>
      </c>
      <c r="O192" s="20" t="n">
        <v>20</v>
      </c>
      <c r="P192" s="20" t="n">
        <v>20</v>
      </c>
      <c r="Q192" s="20" t="n">
        <v>28</v>
      </c>
      <c r="R192" s="20" t="n">
        <v>209</v>
      </c>
      <c r="S192" s="20" t="n">
        <v>33</v>
      </c>
      <c r="T192" s="20" t="n">
        <v>29</v>
      </c>
      <c r="U192" s="20" t="n">
        <v>29</v>
      </c>
      <c r="V192" s="20" t="n">
        <v>19</v>
      </c>
      <c r="W192" s="20" t="n">
        <v>46</v>
      </c>
      <c r="X192" s="20" t="n">
        <v>41</v>
      </c>
    </row>
    <row r="193">
      <c r="A193" s="18" t="inlineStr">
        <is>
          <t>이자 지급</t>
        </is>
      </c>
      <c r="D193" s="20" t="n">
        <v>-1539</v>
      </c>
      <c r="H193" s="20" t="n">
        <v>-1798</v>
      </c>
      <c r="L193" s="20" t="n">
        <v>-2066</v>
      </c>
      <c r="O193" s="20" t="n">
        <v>-132</v>
      </c>
      <c r="P193" s="20" t="n">
        <v>-214</v>
      </c>
      <c r="Q193" s="20" t="n">
        <v>-391</v>
      </c>
      <c r="R193" s="20" t="n">
        <v>-55</v>
      </c>
      <c r="S193" s="20" t="n">
        <v>-17</v>
      </c>
      <c r="T193" s="20" t="n">
        <v>-108</v>
      </c>
      <c r="U193" s="20" t="n">
        <v>-1199</v>
      </c>
      <c r="V193" s="20" t="n">
        <v>-1539</v>
      </c>
      <c r="W193" s="20" t="n">
        <v>-1798</v>
      </c>
      <c r="X193" s="20" t="n">
        <v>-2066</v>
      </c>
    </row>
    <row r="194">
      <c r="A194" s="18" t="inlineStr">
        <is>
          <t>법인세 납부</t>
        </is>
      </c>
      <c r="D194" s="20" t="n">
        <v>-1270</v>
      </c>
      <c r="H194" s="20" t="n">
        <v>-604</v>
      </c>
      <c r="L194" s="20" t="n">
        <v>-1962</v>
      </c>
      <c r="O194" s="20" t="n">
        <v>-709</v>
      </c>
      <c r="P194" s="20" t="n">
        <v>-295</v>
      </c>
      <c r="Q194" s="20" t="n">
        <v>-769</v>
      </c>
      <c r="R194" s="20" t="n">
        <v>-758</v>
      </c>
      <c r="S194" s="20" t="n">
        <v>-1177</v>
      </c>
      <c r="T194" s="20" t="n">
        <v>-1192</v>
      </c>
      <c r="U194" s="20" t="n">
        <v>-2479</v>
      </c>
      <c r="V194" s="20" t="n">
        <v>-1270</v>
      </c>
      <c r="W194" s="20" t="n">
        <v>-604</v>
      </c>
      <c r="X194" s="20" t="n">
        <v>-1962</v>
      </c>
    </row>
    <row r="195">
      <c r="A195" s="18" t="inlineStr">
        <is>
          <t>법인세 환급</t>
        </is>
      </c>
      <c r="D195" s="20" t="n">
        <v>0</v>
      </c>
      <c r="H195" s="20" t="n">
        <v>525</v>
      </c>
      <c r="L195" s="20" t="n">
        <v>0</v>
      </c>
      <c r="V195" s="20" t="n">
        <v>0</v>
      </c>
      <c r="W195" s="20" t="n">
        <v>525</v>
      </c>
      <c r="X195" s="20" t="n">
        <v>0</v>
      </c>
    </row>
    <row r="196">
      <c r="A196" s="9" t="inlineStr">
        <is>
          <t>영업활동 현금흐름</t>
        </is>
      </c>
      <c r="D196" s="12" t="n">
        <v>4425</v>
      </c>
      <c r="H196" s="12" t="n">
        <v>9210</v>
      </c>
      <c r="L196" s="12" t="n">
        <v>-97467</v>
      </c>
      <c r="O196" s="12" t="n">
        <v>9586</v>
      </c>
      <c r="P196" s="12" t="n">
        <v>-2229</v>
      </c>
      <c r="Q196" s="12" t="n">
        <v>-570</v>
      </c>
      <c r="R196" s="12" t="n">
        <v>9554</v>
      </c>
      <c r="S196" s="12" t="n">
        <v>-11583</v>
      </c>
      <c r="T196" s="12" t="n">
        <v>5896</v>
      </c>
      <c r="U196" s="12" t="n">
        <v>-4961</v>
      </c>
      <c r="V196" s="12" t="n">
        <v>4425</v>
      </c>
      <c r="W196" s="12" t="n">
        <v>9210</v>
      </c>
      <c r="X196" s="12" t="n">
        <v>-97467</v>
      </c>
    </row>
    <row r="197">
      <c r="A197" s="18" t="inlineStr">
        <is>
          <t>유형자산 취득(설비투자)</t>
        </is>
      </c>
      <c r="D197" s="20" t="n">
        <v>-17</v>
      </c>
      <c r="H197" s="20" t="n">
        <v>-6</v>
      </c>
      <c r="L197" s="20" t="n">
        <v>-88</v>
      </c>
      <c r="O197" s="20" t="n">
        <v>-10</v>
      </c>
      <c r="P197" s="20" t="n">
        <v>-11</v>
      </c>
      <c r="Q197" s="20" t="n">
        <v>-5</v>
      </c>
      <c r="R197" s="20" t="n">
        <v>-8</v>
      </c>
      <c r="S197" s="20" t="n">
        <v>-7</v>
      </c>
      <c r="T197" s="20" t="n">
        <v>-149</v>
      </c>
      <c r="U197" s="20" t="n">
        <v>-206</v>
      </c>
      <c r="V197" s="20" t="n">
        <v>-17</v>
      </c>
      <c r="W197" s="20" t="n">
        <v>-6</v>
      </c>
      <c r="X197" s="20" t="n">
        <v>-88</v>
      </c>
    </row>
    <row r="198">
      <c r="A198" s="18" t="inlineStr">
        <is>
          <t>무형자산 취득</t>
        </is>
      </c>
      <c r="D198" s="20" t="n">
        <v>-258</v>
      </c>
      <c r="H198" s="20" t="n">
        <v>-23</v>
      </c>
      <c r="L198" s="20" t="n">
        <v>-26</v>
      </c>
      <c r="O198" s="20" t="n">
        <v>-29</v>
      </c>
      <c r="P198" s="20" t="n">
        <v>-47</v>
      </c>
      <c r="Q198" s="20" t="n">
        <v>-234</v>
      </c>
      <c r="R198" s="20" t="n">
        <v>-8</v>
      </c>
      <c r="S198" s="20" t="n">
        <v>-19</v>
      </c>
      <c r="T198" s="20" t="n">
        <v>-6</v>
      </c>
      <c r="U198" s="20" t="n">
        <v>-82</v>
      </c>
      <c r="V198" s="20" t="n">
        <v>-258</v>
      </c>
      <c r="W198" s="20" t="n">
        <v>-23</v>
      </c>
      <c r="X198" s="20" t="n">
        <v>-26</v>
      </c>
    </row>
    <row r="199">
      <c r="A199" s="18" t="inlineStr">
        <is>
          <t>투자유가증권 매각</t>
        </is>
      </c>
      <c r="D199" s="20" t="n">
        <v>741</v>
      </c>
      <c r="H199" s="20" t="n">
        <v>0</v>
      </c>
      <c r="U199" s="20" t="n">
        <v>0</v>
      </c>
      <c r="V199" s="20" t="n">
        <v>741</v>
      </c>
      <c r="W199" s="20" t="n">
        <v>0</v>
      </c>
    </row>
    <row r="200">
      <c r="A200" s="18" t="inlineStr">
        <is>
          <t>기타</t>
        </is>
      </c>
      <c r="D200" s="20" t="n">
        <v>28</v>
      </c>
      <c r="H200" s="20" t="n">
        <v>8</v>
      </c>
      <c r="L200" s="20" t="n">
        <v>-248</v>
      </c>
      <c r="O200" s="20" t="n">
        <v>1</v>
      </c>
      <c r="P200" s="20" t="n">
        <v>-3</v>
      </c>
      <c r="Q200" s="20" t="n">
        <v>9</v>
      </c>
      <c r="R200" s="20" t="n">
        <v>-1</v>
      </c>
      <c r="S200" s="20" t="n">
        <v>-3</v>
      </c>
      <c r="T200" s="20" t="n">
        <v>-27</v>
      </c>
      <c r="U200" s="20" t="n">
        <v>25</v>
      </c>
      <c r="V200" s="20" t="n">
        <v>28</v>
      </c>
      <c r="W200" s="20" t="n">
        <v>8</v>
      </c>
      <c r="X200" s="20" t="n">
        <v>-248</v>
      </c>
    </row>
    <row r="201">
      <c r="A201" s="9" t="inlineStr">
        <is>
          <t>투자활동 현금흐름</t>
        </is>
      </c>
      <c r="D201" s="12" t="n">
        <v>494</v>
      </c>
      <c r="H201" s="12" t="n">
        <v>-21</v>
      </c>
      <c r="L201" s="12" t="n">
        <v>-362</v>
      </c>
      <c r="O201" s="12" t="n">
        <v>-37</v>
      </c>
      <c r="P201" s="12" t="n">
        <v>-62</v>
      </c>
      <c r="Q201" s="12" t="n">
        <v>-229</v>
      </c>
      <c r="R201" s="12" t="n">
        <v>-17</v>
      </c>
      <c r="S201" s="12" t="n">
        <v>-30</v>
      </c>
      <c r="T201" s="12" t="n">
        <v>-183</v>
      </c>
      <c r="U201" s="12" t="n">
        <v>-263</v>
      </c>
      <c r="V201" s="12" t="n">
        <v>494</v>
      </c>
      <c r="W201" s="12" t="n">
        <v>-21</v>
      </c>
      <c r="X201" s="12" t="n">
        <v>-362</v>
      </c>
    </row>
    <row r="202">
      <c r="A202" s="18" t="inlineStr">
        <is>
          <t>단기차입금 순증감</t>
        </is>
      </c>
      <c r="D202" s="20" t="n">
        <v>6059</v>
      </c>
      <c r="H202" s="20" t="n">
        <v>-15547</v>
      </c>
      <c r="L202" s="20" t="n">
        <v>98097</v>
      </c>
      <c r="O202" s="20" t="n">
        <v>3364</v>
      </c>
      <c r="P202" s="20" t="n">
        <v>-6554</v>
      </c>
      <c r="Q202" s="20" t="n">
        <v>-511</v>
      </c>
      <c r="R202" s="20" t="n">
        <v>-5648</v>
      </c>
      <c r="S202" s="20" t="n">
        <v>13889</v>
      </c>
      <c r="T202" s="20" t="n">
        <v>-5941</v>
      </c>
      <c r="U202" s="20" t="n">
        <v>10669</v>
      </c>
      <c r="V202" s="20" t="n">
        <v>6059</v>
      </c>
      <c r="W202" s="20" t="n">
        <v>-15547</v>
      </c>
      <c r="X202" s="20" t="n">
        <v>98097</v>
      </c>
    </row>
    <row r="203">
      <c r="A203" s="18" t="inlineStr">
        <is>
          <t>리스부채 상환</t>
        </is>
      </c>
      <c r="D203" s="20" t="n">
        <v>-91</v>
      </c>
      <c r="H203" s="20" t="n">
        <v>54</v>
      </c>
      <c r="Q203" s="20" t="n">
        <v>0</v>
      </c>
      <c r="R203" s="20" t="n">
        <v>-36</v>
      </c>
      <c r="S203" s="20" t="n">
        <v>-37</v>
      </c>
      <c r="T203" s="20" t="n">
        <v>-24</v>
      </c>
      <c r="U203" s="20" t="n">
        <v>-43</v>
      </c>
      <c r="V203" s="20" t="n">
        <v>-91</v>
      </c>
      <c r="W203" s="20" t="n">
        <v>54</v>
      </c>
    </row>
    <row r="204">
      <c r="A204" s="18" t="inlineStr">
        <is>
          <t>자기주식 취득</t>
        </is>
      </c>
      <c r="D204" s="20" t="n">
        <v>-0</v>
      </c>
      <c r="H204" s="20" t="n">
        <v>-0</v>
      </c>
      <c r="O204" s="20" t="n">
        <v>-0</v>
      </c>
      <c r="P204" s="20" t="n">
        <v>-0</v>
      </c>
      <c r="Q204" s="20" t="n">
        <v>0</v>
      </c>
      <c r="R204" s="20" t="n">
        <v>-0</v>
      </c>
      <c r="S204" s="20" t="n">
        <v>-0</v>
      </c>
      <c r="T204" s="20" t="n">
        <v>-0</v>
      </c>
      <c r="U204" s="20" t="n">
        <v>-0</v>
      </c>
      <c r="V204" s="20" t="n">
        <v>-0</v>
      </c>
      <c r="W204" s="20" t="n">
        <v>-0</v>
      </c>
    </row>
    <row r="205">
      <c r="A205" s="18" t="inlineStr">
        <is>
          <t>배당금 지급</t>
        </is>
      </c>
      <c r="D205" s="20" t="n">
        <v>-2041</v>
      </c>
      <c r="H205" s="20" t="n">
        <v>-1360</v>
      </c>
      <c r="L205" s="20" t="n">
        <v>-2040</v>
      </c>
      <c r="O205" s="20" t="n">
        <v>-339</v>
      </c>
      <c r="P205" s="20" t="n">
        <v>-408</v>
      </c>
      <c r="Q205" s="20" t="n">
        <v>-544</v>
      </c>
      <c r="R205" s="20" t="n">
        <v>-612</v>
      </c>
      <c r="S205" s="20" t="n">
        <v>-1020</v>
      </c>
      <c r="T205" s="20" t="n">
        <v>-1156</v>
      </c>
      <c r="U205" s="20" t="n">
        <v>-2040</v>
      </c>
      <c r="V205" s="20" t="n">
        <v>-2041</v>
      </c>
      <c r="W205" s="20" t="n">
        <v>-1360</v>
      </c>
      <c r="X205" s="20" t="n">
        <v>-2040</v>
      </c>
    </row>
    <row r="206">
      <c r="A206" s="18" t="inlineStr">
        <is>
          <t>연결범위 변경 없는 자회사 주식 취득</t>
        </is>
      </c>
      <c r="D206" s="20" t="n">
        <v>-1021</v>
      </c>
      <c r="H206" s="20" t="n">
        <v>0</v>
      </c>
      <c r="R206" s="20" t="n">
        <v>0</v>
      </c>
      <c r="S206" s="20" t="n">
        <v>-1965</v>
      </c>
      <c r="T206" s="20" t="n">
        <v>-472</v>
      </c>
      <c r="U206" s="20" t="n">
        <v>0</v>
      </c>
      <c r="V206" s="20" t="n">
        <v>-1021</v>
      </c>
      <c r="W206" s="20" t="n">
        <v>0</v>
      </c>
    </row>
    <row r="207">
      <c r="A207" s="18" t="inlineStr">
        <is>
          <t>비지배주주 납입</t>
        </is>
      </c>
      <c r="R207" s="20" t="n">
        <v>0</v>
      </c>
      <c r="S207" s="20" t="n">
        <v>431</v>
      </c>
      <c r="T207" s="20" t="n">
        <v>0</v>
      </c>
    </row>
    <row r="208">
      <c r="A208" s="18" t="inlineStr">
        <is>
          <t>기타</t>
        </is>
      </c>
      <c r="H208" s="20" t="n">
        <v>54</v>
      </c>
      <c r="L208" s="20" t="n">
        <v>-90</v>
      </c>
      <c r="W208" s="20" t="n">
        <v>54</v>
      </c>
      <c r="X208" s="20" t="n">
        <v>-90</v>
      </c>
    </row>
    <row r="209">
      <c r="A209" s="9" t="inlineStr">
        <is>
          <t>재무활동 현금흐름</t>
        </is>
      </c>
      <c r="D209" s="12" t="n">
        <v>2904</v>
      </c>
      <c r="H209" s="12" t="n">
        <v>-16853</v>
      </c>
      <c r="L209" s="12" t="n">
        <v>95965</v>
      </c>
      <c r="O209" s="12" t="n">
        <v>3024</v>
      </c>
      <c r="P209" s="12" t="n">
        <v>-6963</v>
      </c>
      <c r="Q209" s="12" t="n">
        <v>-1055</v>
      </c>
      <c r="R209" s="12" t="n">
        <v>-6297</v>
      </c>
      <c r="S209" s="12" t="n">
        <v>11296</v>
      </c>
      <c r="T209" s="12" t="n">
        <v>-7597</v>
      </c>
      <c r="U209" s="12" t="n">
        <v>8584</v>
      </c>
      <c r="V209" s="12" t="n">
        <v>2904</v>
      </c>
      <c r="W209" s="12" t="n">
        <v>-16853</v>
      </c>
      <c r="X209" s="12" t="n">
        <v>95965</v>
      </c>
    </row>
    <row r="210">
      <c r="A210" s="18" t="inlineStr">
        <is>
          <t>현금성자산 환산차이</t>
        </is>
      </c>
      <c r="D210" s="20" t="n">
        <v>903</v>
      </c>
      <c r="H210" s="20" t="n">
        <v>-28</v>
      </c>
      <c r="L210" s="20" t="n">
        <v>413</v>
      </c>
      <c r="O210" s="20" t="n">
        <v>6</v>
      </c>
      <c r="P210" s="20" t="n">
        <v>-176</v>
      </c>
      <c r="Q210" s="20" t="n">
        <v>170</v>
      </c>
      <c r="R210" s="20" t="n">
        <v>-77</v>
      </c>
      <c r="S210" s="20" t="n">
        <v>-35</v>
      </c>
      <c r="T210" s="20" t="n">
        <v>551</v>
      </c>
      <c r="U210" s="20" t="n">
        <v>560</v>
      </c>
      <c r="V210" s="20" t="n">
        <v>903</v>
      </c>
      <c r="W210" s="20" t="n">
        <v>-28</v>
      </c>
      <c r="X210" s="20" t="n">
        <v>413</v>
      </c>
    </row>
    <row r="211">
      <c r="A211" s="18" t="inlineStr">
        <is>
          <t>현금성자산 증감</t>
        </is>
      </c>
      <c r="D211" s="20" t="n">
        <v>8727</v>
      </c>
      <c r="H211" s="20" t="n">
        <v>-7692</v>
      </c>
      <c r="L211" s="20" t="n">
        <v>-1451</v>
      </c>
      <c r="O211" s="20" t="n">
        <v>12579</v>
      </c>
      <c r="P211" s="20" t="n">
        <v>-9431</v>
      </c>
      <c r="Q211" s="20" t="n">
        <v>-1685</v>
      </c>
      <c r="R211" s="20" t="n">
        <v>3160</v>
      </c>
      <c r="S211" s="20" t="n">
        <v>-353</v>
      </c>
      <c r="T211" s="20" t="n">
        <v>-1333</v>
      </c>
      <c r="U211" s="20" t="n">
        <v>3920</v>
      </c>
      <c r="V211" s="20" t="n">
        <v>8727</v>
      </c>
      <c r="W211" s="20" t="n">
        <v>-7692</v>
      </c>
      <c r="X211" s="20" t="n">
        <v>-1451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2737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183674</v>
      </c>
      <c r="D5" s="12" t="n">
        <v>197204</v>
      </c>
      <c r="E5" s="12" t="n">
        <v>343129</v>
      </c>
      <c r="F5" s="12" t="n">
        <v>406040</v>
      </c>
      <c r="G5" s="12" t="n">
        <v>571369</v>
      </c>
      <c r="H5" s="11" t="n">
        <v>114998</v>
      </c>
      <c r="I5" s="12" t="n">
        <v>105352</v>
      </c>
      <c r="J5" s="12" t="n">
        <v>128486</v>
      </c>
      <c r="K5" s="12" t="n">
        <v>112703</v>
      </c>
      <c r="L5" s="12" t="n">
        <v>343129</v>
      </c>
    </row>
    <row r="6">
      <c r="A6" s="18" t="inlineStr">
        <is>
          <t>현금및현금성자산</t>
        </is>
      </c>
      <c r="B6" s="10" t="n"/>
      <c r="C6" s="19" t="n">
        <v>5998</v>
      </c>
      <c r="D6" s="20" t="n">
        <v>8053</v>
      </c>
      <c r="E6" s="20" t="n">
        <v>7829</v>
      </c>
      <c r="F6" s="20" t="n">
        <v>10112</v>
      </c>
      <c r="G6" s="20" t="n">
        <v>17298</v>
      </c>
      <c r="H6" s="19" t="n">
        <v>6713</v>
      </c>
      <c r="I6" s="20" t="n">
        <v>7489</v>
      </c>
      <c r="J6" s="20" t="n">
        <v>8514</v>
      </c>
      <c r="K6" s="20" t="n">
        <v>5801</v>
      </c>
      <c r="L6" s="20" t="n">
        <v>7829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83831</v>
      </c>
      <c r="D8" s="20" t="n">
        <v>84494</v>
      </c>
      <c r="E8" s="20" t="n">
        <v>102724</v>
      </c>
      <c r="F8" s="20" t="n">
        <v>159025</v>
      </c>
      <c r="G8" s="20" t="n">
        <v>204516</v>
      </c>
      <c r="H8" s="19" t="n">
        <v>58574</v>
      </c>
      <c r="I8" s="20" t="n">
        <v>51292</v>
      </c>
      <c r="J8" s="20" t="n">
        <v>60595</v>
      </c>
      <c r="K8" s="20" t="n">
        <v>55613</v>
      </c>
      <c r="L8" s="20" t="n">
        <v>102724</v>
      </c>
    </row>
    <row r="9">
      <c r="A9" s="18" t="inlineStr">
        <is>
          <t>재고자산</t>
        </is>
      </c>
      <c r="B9" s="10" t="n"/>
      <c r="C9" s="19" t="n">
        <v>85069</v>
      </c>
      <c r="D9" s="20" t="n">
        <v>100081</v>
      </c>
      <c r="E9" s="20" t="n">
        <v>221518</v>
      </c>
      <c r="F9" s="20" t="n">
        <v>225431</v>
      </c>
      <c r="G9" s="20" t="n">
        <v>332825</v>
      </c>
      <c r="H9" s="19" t="n">
        <v>40163</v>
      </c>
      <c r="I9" s="20" t="n">
        <v>35994</v>
      </c>
      <c r="J9" s="20" t="n">
        <v>42609</v>
      </c>
      <c r="K9" s="20" t="n">
        <v>41219</v>
      </c>
      <c r="L9" s="20" t="n">
        <v>221518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1323</v>
      </c>
      <c r="D11" s="12" t="n">
        <v>1455</v>
      </c>
      <c r="E11" s="12" t="n">
        <v>1828</v>
      </c>
      <c r="F11" s="12" t="n">
        <v>1809</v>
      </c>
      <c r="G11" s="12" t="n">
        <v>1357</v>
      </c>
      <c r="H11" s="11" t="n">
        <v>1991</v>
      </c>
      <c r="I11" s="12" t="n">
        <v>1825</v>
      </c>
      <c r="J11" s="12" t="n">
        <v>1727</v>
      </c>
      <c r="K11" s="12" t="n">
        <v>1267</v>
      </c>
      <c r="L11" s="12" t="n">
        <v>1828</v>
      </c>
    </row>
    <row r="12">
      <c r="A12" s="18" t="inlineStr">
        <is>
          <t>유형자산</t>
        </is>
      </c>
      <c r="B12" s="10" t="n"/>
      <c r="C12" s="19" t="n">
        <v>267</v>
      </c>
      <c r="D12" s="20" t="n">
        <v>344</v>
      </c>
      <c r="E12" s="20" t="n">
        <v>568</v>
      </c>
      <c r="F12" s="20" t="n">
        <v>558</v>
      </c>
      <c r="G12" s="20" t="n">
        <v>538</v>
      </c>
      <c r="H12" s="19" t="n">
        <v>399</v>
      </c>
      <c r="I12" s="20" t="n">
        <v>309</v>
      </c>
      <c r="J12" s="20" t="n">
        <v>173</v>
      </c>
      <c r="K12" s="20" t="n">
        <v>222</v>
      </c>
      <c r="L12" s="20" t="n">
        <v>568</v>
      </c>
    </row>
    <row r="13">
      <c r="A13" s="18" t="inlineStr">
        <is>
          <t>무형자산</t>
        </is>
      </c>
      <c r="B13" s="10" t="n"/>
      <c r="C13" s="19" t="n">
        <v>229</v>
      </c>
      <c r="D13" s="20" t="n">
        <v>230</v>
      </c>
      <c r="E13" s="20" t="n">
        <v>216</v>
      </c>
      <c r="F13" s="20" t="n">
        <v>197</v>
      </c>
      <c r="G13" s="20" t="n">
        <v>181</v>
      </c>
      <c r="H13" s="19" t="n">
        <v>82</v>
      </c>
      <c r="I13" s="20" t="n">
        <v>94</v>
      </c>
      <c r="J13" s="20" t="n">
        <v>318</v>
      </c>
      <c r="K13" s="20" t="n">
        <v>264</v>
      </c>
      <c r="L13" s="20" t="n">
        <v>216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184998</v>
      </c>
      <c r="D16" s="12" t="n">
        <v>198660</v>
      </c>
      <c r="E16" s="12" t="n">
        <v>344957</v>
      </c>
      <c r="F16" s="12" t="n">
        <v>407849</v>
      </c>
      <c r="G16" s="12" t="n">
        <v>572727</v>
      </c>
      <c r="H16" s="11" t="n">
        <v>116990</v>
      </c>
      <c r="I16" s="12" t="n">
        <v>107177</v>
      </c>
      <c r="J16" s="12" t="n">
        <v>130213</v>
      </c>
      <c r="K16" s="12" t="n">
        <v>113970</v>
      </c>
      <c r="L16" s="12" t="n">
        <v>344957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132196</v>
      </c>
      <c r="D18" s="12" t="n">
        <v>141856</v>
      </c>
      <c r="E18" s="12" t="n">
        <v>284860</v>
      </c>
      <c r="F18" s="12" t="n">
        <v>336481</v>
      </c>
      <c r="G18" s="12" t="n">
        <v>459851</v>
      </c>
      <c r="H18" s="11" t="n">
        <v>77094</v>
      </c>
      <c r="I18" s="12" t="n">
        <v>62264</v>
      </c>
      <c r="J18" s="12" t="n">
        <v>84005</v>
      </c>
      <c r="K18" s="12" t="n">
        <v>63566</v>
      </c>
      <c r="L18" s="12" t="n">
        <v>284860</v>
      </c>
    </row>
    <row r="19">
      <c r="A19" s="18" t="inlineStr">
        <is>
          <t>매입채무</t>
        </is>
      </c>
      <c r="B19" s="10" t="n"/>
      <c r="C19" s="19" t="n">
        <v>64478</v>
      </c>
      <c r="D19" s="20" t="n">
        <v>67086</v>
      </c>
      <c r="E19" s="20" t="n">
        <v>105783</v>
      </c>
      <c r="F19" s="20" t="n">
        <v>166419</v>
      </c>
      <c r="G19" s="20" t="n">
        <v>225376</v>
      </c>
      <c r="H19" s="19" t="n">
        <v>47884</v>
      </c>
      <c r="I19" s="20" t="n">
        <v>37930</v>
      </c>
      <c r="J19" s="20" t="n">
        <v>46962</v>
      </c>
      <c r="K19" s="20" t="n">
        <v>40649</v>
      </c>
      <c r="L19" s="20" t="n">
        <v>105783</v>
      </c>
    </row>
    <row r="20">
      <c r="A20" s="18" t="inlineStr">
        <is>
          <t>단기차입금</t>
        </is>
      </c>
      <c r="B20" s="10" t="n"/>
      <c r="C20" s="19" t="n">
        <v>59641</v>
      </c>
      <c r="D20" s="20" t="n">
        <v>66021</v>
      </c>
      <c r="E20" s="20" t="n">
        <v>118569</v>
      </c>
      <c r="F20" s="20" t="n">
        <v>141078</v>
      </c>
      <c r="G20" s="20" t="n">
        <v>150190</v>
      </c>
      <c r="H20" s="19" t="n">
        <v>9500</v>
      </c>
      <c r="I20" s="20" t="n">
        <v>20563</v>
      </c>
      <c r="J20" s="20" t="n">
        <v>29661</v>
      </c>
      <c r="K20" s="20" t="n">
        <v>14054</v>
      </c>
      <c r="L20" s="20" t="n">
        <v>118569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875</v>
      </c>
      <c r="D23" s="12" t="n">
        <v>973</v>
      </c>
      <c r="E23" s="12" t="n">
        <v>859</v>
      </c>
      <c r="F23" s="12" t="n">
        <v>856</v>
      </c>
      <c r="G23" s="12" t="n">
        <v>32438</v>
      </c>
      <c r="H23" s="11" t="n">
        <v>531</v>
      </c>
      <c r="I23" s="12" t="n">
        <v>714</v>
      </c>
      <c r="J23" s="12" t="n">
        <v>699</v>
      </c>
      <c r="K23" s="12" t="n">
        <v>782</v>
      </c>
      <c r="L23" s="12" t="n">
        <v>859</v>
      </c>
    </row>
    <row r="24">
      <c r="A24" s="18" t="inlineStr">
        <is>
          <t>장기차입금</t>
        </is>
      </c>
      <c r="B24" s="10" t="n"/>
      <c r="C24" s="19" t="n"/>
      <c r="D24" s="20" t="n"/>
      <c r="E24" s="20" t="n">
        <v>0</v>
      </c>
      <c r="F24" s="20" t="n"/>
      <c r="G24" s="20" t="n">
        <v>31470</v>
      </c>
      <c r="H24" s="19" t="n"/>
      <c r="I24" s="20" t="n"/>
      <c r="J24" s="20" t="n"/>
      <c r="K24" s="20" t="n"/>
      <c r="L24" s="20" t="n">
        <v>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133071</v>
      </c>
      <c r="D27" s="12" t="n">
        <v>142829</v>
      </c>
      <c r="E27" s="12" t="n">
        <v>285719</v>
      </c>
      <c r="F27" s="12" t="n">
        <v>337337</v>
      </c>
      <c r="G27" s="12" t="n">
        <v>492289</v>
      </c>
      <c r="H27" s="11" t="n">
        <v>77625</v>
      </c>
      <c r="I27" s="12" t="n">
        <v>62978</v>
      </c>
      <c r="J27" s="12" t="n">
        <v>84705</v>
      </c>
      <c r="K27" s="12" t="n">
        <v>64349</v>
      </c>
      <c r="L27" s="12" t="n">
        <v>285719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51926</v>
      </c>
      <c r="D31" s="12" t="n">
        <v>55830</v>
      </c>
      <c r="E31" s="12" t="n">
        <v>59237</v>
      </c>
      <c r="F31" s="12" t="n">
        <v>70512</v>
      </c>
      <c r="G31" s="12" t="n">
        <v>80437</v>
      </c>
      <c r="H31" s="11" t="n">
        <v>38589</v>
      </c>
      <c r="I31" s="12" t="n">
        <v>43213</v>
      </c>
      <c r="J31" s="12" t="n">
        <v>45508</v>
      </c>
      <c r="K31" s="12" t="n">
        <v>49621</v>
      </c>
      <c r="L31" s="12" t="n">
        <v>59237</v>
      </c>
    </row>
    <row r="32">
      <c r="A32" s="18" t="inlineStr">
        <is>
          <t>자본금</t>
        </is>
      </c>
      <c r="B32" s="10" t="n"/>
      <c r="C32" s="19" t="n">
        <v>2054</v>
      </c>
      <c r="D32" s="20" t="n">
        <v>2054</v>
      </c>
      <c r="E32" s="20" t="n">
        <v>2054</v>
      </c>
      <c r="F32" s="20" t="n">
        <v>2054</v>
      </c>
      <c r="G32" s="20" t="n">
        <v>2054</v>
      </c>
      <c r="H32" s="19" t="n">
        <v>2054</v>
      </c>
      <c r="I32" s="20" t="n">
        <v>2054</v>
      </c>
      <c r="J32" s="20" t="n">
        <v>2054</v>
      </c>
      <c r="K32" s="20" t="n">
        <v>2054</v>
      </c>
      <c r="L32" s="20" t="n">
        <v>2054</v>
      </c>
    </row>
    <row r="33">
      <c r="A33" s="18" t="inlineStr">
        <is>
          <t>이익잉여금</t>
        </is>
      </c>
      <c r="B33" s="10" t="n"/>
      <c r="C33" s="19" t="n">
        <v>44675</v>
      </c>
      <c r="D33" s="20" t="n">
        <v>47239</v>
      </c>
      <c r="E33" s="20" t="n">
        <v>49912</v>
      </c>
      <c r="F33" s="20" t="n">
        <v>60759</v>
      </c>
      <c r="G33" s="20" t="n">
        <v>71353</v>
      </c>
      <c r="H33" s="19" t="n">
        <v>34786</v>
      </c>
      <c r="I33" s="20" t="n">
        <v>37652</v>
      </c>
      <c r="J33" s="20" t="n">
        <v>37708</v>
      </c>
      <c r="K33" s="20" t="n">
        <v>41936</v>
      </c>
      <c r="L33" s="20" t="n">
        <v>49912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>
        <v>775</v>
      </c>
      <c r="I34" s="20" t="n">
        <v>985</v>
      </c>
      <c r="J34" s="20" t="n">
        <v>0</v>
      </c>
      <c r="K34" s="20" t="n"/>
      <c r="L34" s="20" t="n"/>
    </row>
    <row r="35">
      <c r="A35" s="9" t="inlineStr">
        <is>
          <t>자본총계</t>
        </is>
      </c>
      <c r="B35" s="10" t="n"/>
      <c r="C35" s="11" t="n">
        <v>51926</v>
      </c>
      <c r="D35" s="12" t="n">
        <v>55830</v>
      </c>
      <c r="E35" s="12" t="n">
        <v>59237</v>
      </c>
      <c r="F35" s="12" t="n">
        <v>70512</v>
      </c>
      <c r="G35" s="12" t="n">
        <v>80437</v>
      </c>
      <c r="H35" s="11" t="n">
        <v>39364</v>
      </c>
      <c r="I35" s="12" t="n">
        <v>44198</v>
      </c>
      <c r="J35" s="12" t="n">
        <v>45508</v>
      </c>
      <c r="K35" s="12" t="n">
        <v>49621</v>
      </c>
      <c r="L35" s="12" t="n">
        <v>59237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-97467</v>
      </c>
      <c r="F37" s="12" t="n"/>
      <c r="G37" s="12" t="n"/>
      <c r="H37" s="11" t="n">
        <v>5896</v>
      </c>
      <c r="I37" s="12" t="n">
        <v>-4961</v>
      </c>
      <c r="J37" s="12" t="n">
        <v>4425</v>
      </c>
      <c r="K37" s="12" t="n">
        <v>9210</v>
      </c>
      <c r="L37" s="12" t="n">
        <v>-97467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114</v>
      </c>
      <c r="F38" s="20" t="n"/>
      <c r="G38" s="20" t="n"/>
      <c r="H38" s="19" t="n">
        <v>155</v>
      </c>
      <c r="I38" s="20" t="n">
        <v>288</v>
      </c>
      <c r="J38" s="20" t="n">
        <v>275</v>
      </c>
      <c r="K38" s="20" t="n">
        <v>29</v>
      </c>
      <c r="L38" s="20" t="n">
        <v>114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2040</v>
      </c>
      <c r="F40" s="20" t="n"/>
      <c r="G40" s="20" t="n"/>
      <c r="H40" s="19" t="n">
        <v>1156</v>
      </c>
      <c r="I40" s="20" t="n">
        <v>2040</v>
      </c>
      <c r="J40" s="20" t="n">
        <v>2041</v>
      </c>
      <c r="K40" s="20" t="n">
        <v>1360</v>
      </c>
      <c r="L40" s="20" t="n">
        <v>2040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5998</v>
      </c>
      <c r="D71" s="20" t="n">
        <v>8053</v>
      </c>
      <c r="E71" s="20" t="n">
        <v>7829</v>
      </c>
      <c r="F71" s="20" t="n">
        <v>10112</v>
      </c>
      <c r="G71" s="20" t="n">
        <v>17298</v>
      </c>
      <c r="H71" s="20" t="n">
        <v>6713</v>
      </c>
      <c r="I71" s="20" t="n">
        <v>7489</v>
      </c>
      <c r="J71" s="20" t="n">
        <v>8514</v>
      </c>
      <c r="K71" s="20" t="n">
        <v>5801</v>
      </c>
      <c r="L71" s="20" t="n">
        <v>7829</v>
      </c>
    </row>
    <row r="72">
      <c r="A72" s="18" t="inlineStr">
        <is>
          <t>받을어음·매출채권</t>
        </is>
      </c>
      <c r="C72" s="20" t="n">
        <v>83831</v>
      </c>
      <c r="D72" s="20" t="n">
        <v>84494</v>
      </c>
      <c r="E72" s="20" t="n">
        <v>102724</v>
      </c>
      <c r="F72" s="20" t="n">
        <v>159025</v>
      </c>
      <c r="G72" s="20" t="n">
        <v>204516</v>
      </c>
      <c r="H72" s="20" t="n">
        <v>58574</v>
      </c>
      <c r="I72" s="20" t="n">
        <v>51292</v>
      </c>
      <c r="J72" s="20" t="n">
        <v>60595</v>
      </c>
      <c r="K72" s="20" t="n">
        <v>55613</v>
      </c>
      <c r="L72" s="20" t="n">
        <v>102724</v>
      </c>
    </row>
    <row r="73">
      <c r="A73" s="18" t="inlineStr">
        <is>
          <t>전자기록채권</t>
        </is>
      </c>
      <c r="C73" s="20" t="n">
        <v>496</v>
      </c>
      <c r="D73" s="20" t="n">
        <v>526</v>
      </c>
      <c r="E73" s="20" t="n">
        <v>1132</v>
      </c>
      <c r="F73" s="20" t="n">
        <v>734</v>
      </c>
      <c r="G73" s="20" t="n">
        <v>343</v>
      </c>
      <c r="H73" s="20" t="n">
        <v>7099</v>
      </c>
      <c r="I73" s="20" t="n">
        <v>2851</v>
      </c>
      <c r="J73" s="20" t="n">
        <v>2010</v>
      </c>
      <c r="K73" s="20" t="n">
        <v>1436</v>
      </c>
      <c r="L73" s="20" t="n">
        <v>1132</v>
      </c>
    </row>
    <row r="74">
      <c r="A74" s="18" t="inlineStr">
        <is>
          <t>상품</t>
        </is>
      </c>
      <c r="C74" s="20" t="n">
        <v>85069</v>
      </c>
      <c r="D74" s="20" t="n">
        <v>100081</v>
      </c>
      <c r="E74" s="20" t="n">
        <v>221518</v>
      </c>
      <c r="F74" s="20" t="n">
        <v>225431</v>
      </c>
      <c r="G74" s="20" t="n">
        <v>332825</v>
      </c>
      <c r="H74" s="20" t="n">
        <v>40163</v>
      </c>
      <c r="I74" s="20" t="n">
        <v>35994</v>
      </c>
      <c r="J74" s="20" t="n">
        <v>42609</v>
      </c>
      <c r="K74" s="20" t="n">
        <v>41219</v>
      </c>
      <c r="L74" s="20" t="n">
        <v>221518</v>
      </c>
    </row>
    <row r="75">
      <c r="A75" s="18" t="inlineStr">
        <is>
          <t>선급금</t>
        </is>
      </c>
      <c r="C75" s="20" t="n">
        <v>1485</v>
      </c>
      <c r="D75" s="20" t="n">
        <v>1504</v>
      </c>
      <c r="E75" s="20" t="n">
        <v>2133</v>
      </c>
      <c r="F75" s="20" t="n">
        <v>2488</v>
      </c>
      <c r="G75" s="20" t="n">
        <v>1183</v>
      </c>
      <c r="H75" s="20" t="n">
        <v>208</v>
      </c>
      <c r="I75" s="20" t="n">
        <v>2637</v>
      </c>
      <c r="J75" s="20" t="n">
        <v>745</v>
      </c>
      <c r="K75" s="20" t="n">
        <v>629</v>
      </c>
      <c r="L75" s="20" t="n">
        <v>2133</v>
      </c>
    </row>
    <row r="76">
      <c r="A76" s="18" t="inlineStr">
        <is>
          <t>예치금</t>
        </is>
      </c>
      <c r="C76" s="20" t="n">
        <v>5684</v>
      </c>
      <c r="D76" s="20" t="n">
        <v>691</v>
      </c>
      <c r="E76" s="20" t="n">
        <v>3891</v>
      </c>
      <c r="F76" s="20" t="n">
        <v>4093</v>
      </c>
      <c r="G76" s="20" t="n">
        <v>9093</v>
      </c>
      <c r="H76" s="20" t="n">
        <v>1503</v>
      </c>
      <c r="I76" s="20" t="n">
        <v>4647</v>
      </c>
      <c r="J76" s="20" t="n">
        <v>12350</v>
      </c>
      <c r="K76" s="20" t="n">
        <v>7371</v>
      </c>
      <c r="L76" s="20" t="n">
        <v>3891</v>
      </c>
    </row>
    <row r="77">
      <c r="A77" s="18" t="inlineStr">
        <is>
          <t>기타</t>
        </is>
      </c>
      <c r="C77" s="20" t="n">
        <v>1110</v>
      </c>
      <c r="D77" s="20" t="n">
        <v>1852</v>
      </c>
      <c r="E77" s="20" t="n">
        <v>3899</v>
      </c>
      <c r="F77" s="20" t="n">
        <v>4155</v>
      </c>
      <c r="G77" s="20" t="n">
        <v>6108</v>
      </c>
      <c r="H77" s="20" t="n">
        <v>809</v>
      </c>
      <c r="I77" s="20" t="n">
        <v>505</v>
      </c>
      <c r="J77" s="20" t="n">
        <v>1740</v>
      </c>
      <c r="K77" s="20" t="n">
        <v>703</v>
      </c>
      <c r="L77" s="20" t="n">
        <v>3899</v>
      </c>
    </row>
    <row r="78">
      <c r="A78" s="18" t="inlineStr">
        <is>
          <t>대손충당금</t>
        </is>
      </c>
      <c r="E78" s="20" t="n">
        <v>-127</v>
      </c>
      <c r="H78" s="20" t="n">
        <v>-72</v>
      </c>
      <c r="I78" s="20" t="n">
        <v>-67</v>
      </c>
      <c r="J78" s="20" t="n">
        <v>-80</v>
      </c>
      <c r="K78" s="20" t="n">
        <v>-72</v>
      </c>
      <c r="L78" s="20" t="n">
        <v>-127</v>
      </c>
    </row>
    <row r="79">
      <c r="A79" s="9" t="inlineStr">
        <is>
          <t>유동자산 합계</t>
        </is>
      </c>
      <c r="C79" s="12" t="n">
        <v>183674</v>
      </c>
      <c r="D79" s="12" t="n">
        <v>197204</v>
      </c>
      <c r="E79" s="12" t="n">
        <v>343129</v>
      </c>
      <c r="F79" s="12" t="n">
        <v>406040</v>
      </c>
      <c r="G79" s="12" t="n">
        <v>571369</v>
      </c>
      <c r="H79" s="12" t="n">
        <v>114998</v>
      </c>
      <c r="I79" s="12" t="n">
        <v>105352</v>
      </c>
      <c r="J79" s="12" t="n">
        <v>128486</v>
      </c>
      <c r="K79" s="12" t="n">
        <v>112703</v>
      </c>
      <c r="L79" s="12" t="n">
        <v>343129</v>
      </c>
    </row>
    <row r="80">
      <c r="A80" s="18" t="inlineStr">
        <is>
          <t>건물</t>
        </is>
      </c>
      <c r="E80" s="20" t="n">
        <v>262</v>
      </c>
      <c r="H80" s="20" t="n">
        <v>115</v>
      </c>
      <c r="I80" s="20" t="n">
        <v>115</v>
      </c>
      <c r="J80" s="20" t="n">
        <v>115</v>
      </c>
      <c r="K80" s="20" t="n">
        <v>115</v>
      </c>
      <c r="L80" s="20" t="n">
        <v>262</v>
      </c>
    </row>
    <row r="81">
      <c r="A81" s="18" t="inlineStr">
        <is>
          <t>감가상각누계액</t>
        </is>
      </c>
      <c r="E81" s="20" t="n">
        <v>-13</v>
      </c>
      <c r="H81" s="20" t="n">
        <v>-95</v>
      </c>
      <c r="I81" s="20" t="n">
        <v>-97</v>
      </c>
      <c r="J81" s="20" t="n">
        <v>-100</v>
      </c>
      <c r="K81" s="20" t="n">
        <v>-103</v>
      </c>
      <c r="L81" s="20" t="n">
        <v>-13</v>
      </c>
    </row>
    <row r="82">
      <c r="A82" s="18" t="inlineStr">
        <is>
          <t>건물(순액)</t>
        </is>
      </c>
      <c r="E82" s="20" t="n">
        <v>248</v>
      </c>
      <c r="H82" s="20" t="n">
        <v>20</v>
      </c>
      <c r="I82" s="20" t="n">
        <v>17</v>
      </c>
      <c r="J82" s="20" t="n">
        <v>14</v>
      </c>
      <c r="K82" s="20" t="n">
        <v>12</v>
      </c>
      <c r="L82" s="20" t="n">
        <v>248</v>
      </c>
    </row>
    <row r="83">
      <c r="A83" s="18" t="inlineStr">
        <is>
          <t>기타</t>
        </is>
      </c>
      <c r="E83" s="20" t="n">
        <v>832</v>
      </c>
      <c r="H83" s="20" t="n">
        <v>514</v>
      </c>
      <c r="I83" s="20" t="n">
        <v>640</v>
      </c>
      <c r="J83" s="20" t="n">
        <v>677</v>
      </c>
      <c r="K83" s="20" t="n">
        <v>727</v>
      </c>
      <c r="L83" s="20" t="n">
        <v>832</v>
      </c>
    </row>
    <row r="84">
      <c r="A84" s="18" t="inlineStr">
        <is>
          <t>감가상각누계액</t>
        </is>
      </c>
      <c r="E84" s="20" t="n">
        <v>-512</v>
      </c>
      <c r="H84" s="20" t="n">
        <v>-135</v>
      </c>
      <c r="I84" s="20" t="n">
        <v>-347</v>
      </c>
      <c r="J84" s="20" t="n">
        <v>-518</v>
      </c>
      <c r="K84" s="20" t="n">
        <v>-517</v>
      </c>
      <c r="L84" s="20" t="n">
        <v>-512</v>
      </c>
    </row>
    <row r="85">
      <c r="A85" s="18" t="inlineStr">
        <is>
          <t>기타(순액)</t>
        </is>
      </c>
      <c r="E85" s="20" t="n">
        <v>320</v>
      </c>
      <c r="H85" s="20" t="n">
        <v>379</v>
      </c>
      <c r="I85" s="20" t="n">
        <v>292</v>
      </c>
      <c r="J85" s="20" t="n">
        <v>158</v>
      </c>
      <c r="K85" s="20" t="n">
        <v>210</v>
      </c>
      <c r="L85" s="20" t="n">
        <v>320</v>
      </c>
    </row>
    <row r="86">
      <c r="A86" s="18" t="inlineStr">
        <is>
          <t>유형자산</t>
        </is>
      </c>
      <c r="C86" s="20" t="n">
        <v>267</v>
      </c>
      <c r="D86" s="20" t="n">
        <v>344</v>
      </c>
      <c r="E86" s="20" t="n">
        <v>568</v>
      </c>
      <c r="F86" s="20" t="n">
        <v>558</v>
      </c>
      <c r="G86" s="20" t="n">
        <v>538</v>
      </c>
      <c r="H86" s="20" t="n">
        <v>399</v>
      </c>
      <c r="I86" s="20" t="n">
        <v>309</v>
      </c>
      <c r="J86" s="20" t="n">
        <v>173</v>
      </c>
      <c r="K86" s="20" t="n">
        <v>222</v>
      </c>
      <c r="L86" s="20" t="n">
        <v>568</v>
      </c>
    </row>
    <row r="87">
      <c r="A87" s="18" t="inlineStr">
        <is>
          <t>무형자산</t>
        </is>
      </c>
      <c r="C87" s="20" t="n">
        <v>229</v>
      </c>
      <c r="D87" s="20" t="n">
        <v>230</v>
      </c>
      <c r="E87" s="20" t="n">
        <v>216</v>
      </c>
      <c r="F87" s="20" t="n">
        <v>197</v>
      </c>
      <c r="G87" s="20" t="n">
        <v>181</v>
      </c>
      <c r="H87" s="20" t="n">
        <v>82</v>
      </c>
      <c r="I87" s="20" t="n">
        <v>94</v>
      </c>
      <c r="J87" s="20" t="n">
        <v>318</v>
      </c>
      <c r="K87" s="20" t="n">
        <v>264</v>
      </c>
      <c r="L87" s="20" t="n">
        <v>216</v>
      </c>
    </row>
    <row r="88">
      <c r="A88" s="18" t="inlineStr">
        <is>
          <t>투자유가증권</t>
        </is>
      </c>
      <c r="E88" s="20" t="n">
        <v>256</v>
      </c>
      <c r="H88" s="20" t="n">
        <v>760</v>
      </c>
      <c r="I88" s="20" t="n">
        <v>823</v>
      </c>
      <c r="J88" s="20" t="n">
        <v>213</v>
      </c>
      <c r="K88" s="20" t="n">
        <v>231</v>
      </c>
      <c r="L88" s="20" t="n">
        <v>256</v>
      </c>
    </row>
    <row r="89">
      <c r="A89" s="18" t="inlineStr">
        <is>
          <t>이연법인세자산</t>
        </is>
      </c>
      <c r="E89" s="20" t="n">
        <v>376</v>
      </c>
      <c r="H89" s="20" t="n">
        <v>565</v>
      </c>
      <c r="I89" s="20" t="n">
        <v>434</v>
      </c>
      <c r="J89" s="20" t="n">
        <v>852</v>
      </c>
      <c r="K89" s="20" t="n">
        <v>389</v>
      </c>
      <c r="L89" s="20" t="n">
        <v>376</v>
      </c>
    </row>
    <row r="90">
      <c r="A90" s="18" t="inlineStr">
        <is>
          <t>기타</t>
        </is>
      </c>
      <c r="E90" s="20" t="n">
        <v>409</v>
      </c>
      <c r="H90" s="20" t="n">
        <v>183</v>
      </c>
      <c r="I90" s="20" t="n">
        <v>163</v>
      </c>
      <c r="J90" s="20" t="n">
        <v>169</v>
      </c>
      <c r="K90" s="20" t="n">
        <v>159</v>
      </c>
      <c r="L90" s="20" t="n">
        <v>409</v>
      </c>
    </row>
    <row r="91">
      <c r="A91" s="18" t="inlineStr">
        <is>
          <t>투자 및 기타자산</t>
        </is>
      </c>
      <c r="C91" s="20" t="n">
        <v>826</v>
      </c>
      <c r="D91" s="20" t="n">
        <v>880</v>
      </c>
      <c r="E91" s="20" t="n">
        <v>1042</v>
      </c>
      <c r="F91" s="20" t="n">
        <v>1052</v>
      </c>
      <c r="G91" s="20" t="n">
        <v>637</v>
      </c>
      <c r="H91" s="20" t="n">
        <v>1509</v>
      </c>
      <c r="I91" s="20" t="n">
        <v>1421</v>
      </c>
      <c r="J91" s="20" t="n">
        <v>1235</v>
      </c>
      <c r="K91" s="20" t="n">
        <v>780</v>
      </c>
      <c r="L91" s="20" t="n">
        <v>1042</v>
      </c>
    </row>
    <row r="92">
      <c r="A92" s="9" t="inlineStr">
        <is>
          <t>비유동자산 합계</t>
        </is>
      </c>
      <c r="C92" s="12" t="n">
        <v>1323</v>
      </c>
      <c r="D92" s="12" t="n">
        <v>1455</v>
      </c>
      <c r="E92" s="12" t="n">
        <v>1828</v>
      </c>
      <c r="F92" s="12" t="n">
        <v>1809</v>
      </c>
      <c r="G92" s="12" t="n">
        <v>1357</v>
      </c>
      <c r="H92" s="12" t="n">
        <v>1991</v>
      </c>
      <c r="I92" s="12" t="n">
        <v>1825</v>
      </c>
      <c r="J92" s="12" t="n">
        <v>1727</v>
      </c>
      <c r="K92" s="12" t="n">
        <v>1267</v>
      </c>
      <c r="L92" s="12" t="n">
        <v>1828</v>
      </c>
    </row>
    <row r="93">
      <c r="A93" s="9" t="inlineStr">
        <is>
          <t>자산 합계</t>
        </is>
      </c>
      <c r="C93" s="12" t="n">
        <v>184998</v>
      </c>
      <c r="D93" s="12" t="n">
        <v>198660</v>
      </c>
      <c r="E93" s="12" t="n">
        <v>344957</v>
      </c>
      <c r="F93" s="12" t="n">
        <v>407849</v>
      </c>
      <c r="G93" s="12" t="n">
        <v>572727</v>
      </c>
      <c r="H93" s="12" t="n">
        <v>116990</v>
      </c>
      <c r="I93" s="12" t="n">
        <v>107177</v>
      </c>
      <c r="J93" s="12" t="n">
        <v>130213</v>
      </c>
      <c r="K93" s="12" t="n">
        <v>113970</v>
      </c>
      <c r="L93" s="12" t="n">
        <v>344957</v>
      </c>
    </row>
    <row r="94">
      <c r="A94" s="18" t="inlineStr">
        <is>
          <t>매입채무</t>
        </is>
      </c>
      <c r="C94" s="20" t="n">
        <v>64478</v>
      </c>
      <c r="D94" s="20" t="n">
        <v>67086</v>
      </c>
      <c r="E94" s="20" t="n">
        <v>105783</v>
      </c>
      <c r="F94" s="20" t="n">
        <v>166419</v>
      </c>
      <c r="G94" s="20" t="n">
        <v>225376</v>
      </c>
      <c r="H94" s="20" t="n">
        <v>47884</v>
      </c>
      <c r="I94" s="20" t="n">
        <v>37930</v>
      </c>
      <c r="J94" s="20" t="n">
        <v>46962</v>
      </c>
      <c r="K94" s="20" t="n">
        <v>40649</v>
      </c>
      <c r="L94" s="20" t="n">
        <v>105783</v>
      </c>
    </row>
    <row r="95">
      <c r="A95" s="18" t="inlineStr">
        <is>
          <t>미지급금</t>
        </is>
      </c>
      <c r="C95" s="20" t="n">
        <v>4152</v>
      </c>
      <c r="D95" s="20" t="n">
        <v>3869</v>
      </c>
      <c r="E95" s="20" t="n">
        <v>3332</v>
      </c>
      <c r="F95" s="20" t="n">
        <v>2810</v>
      </c>
      <c r="G95" s="20" t="n">
        <v>4720</v>
      </c>
      <c r="H95" s="20" t="n">
        <v>14981</v>
      </c>
      <c r="I95" s="20" t="n">
        <v>2115</v>
      </c>
      <c r="J95" s="20" t="n">
        <v>4529</v>
      </c>
      <c r="K95" s="20" t="n">
        <v>5488</v>
      </c>
      <c r="L95" s="20" t="n">
        <v>3332</v>
      </c>
    </row>
    <row r="96">
      <c r="A96" s="18" t="inlineStr">
        <is>
          <t>단기차입금</t>
        </is>
      </c>
      <c r="C96" s="20" t="n">
        <v>59641</v>
      </c>
      <c r="D96" s="20" t="n">
        <v>66021</v>
      </c>
      <c r="E96" s="20" t="n">
        <v>118569</v>
      </c>
      <c r="F96" s="20" t="n">
        <v>141078</v>
      </c>
      <c r="G96" s="20" t="n">
        <v>150190</v>
      </c>
      <c r="H96" s="20" t="n">
        <v>9500</v>
      </c>
      <c r="I96" s="20" t="n">
        <v>20563</v>
      </c>
      <c r="J96" s="20" t="n">
        <v>29661</v>
      </c>
      <c r="K96" s="20" t="n">
        <v>14054</v>
      </c>
      <c r="L96" s="20" t="n">
        <v>118569</v>
      </c>
    </row>
    <row r="97">
      <c r="A97" s="18" t="inlineStr">
        <is>
          <t>미지급법인세</t>
        </is>
      </c>
      <c r="C97" s="20" t="n">
        <v>1946</v>
      </c>
      <c r="D97" s="20" t="n">
        <v>2260</v>
      </c>
      <c r="E97" s="20" t="n">
        <v>2188</v>
      </c>
      <c r="F97" s="20" t="n">
        <v>6073</v>
      </c>
      <c r="G97" s="20" t="n">
        <v>10109</v>
      </c>
      <c r="H97" s="20" t="n">
        <v>1249</v>
      </c>
      <c r="I97" s="20" t="n">
        <v>488</v>
      </c>
      <c r="J97" s="20" t="n">
        <v>0</v>
      </c>
      <c r="K97" s="20" t="n">
        <v>1146</v>
      </c>
      <c r="L97" s="20" t="n">
        <v>2188</v>
      </c>
    </row>
    <row r="98">
      <c r="A98" s="18" t="inlineStr">
        <is>
          <t>선수금</t>
        </is>
      </c>
      <c r="C98" s="20" t="n">
        <v>994</v>
      </c>
      <c r="D98" s="20" t="n">
        <v>867</v>
      </c>
      <c r="E98" s="20" t="n">
        <v>50036</v>
      </c>
      <c r="F98" s="20" t="n">
        <v>16957</v>
      </c>
      <c r="G98" s="20" t="n">
        <v>69171</v>
      </c>
      <c r="H98" s="20" t="n">
        <v>425</v>
      </c>
      <c r="I98" s="20" t="n">
        <v>175</v>
      </c>
      <c r="J98" s="20" t="n">
        <v>1072</v>
      </c>
      <c r="K98" s="20" t="n">
        <v>1486</v>
      </c>
      <c r="L98" s="20" t="n">
        <v>50036</v>
      </c>
    </row>
    <row r="99">
      <c r="A99" s="18" t="inlineStr">
        <is>
          <t>상여충당금</t>
        </is>
      </c>
      <c r="C99" s="20" t="n">
        <v>138</v>
      </c>
      <c r="D99" s="20" t="n">
        <v>189</v>
      </c>
      <c r="E99" s="20" t="n">
        <v>377</v>
      </c>
      <c r="F99" s="20" t="n">
        <v>68</v>
      </c>
      <c r="G99" s="20" t="n">
        <v>141</v>
      </c>
      <c r="H99" s="20" t="n">
        <v>330</v>
      </c>
      <c r="I99" s="20" t="n">
        <v>282</v>
      </c>
      <c r="J99" s="20" t="n">
        <v>348</v>
      </c>
      <c r="K99" s="20" t="n">
        <v>339</v>
      </c>
      <c r="L99" s="20" t="n">
        <v>377</v>
      </c>
    </row>
    <row r="100">
      <c r="A100" s="18" t="inlineStr">
        <is>
          <t>기타</t>
        </is>
      </c>
      <c r="C100" s="20" t="n">
        <v>845</v>
      </c>
      <c r="D100" s="20" t="n">
        <v>1561</v>
      </c>
      <c r="E100" s="20" t="n">
        <v>4571</v>
      </c>
      <c r="F100" s="20" t="n">
        <v>3070</v>
      </c>
      <c r="G100" s="20" t="n">
        <v>141</v>
      </c>
      <c r="H100" s="20" t="n">
        <v>2722</v>
      </c>
      <c r="I100" s="20" t="n">
        <v>708</v>
      </c>
      <c r="J100" s="20" t="n">
        <v>1430</v>
      </c>
      <c r="K100" s="20" t="n">
        <v>401</v>
      </c>
      <c r="L100" s="20" t="n">
        <v>4571</v>
      </c>
    </row>
    <row r="101">
      <c r="A101" s="9" t="inlineStr">
        <is>
          <t>유동부채 합계</t>
        </is>
      </c>
      <c r="C101" s="12" t="n">
        <v>132196</v>
      </c>
      <c r="D101" s="12" t="n">
        <v>141856</v>
      </c>
      <c r="E101" s="12" t="n">
        <v>284860</v>
      </c>
      <c r="F101" s="12" t="n">
        <v>336481</v>
      </c>
      <c r="G101" s="12" t="n">
        <v>459851</v>
      </c>
      <c r="H101" s="12" t="n">
        <v>77094</v>
      </c>
      <c r="I101" s="12" t="n">
        <v>62264</v>
      </c>
      <c r="J101" s="12" t="n">
        <v>84005</v>
      </c>
      <c r="K101" s="12" t="n">
        <v>63566</v>
      </c>
      <c r="L101" s="12" t="n">
        <v>284860</v>
      </c>
    </row>
    <row r="102">
      <c r="A102" s="18" t="inlineStr">
        <is>
          <t>장기차입금</t>
        </is>
      </c>
      <c r="E102" s="20" t="n">
        <v>0</v>
      </c>
      <c r="G102" s="20" t="n">
        <v>31470</v>
      </c>
      <c r="L102" s="20" t="n">
        <v>0</v>
      </c>
    </row>
    <row r="103">
      <c r="A103" s="18" t="inlineStr">
        <is>
          <t>퇴직급여부채</t>
        </is>
      </c>
      <c r="C103" s="20" t="n">
        <v>567</v>
      </c>
      <c r="D103" s="20" t="n">
        <v>558</v>
      </c>
      <c r="E103" s="20" t="n">
        <v>567</v>
      </c>
      <c r="F103" s="20" t="n">
        <v>565</v>
      </c>
      <c r="G103" s="20" t="n">
        <v>580</v>
      </c>
      <c r="H103" s="20" t="n">
        <v>490</v>
      </c>
      <c r="I103" s="20" t="n">
        <v>509</v>
      </c>
      <c r="J103" s="20" t="n">
        <v>565</v>
      </c>
      <c r="K103" s="20" t="n">
        <v>592</v>
      </c>
      <c r="L103" s="20" t="n">
        <v>567</v>
      </c>
    </row>
    <row r="104">
      <c r="A104" s="18" t="inlineStr">
        <is>
          <t>이연법인세부채</t>
        </is>
      </c>
      <c r="E104" s="20" t="n">
        <v>25</v>
      </c>
      <c r="H104" s="20" t="n">
        <v>0</v>
      </c>
      <c r="I104" s="20" t="n">
        <v>0</v>
      </c>
      <c r="K104" s="20" t="n">
        <v>0</v>
      </c>
      <c r="L104" s="20" t="n">
        <v>25</v>
      </c>
    </row>
    <row r="105">
      <c r="A105" s="18" t="inlineStr">
        <is>
          <t>기타</t>
        </is>
      </c>
      <c r="C105" s="20" t="n">
        <v>308</v>
      </c>
      <c r="D105" s="20" t="n">
        <v>414</v>
      </c>
      <c r="E105" s="20" t="n">
        <v>291</v>
      </c>
      <c r="F105" s="20" t="n">
        <v>290</v>
      </c>
      <c r="G105" s="20" t="n">
        <v>387</v>
      </c>
      <c r="H105" s="20" t="n">
        <v>40</v>
      </c>
      <c r="I105" s="20" t="n">
        <v>204</v>
      </c>
      <c r="J105" s="20" t="n">
        <v>134</v>
      </c>
      <c r="K105" s="20" t="n">
        <v>189</v>
      </c>
      <c r="L105" s="20" t="n">
        <v>291</v>
      </c>
    </row>
    <row r="106">
      <c r="A106" s="9" t="inlineStr">
        <is>
          <t>비유동부채 합계</t>
        </is>
      </c>
      <c r="C106" s="12" t="n">
        <v>875</v>
      </c>
      <c r="D106" s="12" t="n">
        <v>973</v>
      </c>
      <c r="E106" s="12" t="n">
        <v>859</v>
      </c>
      <c r="F106" s="12" t="n">
        <v>856</v>
      </c>
      <c r="G106" s="12" t="n">
        <v>32438</v>
      </c>
      <c r="H106" s="12" t="n">
        <v>531</v>
      </c>
      <c r="I106" s="12" t="n">
        <v>714</v>
      </c>
      <c r="J106" s="12" t="n">
        <v>699</v>
      </c>
      <c r="K106" s="12" t="n">
        <v>782</v>
      </c>
      <c r="L106" s="12" t="n">
        <v>859</v>
      </c>
    </row>
    <row r="107">
      <c r="A107" s="9" t="inlineStr">
        <is>
          <t>부채 합계</t>
        </is>
      </c>
      <c r="C107" s="12" t="n">
        <v>133071</v>
      </c>
      <c r="D107" s="12" t="n">
        <v>142829</v>
      </c>
      <c r="E107" s="12" t="n">
        <v>285719</v>
      </c>
      <c r="F107" s="12" t="n">
        <v>337337</v>
      </c>
      <c r="G107" s="12" t="n">
        <v>492289</v>
      </c>
      <c r="H107" s="12" t="n">
        <v>77625</v>
      </c>
      <c r="I107" s="12" t="n">
        <v>62978</v>
      </c>
      <c r="J107" s="12" t="n">
        <v>84705</v>
      </c>
      <c r="K107" s="12" t="n">
        <v>64349</v>
      </c>
      <c r="L107" s="12" t="n">
        <v>285719</v>
      </c>
    </row>
    <row r="108">
      <c r="A108" s="18" t="inlineStr">
        <is>
          <t>자본금</t>
        </is>
      </c>
      <c r="C108" s="20" t="n">
        <v>2054</v>
      </c>
      <c r="D108" s="20" t="n">
        <v>2054</v>
      </c>
      <c r="E108" s="20" t="n">
        <v>2054</v>
      </c>
      <c r="F108" s="20" t="n">
        <v>2054</v>
      </c>
      <c r="G108" s="20" t="n">
        <v>2054</v>
      </c>
      <c r="H108" s="20" t="n">
        <v>2054</v>
      </c>
      <c r="I108" s="20" t="n">
        <v>2054</v>
      </c>
      <c r="J108" s="20" t="n">
        <v>2054</v>
      </c>
      <c r="K108" s="20" t="n">
        <v>2054</v>
      </c>
      <c r="L108" s="20" t="n">
        <v>2054</v>
      </c>
    </row>
    <row r="109">
      <c r="A109" s="18" t="inlineStr">
        <is>
          <t>자본잉여금</t>
        </is>
      </c>
      <c r="C109" s="20" t="n">
        <v>16</v>
      </c>
      <c r="D109" s="20" t="n">
        <v>16</v>
      </c>
      <c r="E109" s="20" t="n">
        <v>16</v>
      </c>
      <c r="F109" s="20" t="n">
        <v>16</v>
      </c>
      <c r="G109" s="20" t="n">
        <v>16</v>
      </c>
      <c r="I109" s="20" t="n">
        <v>0</v>
      </c>
      <c r="J109" s="20" t="n">
        <v>16</v>
      </c>
      <c r="K109" s="20" t="n">
        <v>16</v>
      </c>
      <c r="L109" s="20" t="n">
        <v>16</v>
      </c>
    </row>
    <row r="110">
      <c r="A110" s="18" t="inlineStr">
        <is>
          <t>이익잉여금</t>
        </is>
      </c>
      <c r="C110" s="20" t="n">
        <v>44675</v>
      </c>
      <c r="D110" s="20" t="n">
        <v>47239</v>
      </c>
      <c r="E110" s="20" t="n">
        <v>49912</v>
      </c>
      <c r="F110" s="20" t="n">
        <v>60759</v>
      </c>
      <c r="G110" s="20" t="n">
        <v>71353</v>
      </c>
      <c r="H110" s="20" t="n">
        <v>34786</v>
      </c>
      <c r="I110" s="20" t="n">
        <v>37652</v>
      </c>
      <c r="J110" s="20" t="n">
        <v>37708</v>
      </c>
      <c r="K110" s="20" t="n">
        <v>41936</v>
      </c>
      <c r="L110" s="20" t="n">
        <v>49912</v>
      </c>
    </row>
    <row r="111">
      <c r="A111" s="18" t="inlineStr">
        <is>
          <t>자기주식</t>
        </is>
      </c>
      <c r="C111" s="20" t="n">
        <v>-3</v>
      </c>
      <c r="D111" s="20" t="n">
        <v>-3</v>
      </c>
      <c r="E111" s="20" t="n">
        <v>-4</v>
      </c>
      <c r="F111" s="20" t="n">
        <v>-4</v>
      </c>
      <c r="G111" s="20" t="n">
        <v>-4</v>
      </c>
      <c r="H111" s="20" t="n">
        <v>-2</v>
      </c>
      <c r="I111" s="20" t="n">
        <v>-2</v>
      </c>
      <c r="J111" s="20" t="n">
        <v>-3</v>
      </c>
      <c r="K111" s="20" t="n">
        <v>-3</v>
      </c>
      <c r="L111" s="20" t="n">
        <v>-4</v>
      </c>
    </row>
    <row r="112">
      <c r="A112" s="9" t="inlineStr">
        <is>
          <t>주주자본 합계</t>
        </is>
      </c>
      <c r="C112" s="12" t="n">
        <v>46742</v>
      </c>
      <c r="D112" s="12" t="n">
        <v>49305</v>
      </c>
      <c r="E112" s="12" t="n">
        <v>51978</v>
      </c>
      <c r="F112" s="12" t="n">
        <v>62825</v>
      </c>
      <c r="G112" s="12" t="n">
        <v>73419</v>
      </c>
      <c r="H112" s="12" t="n">
        <v>36838</v>
      </c>
      <c r="I112" s="12" t="n">
        <v>39703</v>
      </c>
      <c r="J112" s="12" t="n">
        <v>39775</v>
      </c>
      <c r="K112" s="12" t="n">
        <v>44003</v>
      </c>
      <c r="L112" s="12" t="n">
        <v>51978</v>
      </c>
    </row>
    <row r="113">
      <c r="A113" s="18" t="inlineStr">
        <is>
          <t>기타유가증권 평가차액</t>
        </is>
      </c>
      <c r="H113" s="20" t="n">
        <v>177</v>
      </c>
      <c r="I113" s="20" t="n">
        <v>231</v>
      </c>
      <c r="J113" s="20" t="n">
        <v>0</v>
      </c>
    </row>
    <row r="114">
      <c r="A114" s="18" t="inlineStr">
        <is>
          <t>이연헤지손익</t>
        </is>
      </c>
      <c r="C114" s="20" t="n">
        <v>-264</v>
      </c>
      <c r="D114" s="20" t="n">
        <v>-473</v>
      </c>
      <c r="E114" s="20" t="n">
        <v>-537</v>
      </c>
      <c r="F114" s="20" t="n">
        <v>-831</v>
      </c>
      <c r="G114" s="20" t="n">
        <v>-79</v>
      </c>
      <c r="H114" s="20" t="n">
        <v>-237</v>
      </c>
      <c r="I114" s="20" t="n">
        <v>103</v>
      </c>
      <c r="J114" s="20" t="n">
        <v>-122</v>
      </c>
      <c r="K114" s="20" t="n">
        <v>90</v>
      </c>
      <c r="L114" s="20" t="n">
        <v>-537</v>
      </c>
    </row>
    <row r="115">
      <c r="A115" s="18" t="inlineStr">
        <is>
          <t>해외사업환산조정</t>
        </is>
      </c>
      <c r="C115" s="20" t="n">
        <v>5447</v>
      </c>
      <c r="D115" s="20" t="n">
        <v>6997</v>
      </c>
      <c r="E115" s="20" t="n">
        <v>7797</v>
      </c>
      <c r="F115" s="20" t="n">
        <v>8518</v>
      </c>
      <c r="G115" s="20" t="n">
        <v>7097</v>
      </c>
      <c r="H115" s="20" t="n">
        <v>1810</v>
      </c>
      <c r="I115" s="20" t="n">
        <v>3174</v>
      </c>
      <c r="J115" s="20" t="n">
        <v>5855</v>
      </c>
      <c r="K115" s="20" t="n">
        <v>5527</v>
      </c>
      <c r="L115" s="20" t="n">
        <v>7797</v>
      </c>
    </row>
    <row r="116">
      <c r="A116" s="18" t="inlineStr">
        <is>
          <t>기타포괄손익누계액 합계</t>
        </is>
      </c>
      <c r="C116" s="20" t="n">
        <v>5183</v>
      </c>
      <c r="D116" s="20" t="n">
        <v>6524</v>
      </c>
      <c r="E116" s="20" t="n">
        <v>7259</v>
      </c>
      <c r="F116" s="20" t="n">
        <v>7686</v>
      </c>
      <c r="G116" s="20" t="n">
        <v>7018</v>
      </c>
      <c r="H116" s="20" t="n">
        <v>1750</v>
      </c>
      <c r="I116" s="20" t="n">
        <v>3509</v>
      </c>
      <c r="J116" s="20" t="n">
        <v>5733</v>
      </c>
      <c r="K116" s="20" t="n">
        <v>5617</v>
      </c>
      <c r="L116" s="20" t="n">
        <v>7259</v>
      </c>
    </row>
    <row r="117">
      <c r="A117" s="18" t="inlineStr">
        <is>
          <t>비지배지분</t>
        </is>
      </c>
      <c r="H117" s="20" t="n">
        <v>775</v>
      </c>
      <c r="I117" s="20" t="n">
        <v>985</v>
      </c>
      <c r="J117" s="20" t="n">
        <v>0</v>
      </c>
    </row>
    <row r="118">
      <c r="A118" s="9" t="inlineStr">
        <is>
          <t>순자산 합계</t>
        </is>
      </c>
      <c r="C118" s="12" t="n">
        <v>51926</v>
      </c>
      <c r="D118" s="12" t="n">
        <v>55830</v>
      </c>
      <c r="E118" s="12" t="n">
        <v>59237</v>
      </c>
      <c r="F118" s="12" t="n">
        <v>70512</v>
      </c>
      <c r="G118" s="12" t="n">
        <v>80437</v>
      </c>
      <c r="H118" s="12" t="n">
        <v>39364</v>
      </c>
      <c r="I118" s="12" t="n">
        <v>44198</v>
      </c>
      <c r="J118" s="12" t="n">
        <v>45508</v>
      </c>
      <c r="K118" s="12" t="n">
        <v>49621</v>
      </c>
      <c r="L118" s="12" t="n">
        <v>59237</v>
      </c>
    </row>
    <row r="119">
      <c r="A119" s="9" t="inlineStr">
        <is>
          <t>부채·순자산 합계</t>
        </is>
      </c>
      <c r="C119" s="12" t="n">
        <v>184998</v>
      </c>
      <c r="D119" s="12" t="n">
        <v>198660</v>
      </c>
      <c r="E119" s="12" t="n">
        <v>344957</v>
      </c>
      <c r="F119" s="12" t="n">
        <v>407849</v>
      </c>
      <c r="G119" s="12" t="n">
        <v>572727</v>
      </c>
      <c r="H119" s="12" t="n">
        <v>116990</v>
      </c>
      <c r="I119" s="12" t="n">
        <v>107177</v>
      </c>
      <c r="J119" s="12" t="n">
        <v>130213</v>
      </c>
      <c r="K119" s="12" t="n">
        <v>113970</v>
      </c>
      <c r="L119" s="12" t="n">
        <v>344957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2026-10-28</t>
        </is>
      </c>
      <c r="B4" t="inlineStr">
        <is>
          <t>2027년 3월 결산기 ２분기 결산단신</t>
        </is>
      </c>
      <c r="C4" t="inlineStr">
        <is>
          <t>https://www2.jpx.co.jp/disc/27370/140120261019553024.pdf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https://www2.jpx.co.jp/disc/27370/140120260730502665.pdf</t>
        </is>
      </c>
    </row>
    <row r="6">
      <c r="A6" t="inlineStr">
        <is>
          <t>2026-04-24</t>
        </is>
      </c>
      <c r="B6" t="inlineStr">
        <is>
          <t>2026년 3월 결산기 연간 결산단신</t>
        </is>
      </c>
      <c r="C6" t="inlineStr">
        <is>
          <t>https://www2.jpx.co.jp/disc/27370/140120260423509318.pdf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https://www2.jpx.co.jp/disc/27370/140120260129540882.pdf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https://www2.jpx.co.jp/disc/27370/140120251028579807.pdf</t>
        </is>
      </c>
    </row>
    <row r="9">
      <c r="A9" t="inlineStr">
        <is>
          <t>2025-07-29</t>
        </is>
      </c>
      <c r="B9" t="inlineStr">
        <is>
          <t>2026년 3월 결산기 １분기 결산단신</t>
        </is>
      </c>
      <c r="C9" t="inlineStr">
        <is>
          <t>https://www2.jpx.co.jp/disc/27370/140120250728521357.pdf</t>
        </is>
      </c>
    </row>
    <row r="10">
      <c r="A10" t="inlineStr">
        <is>
          <t>2025-04-24</t>
        </is>
      </c>
      <c r="B10" t="inlineStr">
        <is>
          <t>2025년 3월 결산기 연간 결산단신</t>
        </is>
      </c>
      <c r="C10" t="inlineStr">
        <is>
          <t>https://www2.jpx.co.jp/disc/27370/140120250422519712.pdf</t>
        </is>
      </c>
    </row>
    <row r="11">
      <c r="A11" t="inlineStr">
        <is>
          <t>2025-01-29</t>
        </is>
      </c>
      <c r="B11" t="inlineStr">
        <is>
          <t>2025년 3월 결산기 ３분기 결산단신</t>
        </is>
      </c>
      <c r="C11" t="inlineStr">
        <is>
          <t>https://www2.jpx.co.jp/disc/27370/140120250129556739.pdf</t>
        </is>
      </c>
    </row>
    <row r="12">
      <c r="A12" t="inlineStr">
        <is>
          <t>2024-10-29</t>
        </is>
      </c>
      <c r="B12" t="inlineStr">
        <is>
          <t>2025년 3월 결산기 ２분기 결산단신</t>
        </is>
      </c>
      <c r="C12" t="inlineStr">
        <is>
          <t>https://www2.jpx.co.jp/disc/27370/140120241028503429.pdf</t>
        </is>
      </c>
    </row>
    <row r="13">
      <c r="A13" t="inlineStr">
        <is>
          <t>2024-07-26</t>
        </is>
      </c>
      <c r="B13" t="inlineStr">
        <is>
          <t>2025년 3월 결산기 １분기 결산단신</t>
        </is>
      </c>
      <c r="C13" t="inlineStr">
        <is>
          <t>https://www2.jpx.co.jp/disc/27370/140120240725554648.pdf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https://www2.jpx.co.jp/disc/27370/140120240423574342.pdf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https://www2.jpx.co.jp/disc/27370/140120240129520336.pdf</t>
        </is>
      </c>
    </row>
    <row r="16">
      <c r="A16" t="inlineStr">
        <is>
          <t>2023-10-26</t>
        </is>
      </c>
      <c r="B16" t="inlineStr">
        <is>
          <t>2024년 3월 결산기 ２분기 결산단신</t>
        </is>
      </c>
      <c r="C16" t="inlineStr">
        <is>
          <t>https://www2.jpx.co.jp/disc/27370/140120231025571148.pdf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https://www2.jpx.co.jp/disc/27370/140120230727527708.pdf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https://www2.jpx.co.jp/disc/27370/140120230426553049.pdf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https://www2.jpx.co.jp/disc/27370/140120230127594639.pdf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https://www2.jpx.co.jp/disc/27370/140120220425526626.pdf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https://www2.jpx.co.jp/disc/27370/140120210428402322.pdf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https://www2.jpx.co.jp/disc/27370/140120200427400144.pdf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https://www2.jpx.co.jp/disc/27370/140120190425412042.pdf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https://www2.jpx.co.jp/disc/27370/140120180425420377.pdf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2026-10-28T07:01:46Z</dcterms:created>
  <dcterms:modified xmlns:dcterms="http://purl.org/dc/terms/" xmlns:xsi="http://www.w3.org/2001/XMLSchema-instance" xsi:type="dcterms:W3CDTF">2026-10-28T07:01:47Z</dcterms:modified>
</cp:coreProperties>
</file>