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섹터 데이터" sheetId="3" state="visible" r:id="rId3"/>
    <sheet xmlns:r="http://schemas.openxmlformats.org/officeDocument/2006/relationships" name="출처" sheetId="4" state="visible" r:id="rId4"/>
    <sheet xmlns:r="http://schemas.openxmlformats.org/officeDocument/2006/relationships" name="재무제표 한눈에 보기" sheetId="5" state="visible" r:id="rId5"/>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7">
    <numFmt numFmtId="164" formatCode="0.0%;-0.0%;&quot;-&quot;"/>
    <numFmt numFmtId="165" formatCode="#,##0;(#,##0);&quot;-&quot;"/>
    <numFmt numFmtId="166" formatCode="0.0&quot;x&quot;;-0.0&quot;x&quot;;&quot;-&quot;"/>
    <numFmt numFmtId="167" formatCode="0.0&quot;년&quot;;-0.0&quot;년&quot;;&quot;-&quot;"/>
    <numFmt numFmtId="168" formatCode="0&quot;일&quot;;-0&quot;일&quot;;&quot;-&quot;"/>
    <numFmt numFmtId="169" formatCode="#,##0.0;\(#,##0.0\);&quot;-&quot;"/>
    <numFmt numFmtId="170" formatCode="0.0&quot;%&quot;"/>
  </numFmts>
  <fonts count="25">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color rgb="FFFF0000"/>
      <sz val="9"/>
    </font>
    <font>
      <name val="맑은 고딕"/>
      <b val="1"/>
      <color rgb="FFFFFFFF"/>
      <sz val="11"/>
    </font>
    <font>
      <name val="맑은 고딕"/>
      <b val="1"/>
      <sz val="10"/>
    </font>
    <font>
      <name val="맑은 고딕"/>
      <sz val="11"/>
    </font>
    <font>
      <name val="맑은 고딕"/>
      <color rgb="FF808080"/>
      <sz val="9"/>
    </font>
    <font>
      <name val="맑은 고딕"/>
      <b val="1"/>
      <sz val="12"/>
    </font>
    <font>
      <name val="맑은 고딕"/>
      <color rgb="00666666"/>
      <sz val="8"/>
    </font>
    <font>
      <name val="맑은 고딕"/>
      <b val="1"/>
      <sz val="9"/>
    </font>
    <font>
      <name val="맑은 고딕"/>
      <sz val="9"/>
    </font>
  </fonts>
  <fills count="9">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808080"/>
      </patternFill>
    </fill>
    <fill>
      <patternFill patternType="solid">
        <fgColor rgb="FFD9D9D9"/>
      </patternFill>
    </fill>
    <fill>
      <patternFill patternType="solid">
        <fgColor rgb="00D9E1F2"/>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0" borderId="0" pivotButton="0" quotePrefix="0" xfId="0"/>
    <xf numFmtId="0" fontId="17" fillId="6" borderId="0" applyAlignment="1" pivotButton="0" quotePrefix="0" xfId="0">
      <alignment horizontal="center" vertical="center"/>
    </xf>
    <xf numFmtId="0" fontId="18" fillId="7" borderId="0" applyAlignment="1" pivotButton="0" quotePrefix="0" xfId="0">
      <alignment horizontal="center" vertical="center"/>
    </xf>
    <xf numFmtId="0" fontId="19" fillId="0" borderId="0" pivotButton="0" quotePrefix="0" xfId="0"/>
    <xf numFmtId="3" fontId="19" fillId="0" borderId="0" applyAlignment="1" pivotButton="0" quotePrefix="0" xfId="0">
      <alignment horizontal="center" vertical="center"/>
    </xf>
    <xf numFmtId="0" fontId="20" fillId="0" borderId="0" pivotButton="0" quotePrefix="0" xfId="0"/>
    <xf numFmtId="169" fontId="19" fillId="0" borderId="0" applyAlignment="1" pivotButton="0" quotePrefix="0" xfId="0">
      <alignment horizontal="center" vertical="center"/>
    </xf>
    <xf numFmtId="0" fontId="19" fillId="0" borderId="0" applyAlignment="1" pivotButton="0" quotePrefix="0" xfId="0">
      <alignment horizontal="center" vertical="center"/>
    </xf>
    <xf numFmtId="0" fontId="18" fillId="7"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8" borderId="0" applyAlignment="1" pivotButton="0" quotePrefix="0" xfId="0">
      <alignment horizontal="center"/>
    </xf>
    <xf numFmtId="0" fontId="24" fillId="0" borderId="0" pivotButton="0" quotePrefix="0" xfId="0"/>
    <xf numFmtId="3" fontId="24" fillId="0" borderId="0" pivotButton="0" quotePrefix="0" xfId="0"/>
    <xf numFmtId="170" fontId="24" fillId="0"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매출액 (억 엔) · YoY (%)</a:t>
            </a:r>
          </a:p>
        </rich>
      </tx>
    </title>
    <plotArea>
      <barChart>
        <barDir val="col"/>
        <grouping val="clustered"/>
        <varyColors val="0"/>
        <ser>
          <idx val="0"/>
          <order val="0"/>
          <tx>
            <strRef>
              <f>'재무제표 한눈에 보기'!A5</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보기'!$B$5:$AO$5</f>
            </numRef>
          </val>
        </ser>
        <dLbls>
          <numFmt formatCode="#,##0"/>
          <dLblPos val="outEnd"/>
          <showLegendKey val="0"/>
          <showVal val="1"/>
          <showCatName val="0"/>
          <showSerName val="0"/>
        </dLbls>
        <gapWidth val="40"/>
        <axId val="10"/>
        <axId val="100"/>
      </barChart>
      <lineChart>
        <grouping val="standard"/>
        <ser>
          <idx val="1"/>
          <order val="1"/>
          <tx>
            <strRef>
              <f>'재무제표 한눈에 보기'!A6</f>
            </strRef>
          </tx>
          <spPr>
            <a:ln xmlns:a="http://schemas.openxmlformats.org/drawingml/2006/main">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val>
            <numRef>
              <f>'재무제표 한눈에 보기'!$B$6:$AO$6</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부문별 매출 (억 엔)</a:t>
            </a:r>
          </a:p>
        </rich>
      </tx>
    </title>
    <plotArea>
      <lineChart>
        <grouping val="standard"/>
        <varyColors val="0"/>
        <ser>
          <idx val="0"/>
          <order val="0"/>
          <tx>
            <strRef>
              <f>'재무제표 한눈에 보기'!A24</f>
            </strRef>
          </tx>
          <spPr>
            <a:ln xmlns:a="http://schemas.openxmlformats.org/drawingml/2006/main" w="22000">
              <a:solidFill>
                <a:srgbClr val="4472C4"/>
              </a:solidFill>
              <a:prstDash val="solid"/>
            </a:ln>
          </spPr>
          <marker>
            <symbol val="circle"/>
            <size val="5"/>
            <spPr>
              <a:solidFill xmlns:a="http://schemas.openxmlformats.org/drawingml/2006/main">
                <a:srgbClr val="4472C4"/>
              </a:solidFill>
              <a:ln xmlns:a="http://schemas.openxmlformats.org/drawingml/2006/main">
                <a:solidFill>
                  <a:srgbClr val="4472C4"/>
                </a:solidFill>
                <a:prstDash val="solid"/>
              </a:ln>
            </spPr>
          </marker>
          <cat>
            <numRef>
              <f>'재무제표 한눈에 보기'!$B$4:$AO$4</f>
            </numRef>
          </cat>
          <val>
            <numRef>
              <f>'재무제표 한눈에 보기'!$B$24:$AO$24</f>
            </numRef>
          </val>
          <smooth val="0"/>
        </ser>
        <ser>
          <idx val="1"/>
          <order val="1"/>
          <tx>
            <strRef>
              <f>'재무제표 한눈에 보기'!A25</f>
            </strRef>
          </tx>
          <spPr>
            <a:ln xmlns:a="http://schemas.openxmlformats.org/drawingml/2006/main" w="22000">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cat>
            <numRef>
              <f>'재무제표 한눈에 보기'!$B$4:$AO$4</f>
            </numRef>
          </cat>
          <val>
            <numRef>
              <f>'재무제표 한눈에 보기'!$B$25:$AO$25</f>
            </numRef>
          </val>
          <smooth val="0"/>
        </ser>
        <ser>
          <idx val="2"/>
          <order val="2"/>
          <tx>
            <strRef>
              <f>'재무제표 한눈에 보기'!A26</f>
            </strRef>
          </tx>
          <spPr>
            <a:ln xmlns:a="http://schemas.openxmlformats.org/drawingml/2006/main" w="22000">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cat>
            <numRef>
              <f>'재무제표 한눈에 보기'!$B$4:$AO$4</f>
            </numRef>
          </cat>
          <val>
            <numRef>
              <f>'재무제표 한눈에 보기'!$B$26:$AO$26</f>
            </numRef>
          </val>
          <smooth val="0"/>
        </ser>
        <ser>
          <idx val="3"/>
          <order val="3"/>
          <tx>
            <strRef>
              <f>'재무제표 한눈에 보기'!A27</f>
            </strRef>
          </tx>
          <spPr>
            <a:ln xmlns:a="http://schemas.openxmlformats.org/drawingml/2006/main" w="22000">
              <a:solidFill>
                <a:srgbClr val="FFC000"/>
              </a:solidFill>
              <a:prstDash val="solid"/>
            </a:ln>
          </spPr>
          <marker>
            <symbol val="circle"/>
            <size val="5"/>
            <spPr>
              <a:solidFill xmlns:a="http://schemas.openxmlformats.org/drawingml/2006/main">
                <a:srgbClr val="FFC000"/>
              </a:solidFill>
              <a:ln xmlns:a="http://schemas.openxmlformats.org/drawingml/2006/main">
                <a:solidFill>
                  <a:srgbClr val="FFC000"/>
                </a:solidFill>
                <a:prstDash val="solid"/>
              </a:ln>
            </spPr>
          </marker>
          <cat>
            <numRef>
              <f>'재무제표 한눈에 보기'!$B$4:$AO$4</f>
            </numRef>
          </cat>
          <val>
            <numRef>
              <f>'재무제표 한눈에 보기'!$B$27:$AO$27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plotArea>
    <legend>
      <legendPos val="t"/>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영업이익 (억 엔) · OPM·YoY (%)</a:t>
            </a:r>
          </a:p>
        </rich>
      </tx>
    </title>
    <plotArea>
      <barChart>
        <barDir val="col"/>
        <grouping val="clustered"/>
        <varyColors val="0"/>
        <ser>
          <idx val="0"/>
          <order val="0"/>
          <tx>
            <strRef>
              <f>'재무제표 한눈에 보기'!A7</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보기'!$B$7:$AO$7</f>
            </numRef>
          </val>
        </ser>
        <dLbls>
          <numFmt formatCode="#,##0"/>
          <dLblPos val="outEnd"/>
          <showLegendKey val="0"/>
          <showVal val="1"/>
          <showCatName val="0"/>
          <showSerName val="0"/>
        </dLbls>
        <gapWidth val="40"/>
        <axId val="10"/>
        <axId val="100"/>
      </barChart>
      <lineChart>
        <grouping val="standard"/>
        <ser>
          <idx val="1"/>
          <order val="1"/>
          <tx>
            <strRef>
              <f>'재무제표 한눈에 보기'!A8</f>
            </strRef>
          </tx>
          <spPr>
            <a:ln xmlns:a="http://schemas.openxmlformats.org/drawingml/2006/main">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val>
            <numRef>
              <f>'재무제표 한눈에 보기'!$B$8:$AO$8</f>
            </numRef>
          </val>
          <smooth val="0"/>
        </ser>
        <ser>
          <idx val="2"/>
          <order val="2"/>
          <tx>
            <strRef>
              <f>'재무제표 한눈에 보기'!A9</f>
            </strRef>
          </tx>
          <spPr>
            <a:ln xmlns:a="http://schemas.openxmlformats.org/drawingml/2006/main">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val>
            <numRef>
              <f>'재무제표 한눈에 보기'!$B$9:$AO$9</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재무 안정성 — 총 차입금·현금 (억 엔) · 부채비율 (%)</a:t>
            </a:r>
          </a:p>
        </rich>
      </tx>
    </title>
    <plotArea>
      <barChart>
        <barDir val="col"/>
        <grouping val="clustered"/>
        <varyColors val="0"/>
        <ser>
          <idx val="0"/>
          <order val="0"/>
          <tx>
            <strRef>
              <f>'재무제표 한눈에 보기'!A22</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보기'!$B$22:$AO$22</f>
            </numRef>
          </val>
        </ser>
        <ser>
          <idx val="1"/>
          <order val="1"/>
          <tx>
            <strRef>
              <f>'재무제표 한눈에 보기'!A23</f>
            </strRef>
          </tx>
          <spPr>
            <a:solidFill xmlns:a="http://schemas.openxmlformats.org/drawingml/2006/main">
              <a:srgbClr val="ED7D31"/>
            </a:solidFill>
            <a:ln xmlns:a="http://schemas.openxmlformats.org/drawingml/2006/main">
              <a:solidFill>
                <a:srgbClr val="ED7D31"/>
              </a:solidFill>
              <a:prstDash val="solid"/>
            </a:ln>
          </spPr>
          <cat>
            <numRef>
              <f>'재무제표 한눈에 보기'!$B$4:$AO$4</f>
            </numRef>
          </cat>
          <val>
            <numRef>
              <f>'재무제표 한눈에 보기'!$B$23:$AO$23</f>
            </numRef>
          </val>
        </ser>
        <dLbls>
          <numFmt formatCode="#,##0"/>
          <dLblPos val="outEnd"/>
          <showLegendKey val="0"/>
          <showVal val="1"/>
          <showCatName val="0"/>
          <showSerName val="0"/>
        </dLbls>
        <gapWidth val="40"/>
        <axId val="10"/>
        <axId val="100"/>
      </barChart>
      <lineChart>
        <grouping val="standard"/>
        <ser>
          <idx val="2"/>
          <order val="2"/>
          <tx>
            <strRef>
              <f>'재무제표 한눈에 보기'!A15</f>
            </strRef>
          </tx>
          <spPr>
            <a:ln xmlns:a="http://schemas.openxmlformats.org/drawingml/2006/main">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val>
            <numRef>
              <f>'재무제표 한눈에 보기'!$B$15:$AO$15</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29</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29</row>
      <rowOff>0</rowOff>
    </from>
    <ext cx="86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48</row>
      <rowOff>0</rowOff>
    </from>
    <ext cx="86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48</row>
      <rowOff>0</rowOff>
    </from>
    <ext cx="864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C294"/>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6141 Model</t>
        </is>
      </c>
    </row>
    <row r="2">
      <c r="A2" s="2" t="inlineStr">
        <is>
          <t>모를 땐 보수적으로</t>
        </is>
      </c>
      <c r="B2" s="3" t="inlineStr">
        <is>
          <t>(단위: 백만엔)</t>
        </is>
      </c>
      <c r="C2" s="3" t="inlineStr">
        <is>
          <t>12월 결산 · IFRS · 2026.3Q = 2026년 12월 결산기 3분기</t>
        </is>
      </c>
      <c r="Y2" s="4" t="inlineStr">
        <is>
          <t>(추정: 파란 글씨 = 직접 입력)</t>
        </is>
      </c>
    </row>
    <row r="3">
      <c r="A3" s="5" t="inlineStr">
        <is>
          <t>항목</t>
        </is>
      </c>
      <c r="B3" s="5" t="inlineStr">
        <is>
          <t>참고</t>
        </is>
      </c>
      <c r="C3" s="6" t="inlineStr">
        <is>
          <t>2023.4Q</t>
        </is>
      </c>
      <c r="D3" s="5" t="inlineStr">
        <is>
          <t>2024.1Q</t>
        </is>
      </c>
      <c r="E3" s="5" t="inlineStr">
        <is>
          <t>2024.2Q</t>
        </is>
      </c>
      <c r="F3" s="5" t="inlineStr">
        <is>
          <t>2024.3Q</t>
        </is>
      </c>
      <c r="G3" s="5" t="inlineStr">
        <is>
          <t>2024.4Q</t>
        </is>
      </c>
      <c r="H3" s="5" t="inlineStr">
        <is>
          <t>2025.1Q</t>
        </is>
      </c>
      <c r="I3" s="5" t="inlineStr">
        <is>
          <t>2025.2Q</t>
        </is>
      </c>
      <c r="J3" s="5" t="inlineStr">
        <is>
          <t>2025.3Q</t>
        </is>
      </c>
      <c r="K3" s="5" t="inlineStr">
        <is>
          <t>2025.4Q</t>
        </is>
      </c>
      <c r="L3" s="5" t="inlineStr">
        <is>
          <t>2026.1Q</t>
        </is>
      </c>
      <c r="M3" s="5" t="inlineStr">
        <is>
          <t>2026.2Q</t>
        </is>
      </c>
      <c r="N3" s="5" t="inlineStr">
        <is>
          <t>2026.3Q</t>
        </is>
      </c>
      <c r="O3" s="6" t="inlineStr">
        <is>
          <t>2016</t>
        </is>
      </c>
      <c r="P3" s="5" t="inlineStr">
        <is>
          <t>2017</t>
        </is>
      </c>
      <c r="Q3" s="5" t="inlineStr">
        <is>
          <t>2018</t>
        </is>
      </c>
      <c r="R3" s="5" t="inlineStr">
        <is>
          <t>2019</t>
        </is>
      </c>
      <c r="S3" s="5" t="inlineStr">
        <is>
          <t>2020</t>
        </is>
      </c>
      <c r="T3" s="5" t="inlineStr">
        <is>
          <t>2021</t>
        </is>
      </c>
      <c r="U3" s="5" t="inlineStr">
        <is>
          <t>2022</t>
        </is>
      </c>
      <c r="V3" s="5" t="inlineStr">
        <is>
          <t>2023</t>
        </is>
      </c>
      <c r="W3" s="5" t="inlineStr">
        <is>
          <t>2024</t>
        </is>
      </c>
      <c r="X3" s="5" t="inlineStr">
        <is>
          <t>2025</t>
        </is>
      </c>
      <c r="Y3" s="7" t="inlineStr">
        <is>
          <t>2026(MW)</t>
        </is>
      </c>
      <c r="Z3" s="8" t="inlineStr">
        <is>
          <t>2027(MW)</t>
        </is>
      </c>
      <c r="AA3" s="8" t="inlineStr">
        <is>
          <t>2028(MW)</t>
        </is>
      </c>
      <c r="AB3" s="8" t="inlineStr">
        <is>
          <t>2029(MW)</t>
        </is>
      </c>
      <c r="AC3" s="8" t="inlineStr">
        <is>
          <t>2030(MW)</t>
        </is>
      </c>
    </row>
    <row r="4">
      <c r="A4" s="9" t="inlineStr">
        <is>
          <t>매출액</t>
        </is>
      </c>
      <c r="B4" s="10" t="inlineStr">
        <is>
          <t>MW = 제품 합계</t>
        </is>
      </c>
      <c r="C4" s="11" t="n">
        <v>159289</v>
      </c>
      <c r="D4" s="12" t="n">
        <v>132851</v>
      </c>
      <c r="E4" s="12" t="n">
        <v>130866</v>
      </c>
      <c r="F4" s="12" t="n">
        <v>124243</v>
      </c>
      <c r="G4" s="12" t="n">
        <v>152985</v>
      </c>
      <c r="H4" s="12" t="n">
        <v>114010</v>
      </c>
      <c r="I4" s="12" t="n">
        <v>113477</v>
      </c>
      <c r="J4" s="12" t="n">
        <v>115642</v>
      </c>
      <c r="K4" s="12" t="n">
        <v>171847</v>
      </c>
      <c r="L4" s="12" t="n">
        <v>135531</v>
      </c>
      <c r="M4" s="12" t="n">
        <v>141198</v>
      </c>
      <c r="N4" s="12" t="n">
        <v>145977</v>
      </c>
      <c r="O4" s="11" t="n"/>
      <c r="P4" s="12" t="n"/>
      <c r="Q4" s="12" t="n">
        <v>501248</v>
      </c>
      <c r="R4" s="12" t="n">
        <v>485778</v>
      </c>
      <c r="S4" s="12" t="n">
        <v>328283</v>
      </c>
      <c r="T4" s="12" t="n">
        <v>396011</v>
      </c>
      <c r="U4" s="12" t="n">
        <v>474771</v>
      </c>
      <c r="V4" s="12" t="n">
        <v>539450</v>
      </c>
      <c r="W4" s="12" t="n">
        <v>540945</v>
      </c>
      <c r="X4" s="12" t="n">
        <v>514976</v>
      </c>
      <c r="Y4" s="11">
        <f>IF(COUNT(Y7,Y10,Y13,Y16)=0,"",SUM(Y7,Y10,Y13,Y16))</f>
        <v/>
      </c>
      <c r="Z4" s="12">
        <f>IF(COUNT(Z7,Z10,Z13,Z16)=0,"",SUM(Z7,Z10,Z13,Z16))</f>
        <v/>
      </c>
      <c r="AA4" s="12">
        <f>IF(COUNT(AA7,AA10,AA13,AA16)=0,"",SUM(AA7,AA10,AA13,AA16))</f>
        <v/>
      </c>
      <c r="AB4" s="12">
        <f>IF(COUNT(AB7,AB10,AB13,AB16)=0,"",SUM(AB7,AB10,AB13,AB16))</f>
        <v/>
      </c>
      <c r="AC4" s="12">
        <f>IF(COUNT(AC7,AC10,AC13,AC16)=0,"",SUM(AC7,AC10,AC13,AC16))</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Machine Tools</t>
        </is>
      </c>
      <c r="B7" s="10" t="n"/>
      <c r="C7" s="19" t="n"/>
      <c r="D7" s="20" t="n">
        <v>85989</v>
      </c>
      <c r="E7" s="20" t="n">
        <v>84576</v>
      </c>
      <c r="F7" s="20" t="n">
        <v>81567</v>
      </c>
      <c r="G7" s="20" t="n"/>
      <c r="H7" s="20" t="n">
        <v>73647</v>
      </c>
      <c r="I7" s="20" t="n">
        <v>72513</v>
      </c>
      <c r="J7" s="20" t="n">
        <v>73328</v>
      </c>
      <c r="K7" s="20" t="n"/>
      <c r="L7" s="20" t="n">
        <v>86364</v>
      </c>
      <c r="M7" s="20" t="n">
        <v>94422</v>
      </c>
      <c r="N7" s="20" t="n">
        <v>96724</v>
      </c>
      <c r="O7" s="19" t="n"/>
      <c r="P7" s="20" t="n"/>
      <c r="Q7" s="20" t="n"/>
      <c r="R7" s="20" t="n"/>
      <c r="S7" s="20" t="n"/>
      <c r="T7" s="20" t="n"/>
      <c r="U7" s="20" t="n"/>
      <c r="V7" s="20" t="n"/>
      <c r="W7" s="20" t="n"/>
      <c r="X7" s="20" t="n"/>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Industrial Services</t>
        </is>
      </c>
      <c r="B10" s="10" t="n"/>
      <c r="C10" s="19" t="n"/>
      <c r="D10" s="20" t="n">
        <v>46852</v>
      </c>
      <c r="E10" s="20" t="n">
        <v>46278</v>
      </c>
      <c r="F10" s="20" t="n">
        <v>42664</v>
      </c>
      <c r="G10" s="20" t="n"/>
      <c r="H10" s="20" t="n">
        <v>40352</v>
      </c>
      <c r="I10" s="20" t="n">
        <v>40952</v>
      </c>
      <c r="J10" s="20" t="n">
        <v>42302</v>
      </c>
      <c r="K10" s="20" t="n"/>
      <c r="L10" s="20" t="n">
        <v>49153</v>
      </c>
      <c r="M10" s="20" t="n">
        <v>46764</v>
      </c>
      <c r="N10" s="20" t="n">
        <v>49240</v>
      </c>
      <c r="O10" s="19" t="n"/>
      <c r="P10" s="20" t="n"/>
      <c r="Q10" s="20" t="n"/>
      <c r="R10" s="20" t="n"/>
      <c r="S10" s="20" t="n"/>
      <c r="T10" s="20" t="n"/>
      <c r="U10" s="20" t="n"/>
      <c r="V10" s="20" t="n"/>
      <c r="W10" s="20" t="n"/>
      <c r="X10" s="20" t="n"/>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Corporate</t>
        </is>
      </c>
      <c r="B13" s="10" t="n"/>
      <c r="C13" s="19" t="n"/>
      <c r="D13" s="20" t="n">
        <v>10</v>
      </c>
      <c r="E13" s="20" t="n">
        <v>11</v>
      </c>
      <c r="F13" s="20" t="n">
        <v>11</v>
      </c>
      <c r="G13" s="20" t="n"/>
      <c r="H13" s="20" t="n">
        <v>10</v>
      </c>
      <c r="I13" s="20" t="n">
        <v>12</v>
      </c>
      <c r="J13" s="20" t="n">
        <v>12</v>
      </c>
      <c r="K13" s="20" t="n"/>
      <c r="L13" s="20" t="n">
        <v>12</v>
      </c>
      <c r="M13" s="20" t="n">
        <v>14</v>
      </c>
      <c r="N13" s="20" t="n">
        <v>13</v>
      </c>
      <c r="O13" s="19" t="n"/>
      <c r="P13" s="20" t="n"/>
      <c r="Q13" s="20" t="n"/>
      <c r="R13" s="20" t="n"/>
      <c r="S13" s="20" t="n"/>
      <c r="T13" s="20" t="n"/>
      <c r="U13" s="20" t="n"/>
      <c r="V13" s="20" t="n"/>
      <c r="W13" s="20" t="n"/>
      <c r="X13" s="20" t="n"/>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Adjustment</t>
        </is>
      </c>
      <c r="B16" s="10" t="n"/>
      <c r="C16" s="19" t="n"/>
      <c r="D16" s="20" t="n">
        <v>0</v>
      </c>
      <c r="E16" s="20" t="n">
        <v>0</v>
      </c>
      <c r="F16" s="20" t="n">
        <v>0</v>
      </c>
      <c r="G16" s="20" t="n"/>
      <c r="H16" s="20" t="n">
        <v>0</v>
      </c>
      <c r="I16" s="20" t="n">
        <v>0</v>
      </c>
      <c r="J16" s="20" t="n">
        <v>0</v>
      </c>
      <c r="K16" s="20" t="n"/>
      <c r="L16" s="20" t="n">
        <v>0</v>
      </c>
      <c r="M16" s="20" t="n">
        <v>0</v>
      </c>
      <c r="N16" s="20" t="n">
        <v>0</v>
      </c>
      <c r="O16" s="19" t="n"/>
      <c r="P16" s="20" t="n"/>
      <c r="Q16" s="20" t="n"/>
      <c r="R16" s="20" t="n"/>
      <c r="S16" s="20" t="n"/>
      <c r="T16" s="20" t="n"/>
      <c r="U16" s="20" t="n"/>
      <c r="V16" s="20" t="n"/>
      <c r="W16" s="20" t="n"/>
      <c r="X16" s="20" t="n"/>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6" t="inlineStr">
        <is>
          <t>매출원가</t>
        </is>
      </c>
      <c r="B19" s="16" t="n"/>
      <c r="C19" s="17" t="n"/>
      <c r="D19" s="16" t="n"/>
      <c r="E19" s="16" t="n"/>
      <c r="F19" s="16" t="n"/>
      <c r="G19" s="16" t="n"/>
      <c r="H19" s="16" t="n"/>
      <c r="I19" s="16" t="n"/>
      <c r="J19" s="16" t="n"/>
      <c r="K19" s="16" t="n"/>
      <c r="L19" s="16" t="n"/>
      <c r="M19" s="16" t="n"/>
      <c r="N19" s="16" t="n"/>
      <c r="O19" s="17" t="n"/>
      <c r="P19" s="16" t="n"/>
      <c r="Q19" s="16" t="n"/>
      <c r="R19" s="16" t="n"/>
      <c r="S19" s="16" t="n"/>
      <c r="T19" s="16" t="n"/>
      <c r="U19" s="16" t="n"/>
      <c r="V19" s="16" t="n"/>
      <c r="W19" s="16" t="n"/>
      <c r="X19" s="16" t="n"/>
      <c r="Y19" s="17" t="n"/>
      <c r="Z19" s="16" t="n"/>
      <c r="AA19" s="16" t="n"/>
      <c r="AB19" s="16" t="n"/>
      <c r="AC19" s="16" t="n"/>
    </row>
    <row r="20">
      <c r="A20" s="18" t="inlineStr">
        <is>
          <t>전체 매출원가</t>
        </is>
      </c>
      <c r="B20" s="10" t="n"/>
      <c r="C20" s="19" t="n"/>
      <c r="D20" s="20" t="n"/>
      <c r="E20" s="20" t="n"/>
      <c r="F20" s="20" t="n"/>
      <c r="G20" s="20" t="n"/>
      <c r="H20" s="20" t="n"/>
      <c r="I20" s="20" t="n"/>
      <c r="J20" s="20" t="n"/>
      <c r="K20" s="20" t="n"/>
      <c r="L20" s="20" t="n"/>
      <c r="M20" s="20" t="n"/>
      <c r="N20" s="20" t="n"/>
      <c r="O20" s="19" t="n"/>
      <c r="P20" s="20" t="n"/>
      <c r="Q20" s="20" t="n"/>
      <c r="R20" s="20" t="n"/>
      <c r="S20" s="20" t="n"/>
      <c r="T20" s="20" t="n"/>
      <c r="U20" s="20" t="n"/>
      <c r="V20" s="20" t="n"/>
      <c r="W20" s="20" t="n"/>
      <c r="X20" s="20" t="n"/>
      <c r="Y20" s="19" t="n"/>
      <c r="Z20" s="20" t="n"/>
      <c r="AA20" s="20" t="n"/>
      <c r="AB20" s="20" t="n"/>
      <c r="AC20" s="20" t="n"/>
    </row>
    <row r="21">
      <c r="A21" s="13" t="inlineStr">
        <is>
          <t>YoY</t>
        </is>
      </c>
      <c r="B21" s="10" t="n"/>
      <c r="C21" s="14" t="n"/>
      <c r="D21" s="15" t="n"/>
      <c r="E21" s="15" t="n"/>
      <c r="F21" s="15" t="n"/>
      <c r="G21" s="15">
        <f>IF(OR(G20="",C20=""),"",IF(C20&lt;=0,"",IFERROR(G20/C20-1,"")))</f>
        <v/>
      </c>
      <c r="H21" s="15">
        <f>IF(OR(H20="",D20=""),"",IF(D20&lt;=0,"",IFERROR(H20/D20-1,"")))</f>
        <v/>
      </c>
      <c r="I21" s="15">
        <f>IF(OR(I20="",E20=""),"",IF(E20&lt;=0,"",IFERROR(I20/E20-1,"")))</f>
        <v/>
      </c>
      <c r="J21" s="15">
        <f>IF(OR(J20="",F20=""),"",IF(F20&lt;=0,"",IFERROR(J20/F20-1,"")))</f>
        <v/>
      </c>
      <c r="K21" s="15">
        <f>IF(OR(K20="",G20=""),"",IF(G20&lt;=0,"",IFERROR(K20/G20-1,"")))</f>
        <v/>
      </c>
      <c r="L21" s="15">
        <f>IF(OR(L20="",H20=""),"",IF(H20&lt;=0,"",IFERROR(L20/H20-1,"")))</f>
        <v/>
      </c>
      <c r="M21" s="15">
        <f>IF(OR(M20="",I20=""),"",IF(I20&lt;=0,"",IFERROR(M20/I20-1,"")))</f>
        <v/>
      </c>
      <c r="N21" s="15">
        <f>IF(OR(N20="",J20=""),"",IF(J20&lt;=0,"",IFERROR(N20/J20-1,"")))</f>
        <v/>
      </c>
      <c r="O21" s="14" t="n"/>
      <c r="P21" s="15">
        <f>IF(OR(P20="",O20=""),"",IF(O20&lt;=0,"",IFERROR(P20/O20-1,"")))</f>
        <v/>
      </c>
      <c r="Q21" s="15">
        <f>IF(OR(Q20="",P20=""),"",IF(P20&lt;=0,"",IFERROR(Q20/P20-1,"")))</f>
        <v/>
      </c>
      <c r="R21" s="15">
        <f>IF(OR(R20="",Q20=""),"",IF(Q20&lt;=0,"",IFERROR(R20/Q20-1,"")))</f>
        <v/>
      </c>
      <c r="S21" s="15">
        <f>IF(OR(S20="",R20=""),"",IF(R20&lt;=0,"",IFERROR(S20/R20-1,"")))</f>
        <v/>
      </c>
      <c r="T21" s="15">
        <f>IF(OR(T20="",S20=""),"",IF(S20&lt;=0,"",IFERROR(T20/S20-1,"")))</f>
        <v/>
      </c>
      <c r="U21" s="15">
        <f>IF(OR(U20="",T20=""),"",IF(T20&lt;=0,"",IFERROR(U20/T20-1,"")))</f>
        <v/>
      </c>
      <c r="V21" s="15">
        <f>IF(OR(V20="",U20=""),"",IF(U20&lt;=0,"",IFERROR(V20/U20-1,"")))</f>
        <v/>
      </c>
      <c r="W21" s="15">
        <f>IF(OR(W20="",V20=""),"",IF(V20&lt;=0,"",IFERROR(W20/V20-1,"")))</f>
        <v/>
      </c>
      <c r="X21" s="15">
        <f>IF(OR(X20="",W20=""),"",IF(W20&lt;=0,"",IFERROR(X20/W20-1,"")))</f>
        <v/>
      </c>
      <c r="Y21" s="14">
        <f>IF(OR(Y20="",X20=""),"",IF(X20&lt;=0,"",IFERROR(Y20/X20-1,"")))</f>
        <v/>
      </c>
      <c r="Z21" s="15">
        <f>IF(OR(Z20="",Y20=""),"",IF(Y20&lt;=0,"",IFERROR(Z20/Y20-1,"")))</f>
        <v/>
      </c>
      <c r="AA21" s="15">
        <f>IF(OR(AA20="",Z20=""),"",IF(Z20&lt;=0,"",IFERROR(AA20/Z20-1,"")))</f>
        <v/>
      </c>
      <c r="AB21" s="15">
        <f>IF(OR(AB20="",AA20=""),"",IF(AA20&lt;=0,"",IFERROR(AB20/AA20-1,"")))</f>
        <v/>
      </c>
      <c r="AC21" s="15">
        <f>IF(OR(AC20="",AB20=""),"",IF(AB20&lt;=0,"",IFERROR(AC20/AB20-1,"")))</f>
        <v/>
      </c>
    </row>
    <row r="22">
      <c r="A22" s="18" t="inlineStr">
        <is>
          <t>매출총이익</t>
        </is>
      </c>
      <c r="B22" s="10" t="n"/>
      <c r="C22" s="19">
        <f>IF(OR(C4="",C20=""),"",IFERROR(C4-C20,""))</f>
        <v/>
      </c>
      <c r="D22" s="20">
        <f>IF(OR(D4="",D20=""),"",IFERROR(D4-D20,""))</f>
        <v/>
      </c>
      <c r="E22" s="20">
        <f>IF(OR(E4="",E20=""),"",IFERROR(E4-E20,""))</f>
        <v/>
      </c>
      <c r="F22" s="20">
        <f>IF(OR(F4="",F20=""),"",IFERROR(F4-F20,""))</f>
        <v/>
      </c>
      <c r="G22" s="20">
        <f>IF(OR(G4="",G20=""),"",IFERROR(G4-G20,""))</f>
        <v/>
      </c>
      <c r="H22" s="20">
        <f>IF(OR(H4="",H20=""),"",IFERROR(H4-H20,""))</f>
        <v/>
      </c>
      <c r="I22" s="20">
        <f>IF(OR(I4="",I20=""),"",IFERROR(I4-I20,""))</f>
        <v/>
      </c>
      <c r="J22" s="20">
        <f>IF(OR(J4="",J20=""),"",IFERROR(J4-J20,""))</f>
        <v/>
      </c>
      <c r="K22" s="20">
        <f>IF(OR(K4="",K20=""),"",IFERROR(K4-K20,""))</f>
        <v/>
      </c>
      <c r="L22" s="20">
        <f>IF(OR(L4="",L20=""),"",IFERROR(L4-L20,""))</f>
        <v/>
      </c>
      <c r="M22" s="20">
        <f>IF(OR(M4="",M20=""),"",IFERROR(M4-M20,""))</f>
        <v/>
      </c>
      <c r="N22" s="20">
        <f>IF(OR(N4="",N20=""),"",IFERROR(N4-N20,""))</f>
        <v/>
      </c>
      <c r="O22" s="19">
        <f>IF(OR(O4="",O20=""),"",IFERROR(O4-O20,""))</f>
        <v/>
      </c>
      <c r="P22" s="20">
        <f>IF(OR(P4="",P20=""),"",IFERROR(P4-P20,""))</f>
        <v/>
      </c>
      <c r="Q22" s="20">
        <f>IF(OR(Q4="",Q20=""),"",IFERROR(Q4-Q20,""))</f>
        <v/>
      </c>
      <c r="R22" s="20">
        <f>IF(OR(R4="",R20=""),"",IFERROR(R4-R20,""))</f>
        <v/>
      </c>
      <c r="S22" s="20">
        <f>IF(OR(S4="",S20=""),"",IFERROR(S4-S20,""))</f>
        <v/>
      </c>
      <c r="T22" s="20">
        <f>IF(OR(T4="",T20=""),"",IFERROR(T4-T20,""))</f>
        <v/>
      </c>
      <c r="U22" s="20">
        <f>IF(OR(U4="",U20=""),"",IFERROR(U4-U20,""))</f>
        <v/>
      </c>
      <c r="V22" s="20">
        <f>IF(OR(V4="",V20=""),"",IFERROR(V4-V20,""))</f>
        <v/>
      </c>
      <c r="W22" s="20">
        <f>IF(OR(W4="",W20=""),"",IFERROR(W4-W20,""))</f>
        <v/>
      </c>
      <c r="X22" s="20">
        <f>IF(OR(X4="",X20=""),"",IFERROR(X4-X20,""))</f>
        <v/>
      </c>
      <c r="Y22" s="19" t="n"/>
      <c r="Z22" s="20" t="n"/>
      <c r="AA22" s="20" t="n"/>
      <c r="AB22" s="20" t="n"/>
      <c r="AC22" s="20" t="n"/>
    </row>
    <row r="23">
      <c r="A23" s="13" t="inlineStr">
        <is>
          <t>GPM</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IF(OR(G22="",C22=""),"",IF(C22&lt;=0,"",IFERROR(G22/C22-1,"")))</f>
        <v/>
      </c>
      <c r="H24" s="15">
        <f>IF(OR(H22="",D22=""),"",IF(D22&lt;=0,"",IFERROR(H22/D22-1,"")))</f>
        <v/>
      </c>
      <c r="I24" s="15">
        <f>IF(OR(I22="",E22=""),"",IF(E22&lt;=0,"",IFERROR(I22/E22-1,"")))</f>
        <v/>
      </c>
      <c r="J24" s="15">
        <f>IF(OR(J22="",F22=""),"",IF(F22&lt;=0,"",IFERROR(J22/F22-1,"")))</f>
        <v/>
      </c>
      <c r="K24" s="15">
        <f>IF(OR(K22="",G22=""),"",IF(G22&lt;=0,"",IFERROR(K22/G22-1,"")))</f>
        <v/>
      </c>
      <c r="L24" s="15">
        <f>IF(OR(L22="",H22=""),"",IF(H22&lt;=0,"",IFERROR(L22/H22-1,"")))</f>
        <v/>
      </c>
      <c r="M24" s="15">
        <f>IF(OR(M22="",I22=""),"",IF(I22&lt;=0,"",IFERROR(M22/I22-1,"")))</f>
        <v/>
      </c>
      <c r="N24" s="15">
        <f>IF(OR(N22="",J22=""),"",IF(J22&lt;=0,"",IFERROR(N22/J22-1,"")))</f>
        <v/>
      </c>
      <c r="O24" s="14" t="n"/>
      <c r="P24" s="15">
        <f>IF(OR(P22="",O22=""),"",IF(O22&lt;=0,"",IFERROR(P22/O22-1,"")))</f>
        <v/>
      </c>
      <c r="Q24" s="15">
        <f>IF(OR(Q22="",P22=""),"",IF(P22&lt;=0,"",IFERROR(Q22/P22-1,"")))</f>
        <v/>
      </c>
      <c r="R24" s="15">
        <f>IF(OR(R22="",Q22=""),"",IF(Q22&lt;=0,"",IFERROR(R22/Q22-1,"")))</f>
        <v/>
      </c>
      <c r="S24" s="15">
        <f>IF(OR(S22="",R22=""),"",IF(R22&lt;=0,"",IFERROR(S22/R22-1,"")))</f>
        <v/>
      </c>
      <c r="T24" s="15">
        <f>IF(OR(T22="",S22=""),"",IF(S22&lt;=0,"",IFERROR(T22/S22-1,"")))</f>
        <v/>
      </c>
      <c r="U24" s="15">
        <f>IF(OR(U22="",T22=""),"",IF(T22&lt;=0,"",IFERROR(U22/T22-1,"")))</f>
        <v/>
      </c>
      <c r="V24" s="15">
        <f>IF(OR(V22="",U22=""),"",IF(U22&lt;=0,"",IFERROR(V22/U22-1,"")))</f>
        <v/>
      </c>
      <c r="W24" s="15">
        <f>IF(OR(W22="",V22=""),"",IF(V22&lt;=0,"",IFERROR(W22/V22-1,"")))</f>
        <v/>
      </c>
      <c r="X24" s="15">
        <f>IF(OR(X22="",W22=""),"",IF(W22&lt;=0,"",IFERROR(X22/W22-1,"")))</f>
        <v/>
      </c>
      <c r="Y24" s="14">
        <f>IF(OR(Y22="",X22=""),"",IF(X22&lt;=0,"",IFERROR(Y22/X22-1,"")))</f>
        <v/>
      </c>
      <c r="Z24" s="15">
        <f>IF(OR(Z22="",Y22=""),"",IF(Y22&lt;=0,"",IFERROR(Z22/Y22-1,"")))</f>
        <v/>
      </c>
      <c r="AA24" s="15">
        <f>IF(OR(AA22="",Z22=""),"",IF(Z22&lt;=0,"",IFERROR(AA22/Z22-1,"")))</f>
        <v/>
      </c>
      <c r="AB24" s="15">
        <f>IF(OR(AB22="",AA22=""),"",IF(AA22&lt;=0,"",IFERROR(AB22/AA22-1,"")))</f>
        <v/>
      </c>
      <c r="AC24" s="15">
        <f>IF(OR(AC22="",AB22=""),"",IF(AB22&lt;=0,"",IFERROR(AC22/AB22-1,"")))</f>
        <v/>
      </c>
    </row>
    <row r="25">
      <c r="A25" s="23" t="inlineStr">
        <is>
          <t>판매관리비</t>
        </is>
      </c>
      <c r="B25" s="23" t="n"/>
      <c r="C25" s="24" t="n"/>
      <c r="D25" s="23" t="n"/>
      <c r="E25" s="23" t="n"/>
      <c r="F25" s="23" t="n"/>
      <c r="G25" s="23" t="n"/>
      <c r="H25" s="23" t="n"/>
      <c r="I25" s="23" t="n"/>
      <c r="J25" s="23" t="n"/>
      <c r="K25" s="23" t="n"/>
      <c r="L25" s="23" t="n"/>
      <c r="M25" s="23" t="n"/>
      <c r="N25" s="23" t="n"/>
      <c r="O25" s="24" t="n"/>
      <c r="P25" s="23" t="n"/>
      <c r="Q25" s="23" t="n"/>
      <c r="R25" s="23" t="n"/>
      <c r="S25" s="23" t="n"/>
      <c r="T25" s="23" t="n"/>
      <c r="U25" s="23" t="n"/>
      <c r="V25" s="23" t="n"/>
      <c r="W25" s="23" t="n"/>
      <c r="X25" s="23" t="n"/>
      <c r="Y25" s="24" t="n"/>
      <c r="Z25" s="23" t="n"/>
      <c r="AA25" s="23" t="n"/>
      <c r="AB25" s="23" t="n"/>
      <c r="AC25" s="23" t="n"/>
    </row>
    <row r="26">
      <c r="A26" s="18" t="inlineStr">
        <is>
          <t>전체 판관비</t>
        </is>
      </c>
      <c r="B26" s="10" t="n"/>
      <c r="C26" s="19" t="n"/>
      <c r="D26" s="20" t="n"/>
      <c r="E26" s="20" t="n"/>
      <c r="F26" s="20" t="n"/>
      <c r="G26" s="20" t="n"/>
      <c r="H26" s="20" t="n"/>
      <c r="I26" s="20" t="n"/>
      <c r="J26" s="20" t="n"/>
      <c r="K26" s="20" t="n"/>
      <c r="L26" s="20" t="n"/>
      <c r="M26" s="20" t="n"/>
      <c r="N26" s="20" t="n"/>
      <c r="O26" s="19" t="n"/>
      <c r="P26" s="20" t="n"/>
      <c r="Q26" s="20" t="n"/>
      <c r="R26" s="20" t="n"/>
      <c r="S26" s="20" t="n"/>
      <c r="T26" s="20" t="n"/>
      <c r="U26" s="20" t="n"/>
      <c r="V26" s="20" t="n"/>
      <c r="W26" s="20" t="n"/>
      <c r="X26" s="20" t="n"/>
      <c r="Y26" s="19" t="n"/>
      <c r="Z26" s="20" t="n"/>
      <c r="AA26" s="20" t="n"/>
      <c r="AB26" s="20" t="n"/>
      <c r="AC26" s="20" t="n"/>
    </row>
    <row r="27">
      <c r="A27" s="13" t="inlineStr">
        <is>
          <t>YoY</t>
        </is>
      </c>
      <c r="B27" s="10" t="n"/>
      <c r="C27" s="14" t="n"/>
      <c r="D27" s="15" t="n"/>
      <c r="E27" s="15" t="n"/>
      <c r="F27" s="15" t="n"/>
      <c r="G27" s="15">
        <f>IF(OR(G26="",C26=""),"",IF(C26&lt;=0,"",IFERROR(G26/C26-1,"")))</f>
        <v/>
      </c>
      <c r="H27" s="15">
        <f>IF(OR(H26="",D26=""),"",IF(D26&lt;=0,"",IFERROR(H26/D26-1,"")))</f>
        <v/>
      </c>
      <c r="I27" s="15">
        <f>IF(OR(I26="",E26=""),"",IF(E26&lt;=0,"",IFERROR(I26/E26-1,"")))</f>
        <v/>
      </c>
      <c r="J27" s="15">
        <f>IF(OR(J26="",F26=""),"",IF(F26&lt;=0,"",IFERROR(J26/F26-1,"")))</f>
        <v/>
      </c>
      <c r="K27" s="15">
        <f>IF(OR(K26="",G26=""),"",IF(G26&lt;=0,"",IFERROR(K26/G26-1,"")))</f>
        <v/>
      </c>
      <c r="L27" s="15">
        <f>IF(OR(L26="",H26=""),"",IF(H26&lt;=0,"",IFERROR(L26/H26-1,"")))</f>
        <v/>
      </c>
      <c r="M27" s="15">
        <f>IF(OR(M26="",I26=""),"",IF(I26&lt;=0,"",IFERROR(M26/I26-1,"")))</f>
        <v/>
      </c>
      <c r="N27" s="15">
        <f>IF(OR(N26="",J26=""),"",IF(J26&lt;=0,"",IFERROR(N26/J26-1,"")))</f>
        <v/>
      </c>
      <c r="O27" s="14" t="n"/>
      <c r="P27" s="15">
        <f>IF(OR(P26="",O26=""),"",IF(O26&lt;=0,"",IFERROR(P26/O26-1,"")))</f>
        <v/>
      </c>
      <c r="Q27" s="15">
        <f>IF(OR(Q26="",P26=""),"",IF(P26&lt;=0,"",IFERROR(Q26/P26-1,"")))</f>
        <v/>
      </c>
      <c r="R27" s="15">
        <f>IF(OR(R26="",Q26=""),"",IF(Q26&lt;=0,"",IFERROR(R26/Q26-1,"")))</f>
        <v/>
      </c>
      <c r="S27" s="15">
        <f>IF(OR(S26="",R26=""),"",IF(R26&lt;=0,"",IFERROR(S26/R26-1,"")))</f>
        <v/>
      </c>
      <c r="T27" s="15">
        <f>IF(OR(T26="",S26=""),"",IF(S26&lt;=0,"",IFERROR(T26/S26-1,"")))</f>
        <v/>
      </c>
      <c r="U27" s="15">
        <f>IF(OR(U26="",T26=""),"",IF(T26&lt;=0,"",IFERROR(U26/T26-1,"")))</f>
        <v/>
      </c>
      <c r="V27" s="15">
        <f>IF(OR(V26="",U26=""),"",IF(U26&lt;=0,"",IFERROR(V26/U26-1,"")))</f>
        <v/>
      </c>
      <c r="W27" s="15">
        <f>IF(OR(W26="",V26=""),"",IF(V26&lt;=0,"",IFERROR(W26/V26-1,"")))</f>
        <v/>
      </c>
      <c r="X27" s="15">
        <f>IF(OR(X26="",W26=""),"",IF(W26&lt;=0,"",IFERROR(X26/W26-1,"")))</f>
        <v/>
      </c>
      <c r="Y27" s="14">
        <f>IF(OR(Y26="",X26=""),"",IF(X26&lt;=0,"",IFERROR(Y26/X26-1,"")))</f>
        <v/>
      </c>
      <c r="Z27" s="15">
        <f>IF(OR(Z26="",Y26=""),"",IF(Y26&lt;=0,"",IFERROR(Z26/Y26-1,"")))</f>
        <v/>
      </c>
      <c r="AA27" s="15">
        <f>IF(OR(AA26="",Z26=""),"",IF(Z26&lt;=0,"",IFERROR(AA26/Z26-1,"")))</f>
        <v/>
      </c>
      <c r="AB27" s="15">
        <f>IF(OR(AB26="",AA26=""),"",IF(AA26&lt;=0,"",IFERROR(AB26/AA26-1,"")))</f>
        <v/>
      </c>
      <c r="AC27" s="15">
        <f>IF(OR(AC26="",AB26=""),"",IF(AB26&lt;=0,"",IFERROR(AC26/AB26-1,"")))</f>
        <v/>
      </c>
    </row>
    <row r="28">
      <c r="A28" s="9" t="inlineStr">
        <is>
          <t>영업이익</t>
        </is>
      </c>
      <c r="B28" s="10" t="inlineStr">
        <is>
          <t>MW = 매출 × OPM</t>
        </is>
      </c>
      <c r="C28" s="11" t="n">
        <v>19684</v>
      </c>
      <c r="D28" s="12" t="n">
        <v>12497</v>
      </c>
      <c r="E28" s="12" t="n">
        <v>11626</v>
      </c>
      <c r="F28" s="12" t="n">
        <v>5838</v>
      </c>
      <c r="G28" s="12" t="n">
        <v>13765</v>
      </c>
      <c r="H28" s="12" t="n">
        <v>1817</v>
      </c>
      <c r="I28" s="12" t="n">
        <v>4692</v>
      </c>
      <c r="J28" s="12" t="n">
        <v>5027</v>
      </c>
      <c r="K28" s="12" t="n">
        <v>7438</v>
      </c>
      <c r="L28" s="12" t="n">
        <v>3417</v>
      </c>
      <c r="M28" s="12" t="n">
        <v>5894</v>
      </c>
      <c r="N28" s="12" t="n">
        <v>7565</v>
      </c>
      <c r="O28" s="11" t="n"/>
      <c r="P28" s="12" t="n"/>
      <c r="Q28" s="12" t="n">
        <v>36261</v>
      </c>
      <c r="R28" s="12" t="n">
        <v>37339</v>
      </c>
      <c r="S28" s="12" t="n">
        <v>10674</v>
      </c>
      <c r="T28" s="12" t="n">
        <v>23067</v>
      </c>
      <c r="U28" s="12" t="n">
        <v>41213</v>
      </c>
      <c r="V28" s="12" t="n">
        <v>55356</v>
      </c>
      <c r="W28" s="12" t="n">
        <v>43726</v>
      </c>
      <c r="X28" s="12" t="n">
        <v>18974</v>
      </c>
      <c r="Y28" s="11">
        <f>IF(OR(Y4="",Y29=""),"",IFERROR(Y4*Y29,""))</f>
        <v/>
      </c>
      <c r="Z28" s="12">
        <f>IF(OR(Z4="",Z29=""),"",IFERROR(Z4*Z29,""))</f>
        <v/>
      </c>
      <c r="AA28" s="12">
        <f>IF(OR(AA4="",AA29=""),"",IFERROR(AA4*AA29,""))</f>
        <v/>
      </c>
      <c r="AB28" s="12">
        <f>IF(OR(AB4="",AB29=""),"",IFERROR(AB4*AB29,""))</f>
        <v/>
      </c>
      <c r="AC28" s="12">
        <f>IF(OR(AC4="",AC29=""),"",IFERROR(AC4*AC29,""))</f>
        <v/>
      </c>
    </row>
    <row r="29">
      <c r="A29" s="13" t="inlineStr">
        <is>
          <t>OPM</t>
        </is>
      </c>
      <c r="B29" s="10" t="inlineStr">
        <is>
          <t>MW 입력</t>
        </is>
      </c>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25" t="n"/>
      <c r="Z29" s="26" t="n"/>
      <c r="AA29" s="26" t="n"/>
      <c r="AB29" s="26" t="n"/>
      <c r="AC29" s="26" t="n"/>
    </row>
    <row r="30">
      <c r="A30" s="13" t="inlineStr">
        <is>
          <t>증가율</t>
        </is>
      </c>
      <c r="B30" s="10" t="n"/>
      <c r="C30" s="14" t="n"/>
      <c r="D30" s="15" t="n"/>
      <c r="E30" s="15" t="n"/>
      <c r="F30" s="15" t="n"/>
      <c r="G30" s="15">
        <f>IF(OR(G28="",C28=""),"",IFERROR(G28/C28-1,""))</f>
        <v/>
      </c>
      <c r="H30" s="15">
        <f>IF(OR(H28="",D28=""),"",IFERROR(H28/D28-1,""))</f>
        <v/>
      </c>
      <c r="I30" s="15">
        <f>IF(OR(I28="",E28=""),"",IFERROR(I28/E28-1,""))</f>
        <v/>
      </c>
      <c r="J30" s="15">
        <f>IF(OR(J28="",F28=""),"",IFERROR(J28/F28-1,""))</f>
        <v/>
      </c>
      <c r="K30" s="15">
        <f>IF(OR(K28="",G28=""),"",IFERROR(K28/G28-1,""))</f>
        <v/>
      </c>
      <c r="L30" s="15">
        <f>IF(OR(L28="",H28=""),"",IFERROR(L28/H28-1,""))</f>
        <v/>
      </c>
      <c r="M30" s="15">
        <f>IF(OR(M28="",I28=""),"",IFERROR(M28/I28-1,""))</f>
        <v/>
      </c>
      <c r="N30" s="15">
        <f>IF(OR(N28="",J28=""),"",IFERROR(N28/J28-1,""))</f>
        <v/>
      </c>
      <c r="O30" s="14" t="n"/>
      <c r="P30" s="15">
        <f>IF(OR(P28="",O28=""),"",IFERROR(P28/O28-1,""))</f>
        <v/>
      </c>
      <c r="Q30" s="15">
        <f>IF(OR(Q28="",P28=""),"",IFERROR(Q28/P28-1,""))</f>
        <v/>
      </c>
      <c r="R30" s="15">
        <f>IF(OR(R28="",Q28=""),"",IFERROR(R28/Q28-1,""))</f>
        <v/>
      </c>
      <c r="S30" s="15">
        <f>IF(OR(S28="",R28=""),"",IFERROR(S28/R28-1,""))</f>
        <v/>
      </c>
      <c r="T30" s="15">
        <f>IF(OR(T28="",S28=""),"",IFERROR(T28/S28-1,""))</f>
        <v/>
      </c>
      <c r="U30" s="15">
        <f>IF(OR(U28="",T28=""),"",IFERROR(U28/T28-1,""))</f>
        <v/>
      </c>
      <c r="V30" s="15">
        <f>IF(OR(V28="",U28=""),"",IFERROR(V28/U28-1,""))</f>
        <v/>
      </c>
      <c r="W30" s="15">
        <f>IF(OR(W28="",V28=""),"",IFERROR(W28/V28-1,""))</f>
        <v/>
      </c>
      <c r="X30" s="15">
        <f>IF(OR(X28="",W28=""),"",IFERROR(X28/W28-1,""))</f>
        <v/>
      </c>
      <c r="Y30" s="14">
        <f>IF(OR(Y28="",X28=""),"",IFERROR(Y28/X28-1,""))</f>
        <v/>
      </c>
      <c r="Z30" s="15">
        <f>IF(OR(Z28="",Y28=""),"",IFERROR(Z28/Y28-1,""))</f>
        <v/>
      </c>
      <c r="AA30" s="15">
        <f>IF(OR(AA28="",Z28=""),"",IFERROR(AA28/Z28-1,""))</f>
        <v/>
      </c>
      <c r="AB30" s="15">
        <f>IF(OR(AB28="",AA28=""),"",IFERROR(AB28/AA28-1,""))</f>
        <v/>
      </c>
      <c r="AC30" s="15">
        <f>IF(OR(AC28="",AB28=""),"",IFERROR(AC28/AB28-1,""))</f>
        <v/>
      </c>
    </row>
    <row r="31">
      <c r="A31" s="16" t="inlineStr">
        <is>
          <t>비용의 성격별 분류</t>
        </is>
      </c>
      <c r="B31" s="16" t="inlineStr">
        <is>
          <t>참고 데이터</t>
        </is>
      </c>
      <c r="C31" s="17" t="n"/>
      <c r="D31" s="16" t="n"/>
      <c r="E31" s="16" t="n"/>
      <c r="F31" s="16" t="n"/>
      <c r="G31" s="16" t="n"/>
      <c r="H31" s="16" t="n"/>
      <c r="I31" s="16" t="n"/>
      <c r="J31" s="16" t="n"/>
      <c r="K31" s="16" t="n"/>
      <c r="L31" s="16" t="n"/>
      <c r="M31" s="16" t="n"/>
      <c r="N31" s="16" t="n"/>
      <c r="O31" s="17" t="n"/>
      <c r="P31" s="16" t="n"/>
      <c r="Q31" s="16" t="n"/>
      <c r="R31" s="16" t="n"/>
      <c r="S31" s="16" t="n"/>
      <c r="T31" s="16" t="n"/>
      <c r="U31" s="16" t="n"/>
      <c r="V31" s="16" t="n"/>
      <c r="W31" s="16" t="n"/>
      <c r="X31" s="16" t="n"/>
      <c r="Y31" s="17" t="n"/>
      <c r="Z31" s="16" t="n"/>
      <c r="AA31" s="16" t="n"/>
      <c r="AB31" s="16" t="n"/>
      <c r="AC31" s="16" t="n"/>
    </row>
    <row r="32">
      <c r="A32" s="9" t="inlineStr">
        <is>
          <t>총 판관비</t>
        </is>
      </c>
      <c r="B32" s="10" t="n"/>
      <c r="C32" s="11" t="n"/>
      <c r="D32" s="12" t="n"/>
      <c r="E32" s="12" t="n"/>
      <c r="F32" s="12" t="n"/>
      <c r="G32" s="12" t="n"/>
      <c r="H32" s="12" t="n"/>
      <c r="I32" s="12" t="n"/>
      <c r="J32" s="12" t="n"/>
      <c r="K32" s="12" t="n"/>
      <c r="L32" s="12" t="n"/>
      <c r="M32" s="12" t="n"/>
      <c r="N32" s="12" t="n"/>
      <c r="O32" s="11">
        <f>IF(O26="","",O26)</f>
        <v/>
      </c>
      <c r="P32" s="12">
        <f>IF(P26="","",P26)</f>
        <v/>
      </c>
      <c r="Q32" s="12">
        <f>IF(Q26="","",Q26)</f>
        <v/>
      </c>
      <c r="R32" s="12">
        <f>IF(R26="","",R26)</f>
        <v/>
      </c>
      <c r="S32" s="12">
        <f>IF(S26="","",S26)</f>
        <v/>
      </c>
      <c r="T32" s="12">
        <f>IF(T26="","",T26)</f>
        <v/>
      </c>
      <c r="U32" s="12">
        <f>IF(U26="","",U26)</f>
        <v/>
      </c>
      <c r="V32" s="12">
        <f>IF(V26="","",V26)</f>
        <v/>
      </c>
      <c r="W32" s="12">
        <f>IF(W26="","",W26)</f>
        <v/>
      </c>
      <c r="X32" s="12">
        <f>IF(X26="","",X26)</f>
        <v/>
      </c>
      <c r="Y32" s="11" t="n"/>
      <c r="Z32" s="12" t="n"/>
      <c r="AA32" s="12" t="n"/>
      <c r="AB32" s="12" t="n"/>
      <c r="AC32" s="12" t="n"/>
    </row>
    <row r="33">
      <c r="A33" s="18" t="inlineStr">
        <is>
          <t>급여</t>
        </is>
      </c>
      <c r="B33" s="10" t="inlineStr">
        <is>
          <t>고정비</t>
        </is>
      </c>
      <c r="C33" s="19" t="n"/>
      <c r="D33" s="20" t="n"/>
      <c r="E33" s="20" t="n"/>
      <c r="F33" s="20" t="n"/>
      <c r="G33" s="20" t="n"/>
      <c r="H33" s="20" t="n"/>
      <c r="I33" s="20" t="n"/>
      <c r="J33" s="20" t="n"/>
      <c r="K33" s="20" t="n"/>
      <c r="L33" s="20" t="n"/>
      <c r="M33" s="20" t="n"/>
      <c r="N33" s="20" t="n"/>
      <c r="O33" s="19" t="n"/>
      <c r="P33" s="20" t="n"/>
      <c r="Q33" s="20" t="n"/>
      <c r="R33" s="20" t="n"/>
      <c r="S33" s="20" t="n"/>
      <c r="T33" s="20" t="n"/>
      <c r="U33" s="20" t="n"/>
      <c r="V33" s="20" t="n"/>
      <c r="W33" s="20" t="n"/>
      <c r="X33" s="20" t="n"/>
      <c r="Y33" s="19" t="n"/>
      <c r="Z33" s="20" t="n"/>
      <c r="AA33" s="20" t="n"/>
      <c r="AB33" s="20" t="n"/>
      <c r="AC33" s="20" t="n"/>
    </row>
    <row r="34">
      <c r="A34" s="13" t="inlineStr">
        <is>
          <t>% of Sales</t>
        </is>
      </c>
      <c r="B34" s="10" t="n"/>
      <c r="C34" s="14" t="n"/>
      <c r="D34" s="15" t="n"/>
      <c r="E34" s="15" t="n"/>
      <c r="F34" s="15" t="n"/>
      <c r="G34" s="15" t="n"/>
      <c r="H34" s="15" t="n"/>
      <c r="I34" s="15" t="n"/>
      <c r="J34" s="15" t="n"/>
      <c r="K34" s="15" t="n"/>
      <c r="L34" s="15" t="n"/>
      <c r="M34" s="15" t="n"/>
      <c r="N34" s="15" t="n"/>
      <c r="O34" s="14">
        <f>IF(OR(O33="",O4=""),"",IFERROR(O33/O4,""))</f>
        <v/>
      </c>
      <c r="P34" s="15">
        <f>IF(OR(P33="",P4=""),"",IFERROR(P33/P4,""))</f>
        <v/>
      </c>
      <c r="Q34" s="15">
        <f>IF(OR(Q33="",Q4=""),"",IFERROR(Q33/Q4,""))</f>
        <v/>
      </c>
      <c r="R34" s="15">
        <f>IF(OR(R33="",R4=""),"",IFERROR(R33/R4,""))</f>
        <v/>
      </c>
      <c r="S34" s="15">
        <f>IF(OR(S33="",S4=""),"",IFERROR(S33/S4,""))</f>
        <v/>
      </c>
      <c r="T34" s="15">
        <f>IF(OR(T33="",T4=""),"",IFERROR(T33/T4,""))</f>
        <v/>
      </c>
      <c r="U34" s="15">
        <f>IF(OR(U33="",U4=""),"",IFERROR(U33/U4,""))</f>
        <v/>
      </c>
      <c r="V34" s="15">
        <f>IF(OR(V33="",V4=""),"",IFERROR(V33/V4,""))</f>
        <v/>
      </c>
      <c r="W34" s="15">
        <f>IF(OR(W33="",W4=""),"",IFERROR(W33/W4,""))</f>
        <v/>
      </c>
      <c r="X34" s="15">
        <f>IF(OR(X33="",X4=""),"",IFERROR(X33/X4,""))</f>
        <v/>
      </c>
      <c r="Y34" s="14" t="n"/>
      <c r="Z34" s="15" t="n"/>
      <c r="AA34" s="15" t="n"/>
      <c r="AB34" s="15" t="n"/>
      <c r="AC34" s="15" t="n"/>
    </row>
    <row r="35">
      <c r="A35" s="18" t="inlineStr">
        <is>
          <t>감가상각비</t>
        </is>
      </c>
      <c r="B35" s="10" t="inlineStr">
        <is>
          <t>고정비</t>
        </is>
      </c>
      <c r="C35" s="19" t="n"/>
      <c r="D35" s="20" t="n"/>
      <c r="E35" s="20" t="n"/>
      <c r="F35" s="20" t="n"/>
      <c r="G35" s="20" t="n"/>
      <c r="H35" s="20" t="n"/>
      <c r="I35" s="20" t="n"/>
      <c r="J35" s="20" t="n"/>
      <c r="K35" s="20" t="n"/>
      <c r="L35" s="20" t="n"/>
      <c r="M35" s="20" t="n"/>
      <c r="N35" s="20" t="n"/>
      <c r="O35" s="19" t="n"/>
      <c r="P35" s="20" t="n"/>
      <c r="Q35" s="20" t="n"/>
      <c r="R35" s="20" t="n"/>
      <c r="S35" s="20" t="n"/>
      <c r="T35" s="20" t="n"/>
      <c r="U35" s="20" t="n"/>
      <c r="V35" s="20" t="n"/>
      <c r="W35" s="20" t="n"/>
      <c r="X35" s="20" t="n"/>
      <c r="Y35" s="19" t="n"/>
      <c r="Z35" s="20" t="n"/>
      <c r="AA35" s="20" t="n"/>
      <c r="AB35" s="20" t="n"/>
      <c r="AC35" s="20" t="n"/>
    </row>
    <row r="36">
      <c r="A36" s="13" t="inlineStr">
        <is>
          <t>% of Sales</t>
        </is>
      </c>
      <c r="B36" s="10" t="n"/>
      <c r="C36" s="14" t="n"/>
      <c r="D36" s="15" t="n"/>
      <c r="E36" s="15" t="n"/>
      <c r="F36" s="15" t="n"/>
      <c r="G36" s="15" t="n"/>
      <c r="H36" s="15" t="n"/>
      <c r="I36" s="15" t="n"/>
      <c r="J36" s="15" t="n"/>
      <c r="K36" s="15" t="n"/>
      <c r="L36" s="15" t="n"/>
      <c r="M36" s="15" t="n"/>
      <c r="N36" s="15" t="n"/>
      <c r="O36" s="14">
        <f>IF(OR(O35="",O4=""),"",IFERROR(O35/O4,""))</f>
        <v/>
      </c>
      <c r="P36" s="15">
        <f>IF(OR(P35="",P4=""),"",IFERROR(P35/P4,""))</f>
        <v/>
      </c>
      <c r="Q36" s="15">
        <f>IF(OR(Q35="",Q4=""),"",IFERROR(Q35/Q4,""))</f>
        <v/>
      </c>
      <c r="R36" s="15">
        <f>IF(OR(R35="",R4=""),"",IFERROR(R35/R4,""))</f>
        <v/>
      </c>
      <c r="S36" s="15">
        <f>IF(OR(S35="",S4=""),"",IFERROR(S35/S4,""))</f>
        <v/>
      </c>
      <c r="T36" s="15">
        <f>IF(OR(T35="",T4=""),"",IFERROR(T35/T4,""))</f>
        <v/>
      </c>
      <c r="U36" s="15">
        <f>IF(OR(U35="",U4=""),"",IFERROR(U35/U4,""))</f>
        <v/>
      </c>
      <c r="V36" s="15">
        <f>IF(OR(V35="",V4=""),"",IFERROR(V35/V4,""))</f>
        <v/>
      </c>
      <c r="W36" s="15">
        <f>IF(OR(W35="",W4=""),"",IFERROR(W35/W4,""))</f>
        <v/>
      </c>
      <c r="X36" s="15">
        <f>IF(OR(X35="",X4=""),"",IFERROR(X35/X4,""))</f>
        <v/>
      </c>
      <c r="Y36" s="14" t="n"/>
      <c r="Z36" s="15" t="n"/>
      <c r="AA36" s="15" t="n"/>
      <c r="AB36" s="15" t="n"/>
      <c r="AC36" s="15" t="n"/>
    </row>
    <row r="37">
      <c r="A37" s="18" t="inlineStr">
        <is>
          <t>지급수수료</t>
        </is>
      </c>
      <c r="B37" s="10" t="inlineStr">
        <is>
          <t>고정비</t>
        </is>
      </c>
      <c r="C37" s="19" t="n"/>
      <c r="D37" s="20" t="n"/>
      <c r="E37" s="20" t="n"/>
      <c r="F37" s="20" t="n"/>
      <c r="G37" s="20" t="n"/>
      <c r="H37" s="20" t="n"/>
      <c r="I37" s="20" t="n"/>
      <c r="J37" s="20" t="n"/>
      <c r="K37" s="20" t="n"/>
      <c r="L37" s="20" t="n"/>
      <c r="M37" s="20" t="n"/>
      <c r="N37" s="20" t="n"/>
      <c r="O37" s="19" t="n"/>
      <c r="P37" s="20" t="n"/>
      <c r="Q37" s="20" t="n"/>
      <c r="R37" s="20" t="n"/>
      <c r="S37" s="20" t="n"/>
      <c r="T37" s="20" t="n"/>
      <c r="U37" s="20" t="n"/>
      <c r="V37" s="20" t="n"/>
      <c r="W37" s="20" t="n"/>
      <c r="X37" s="20" t="n"/>
      <c r="Y37" s="19" t="n"/>
      <c r="Z37" s="20" t="n"/>
      <c r="AA37" s="20" t="n"/>
      <c r="AB37" s="20" t="n"/>
      <c r="AC37" s="20" t="n"/>
    </row>
    <row r="38">
      <c r="A38" s="13" t="inlineStr">
        <is>
          <t>% of Sales</t>
        </is>
      </c>
      <c r="B38" s="10" t="n"/>
      <c r="C38" s="14" t="n"/>
      <c r="D38" s="15" t="n"/>
      <c r="E38" s="15" t="n"/>
      <c r="F38" s="15" t="n"/>
      <c r="G38" s="15" t="n"/>
      <c r="H38" s="15" t="n"/>
      <c r="I38" s="15" t="n"/>
      <c r="J38" s="15" t="n"/>
      <c r="K38" s="15" t="n"/>
      <c r="L38" s="15" t="n"/>
      <c r="M38" s="15" t="n"/>
      <c r="N38" s="15" t="n"/>
      <c r="O38" s="14">
        <f>IF(OR(O37="",O4=""),"",IFERROR(O37/O4,""))</f>
        <v/>
      </c>
      <c r="P38" s="15">
        <f>IF(OR(P37="",P4=""),"",IFERROR(P37/P4,""))</f>
        <v/>
      </c>
      <c r="Q38" s="15">
        <f>IF(OR(Q37="",Q4=""),"",IFERROR(Q37/Q4,""))</f>
        <v/>
      </c>
      <c r="R38" s="15">
        <f>IF(OR(R37="",R4=""),"",IFERROR(R37/R4,""))</f>
        <v/>
      </c>
      <c r="S38" s="15">
        <f>IF(OR(S37="",S4=""),"",IFERROR(S37/S4,""))</f>
        <v/>
      </c>
      <c r="T38" s="15">
        <f>IF(OR(T37="",T4=""),"",IFERROR(T37/T4,""))</f>
        <v/>
      </c>
      <c r="U38" s="15">
        <f>IF(OR(U37="",U4=""),"",IFERROR(U37/U4,""))</f>
        <v/>
      </c>
      <c r="V38" s="15">
        <f>IF(OR(V37="",V4=""),"",IFERROR(V37/V4,""))</f>
        <v/>
      </c>
      <c r="W38" s="15">
        <f>IF(OR(W37="",W4=""),"",IFERROR(W37/W4,""))</f>
        <v/>
      </c>
      <c r="X38" s="15">
        <f>IF(OR(X37="",X4=""),"",IFERROR(X37/X4,""))</f>
        <v/>
      </c>
      <c r="Y38" s="14" t="n"/>
      <c r="Z38" s="15" t="n"/>
      <c r="AA38" s="15" t="n"/>
      <c r="AB38" s="15" t="n"/>
      <c r="AC38" s="15" t="n"/>
    </row>
    <row r="39">
      <c r="A39" s="18" t="inlineStr">
        <is>
          <t>연구개발비</t>
        </is>
      </c>
      <c r="B39" s="10" t="inlineStr">
        <is>
          <t>변동비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기타비용</t>
        </is>
      </c>
      <c r="B41" s="10" t="inlineStr">
        <is>
          <t>변동비</t>
        </is>
      </c>
      <c r="C41" s="19" t="n"/>
      <c r="D41" s="20" t="n"/>
      <c r="E41" s="20" t="n"/>
      <c r="F41" s="20" t="n"/>
      <c r="G41" s="20" t="n"/>
      <c r="H41" s="20" t="n"/>
      <c r="I41" s="20" t="n"/>
      <c r="J41" s="20" t="n"/>
      <c r="K41" s="20" t="n"/>
      <c r="L41" s="20" t="n"/>
      <c r="M41" s="20" t="n"/>
      <c r="N41" s="20" t="n"/>
      <c r="O41" s="19">
        <f>IF(OR(O32="",O33="",O35="",O37="",O39=""),"",IFERROR(O32-O33-O35-O37-O39,""))</f>
        <v/>
      </c>
      <c r="P41" s="20">
        <f>IF(OR(P32="",P33="",P35="",P37="",P39=""),"",IFERROR(P32-P33-P35-P37-P39,""))</f>
        <v/>
      </c>
      <c r="Q41" s="20">
        <f>IF(OR(Q32="",Q33="",Q35="",Q37="",Q39=""),"",IFERROR(Q32-Q33-Q35-Q37-Q39,""))</f>
        <v/>
      </c>
      <c r="R41" s="20">
        <f>IF(OR(R32="",R33="",R35="",R37="",R39=""),"",IFERROR(R32-R33-R35-R37-R39,""))</f>
        <v/>
      </c>
      <c r="S41" s="20">
        <f>IF(OR(S32="",S33="",S35="",S37="",S39=""),"",IFERROR(S32-S33-S35-S37-S39,""))</f>
        <v/>
      </c>
      <c r="T41" s="20">
        <f>IF(OR(T32="",T33="",T35="",T37="",T39=""),"",IFERROR(T32-T33-T35-T37-T39,""))</f>
        <v/>
      </c>
      <c r="U41" s="20">
        <f>IF(OR(U32="",U33="",U35="",U37="",U39=""),"",IFERROR(U32-U33-U35-U37-U39,""))</f>
        <v/>
      </c>
      <c r="V41" s="20">
        <f>IF(OR(V32="",V33="",V35="",V37="",V39=""),"",IFERROR(V32-V33-V35-V37-V39,""))</f>
        <v/>
      </c>
      <c r="W41" s="20">
        <f>IF(OR(W32="",W33="",W35="",W37="",W39=""),"",IFERROR(W32-W33-W35-W37-W39,""))</f>
        <v/>
      </c>
      <c r="X41" s="20">
        <f>IF(OR(X32="",X33="",X35="",X37="",X39=""),"",IFERROR(X32-X33-X35-X37-X39,""))</f>
        <v/>
      </c>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6" t="inlineStr">
        <is>
          <t>당기순이익 추정</t>
        </is>
      </c>
      <c r="B43" s="16" t="n"/>
      <c r="C43" s="17" t="n"/>
      <c r="D43" s="16" t="n"/>
      <c r="E43" s="16" t="n"/>
      <c r="F43" s="16" t="n"/>
      <c r="G43" s="16" t="n"/>
      <c r="H43" s="16" t="n"/>
      <c r="I43" s="16" t="n"/>
      <c r="J43" s="16" t="n"/>
      <c r="K43" s="16" t="n"/>
      <c r="L43" s="16" t="n"/>
      <c r="M43" s="16" t="n"/>
      <c r="N43" s="16" t="n"/>
      <c r="O43" s="17" t="n"/>
      <c r="P43" s="16" t="n"/>
      <c r="Q43" s="16" t="n"/>
      <c r="R43" s="16" t="n"/>
      <c r="S43" s="16" t="n"/>
      <c r="T43" s="16" t="n"/>
      <c r="U43" s="16" t="n"/>
      <c r="V43" s="16" t="n"/>
      <c r="W43" s="16" t="n"/>
      <c r="X43" s="16" t="n"/>
      <c r="Y43" s="17" t="n"/>
      <c r="Z43" s="16" t="n"/>
      <c r="AA43" s="16" t="n"/>
      <c r="AB43" s="16" t="n"/>
      <c r="AC43" s="16" t="n"/>
    </row>
    <row r="44">
      <c r="A44" s="18" t="inlineStr">
        <is>
          <t>기타이익</t>
        </is>
      </c>
      <c r="B44" s="10" t="n"/>
      <c r="C44" s="19" t="n">
        <v>453</v>
      </c>
      <c r="D44" s="20" t="n">
        <v>5832</v>
      </c>
      <c r="E44" s="20" t="n">
        <v>3552</v>
      </c>
      <c r="F44" s="20" t="n">
        <v>-1079</v>
      </c>
      <c r="G44" s="20" t="n">
        <v>5757</v>
      </c>
      <c r="H44" s="20" t="n">
        <v>2087</v>
      </c>
      <c r="I44" s="20" t="n">
        <v>2036</v>
      </c>
      <c r="J44" s="20" t="n">
        <v>3363</v>
      </c>
      <c r="K44" s="20" t="n">
        <v>4733</v>
      </c>
      <c r="L44" s="20" t="n">
        <v>1790</v>
      </c>
      <c r="M44" s="20" t="n">
        <v>2368</v>
      </c>
      <c r="N44" s="20" t="n">
        <v>1495</v>
      </c>
      <c r="O44" s="19" t="n"/>
      <c r="P44" s="20" t="n"/>
      <c r="Q44" s="20" t="n">
        <v>4472</v>
      </c>
      <c r="R44" s="20" t="n">
        <v>6783</v>
      </c>
      <c r="S44" s="20" t="n">
        <v>6451</v>
      </c>
      <c r="T44" s="20" t="n">
        <v>6103</v>
      </c>
      <c r="U44" s="20" t="n">
        <v>8595</v>
      </c>
      <c r="V44" s="20" t="n">
        <v>9070</v>
      </c>
      <c r="W44" s="20" t="n">
        <v>14062</v>
      </c>
      <c r="X44" s="20" t="n">
        <v>12219</v>
      </c>
      <c r="Y44" s="19">
        <f>IF(OR(Y4="",Y45=""),"",IFERROR(Y4*Y45,""))</f>
        <v/>
      </c>
      <c r="Z44" s="20">
        <f>IF(OR(Z4="",Z45=""),"",IFERROR(Z4*Z45,""))</f>
        <v/>
      </c>
      <c r="AA44" s="20">
        <f>IF(OR(AA4="",AA45=""),"",IFERROR(AA4*AA45,""))</f>
        <v/>
      </c>
      <c r="AB44" s="20">
        <f>IF(OR(AB4="",AB45=""),"",IFERROR(AB4*AB45,""))</f>
        <v/>
      </c>
      <c r="AC44" s="20">
        <f>IF(OR(AC4="",AC45=""),"",IFERROR(AC4*AC45,""))</f>
        <v/>
      </c>
    </row>
    <row r="45">
      <c r="A45" s="13" t="inlineStr">
        <is>
          <t>% of Sales</t>
        </is>
      </c>
      <c r="B45" s="10" t="inlineStr">
        <is>
          <t>MW = 최근 3년 평균</t>
        </is>
      </c>
      <c r="C45" s="14">
        <f>IF(OR(C44="",C4=""),"",IFERROR(C44/C4,""))</f>
        <v/>
      </c>
      <c r="D45" s="15">
        <f>IF(OR(D44="",D4=""),"",IFERROR(D44/D4,""))</f>
        <v/>
      </c>
      <c r="E45" s="15">
        <f>IF(OR(E44="",E4=""),"",IFERROR(E44/E4,""))</f>
        <v/>
      </c>
      <c r="F45" s="15">
        <f>IF(OR(F44="",F4=""),"",IFERROR(F44/F4,""))</f>
        <v/>
      </c>
      <c r="G45" s="15">
        <f>IF(OR(G44="",G4=""),"",IFERROR(G44/G4,""))</f>
        <v/>
      </c>
      <c r="H45" s="15">
        <f>IF(OR(H44="",H4=""),"",IFERROR(H44/H4,""))</f>
        <v/>
      </c>
      <c r="I45" s="15">
        <f>IF(OR(I44="",I4=""),"",IFERROR(I44/I4,""))</f>
        <v/>
      </c>
      <c r="J45" s="15">
        <f>IF(OR(J44="",J4=""),"",IFERROR(J44/J4,""))</f>
        <v/>
      </c>
      <c r="K45" s="15">
        <f>IF(OR(K44="",K4=""),"",IFERROR(K44/K4,""))</f>
        <v/>
      </c>
      <c r="L45" s="15">
        <f>IF(OR(L44="",L4=""),"",IFERROR(L44/L4,""))</f>
        <v/>
      </c>
      <c r="M45" s="15">
        <f>IF(OR(M44="",M4=""),"",IFERROR(M44/M4,""))</f>
        <v/>
      </c>
      <c r="N45" s="15">
        <f>IF(OR(N44="",N4=""),"",IFERROR(N44/N4,""))</f>
        <v/>
      </c>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25">
        <f>IFERROR(AVERAGE(V45,W45,X45),"")</f>
        <v/>
      </c>
      <c r="Z45" s="26">
        <f>Y45</f>
        <v/>
      </c>
      <c r="AA45" s="26">
        <f>Z45</f>
        <v/>
      </c>
      <c r="AB45" s="26">
        <f>AA45</f>
        <v/>
      </c>
      <c r="AC45" s="26">
        <f>AB45</f>
        <v/>
      </c>
    </row>
    <row r="46">
      <c r="A46" s="18" t="inlineStr">
        <is>
          <t>기타손실</t>
        </is>
      </c>
      <c r="B46" s="10" t="n"/>
      <c r="C46" s="19" t="n">
        <v>26059</v>
      </c>
      <c r="D46" s="20" t="n">
        <v>20332</v>
      </c>
      <c r="E46" s="20" t="n">
        <v>21039</v>
      </c>
      <c r="F46" s="20" t="n">
        <v>22037</v>
      </c>
      <c r="G46" s="20" t="n">
        <v>24296</v>
      </c>
      <c r="H46" s="20" t="n">
        <v>20405</v>
      </c>
      <c r="I46" s="20" t="n">
        <v>19193</v>
      </c>
      <c r="J46" s="20" t="n">
        <v>22018</v>
      </c>
      <c r="K46" s="20" t="n">
        <v>28151</v>
      </c>
      <c r="L46" s="20" t="n">
        <v>24166</v>
      </c>
      <c r="M46" s="20" t="n">
        <v>26979</v>
      </c>
      <c r="N46" s="20" t="n">
        <v>26987</v>
      </c>
      <c r="O46" s="19" t="n"/>
      <c r="P46" s="20" t="n"/>
      <c r="Q46" s="20" t="n">
        <v>85059</v>
      </c>
      <c r="R46" s="20" t="n">
        <v>75346</v>
      </c>
      <c r="S46" s="20" t="n">
        <v>50985</v>
      </c>
      <c r="T46" s="20" t="n">
        <v>59759</v>
      </c>
      <c r="U46" s="20" t="n">
        <v>82150</v>
      </c>
      <c r="V46" s="20" t="n">
        <v>87037</v>
      </c>
      <c r="W46" s="20" t="n">
        <v>87704</v>
      </c>
      <c r="X46" s="20" t="n">
        <v>89767</v>
      </c>
      <c r="Y46" s="19">
        <f>IF(OR(Y4="",Y47=""),"",IFERROR(Y4*Y47,""))</f>
        <v/>
      </c>
      <c r="Z46" s="20">
        <f>IF(OR(Z4="",Z47=""),"",IFERROR(Z4*Z47,""))</f>
        <v/>
      </c>
      <c r="AA46" s="20">
        <f>IF(OR(AA4="",AA47=""),"",IFERROR(AA4*AA47,""))</f>
        <v/>
      </c>
      <c r="AB46" s="20">
        <f>IF(OR(AB4="",AB47=""),"",IFERROR(AB4*AB47,""))</f>
        <v/>
      </c>
      <c r="AC46" s="20">
        <f>IF(OR(AC4="",AC47=""),"",IFERROR(AC4*AC47,""))</f>
        <v/>
      </c>
    </row>
    <row r="47">
      <c r="A47" s="13" t="inlineStr">
        <is>
          <t>% of Sales</t>
        </is>
      </c>
      <c r="B47" s="10" t="n"/>
      <c r="C47" s="14">
        <f>IF(OR(C46="",C4=""),"",IFERROR(C46/C4,""))</f>
        <v/>
      </c>
      <c r="D47" s="15">
        <f>IF(OR(D46="",D4=""),"",IFERROR(D46/D4,""))</f>
        <v/>
      </c>
      <c r="E47" s="15">
        <f>IF(OR(E46="",E4=""),"",IFERROR(E46/E4,""))</f>
        <v/>
      </c>
      <c r="F47" s="15">
        <f>IF(OR(F46="",F4=""),"",IFERROR(F46/F4,""))</f>
        <v/>
      </c>
      <c r="G47" s="15">
        <f>IF(OR(G46="",G4=""),"",IFERROR(G46/G4,""))</f>
        <v/>
      </c>
      <c r="H47" s="15">
        <f>IF(OR(H46="",H4=""),"",IFERROR(H46/H4,""))</f>
        <v/>
      </c>
      <c r="I47" s="15">
        <f>IF(OR(I46="",I4=""),"",IFERROR(I46/I4,""))</f>
        <v/>
      </c>
      <c r="J47" s="15">
        <f>IF(OR(J46="",J4=""),"",IFERROR(J46/J4,""))</f>
        <v/>
      </c>
      <c r="K47" s="15">
        <f>IF(OR(K46="",K4=""),"",IFERROR(K46/K4,""))</f>
        <v/>
      </c>
      <c r="L47" s="15">
        <f>IF(OR(L46="",L4=""),"",IFERROR(L46/L4,""))</f>
        <v/>
      </c>
      <c r="M47" s="15">
        <f>IF(OR(M46="",M4=""),"",IFERROR(M46/M4,""))</f>
        <v/>
      </c>
      <c r="N47" s="15">
        <f>IF(OR(N46="",N4=""),"",IFERROR(N46/N4,""))</f>
        <v/>
      </c>
      <c r="O47" s="14">
        <f>IF(OR(O46="",O4=""),"",IFERROR(O46/O4,""))</f>
        <v/>
      </c>
      <c r="P47" s="15">
        <f>IF(OR(P46="",P4=""),"",IFERROR(P46/P4,""))</f>
        <v/>
      </c>
      <c r="Q47" s="15">
        <f>IF(OR(Q46="",Q4=""),"",IFERROR(Q46/Q4,""))</f>
        <v/>
      </c>
      <c r="R47" s="15">
        <f>IF(OR(R46="",R4=""),"",IFERROR(R46/R4,""))</f>
        <v/>
      </c>
      <c r="S47" s="15">
        <f>IF(OR(S46="",S4=""),"",IFERROR(S46/S4,""))</f>
        <v/>
      </c>
      <c r="T47" s="15">
        <f>IF(OR(T46="",T4=""),"",IFERROR(T46/T4,""))</f>
        <v/>
      </c>
      <c r="U47" s="15">
        <f>IF(OR(U46="",U4=""),"",IFERROR(U46/U4,""))</f>
        <v/>
      </c>
      <c r="V47" s="15">
        <f>IF(OR(V46="",V4=""),"",IFERROR(V46/V4,""))</f>
        <v/>
      </c>
      <c r="W47" s="15">
        <f>IF(OR(W46="",W4=""),"",IFERROR(W46/W4,""))</f>
        <v/>
      </c>
      <c r="X47" s="15">
        <f>IF(OR(X46="",X4=""),"",IFERROR(X46/X4,""))</f>
        <v/>
      </c>
      <c r="Y47" s="25">
        <f>IFERROR(AVERAGE(V47,W47,X47),"")</f>
        <v/>
      </c>
      <c r="Z47" s="26">
        <f>Y47</f>
        <v/>
      </c>
      <c r="AA47" s="26">
        <f>Z47</f>
        <v/>
      </c>
      <c r="AB47" s="26">
        <f>AA47</f>
        <v/>
      </c>
      <c r="AC47" s="26">
        <f>AB47</f>
        <v/>
      </c>
    </row>
    <row r="48">
      <c r="A48" s="18" t="inlineStr">
        <is>
          <t>금융수익</t>
        </is>
      </c>
      <c r="B48" s="10" t="n"/>
      <c r="C48" s="19" t="n">
        <v>44</v>
      </c>
      <c r="D48" s="20" t="n">
        <v>445</v>
      </c>
      <c r="E48" s="20" t="n">
        <v>412</v>
      </c>
      <c r="F48" s="20" t="n">
        <v>98</v>
      </c>
      <c r="G48" s="20" t="n">
        <v>535</v>
      </c>
      <c r="H48" s="20" t="n">
        <v>181</v>
      </c>
      <c r="I48" s="20" t="n">
        <v>198</v>
      </c>
      <c r="J48" s="20" t="n">
        <v>319</v>
      </c>
      <c r="K48" s="20" t="n">
        <v>54</v>
      </c>
      <c r="L48" s="20" t="n">
        <v>173</v>
      </c>
      <c r="M48" s="20" t="n">
        <v>104</v>
      </c>
      <c r="N48" s="20" t="n">
        <v>375</v>
      </c>
      <c r="O48" s="19" t="n"/>
      <c r="P48" s="20" t="n"/>
      <c r="Q48" s="20" t="n">
        <v>470</v>
      </c>
      <c r="R48" s="20" t="n">
        <v>422</v>
      </c>
      <c r="S48" s="20" t="n">
        <v>357</v>
      </c>
      <c r="T48" s="20" t="n">
        <v>429</v>
      </c>
      <c r="U48" s="20" t="n">
        <v>633</v>
      </c>
      <c r="V48" s="20" t="n">
        <v>1117</v>
      </c>
      <c r="W48" s="20" t="n">
        <v>1490</v>
      </c>
      <c r="X48" s="20" t="n">
        <v>752</v>
      </c>
      <c r="Y48" s="19">
        <f>IF(OR(Y4="",Y49=""),"",IFERROR(Y4*Y49,""))</f>
        <v/>
      </c>
      <c r="Z48" s="20">
        <f>IF(OR(Z4="",Z49=""),"",IFERROR(Z4*Z49,""))</f>
        <v/>
      </c>
      <c r="AA48" s="20">
        <f>IF(OR(AA4="",AA49=""),"",IFERROR(AA4*AA49,""))</f>
        <v/>
      </c>
      <c r="AB48" s="20">
        <f>IF(OR(AB4="",AB49=""),"",IFERROR(AB4*AB49,""))</f>
        <v/>
      </c>
      <c r="AC48" s="20">
        <f>IF(OR(AC4="",AC49=""),"",IFERROR(AC4*AC49,""))</f>
        <v/>
      </c>
    </row>
    <row r="49">
      <c r="A49" s="13" t="inlineStr">
        <is>
          <t>% of Sales</t>
        </is>
      </c>
      <c r="B49" s="10" t="n"/>
      <c r="C49" s="14">
        <f>IF(OR(C48="",C4=""),"",IFERROR(C48/C4,""))</f>
        <v/>
      </c>
      <c r="D49" s="15">
        <f>IF(OR(D48="",D4=""),"",IFERROR(D48/D4,""))</f>
        <v/>
      </c>
      <c r="E49" s="15">
        <f>IF(OR(E48="",E4=""),"",IFERROR(E48/E4,""))</f>
        <v/>
      </c>
      <c r="F49" s="15">
        <f>IF(OR(F48="",F4=""),"",IFERROR(F48/F4,""))</f>
        <v/>
      </c>
      <c r="G49" s="15">
        <f>IF(OR(G48="",G4=""),"",IFERROR(G48/G4,""))</f>
        <v/>
      </c>
      <c r="H49" s="15">
        <f>IF(OR(H48="",H4=""),"",IFERROR(H48/H4,""))</f>
        <v/>
      </c>
      <c r="I49" s="15">
        <f>IF(OR(I48="",I4=""),"",IFERROR(I48/I4,""))</f>
        <v/>
      </c>
      <c r="J49" s="15">
        <f>IF(OR(J48="",J4=""),"",IFERROR(J48/J4,""))</f>
        <v/>
      </c>
      <c r="K49" s="15">
        <f>IF(OR(K48="",K4=""),"",IFERROR(K48/K4,""))</f>
        <v/>
      </c>
      <c r="L49" s="15">
        <f>IF(OR(L48="",L4=""),"",IFERROR(L48/L4,""))</f>
        <v/>
      </c>
      <c r="M49" s="15">
        <f>IF(OR(M48="",M4=""),"",IFERROR(M48/M4,""))</f>
        <v/>
      </c>
      <c r="N49" s="15">
        <f>IF(OR(N48="",N4=""),"",IFERROR(N48/N4,""))</f>
        <v/>
      </c>
      <c r="O49" s="14">
        <f>IF(OR(O48="",O4=""),"",IFERROR(O48/O4,""))</f>
        <v/>
      </c>
      <c r="P49" s="15">
        <f>IF(OR(P48="",P4=""),"",IFERROR(P48/P4,""))</f>
        <v/>
      </c>
      <c r="Q49" s="15">
        <f>IF(OR(Q48="",Q4=""),"",IFERROR(Q48/Q4,""))</f>
        <v/>
      </c>
      <c r="R49" s="15">
        <f>IF(OR(R48="",R4=""),"",IFERROR(R48/R4,""))</f>
        <v/>
      </c>
      <c r="S49" s="15">
        <f>IF(OR(S48="",S4=""),"",IFERROR(S48/S4,""))</f>
        <v/>
      </c>
      <c r="T49" s="15">
        <f>IF(OR(T48="",T4=""),"",IFERROR(T48/T4,""))</f>
        <v/>
      </c>
      <c r="U49" s="15">
        <f>IF(OR(U48="",U4=""),"",IFERROR(U48/U4,""))</f>
        <v/>
      </c>
      <c r="V49" s="15">
        <f>IF(OR(V48="",V4=""),"",IFERROR(V48/V4,""))</f>
        <v/>
      </c>
      <c r="W49" s="15">
        <f>IF(OR(W48="",W4=""),"",IFERROR(W48/W4,""))</f>
        <v/>
      </c>
      <c r="X49" s="15">
        <f>IF(OR(X48="",X4=""),"",IFERROR(X48/X4,""))</f>
        <v/>
      </c>
      <c r="Y49" s="25">
        <f>IFERROR(AVERAGE(V49,W49,X49),"")</f>
        <v/>
      </c>
      <c r="Z49" s="26">
        <f>Y49</f>
        <v/>
      </c>
      <c r="AA49" s="26">
        <f>Z49</f>
        <v/>
      </c>
      <c r="AB49" s="26">
        <f>AA49</f>
        <v/>
      </c>
      <c r="AC49" s="26">
        <f>AB49</f>
        <v/>
      </c>
    </row>
    <row r="50">
      <c r="A50" s="18" t="inlineStr">
        <is>
          <t>금융원가</t>
        </is>
      </c>
      <c r="B50" s="10" t="n"/>
      <c r="C50" s="19" t="n">
        <v>2065</v>
      </c>
      <c r="D50" s="20" t="n">
        <v>1993</v>
      </c>
      <c r="E50" s="20" t="n">
        <v>1642</v>
      </c>
      <c r="F50" s="20" t="n">
        <v>2306</v>
      </c>
      <c r="G50" s="20" t="n">
        <v>2413</v>
      </c>
      <c r="H50" s="20" t="n">
        <v>1734</v>
      </c>
      <c r="I50" s="20" t="n">
        <v>1995</v>
      </c>
      <c r="J50" s="20" t="n">
        <v>1771</v>
      </c>
      <c r="K50" s="20" t="n">
        <v>2991</v>
      </c>
      <c r="L50" s="20" t="n">
        <v>1822</v>
      </c>
      <c r="M50" s="20" t="n">
        <v>2249</v>
      </c>
      <c r="N50" s="20" t="n">
        <v>1985</v>
      </c>
      <c r="O50" s="19" t="n"/>
      <c r="P50" s="20" t="n"/>
      <c r="Q50" s="20" t="n">
        <v>5624</v>
      </c>
      <c r="R50" s="20" t="n">
        <v>6361</v>
      </c>
      <c r="S50" s="20" t="n">
        <v>5399</v>
      </c>
      <c r="T50" s="20" t="n">
        <v>3919</v>
      </c>
      <c r="U50" s="20" t="n">
        <v>5181</v>
      </c>
      <c r="V50" s="20" t="n">
        <v>7553</v>
      </c>
      <c r="W50" s="20" t="n">
        <v>8354</v>
      </c>
      <c r="X50" s="20" t="n">
        <v>8491</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n"/>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9" t="inlineStr">
        <is>
          <t>법인세비용차감전순이익(손실)</t>
        </is>
      </c>
      <c r="B52" s="10" t="n"/>
      <c r="C52" s="11" t="n">
        <v>17657</v>
      </c>
      <c r="D52" s="12" t="n">
        <v>10993</v>
      </c>
      <c r="E52" s="12" t="n">
        <v>10448</v>
      </c>
      <c r="F52" s="12" t="n">
        <v>3771</v>
      </c>
      <c r="G52" s="12" t="n">
        <v>11926</v>
      </c>
      <c r="H52" s="12" t="n">
        <v>373</v>
      </c>
      <c r="I52" s="12" t="n">
        <v>2895</v>
      </c>
      <c r="J52" s="12" t="n">
        <v>3562</v>
      </c>
      <c r="K52" s="12" t="n">
        <v>4100</v>
      </c>
      <c r="L52" s="12" t="n">
        <v>1968</v>
      </c>
      <c r="M52" s="12" t="n">
        <v>3965</v>
      </c>
      <c r="N52" s="12" t="n">
        <v>6006</v>
      </c>
      <c r="O52" s="11" t="n"/>
      <c r="P52" s="12" t="n"/>
      <c r="Q52" s="12" t="n">
        <v>31275</v>
      </c>
      <c r="R52" s="12" t="n">
        <v>31451</v>
      </c>
      <c r="S52" s="12" t="n">
        <v>5106</v>
      </c>
      <c r="T52" s="12" t="n">
        <v>19609</v>
      </c>
      <c r="U52" s="12" t="n">
        <v>36528</v>
      </c>
      <c r="V52" s="12" t="n">
        <v>49113</v>
      </c>
      <c r="W52" s="12" t="n">
        <v>37138</v>
      </c>
      <c r="X52" s="12" t="n">
        <v>10930</v>
      </c>
      <c r="Y52" s="11">
        <f>IF(OR(Y28=""),"",IFERROR(Y28+N(Y44)-N(Y46)+N(Y48)-N(Y50),""))</f>
        <v/>
      </c>
      <c r="Z52" s="12">
        <f>IF(OR(Z28=""),"",IFERROR(Z28+N(Z44)-N(Z46)+N(Z48)-N(Z50),""))</f>
        <v/>
      </c>
      <c r="AA52" s="12">
        <f>IF(OR(AA28=""),"",IFERROR(AA28+N(AA44)-N(AA46)+N(AA48)-N(AA50),""))</f>
        <v/>
      </c>
      <c r="AB52" s="12">
        <f>IF(OR(AB28=""),"",IFERROR(AB28+N(AB44)-N(AB46)+N(AB48)-N(AB50),""))</f>
        <v/>
      </c>
      <c r="AC52" s="12">
        <f>IF(OR(AC28=""),"",IFERROR(AC28+N(AC44)-N(AC46)+N(AC48)-N(AC50),""))</f>
        <v/>
      </c>
    </row>
    <row r="53">
      <c r="A53" s="13" t="inlineStr">
        <is>
          <t>YoY</t>
        </is>
      </c>
      <c r="B53" s="10" t="n"/>
      <c r="C53" s="14" t="n"/>
      <c r="D53" s="15" t="n"/>
      <c r="E53" s="15" t="n"/>
      <c r="F53" s="15" t="n"/>
      <c r="G53" s="15">
        <f>IF(OR(G52="",C52=""),"",IF(C52&lt;=0,"",IFERROR(G52/C52-1,"")))</f>
        <v/>
      </c>
      <c r="H53" s="15">
        <f>IF(OR(H52="",D52=""),"",IF(D52&lt;=0,"",IFERROR(H52/D52-1,"")))</f>
        <v/>
      </c>
      <c r="I53" s="15">
        <f>IF(OR(I52="",E52=""),"",IF(E52&lt;=0,"",IFERROR(I52/E52-1,"")))</f>
        <v/>
      </c>
      <c r="J53" s="15">
        <f>IF(OR(J52="",F52=""),"",IF(F52&lt;=0,"",IFERROR(J52/F52-1,"")))</f>
        <v/>
      </c>
      <c r="K53" s="15">
        <f>IF(OR(K52="",G52=""),"",IF(G52&lt;=0,"",IFERROR(K52/G52-1,"")))</f>
        <v/>
      </c>
      <c r="L53" s="15">
        <f>IF(OR(L52="",H52=""),"",IF(H52&lt;=0,"",IFERROR(L52/H52-1,"")))</f>
        <v/>
      </c>
      <c r="M53" s="15">
        <f>IF(OR(M52="",I52=""),"",IF(I52&lt;=0,"",IFERROR(M52/I52-1,"")))</f>
        <v/>
      </c>
      <c r="N53" s="15">
        <f>IF(OR(N52="",J52=""),"",IF(J52&lt;=0,"",IFERROR(N52/J52-1,"")))</f>
        <v/>
      </c>
      <c r="O53" s="14" t="n"/>
      <c r="P53" s="15">
        <f>IF(OR(P52="",O52=""),"",IF(O52&lt;=0,"",IFERROR(P52/O52-1,"")))</f>
        <v/>
      </c>
      <c r="Q53" s="15">
        <f>IF(OR(Q52="",P52=""),"",IF(P52&lt;=0,"",IFERROR(Q52/P52-1,"")))</f>
        <v/>
      </c>
      <c r="R53" s="15">
        <f>IF(OR(R52="",Q52=""),"",IF(Q52&lt;=0,"",IFERROR(R52/Q52-1,"")))</f>
        <v/>
      </c>
      <c r="S53" s="15">
        <f>IF(OR(S52="",R52=""),"",IF(R52&lt;=0,"",IFERROR(S52/R52-1,"")))</f>
        <v/>
      </c>
      <c r="T53" s="15">
        <f>IF(OR(T52="",S52=""),"",IF(S52&lt;=0,"",IFERROR(T52/S52-1,"")))</f>
        <v/>
      </c>
      <c r="U53" s="15">
        <f>IF(OR(U52="",T52=""),"",IF(T52&lt;=0,"",IFERROR(U52/T52-1,"")))</f>
        <v/>
      </c>
      <c r="V53" s="15">
        <f>IF(OR(V52="",U52=""),"",IF(U52&lt;=0,"",IFERROR(V52/U52-1,"")))</f>
        <v/>
      </c>
      <c r="W53" s="15">
        <f>IF(OR(W52="",V52=""),"",IF(V52&lt;=0,"",IFERROR(W52/V52-1,"")))</f>
        <v/>
      </c>
      <c r="X53" s="15">
        <f>IF(OR(X52="",W52=""),"",IF(W52&lt;=0,"",IFERROR(X52/W52-1,"")))</f>
        <v/>
      </c>
      <c r="Y53" s="14">
        <f>IF(OR(Y52="",X52=""),"",IF(X52&lt;=0,"",IFERROR(Y52/X52-1,"")))</f>
        <v/>
      </c>
      <c r="Z53" s="15">
        <f>IF(OR(Z52="",Y52=""),"",IF(Y52&lt;=0,"",IFERROR(Z52/Y52-1,"")))</f>
        <v/>
      </c>
      <c r="AA53" s="15">
        <f>IF(OR(AA52="",Z52=""),"",IF(Z52&lt;=0,"",IFERROR(AA52/Z52-1,"")))</f>
        <v/>
      </c>
      <c r="AB53" s="15">
        <f>IF(OR(AB52="",AA52=""),"",IF(AA52&lt;=0,"",IFERROR(AB52/AA52-1,"")))</f>
        <v/>
      </c>
      <c r="AC53" s="15">
        <f>IF(OR(AC52="",AB52=""),"",IF(AB52&lt;=0,"",IFERROR(AC52/AB52-1,"")))</f>
        <v/>
      </c>
    </row>
    <row r="54">
      <c r="A54" s="18" t="inlineStr">
        <is>
          <t>법인세비용(수익)</t>
        </is>
      </c>
      <c r="B54" s="10" t="n"/>
      <c r="C54" s="19" t="n">
        <v>5258</v>
      </c>
      <c r="D54" s="20" t="n">
        <v>3015</v>
      </c>
      <c r="E54" s="20" t="n">
        <v>3144</v>
      </c>
      <c r="F54" s="20" t="n">
        <v>3216</v>
      </c>
      <c r="G54" s="20" t="n">
        <v>4710</v>
      </c>
      <c r="H54" s="20" t="n">
        <v>142</v>
      </c>
      <c r="I54" s="20" t="n">
        <v>999</v>
      </c>
      <c r="J54" s="20" t="n">
        <v>1483</v>
      </c>
      <c r="K54" s="20" t="n">
        <v>1337</v>
      </c>
      <c r="L54" s="20" t="n">
        <v>641</v>
      </c>
      <c r="M54" s="20" t="n">
        <v>1131</v>
      </c>
      <c r="N54" s="20" t="n">
        <v>1739</v>
      </c>
      <c r="O54" s="19" t="n"/>
      <c r="P54" s="20" t="n"/>
      <c r="Q54" s="20" t="n">
        <v>11900</v>
      </c>
      <c r="R54" s="20" t="n">
        <v>12589</v>
      </c>
      <c r="S54" s="20" t="n">
        <v>3409</v>
      </c>
      <c r="T54" s="20" t="n">
        <v>6377</v>
      </c>
      <c r="U54" s="20" t="n">
        <v>10728</v>
      </c>
      <c r="V54" s="20" t="n">
        <v>13699</v>
      </c>
      <c r="W54" s="20" t="n">
        <v>14085</v>
      </c>
      <c r="X54" s="20" t="n">
        <v>3961</v>
      </c>
      <c r="Y54" s="19">
        <f>IF(OR(Y52="",Y55=""),"",IFERROR(MAX(Y52,0)*Y55,""))</f>
        <v/>
      </c>
      <c r="Z54" s="20">
        <f>IF(OR(Z52="",Z55=""),"",IFERROR(MAX(Z52,0)*Z55,""))</f>
        <v/>
      </c>
      <c r="AA54" s="20">
        <f>IF(OR(AA52="",AA55=""),"",IFERROR(MAX(AA52,0)*AA55,""))</f>
        <v/>
      </c>
      <c r="AB54" s="20">
        <f>IF(OR(AB52="",AB55=""),"",IFERROR(MAX(AB52,0)*AB55,""))</f>
        <v/>
      </c>
      <c r="AC54" s="20">
        <f>IF(OR(AC52="",AC55=""),"",IFERROR(MAX(AC52,0)*AC55,""))</f>
        <v/>
      </c>
    </row>
    <row r="55">
      <c r="A55" s="13" t="inlineStr">
        <is>
          <t>법인세율</t>
        </is>
      </c>
      <c r="B55" s="10" t="inlineStr">
        <is>
          <t>MW 기본 30%</t>
        </is>
      </c>
      <c r="C55" s="14">
        <f>IF(OR(C54="",C52=""),"",IFERROR(C54/C52,""))</f>
        <v/>
      </c>
      <c r="D55" s="15">
        <f>IF(OR(D54="",D52=""),"",IFERROR(D54/D52,""))</f>
        <v/>
      </c>
      <c r="E55" s="15">
        <f>IF(OR(E54="",E52=""),"",IFERROR(E54/E52,""))</f>
        <v/>
      </c>
      <c r="F55" s="15">
        <f>IF(OR(F54="",F52=""),"",IFERROR(F54/F52,""))</f>
        <v/>
      </c>
      <c r="G55" s="15">
        <f>IF(OR(G54="",G52=""),"",IFERROR(G54/G52,""))</f>
        <v/>
      </c>
      <c r="H55" s="15">
        <f>IF(OR(H54="",H52=""),"",IFERROR(H54/H52,""))</f>
        <v/>
      </c>
      <c r="I55" s="15">
        <f>IF(OR(I54="",I52=""),"",IFERROR(I54/I52,""))</f>
        <v/>
      </c>
      <c r="J55" s="15">
        <f>IF(OR(J54="",J52=""),"",IFERROR(J54/J52,""))</f>
        <v/>
      </c>
      <c r="K55" s="15">
        <f>IF(OR(K54="",K52=""),"",IFERROR(K54/K52,""))</f>
        <v/>
      </c>
      <c r="L55" s="15">
        <f>IF(OR(L54="",L52=""),"",IFERROR(L54/L52,""))</f>
        <v/>
      </c>
      <c r="M55" s="15">
        <f>IF(OR(M54="",M52=""),"",IFERROR(M54/M52,""))</f>
        <v/>
      </c>
      <c r="N55" s="15">
        <f>IF(OR(N54="",N52=""),"",IFERROR(N54/N52,""))</f>
        <v/>
      </c>
      <c r="O55" s="14">
        <f>IF(OR(O54="",O52=""),"",IFERROR(O54/O52,""))</f>
        <v/>
      </c>
      <c r="P55" s="15">
        <f>IF(OR(P54="",P52=""),"",IFERROR(P54/P52,""))</f>
        <v/>
      </c>
      <c r="Q55" s="15">
        <f>IF(OR(Q54="",Q52=""),"",IFERROR(Q54/Q52,""))</f>
        <v/>
      </c>
      <c r="R55" s="15">
        <f>IF(OR(R54="",R52=""),"",IFERROR(R54/R52,""))</f>
        <v/>
      </c>
      <c r="S55" s="15">
        <f>IF(OR(S54="",S52=""),"",IFERROR(S54/S52,""))</f>
        <v/>
      </c>
      <c r="T55" s="15">
        <f>IF(OR(T54="",T52=""),"",IFERROR(T54/T52,""))</f>
        <v/>
      </c>
      <c r="U55" s="15">
        <f>IF(OR(U54="",U52=""),"",IFERROR(U54/U52,""))</f>
        <v/>
      </c>
      <c r="V55" s="15">
        <f>IF(OR(V54="",V52=""),"",IFERROR(V54/V52,""))</f>
        <v/>
      </c>
      <c r="W55" s="15">
        <f>IF(OR(W54="",W52=""),"",IFERROR(W54/W52,""))</f>
        <v/>
      </c>
      <c r="X55" s="15">
        <f>IF(OR(X54="",X52=""),"",IFERROR(X54/X52,""))</f>
        <v/>
      </c>
      <c r="Y55" s="25" t="n">
        <v>0.3</v>
      </c>
      <c r="Z55" s="26" t="n">
        <v>0.3</v>
      </c>
      <c r="AA55" s="26" t="n">
        <v>0.3</v>
      </c>
      <c r="AB55" s="26" t="n">
        <v>0.3</v>
      </c>
      <c r="AC55" s="26" t="n">
        <v>0.3</v>
      </c>
    </row>
    <row r="56">
      <c r="A56" s="9" t="inlineStr">
        <is>
          <t>당기순이익(손실)</t>
        </is>
      </c>
      <c r="B56" s="10" t="n"/>
      <c r="C56" s="11" t="n">
        <v>11253</v>
      </c>
      <c r="D56" s="12" t="n">
        <v>-6848</v>
      </c>
      <c r="E56" s="12" t="n">
        <v>7001</v>
      </c>
      <c r="F56" s="12" t="n">
        <v>572</v>
      </c>
      <c r="G56" s="12" t="n">
        <v>7258</v>
      </c>
      <c r="H56" s="12" t="n">
        <v>230</v>
      </c>
      <c r="I56" s="12" t="n">
        <v>1896</v>
      </c>
      <c r="J56" s="12" t="n">
        <v>18955</v>
      </c>
      <c r="K56" s="12" t="n">
        <v>3116</v>
      </c>
      <c r="L56" s="12" t="n">
        <v>1327</v>
      </c>
      <c r="M56" s="12" t="n">
        <v>2834</v>
      </c>
      <c r="N56" s="12" t="n">
        <v>4266</v>
      </c>
      <c r="O56" s="11" t="n"/>
      <c r="P56" s="12" t="n"/>
      <c r="Q56" s="12" t="n">
        <v>19374</v>
      </c>
      <c r="R56" s="12" t="n">
        <v>18861</v>
      </c>
      <c r="S56" s="12" t="n">
        <v>1696</v>
      </c>
      <c r="T56" s="12" t="n">
        <v>13231</v>
      </c>
      <c r="U56" s="12" t="n">
        <v>25800</v>
      </c>
      <c r="V56" s="12" t="n">
        <v>34229</v>
      </c>
      <c r="W56" s="12" t="n">
        <v>7983</v>
      </c>
      <c r="X56" s="12" t="n">
        <v>24197</v>
      </c>
      <c r="Y56" s="11">
        <f>IF(OR(Y52=""),"",IFERROR(Y52-Y54,""))</f>
        <v/>
      </c>
      <c r="Z56" s="12">
        <f>IF(OR(Z52=""),"",IFERROR(Z52-Z54,""))</f>
        <v/>
      </c>
      <c r="AA56" s="12">
        <f>IF(OR(AA52=""),"",IFERROR(AA52-AA54,""))</f>
        <v/>
      </c>
      <c r="AB56" s="12">
        <f>IF(OR(AB52=""),"",IFERROR(AB52-AB54,""))</f>
        <v/>
      </c>
      <c r="AC56" s="12">
        <f>IF(OR(AC52=""),"",IFERROR(AC52-AC54,""))</f>
        <v/>
      </c>
    </row>
    <row r="57">
      <c r="A57" s="13" t="inlineStr">
        <is>
          <t>YoY</t>
        </is>
      </c>
      <c r="B57" s="10" t="n"/>
      <c r="C57" s="14" t="n"/>
      <c r="D57" s="15" t="n"/>
      <c r="E57" s="15" t="n"/>
      <c r="F57" s="15" t="n"/>
      <c r="G57" s="15">
        <f>IF(OR(G56="",C56=""),"",IF(C56&lt;=0,"",IFERROR(G56/C56-1,"")))</f>
        <v/>
      </c>
      <c r="H57" s="15">
        <f>IF(OR(H56="",D56=""),"",IF(D56&lt;=0,"",IFERROR(H56/D56-1,"")))</f>
        <v/>
      </c>
      <c r="I57" s="15">
        <f>IF(OR(I56="",E56=""),"",IF(E56&lt;=0,"",IFERROR(I56/E56-1,"")))</f>
        <v/>
      </c>
      <c r="J57" s="15">
        <f>IF(OR(J56="",F56=""),"",IF(F56&lt;=0,"",IFERROR(J56/F56-1,"")))</f>
        <v/>
      </c>
      <c r="K57" s="15">
        <f>IF(OR(K56="",G56=""),"",IF(G56&lt;=0,"",IFERROR(K56/G56-1,"")))</f>
        <v/>
      </c>
      <c r="L57" s="15">
        <f>IF(OR(L56="",H56=""),"",IF(H56&lt;=0,"",IFERROR(L56/H56-1,"")))</f>
        <v/>
      </c>
      <c r="M57" s="15">
        <f>IF(OR(M56="",I56=""),"",IF(I56&lt;=0,"",IFERROR(M56/I56-1,"")))</f>
        <v/>
      </c>
      <c r="N57" s="15">
        <f>IF(OR(N56="",J56=""),"",IF(J56&lt;=0,"",IFERROR(N56/J56-1,"")))</f>
        <v/>
      </c>
      <c r="O57" s="14" t="n"/>
      <c r="P57" s="15">
        <f>IF(OR(P56="",O56=""),"",IF(O56&lt;=0,"",IFERROR(P56/O56-1,"")))</f>
        <v/>
      </c>
      <c r="Q57" s="15">
        <f>IF(OR(Q56="",P56=""),"",IF(P56&lt;=0,"",IFERROR(Q56/P56-1,"")))</f>
        <v/>
      </c>
      <c r="R57" s="15">
        <f>IF(OR(R56="",Q56=""),"",IF(Q56&lt;=0,"",IFERROR(R56/Q56-1,"")))</f>
        <v/>
      </c>
      <c r="S57" s="15">
        <f>IF(OR(S56="",R56=""),"",IF(R56&lt;=0,"",IFERROR(S56/R56-1,"")))</f>
        <v/>
      </c>
      <c r="T57" s="15">
        <f>IF(OR(T56="",S56=""),"",IF(S56&lt;=0,"",IFERROR(T56/S56-1,"")))</f>
        <v/>
      </c>
      <c r="U57" s="15">
        <f>IF(OR(U56="",T56=""),"",IF(T56&lt;=0,"",IFERROR(U56/T56-1,"")))</f>
        <v/>
      </c>
      <c r="V57" s="15">
        <f>IF(OR(V56="",U56=""),"",IF(U56&lt;=0,"",IFERROR(V56/U56-1,"")))</f>
        <v/>
      </c>
      <c r="W57" s="15">
        <f>IF(OR(W56="",V56=""),"",IF(V56&lt;=0,"",IFERROR(W56/V56-1,"")))</f>
        <v/>
      </c>
      <c r="X57" s="15">
        <f>IF(OR(X56="",W56=""),"",IF(W56&lt;=0,"",IFERROR(X56/W56-1,"")))</f>
        <v/>
      </c>
      <c r="Y57" s="14">
        <f>IF(OR(Y56="",X56=""),"",IF(X56&lt;=0,"",IFERROR(Y56/X56-1,"")))</f>
        <v/>
      </c>
      <c r="Z57" s="15">
        <f>IF(OR(Z56="",Y56=""),"",IF(Y56&lt;=0,"",IFERROR(Z56/Y56-1,"")))</f>
        <v/>
      </c>
      <c r="AA57" s="15">
        <f>IF(OR(AA56="",Z56=""),"",IF(Z56&lt;=0,"",IFERROR(AA56/Z56-1,"")))</f>
        <v/>
      </c>
      <c r="AB57" s="15">
        <f>IF(OR(AB56="",AA56=""),"",IF(AA56&lt;=0,"",IFERROR(AB56/AA56-1,"")))</f>
        <v/>
      </c>
      <c r="AC57" s="15">
        <f>IF(OR(AC56="",AB56=""),"",IF(AB56&lt;=0,"",IFERROR(AC56/AB56-1,"")))</f>
        <v/>
      </c>
    </row>
    <row r="58">
      <c r="A58" s="9" t="inlineStr">
        <is>
          <t>지배주주 순이익</t>
        </is>
      </c>
      <c r="B58" s="10" t="n"/>
      <c r="C58" s="11" t="n">
        <v>10924</v>
      </c>
      <c r="D58" s="12" t="n">
        <v>-6937</v>
      </c>
      <c r="E58" s="12" t="n">
        <v>6914</v>
      </c>
      <c r="F58" s="12" t="n">
        <v>586</v>
      </c>
      <c r="G58" s="12" t="n">
        <v>7137</v>
      </c>
      <c r="H58" s="12" t="n">
        <v>168</v>
      </c>
      <c r="I58" s="12" t="n">
        <v>1892</v>
      </c>
      <c r="J58" s="12" t="n">
        <v>18942</v>
      </c>
      <c r="K58" s="12" t="n">
        <v>3031</v>
      </c>
      <c r="L58" s="12" t="n">
        <v>1488</v>
      </c>
      <c r="M58" s="12" t="n">
        <v>2890</v>
      </c>
      <c r="N58" s="12" t="n">
        <v>4290</v>
      </c>
      <c r="O58" s="11" t="n"/>
      <c r="P58" s="12" t="n"/>
      <c r="Q58" s="12" t="n">
        <v>18517</v>
      </c>
      <c r="R58" s="12" t="n">
        <v>17995</v>
      </c>
      <c r="S58" s="12" t="n">
        <v>1745</v>
      </c>
      <c r="T58" s="12" t="n">
        <v>13460</v>
      </c>
      <c r="U58" s="12" t="n">
        <v>25406</v>
      </c>
      <c r="V58" s="12" t="n">
        <v>33944</v>
      </c>
      <c r="W58" s="12" t="n">
        <v>7700</v>
      </c>
      <c r="X58" s="12" t="n">
        <v>24033</v>
      </c>
      <c r="Y58" s="11">
        <f>IF(OR(Y56="",Y59=""),"",IFERROR(Y56*Y59,""))</f>
        <v/>
      </c>
      <c r="Z58" s="12">
        <f>IF(OR(Z56="",Z59=""),"",IFERROR(Z56*Z59,""))</f>
        <v/>
      </c>
      <c r="AA58" s="12">
        <f>IF(OR(AA56="",AA59=""),"",IFERROR(AA56*AA59,""))</f>
        <v/>
      </c>
      <c r="AB58" s="12">
        <f>IF(OR(AB56="",AB59=""),"",IFERROR(AB56*AB59,""))</f>
        <v/>
      </c>
      <c r="AC58" s="12">
        <f>IF(OR(AC56="",AC59=""),"",IFERROR(AC56*AC59,""))</f>
        <v/>
      </c>
    </row>
    <row r="59">
      <c r="A59" s="13" t="inlineStr">
        <is>
          <t>지배주주 순이익률</t>
        </is>
      </c>
      <c r="B59" s="10" t="inlineStr">
        <is>
          <t>MW 기본 100%</t>
        </is>
      </c>
      <c r="C59" s="14">
        <f>IF(OR(C58="",C56=""),"",IFERROR(C58/C56,""))</f>
        <v/>
      </c>
      <c r="D59" s="15">
        <f>IF(OR(D58="",D56=""),"",IFERROR(D58/D56,""))</f>
        <v/>
      </c>
      <c r="E59" s="15">
        <f>IF(OR(E58="",E56=""),"",IFERROR(E58/E56,""))</f>
        <v/>
      </c>
      <c r="F59" s="15">
        <f>IF(OR(F58="",F56=""),"",IFERROR(F58/F56,""))</f>
        <v/>
      </c>
      <c r="G59" s="15">
        <f>IF(OR(G58="",G56=""),"",IFERROR(G58/G56,""))</f>
        <v/>
      </c>
      <c r="H59" s="15">
        <f>IF(OR(H58="",H56=""),"",IFERROR(H58/H56,""))</f>
        <v/>
      </c>
      <c r="I59" s="15">
        <f>IF(OR(I58="",I56=""),"",IFERROR(I58/I56,""))</f>
        <v/>
      </c>
      <c r="J59" s="15">
        <f>IF(OR(J58="",J56=""),"",IFERROR(J58/J56,""))</f>
        <v/>
      </c>
      <c r="K59" s="15">
        <f>IF(OR(K58="",K56=""),"",IFERROR(K58/K56,""))</f>
        <v/>
      </c>
      <c r="L59" s="15">
        <f>IF(OR(L58="",L56=""),"",IFERROR(L58/L56,""))</f>
        <v/>
      </c>
      <c r="M59" s="15">
        <f>IF(OR(M58="",M56=""),"",IFERROR(M58/M56,""))</f>
        <v/>
      </c>
      <c r="N59" s="15">
        <f>IF(OR(N58="",N56=""),"",IFERROR(N58/N56,""))</f>
        <v/>
      </c>
      <c r="O59" s="14">
        <f>IF(OR(O58="",O56=""),"",IFERROR(O58/O56,""))</f>
        <v/>
      </c>
      <c r="P59" s="15">
        <f>IF(OR(P58="",P56=""),"",IFERROR(P58/P56,""))</f>
        <v/>
      </c>
      <c r="Q59" s="15">
        <f>IF(OR(Q58="",Q56=""),"",IFERROR(Q58/Q56,""))</f>
        <v/>
      </c>
      <c r="R59" s="15">
        <f>IF(OR(R58="",R56=""),"",IFERROR(R58/R56,""))</f>
        <v/>
      </c>
      <c r="S59" s="15">
        <f>IF(OR(S58="",S56=""),"",IFERROR(S58/S56,""))</f>
        <v/>
      </c>
      <c r="T59" s="15">
        <f>IF(OR(T58="",T56=""),"",IFERROR(T58/T56,""))</f>
        <v/>
      </c>
      <c r="U59" s="15">
        <f>IF(OR(U58="",U56=""),"",IFERROR(U58/U56,""))</f>
        <v/>
      </c>
      <c r="V59" s="15">
        <f>IF(OR(V58="",V56=""),"",IFERROR(V58/V56,""))</f>
        <v/>
      </c>
      <c r="W59" s="15">
        <f>IF(OR(W58="",W56=""),"",IFERROR(W58/W56,""))</f>
        <v/>
      </c>
      <c r="X59" s="15">
        <f>IF(OR(X58="",X56=""),"",IFERROR(X58/X56,""))</f>
        <v/>
      </c>
      <c r="Y59" s="25" t="n">
        <v>1</v>
      </c>
      <c r="Z59" s="26" t="n">
        <v>1</v>
      </c>
      <c r="AA59" s="26" t="n">
        <v>1</v>
      </c>
      <c r="AB59" s="26" t="n">
        <v>1</v>
      </c>
      <c r="AC59" s="26" t="n">
        <v>1</v>
      </c>
    </row>
    <row r="60">
      <c r="A60" s="13" t="inlineStr">
        <is>
          <t>지배주주 순이익 YoY</t>
        </is>
      </c>
      <c r="B60" s="10" t="n"/>
      <c r="C60" s="14" t="n"/>
      <c r="D60" s="15" t="n"/>
      <c r="E60" s="15" t="n"/>
      <c r="F60" s="15" t="n"/>
      <c r="G60" s="15">
        <f>IF(OR(G58="",C58=""),"",IF(C58&lt;=0,"",IFERROR(G58/C58-1,"")))</f>
        <v/>
      </c>
      <c r="H60" s="15">
        <f>IF(OR(H58="",D58=""),"",IF(D58&lt;=0,"",IFERROR(H58/D58-1,"")))</f>
        <v/>
      </c>
      <c r="I60" s="15">
        <f>IF(OR(I58="",E58=""),"",IF(E58&lt;=0,"",IFERROR(I58/E58-1,"")))</f>
        <v/>
      </c>
      <c r="J60" s="15">
        <f>IF(OR(J58="",F58=""),"",IF(F58&lt;=0,"",IFERROR(J58/F58-1,"")))</f>
        <v/>
      </c>
      <c r="K60" s="15">
        <f>IF(OR(K58="",G58=""),"",IF(G58&lt;=0,"",IFERROR(K58/G58-1,"")))</f>
        <v/>
      </c>
      <c r="L60" s="15">
        <f>IF(OR(L58="",H58=""),"",IF(H58&lt;=0,"",IFERROR(L58/H58-1,"")))</f>
        <v/>
      </c>
      <c r="M60" s="15">
        <f>IF(OR(M58="",I58=""),"",IF(I58&lt;=0,"",IFERROR(M58/I58-1,"")))</f>
        <v/>
      </c>
      <c r="N60" s="15">
        <f>IF(OR(N58="",J58=""),"",IF(J58&lt;=0,"",IFERROR(N58/J58-1,"")))</f>
        <v/>
      </c>
      <c r="O60" s="14" t="n"/>
      <c r="P60" s="15">
        <f>IF(OR(P58="",O58=""),"",IF(O58&lt;=0,"",IFERROR(P58/O58-1,"")))</f>
        <v/>
      </c>
      <c r="Q60" s="15">
        <f>IF(OR(Q58="",P58=""),"",IF(P58&lt;=0,"",IFERROR(Q58/P58-1,"")))</f>
        <v/>
      </c>
      <c r="R60" s="15">
        <f>IF(OR(R58="",Q58=""),"",IF(Q58&lt;=0,"",IFERROR(R58/Q58-1,"")))</f>
        <v/>
      </c>
      <c r="S60" s="15">
        <f>IF(OR(S58="",R58=""),"",IF(R58&lt;=0,"",IFERROR(S58/R58-1,"")))</f>
        <v/>
      </c>
      <c r="T60" s="15">
        <f>IF(OR(T58="",S58=""),"",IF(S58&lt;=0,"",IFERROR(T58/S58-1,"")))</f>
        <v/>
      </c>
      <c r="U60" s="15">
        <f>IF(OR(U58="",T58=""),"",IF(T58&lt;=0,"",IFERROR(U58/T58-1,"")))</f>
        <v/>
      </c>
      <c r="V60" s="15">
        <f>IF(OR(V58="",U58=""),"",IF(U58&lt;=0,"",IFERROR(V58/U58-1,"")))</f>
        <v/>
      </c>
      <c r="W60" s="15">
        <f>IF(OR(W58="",V58=""),"",IF(V58&lt;=0,"",IFERROR(W58/V58-1,"")))</f>
        <v/>
      </c>
      <c r="X60" s="15">
        <f>IF(OR(X58="",W58=""),"",IF(W58&lt;=0,"",IFERROR(X58/W58-1,"")))</f>
        <v/>
      </c>
      <c r="Y60" s="14">
        <f>IF(OR(Y58="",X58=""),"",IF(X58&lt;=0,"",IFERROR(Y58/X58-1,"")))</f>
        <v/>
      </c>
      <c r="Z60" s="15">
        <f>IF(OR(Z58="",Y58=""),"",IF(Y58&lt;=0,"",IFERROR(Z58/Y58-1,"")))</f>
        <v/>
      </c>
      <c r="AA60" s="15">
        <f>IF(OR(AA58="",Z58=""),"",IF(Z58&lt;=0,"",IFERROR(AA58/Z58-1,"")))</f>
        <v/>
      </c>
      <c r="AB60" s="15">
        <f>IF(OR(AB58="",AA58=""),"",IF(AA58&lt;=0,"",IFERROR(AB58/AA58-1,"")))</f>
        <v/>
      </c>
      <c r="AC60" s="15">
        <f>IF(OR(AC58="",AB58=""),"",IF(AB58&lt;=0,"",IFERROR(AC58/AB58-1,"")))</f>
        <v/>
      </c>
    </row>
    <row r="61">
      <c r="A61" s="16" t="inlineStr">
        <is>
          <t>목표주가 산출</t>
        </is>
      </c>
      <c r="B61" s="16" t="n"/>
      <c r="C61" s="17" t="n"/>
      <c r="D61" s="16" t="n"/>
      <c r="E61" s="16" t="n"/>
      <c r="F61" s="16" t="n"/>
      <c r="G61" s="16" t="n"/>
      <c r="H61" s="16" t="n"/>
      <c r="I61" s="16" t="n"/>
      <c r="J61" s="16" t="n"/>
      <c r="K61" s="16" t="n"/>
      <c r="L61" s="16" t="n"/>
      <c r="M61" s="16" t="n"/>
      <c r="N61" s="16" t="n"/>
      <c r="O61" s="17" t="n"/>
      <c r="P61" s="16" t="n"/>
      <c r="Q61" s="16" t="n"/>
      <c r="R61" s="16" t="n"/>
      <c r="S61" s="16" t="n"/>
      <c r="T61" s="16" t="n"/>
      <c r="U61" s="16" t="n"/>
      <c r="V61" s="16" t="n"/>
      <c r="W61" s="16" t="n"/>
      <c r="X61" s="16" t="n"/>
      <c r="Y61" s="17" t="n"/>
      <c r="Z61" s="16" t="n"/>
      <c r="AA61" s="16" t="n"/>
      <c r="AB61" s="16" t="n"/>
      <c r="AC61" s="16" t="n"/>
    </row>
    <row r="62">
      <c r="A62" s="18" t="inlineStr">
        <is>
          <t>현재 주가 ()</t>
        </is>
      </c>
      <c r="B62" s="27" t="n"/>
      <c r="C62" s="28" t="n"/>
      <c r="D62" s="29" t="n"/>
      <c r="E62" s="29" t="n"/>
      <c r="F62" s="29" t="n"/>
      <c r="G62" s="29" t="n"/>
      <c r="H62" s="29" t="n"/>
      <c r="I62" s="29" t="n"/>
      <c r="J62" s="29" t="n"/>
      <c r="K62" s="29" t="n"/>
      <c r="L62" s="29" t="n"/>
      <c r="M62" s="29" t="n"/>
      <c r="N62" s="29" t="n"/>
      <c r="O62" s="28" t="n"/>
      <c r="P62" s="29" t="n"/>
      <c r="Q62" s="29" t="n"/>
      <c r="R62" s="29" t="n"/>
      <c r="S62" s="29" t="n"/>
      <c r="T62" s="29" t="n"/>
      <c r="U62" s="29" t="n"/>
      <c r="V62" s="29" t="n"/>
      <c r="W62" s="29" t="n"/>
      <c r="X62" s="29" t="n"/>
      <c r="Y62" s="28" t="n"/>
      <c r="Z62" s="29" t="n"/>
      <c r="AA62" s="29" t="n"/>
      <c r="AB62" s="29" t="n"/>
      <c r="AC62" s="29" t="n"/>
    </row>
    <row r="63">
      <c r="A63" s="18" t="inlineStr">
        <is>
          <t>발행주식수 (보통주)</t>
        </is>
      </c>
      <c r="B63" s="27" t="n"/>
      <c r="C63" s="28" t="n"/>
      <c r="D63" s="29" t="n"/>
      <c r="E63" s="29" t="n"/>
      <c r="F63" s="29" t="n"/>
      <c r="G63" s="29" t="n"/>
      <c r="H63" s="29" t="n"/>
      <c r="I63" s="29" t="n"/>
      <c r="J63" s="29" t="n"/>
      <c r="K63" s="29" t="n"/>
      <c r="L63" s="29" t="n"/>
      <c r="M63" s="29" t="n"/>
      <c r="N63" s="29" t="n"/>
      <c r="O63" s="28" t="n"/>
      <c r="P63" s="29" t="n"/>
      <c r="Q63" s="29" t="n"/>
      <c r="R63" s="29" t="n"/>
      <c r="S63" s="29" t="n"/>
      <c r="T63" s="29" t="n"/>
      <c r="U63" s="29" t="n"/>
      <c r="V63" s="29" t="n"/>
      <c r="W63" s="29" t="n"/>
      <c r="X63" s="29" t="n"/>
      <c r="Y63" s="28" t="n"/>
      <c r="Z63" s="29" t="n"/>
      <c r="AA63" s="29" t="n"/>
      <c r="AB63" s="29" t="n"/>
      <c r="AC63" s="29" t="n"/>
    </row>
    <row r="64">
      <c r="A64" s="18" t="inlineStr">
        <is>
          <t>시가총액 (백만엔)</t>
        </is>
      </c>
      <c r="B64" s="12">
        <f>IF(OR(B62="",B63=""),"",B62*B63/1000000.0)</f>
        <v/>
      </c>
      <c r="C64" s="19" t="n"/>
      <c r="D64" s="20" t="n"/>
      <c r="E64" s="20" t="n"/>
      <c r="F64" s="20" t="n"/>
      <c r="G64" s="20" t="n"/>
      <c r="H64" s="20" t="n"/>
      <c r="I64" s="20" t="n"/>
      <c r="J64" s="20" t="n"/>
      <c r="K64" s="20" t="n"/>
      <c r="L64" s="20" t="n"/>
      <c r="M64" s="20" t="n"/>
      <c r="N64" s="20" t="n"/>
      <c r="O64" s="19" t="n"/>
      <c r="P64" s="20" t="n"/>
      <c r="Q64" s="20" t="n"/>
      <c r="R64" s="20" t="n"/>
      <c r="S64" s="20" t="n"/>
      <c r="T64" s="20" t="n"/>
      <c r="U64" s="20" t="n"/>
      <c r="V64" s="20" t="n"/>
      <c r="W64" s="20" t="n"/>
      <c r="X64" s="20" t="n"/>
      <c r="Y64" s="19" t="n"/>
      <c r="Z64" s="20" t="n"/>
      <c r="AA64" s="20" t="n"/>
      <c r="AB64" s="20" t="n"/>
      <c r="AC64" s="20" t="n"/>
    </row>
    <row r="65">
      <c r="A65" s="13" t="inlineStr">
        <is>
          <t>OPM</t>
        </is>
      </c>
      <c r="B65" s="10" t="n"/>
      <c r="C65" s="14" t="n"/>
      <c r="D65" s="15" t="n"/>
      <c r="E65" s="15" t="n"/>
      <c r="F65" s="15" t="n"/>
      <c r="G65" s="15" t="n"/>
      <c r="H65" s="15" t="n"/>
      <c r="I65" s="15" t="n"/>
      <c r="J65" s="15" t="n"/>
      <c r="K65" s="15" t="n"/>
      <c r="L65" s="15" t="n"/>
      <c r="M65" s="15" t="n"/>
      <c r="N65" s="15" t="n"/>
      <c r="O65" s="14">
        <f>IF(O29="","",O29)</f>
        <v/>
      </c>
      <c r="P65" s="15">
        <f>IF(P29="","",P29)</f>
        <v/>
      </c>
      <c r="Q65" s="15">
        <f>IF(Q29="","",Q29)</f>
        <v/>
      </c>
      <c r="R65" s="15">
        <f>IF(R29="","",R29)</f>
        <v/>
      </c>
      <c r="S65" s="15">
        <f>IF(S29="","",S29)</f>
        <v/>
      </c>
      <c r="T65" s="15">
        <f>IF(T29="","",T29)</f>
        <v/>
      </c>
      <c r="U65" s="15">
        <f>IF(U29="","",U29)</f>
        <v/>
      </c>
      <c r="V65" s="15">
        <f>IF(V29="","",V29)</f>
        <v/>
      </c>
      <c r="W65" s="15">
        <f>IF(W29="","",W29)</f>
        <v/>
      </c>
      <c r="X65" s="15">
        <f>IF(X29="","",X29)</f>
        <v/>
      </c>
      <c r="Y65" s="14">
        <f>IF(Y29="","",Y29)</f>
        <v/>
      </c>
      <c r="Z65" s="15">
        <f>IF(Z29="","",Z29)</f>
        <v/>
      </c>
      <c r="AA65" s="15">
        <f>IF(AA29="","",AA29)</f>
        <v/>
      </c>
      <c r="AB65" s="15">
        <f>IF(AB29="","",AB29)</f>
        <v/>
      </c>
      <c r="AC65" s="15">
        <f>IF(AC29="","",AC29)</f>
        <v/>
      </c>
    </row>
    <row r="66">
      <c r="A66" s="13" t="inlineStr">
        <is>
          <t>지배주주 순이익 증가율</t>
        </is>
      </c>
      <c r="B66" s="10" t="n"/>
      <c r="C66" s="14" t="n"/>
      <c r="D66" s="15" t="n"/>
      <c r="E66" s="15" t="n"/>
      <c r="F66" s="15" t="n"/>
      <c r="G66" s="15" t="n"/>
      <c r="H66" s="15" t="n"/>
      <c r="I66" s="15" t="n"/>
      <c r="J66" s="15" t="n"/>
      <c r="K66" s="15" t="n"/>
      <c r="L66" s="15" t="n"/>
      <c r="M66" s="15" t="n"/>
      <c r="N66" s="15" t="n"/>
      <c r="O66" s="14" t="n"/>
      <c r="P66" s="15">
        <f>IF(OR(P58="",O58=""),"",IFERROR(P58/O58-1,""))</f>
        <v/>
      </c>
      <c r="Q66" s="15">
        <f>IF(OR(Q58="",P58=""),"",IFERROR(Q58/P58-1,""))</f>
        <v/>
      </c>
      <c r="R66" s="15">
        <f>IF(OR(R58="",Q58=""),"",IFERROR(R58/Q58-1,""))</f>
        <v/>
      </c>
      <c r="S66" s="15">
        <f>IF(OR(S58="",R58=""),"",IFERROR(S58/R58-1,""))</f>
        <v/>
      </c>
      <c r="T66" s="15">
        <f>IF(OR(T58="",S58=""),"",IFERROR(T58/S58-1,""))</f>
        <v/>
      </c>
      <c r="U66" s="15">
        <f>IF(OR(U58="",T58=""),"",IFERROR(U58/T58-1,""))</f>
        <v/>
      </c>
      <c r="V66" s="15">
        <f>IF(OR(V58="",U58=""),"",IFERROR(V58/U58-1,""))</f>
        <v/>
      </c>
      <c r="W66" s="15">
        <f>IF(OR(W58="",V58=""),"",IFERROR(W58/V58-1,""))</f>
        <v/>
      </c>
      <c r="X66" s="15">
        <f>IF(OR(X58="",W58=""),"",IFERROR(X58/W58-1,""))</f>
        <v/>
      </c>
      <c r="Y66" s="14">
        <f>IF(OR(Y58="",X58=""),"",IFERROR(Y58/X58-1,""))</f>
        <v/>
      </c>
      <c r="Z66" s="15">
        <f>IF(OR(Z58="",Y58=""),"",IFERROR(Z58/Y58-1,""))</f>
        <v/>
      </c>
      <c r="AA66" s="15">
        <f>IF(OR(AA58="",Z58=""),"",IFERROR(AA58/Z58-1,""))</f>
        <v/>
      </c>
      <c r="AB66" s="15">
        <f>IF(OR(AB58="",AA58=""),"",IFERROR(AB58/AA58-1,""))</f>
        <v/>
      </c>
      <c r="AC66" s="15">
        <f>IF(OR(AC58="",AB58=""),"",IFERROR(AC58/AB58-1,""))</f>
        <v/>
      </c>
    </row>
    <row r="67">
      <c r="A67" s="18" t="inlineStr">
        <is>
          <t>P/E (현재 주가)</t>
        </is>
      </c>
      <c r="B67" s="10" t="inlineStr">
        <is>
          <t>시총 ÷ 지배순이익</t>
        </is>
      </c>
      <c r="C67" s="30" t="n"/>
      <c r="D67" s="31" t="n"/>
      <c r="E67" s="31" t="n"/>
      <c r="F67" s="31" t="n"/>
      <c r="G67" s="31" t="n"/>
      <c r="H67" s="31" t="n"/>
      <c r="I67" s="31" t="n"/>
      <c r="J67" s="31" t="n"/>
      <c r="K67" s="31" t="n"/>
      <c r="L67" s="31" t="n"/>
      <c r="M67" s="31" t="n"/>
      <c r="N67" s="31" t="n"/>
      <c r="O67" s="30" t="n"/>
      <c r="P67" s="31" t="n"/>
      <c r="Q67" s="31" t="n"/>
      <c r="R67" s="31" t="n"/>
      <c r="S67" s="31" t="n"/>
      <c r="T67" s="31" t="n"/>
      <c r="U67" s="31" t="n"/>
      <c r="V67" s="31" t="n"/>
      <c r="W67" s="31" t="n"/>
      <c r="X67" s="31">
        <f>IF(OR($B$64="",X58=""),"",IFERROR($B$64/X58,""))</f>
        <v/>
      </c>
      <c r="Y67" s="30">
        <f>IF(OR($B$64="",Y58=""),"",IFERROR($B$64/Y58,""))</f>
        <v/>
      </c>
      <c r="Z67" s="31">
        <f>IF(OR($B$64="",Z58=""),"",IFERROR($B$64/Z58,""))</f>
        <v/>
      </c>
      <c r="AA67" s="31">
        <f>IF(OR($B$64="",AA58=""),"",IFERROR($B$64/AA58,""))</f>
        <v/>
      </c>
      <c r="AB67" s="31">
        <f>IF(OR($B$64="",AB58=""),"",IFERROR($B$64/AB58,""))</f>
        <v/>
      </c>
      <c r="AC67" s="31">
        <f>IF(OR($B$64="",AC58=""),"",IFERROR($B$64/AC58,""))</f>
        <v/>
      </c>
    </row>
    <row r="68">
      <c r="A68" s="18" t="inlineStr">
        <is>
          <t>Target P/E</t>
        </is>
      </c>
      <c r="B68" s="10" t="inlineStr">
        <is>
          <t>직접 입력</t>
        </is>
      </c>
      <c r="C68" s="30" t="n"/>
      <c r="D68" s="31" t="n"/>
      <c r="E68" s="31" t="n"/>
      <c r="F68" s="31" t="n"/>
      <c r="G68" s="31" t="n"/>
      <c r="H68" s="31" t="n"/>
      <c r="I68" s="31" t="n"/>
      <c r="J68" s="31" t="n"/>
      <c r="K68" s="31" t="n"/>
      <c r="L68" s="31" t="n"/>
      <c r="M68" s="31" t="n"/>
      <c r="N68" s="31" t="n"/>
      <c r="O68" s="30" t="n"/>
      <c r="P68" s="31" t="n"/>
      <c r="Q68" s="31" t="n"/>
      <c r="R68" s="31" t="n"/>
      <c r="S68" s="31" t="n"/>
      <c r="T68" s="31" t="n"/>
      <c r="U68" s="31" t="n"/>
      <c r="V68" s="31" t="n"/>
      <c r="W68" s="31" t="n"/>
      <c r="X68" s="31" t="n"/>
      <c r="Y68" s="32" t="n"/>
      <c r="Z68" s="33" t="n"/>
      <c r="AA68" s="33" t="n"/>
      <c r="AB68" s="33" t="n"/>
      <c r="AC68" s="33" t="n"/>
    </row>
    <row r="69">
      <c r="A69" s="18" t="inlineStr">
        <is>
          <t>EPS</t>
        </is>
      </c>
      <c r="B69" s="10" t="inlineStr">
        <is>
          <t>지배순이익 ÷ 주식수</t>
        </is>
      </c>
      <c r="C69" s="28" t="n"/>
      <c r="D69" s="29" t="n"/>
      <c r="E69" s="29" t="n"/>
      <c r="F69" s="29" t="n"/>
      <c r="G69" s="29" t="n"/>
      <c r="H69" s="29" t="n"/>
      <c r="I69" s="29" t="n"/>
      <c r="J69" s="29" t="n"/>
      <c r="K69" s="29" t="n"/>
      <c r="L69" s="29" t="n"/>
      <c r="M69" s="29" t="n"/>
      <c r="N69" s="29" t="n"/>
      <c r="O69" s="28">
        <f>IF(OR(O58="",$B$63=""),"",IFERROR(O58*1000000.0/$B$63,""))</f>
        <v/>
      </c>
      <c r="P69" s="29">
        <f>IF(OR(P58="",$B$63=""),"",IFERROR(P58*1000000.0/$B$63,""))</f>
        <v/>
      </c>
      <c r="Q69" s="29">
        <f>IF(OR(Q58="",$B$63=""),"",IFERROR(Q58*1000000.0/$B$63,""))</f>
        <v/>
      </c>
      <c r="R69" s="29">
        <f>IF(OR(R58="",$B$63=""),"",IFERROR(R58*1000000.0/$B$63,""))</f>
        <v/>
      </c>
      <c r="S69" s="29">
        <f>IF(OR(S58="",$B$63=""),"",IFERROR(S58*1000000.0/$B$63,""))</f>
        <v/>
      </c>
      <c r="T69" s="29">
        <f>IF(OR(T58="",$B$63=""),"",IFERROR(T58*1000000.0/$B$63,""))</f>
        <v/>
      </c>
      <c r="U69" s="29">
        <f>IF(OR(U58="",$B$63=""),"",IFERROR(U58*1000000.0/$B$63,""))</f>
        <v/>
      </c>
      <c r="V69" s="29">
        <f>IF(OR(V58="",$B$63=""),"",IFERROR(V58*1000000.0/$B$63,""))</f>
        <v/>
      </c>
      <c r="W69" s="29">
        <f>IF(OR(W58="",$B$63=""),"",IFERROR(W58*1000000.0/$B$63,""))</f>
        <v/>
      </c>
      <c r="X69" s="29">
        <f>IF(OR(X58="",$B$63=""),"",IFERROR(X58*1000000.0/$B$63,""))</f>
        <v/>
      </c>
      <c r="Y69" s="28">
        <f>IF(OR(Y58="",$B$63=""),"",IFERROR(Y58*1000000.0/$B$63,""))</f>
        <v/>
      </c>
      <c r="Z69" s="29">
        <f>IF(OR(Z58="",$B$63=""),"",IFERROR(Z58*1000000.0/$B$63,""))</f>
        <v/>
      </c>
      <c r="AA69" s="29">
        <f>IF(OR(AA58="",$B$63=""),"",IFERROR(AA58*1000000.0/$B$63,""))</f>
        <v/>
      </c>
      <c r="AB69" s="29">
        <f>IF(OR(AB58="",$B$63=""),"",IFERROR(AB58*1000000.0/$B$63,""))</f>
        <v/>
      </c>
      <c r="AC69" s="29">
        <f>IF(OR(AC58="",$B$63=""),"",IFERROR(AC58*1000000.0/$B$63,""))</f>
        <v/>
      </c>
    </row>
    <row r="70">
      <c r="A70" s="9" t="inlineStr">
        <is>
          <t>목표주가</t>
        </is>
      </c>
      <c r="B70" s="10" t="n"/>
      <c r="C70" s="34" t="n"/>
      <c r="D70" s="27" t="n"/>
      <c r="E70" s="27" t="n"/>
      <c r="F70" s="27" t="n"/>
      <c r="G70" s="27" t="n"/>
      <c r="H70" s="27" t="n"/>
      <c r="I70" s="27" t="n"/>
      <c r="J70" s="27" t="n"/>
      <c r="K70" s="27" t="n"/>
      <c r="L70" s="27" t="n"/>
      <c r="M70" s="27" t="n"/>
      <c r="N70" s="27" t="n"/>
      <c r="O70" s="34" t="n"/>
      <c r="P70" s="27" t="n"/>
      <c r="Q70" s="27" t="n"/>
      <c r="R70" s="27" t="n"/>
      <c r="S70" s="27" t="n"/>
      <c r="T70" s="27" t="n"/>
      <c r="U70" s="27" t="n"/>
      <c r="V70" s="27" t="n"/>
      <c r="W70" s="27" t="n"/>
      <c r="X70" s="27" t="n"/>
      <c r="Y70" s="34">
        <f>IF(OR(Y69="",Y68=""),"",IFERROR(Y69*Y68,""))</f>
        <v/>
      </c>
      <c r="Z70" s="27">
        <f>IF(OR(Z69="",Z68=""),"",IFERROR(Z69*Z68,""))</f>
        <v/>
      </c>
      <c r="AA70" s="27">
        <f>IF(OR(AA69="",AA68=""),"",IFERROR(AA69*AA68,""))</f>
        <v/>
      </c>
      <c r="AB70" s="27">
        <f>IF(OR(AB69="",AB68=""),"",IFERROR(AB69*AB68,""))</f>
        <v/>
      </c>
      <c r="AC70" s="27">
        <f>IF(OR(AC69="",AC68=""),"",IFERROR(AC69*AC68,""))</f>
        <v/>
      </c>
    </row>
    <row r="71">
      <c r="A71" s="18" t="inlineStr">
        <is>
          <t>상승여력</t>
        </is>
      </c>
      <c r="B71" s="10" t="n"/>
      <c r="C71" s="35" t="n"/>
      <c r="D71" s="36" t="n"/>
      <c r="E71" s="36" t="n"/>
      <c r="F71" s="36" t="n"/>
      <c r="G71" s="36" t="n"/>
      <c r="H71" s="36" t="n"/>
      <c r="I71" s="36" t="n"/>
      <c r="J71" s="36" t="n"/>
      <c r="K71" s="36" t="n"/>
      <c r="L71" s="36" t="n"/>
      <c r="M71" s="36" t="n"/>
      <c r="N71" s="36" t="n"/>
      <c r="O71" s="35" t="n"/>
      <c r="P71" s="36" t="n"/>
      <c r="Q71" s="36" t="n"/>
      <c r="R71" s="36" t="n"/>
      <c r="S71" s="36" t="n"/>
      <c r="T71" s="36" t="n"/>
      <c r="U71" s="36" t="n"/>
      <c r="V71" s="36" t="n"/>
      <c r="W71" s="36" t="n"/>
      <c r="X71" s="36" t="n"/>
      <c r="Y71" s="37">
        <f>IF(OR(Y70="",$B$62=""),"",IFERROR(Y70/$B$62-1,""))</f>
        <v/>
      </c>
      <c r="Z71" s="38">
        <f>IF(OR(Z70="",$B$62=""),"",IFERROR(Z70/$B$62-1,""))</f>
        <v/>
      </c>
      <c r="AA71" s="38">
        <f>IF(OR(AA70="",$B$62=""),"",IFERROR(AA70/$B$62-1,""))</f>
        <v/>
      </c>
      <c r="AB71" s="38">
        <f>IF(OR(AB70="",$B$62=""),"",IFERROR(AB70/$B$62-1,""))</f>
        <v/>
      </c>
      <c r="AC71" s="38">
        <f>IF(OR(AC70="",$B$62=""),"",IFERROR(AC70/$B$62-1,""))</f>
        <v/>
      </c>
    </row>
    <row r="72">
      <c r="A72" s="16" t="inlineStr">
        <is>
          <t>자산가치 산출</t>
        </is>
      </c>
      <c r="B72" s="16" t="inlineStr">
        <is>
          <t>최신 분기 BS</t>
        </is>
      </c>
      <c r="C72" s="17" t="n"/>
      <c r="D72" s="16" t="n"/>
      <c r="E72" s="16" t="n"/>
      <c r="F72" s="16" t="n"/>
      <c r="G72" s="16" t="n"/>
      <c r="H72" s="16" t="n"/>
      <c r="I72" s="16" t="n"/>
      <c r="J72" s="16" t="n"/>
      <c r="K72" s="16" t="n"/>
      <c r="L72" s="16" t="n"/>
      <c r="M72" s="16" t="n"/>
      <c r="N72" s="16" t="n"/>
      <c r="O72" s="17" t="n"/>
      <c r="P72" s="16" t="n"/>
      <c r="Q72" s="16" t="n"/>
      <c r="R72" s="16" t="n"/>
      <c r="S72" s="16" t="n"/>
      <c r="T72" s="16" t="n"/>
      <c r="U72" s="16" t="n"/>
      <c r="V72" s="16" t="n"/>
      <c r="W72" s="16" t="n"/>
      <c r="X72" s="16" t="n"/>
      <c r="Y72" s="17" t="n"/>
      <c r="Z72" s="16" t="n"/>
      <c r="AA72" s="16" t="n"/>
      <c r="AB72" s="16" t="n"/>
      <c r="AC72" s="16" t="n"/>
    </row>
    <row r="73">
      <c r="A73" s="18" t="inlineStr">
        <is>
          <t>현금및현금성자산</t>
        </is>
      </c>
      <c r="B73" s="10" t="n"/>
      <c r="C73" s="19" t="n"/>
      <c r="D73" s="20" t="n"/>
      <c r="E73" s="20" t="n"/>
      <c r="F73" s="20" t="n"/>
      <c r="G73" s="20" t="n"/>
      <c r="H73" s="20" t="n"/>
      <c r="I73" s="20" t="n"/>
      <c r="J73" s="20" t="n"/>
      <c r="K73" s="20" t="n"/>
      <c r="L73" s="20" t="n"/>
      <c r="M73" s="20" t="n"/>
      <c r="N73" s="20" t="n"/>
      <c r="O73" s="19" t="n"/>
      <c r="P73" s="20" t="n"/>
      <c r="Q73" s="20" t="n"/>
      <c r="R73" s="20" t="n"/>
      <c r="S73" s="20" t="n"/>
      <c r="T73" s="20" t="n"/>
      <c r="U73" s="20" t="n"/>
      <c r="V73" s="20" t="n"/>
      <c r="W73" s="20" t="n"/>
      <c r="X73" s="20">
        <f>'재무상태표'!G6</f>
        <v/>
      </c>
      <c r="Y73" s="19">
        <f>'재무상태표'!G6</f>
        <v/>
      </c>
      <c r="Z73" s="20">
        <f>'재무상태표'!G6</f>
        <v/>
      </c>
      <c r="AA73" s="20">
        <f>'재무상태표'!G6</f>
        <v/>
      </c>
      <c r="AB73" s="20">
        <f>'재무상태표'!G6</f>
        <v/>
      </c>
      <c r="AC73" s="20">
        <f>'재무상태표'!G6</f>
        <v/>
      </c>
    </row>
    <row r="74">
      <c r="A74" s="18" t="inlineStr">
        <is>
          <t>단기금융상품</t>
        </is>
      </c>
      <c r="B74" s="10" t="n"/>
      <c r="C74" s="19" t="n"/>
      <c r="D74" s="20" t="n"/>
      <c r="E74" s="20" t="n"/>
      <c r="F74" s="20" t="n"/>
      <c r="G74" s="20" t="n"/>
      <c r="H74" s="20" t="n"/>
      <c r="I74" s="20" t="n"/>
      <c r="J74" s="20" t="n"/>
      <c r="K74" s="20" t="n"/>
      <c r="L74" s="20" t="n"/>
      <c r="M74" s="20" t="n"/>
      <c r="N74" s="20" t="n"/>
      <c r="O74" s="19" t="n"/>
      <c r="P74" s="20" t="n"/>
      <c r="Q74" s="20" t="n"/>
      <c r="R74" s="20" t="n"/>
      <c r="S74" s="20" t="n"/>
      <c r="T74" s="20" t="n"/>
      <c r="U74" s="20" t="n"/>
      <c r="V74" s="20" t="n"/>
      <c r="W74" s="20" t="n"/>
      <c r="X74" s="20">
        <f>'재무상태표'!G7</f>
        <v/>
      </c>
      <c r="Y74" s="19">
        <f>'재무상태표'!G7</f>
        <v/>
      </c>
      <c r="Z74" s="20">
        <f>'재무상태표'!G7</f>
        <v/>
      </c>
      <c r="AA74" s="20">
        <f>'재무상태표'!G7</f>
        <v/>
      </c>
      <c r="AB74" s="20">
        <f>'재무상태표'!G7</f>
        <v/>
      </c>
      <c r="AC74" s="20">
        <f>'재무상태표'!G7</f>
        <v/>
      </c>
    </row>
    <row r="75">
      <c r="A75" s="18" t="inlineStr">
        <is>
          <t>투자부동산</t>
        </is>
      </c>
      <c r="B75" s="10" t="n"/>
      <c r="C75" s="19" t="n"/>
      <c r="D75" s="20" t="n"/>
      <c r="E75" s="20" t="n"/>
      <c r="F75" s="20" t="n"/>
      <c r="G75" s="20" t="n"/>
      <c r="H75" s="20" t="n"/>
      <c r="I75" s="20" t="n"/>
      <c r="J75" s="20" t="n"/>
      <c r="K75" s="20" t="n"/>
      <c r="L75" s="20" t="n"/>
      <c r="M75" s="20" t="n"/>
      <c r="N75" s="20" t="n"/>
      <c r="O75" s="19" t="n"/>
      <c r="P75" s="20" t="n"/>
      <c r="Q75" s="20" t="n"/>
      <c r="R75" s="20" t="n"/>
      <c r="S75" s="20" t="n"/>
      <c r="T75" s="20" t="n"/>
      <c r="U75" s="20" t="n"/>
      <c r="V75" s="20" t="n"/>
      <c r="W75" s="20" t="n"/>
      <c r="X75" s="20">
        <f>'재무상태표'!G14</f>
        <v/>
      </c>
      <c r="Y75" s="19">
        <f>'재무상태표'!G14</f>
        <v/>
      </c>
      <c r="Z75" s="20">
        <f>'재무상태표'!G14</f>
        <v/>
      </c>
      <c r="AA75" s="20">
        <f>'재무상태표'!G14</f>
        <v/>
      </c>
      <c r="AB75" s="20">
        <f>'재무상태표'!G14</f>
        <v/>
      </c>
      <c r="AC75" s="20">
        <f>'재무상태표'!G14</f>
        <v/>
      </c>
    </row>
    <row r="76">
      <c r="A76" s="18" t="inlineStr">
        <is>
          <t>지배자본</t>
        </is>
      </c>
      <c r="B76" s="10" t="n"/>
      <c r="C76" s="19" t="n"/>
      <c r="D76" s="20" t="n"/>
      <c r="E76" s="20" t="n"/>
      <c r="F76" s="20" t="n"/>
      <c r="G76" s="20" t="n"/>
      <c r="H76" s="20" t="n"/>
      <c r="I76" s="20" t="n"/>
      <c r="J76" s="20" t="n"/>
      <c r="K76" s="20" t="n"/>
      <c r="L76" s="20" t="n"/>
      <c r="M76" s="20" t="n"/>
      <c r="N76" s="20" t="n"/>
      <c r="O76" s="19" t="n"/>
      <c r="P76" s="20" t="n"/>
      <c r="Q76" s="20" t="n"/>
      <c r="R76" s="20" t="n"/>
      <c r="S76" s="20" t="n"/>
      <c r="T76" s="20" t="n"/>
      <c r="U76" s="20" t="n"/>
      <c r="V76" s="20" t="n"/>
      <c r="W76" s="20" t="n"/>
      <c r="X76" s="20">
        <f>'재무상태표'!G31</f>
        <v/>
      </c>
      <c r="Y76" s="19">
        <f>'재무상태표'!G31</f>
        <v/>
      </c>
      <c r="Z76" s="20">
        <f>'재무상태표'!G31</f>
        <v/>
      </c>
      <c r="AA76" s="20">
        <f>'재무상태표'!G31</f>
        <v/>
      </c>
      <c r="AB76" s="20">
        <f>'재무상태표'!G31</f>
        <v/>
      </c>
      <c r="AC76" s="20">
        <f>'재무상태표'!G31</f>
        <v/>
      </c>
    </row>
    <row r="77">
      <c r="A77" s="18" t="inlineStr">
        <is>
          <t>부채</t>
        </is>
      </c>
      <c r="B77" s="10" t="n"/>
      <c r="C77" s="19" t="n"/>
      <c r="D77" s="20" t="n"/>
      <c r="E77" s="20" t="n"/>
      <c r="F77" s="20" t="n"/>
      <c r="G77" s="20" t="n"/>
      <c r="H77" s="20" t="n"/>
      <c r="I77" s="20" t="n"/>
      <c r="J77" s="20" t="n"/>
      <c r="K77" s="20" t="n"/>
      <c r="L77" s="20" t="n"/>
      <c r="M77" s="20" t="n"/>
      <c r="N77" s="20" t="n"/>
      <c r="O77" s="19" t="n"/>
      <c r="P77" s="20" t="n"/>
      <c r="Q77" s="20" t="n"/>
      <c r="R77" s="20" t="n"/>
      <c r="S77" s="20" t="n"/>
      <c r="T77" s="20" t="n"/>
      <c r="U77" s="20" t="n"/>
      <c r="V77" s="20" t="n"/>
      <c r="W77" s="20" t="n"/>
      <c r="X77" s="20">
        <f>'재무상태표'!G27</f>
        <v/>
      </c>
      <c r="Y77" s="19">
        <f>'재무상태표'!G27</f>
        <v/>
      </c>
      <c r="Z77" s="20">
        <f>'재무상태표'!G27</f>
        <v/>
      </c>
      <c r="AA77" s="20">
        <f>'재무상태표'!G27</f>
        <v/>
      </c>
      <c r="AB77" s="20">
        <f>'재무상태표'!G27</f>
        <v/>
      </c>
      <c r="AC77" s="20">
        <f>'재무상태표'!G27</f>
        <v/>
      </c>
    </row>
    <row r="78">
      <c r="A78" s="13" t="inlineStr">
        <is>
          <t>부채비율</t>
        </is>
      </c>
      <c r="B78" s="10" t="n"/>
      <c r="C78" s="14" t="n"/>
      <c r="D78" s="15" t="n"/>
      <c r="E78" s="15" t="n"/>
      <c r="F78" s="15" t="n"/>
      <c r="G78" s="15" t="n"/>
      <c r="H78" s="15" t="n"/>
      <c r="I78" s="15" t="n"/>
      <c r="J78" s="15" t="n"/>
      <c r="K78" s="15" t="n"/>
      <c r="L78" s="15" t="n"/>
      <c r="M78" s="15" t="n"/>
      <c r="N78" s="15" t="n"/>
      <c r="O78" s="14" t="n"/>
      <c r="P78" s="15" t="n"/>
      <c r="Q78" s="15" t="n"/>
      <c r="R78" s="15" t="n"/>
      <c r="S78" s="15" t="n"/>
      <c r="T78" s="15" t="n"/>
      <c r="U78" s="15" t="n"/>
      <c r="V78" s="15" t="n"/>
      <c r="W78" s="15" t="n"/>
      <c r="X78" s="15">
        <f>IF(OR(X77="",X76=""),"",IFERROR(X77/X76,""))</f>
        <v/>
      </c>
      <c r="Y78" s="14">
        <f>IF(OR(Y77="",Y76=""),"",IFERROR(Y77/Y76,""))</f>
        <v/>
      </c>
      <c r="Z78" s="15">
        <f>IF(OR(Z77="",Z76=""),"",IFERROR(Z77/Z76,""))</f>
        <v/>
      </c>
      <c r="AA78" s="15">
        <f>IF(OR(AA77="",AA76=""),"",IFERROR(AA77/AA76,""))</f>
        <v/>
      </c>
      <c r="AB78" s="15">
        <f>IF(OR(AB77="",AB76=""),"",IFERROR(AB77/AB76,""))</f>
        <v/>
      </c>
      <c r="AC78" s="15">
        <f>IF(OR(AC77="",AC76=""),"",IFERROR(AC77/AC76,""))</f>
        <v/>
      </c>
    </row>
    <row r="79">
      <c r="A79" s="9" t="inlineStr">
        <is>
          <t>자산가치</t>
        </is>
      </c>
      <c r="B79" s="10" t="inlineStr">
        <is>
          <t>현금+단기금융+투자부동산</t>
        </is>
      </c>
      <c r="C79" s="11" t="n"/>
      <c r="D79" s="12" t="n"/>
      <c r="E79" s="12" t="n"/>
      <c r="F79" s="12" t="n"/>
      <c r="G79" s="12" t="n"/>
      <c r="H79" s="12" t="n"/>
      <c r="I79" s="12" t="n"/>
      <c r="J79" s="12" t="n"/>
      <c r="K79" s="12" t="n"/>
      <c r="L79" s="12" t="n"/>
      <c r="M79" s="12" t="n"/>
      <c r="N79" s="12" t="n"/>
      <c r="O79" s="11" t="n"/>
      <c r="P79" s="12" t="n"/>
      <c r="Q79" s="12" t="n"/>
      <c r="R79" s="12" t="n"/>
      <c r="S79" s="12" t="n"/>
      <c r="T79" s="12" t="n"/>
      <c r="U79" s="12" t="n"/>
      <c r="V79" s="12" t="n"/>
      <c r="W79" s="12" t="n"/>
      <c r="X79" s="12">
        <f>SUM(X73,X74,X75)</f>
        <v/>
      </c>
      <c r="Y79" s="11">
        <f>SUM(Y73,Y74,Y75)</f>
        <v/>
      </c>
      <c r="Z79" s="12">
        <f>SUM(Z73,Z74,Z75)</f>
        <v/>
      </c>
      <c r="AA79" s="12">
        <f>SUM(AA73,AA74,AA75)</f>
        <v/>
      </c>
      <c r="AB79" s="12">
        <f>SUM(AB73,AB74,AB75)</f>
        <v/>
      </c>
      <c r="AC79" s="12">
        <f>SUM(AC73,AC74,AC75)</f>
        <v/>
      </c>
    </row>
    <row r="80">
      <c r="A80" s="16" t="inlineStr">
        <is>
          <t>기업가치 산출</t>
        </is>
      </c>
      <c r="B80" s="16" t="n"/>
      <c r="C80" s="17" t="n"/>
      <c r="D80" s="16" t="n"/>
      <c r="E80" s="16" t="n"/>
      <c r="F80" s="16" t="n"/>
      <c r="G80" s="16" t="n"/>
      <c r="H80" s="16" t="n"/>
      <c r="I80" s="16" t="n"/>
      <c r="J80" s="16" t="n"/>
      <c r="K80" s="16" t="n"/>
      <c r="L80" s="16" t="n"/>
      <c r="M80" s="16" t="n"/>
      <c r="N80" s="16" t="n"/>
      <c r="O80" s="17" t="n"/>
      <c r="P80" s="16" t="n"/>
      <c r="Q80" s="16" t="n"/>
      <c r="R80" s="16" t="n"/>
      <c r="S80" s="16" t="n"/>
      <c r="T80" s="16" t="n"/>
      <c r="U80" s="16" t="n"/>
      <c r="V80" s="16" t="n"/>
      <c r="W80" s="16" t="n"/>
      <c r="X80" s="16" t="n"/>
      <c r="Y80" s="17" t="n"/>
      <c r="Z80" s="16" t="n"/>
      <c r="AA80" s="16" t="n"/>
      <c r="AB80" s="16" t="n"/>
      <c r="AC80" s="16" t="n"/>
    </row>
    <row r="81">
      <c r="A81" s="18" t="inlineStr">
        <is>
          <t>목표 시가총액 (P/E)</t>
        </is>
      </c>
      <c r="B81" s="10" t="inlineStr">
        <is>
          <t>지배순이익 × Target P/E</t>
        </is>
      </c>
      <c r="C81" s="19" t="n"/>
      <c r="D81" s="20" t="n"/>
      <c r="E81" s="20" t="n"/>
      <c r="F81" s="20" t="n"/>
      <c r="G81" s="20" t="n"/>
      <c r="H81" s="20" t="n"/>
      <c r="I81" s="20" t="n"/>
      <c r="J81" s="20" t="n"/>
      <c r="K81" s="20" t="n"/>
      <c r="L81" s="20" t="n"/>
      <c r="M81" s="20" t="n"/>
      <c r="N81" s="20" t="n"/>
      <c r="O81" s="19" t="n"/>
      <c r="P81" s="20" t="n"/>
      <c r="Q81" s="20" t="n"/>
      <c r="R81" s="20" t="n"/>
      <c r="S81" s="20" t="n"/>
      <c r="T81" s="20" t="n"/>
      <c r="U81" s="20" t="n"/>
      <c r="V81" s="20" t="n"/>
      <c r="W81" s="20" t="n"/>
      <c r="X81" s="20" t="n"/>
      <c r="Y81" s="19">
        <f>IF(OR(Y58="",Y68=""),"",IFERROR(Y58*Y68,""))</f>
        <v/>
      </c>
      <c r="Z81" s="20">
        <f>IF(OR(Z58="",Z68=""),"",IFERROR(Z58*Z68,""))</f>
        <v/>
      </c>
      <c r="AA81" s="20">
        <f>IF(OR(AA58="",AA68=""),"",IFERROR(AA58*AA68,""))</f>
        <v/>
      </c>
      <c r="AB81" s="20">
        <f>IF(OR(AB58="",AB68=""),"",IFERROR(AB58*AB68,""))</f>
        <v/>
      </c>
      <c r="AC81" s="20">
        <f>IF(OR(AC58="",AC68=""),"",IFERROR(AC58*AC68,""))</f>
        <v/>
      </c>
    </row>
    <row r="82">
      <c r="A82" s="9" t="inlineStr">
        <is>
          <t>기업가치</t>
        </is>
      </c>
      <c r="B82" s="10" t="inlineStr">
        <is>
          <t>목표시총 + 자산가치</t>
        </is>
      </c>
      <c r="C82" s="11" t="n"/>
      <c r="D82" s="12" t="n"/>
      <c r="E82" s="12" t="n"/>
      <c r="F82" s="12" t="n"/>
      <c r="G82" s="12" t="n"/>
      <c r="H82" s="12" t="n"/>
      <c r="I82" s="12" t="n"/>
      <c r="J82" s="12" t="n"/>
      <c r="K82" s="12" t="n"/>
      <c r="L82" s="12" t="n"/>
      <c r="M82" s="12" t="n"/>
      <c r="N82" s="12" t="n"/>
      <c r="O82" s="11" t="n"/>
      <c r="P82" s="12" t="n"/>
      <c r="Q82" s="12" t="n"/>
      <c r="R82" s="12" t="n"/>
      <c r="S82" s="12" t="n"/>
      <c r="T82" s="12" t="n"/>
      <c r="U82" s="12" t="n"/>
      <c r="V82" s="12" t="n"/>
      <c r="W82" s="12" t="n"/>
      <c r="X82" s="12" t="n"/>
      <c r="Y82" s="11">
        <f>IF(OR(Y81=""),"",IFERROR(Y81+Y79,""))</f>
        <v/>
      </c>
      <c r="Z82" s="12">
        <f>IF(OR(Z81=""),"",IFERROR(Z81+Z79,""))</f>
        <v/>
      </c>
      <c r="AA82" s="12">
        <f>IF(OR(AA81=""),"",IFERROR(AA81+AA79,""))</f>
        <v/>
      </c>
      <c r="AB82" s="12">
        <f>IF(OR(AB81=""),"",IFERROR(AB81+AB79,""))</f>
        <v/>
      </c>
      <c r="AC82" s="12">
        <f>IF(OR(AC81=""),"",IFERROR(AC81+AC79,""))</f>
        <v/>
      </c>
    </row>
    <row r="83">
      <c r="A83" s="18" t="inlineStr">
        <is>
          <t>현재 시가총액</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t="n"/>
      <c r="Y83" s="19">
        <f>$B$64</f>
        <v/>
      </c>
      <c r="Z83" s="20">
        <f>$B$64</f>
        <v/>
      </c>
      <c r="AA83" s="20">
        <f>$B$64</f>
        <v/>
      </c>
      <c r="AB83" s="20">
        <f>$B$64</f>
        <v/>
      </c>
      <c r="AC83" s="20">
        <f>$B$64</f>
        <v/>
      </c>
    </row>
    <row r="84">
      <c r="A84" s="18" t="inlineStr">
        <is>
          <t>상승여력</t>
        </is>
      </c>
      <c r="B84" s="10" t="n"/>
      <c r="C84" s="35" t="n"/>
      <c r="D84" s="36" t="n"/>
      <c r="E84" s="36" t="n"/>
      <c r="F84" s="36" t="n"/>
      <c r="G84" s="36" t="n"/>
      <c r="H84" s="36" t="n"/>
      <c r="I84" s="36" t="n"/>
      <c r="J84" s="36" t="n"/>
      <c r="K84" s="36" t="n"/>
      <c r="L84" s="36" t="n"/>
      <c r="M84" s="36" t="n"/>
      <c r="N84" s="36" t="n"/>
      <c r="O84" s="35" t="n"/>
      <c r="P84" s="36" t="n"/>
      <c r="Q84" s="36" t="n"/>
      <c r="R84" s="36" t="n"/>
      <c r="S84" s="36" t="n"/>
      <c r="T84" s="36" t="n"/>
      <c r="U84" s="36" t="n"/>
      <c r="V84" s="36" t="n"/>
      <c r="W84" s="36" t="n"/>
      <c r="X84" s="36" t="n"/>
      <c r="Y84" s="37">
        <f>IF(OR(Y82="",Y83=""),"",IFERROR(Y82/Y83-1,""))</f>
        <v/>
      </c>
      <c r="Z84" s="38">
        <f>IF(OR(Z82="",Z83=""),"",IFERROR(Z82/Z83-1,""))</f>
        <v/>
      </c>
      <c r="AA84" s="38">
        <f>IF(OR(AA82="",AA83=""),"",IFERROR(AA82/AA83-1,""))</f>
        <v/>
      </c>
      <c r="AB84" s="38">
        <f>IF(OR(AB82="",AB83=""),"",IFERROR(AB82/AB83-1,""))</f>
        <v/>
      </c>
      <c r="AC84" s="38">
        <f>IF(OR(AC82="",AC83=""),"",IFERROR(AC82/AC83-1,""))</f>
        <v/>
      </c>
    </row>
    <row r="85">
      <c r="C85" s="39" t="n"/>
      <c r="O85" s="39" t="n"/>
      <c r="Y85" s="39" t="n"/>
    </row>
    <row r="86">
      <c r="A86" s="40" t="inlineStr">
        <is>
          <t>출처</t>
        </is>
      </c>
      <c r="C86" s="39" t="n"/>
      <c r="O86" s="39" t="n"/>
      <c r="Y86" s="39" t="n"/>
    </row>
    <row r="87">
      <c r="A87" s="41" t="inlineStr">
        <is>
          <t>결산단신 XBRL(TDnet·JPX 보관소) — 쓴 문서는 '출처' 시트</t>
        </is>
      </c>
      <c r="C87" s="39" t="n"/>
      <c r="O87" s="39" t="n"/>
      <c r="Y87" s="39" t="n"/>
    </row>
    <row r="88">
      <c r="A88" s="41" t="inlineStr">
        <is>
          <t>분기 = 누계에서 앞 분기를 뺀 3개월 값</t>
        </is>
      </c>
      <c r="C88" s="39" t="n"/>
      <c r="O88" s="39" t="n"/>
      <c r="Y88" s="39" t="n"/>
    </row>
    <row r="89">
      <c r="A89" s="41" t="inlineStr">
        <is>
          <t>주가: 야후 파이낸스 일봉</t>
        </is>
      </c>
      <c r="C89" s="39" t="n"/>
      <c r="O89" s="39" t="n"/>
      <c r="Y89" s="39" t="n"/>
    </row>
    <row r="91">
      <c r="A91" s="16" t="inlineStr">
        <is>
          <t>손익계산서 · 전 항목</t>
        </is>
      </c>
      <c r="B91" s="42" t="inlineStr">
        <is>
          <t>분기 = 3개월 단독</t>
        </is>
      </c>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row>
    <row r="92">
      <c r="A92" s="5" t="inlineStr">
        <is>
          <t>항목</t>
        </is>
      </c>
      <c r="B92" s="5" t="inlineStr">
        <is>
          <t>참고</t>
        </is>
      </c>
      <c r="C92" s="5" t="inlineStr">
        <is>
          <t>2023.4Q</t>
        </is>
      </c>
      <c r="D92" s="5" t="inlineStr">
        <is>
          <t>2024.1Q</t>
        </is>
      </c>
      <c r="E92" s="5" t="inlineStr">
        <is>
          <t>2024.2Q</t>
        </is>
      </c>
      <c r="F92" s="5" t="inlineStr">
        <is>
          <t>2024.3Q</t>
        </is>
      </c>
      <c r="G92" s="5" t="inlineStr">
        <is>
          <t>2024.4Q</t>
        </is>
      </c>
      <c r="H92" s="5" t="inlineStr">
        <is>
          <t>2025.1Q</t>
        </is>
      </c>
      <c r="I92" s="5" t="inlineStr">
        <is>
          <t>2025.2Q</t>
        </is>
      </c>
      <c r="J92" s="5" t="inlineStr">
        <is>
          <t>2025.3Q</t>
        </is>
      </c>
      <c r="K92" s="5" t="inlineStr">
        <is>
          <t>2025.4Q</t>
        </is>
      </c>
      <c r="L92" s="5" t="inlineStr">
        <is>
          <t>2026.1Q</t>
        </is>
      </c>
      <c r="M92" s="5" t="inlineStr">
        <is>
          <t>2026.2Q</t>
        </is>
      </c>
      <c r="N92" s="5" t="inlineStr">
        <is>
          <t>2026.3Q</t>
        </is>
      </c>
      <c r="O92" s="5" t="inlineStr">
        <is>
          <t>2016</t>
        </is>
      </c>
      <c r="P92" s="5" t="inlineStr">
        <is>
          <t>2017</t>
        </is>
      </c>
      <c r="Q92" s="5" t="inlineStr">
        <is>
          <t>2018</t>
        </is>
      </c>
      <c r="R92" s="5" t="inlineStr">
        <is>
          <t>2019</t>
        </is>
      </c>
      <c r="S92" s="5" t="inlineStr">
        <is>
          <t>2020</t>
        </is>
      </c>
      <c r="T92" s="5" t="inlineStr">
        <is>
          <t>2021</t>
        </is>
      </c>
      <c r="U92" s="5" t="inlineStr">
        <is>
          <t>2022</t>
        </is>
      </c>
      <c r="V92" s="5" t="inlineStr">
        <is>
          <t>2023</t>
        </is>
      </c>
      <c r="W92" s="5" t="inlineStr">
        <is>
          <t>2024</t>
        </is>
      </c>
      <c r="X92" s="5" t="inlineStr">
        <is>
          <t>2025</t>
        </is>
      </c>
      <c r="Y92" s="5" t="inlineStr">
        <is>
          <t>2026(MW)</t>
        </is>
      </c>
      <c r="Z92" s="5" t="inlineStr">
        <is>
          <t>2027(MW)</t>
        </is>
      </c>
      <c r="AA92" s="5" t="inlineStr">
        <is>
          <t>2028(MW)</t>
        </is>
      </c>
      <c r="AB92" s="5" t="inlineStr">
        <is>
          <t>2029(MW)</t>
        </is>
      </c>
      <c r="AC92" s="5" t="inlineStr">
        <is>
          <t>2030(MW)</t>
        </is>
      </c>
    </row>
    <row r="93">
      <c r="A93" s="9" t="inlineStr">
        <is>
          <t>매출수익</t>
        </is>
      </c>
      <c r="C93" s="12" t="n">
        <v>159289</v>
      </c>
      <c r="D93" s="12" t="n">
        <v>132851</v>
      </c>
      <c r="E93" s="12" t="n">
        <v>130866</v>
      </c>
      <c r="F93" s="12" t="n">
        <v>124243</v>
      </c>
      <c r="G93" s="12" t="n">
        <v>152985</v>
      </c>
      <c r="H93" s="12" t="n">
        <v>114010</v>
      </c>
      <c r="I93" s="12" t="n">
        <v>113477</v>
      </c>
      <c r="J93" s="12" t="n">
        <v>115642</v>
      </c>
      <c r="K93" s="12" t="n">
        <v>171847</v>
      </c>
      <c r="L93" s="12" t="n">
        <v>135531</v>
      </c>
      <c r="M93" s="12" t="n">
        <v>141198</v>
      </c>
      <c r="N93" s="12" t="n">
        <v>145977</v>
      </c>
      <c r="U93" s="12" t="n">
        <v>141739</v>
      </c>
      <c r="V93" s="12" t="n">
        <v>159289</v>
      </c>
      <c r="W93" s="12" t="n">
        <v>152985</v>
      </c>
      <c r="X93" s="12" t="n">
        <v>171847</v>
      </c>
    </row>
    <row r="94">
      <c r="A94" s="43" t="inlineStr">
        <is>
          <t>YoY</t>
        </is>
      </c>
      <c r="B94" s="3" t="inlineStr">
        <is>
          <t>전년 같은 분기·전년 대비</t>
        </is>
      </c>
      <c r="G94" s="15">
        <f>IF(OR(G93="",C93=""),"",IF(C93&lt;=0,"",IFERROR(G93/C93-1,"")))</f>
        <v/>
      </c>
      <c r="H94" s="15">
        <f>IF(OR(H93="",D93=""),"",IF(D93&lt;=0,"",IFERROR(H93/D93-1,"")))</f>
        <v/>
      </c>
      <c r="I94" s="15">
        <f>IF(OR(I93="",E93=""),"",IF(E93&lt;=0,"",IFERROR(I93/E93-1,"")))</f>
        <v/>
      </c>
      <c r="J94" s="15">
        <f>IF(OR(J93="",F93=""),"",IF(F93&lt;=0,"",IFERROR(J93/F93-1,"")))</f>
        <v/>
      </c>
      <c r="K94" s="15">
        <f>IF(OR(K93="",G93=""),"",IF(G93&lt;=0,"",IFERROR(K93/G93-1,"")))</f>
        <v/>
      </c>
      <c r="L94" s="15">
        <f>IF(OR(L93="",H93=""),"",IF(H93&lt;=0,"",IFERROR(L93/H93-1,"")))</f>
        <v/>
      </c>
      <c r="M94" s="15">
        <f>IF(OR(M93="",I93=""),"",IF(I93&lt;=0,"",IFERROR(M93/I93-1,"")))</f>
        <v/>
      </c>
      <c r="N94" s="15">
        <f>IF(OR(N93="",J93=""),"",IF(J93&lt;=0,"",IFERROR(N93/J93-1,"")))</f>
        <v/>
      </c>
      <c r="U94" s="15">
        <f>IF(OR(U93="",T93=""),"",IF(T93&lt;=0,"",IFERROR(U93/T93-1,"")))</f>
        <v/>
      </c>
      <c r="V94" s="15">
        <f>IF(OR(V93="",U93=""),"",IF(U93&lt;=0,"",IFERROR(V93/U93-1,"")))</f>
        <v/>
      </c>
      <c r="W94" s="15">
        <f>IF(OR(W93="",V93=""),"",IF(V93&lt;=0,"",IFERROR(W93/V93-1,"")))</f>
        <v/>
      </c>
      <c r="X94" s="15">
        <f>IF(OR(X93="",W93=""),"",IF(W93&lt;=0,"",IFERROR(X93/W93-1,"")))</f>
        <v/>
      </c>
    </row>
    <row r="95">
      <c r="A95" s="18" t="inlineStr">
        <is>
          <t>기타수익</t>
        </is>
      </c>
      <c r="C95" s="20" t="n">
        <v>453</v>
      </c>
      <c r="D95" s="20" t="n">
        <v>5832</v>
      </c>
      <c r="E95" s="20" t="n">
        <v>3552</v>
      </c>
      <c r="F95" s="20" t="n">
        <v>-1079</v>
      </c>
      <c r="G95" s="20" t="n">
        <v>5757</v>
      </c>
      <c r="H95" s="20" t="n">
        <v>2087</v>
      </c>
      <c r="I95" s="20" t="n">
        <v>2036</v>
      </c>
      <c r="J95" s="20" t="n">
        <v>3363</v>
      </c>
      <c r="K95" s="20" t="n">
        <v>4733</v>
      </c>
      <c r="L95" s="20" t="n">
        <v>1790</v>
      </c>
      <c r="M95" s="20" t="n">
        <v>2368</v>
      </c>
      <c r="N95" s="20" t="n">
        <v>1495</v>
      </c>
      <c r="U95" s="20" t="n">
        <v>1714</v>
      </c>
      <c r="V95" s="20" t="n">
        <v>453</v>
      </c>
      <c r="W95" s="20" t="n">
        <v>5757</v>
      </c>
      <c r="X95" s="20" t="n">
        <v>4733</v>
      </c>
    </row>
    <row r="96">
      <c r="A96" s="9" t="inlineStr">
        <is>
          <t>수익 합계</t>
        </is>
      </c>
      <c r="C96" s="12" t="n">
        <v>159743</v>
      </c>
      <c r="D96" s="12" t="n">
        <v>138684</v>
      </c>
      <c r="E96" s="12" t="n">
        <v>134417</v>
      </c>
      <c r="F96" s="12" t="n">
        <v>123165</v>
      </c>
      <c r="G96" s="12" t="n">
        <v>158741</v>
      </c>
      <c r="H96" s="12" t="n">
        <v>116097</v>
      </c>
      <c r="I96" s="12" t="n">
        <v>115514</v>
      </c>
      <c r="J96" s="12" t="n">
        <v>119005</v>
      </c>
      <c r="K96" s="12" t="n">
        <v>176580</v>
      </c>
      <c r="L96" s="12" t="n">
        <v>137322</v>
      </c>
      <c r="M96" s="12" t="n">
        <v>143565</v>
      </c>
      <c r="N96" s="12" t="n">
        <v>147473</v>
      </c>
      <c r="U96" s="12" t="n">
        <v>143452</v>
      </c>
      <c r="V96" s="12" t="n">
        <v>159743</v>
      </c>
      <c r="W96" s="12" t="n">
        <v>158741</v>
      </c>
      <c r="X96" s="12" t="n">
        <v>176580</v>
      </c>
    </row>
    <row r="97">
      <c r="A97" s="43" t="inlineStr">
        <is>
          <t>YoY</t>
        </is>
      </c>
      <c r="B97" s="3" t="inlineStr">
        <is>
          <t>전년 같은 분기·전년 대비</t>
        </is>
      </c>
      <c r="G97" s="15">
        <f>IF(OR(G96="",C96=""),"",IF(C96&lt;=0,"",IFERROR(G96/C96-1,"")))</f>
        <v/>
      </c>
      <c r="H97" s="15">
        <f>IF(OR(H96="",D96=""),"",IF(D96&lt;=0,"",IFERROR(H96/D96-1,"")))</f>
        <v/>
      </c>
      <c r="I97" s="15">
        <f>IF(OR(I96="",E96=""),"",IF(E96&lt;=0,"",IFERROR(I96/E96-1,"")))</f>
        <v/>
      </c>
      <c r="J97" s="15">
        <f>IF(OR(J96="",F96=""),"",IF(F96&lt;=0,"",IFERROR(J96/F96-1,"")))</f>
        <v/>
      </c>
      <c r="K97" s="15">
        <f>IF(OR(K96="",G96=""),"",IF(G96&lt;=0,"",IFERROR(K96/G96-1,"")))</f>
        <v/>
      </c>
      <c r="L97" s="15">
        <f>IF(OR(L96="",H96=""),"",IF(H96&lt;=0,"",IFERROR(L96/H96-1,"")))</f>
        <v/>
      </c>
      <c r="M97" s="15">
        <f>IF(OR(M96="",I96=""),"",IF(I96&lt;=0,"",IFERROR(M96/I96-1,"")))</f>
        <v/>
      </c>
      <c r="N97" s="15">
        <f>IF(OR(N96="",J96=""),"",IF(J96&lt;=0,"",IFERROR(N96/J96-1,"")))</f>
        <v/>
      </c>
      <c r="U97" s="15">
        <f>IF(OR(U96="",T96=""),"",IF(T96&lt;=0,"",IFERROR(U96/T96-1,"")))</f>
        <v/>
      </c>
      <c r="V97" s="15">
        <f>IF(OR(V96="",U96=""),"",IF(U96&lt;=0,"",IFERROR(V96/U96-1,"")))</f>
        <v/>
      </c>
      <c r="W97" s="15">
        <f>IF(OR(W96="",V96=""),"",IF(V96&lt;=0,"",IFERROR(W96/V96-1,"")))</f>
        <v/>
      </c>
      <c r="X97" s="15">
        <f>IF(OR(X96="",W96=""),"",IF(W96&lt;=0,"",IFERROR(X96/W96-1,"")))</f>
        <v/>
      </c>
    </row>
    <row r="98">
      <c r="A98" s="18" t="inlineStr">
        <is>
          <t>상품·제품·재공품 증감</t>
        </is>
      </c>
      <c r="D98" s="20" t="n">
        <v>-750</v>
      </c>
      <c r="E98" s="20" t="n">
        <v>-3197</v>
      </c>
      <c r="F98" s="20" t="n">
        <v>5103</v>
      </c>
      <c r="H98" s="20" t="n">
        <v>960</v>
      </c>
      <c r="I98" s="20" t="n">
        <v>1029</v>
      </c>
      <c r="J98" s="20" t="n">
        <v>-11103</v>
      </c>
      <c r="L98" s="20" t="n">
        <v>-13610</v>
      </c>
      <c r="M98" s="20" t="n">
        <v>2048</v>
      </c>
      <c r="N98" s="20" t="n">
        <v>-5484</v>
      </c>
    </row>
    <row r="99">
      <c r="A99" s="18" t="inlineStr">
        <is>
          <t>Raw Materials And Consumables Used</t>
        </is>
      </c>
      <c r="C99" s="20" t="n">
        <v>61803</v>
      </c>
      <c r="D99" s="20" t="n">
        <v>54710</v>
      </c>
      <c r="E99" s="20" t="n">
        <v>52194</v>
      </c>
      <c r="F99" s="20" t="n">
        <v>40592</v>
      </c>
      <c r="G99" s="20" t="n">
        <v>48133</v>
      </c>
      <c r="H99" s="20" t="n">
        <v>41109</v>
      </c>
      <c r="I99" s="20" t="n">
        <v>37601</v>
      </c>
      <c r="J99" s="20" t="n">
        <v>49845</v>
      </c>
      <c r="K99" s="20" t="n">
        <v>64949</v>
      </c>
      <c r="L99" s="20" t="n">
        <v>64487</v>
      </c>
      <c r="M99" s="20" t="n">
        <v>47701</v>
      </c>
      <c r="N99" s="20" t="n">
        <v>57705</v>
      </c>
      <c r="U99" s="20" t="n">
        <v>56996</v>
      </c>
      <c r="V99" s="20" t="n">
        <v>61803</v>
      </c>
      <c r="W99" s="20" t="n">
        <v>48133</v>
      </c>
      <c r="X99" s="20" t="n">
        <v>64949</v>
      </c>
    </row>
    <row r="100">
      <c r="A100" s="18" t="inlineStr">
        <is>
          <t>인건비</t>
        </is>
      </c>
      <c r="C100" s="20" t="n">
        <v>45252</v>
      </c>
      <c r="D100" s="20" t="n">
        <v>44507</v>
      </c>
      <c r="E100" s="20" t="n">
        <v>44958</v>
      </c>
      <c r="F100" s="20" t="n">
        <v>41782</v>
      </c>
      <c r="G100" s="20" t="n">
        <v>48240</v>
      </c>
      <c r="H100" s="20" t="n">
        <v>43670</v>
      </c>
      <c r="I100" s="20" t="n">
        <v>44658</v>
      </c>
      <c r="J100" s="20" t="n">
        <v>44693</v>
      </c>
      <c r="K100" s="20" t="n">
        <v>56350</v>
      </c>
      <c r="L100" s="20" t="n">
        <v>49748</v>
      </c>
      <c r="M100" s="20" t="n">
        <v>51528</v>
      </c>
      <c r="N100" s="20" t="n">
        <v>51229</v>
      </c>
      <c r="U100" s="20" t="n">
        <v>37498</v>
      </c>
      <c r="V100" s="20" t="n">
        <v>45252</v>
      </c>
      <c r="W100" s="20" t="n">
        <v>48240</v>
      </c>
      <c r="X100" s="20" t="n">
        <v>56350</v>
      </c>
    </row>
    <row r="101">
      <c r="A101" s="18" t="inlineStr">
        <is>
          <t>감가상각비 및 상각비</t>
        </is>
      </c>
      <c r="C101" s="20" t="n">
        <v>7195</v>
      </c>
      <c r="D101" s="20" t="n">
        <v>7386</v>
      </c>
      <c r="E101" s="20" t="n">
        <v>7797</v>
      </c>
      <c r="F101" s="20" t="n">
        <v>7811</v>
      </c>
      <c r="G101" s="20" t="n">
        <v>8500</v>
      </c>
      <c r="H101" s="20" t="n">
        <v>8134</v>
      </c>
      <c r="I101" s="20" t="n">
        <v>8340</v>
      </c>
      <c r="J101" s="20" t="n">
        <v>8527</v>
      </c>
      <c r="K101" s="20" t="n">
        <v>9613</v>
      </c>
      <c r="L101" s="20" t="n">
        <v>9113</v>
      </c>
      <c r="M101" s="20" t="n">
        <v>9414</v>
      </c>
      <c r="N101" s="20" t="n">
        <v>9472</v>
      </c>
      <c r="U101" s="20" t="n">
        <v>6591</v>
      </c>
      <c r="V101" s="20" t="n">
        <v>7195</v>
      </c>
      <c r="W101" s="20" t="n">
        <v>8500</v>
      </c>
      <c r="X101" s="20" t="n">
        <v>9613</v>
      </c>
    </row>
    <row r="102">
      <c r="A102" s="18" t="inlineStr">
        <is>
          <t>기타비용</t>
        </is>
      </c>
      <c r="C102" s="20" t="n">
        <v>26059</v>
      </c>
      <c r="D102" s="20" t="n">
        <v>20332</v>
      </c>
      <c r="E102" s="20" t="n">
        <v>21039</v>
      </c>
      <c r="F102" s="20" t="n">
        <v>22037</v>
      </c>
      <c r="G102" s="20" t="n">
        <v>24296</v>
      </c>
      <c r="H102" s="20" t="n">
        <v>20405</v>
      </c>
      <c r="I102" s="20" t="n">
        <v>19193</v>
      </c>
      <c r="J102" s="20" t="n">
        <v>22018</v>
      </c>
      <c r="K102" s="20" t="n">
        <v>28151</v>
      </c>
      <c r="L102" s="20" t="n">
        <v>24166</v>
      </c>
      <c r="M102" s="20" t="n">
        <v>26979</v>
      </c>
      <c r="N102" s="20" t="n">
        <v>26987</v>
      </c>
      <c r="U102" s="20" t="n">
        <v>25125</v>
      </c>
      <c r="V102" s="20" t="n">
        <v>26059</v>
      </c>
      <c r="W102" s="20" t="n">
        <v>24296</v>
      </c>
      <c r="X102" s="20" t="n">
        <v>28151</v>
      </c>
    </row>
    <row r="103">
      <c r="A103" s="18" t="inlineStr">
        <is>
          <t>비용 합계</t>
        </is>
      </c>
      <c r="D103" s="20" t="n">
        <v>126187</v>
      </c>
      <c r="E103" s="20" t="n">
        <v>122791</v>
      </c>
      <c r="F103" s="20" t="n">
        <v>117326</v>
      </c>
      <c r="H103" s="20" t="n">
        <v>114280</v>
      </c>
      <c r="I103" s="20" t="n">
        <v>110821</v>
      </c>
      <c r="J103" s="20" t="n">
        <v>113979</v>
      </c>
      <c r="L103" s="20" t="n">
        <v>133905</v>
      </c>
      <c r="M103" s="20" t="n">
        <v>137671</v>
      </c>
      <c r="N103" s="20" t="n">
        <v>139908</v>
      </c>
    </row>
    <row r="104">
      <c r="A104" s="18" t="inlineStr">
        <is>
          <t>영업이익</t>
        </is>
      </c>
      <c r="C104" s="20" t="n">
        <v>19684</v>
      </c>
      <c r="D104" s="20" t="n">
        <v>12497</v>
      </c>
      <c r="E104" s="20" t="n">
        <v>11626</v>
      </c>
      <c r="F104" s="20" t="n">
        <v>5838</v>
      </c>
      <c r="G104" s="20" t="n">
        <v>13765</v>
      </c>
      <c r="H104" s="20" t="n">
        <v>1817</v>
      </c>
      <c r="I104" s="20" t="n">
        <v>4692</v>
      </c>
      <c r="J104" s="20" t="n">
        <v>5027</v>
      </c>
      <c r="K104" s="20" t="n">
        <v>7438</v>
      </c>
      <c r="L104" s="20" t="n">
        <v>3417</v>
      </c>
      <c r="M104" s="20" t="n">
        <v>5894</v>
      </c>
      <c r="N104" s="20" t="n">
        <v>7565</v>
      </c>
      <c r="U104" s="20" t="n">
        <v>14458</v>
      </c>
      <c r="V104" s="20" t="n">
        <v>19684</v>
      </c>
      <c r="W104" s="20" t="n">
        <v>13765</v>
      </c>
      <c r="X104" s="20" t="n">
        <v>7438</v>
      </c>
    </row>
    <row r="105">
      <c r="A105" s="43" t="inlineStr">
        <is>
          <t>OPM</t>
        </is>
      </c>
      <c r="B105" s="3" t="inlineStr">
        <is>
          <t>영업이익 ÷ 매출</t>
        </is>
      </c>
      <c r="C105" s="15">
        <f>IF(OR(C104="",C93=""),"",IF(C93&lt;=0,"",IFERROR(C104/C93,"")))</f>
        <v/>
      </c>
      <c r="D105" s="15">
        <f>IF(OR(D104="",D93=""),"",IF(D93&lt;=0,"",IFERROR(D104/D93,"")))</f>
        <v/>
      </c>
      <c r="E105" s="15">
        <f>IF(OR(E104="",E93=""),"",IF(E93&lt;=0,"",IFERROR(E104/E93,"")))</f>
        <v/>
      </c>
      <c r="F105" s="15">
        <f>IF(OR(F104="",F93=""),"",IF(F93&lt;=0,"",IFERROR(F104/F93,"")))</f>
        <v/>
      </c>
      <c r="G105" s="15">
        <f>IF(OR(G104="",G93=""),"",IF(G93&lt;=0,"",IFERROR(G104/G93,"")))</f>
        <v/>
      </c>
      <c r="H105" s="15">
        <f>IF(OR(H104="",H93=""),"",IF(H93&lt;=0,"",IFERROR(H104/H93,"")))</f>
        <v/>
      </c>
      <c r="I105" s="15">
        <f>IF(OR(I104="",I93=""),"",IF(I93&lt;=0,"",IFERROR(I104/I93,"")))</f>
        <v/>
      </c>
      <c r="J105" s="15">
        <f>IF(OR(J104="",J93=""),"",IF(J93&lt;=0,"",IFERROR(J104/J93,"")))</f>
        <v/>
      </c>
      <c r="K105" s="15">
        <f>IF(OR(K104="",K93=""),"",IF(K93&lt;=0,"",IFERROR(K104/K93,"")))</f>
        <v/>
      </c>
      <c r="L105" s="15">
        <f>IF(OR(L104="",L93=""),"",IF(L93&lt;=0,"",IFERROR(L104/L93,"")))</f>
        <v/>
      </c>
      <c r="M105" s="15">
        <f>IF(OR(M104="",M93=""),"",IF(M93&lt;=0,"",IFERROR(M104/M93,"")))</f>
        <v/>
      </c>
      <c r="N105" s="15">
        <f>IF(OR(N104="",N93=""),"",IF(N93&lt;=0,"",IFERROR(N104/N93,"")))</f>
        <v/>
      </c>
      <c r="U105" s="15">
        <f>IF(OR(U104="",U93=""),"",IF(U93&lt;=0,"",IFERROR(U104/U93,"")))</f>
        <v/>
      </c>
      <c r="V105" s="15">
        <f>IF(OR(V104="",V93=""),"",IF(V93&lt;=0,"",IFERROR(V104/V93,"")))</f>
        <v/>
      </c>
      <c r="W105" s="15">
        <f>IF(OR(W104="",W93=""),"",IF(W93&lt;=0,"",IFERROR(W104/W93,"")))</f>
        <v/>
      </c>
      <c r="X105" s="15">
        <f>IF(OR(X104="",X93=""),"",IF(X93&lt;=0,"",IFERROR(X104/X93,"")))</f>
        <v/>
      </c>
    </row>
    <row r="106">
      <c r="A106" s="43" t="inlineStr">
        <is>
          <t>YoY</t>
        </is>
      </c>
      <c r="B106" s="3" t="inlineStr">
        <is>
          <t>전년 같은 분기·전년 대비</t>
        </is>
      </c>
      <c r="G106" s="15">
        <f>IF(OR(G104="",C104=""),"",IF(C104&lt;=0,"",IFERROR(G104/C104-1,"")))</f>
        <v/>
      </c>
      <c r="H106" s="15">
        <f>IF(OR(H104="",D104=""),"",IF(D104&lt;=0,"",IFERROR(H104/D104-1,"")))</f>
        <v/>
      </c>
      <c r="I106" s="15">
        <f>IF(OR(I104="",E104=""),"",IF(E104&lt;=0,"",IFERROR(I104/E104-1,"")))</f>
        <v/>
      </c>
      <c r="J106" s="15">
        <f>IF(OR(J104="",F104=""),"",IF(F104&lt;=0,"",IFERROR(J104/F104-1,"")))</f>
        <v/>
      </c>
      <c r="K106" s="15">
        <f>IF(OR(K104="",G104=""),"",IF(G104&lt;=0,"",IFERROR(K104/G104-1,"")))</f>
        <v/>
      </c>
      <c r="L106" s="15">
        <f>IF(OR(L104="",H104=""),"",IF(H104&lt;=0,"",IFERROR(L104/H104-1,"")))</f>
        <v/>
      </c>
      <c r="M106" s="15">
        <f>IF(OR(M104="",I104=""),"",IF(I104&lt;=0,"",IFERROR(M104/I104-1,"")))</f>
        <v/>
      </c>
      <c r="N106" s="15">
        <f>IF(OR(N104="",J104=""),"",IF(J104&lt;=0,"",IFERROR(N104/J104-1,"")))</f>
        <v/>
      </c>
      <c r="U106" s="15">
        <f>IF(OR(U104="",T104=""),"",IF(T104&lt;=0,"",IFERROR(U104/T104-1,"")))</f>
        <v/>
      </c>
      <c r="V106" s="15">
        <f>IF(OR(V104="",U104=""),"",IF(U104&lt;=0,"",IFERROR(V104/U104-1,"")))</f>
        <v/>
      </c>
      <c r="W106" s="15">
        <f>IF(OR(W104="",V104=""),"",IF(V104&lt;=0,"",IFERROR(W104/V104-1,"")))</f>
        <v/>
      </c>
      <c r="X106" s="15">
        <f>IF(OR(X104="",W104=""),"",IF(W104&lt;=0,"",IFERROR(X104/W104-1,"")))</f>
        <v/>
      </c>
    </row>
    <row r="107">
      <c r="A107" s="18" t="inlineStr">
        <is>
          <t>금융수익</t>
        </is>
      </c>
      <c r="C107" s="20" t="n">
        <v>44</v>
      </c>
      <c r="D107" s="20" t="n">
        <v>445</v>
      </c>
      <c r="E107" s="20" t="n">
        <v>412</v>
      </c>
      <c r="F107" s="20" t="n">
        <v>98</v>
      </c>
      <c r="G107" s="20" t="n">
        <v>535</v>
      </c>
      <c r="H107" s="20" t="n">
        <v>181</v>
      </c>
      <c r="I107" s="20" t="n">
        <v>198</v>
      </c>
      <c r="J107" s="20" t="n">
        <v>319</v>
      </c>
      <c r="K107" s="20" t="n">
        <v>54</v>
      </c>
      <c r="L107" s="20" t="n">
        <v>173</v>
      </c>
      <c r="M107" s="20" t="n">
        <v>104</v>
      </c>
      <c r="N107" s="20" t="n">
        <v>375</v>
      </c>
      <c r="U107" s="20" t="n">
        <v>226</v>
      </c>
      <c r="V107" s="20" t="n">
        <v>44</v>
      </c>
      <c r="W107" s="20" t="n">
        <v>535</v>
      </c>
      <c r="X107" s="20" t="n">
        <v>54</v>
      </c>
    </row>
    <row r="108">
      <c r="A108" s="43" t="inlineStr">
        <is>
          <t>YoY</t>
        </is>
      </c>
      <c r="B108" s="3" t="inlineStr">
        <is>
          <t>전년 같은 분기·전년 대비</t>
        </is>
      </c>
      <c r="G108" s="15">
        <f>IF(OR(G107="",C107=""),"",IF(G107*C107&lt;=0,"",IFERROR(G107/C107-1,"")))</f>
        <v/>
      </c>
      <c r="H108" s="15">
        <f>IF(OR(H107="",D107=""),"",IF(H107*D107&lt;=0,"",IFERROR(H107/D107-1,"")))</f>
        <v/>
      </c>
      <c r="I108" s="15">
        <f>IF(OR(I107="",E107=""),"",IF(I107*E107&lt;=0,"",IFERROR(I107/E107-1,"")))</f>
        <v/>
      </c>
      <c r="J108" s="15">
        <f>IF(OR(J107="",F107=""),"",IF(J107*F107&lt;=0,"",IFERROR(J107/F107-1,"")))</f>
        <v/>
      </c>
      <c r="K108" s="15">
        <f>IF(OR(K107="",G107=""),"",IF(K107*G107&lt;=0,"",IFERROR(K107/G107-1,"")))</f>
        <v/>
      </c>
      <c r="L108" s="15">
        <f>IF(OR(L107="",H107=""),"",IF(L107*H107&lt;=0,"",IFERROR(L107/H107-1,"")))</f>
        <v/>
      </c>
      <c r="M108" s="15">
        <f>IF(OR(M107="",I107=""),"",IF(M107*I107&lt;=0,"",IFERROR(M107/I107-1,"")))</f>
        <v/>
      </c>
      <c r="N108" s="15">
        <f>IF(OR(N107="",J107=""),"",IF(N107*J107&lt;=0,"",IFERROR(N107/J107-1,"")))</f>
        <v/>
      </c>
      <c r="U108" s="15">
        <f>IF(OR(U107="",T107=""),"",IF(U107*T107&lt;=0,"",IFERROR(U107/T107-1,"")))</f>
        <v/>
      </c>
      <c r="V108" s="15">
        <f>IF(OR(V107="",U107=""),"",IF(V107*U107&lt;=0,"",IFERROR(V107/U107-1,"")))</f>
        <v/>
      </c>
      <c r="W108" s="15">
        <f>IF(OR(W107="",V107=""),"",IF(W107*V107&lt;=0,"",IFERROR(W107/V107-1,"")))</f>
        <v/>
      </c>
      <c r="X108" s="15">
        <f>IF(OR(X107="",W107=""),"",IF(X107*W107&lt;=0,"",IFERROR(X107/W107-1,"")))</f>
        <v/>
      </c>
    </row>
    <row r="109">
      <c r="A109" s="18" t="inlineStr">
        <is>
          <t>금융비용</t>
        </is>
      </c>
      <c r="C109" s="20" t="n">
        <v>2065</v>
      </c>
      <c r="D109" s="20" t="n">
        <v>1993</v>
      </c>
      <c r="E109" s="20" t="n">
        <v>1642</v>
      </c>
      <c r="F109" s="20" t="n">
        <v>2306</v>
      </c>
      <c r="G109" s="20" t="n">
        <v>2413</v>
      </c>
      <c r="H109" s="20" t="n">
        <v>1734</v>
      </c>
      <c r="I109" s="20" t="n">
        <v>1995</v>
      </c>
      <c r="J109" s="20" t="n">
        <v>1771</v>
      </c>
      <c r="K109" s="20" t="n">
        <v>2991</v>
      </c>
      <c r="L109" s="20" t="n">
        <v>1822</v>
      </c>
      <c r="M109" s="20" t="n">
        <v>2249</v>
      </c>
      <c r="N109" s="20" t="n">
        <v>1985</v>
      </c>
      <c r="U109" s="20" t="n">
        <v>2370</v>
      </c>
      <c r="V109" s="20" t="n">
        <v>2065</v>
      </c>
      <c r="W109" s="20" t="n">
        <v>2413</v>
      </c>
      <c r="X109" s="20" t="n">
        <v>2991</v>
      </c>
    </row>
    <row r="110">
      <c r="A110" s="43" t="inlineStr">
        <is>
          <t>YoY</t>
        </is>
      </c>
      <c r="B110" s="3" t="inlineStr">
        <is>
          <t>전년 같은 분기·전년 대비</t>
        </is>
      </c>
      <c r="G110" s="15">
        <f>IF(OR(G109="",C109=""),"",IF(G109*C109&lt;=0,"",IFERROR(G109/C109-1,"")))</f>
        <v/>
      </c>
      <c r="H110" s="15">
        <f>IF(OR(H109="",D109=""),"",IF(H109*D109&lt;=0,"",IFERROR(H109/D109-1,"")))</f>
        <v/>
      </c>
      <c r="I110" s="15">
        <f>IF(OR(I109="",E109=""),"",IF(I109*E109&lt;=0,"",IFERROR(I109/E109-1,"")))</f>
        <v/>
      </c>
      <c r="J110" s="15">
        <f>IF(OR(J109="",F109=""),"",IF(J109*F109&lt;=0,"",IFERROR(J109/F109-1,"")))</f>
        <v/>
      </c>
      <c r="K110" s="15">
        <f>IF(OR(K109="",G109=""),"",IF(K109*G109&lt;=0,"",IFERROR(K109/G109-1,"")))</f>
        <v/>
      </c>
      <c r="L110" s="15">
        <f>IF(OR(L109="",H109=""),"",IF(L109*H109&lt;=0,"",IFERROR(L109/H109-1,"")))</f>
        <v/>
      </c>
      <c r="M110" s="15">
        <f>IF(OR(M109="",I109=""),"",IF(M109*I109&lt;=0,"",IFERROR(M109/I109-1,"")))</f>
        <v/>
      </c>
      <c r="N110" s="15">
        <f>IF(OR(N109="",J109=""),"",IF(N109*J109&lt;=0,"",IFERROR(N109/J109-1,"")))</f>
        <v/>
      </c>
      <c r="U110" s="15">
        <f>IF(OR(U109="",T109=""),"",IF(U109*T109&lt;=0,"",IFERROR(U109/T109-1,"")))</f>
        <v/>
      </c>
      <c r="V110" s="15">
        <f>IF(OR(V109="",U109=""),"",IF(V109*U109&lt;=0,"",IFERROR(V109/U109-1,"")))</f>
        <v/>
      </c>
      <c r="W110" s="15">
        <f>IF(OR(W109="",V109=""),"",IF(W109*V109&lt;=0,"",IFERROR(W109/V109-1,"")))</f>
        <v/>
      </c>
      <c r="X110" s="15">
        <f>IF(OR(X109="",W109=""),"",IF(X109*W109&lt;=0,"",IFERROR(X109/W109-1,"")))</f>
        <v/>
      </c>
    </row>
    <row r="111">
      <c r="A111" s="18" t="inlineStr">
        <is>
          <t>지분법이익</t>
        </is>
      </c>
      <c r="C111" s="20" t="n">
        <v>-7</v>
      </c>
      <c r="D111" s="20" t="n">
        <v>44</v>
      </c>
      <c r="E111" s="20" t="n">
        <v>51</v>
      </c>
      <c r="F111" s="20" t="n">
        <v>141</v>
      </c>
      <c r="G111" s="20" t="n">
        <v>40</v>
      </c>
      <c r="H111" s="20" t="n">
        <v>109</v>
      </c>
      <c r="I111" s="20" t="n">
        <v>-1</v>
      </c>
      <c r="J111" s="20" t="n">
        <v>-12</v>
      </c>
      <c r="K111" s="20" t="n">
        <v>-400</v>
      </c>
      <c r="L111" s="20" t="n">
        <v>201</v>
      </c>
      <c r="M111" s="20" t="n">
        <v>214</v>
      </c>
      <c r="N111" s="20" t="n">
        <v>52</v>
      </c>
      <c r="U111" s="20" t="n">
        <v>-96</v>
      </c>
      <c r="V111" s="20" t="n">
        <v>-7</v>
      </c>
      <c r="W111" s="20" t="n">
        <v>40</v>
      </c>
      <c r="X111" s="20" t="n">
        <v>-400</v>
      </c>
    </row>
    <row r="112">
      <c r="A112" s="9" t="inlineStr">
        <is>
          <t>Profit Loss Before Tax</t>
        </is>
      </c>
      <c r="C112" s="12" t="n">
        <v>17657</v>
      </c>
      <c r="D112" s="12" t="n">
        <v>10993</v>
      </c>
      <c r="E112" s="12" t="n">
        <v>10448</v>
      </c>
      <c r="F112" s="12" t="n">
        <v>3771</v>
      </c>
      <c r="G112" s="12" t="n">
        <v>11926</v>
      </c>
      <c r="H112" s="12" t="n">
        <v>373</v>
      </c>
      <c r="I112" s="12" t="n">
        <v>2895</v>
      </c>
      <c r="J112" s="12" t="n">
        <v>3562</v>
      </c>
      <c r="K112" s="12" t="n">
        <v>4100</v>
      </c>
      <c r="L112" s="12" t="n">
        <v>1968</v>
      </c>
      <c r="M112" s="12" t="n">
        <v>3965</v>
      </c>
      <c r="N112" s="12" t="n">
        <v>6006</v>
      </c>
      <c r="U112" s="12" t="n">
        <v>12219</v>
      </c>
      <c r="V112" s="12" t="n">
        <v>17657</v>
      </c>
      <c r="W112" s="12" t="n">
        <v>11926</v>
      </c>
      <c r="X112" s="12" t="n">
        <v>4100</v>
      </c>
    </row>
    <row r="113">
      <c r="A113" s="18" t="inlineStr">
        <is>
          <t>Income Taxes On Continuing Operations</t>
        </is>
      </c>
      <c r="G113" s="20" t="n">
        <v>4710</v>
      </c>
      <c r="K113" s="20" t="n">
        <v>1337</v>
      </c>
      <c r="W113" s="20" t="n">
        <v>4710</v>
      </c>
      <c r="X113" s="20" t="n">
        <v>1337</v>
      </c>
    </row>
    <row r="114">
      <c r="A114" s="9" t="inlineStr">
        <is>
          <t>Profit Loss From Continuing Operations</t>
        </is>
      </c>
      <c r="C114" s="12" t="n">
        <v>12399</v>
      </c>
      <c r="D114" s="12" t="n">
        <v>7978</v>
      </c>
      <c r="E114" s="12" t="n">
        <v>7304</v>
      </c>
      <c r="F114" s="12" t="n">
        <v>554</v>
      </c>
      <c r="G114" s="12" t="n">
        <v>7217</v>
      </c>
      <c r="H114" s="12" t="n">
        <v>230</v>
      </c>
      <c r="I114" s="12" t="n">
        <v>1896</v>
      </c>
      <c r="J114" s="12" t="n">
        <v>2080</v>
      </c>
      <c r="K114" s="12" t="n">
        <v>2763</v>
      </c>
      <c r="V114" s="12" t="n">
        <v>12399</v>
      </c>
      <c r="W114" s="12" t="n">
        <v>7217</v>
      </c>
      <c r="X114" s="12" t="n">
        <v>2763</v>
      </c>
    </row>
    <row r="115">
      <c r="A115" s="18" t="inlineStr">
        <is>
          <t>Profit Before Income Taxes From Discontinued Operations</t>
        </is>
      </c>
      <c r="G115" s="20" t="n">
        <v>42</v>
      </c>
      <c r="K115" s="20" t="n">
        <v>353</v>
      </c>
      <c r="W115" s="20" t="n">
        <v>42</v>
      </c>
      <c r="X115" s="20" t="n">
        <v>353</v>
      </c>
    </row>
    <row r="116">
      <c r="A116" s="18" t="inlineStr">
        <is>
          <t>Income Taxes On Discontinued Operations</t>
        </is>
      </c>
      <c r="G116" s="20" t="n">
        <v>0</v>
      </c>
      <c r="K116" s="20" t="n">
        <v>0</v>
      </c>
      <c r="W116" s="20" t="n">
        <v>0</v>
      </c>
      <c r="X116" s="20" t="n">
        <v>0</v>
      </c>
    </row>
    <row r="117">
      <c r="A117" s="9" t="inlineStr">
        <is>
          <t>Profit Loss From Discontinued Operations</t>
        </is>
      </c>
      <c r="C117" s="12" t="n">
        <v>-1146</v>
      </c>
      <c r="D117" s="12" t="n">
        <v>-14826</v>
      </c>
      <c r="E117" s="12" t="n">
        <v>-302</v>
      </c>
      <c r="F117" s="12" t="n">
        <v>17</v>
      </c>
      <c r="G117" s="12" t="n">
        <v>42</v>
      </c>
      <c r="H117" s="12" t="n">
        <v>0</v>
      </c>
      <c r="I117" s="12" t="n">
        <v>0</v>
      </c>
      <c r="J117" s="12" t="n">
        <v>16875</v>
      </c>
      <c r="K117" s="12" t="n">
        <v>353</v>
      </c>
      <c r="V117" s="12" t="n">
        <v>-1146</v>
      </c>
      <c r="W117" s="12" t="n">
        <v>42</v>
      </c>
      <c r="X117" s="12" t="n">
        <v>353</v>
      </c>
    </row>
    <row r="118">
      <c r="A118" s="18" t="inlineStr">
        <is>
          <t>법인소득세</t>
        </is>
      </c>
      <c r="C118" s="20" t="n">
        <v>5258</v>
      </c>
      <c r="D118" s="20" t="n">
        <v>3015</v>
      </c>
      <c r="E118" s="20" t="n">
        <v>3144</v>
      </c>
      <c r="F118" s="20" t="n">
        <v>3216</v>
      </c>
      <c r="G118" s="20" t="n">
        <v>4710</v>
      </c>
      <c r="H118" s="20" t="n">
        <v>142</v>
      </c>
      <c r="I118" s="20" t="n">
        <v>999</v>
      </c>
      <c r="J118" s="20" t="n">
        <v>1483</v>
      </c>
      <c r="K118" s="20" t="n">
        <v>1337</v>
      </c>
      <c r="L118" s="20" t="n">
        <v>641</v>
      </c>
      <c r="M118" s="20" t="n">
        <v>1131</v>
      </c>
      <c r="N118" s="20" t="n">
        <v>1739</v>
      </c>
      <c r="U118" s="20" t="n">
        <v>3145</v>
      </c>
      <c r="V118" s="20" t="n">
        <v>5258</v>
      </c>
      <c r="W118" s="20" t="n">
        <v>4710</v>
      </c>
      <c r="X118" s="20" t="n">
        <v>1337</v>
      </c>
    </row>
    <row r="119">
      <c r="A119" s="43" t="inlineStr">
        <is>
          <t>YoY</t>
        </is>
      </c>
      <c r="B119" s="3" t="inlineStr">
        <is>
          <t>전년 같은 분기·전년 대비</t>
        </is>
      </c>
      <c r="G119" s="15">
        <f>IF(OR(G118="",C118=""),"",IF(G118*C118&lt;=0,"",IFERROR(G118/C118-1,"")))</f>
        <v/>
      </c>
      <c r="H119" s="15">
        <f>IF(OR(H118="",D118=""),"",IF(H118*D118&lt;=0,"",IFERROR(H118/D118-1,"")))</f>
        <v/>
      </c>
      <c r="I119" s="15">
        <f>IF(OR(I118="",E118=""),"",IF(I118*E118&lt;=0,"",IFERROR(I118/E118-1,"")))</f>
        <v/>
      </c>
      <c r="J119" s="15">
        <f>IF(OR(J118="",F118=""),"",IF(J118*F118&lt;=0,"",IFERROR(J118/F118-1,"")))</f>
        <v/>
      </c>
      <c r="K119" s="15">
        <f>IF(OR(K118="",G118=""),"",IF(K118*G118&lt;=0,"",IFERROR(K118/G118-1,"")))</f>
        <v/>
      </c>
      <c r="L119" s="15">
        <f>IF(OR(L118="",H118=""),"",IF(L118*H118&lt;=0,"",IFERROR(L118/H118-1,"")))</f>
        <v/>
      </c>
      <c r="M119" s="15">
        <f>IF(OR(M118="",I118=""),"",IF(M118*I118&lt;=0,"",IFERROR(M118/I118-1,"")))</f>
        <v/>
      </c>
      <c r="N119" s="15">
        <f>IF(OR(N118="",J118=""),"",IF(N118*J118&lt;=0,"",IFERROR(N118/J118-1,"")))</f>
        <v/>
      </c>
      <c r="U119" s="15">
        <f>IF(OR(U118="",T118=""),"",IF(U118*T118&lt;=0,"",IFERROR(U118/T118-1,"")))</f>
        <v/>
      </c>
      <c r="V119" s="15">
        <f>IF(OR(V118="",U118=""),"",IF(V118*U118&lt;=0,"",IFERROR(V118/U118-1,"")))</f>
        <v/>
      </c>
      <c r="W119" s="15">
        <f>IF(OR(W118="",V118=""),"",IF(W118*V118&lt;=0,"",IFERROR(W118/V118-1,"")))</f>
        <v/>
      </c>
      <c r="X119" s="15">
        <f>IF(OR(X118="",W118=""),"",IF(X118*W118&lt;=0,"",IFERROR(X118/W118-1,"")))</f>
        <v/>
      </c>
    </row>
    <row r="120">
      <c r="A120" s="9" t="inlineStr">
        <is>
          <t>중간이익</t>
        </is>
      </c>
      <c r="C120" s="12" t="n">
        <v>11253</v>
      </c>
      <c r="D120" s="12" t="n">
        <v>-6848</v>
      </c>
      <c r="E120" s="12" t="n">
        <v>7001</v>
      </c>
      <c r="F120" s="12" t="n">
        <v>572</v>
      </c>
      <c r="G120" s="12" t="n">
        <v>7258</v>
      </c>
      <c r="H120" s="12" t="n">
        <v>230</v>
      </c>
      <c r="I120" s="12" t="n">
        <v>1896</v>
      </c>
      <c r="J120" s="12" t="n">
        <v>18955</v>
      </c>
      <c r="K120" s="12" t="n">
        <v>3116</v>
      </c>
      <c r="L120" s="12" t="n">
        <v>1327</v>
      </c>
      <c r="M120" s="12" t="n">
        <v>2834</v>
      </c>
      <c r="N120" s="12" t="n">
        <v>4266</v>
      </c>
      <c r="U120" s="12" t="n">
        <v>9074</v>
      </c>
      <c r="V120" s="12" t="n">
        <v>11253</v>
      </c>
      <c r="W120" s="12" t="n">
        <v>7258</v>
      </c>
      <c r="X120" s="12" t="n">
        <v>3116</v>
      </c>
    </row>
    <row r="121">
      <c r="A121" s="43" t="inlineStr">
        <is>
          <t>YoY</t>
        </is>
      </c>
      <c r="B121" s="3" t="inlineStr">
        <is>
          <t>전년 같은 분기·전년 대비</t>
        </is>
      </c>
      <c r="G121" s="15">
        <f>IF(OR(G120="",C120=""),"",IF(C120&lt;=0,"",IFERROR(G120/C120-1,"")))</f>
        <v/>
      </c>
      <c r="H121" s="15">
        <f>IF(OR(H120="",D120=""),"",IF(D120&lt;=0,"",IFERROR(H120/D120-1,"")))</f>
        <v/>
      </c>
      <c r="I121" s="15">
        <f>IF(OR(I120="",E120=""),"",IF(E120&lt;=0,"",IFERROR(I120/E120-1,"")))</f>
        <v/>
      </c>
      <c r="J121" s="15">
        <f>IF(OR(J120="",F120=""),"",IF(F120&lt;=0,"",IFERROR(J120/F120-1,"")))</f>
        <v/>
      </c>
      <c r="K121" s="15">
        <f>IF(OR(K120="",G120=""),"",IF(G120&lt;=0,"",IFERROR(K120/G120-1,"")))</f>
        <v/>
      </c>
      <c r="L121" s="15">
        <f>IF(OR(L120="",H120=""),"",IF(H120&lt;=0,"",IFERROR(L120/H120-1,"")))</f>
        <v/>
      </c>
      <c r="M121" s="15">
        <f>IF(OR(M120="",I120=""),"",IF(I120&lt;=0,"",IFERROR(M120/I120-1,"")))</f>
        <v/>
      </c>
      <c r="N121" s="15">
        <f>IF(OR(N120="",J120=""),"",IF(J120&lt;=0,"",IFERROR(N120/J120-1,"")))</f>
        <v/>
      </c>
      <c r="U121" s="15">
        <f>IF(OR(U120="",T120=""),"",IF(T120&lt;=0,"",IFERROR(U120/T120-1,"")))</f>
        <v/>
      </c>
      <c r="V121" s="15">
        <f>IF(OR(V120="",U120=""),"",IF(U120&lt;=0,"",IFERROR(V120/U120-1,"")))</f>
        <v/>
      </c>
      <c r="W121" s="15">
        <f>IF(OR(W120="",V120=""),"",IF(V120&lt;=0,"",IFERROR(W120/V120-1,"")))</f>
        <v/>
      </c>
      <c r="X121" s="15">
        <f>IF(OR(X120="",W120=""),"",IF(W120&lt;=0,"",IFERROR(X120/W120-1,"")))</f>
        <v/>
      </c>
    </row>
    <row r="122">
      <c r="A122" s="18" t="inlineStr">
        <is>
          <t>Continuing Operations Basic Earnings Loss Per Share</t>
        </is>
      </c>
      <c r="C122" s="20" t="n">
        <v>9.285000000000002e-05</v>
      </c>
      <c r="D122" s="20" t="n">
        <v>5.942e-05</v>
      </c>
      <c r="E122" s="20" t="n">
        <v>4.759999999999999e-05</v>
      </c>
      <c r="F122" s="20" t="n">
        <v>-1.11e-06</v>
      </c>
      <c r="G122" s="20" t="n">
        <v>4.740000000000001e-05</v>
      </c>
      <c r="H122" s="20" t="n">
        <v>-1.9e-06</v>
      </c>
      <c r="I122" s="20" t="n">
        <v>9.840000000000001e-06</v>
      </c>
      <c r="J122" s="20" t="n">
        <v>1.08e-05</v>
      </c>
      <c r="K122" s="20" t="n">
        <v>1.494e-05</v>
      </c>
      <c r="V122" s="20" t="n">
        <v>9.285000000000002e-05</v>
      </c>
      <c r="W122" s="20" t="n">
        <v>4.740000000000001e-05</v>
      </c>
      <c r="X122" s="20" t="n">
        <v>1.494e-05</v>
      </c>
    </row>
    <row r="123">
      <c r="A123" s="18" t="inlineStr">
        <is>
          <t>Discontinued Operations Basic Earnings Loss Per Share</t>
        </is>
      </c>
      <c r="C123" s="20" t="n">
        <v>-9.129999999999999e-06</v>
      </c>
      <c r="D123" s="20" t="n">
        <v>-0.00011796</v>
      </c>
      <c r="E123" s="20" t="n">
        <v>4.439999999999998e-06</v>
      </c>
      <c r="F123" s="20" t="n">
        <v>2.409999999999996e-06</v>
      </c>
      <c r="G123" s="20" t="n">
        <v>1.400000000000006e-06</v>
      </c>
      <c r="H123" s="20" t="n">
        <v>0</v>
      </c>
      <c r="I123" s="20" t="n">
        <v>0</v>
      </c>
      <c r="J123" s="20" t="n">
        <v>0.00011912</v>
      </c>
      <c r="K123" s="20" t="n">
        <v>2.799999999999997e-06</v>
      </c>
      <c r="V123" s="20" t="n">
        <v>-9.129999999999999e-06</v>
      </c>
      <c r="W123" s="20" t="n">
        <v>1.400000000000006e-06</v>
      </c>
      <c r="X123" s="20" t="n">
        <v>2.799999999999997e-06</v>
      </c>
    </row>
    <row r="124">
      <c r="A124" s="18" t="inlineStr">
        <is>
          <t>기본 주당 분기이익</t>
        </is>
      </c>
      <c r="C124" s="20" t="n">
        <v>8.371000000000004e-05</v>
      </c>
      <c r="D124" s="20" t="n">
        <v>-5.854e-05</v>
      </c>
      <c r="E124" s="20" t="n">
        <v>5.203e-05</v>
      </c>
      <c r="F124" s="20" t="n">
        <v>1.3e-06</v>
      </c>
      <c r="G124" s="20" t="n">
        <v>4.881e-05</v>
      </c>
      <c r="H124" s="20" t="n">
        <v>-1.9e-06</v>
      </c>
      <c r="I124" s="20" t="n">
        <v>9.840000000000001e-06</v>
      </c>
      <c r="J124" s="20" t="n">
        <v>0.00012992</v>
      </c>
      <c r="K124" s="20" t="n">
        <v>1.773999999999998e-05</v>
      </c>
      <c r="L124" s="20" t="n">
        <v>6.650000000000001e-06</v>
      </c>
      <c r="M124" s="20" t="n">
        <v>1.644e-05</v>
      </c>
      <c r="N124" s="20" t="n">
        <v>2.495e-05</v>
      </c>
      <c r="U124" s="20" t="n">
        <v>6.685000000000001e-05</v>
      </c>
      <c r="V124" s="20" t="n">
        <v>8.371000000000004e-05</v>
      </c>
      <c r="W124" s="20" t="n">
        <v>4.881e-05</v>
      </c>
      <c r="X124" s="20" t="n">
        <v>1.773999999999998e-05</v>
      </c>
    </row>
    <row r="125">
      <c r="A125" s="18" t="inlineStr">
        <is>
          <t>Continuing Operations Diluted Earnings Loss Per Share</t>
        </is>
      </c>
      <c r="C125" s="20" t="n">
        <v>9.285000000000002e-05</v>
      </c>
      <c r="D125" s="20" t="n">
        <v>5.296e-05</v>
      </c>
      <c r="E125" s="20" t="n">
        <v>4.804e-05</v>
      </c>
      <c r="F125" s="20" t="n">
        <v>1e-06</v>
      </c>
      <c r="G125" s="20" t="n">
        <v>4.706e-05</v>
      </c>
      <c r="H125" s="20" t="n">
        <v>-1.9e-06</v>
      </c>
      <c r="I125" s="20" t="n">
        <v>9.840000000000001e-06</v>
      </c>
      <c r="J125" s="20" t="n">
        <v>1.08e-05</v>
      </c>
      <c r="K125" s="20" t="n">
        <v>1.494e-05</v>
      </c>
      <c r="V125" s="20" t="n">
        <v>9.285000000000002e-05</v>
      </c>
      <c r="W125" s="20" t="n">
        <v>4.706e-05</v>
      </c>
      <c r="X125" s="20" t="n">
        <v>1.494e-05</v>
      </c>
    </row>
    <row r="126">
      <c r="A126" s="18" t="inlineStr">
        <is>
          <t>Discontinued Operations Diluted Earnings Loss Per Share</t>
        </is>
      </c>
      <c r="C126" s="20" t="n">
        <v>-9.129999999999999e-06</v>
      </c>
      <c r="D126" s="20" t="n">
        <v>-0.00010484</v>
      </c>
      <c r="E126" s="20" t="n">
        <v>-2.140000000000001e-06</v>
      </c>
      <c r="F126" s="20" t="n">
        <v>1.200000000000045e-07</v>
      </c>
      <c r="G126" s="20" t="n">
        <v>2.999999999999972e-07</v>
      </c>
      <c r="H126" s="20" t="n">
        <v>0</v>
      </c>
      <c r="I126" s="20" t="n">
        <v>0</v>
      </c>
      <c r="J126" s="20" t="n">
        <v>0.00011912</v>
      </c>
      <c r="K126" s="20" t="n">
        <v>2.799999999999997e-06</v>
      </c>
      <c r="V126" s="20" t="n">
        <v>-9.129999999999999e-06</v>
      </c>
      <c r="W126" s="20" t="n">
        <v>2.999999999999972e-07</v>
      </c>
      <c r="X126" s="20" t="n">
        <v>2.799999999999997e-06</v>
      </c>
    </row>
    <row r="127">
      <c r="A127" s="18" t="inlineStr">
        <is>
          <t>희석 주당 분기이익</t>
        </is>
      </c>
      <c r="C127" s="20" t="n">
        <v>8.371000000000004e-05</v>
      </c>
      <c r="D127" s="20" t="n">
        <v>-5.188e-05</v>
      </c>
      <c r="E127" s="20" t="n">
        <v>4.59e-05</v>
      </c>
      <c r="F127" s="20" t="n">
        <v>1.12e-06</v>
      </c>
      <c r="G127" s="20" t="n">
        <v>4.737e-05</v>
      </c>
      <c r="H127" s="20" t="n">
        <v>-1.9e-06</v>
      </c>
      <c r="I127" s="20" t="n">
        <v>9.840000000000001e-06</v>
      </c>
      <c r="J127" s="20" t="n">
        <v>0.00012992</v>
      </c>
      <c r="K127" s="20" t="n">
        <v>1.773999999999998e-05</v>
      </c>
      <c r="L127" s="20" t="n">
        <v>6.650000000000001e-06</v>
      </c>
      <c r="M127" s="20" t="n">
        <v>1.644e-05</v>
      </c>
      <c r="N127" s="20" t="n">
        <v>2.495e-05</v>
      </c>
      <c r="U127" s="20" t="n">
        <v>6.685000000000001e-05</v>
      </c>
      <c r="V127" s="20" t="n">
        <v>8.371000000000004e-05</v>
      </c>
      <c r="W127" s="20" t="n">
        <v>4.737e-05</v>
      </c>
      <c r="X127" s="20" t="n">
        <v>1.773999999999998e-05</v>
      </c>
    </row>
    <row r="128">
      <c r="A128" s="9" t="inlineStr">
        <is>
          <t>지배기업 소유주</t>
        </is>
      </c>
      <c r="C128" s="12" t="n">
        <v>10924</v>
      </c>
      <c r="D128" s="12" t="n">
        <v>-6937</v>
      </c>
      <c r="E128" s="12" t="n">
        <v>6914</v>
      </c>
      <c r="F128" s="12" t="n">
        <v>586</v>
      </c>
      <c r="G128" s="12" t="n">
        <v>7137</v>
      </c>
      <c r="H128" s="12" t="n">
        <v>168</v>
      </c>
      <c r="I128" s="12" t="n">
        <v>1892</v>
      </c>
      <c r="J128" s="12" t="n">
        <v>18942</v>
      </c>
      <c r="K128" s="12" t="n">
        <v>3031</v>
      </c>
      <c r="L128" s="12" t="n">
        <v>1488</v>
      </c>
      <c r="M128" s="12" t="n">
        <v>2890</v>
      </c>
      <c r="N128" s="12" t="n">
        <v>4290</v>
      </c>
      <c r="U128" s="12" t="n">
        <v>8830</v>
      </c>
      <c r="V128" s="12" t="n">
        <v>10924</v>
      </c>
      <c r="W128" s="12" t="n">
        <v>7137</v>
      </c>
      <c r="X128" s="12" t="n">
        <v>3031</v>
      </c>
    </row>
    <row r="129">
      <c r="A129" s="43" t="inlineStr">
        <is>
          <t>YoY</t>
        </is>
      </c>
      <c r="B129" s="3" t="inlineStr">
        <is>
          <t>전년 같은 분기·전년 대비</t>
        </is>
      </c>
      <c r="G129" s="15">
        <f>IF(OR(G128="",C128=""),"",IF(C128&lt;=0,"",IFERROR(G128/C128-1,"")))</f>
        <v/>
      </c>
      <c r="H129" s="15">
        <f>IF(OR(H128="",D128=""),"",IF(D128&lt;=0,"",IFERROR(H128/D128-1,"")))</f>
        <v/>
      </c>
      <c r="I129" s="15">
        <f>IF(OR(I128="",E128=""),"",IF(E128&lt;=0,"",IFERROR(I128/E128-1,"")))</f>
        <v/>
      </c>
      <c r="J129" s="15">
        <f>IF(OR(J128="",F128=""),"",IF(F128&lt;=0,"",IFERROR(J128/F128-1,"")))</f>
        <v/>
      </c>
      <c r="K129" s="15">
        <f>IF(OR(K128="",G128=""),"",IF(G128&lt;=0,"",IFERROR(K128/G128-1,"")))</f>
        <v/>
      </c>
      <c r="L129" s="15">
        <f>IF(OR(L128="",H128=""),"",IF(H128&lt;=0,"",IFERROR(L128/H128-1,"")))</f>
        <v/>
      </c>
      <c r="M129" s="15">
        <f>IF(OR(M128="",I128=""),"",IF(I128&lt;=0,"",IFERROR(M128/I128-1,"")))</f>
        <v/>
      </c>
      <c r="N129" s="15">
        <f>IF(OR(N128="",J128=""),"",IF(J128&lt;=0,"",IFERROR(N128/J128-1,"")))</f>
        <v/>
      </c>
      <c r="U129" s="15">
        <f>IF(OR(U128="",T128=""),"",IF(T128&lt;=0,"",IFERROR(U128/T128-1,"")))</f>
        <v/>
      </c>
      <c r="V129" s="15">
        <f>IF(OR(V128="",U128=""),"",IF(U128&lt;=0,"",IFERROR(V128/U128-1,"")))</f>
        <v/>
      </c>
      <c r="W129" s="15">
        <f>IF(OR(W128="",V128=""),"",IF(V128&lt;=0,"",IFERROR(W128/V128-1,"")))</f>
        <v/>
      </c>
      <c r="X129" s="15">
        <f>IF(OR(X128="",W128=""),"",IF(W128&lt;=0,"",IFERROR(X128/W128-1,"")))</f>
        <v/>
      </c>
    </row>
    <row r="130">
      <c r="A130" s="9" t="inlineStr">
        <is>
          <t>비지배지분</t>
        </is>
      </c>
      <c r="C130" s="12" t="n">
        <v>327</v>
      </c>
      <c r="D130" s="12" t="n">
        <v>89</v>
      </c>
      <c r="E130" s="12" t="n">
        <v>88</v>
      </c>
      <c r="F130" s="12" t="n">
        <v>-16</v>
      </c>
      <c r="G130" s="12" t="n">
        <v>122</v>
      </c>
      <c r="H130" s="12" t="n">
        <v>62</v>
      </c>
      <c r="I130" s="12" t="n">
        <v>3</v>
      </c>
      <c r="J130" s="12" t="n">
        <v>14</v>
      </c>
      <c r="K130" s="12" t="n">
        <v>84</v>
      </c>
      <c r="L130" s="12" t="n">
        <v>-161</v>
      </c>
      <c r="M130" s="12" t="n">
        <v>-56</v>
      </c>
      <c r="N130" s="12" t="n">
        <v>-24</v>
      </c>
      <c r="U130" s="12" t="n">
        <v>244</v>
      </c>
      <c r="V130" s="12" t="n">
        <v>327</v>
      </c>
      <c r="W130" s="12" t="n">
        <v>122</v>
      </c>
      <c r="X130" s="12" t="n">
        <v>84</v>
      </c>
    </row>
    <row r="132">
      <c r="A132" s="16" t="inlineStr">
        <is>
          <t>포괄손익 · 전 항목</t>
        </is>
      </c>
      <c r="B132" s="42" t="inlineStr">
        <is>
          <t>분기 = 3개월 단독</t>
        </is>
      </c>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row>
    <row r="133">
      <c r="A133" s="5" t="inlineStr">
        <is>
          <t>항목</t>
        </is>
      </c>
      <c r="B133" s="5" t="inlineStr">
        <is>
          <t>참고</t>
        </is>
      </c>
      <c r="C133" s="5" t="inlineStr">
        <is>
          <t>2023.4Q</t>
        </is>
      </c>
      <c r="D133" s="5" t="inlineStr">
        <is>
          <t>2024.1Q</t>
        </is>
      </c>
      <c r="E133" s="5" t="inlineStr">
        <is>
          <t>2024.2Q</t>
        </is>
      </c>
      <c r="F133" s="5" t="inlineStr">
        <is>
          <t>2024.3Q</t>
        </is>
      </c>
      <c r="G133" s="5" t="inlineStr">
        <is>
          <t>2024.4Q</t>
        </is>
      </c>
      <c r="H133" s="5" t="inlineStr">
        <is>
          <t>2025.1Q</t>
        </is>
      </c>
      <c r="I133" s="5" t="inlineStr">
        <is>
          <t>2025.2Q</t>
        </is>
      </c>
      <c r="J133" s="5" t="inlineStr">
        <is>
          <t>2025.3Q</t>
        </is>
      </c>
      <c r="K133" s="5" t="inlineStr">
        <is>
          <t>2025.4Q</t>
        </is>
      </c>
      <c r="L133" s="5" t="inlineStr">
        <is>
          <t>2026.1Q</t>
        </is>
      </c>
      <c r="M133" s="5" t="inlineStr">
        <is>
          <t>2026.2Q</t>
        </is>
      </c>
      <c r="N133" s="5" t="inlineStr">
        <is>
          <t>2026.3Q</t>
        </is>
      </c>
      <c r="O133" s="5" t="inlineStr">
        <is>
          <t>2016</t>
        </is>
      </c>
      <c r="P133" s="5" t="inlineStr">
        <is>
          <t>2017</t>
        </is>
      </c>
      <c r="Q133" s="5" t="inlineStr">
        <is>
          <t>2018</t>
        </is>
      </c>
      <c r="R133" s="5" t="inlineStr">
        <is>
          <t>2019</t>
        </is>
      </c>
      <c r="S133" s="5" t="inlineStr">
        <is>
          <t>2020</t>
        </is>
      </c>
      <c r="T133" s="5" t="inlineStr">
        <is>
          <t>2021</t>
        </is>
      </c>
      <c r="U133" s="5" t="inlineStr">
        <is>
          <t>2022</t>
        </is>
      </c>
      <c r="V133" s="5" t="inlineStr">
        <is>
          <t>2023</t>
        </is>
      </c>
      <c r="W133" s="5" t="inlineStr">
        <is>
          <t>2024</t>
        </is>
      </c>
      <c r="X133" s="5" t="inlineStr">
        <is>
          <t>2025</t>
        </is>
      </c>
      <c r="Y133" s="5" t="inlineStr">
        <is>
          <t>2026(MW)</t>
        </is>
      </c>
      <c r="Z133" s="5" t="inlineStr">
        <is>
          <t>2027(MW)</t>
        </is>
      </c>
      <c r="AA133" s="5" t="inlineStr">
        <is>
          <t>2028(MW)</t>
        </is>
      </c>
      <c r="AB133" s="5" t="inlineStr">
        <is>
          <t>2029(MW)</t>
        </is>
      </c>
      <c r="AC133" s="5" t="inlineStr">
        <is>
          <t>2030(MW)</t>
        </is>
      </c>
    </row>
    <row r="134">
      <c r="A134" s="9" t="inlineStr">
        <is>
          <t>중간이익</t>
        </is>
      </c>
      <c r="C134" s="12" t="n">
        <v>11253</v>
      </c>
      <c r="D134" s="12" t="n">
        <v>-6848</v>
      </c>
      <c r="E134" s="12" t="n">
        <v>7001</v>
      </c>
      <c r="F134" s="12" t="n">
        <v>572</v>
      </c>
      <c r="G134" s="12" t="n">
        <v>7258</v>
      </c>
      <c r="H134" s="12" t="n">
        <v>230</v>
      </c>
      <c r="I134" s="12" t="n">
        <v>1896</v>
      </c>
      <c r="J134" s="12" t="n">
        <v>18955</v>
      </c>
      <c r="K134" s="12" t="n">
        <v>3116</v>
      </c>
      <c r="L134" s="12" t="n">
        <v>1327</v>
      </c>
      <c r="M134" s="12" t="n">
        <v>2834</v>
      </c>
      <c r="N134" s="12" t="n">
        <v>4266</v>
      </c>
      <c r="U134" s="12" t="n">
        <v>9074</v>
      </c>
      <c r="V134" s="12" t="n">
        <v>11253</v>
      </c>
      <c r="W134" s="12" t="n">
        <v>7258</v>
      </c>
      <c r="X134" s="12" t="n">
        <v>3116</v>
      </c>
    </row>
    <row r="135">
      <c r="A135" s="18" t="inlineStr">
        <is>
          <t>확정급여제도 재측정</t>
        </is>
      </c>
      <c r="C135" s="20" t="n">
        <v>-910</v>
      </c>
      <c r="D135" s="20" t="n">
        <v>48</v>
      </c>
      <c r="E135" s="20" t="n">
        <v>79</v>
      </c>
      <c r="F135" s="20" t="n">
        <v>-85</v>
      </c>
      <c r="G135" s="20" t="n">
        <v>-23</v>
      </c>
      <c r="H135" s="20" t="n">
        <v>392</v>
      </c>
      <c r="I135" s="20" t="n">
        <v>-100</v>
      </c>
      <c r="J135" s="20" t="n">
        <v>-33</v>
      </c>
      <c r="K135" s="20" t="n">
        <v>-427</v>
      </c>
      <c r="L135" s="20" t="n">
        <v>-413</v>
      </c>
      <c r="M135" s="20" t="n">
        <v>798</v>
      </c>
      <c r="N135" s="20" t="n">
        <v>285</v>
      </c>
      <c r="U135" s="20" t="n">
        <v>-742</v>
      </c>
      <c r="V135" s="20" t="n">
        <v>-910</v>
      </c>
      <c r="W135" s="20" t="n">
        <v>-23</v>
      </c>
      <c r="X135" s="20" t="n">
        <v>-427</v>
      </c>
    </row>
    <row r="136">
      <c r="A136" s="18" t="inlineStr">
        <is>
          <t>Net Change In Fair Value Of Equity Instruments Designated As Measured At Fair Value Through Other Comprehensive Income Net Of Tax Items That Will Not Be Reclassified To Profit Or Loss OCI</t>
        </is>
      </c>
      <c r="C136" s="20" t="n">
        <v>-4538</v>
      </c>
      <c r="D136" s="20" t="n">
        <v>1046</v>
      </c>
      <c r="E136" s="20" t="n">
        <v>1112</v>
      </c>
      <c r="F136" s="20" t="n">
        <v>-2140</v>
      </c>
      <c r="G136" s="20" t="n">
        <v>-448</v>
      </c>
      <c r="H136" s="20" t="n">
        <v>1282</v>
      </c>
      <c r="I136" s="20" t="n">
        <v>-699</v>
      </c>
      <c r="J136" s="20" t="n">
        <v>1442</v>
      </c>
      <c r="K136" s="20" t="n">
        <v>3016</v>
      </c>
      <c r="L136" s="20" t="n">
        <v>1647</v>
      </c>
      <c r="M136" s="20" t="n">
        <v>422</v>
      </c>
      <c r="N136" s="20" t="n">
        <v>-2298</v>
      </c>
      <c r="U136" s="20" t="n">
        <v>-1893</v>
      </c>
      <c r="V136" s="20" t="n">
        <v>-4538</v>
      </c>
      <c r="W136" s="20" t="n">
        <v>-448</v>
      </c>
      <c r="X136" s="20" t="n">
        <v>3016</v>
      </c>
    </row>
    <row r="137">
      <c r="A137" s="18" t="inlineStr">
        <is>
          <t>당기손익으로 재분류되지 않는 항목 합계</t>
        </is>
      </c>
      <c r="C137" s="20" t="n">
        <v>-5448</v>
      </c>
      <c r="D137" s="20" t="n">
        <v>1094</v>
      </c>
      <c r="E137" s="20" t="n">
        <v>1191</v>
      </c>
      <c r="F137" s="20" t="n">
        <v>-2224</v>
      </c>
      <c r="G137" s="20" t="n">
        <v>-472</v>
      </c>
      <c r="H137" s="20" t="n">
        <v>1675</v>
      </c>
      <c r="I137" s="20" t="n">
        <v>-800</v>
      </c>
      <c r="J137" s="20" t="n">
        <v>1410</v>
      </c>
      <c r="K137" s="20" t="n">
        <v>2588</v>
      </c>
      <c r="L137" s="20" t="n">
        <v>1233</v>
      </c>
      <c r="M137" s="20" t="n">
        <v>1222</v>
      </c>
      <c r="N137" s="20" t="n">
        <v>-2015</v>
      </c>
      <c r="U137" s="20" t="n">
        <v>-2635</v>
      </c>
      <c r="V137" s="20" t="n">
        <v>-5448</v>
      </c>
      <c r="W137" s="20" t="n">
        <v>-472</v>
      </c>
      <c r="X137" s="20" t="n">
        <v>2588</v>
      </c>
    </row>
    <row r="138">
      <c r="A138" s="18" t="inlineStr">
        <is>
          <t>해외사업 환산차액</t>
        </is>
      </c>
      <c r="C138" s="20" t="n">
        <v>1113</v>
      </c>
      <c r="D138" s="20" t="n">
        <v>13335</v>
      </c>
      <c r="E138" s="20" t="n">
        <v>11745</v>
      </c>
      <c r="F138" s="20" t="n">
        <v>-17180</v>
      </c>
      <c r="G138" s="20" t="n">
        <v>7324</v>
      </c>
      <c r="H138" s="20" t="n">
        <v>-4796</v>
      </c>
      <c r="I138" s="20" t="n">
        <v>4618</v>
      </c>
      <c r="J138" s="20" t="n">
        <v>5029</v>
      </c>
      <c r="K138" s="20" t="n">
        <v>15135</v>
      </c>
      <c r="L138" s="20" t="n">
        <v>72</v>
      </c>
      <c r="M138" s="20" t="n">
        <v>3399</v>
      </c>
      <c r="N138" s="20" t="n">
        <v>-9396</v>
      </c>
      <c r="U138" s="20" t="n">
        <v>-8529</v>
      </c>
      <c r="V138" s="20" t="n">
        <v>1113</v>
      </c>
      <c r="W138" s="20" t="n">
        <v>7324</v>
      </c>
      <c r="X138" s="20" t="n">
        <v>15135</v>
      </c>
    </row>
    <row r="139">
      <c r="A139" s="18" t="inlineStr">
        <is>
          <t>Effective Portion Of Cash Flow Hedges Net Of Tax Items That May Be Reclassified To Profit Or Loss OCI</t>
        </is>
      </c>
      <c r="C139" s="20" t="n">
        <v>140</v>
      </c>
      <c r="D139" s="20" t="n">
        <v>-61</v>
      </c>
      <c r="E139" s="20" t="n">
        <v>-1011</v>
      </c>
      <c r="F139" s="20" t="n">
        <v>1302</v>
      </c>
      <c r="G139" s="20" t="n">
        <v>-197</v>
      </c>
      <c r="H139" s="20" t="n">
        <v>95</v>
      </c>
      <c r="I139" s="20" t="n">
        <v>-281</v>
      </c>
      <c r="J139" s="20" t="n">
        <v>-136</v>
      </c>
      <c r="K139" s="20" t="n">
        <v>-725</v>
      </c>
      <c r="L139" s="20" t="n">
        <v>389</v>
      </c>
      <c r="M139" s="20" t="n">
        <v>411</v>
      </c>
      <c r="N139" s="20" t="n">
        <v>355</v>
      </c>
      <c r="U139" s="20" t="n">
        <v>2205</v>
      </c>
      <c r="V139" s="20" t="n">
        <v>140</v>
      </c>
      <c r="W139" s="20" t="n">
        <v>-197</v>
      </c>
      <c r="X139" s="20" t="n">
        <v>-725</v>
      </c>
    </row>
    <row r="140">
      <c r="A140" s="18" t="inlineStr">
        <is>
          <t>Hyper Inflation Adjustment Net Of Tax Items That May Be Reclassified To Profit Or Loss OCI</t>
        </is>
      </c>
      <c r="C140" s="20" t="n">
        <v>0</v>
      </c>
      <c r="U140" s="20" t="n">
        <v>-440</v>
      </c>
      <c r="V140" s="20" t="n">
        <v>0</v>
      </c>
    </row>
    <row r="141">
      <c r="A141" s="18" t="inlineStr">
        <is>
          <t>Share Of Other Comprehensive Income Of Investments Accounted For Using Equity Method Net Of Tax Items That May Be Reclassified To Profit Or Loss OCI</t>
        </is>
      </c>
      <c r="C141" s="20" t="n">
        <v>-362</v>
      </c>
      <c r="D141" s="20" t="n">
        <v>249</v>
      </c>
      <c r="E141" s="20" t="n">
        <v>342</v>
      </c>
      <c r="F141" s="20" t="n">
        <v>-664</v>
      </c>
      <c r="G141" s="20" t="n">
        <v>963</v>
      </c>
      <c r="H141" s="20" t="n">
        <v>-142</v>
      </c>
      <c r="I141" s="20" t="n">
        <v>66</v>
      </c>
      <c r="J141" s="20" t="n">
        <v>89</v>
      </c>
      <c r="K141" s="20" t="n">
        <v>400</v>
      </c>
      <c r="L141" s="20" t="n">
        <v>152</v>
      </c>
      <c r="M141" s="20" t="n">
        <v>-50</v>
      </c>
      <c r="N141" s="20" t="n">
        <v>111</v>
      </c>
      <c r="U141" s="20" t="n">
        <v>-218</v>
      </c>
      <c r="V141" s="20" t="n">
        <v>-362</v>
      </c>
      <c r="W141" s="20" t="n">
        <v>963</v>
      </c>
      <c r="X141" s="20" t="n">
        <v>400</v>
      </c>
    </row>
    <row r="142">
      <c r="A142" s="18" t="inlineStr">
        <is>
          <t>Total Of Items That May Be Reclassified To Profit Or Loss OCI</t>
        </is>
      </c>
      <c r="C142" s="20" t="n">
        <v>890</v>
      </c>
      <c r="D142" s="20" t="n">
        <v>13524</v>
      </c>
      <c r="E142" s="20" t="n">
        <v>11075</v>
      </c>
      <c r="F142" s="20" t="n">
        <v>-16542</v>
      </c>
      <c r="G142" s="20" t="n">
        <v>8091</v>
      </c>
      <c r="H142" s="20" t="n">
        <v>-4843</v>
      </c>
      <c r="I142" s="20" t="n">
        <v>4403</v>
      </c>
      <c r="J142" s="20" t="n">
        <v>4982</v>
      </c>
      <c r="K142" s="20" t="n">
        <v>14810</v>
      </c>
      <c r="L142" s="20" t="n">
        <v>614</v>
      </c>
      <c r="M142" s="20" t="n">
        <v>3760</v>
      </c>
      <c r="N142" s="20" t="n">
        <v>-8930</v>
      </c>
      <c r="U142" s="20" t="n">
        <v>-6982</v>
      </c>
      <c r="V142" s="20" t="n">
        <v>890</v>
      </c>
      <c r="W142" s="20" t="n">
        <v>8091</v>
      </c>
      <c r="X142" s="20" t="n">
        <v>14810</v>
      </c>
    </row>
    <row r="143">
      <c r="A143" s="18" t="inlineStr">
        <is>
          <t>기타포괄손익 합계</t>
        </is>
      </c>
      <c r="C143" s="20" t="n">
        <v>-4559</v>
      </c>
      <c r="D143" s="20" t="n">
        <v>14618</v>
      </c>
      <c r="E143" s="20" t="n">
        <v>12266</v>
      </c>
      <c r="F143" s="20" t="n">
        <v>-18766</v>
      </c>
      <c r="G143" s="20" t="n">
        <v>7619</v>
      </c>
      <c r="H143" s="20" t="n">
        <v>-3168</v>
      </c>
      <c r="I143" s="20" t="n">
        <v>3603</v>
      </c>
      <c r="J143" s="20" t="n">
        <v>6392</v>
      </c>
      <c r="K143" s="20" t="n">
        <v>17398</v>
      </c>
      <c r="L143" s="20" t="n">
        <v>1848</v>
      </c>
      <c r="M143" s="20" t="n">
        <v>4982</v>
      </c>
      <c r="N143" s="20" t="n">
        <v>-10945</v>
      </c>
      <c r="U143" s="20" t="n">
        <v>-9617</v>
      </c>
      <c r="V143" s="20" t="n">
        <v>-4559</v>
      </c>
      <c r="W143" s="20" t="n">
        <v>7619</v>
      </c>
      <c r="X143" s="20" t="n">
        <v>17398</v>
      </c>
    </row>
    <row r="144">
      <c r="A144" s="9" t="inlineStr">
        <is>
          <t>포괄이익</t>
        </is>
      </c>
      <c r="C144" s="12" t="n">
        <v>6694</v>
      </c>
      <c r="D144" s="12" t="n">
        <v>7770</v>
      </c>
      <c r="E144" s="12" t="n">
        <v>19268</v>
      </c>
      <c r="F144" s="12" t="n">
        <v>-18194</v>
      </c>
      <c r="G144" s="12" t="n">
        <v>14876</v>
      </c>
      <c r="H144" s="12" t="n">
        <v>-2937</v>
      </c>
      <c r="I144" s="12" t="n">
        <v>5498</v>
      </c>
      <c r="J144" s="12" t="n">
        <v>25347</v>
      </c>
      <c r="K144" s="12" t="n">
        <v>20514</v>
      </c>
      <c r="L144" s="12" t="n">
        <v>3175</v>
      </c>
      <c r="M144" s="12" t="n">
        <v>7816</v>
      </c>
      <c r="N144" s="12" t="n">
        <v>-6679</v>
      </c>
      <c r="U144" s="12" t="n">
        <v>-542</v>
      </c>
      <c r="V144" s="12" t="n">
        <v>6694</v>
      </c>
      <c r="W144" s="12" t="n">
        <v>14876</v>
      </c>
      <c r="X144" s="12" t="n">
        <v>20514</v>
      </c>
    </row>
    <row r="145">
      <c r="A145" s="9" t="inlineStr">
        <is>
          <t>지배기업 소유주</t>
        </is>
      </c>
      <c r="C145" s="12" t="n">
        <v>6357</v>
      </c>
      <c r="D145" s="12" t="n">
        <v>7681</v>
      </c>
      <c r="E145" s="12" t="n">
        <v>19180</v>
      </c>
      <c r="F145" s="12" t="n">
        <v>-18179</v>
      </c>
      <c r="G145" s="12" t="n">
        <v>14756</v>
      </c>
      <c r="H145" s="12" t="n">
        <v>-3000</v>
      </c>
      <c r="I145" s="12" t="n">
        <v>5495</v>
      </c>
      <c r="J145" s="12" t="n">
        <v>25334</v>
      </c>
      <c r="K145" s="12" t="n">
        <v>20430</v>
      </c>
      <c r="L145" s="12" t="n">
        <v>3336</v>
      </c>
      <c r="M145" s="12" t="n">
        <v>7872</v>
      </c>
      <c r="N145" s="12" t="n">
        <v>-6655</v>
      </c>
      <c r="U145" s="12" t="n">
        <v>-765</v>
      </c>
      <c r="V145" s="12" t="n">
        <v>6357</v>
      </c>
      <c r="W145" s="12" t="n">
        <v>14756</v>
      </c>
      <c r="X145" s="12" t="n">
        <v>20430</v>
      </c>
    </row>
    <row r="146">
      <c r="A146" s="9" t="inlineStr">
        <is>
          <t>비지배지분</t>
        </is>
      </c>
      <c r="C146" s="12" t="n">
        <v>337</v>
      </c>
      <c r="D146" s="12" t="n">
        <v>89</v>
      </c>
      <c r="E146" s="12" t="n">
        <v>88</v>
      </c>
      <c r="F146" s="12" t="n">
        <v>-16</v>
      </c>
      <c r="G146" s="12" t="n">
        <v>121</v>
      </c>
      <c r="H146" s="12" t="n">
        <v>62</v>
      </c>
      <c r="I146" s="12" t="n">
        <v>3</v>
      </c>
      <c r="J146" s="12" t="n">
        <v>14</v>
      </c>
      <c r="K146" s="12" t="n">
        <v>83</v>
      </c>
      <c r="L146" s="12" t="n">
        <v>-161</v>
      </c>
      <c r="M146" s="12" t="n">
        <v>-56</v>
      </c>
      <c r="N146" s="12" t="n">
        <v>-24</v>
      </c>
      <c r="U146" s="12" t="n">
        <v>223</v>
      </c>
      <c r="V146" s="12" t="n">
        <v>337</v>
      </c>
      <c r="W146" s="12" t="n">
        <v>121</v>
      </c>
      <c r="X146" s="12" t="n">
        <v>83</v>
      </c>
    </row>
    <row r="148">
      <c r="A148" s="16" t="inlineStr">
        <is>
          <t>부문 · 전 항목</t>
        </is>
      </c>
      <c r="B148" s="42" t="inlineStr">
        <is>
          <t>부문 · 항목</t>
        </is>
      </c>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row>
    <row r="149">
      <c r="A149" s="5" t="inlineStr">
        <is>
          <t>항목</t>
        </is>
      </c>
      <c r="B149" s="5" t="inlineStr">
        <is>
          <t>참고</t>
        </is>
      </c>
      <c r="C149" s="5" t="inlineStr">
        <is>
          <t>2023.4Q</t>
        </is>
      </c>
      <c r="D149" s="5" t="inlineStr">
        <is>
          <t>2024.1Q</t>
        </is>
      </c>
      <c r="E149" s="5" t="inlineStr">
        <is>
          <t>2024.2Q</t>
        </is>
      </c>
      <c r="F149" s="5" t="inlineStr">
        <is>
          <t>2024.3Q</t>
        </is>
      </c>
      <c r="G149" s="5" t="inlineStr">
        <is>
          <t>2024.4Q</t>
        </is>
      </c>
      <c r="H149" s="5" t="inlineStr">
        <is>
          <t>2025.1Q</t>
        </is>
      </c>
      <c r="I149" s="5" t="inlineStr">
        <is>
          <t>2025.2Q</t>
        </is>
      </c>
      <c r="J149" s="5" t="inlineStr">
        <is>
          <t>2025.3Q</t>
        </is>
      </c>
      <c r="K149" s="5" t="inlineStr">
        <is>
          <t>2025.4Q</t>
        </is>
      </c>
      <c r="L149" s="5" t="inlineStr">
        <is>
          <t>2026.1Q</t>
        </is>
      </c>
      <c r="M149" s="5" t="inlineStr">
        <is>
          <t>2026.2Q</t>
        </is>
      </c>
      <c r="N149" s="5" t="inlineStr">
        <is>
          <t>2026.3Q</t>
        </is>
      </c>
      <c r="O149" s="5" t="inlineStr">
        <is>
          <t>2016</t>
        </is>
      </c>
      <c r="P149" s="5" t="inlineStr">
        <is>
          <t>2017</t>
        </is>
      </c>
      <c r="Q149" s="5" t="inlineStr">
        <is>
          <t>2018</t>
        </is>
      </c>
      <c r="R149" s="5" t="inlineStr">
        <is>
          <t>2019</t>
        </is>
      </c>
      <c r="S149" s="5" t="inlineStr">
        <is>
          <t>2020</t>
        </is>
      </c>
      <c r="T149" s="5" t="inlineStr">
        <is>
          <t>2021</t>
        </is>
      </c>
      <c r="U149" s="5" t="inlineStr">
        <is>
          <t>2022</t>
        </is>
      </c>
      <c r="V149" s="5" t="inlineStr">
        <is>
          <t>2023</t>
        </is>
      </c>
      <c r="W149" s="5" t="inlineStr">
        <is>
          <t>2024</t>
        </is>
      </c>
      <c r="X149" s="5" t="inlineStr">
        <is>
          <t>2025</t>
        </is>
      </c>
      <c r="Y149" s="5" t="inlineStr">
        <is>
          <t>2026(MW)</t>
        </is>
      </c>
      <c r="Z149" s="5" t="inlineStr">
        <is>
          <t>2027(MW)</t>
        </is>
      </c>
      <c r="AA149" s="5" t="inlineStr">
        <is>
          <t>2028(MW)</t>
        </is>
      </c>
      <c r="AB149" s="5" t="inlineStr">
        <is>
          <t>2029(MW)</t>
        </is>
      </c>
      <c r="AC149" s="5" t="inlineStr">
        <is>
          <t>2030(MW)</t>
        </is>
      </c>
    </row>
    <row r="150">
      <c r="A150" s="18" t="inlineStr">
        <is>
          <t>부문 · 외부 고객 매출수익</t>
        </is>
      </c>
      <c r="D150" s="20" t="n">
        <v>85989</v>
      </c>
      <c r="E150" s="20" t="n">
        <v>84576</v>
      </c>
      <c r="F150" s="20" t="n">
        <v>81567</v>
      </c>
      <c r="H150" s="20" t="n">
        <v>73647</v>
      </c>
      <c r="I150" s="20" t="n">
        <v>72513</v>
      </c>
      <c r="J150" s="20" t="n">
        <v>73328</v>
      </c>
      <c r="L150" s="20" t="n">
        <v>86364</v>
      </c>
      <c r="M150" s="20" t="n">
        <v>94422</v>
      </c>
      <c r="N150" s="20" t="n">
        <v>96724</v>
      </c>
    </row>
    <row r="151">
      <c r="A151" s="43" t="inlineStr">
        <is>
          <t>YoY</t>
        </is>
      </c>
      <c r="B151" s="3" t="inlineStr">
        <is>
          <t>전년 같은 분기·전년 대비</t>
        </is>
      </c>
      <c r="H151" s="15">
        <f>IF(OR(H150="",D150=""),"",IF(D150&lt;=0,"",IFERROR(H150/D150-1,"")))</f>
        <v/>
      </c>
      <c r="I151" s="15">
        <f>IF(OR(I150="",E150=""),"",IF(E150&lt;=0,"",IFERROR(I150/E150-1,"")))</f>
        <v/>
      </c>
      <c r="J151" s="15">
        <f>IF(OR(J150="",F150=""),"",IF(F150&lt;=0,"",IFERROR(J150/F150-1,"")))</f>
        <v/>
      </c>
      <c r="L151" s="15">
        <f>IF(OR(L150="",H150=""),"",IF(H150&lt;=0,"",IFERROR(L150/H150-1,"")))</f>
        <v/>
      </c>
      <c r="M151" s="15">
        <f>IF(OR(M150="",I150=""),"",IF(I150&lt;=0,"",IFERROR(M150/I150-1,"")))</f>
        <v/>
      </c>
      <c r="N151" s="15">
        <f>IF(OR(N150="",J150=""),"",IF(J150&lt;=0,"",IFERROR(N150/J150-1,"")))</f>
        <v/>
      </c>
    </row>
    <row r="152">
      <c r="A152" s="18" t="inlineStr">
        <is>
          <t>부문 · 외부 고객 매출수익</t>
        </is>
      </c>
      <c r="D152" s="20" t="n">
        <v>46852</v>
      </c>
      <c r="E152" s="20" t="n">
        <v>46278</v>
      </c>
      <c r="F152" s="20" t="n">
        <v>42664</v>
      </c>
      <c r="H152" s="20" t="n">
        <v>40352</v>
      </c>
      <c r="I152" s="20" t="n">
        <v>40952</v>
      </c>
      <c r="J152" s="20" t="n">
        <v>42302</v>
      </c>
      <c r="L152" s="20" t="n">
        <v>49153</v>
      </c>
      <c r="M152" s="20" t="n">
        <v>46764</v>
      </c>
      <c r="N152" s="20" t="n">
        <v>49240</v>
      </c>
    </row>
    <row r="153">
      <c r="A153" s="43" t="inlineStr">
        <is>
          <t>YoY</t>
        </is>
      </c>
      <c r="B153" s="3" t="inlineStr">
        <is>
          <t>전년 같은 분기·전년 대비</t>
        </is>
      </c>
      <c r="H153" s="15">
        <f>IF(OR(H152="",D152=""),"",IF(D152&lt;=0,"",IFERROR(H152/D152-1,"")))</f>
        <v/>
      </c>
      <c r="I153" s="15">
        <f>IF(OR(I152="",E152=""),"",IF(E152&lt;=0,"",IFERROR(I152/E152-1,"")))</f>
        <v/>
      </c>
      <c r="J153" s="15">
        <f>IF(OR(J152="",F152=""),"",IF(F152&lt;=0,"",IFERROR(J152/F152-1,"")))</f>
        <v/>
      </c>
      <c r="L153" s="15">
        <f>IF(OR(L152="",H152=""),"",IF(H152&lt;=0,"",IFERROR(L152/H152-1,"")))</f>
        <v/>
      </c>
      <c r="M153" s="15">
        <f>IF(OR(M152="",I152=""),"",IF(I152&lt;=0,"",IFERROR(M152/I152-1,"")))</f>
        <v/>
      </c>
      <c r="N153" s="15">
        <f>IF(OR(N152="",J152=""),"",IF(J152&lt;=0,"",IFERROR(N152/J152-1,"")))</f>
        <v/>
      </c>
    </row>
    <row r="154">
      <c r="A154" s="18" t="inlineStr">
        <is>
          <t>보고부문 합계 · 외부 고객 매출수익</t>
        </is>
      </c>
      <c r="D154" s="20" t="n">
        <v>132841</v>
      </c>
      <c r="E154" s="20" t="n">
        <v>130854</v>
      </c>
      <c r="F154" s="20" t="n">
        <v>124232</v>
      </c>
      <c r="H154" s="20" t="n">
        <v>114000</v>
      </c>
      <c r="I154" s="20" t="n">
        <v>113465</v>
      </c>
      <c r="J154" s="20" t="n">
        <v>115630</v>
      </c>
      <c r="L154" s="20" t="n">
        <v>135518</v>
      </c>
      <c r="M154" s="20" t="n">
        <v>141185</v>
      </c>
      <c r="N154" s="20" t="n">
        <v>145964</v>
      </c>
    </row>
    <row r="155">
      <c r="A155" s="43" t="inlineStr">
        <is>
          <t>YoY</t>
        </is>
      </c>
      <c r="B155" s="3" t="inlineStr">
        <is>
          <t>전년 같은 분기·전년 대비</t>
        </is>
      </c>
      <c r="H155" s="15">
        <f>IF(OR(H154="",D154=""),"",IF(D154&lt;=0,"",IFERROR(H154/D154-1,"")))</f>
        <v/>
      </c>
      <c r="I155" s="15">
        <f>IF(OR(I154="",E154=""),"",IF(E154&lt;=0,"",IFERROR(I154/E154-1,"")))</f>
        <v/>
      </c>
      <c r="J155" s="15">
        <f>IF(OR(J154="",F154=""),"",IF(F154&lt;=0,"",IFERROR(J154/F154-1,"")))</f>
        <v/>
      </c>
      <c r="L155" s="15">
        <f>IF(OR(L154="",H154=""),"",IF(H154&lt;=0,"",IFERROR(L154/H154-1,"")))</f>
        <v/>
      </c>
      <c r="M155" s="15">
        <f>IF(OR(M154="",I154=""),"",IF(I154&lt;=0,"",IFERROR(M154/I154-1,"")))</f>
        <v/>
      </c>
      <c r="N155" s="15">
        <f>IF(OR(N154="",J154=""),"",IF(J154&lt;=0,"",IFERROR(N154/J154-1,"")))</f>
        <v/>
      </c>
    </row>
    <row r="156">
      <c r="A156" s="18" t="inlineStr">
        <is>
          <t>부문 · 외부 고객 매출수익</t>
        </is>
      </c>
      <c r="D156" s="20" t="n">
        <v>10</v>
      </c>
      <c r="E156" s="20" t="n">
        <v>11</v>
      </c>
      <c r="F156" s="20" t="n">
        <v>11</v>
      </c>
      <c r="H156" s="20" t="n">
        <v>10</v>
      </c>
      <c r="I156" s="20" t="n">
        <v>12</v>
      </c>
      <c r="J156" s="20" t="n">
        <v>12</v>
      </c>
      <c r="L156" s="20" t="n">
        <v>12</v>
      </c>
      <c r="M156" s="20" t="n">
        <v>14</v>
      </c>
      <c r="N156" s="20" t="n">
        <v>13</v>
      </c>
    </row>
    <row r="157">
      <c r="A157" s="43" t="inlineStr">
        <is>
          <t>YoY</t>
        </is>
      </c>
      <c r="B157" s="3" t="inlineStr">
        <is>
          <t>전년 같은 분기·전년 대비</t>
        </is>
      </c>
      <c r="H157" s="15">
        <f>IF(OR(H156="",D156=""),"",IF(D156&lt;=0,"",IFERROR(H156/D156-1,"")))</f>
        <v/>
      </c>
      <c r="I157" s="15">
        <f>IF(OR(I156="",E156=""),"",IF(E156&lt;=0,"",IFERROR(I156/E156-1,"")))</f>
        <v/>
      </c>
      <c r="J157" s="15">
        <f>IF(OR(J156="",F156=""),"",IF(F156&lt;=0,"",IFERROR(J156/F156-1,"")))</f>
        <v/>
      </c>
      <c r="L157" s="15">
        <f>IF(OR(L156="",H156=""),"",IF(H156&lt;=0,"",IFERROR(L156/H156-1,"")))</f>
        <v/>
      </c>
      <c r="M157" s="15">
        <f>IF(OR(M156="",I156=""),"",IF(I156&lt;=0,"",IFERROR(M156/I156-1,"")))</f>
        <v/>
      </c>
      <c r="N157" s="15">
        <f>IF(OR(N156="",J156=""),"",IF(J156&lt;=0,"",IFERROR(N156/J156-1,"")))</f>
        <v/>
      </c>
    </row>
    <row r="158">
      <c r="A158" s="18" t="inlineStr">
        <is>
          <t>부문 · 외부 고객 매출수익</t>
        </is>
      </c>
      <c r="D158" s="20" t="n">
        <v>0</v>
      </c>
      <c r="E158" s="20" t="n">
        <v>0</v>
      </c>
      <c r="F158" s="20" t="n">
        <v>0</v>
      </c>
      <c r="H158" s="20" t="n">
        <v>0</v>
      </c>
      <c r="I158" s="20" t="n">
        <v>0</v>
      </c>
      <c r="J158" s="20" t="n">
        <v>0</v>
      </c>
      <c r="L158" s="20" t="n">
        <v>0</v>
      </c>
      <c r="M158" s="20" t="n">
        <v>0</v>
      </c>
      <c r="N158" s="20" t="n">
        <v>0</v>
      </c>
    </row>
    <row r="159">
      <c r="A159" s="43" t="inlineStr">
        <is>
          <t>YoY</t>
        </is>
      </c>
      <c r="B159" s="3" t="inlineStr">
        <is>
          <t>전년 같은 분기·전년 대비</t>
        </is>
      </c>
      <c r="H159" s="15">
        <f>IF(OR(H158="",D158=""),"",IF(D158&lt;=0,"",IFERROR(H158/D158-1,"")))</f>
        <v/>
      </c>
      <c r="I159" s="15">
        <f>IF(OR(I158="",E158=""),"",IF(E158&lt;=0,"",IFERROR(I158/E158-1,"")))</f>
        <v/>
      </c>
      <c r="J159" s="15">
        <f>IF(OR(J158="",F158=""),"",IF(F158&lt;=0,"",IFERROR(J158/F158-1,"")))</f>
        <v/>
      </c>
      <c r="L159" s="15">
        <f>IF(OR(L158="",H158=""),"",IF(H158&lt;=0,"",IFERROR(L158/H158-1,"")))</f>
        <v/>
      </c>
      <c r="M159" s="15">
        <f>IF(OR(M158="",I158=""),"",IF(I158&lt;=0,"",IFERROR(M158/I158-1,"")))</f>
        <v/>
      </c>
      <c r="N159" s="15">
        <f>IF(OR(N158="",J158=""),"",IF(J158&lt;=0,"",IFERROR(N158/J158-1,"")))</f>
        <v/>
      </c>
    </row>
    <row r="160">
      <c r="A160" s="9" t="inlineStr">
        <is>
          <t>외부 고객 매출수익</t>
        </is>
      </c>
      <c r="D160" s="12" t="n">
        <v>132851</v>
      </c>
      <c r="E160" s="12" t="n">
        <v>130866</v>
      </c>
      <c r="F160" s="12" t="n">
        <v>124243</v>
      </c>
      <c r="H160" s="12" t="n">
        <v>114010</v>
      </c>
      <c r="I160" s="12" t="n">
        <v>113477</v>
      </c>
      <c r="J160" s="12" t="n">
        <v>115642</v>
      </c>
      <c r="L160" s="12" t="n">
        <v>135531</v>
      </c>
      <c r="M160" s="12" t="n">
        <v>141198</v>
      </c>
      <c r="N160" s="12" t="n">
        <v>145977</v>
      </c>
    </row>
    <row r="161">
      <c r="A161" s="43" t="inlineStr">
        <is>
          <t>YoY</t>
        </is>
      </c>
      <c r="B161" s="3" t="inlineStr">
        <is>
          <t>전년 같은 분기·전년 대비</t>
        </is>
      </c>
      <c r="H161" s="15">
        <f>IF(OR(H160="",D160=""),"",IF(D160&lt;=0,"",IFERROR(H160/D160-1,"")))</f>
        <v/>
      </c>
      <c r="I161" s="15">
        <f>IF(OR(I160="",E160=""),"",IF(E160&lt;=0,"",IFERROR(I160/E160-1,"")))</f>
        <v/>
      </c>
      <c r="J161" s="15">
        <f>IF(OR(J160="",F160=""),"",IF(F160&lt;=0,"",IFERROR(J160/F160-1,"")))</f>
        <v/>
      </c>
      <c r="L161" s="15">
        <f>IF(OR(L160="",H160=""),"",IF(H160&lt;=0,"",IFERROR(L160/H160-1,"")))</f>
        <v/>
      </c>
      <c r="M161" s="15">
        <f>IF(OR(M160="",I160=""),"",IF(I160&lt;=0,"",IFERROR(M160/I160-1,"")))</f>
        <v/>
      </c>
      <c r="N161" s="15">
        <f>IF(OR(N160="",J160=""),"",IF(J160&lt;=0,"",IFERROR(N160/J160-1,"")))</f>
        <v/>
      </c>
    </row>
    <row r="162">
      <c r="A162" s="18" t="inlineStr">
        <is>
          <t>부문 · 부문 간 매출수익</t>
        </is>
      </c>
      <c r="D162" s="20" t="n">
        <v>65883</v>
      </c>
      <c r="E162" s="20" t="n">
        <v>64814</v>
      </c>
      <c r="F162" s="20" t="n">
        <v>63908</v>
      </c>
      <c r="H162" s="20" t="n">
        <v>56492</v>
      </c>
      <c r="I162" s="20" t="n">
        <v>58749</v>
      </c>
      <c r="J162" s="20" t="n">
        <v>65785</v>
      </c>
      <c r="L162" s="20" t="n">
        <v>64588</v>
      </c>
      <c r="M162" s="20" t="n">
        <v>72734</v>
      </c>
      <c r="N162" s="20" t="n">
        <v>80968</v>
      </c>
    </row>
    <row r="163">
      <c r="A163" s="18" t="inlineStr">
        <is>
          <t>부문 · 부문 간 매출수익</t>
        </is>
      </c>
      <c r="D163" s="20" t="n">
        <v>12168</v>
      </c>
      <c r="E163" s="20" t="n">
        <v>12476</v>
      </c>
      <c r="F163" s="20" t="n">
        <v>12789</v>
      </c>
      <c r="H163" s="20" t="n">
        <v>13269</v>
      </c>
      <c r="I163" s="20" t="n">
        <v>13236</v>
      </c>
      <c r="J163" s="20" t="n">
        <v>15236</v>
      </c>
      <c r="L163" s="20" t="n">
        <v>18099</v>
      </c>
      <c r="M163" s="20" t="n">
        <v>18626</v>
      </c>
      <c r="N163" s="20" t="n">
        <v>19259</v>
      </c>
    </row>
    <row r="164">
      <c r="A164" s="18" t="inlineStr">
        <is>
          <t>보고부문 합계 · 부문 간 매출수익</t>
        </is>
      </c>
      <c r="D164" s="20" t="n">
        <v>78052</v>
      </c>
      <c r="E164" s="20" t="n">
        <v>77289</v>
      </c>
      <c r="F164" s="20" t="n">
        <v>76698</v>
      </c>
      <c r="H164" s="20" t="n">
        <v>69761</v>
      </c>
      <c r="I164" s="20" t="n">
        <v>71986</v>
      </c>
      <c r="J164" s="20" t="n">
        <v>81021</v>
      </c>
      <c r="L164" s="20" t="n">
        <v>82687</v>
      </c>
      <c r="M164" s="20" t="n">
        <v>91361</v>
      </c>
      <c r="N164" s="20" t="n">
        <v>100227</v>
      </c>
    </row>
    <row r="165">
      <c r="A165" s="18" t="inlineStr">
        <is>
          <t>부문 · 부문 간 매출수익</t>
        </is>
      </c>
      <c r="D165" s="20" t="n">
        <v>406</v>
      </c>
      <c r="E165" s="20" t="n">
        <v>404</v>
      </c>
      <c r="F165" s="20" t="n">
        <v>415</v>
      </c>
      <c r="H165" s="20" t="n">
        <v>466</v>
      </c>
      <c r="I165" s="20" t="n">
        <v>462</v>
      </c>
      <c r="J165" s="20" t="n">
        <v>470</v>
      </c>
      <c r="L165" s="20" t="n">
        <v>654</v>
      </c>
      <c r="M165" s="20" t="n">
        <v>662</v>
      </c>
      <c r="N165" s="20" t="n">
        <v>659</v>
      </c>
    </row>
    <row r="166">
      <c r="A166" s="18" t="inlineStr">
        <is>
          <t>부문 · 부문 간 매출수익</t>
        </is>
      </c>
      <c r="D166" s="20" t="n">
        <v>-78459</v>
      </c>
      <c r="E166" s="20" t="n">
        <v>-77692</v>
      </c>
      <c r="F166" s="20" t="n">
        <v>-77114</v>
      </c>
      <c r="H166" s="20" t="n">
        <v>-70227</v>
      </c>
      <c r="I166" s="20" t="n">
        <v>-72448</v>
      </c>
      <c r="J166" s="20" t="n">
        <v>-81491</v>
      </c>
      <c r="L166" s="20" t="n">
        <v>-83342</v>
      </c>
      <c r="M166" s="20" t="n">
        <v>-92023</v>
      </c>
      <c r="N166" s="20" t="n">
        <v>-100886</v>
      </c>
    </row>
    <row r="167">
      <c r="A167" s="18" t="inlineStr">
        <is>
          <t>부문 간 매출수익</t>
        </is>
      </c>
      <c r="D167" s="20" t="n">
        <v>0</v>
      </c>
      <c r="E167" s="20" t="n">
        <v>0</v>
      </c>
      <c r="F167" s="20" t="n">
        <v>0</v>
      </c>
      <c r="H167" s="20" t="n">
        <v>0</v>
      </c>
      <c r="I167" s="20" t="n">
        <v>0</v>
      </c>
      <c r="J167" s="20" t="n">
        <v>0</v>
      </c>
      <c r="L167" s="20" t="n">
        <v>0</v>
      </c>
      <c r="M167" s="20" t="n">
        <v>0</v>
      </c>
      <c r="N167" s="20" t="n">
        <v>0</v>
      </c>
    </row>
    <row r="168">
      <c r="A168" s="18" t="inlineStr">
        <is>
          <t>부문 · 합계</t>
        </is>
      </c>
      <c r="D168" s="20" t="n">
        <v>151873</v>
      </c>
      <c r="E168" s="20" t="n">
        <v>149389</v>
      </c>
      <c r="F168" s="20" t="n">
        <v>145476</v>
      </c>
      <c r="H168" s="20" t="n">
        <v>130139</v>
      </c>
      <c r="I168" s="20" t="n">
        <v>131262</v>
      </c>
      <c r="J168" s="20" t="n">
        <v>139114</v>
      </c>
      <c r="L168" s="20" t="n">
        <v>150953</v>
      </c>
      <c r="M168" s="20" t="n">
        <v>167156</v>
      </c>
      <c r="N168" s="20" t="n">
        <v>177691</v>
      </c>
    </row>
    <row r="169">
      <c r="A169" s="43" t="inlineStr">
        <is>
          <t>YoY</t>
        </is>
      </c>
      <c r="B169" s="3" t="inlineStr">
        <is>
          <t>전년 같은 분기·전년 대비</t>
        </is>
      </c>
      <c r="H169" s="15">
        <f>IF(OR(H168="",D168=""),"",IF(D168&lt;=0,"",IFERROR(H168/D168-1,"")))</f>
        <v/>
      </c>
      <c r="I169" s="15">
        <f>IF(OR(I168="",E168=""),"",IF(E168&lt;=0,"",IFERROR(I168/E168-1,"")))</f>
        <v/>
      </c>
      <c r="J169" s="15">
        <f>IF(OR(J168="",F168=""),"",IF(F168&lt;=0,"",IFERROR(J168/F168-1,"")))</f>
        <v/>
      </c>
      <c r="L169" s="15">
        <f>IF(OR(L168="",H168=""),"",IF(H168&lt;=0,"",IFERROR(L168/H168-1,"")))</f>
        <v/>
      </c>
      <c r="M169" s="15">
        <f>IF(OR(M168="",I168=""),"",IF(I168&lt;=0,"",IFERROR(M168/I168-1,"")))</f>
        <v/>
      </c>
      <c r="N169" s="15">
        <f>IF(OR(N168="",J168=""),"",IF(J168&lt;=0,"",IFERROR(N168/J168-1,"")))</f>
        <v/>
      </c>
    </row>
    <row r="170">
      <c r="A170" s="18" t="inlineStr">
        <is>
          <t>부문 · 합계</t>
        </is>
      </c>
      <c r="D170" s="20" t="n">
        <v>59020</v>
      </c>
      <c r="E170" s="20" t="n">
        <v>58754</v>
      </c>
      <c r="F170" s="20" t="n">
        <v>55454</v>
      </c>
      <c r="H170" s="20" t="n">
        <v>53622</v>
      </c>
      <c r="I170" s="20" t="n">
        <v>54188</v>
      </c>
      <c r="J170" s="20" t="n">
        <v>57538</v>
      </c>
      <c r="L170" s="20" t="n">
        <v>67253</v>
      </c>
      <c r="M170" s="20" t="n">
        <v>65389</v>
      </c>
      <c r="N170" s="20" t="n">
        <v>68499</v>
      </c>
    </row>
    <row r="171">
      <c r="A171" s="43" t="inlineStr">
        <is>
          <t>YoY</t>
        </is>
      </c>
      <c r="B171" s="3" t="inlineStr">
        <is>
          <t>전년 같은 분기·전년 대비</t>
        </is>
      </c>
      <c r="H171" s="15">
        <f>IF(OR(H170="",D170=""),"",IF(D170&lt;=0,"",IFERROR(H170/D170-1,"")))</f>
        <v/>
      </c>
      <c r="I171" s="15">
        <f>IF(OR(I170="",E170=""),"",IF(E170&lt;=0,"",IFERROR(I170/E170-1,"")))</f>
        <v/>
      </c>
      <c r="J171" s="15">
        <f>IF(OR(J170="",F170=""),"",IF(F170&lt;=0,"",IFERROR(J170/F170-1,"")))</f>
        <v/>
      </c>
      <c r="L171" s="15">
        <f>IF(OR(L170="",H170=""),"",IF(H170&lt;=0,"",IFERROR(L170/H170-1,"")))</f>
        <v/>
      </c>
      <c r="M171" s="15">
        <f>IF(OR(M170="",I170=""),"",IF(I170&lt;=0,"",IFERROR(M170/I170-1,"")))</f>
        <v/>
      </c>
      <c r="N171" s="15">
        <f>IF(OR(N170="",J170=""),"",IF(J170&lt;=0,"",IFERROR(N170/J170-1,"")))</f>
        <v/>
      </c>
    </row>
    <row r="172">
      <c r="A172" s="18" t="inlineStr">
        <is>
          <t>보고부문 합계 · 합계</t>
        </is>
      </c>
      <c r="D172" s="20" t="n">
        <v>210894</v>
      </c>
      <c r="E172" s="20" t="n">
        <v>208143</v>
      </c>
      <c r="F172" s="20" t="n">
        <v>200930</v>
      </c>
      <c r="H172" s="20" t="n">
        <v>183761</v>
      </c>
      <c r="I172" s="20" t="n">
        <v>185451</v>
      </c>
      <c r="J172" s="20" t="n">
        <v>196651</v>
      </c>
      <c r="L172" s="20" t="n">
        <v>218206</v>
      </c>
      <c r="M172" s="20" t="n">
        <v>232546</v>
      </c>
      <c r="N172" s="20" t="n">
        <v>246190</v>
      </c>
    </row>
    <row r="173">
      <c r="A173" s="43" t="inlineStr">
        <is>
          <t>YoY</t>
        </is>
      </c>
      <c r="B173" s="3" t="inlineStr">
        <is>
          <t>전년 같은 분기·전년 대비</t>
        </is>
      </c>
      <c r="H173" s="15">
        <f>IF(OR(H172="",D172=""),"",IF(D172&lt;=0,"",IFERROR(H172/D172-1,"")))</f>
        <v/>
      </c>
      <c r="I173" s="15">
        <f>IF(OR(I172="",E172=""),"",IF(E172&lt;=0,"",IFERROR(I172/E172-1,"")))</f>
        <v/>
      </c>
      <c r="J173" s="15">
        <f>IF(OR(J172="",F172=""),"",IF(F172&lt;=0,"",IFERROR(J172/F172-1,"")))</f>
        <v/>
      </c>
      <c r="L173" s="15">
        <f>IF(OR(L172="",H172=""),"",IF(H172&lt;=0,"",IFERROR(L172/H172-1,"")))</f>
        <v/>
      </c>
      <c r="M173" s="15">
        <f>IF(OR(M172="",I172=""),"",IF(I172&lt;=0,"",IFERROR(M172/I172-1,"")))</f>
        <v/>
      </c>
      <c r="N173" s="15">
        <f>IF(OR(N172="",J172=""),"",IF(J172&lt;=0,"",IFERROR(N172/J172-1,"")))</f>
        <v/>
      </c>
    </row>
    <row r="174">
      <c r="A174" s="18" t="inlineStr">
        <is>
          <t>부문 · 합계</t>
        </is>
      </c>
      <c r="D174" s="20" t="n">
        <v>416</v>
      </c>
      <c r="E174" s="20" t="n">
        <v>416</v>
      </c>
      <c r="F174" s="20" t="n">
        <v>426</v>
      </c>
      <c r="H174" s="20" t="n">
        <v>476</v>
      </c>
      <c r="I174" s="20" t="n">
        <v>474</v>
      </c>
      <c r="J174" s="20" t="n">
        <v>482</v>
      </c>
      <c r="L174" s="20" t="n">
        <v>667</v>
      </c>
      <c r="M174" s="20" t="n">
        <v>675</v>
      </c>
      <c r="N174" s="20" t="n">
        <v>673</v>
      </c>
    </row>
    <row r="175">
      <c r="A175" s="43" t="inlineStr">
        <is>
          <t>YoY</t>
        </is>
      </c>
      <c r="B175" s="3" t="inlineStr">
        <is>
          <t>전년 같은 분기·전년 대비</t>
        </is>
      </c>
      <c r="H175" s="15">
        <f>IF(OR(H174="",D174=""),"",IF(D174&lt;=0,"",IFERROR(H174/D174-1,"")))</f>
        <v/>
      </c>
      <c r="I175" s="15">
        <f>IF(OR(I174="",E174=""),"",IF(E174&lt;=0,"",IFERROR(I174/E174-1,"")))</f>
        <v/>
      </c>
      <c r="J175" s="15">
        <f>IF(OR(J174="",F174=""),"",IF(F174&lt;=0,"",IFERROR(J174/F174-1,"")))</f>
        <v/>
      </c>
      <c r="L175" s="15">
        <f>IF(OR(L174="",H174=""),"",IF(H174&lt;=0,"",IFERROR(L174/H174-1,"")))</f>
        <v/>
      </c>
      <c r="M175" s="15">
        <f>IF(OR(M174="",I174=""),"",IF(I174&lt;=0,"",IFERROR(M174/I174-1,"")))</f>
        <v/>
      </c>
      <c r="N175" s="15">
        <f>IF(OR(N174="",J174=""),"",IF(J174&lt;=0,"",IFERROR(N174/J174-1,"")))</f>
        <v/>
      </c>
    </row>
    <row r="176">
      <c r="A176" s="18" t="inlineStr">
        <is>
          <t>부문 · 합계</t>
        </is>
      </c>
      <c r="D176" s="20" t="n">
        <v>-78459</v>
      </c>
      <c r="E176" s="20" t="n">
        <v>-77692</v>
      </c>
      <c r="F176" s="20" t="n">
        <v>-77114</v>
      </c>
      <c r="H176" s="20" t="n">
        <v>-70227</v>
      </c>
      <c r="I176" s="20" t="n">
        <v>-72448</v>
      </c>
      <c r="J176" s="20" t="n">
        <v>-81491</v>
      </c>
      <c r="L176" s="20" t="n">
        <v>-83342</v>
      </c>
      <c r="M176" s="20" t="n">
        <v>-92023</v>
      </c>
      <c r="N176" s="20" t="n">
        <v>-100886</v>
      </c>
    </row>
    <row r="177">
      <c r="A177" s="43" t="inlineStr">
        <is>
          <t>YoY</t>
        </is>
      </c>
      <c r="B177" s="3" t="inlineStr">
        <is>
          <t>전년 같은 분기·전년 대비</t>
        </is>
      </c>
      <c r="H177" s="15">
        <f>IF(OR(H176="",D176=""),"",IF(D176&lt;=0,"",IFERROR(H176/D176-1,"")))</f>
        <v/>
      </c>
      <c r="I177" s="15">
        <f>IF(OR(I176="",E176=""),"",IF(E176&lt;=0,"",IFERROR(I176/E176-1,"")))</f>
        <v/>
      </c>
      <c r="J177" s="15">
        <f>IF(OR(J176="",F176=""),"",IF(F176&lt;=0,"",IFERROR(J176/F176-1,"")))</f>
        <v/>
      </c>
      <c r="L177" s="15">
        <f>IF(OR(L176="",H176=""),"",IF(H176&lt;=0,"",IFERROR(L176/H176-1,"")))</f>
        <v/>
      </c>
      <c r="M177" s="15">
        <f>IF(OR(M176="",I176=""),"",IF(I176&lt;=0,"",IFERROR(M176/I176-1,"")))</f>
        <v/>
      </c>
      <c r="N177" s="15">
        <f>IF(OR(N176="",J176=""),"",IF(J176&lt;=0,"",IFERROR(N176/J176-1,"")))</f>
        <v/>
      </c>
    </row>
    <row r="178">
      <c r="A178" s="9" t="inlineStr">
        <is>
          <t>합계</t>
        </is>
      </c>
      <c r="D178" s="12" t="n">
        <v>132851</v>
      </c>
      <c r="E178" s="12" t="n">
        <v>130866</v>
      </c>
      <c r="F178" s="12" t="n">
        <v>124243</v>
      </c>
      <c r="H178" s="12" t="n">
        <v>114010</v>
      </c>
      <c r="I178" s="12" t="n">
        <v>113477</v>
      </c>
      <c r="J178" s="12" t="n">
        <v>115642</v>
      </c>
      <c r="L178" s="12" t="n">
        <v>135531</v>
      </c>
      <c r="M178" s="12" t="n">
        <v>141198</v>
      </c>
      <c r="N178" s="12" t="n">
        <v>145977</v>
      </c>
    </row>
    <row r="179">
      <c r="A179" s="43" t="inlineStr">
        <is>
          <t>YoY</t>
        </is>
      </c>
      <c r="B179" s="3" t="inlineStr">
        <is>
          <t>전년 같은 분기·전년 대비</t>
        </is>
      </c>
      <c r="H179" s="15">
        <f>IF(OR(H178="",D178=""),"",IF(D178&lt;=0,"",IFERROR(H178/D178-1,"")))</f>
        <v/>
      </c>
      <c r="I179" s="15">
        <f>IF(OR(I178="",E178=""),"",IF(E178&lt;=0,"",IFERROR(I178/E178-1,"")))</f>
        <v/>
      </c>
      <c r="J179" s="15">
        <f>IF(OR(J178="",F178=""),"",IF(F178&lt;=0,"",IFERROR(J178/F178-1,"")))</f>
        <v/>
      </c>
      <c r="L179" s="15">
        <f>IF(OR(L178="",H178=""),"",IF(H178&lt;=0,"",IFERROR(L178/H178-1,"")))</f>
        <v/>
      </c>
      <c r="M179" s="15">
        <f>IF(OR(M178="",I178=""),"",IF(I178&lt;=0,"",IFERROR(M178/I178-1,"")))</f>
        <v/>
      </c>
      <c r="N179" s="15">
        <f>IF(OR(N178="",J178=""),"",IF(J178&lt;=0,"",IFERROR(N178/J178-1,"")))</f>
        <v/>
      </c>
    </row>
    <row r="180">
      <c r="A180" s="18" t="inlineStr">
        <is>
          <t>부문 · 부문 이익</t>
        </is>
      </c>
      <c r="D180" s="20" t="n">
        <v>5460</v>
      </c>
      <c r="E180" s="20" t="n">
        <v>2481</v>
      </c>
      <c r="F180" s="20" t="n">
        <v>-3352</v>
      </c>
      <c r="H180" s="20" t="n">
        <v>-1407</v>
      </c>
      <c r="I180" s="20" t="n">
        <v>3684</v>
      </c>
      <c r="J180" s="20" t="n">
        <v>3682</v>
      </c>
      <c r="L180" s="20" t="n">
        <v>-412</v>
      </c>
      <c r="M180" s="20" t="n">
        <v>3703</v>
      </c>
      <c r="N180" s="20" t="n">
        <v>5099</v>
      </c>
    </row>
    <row r="181">
      <c r="A181" s="43" t="inlineStr">
        <is>
          <t>OPM</t>
        </is>
      </c>
      <c r="B181" s="3" t="inlineStr">
        <is>
          <t>영업이익 ÷ 매출</t>
        </is>
      </c>
      <c r="D181" s="15">
        <f>IF(OR(D180="",D168=""),"",IF(D168&lt;=0,"",IFERROR(D180/D168,"")))</f>
        <v/>
      </c>
      <c r="E181" s="15">
        <f>IF(OR(E180="",E168=""),"",IF(E168&lt;=0,"",IFERROR(E180/E168,"")))</f>
        <v/>
      </c>
      <c r="F181" s="15">
        <f>IF(OR(F180="",F168=""),"",IF(F168&lt;=0,"",IFERROR(F180/F168,"")))</f>
        <v/>
      </c>
      <c r="H181" s="15">
        <f>IF(OR(H180="",H168=""),"",IF(H168&lt;=0,"",IFERROR(H180/H168,"")))</f>
        <v/>
      </c>
      <c r="I181" s="15">
        <f>IF(OR(I180="",I168=""),"",IF(I168&lt;=0,"",IFERROR(I180/I168,"")))</f>
        <v/>
      </c>
      <c r="J181" s="15">
        <f>IF(OR(J180="",J168=""),"",IF(J168&lt;=0,"",IFERROR(J180/J168,"")))</f>
        <v/>
      </c>
      <c r="L181" s="15">
        <f>IF(OR(L180="",L168=""),"",IF(L168&lt;=0,"",IFERROR(L180/L168,"")))</f>
        <v/>
      </c>
      <c r="M181" s="15">
        <f>IF(OR(M180="",M168=""),"",IF(M168&lt;=0,"",IFERROR(M180/M168,"")))</f>
        <v/>
      </c>
      <c r="N181" s="15">
        <f>IF(OR(N180="",N168=""),"",IF(N168&lt;=0,"",IFERROR(N180/N168,"")))</f>
        <v/>
      </c>
    </row>
    <row r="182">
      <c r="A182" s="43" t="inlineStr">
        <is>
          <t>YoY</t>
        </is>
      </c>
      <c r="B182" s="3" t="inlineStr">
        <is>
          <t>전년 같은 분기·전년 대비</t>
        </is>
      </c>
      <c r="H182" s="15">
        <f>IF(OR(H180="",D180=""),"",IF(D180&lt;=0,"",IFERROR(H180/D180-1,"")))</f>
        <v/>
      </c>
      <c r="I182" s="15">
        <f>IF(OR(I180="",E180=""),"",IF(E180&lt;=0,"",IFERROR(I180/E180-1,"")))</f>
        <v/>
      </c>
      <c r="J182" s="15">
        <f>IF(OR(J180="",F180=""),"",IF(F180&lt;=0,"",IFERROR(J180/F180-1,"")))</f>
        <v/>
      </c>
      <c r="L182" s="15">
        <f>IF(OR(L180="",H180=""),"",IF(H180&lt;=0,"",IFERROR(L180/H180-1,"")))</f>
        <v/>
      </c>
      <c r="M182" s="15">
        <f>IF(OR(M180="",I180=""),"",IF(I180&lt;=0,"",IFERROR(M180/I180-1,"")))</f>
        <v/>
      </c>
      <c r="N182" s="15">
        <f>IF(OR(N180="",J180=""),"",IF(J180&lt;=0,"",IFERROR(N180/J180-1,"")))</f>
        <v/>
      </c>
    </row>
    <row r="183">
      <c r="A183" s="18" t="inlineStr">
        <is>
          <t>부문 · 부문 이익</t>
        </is>
      </c>
      <c r="D183" s="20" t="n">
        <v>11117</v>
      </c>
      <c r="E183" s="20" t="n">
        <v>11828</v>
      </c>
      <c r="F183" s="20" t="n">
        <v>9737</v>
      </c>
      <c r="H183" s="20" t="n">
        <v>6992</v>
      </c>
      <c r="I183" s="20" t="n">
        <v>5657</v>
      </c>
      <c r="J183" s="20" t="n">
        <v>4913</v>
      </c>
      <c r="L183" s="20" t="n">
        <v>7969</v>
      </c>
      <c r="M183" s="20" t="n">
        <v>7764</v>
      </c>
      <c r="N183" s="20" t="n">
        <v>7897</v>
      </c>
    </row>
    <row r="184">
      <c r="A184" s="43" t="inlineStr">
        <is>
          <t>OPM</t>
        </is>
      </c>
      <c r="B184" s="3" t="inlineStr">
        <is>
          <t>영업이익 ÷ 매출</t>
        </is>
      </c>
      <c r="D184" s="15">
        <f>IF(OR(D183="",D170=""),"",IF(D170&lt;=0,"",IFERROR(D183/D170,"")))</f>
        <v/>
      </c>
      <c r="E184" s="15">
        <f>IF(OR(E183="",E170=""),"",IF(E170&lt;=0,"",IFERROR(E183/E170,"")))</f>
        <v/>
      </c>
      <c r="F184" s="15">
        <f>IF(OR(F183="",F170=""),"",IF(F170&lt;=0,"",IFERROR(F183/F170,"")))</f>
        <v/>
      </c>
      <c r="H184" s="15">
        <f>IF(OR(H183="",H170=""),"",IF(H170&lt;=0,"",IFERROR(H183/H170,"")))</f>
        <v/>
      </c>
      <c r="I184" s="15">
        <f>IF(OR(I183="",I170=""),"",IF(I170&lt;=0,"",IFERROR(I183/I170,"")))</f>
        <v/>
      </c>
      <c r="J184" s="15">
        <f>IF(OR(J183="",J170=""),"",IF(J170&lt;=0,"",IFERROR(J183/J170,"")))</f>
        <v/>
      </c>
      <c r="L184" s="15">
        <f>IF(OR(L183="",L170=""),"",IF(L170&lt;=0,"",IFERROR(L183/L170,"")))</f>
        <v/>
      </c>
      <c r="M184" s="15">
        <f>IF(OR(M183="",M170=""),"",IF(M170&lt;=0,"",IFERROR(M183/M170,"")))</f>
        <v/>
      </c>
      <c r="N184" s="15">
        <f>IF(OR(N183="",N170=""),"",IF(N170&lt;=0,"",IFERROR(N183/N170,"")))</f>
        <v/>
      </c>
    </row>
    <row r="185">
      <c r="A185" s="43" t="inlineStr">
        <is>
          <t>YoY</t>
        </is>
      </c>
      <c r="B185" s="3" t="inlineStr">
        <is>
          <t>전년 같은 분기·전년 대비</t>
        </is>
      </c>
      <c r="H185" s="15">
        <f>IF(OR(H183="",D183=""),"",IF(D183&lt;=0,"",IFERROR(H183/D183-1,"")))</f>
        <v/>
      </c>
      <c r="I185" s="15">
        <f>IF(OR(I183="",E183=""),"",IF(E183&lt;=0,"",IFERROR(I183/E183-1,"")))</f>
        <v/>
      </c>
      <c r="J185" s="15">
        <f>IF(OR(J183="",F183=""),"",IF(F183&lt;=0,"",IFERROR(J183/F183-1,"")))</f>
        <v/>
      </c>
      <c r="L185" s="15">
        <f>IF(OR(L183="",H183=""),"",IF(H183&lt;=0,"",IFERROR(L183/H183-1,"")))</f>
        <v/>
      </c>
      <c r="M185" s="15">
        <f>IF(OR(M183="",I183=""),"",IF(I183&lt;=0,"",IFERROR(M183/I183-1,"")))</f>
        <v/>
      </c>
      <c r="N185" s="15">
        <f>IF(OR(N183="",J183=""),"",IF(J183&lt;=0,"",IFERROR(N183/J183-1,"")))</f>
        <v/>
      </c>
    </row>
    <row r="186">
      <c r="A186" s="18" t="inlineStr">
        <is>
          <t>보고부문 합계 · 부문 이익</t>
        </is>
      </c>
      <c r="D186" s="20" t="n">
        <v>16578</v>
      </c>
      <c r="E186" s="20" t="n">
        <v>14308</v>
      </c>
      <c r="F186" s="20" t="n">
        <v>6385</v>
      </c>
      <c r="H186" s="20" t="n">
        <v>5585</v>
      </c>
      <c r="I186" s="20" t="n">
        <v>9342</v>
      </c>
      <c r="J186" s="20" t="n">
        <v>8595</v>
      </c>
      <c r="L186" s="20" t="n">
        <v>7556</v>
      </c>
      <c r="M186" s="20" t="n">
        <v>11469</v>
      </c>
      <c r="N186" s="20" t="n">
        <v>12995</v>
      </c>
    </row>
    <row r="187">
      <c r="A187" s="43" t="inlineStr">
        <is>
          <t>OPM</t>
        </is>
      </c>
      <c r="B187" s="3" t="inlineStr">
        <is>
          <t>영업이익 ÷ 매출</t>
        </is>
      </c>
      <c r="D187" s="15">
        <f>IF(OR(D186="",D172=""),"",IF(D172&lt;=0,"",IFERROR(D186/D172,"")))</f>
        <v/>
      </c>
      <c r="E187" s="15">
        <f>IF(OR(E186="",E172=""),"",IF(E172&lt;=0,"",IFERROR(E186/E172,"")))</f>
        <v/>
      </c>
      <c r="F187" s="15">
        <f>IF(OR(F186="",F172=""),"",IF(F172&lt;=0,"",IFERROR(F186/F172,"")))</f>
        <v/>
      </c>
      <c r="H187" s="15">
        <f>IF(OR(H186="",H172=""),"",IF(H172&lt;=0,"",IFERROR(H186/H172,"")))</f>
        <v/>
      </c>
      <c r="I187" s="15">
        <f>IF(OR(I186="",I172=""),"",IF(I172&lt;=0,"",IFERROR(I186/I172,"")))</f>
        <v/>
      </c>
      <c r="J187" s="15">
        <f>IF(OR(J186="",J172=""),"",IF(J172&lt;=0,"",IFERROR(J186/J172,"")))</f>
        <v/>
      </c>
      <c r="L187" s="15">
        <f>IF(OR(L186="",L172=""),"",IF(L172&lt;=0,"",IFERROR(L186/L172,"")))</f>
        <v/>
      </c>
      <c r="M187" s="15">
        <f>IF(OR(M186="",M172=""),"",IF(M172&lt;=0,"",IFERROR(M186/M172,"")))</f>
        <v/>
      </c>
      <c r="N187" s="15">
        <f>IF(OR(N186="",N172=""),"",IF(N172&lt;=0,"",IFERROR(N186/N172,"")))</f>
        <v/>
      </c>
    </row>
    <row r="188">
      <c r="A188" s="43" t="inlineStr">
        <is>
          <t>YoY</t>
        </is>
      </c>
      <c r="B188" s="3" t="inlineStr">
        <is>
          <t>전년 같은 분기·전년 대비</t>
        </is>
      </c>
      <c r="H188" s="15">
        <f>IF(OR(H186="",D186=""),"",IF(D186&lt;=0,"",IFERROR(H186/D186-1,"")))</f>
        <v/>
      </c>
      <c r="I188" s="15">
        <f>IF(OR(I186="",E186=""),"",IF(E186&lt;=0,"",IFERROR(I186/E186-1,"")))</f>
        <v/>
      </c>
      <c r="J188" s="15">
        <f>IF(OR(J186="",F186=""),"",IF(F186&lt;=0,"",IFERROR(J186/F186-1,"")))</f>
        <v/>
      </c>
      <c r="L188" s="15">
        <f>IF(OR(L186="",H186=""),"",IF(H186&lt;=0,"",IFERROR(L186/H186-1,"")))</f>
        <v/>
      </c>
      <c r="M188" s="15">
        <f>IF(OR(M186="",I186=""),"",IF(I186&lt;=0,"",IFERROR(M186/I186-1,"")))</f>
        <v/>
      </c>
      <c r="N188" s="15">
        <f>IF(OR(N186="",J186=""),"",IF(J186&lt;=0,"",IFERROR(N186/J186-1,"")))</f>
        <v/>
      </c>
    </row>
    <row r="189">
      <c r="A189" s="18" t="inlineStr">
        <is>
          <t>부문 · 부문 이익</t>
        </is>
      </c>
      <c r="D189" s="20" t="n">
        <v>-3355</v>
      </c>
      <c r="E189" s="20" t="n">
        <v>-3752</v>
      </c>
      <c r="F189" s="20" t="n">
        <v>-774</v>
      </c>
      <c r="H189" s="20" t="n">
        <v>-4338</v>
      </c>
      <c r="I189" s="20" t="n">
        <v>-4393</v>
      </c>
      <c r="J189" s="20" t="n">
        <v>-4353</v>
      </c>
      <c r="L189" s="20" t="n">
        <v>-4658</v>
      </c>
      <c r="M189" s="20" t="n">
        <v>-5419</v>
      </c>
      <c r="N189" s="20" t="n">
        <v>-5112</v>
      </c>
    </row>
    <row r="190">
      <c r="A190" s="43" t="inlineStr">
        <is>
          <t>OPM</t>
        </is>
      </c>
      <c r="B190" s="3" t="inlineStr">
        <is>
          <t>영업이익 ÷ 매출</t>
        </is>
      </c>
      <c r="D190" s="15">
        <f>IF(OR(D189="",D174=""),"",IF(D174&lt;=0,"",IFERROR(D189/D174,"")))</f>
        <v/>
      </c>
      <c r="E190" s="15">
        <f>IF(OR(E189="",E174=""),"",IF(E174&lt;=0,"",IFERROR(E189/E174,"")))</f>
        <v/>
      </c>
      <c r="F190" s="15">
        <f>IF(OR(F189="",F174=""),"",IF(F174&lt;=0,"",IFERROR(F189/F174,"")))</f>
        <v/>
      </c>
      <c r="H190" s="15">
        <f>IF(OR(H189="",H174=""),"",IF(H174&lt;=0,"",IFERROR(H189/H174,"")))</f>
        <v/>
      </c>
      <c r="I190" s="15">
        <f>IF(OR(I189="",I174=""),"",IF(I174&lt;=0,"",IFERROR(I189/I174,"")))</f>
        <v/>
      </c>
      <c r="J190" s="15">
        <f>IF(OR(J189="",J174=""),"",IF(J174&lt;=0,"",IFERROR(J189/J174,"")))</f>
        <v/>
      </c>
      <c r="L190" s="15">
        <f>IF(OR(L189="",L174=""),"",IF(L174&lt;=0,"",IFERROR(L189/L174,"")))</f>
        <v/>
      </c>
      <c r="M190" s="15">
        <f>IF(OR(M189="",M174=""),"",IF(M174&lt;=0,"",IFERROR(M189/M174,"")))</f>
        <v/>
      </c>
      <c r="N190" s="15">
        <f>IF(OR(N189="",N174=""),"",IF(N174&lt;=0,"",IFERROR(N189/N174,"")))</f>
        <v/>
      </c>
    </row>
    <row r="191">
      <c r="A191" s="43" t="inlineStr">
        <is>
          <t>YoY</t>
        </is>
      </c>
      <c r="B191" s="3" t="inlineStr">
        <is>
          <t>전년 같은 분기·전년 대비</t>
        </is>
      </c>
      <c r="H191" s="15">
        <f>IF(OR(H189="",D189=""),"",IF(D189&lt;=0,"",IFERROR(H189/D189-1,"")))</f>
        <v/>
      </c>
      <c r="I191" s="15">
        <f>IF(OR(I189="",E189=""),"",IF(E189&lt;=0,"",IFERROR(I189/E189-1,"")))</f>
        <v/>
      </c>
      <c r="J191" s="15">
        <f>IF(OR(J189="",F189=""),"",IF(F189&lt;=0,"",IFERROR(J189/F189-1,"")))</f>
        <v/>
      </c>
      <c r="L191" s="15">
        <f>IF(OR(L189="",H189=""),"",IF(H189&lt;=0,"",IFERROR(L189/H189-1,"")))</f>
        <v/>
      </c>
      <c r="M191" s="15">
        <f>IF(OR(M189="",I189=""),"",IF(I189&lt;=0,"",IFERROR(M189/I189-1,"")))</f>
        <v/>
      </c>
      <c r="N191" s="15">
        <f>IF(OR(N189="",J189=""),"",IF(J189&lt;=0,"",IFERROR(N189/J189-1,"")))</f>
        <v/>
      </c>
    </row>
    <row r="192">
      <c r="A192" s="18" t="inlineStr">
        <is>
          <t>부문 · 부문 이익</t>
        </is>
      </c>
      <c r="D192" s="20" t="n">
        <v>-681</v>
      </c>
      <c r="E192" s="20" t="n">
        <v>1120</v>
      </c>
      <c r="F192" s="20" t="n">
        <v>369</v>
      </c>
      <c r="H192" s="20" t="n">
        <v>680</v>
      </c>
      <c r="I192" s="20" t="n">
        <v>-258</v>
      </c>
      <c r="J192" s="20" t="n">
        <v>772</v>
      </c>
      <c r="L192" s="20" t="n">
        <v>720</v>
      </c>
      <c r="M192" s="20" t="n">
        <v>59</v>
      </c>
      <c r="N192" s="20" t="n">
        <v>-266</v>
      </c>
    </row>
    <row r="193">
      <c r="A193" s="43" t="inlineStr">
        <is>
          <t>OPM</t>
        </is>
      </c>
      <c r="B193" s="3" t="inlineStr">
        <is>
          <t>영업이익 ÷ 매출</t>
        </is>
      </c>
      <c r="D193" s="15">
        <f>IF(OR(D192="",D176=""),"",IF(D176&lt;=0,"",IFERROR(D192/D176,"")))</f>
        <v/>
      </c>
      <c r="E193" s="15">
        <f>IF(OR(E192="",E176=""),"",IF(E176&lt;=0,"",IFERROR(E192/E176,"")))</f>
        <v/>
      </c>
      <c r="F193" s="15">
        <f>IF(OR(F192="",F176=""),"",IF(F176&lt;=0,"",IFERROR(F192/F176,"")))</f>
        <v/>
      </c>
      <c r="H193" s="15">
        <f>IF(OR(H192="",H176=""),"",IF(H176&lt;=0,"",IFERROR(H192/H176,"")))</f>
        <v/>
      </c>
      <c r="I193" s="15">
        <f>IF(OR(I192="",I176=""),"",IF(I176&lt;=0,"",IFERROR(I192/I176,"")))</f>
        <v/>
      </c>
      <c r="J193" s="15">
        <f>IF(OR(J192="",J176=""),"",IF(J176&lt;=0,"",IFERROR(J192/J176,"")))</f>
        <v/>
      </c>
      <c r="L193" s="15">
        <f>IF(OR(L192="",L176=""),"",IF(L176&lt;=0,"",IFERROR(L192/L176,"")))</f>
        <v/>
      </c>
      <c r="M193" s="15">
        <f>IF(OR(M192="",M176=""),"",IF(M176&lt;=0,"",IFERROR(M192/M176,"")))</f>
        <v/>
      </c>
      <c r="N193" s="15">
        <f>IF(OR(N192="",N176=""),"",IF(N176&lt;=0,"",IFERROR(N192/N176,"")))</f>
        <v/>
      </c>
    </row>
    <row r="194">
      <c r="A194" s="43" t="inlineStr">
        <is>
          <t>YoY</t>
        </is>
      </c>
      <c r="B194" s="3" t="inlineStr">
        <is>
          <t>전년 같은 분기·전년 대비</t>
        </is>
      </c>
      <c r="H194" s="15">
        <f>IF(OR(H192="",D192=""),"",IF(D192&lt;=0,"",IFERROR(H192/D192-1,"")))</f>
        <v/>
      </c>
      <c r="I194" s="15">
        <f>IF(OR(I192="",E192=""),"",IF(E192&lt;=0,"",IFERROR(I192/E192-1,"")))</f>
        <v/>
      </c>
      <c r="J194" s="15">
        <f>IF(OR(J192="",F192=""),"",IF(F192&lt;=0,"",IFERROR(J192/F192-1,"")))</f>
        <v/>
      </c>
      <c r="L194" s="15">
        <f>IF(OR(L192="",H192=""),"",IF(H192&lt;=0,"",IFERROR(L192/H192-1,"")))</f>
        <v/>
      </c>
      <c r="M194" s="15">
        <f>IF(OR(M192="",I192=""),"",IF(I192&lt;=0,"",IFERROR(M192/I192-1,"")))</f>
        <v/>
      </c>
      <c r="N194" s="15">
        <f>IF(OR(N192="",J192=""),"",IF(J192&lt;=0,"",IFERROR(N192/J192-1,"")))</f>
        <v/>
      </c>
    </row>
    <row r="195">
      <c r="A195" s="18" t="inlineStr">
        <is>
          <t>부문 이익</t>
        </is>
      </c>
      <c r="D195" s="20" t="n">
        <v>12541</v>
      </c>
      <c r="E195" s="20" t="n">
        <v>11678</v>
      </c>
      <c r="F195" s="20" t="n">
        <v>5979</v>
      </c>
      <c r="H195" s="20" t="n">
        <v>1926</v>
      </c>
      <c r="I195" s="20" t="n">
        <v>4692</v>
      </c>
      <c r="J195" s="20" t="n">
        <v>5015</v>
      </c>
      <c r="L195" s="20" t="n">
        <v>3618</v>
      </c>
      <c r="M195" s="20" t="n">
        <v>6109</v>
      </c>
      <c r="N195" s="20" t="n">
        <v>7616</v>
      </c>
    </row>
    <row r="196">
      <c r="A196" s="18" t="inlineStr">
        <is>
          <t>부문 · 금융수익</t>
        </is>
      </c>
      <c r="D196" s="20" t="n">
        <v>0</v>
      </c>
      <c r="E196" s="20" t="n">
        <v>0</v>
      </c>
      <c r="F196" s="20" t="n">
        <v>0</v>
      </c>
      <c r="H196" s="20" t="n">
        <v>0</v>
      </c>
      <c r="I196" s="20" t="n">
        <v>0</v>
      </c>
      <c r="J196" s="20" t="n">
        <v>0</v>
      </c>
      <c r="L196" s="20" t="n">
        <v>0</v>
      </c>
      <c r="M196" s="20" t="n">
        <v>0</v>
      </c>
      <c r="N196" s="20" t="n">
        <v>0</v>
      </c>
    </row>
    <row r="197">
      <c r="A197" s="18" t="inlineStr">
        <is>
          <t>부문 · 금융수익</t>
        </is>
      </c>
      <c r="D197" s="20" t="n">
        <v>0</v>
      </c>
      <c r="E197" s="20" t="n">
        <v>0</v>
      </c>
      <c r="F197" s="20" t="n">
        <v>0</v>
      </c>
      <c r="H197" s="20" t="n">
        <v>0</v>
      </c>
      <c r="I197" s="20" t="n">
        <v>0</v>
      </c>
      <c r="J197" s="20" t="n">
        <v>0</v>
      </c>
      <c r="L197" s="20" t="n">
        <v>0</v>
      </c>
      <c r="M197" s="20" t="n">
        <v>0</v>
      </c>
      <c r="N197" s="20" t="n">
        <v>0</v>
      </c>
    </row>
    <row r="198">
      <c r="A198" s="18" t="inlineStr">
        <is>
          <t>보고부문 합계 · 금융수익</t>
        </is>
      </c>
      <c r="D198" s="20" t="n">
        <v>0</v>
      </c>
      <c r="E198" s="20" t="n">
        <v>0</v>
      </c>
      <c r="F198" s="20" t="n">
        <v>0</v>
      </c>
      <c r="H198" s="20" t="n">
        <v>0</v>
      </c>
      <c r="I198" s="20" t="n">
        <v>0</v>
      </c>
      <c r="J198" s="20" t="n">
        <v>0</v>
      </c>
      <c r="L198" s="20" t="n">
        <v>0</v>
      </c>
      <c r="M198" s="20" t="n">
        <v>0</v>
      </c>
      <c r="N198" s="20" t="n">
        <v>0</v>
      </c>
    </row>
    <row r="199">
      <c r="A199" s="18" t="inlineStr">
        <is>
          <t>부문 · 금융수익</t>
        </is>
      </c>
      <c r="D199" s="20" t="n">
        <v>0</v>
      </c>
      <c r="E199" s="20" t="n">
        <v>0</v>
      </c>
      <c r="F199" s="20" t="n">
        <v>0</v>
      </c>
      <c r="H199" s="20" t="n">
        <v>0</v>
      </c>
      <c r="I199" s="20" t="n">
        <v>0</v>
      </c>
      <c r="J199" s="20" t="n">
        <v>0</v>
      </c>
      <c r="L199" s="20" t="n">
        <v>0</v>
      </c>
      <c r="M199" s="20" t="n">
        <v>0</v>
      </c>
      <c r="N199" s="20" t="n">
        <v>0</v>
      </c>
    </row>
    <row r="200">
      <c r="A200" s="18" t="inlineStr">
        <is>
          <t>부문 · 금융수익</t>
        </is>
      </c>
      <c r="D200" s="20" t="n">
        <v>0</v>
      </c>
      <c r="E200" s="20" t="n">
        <v>0</v>
      </c>
      <c r="F200" s="20" t="n">
        <v>0</v>
      </c>
      <c r="H200" s="20" t="n">
        <v>0</v>
      </c>
      <c r="I200" s="20" t="n">
        <v>0</v>
      </c>
      <c r="J200" s="20" t="n">
        <v>0</v>
      </c>
      <c r="L200" s="20" t="n">
        <v>0</v>
      </c>
      <c r="M200" s="20" t="n">
        <v>0</v>
      </c>
      <c r="N200" s="20" t="n">
        <v>0</v>
      </c>
    </row>
    <row r="201">
      <c r="A201" s="18" t="inlineStr">
        <is>
          <t>금융수익</t>
        </is>
      </c>
      <c r="D201" s="20" t="n">
        <v>445</v>
      </c>
      <c r="E201" s="20" t="n">
        <v>412</v>
      </c>
      <c r="F201" s="20" t="n">
        <v>98</v>
      </c>
      <c r="H201" s="20" t="n">
        <v>181</v>
      </c>
      <c r="I201" s="20" t="n">
        <v>198</v>
      </c>
      <c r="J201" s="20" t="n">
        <v>319</v>
      </c>
      <c r="L201" s="20" t="n">
        <v>173</v>
      </c>
      <c r="M201" s="20" t="n">
        <v>104</v>
      </c>
      <c r="N201" s="20" t="n">
        <v>375</v>
      </c>
    </row>
    <row r="202">
      <c r="A202" s="43" t="inlineStr">
        <is>
          <t>YoY</t>
        </is>
      </c>
      <c r="B202" s="3" t="inlineStr">
        <is>
          <t>전년 같은 분기·전년 대비</t>
        </is>
      </c>
      <c r="H202" s="15">
        <f>IF(OR(H201="",D201=""),"",IF(H201*D201&lt;=0,"",IFERROR(H201/D201-1,"")))</f>
        <v/>
      </c>
      <c r="I202" s="15">
        <f>IF(OR(I201="",E201=""),"",IF(I201*E201&lt;=0,"",IFERROR(I201/E201-1,"")))</f>
        <v/>
      </c>
      <c r="J202" s="15">
        <f>IF(OR(J201="",F201=""),"",IF(J201*F201&lt;=0,"",IFERROR(J201/F201-1,"")))</f>
        <v/>
      </c>
      <c r="L202" s="15">
        <f>IF(OR(L201="",H201=""),"",IF(L201*H201&lt;=0,"",IFERROR(L201/H201-1,"")))</f>
        <v/>
      </c>
      <c r="M202" s="15">
        <f>IF(OR(M201="",I201=""),"",IF(M201*I201&lt;=0,"",IFERROR(M201/I201-1,"")))</f>
        <v/>
      </c>
      <c r="N202" s="15">
        <f>IF(OR(N201="",J201=""),"",IF(N201*J201&lt;=0,"",IFERROR(N201/J201-1,"")))</f>
        <v/>
      </c>
    </row>
    <row r="203">
      <c r="A203" s="18" t="inlineStr">
        <is>
          <t>부문 · 금융비용</t>
        </is>
      </c>
      <c r="D203" s="20" t="n">
        <v>0</v>
      </c>
      <c r="E203" s="20" t="n">
        <v>0</v>
      </c>
      <c r="F203" s="20" t="n">
        <v>0</v>
      </c>
      <c r="H203" s="20" t="n">
        <v>0</v>
      </c>
      <c r="I203" s="20" t="n">
        <v>0</v>
      </c>
      <c r="J203" s="20" t="n">
        <v>0</v>
      </c>
      <c r="L203" s="20" t="n">
        <v>0</v>
      </c>
      <c r="M203" s="20" t="n">
        <v>0</v>
      </c>
      <c r="N203" s="20" t="n">
        <v>0</v>
      </c>
    </row>
    <row r="204">
      <c r="A204" s="18" t="inlineStr">
        <is>
          <t>부문 · 금융비용</t>
        </is>
      </c>
      <c r="D204" s="20" t="n">
        <v>0</v>
      </c>
      <c r="E204" s="20" t="n">
        <v>0</v>
      </c>
      <c r="F204" s="20" t="n">
        <v>0</v>
      </c>
      <c r="H204" s="20" t="n">
        <v>0</v>
      </c>
      <c r="I204" s="20" t="n">
        <v>0</v>
      </c>
      <c r="J204" s="20" t="n">
        <v>0</v>
      </c>
      <c r="L204" s="20" t="n">
        <v>0</v>
      </c>
      <c r="M204" s="20" t="n">
        <v>0</v>
      </c>
      <c r="N204" s="20" t="n">
        <v>0</v>
      </c>
    </row>
    <row r="205">
      <c r="A205" s="18" t="inlineStr">
        <is>
          <t>보고부문 합계 · 금융비용</t>
        </is>
      </c>
      <c r="D205" s="20" t="n">
        <v>0</v>
      </c>
      <c r="E205" s="20" t="n">
        <v>0</v>
      </c>
      <c r="F205" s="20" t="n">
        <v>0</v>
      </c>
      <c r="H205" s="20" t="n">
        <v>0</v>
      </c>
      <c r="I205" s="20" t="n">
        <v>0</v>
      </c>
      <c r="J205" s="20" t="n">
        <v>0</v>
      </c>
      <c r="L205" s="20" t="n">
        <v>0</v>
      </c>
      <c r="M205" s="20" t="n">
        <v>0</v>
      </c>
      <c r="N205" s="20" t="n">
        <v>0</v>
      </c>
    </row>
    <row r="206">
      <c r="A206" s="18" t="inlineStr">
        <is>
          <t>부문 · 금융비용</t>
        </is>
      </c>
      <c r="D206" s="20" t="n">
        <v>0</v>
      </c>
      <c r="E206" s="20" t="n">
        <v>0</v>
      </c>
      <c r="F206" s="20" t="n">
        <v>0</v>
      </c>
      <c r="H206" s="20" t="n">
        <v>0</v>
      </c>
      <c r="I206" s="20" t="n">
        <v>0</v>
      </c>
      <c r="J206" s="20" t="n">
        <v>0</v>
      </c>
      <c r="L206" s="20" t="n">
        <v>0</v>
      </c>
      <c r="M206" s="20" t="n">
        <v>0</v>
      </c>
      <c r="N206" s="20" t="n">
        <v>0</v>
      </c>
    </row>
    <row r="207">
      <c r="A207" s="18" t="inlineStr">
        <is>
          <t>부문 · 금융비용</t>
        </is>
      </c>
      <c r="D207" s="20" t="n">
        <v>0</v>
      </c>
      <c r="E207" s="20" t="n">
        <v>0</v>
      </c>
      <c r="F207" s="20" t="n">
        <v>0</v>
      </c>
      <c r="H207" s="20" t="n">
        <v>0</v>
      </c>
      <c r="I207" s="20" t="n">
        <v>0</v>
      </c>
      <c r="J207" s="20" t="n">
        <v>0</v>
      </c>
      <c r="L207" s="20" t="n">
        <v>0</v>
      </c>
      <c r="M207" s="20" t="n">
        <v>0</v>
      </c>
      <c r="N207" s="20" t="n">
        <v>0</v>
      </c>
    </row>
    <row r="208">
      <c r="A208" s="18" t="inlineStr">
        <is>
          <t>금융비용</t>
        </is>
      </c>
      <c r="D208" s="20" t="n">
        <v>1993</v>
      </c>
      <c r="E208" s="20" t="n">
        <v>1642</v>
      </c>
      <c r="F208" s="20" t="n">
        <v>2306</v>
      </c>
      <c r="H208" s="20" t="n">
        <v>1734</v>
      </c>
      <c r="I208" s="20" t="n">
        <v>1995</v>
      </c>
      <c r="J208" s="20" t="n">
        <v>1771</v>
      </c>
      <c r="L208" s="20" t="n">
        <v>1822</v>
      </c>
      <c r="M208" s="20" t="n">
        <v>2249</v>
      </c>
      <c r="N208" s="20" t="n">
        <v>1985</v>
      </c>
    </row>
    <row r="209">
      <c r="A209" s="43" t="inlineStr">
        <is>
          <t>YoY</t>
        </is>
      </c>
      <c r="B209" s="3" t="inlineStr">
        <is>
          <t>전년 같은 분기·전년 대비</t>
        </is>
      </c>
      <c r="H209" s="15">
        <f>IF(OR(H208="",D208=""),"",IF(H208*D208&lt;=0,"",IFERROR(H208/D208-1,"")))</f>
        <v/>
      </c>
      <c r="I209" s="15">
        <f>IF(OR(I208="",E208=""),"",IF(I208*E208&lt;=0,"",IFERROR(I208/E208-1,"")))</f>
        <v/>
      </c>
      <c r="J209" s="15">
        <f>IF(OR(J208="",F208=""),"",IF(J208*F208&lt;=0,"",IFERROR(J208/F208-1,"")))</f>
        <v/>
      </c>
      <c r="L209" s="15">
        <f>IF(OR(L208="",H208=""),"",IF(L208*H208&lt;=0,"",IFERROR(L208/H208-1,"")))</f>
        <v/>
      </c>
      <c r="M209" s="15">
        <f>IF(OR(M208="",I208=""),"",IF(M208*I208&lt;=0,"",IFERROR(M208/I208-1,"")))</f>
        <v/>
      </c>
      <c r="N209" s="15">
        <f>IF(OR(N208="",J208=""),"",IF(N208*J208&lt;=0,"",IFERROR(N208/J208-1,"")))</f>
        <v/>
      </c>
    </row>
    <row r="210">
      <c r="A210" s="18" t="inlineStr">
        <is>
          <t>부문 · Profit Loss Before Tax</t>
        </is>
      </c>
      <c r="D210" s="20" t="n">
        <v>0</v>
      </c>
      <c r="E210" s="20" t="n">
        <v>0</v>
      </c>
      <c r="F210" s="20" t="n">
        <v>0</v>
      </c>
      <c r="H210" s="20" t="n">
        <v>0</v>
      </c>
      <c r="I210" s="20" t="n">
        <v>0</v>
      </c>
      <c r="J210" s="20" t="n">
        <v>0</v>
      </c>
      <c r="L210" s="20" t="n">
        <v>0</v>
      </c>
      <c r="M210" s="20" t="n">
        <v>0</v>
      </c>
      <c r="N210" s="20" t="n">
        <v>0</v>
      </c>
    </row>
    <row r="211">
      <c r="A211" s="43" t="inlineStr">
        <is>
          <t>OPM</t>
        </is>
      </c>
      <c r="B211" s="3" t="inlineStr">
        <is>
          <t>영업이익 ÷ 매출</t>
        </is>
      </c>
      <c r="D211" s="15">
        <f>IF(OR(D210="",D168=""),"",IF(D168&lt;=0,"",IFERROR(D210/D168,"")))</f>
        <v/>
      </c>
      <c r="E211" s="15">
        <f>IF(OR(E210="",E168=""),"",IF(E168&lt;=0,"",IFERROR(E210/E168,"")))</f>
        <v/>
      </c>
      <c r="F211" s="15">
        <f>IF(OR(F210="",F168=""),"",IF(F168&lt;=0,"",IFERROR(F210/F168,"")))</f>
        <v/>
      </c>
      <c r="H211" s="15">
        <f>IF(OR(H210="",H168=""),"",IF(H168&lt;=0,"",IFERROR(H210/H168,"")))</f>
        <v/>
      </c>
      <c r="I211" s="15">
        <f>IF(OR(I210="",I168=""),"",IF(I168&lt;=0,"",IFERROR(I210/I168,"")))</f>
        <v/>
      </c>
      <c r="J211" s="15">
        <f>IF(OR(J210="",J168=""),"",IF(J168&lt;=0,"",IFERROR(J210/J168,"")))</f>
        <v/>
      </c>
      <c r="L211" s="15">
        <f>IF(OR(L210="",L168=""),"",IF(L168&lt;=0,"",IFERROR(L210/L168,"")))</f>
        <v/>
      </c>
      <c r="M211" s="15">
        <f>IF(OR(M210="",M168=""),"",IF(M168&lt;=0,"",IFERROR(M210/M168,"")))</f>
        <v/>
      </c>
      <c r="N211" s="15">
        <f>IF(OR(N210="",N168=""),"",IF(N168&lt;=0,"",IFERROR(N210/N168,"")))</f>
        <v/>
      </c>
    </row>
    <row r="212">
      <c r="A212" s="43" t="inlineStr">
        <is>
          <t>YoY</t>
        </is>
      </c>
      <c r="B212" s="3" t="inlineStr">
        <is>
          <t>전년 같은 분기·전년 대비</t>
        </is>
      </c>
      <c r="H212" s="15">
        <f>IF(OR(H210="",D210=""),"",IF(D210&lt;=0,"",IFERROR(H210/D210-1,"")))</f>
        <v/>
      </c>
      <c r="I212" s="15">
        <f>IF(OR(I210="",E210=""),"",IF(E210&lt;=0,"",IFERROR(I210/E210-1,"")))</f>
        <v/>
      </c>
      <c r="J212" s="15">
        <f>IF(OR(J210="",F210=""),"",IF(F210&lt;=0,"",IFERROR(J210/F210-1,"")))</f>
        <v/>
      </c>
      <c r="L212" s="15">
        <f>IF(OR(L210="",H210=""),"",IF(H210&lt;=0,"",IFERROR(L210/H210-1,"")))</f>
        <v/>
      </c>
      <c r="M212" s="15">
        <f>IF(OR(M210="",I210=""),"",IF(I210&lt;=0,"",IFERROR(M210/I210-1,"")))</f>
        <v/>
      </c>
      <c r="N212" s="15">
        <f>IF(OR(N210="",J210=""),"",IF(J210&lt;=0,"",IFERROR(N210/J210-1,"")))</f>
        <v/>
      </c>
    </row>
    <row r="213">
      <c r="A213" s="18" t="inlineStr">
        <is>
          <t>부문 · Profit Loss Before Tax</t>
        </is>
      </c>
      <c r="D213" s="20" t="n">
        <v>0</v>
      </c>
      <c r="E213" s="20" t="n">
        <v>0</v>
      </c>
      <c r="F213" s="20" t="n">
        <v>0</v>
      </c>
      <c r="H213" s="20" t="n">
        <v>0</v>
      </c>
      <c r="I213" s="20" t="n">
        <v>0</v>
      </c>
      <c r="J213" s="20" t="n">
        <v>0</v>
      </c>
      <c r="L213" s="20" t="n">
        <v>0</v>
      </c>
      <c r="M213" s="20" t="n">
        <v>0</v>
      </c>
      <c r="N213" s="20" t="n">
        <v>0</v>
      </c>
    </row>
    <row r="214">
      <c r="A214" s="43" t="inlineStr">
        <is>
          <t>OPM</t>
        </is>
      </c>
      <c r="B214" s="3" t="inlineStr">
        <is>
          <t>영업이익 ÷ 매출</t>
        </is>
      </c>
      <c r="D214" s="15">
        <f>IF(OR(D213="",D170=""),"",IF(D170&lt;=0,"",IFERROR(D213/D170,"")))</f>
        <v/>
      </c>
      <c r="E214" s="15">
        <f>IF(OR(E213="",E170=""),"",IF(E170&lt;=0,"",IFERROR(E213/E170,"")))</f>
        <v/>
      </c>
      <c r="F214" s="15">
        <f>IF(OR(F213="",F170=""),"",IF(F170&lt;=0,"",IFERROR(F213/F170,"")))</f>
        <v/>
      </c>
      <c r="H214" s="15">
        <f>IF(OR(H213="",H170=""),"",IF(H170&lt;=0,"",IFERROR(H213/H170,"")))</f>
        <v/>
      </c>
      <c r="I214" s="15">
        <f>IF(OR(I213="",I170=""),"",IF(I170&lt;=0,"",IFERROR(I213/I170,"")))</f>
        <v/>
      </c>
      <c r="J214" s="15">
        <f>IF(OR(J213="",J170=""),"",IF(J170&lt;=0,"",IFERROR(J213/J170,"")))</f>
        <v/>
      </c>
      <c r="L214" s="15">
        <f>IF(OR(L213="",L170=""),"",IF(L170&lt;=0,"",IFERROR(L213/L170,"")))</f>
        <v/>
      </c>
      <c r="M214" s="15">
        <f>IF(OR(M213="",M170=""),"",IF(M170&lt;=0,"",IFERROR(M213/M170,"")))</f>
        <v/>
      </c>
      <c r="N214" s="15">
        <f>IF(OR(N213="",N170=""),"",IF(N170&lt;=0,"",IFERROR(N213/N170,"")))</f>
        <v/>
      </c>
    </row>
    <row r="215">
      <c r="A215" s="43" t="inlineStr">
        <is>
          <t>YoY</t>
        </is>
      </c>
      <c r="B215" s="3" t="inlineStr">
        <is>
          <t>전년 같은 분기·전년 대비</t>
        </is>
      </c>
      <c r="H215" s="15">
        <f>IF(OR(H213="",D213=""),"",IF(D213&lt;=0,"",IFERROR(H213/D213-1,"")))</f>
        <v/>
      </c>
      <c r="I215" s="15">
        <f>IF(OR(I213="",E213=""),"",IF(E213&lt;=0,"",IFERROR(I213/E213-1,"")))</f>
        <v/>
      </c>
      <c r="J215" s="15">
        <f>IF(OR(J213="",F213=""),"",IF(F213&lt;=0,"",IFERROR(J213/F213-1,"")))</f>
        <v/>
      </c>
      <c r="L215" s="15">
        <f>IF(OR(L213="",H213=""),"",IF(H213&lt;=0,"",IFERROR(L213/H213-1,"")))</f>
        <v/>
      </c>
      <c r="M215" s="15">
        <f>IF(OR(M213="",I213=""),"",IF(I213&lt;=0,"",IFERROR(M213/I213-1,"")))</f>
        <v/>
      </c>
      <c r="N215" s="15">
        <f>IF(OR(N213="",J213=""),"",IF(J213&lt;=0,"",IFERROR(N213/J213-1,"")))</f>
        <v/>
      </c>
    </row>
    <row r="216">
      <c r="A216" s="18" t="inlineStr">
        <is>
          <t>보고부문 합계 · Profit Loss Before Tax</t>
        </is>
      </c>
      <c r="D216" s="20" t="n">
        <v>0</v>
      </c>
      <c r="E216" s="20" t="n">
        <v>0</v>
      </c>
      <c r="F216" s="20" t="n">
        <v>0</v>
      </c>
      <c r="H216" s="20" t="n">
        <v>0</v>
      </c>
      <c r="I216" s="20" t="n">
        <v>0</v>
      </c>
      <c r="J216" s="20" t="n">
        <v>0</v>
      </c>
      <c r="L216" s="20" t="n">
        <v>0</v>
      </c>
      <c r="M216" s="20" t="n">
        <v>0</v>
      </c>
      <c r="N216" s="20" t="n">
        <v>0</v>
      </c>
    </row>
    <row r="217">
      <c r="A217" s="43" t="inlineStr">
        <is>
          <t>OPM</t>
        </is>
      </c>
      <c r="B217" s="3" t="inlineStr">
        <is>
          <t>영업이익 ÷ 매출</t>
        </is>
      </c>
      <c r="D217" s="15">
        <f>IF(OR(D216="",D172=""),"",IF(D172&lt;=0,"",IFERROR(D216/D172,"")))</f>
        <v/>
      </c>
      <c r="E217" s="15">
        <f>IF(OR(E216="",E172=""),"",IF(E172&lt;=0,"",IFERROR(E216/E172,"")))</f>
        <v/>
      </c>
      <c r="F217" s="15">
        <f>IF(OR(F216="",F172=""),"",IF(F172&lt;=0,"",IFERROR(F216/F172,"")))</f>
        <v/>
      </c>
      <c r="H217" s="15">
        <f>IF(OR(H216="",H172=""),"",IF(H172&lt;=0,"",IFERROR(H216/H172,"")))</f>
        <v/>
      </c>
      <c r="I217" s="15">
        <f>IF(OR(I216="",I172=""),"",IF(I172&lt;=0,"",IFERROR(I216/I172,"")))</f>
        <v/>
      </c>
      <c r="J217" s="15">
        <f>IF(OR(J216="",J172=""),"",IF(J172&lt;=0,"",IFERROR(J216/J172,"")))</f>
        <v/>
      </c>
      <c r="L217" s="15">
        <f>IF(OR(L216="",L172=""),"",IF(L172&lt;=0,"",IFERROR(L216/L172,"")))</f>
        <v/>
      </c>
      <c r="M217" s="15">
        <f>IF(OR(M216="",M172=""),"",IF(M172&lt;=0,"",IFERROR(M216/M172,"")))</f>
        <v/>
      </c>
      <c r="N217" s="15">
        <f>IF(OR(N216="",N172=""),"",IF(N172&lt;=0,"",IFERROR(N216/N172,"")))</f>
        <v/>
      </c>
    </row>
    <row r="218">
      <c r="A218" s="43" t="inlineStr">
        <is>
          <t>YoY</t>
        </is>
      </c>
      <c r="B218" s="3" t="inlineStr">
        <is>
          <t>전년 같은 분기·전년 대비</t>
        </is>
      </c>
      <c r="H218" s="15">
        <f>IF(OR(H216="",D216=""),"",IF(D216&lt;=0,"",IFERROR(H216/D216-1,"")))</f>
        <v/>
      </c>
      <c r="I218" s="15">
        <f>IF(OR(I216="",E216=""),"",IF(E216&lt;=0,"",IFERROR(I216/E216-1,"")))</f>
        <v/>
      </c>
      <c r="J218" s="15">
        <f>IF(OR(J216="",F216=""),"",IF(F216&lt;=0,"",IFERROR(J216/F216-1,"")))</f>
        <v/>
      </c>
      <c r="L218" s="15">
        <f>IF(OR(L216="",H216=""),"",IF(H216&lt;=0,"",IFERROR(L216/H216-1,"")))</f>
        <v/>
      </c>
      <c r="M218" s="15">
        <f>IF(OR(M216="",I216=""),"",IF(I216&lt;=0,"",IFERROR(M216/I216-1,"")))</f>
        <v/>
      </c>
      <c r="N218" s="15">
        <f>IF(OR(N216="",J216=""),"",IF(J216&lt;=0,"",IFERROR(N216/J216-1,"")))</f>
        <v/>
      </c>
    </row>
    <row r="219">
      <c r="A219" s="18" t="inlineStr">
        <is>
          <t>부문 · Profit Loss Before Tax</t>
        </is>
      </c>
      <c r="D219" s="20" t="n">
        <v>0</v>
      </c>
      <c r="E219" s="20" t="n">
        <v>0</v>
      </c>
      <c r="F219" s="20" t="n">
        <v>0</v>
      </c>
      <c r="H219" s="20" t="n">
        <v>0</v>
      </c>
      <c r="I219" s="20" t="n">
        <v>0</v>
      </c>
      <c r="J219" s="20" t="n">
        <v>0</v>
      </c>
      <c r="L219" s="20" t="n">
        <v>0</v>
      </c>
      <c r="M219" s="20" t="n">
        <v>0</v>
      </c>
      <c r="N219" s="20" t="n">
        <v>0</v>
      </c>
    </row>
    <row r="220">
      <c r="A220" s="43" t="inlineStr">
        <is>
          <t>OPM</t>
        </is>
      </c>
      <c r="B220" s="3" t="inlineStr">
        <is>
          <t>영업이익 ÷ 매출</t>
        </is>
      </c>
      <c r="D220" s="15">
        <f>IF(OR(D219="",D174=""),"",IF(D174&lt;=0,"",IFERROR(D219/D174,"")))</f>
        <v/>
      </c>
      <c r="E220" s="15">
        <f>IF(OR(E219="",E174=""),"",IF(E174&lt;=0,"",IFERROR(E219/E174,"")))</f>
        <v/>
      </c>
      <c r="F220" s="15">
        <f>IF(OR(F219="",F174=""),"",IF(F174&lt;=0,"",IFERROR(F219/F174,"")))</f>
        <v/>
      </c>
      <c r="H220" s="15">
        <f>IF(OR(H219="",H174=""),"",IF(H174&lt;=0,"",IFERROR(H219/H174,"")))</f>
        <v/>
      </c>
      <c r="I220" s="15">
        <f>IF(OR(I219="",I174=""),"",IF(I174&lt;=0,"",IFERROR(I219/I174,"")))</f>
        <v/>
      </c>
      <c r="J220" s="15">
        <f>IF(OR(J219="",J174=""),"",IF(J174&lt;=0,"",IFERROR(J219/J174,"")))</f>
        <v/>
      </c>
      <c r="L220" s="15">
        <f>IF(OR(L219="",L174=""),"",IF(L174&lt;=0,"",IFERROR(L219/L174,"")))</f>
        <v/>
      </c>
      <c r="M220" s="15">
        <f>IF(OR(M219="",M174=""),"",IF(M174&lt;=0,"",IFERROR(M219/M174,"")))</f>
        <v/>
      </c>
      <c r="N220" s="15">
        <f>IF(OR(N219="",N174=""),"",IF(N174&lt;=0,"",IFERROR(N219/N174,"")))</f>
        <v/>
      </c>
    </row>
    <row r="221">
      <c r="A221" s="43" t="inlineStr">
        <is>
          <t>YoY</t>
        </is>
      </c>
      <c r="B221" s="3" t="inlineStr">
        <is>
          <t>전년 같은 분기·전년 대비</t>
        </is>
      </c>
      <c r="H221" s="15">
        <f>IF(OR(H219="",D219=""),"",IF(D219&lt;=0,"",IFERROR(H219/D219-1,"")))</f>
        <v/>
      </c>
      <c r="I221" s="15">
        <f>IF(OR(I219="",E219=""),"",IF(E219&lt;=0,"",IFERROR(I219/E219-1,"")))</f>
        <v/>
      </c>
      <c r="J221" s="15">
        <f>IF(OR(J219="",F219=""),"",IF(F219&lt;=0,"",IFERROR(J219/F219-1,"")))</f>
        <v/>
      </c>
      <c r="L221" s="15">
        <f>IF(OR(L219="",H219=""),"",IF(H219&lt;=0,"",IFERROR(L219/H219-1,"")))</f>
        <v/>
      </c>
      <c r="M221" s="15">
        <f>IF(OR(M219="",I219=""),"",IF(I219&lt;=0,"",IFERROR(M219/I219-1,"")))</f>
        <v/>
      </c>
      <c r="N221" s="15">
        <f>IF(OR(N219="",J219=""),"",IF(J219&lt;=0,"",IFERROR(N219/J219-1,"")))</f>
        <v/>
      </c>
    </row>
    <row r="222">
      <c r="A222" s="18" t="inlineStr">
        <is>
          <t>부문 · Profit Loss Before Tax</t>
        </is>
      </c>
      <c r="D222" s="20" t="n">
        <v>0</v>
      </c>
      <c r="E222" s="20" t="n">
        <v>0</v>
      </c>
      <c r="F222" s="20" t="n">
        <v>0</v>
      </c>
      <c r="H222" s="20" t="n">
        <v>0</v>
      </c>
      <c r="I222" s="20" t="n">
        <v>0</v>
      </c>
      <c r="J222" s="20" t="n">
        <v>0</v>
      </c>
      <c r="L222" s="20" t="n">
        <v>0</v>
      </c>
      <c r="M222" s="20" t="n">
        <v>0</v>
      </c>
      <c r="N222" s="20" t="n">
        <v>0</v>
      </c>
    </row>
    <row r="223">
      <c r="A223" s="43" t="inlineStr">
        <is>
          <t>OPM</t>
        </is>
      </c>
      <c r="B223" s="3" t="inlineStr">
        <is>
          <t>영업이익 ÷ 매출</t>
        </is>
      </c>
      <c r="D223" s="15">
        <f>IF(OR(D222="",D176=""),"",IF(D176&lt;=0,"",IFERROR(D222/D176,"")))</f>
        <v/>
      </c>
      <c r="E223" s="15">
        <f>IF(OR(E222="",E176=""),"",IF(E176&lt;=0,"",IFERROR(E222/E176,"")))</f>
        <v/>
      </c>
      <c r="F223" s="15">
        <f>IF(OR(F222="",F176=""),"",IF(F176&lt;=0,"",IFERROR(F222/F176,"")))</f>
        <v/>
      </c>
      <c r="H223" s="15">
        <f>IF(OR(H222="",H176=""),"",IF(H176&lt;=0,"",IFERROR(H222/H176,"")))</f>
        <v/>
      </c>
      <c r="I223" s="15">
        <f>IF(OR(I222="",I176=""),"",IF(I176&lt;=0,"",IFERROR(I222/I176,"")))</f>
        <v/>
      </c>
      <c r="J223" s="15">
        <f>IF(OR(J222="",J176=""),"",IF(J176&lt;=0,"",IFERROR(J222/J176,"")))</f>
        <v/>
      </c>
      <c r="L223" s="15">
        <f>IF(OR(L222="",L176=""),"",IF(L176&lt;=0,"",IFERROR(L222/L176,"")))</f>
        <v/>
      </c>
      <c r="M223" s="15">
        <f>IF(OR(M222="",M176=""),"",IF(M176&lt;=0,"",IFERROR(M222/M176,"")))</f>
        <v/>
      </c>
      <c r="N223" s="15">
        <f>IF(OR(N222="",N176=""),"",IF(N176&lt;=0,"",IFERROR(N222/N176,"")))</f>
        <v/>
      </c>
    </row>
    <row r="224">
      <c r="A224" s="43" t="inlineStr">
        <is>
          <t>YoY</t>
        </is>
      </c>
      <c r="B224" s="3" t="inlineStr">
        <is>
          <t>전년 같은 분기·전년 대비</t>
        </is>
      </c>
      <c r="H224" s="15">
        <f>IF(OR(H222="",D222=""),"",IF(D222&lt;=0,"",IFERROR(H222/D222-1,"")))</f>
        <v/>
      </c>
      <c r="I224" s="15">
        <f>IF(OR(I222="",E222=""),"",IF(E222&lt;=0,"",IFERROR(I222/E222-1,"")))</f>
        <v/>
      </c>
      <c r="J224" s="15">
        <f>IF(OR(J222="",F222=""),"",IF(F222&lt;=0,"",IFERROR(J222/F222-1,"")))</f>
        <v/>
      </c>
      <c r="L224" s="15">
        <f>IF(OR(L222="",H222=""),"",IF(H222&lt;=0,"",IFERROR(L222/H222-1,"")))</f>
        <v/>
      </c>
      <c r="M224" s="15">
        <f>IF(OR(M222="",I222=""),"",IF(I222&lt;=0,"",IFERROR(M222/I222-1,"")))</f>
        <v/>
      </c>
      <c r="N224" s="15">
        <f>IF(OR(N222="",J222=""),"",IF(J222&lt;=0,"",IFERROR(N222/J222-1,"")))</f>
        <v/>
      </c>
    </row>
    <row r="225">
      <c r="A225" s="9" t="inlineStr">
        <is>
          <t>Profit Loss Before Tax</t>
        </is>
      </c>
      <c r="D225" s="12" t="n">
        <v>10993</v>
      </c>
      <c r="E225" s="12" t="n">
        <v>10448</v>
      </c>
      <c r="F225" s="12" t="n">
        <v>3771</v>
      </c>
      <c r="H225" s="12" t="n">
        <v>373</v>
      </c>
      <c r="I225" s="12" t="n">
        <v>2895</v>
      </c>
      <c r="J225" s="12" t="n">
        <v>3562</v>
      </c>
      <c r="L225" s="12" t="n">
        <v>1968</v>
      </c>
      <c r="M225" s="12" t="n">
        <v>3965</v>
      </c>
      <c r="N225" s="12" t="n">
        <v>6006</v>
      </c>
    </row>
    <row r="227">
      <c r="A227" s="16" t="inlineStr">
        <is>
          <t>현금흐름표 · 전 항목</t>
        </is>
      </c>
      <c r="B227" s="42" t="inlineStr">
        <is>
          <t>분기 = 결산기 첫날부터 누계(공시 그대로)</t>
        </is>
      </c>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row>
    <row r="228">
      <c r="A228" s="5" t="inlineStr">
        <is>
          <t>항목</t>
        </is>
      </c>
      <c r="B228" s="5" t="inlineStr">
        <is>
          <t>참고</t>
        </is>
      </c>
      <c r="C228" s="5" t="inlineStr">
        <is>
          <t>2023.4Q</t>
        </is>
      </c>
      <c r="D228" s="5" t="inlineStr">
        <is>
          <t>2024.1Q</t>
        </is>
      </c>
      <c r="E228" s="5" t="inlineStr">
        <is>
          <t>2024.2Q</t>
        </is>
      </c>
      <c r="F228" s="5" t="inlineStr">
        <is>
          <t>2024.3Q</t>
        </is>
      </c>
      <c r="G228" s="5" t="inlineStr">
        <is>
          <t>2024.4Q</t>
        </is>
      </c>
      <c r="H228" s="5" t="inlineStr">
        <is>
          <t>2025.1Q</t>
        </is>
      </c>
      <c r="I228" s="5" t="inlineStr">
        <is>
          <t>2025.2Q</t>
        </is>
      </c>
      <c r="J228" s="5" t="inlineStr">
        <is>
          <t>2025.3Q</t>
        </is>
      </c>
      <c r="K228" s="5" t="inlineStr">
        <is>
          <t>2025.4Q</t>
        </is>
      </c>
      <c r="L228" s="5" t="inlineStr">
        <is>
          <t>2026.1Q</t>
        </is>
      </c>
      <c r="M228" s="5" t="inlineStr">
        <is>
          <t>2026.2Q</t>
        </is>
      </c>
      <c r="N228" s="5" t="inlineStr">
        <is>
          <t>2026.3Q</t>
        </is>
      </c>
      <c r="O228" s="5" t="inlineStr">
        <is>
          <t>2016</t>
        </is>
      </c>
      <c r="P228" s="5" t="inlineStr">
        <is>
          <t>2017</t>
        </is>
      </c>
      <c r="Q228" s="5" t="inlineStr">
        <is>
          <t>2018</t>
        </is>
      </c>
      <c r="R228" s="5" t="inlineStr">
        <is>
          <t>2019</t>
        </is>
      </c>
      <c r="S228" s="5" t="inlineStr">
        <is>
          <t>2020</t>
        </is>
      </c>
      <c r="T228" s="5" t="inlineStr">
        <is>
          <t>2021</t>
        </is>
      </c>
      <c r="U228" s="5" t="inlineStr">
        <is>
          <t>2022</t>
        </is>
      </c>
      <c r="V228" s="5" t="inlineStr">
        <is>
          <t>2023</t>
        </is>
      </c>
      <c r="W228" s="5" t="inlineStr">
        <is>
          <t>2024</t>
        </is>
      </c>
      <c r="X228" s="5" t="inlineStr">
        <is>
          <t>2025</t>
        </is>
      </c>
      <c r="Y228" s="5" t="inlineStr">
        <is>
          <t>2026(MW)</t>
        </is>
      </c>
      <c r="Z228" s="5" t="inlineStr">
        <is>
          <t>2027(MW)</t>
        </is>
      </c>
      <c r="AA228" s="5" t="inlineStr">
        <is>
          <t>2028(MW)</t>
        </is>
      </c>
      <c r="AB228" s="5" t="inlineStr">
        <is>
          <t>2029(MW)</t>
        </is>
      </c>
      <c r="AC228" s="5" t="inlineStr">
        <is>
          <t>2030(MW)</t>
        </is>
      </c>
    </row>
    <row r="229">
      <c r="A229" s="9" t="inlineStr">
        <is>
          <t>Profit Loss Before Tax</t>
        </is>
      </c>
      <c r="C229" s="12" t="n">
        <v>49113</v>
      </c>
      <c r="D229" s="12" t="n">
        <v>10993</v>
      </c>
      <c r="E229" s="12" t="n">
        <v>21441</v>
      </c>
      <c r="F229" s="12" t="n">
        <v>25212</v>
      </c>
      <c r="G229" s="12" t="n">
        <v>37138</v>
      </c>
      <c r="H229" s="12" t="n">
        <v>373</v>
      </c>
      <c r="I229" s="12" t="n">
        <v>3268</v>
      </c>
      <c r="J229" s="12" t="n">
        <v>6830</v>
      </c>
      <c r="K229" s="12" t="n">
        <v>10930</v>
      </c>
      <c r="L229" s="12" t="n">
        <v>1968</v>
      </c>
      <c r="M229" s="12" t="n">
        <v>5933</v>
      </c>
      <c r="N229" s="12" t="n">
        <v>11939</v>
      </c>
      <c r="Q229" s="12" t="n">
        <v>31275</v>
      </c>
      <c r="R229" s="12" t="n">
        <v>31451</v>
      </c>
      <c r="S229" s="12" t="n">
        <v>5106</v>
      </c>
      <c r="T229" s="12" t="n">
        <v>19609</v>
      </c>
      <c r="U229" s="12" t="n">
        <v>36528</v>
      </c>
      <c r="V229" s="12" t="n">
        <v>49113</v>
      </c>
      <c r="W229" s="12" t="n">
        <v>37138</v>
      </c>
      <c r="X229" s="12" t="n">
        <v>10930</v>
      </c>
    </row>
    <row r="230">
      <c r="A230" s="18" t="inlineStr">
        <is>
          <t>감가상각비 및 상각비</t>
        </is>
      </c>
      <c r="C230" s="20" t="n">
        <v>25598</v>
      </c>
      <c r="D230" s="20" t="n">
        <v>7386</v>
      </c>
      <c r="E230" s="20" t="n">
        <v>15183</v>
      </c>
      <c r="F230" s="20" t="n">
        <v>22994</v>
      </c>
      <c r="G230" s="20" t="n">
        <v>31494</v>
      </c>
      <c r="H230" s="20" t="n">
        <v>8134</v>
      </c>
      <c r="I230" s="20" t="n">
        <v>16474</v>
      </c>
      <c r="J230" s="20" t="n">
        <v>25001</v>
      </c>
      <c r="K230" s="20" t="n">
        <v>34614</v>
      </c>
      <c r="L230" s="20" t="n">
        <v>9113</v>
      </c>
      <c r="M230" s="20" t="n">
        <v>18527</v>
      </c>
      <c r="N230" s="20" t="n">
        <v>27999</v>
      </c>
      <c r="Q230" s="20" t="n">
        <v>18499</v>
      </c>
      <c r="R230" s="20" t="n">
        <v>23079</v>
      </c>
      <c r="S230" s="20" t="n">
        <v>24118</v>
      </c>
      <c r="T230" s="20" t="n">
        <v>21894</v>
      </c>
      <c r="U230" s="20" t="n">
        <v>24016</v>
      </c>
      <c r="V230" s="20" t="n">
        <v>25598</v>
      </c>
      <c r="W230" s="20" t="n">
        <v>31494</v>
      </c>
      <c r="X230" s="20" t="n">
        <v>34614</v>
      </c>
    </row>
    <row r="231">
      <c r="A231" s="18" t="inlineStr">
        <is>
          <t>고정자산 제각·매각손익</t>
        </is>
      </c>
      <c r="C231" s="20" t="n">
        <v>-531</v>
      </c>
      <c r="D231" s="20" t="n">
        <v>-139</v>
      </c>
      <c r="E231" s="20" t="n">
        <v>-273</v>
      </c>
      <c r="F231" s="20" t="n">
        <v>-342</v>
      </c>
      <c r="G231" s="20" t="n">
        <v>517</v>
      </c>
      <c r="H231" s="20" t="n">
        <v>24</v>
      </c>
      <c r="I231" s="20" t="n">
        <v>35</v>
      </c>
      <c r="J231" s="20" t="n">
        <v>36</v>
      </c>
      <c r="K231" s="20" t="n">
        <v>102</v>
      </c>
      <c r="L231" s="20" t="n">
        <v>1</v>
      </c>
      <c r="M231" s="20" t="n">
        <v>-27</v>
      </c>
      <c r="N231" s="20" t="n">
        <v>-57</v>
      </c>
      <c r="Q231" s="20" t="n">
        <v>492</v>
      </c>
      <c r="R231" s="20" t="n">
        <v>447</v>
      </c>
      <c r="S231" s="20" t="n">
        <v>-387</v>
      </c>
      <c r="T231" s="20" t="n">
        <v>230</v>
      </c>
      <c r="U231" s="20" t="n">
        <v>306</v>
      </c>
      <c r="V231" s="20" t="n">
        <v>-531</v>
      </c>
      <c r="W231" s="20" t="n">
        <v>517</v>
      </c>
      <c r="X231" s="20" t="n">
        <v>102</v>
      </c>
    </row>
    <row r="232">
      <c r="A232" s="18" t="inlineStr">
        <is>
          <t>금융수익·금융비용</t>
        </is>
      </c>
      <c r="C232" s="20" t="n">
        <v>6415</v>
      </c>
      <c r="D232" s="20" t="n">
        <v>1547</v>
      </c>
      <c r="E232" s="20" t="n">
        <v>2777</v>
      </c>
      <c r="F232" s="20" t="n">
        <v>4985</v>
      </c>
      <c r="G232" s="20" t="n">
        <v>6864</v>
      </c>
      <c r="H232" s="20" t="n">
        <v>1552</v>
      </c>
      <c r="I232" s="20" t="n">
        <v>3350</v>
      </c>
      <c r="J232" s="20" t="n">
        <v>4802</v>
      </c>
      <c r="K232" s="20" t="n">
        <v>7738</v>
      </c>
      <c r="L232" s="20" t="n">
        <v>1649</v>
      </c>
      <c r="M232" s="20" t="n">
        <v>3793</v>
      </c>
      <c r="N232" s="20" t="n">
        <v>5404</v>
      </c>
      <c r="Q232" s="20" t="n">
        <v>5154</v>
      </c>
      <c r="R232" s="20" t="n">
        <v>5938</v>
      </c>
      <c r="S232" s="20" t="n">
        <v>5042</v>
      </c>
      <c r="T232" s="20" t="n">
        <v>3489</v>
      </c>
      <c r="U232" s="20" t="n">
        <v>4548</v>
      </c>
      <c r="V232" s="20" t="n">
        <v>6415</v>
      </c>
      <c r="W232" s="20" t="n">
        <v>6864</v>
      </c>
      <c r="X232" s="20" t="n">
        <v>7738</v>
      </c>
    </row>
    <row r="233">
      <c r="A233" s="18" t="inlineStr">
        <is>
          <t>지분법손익</t>
        </is>
      </c>
      <c r="C233" s="20" t="n">
        <v>-192</v>
      </c>
      <c r="D233" s="20" t="n">
        <v>-44</v>
      </c>
      <c r="E233" s="20" t="n">
        <v>-95</v>
      </c>
      <c r="F233" s="20" t="n">
        <v>-236</v>
      </c>
      <c r="G233" s="20" t="n">
        <v>-276</v>
      </c>
      <c r="H233" s="20" t="n">
        <v>-109</v>
      </c>
      <c r="I233" s="20" t="n">
        <v>-108</v>
      </c>
      <c r="J233" s="20" t="n">
        <v>-96</v>
      </c>
      <c r="K233" s="20" t="n">
        <v>304</v>
      </c>
      <c r="L233" s="20" t="n">
        <v>-201</v>
      </c>
      <c r="M233" s="20" t="n">
        <v>-415</v>
      </c>
      <c r="N233" s="20" t="n">
        <v>-467</v>
      </c>
      <c r="Q233" s="20" t="n">
        <v>-167</v>
      </c>
      <c r="R233" s="20" t="n">
        <v>-50</v>
      </c>
      <c r="S233" s="20" t="n">
        <v>526</v>
      </c>
      <c r="T233" s="20" t="n">
        <v>-30</v>
      </c>
      <c r="U233" s="20" t="n">
        <v>137</v>
      </c>
      <c r="V233" s="20" t="n">
        <v>-192</v>
      </c>
      <c r="W233" s="20" t="n">
        <v>-276</v>
      </c>
      <c r="X233" s="20" t="n">
        <v>304</v>
      </c>
    </row>
    <row r="234">
      <c r="A234" s="18" t="inlineStr">
        <is>
          <t>Other Non Cash Transactions Ope CF</t>
        </is>
      </c>
      <c r="C234" s="20" t="n">
        <v>-5030</v>
      </c>
      <c r="D234" s="20" t="n">
        <v>-3185</v>
      </c>
      <c r="E234" s="20" t="n">
        <v>-5408</v>
      </c>
      <c r="F234" s="20" t="n">
        <v>-1149</v>
      </c>
      <c r="G234" s="20" t="n">
        <v>1054</v>
      </c>
      <c r="H234" s="20" t="n">
        <v>476</v>
      </c>
      <c r="I234" s="20" t="n">
        <v>-2478</v>
      </c>
      <c r="J234" s="20" t="n">
        <v>-4231</v>
      </c>
      <c r="K234" s="20" t="n">
        <v>-4012</v>
      </c>
      <c r="L234" s="20" t="n">
        <v>361</v>
      </c>
      <c r="M234" s="20" t="n">
        <v>-153</v>
      </c>
      <c r="N234" s="20" t="n">
        <v>1716</v>
      </c>
      <c r="Q234" s="20" t="n">
        <v>-3751</v>
      </c>
      <c r="R234" s="20" t="n">
        <v>330</v>
      </c>
      <c r="S234" s="20" t="n">
        <v>-4632</v>
      </c>
      <c r="T234" s="20" t="n">
        <v>-817</v>
      </c>
      <c r="U234" s="20" t="n">
        <v>-1915</v>
      </c>
      <c r="V234" s="20" t="n">
        <v>-5030</v>
      </c>
      <c r="W234" s="20" t="n">
        <v>1054</v>
      </c>
      <c r="X234" s="20" t="n">
        <v>-4012</v>
      </c>
    </row>
    <row r="235">
      <c r="A235" s="18" t="inlineStr">
        <is>
          <t>재고자산 증감</t>
        </is>
      </c>
      <c r="C235" s="20" t="n">
        <v>-21699</v>
      </c>
      <c r="D235" s="20" t="n">
        <v>-375</v>
      </c>
      <c r="E235" s="20" t="n">
        <v>-393</v>
      </c>
      <c r="F235" s="20" t="n">
        <v>2151</v>
      </c>
      <c r="G235" s="20" t="n">
        <v>23927</v>
      </c>
      <c r="H235" s="20" t="n">
        <v>2777</v>
      </c>
      <c r="I235" s="20" t="n">
        <v>-1350</v>
      </c>
      <c r="J235" s="20" t="n">
        <v>-15180</v>
      </c>
      <c r="K235" s="20" t="n">
        <v>1456</v>
      </c>
      <c r="L235" s="20" t="n">
        <v>-7358</v>
      </c>
      <c r="M235" s="20" t="n">
        <v>-12999</v>
      </c>
      <c r="N235" s="20" t="n">
        <v>-22391</v>
      </c>
      <c r="Q235" s="20" t="n">
        <v>-12958</v>
      </c>
      <c r="R235" s="20" t="n">
        <v>7312</v>
      </c>
      <c r="S235" s="20" t="n">
        <v>-217</v>
      </c>
      <c r="T235" s="20" t="n">
        <v>-4130</v>
      </c>
      <c r="U235" s="20" t="n">
        <v>-26311</v>
      </c>
      <c r="V235" s="20" t="n">
        <v>-21699</v>
      </c>
      <c r="W235" s="20" t="n">
        <v>23927</v>
      </c>
      <c r="X235" s="20" t="n">
        <v>1456</v>
      </c>
    </row>
    <row r="236">
      <c r="A236" s="18" t="inlineStr">
        <is>
          <t>매출채권 및 기타채권 증감액</t>
        </is>
      </c>
      <c r="C236" s="20" t="n">
        <v>13524</v>
      </c>
      <c r="D236" s="20" t="n">
        <v>3598</v>
      </c>
      <c r="E236" s="20" t="n">
        <v>-495</v>
      </c>
      <c r="F236" s="20" t="n">
        <v>-763</v>
      </c>
      <c r="G236" s="20" t="n">
        <v>584</v>
      </c>
      <c r="H236" s="20" t="n">
        <v>5256</v>
      </c>
      <c r="I236" s="20" t="n">
        <v>6785</v>
      </c>
      <c r="J236" s="20" t="n">
        <v>2726</v>
      </c>
      <c r="K236" s="20" t="n">
        <v>-8317</v>
      </c>
      <c r="L236" s="20" t="n">
        <v>1990</v>
      </c>
      <c r="M236" s="20" t="n">
        <v>3121</v>
      </c>
      <c r="N236" s="20" t="n">
        <v>-2911</v>
      </c>
      <c r="Q236" s="20" t="n">
        <v>-11782</v>
      </c>
      <c r="R236" s="20" t="n">
        <v>12600</v>
      </c>
      <c r="S236" s="20" t="n">
        <v>12498</v>
      </c>
      <c r="T236" s="20" t="n">
        <v>-15479</v>
      </c>
      <c r="U236" s="20" t="n">
        <v>577</v>
      </c>
      <c r="V236" s="20" t="n">
        <v>13524</v>
      </c>
      <c r="W236" s="20" t="n">
        <v>584</v>
      </c>
      <c r="X236" s="20" t="n">
        <v>-8317</v>
      </c>
    </row>
    <row r="237">
      <c r="A237" s="18" t="inlineStr">
        <is>
          <t>매입채무 및 기타채무 증감액</t>
        </is>
      </c>
      <c r="C237" s="20" t="n">
        <v>5970</v>
      </c>
      <c r="D237" s="20" t="n">
        <v>-1543</v>
      </c>
      <c r="E237" s="20" t="n">
        <v>-5596</v>
      </c>
      <c r="F237" s="20" t="n">
        <v>-12924</v>
      </c>
      <c r="G237" s="20" t="n">
        <v>-10874</v>
      </c>
      <c r="H237" s="20" t="n">
        <v>-8712</v>
      </c>
      <c r="I237" s="20" t="n">
        <v>-10415</v>
      </c>
      <c r="J237" s="20" t="n">
        <v>-1359</v>
      </c>
      <c r="K237" s="20" t="n">
        <v>1053</v>
      </c>
      <c r="L237" s="20" t="n">
        <v>-2726</v>
      </c>
      <c r="M237" s="20" t="n">
        <v>-6428</v>
      </c>
      <c r="N237" s="20" t="n">
        <v>4235</v>
      </c>
      <c r="Q237" s="20" t="n">
        <v>10517</v>
      </c>
      <c r="R237" s="20" t="n">
        <v>-1897</v>
      </c>
      <c r="S237" s="20" t="n">
        <v>-10106</v>
      </c>
      <c r="T237" s="20" t="n">
        <v>-406</v>
      </c>
      <c r="U237" s="20" t="n">
        <v>16524</v>
      </c>
      <c r="V237" s="20" t="n">
        <v>5970</v>
      </c>
      <c r="W237" s="20" t="n">
        <v>-10874</v>
      </c>
      <c r="X237" s="20" t="n">
        <v>1053</v>
      </c>
    </row>
    <row r="238">
      <c r="A238" s="18" t="inlineStr">
        <is>
          <t>계약부채 증감</t>
        </is>
      </c>
      <c r="Q238" s="20" t="n">
        <v>18828</v>
      </c>
      <c r="R238" s="20" t="n">
        <v>-22189</v>
      </c>
    </row>
    <row r="239">
      <c r="A239" s="18" t="inlineStr">
        <is>
          <t>계약부채 증감</t>
        </is>
      </c>
      <c r="C239" s="20" t="n">
        <v>-7910</v>
      </c>
      <c r="D239" s="20" t="n">
        <v>-1593</v>
      </c>
      <c r="E239" s="20" t="n">
        <v>-7223</v>
      </c>
      <c r="F239" s="20" t="n">
        <v>-806</v>
      </c>
      <c r="G239" s="20" t="n">
        <v>-14159</v>
      </c>
      <c r="H239" s="20" t="n">
        <v>-3940</v>
      </c>
      <c r="I239" s="20" t="n">
        <v>167</v>
      </c>
      <c r="J239" s="20" t="n">
        <v>2483</v>
      </c>
      <c r="K239" s="20" t="n">
        <v>49</v>
      </c>
      <c r="L239" s="20" t="n">
        <v>4858</v>
      </c>
      <c r="M239" s="20" t="n">
        <v>11344</v>
      </c>
      <c r="N239" s="20" t="n">
        <v>28526</v>
      </c>
      <c r="R239" s="20" t="n">
        <v>-22189</v>
      </c>
      <c r="S239" s="20" t="n">
        <v>-3802</v>
      </c>
      <c r="T239" s="20" t="n">
        <v>30599</v>
      </c>
      <c r="U239" s="20" t="n">
        <v>21498</v>
      </c>
      <c r="V239" s="20" t="n">
        <v>-7910</v>
      </c>
      <c r="W239" s="20" t="n">
        <v>-14159</v>
      </c>
      <c r="X239" s="20" t="n">
        <v>49</v>
      </c>
    </row>
    <row r="240">
      <c r="A240" s="18" t="inlineStr">
        <is>
          <t>충당금 증감</t>
        </is>
      </c>
      <c r="C240" s="20" t="n">
        <v>594</v>
      </c>
      <c r="D240" s="20" t="n">
        <v>-1463</v>
      </c>
      <c r="E240" s="20" t="n">
        <v>-6305</v>
      </c>
      <c r="F240" s="20" t="n">
        <v>-10028</v>
      </c>
      <c r="G240" s="20" t="n">
        <v>-13963</v>
      </c>
      <c r="H240" s="20" t="n">
        <v>-4294</v>
      </c>
      <c r="I240" s="20" t="n">
        <v>-6521</v>
      </c>
      <c r="J240" s="20" t="n">
        <v>-5361</v>
      </c>
      <c r="K240" s="20" t="n">
        <v>-4070</v>
      </c>
      <c r="L240" s="20" t="n">
        <v>-3257</v>
      </c>
      <c r="M240" s="20" t="n">
        <v>-2022</v>
      </c>
      <c r="N240" s="20" t="n">
        <v>1261</v>
      </c>
      <c r="Q240" s="20" t="n">
        <v>5873</v>
      </c>
      <c r="R240" s="20" t="n">
        <v>3993</v>
      </c>
      <c r="S240" s="20" t="n">
        <v>-1737</v>
      </c>
      <c r="T240" s="20" t="n">
        <v>5937</v>
      </c>
      <c r="U240" s="20" t="n">
        <v>3508</v>
      </c>
      <c r="V240" s="20" t="n">
        <v>594</v>
      </c>
      <c r="W240" s="20" t="n">
        <v>-13963</v>
      </c>
      <c r="X240" s="20" t="n">
        <v>-4070</v>
      </c>
    </row>
    <row r="241">
      <c r="A241" s="18" t="inlineStr">
        <is>
          <t>기타</t>
        </is>
      </c>
      <c r="C241" s="20" t="n">
        <v>-170</v>
      </c>
      <c r="D241" s="20" t="n">
        <v>-3141</v>
      </c>
      <c r="E241" s="20" t="n">
        <v>-5234</v>
      </c>
      <c r="F241" s="20" t="n">
        <v>-6337</v>
      </c>
      <c r="G241" s="20" t="n">
        <v>-987</v>
      </c>
      <c r="H241" s="20" t="n">
        <v>-3123</v>
      </c>
      <c r="I241" s="20" t="n">
        <v>-2543</v>
      </c>
      <c r="J241" s="20" t="n">
        <v>-6247</v>
      </c>
      <c r="K241" s="20" t="n">
        <v>-939</v>
      </c>
      <c r="L241" s="20" t="n">
        <v>-4714</v>
      </c>
      <c r="M241" s="20" t="n">
        <v>-446</v>
      </c>
      <c r="N241" s="20" t="n">
        <v>-3395</v>
      </c>
      <c r="Q241" s="20" t="n">
        <v>-770</v>
      </c>
      <c r="R241" s="20" t="n">
        <v>295</v>
      </c>
      <c r="S241" s="20" t="n">
        <v>-1323</v>
      </c>
      <c r="T241" s="20" t="n">
        <v>-2451</v>
      </c>
      <c r="U241" s="20" t="n">
        <v>-2730</v>
      </c>
      <c r="V241" s="20" t="n">
        <v>-170</v>
      </c>
      <c r="W241" s="20" t="n">
        <v>-987</v>
      </c>
      <c r="X241" s="20" t="n">
        <v>-939</v>
      </c>
    </row>
    <row r="242">
      <c r="A242" s="18" t="inlineStr">
        <is>
          <t>(소계)</t>
        </is>
      </c>
      <c r="C242" s="20" t="n">
        <v>65681</v>
      </c>
      <c r="D242" s="20" t="n">
        <v>12039</v>
      </c>
      <c r="E242" s="20" t="n">
        <v>8377</v>
      </c>
      <c r="F242" s="20" t="n">
        <v>22755</v>
      </c>
      <c r="G242" s="20" t="n">
        <v>61319</v>
      </c>
      <c r="H242" s="20" t="n">
        <v>-1584</v>
      </c>
      <c r="I242" s="20" t="n">
        <v>6663</v>
      </c>
      <c r="J242" s="20" t="n">
        <v>9403</v>
      </c>
      <c r="K242" s="20" t="n">
        <v>38911</v>
      </c>
      <c r="L242" s="20" t="n">
        <v>1685</v>
      </c>
      <c r="M242" s="20" t="n">
        <v>20225</v>
      </c>
      <c r="N242" s="20" t="n">
        <v>51857</v>
      </c>
      <c r="Q242" s="20" t="n">
        <v>61207</v>
      </c>
      <c r="R242" s="20" t="n">
        <v>61311</v>
      </c>
      <c r="S242" s="20" t="n">
        <v>25085</v>
      </c>
      <c r="T242" s="20" t="n">
        <v>58444</v>
      </c>
      <c r="U242" s="20" t="n">
        <v>76687</v>
      </c>
      <c r="V242" s="20" t="n">
        <v>65681</v>
      </c>
      <c r="W242" s="20" t="n">
        <v>61319</v>
      </c>
      <c r="X242" s="20" t="n">
        <v>38911</v>
      </c>
    </row>
    <row r="243">
      <c r="A243" s="18" t="inlineStr">
        <is>
          <t>이자 수취</t>
        </is>
      </c>
      <c r="C243" s="20" t="n">
        <v>1002</v>
      </c>
      <c r="D243" s="20" t="n">
        <v>372</v>
      </c>
      <c r="E243" s="20" t="n">
        <v>784</v>
      </c>
      <c r="F243" s="20" t="n">
        <v>882</v>
      </c>
      <c r="G243" s="20" t="n">
        <v>1338</v>
      </c>
      <c r="H243" s="20" t="n">
        <v>179</v>
      </c>
      <c r="I243" s="20" t="n">
        <v>368</v>
      </c>
      <c r="J243" s="20" t="n">
        <v>645</v>
      </c>
      <c r="K243" s="20" t="n">
        <v>743</v>
      </c>
      <c r="L243" s="20" t="n">
        <v>171</v>
      </c>
      <c r="M243" s="20" t="n">
        <v>268</v>
      </c>
      <c r="N243" s="20" t="n">
        <v>648</v>
      </c>
      <c r="Q243" s="20" t="n">
        <v>342</v>
      </c>
      <c r="R243" s="20" t="n">
        <v>314</v>
      </c>
      <c r="S243" s="20" t="n">
        <v>260</v>
      </c>
      <c r="T243" s="20" t="n">
        <v>354</v>
      </c>
      <c r="U243" s="20" t="n">
        <v>502</v>
      </c>
      <c r="V243" s="20" t="n">
        <v>1002</v>
      </c>
      <c r="W243" s="20" t="n">
        <v>1338</v>
      </c>
      <c r="X243" s="20" t="n">
        <v>743</v>
      </c>
    </row>
    <row r="244">
      <c r="A244" s="18" t="inlineStr">
        <is>
          <t>배당금 수취액</t>
        </is>
      </c>
      <c r="C244" s="20" t="n">
        <v>148</v>
      </c>
      <c r="D244" s="20" t="n">
        <v>80</v>
      </c>
      <c r="E244" s="20" t="n">
        <v>82</v>
      </c>
      <c r="F244" s="20" t="n">
        <v>82</v>
      </c>
      <c r="G244" s="20" t="n">
        <v>162</v>
      </c>
      <c r="H244" s="20" t="n">
        <v>0</v>
      </c>
      <c r="I244" s="20" t="n">
        <v>6</v>
      </c>
      <c r="J244" s="20" t="n">
        <v>12</v>
      </c>
      <c r="K244" s="20" t="n">
        <v>9</v>
      </c>
      <c r="L244" s="20" t="n">
        <v>0</v>
      </c>
      <c r="M244" s="20" t="n">
        <v>2</v>
      </c>
      <c r="N244" s="20" t="n">
        <v>4</v>
      </c>
      <c r="Q244" s="20" t="n">
        <v>119</v>
      </c>
      <c r="R244" s="20" t="n">
        <v>107</v>
      </c>
      <c r="S244" s="20" t="n">
        <v>104</v>
      </c>
      <c r="T244" s="20" t="n">
        <v>84</v>
      </c>
      <c r="U244" s="20" t="n">
        <v>111</v>
      </c>
      <c r="V244" s="20" t="n">
        <v>148</v>
      </c>
      <c r="W244" s="20" t="n">
        <v>162</v>
      </c>
      <c r="X244" s="20" t="n">
        <v>9</v>
      </c>
    </row>
    <row r="245">
      <c r="A245" s="18" t="inlineStr">
        <is>
          <t>이자 지급</t>
        </is>
      </c>
      <c r="C245" s="20" t="n">
        <v>-5344</v>
      </c>
      <c r="D245" s="20" t="n">
        <v>-927</v>
      </c>
      <c r="E245" s="20" t="n">
        <v>-3234</v>
      </c>
      <c r="F245" s="20" t="n">
        <v>-4625</v>
      </c>
      <c r="G245" s="20" t="n">
        <v>-5706</v>
      </c>
      <c r="H245" s="20" t="n">
        <v>-1160</v>
      </c>
      <c r="I245" s="20" t="n">
        <v>-3580</v>
      </c>
      <c r="J245" s="20" t="n">
        <v>-4484</v>
      </c>
      <c r="K245" s="20" t="n">
        <v>-5610</v>
      </c>
      <c r="L245" s="20" t="n">
        <v>-1332</v>
      </c>
      <c r="M245" s="20" t="n">
        <v>-4078</v>
      </c>
      <c r="N245" s="20" t="n">
        <v>-5253</v>
      </c>
      <c r="Q245" s="20" t="n">
        <v>-5002</v>
      </c>
      <c r="R245" s="20" t="n">
        <v>-4749</v>
      </c>
      <c r="S245" s="20" t="n">
        <v>-3394</v>
      </c>
      <c r="T245" s="20" t="n">
        <v>-3464</v>
      </c>
      <c r="U245" s="20" t="n">
        <v>-3821</v>
      </c>
      <c r="V245" s="20" t="n">
        <v>-5344</v>
      </c>
      <c r="W245" s="20" t="n">
        <v>-5706</v>
      </c>
      <c r="X245" s="20" t="n">
        <v>-5610</v>
      </c>
    </row>
    <row r="246">
      <c r="A246" s="18" t="inlineStr">
        <is>
          <t>법인소득세 지급액</t>
        </is>
      </c>
      <c r="C246" s="20" t="n">
        <v>-9879</v>
      </c>
      <c r="D246" s="20" t="n">
        <v>-2102</v>
      </c>
      <c r="E246" s="20" t="n">
        <v>-5966</v>
      </c>
      <c r="F246" s="20" t="n">
        <v>-8068</v>
      </c>
      <c r="G246" s="20" t="n">
        <v>-12534</v>
      </c>
      <c r="H246" s="20" t="n">
        <v>-1302</v>
      </c>
      <c r="I246" s="20" t="n">
        <v>-2170</v>
      </c>
      <c r="J246" s="20" t="n">
        <v>-5780</v>
      </c>
      <c r="K246" s="20" t="n">
        <v>-8069</v>
      </c>
      <c r="L246" s="20" t="n">
        <v>-1664</v>
      </c>
      <c r="M246" s="20" t="n">
        <v>-4057</v>
      </c>
      <c r="N246" s="20" t="n">
        <v>-7381</v>
      </c>
      <c r="Q246" s="20" t="n">
        <v>-7269</v>
      </c>
      <c r="R246" s="20" t="n">
        <v>-13337</v>
      </c>
      <c r="S246" s="20" t="n">
        <v>-8408</v>
      </c>
      <c r="T246" s="20" t="n">
        <v>-5685</v>
      </c>
      <c r="U246" s="20" t="n">
        <v>-3731</v>
      </c>
      <c r="V246" s="20" t="n">
        <v>-9879</v>
      </c>
      <c r="W246" s="20" t="n">
        <v>-12534</v>
      </c>
      <c r="X246" s="20" t="n">
        <v>-8069</v>
      </c>
    </row>
    <row r="247">
      <c r="A247" s="9" t="inlineStr">
        <is>
          <t>영업활동 현금흐름</t>
        </is>
      </c>
      <c r="C247" s="12" t="n">
        <v>51608</v>
      </c>
      <c r="D247" s="12" t="n">
        <v>9461</v>
      </c>
      <c r="E247" s="12" t="n">
        <v>42</v>
      </c>
      <c r="F247" s="12" t="n">
        <v>11025</v>
      </c>
      <c r="G247" s="12" t="n">
        <v>44579</v>
      </c>
      <c r="H247" s="12" t="n">
        <v>-3868</v>
      </c>
      <c r="I247" s="12" t="n">
        <v>1288</v>
      </c>
      <c r="J247" s="12" t="n">
        <v>-203</v>
      </c>
      <c r="K247" s="12" t="n">
        <v>25984</v>
      </c>
      <c r="L247" s="12" t="n">
        <v>-1139</v>
      </c>
      <c r="M247" s="12" t="n">
        <v>12361</v>
      </c>
      <c r="N247" s="12" t="n">
        <v>39875</v>
      </c>
      <c r="Q247" s="12" t="n">
        <v>49398</v>
      </c>
      <c r="R247" s="12" t="n">
        <v>43647</v>
      </c>
      <c r="S247" s="12" t="n">
        <v>13647</v>
      </c>
      <c r="T247" s="12" t="n">
        <v>49733</v>
      </c>
      <c r="U247" s="12" t="n">
        <v>69749</v>
      </c>
      <c r="V247" s="12" t="n">
        <v>51608</v>
      </c>
      <c r="W247" s="12" t="n">
        <v>44579</v>
      </c>
      <c r="X247" s="12" t="n">
        <v>25984</v>
      </c>
    </row>
    <row r="248">
      <c r="A248" s="18" t="inlineStr">
        <is>
          <t>정기예금 예입</t>
        </is>
      </c>
      <c r="C248" s="20" t="n">
        <v>0</v>
      </c>
      <c r="D248" s="20" t="n">
        <v>-101</v>
      </c>
      <c r="E248" s="20" t="n">
        <v>-37</v>
      </c>
      <c r="H248" s="20" t="n">
        <v>0</v>
      </c>
      <c r="I248" s="20" t="n">
        <v>0</v>
      </c>
      <c r="J248" s="20" t="n">
        <v>0</v>
      </c>
      <c r="M248" s="20" t="n">
        <v>-0</v>
      </c>
      <c r="N248" s="20" t="n">
        <v>-0</v>
      </c>
      <c r="T248" s="20" t="n">
        <v>0</v>
      </c>
      <c r="U248" s="20" t="n">
        <v>-1221</v>
      </c>
      <c r="V248" s="20" t="n">
        <v>0</v>
      </c>
    </row>
    <row r="249">
      <c r="A249" s="18" t="inlineStr">
        <is>
          <t>정기예금 인출</t>
        </is>
      </c>
      <c r="C249" s="20" t="n">
        <v>1242</v>
      </c>
      <c r="D249" s="20" t="n">
        <v>0</v>
      </c>
      <c r="E249" s="20" t="n">
        <v>0</v>
      </c>
      <c r="F249" s="20" t="n">
        <v>34</v>
      </c>
      <c r="G249" s="20" t="n">
        <v>34</v>
      </c>
      <c r="I249" s="20" t="n">
        <v>42</v>
      </c>
      <c r="J249" s="20" t="n">
        <v>42</v>
      </c>
      <c r="K249" s="20" t="n">
        <v>47</v>
      </c>
      <c r="M249" s="20" t="n">
        <v>0</v>
      </c>
      <c r="N249" s="20" t="n">
        <v>0</v>
      </c>
      <c r="U249" s="20" t="n">
        <v>0</v>
      </c>
      <c r="V249" s="20" t="n">
        <v>1242</v>
      </c>
      <c r="W249" s="20" t="n">
        <v>34</v>
      </c>
      <c r="X249" s="20" t="n">
        <v>47</v>
      </c>
    </row>
    <row r="250">
      <c r="A250" s="18" t="inlineStr">
        <is>
          <t>유형자산 취득(설비투자)</t>
        </is>
      </c>
      <c r="C250" s="20" t="n">
        <v>-26178</v>
      </c>
      <c r="D250" s="20" t="n">
        <v>-4199</v>
      </c>
      <c r="E250" s="20" t="n">
        <v>-8260</v>
      </c>
      <c r="F250" s="20" t="n">
        <v>-12934</v>
      </c>
      <c r="G250" s="20" t="n">
        <v>-27168</v>
      </c>
      <c r="H250" s="20" t="n">
        <v>-2428</v>
      </c>
      <c r="I250" s="20" t="n">
        <v>-5306</v>
      </c>
      <c r="J250" s="20" t="n">
        <v>-8406</v>
      </c>
      <c r="K250" s="20" t="n">
        <v>-16634</v>
      </c>
      <c r="L250" s="20" t="n">
        <v>-3580</v>
      </c>
      <c r="M250" s="20" t="n">
        <v>-7769</v>
      </c>
      <c r="N250" s="20" t="n">
        <v>-10500</v>
      </c>
      <c r="Q250" s="20" t="n">
        <v>-13732</v>
      </c>
      <c r="R250" s="20" t="n">
        <v>-14564</v>
      </c>
      <c r="S250" s="20" t="n">
        <v>-12062</v>
      </c>
      <c r="T250" s="20" t="n">
        <v>-12645</v>
      </c>
      <c r="U250" s="20" t="n">
        <v>-26203</v>
      </c>
      <c r="V250" s="20" t="n">
        <v>-26178</v>
      </c>
      <c r="W250" s="20" t="n">
        <v>-27168</v>
      </c>
      <c r="X250" s="20" t="n">
        <v>-16634</v>
      </c>
    </row>
    <row r="251">
      <c r="A251" s="18" t="inlineStr">
        <is>
          <t>유형자산 매각</t>
        </is>
      </c>
      <c r="C251" s="20" t="n">
        <v>5716</v>
      </c>
      <c r="D251" s="20" t="n">
        <v>326</v>
      </c>
      <c r="E251" s="20" t="n">
        <v>550</v>
      </c>
      <c r="F251" s="20" t="n">
        <v>673</v>
      </c>
      <c r="G251" s="20" t="n">
        <v>2507</v>
      </c>
      <c r="H251" s="20" t="n">
        <v>83</v>
      </c>
      <c r="I251" s="20" t="n">
        <v>198</v>
      </c>
      <c r="J251" s="20" t="n">
        <v>123</v>
      </c>
      <c r="K251" s="20" t="n">
        <v>1947</v>
      </c>
      <c r="L251" s="20" t="n">
        <v>1538</v>
      </c>
      <c r="M251" s="20" t="n">
        <v>1611</v>
      </c>
      <c r="N251" s="20" t="n">
        <v>1689</v>
      </c>
      <c r="Q251" s="20" t="n">
        <v>1521</v>
      </c>
      <c r="R251" s="20" t="n">
        <v>3888</v>
      </c>
      <c r="S251" s="20" t="n">
        <v>2211</v>
      </c>
      <c r="T251" s="20" t="n">
        <v>1210</v>
      </c>
      <c r="U251" s="20" t="n">
        <v>120</v>
      </c>
      <c r="V251" s="20" t="n">
        <v>5716</v>
      </c>
      <c r="W251" s="20" t="n">
        <v>2507</v>
      </c>
      <c r="X251" s="20" t="n">
        <v>1947</v>
      </c>
    </row>
    <row r="252">
      <c r="A252" s="18" t="inlineStr">
        <is>
          <t>무형자산 취득 지출</t>
        </is>
      </c>
      <c r="C252" s="20" t="n">
        <v>-16294</v>
      </c>
      <c r="D252" s="20" t="n">
        <v>-3946</v>
      </c>
      <c r="E252" s="20" t="n">
        <v>-6895</v>
      </c>
      <c r="F252" s="20" t="n">
        <v>-12018</v>
      </c>
      <c r="G252" s="20" t="n">
        <v>-16637</v>
      </c>
      <c r="H252" s="20" t="n">
        <v>-3255</v>
      </c>
      <c r="I252" s="20" t="n">
        <v>-6521</v>
      </c>
      <c r="J252" s="20" t="n">
        <v>-9253</v>
      </c>
      <c r="K252" s="20" t="n">
        <v>-12885</v>
      </c>
      <c r="L252" s="20" t="n">
        <v>-2741</v>
      </c>
      <c r="M252" s="20" t="n">
        <v>-5740</v>
      </c>
      <c r="N252" s="20" t="n">
        <v>-8493</v>
      </c>
      <c r="Q252" s="20" t="n">
        <v>-5545</v>
      </c>
      <c r="R252" s="20" t="n">
        <v>-6612</v>
      </c>
      <c r="S252" s="20" t="n">
        <v>-8080</v>
      </c>
      <c r="T252" s="20" t="n">
        <v>-10606</v>
      </c>
      <c r="U252" s="20" t="n">
        <v>-14909</v>
      </c>
      <c r="V252" s="20" t="n">
        <v>-16294</v>
      </c>
      <c r="W252" s="20" t="n">
        <v>-16637</v>
      </c>
      <c r="X252" s="20" t="n">
        <v>-12885</v>
      </c>
    </row>
    <row r="253">
      <c r="A253" s="18" t="inlineStr">
        <is>
          <t>연결범위 변경 자회사 주식 매각(지출)</t>
        </is>
      </c>
      <c r="S253" s="20" t="n">
        <v>0</v>
      </c>
      <c r="T253" s="20" t="n">
        <v>-399</v>
      </c>
      <c r="U253" s="20" t="n">
        <v>0</v>
      </c>
    </row>
    <row r="254">
      <c r="A254" s="18" t="inlineStr">
        <is>
          <t>연결범위 변경을 수반하는 자회사 주식 취득에 따른 지출</t>
        </is>
      </c>
      <c r="D254" s="20" t="n">
        <v>-2800</v>
      </c>
    </row>
    <row r="255">
      <c r="A255" s="18" t="inlineStr">
        <is>
          <t>연결범위 변경 자회사 주식 취득</t>
        </is>
      </c>
      <c r="C255" s="20" t="n">
        <v>0</v>
      </c>
      <c r="D255" s="20" t="n">
        <v>-2800</v>
      </c>
      <c r="E255" s="20" t="n">
        <v>-2800</v>
      </c>
      <c r="F255" s="20" t="n">
        <v>-2800</v>
      </c>
      <c r="G255" s="20" t="n">
        <v>-2800</v>
      </c>
      <c r="H255" s="20" t="n">
        <v>0</v>
      </c>
      <c r="I255" s="20" t="n">
        <v>0</v>
      </c>
      <c r="J255" s="20" t="n">
        <v>0</v>
      </c>
      <c r="K255" s="20" t="n">
        <v>0</v>
      </c>
      <c r="Q255" s="20" t="n">
        <v>-199</v>
      </c>
      <c r="R255" s="20" t="n">
        <v>-395</v>
      </c>
      <c r="S255" s="20" t="n">
        <v>-130</v>
      </c>
      <c r="T255" s="20" t="n">
        <v>0</v>
      </c>
      <c r="V255" s="20" t="n">
        <v>0</v>
      </c>
      <c r="W255" s="20" t="n">
        <v>-2800</v>
      </c>
      <c r="X255" s="20" t="n">
        <v>0</v>
      </c>
    </row>
    <row r="256">
      <c r="A256" s="18" t="inlineStr">
        <is>
          <t>연결범위 변경 자회사 주식 취득(수입)</t>
        </is>
      </c>
      <c r="D256" s="20" t="n">
        <v>0</v>
      </c>
      <c r="E256" s="20" t="n">
        <v>0</v>
      </c>
      <c r="F256" s="20" t="n">
        <v>0</v>
      </c>
      <c r="G256" s="20" t="n">
        <v>0</v>
      </c>
      <c r="H256" s="20" t="n">
        <v>602</v>
      </c>
      <c r="I256" s="20" t="n">
        <v>602</v>
      </c>
      <c r="J256" s="20" t="n">
        <v>602</v>
      </c>
      <c r="K256" s="20" t="n">
        <v>602</v>
      </c>
      <c r="L256" s="20" t="n">
        <v>0</v>
      </c>
      <c r="M256" s="20" t="n">
        <v>0</v>
      </c>
      <c r="N256" s="20" t="n">
        <v>0</v>
      </c>
      <c r="W256" s="20" t="n">
        <v>0</v>
      </c>
      <c r="X256" s="20" t="n">
        <v>602</v>
      </c>
    </row>
    <row r="257">
      <c r="A257" s="18" t="inlineStr">
        <is>
          <t>Decrease In The Loss Of Control Of Subsidiaries Inv CF</t>
        </is>
      </c>
      <c r="C257" s="20" t="n">
        <v>0</v>
      </c>
      <c r="D257" s="20" t="n">
        <v>-379</v>
      </c>
      <c r="E257" s="20" t="n">
        <v>-387</v>
      </c>
      <c r="F257" s="20" t="n">
        <v>-396</v>
      </c>
      <c r="G257" s="20" t="n">
        <v>-395</v>
      </c>
      <c r="H257" s="20" t="n">
        <v>0</v>
      </c>
      <c r="I257" s="20" t="n">
        <v>0</v>
      </c>
      <c r="J257" s="20" t="n">
        <v>0</v>
      </c>
      <c r="K257" s="20" t="n">
        <v>0</v>
      </c>
      <c r="V257" s="20" t="n">
        <v>0</v>
      </c>
      <c r="W257" s="20" t="n">
        <v>-395</v>
      </c>
      <c r="X257" s="20" t="n">
        <v>0</v>
      </c>
    </row>
    <row r="258">
      <c r="A258" s="18" t="inlineStr">
        <is>
          <t>투자유가증권 취득</t>
        </is>
      </c>
      <c r="C258" s="20" t="n">
        <v>-3037</v>
      </c>
      <c r="D258" s="20" t="n">
        <v>-38</v>
      </c>
      <c r="E258" s="20" t="n">
        <v>-70</v>
      </c>
      <c r="F258" s="20" t="n">
        <v>-90</v>
      </c>
      <c r="G258" s="20" t="n">
        <v>-431</v>
      </c>
      <c r="H258" s="20" t="n">
        <v>-113</v>
      </c>
      <c r="I258" s="20" t="n">
        <v>-129</v>
      </c>
      <c r="J258" s="20" t="n">
        <v>-1674</v>
      </c>
      <c r="K258" s="20" t="n">
        <v>-1699</v>
      </c>
      <c r="L258" s="20" t="n">
        <v>-56</v>
      </c>
      <c r="M258" s="20" t="n">
        <v>-79</v>
      </c>
      <c r="N258" s="20" t="n">
        <v>-590</v>
      </c>
      <c r="Q258" s="20" t="n">
        <v>-64</v>
      </c>
      <c r="R258" s="20" t="n">
        <v>-3462</v>
      </c>
      <c r="S258" s="20" t="n">
        <v>-747</v>
      </c>
      <c r="T258" s="20" t="n">
        <v>-1518</v>
      </c>
      <c r="U258" s="20" t="n">
        <v>-2286</v>
      </c>
      <c r="V258" s="20" t="n">
        <v>-3037</v>
      </c>
      <c r="W258" s="20" t="n">
        <v>-431</v>
      </c>
      <c r="X258" s="20" t="n">
        <v>-1699</v>
      </c>
    </row>
    <row r="259">
      <c r="A259" s="18" t="inlineStr">
        <is>
          <t>투자유가증권 매각</t>
        </is>
      </c>
      <c r="C259" s="20" t="n">
        <v>2173</v>
      </c>
      <c r="D259" s="20" t="n">
        <v>0</v>
      </c>
      <c r="E259" s="20" t="n">
        <v>179</v>
      </c>
      <c r="F259" s="20" t="n">
        <v>176</v>
      </c>
      <c r="G259" s="20" t="n">
        <v>5713</v>
      </c>
      <c r="H259" s="20" t="n">
        <v>2</v>
      </c>
      <c r="I259" s="20" t="n">
        <v>2</v>
      </c>
      <c r="J259" s="20" t="n">
        <v>121</v>
      </c>
      <c r="K259" s="20" t="n">
        <v>121</v>
      </c>
      <c r="L259" s="20" t="n">
        <v>0</v>
      </c>
      <c r="M259" s="20" t="n">
        <v>0</v>
      </c>
      <c r="N259" s="20" t="n">
        <v>1</v>
      </c>
      <c r="Q259" s="20" t="n">
        <v>50</v>
      </c>
      <c r="R259" s="20" t="n">
        <v>0</v>
      </c>
      <c r="S259" s="20" t="n">
        <v>75</v>
      </c>
      <c r="T259" s="20" t="n">
        <v>5440</v>
      </c>
      <c r="U259" s="20" t="n">
        <v>8</v>
      </c>
      <c r="V259" s="20" t="n">
        <v>2173</v>
      </c>
      <c r="W259" s="20" t="n">
        <v>5713</v>
      </c>
      <c r="X259" s="20" t="n">
        <v>121</v>
      </c>
    </row>
    <row r="260">
      <c r="A260" s="18" t="inlineStr">
        <is>
          <t>Purchase Of Investments In Associates Inv CF</t>
        </is>
      </c>
      <c r="C260" s="20" t="n">
        <v>0</v>
      </c>
      <c r="D260" s="20" t="n">
        <v>0</v>
      </c>
      <c r="E260" s="20" t="n">
        <v>0</v>
      </c>
      <c r="F260" s="20" t="n">
        <v>0</v>
      </c>
      <c r="G260" s="20" t="n">
        <v>0</v>
      </c>
      <c r="H260" s="20" t="n">
        <v>-8</v>
      </c>
      <c r="I260" s="20" t="n">
        <v>-8</v>
      </c>
      <c r="J260" s="20" t="n">
        <v>-8</v>
      </c>
      <c r="K260" s="20" t="n">
        <v>-8</v>
      </c>
      <c r="L260" s="20" t="n">
        <v>0</v>
      </c>
      <c r="M260" s="20" t="n">
        <v>0</v>
      </c>
      <c r="N260" s="20" t="n">
        <v>0</v>
      </c>
      <c r="Q260" s="20" t="n">
        <v>-1103</v>
      </c>
      <c r="R260" s="20" t="n">
        <v>-2538</v>
      </c>
      <c r="S260" s="20" t="n">
        <v>-137</v>
      </c>
      <c r="T260" s="20" t="n">
        <v>-276</v>
      </c>
      <c r="U260" s="20" t="n">
        <v>-63</v>
      </c>
      <c r="V260" s="20" t="n">
        <v>0</v>
      </c>
      <c r="W260" s="20" t="n">
        <v>0</v>
      </c>
      <c r="X260" s="20" t="n">
        <v>-8</v>
      </c>
    </row>
    <row r="261">
      <c r="A261" s="18" t="inlineStr">
        <is>
          <t>기타</t>
        </is>
      </c>
      <c r="C261" s="20" t="n">
        <v>-353</v>
      </c>
      <c r="D261" s="20" t="n">
        <v>583</v>
      </c>
      <c r="E261" s="20" t="n">
        <v>770</v>
      </c>
      <c r="F261" s="20" t="n">
        <v>811</v>
      </c>
      <c r="G261" s="20" t="n">
        <v>982</v>
      </c>
      <c r="H261" s="20" t="n">
        <v>46</v>
      </c>
      <c r="I261" s="20" t="n">
        <v>80</v>
      </c>
      <c r="J261" s="20" t="n">
        <v>159</v>
      </c>
      <c r="K261" s="20" t="n">
        <v>66</v>
      </c>
      <c r="L261" s="20" t="n">
        <v>-0</v>
      </c>
      <c r="M261" s="20" t="n">
        <v>-167</v>
      </c>
      <c r="N261" s="20" t="n">
        <v>-141</v>
      </c>
      <c r="Q261" s="20" t="n">
        <v>53</v>
      </c>
      <c r="R261" s="20" t="n">
        <v>138</v>
      </c>
      <c r="S261" s="20" t="n">
        <v>12</v>
      </c>
      <c r="T261" s="20" t="n">
        <v>-580</v>
      </c>
      <c r="U261" s="20" t="n">
        <v>-318</v>
      </c>
      <c r="V261" s="20" t="n">
        <v>-353</v>
      </c>
      <c r="W261" s="20" t="n">
        <v>982</v>
      </c>
      <c r="X261" s="20" t="n">
        <v>66</v>
      </c>
    </row>
    <row r="262">
      <c r="A262" s="18" t="inlineStr">
        <is>
          <t>Investing Cash Flows From Discontinued Operations Inv CF</t>
        </is>
      </c>
      <c r="F262" s="20" t="n">
        <v>0</v>
      </c>
      <c r="G262" s="20" t="n">
        <v>0</v>
      </c>
      <c r="J262" s="20" t="n">
        <v>16875</v>
      </c>
      <c r="K262" s="20" t="n">
        <v>17228</v>
      </c>
      <c r="N262" s="20" t="n">
        <v>0</v>
      </c>
      <c r="W262" s="20" t="n">
        <v>0</v>
      </c>
      <c r="X262" s="20" t="n">
        <v>17228</v>
      </c>
    </row>
    <row r="263">
      <c r="A263" s="9" t="inlineStr">
        <is>
          <t>투자활동 현금흐름</t>
        </is>
      </c>
      <c r="C263" s="12" t="n">
        <v>-36730</v>
      </c>
      <c r="D263" s="12" t="n">
        <v>-10555</v>
      </c>
      <c r="E263" s="12" t="n">
        <v>-16951</v>
      </c>
      <c r="F263" s="12" t="n">
        <v>-26544</v>
      </c>
      <c r="G263" s="12" t="n">
        <v>-38195</v>
      </c>
      <c r="H263" s="12" t="n">
        <v>-5069</v>
      </c>
      <c r="I263" s="12" t="n">
        <v>-11039</v>
      </c>
      <c r="J263" s="12" t="n">
        <v>-1418</v>
      </c>
      <c r="K263" s="12" t="n">
        <v>-11214</v>
      </c>
      <c r="L263" s="12" t="n">
        <v>-4841</v>
      </c>
      <c r="M263" s="12" t="n">
        <v>-12145</v>
      </c>
      <c r="N263" s="12" t="n">
        <v>-18035</v>
      </c>
      <c r="Q263" s="12" t="n">
        <v>-19020</v>
      </c>
      <c r="R263" s="12" t="n">
        <v>-23546</v>
      </c>
      <c r="S263" s="12" t="n">
        <v>-18859</v>
      </c>
      <c r="T263" s="12" t="n">
        <v>-19376</v>
      </c>
      <c r="U263" s="12" t="n">
        <v>-44874</v>
      </c>
      <c r="V263" s="12" t="n">
        <v>-36730</v>
      </c>
      <c r="W263" s="12" t="n">
        <v>-38195</v>
      </c>
      <c r="X263" s="12" t="n">
        <v>-11214</v>
      </c>
    </row>
    <row r="264">
      <c r="A264" s="18" t="inlineStr">
        <is>
          <t>단기차입금 순증감</t>
        </is>
      </c>
      <c r="C264" s="20" t="n">
        <v>15696</v>
      </c>
      <c r="D264" s="20" t="n">
        <v>-3536</v>
      </c>
      <c r="E264" s="20" t="n">
        <v>5306</v>
      </c>
      <c r="F264" s="20" t="n">
        <v>18374</v>
      </c>
      <c r="G264" s="20" t="n">
        <v>20243</v>
      </c>
      <c r="H264" s="20" t="n">
        <v>21510</v>
      </c>
      <c r="I264" s="20" t="n">
        <v>5626</v>
      </c>
      <c r="J264" s="20" t="n">
        <v>16406</v>
      </c>
      <c r="K264" s="20" t="n">
        <v>13312</v>
      </c>
      <c r="L264" s="20" t="n">
        <v>19958</v>
      </c>
      <c r="M264" s="20" t="n">
        <v>-3040</v>
      </c>
      <c r="N264" s="20" t="n">
        <v>-27074</v>
      </c>
      <c r="Q264" s="20" t="n">
        <v>12240</v>
      </c>
      <c r="R264" s="20" t="n">
        <v>561</v>
      </c>
      <c r="S264" s="20" t="n">
        <v>2680</v>
      </c>
      <c r="T264" s="20" t="n">
        <v>-21730</v>
      </c>
      <c r="U264" s="20" t="n">
        <v>4868</v>
      </c>
      <c r="V264" s="20" t="n">
        <v>15696</v>
      </c>
      <c r="W264" s="20" t="n">
        <v>20243</v>
      </c>
      <c r="X264" s="20" t="n">
        <v>13312</v>
      </c>
    </row>
    <row r="265">
      <c r="A265" s="18" t="inlineStr">
        <is>
          <t>장기차입</t>
        </is>
      </c>
      <c r="C265" s="20" t="n">
        <v>52517</v>
      </c>
      <c r="D265" s="20" t="n">
        <v>10000</v>
      </c>
      <c r="E265" s="20" t="n">
        <v>10000</v>
      </c>
      <c r="F265" s="20" t="n">
        <v>10000</v>
      </c>
      <c r="G265" s="20" t="n">
        <v>10000</v>
      </c>
      <c r="H265" s="20" t="n">
        <v>0</v>
      </c>
      <c r="I265" s="20" t="n">
        <v>0</v>
      </c>
      <c r="J265" s="20" t="n">
        <v>0</v>
      </c>
      <c r="K265" s="20" t="n">
        <v>55000</v>
      </c>
      <c r="Q265" s="20" t="n">
        <v>4885</v>
      </c>
      <c r="R265" s="20" t="n">
        <v>19949</v>
      </c>
      <c r="S265" s="20" t="n">
        <v>37801</v>
      </c>
      <c r="T265" s="20" t="n">
        <v>5000</v>
      </c>
      <c r="U265" s="20" t="n">
        <v>0</v>
      </c>
      <c r="V265" s="20" t="n">
        <v>52517</v>
      </c>
      <c r="W265" s="20" t="n">
        <v>10000</v>
      </c>
      <c r="X265" s="20" t="n">
        <v>55000</v>
      </c>
    </row>
    <row r="266">
      <c r="A266" s="18" t="inlineStr">
        <is>
          <t>장기차입금 상환</t>
        </is>
      </c>
      <c r="C266" s="20" t="n">
        <v>-49362</v>
      </c>
      <c r="D266" s="20" t="n">
        <v>-4</v>
      </c>
      <c r="E266" s="20" t="n">
        <v>-176</v>
      </c>
      <c r="F266" s="20" t="n">
        <v>-170</v>
      </c>
      <c r="G266" s="20" t="n">
        <v>-5349</v>
      </c>
      <c r="H266" s="20" t="n">
        <v>-1636</v>
      </c>
      <c r="I266" s="20" t="n">
        <v>-1653</v>
      </c>
      <c r="J266" s="20" t="n">
        <v>-1687</v>
      </c>
      <c r="K266" s="20" t="n">
        <v>-50802</v>
      </c>
      <c r="L266" s="20" t="n">
        <v>0</v>
      </c>
      <c r="M266" s="20" t="n">
        <v>0</v>
      </c>
      <c r="N266" s="20" t="n">
        <v>0</v>
      </c>
      <c r="Q266" s="20" t="n">
        <v>-75404</v>
      </c>
      <c r="R266" s="20" t="n">
        <v>-17410</v>
      </c>
      <c r="S266" s="20" t="n">
        <v>-46148</v>
      </c>
      <c r="T266" s="20" t="n">
        <v>-20882</v>
      </c>
      <c r="U266" s="20" t="n">
        <v>-1748</v>
      </c>
      <c r="V266" s="20" t="n">
        <v>-49362</v>
      </c>
      <c r="W266" s="20" t="n">
        <v>-5349</v>
      </c>
      <c r="X266" s="20" t="n">
        <v>-50802</v>
      </c>
    </row>
    <row r="267">
      <c r="A267" s="18" t="inlineStr">
        <is>
          <t>전환사채형 신주예약권부 사채 발행 수입</t>
        </is>
      </c>
      <c r="Q267" s="20" t="n">
        <v>0</v>
      </c>
      <c r="R267" s="20" t="n">
        <v>9955</v>
      </c>
      <c r="S267" s="20" t="n">
        <v>0</v>
      </c>
      <c r="T267" s="20" t="n">
        <v>39887</v>
      </c>
      <c r="U267" s="20" t="n">
        <v>0</v>
      </c>
    </row>
    <row r="268">
      <c r="A268" s="18" t="inlineStr">
        <is>
          <t>사채 상환</t>
        </is>
      </c>
      <c r="C268" s="20" t="n">
        <v>0</v>
      </c>
      <c r="Q268" s="20" t="n">
        <v>0</v>
      </c>
      <c r="R268" s="20" t="n">
        <v>-20000</v>
      </c>
      <c r="S268" s="20" t="n">
        <v>0</v>
      </c>
      <c r="T268" s="20" t="n">
        <v>-10000</v>
      </c>
      <c r="U268" s="20" t="n">
        <v>-10000</v>
      </c>
      <c r="V268" s="20" t="n">
        <v>0</v>
      </c>
    </row>
    <row r="269">
      <c r="A269" s="18" t="inlineStr">
        <is>
          <t>Proceeds From Issuance Of Hybrid Capital Inv CFIFRS</t>
        </is>
      </c>
      <c r="R269" s="20" t="n">
        <v>0</v>
      </c>
      <c r="S269" s="20" t="n">
        <v>69229</v>
      </c>
    </row>
    <row r="270">
      <c r="A270" s="18" t="inlineStr">
        <is>
          <t>리스부채 상환 지출</t>
        </is>
      </c>
      <c r="R270" s="20" t="n">
        <v>-5402</v>
      </c>
      <c r="S270" s="20" t="n">
        <v>-5780</v>
      </c>
    </row>
    <row r="271">
      <c r="A271" s="18" t="inlineStr">
        <is>
          <t>Proceeds From Issuance Of Hybrid Capital Inv CF</t>
        </is>
      </c>
      <c r="S271" s="20" t="n">
        <v>69229</v>
      </c>
      <c r="T271" s="20" t="n">
        <v>29717</v>
      </c>
    </row>
    <row r="272">
      <c r="A272" s="18" t="inlineStr">
        <is>
          <t>Proceeds From Issuance Of Hybrid Capital Fin CF</t>
        </is>
      </c>
      <c r="E272" s="20" t="n">
        <v>0</v>
      </c>
      <c r="F272" s="20" t="n">
        <v>0</v>
      </c>
      <c r="G272" s="20" t="n">
        <v>0</v>
      </c>
      <c r="I272" s="20" t="n">
        <v>6924</v>
      </c>
      <c r="J272" s="20" t="n">
        <v>56292</v>
      </c>
      <c r="K272" s="20" t="n">
        <v>56292</v>
      </c>
      <c r="M272" s="20" t="n">
        <v>9895</v>
      </c>
      <c r="N272" s="20" t="n">
        <v>9895</v>
      </c>
      <c r="T272" s="20" t="n">
        <v>29717</v>
      </c>
      <c r="U272" s="20" t="n">
        <v>0</v>
      </c>
      <c r="W272" s="20" t="n">
        <v>0</v>
      </c>
      <c r="X272" s="20" t="n">
        <v>56292</v>
      </c>
    </row>
    <row r="273">
      <c r="A273" s="18" t="inlineStr">
        <is>
          <t>Repayments Of Other Equity Instruments Fin CF</t>
        </is>
      </c>
      <c r="C273" s="20" t="n">
        <v>-8000</v>
      </c>
      <c r="F273" s="20" t="n">
        <v>0</v>
      </c>
      <c r="G273" s="20" t="n">
        <v>0</v>
      </c>
      <c r="J273" s="20" t="n">
        <v>-57000</v>
      </c>
      <c r="K273" s="20" t="n">
        <v>-57000</v>
      </c>
      <c r="N273" s="20" t="n">
        <v>-30000</v>
      </c>
      <c r="S273" s="20" t="n">
        <v>0</v>
      </c>
      <c r="T273" s="20" t="n">
        <v>-30000</v>
      </c>
      <c r="U273" s="20" t="n">
        <v>0</v>
      </c>
      <c r="V273" s="20" t="n">
        <v>-8000</v>
      </c>
      <c r="W273" s="20" t="n">
        <v>0</v>
      </c>
      <c r="X273" s="20" t="n">
        <v>-57000</v>
      </c>
    </row>
    <row r="274">
      <c r="A274" s="18" t="inlineStr">
        <is>
          <t>Repayments Of Debt Instruments Fin CF</t>
        </is>
      </c>
      <c r="C274" s="20" t="n">
        <v>0</v>
      </c>
      <c r="T274" s="20" t="n">
        <v>0</v>
      </c>
      <c r="U274" s="20" t="n">
        <v>-15000</v>
      </c>
      <c r="V274" s="20" t="n">
        <v>0</v>
      </c>
    </row>
    <row r="275">
      <c r="A275" s="18" t="inlineStr">
        <is>
          <t>리스부채 상환 지출</t>
        </is>
      </c>
      <c r="C275" s="20" t="n">
        <v>-6272</v>
      </c>
      <c r="D275" s="20" t="n">
        <v>-1620</v>
      </c>
      <c r="E275" s="20" t="n">
        <v>-3302</v>
      </c>
      <c r="F275" s="20" t="n">
        <v>-4999</v>
      </c>
      <c r="G275" s="20" t="n">
        <v>-6525</v>
      </c>
      <c r="H275" s="20" t="n">
        <v>-1738</v>
      </c>
      <c r="I275" s="20" t="n">
        <v>-3531</v>
      </c>
      <c r="J275" s="20" t="n">
        <v>-5047</v>
      </c>
      <c r="K275" s="20" t="n">
        <v>-6862</v>
      </c>
      <c r="L275" s="20" t="n">
        <v>-1953</v>
      </c>
      <c r="M275" s="20" t="n">
        <v>-3885</v>
      </c>
      <c r="N275" s="20" t="n">
        <v>-5819</v>
      </c>
      <c r="Q275" s="20" t="n">
        <v>0</v>
      </c>
      <c r="R275" s="20" t="n">
        <v>-5402</v>
      </c>
      <c r="S275" s="20" t="n">
        <v>-5780</v>
      </c>
      <c r="T275" s="20" t="n">
        <v>-6035</v>
      </c>
      <c r="U275" s="20" t="n">
        <v>-5429</v>
      </c>
      <c r="V275" s="20" t="n">
        <v>-6272</v>
      </c>
      <c r="W275" s="20" t="n">
        <v>-6525</v>
      </c>
      <c r="X275" s="20" t="n">
        <v>-6862</v>
      </c>
    </row>
    <row r="276">
      <c r="A276" s="18" t="inlineStr">
        <is>
          <t>Proceeds From Settlement Of Derivatives IFRSFin CF</t>
        </is>
      </c>
      <c r="F276" s="20" t="n">
        <v>0</v>
      </c>
      <c r="G276" s="20" t="n">
        <v>0</v>
      </c>
      <c r="J276" s="20" t="n">
        <v>173</v>
      </c>
      <c r="K276" s="20" t="n">
        <v>173</v>
      </c>
      <c r="N276" s="20" t="n">
        <v>0</v>
      </c>
      <c r="W276" s="20" t="n">
        <v>0</v>
      </c>
      <c r="X276" s="20" t="n">
        <v>173</v>
      </c>
    </row>
    <row r="277">
      <c r="A277" s="18" t="inlineStr">
        <is>
          <t>주식 발행</t>
        </is>
      </c>
      <c r="J277" s="20" t="n">
        <v>0</v>
      </c>
      <c r="N277" s="20" t="n">
        <v>47781</v>
      </c>
    </row>
    <row r="278">
      <c r="A278" s="18" t="inlineStr">
        <is>
          <t>배당금 지급</t>
        </is>
      </c>
      <c r="C278" s="20" t="n">
        <v>-10029</v>
      </c>
      <c r="D278" s="20" t="n">
        <v>-5711</v>
      </c>
      <c r="E278" s="20" t="n">
        <v>-6268</v>
      </c>
      <c r="F278" s="20" t="n">
        <v>-12925</v>
      </c>
      <c r="G278" s="20" t="n">
        <v>-13346</v>
      </c>
      <c r="H278" s="20" t="n">
        <v>-6494</v>
      </c>
      <c r="I278" s="20" t="n">
        <v>-7073</v>
      </c>
      <c r="J278" s="20" t="n">
        <v>-13715</v>
      </c>
      <c r="K278" s="20" t="n">
        <v>-14183</v>
      </c>
      <c r="L278" s="20" t="n">
        <v>-6981</v>
      </c>
      <c r="M278" s="20" t="n">
        <v>-7666</v>
      </c>
      <c r="N278" s="20" t="n">
        <v>-14316</v>
      </c>
      <c r="Q278" s="20" t="n">
        <v>-6044</v>
      </c>
      <c r="R278" s="20" t="n">
        <v>-6691</v>
      </c>
      <c r="S278" s="20" t="n">
        <v>-4917</v>
      </c>
      <c r="T278" s="20" t="n">
        <v>-2496</v>
      </c>
      <c r="U278" s="20" t="n">
        <v>-7525</v>
      </c>
      <c r="V278" s="20" t="n">
        <v>-10029</v>
      </c>
      <c r="W278" s="20" t="n">
        <v>-13346</v>
      </c>
      <c r="X278" s="20" t="n">
        <v>-14183</v>
      </c>
    </row>
    <row r="279">
      <c r="A279" s="18" t="inlineStr">
        <is>
          <t>비지배지분 배당금 지급액</t>
        </is>
      </c>
      <c r="C279" s="20" t="n">
        <v>-129</v>
      </c>
      <c r="D279" s="20" t="n">
        <v>-66</v>
      </c>
      <c r="E279" s="20" t="n">
        <v>-71</v>
      </c>
      <c r="F279" s="20" t="n">
        <v>-143</v>
      </c>
      <c r="G279" s="20" t="n">
        <v>-144</v>
      </c>
      <c r="H279" s="20" t="n">
        <v>0</v>
      </c>
      <c r="I279" s="20" t="n">
        <v>-0</v>
      </c>
      <c r="J279" s="20" t="n">
        <v>-0</v>
      </c>
      <c r="K279" s="20" t="n">
        <v>-0</v>
      </c>
      <c r="L279" s="20" t="n">
        <v>-0</v>
      </c>
      <c r="M279" s="20" t="n">
        <v>-0</v>
      </c>
      <c r="N279" s="20" t="n">
        <v>-0</v>
      </c>
      <c r="Q279" s="20" t="n">
        <v>-159</v>
      </c>
      <c r="R279" s="20" t="n">
        <v>-131</v>
      </c>
      <c r="S279" s="20" t="n">
        <v>-121</v>
      </c>
      <c r="T279" s="20" t="n">
        <v>-299</v>
      </c>
      <c r="U279" s="20" t="n">
        <v>-100</v>
      </c>
      <c r="V279" s="20" t="n">
        <v>-129</v>
      </c>
      <c r="W279" s="20" t="n">
        <v>-144</v>
      </c>
      <c r="X279" s="20" t="n">
        <v>-0</v>
      </c>
    </row>
    <row r="280">
      <c r="A280" s="18" t="inlineStr">
        <is>
          <t>비지배주주 납입</t>
        </is>
      </c>
      <c r="Q280" s="20" t="n">
        <v>250</v>
      </c>
      <c r="R280" s="20" t="n">
        <v>0</v>
      </c>
    </row>
    <row r="281">
      <c r="A281" s="18" t="inlineStr">
        <is>
          <t>Payment For Obligations For Non Controlling Interests Fin CF</t>
        </is>
      </c>
      <c r="C281" s="20" t="n">
        <v>-4334</v>
      </c>
      <c r="G281" s="20" t="n">
        <v>-4049</v>
      </c>
      <c r="K281" s="20" t="n">
        <v>-4300</v>
      </c>
      <c r="R281" s="20" t="n">
        <v>-111</v>
      </c>
      <c r="S281" s="20" t="n">
        <v>-42289</v>
      </c>
      <c r="T281" s="20" t="n">
        <v>-8</v>
      </c>
      <c r="U281" s="20" t="n">
        <v>-4245</v>
      </c>
      <c r="V281" s="20" t="n">
        <v>-4334</v>
      </c>
      <c r="W281" s="20" t="n">
        <v>-4049</v>
      </c>
      <c r="X281" s="20" t="n">
        <v>-4300</v>
      </c>
    </row>
    <row r="282">
      <c r="A282" s="18" t="inlineStr">
        <is>
          <t>Payment For Obligation For Non Controlling Interests Fin CF</t>
        </is>
      </c>
      <c r="D282" s="20" t="n">
        <v>-0</v>
      </c>
      <c r="E282" s="20" t="n">
        <v>-1883</v>
      </c>
      <c r="F282" s="20" t="n">
        <v>-2599</v>
      </c>
      <c r="H282" s="20" t="n">
        <v>-481</v>
      </c>
      <c r="I282" s="20" t="n">
        <v>-697</v>
      </c>
      <c r="J282" s="20" t="n">
        <v>-2134</v>
      </c>
      <c r="L282" s="20" t="n">
        <v>-40</v>
      </c>
      <c r="M282" s="20" t="n">
        <v>-332</v>
      </c>
      <c r="N282" s="20" t="n">
        <v>-1125</v>
      </c>
    </row>
    <row r="283">
      <c r="A283" s="18" t="inlineStr">
        <is>
          <t>자기주식 취득</t>
        </is>
      </c>
      <c r="C283" s="20" t="n">
        <v>-2</v>
      </c>
      <c r="D283" s="20" t="n">
        <v>-0</v>
      </c>
      <c r="E283" s="20" t="n">
        <v>-2</v>
      </c>
      <c r="F283" s="20" t="n">
        <v>-2</v>
      </c>
      <c r="G283" s="20" t="n">
        <v>-3</v>
      </c>
      <c r="H283" s="20" t="n">
        <v>-0</v>
      </c>
      <c r="I283" s="20" t="n">
        <v>-0</v>
      </c>
      <c r="J283" s="20" t="n">
        <v>-1</v>
      </c>
      <c r="K283" s="20" t="n">
        <v>-6628</v>
      </c>
      <c r="L283" s="20" t="n">
        <v>-0</v>
      </c>
      <c r="M283" s="20" t="n">
        <v>-0</v>
      </c>
      <c r="N283" s="20" t="n">
        <v>-1</v>
      </c>
      <c r="Q283" s="20" t="n">
        <v>-0</v>
      </c>
      <c r="R283" s="20" t="n">
        <v>-1</v>
      </c>
      <c r="S283" s="20" t="n">
        <v>-1</v>
      </c>
      <c r="T283" s="20" t="n">
        <v>-0</v>
      </c>
      <c r="U283" s="20" t="n">
        <v>-1</v>
      </c>
      <c r="V283" s="20" t="n">
        <v>-2</v>
      </c>
      <c r="W283" s="20" t="n">
        <v>-3</v>
      </c>
      <c r="X283" s="20" t="n">
        <v>-6628</v>
      </c>
    </row>
    <row r="284">
      <c r="A284" s="18" t="inlineStr">
        <is>
          <t>Payments For Obligations For Non Controlling Interests Fin CF</t>
        </is>
      </c>
      <c r="Q284" s="20" t="n">
        <v>-1</v>
      </c>
      <c r="R284" s="20" t="n">
        <v>-111</v>
      </c>
    </row>
    <row r="285">
      <c r="A285" s="18" t="inlineStr">
        <is>
          <t>Payments To Owners Of Hybrid Capital Fin CF</t>
        </is>
      </c>
      <c r="C285" s="20" t="n">
        <v>-1768</v>
      </c>
      <c r="G285" s="20" t="n">
        <v>-1696</v>
      </c>
      <c r="K285" s="20" t="n">
        <v>-1890</v>
      </c>
      <c r="Q285" s="20" t="n">
        <v>-1072</v>
      </c>
      <c r="R285" s="20" t="n">
        <v>-1076</v>
      </c>
      <c r="S285" s="20" t="n">
        <v>-1086</v>
      </c>
      <c r="T285" s="20" t="n">
        <v>-2123</v>
      </c>
      <c r="U285" s="20" t="n">
        <v>-1764</v>
      </c>
      <c r="V285" s="20" t="n">
        <v>-1768</v>
      </c>
      <c r="W285" s="20" t="n">
        <v>-1696</v>
      </c>
      <c r="X285" s="20" t="n">
        <v>-1890</v>
      </c>
    </row>
    <row r="286">
      <c r="A286" s="18" t="inlineStr">
        <is>
          <t>Proceeds From Issuance Of Capital Increase Of Consolidated Subsidiaries Fin CFIFRS</t>
        </is>
      </c>
      <c r="R286" s="20" t="n">
        <v>0</v>
      </c>
      <c r="S286" s="20" t="n">
        <v>300</v>
      </c>
    </row>
    <row r="287">
      <c r="A287" s="18" t="inlineStr">
        <is>
          <t>Proceeds From Capital Increase Of Consolidated Subsidiaries Fin CF</t>
        </is>
      </c>
      <c r="S287" s="20" t="n">
        <v>300</v>
      </c>
      <c r="T287" s="20" t="n">
        <v>0</v>
      </c>
    </row>
    <row r="288">
      <c r="A288" s="18" t="inlineStr">
        <is>
          <t>Payment To Owners Of Hybrid Capital Fin CF</t>
        </is>
      </c>
      <c r="D288" s="20" t="n">
        <v>-545</v>
      </c>
      <c r="E288" s="20" t="n">
        <v>-845</v>
      </c>
      <c r="F288" s="20" t="n">
        <v>-1396</v>
      </c>
      <c r="H288" s="20" t="n">
        <v>-572</v>
      </c>
      <c r="I288" s="20" t="n">
        <v>-872</v>
      </c>
      <c r="J288" s="20" t="n">
        <v>-1487</v>
      </c>
      <c r="L288" s="20" t="n">
        <v>-733</v>
      </c>
      <c r="M288" s="20" t="n">
        <v>-1136</v>
      </c>
      <c r="N288" s="20" t="n">
        <v>-1879</v>
      </c>
    </row>
    <row r="289">
      <c r="A289" s="18" t="inlineStr">
        <is>
          <t>연결범위 변경 없는 자회사 주식 취득</t>
        </is>
      </c>
      <c r="C289" s="20" t="n">
        <v>-417</v>
      </c>
      <c r="D289" s="20" t="n">
        <v>0</v>
      </c>
      <c r="E289" s="20" t="n">
        <v>0</v>
      </c>
      <c r="F289" s="20" t="n">
        <v>0</v>
      </c>
      <c r="G289" s="20" t="n">
        <v>-4633</v>
      </c>
      <c r="H289" s="20" t="n">
        <v>-19</v>
      </c>
      <c r="I289" s="20" t="n">
        <v>-719</v>
      </c>
      <c r="J289" s="20" t="n">
        <v>-719</v>
      </c>
      <c r="K289" s="20" t="n">
        <v>-719</v>
      </c>
      <c r="L289" s="20" t="n">
        <v>0</v>
      </c>
      <c r="M289" s="20" t="n">
        <v>0</v>
      </c>
      <c r="N289" s="20" t="n">
        <v>0</v>
      </c>
      <c r="Q289" s="20" t="n">
        <v>-392</v>
      </c>
      <c r="R289" s="20" t="n">
        <v>0</v>
      </c>
      <c r="S289" s="20" t="n">
        <v>0</v>
      </c>
      <c r="T289" s="20" t="n">
        <v>-133</v>
      </c>
      <c r="U289" s="20" t="n">
        <v>-46</v>
      </c>
      <c r="V289" s="20" t="n">
        <v>-417</v>
      </c>
      <c r="W289" s="20" t="n">
        <v>-4633</v>
      </c>
      <c r="X289" s="20" t="n">
        <v>-719</v>
      </c>
    </row>
    <row r="290">
      <c r="A290" s="18" t="inlineStr">
        <is>
          <t>연결범위 변동 없는 자회사 주식 매각 수입</t>
        </is>
      </c>
      <c r="C290" s="20" t="n">
        <v>15</v>
      </c>
      <c r="D290" s="20" t="n">
        <v>0</v>
      </c>
      <c r="E290" s="20" t="n">
        <v>0</v>
      </c>
      <c r="F290" s="20" t="n">
        <v>0</v>
      </c>
      <c r="G290" s="20" t="n">
        <v>0</v>
      </c>
      <c r="S290" s="20" t="n">
        <v>0</v>
      </c>
      <c r="T290" s="20" t="n">
        <v>15</v>
      </c>
      <c r="U290" s="20" t="n">
        <v>0</v>
      </c>
      <c r="V290" s="20" t="n">
        <v>15</v>
      </c>
      <c r="W290" s="20" t="n">
        <v>0</v>
      </c>
    </row>
    <row r="291">
      <c r="A291" s="18" t="inlineStr">
        <is>
          <t>기타</t>
        </is>
      </c>
      <c r="C291" s="20" t="n">
        <v>-4282</v>
      </c>
      <c r="D291" s="20" t="n">
        <v>-360</v>
      </c>
      <c r="E291" s="20" t="n">
        <v>719</v>
      </c>
      <c r="F291" s="20" t="n">
        <v>304</v>
      </c>
      <c r="G291" s="20" t="n">
        <v>-160</v>
      </c>
      <c r="H291" s="20" t="n">
        <v>-572</v>
      </c>
      <c r="I291" s="20" t="n">
        <v>-1280</v>
      </c>
      <c r="J291" s="20" t="n">
        <v>-2024</v>
      </c>
      <c r="K291" s="20" t="n">
        <v>-2744</v>
      </c>
      <c r="L291" s="20" t="n">
        <v>-794</v>
      </c>
      <c r="M291" s="20" t="n">
        <v>-1914</v>
      </c>
      <c r="N291" s="20" t="n">
        <v>-3068</v>
      </c>
      <c r="Q291" s="20" t="n">
        <v>265</v>
      </c>
      <c r="R291" s="20" t="n">
        <v>1338</v>
      </c>
      <c r="S291" s="20" t="n">
        <v>1125</v>
      </c>
      <c r="T291" s="20" t="n">
        <v>820</v>
      </c>
      <c r="U291" s="20" t="n">
        <v>2014</v>
      </c>
      <c r="V291" s="20" t="n">
        <v>-4282</v>
      </c>
      <c r="W291" s="20" t="n">
        <v>-160</v>
      </c>
      <c r="X291" s="20" t="n">
        <v>-2744</v>
      </c>
    </row>
    <row r="292">
      <c r="A292" s="9" t="inlineStr">
        <is>
          <t>재무활동 현금흐름</t>
        </is>
      </c>
      <c r="C292" s="12" t="n">
        <v>-16371</v>
      </c>
      <c r="D292" s="12" t="n">
        <v>-1845</v>
      </c>
      <c r="E292" s="12" t="n">
        <v>3475</v>
      </c>
      <c r="F292" s="12" t="n">
        <v>6440</v>
      </c>
      <c r="G292" s="12" t="n">
        <v>-5664</v>
      </c>
      <c r="H292" s="12" t="n">
        <v>9995</v>
      </c>
      <c r="I292" s="12" t="n">
        <v>-3277</v>
      </c>
      <c r="J292" s="12" t="n">
        <v>-10944</v>
      </c>
      <c r="K292" s="12" t="n">
        <v>-20355</v>
      </c>
      <c r="L292" s="12" t="n">
        <v>9454</v>
      </c>
      <c r="M292" s="12" t="n">
        <v>-8080</v>
      </c>
      <c r="N292" s="12" t="n">
        <v>-25609</v>
      </c>
      <c r="Q292" s="12" t="n">
        <v>-65433</v>
      </c>
      <c r="R292" s="12" t="n">
        <v>-19019</v>
      </c>
      <c r="S292" s="12" t="n">
        <v>10792</v>
      </c>
      <c r="T292" s="12" t="n">
        <v>-18270</v>
      </c>
      <c r="U292" s="12" t="n">
        <v>-38978</v>
      </c>
      <c r="V292" s="12" t="n">
        <v>-16371</v>
      </c>
      <c r="W292" s="12" t="n">
        <v>-5664</v>
      </c>
      <c r="X292" s="12" t="n">
        <v>-20355</v>
      </c>
    </row>
    <row r="293">
      <c r="A293" s="18" t="inlineStr">
        <is>
          <t>현금성자산 환산차이</t>
        </is>
      </c>
      <c r="C293" s="20" t="n">
        <v>3713</v>
      </c>
      <c r="D293" s="20" t="n">
        <v>1375</v>
      </c>
      <c r="E293" s="20" t="n">
        <v>2741</v>
      </c>
      <c r="F293" s="20" t="n">
        <v>619</v>
      </c>
      <c r="G293" s="20" t="n">
        <v>1815</v>
      </c>
      <c r="H293" s="20" t="n">
        <v>-1189</v>
      </c>
      <c r="I293" s="20" t="n">
        <v>-705</v>
      </c>
      <c r="J293" s="20" t="n">
        <v>315</v>
      </c>
      <c r="K293" s="20" t="n">
        <v>3697</v>
      </c>
      <c r="L293" s="20" t="n">
        <v>412</v>
      </c>
      <c r="M293" s="20" t="n">
        <v>1135</v>
      </c>
      <c r="N293" s="20" t="n">
        <v>96</v>
      </c>
      <c r="Q293" s="20" t="n">
        <v>-2550</v>
      </c>
      <c r="R293" s="20" t="n">
        <v>-752</v>
      </c>
      <c r="S293" s="20" t="n">
        <v>478</v>
      </c>
      <c r="T293" s="20" t="n">
        <v>1459</v>
      </c>
      <c r="U293" s="20" t="n">
        <v>3797</v>
      </c>
      <c r="V293" s="20" t="n">
        <v>3713</v>
      </c>
      <c r="W293" s="20" t="n">
        <v>1815</v>
      </c>
      <c r="X293" s="20" t="n">
        <v>3697</v>
      </c>
    </row>
    <row r="294">
      <c r="A294" s="18" t="inlineStr">
        <is>
          <t>현금성자산 증감</t>
        </is>
      </c>
      <c r="C294" s="20" t="n">
        <v>2219</v>
      </c>
      <c r="D294" s="20" t="n">
        <v>-1565</v>
      </c>
      <c r="E294" s="20" t="n">
        <v>-10692</v>
      </c>
      <c r="F294" s="20" t="n">
        <v>-8458</v>
      </c>
      <c r="G294" s="20" t="n">
        <v>2534</v>
      </c>
      <c r="H294" s="20" t="n">
        <v>-131</v>
      </c>
      <c r="I294" s="20" t="n">
        <v>-13733</v>
      </c>
      <c r="J294" s="20" t="n">
        <v>-12250</v>
      </c>
      <c r="K294" s="20" t="n">
        <v>-1887</v>
      </c>
      <c r="L294" s="20" t="n">
        <v>3885</v>
      </c>
      <c r="M294" s="20" t="n">
        <v>-6728</v>
      </c>
      <c r="N294" s="20" t="n">
        <v>-3672</v>
      </c>
      <c r="Q294" s="20" t="n">
        <v>-37605</v>
      </c>
      <c r="R294" s="20" t="n">
        <v>327</v>
      </c>
      <c r="S294" s="20" t="n">
        <v>6058</v>
      </c>
      <c r="T294" s="20" t="n">
        <v>13544</v>
      </c>
      <c r="U294" s="20" t="n">
        <v>-10305</v>
      </c>
      <c r="V294" s="20" t="n">
        <v>2219</v>
      </c>
      <c r="W294" s="20" t="n">
        <v>2534</v>
      </c>
      <c r="X294" s="20" t="n">
        <v>-1887</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5"/>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6141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2025.3Q</t>
        </is>
      </c>
      <c r="D3" s="5" t="inlineStr">
        <is>
          <t>2025.4Q</t>
        </is>
      </c>
      <c r="E3" s="5" t="inlineStr">
        <is>
          <t>2026.1Q</t>
        </is>
      </c>
      <c r="F3" s="5" t="inlineStr">
        <is>
          <t>2026.2Q</t>
        </is>
      </c>
      <c r="G3" s="5" t="inlineStr">
        <is>
          <t>2026.3Q</t>
        </is>
      </c>
      <c r="H3" s="6" t="inlineStr">
        <is>
          <t>2021</t>
        </is>
      </c>
      <c r="I3" s="5" t="inlineStr">
        <is>
          <t>2022</t>
        </is>
      </c>
      <c r="J3" s="5" t="inlineStr">
        <is>
          <t>2023</t>
        </is>
      </c>
      <c r="K3" s="5" t="inlineStr">
        <is>
          <t>2024</t>
        </is>
      </c>
      <c r="L3" s="5" t="inlineStr">
        <is>
          <t>2025</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331026</v>
      </c>
      <c r="D5" s="12" t="n">
        <v>347844</v>
      </c>
      <c r="E5" s="12" t="n">
        <v>353450</v>
      </c>
      <c r="F5" s="12" t="n">
        <v>351144</v>
      </c>
      <c r="G5" s="12" t="n">
        <v>361614</v>
      </c>
      <c r="H5" s="11" t="n">
        <v>254692</v>
      </c>
      <c r="I5" s="12" t="n">
        <v>293985</v>
      </c>
      <c r="J5" s="12" t="n">
        <v>323773</v>
      </c>
      <c r="K5" s="12" t="n">
        <v>317711</v>
      </c>
      <c r="L5" s="12" t="n">
        <v>347844</v>
      </c>
    </row>
    <row r="6">
      <c r="A6" s="18" t="inlineStr">
        <is>
          <t>현금및현금성자산</t>
        </is>
      </c>
      <c r="B6" s="10" t="n"/>
      <c r="C6" s="19" t="n">
        <v>29496</v>
      </c>
      <c r="D6" s="20" t="n">
        <v>39859</v>
      </c>
      <c r="E6" s="20" t="n">
        <v>43745</v>
      </c>
      <c r="F6" s="20" t="n">
        <v>33130</v>
      </c>
      <c r="G6" s="20" t="n">
        <v>36186</v>
      </c>
      <c r="H6" s="19" t="n">
        <v>47298</v>
      </c>
      <c r="I6" s="20" t="n">
        <v>36992</v>
      </c>
      <c r="J6" s="20" t="n">
        <v>39212</v>
      </c>
      <c r="K6" s="20" t="n">
        <v>41747</v>
      </c>
      <c r="L6" s="20" t="n">
        <v>39859</v>
      </c>
    </row>
    <row r="7">
      <c r="A7" s="18" t="inlineStr">
        <is>
          <t>단기금융상품</t>
        </is>
      </c>
      <c r="B7" s="10" t="n"/>
      <c r="C7" s="19" t="n">
        <v>4317</v>
      </c>
      <c r="D7" s="20" t="n">
        <v>6258</v>
      </c>
      <c r="E7" s="20" t="n">
        <v>4431</v>
      </c>
      <c r="F7" s="20" t="n">
        <v>4282</v>
      </c>
      <c r="G7" s="20" t="n">
        <v>4161</v>
      </c>
      <c r="H7" s="19" t="n">
        <v>5557</v>
      </c>
      <c r="I7" s="20" t="n">
        <v>6503</v>
      </c>
      <c r="J7" s="20" t="n">
        <v>5713</v>
      </c>
      <c r="K7" s="20" t="n">
        <v>2696</v>
      </c>
      <c r="L7" s="20" t="n">
        <v>6258</v>
      </c>
    </row>
    <row r="8">
      <c r="A8" s="18" t="inlineStr">
        <is>
          <t>매출채권</t>
        </is>
      </c>
      <c r="B8" s="10" t="n"/>
      <c r="C8" s="19" t="n">
        <v>67685</v>
      </c>
      <c r="D8" s="20" t="n">
        <v>80729</v>
      </c>
      <c r="E8" s="20" t="n">
        <v>77136</v>
      </c>
      <c r="F8" s="20" t="n">
        <v>76830</v>
      </c>
      <c r="G8" s="20" t="n">
        <v>80835</v>
      </c>
      <c r="H8" s="19" t="n">
        <v>59677</v>
      </c>
      <c r="I8" s="20" t="n">
        <v>68437</v>
      </c>
      <c r="J8" s="20" t="n">
        <v>62927</v>
      </c>
      <c r="K8" s="20" t="n">
        <v>66728</v>
      </c>
      <c r="L8" s="20" t="n">
        <v>80729</v>
      </c>
    </row>
    <row r="9">
      <c r="A9" s="18" t="inlineStr">
        <is>
          <t>재고자산</t>
        </is>
      </c>
      <c r="B9" s="10" t="n"/>
      <c r="C9" s="19" t="n">
        <v>210613</v>
      </c>
      <c r="D9" s="20" t="n">
        <v>201821</v>
      </c>
      <c r="E9" s="20" t="n">
        <v>209255</v>
      </c>
      <c r="F9" s="20" t="n">
        <v>216781</v>
      </c>
      <c r="G9" s="20" t="n">
        <v>220055</v>
      </c>
      <c r="H9" s="19" t="n">
        <v>129542</v>
      </c>
      <c r="I9" s="20" t="n">
        <v>166217</v>
      </c>
      <c r="J9" s="20" t="n">
        <v>200843</v>
      </c>
      <c r="K9" s="20" t="n">
        <v>190009</v>
      </c>
      <c r="L9" s="20" t="n">
        <v>201821</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496271</v>
      </c>
      <c r="D11" s="12" t="n">
        <v>521120</v>
      </c>
      <c r="E11" s="12" t="n">
        <v>524239</v>
      </c>
      <c r="F11" s="12" t="n">
        <v>530295</v>
      </c>
      <c r="G11" s="12" t="n">
        <v>516010</v>
      </c>
      <c r="H11" s="11" t="n">
        <v>342425</v>
      </c>
      <c r="I11" s="12" t="n">
        <v>386349</v>
      </c>
      <c r="J11" s="12" t="n">
        <v>442033</v>
      </c>
      <c r="K11" s="12" t="n">
        <v>479855</v>
      </c>
      <c r="L11" s="12" t="n">
        <v>521120</v>
      </c>
    </row>
    <row r="12">
      <c r="A12" s="18" t="inlineStr">
        <is>
          <t>유형자산</t>
        </is>
      </c>
      <c r="B12" s="10" t="n"/>
      <c r="C12" s="19" t="n">
        <v>216270</v>
      </c>
      <c r="D12" s="20" t="n">
        <v>223573</v>
      </c>
      <c r="E12" s="20" t="n">
        <v>225963</v>
      </c>
      <c r="F12" s="20" t="n">
        <v>228667</v>
      </c>
      <c r="G12" s="20" t="n">
        <v>226112</v>
      </c>
      <c r="H12" s="19" t="n">
        <v>138076</v>
      </c>
      <c r="I12" s="20" t="n">
        <v>162965</v>
      </c>
      <c r="J12" s="20" t="n">
        <v>189231</v>
      </c>
      <c r="K12" s="20" t="n">
        <v>212710</v>
      </c>
      <c r="L12" s="20" t="n">
        <v>223573</v>
      </c>
    </row>
    <row r="13">
      <c r="A13" s="18" t="inlineStr">
        <is>
          <t>무형자산</t>
        </is>
      </c>
      <c r="B13" s="10" t="n"/>
      <c r="C13" s="19" t="n"/>
      <c r="D13" s="20" t="n"/>
      <c r="E13" s="20" t="n"/>
      <c r="F13" s="20" t="n"/>
      <c r="G13" s="20" t="n"/>
      <c r="H13" s="19" t="n"/>
      <c r="I13" s="20" t="n"/>
      <c r="J13" s="20" t="n"/>
      <c r="K13" s="20" t="n"/>
      <c r="L13" s="20" t="n"/>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827297</v>
      </c>
      <c r="D16" s="12" t="n">
        <v>868965</v>
      </c>
      <c r="E16" s="12" t="n">
        <v>877690</v>
      </c>
      <c r="F16" s="12" t="n">
        <v>881440</v>
      </c>
      <c r="G16" s="12" t="n">
        <v>877625</v>
      </c>
      <c r="H16" s="11" t="n">
        <v>597117</v>
      </c>
      <c r="I16" s="12" t="n">
        <v>680334</v>
      </c>
      <c r="J16" s="12" t="n">
        <v>765806</v>
      </c>
      <c r="K16" s="12" t="n">
        <v>797567</v>
      </c>
      <c r="L16" s="12" t="n">
        <v>868965</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412296</v>
      </c>
      <c r="D18" s="12" t="n">
        <v>383124</v>
      </c>
      <c r="E18" s="12" t="n">
        <v>397014</v>
      </c>
      <c r="F18" s="12" t="n">
        <v>375841</v>
      </c>
      <c r="G18" s="12" t="n">
        <v>375062</v>
      </c>
      <c r="H18" s="11" t="n">
        <v>254409</v>
      </c>
      <c r="I18" s="12" t="n">
        <v>281329</v>
      </c>
      <c r="J18" s="12" t="n">
        <v>376633</v>
      </c>
      <c r="K18" s="12" t="n">
        <v>399420</v>
      </c>
      <c r="L18" s="12" t="n">
        <v>383124</v>
      </c>
    </row>
    <row r="19">
      <c r="A19" s="18" t="inlineStr">
        <is>
          <t>매입채무</t>
        </is>
      </c>
      <c r="B19" s="10" t="n"/>
      <c r="C19" s="19" t="n">
        <v>72641</v>
      </c>
      <c r="D19" s="20" t="n">
        <v>78083</v>
      </c>
      <c r="E19" s="20" t="n">
        <v>74752</v>
      </c>
      <c r="F19" s="20" t="n">
        <v>76324</v>
      </c>
      <c r="G19" s="20" t="n">
        <v>86269</v>
      </c>
      <c r="H19" s="19" t="n">
        <v>54169</v>
      </c>
      <c r="I19" s="20" t="n">
        <v>72806</v>
      </c>
      <c r="J19" s="20" t="n">
        <v>82914</v>
      </c>
      <c r="K19" s="20" t="n">
        <v>75119</v>
      </c>
      <c r="L19" s="20" t="n">
        <v>78083</v>
      </c>
    </row>
    <row r="20">
      <c r="A20" s="18" t="inlineStr">
        <is>
          <t>단기차입금</t>
        </is>
      </c>
      <c r="B20" s="10" t="n"/>
      <c r="C20" s="19" t="n"/>
      <c r="D20" s="20" t="n"/>
      <c r="E20" s="20" t="n"/>
      <c r="F20" s="20" t="n"/>
      <c r="G20" s="20" t="n"/>
      <c r="H20" s="19" t="n"/>
      <c r="I20" s="20" t="n"/>
      <c r="J20" s="20" t="n"/>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86469</v>
      </c>
      <c r="D23" s="12" t="n">
        <v>143684</v>
      </c>
      <c r="E23" s="12" t="n">
        <v>144861</v>
      </c>
      <c r="F23" s="12" t="n">
        <v>152269</v>
      </c>
      <c r="G23" s="12" t="n">
        <v>145670</v>
      </c>
      <c r="H23" s="11" t="n">
        <v>125428</v>
      </c>
      <c r="I23" s="12" t="n">
        <v>148630</v>
      </c>
      <c r="J23" s="12" t="n">
        <v>116627</v>
      </c>
      <c r="K23" s="12" t="n">
        <v>81667</v>
      </c>
      <c r="L23" s="12" t="n">
        <v>143684</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v>5000</v>
      </c>
      <c r="D25" s="20" t="n">
        <v>60000</v>
      </c>
      <c r="E25" s="20" t="n">
        <v>60000</v>
      </c>
      <c r="F25" s="20" t="n">
        <v>60000</v>
      </c>
      <c r="G25" s="20" t="n">
        <v>55000</v>
      </c>
      <c r="H25" s="19" t="n">
        <v>85133</v>
      </c>
      <c r="I25" s="20" t="n">
        <v>39852</v>
      </c>
      <c r="J25" s="20" t="n">
        <v>52474</v>
      </c>
      <c r="K25" s="20" t="n">
        <v>1758</v>
      </c>
      <c r="L25" s="20" t="n">
        <v>60000</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498765</v>
      </c>
      <c r="D27" s="12" t="n">
        <v>526809</v>
      </c>
      <c r="E27" s="12" t="n">
        <v>541876</v>
      </c>
      <c r="F27" s="12" t="n">
        <v>528110</v>
      </c>
      <c r="G27" s="12" t="n">
        <v>520733</v>
      </c>
      <c r="H27" s="11" t="n">
        <v>379838</v>
      </c>
      <c r="I27" s="12" t="n">
        <v>429960</v>
      </c>
      <c r="J27" s="12" t="n">
        <v>493261</v>
      </c>
      <c r="K27" s="12" t="n">
        <v>481087</v>
      </c>
      <c r="L27" s="12" t="n">
        <v>526809</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326976</v>
      </c>
      <c r="D31" s="12" t="n">
        <v>340484</v>
      </c>
      <c r="E31" s="12" t="n">
        <v>335090</v>
      </c>
      <c r="F31" s="12" t="n">
        <v>352661</v>
      </c>
      <c r="G31" s="12" t="n">
        <v>356247</v>
      </c>
      <c r="H31" s="11" t="n">
        <v>213139</v>
      </c>
      <c r="I31" s="12" t="n">
        <v>245897</v>
      </c>
      <c r="J31" s="12" t="n">
        <v>267990</v>
      </c>
      <c r="K31" s="12" t="n">
        <v>314522</v>
      </c>
      <c r="L31" s="12" t="n">
        <v>340484</v>
      </c>
    </row>
    <row r="32">
      <c r="A32" s="18" t="inlineStr">
        <is>
          <t>자본금</t>
        </is>
      </c>
      <c r="B32" s="10" t="n"/>
      <c r="C32" s="19" t="n">
        <v>71804</v>
      </c>
      <c r="D32" s="20" t="n">
        <v>71804</v>
      </c>
      <c r="E32" s="20" t="n">
        <v>71804</v>
      </c>
      <c r="F32" s="20" t="n">
        <v>71804</v>
      </c>
      <c r="G32" s="20" t="n">
        <v>95823</v>
      </c>
      <c r="H32" s="19" t="n">
        <v>51115</v>
      </c>
      <c r="I32" s="20" t="n">
        <v>51115</v>
      </c>
      <c r="J32" s="20" t="n">
        <v>51115</v>
      </c>
      <c r="K32" s="20" t="n">
        <v>71230</v>
      </c>
      <c r="L32" s="20" t="n">
        <v>71804</v>
      </c>
    </row>
    <row r="33">
      <c r="A33" s="18" t="inlineStr">
        <is>
          <t>이익잉여금</t>
        </is>
      </c>
      <c r="B33" s="10" t="n"/>
      <c r="C33" s="19" t="n">
        <v>91537</v>
      </c>
      <c r="D33" s="20" t="n">
        <v>93738</v>
      </c>
      <c r="E33" s="20" t="n">
        <v>86410</v>
      </c>
      <c r="F33" s="20" t="n">
        <v>89696</v>
      </c>
      <c r="G33" s="20" t="n">
        <v>86465</v>
      </c>
      <c r="H33" s="19" t="n">
        <v>52817</v>
      </c>
      <c r="I33" s="20" t="n">
        <v>69864</v>
      </c>
      <c r="J33" s="20" t="n">
        <v>92283</v>
      </c>
      <c r="K33" s="20" t="n">
        <v>85866</v>
      </c>
      <c r="L33" s="20" t="n">
        <v>93738</v>
      </c>
    </row>
    <row r="34">
      <c r="A34" s="18" t="inlineStr">
        <is>
          <t>비지배지분</t>
        </is>
      </c>
      <c r="B34" s="10" t="n"/>
      <c r="C34" s="19" t="n">
        <v>1555</v>
      </c>
      <c r="D34" s="20" t="n">
        <v>1671</v>
      </c>
      <c r="E34" s="20" t="n">
        <v>723</v>
      </c>
      <c r="F34" s="20" t="n">
        <v>667</v>
      </c>
      <c r="G34" s="20" t="n">
        <v>643</v>
      </c>
      <c r="H34" s="19" t="n">
        <v>4139</v>
      </c>
      <c r="I34" s="20" t="n">
        <v>4477</v>
      </c>
      <c r="J34" s="20" t="n">
        <v>4555</v>
      </c>
      <c r="K34" s="20" t="n">
        <v>1957</v>
      </c>
      <c r="L34" s="20" t="n">
        <v>1671</v>
      </c>
    </row>
    <row r="35">
      <c r="A35" s="9" t="inlineStr">
        <is>
          <t>자본총계</t>
        </is>
      </c>
      <c r="B35" s="10" t="n"/>
      <c r="C35" s="11" t="n">
        <v>328531</v>
      </c>
      <c r="D35" s="12" t="n">
        <v>342155</v>
      </c>
      <c r="E35" s="12" t="n">
        <v>335813</v>
      </c>
      <c r="F35" s="12" t="n">
        <v>353329</v>
      </c>
      <c r="G35" s="12" t="n">
        <v>356891</v>
      </c>
      <c r="H35" s="11" t="n">
        <v>217279</v>
      </c>
      <c r="I35" s="12" t="n">
        <v>250374</v>
      </c>
      <c r="J35" s="12" t="n">
        <v>272545</v>
      </c>
      <c r="K35" s="12" t="n">
        <v>316480</v>
      </c>
      <c r="L35" s="12" t="n">
        <v>342155</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33351</v>
      </c>
      <c r="D37" s="12" t="n">
        <v>25984</v>
      </c>
      <c r="E37" s="12" t="n">
        <v>28713</v>
      </c>
      <c r="F37" s="12" t="n">
        <v>37057</v>
      </c>
      <c r="G37" s="12" t="n">
        <v>66062</v>
      </c>
      <c r="H37" s="11" t="n">
        <v>49733</v>
      </c>
      <c r="I37" s="12" t="n">
        <v>69749</v>
      </c>
      <c r="J37" s="12" t="n">
        <v>51608</v>
      </c>
      <c r="K37" s="12" t="n">
        <v>44579</v>
      </c>
      <c r="L37" s="12" t="n">
        <v>25984</v>
      </c>
    </row>
    <row r="38">
      <c r="A38" s="18" t="inlineStr">
        <is>
          <t>CAPEX (유·무형 취득)</t>
        </is>
      </c>
      <c r="B38" s="10" t="inlineStr">
        <is>
          <t>양수로 입력</t>
        </is>
      </c>
      <c r="C38" s="19" t="n">
        <v>36512</v>
      </c>
      <c r="D38" s="20" t="n">
        <v>29519</v>
      </c>
      <c r="E38" s="20" t="n">
        <v>30157</v>
      </c>
      <c r="F38" s="20" t="n">
        <v>31201</v>
      </c>
      <c r="G38" s="20" t="n">
        <v>30853</v>
      </c>
      <c r="H38" s="19" t="n">
        <v>23251</v>
      </c>
      <c r="I38" s="20" t="n">
        <v>41112</v>
      </c>
      <c r="J38" s="20" t="n">
        <v>42472</v>
      </c>
      <c r="K38" s="20" t="n">
        <v>43805</v>
      </c>
      <c r="L38" s="20" t="n">
        <v>29519</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14136</v>
      </c>
      <c r="D40" s="20" t="n">
        <v>14183</v>
      </c>
      <c r="E40" s="20" t="n">
        <v>14670</v>
      </c>
      <c r="F40" s="20" t="n">
        <v>14776</v>
      </c>
      <c r="G40" s="20" t="n">
        <v>14784</v>
      </c>
      <c r="H40" s="19" t="n">
        <v>2496</v>
      </c>
      <c r="I40" s="20" t="n">
        <v>7525</v>
      </c>
      <c r="J40" s="20" t="n">
        <v>10029</v>
      </c>
      <c r="K40" s="20" t="n">
        <v>13346</v>
      </c>
      <c r="L40" s="20" t="n">
        <v>14183</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IFERROR((IF(COUNT('연간'!G28:J28)&lt;4,"",SUM('연간'!G28:J28)))/(IF(COUNT('연간'!G50:J50)&lt;4,"",SUM('연간'!G50:J50))),"")</f>
        <v/>
      </c>
      <c r="D48" s="31">
        <f>IFERROR((IF(COUNT('연간'!H28:K28)&lt;4,"",SUM('연간'!H28:K28)))/(IF(COUNT('연간'!H50:K50)&lt;4,"",SUM('연간'!H50:K50))),"")</f>
        <v/>
      </c>
      <c r="E48" s="31">
        <f>IFERROR((IF(COUNT('연간'!I28:L28)&lt;4,"",SUM('연간'!I28:L28)))/(IF(COUNT('연간'!I50:L50)&lt;4,"",SUM('연간'!I50:L50))),"")</f>
        <v/>
      </c>
      <c r="F48" s="31">
        <f>IFERROR((IF(COUNT('연간'!J28:M28)&lt;4,"",SUM('연간'!J28:M28)))/(IF(COUNT('연간'!J50:M50)&lt;4,"",SUM('연간'!J50:M50))),"")</f>
        <v/>
      </c>
      <c r="G48" s="31">
        <f>IFERROR((IF(COUNT('연간'!K28:N28)&lt;4,"",SUM('연간'!K28:N28)))/(IF(COUNT('연간'!K50:N50)&lt;4,"",SUM('연간'!K50:N50))),"")</f>
        <v/>
      </c>
      <c r="H48" s="30">
        <f>IFERROR(('연간'!T28)/('연간'!T50),"")</f>
        <v/>
      </c>
      <c r="I48" s="31">
        <f>IFERROR(('연간'!U28)/('연간'!U50),"")</f>
        <v/>
      </c>
      <c r="J48" s="31">
        <f>IFERROR(('연간'!V28)/('연간'!V50),"")</f>
        <v/>
      </c>
      <c r="K48" s="31">
        <f>IFERROR(('연간'!W28)/('연간'!W50),"")</f>
        <v/>
      </c>
      <c r="L48" s="31">
        <f>IFERROR(('연간'!X28)/('연간'!X50),"")</f>
        <v/>
      </c>
    </row>
    <row r="49">
      <c r="A49" s="45" t="inlineStr">
        <is>
          <t>차입금 상환연수</t>
        </is>
      </c>
      <c r="B49" s="10" t="inlineStr">
        <is>
          <t>4년↓ (버핏)</t>
        </is>
      </c>
      <c r="C49" s="46">
        <f>IFERROR(IF((IF(COUNT('연간'!G58:J58)&lt;4,"",SUM('연간'!G58:J58)))&lt;=0,"적자",C28/(IF(COUNT('연간'!G58:J58)&lt;4,"",SUM('연간'!G58:J58)))),"")</f>
        <v/>
      </c>
      <c r="D49" s="47">
        <f>IFERROR(IF((IF(COUNT('연간'!H58:K58)&lt;4,"",SUM('연간'!H58:K58)))&lt;=0,"적자",D28/(IF(COUNT('연간'!H58:K58)&lt;4,"",SUM('연간'!H58:K58)))),"")</f>
        <v/>
      </c>
      <c r="E49" s="47">
        <f>IFERROR(IF((IF(COUNT('연간'!I58:L58)&lt;4,"",SUM('연간'!I58:L58)))&lt;=0,"적자",E28/(IF(COUNT('연간'!I58:L58)&lt;4,"",SUM('연간'!I58:L58)))),"")</f>
        <v/>
      </c>
      <c r="F49" s="47">
        <f>IFERROR(IF((IF(COUNT('연간'!J58:M58)&lt;4,"",SUM('연간'!J58:M58)))&lt;=0,"적자",F28/(IF(COUNT('연간'!J58:M58)&lt;4,"",SUM('연간'!J58:M58)))),"")</f>
        <v/>
      </c>
      <c r="G49" s="47">
        <f>IFERROR(IF((IF(COUNT('연간'!K58:N58)&lt;4,"",SUM('연간'!K58:N58)))&lt;=0,"적자",G28/(IF(COUNT('연간'!K58:N58)&lt;4,"",SUM('연간'!K58:N58)))),"")</f>
        <v/>
      </c>
      <c r="H49" s="46">
        <f>IFERROR(IF(('연간'!T58)&lt;=0,"적자",H28/('연간'!T58)),"")</f>
        <v/>
      </c>
      <c r="I49" s="47">
        <f>IFERROR(IF(('연간'!U58)&lt;=0,"적자",I28/('연간'!U58)),"")</f>
        <v/>
      </c>
      <c r="J49" s="47">
        <f>IFERROR(IF(('연간'!V58)&lt;=0,"적자",J28/('연간'!V58)),"")</f>
        <v/>
      </c>
      <c r="K49" s="47">
        <f>IFERROR(IF(('연간'!W58)&lt;=0,"적자",K28/('연간'!W58)),"")</f>
        <v/>
      </c>
      <c r="L49" s="47">
        <f>IFERROR(IF(('연간'!X58)&lt;=0,"적자",L28/('연간'!X58)),"")</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IFERROR((IF(COUNT('연간'!G58:J58)&lt;4,"",SUM('연간'!G58:J58)))/C31,"")</f>
        <v/>
      </c>
      <c r="D51" s="36">
        <f>IFERROR((IF(COUNT('연간'!H58:K58)&lt;4,"",SUM('연간'!H58:K58)))/D31,"")</f>
        <v/>
      </c>
      <c r="E51" s="36">
        <f>IFERROR((IF(COUNT('연간'!I58:L58)&lt;4,"",SUM('연간'!I58:L58)))/E31,"")</f>
        <v/>
      </c>
      <c r="F51" s="36">
        <f>IFERROR((IF(COUNT('연간'!J58:M58)&lt;4,"",SUM('연간'!J58:M58)))/F31,"")</f>
        <v/>
      </c>
      <c r="G51" s="36">
        <f>IFERROR((IF(COUNT('연간'!K58:N58)&lt;4,"",SUM('연간'!K58:N58)))/G31,"")</f>
        <v/>
      </c>
      <c r="H51" s="35">
        <f>IFERROR(('연간'!T58)/H31,"")</f>
        <v/>
      </c>
      <c r="I51" s="36">
        <f>IFERROR(('연간'!U58)/I31,"")</f>
        <v/>
      </c>
      <c r="J51" s="36">
        <f>IFERROR(('연간'!V58)/J31,"")</f>
        <v/>
      </c>
      <c r="K51" s="36">
        <f>IFERROR(('연간'!W58)/K31,"")</f>
        <v/>
      </c>
      <c r="L51" s="36">
        <f>IFERROR(('연간'!X58)/L31,"")</f>
        <v/>
      </c>
    </row>
    <row r="52">
      <c r="A52" s="45" t="inlineStr">
        <is>
          <t>ROA</t>
        </is>
      </c>
      <c r="B52" s="10" t="inlineStr">
        <is>
          <t>5%↑</t>
        </is>
      </c>
      <c r="C52" s="35">
        <f>IFERROR((IF(COUNT('연간'!G56:J56)&lt;4,"",SUM('연간'!G56:J56)))/C16,"")</f>
        <v/>
      </c>
      <c r="D52" s="36">
        <f>IFERROR((IF(COUNT('연간'!H56:K56)&lt;4,"",SUM('연간'!H56:K56)))/D16,"")</f>
        <v/>
      </c>
      <c r="E52" s="36">
        <f>IFERROR((IF(COUNT('연간'!I56:L56)&lt;4,"",SUM('연간'!I56:L56)))/E16,"")</f>
        <v/>
      </c>
      <c r="F52" s="36">
        <f>IFERROR((IF(COUNT('연간'!J56:M56)&lt;4,"",SUM('연간'!J56:M56)))/F16,"")</f>
        <v/>
      </c>
      <c r="G52" s="36">
        <f>IFERROR((IF(COUNT('연간'!K56:N56)&lt;4,"",SUM('연간'!K56:N56)))/G16,"")</f>
        <v/>
      </c>
      <c r="H52" s="35">
        <f>IFERROR(('연간'!T56)/H16,"")</f>
        <v/>
      </c>
      <c r="I52" s="36">
        <f>IFERROR(('연간'!U56)/I16,"")</f>
        <v/>
      </c>
      <c r="J52" s="36">
        <f>IFERROR(('연간'!V56)/J16,"")</f>
        <v/>
      </c>
      <c r="K52" s="36">
        <f>IFERROR(('연간'!W56)/K16,"")</f>
        <v/>
      </c>
      <c r="L52" s="36">
        <f>IFERROR(('연간'!X56)/L16,"")</f>
        <v/>
      </c>
    </row>
    <row r="53">
      <c r="A53" s="45" t="inlineStr">
        <is>
          <t>ROIC</t>
        </is>
      </c>
      <c r="B53" s="10" t="inlineStr">
        <is>
          <t>10%↑ (세후영업이익 기준)</t>
        </is>
      </c>
      <c r="C53" s="35">
        <f>IFERROR((IF(COUNT('연간'!G28:J28)&lt;4,"",SUM('연간'!G28:J28)))*(1-0.3)/(C35+C29),"")</f>
        <v/>
      </c>
      <c r="D53" s="36">
        <f>IFERROR((IF(COUNT('연간'!H28:K28)&lt;4,"",SUM('연간'!H28:K28)))*(1-0.3)/(D35+D29),"")</f>
        <v/>
      </c>
      <c r="E53" s="36">
        <f>IFERROR((IF(COUNT('연간'!I28:L28)&lt;4,"",SUM('연간'!I28:L28)))*(1-0.3)/(E35+E29),"")</f>
        <v/>
      </c>
      <c r="F53" s="36">
        <f>IFERROR((IF(COUNT('연간'!J28:M28)&lt;4,"",SUM('연간'!J28:M28)))*(1-0.3)/(F35+F29),"")</f>
        <v/>
      </c>
      <c r="G53" s="36">
        <f>IFERROR((IF(COUNT('연간'!K28:N28)&lt;4,"",SUM('연간'!K28:N28)))*(1-0.3)/(G35+G29),"")</f>
        <v/>
      </c>
      <c r="H53" s="35">
        <f>IFERROR(('연간'!T28)*(1-0.3)/(H35+H29),"")</f>
        <v/>
      </c>
      <c r="I53" s="36">
        <f>IFERROR(('연간'!U28)*(1-0.3)/(I35+I29),"")</f>
        <v/>
      </c>
      <c r="J53" s="36">
        <f>IFERROR(('연간'!V28)*(1-0.3)/(J35+J29),"")</f>
        <v/>
      </c>
      <c r="K53" s="36">
        <f>IFERROR(('연간'!W28)*(1-0.3)/(K35+K29),"")</f>
        <v/>
      </c>
      <c r="L53" s="36">
        <f>IFERROR(('연간'!X28)*(1-0.3)/(L35+L29),"")</f>
        <v/>
      </c>
    </row>
    <row r="54">
      <c r="A54" s="45" t="inlineStr">
        <is>
          <t>매출총이익률 (GPM)</t>
        </is>
      </c>
      <c r="B54" s="10" t="inlineStr">
        <is>
          <t>40%↑ (해자 신호)</t>
        </is>
      </c>
      <c r="C54" s="35">
        <f>IFERROR((IF(COUNT('연간'!G22:J22)&lt;4,"",SUM('연간'!G22:J22)))/(IF(COUNT('연간'!G4:J4)&lt;4,"",SUM('연간'!G4:J4))),"")</f>
        <v/>
      </c>
      <c r="D54" s="36">
        <f>IFERROR((IF(COUNT('연간'!H22:K22)&lt;4,"",SUM('연간'!H22:K22)))/(IF(COUNT('연간'!H4:K4)&lt;4,"",SUM('연간'!H4:K4))),"")</f>
        <v/>
      </c>
      <c r="E54" s="36">
        <f>IFERROR((IF(COUNT('연간'!I22:L22)&lt;4,"",SUM('연간'!I22:L22)))/(IF(COUNT('연간'!I4:L4)&lt;4,"",SUM('연간'!I4:L4))),"")</f>
        <v/>
      </c>
      <c r="F54" s="36">
        <f>IFERROR((IF(COUNT('연간'!J22:M22)&lt;4,"",SUM('연간'!J22:M22)))/(IF(COUNT('연간'!J4:M4)&lt;4,"",SUM('연간'!J4:M4))),"")</f>
        <v/>
      </c>
      <c r="G54" s="36">
        <f>IFERROR((IF(COUNT('연간'!K22:N22)&lt;4,"",SUM('연간'!K22:N22)))/(IF(COUNT('연간'!K4:N4)&lt;4,"",SUM('연간'!K4:N4))),"")</f>
        <v/>
      </c>
      <c r="H54" s="35">
        <f>IFERROR(('연간'!T22)/('연간'!T4),"")</f>
        <v/>
      </c>
      <c r="I54" s="36">
        <f>IFERROR(('연간'!U22)/('연간'!U4),"")</f>
        <v/>
      </c>
      <c r="J54" s="36">
        <f>IFERROR(('연간'!V22)/('연간'!V4),"")</f>
        <v/>
      </c>
      <c r="K54" s="36">
        <f>IFERROR(('연간'!W22)/('연간'!W4),"")</f>
        <v/>
      </c>
      <c r="L54" s="36">
        <f>IFERROR(('연간'!X22)/('연간'!X4),"")</f>
        <v/>
      </c>
    </row>
    <row r="55">
      <c r="A55" s="45" t="inlineStr">
        <is>
          <t>영업이익률 (OPM)</t>
        </is>
      </c>
      <c r="B55" s="10" t="inlineStr">
        <is>
          <t>15%↑</t>
        </is>
      </c>
      <c r="C55" s="35">
        <f>IFERROR((IF(COUNT('연간'!G28:J28)&lt;4,"",SUM('연간'!G28:J28)))/(IF(COUNT('연간'!G4:J4)&lt;4,"",SUM('연간'!G4:J4))),"")</f>
        <v/>
      </c>
      <c r="D55" s="36">
        <f>IFERROR((IF(COUNT('연간'!H28:K28)&lt;4,"",SUM('연간'!H28:K28)))/(IF(COUNT('연간'!H4:K4)&lt;4,"",SUM('연간'!H4:K4))),"")</f>
        <v/>
      </c>
      <c r="E55" s="36">
        <f>IFERROR((IF(COUNT('연간'!I28:L28)&lt;4,"",SUM('연간'!I28:L28)))/(IF(COUNT('연간'!I4:L4)&lt;4,"",SUM('연간'!I4:L4))),"")</f>
        <v/>
      </c>
      <c r="F55" s="36">
        <f>IFERROR((IF(COUNT('연간'!J28:M28)&lt;4,"",SUM('연간'!J28:M28)))/(IF(COUNT('연간'!J4:M4)&lt;4,"",SUM('연간'!J4:M4))),"")</f>
        <v/>
      </c>
      <c r="G55" s="36">
        <f>IFERROR((IF(COUNT('연간'!K28:N28)&lt;4,"",SUM('연간'!K28:N28)))/(IF(COUNT('연간'!K4:N4)&lt;4,"",SUM('연간'!K4:N4))),"")</f>
        <v/>
      </c>
      <c r="H55" s="35">
        <f>IFERROR(('연간'!T28)/('연간'!T4),"")</f>
        <v/>
      </c>
      <c r="I55" s="36">
        <f>IFERROR(('연간'!U28)/('연간'!U4),"")</f>
        <v/>
      </c>
      <c r="J55" s="36">
        <f>IFERROR(('연간'!V28)/('연간'!V4),"")</f>
        <v/>
      </c>
      <c r="K55" s="36">
        <f>IFERROR(('연간'!W28)/('연간'!W4),"")</f>
        <v/>
      </c>
      <c r="L55" s="36">
        <f>IFERROR(('연간'!X28)/('연간'!X4),"")</f>
        <v/>
      </c>
    </row>
    <row r="56">
      <c r="A56" s="45" t="inlineStr">
        <is>
          <t>순이익률</t>
        </is>
      </c>
      <c r="B56" s="10" t="inlineStr">
        <is>
          <t>10%↑</t>
        </is>
      </c>
      <c r="C56" s="35">
        <f>IFERROR((IF(COUNT('연간'!G56:J56)&lt;4,"",SUM('연간'!G56:J56)))/(IF(COUNT('연간'!G4:J4)&lt;4,"",SUM('연간'!G4:J4))),"")</f>
        <v/>
      </c>
      <c r="D56" s="36">
        <f>IFERROR((IF(COUNT('연간'!H56:K56)&lt;4,"",SUM('연간'!H56:K56)))/(IF(COUNT('연간'!H4:K4)&lt;4,"",SUM('연간'!H4:K4))),"")</f>
        <v/>
      </c>
      <c r="E56" s="36">
        <f>IFERROR((IF(COUNT('연간'!I56:L56)&lt;4,"",SUM('연간'!I56:L56)))/(IF(COUNT('연간'!I4:L4)&lt;4,"",SUM('연간'!I4:L4))),"")</f>
        <v/>
      </c>
      <c r="F56" s="36">
        <f>IFERROR((IF(COUNT('연간'!J56:M56)&lt;4,"",SUM('연간'!J56:M56)))/(IF(COUNT('연간'!J4:M4)&lt;4,"",SUM('연간'!J4:M4))),"")</f>
        <v/>
      </c>
      <c r="G56" s="36">
        <f>IFERROR((IF(COUNT('연간'!K56:N56)&lt;4,"",SUM('연간'!K56:N56)))/(IF(COUNT('연간'!K4:N4)&lt;4,"",SUM('연간'!K4:N4))),"")</f>
        <v/>
      </c>
      <c r="H56" s="35">
        <f>IFERROR(('연간'!T56)/('연간'!T4),"")</f>
        <v/>
      </c>
      <c r="I56" s="36">
        <f>IFERROR(('연간'!U56)/('연간'!U4),"")</f>
        <v/>
      </c>
      <c r="J56" s="36">
        <f>IFERROR(('연간'!V56)/('연간'!V4),"")</f>
        <v/>
      </c>
      <c r="K56" s="36">
        <f>IFERROR(('연간'!W56)/('연간'!W4),"")</f>
        <v/>
      </c>
      <c r="L56" s="36">
        <f>IFERROR(('연간'!X56)/('연간'!X4),"")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IFERROR(C9/(IF(COUNT('연간'!G20:J20)&lt;4,"",SUM('연간'!G20:J20)))*365,"")</f>
        <v/>
      </c>
      <c r="D60" s="49">
        <f>IFERROR(D9/(IF(COUNT('연간'!H20:K20)&lt;4,"",SUM('연간'!H20:K20)))*365,"")</f>
        <v/>
      </c>
      <c r="E60" s="49">
        <f>IFERROR(E9/(IF(COUNT('연간'!I20:L20)&lt;4,"",SUM('연간'!I20:L20)))*365,"")</f>
        <v/>
      </c>
      <c r="F60" s="49">
        <f>IFERROR(F9/(IF(COUNT('연간'!J20:M20)&lt;4,"",SUM('연간'!J20:M20)))*365,"")</f>
        <v/>
      </c>
      <c r="G60" s="49">
        <f>IFERROR(G9/(IF(COUNT('연간'!K20:N20)&lt;4,"",SUM('연간'!K20:N20)))*365,"")</f>
        <v/>
      </c>
      <c r="H60" s="48">
        <f>IFERROR(H9/('연간'!T20)*365,"")</f>
        <v/>
      </c>
      <c r="I60" s="49">
        <f>IFERROR(I9/('연간'!U20)*365,"")</f>
        <v/>
      </c>
      <c r="J60" s="49">
        <f>IFERROR(J9/('연간'!V20)*365,"")</f>
        <v/>
      </c>
      <c r="K60" s="49">
        <f>IFERROR(K9/('연간'!W20)*365,"")</f>
        <v/>
      </c>
      <c r="L60" s="49">
        <f>IFERROR(L9/('연간'!X20)*365,"")</f>
        <v/>
      </c>
    </row>
    <row r="61">
      <c r="A61" s="45" t="inlineStr">
        <is>
          <t>매입채무회전일수</t>
        </is>
      </c>
      <c r="B61" s="10" t="inlineStr">
        <is>
          <t>길수록 유리</t>
        </is>
      </c>
      <c r="C61" s="48">
        <f>IFERROR(C19/(IF(COUNT('연간'!G20:J20)&lt;4,"",SUM('연간'!G20:J20)))*365,"")</f>
        <v/>
      </c>
      <c r="D61" s="49">
        <f>IFERROR(D19/(IF(COUNT('연간'!H20:K20)&lt;4,"",SUM('연간'!H20:K20)))*365,"")</f>
        <v/>
      </c>
      <c r="E61" s="49">
        <f>IFERROR(E19/(IF(COUNT('연간'!I20:L20)&lt;4,"",SUM('연간'!I20:L20)))*365,"")</f>
        <v/>
      </c>
      <c r="F61" s="49">
        <f>IFERROR(F19/(IF(COUNT('연간'!J20:M20)&lt;4,"",SUM('연간'!J20:M20)))*365,"")</f>
        <v/>
      </c>
      <c r="G61" s="49">
        <f>IFERROR(G19/(IF(COUNT('연간'!K20:N20)&lt;4,"",SUM('연간'!K20:N20)))*365,"")</f>
        <v/>
      </c>
      <c r="H61" s="48">
        <f>IFERROR(H19/('연간'!T20)*365,"")</f>
        <v/>
      </c>
      <c r="I61" s="49">
        <f>IFERROR(I19/('연간'!U20)*365,"")</f>
        <v/>
      </c>
      <c r="J61" s="49">
        <f>IFERROR(J19/('연간'!V20)*365,"")</f>
        <v/>
      </c>
      <c r="K61" s="49">
        <f>IFERROR(K19/('연간'!W20)*365,"")</f>
        <v/>
      </c>
      <c r="L61" s="49">
        <f>IFERROR(L19/('연간'!X20)*365,"")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IF(C37="","",IFERROR(C37/(IF(COUNT('연간'!G56:J56)&lt;4,"",SUM('연간'!G56:J56))),""))</f>
        <v/>
      </c>
      <c r="D64" s="31">
        <f>IF(D37="","",IFERROR(D37/(IF(COUNT('연간'!H56:K56)&lt;4,"",SUM('연간'!H56:K56))),""))</f>
        <v/>
      </c>
      <c r="E64" s="31">
        <f>IF(E37="","",IFERROR(E37/(IF(COUNT('연간'!I56:L56)&lt;4,"",SUM('연간'!I56:L56))),""))</f>
        <v/>
      </c>
      <c r="F64" s="31">
        <f>IF(F37="","",IFERROR(F37/(IF(COUNT('연간'!J56:M56)&lt;4,"",SUM('연간'!J56:M56))),""))</f>
        <v/>
      </c>
      <c r="G64" s="31">
        <f>IF(G37="","",IFERROR(G37/(IF(COUNT('연간'!K56:N56)&lt;4,"",SUM('연간'!K56:N56))),""))</f>
        <v/>
      </c>
      <c r="H64" s="30">
        <f>IF(H37="","",IFERROR(H37/('연간'!T56),""))</f>
        <v/>
      </c>
      <c r="I64" s="31">
        <f>IF(I37="","",IFERROR(I37/('연간'!U56),""))</f>
        <v/>
      </c>
      <c r="J64" s="31">
        <f>IF(J37="","",IFERROR(J37/('연간'!V56),""))</f>
        <v/>
      </c>
      <c r="K64" s="31">
        <f>IF(K37="","",IFERROR(K37/('연간'!W56),""))</f>
        <v/>
      </c>
      <c r="L64" s="31">
        <f>IF(L37="","",IFERROR(L37/('연간'!X56),""))</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IF(C40="","",IFERROR(C40/(IF(COUNT('연간'!G58:J58)&lt;4,"",SUM('연간'!G58:J58))),""))</f>
        <v/>
      </c>
      <c r="D67" s="36">
        <f>IF(D40="","",IFERROR(D40/(IF(COUNT('연간'!H58:K58)&lt;4,"",SUM('연간'!H58:K58))),""))</f>
        <v/>
      </c>
      <c r="E67" s="36">
        <f>IF(E40="","",IFERROR(E40/(IF(COUNT('연간'!I58:L58)&lt;4,"",SUM('연간'!I58:L58))),""))</f>
        <v/>
      </c>
      <c r="F67" s="36">
        <f>IF(F40="","",IFERROR(F40/(IF(COUNT('연간'!J58:M58)&lt;4,"",SUM('연간'!J58:M58))),""))</f>
        <v/>
      </c>
      <c r="G67" s="36">
        <f>IF(G40="","",IFERROR(G40/(IF(COUNT('연간'!K58:N58)&lt;4,"",SUM('연간'!K58:N58))),""))</f>
        <v/>
      </c>
      <c r="H67" s="35">
        <f>IF(H40="","",IFERROR(H40/('연간'!T58),""))</f>
        <v/>
      </c>
      <c r="I67" s="36">
        <f>IF(I40="","",IFERROR(I40/('연간'!U58),""))</f>
        <v/>
      </c>
      <c r="J67" s="36">
        <f>IF(J40="","",IFERROR(J40/('연간'!V58),""))</f>
        <v/>
      </c>
      <c r="K67" s="36">
        <f>IF(K40="","",IFERROR(K40/('연간'!W58),""))</f>
        <v/>
      </c>
      <c r="L67" s="36">
        <f>IF(L40="","",IFERROR(L40/('연간'!X58),""))</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2025.3Q</t>
        </is>
      </c>
      <c r="D70" s="5" t="inlineStr">
        <is>
          <t>2025.4Q</t>
        </is>
      </c>
      <c r="E70" s="5" t="inlineStr">
        <is>
          <t>2026.1Q</t>
        </is>
      </c>
      <c r="F70" s="5" t="inlineStr">
        <is>
          <t>2026.2Q</t>
        </is>
      </c>
      <c r="G70" s="5" t="inlineStr">
        <is>
          <t>2026.3Q</t>
        </is>
      </c>
      <c r="H70" s="5" t="inlineStr">
        <is>
          <t>2021</t>
        </is>
      </c>
      <c r="I70" s="5" t="inlineStr">
        <is>
          <t>2022</t>
        </is>
      </c>
      <c r="J70" s="5" t="inlineStr">
        <is>
          <t>2023</t>
        </is>
      </c>
      <c r="K70" s="5" t="inlineStr">
        <is>
          <t>2024</t>
        </is>
      </c>
      <c r="L70" s="5" t="inlineStr">
        <is>
          <t>2025</t>
        </is>
      </c>
    </row>
    <row r="71">
      <c r="A71" s="18" t="inlineStr">
        <is>
          <t>현금및현금성자산</t>
        </is>
      </c>
      <c r="C71" s="20" t="n">
        <v>29496</v>
      </c>
      <c r="D71" s="20" t="n">
        <v>39859</v>
      </c>
      <c r="E71" s="20" t="n">
        <v>43745</v>
      </c>
      <c r="F71" s="20" t="n">
        <v>33130</v>
      </c>
      <c r="G71" s="20" t="n">
        <v>36186</v>
      </c>
      <c r="H71" s="20" t="n">
        <v>47298</v>
      </c>
      <c r="I71" s="20" t="n">
        <v>36992</v>
      </c>
      <c r="J71" s="20" t="n">
        <v>39212</v>
      </c>
      <c r="K71" s="20" t="n">
        <v>41747</v>
      </c>
      <c r="L71" s="20" t="n">
        <v>39859</v>
      </c>
    </row>
    <row r="72">
      <c r="A72" s="18" t="inlineStr">
        <is>
          <t>영업채권 및 기타채권</t>
        </is>
      </c>
      <c r="C72" s="20" t="n">
        <v>67685</v>
      </c>
      <c r="D72" s="20" t="n">
        <v>80729</v>
      </c>
      <c r="E72" s="20" t="n">
        <v>77136</v>
      </c>
      <c r="F72" s="20" t="n">
        <v>76830</v>
      </c>
      <c r="G72" s="20" t="n">
        <v>80835</v>
      </c>
      <c r="H72" s="20" t="n">
        <v>59677</v>
      </c>
      <c r="I72" s="20" t="n">
        <v>68437</v>
      </c>
      <c r="J72" s="20" t="n">
        <v>62927</v>
      </c>
      <c r="K72" s="20" t="n">
        <v>66728</v>
      </c>
      <c r="L72" s="20" t="n">
        <v>80729</v>
      </c>
    </row>
    <row r="73">
      <c r="A73" s="18" t="inlineStr">
        <is>
          <t>기타금융자산</t>
        </is>
      </c>
      <c r="C73" s="20" t="n">
        <v>4317</v>
      </c>
      <c r="D73" s="20" t="n">
        <v>6258</v>
      </c>
      <c r="E73" s="20" t="n">
        <v>4431</v>
      </c>
      <c r="F73" s="20" t="n">
        <v>4282</v>
      </c>
      <c r="G73" s="20" t="n">
        <v>4161</v>
      </c>
      <c r="H73" s="20" t="n">
        <v>5557</v>
      </c>
      <c r="I73" s="20" t="n">
        <v>6503</v>
      </c>
      <c r="J73" s="20" t="n">
        <v>5713</v>
      </c>
      <c r="K73" s="20" t="n">
        <v>2696</v>
      </c>
      <c r="L73" s="20" t="n">
        <v>6258</v>
      </c>
    </row>
    <row r="74">
      <c r="A74" s="18" t="inlineStr">
        <is>
          <t>재고자산</t>
        </is>
      </c>
      <c r="C74" s="20" t="n">
        <v>210613</v>
      </c>
      <c r="D74" s="20" t="n">
        <v>201821</v>
      </c>
      <c r="E74" s="20" t="n">
        <v>209255</v>
      </c>
      <c r="F74" s="20" t="n">
        <v>216781</v>
      </c>
      <c r="G74" s="20" t="n">
        <v>220055</v>
      </c>
      <c r="H74" s="20" t="n">
        <v>129542</v>
      </c>
      <c r="I74" s="20" t="n">
        <v>166217</v>
      </c>
      <c r="J74" s="20" t="n">
        <v>200843</v>
      </c>
      <c r="K74" s="20" t="n">
        <v>190009</v>
      </c>
      <c r="L74" s="20" t="n">
        <v>201821</v>
      </c>
    </row>
    <row r="75">
      <c r="A75" s="18" t="inlineStr">
        <is>
          <t>기타유동자산</t>
        </is>
      </c>
      <c r="C75" s="20" t="n">
        <v>18222</v>
      </c>
      <c r="D75" s="20" t="n">
        <v>19176</v>
      </c>
      <c r="E75" s="20" t="n">
        <v>18882</v>
      </c>
      <c r="F75" s="20" t="n">
        <v>20119</v>
      </c>
      <c r="G75" s="20" t="n">
        <v>20375</v>
      </c>
      <c r="H75" s="20" t="n">
        <v>12616</v>
      </c>
      <c r="I75" s="20" t="n">
        <v>15834</v>
      </c>
      <c r="J75" s="20" t="n">
        <v>14277</v>
      </c>
      <c r="K75" s="20" t="n">
        <v>15877</v>
      </c>
      <c r="L75" s="20" t="n">
        <v>19176</v>
      </c>
    </row>
    <row r="76">
      <c r="A76" s="9" t="inlineStr">
        <is>
          <t>소계</t>
        </is>
      </c>
      <c r="C76" s="12" t="n">
        <v>330336</v>
      </c>
      <c r="D76" s="12" t="n">
        <v>347844</v>
      </c>
      <c r="I76" s="12" t="n">
        <v>293985</v>
      </c>
      <c r="J76" s="12" t="n">
        <v>322974</v>
      </c>
      <c r="K76" s="12" t="n">
        <v>317059</v>
      </c>
      <c r="L76" s="12" t="n">
        <v>347844</v>
      </c>
    </row>
    <row r="77">
      <c r="A77" s="18" t="inlineStr">
        <is>
          <t>매각예정 자산</t>
        </is>
      </c>
      <c r="C77" s="20" t="n">
        <v>690</v>
      </c>
      <c r="D77" s="20" t="n">
        <v>0</v>
      </c>
      <c r="I77" s="20" t="n">
        <v>0</v>
      </c>
      <c r="J77" s="20" t="n">
        <v>799</v>
      </c>
      <c r="K77" s="20" t="n">
        <v>652</v>
      </c>
      <c r="L77" s="20" t="n">
        <v>0</v>
      </c>
    </row>
    <row r="78">
      <c r="A78" s="9" t="inlineStr">
        <is>
          <t>유동자산 합계</t>
        </is>
      </c>
      <c r="C78" s="12" t="n">
        <v>331026</v>
      </c>
      <c r="D78" s="12" t="n">
        <v>347844</v>
      </c>
      <c r="E78" s="12" t="n">
        <v>353450</v>
      </c>
      <c r="F78" s="12" t="n">
        <v>351144</v>
      </c>
      <c r="G78" s="12" t="n">
        <v>361614</v>
      </c>
      <c r="H78" s="12" t="n">
        <v>254692</v>
      </c>
      <c r="I78" s="12" t="n">
        <v>293985</v>
      </c>
      <c r="J78" s="12" t="n">
        <v>323773</v>
      </c>
      <c r="K78" s="12" t="n">
        <v>317711</v>
      </c>
      <c r="L78" s="12" t="n">
        <v>347844</v>
      </c>
    </row>
    <row r="79">
      <c r="A79" s="18" t="inlineStr">
        <is>
          <t>유형자산</t>
        </is>
      </c>
      <c r="C79" s="20" t="n">
        <v>216270</v>
      </c>
      <c r="D79" s="20" t="n">
        <v>223573</v>
      </c>
      <c r="E79" s="20" t="n">
        <v>225963</v>
      </c>
      <c r="F79" s="20" t="n">
        <v>228667</v>
      </c>
      <c r="G79" s="20" t="n">
        <v>226112</v>
      </c>
      <c r="H79" s="20" t="n">
        <v>138076</v>
      </c>
      <c r="I79" s="20" t="n">
        <v>162965</v>
      </c>
      <c r="J79" s="20" t="n">
        <v>189231</v>
      </c>
      <c r="K79" s="20" t="n">
        <v>212710</v>
      </c>
      <c r="L79" s="20" t="n">
        <v>223573</v>
      </c>
    </row>
    <row r="80">
      <c r="A80" s="18" t="inlineStr">
        <is>
          <t>사용권자산</t>
        </is>
      </c>
      <c r="C80" s="20" t="n">
        <v>26957</v>
      </c>
      <c r="D80" s="20" t="n">
        <v>30774</v>
      </c>
      <c r="E80" s="20" t="n">
        <v>29872</v>
      </c>
      <c r="F80" s="20" t="n">
        <v>30398</v>
      </c>
      <c r="G80" s="20" t="n">
        <v>29003</v>
      </c>
      <c r="H80" s="20" t="n">
        <v>22099</v>
      </c>
      <c r="I80" s="20" t="n">
        <v>19874</v>
      </c>
      <c r="J80" s="20" t="n">
        <v>24637</v>
      </c>
      <c r="K80" s="20" t="n">
        <v>28605</v>
      </c>
      <c r="L80" s="20" t="n">
        <v>30774</v>
      </c>
    </row>
    <row r="81">
      <c r="A81" s="18" t="inlineStr">
        <is>
          <t>영업권</t>
        </is>
      </c>
      <c r="C81" s="20" t="n">
        <v>94792</v>
      </c>
      <c r="D81" s="20" t="n">
        <v>100100</v>
      </c>
      <c r="E81" s="20" t="n">
        <v>99733</v>
      </c>
      <c r="F81" s="20" t="n">
        <v>100752</v>
      </c>
      <c r="G81" s="20" t="n">
        <v>96980</v>
      </c>
      <c r="H81" s="20" t="n">
        <v>70834</v>
      </c>
      <c r="I81" s="20" t="n">
        <v>76842</v>
      </c>
      <c r="J81" s="20" t="n">
        <v>85587</v>
      </c>
      <c r="K81" s="20" t="n">
        <v>89951</v>
      </c>
      <c r="L81" s="20" t="n">
        <v>100100</v>
      </c>
    </row>
    <row r="82">
      <c r="A82" s="18" t="inlineStr">
        <is>
          <t>기타 무형자산</t>
        </is>
      </c>
      <c r="C82" s="20" t="n">
        <v>114931</v>
      </c>
      <c r="D82" s="20" t="n">
        <v>117179</v>
      </c>
      <c r="E82" s="20" t="n">
        <v>116733</v>
      </c>
      <c r="F82" s="20" t="n">
        <v>117311</v>
      </c>
      <c r="G82" s="20" t="n">
        <v>113838</v>
      </c>
      <c r="H82" s="20" t="n">
        <v>74514</v>
      </c>
      <c r="I82" s="20" t="n">
        <v>86193</v>
      </c>
      <c r="J82" s="20" t="n">
        <v>100909</v>
      </c>
      <c r="K82" s="20" t="n">
        <v>110585</v>
      </c>
      <c r="L82" s="20" t="n">
        <v>117179</v>
      </c>
    </row>
    <row r="83">
      <c r="A83" s="18" t="inlineStr">
        <is>
          <t>기타금융자산</t>
        </is>
      </c>
      <c r="C83" s="20" t="n">
        <v>24289</v>
      </c>
      <c r="D83" s="20" t="n">
        <v>28930</v>
      </c>
      <c r="E83" s="20" t="n">
        <v>31620</v>
      </c>
      <c r="F83" s="20" t="n">
        <v>32651</v>
      </c>
      <c r="G83" s="20" t="n">
        <v>29386</v>
      </c>
      <c r="H83" s="20" t="n">
        <v>21989</v>
      </c>
      <c r="I83" s="20" t="n">
        <v>26122</v>
      </c>
      <c r="J83" s="20" t="n">
        <v>26246</v>
      </c>
      <c r="K83" s="20" t="n">
        <v>19296</v>
      </c>
      <c r="L83" s="20" t="n">
        <v>28930</v>
      </c>
    </row>
    <row r="84">
      <c r="A84" s="18" t="inlineStr">
        <is>
          <t>지분법 투자</t>
        </is>
      </c>
      <c r="C84" s="20" t="n">
        <v>7599</v>
      </c>
      <c r="D84" s="20" t="n">
        <v>7612</v>
      </c>
      <c r="E84" s="20" t="n">
        <v>7646</v>
      </c>
      <c r="F84" s="20" t="n">
        <v>7911</v>
      </c>
      <c r="G84" s="20" t="n">
        <v>7661</v>
      </c>
      <c r="H84" s="20" t="n">
        <v>5704</v>
      </c>
      <c r="I84" s="20" t="n">
        <v>5917</v>
      </c>
      <c r="J84" s="20" t="n">
        <v>6322</v>
      </c>
      <c r="K84" s="20" t="n">
        <v>7489</v>
      </c>
      <c r="L84" s="20" t="n">
        <v>7612</v>
      </c>
    </row>
    <row r="85">
      <c r="A85" s="18" t="inlineStr">
        <is>
          <t>이연법인세자산</t>
        </is>
      </c>
      <c r="C85" s="20" t="n">
        <v>6732</v>
      </c>
      <c r="D85" s="20" t="n">
        <v>6967</v>
      </c>
      <c r="E85" s="20" t="n">
        <v>6632</v>
      </c>
      <c r="F85" s="20" t="n">
        <v>6528</v>
      </c>
      <c r="G85" s="20" t="n">
        <v>6874</v>
      </c>
      <c r="H85" s="20" t="n">
        <v>5132</v>
      </c>
      <c r="I85" s="20" t="n">
        <v>4509</v>
      </c>
      <c r="J85" s="20" t="n">
        <v>5334</v>
      </c>
      <c r="K85" s="20" t="n">
        <v>6662</v>
      </c>
      <c r="L85" s="20" t="n">
        <v>6967</v>
      </c>
    </row>
    <row r="86">
      <c r="A86" s="18" t="inlineStr">
        <is>
          <t>기타비유동자산</t>
        </is>
      </c>
      <c r="C86" s="20" t="n">
        <v>4698</v>
      </c>
      <c r="D86" s="20" t="n">
        <v>5982</v>
      </c>
      <c r="E86" s="20" t="n">
        <v>6037</v>
      </c>
      <c r="F86" s="20" t="n">
        <v>6073</v>
      </c>
      <c r="G86" s="20" t="n">
        <v>6153</v>
      </c>
      <c r="H86" s="20" t="n">
        <v>4073</v>
      </c>
      <c r="I86" s="20" t="n">
        <v>3923</v>
      </c>
      <c r="J86" s="20" t="n">
        <v>3764</v>
      </c>
      <c r="K86" s="20" t="n">
        <v>4554</v>
      </c>
      <c r="L86" s="20" t="n">
        <v>5982</v>
      </c>
    </row>
    <row r="87">
      <c r="A87" s="18" t="inlineStr">
        <is>
          <t>비유동자산 합계</t>
        </is>
      </c>
      <c r="C87" s="20" t="n">
        <v>496271</v>
      </c>
      <c r="D87" s="20" t="n">
        <v>521120</v>
      </c>
      <c r="E87" s="20" t="n">
        <v>524239</v>
      </c>
      <c r="F87" s="20" t="n">
        <v>530295</v>
      </c>
      <c r="G87" s="20" t="n">
        <v>516010</v>
      </c>
      <c r="H87" s="20" t="n">
        <v>342425</v>
      </c>
      <c r="I87" s="20" t="n">
        <v>386349</v>
      </c>
      <c r="J87" s="20" t="n">
        <v>442033</v>
      </c>
      <c r="K87" s="20" t="n">
        <v>479855</v>
      </c>
      <c r="L87" s="20" t="n">
        <v>521120</v>
      </c>
    </row>
    <row r="88">
      <c r="A88" s="18" t="inlineStr">
        <is>
          <t>자산 합계</t>
        </is>
      </c>
      <c r="C88" s="20" t="n">
        <v>827297</v>
      </c>
      <c r="D88" s="20" t="n">
        <v>868965</v>
      </c>
      <c r="E88" s="20" t="n">
        <v>877690</v>
      </c>
      <c r="F88" s="20" t="n">
        <v>881440</v>
      </c>
      <c r="G88" s="20" t="n">
        <v>877625</v>
      </c>
      <c r="H88" s="20" t="n">
        <v>597117</v>
      </c>
      <c r="I88" s="20" t="n">
        <v>680334</v>
      </c>
      <c r="J88" s="20" t="n">
        <v>765806</v>
      </c>
      <c r="K88" s="20" t="n">
        <v>797567</v>
      </c>
      <c r="L88" s="20" t="n">
        <v>868965</v>
      </c>
    </row>
    <row r="89">
      <c r="A89" s="18" t="inlineStr">
        <is>
          <t>영업채무 및 기타채무</t>
        </is>
      </c>
      <c r="C89" s="20" t="n">
        <v>72641</v>
      </c>
      <c r="D89" s="20" t="n">
        <v>78083</v>
      </c>
      <c r="E89" s="20" t="n">
        <v>74752</v>
      </c>
      <c r="F89" s="20" t="n">
        <v>76324</v>
      </c>
      <c r="G89" s="20" t="n">
        <v>86269</v>
      </c>
      <c r="H89" s="20" t="n">
        <v>54169</v>
      </c>
      <c r="I89" s="20" t="n">
        <v>72806</v>
      </c>
      <c r="J89" s="20" t="n">
        <v>82914</v>
      </c>
      <c r="K89" s="20" t="n">
        <v>75119</v>
      </c>
      <c r="L89" s="20" t="n">
        <v>78083</v>
      </c>
    </row>
    <row r="90">
      <c r="A90" s="18" t="inlineStr">
        <is>
          <t>사채 및 차입금</t>
        </is>
      </c>
      <c r="C90" s="20" t="n">
        <v>116438</v>
      </c>
      <c r="D90" s="20" t="n">
        <v>65676</v>
      </c>
      <c r="E90" s="20" t="n">
        <v>85562</v>
      </c>
      <c r="F90" s="20" t="n">
        <v>62965</v>
      </c>
      <c r="G90" s="20" t="n">
        <v>43293</v>
      </c>
      <c r="H90" s="20" t="n">
        <v>10259</v>
      </c>
      <c r="I90" s="20" t="n">
        <v>51241</v>
      </c>
      <c r="J90" s="20" t="n">
        <v>61187</v>
      </c>
      <c r="K90" s="20" t="n">
        <v>104692</v>
      </c>
      <c r="L90" s="20" t="n">
        <v>65676</v>
      </c>
    </row>
    <row r="91">
      <c r="A91" s="18" t="inlineStr">
        <is>
          <t>계약부채</t>
        </is>
      </c>
      <c r="C91" s="20" t="n">
        <v>88933</v>
      </c>
      <c r="D91" s="20" t="n">
        <v>90795</v>
      </c>
      <c r="E91" s="20" t="n">
        <v>95879</v>
      </c>
      <c r="F91" s="20" t="n">
        <v>103440</v>
      </c>
      <c r="G91" s="20" t="n">
        <v>116941</v>
      </c>
      <c r="H91" s="20" t="n">
        <v>65707</v>
      </c>
      <c r="I91" s="20" t="n">
        <v>92935</v>
      </c>
      <c r="J91" s="20" t="n">
        <v>93430</v>
      </c>
      <c r="K91" s="20" t="n">
        <v>84576</v>
      </c>
      <c r="L91" s="20" t="n">
        <v>90795</v>
      </c>
    </row>
    <row r="92">
      <c r="A92" s="18" t="inlineStr">
        <is>
          <t>기타금융부채</t>
        </is>
      </c>
      <c r="C92" s="20" t="n">
        <v>82115</v>
      </c>
      <c r="D92" s="20" t="n">
        <v>85598</v>
      </c>
      <c r="E92" s="20" t="n">
        <v>84334</v>
      </c>
      <c r="F92" s="20" t="n">
        <v>81491</v>
      </c>
      <c r="G92" s="20" t="n">
        <v>76441</v>
      </c>
      <c r="H92" s="20" t="n">
        <v>74677</v>
      </c>
      <c r="I92" s="20" t="n">
        <v>7304</v>
      </c>
      <c r="J92" s="20" t="n">
        <v>71967</v>
      </c>
      <c r="K92" s="20" t="n">
        <v>77662</v>
      </c>
      <c r="L92" s="20" t="n">
        <v>85598</v>
      </c>
    </row>
    <row r="93">
      <c r="A93" s="18" t="inlineStr">
        <is>
          <t>미지급법인세</t>
        </is>
      </c>
      <c r="C93" s="20" t="n">
        <v>5757</v>
      </c>
      <c r="D93" s="20" t="n">
        <v>9894</v>
      </c>
      <c r="E93" s="20" t="n">
        <v>5505</v>
      </c>
      <c r="F93" s="20" t="n">
        <v>4360</v>
      </c>
      <c r="G93" s="20" t="n">
        <v>4045</v>
      </c>
      <c r="H93" s="20" t="n">
        <v>4734</v>
      </c>
      <c r="I93" s="20" t="n">
        <v>6959</v>
      </c>
      <c r="J93" s="20" t="n">
        <v>9657</v>
      </c>
      <c r="K93" s="20" t="n">
        <v>8700</v>
      </c>
      <c r="L93" s="20" t="n">
        <v>9894</v>
      </c>
    </row>
    <row r="94">
      <c r="A94" s="18" t="inlineStr">
        <is>
          <t>충당금</t>
        </is>
      </c>
      <c r="C94" s="20" t="n">
        <v>37293</v>
      </c>
      <c r="D94" s="20" t="n">
        <v>41988</v>
      </c>
      <c r="E94" s="20" t="n">
        <v>41935</v>
      </c>
      <c r="F94" s="20" t="n">
        <v>42127</v>
      </c>
      <c r="G94" s="20" t="n">
        <v>43752</v>
      </c>
      <c r="H94" s="20" t="n">
        <v>40543</v>
      </c>
      <c r="I94" s="20" t="n">
        <v>45659</v>
      </c>
      <c r="J94" s="20" t="n">
        <v>50998</v>
      </c>
      <c r="K94" s="20" t="n">
        <v>40809</v>
      </c>
      <c r="L94" s="20" t="n">
        <v>41988</v>
      </c>
    </row>
    <row r="95">
      <c r="A95" s="18" t="inlineStr">
        <is>
          <t>기타유동부채</t>
        </is>
      </c>
      <c r="C95" s="20" t="n">
        <v>9117</v>
      </c>
      <c r="D95" s="20" t="n">
        <v>11086</v>
      </c>
      <c r="E95" s="20" t="n">
        <v>9044</v>
      </c>
      <c r="F95" s="20" t="n">
        <v>5130</v>
      </c>
      <c r="G95" s="20" t="n">
        <v>4319</v>
      </c>
      <c r="H95" s="20" t="n">
        <v>4316</v>
      </c>
      <c r="I95" s="20" t="n">
        <v>4424</v>
      </c>
      <c r="J95" s="20" t="n">
        <v>6477</v>
      </c>
      <c r="K95" s="20" t="n">
        <v>7859</v>
      </c>
      <c r="L95" s="20" t="n">
        <v>11086</v>
      </c>
    </row>
    <row r="96">
      <c r="A96" s="18" t="inlineStr">
        <is>
          <t>유동부채 합계</t>
        </is>
      </c>
      <c r="C96" s="20" t="n">
        <v>412296</v>
      </c>
      <c r="D96" s="20" t="n">
        <v>383124</v>
      </c>
      <c r="E96" s="20" t="n">
        <v>397014</v>
      </c>
      <c r="F96" s="20" t="n">
        <v>375841</v>
      </c>
      <c r="G96" s="20" t="n">
        <v>375062</v>
      </c>
      <c r="H96" s="20" t="n">
        <v>254409</v>
      </c>
      <c r="I96" s="20" t="n">
        <v>281329</v>
      </c>
      <c r="J96" s="20" t="n">
        <v>376633</v>
      </c>
      <c r="K96" s="20" t="n">
        <v>399420</v>
      </c>
      <c r="L96" s="20" t="n">
        <v>383124</v>
      </c>
    </row>
    <row r="97">
      <c r="A97" s="18" t="inlineStr">
        <is>
          <t>사채 및 차입금</t>
        </is>
      </c>
      <c r="C97" s="20" t="n">
        <v>5000</v>
      </c>
      <c r="D97" s="20" t="n">
        <v>60000</v>
      </c>
      <c r="E97" s="20" t="n">
        <v>60000</v>
      </c>
      <c r="F97" s="20" t="n">
        <v>60000</v>
      </c>
      <c r="G97" s="20" t="n">
        <v>55000</v>
      </c>
      <c r="H97" s="20" t="n">
        <v>85133</v>
      </c>
      <c r="I97" s="20" t="n">
        <v>39852</v>
      </c>
      <c r="J97" s="20" t="n">
        <v>52474</v>
      </c>
      <c r="K97" s="20" t="n">
        <v>1758</v>
      </c>
      <c r="L97" s="20" t="n">
        <v>60000</v>
      </c>
    </row>
    <row r="98">
      <c r="A98" s="18" t="inlineStr">
        <is>
          <t>기타금융부채</t>
        </is>
      </c>
      <c r="C98" s="20" t="n">
        <v>52031</v>
      </c>
      <c r="D98" s="20" t="n">
        <v>56278</v>
      </c>
      <c r="E98" s="20" t="n">
        <v>57713</v>
      </c>
      <c r="F98" s="20" t="n">
        <v>64756</v>
      </c>
      <c r="G98" s="20" t="n">
        <v>65271</v>
      </c>
      <c r="H98" s="20" t="n">
        <v>22406</v>
      </c>
      <c r="I98" s="20" t="n">
        <v>87305</v>
      </c>
      <c r="J98" s="20" t="n">
        <v>40309</v>
      </c>
      <c r="K98" s="20" t="n">
        <v>52515</v>
      </c>
      <c r="L98" s="20" t="n">
        <v>56278</v>
      </c>
    </row>
    <row r="99">
      <c r="A99" s="18" t="inlineStr">
        <is>
          <t>퇴직급여부채</t>
        </is>
      </c>
      <c r="C99" s="20" t="n">
        <v>5466</v>
      </c>
      <c r="D99" s="20" t="n">
        <v>5726</v>
      </c>
      <c r="E99" s="20" t="n">
        <v>4956</v>
      </c>
      <c r="F99" s="20" t="n">
        <v>4960</v>
      </c>
      <c r="G99" s="20" t="n">
        <v>4412</v>
      </c>
      <c r="H99" s="20" t="n">
        <v>5180</v>
      </c>
      <c r="I99" s="20" t="n">
        <v>4479</v>
      </c>
      <c r="J99" s="20" t="n">
        <v>5192</v>
      </c>
      <c r="K99" s="20" t="n">
        <v>5755</v>
      </c>
      <c r="L99" s="20" t="n">
        <v>5726</v>
      </c>
    </row>
    <row r="100">
      <c r="A100" s="18" t="inlineStr">
        <is>
          <t>충당금</t>
        </is>
      </c>
      <c r="C100" s="20" t="n">
        <v>5828</v>
      </c>
      <c r="D100" s="20" t="n">
        <v>5861</v>
      </c>
      <c r="E100" s="20" t="n">
        <v>5594</v>
      </c>
      <c r="F100" s="20" t="n">
        <v>5589</v>
      </c>
      <c r="G100" s="20" t="n">
        <v>5610</v>
      </c>
      <c r="H100" s="20" t="n">
        <v>5871</v>
      </c>
      <c r="I100" s="20" t="n">
        <v>6819</v>
      </c>
      <c r="J100" s="20" t="n">
        <v>6371</v>
      </c>
      <c r="K100" s="20" t="n">
        <v>5704</v>
      </c>
      <c r="L100" s="20" t="n">
        <v>5861</v>
      </c>
    </row>
    <row r="101">
      <c r="A101" s="18" t="inlineStr">
        <is>
          <t>이연법인세부채</t>
        </is>
      </c>
      <c r="C101" s="20" t="n">
        <v>14536</v>
      </c>
      <c r="D101" s="20" t="n">
        <v>11437</v>
      </c>
      <c r="E101" s="20" t="n">
        <v>12502</v>
      </c>
      <c r="F101" s="20" t="n">
        <v>12685</v>
      </c>
      <c r="G101" s="20" t="n">
        <v>11163</v>
      </c>
      <c r="H101" s="20" t="n">
        <v>5429</v>
      </c>
      <c r="I101" s="20" t="n">
        <v>8103</v>
      </c>
      <c r="J101" s="20" t="n">
        <v>9340</v>
      </c>
      <c r="K101" s="20" t="n">
        <v>12725</v>
      </c>
      <c r="L101" s="20" t="n">
        <v>11437</v>
      </c>
    </row>
    <row r="102">
      <c r="A102" s="18" t="inlineStr">
        <is>
          <t>기타비유동부채</t>
        </is>
      </c>
      <c r="C102" s="20" t="n">
        <v>3606</v>
      </c>
      <c r="D102" s="20" t="n">
        <v>4381</v>
      </c>
      <c r="E102" s="20" t="n">
        <v>4094</v>
      </c>
      <c r="F102" s="20" t="n">
        <v>4276</v>
      </c>
      <c r="G102" s="20" t="n">
        <v>4212</v>
      </c>
      <c r="H102" s="20" t="n">
        <v>1407</v>
      </c>
      <c r="I102" s="20" t="n">
        <v>2069</v>
      </c>
      <c r="J102" s="20" t="n">
        <v>2939</v>
      </c>
      <c r="K102" s="20" t="n">
        <v>3208</v>
      </c>
      <c r="L102" s="20" t="n">
        <v>4381</v>
      </c>
    </row>
    <row r="103">
      <c r="A103" s="18" t="inlineStr">
        <is>
          <t>비유동부채 합계</t>
        </is>
      </c>
      <c r="C103" s="20" t="n">
        <v>86469</v>
      </c>
      <c r="D103" s="20" t="n">
        <v>143684</v>
      </c>
      <c r="E103" s="20" t="n">
        <v>144861</v>
      </c>
      <c r="F103" s="20" t="n">
        <v>152269</v>
      </c>
      <c r="G103" s="20" t="n">
        <v>145670</v>
      </c>
      <c r="H103" s="20" t="n">
        <v>125428</v>
      </c>
      <c r="I103" s="20" t="n">
        <v>148630</v>
      </c>
      <c r="J103" s="20" t="n">
        <v>116627</v>
      </c>
      <c r="K103" s="20" t="n">
        <v>81667</v>
      </c>
      <c r="L103" s="20" t="n">
        <v>143684</v>
      </c>
    </row>
    <row r="104">
      <c r="A104" s="18" t="inlineStr">
        <is>
          <t>부채 합계</t>
        </is>
      </c>
      <c r="C104" s="20" t="n">
        <v>498765</v>
      </c>
      <c r="D104" s="20" t="n">
        <v>526809</v>
      </c>
      <c r="E104" s="20" t="n">
        <v>541876</v>
      </c>
      <c r="F104" s="20" t="n">
        <v>528110</v>
      </c>
      <c r="G104" s="20" t="n">
        <v>520733</v>
      </c>
      <c r="H104" s="20" t="n">
        <v>379838</v>
      </c>
      <c r="I104" s="20" t="n">
        <v>429960</v>
      </c>
      <c r="J104" s="20" t="n">
        <v>493261</v>
      </c>
      <c r="K104" s="20" t="n">
        <v>481087</v>
      </c>
      <c r="L104" s="20" t="n">
        <v>526809</v>
      </c>
    </row>
    <row r="105">
      <c r="A105" s="18" t="inlineStr">
        <is>
          <t>자본금</t>
        </is>
      </c>
      <c r="C105" s="20" t="n">
        <v>71804</v>
      </c>
      <c r="D105" s="20" t="n">
        <v>71804</v>
      </c>
      <c r="E105" s="20" t="n">
        <v>71804</v>
      </c>
      <c r="F105" s="20" t="n">
        <v>71804</v>
      </c>
      <c r="G105" s="20" t="n">
        <v>95823</v>
      </c>
      <c r="H105" s="20" t="n">
        <v>51115</v>
      </c>
      <c r="I105" s="20" t="n">
        <v>51115</v>
      </c>
      <c r="J105" s="20" t="n">
        <v>51115</v>
      </c>
      <c r="K105" s="20" t="n">
        <v>71230</v>
      </c>
      <c r="L105" s="20" t="n">
        <v>71804</v>
      </c>
    </row>
    <row r="106">
      <c r="A106" s="18" t="inlineStr">
        <is>
          <t>자본잉여금</t>
        </is>
      </c>
      <c r="C106" s="20" t="n">
        <v>18314</v>
      </c>
      <c r="D106" s="20" t="n">
        <v>18348</v>
      </c>
      <c r="E106" s="20" t="n">
        <v>16520</v>
      </c>
      <c r="F106" s="20" t="n">
        <v>16535</v>
      </c>
      <c r="G106" s="20" t="n">
        <v>40064</v>
      </c>
      <c r="H106" s="20" t="n">
        <v>0</v>
      </c>
      <c r="I106" s="20" t="n">
        <v>266</v>
      </c>
      <c r="J106" s="20" t="n">
        <v>208</v>
      </c>
      <c r="K106" s="20" t="n">
        <v>18496</v>
      </c>
      <c r="L106" s="20" t="n">
        <v>18348</v>
      </c>
    </row>
    <row r="107">
      <c r="A107" s="18" t="inlineStr">
        <is>
          <t>Hybrid Capital</t>
        </is>
      </c>
      <c r="D107" s="20" t="n">
        <v>110777</v>
      </c>
      <c r="H107" s="20" t="n">
        <v>118753</v>
      </c>
      <c r="I107" s="20" t="n">
        <v>118753</v>
      </c>
      <c r="J107" s="20" t="n">
        <v>110822</v>
      </c>
      <c r="K107" s="20" t="n">
        <v>110822</v>
      </c>
      <c r="L107" s="20" t="n">
        <v>110777</v>
      </c>
    </row>
    <row r="108">
      <c r="A108" s="18" t="inlineStr">
        <is>
          <t>Hybrid Capital Equity</t>
        </is>
      </c>
      <c r="C108" s="20" t="n">
        <v>110777</v>
      </c>
      <c r="D108" s="20" t="n">
        <v>110777</v>
      </c>
      <c r="E108" s="20" t="n">
        <v>110777</v>
      </c>
      <c r="F108" s="20" t="n">
        <v>120672</v>
      </c>
      <c r="G108" s="20" t="n">
        <v>90955</v>
      </c>
      <c r="I108" s="20" t="n">
        <v>118753</v>
      </c>
      <c r="J108" s="20" t="n">
        <v>110822</v>
      </c>
      <c r="K108" s="20" t="n">
        <v>110822</v>
      </c>
      <c r="L108" s="20" t="n">
        <v>110777</v>
      </c>
    </row>
    <row r="109">
      <c r="A109" s="18" t="inlineStr">
        <is>
          <t>자기주식</t>
        </is>
      </c>
      <c r="C109" s="20" t="n">
        <v>-922</v>
      </c>
      <c r="D109" s="20" t="n">
        <v>-7474</v>
      </c>
      <c r="E109" s="20" t="n">
        <v>-5976</v>
      </c>
      <c r="F109" s="20" t="n">
        <v>-5783</v>
      </c>
      <c r="G109" s="20" t="n">
        <v>-5566</v>
      </c>
      <c r="H109" s="20" t="n">
        <v>-1889</v>
      </c>
      <c r="I109" s="20" t="n">
        <v>-906</v>
      </c>
      <c r="J109" s="20" t="n">
        <v>-883</v>
      </c>
      <c r="K109" s="20" t="n">
        <v>-862</v>
      </c>
      <c r="L109" s="20" t="n">
        <v>-7474</v>
      </c>
    </row>
    <row r="110">
      <c r="A110" s="18" t="inlineStr">
        <is>
          <t>이익잉여금</t>
        </is>
      </c>
      <c r="C110" s="20" t="n">
        <v>91537</v>
      </c>
      <c r="D110" s="20" t="n">
        <v>93738</v>
      </c>
      <c r="E110" s="20" t="n">
        <v>86410</v>
      </c>
      <c r="F110" s="20" t="n">
        <v>89696</v>
      </c>
      <c r="G110" s="20" t="n">
        <v>86465</v>
      </c>
      <c r="H110" s="20" t="n">
        <v>52817</v>
      </c>
      <c r="I110" s="20" t="n">
        <v>69864</v>
      </c>
      <c r="J110" s="20" t="n">
        <v>92283</v>
      </c>
      <c r="K110" s="20" t="n">
        <v>85866</v>
      </c>
      <c r="L110" s="20" t="n">
        <v>93738</v>
      </c>
    </row>
    <row r="111">
      <c r="A111" s="18" t="inlineStr">
        <is>
          <t>기타자본구성요소</t>
        </is>
      </c>
      <c r="C111" s="20" t="n">
        <v>35464</v>
      </c>
      <c r="D111" s="20" t="n">
        <v>53291</v>
      </c>
      <c r="E111" s="20" t="n">
        <v>55553</v>
      </c>
      <c r="F111" s="20" t="n">
        <v>59735</v>
      </c>
      <c r="G111" s="20" t="n">
        <v>48505</v>
      </c>
      <c r="H111" s="20" t="n">
        <v>-7657</v>
      </c>
      <c r="I111" s="20" t="n">
        <v>6803</v>
      </c>
      <c r="J111" s="20" t="n">
        <v>14444</v>
      </c>
      <c r="K111" s="20" t="n">
        <v>28969</v>
      </c>
      <c r="L111" s="20" t="n">
        <v>53291</v>
      </c>
    </row>
    <row r="112">
      <c r="A112" s="18" t="inlineStr">
        <is>
          <t>지배기업 소유주 귀속 지분 합계</t>
        </is>
      </c>
      <c r="C112" s="20" t="n">
        <v>326976</v>
      </c>
      <c r="D112" s="20" t="n">
        <v>340484</v>
      </c>
      <c r="E112" s="20" t="n">
        <v>335090</v>
      </c>
      <c r="F112" s="20" t="n">
        <v>352661</v>
      </c>
      <c r="G112" s="20" t="n">
        <v>356247</v>
      </c>
      <c r="H112" s="20" t="n">
        <v>213139</v>
      </c>
      <c r="I112" s="20" t="n">
        <v>245897</v>
      </c>
      <c r="J112" s="20" t="n">
        <v>267990</v>
      </c>
      <c r="K112" s="20" t="n">
        <v>314522</v>
      </c>
      <c r="L112" s="20" t="n">
        <v>340484</v>
      </c>
    </row>
    <row r="113">
      <c r="A113" s="18" t="inlineStr">
        <is>
          <t>비지배지분</t>
        </is>
      </c>
      <c r="C113" s="20" t="n">
        <v>1555</v>
      </c>
      <c r="D113" s="20" t="n">
        <v>1671</v>
      </c>
      <c r="E113" s="20" t="n">
        <v>723</v>
      </c>
      <c r="F113" s="20" t="n">
        <v>667</v>
      </c>
      <c r="G113" s="20" t="n">
        <v>643</v>
      </c>
      <c r="H113" s="20" t="n">
        <v>4139</v>
      </c>
      <c r="I113" s="20" t="n">
        <v>4477</v>
      </c>
      <c r="J113" s="20" t="n">
        <v>4555</v>
      </c>
      <c r="K113" s="20" t="n">
        <v>1957</v>
      </c>
      <c r="L113" s="20" t="n">
        <v>1671</v>
      </c>
    </row>
    <row r="114">
      <c r="A114" s="18" t="inlineStr">
        <is>
          <t>자본 합계</t>
        </is>
      </c>
      <c r="C114" s="20" t="n">
        <v>328531</v>
      </c>
      <c r="D114" s="20" t="n">
        <v>342155</v>
      </c>
      <c r="E114" s="20" t="n">
        <v>335813</v>
      </c>
      <c r="F114" s="20" t="n">
        <v>353329</v>
      </c>
      <c r="G114" s="20" t="n">
        <v>356891</v>
      </c>
      <c r="H114" s="20" t="n">
        <v>217279</v>
      </c>
      <c r="I114" s="20" t="n">
        <v>250374</v>
      </c>
      <c r="J114" s="20" t="n">
        <v>272545</v>
      </c>
      <c r="K114" s="20" t="n">
        <v>316480</v>
      </c>
      <c r="L114" s="20" t="n">
        <v>342155</v>
      </c>
    </row>
    <row r="115">
      <c r="A115" s="18" t="inlineStr">
        <is>
          <t>부채및자본 합계</t>
        </is>
      </c>
      <c r="C115" s="20" t="n">
        <v>827297</v>
      </c>
      <c r="D115" s="20" t="n">
        <v>868965</v>
      </c>
      <c r="E115" s="20" t="n">
        <v>877690</v>
      </c>
      <c r="F115" s="20" t="n">
        <v>881440</v>
      </c>
      <c r="G115" s="20" t="n">
        <v>877625</v>
      </c>
      <c r="H115" s="20" t="n">
        <v>597117</v>
      </c>
      <c r="I115" s="20" t="n">
        <v>680334</v>
      </c>
      <c r="J115" s="20" t="n">
        <v>765806</v>
      </c>
      <c r="K115" s="20" t="n">
        <v>797567</v>
      </c>
      <c r="L115" s="20" t="n">
        <v>868965</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G203"/>
  <sheetViews>
    <sheetView showGridLines="0"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44" customWidth="1" min="7" max="7"/>
  </cols>
  <sheetData>
    <row r="1">
      <c r="A1" s="50" t="inlineStr">
        <is>
          <t>6141 섹터·사업 데이터</t>
        </is>
      </c>
    </row>
    <row r="2">
      <c r="A2" s="51" t="inlineStr">
        <is>
          <t>2단계 보고서를 만들 때 모은 자료 · 월차 · 출처는 맨 오른쪽</t>
        </is>
      </c>
    </row>
    <row r="4">
      <c r="A4" s="52" t="inlineStr">
        <is>
          <t>bs annual</t>
        </is>
      </c>
      <c r="B4" s="52" t="n"/>
      <c r="C4" s="52" t="n"/>
      <c r="D4" s="52" t="n"/>
      <c r="E4" s="52" t="n"/>
      <c r="F4" s="52" t="n"/>
      <c r="G4" s="52" t="n"/>
    </row>
    <row r="5">
      <c r="A5" s="53" t="inlineStr">
        <is>
          <t>항목</t>
        </is>
      </c>
      <c r="B5" s="53" t="inlineStr">
        <is>
          <t>2021</t>
        </is>
      </c>
      <c r="C5" s="53" t="inlineStr">
        <is>
          <t>2022</t>
        </is>
      </c>
      <c r="D5" s="53" t="inlineStr">
        <is>
          <t>2023</t>
        </is>
      </c>
      <c r="E5" s="53" t="inlineStr">
        <is>
          <t>2024</t>
        </is>
      </c>
      <c r="F5" s="53" t="inlineStr">
        <is>
          <t>2025</t>
        </is>
      </c>
      <c r="G5" s="53" t="inlineStr">
        <is>
          <t>출처</t>
        </is>
      </c>
    </row>
    <row r="6">
      <c r="A6" s="54" t="inlineStr">
        <is>
          <t>labels</t>
        </is>
      </c>
      <c r="B6" s="55" t="n">
        <v>2021</v>
      </c>
      <c r="C6" s="55" t="n">
        <v>2022</v>
      </c>
      <c r="D6" s="55" t="n">
        <v>2023</v>
      </c>
      <c r="E6" s="55" t="n">
        <v>2024</v>
      </c>
      <c r="F6" s="55" t="n">
        <v>2025</v>
      </c>
      <c r="G6" s="56" t="inlineStr">
        <is>
          <t>2단계 보고서 자료(회사 설명회 자료·공시)</t>
        </is>
      </c>
    </row>
    <row r="7">
      <c r="A7" s="54" t="inlineStr">
        <is>
          <t>current assets</t>
        </is>
      </c>
      <c r="B7" s="57" t="n">
        <v>2546.9</v>
      </c>
      <c r="C7" s="57" t="n">
        <v>2939.8</v>
      </c>
      <c r="D7" s="57" t="n">
        <v>3237.7</v>
      </c>
      <c r="E7" s="57" t="n">
        <v>3177.1</v>
      </c>
      <c r="F7" s="57" t="n">
        <v>3478.4</v>
      </c>
    </row>
    <row r="8">
      <c r="A8" s="54" t="inlineStr">
        <is>
          <t>cash</t>
        </is>
      </c>
      <c r="B8" s="57" t="n">
        <v>473</v>
      </c>
      <c r="C8" s="57" t="n">
        <v>369.9</v>
      </c>
      <c r="D8" s="57" t="n">
        <v>392.1</v>
      </c>
      <c r="E8" s="57" t="n">
        <v>417.5</v>
      </c>
      <c r="F8" s="57" t="n">
        <v>398.6</v>
      </c>
    </row>
    <row r="9">
      <c r="A9" s="54" t="inlineStr">
        <is>
          <t>st fin</t>
        </is>
      </c>
      <c r="B9" s="57" t="n">
        <v>55.6</v>
      </c>
      <c r="C9" s="57" t="n">
        <v>65</v>
      </c>
      <c r="D9" s="57" t="n">
        <v>57.1</v>
      </c>
      <c r="E9" s="57" t="n">
        <v>27</v>
      </c>
      <c r="F9" s="57" t="n">
        <v>62.6</v>
      </c>
    </row>
    <row r="10">
      <c r="A10" s="54" t="inlineStr">
        <is>
          <t>receivables</t>
        </is>
      </c>
      <c r="B10" s="57" t="n">
        <v>596.8</v>
      </c>
      <c r="C10" s="57" t="n">
        <v>684.4</v>
      </c>
      <c r="D10" s="57" t="n">
        <v>629.3</v>
      </c>
      <c r="E10" s="57" t="n">
        <v>667.3</v>
      </c>
      <c r="F10" s="57" t="n">
        <v>807.3</v>
      </c>
    </row>
    <row r="11">
      <c r="A11" s="54" t="inlineStr">
        <is>
          <t>inventory</t>
        </is>
      </c>
      <c r="B11" s="57" t="n">
        <v>1295.4</v>
      </c>
      <c r="C11" s="57" t="n">
        <v>1662.2</v>
      </c>
      <c r="D11" s="57" t="n">
        <v>2008.4</v>
      </c>
      <c r="E11" s="57" t="n">
        <v>1900.1</v>
      </c>
      <c r="F11" s="57" t="n">
        <v>2018.2</v>
      </c>
    </row>
    <row r="12">
      <c r="A12" s="54" t="inlineStr">
        <is>
          <t>noncurrent assets</t>
        </is>
      </c>
      <c r="B12" s="57" t="n">
        <v>3424.2</v>
      </c>
      <c r="C12" s="57" t="n">
        <v>3863.5</v>
      </c>
      <c r="D12" s="57" t="n">
        <v>4420.3</v>
      </c>
      <c r="E12" s="57" t="n">
        <v>4798.6</v>
      </c>
      <c r="F12" s="57" t="n">
        <v>5211.2</v>
      </c>
    </row>
    <row r="13">
      <c r="A13" s="54" t="inlineStr">
        <is>
          <t>ppe</t>
        </is>
      </c>
      <c r="B13" s="57" t="n">
        <v>1380.8</v>
      </c>
      <c r="C13" s="57" t="n">
        <v>1629.7</v>
      </c>
      <c r="D13" s="57" t="n">
        <v>1892.3</v>
      </c>
      <c r="E13" s="57" t="n">
        <v>2127.1</v>
      </c>
      <c r="F13" s="57" t="n">
        <v>2235.7</v>
      </c>
    </row>
    <row r="14">
      <c r="A14" s="54" t="inlineStr">
        <is>
          <t>intangibles</t>
        </is>
      </c>
      <c r="B14" s="58" t="n"/>
      <c r="C14" s="58" t="n"/>
      <c r="D14" s="58" t="n"/>
      <c r="E14" s="58" t="n"/>
      <c r="F14" s="58" t="n"/>
    </row>
    <row r="15">
      <c r="A15" s="54" t="inlineStr">
        <is>
          <t>inv property</t>
        </is>
      </c>
      <c r="B15" s="58" t="n"/>
      <c r="C15" s="58" t="n"/>
      <c r="D15" s="58" t="n"/>
      <c r="E15" s="58" t="n"/>
      <c r="F15" s="58" t="n"/>
    </row>
    <row r="16">
      <c r="A16" s="54" t="inlineStr">
        <is>
          <t>합계 assets</t>
        </is>
      </c>
      <c r="B16" s="57" t="n">
        <v>5971.2</v>
      </c>
      <c r="C16" s="57" t="n">
        <v>6803.3</v>
      </c>
      <c r="D16" s="57" t="n">
        <v>7658.1</v>
      </c>
      <c r="E16" s="57" t="n">
        <v>7975.7</v>
      </c>
      <c r="F16" s="57" t="n">
        <v>8689.6</v>
      </c>
    </row>
    <row r="17">
      <c r="A17" s="54" t="inlineStr">
        <is>
          <t>current liab</t>
        </is>
      </c>
      <c r="B17" s="57" t="n">
        <v>2544.1</v>
      </c>
      <c r="C17" s="57" t="n">
        <v>2813.3</v>
      </c>
      <c r="D17" s="57" t="n">
        <v>3766.3</v>
      </c>
      <c r="E17" s="57" t="n">
        <v>3994.2</v>
      </c>
      <c r="F17" s="57" t="n">
        <v>3831.2</v>
      </c>
    </row>
    <row r="18">
      <c r="A18" s="54" t="inlineStr">
        <is>
          <t>payables</t>
        </is>
      </c>
      <c r="B18" s="57" t="n">
        <v>541.7</v>
      </c>
      <c r="C18" s="57" t="n">
        <v>728.1</v>
      </c>
      <c r="D18" s="57" t="n">
        <v>829.1</v>
      </c>
      <c r="E18" s="57" t="n">
        <v>751.2</v>
      </c>
      <c r="F18" s="57" t="n">
        <v>780.8</v>
      </c>
    </row>
    <row r="19">
      <c r="A19" s="54" t="inlineStr">
        <is>
          <t>st debt</t>
        </is>
      </c>
      <c r="B19" s="58" t="n"/>
      <c r="C19" s="58" t="n"/>
      <c r="D19" s="58" t="n"/>
      <c r="E19" s="58" t="n"/>
      <c r="F19" s="58" t="n"/>
    </row>
    <row r="20">
      <c r="A20" s="54" t="inlineStr">
        <is>
          <t>noncurrent liab</t>
        </is>
      </c>
      <c r="B20" s="57" t="n">
        <v>1254.3</v>
      </c>
      <c r="C20" s="57" t="n">
        <v>1486.3</v>
      </c>
      <c r="D20" s="57" t="n">
        <v>1166.3</v>
      </c>
      <c r="E20" s="57" t="n">
        <v>816.7</v>
      </c>
      <c r="F20" s="57" t="n">
        <v>1436.8</v>
      </c>
    </row>
    <row r="21">
      <c r="A21" s="54" t="inlineStr">
        <is>
          <t>lt debt</t>
        </is>
      </c>
      <c r="B21" s="58" t="n"/>
      <c r="C21" s="58" t="n"/>
      <c r="D21" s="58" t="n"/>
      <c r="E21" s="58" t="n"/>
      <c r="F21" s="58" t="n"/>
    </row>
    <row r="22">
      <c r="A22" s="54" t="inlineStr">
        <is>
          <t>bonds</t>
        </is>
      </c>
      <c r="B22" s="57" t="n">
        <v>851.3</v>
      </c>
      <c r="C22" s="57" t="n">
        <v>398.5</v>
      </c>
      <c r="D22" s="57" t="n">
        <v>524.7</v>
      </c>
      <c r="E22" s="57" t="n">
        <v>17.6</v>
      </c>
      <c r="F22" s="57" t="n">
        <v>600</v>
      </c>
    </row>
    <row r="23">
      <c r="A23" s="54" t="inlineStr">
        <is>
          <t>합계 liab</t>
        </is>
      </c>
      <c r="B23" s="57" t="n">
        <v>3798.4</v>
      </c>
      <c r="C23" s="57" t="n">
        <v>4299.6</v>
      </c>
      <c r="D23" s="57" t="n">
        <v>4932.6</v>
      </c>
      <c r="E23" s="57" t="n">
        <v>4810.9</v>
      </c>
      <c r="F23" s="57" t="n">
        <v>5268.1</v>
      </c>
    </row>
    <row r="24">
      <c r="A24" s="54" t="inlineStr">
        <is>
          <t>capital stock</t>
        </is>
      </c>
      <c r="B24" s="57" t="n">
        <v>511.1</v>
      </c>
      <c r="C24" s="57" t="n">
        <v>511.1</v>
      </c>
      <c r="D24" s="57" t="n">
        <v>511.1</v>
      </c>
      <c r="E24" s="57" t="n">
        <v>712.3</v>
      </c>
      <c r="F24" s="57" t="n">
        <v>718</v>
      </c>
    </row>
    <row r="25">
      <c r="A25" s="54" t="inlineStr">
        <is>
          <t>retained</t>
        </is>
      </c>
      <c r="B25" s="57" t="n">
        <v>528.2</v>
      </c>
      <c r="C25" s="57" t="n">
        <v>698.6</v>
      </c>
      <c r="D25" s="57" t="n">
        <v>922.8</v>
      </c>
      <c r="E25" s="57" t="n">
        <v>858.7</v>
      </c>
      <c r="F25" s="57" t="n">
        <v>937.4</v>
      </c>
    </row>
    <row r="26">
      <c r="A26" s="54" t="inlineStr">
        <is>
          <t>nci</t>
        </is>
      </c>
      <c r="B26" s="57" t="n">
        <v>41.4</v>
      </c>
      <c r="C26" s="57" t="n">
        <v>44.8</v>
      </c>
      <c r="D26" s="57" t="n">
        <v>45.5</v>
      </c>
      <c r="E26" s="57" t="n">
        <v>19.6</v>
      </c>
      <c r="F26" s="57" t="n">
        <v>16.7</v>
      </c>
    </row>
    <row r="27">
      <c r="A27" s="54" t="inlineStr">
        <is>
          <t>합계 equity</t>
        </is>
      </c>
      <c r="B27" s="57" t="n">
        <v>2172.8</v>
      </c>
      <c r="C27" s="57" t="n">
        <v>2503.7</v>
      </c>
      <c r="D27" s="57" t="n">
        <v>2725.4</v>
      </c>
      <c r="E27" s="57" t="n">
        <v>3164.8</v>
      </c>
      <c r="F27" s="57" t="n">
        <v>3421.6</v>
      </c>
    </row>
    <row r="28">
      <c r="A28" s="54" t="inlineStr">
        <is>
          <t>current ltd</t>
        </is>
      </c>
      <c r="B28" s="58" t="n"/>
      <c r="C28" s="58" t="n"/>
      <c r="D28" s="58" t="n"/>
      <c r="E28" s="58" t="n"/>
      <c r="F28" s="58" t="n"/>
    </row>
    <row r="29">
      <c r="A29" s="54" t="inlineStr">
        <is>
          <t>equity owner</t>
        </is>
      </c>
      <c r="B29" s="57" t="n">
        <v>2131.4</v>
      </c>
      <c r="C29" s="57" t="n">
        <v>2459</v>
      </c>
      <c r="D29" s="57" t="n">
        <v>2679.9</v>
      </c>
      <c r="E29" s="57" t="n">
        <v>3145.2</v>
      </c>
      <c r="F29" s="57" t="n">
        <v>3404.8</v>
      </c>
    </row>
    <row r="31">
      <c r="A31" s="52" t="inlineStr">
        <is>
          <t>cf annual</t>
        </is>
      </c>
      <c r="B31" s="52" t="n"/>
      <c r="C31" s="52" t="n"/>
      <c r="D31" s="52" t="n"/>
      <c r="E31" s="52" t="n"/>
      <c r="F31" s="52" t="n"/>
      <c r="G31" s="52" t="n"/>
    </row>
    <row r="32">
      <c r="A32" s="53" t="inlineStr">
        <is>
          <t>항목</t>
        </is>
      </c>
      <c r="B32" s="53" t="inlineStr">
        <is>
          <t>2021</t>
        </is>
      </c>
      <c r="C32" s="53" t="inlineStr">
        <is>
          <t>2022</t>
        </is>
      </c>
      <c r="D32" s="53" t="inlineStr">
        <is>
          <t>2023</t>
        </is>
      </c>
      <c r="E32" s="53" t="inlineStr">
        <is>
          <t>2024</t>
        </is>
      </c>
      <c r="F32" s="53" t="inlineStr">
        <is>
          <t>2025</t>
        </is>
      </c>
      <c r="G32" s="53" t="inlineStr">
        <is>
          <t>출처</t>
        </is>
      </c>
    </row>
    <row r="33">
      <c r="A33" s="54" t="inlineStr">
        <is>
          <t>labels</t>
        </is>
      </c>
      <c r="B33" s="55" t="n">
        <v>2021</v>
      </c>
      <c r="C33" s="55" t="n">
        <v>2022</v>
      </c>
      <c r="D33" s="55" t="n">
        <v>2023</v>
      </c>
      <c r="E33" s="55" t="n">
        <v>2024</v>
      </c>
      <c r="F33" s="55" t="n">
        <v>2025</v>
      </c>
      <c r="G33" s="56" t="inlineStr">
        <is>
          <t>2단계 보고서 자료(회사 설명회 자료·공시)</t>
        </is>
      </c>
    </row>
    <row r="34">
      <c r="A34" s="54" t="inlineStr">
        <is>
          <t>ocf</t>
        </is>
      </c>
      <c r="B34" s="57" t="n">
        <v>497.3</v>
      </c>
      <c r="C34" s="57" t="n">
        <v>697.5</v>
      </c>
      <c r="D34" s="57" t="n">
        <v>516.1</v>
      </c>
      <c r="E34" s="57" t="n">
        <v>445.8</v>
      </c>
      <c r="F34" s="57" t="n">
        <v>259.8</v>
      </c>
    </row>
    <row r="35">
      <c r="A35" s="54" t="inlineStr">
        <is>
          <t>설비투자</t>
        </is>
      </c>
      <c r="B35" s="57" t="n">
        <v>232.5</v>
      </c>
      <c r="C35" s="57" t="n">
        <v>411.1</v>
      </c>
      <c r="D35" s="57" t="n">
        <v>424.7</v>
      </c>
      <c r="E35" s="57" t="n">
        <v>438.1</v>
      </c>
      <c r="F35" s="57" t="n">
        <v>295.2</v>
      </c>
    </row>
    <row r="36">
      <c r="A36" s="54" t="inlineStr">
        <is>
          <t>dividends</t>
        </is>
      </c>
      <c r="B36" s="57" t="n">
        <v>25</v>
      </c>
      <c r="C36" s="57" t="n">
        <v>75.2</v>
      </c>
      <c r="D36" s="57" t="n">
        <v>100.3</v>
      </c>
      <c r="E36" s="57" t="n">
        <v>133.5</v>
      </c>
      <c r="F36" s="57" t="n">
        <v>141.8</v>
      </c>
    </row>
    <row r="38">
      <c r="A38" s="52" t="inlineStr">
        <is>
          <t>company 예상</t>
        </is>
      </c>
      <c r="B38" s="52" t="n"/>
      <c r="C38" s="52" t="n"/>
      <c r="D38" s="52" t="n"/>
      <c r="E38" s="52" t="n"/>
      <c r="F38" s="52" t="n"/>
      <c r="G38" s="52" t="n"/>
    </row>
    <row r="39">
      <c r="A39" s="53" t="inlineStr">
        <is>
          <t>항목</t>
        </is>
      </c>
      <c r="B39" s="53" t="inlineStr">
        <is>
          <t>값</t>
        </is>
      </c>
      <c r="G39" s="53" t="inlineStr">
        <is>
          <t>출처</t>
        </is>
      </c>
    </row>
    <row r="40">
      <c r="A40" s="54" t="inlineStr">
        <is>
          <t>매출</t>
        </is>
      </c>
      <c r="B40" s="57" t="n">
        <v>5800</v>
      </c>
      <c r="G40" s="56" t="inlineStr">
        <is>
          <t>2단계 보고서 자료(회사 설명회 자료·공시)</t>
        </is>
      </c>
    </row>
    <row r="41">
      <c r="A41" s="54" t="inlineStr">
        <is>
          <t>영업이익</t>
        </is>
      </c>
      <c r="B41" s="57" t="n">
        <v>300</v>
      </c>
    </row>
    <row r="42">
      <c r="A42" s="54" t="inlineStr">
        <is>
          <t>순이익</t>
        </is>
      </c>
      <c r="B42" s="57" t="n">
        <v>155</v>
      </c>
    </row>
    <row r="43">
      <c r="A43" s="54" t="inlineStr">
        <is>
          <t>EPS</t>
        </is>
      </c>
      <c r="B43" s="57" t="n">
        <v>89.09999999999999</v>
      </c>
    </row>
    <row r="45">
      <c r="A45" s="52" t="inlineStr">
        <is>
          <t>this quarter</t>
        </is>
      </c>
      <c r="B45" s="52" t="n"/>
      <c r="C45" s="52" t="n"/>
      <c r="D45" s="52" t="n"/>
      <c r="E45" s="52" t="n"/>
      <c r="F45" s="52" t="n"/>
      <c r="G45" s="52" t="n"/>
    </row>
    <row r="46">
      <c r="A46" s="53" t="inlineStr">
        <is>
          <t>항목</t>
        </is>
      </c>
      <c r="B46" s="53" t="inlineStr">
        <is>
          <t>값</t>
        </is>
      </c>
      <c r="G46" s="53" t="inlineStr">
        <is>
          <t>출처</t>
        </is>
      </c>
    </row>
    <row r="47">
      <c r="A47" s="54" t="inlineStr">
        <is>
          <t>mcap eokyen</t>
        </is>
      </c>
      <c r="B47" s="57" t="n">
        <v>4270.8</v>
      </c>
      <c r="G47" s="56" t="inlineStr">
        <is>
          <t>2단계 보고서 자료(회사 설명회 자료·공시)</t>
        </is>
      </c>
    </row>
    <row r="48">
      <c r="A48" s="54" t="inlineStr">
        <is>
          <t>PER guide</t>
        </is>
      </c>
      <c r="B48" s="57" t="n">
        <v>30.7</v>
      </c>
    </row>
    <row r="49">
      <c r="A49" s="54" t="inlineStr">
        <is>
          <t>div yield</t>
        </is>
      </c>
      <c r="B49" s="57" t="n">
        <v>3.84</v>
      </c>
    </row>
    <row r="51">
      <c r="A51" s="52" t="inlineStr">
        <is>
          <t>this quarter · 3Q alone</t>
        </is>
      </c>
      <c r="B51" s="52" t="n"/>
      <c r="C51" s="52" t="n"/>
      <c r="D51" s="52" t="n"/>
      <c r="E51" s="52" t="n"/>
      <c r="F51" s="52" t="n"/>
      <c r="G51" s="52" t="n"/>
    </row>
    <row r="52">
      <c r="A52" s="53" t="inlineStr">
        <is>
          <t>항목</t>
        </is>
      </c>
      <c r="B52" s="53" t="inlineStr">
        <is>
          <t>값</t>
        </is>
      </c>
      <c r="G52" s="53" t="inlineStr">
        <is>
          <t>출처</t>
        </is>
      </c>
    </row>
    <row r="53">
      <c r="A53" s="54" t="inlineStr">
        <is>
          <t>매출</t>
        </is>
      </c>
      <c r="B53" s="57" t="n">
        <v>1459.8</v>
      </c>
      <c r="G53" s="56" t="inlineStr">
        <is>
          <t>2단계 보고서 자료(회사 설명회 자료·공시)</t>
        </is>
      </c>
    </row>
    <row r="54">
      <c r="A54" s="54" t="inlineStr">
        <is>
          <t>영업이익</t>
        </is>
      </c>
      <c r="B54" s="57" t="n">
        <v>75.7</v>
      </c>
    </row>
    <row r="55">
      <c r="A55" s="54" t="inlineStr">
        <is>
          <t>pbt</t>
        </is>
      </c>
      <c r="B55" s="57" t="n">
        <v>60.1</v>
      </c>
    </row>
    <row r="56">
      <c r="A56" s="54" t="inlineStr">
        <is>
          <t>순이익</t>
        </is>
      </c>
      <c r="B56" s="57" t="n">
        <v>42.9</v>
      </c>
    </row>
    <row r="57">
      <c r="A57" s="54" t="inlineStr">
        <is>
          <t>매출 YoY</t>
        </is>
      </c>
      <c r="B57" s="57" t="n">
        <v>26.2</v>
      </c>
    </row>
    <row r="58">
      <c r="A58" s="54" t="inlineStr">
        <is>
          <t>영업이익 YoY</t>
        </is>
      </c>
      <c r="B58" s="57" t="n">
        <v>50.5</v>
      </c>
    </row>
    <row r="59">
      <c r="A59" s="54" t="inlineStr">
        <is>
          <t>영업이익률</t>
        </is>
      </c>
      <c r="B59" s="57" t="n">
        <v>5.2</v>
      </c>
    </row>
    <row r="60">
      <c r="A60" s="54" t="inlineStr">
        <is>
          <t>영업이익률 ly</t>
        </is>
      </c>
      <c r="B60" s="57" t="n">
        <v>4.3</v>
      </c>
    </row>
    <row r="62">
      <c r="A62" s="52" t="inlineStr">
        <is>
          <t>this quarter · ytd</t>
        </is>
      </c>
      <c r="B62" s="52" t="n"/>
      <c r="C62" s="52" t="n"/>
      <c r="D62" s="52" t="n"/>
      <c r="E62" s="52" t="n"/>
      <c r="F62" s="52" t="n"/>
      <c r="G62" s="52" t="n"/>
    </row>
    <row r="63">
      <c r="A63" s="53" t="inlineStr">
        <is>
          <t>항목</t>
        </is>
      </c>
      <c r="B63" s="53" t="inlineStr">
        <is>
          <t>값</t>
        </is>
      </c>
      <c r="G63" s="53" t="inlineStr">
        <is>
          <t>출처</t>
        </is>
      </c>
    </row>
    <row r="64">
      <c r="A64" s="54" t="inlineStr">
        <is>
          <t>매출</t>
        </is>
      </c>
      <c r="B64" s="57" t="n">
        <v>4227.06</v>
      </c>
      <c r="G64" s="56" t="inlineStr">
        <is>
          <t>2단계 보고서 자료(회사 설명회 자료·공시)</t>
        </is>
      </c>
    </row>
    <row r="65">
      <c r="A65" s="54" t="inlineStr">
        <is>
          <t>매출 YoY</t>
        </is>
      </c>
      <c r="B65" s="57" t="n">
        <v>23.2</v>
      </c>
    </row>
    <row r="66">
      <c r="A66" s="54" t="inlineStr">
        <is>
          <t>영업이익</t>
        </is>
      </c>
      <c r="B66" s="57" t="n">
        <v>168.76</v>
      </c>
    </row>
    <row r="67">
      <c r="A67" s="54" t="inlineStr">
        <is>
          <t>영업이익 YoY</t>
        </is>
      </c>
      <c r="B67" s="57" t="n">
        <v>46.3</v>
      </c>
    </row>
    <row r="68">
      <c r="A68" s="54" t="inlineStr">
        <is>
          <t>pbt</t>
        </is>
      </c>
      <c r="B68" s="57" t="n">
        <v>119.39</v>
      </c>
    </row>
    <row r="69">
      <c r="A69" s="54" t="inlineStr">
        <is>
          <t>순이익</t>
        </is>
      </c>
      <c r="B69" s="57" t="n">
        <v>86.68000000000001</v>
      </c>
    </row>
    <row r="70">
      <c r="A70" s="54" t="inlineStr">
        <is>
          <t>EPS</t>
        </is>
      </c>
      <c r="B70" s="57" t="n">
        <v>48.04</v>
      </c>
    </row>
    <row r="71">
      <c r="A71" s="54" t="inlineStr">
        <is>
          <t>ebitda</t>
        </is>
      </c>
      <c r="B71" s="55" t="n">
        <v>449</v>
      </c>
    </row>
    <row r="72">
      <c r="A72" s="54" t="inlineStr">
        <is>
          <t>ebitda YoY</t>
        </is>
      </c>
      <c r="B72" s="57" t="n">
        <v>22.8</v>
      </c>
    </row>
    <row r="73">
      <c r="A73" s="54" t="inlineStr">
        <is>
          <t>ebitda m</t>
        </is>
      </c>
      <c r="B73" s="57" t="n">
        <v>10.6</v>
      </c>
    </row>
    <row r="75">
      <c r="A75" s="52" t="inlineStr">
        <is>
          <t>this quarter · 수주</t>
        </is>
      </c>
      <c r="B75" s="52" t="n"/>
      <c r="C75" s="52" t="n"/>
      <c r="D75" s="52" t="n"/>
      <c r="E75" s="52" t="n"/>
      <c r="F75" s="52" t="n"/>
      <c r="G75" s="52" t="n"/>
    </row>
    <row r="76">
      <c r="A76" s="53" t="inlineStr">
        <is>
          <t>항목</t>
        </is>
      </c>
      <c r="B76" s="53" t="inlineStr">
        <is>
          <t>값</t>
        </is>
      </c>
      <c r="G76" s="53" t="inlineStr">
        <is>
          <t>출처</t>
        </is>
      </c>
    </row>
    <row r="77">
      <c r="A77" s="54" t="inlineStr">
        <is>
          <t>26.3Q_yoy</t>
        </is>
      </c>
      <c r="B77" s="57" t="n">
        <v>40.1</v>
      </c>
      <c r="G77" s="56" t="inlineStr">
        <is>
          <t>2단계 보고서 자료(회사 설명회 자료·공시)</t>
        </is>
      </c>
    </row>
    <row r="78">
      <c r="A78" s="54" t="inlineStr">
        <is>
          <t>ytd</t>
        </is>
      </c>
      <c r="B78" s="55" t="n">
        <v>5220</v>
      </c>
    </row>
    <row r="79">
      <c r="A79" s="54" t="inlineStr">
        <is>
          <t>ytd YoY</t>
        </is>
      </c>
      <c r="B79" s="57" t="n">
        <v>36.7</v>
      </c>
    </row>
    <row r="80">
      <c r="A80" s="54" t="inlineStr">
        <is>
          <t>mro ytd</t>
        </is>
      </c>
      <c r="B80" s="55" t="n">
        <v>1073</v>
      </c>
    </row>
    <row r="81">
      <c r="A81" s="54" t="inlineStr">
        <is>
          <t>mro YoY</t>
        </is>
      </c>
      <c r="B81" s="57" t="n">
        <v>15.6</v>
      </c>
    </row>
    <row r="82">
      <c r="A82" s="54" t="inlineStr">
        <is>
          <t>mro 비중</t>
        </is>
      </c>
      <c r="B82" s="57" t="n">
        <v>20.5</v>
      </c>
    </row>
    <row r="83">
      <c r="A83" s="54" t="inlineStr">
        <is>
          <t>FY old</t>
        </is>
      </c>
      <c r="B83" s="55" t="n">
        <v>6300</v>
      </c>
    </row>
    <row r="84">
      <c r="A84" s="54" t="inlineStr">
        <is>
          <t>FY YoY</t>
        </is>
      </c>
      <c r="B84" s="57" t="n">
        <v>24.2</v>
      </c>
    </row>
    <row r="86">
      <c r="A86" s="52" t="inlineStr">
        <is>
          <t>this quarter · 수주잔고</t>
        </is>
      </c>
      <c r="B86" s="52" t="n"/>
      <c r="C86" s="52" t="n"/>
      <c r="D86" s="52" t="n"/>
      <c r="E86" s="52" t="n"/>
      <c r="F86" s="52" t="n"/>
      <c r="G86" s="52" t="n"/>
    </row>
    <row r="87">
      <c r="A87" s="53" t="inlineStr">
        <is>
          <t>항목</t>
        </is>
      </c>
      <c r="B87" s="53" t="inlineStr">
        <is>
          <t>값</t>
        </is>
      </c>
      <c r="G87" s="53" t="inlineStr">
        <is>
          <t>출처</t>
        </is>
      </c>
    </row>
    <row r="88">
      <c r="A88" s="54" t="inlineStr">
        <is>
          <t>24.12말</t>
        </is>
      </c>
      <c r="B88" s="55" t="n">
        <v>2180</v>
      </c>
      <c r="G88" s="56" t="inlineStr">
        <is>
          <t>2단계 보고서 자료(회사 설명회 자료·공시)</t>
        </is>
      </c>
    </row>
    <row r="89">
      <c r="A89" s="54" t="inlineStr">
        <is>
          <t>25.9말</t>
        </is>
      </c>
      <c r="B89" s="55" t="n">
        <v>2540</v>
      </c>
    </row>
    <row r="90">
      <c r="A90" s="54" t="inlineStr">
        <is>
          <t>25.12말</t>
        </is>
      </c>
      <c r="B90" s="55" t="n">
        <v>2400</v>
      </c>
    </row>
    <row r="91">
      <c r="A91" s="54" t="inlineStr">
        <is>
          <t>26.6말</t>
        </is>
      </c>
      <c r="B91" s="55" t="n">
        <v>3030</v>
      </c>
    </row>
    <row r="92">
      <c r="A92" s="54" t="inlineStr">
        <is>
          <t>26.9말</t>
        </is>
      </c>
      <c r="B92" s="55" t="n">
        <v>3280</v>
      </c>
    </row>
    <row r="94">
      <c r="A94" s="52" t="inlineStr">
        <is>
          <t>this quarter · 환율</t>
        </is>
      </c>
      <c r="B94" s="52" t="n"/>
      <c r="C94" s="52" t="n"/>
      <c r="D94" s="52" t="n"/>
      <c r="E94" s="52" t="n"/>
      <c r="F94" s="52" t="n"/>
      <c r="G94" s="52" t="n"/>
    </row>
    <row r="95">
      <c r="A95" s="53" t="inlineStr">
        <is>
          <t>항목</t>
        </is>
      </c>
      <c r="B95" s="53" t="inlineStr">
        <is>
          <t>값</t>
        </is>
      </c>
      <c r="G95" s="53" t="inlineStr">
        <is>
          <t>출처</t>
        </is>
      </c>
    </row>
    <row r="96">
      <c r="A96" s="54" t="inlineStr">
        <is>
          <t>USD 1~9월</t>
        </is>
      </c>
      <c r="B96" s="57" t="n">
        <v>158.5</v>
      </c>
      <c r="G96" s="56" t="inlineStr">
        <is>
          <t>2단계 보고서 자료(회사 설명회 자료·공시)</t>
        </is>
      </c>
    </row>
    <row r="97">
      <c r="A97" s="54" t="inlineStr">
        <is>
          <t>EUR 1~9월</t>
        </is>
      </c>
      <c r="B97" s="57" t="n">
        <v>184.1</v>
      </c>
    </row>
    <row r="98">
      <c r="A98" s="54" t="inlineStr">
        <is>
          <t>전년 USD</t>
        </is>
      </c>
      <c r="B98" s="57" t="n">
        <v>148.2</v>
      </c>
    </row>
    <row r="99">
      <c r="A99" s="54" t="inlineStr">
        <is>
          <t>전년 EUR</t>
        </is>
      </c>
      <c r="B99" s="57" t="n">
        <v>165.6</v>
      </c>
    </row>
    <row r="101">
      <c r="A101" s="52" t="inlineStr">
        <is>
          <t>this quarter · guide fy26</t>
        </is>
      </c>
      <c r="B101" s="52" t="n"/>
      <c r="C101" s="52" t="n"/>
      <c r="D101" s="52" t="n"/>
      <c r="E101" s="52" t="n"/>
      <c r="F101" s="52" t="n"/>
      <c r="G101" s="52" t="n"/>
    </row>
    <row r="102">
      <c r="A102" s="53" t="inlineStr">
        <is>
          <t>항목</t>
        </is>
      </c>
      <c r="B102" s="53" t="inlineStr">
        <is>
          <t>값</t>
        </is>
      </c>
      <c r="G102" s="53" t="inlineStr">
        <is>
          <t>출처</t>
        </is>
      </c>
    </row>
    <row r="103">
      <c r="A103" s="54" t="inlineStr">
        <is>
          <t>매출</t>
        </is>
      </c>
      <c r="B103" s="55" t="n">
        <v>5800</v>
      </c>
      <c r="G103" s="56" t="inlineStr">
        <is>
          <t>2단계 보고서 자료(회사 설명회 자료·공시)</t>
        </is>
      </c>
    </row>
    <row r="104">
      <c r="A104" s="54" t="inlineStr">
        <is>
          <t>영업이익</t>
        </is>
      </c>
      <c r="B104" s="55" t="n">
        <v>300</v>
      </c>
    </row>
    <row r="105">
      <c r="A105" s="54" t="inlineStr">
        <is>
          <t>순이익</t>
        </is>
      </c>
      <c r="B105" s="55" t="n">
        <v>155</v>
      </c>
    </row>
    <row r="106">
      <c r="A106" s="54" t="inlineStr">
        <is>
          <t>EPS</t>
        </is>
      </c>
      <c r="B106" s="57" t="n">
        <v>89.12</v>
      </c>
    </row>
    <row r="107">
      <c r="A107" s="54" t="inlineStr">
        <is>
          <t>dps</t>
        </is>
      </c>
      <c r="B107" s="55" t="n">
        <v>105</v>
      </c>
    </row>
    <row r="108">
      <c r="A108" s="54" t="inlineStr">
        <is>
          <t>ebitda</t>
        </is>
      </c>
      <c r="B108" s="55" t="n">
        <v>670</v>
      </c>
    </row>
    <row r="109">
      <c r="A109" s="54" t="inlineStr">
        <is>
          <t>unchanged</t>
        </is>
      </c>
      <c r="B109" s="55" t="b">
        <v>1</v>
      </c>
    </row>
    <row r="110">
      <c r="A110" s="54" t="inlineStr">
        <is>
          <t>progress 매출</t>
        </is>
      </c>
      <c r="B110" s="57" t="n">
        <v>72.90000000000001</v>
      </c>
    </row>
    <row r="111">
      <c r="A111" s="54" t="inlineStr">
        <is>
          <t>progress 수주</t>
        </is>
      </c>
      <c r="B111" s="57" t="n">
        <v>80.3</v>
      </c>
    </row>
    <row r="112">
      <c r="A112" s="54" t="inlineStr">
        <is>
          <t>fcf</t>
        </is>
      </c>
      <c r="B112" s="55" t="n">
        <v>300</v>
      </c>
    </row>
    <row r="113">
      <c r="A113" s="54" t="inlineStr">
        <is>
          <t>net debt end</t>
        </is>
      </c>
      <c r="B113" s="55" t="n">
        <v>1400</v>
      </c>
    </row>
    <row r="115">
      <c r="A115" s="52" t="inlineStr">
        <is>
          <t>this quarter · 계획 fy27</t>
        </is>
      </c>
      <c r="B115" s="52" t="n"/>
      <c r="C115" s="52" t="n"/>
      <c r="D115" s="52" t="n"/>
      <c r="E115" s="52" t="n"/>
      <c r="F115" s="52" t="n"/>
      <c r="G115" s="52" t="n"/>
    </row>
    <row r="116">
      <c r="A116" s="53" t="inlineStr">
        <is>
          <t>항목</t>
        </is>
      </c>
      <c r="B116" s="53" t="inlineStr">
        <is>
          <t>값</t>
        </is>
      </c>
      <c r="G116" s="53" t="inlineStr">
        <is>
          <t>출처</t>
        </is>
      </c>
    </row>
    <row r="117">
      <c r="A117" s="54" t="inlineStr">
        <is>
          <t>매출</t>
        </is>
      </c>
      <c r="B117" s="55" t="n">
        <v>6300</v>
      </c>
      <c r="G117" s="56" t="inlineStr">
        <is>
          <t>2단계 보고서 자료(회사 설명회 자료·공시)</t>
        </is>
      </c>
    </row>
    <row r="118">
      <c r="A118" s="54" t="inlineStr">
        <is>
          <t>매출 YoY</t>
        </is>
      </c>
      <c r="B118" s="57" t="n">
        <v>8.6</v>
      </c>
    </row>
    <row r="119">
      <c r="A119" s="54" t="inlineStr">
        <is>
          <t>ebit</t>
        </is>
      </c>
      <c r="B119" s="55" t="n">
        <v>510</v>
      </c>
    </row>
    <row r="120">
      <c r="A120" s="54" t="inlineStr">
        <is>
          <t>ebit YoY</t>
        </is>
      </c>
      <c r="B120" s="57" t="n">
        <v>70</v>
      </c>
    </row>
    <row r="121">
      <c r="A121" s="54" t="inlineStr">
        <is>
          <t>ebit m</t>
        </is>
      </c>
      <c r="B121" s="57" t="n">
        <v>8.1</v>
      </c>
    </row>
    <row r="122">
      <c r="A122" s="54" t="inlineStr">
        <is>
          <t>eat</t>
        </is>
      </c>
      <c r="B122" s="55" t="n">
        <v>305</v>
      </c>
    </row>
    <row r="123">
      <c r="A123" s="54" t="inlineStr">
        <is>
          <t>ebitda</t>
        </is>
      </c>
      <c r="B123" s="55" t="n">
        <v>880</v>
      </c>
    </row>
    <row r="124">
      <c r="A124" s="54" t="inlineStr">
        <is>
          <t>dps</t>
        </is>
      </c>
      <c r="B124" s="55" t="n">
        <v>110</v>
      </c>
    </row>
    <row r="125">
      <c r="A125" s="54" t="inlineStr">
        <is>
          <t>설비투자</t>
        </is>
      </c>
      <c r="B125" s="55" t="n">
        <v>300</v>
      </c>
    </row>
    <row r="126">
      <c r="A126" s="54" t="inlineStr">
        <is>
          <t>rnd</t>
        </is>
      </c>
      <c r="B126" s="55" t="n">
        <v>300</v>
      </c>
    </row>
    <row r="128">
      <c r="A128" s="52" t="inlineStr">
        <is>
          <t>this quarter · capital</t>
        </is>
      </c>
      <c r="B128" s="52" t="n"/>
      <c r="C128" s="52" t="n"/>
      <c r="D128" s="52" t="n"/>
      <c r="E128" s="52" t="n"/>
      <c r="F128" s="52" t="n"/>
      <c r="G128" s="52" t="n"/>
    </row>
    <row r="129">
      <c r="A129" s="53" t="inlineStr">
        <is>
          <t>항목</t>
        </is>
      </c>
      <c r="B129" s="53" t="inlineStr">
        <is>
          <t>값</t>
        </is>
      </c>
      <c r="G129" s="53" t="inlineStr">
        <is>
          <t>출처</t>
        </is>
      </c>
    </row>
    <row r="130">
      <c r="A130" s="54" t="inlineStr">
        <is>
          <t>발행주식</t>
        </is>
      </c>
      <c r="B130" s="55" t="n">
        <v>157325934</v>
      </c>
      <c r="G130" s="56" t="inlineStr">
        <is>
          <t>2단계 보고서 자료(회사 설명회 자료·공시)</t>
        </is>
      </c>
    </row>
    <row r="131">
      <c r="A131" s="54" t="inlineStr">
        <is>
          <t>자사주</t>
        </is>
      </c>
      <c r="B131" s="55" t="n">
        <v>1231140</v>
      </c>
    </row>
    <row r="132">
      <c r="A132" s="54" t="inlineStr">
        <is>
          <t>주식수_자사주제외</t>
        </is>
      </c>
      <c r="B132" s="55" t="n">
        <v>156094794</v>
      </c>
    </row>
    <row r="133">
      <c r="A133" s="54" t="inlineStr">
        <is>
          <t>자기자본비율</t>
        </is>
      </c>
      <c r="B133" s="57" t="n">
        <v>40.6</v>
      </c>
    </row>
    <row r="134">
      <c r="A134" s="54" t="inlineStr">
        <is>
          <t>BPS</t>
        </is>
      </c>
      <c r="B134" s="57" t="n">
        <v>2282.25</v>
      </c>
    </row>
    <row r="136">
      <c r="A136" s="52" t="inlineStr">
        <is>
          <t>this quarter · 컨센서스 before</t>
        </is>
      </c>
      <c r="B136" s="52" t="n"/>
      <c r="C136" s="52" t="n"/>
      <c r="D136" s="52" t="n"/>
      <c r="E136" s="52" t="n"/>
      <c r="F136" s="52" t="n"/>
      <c r="G136" s="52" t="n"/>
    </row>
    <row r="137">
      <c r="A137" s="53" t="inlineStr">
        <is>
          <t>항목</t>
        </is>
      </c>
      <c r="B137" s="53" t="inlineStr">
        <is>
          <t>값</t>
        </is>
      </c>
      <c r="G137" s="53" t="inlineStr">
        <is>
          <t>출처</t>
        </is>
      </c>
    </row>
    <row r="138">
      <c r="A138" s="54" t="inlineStr">
        <is>
          <t>FY26 매출</t>
        </is>
      </c>
      <c r="B138" s="57" t="n">
        <v>5774.2</v>
      </c>
      <c r="G138" s="56" t="inlineStr">
        <is>
          <t>2단계 보고서 자료(회사 설명회 자료·공시)</t>
        </is>
      </c>
    </row>
    <row r="139">
      <c r="A139" s="54" t="inlineStr">
        <is>
          <t>FY26 EPS</t>
        </is>
      </c>
      <c r="B139" s="57" t="n">
        <v>106.58</v>
      </c>
    </row>
    <row r="140">
      <c r="A140" s="54" t="inlineStr">
        <is>
          <t>FY27 매출</t>
        </is>
      </c>
      <c r="B140" s="57" t="n">
        <v>6157.4</v>
      </c>
    </row>
    <row r="141">
      <c r="A141" s="54" t="inlineStr">
        <is>
          <t>FY27 EPS</t>
        </is>
      </c>
      <c r="B141" s="57" t="n">
        <v>175.63</v>
      </c>
    </row>
    <row r="142">
      <c r="A142" s="54" t="inlineStr">
        <is>
          <t>애널리스트 수</t>
        </is>
      </c>
      <c r="B142" s="55" t="n">
        <v>5</v>
      </c>
    </row>
    <row r="144">
      <c r="A144" s="52" t="inlineStr">
        <is>
          <t>PER band</t>
        </is>
      </c>
      <c r="B144" s="52" t="n"/>
      <c r="C144" s="52" t="n"/>
      <c r="D144" s="52" t="n"/>
      <c r="E144" s="52" t="n"/>
      <c r="F144" s="52" t="n"/>
      <c r="G144" s="52" t="n"/>
    </row>
    <row r="145">
      <c r="A145" s="53" t="inlineStr">
        <is>
          <t>항목</t>
        </is>
      </c>
      <c r="B145" s="53" t="inlineStr">
        <is>
          <t>값</t>
        </is>
      </c>
      <c r="G145" s="53" t="inlineStr">
        <is>
          <t>출처</t>
        </is>
      </c>
    </row>
    <row r="146">
      <c r="A146" s="54" t="inlineStr">
        <is>
          <t>lo</t>
        </is>
      </c>
      <c r="B146" s="57" t="n">
        <v>10.1</v>
      </c>
      <c r="G146" s="56" t="inlineStr">
        <is>
          <t>2단계 보고서 자료(회사 설명회 자료·공시)</t>
        </is>
      </c>
    </row>
    <row r="147">
      <c r="A147" s="54" t="inlineStr">
        <is>
          <t>avg</t>
        </is>
      </c>
      <c r="B147" s="57" t="n">
        <v>25.1</v>
      </c>
    </row>
    <row r="148">
      <c r="A148" s="54" t="inlineStr">
        <is>
          <t>hi</t>
        </is>
      </c>
      <c r="B148" s="57" t="n">
        <v>53.2</v>
      </c>
    </row>
    <row r="150">
      <c r="A150" s="52" t="inlineStr">
        <is>
          <t>filings</t>
        </is>
      </c>
      <c r="B150" s="52" t="n"/>
      <c r="C150" s="52" t="n"/>
      <c r="D150" s="52" t="n"/>
      <c r="E150" s="52" t="n"/>
      <c r="F150" s="52" t="n"/>
      <c r="G150" s="52" t="n"/>
    </row>
    <row r="151">
      <c r="A151" s="53" t="inlineStr">
        <is>
          <t>항목</t>
        </is>
      </c>
      <c r="B151" s="53" t="inlineStr">
        <is>
          <t>title</t>
        </is>
      </c>
      <c r="C151" s="53" t="inlineStr">
        <is>
          <t>doc</t>
        </is>
      </c>
      <c r="G151" s="53" t="inlineStr">
        <is>
          <t>출처</t>
        </is>
      </c>
    </row>
    <row r="152">
      <c r="A152" s="54" t="inlineStr">
        <is>
          <t>2026-10-30</t>
        </is>
      </c>
      <c r="B152" s="58" t="inlineStr">
        <is>
          <t>2026年12月期 第３四半期決算短信〔ＩＦＲＳ〕（連結）</t>
        </is>
      </c>
      <c r="C152" s="58" t="inlineStr">
        <is>
          <t>140120261030560747</t>
        </is>
      </c>
      <c r="G152" s="56" t="inlineStr">
        <is>
          <t>2단계 보고서 자료(회사 설명회 자료·공시)</t>
        </is>
      </c>
    </row>
    <row r="153">
      <c r="A153" s="54" t="inlineStr">
        <is>
          <t>2026-08-04</t>
        </is>
      </c>
      <c r="B153" s="58" t="inlineStr">
        <is>
          <t>2026年12月期 第２四半期（中間期）決算短信〔ＩＦＲＳ〕（連結）</t>
        </is>
      </c>
      <c r="C153" s="58" t="inlineStr">
        <is>
          <t>140120260804508150</t>
        </is>
      </c>
    </row>
    <row r="154">
      <c r="A154" s="54" t="inlineStr">
        <is>
          <t>2026-05-01</t>
        </is>
      </c>
      <c r="B154" s="58" t="inlineStr">
        <is>
          <t>2026年12月期 第１四半期決算短信〔ＩＦＲＳ〕（連結）</t>
        </is>
      </c>
      <c r="C154" s="58" t="inlineStr">
        <is>
          <t>140120260501516505</t>
        </is>
      </c>
    </row>
    <row r="155">
      <c r="A155" s="54" t="inlineStr">
        <is>
          <t>2026-02-10</t>
        </is>
      </c>
      <c r="B155" s="58" t="inlineStr">
        <is>
          <t>2025年12月期 決算短信〔ＩＦＲＳ〕（連結）</t>
        </is>
      </c>
      <c r="C155" s="58" t="inlineStr">
        <is>
          <t>140120260210553729</t>
        </is>
      </c>
    </row>
    <row r="156">
      <c r="A156" s="54" t="inlineStr">
        <is>
          <t>2025-10-30</t>
        </is>
      </c>
      <c r="B156" s="58" t="inlineStr">
        <is>
          <t>2025年12月期 第３四半期決算短信〔ＩＦＲＳ〕（連結）</t>
        </is>
      </c>
      <c r="C156" s="58" t="inlineStr">
        <is>
          <t>140120251030582374</t>
        </is>
      </c>
    </row>
    <row r="157">
      <c r="A157" s="54" t="inlineStr">
        <is>
          <t>2025-08-01</t>
        </is>
      </c>
      <c r="B157" s="58" t="inlineStr">
        <is>
          <t>2025年12月期 第２四半期（中間期）決算短信〔ＩＦＲＳ〕（連結）</t>
        </is>
      </c>
      <c r="C157" s="58" t="inlineStr">
        <is>
          <t>140120250731526120</t>
        </is>
      </c>
    </row>
    <row r="158">
      <c r="A158" s="54" t="inlineStr">
        <is>
          <t>2025-05-07</t>
        </is>
      </c>
      <c r="B158" s="58" t="inlineStr">
        <is>
          <t>2025年12月期 第１四半期決算短信〔ＩＦＲＳ〕（連結）</t>
        </is>
      </c>
      <c r="C158" s="58" t="inlineStr">
        <is>
          <t>140120250507531988</t>
        </is>
      </c>
    </row>
    <row r="159">
      <c r="A159" s="54" t="inlineStr">
        <is>
          <t>2025-02-05</t>
        </is>
      </c>
      <c r="B159" s="58" t="inlineStr">
        <is>
          <t>2024年12月期 決算短信〔ＩＦＲＳ〕（連結）</t>
        </is>
      </c>
      <c r="C159" s="58" t="inlineStr">
        <is>
          <t>140120250205563677</t>
        </is>
      </c>
    </row>
    <row r="160">
      <c r="A160" s="54" t="inlineStr">
        <is>
          <t>2024-11-01</t>
        </is>
      </c>
      <c r="B160" s="58" t="inlineStr">
        <is>
          <t>2024年12月期 第３四半期決算短信〔ＩＦＲＳ〕（連結）</t>
        </is>
      </c>
      <c r="C160" s="58" t="inlineStr">
        <is>
          <t>140120241101509819</t>
        </is>
      </c>
    </row>
    <row r="161">
      <c r="A161" s="54" t="inlineStr">
        <is>
          <t>2024-07-31</t>
        </is>
      </c>
      <c r="B161" s="58" t="inlineStr">
        <is>
          <t>2024年12月期 第２四半期（中間期）決算短信〔ＩＦＲＳ〕（連結）</t>
        </is>
      </c>
      <c r="C161" s="58" t="inlineStr">
        <is>
          <t>140120240731559310</t>
        </is>
      </c>
    </row>
    <row r="162">
      <c r="A162" s="54" t="inlineStr">
        <is>
          <t>2024-04-26</t>
        </is>
      </c>
      <c r="B162" s="58" t="inlineStr">
        <is>
          <t>2024年12月期 第１四半期決算短信〔ＩＦＲＳ〕（連結）</t>
        </is>
      </c>
      <c r="C162" s="58" t="inlineStr">
        <is>
          <t>140120240425577495</t>
        </is>
      </c>
    </row>
    <row r="163">
      <c r="A163" s="54" t="inlineStr">
        <is>
          <t>2024-02-05</t>
        </is>
      </c>
      <c r="B163" s="58" t="inlineStr">
        <is>
          <t>2023年12月期 決算短信〔ＩＦＲＳ〕（連結）</t>
        </is>
      </c>
      <c r="C163" s="58" t="inlineStr">
        <is>
          <t>140120240205526502</t>
        </is>
      </c>
    </row>
    <row r="164">
      <c r="A164" s="54" t="inlineStr">
        <is>
          <t>2023-10-25</t>
        </is>
      </c>
      <c r="B164" s="58" t="inlineStr">
        <is>
          <t>2023年12月期 第３四半期決算短信〔ＩＦＲＳ〕（連結）</t>
        </is>
      </c>
      <c r="C164" s="58" t="inlineStr">
        <is>
          <t>140120231025571349</t>
        </is>
      </c>
    </row>
    <row r="165">
      <c r="A165" s="54" t="inlineStr">
        <is>
          <t>2023-08-03</t>
        </is>
      </c>
      <c r="B165" s="58" t="inlineStr">
        <is>
          <t>2023年12月期 第２四半期決算短信〔ＩＦＲＳ〕（連結）</t>
        </is>
      </c>
      <c r="C165" s="58" t="inlineStr">
        <is>
          <t>140120230803533390</t>
        </is>
      </c>
    </row>
    <row r="166">
      <c r="A166" s="54" t="inlineStr">
        <is>
          <t>2023-05-10</t>
        </is>
      </c>
      <c r="B166" s="58" t="inlineStr">
        <is>
          <t>2023年12月期 第１四半期決算短信〔ＩＦＲＳ〕（連結）</t>
        </is>
      </c>
      <c r="C166" s="58" t="inlineStr">
        <is>
          <t>140120230510563374</t>
        </is>
      </c>
    </row>
    <row r="167">
      <c r="A167" s="54" t="inlineStr">
        <is>
          <t>2023-02-08</t>
        </is>
      </c>
      <c r="B167" s="58" t="inlineStr">
        <is>
          <t>2022年12月期　決算短信〔IFRS〕（連結）</t>
        </is>
      </c>
      <c r="C167" s="58" t="inlineStr">
        <is>
          <t>140120230208503005</t>
        </is>
      </c>
    </row>
    <row r="168">
      <c r="A168" s="54" t="inlineStr">
        <is>
          <t>2022-02-10</t>
        </is>
      </c>
      <c r="B168" s="58" t="inlineStr">
        <is>
          <t>2021年12月期　決算短信〔IFRS〕（連結）</t>
        </is>
      </c>
      <c r="C168" s="58" t="inlineStr">
        <is>
          <t>140120220210586003</t>
        </is>
      </c>
    </row>
    <row r="169">
      <c r="A169" s="54" t="inlineStr">
        <is>
          <t>2021-02-12</t>
        </is>
      </c>
      <c r="B169" s="58" t="inlineStr">
        <is>
          <t>2020年12月期　決算短信〔IFRS〕（連結）</t>
        </is>
      </c>
      <c r="C169" s="58" t="inlineStr">
        <is>
          <t>140120210212462335</t>
        </is>
      </c>
    </row>
    <row r="170">
      <c r="A170" s="54" t="inlineStr">
        <is>
          <t>2020-02-14</t>
        </is>
      </c>
      <c r="B170" s="58" t="inlineStr">
        <is>
          <t>2019年12月期　決算短信〔IFRS〕（連結）</t>
        </is>
      </c>
      <c r="C170" s="58" t="inlineStr">
        <is>
          <t>140120200213463799</t>
        </is>
      </c>
    </row>
    <row r="172">
      <c r="A172" s="52" t="inlineStr">
        <is>
          <t>reactions</t>
        </is>
      </c>
      <c r="B172" s="52" t="n"/>
      <c r="C172" s="52" t="n"/>
      <c r="D172" s="52" t="n"/>
      <c r="E172" s="52" t="n"/>
      <c r="F172" s="52" t="n"/>
      <c r="G172" s="52" t="n"/>
    </row>
    <row r="173">
      <c r="A173" s="53" t="inlineStr">
        <is>
          <t>항목</t>
        </is>
      </c>
      <c r="B173" s="53" t="inlineStr">
        <is>
          <t>기준일</t>
        </is>
      </c>
      <c r="C173" s="53" t="inlineStr">
        <is>
          <t>다음날</t>
        </is>
      </c>
      <c r="D173" s="53" t="inlineStr">
        <is>
          <t>등락%</t>
        </is>
      </c>
      <c r="G173" s="53" t="inlineStr">
        <is>
          <t>출처</t>
        </is>
      </c>
    </row>
    <row r="174">
      <c r="A174" s="54" t="inlineStr">
        <is>
          <t>2025-02-05</t>
        </is>
      </c>
      <c r="B174" s="58" t="inlineStr">
        <is>
          <t>2025-02-05</t>
        </is>
      </c>
      <c r="C174" s="58" t="inlineStr">
        <is>
          <t>2025-02-06</t>
        </is>
      </c>
      <c r="D174" s="57" t="n">
        <v>2</v>
      </c>
      <c r="G174" s="56" t="inlineStr">
        <is>
          <t>2단계 보고서 자료(회사 설명회 자료·공시)</t>
        </is>
      </c>
    </row>
    <row r="175">
      <c r="A175" s="54" t="inlineStr">
        <is>
          <t>2025-05-07</t>
        </is>
      </c>
      <c r="B175" s="58" t="inlineStr">
        <is>
          <t>2025-05-07</t>
        </is>
      </c>
      <c r="C175" s="58" t="inlineStr">
        <is>
          <t>2025-05-08</t>
        </is>
      </c>
      <c r="D175" s="57" t="n">
        <v>7.7</v>
      </c>
    </row>
    <row r="176">
      <c r="A176" s="54" t="inlineStr">
        <is>
          <t>2025-08-01</t>
        </is>
      </c>
      <c r="B176" s="58" t="inlineStr">
        <is>
          <t>2025-08-01</t>
        </is>
      </c>
      <c r="C176" s="58" t="inlineStr">
        <is>
          <t>2025-08-04</t>
        </is>
      </c>
      <c r="D176" s="57" t="n">
        <v>0.7</v>
      </c>
    </row>
    <row r="177">
      <c r="A177" s="54" t="inlineStr">
        <is>
          <t>2025-10-30</t>
        </is>
      </c>
      <c r="B177" s="58" t="inlineStr">
        <is>
          <t>2025-10-30</t>
        </is>
      </c>
      <c r="C177" s="58" t="inlineStr">
        <is>
          <t>2025-10-31</t>
        </is>
      </c>
      <c r="D177" s="57" t="n">
        <v>-21.4</v>
      </c>
    </row>
    <row r="178">
      <c r="A178" s="54" t="inlineStr">
        <is>
          <t>2026-02-10</t>
        </is>
      </c>
      <c r="B178" s="58" t="inlineStr">
        <is>
          <t>2026-02-10</t>
        </is>
      </c>
      <c r="C178" s="58" t="inlineStr">
        <is>
          <t>2026-02-12</t>
        </is>
      </c>
      <c r="D178" s="57" t="n">
        <v>-3.9</v>
      </c>
    </row>
    <row r="179">
      <c r="A179" s="54" t="inlineStr">
        <is>
          <t>2026-05-01</t>
        </is>
      </c>
      <c r="B179" s="58" t="inlineStr">
        <is>
          <t>2026-05-01</t>
        </is>
      </c>
      <c r="C179" s="58" t="inlineStr">
        <is>
          <t>2026-05-07</t>
        </is>
      </c>
      <c r="D179" s="57" t="n">
        <v>19.6</v>
      </c>
    </row>
    <row r="180">
      <c r="A180" s="54" t="inlineStr">
        <is>
          <t>2026-08-04</t>
        </is>
      </c>
      <c r="B180" s="58" t="inlineStr">
        <is>
          <t>2026-08-04</t>
        </is>
      </c>
      <c r="C180" s="58" t="inlineStr">
        <is>
          <t>2026-08-05</t>
        </is>
      </c>
      <c r="D180" s="57" t="n">
        <v>-4.6</v>
      </c>
    </row>
    <row r="182">
      <c r="A182" s="52" t="inlineStr">
        <is>
          <t>deck map</t>
        </is>
      </c>
      <c r="B182" s="52" t="n"/>
      <c r="C182" s="52" t="n"/>
      <c r="D182" s="52" t="n"/>
      <c r="E182" s="52" t="n"/>
      <c r="F182" s="52" t="n"/>
      <c r="G182" s="52" t="n"/>
    </row>
    <row r="183">
      <c r="A183" s="53" t="inlineStr">
        <is>
          <t>항목</t>
        </is>
      </c>
      <c r="B183" s="53" t="inlineStr">
        <is>
          <t>제목</t>
        </is>
      </c>
      <c r="C183" s="53" t="inlineStr">
        <is>
          <t>핵심</t>
        </is>
      </c>
      <c r="D183" s="53" t="inlineStr">
        <is>
          <t>넣은 곳</t>
        </is>
      </c>
      <c r="G183" s="53" t="inlineStr">
        <is>
          <t>출처</t>
        </is>
      </c>
    </row>
    <row r="184">
      <c r="A184" s="54" t="inlineStr">
        <is>
          <t>2</t>
        </is>
      </c>
      <c r="B184" s="58" t="inlineStr">
        <is>
          <t>결산 하이라이트</t>
        </is>
      </c>
      <c r="C184" s="58" t="inlineStr">
        <is>
          <t>수주 5,220억 +36.7%, 잔고 3,280억, MRO 1,073억</t>
        </is>
      </c>
      <c r="D184" s="58" t="inlineStr">
        <is>
          <t>②③</t>
        </is>
      </c>
      <c r="G184" s="56" t="inlineStr">
        <is>
          <t>2단계 보고서 자료(회사 설명회 자료·공시)</t>
        </is>
      </c>
    </row>
    <row r="185">
      <c r="A185" s="54" t="inlineStr">
        <is>
          <t>3</t>
        </is>
      </c>
      <c r="B185" s="58" t="inlineStr">
        <is>
          <t>1~9월 결산 개요</t>
        </is>
      </c>
      <c r="C185" s="58" t="inlineStr">
        <is>
          <t>매출 4,227억, EBITDA 449억, EBIT 169억</t>
        </is>
      </c>
      <c r="D185" s="58" t="inlineStr">
        <is>
          <t>③④, 재무제표</t>
        </is>
      </c>
    </row>
    <row r="186">
      <c r="A186" s="54" t="inlineStr">
        <is>
          <t>4</t>
        </is>
      </c>
      <c r="B186" s="58" t="inlineStr">
        <is>
          <t>분기 실적 추이</t>
        </is>
      </c>
      <c r="C186" s="58" t="inlineStr">
        <is>
          <t>3Q 26.2%·50.5%, 4Q 이익률 8.3% 계획</t>
        </is>
      </c>
      <c r="D186" s="58" t="inlineStr">
        <is>
          <t>①④</t>
        </is>
      </c>
    </row>
    <row r="187">
      <c r="A187" s="54" t="inlineStr">
        <is>
          <t>5</t>
        </is>
      </c>
      <c r="B187" s="58" t="inlineStr">
        <is>
          <t>EBIT 증감 분석</t>
        </is>
      </c>
      <c r="C187" s="58" t="inlineStr">
        <is>
          <t>+152 +50 −80 −30 −28 −10</t>
        </is>
      </c>
      <c r="D187" s="58" t="inlineStr">
        <is>
          <t>P·Q·C</t>
        </is>
      </c>
    </row>
    <row r="188">
      <c r="A188" s="54" t="inlineStr">
        <is>
          <t>6</t>
        </is>
      </c>
      <c r="B188" s="58" t="inlineStr">
        <is>
          <t>현금흐름</t>
        </is>
      </c>
      <c r="C188" s="58" t="inlineStr">
        <is>
          <t>영업 FCF −60·62·216, 연 300억</t>
        </is>
      </c>
      <c r="D188" s="58" t="inlineStr">
        <is>
          <t>⑥</t>
        </is>
      </c>
    </row>
    <row r="189">
      <c r="A189" s="54" t="inlineStr">
        <is>
          <t>7</t>
        </is>
      </c>
      <c r="B189" s="58" t="inlineStr">
        <is>
          <t>재무상태표</t>
        </is>
      </c>
      <c r="C189" s="58" t="inlineStr">
        <is>
          <t>순차입 1,490억, 0.42배, 연말 1,400억</t>
        </is>
      </c>
      <c r="D189" s="58" t="inlineStr">
        <is>
          <t>⑥⑧</t>
        </is>
      </c>
    </row>
    <row r="190">
      <c r="A190" s="54" t="inlineStr">
        <is>
          <t>9</t>
        </is>
      </c>
      <c r="B190" s="58" t="inlineStr">
        <is>
          <t>연결 수주 추이</t>
        </is>
      </c>
      <c r="C190" s="58" t="inlineStr">
        <is>
          <t>3Q 1,868억, 6,500억 이상, 지역 비중</t>
        </is>
      </c>
      <c r="D190" s="58" t="inlineStr">
        <is>
          <t>②③, 지역 표</t>
        </is>
      </c>
    </row>
    <row r="191">
      <c r="A191" s="54" t="inlineStr">
        <is>
          <t>10</t>
        </is>
      </c>
      <c r="B191" s="58" t="inlineStr">
        <is>
          <t>업종·규모별 수주</t>
        </is>
      </c>
      <c r="C191" s="58" t="inlineStr">
        <is>
          <t>숫자 미표기</t>
        </is>
      </c>
      <c r="D191" s="58" t="inlineStr">
        <is>
          <t>②</t>
        </is>
      </c>
    </row>
    <row r="192">
      <c r="A192" s="54" t="inlineStr">
        <is>
          <t>11</t>
        </is>
      </c>
      <c r="B192" s="58" t="inlineStr">
        <is>
          <t>연간 예상·2027 계획</t>
        </is>
      </c>
      <c r="C192" s="58" t="inlineStr">
        <is>
          <t>6,300억·510억·110엔, 진척률</t>
        </is>
      </c>
      <c r="D192" s="58" t="inlineStr">
        <is>
          <t>④⑤</t>
        </is>
      </c>
    </row>
    <row r="193">
      <c r="A193" s="54" t="inlineStr">
        <is>
          <t>12</t>
        </is>
      </c>
      <c r="B193" s="58" t="inlineStr">
        <is>
          <t>증자 480억 사용처</t>
        </is>
      </c>
      <c r="C193" s="58" t="inlineStr">
        <is>
          <t>150·140·60·30·100억</t>
        </is>
      </c>
      <c r="D193" s="58" t="inlineStr">
        <is>
          <t>⑦</t>
        </is>
      </c>
    </row>
    <row r="194">
      <c r="A194" s="54" t="inlineStr">
        <is>
          <t>13</t>
        </is>
      </c>
      <c r="B194" s="58" t="inlineStr">
        <is>
          <t>지배 계약 소송 종결</t>
        </is>
      </c>
      <c r="C194" s="58" t="inlineStr">
        <is>
          <t>37.35유로, 1.28유로, 618억, 9.2%</t>
        </is>
      </c>
      <c r="D194" s="58" t="inlineStr">
        <is>
          <t>⑧</t>
        </is>
      </c>
    </row>
    <row r="195">
      <c r="A195" s="54" t="inlineStr">
        <is>
          <t>15</t>
        </is>
      </c>
      <c r="B195" s="58" t="inlineStr">
        <is>
          <t>AMB·유럽 본사</t>
        </is>
      </c>
      <c r="C195" s="58" t="inlineStr">
        <is>
          <t>9/15~19, 뮌헨 2027</t>
        </is>
      </c>
      <c r="D195" s="58" t="inlineStr">
        <is>
          <t>⑨</t>
        </is>
      </c>
    </row>
    <row r="196">
      <c r="A196" s="54" t="inlineStr">
        <is>
          <t>16</t>
        </is>
      </c>
      <c r="B196" s="58" t="inlineStr">
        <is>
          <t>AMB 기술</t>
        </is>
      </c>
      <c r="C196" s="58" t="inlineStr">
        <is>
          <t>DMV 160, probeSET, Parts Shop</t>
        </is>
      </c>
      <c r="D196" s="58" t="inlineStr">
        <is>
          <t>⑨</t>
        </is>
      </c>
    </row>
    <row r="197">
      <c r="A197" s="54" t="inlineStr">
        <is>
          <t>17</t>
        </is>
      </c>
      <c r="B197" s="58" t="inlineStr">
        <is>
          <t>시카고 이노베이션 데이즈</t>
        </is>
      </c>
      <c r="C197" s="58" t="inlineStr">
        <is>
          <t>734사 +4.9%, 신규 230건 +78.3%</t>
        </is>
      </c>
      <c r="D197" s="58" t="inlineStr">
        <is>
          <t>⑨</t>
        </is>
      </c>
    </row>
    <row r="198">
      <c r="A198" s="54" t="inlineStr">
        <is>
          <t>18</t>
        </is>
      </c>
      <c r="B198" s="58" t="inlineStr">
        <is>
          <t>JIMTOF</t>
        </is>
      </c>
      <c r="C198" s="58" t="inlineStr">
        <is>
          <t>10/26~31</t>
        </is>
      </c>
      <c r="D198" s="58" t="inlineStr">
        <is>
          <t>⑨</t>
        </is>
      </c>
    </row>
    <row r="199">
      <c r="A199" s="54" t="inlineStr">
        <is>
          <t>19</t>
        </is>
      </c>
      <c r="B199" s="58" t="inlineStr">
        <is>
          <t>GX Flex</t>
        </is>
      </c>
      <c r="C199" s="58" t="inlineStr">
        <is>
          <t>공중 반송 로봇</t>
        </is>
      </c>
      <c r="D199" s="58" t="inlineStr">
        <is>
          <t>⑨</t>
        </is>
      </c>
    </row>
    <row r="200">
      <c r="A200" s="54" t="inlineStr">
        <is>
          <t>20</t>
        </is>
      </c>
      <c r="B200" s="58" t="inlineStr">
        <is>
          <t>PBN 200|1250</t>
        </is>
      </c>
      <c r="C200" s="58" t="inlineStr">
        <is>
          <t>새 고속 주축</t>
        </is>
      </c>
      <c r="D200" s="58" t="inlineStr">
        <is>
          <t>⑨</t>
        </is>
      </c>
    </row>
    <row r="201">
      <c r="A201" s="54" t="inlineStr">
        <is>
          <t>21</t>
        </is>
      </c>
      <c r="B201" s="58" t="inlineStr">
        <is>
          <t>절삭 경진대회</t>
        </is>
      </c>
      <c r="C201" s="58" t="inlineStr">
        <is>
          <t>45사 63점</t>
        </is>
      </c>
      <c r="D201" s="58" t="inlineStr">
        <is>
          <t>⑨</t>
        </is>
      </c>
    </row>
    <row r="202">
      <c r="A202" s="54" t="inlineStr">
        <is>
          <t>1·8·14</t>
        </is>
      </c>
      <c r="B202" s="58" t="inlineStr">
        <is>
          <t>목차</t>
        </is>
      </c>
      <c r="C202" s="58" t="inlineStr">
        <is>
          <t>-</t>
        </is>
      </c>
      <c r="D202" s="58" t="n"/>
    </row>
    <row r="203">
      <c r="A203" s="54" t="inlineStr">
        <is>
          <t>22</t>
        </is>
      </c>
      <c r="B203" s="58" t="inlineStr">
        <is>
          <t>면책</t>
        </is>
      </c>
      <c r="C203" s="58" t="inlineStr">
        <is>
          <t>-</t>
        </is>
      </c>
      <c r="D203" s="5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9" t="inlineStr">
        <is>
          <t>공시일</t>
        </is>
      </c>
      <c r="B3" s="59" t="inlineStr">
        <is>
          <t>문서</t>
        </is>
      </c>
      <c r="C3" s="59" t="inlineStr">
        <is>
          <t>PDF</t>
        </is>
      </c>
    </row>
    <row r="4">
      <c r="A4" t="inlineStr">
        <is>
          <t>2026-10-30</t>
        </is>
      </c>
      <c r="B4" t="inlineStr">
        <is>
          <t>2026년 12월 결산기 ３분기 결산단신</t>
        </is>
      </c>
      <c r="C4" t="inlineStr">
        <is>
          <t>https://www2.jpx.co.jp/disc/61410/140120261030560747.pdf</t>
        </is>
      </c>
    </row>
    <row r="5">
      <c r="A5" t="inlineStr">
        <is>
          <t>2026-08-04</t>
        </is>
      </c>
      <c r="B5" t="inlineStr">
        <is>
          <t>2026년 12월 결산기 ２분기 결산단신</t>
        </is>
      </c>
      <c r="C5" t="inlineStr">
        <is>
          <t>https://www2.jpx.co.jp/disc/61410/140120260804508150.pdf</t>
        </is>
      </c>
    </row>
    <row r="6">
      <c r="A6" t="inlineStr">
        <is>
          <t>2026-05-01</t>
        </is>
      </c>
      <c r="B6" t="inlineStr">
        <is>
          <t>2026년 12월 결산기 １분기 결산단신</t>
        </is>
      </c>
      <c r="C6" t="inlineStr">
        <is>
          <t>https://www2.jpx.co.jp/disc/61410/140120260501516505.pdf</t>
        </is>
      </c>
    </row>
    <row r="7">
      <c r="A7" t="inlineStr">
        <is>
          <t>2026-02-10</t>
        </is>
      </c>
      <c r="B7" t="inlineStr">
        <is>
          <t>2025년 12월 결산기 연간 결산단신</t>
        </is>
      </c>
      <c r="C7" t="inlineStr">
        <is>
          <t>https://www2.jpx.co.jp/disc/61410/140120260210553729.pdf</t>
        </is>
      </c>
    </row>
    <row r="8">
      <c r="A8" t="inlineStr">
        <is>
          <t>2025-10-30</t>
        </is>
      </c>
      <c r="B8" t="inlineStr">
        <is>
          <t>2025년 12월 결산기 ３분기 결산단신</t>
        </is>
      </c>
      <c r="C8" t="inlineStr">
        <is>
          <t>https://www2.jpx.co.jp/disc/61410/140120251030582374.pdf</t>
        </is>
      </c>
    </row>
    <row r="9">
      <c r="A9" t="inlineStr">
        <is>
          <t>2025-08-01</t>
        </is>
      </c>
      <c r="B9" t="inlineStr">
        <is>
          <t>2025년 12월 결산기 ２분기 결산단신</t>
        </is>
      </c>
      <c r="C9" t="inlineStr">
        <is>
          <t>https://www2.jpx.co.jp/disc/61410/140120250731526120.pdf</t>
        </is>
      </c>
    </row>
    <row r="10">
      <c r="A10" t="inlineStr">
        <is>
          <t>2025-05-07</t>
        </is>
      </c>
      <c r="B10" t="inlineStr">
        <is>
          <t>2025년 12월 결산기 １분기 결산단신</t>
        </is>
      </c>
      <c r="C10" t="inlineStr">
        <is>
          <t>https://www2.jpx.co.jp/disc/61410/140120250507531988.pdf</t>
        </is>
      </c>
    </row>
    <row r="11">
      <c r="A11" t="inlineStr">
        <is>
          <t>2025-02-05</t>
        </is>
      </c>
      <c r="B11" t="inlineStr">
        <is>
          <t>2024년 12월 결산기 연간 결산단신</t>
        </is>
      </c>
      <c r="C11" t="inlineStr">
        <is>
          <t>https://www2.jpx.co.jp/disc/61410/140120250205563677.pdf</t>
        </is>
      </c>
    </row>
    <row r="12">
      <c r="A12" t="inlineStr">
        <is>
          <t>2024-11-01</t>
        </is>
      </c>
      <c r="B12" t="inlineStr">
        <is>
          <t>2024년 12월 결산기 ３분기 결산단신</t>
        </is>
      </c>
      <c r="C12" t="inlineStr">
        <is>
          <t>https://www2.jpx.co.jp/disc/61410/140120241101509819.pdf</t>
        </is>
      </c>
    </row>
    <row r="13">
      <c r="A13" t="inlineStr">
        <is>
          <t>2024-07-31</t>
        </is>
      </c>
      <c r="B13" t="inlineStr">
        <is>
          <t>2024년 12월 결산기 ２분기 결산단신</t>
        </is>
      </c>
      <c r="C13" t="inlineStr">
        <is>
          <t>https://www2.jpx.co.jp/disc/61410/140120240731559310.pdf</t>
        </is>
      </c>
    </row>
    <row r="14">
      <c r="A14" t="inlineStr">
        <is>
          <t>2024-04-26</t>
        </is>
      </c>
      <c r="B14" t="inlineStr">
        <is>
          <t>2024년 12월 결산기 １분기 결산단신</t>
        </is>
      </c>
      <c r="C14" t="inlineStr">
        <is>
          <t>https://www2.jpx.co.jp/disc/61410/140120240425577495.pdf</t>
        </is>
      </c>
    </row>
    <row r="15">
      <c r="A15" t="inlineStr">
        <is>
          <t>2024-02-05</t>
        </is>
      </c>
      <c r="B15" t="inlineStr">
        <is>
          <t>2023년 12월 결산기 연간 결산단신</t>
        </is>
      </c>
      <c r="C15" t="inlineStr">
        <is>
          <t>https://www2.jpx.co.jp/disc/61410/140120240205526502.pdf</t>
        </is>
      </c>
    </row>
    <row r="16">
      <c r="A16" t="inlineStr">
        <is>
          <t>2023-10-25</t>
        </is>
      </c>
      <c r="B16" t="inlineStr">
        <is>
          <t>2023년 12월 결산기 ３분기 결산단신</t>
        </is>
      </c>
      <c r="C16" t="inlineStr">
        <is>
          <t>https://www2.jpx.co.jp/disc/61410/140120231025571349.pdf</t>
        </is>
      </c>
    </row>
    <row r="17">
      <c r="A17" t="inlineStr">
        <is>
          <t>2023-08-03</t>
        </is>
      </c>
      <c r="B17" t="inlineStr">
        <is>
          <t>2023년 12월 결산기 ２분기 결산단신</t>
        </is>
      </c>
      <c r="C17" t="inlineStr">
        <is>
          <t>https://www2.jpx.co.jp/disc/61410/140120230803533390.pdf</t>
        </is>
      </c>
    </row>
    <row r="18">
      <c r="A18" t="inlineStr">
        <is>
          <t>2023-05-10</t>
        </is>
      </c>
      <c r="B18" t="inlineStr">
        <is>
          <t>2023년 12월 결산기 １분기 결산단신</t>
        </is>
      </c>
      <c r="C18" t="inlineStr">
        <is>
          <t>https://www2.jpx.co.jp/disc/61410/140120230510563374.pdf</t>
        </is>
      </c>
    </row>
    <row r="19">
      <c r="A19" t="inlineStr">
        <is>
          <t>2023-02-08</t>
        </is>
      </c>
      <c r="B19" t="inlineStr">
        <is>
          <t>2022년 12월 결산기 연간 결산단신</t>
        </is>
      </c>
      <c r="C19" t="inlineStr">
        <is>
          <t>https://www2.jpx.co.jp/disc/61410/140120230208503005.pdf</t>
        </is>
      </c>
    </row>
    <row r="20">
      <c r="A20" t="inlineStr">
        <is>
          <t>2022-02-10</t>
        </is>
      </c>
      <c r="B20" t="inlineStr">
        <is>
          <t>2021년 12월 결산기 연간 결산단신</t>
        </is>
      </c>
      <c r="C20" t="inlineStr">
        <is>
          <t>https://www2.jpx.co.jp/disc/61410/140120220210586003.pdf</t>
        </is>
      </c>
    </row>
    <row r="21">
      <c r="A21" t="inlineStr">
        <is>
          <t>2021-02-12</t>
        </is>
      </c>
      <c r="B21" t="inlineStr">
        <is>
          <t>2020년 12월 결산기 연간 결산단신</t>
        </is>
      </c>
      <c r="C21" t="inlineStr">
        <is>
          <t>https://www2.jpx.co.jp/disc/61410/140120210212462335.pdf</t>
        </is>
      </c>
    </row>
    <row r="22">
      <c r="A22" t="inlineStr">
        <is>
          <t>2020-02-14</t>
        </is>
      </c>
      <c r="B22" t="inlineStr">
        <is>
          <t>2019년 12월 결산기 연간 결산단신</t>
        </is>
      </c>
      <c r="C22" t="inlineStr">
        <is>
          <t>https://www2.jpx.co.jp/disc/61410/140120200213463799.pdf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7.5" customWidth="1" min="36" max="36"/>
    <col width="7.5" customWidth="1" min="37" max="37"/>
    <col width="7.5" customWidth="1" min="38" max="38"/>
    <col width="7.5" customWidth="1" min="39" max="39"/>
    <col width="7.5" customWidth="1" min="40" max="40"/>
    <col width="7.5" customWidth="1" min="41" max="41"/>
  </cols>
  <sheetData>
    <row r="1">
      <c r="A1" s="60" t="inlineStr">
        <is>
          <t>6141 재무제표 한눈에 보기 — 최근 40개 분기(달력 분기, 3Q26 = 26.7~9) · 단위 억 엔</t>
        </is>
      </c>
    </row>
    <row r="2">
      <c r="A2" s="61" t="inlineStr">
        <is>
          <t>출처: 매출·영업이익 결산단신 XBRL · 재무상태표 등 결산단신 XBRL 28건(2020-02-14~2026-10-30). 부문·지역·수주·수출은 있을 때만(출처는 줄 끝). 총 차입금 = 이자 붙는 부채 전부(단기·장기 차입금, CP, 사채·전환사채, 리스부채)</t>
        </is>
      </c>
    </row>
    <row r="4">
      <c r="A4" s="62" t="inlineStr">
        <is>
          <t>항목</t>
        </is>
      </c>
      <c r="B4" s="63" t="inlineStr">
        <is>
          <t>4Q16</t>
        </is>
      </c>
      <c r="C4" s="63" t="inlineStr">
        <is>
          <t>1Q17</t>
        </is>
      </c>
      <c r="D4" s="63" t="inlineStr">
        <is>
          <t>2Q17</t>
        </is>
      </c>
      <c r="E4" s="63" t="inlineStr">
        <is>
          <t>3Q17</t>
        </is>
      </c>
      <c r="F4" s="63" t="inlineStr">
        <is>
          <t>4Q17</t>
        </is>
      </c>
      <c r="G4" s="63" t="inlineStr">
        <is>
          <t>1Q18</t>
        </is>
      </c>
      <c r="H4" s="63" t="inlineStr">
        <is>
          <t>2Q18</t>
        </is>
      </c>
      <c r="I4" s="63" t="inlineStr">
        <is>
          <t>3Q18</t>
        </is>
      </c>
      <c r="J4" s="63" t="inlineStr">
        <is>
          <t>4Q18</t>
        </is>
      </c>
      <c r="K4" s="63" t="inlineStr">
        <is>
          <t>1Q19</t>
        </is>
      </c>
      <c r="L4" s="63" t="inlineStr">
        <is>
          <t>2Q19</t>
        </is>
      </c>
      <c r="M4" s="63" t="inlineStr">
        <is>
          <t>3Q19</t>
        </is>
      </c>
      <c r="N4" s="63" t="inlineStr">
        <is>
          <t>4Q19</t>
        </is>
      </c>
      <c r="O4" s="63" t="inlineStr">
        <is>
          <t>1Q20</t>
        </is>
      </c>
      <c r="P4" s="63" t="inlineStr">
        <is>
          <t>2Q20</t>
        </is>
      </c>
      <c r="Q4" s="63" t="inlineStr">
        <is>
          <t>3Q20</t>
        </is>
      </c>
      <c r="R4" s="63" t="inlineStr">
        <is>
          <t>4Q20</t>
        </is>
      </c>
      <c r="S4" s="63" t="inlineStr">
        <is>
          <t>1Q21</t>
        </is>
      </c>
      <c r="T4" s="63" t="inlineStr">
        <is>
          <t>2Q21</t>
        </is>
      </c>
      <c r="U4" s="63" t="inlineStr">
        <is>
          <t>3Q21</t>
        </is>
      </c>
      <c r="V4" s="63" t="inlineStr">
        <is>
          <t>4Q21</t>
        </is>
      </c>
      <c r="W4" s="63" t="inlineStr">
        <is>
          <t>1Q22</t>
        </is>
      </c>
      <c r="X4" s="63" t="inlineStr">
        <is>
          <t>2Q22</t>
        </is>
      </c>
      <c r="Y4" s="63" t="inlineStr">
        <is>
          <t>3Q22</t>
        </is>
      </c>
      <c r="Z4" s="63" t="inlineStr">
        <is>
          <t>4Q22</t>
        </is>
      </c>
      <c r="AA4" s="63" t="inlineStr">
        <is>
          <t>1Q23</t>
        </is>
      </c>
      <c r="AB4" s="63" t="inlineStr">
        <is>
          <t>2Q23</t>
        </is>
      </c>
      <c r="AC4" s="63" t="inlineStr">
        <is>
          <t>3Q23</t>
        </is>
      </c>
      <c r="AD4" s="63" t="inlineStr">
        <is>
          <t>4Q23</t>
        </is>
      </c>
      <c r="AE4" s="63" t="inlineStr">
        <is>
          <t>1Q24</t>
        </is>
      </c>
      <c r="AF4" s="63" t="inlineStr">
        <is>
          <t>2Q24</t>
        </is>
      </c>
      <c r="AG4" s="63" t="inlineStr">
        <is>
          <t>3Q24</t>
        </is>
      </c>
      <c r="AH4" s="63" t="inlineStr">
        <is>
          <t>4Q24</t>
        </is>
      </c>
      <c r="AI4" s="63" t="inlineStr">
        <is>
          <t>1Q25</t>
        </is>
      </c>
      <c r="AJ4" s="63" t="inlineStr">
        <is>
          <t>2Q25</t>
        </is>
      </c>
      <c r="AK4" s="63" t="inlineStr">
        <is>
          <t>3Q25</t>
        </is>
      </c>
      <c r="AL4" s="63" t="inlineStr">
        <is>
          <t>4Q25</t>
        </is>
      </c>
      <c r="AM4" s="63" t="inlineStr">
        <is>
          <t>1Q26</t>
        </is>
      </c>
      <c r="AN4" s="63" t="inlineStr">
        <is>
          <t>2Q26</t>
        </is>
      </c>
      <c r="AO4" s="63" t="inlineStr">
        <is>
          <t>3Q26</t>
        </is>
      </c>
      <c r="AP4" s="62" t="inlineStr">
        <is>
          <t>출처</t>
        </is>
      </c>
    </row>
    <row r="5">
      <c r="A5" s="64" t="inlineStr">
        <is>
          <t>매출액</t>
        </is>
      </c>
      <c r="B5" s="65" t="n"/>
      <c r="C5" s="65" t="n"/>
      <c r="D5" s="65" t="n"/>
      <c r="E5" s="65" t="n"/>
      <c r="F5" s="65" t="n"/>
      <c r="G5" s="65" t="n"/>
      <c r="H5" s="65" t="n"/>
      <c r="I5" s="65" t="n"/>
      <c r="J5" s="65" t="n"/>
      <c r="K5" s="65" t="n">
        <v>1205.9</v>
      </c>
      <c r="L5" s="65" t="n">
        <v>1180.6</v>
      </c>
      <c r="M5" s="65" t="n">
        <v>1107</v>
      </c>
      <c r="N5" s="65" t="n">
        <v>1364.4</v>
      </c>
      <c r="O5" s="65" t="n">
        <v>872.5</v>
      </c>
      <c r="P5" s="65" t="n">
        <v>670.9</v>
      </c>
      <c r="Q5" s="65" t="n">
        <v>800.2</v>
      </c>
      <c r="R5" s="65" t="n">
        <v>939.2</v>
      </c>
      <c r="S5" s="65" t="n">
        <v>811.2</v>
      </c>
      <c r="T5" s="65" t="n">
        <v>971.2</v>
      </c>
      <c r="U5" s="65" t="n">
        <v>960.2</v>
      </c>
      <c r="V5" s="65" t="n">
        <v>1217.4</v>
      </c>
      <c r="W5" s="65" t="n">
        <v>1072.6</v>
      </c>
      <c r="X5" s="65" t="n">
        <v>1109.5</v>
      </c>
      <c r="Y5" s="65" t="n">
        <v>1148.2</v>
      </c>
      <c r="Z5" s="65" t="n">
        <v>1417.4</v>
      </c>
      <c r="AA5" s="65" t="n">
        <v>1232.2</v>
      </c>
      <c r="AB5" s="65" t="n">
        <v>1263.1</v>
      </c>
      <c r="AC5" s="65" t="n">
        <v>1306.2</v>
      </c>
      <c r="AD5" s="65" t="n">
        <v>1592.9</v>
      </c>
      <c r="AE5" s="65" t="n">
        <v>1328.5</v>
      </c>
      <c r="AF5" s="65" t="n">
        <v>1308.7</v>
      </c>
      <c r="AG5" s="65" t="n">
        <v>1242.4</v>
      </c>
      <c r="AH5" s="65" t="n">
        <v>1529.8</v>
      </c>
      <c r="AI5" s="65" t="n">
        <v>1140.1</v>
      </c>
      <c r="AJ5" s="65" t="n">
        <v>1134.8</v>
      </c>
      <c r="AK5" s="65" t="n">
        <v>1156.4</v>
      </c>
      <c r="AL5" s="65" t="n">
        <v>1718.5</v>
      </c>
      <c r="AM5" s="65" t="n">
        <v>1355.3</v>
      </c>
      <c r="AN5" s="65" t="n">
        <v>1412</v>
      </c>
      <c r="AO5" s="65" t="n">
        <v>1459.8</v>
      </c>
    </row>
    <row r="6">
      <c r="A6" s="64" t="inlineStr">
        <is>
          <t>매출액 YoY</t>
        </is>
      </c>
      <c r="B6" s="66" t="n"/>
      <c r="C6" s="66" t="n"/>
      <c r="D6" s="66" t="n"/>
      <c r="E6" s="66" t="n"/>
      <c r="F6" s="66" t="n"/>
      <c r="G6" s="66" t="n"/>
      <c r="H6" s="66" t="n"/>
      <c r="I6" s="66" t="n"/>
      <c r="J6" s="66" t="n"/>
      <c r="K6" s="66" t="n"/>
      <c r="L6" s="66" t="n"/>
      <c r="M6" s="66" t="n"/>
      <c r="N6" s="66" t="n"/>
      <c r="O6" s="66" t="n">
        <v>-27.6</v>
      </c>
      <c r="P6" s="66" t="n">
        <v>-43.2</v>
      </c>
      <c r="Q6" s="66" t="n">
        <v>-27.7</v>
      </c>
      <c r="R6" s="66" t="n">
        <v>-31.2</v>
      </c>
      <c r="S6" s="66" t="n">
        <v>-7</v>
      </c>
      <c r="T6" s="66" t="n">
        <v>44.8</v>
      </c>
      <c r="U6" s="66" t="n">
        <v>20</v>
      </c>
      <c r="V6" s="66" t="n">
        <v>29.6</v>
      </c>
      <c r="W6" s="66" t="n">
        <v>32.2</v>
      </c>
      <c r="X6" s="66" t="n">
        <v>14.2</v>
      </c>
      <c r="Y6" s="66" t="n">
        <v>19.6</v>
      </c>
      <c r="Z6" s="66" t="n">
        <v>16.4</v>
      </c>
      <c r="AA6" s="66" t="n">
        <v>14.9</v>
      </c>
      <c r="AB6" s="66" t="n">
        <v>13.8</v>
      </c>
      <c r="AC6" s="66" t="n">
        <v>13.8</v>
      </c>
      <c r="AD6" s="66" t="n">
        <v>12.4</v>
      </c>
      <c r="AE6" s="66" t="n">
        <v>7.8</v>
      </c>
      <c r="AF6" s="66" t="n">
        <v>3.6</v>
      </c>
      <c r="AG6" s="66" t="n">
        <v>-4.9</v>
      </c>
      <c r="AH6" s="66" t="n">
        <v>-4</v>
      </c>
      <c r="AI6" s="66" t="n">
        <v>-14.2</v>
      </c>
      <c r="AJ6" s="66" t="n">
        <v>-13.3</v>
      </c>
      <c r="AK6" s="66" t="n">
        <v>-6.9</v>
      </c>
      <c r="AL6" s="66" t="n">
        <v>12.3</v>
      </c>
      <c r="AM6" s="66" t="n">
        <v>18.9</v>
      </c>
      <c r="AN6" s="66" t="n">
        <v>24.4</v>
      </c>
      <c r="AO6" s="66" t="n">
        <v>26.2</v>
      </c>
    </row>
    <row r="7">
      <c r="A7" s="64" t="inlineStr">
        <is>
          <t>영업이익</t>
        </is>
      </c>
      <c r="B7" s="65" t="n"/>
      <c r="C7" s="65" t="n"/>
      <c r="D7" s="65" t="n"/>
      <c r="E7" s="65" t="n"/>
      <c r="F7" s="65" t="n"/>
      <c r="G7" s="65" t="n"/>
      <c r="H7" s="65" t="n"/>
      <c r="I7" s="65" t="n"/>
      <c r="J7" s="65" t="n"/>
      <c r="K7" s="65" t="n">
        <v>104.2</v>
      </c>
      <c r="L7" s="65" t="n">
        <v>96</v>
      </c>
      <c r="M7" s="65" t="n">
        <v>85.5</v>
      </c>
      <c r="N7" s="65" t="n">
        <v>87.7</v>
      </c>
      <c r="O7" s="65" t="n">
        <v>32.7</v>
      </c>
      <c r="P7" s="65" t="n">
        <v>-8.4</v>
      </c>
      <c r="Q7" s="65" t="n">
        <v>38.1</v>
      </c>
      <c r="R7" s="65" t="n">
        <v>44.4</v>
      </c>
      <c r="S7" s="65" t="n">
        <v>39.9</v>
      </c>
      <c r="T7" s="65" t="n">
        <v>62.2</v>
      </c>
      <c r="U7" s="65" t="n">
        <v>65.2</v>
      </c>
      <c r="V7" s="65" t="n">
        <v>63.3</v>
      </c>
      <c r="W7" s="65" t="n">
        <v>94.5</v>
      </c>
      <c r="X7" s="65" t="n">
        <v>82.40000000000001</v>
      </c>
      <c r="Y7" s="65" t="n">
        <v>90.7</v>
      </c>
      <c r="Z7" s="65" t="n">
        <v>144.6</v>
      </c>
      <c r="AA7" s="65" t="n">
        <v>97.2</v>
      </c>
      <c r="AB7" s="65" t="n">
        <v>128.7</v>
      </c>
      <c r="AC7" s="65" t="n">
        <v>130.9</v>
      </c>
      <c r="AD7" s="65" t="n">
        <v>196.8</v>
      </c>
      <c r="AE7" s="65" t="n">
        <v>125</v>
      </c>
      <c r="AF7" s="65" t="n">
        <v>116.3</v>
      </c>
      <c r="AG7" s="65" t="n">
        <v>58.4</v>
      </c>
      <c r="AH7" s="65" t="n">
        <v>137.7</v>
      </c>
      <c r="AI7" s="65" t="n">
        <v>18.2</v>
      </c>
      <c r="AJ7" s="65" t="n">
        <v>46.9</v>
      </c>
      <c r="AK7" s="65" t="n">
        <v>50.3</v>
      </c>
      <c r="AL7" s="65" t="n">
        <v>74.40000000000001</v>
      </c>
      <c r="AM7" s="65" t="n">
        <v>34.2</v>
      </c>
      <c r="AN7" s="65" t="n">
        <v>58.9</v>
      </c>
      <c r="AO7" s="65" t="n">
        <v>75.7</v>
      </c>
    </row>
    <row r="8">
      <c r="A8" s="64" t="inlineStr">
        <is>
          <t>영업이익률</t>
        </is>
      </c>
      <c r="B8" s="66" t="n"/>
      <c r="C8" s="66" t="n"/>
      <c r="D8" s="66" t="n"/>
      <c r="E8" s="66" t="n"/>
      <c r="F8" s="66" t="n"/>
      <c r="G8" s="66" t="n"/>
      <c r="H8" s="66" t="n"/>
      <c r="I8" s="66" t="n"/>
      <c r="J8" s="66" t="n"/>
      <c r="K8" s="66" t="n">
        <v>8.6</v>
      </c>
      <c r="L8" s="66" t="n">
        <v>8.1</v>
      </c>
      <c r="M8" s="66" t="n">
        <v>7.7</v>
      </c>
      <c r="N8" s="66" t="n">
        <v>6.4</v>
      </c>
      <c r="O8" s="66" t="n">
        <v>3.7</v>
      </c>
      <c r="P8" s="66" t="n">
        <v>-1.3</v>
      </c>
      <c r="Q8" s="66" t="n">
        <v>4.8</v>
      </c>
      <c r="R8" s="66" t="n">
        <v>4.7</v>
      </c>
      <c r="S8" s="66" t="n">
        <v>4.9</v>
      </c>
      <c r="T8" s="66" t="n">
        <v>6.4</v>
      </c>
      <c r="U8" s="66" t="n">
        <v>6.8</v>
      </c>
      <c r="V8" s="66" t="n">
        <v>5.2</v>
      </c>
      <c r="W8" s="66" t="n">
        <v>8.800000000000001</v>
      </c>
      <c r="X8" s="66" t="n">
        <v>7.4</v>
      </c>
      <c r="Y8" s="66" t="n">
        <v>7.9</v>
      </c>
      <c r="Z8" s="66" t="n">
        <v>10.2</v>
      </c>
      <c r="AA8" s="66" t="n">
        <v>7.9</v>
      </c>
      <c r="AB8" s="66" t="n">
        <v>10.2</v>
      </c>
      <c r="AC8" s="66" t="n">
        <v>10</v>
      </c>
      <c r="AD8" s="66" t="n">
        <v>12.4</v>
      </c>
      <c r="AE8" s="66" t="n">
        <v>9.4</v>
      </c>
      <c r="AF8" s="66" t="n">
        <v>8.9</v>
      </c>
      <c r="AG8" s="66" t="n">
        <v>4.7</v>
      </c>
      <c r="AH8" s="66" t="n">
        <v>9</v>
      </c>
      <c r="AI8" s="66" t="n">
        <v>1.6</v>
      </c>
      <c r="AJ8" s="66" t="n">
        <v>4.1</v>
      </c>
      <c r="AK8" s="66" t="n">
        <v>4.3</v>
      </c>
      <c r="AL8" s="66" t="n">
        <v>4.3</v>
      </c>
      <c r="AM8" s="66" t="n">
        <v>2.5</v>
      </c>
      <c r="AN8" s="66" t="n">
        <v>4.2</v>
      </c>
      <c r="AO8" s="66" t="n">
        <v>5.2</v>
      </c>
    </row>
    <row r="9">
      <c r="A9" s="64" t="inlineStr">
        <is>
          <t>영업이익 YoY</t>
        </is>
      </c>
      <c r="B9" s="66" t="n"/>
      <c r="C9" s="66" t="n"/>
      <c r="D9" s="66" t="n"/>
      <c r="E9" s="66" t="n"/>
      <c r="F9" s="66" t="n"/>
      <c r="G9" s="66" t="n"/>
      <c r="H9" s="66" t="n"/>
      <c r="I9" s="66" t="n"/>
      <c r="J9" s="66" t="n"/>
      <c r="K9" s="66" t="n"/>
      <c r="L9" s="66" t="n"/>
      <c r="M9" s="66" t="n"/>
      <c r="N9" s="66" t="n"/>
      <c r="O9" s="66" t="n">
        <v>-68.59999999999999</v>
      </c>
      <c r="P9" s="66" t="n">
        <v>-108.7</v>
      </c>
      <c r="Q9" s="66" t="n">
        <v>-55.4</v>
      </c>
      <c r="R9" s="66" t="n">
        <v>-49.4</v>
      </c>
      <c r="S9" s="66" t="n">
        <v>22</v>
      </c>
      <c r="T9" s="66" t="n"/>
      <c r="U9" s="66" t="n">
        <v>71.09999999999999</v>
      </c>
      <c r="V9" s="66" t="n">
        <v>42.6</v>
      </c>
      <c r="W9" s="66" t="n">
        <v>136.8</v>
      </c>
      <c r="X9" s="66" t="n">
        <v>32.5</v>
      </c>
      <c r="Y9" s="66" t="n">
        <v>39.1</v>
      </c>
      <c r="Z9" s="66" t="n">
        <v>128.4</v>
      </c>
      <c r="AA9" s="66" t="n">
        <v>2.9</v>
      </c>
      <c r="AB9" s="66" t="n">
        <v>56.2</v>
      </c>
      <c r="AC9" s="66" t="n">
        <v>44.3</v>
      </c>
      <c r="AD9" s="66" t="n">
        <v>36.1</v>
      </c>
      <c r="AE9" s="66" t="n">
        <v>28.6</v>
      </c>
      <c r="AF9" s="66" t="n">
        <v>-9.6</v>
      </c>
      <c r="AG9" s="66" t="n">
        <v>-55.4</v>
      </c>
      <c r="AH9" s="66" t="n">
        <v>-30</v>
      </c>
      <c r="AI9" s="66" t="n">
        <v>-85.40000000000001</v>
      </c>
      <c r="AJ9" s="66" t="n">
        <v>-59.7</v>
      </c>
      <c r="AK9" s="66" t="n">
        <v>-13.9</v>
      </c>
      <c r="AL9" s="66" t="n">
        <v>-46</v>
      </c>
      <c r="AM9" s="66" t="n">
        <v>87.90000000000001</v>
      </c>
      <c r="AN9" s="66" t="n">
        <v>25.6</v>
      </c>
      <c r="AO9" s="66" t="n">
        <v>50.5</v>
      </c>
    </row>
    <row r="10">
      <c r="A10" s="64" t="inlineStr">
        <is>
          <t>유동자산</t>
        </is>
      </c>
      <c r="B10" s="65" t="n"/>
      <c r="C10" s="65" t="n"/>
      <c r="D10" s="65" t="n"/>
      <c r="E10" s="65" t="n"/>
      <c r="F10" s="65" t="n"/>
      <c r="G10" s="65" t="n"/>
      <c r="H10" s="65" t="n"/>
      <c r="I10" s="65" t="n"/>
      <c r="J10" s="65" t="n">
        <v>2440.3</v>
      </c>
      <c r="K10" s="65" t="n"/>
      <c r="L10" s="65" t="n"/>
      <c r="M10" s="65" t="n"/>
      <c r="N10" s="65" t="n">
        <v>2184.1</v>
      </c>
      <c r="O10" s="65" t="n">
        <v>2086.6</v>
      </c>
      <c r="P10" s="65" t="n">
        <v>2008.5</v>
      </c>
      <c r="Q10" s="65" t="n">
        <v>2146.5</v>
      </c>
      <c r="R10" s="65" t="n">
        <v>2095.6</v>
      </c>
      <c r="S10" s="65" t="n">
        <v>2216.8</v>
      </c>
      <c r="T10" s="65" t="n">
        <v>2378</v>
      </c>
      <c r="U10" s="65" t="n">
        <v>2583</v>
      </c>
      <c r="V10" s="65" t="n">
        <v>2546.9</v>
      </c>
      <c r="W10" s="65" t="n">
        <v>2814.6</v>
      </c>
      <c r="X10" s="65" t="n">
        <v>3110.9</v>
      </c>
      <c r="Y10" s="65" t="n">
        <v>3177.3</v>
      </c>
      <c r="Z10" s="65" t="n">
        <v>2939.8</v>
      </c>
      <c r="AA10" s="65" t="n">
        <v>3072.8</v>
      </c>
      <c r="AB10" s="65" t="n">
        <v>3353.8</v>
      </c>
      <c r="AC10" s="65" t="n">
        <v>3453.8</v>
      </c>
      <c r="AD10" s="65" t="n">
        <v>3237.7</v>
      </c>
      <c r="AE10" s="65" t="n">
        <v>3346.3</v>
      </c>
      <c r="AF10" s="65" t="n">
        <v>3446.6</v>
      </c>
      <c r="AG10" s="65" t="n">
        <v>3239.4</v>
      </c>
      <c r="AH10" s="65" t="n">
        <v>3177.1</v>
      </c>
      <c r="AI10" s="65" t="n">
        <v>3087.2</v>
      </c>
      <c r="AJ10" s="65" t="n">
        <v>3055.9</v>
      </c>
      <c r="AK10" s="65" t="n">
        <v>3310.3</v>
      </c>
      <c r="AL10" s="65" t="n">
        <v>3478.4</v>
      </c>
      <c r="AM10" s="65" t="n">
        <v>3534.5</v>
      </c>
      <c r="AN10" s="65" t="n">
        <v>3511.4</v>
      </c>
      <c r="AO10" s="65" t="n">
        <v>3616.1</v>
      </c>
    </row>
    <row r="11">
      <c r="A11" s="64" t="inlineStr">
        <is>
          <t>유동부채</t>
        </is>
      </c>
      <c r="B11" s="65" t="n"/>
      <c r="C11" s="65" t="n"/>
      <c r="D11" s="65" t="n"/>
      <c r="E11" s="65" t="n"/>
      <c r="F11" s="65" t="n"/>
      <c r="G11" s="65" t="n"/>
      <c r="H11" s="65" t="n"/>
      <c r="I11" s="65" t="n"/>
      <c r="J11" s="65" t="n">
        <v>3145.4</v>
      </c>
      <c r="K11" s="65" t="n"/>
      <c r="L11" s="65" t="n"/>
      <c r="M11" s="65" t="n"/>
      <c r="N11" s="65" t="n">
        <v>2725.5</v>
      </c>
      <c r="O11" s="65" t="n">
        <v>2981.3</v>
      </c>
      <c r="P11" s="65" t="n">
        <v>2950.4</v>
      </c>
      <c r="Q11" s="65" t="n">
        <v>2920.9</v>
      </c>
      <c r="R11" s="65" t="n">
        <v>2176.7</v>
      </c>
      <c r="S11" s="65" t="n">
        <v>2305.2</v>
      </c>
      <c r="T11" s="65" t="n">
        <v>2424.3</v>
      </c>
      <c r="U11" s="65" t="n">
        <v>2277.1</v>
      </c>
      <c r="V11" s="65" t="n">
        <v>2544.1</v>
      </c>
      <c r="W11" s="65" t="n">
        <v>2843.7</v>
      </c>
      <c r="X11" s="65" t="n">
        <v>3118.8</v>
      </c>
      <c r="Y11" s="65" t="n">
        <v>3209.4</v>
      </c>
      <c r="Z11" s="65" t="n">
        <v>2813.3</v>
      </c>
      <c r="AA11" s="65" t="n">
        <v>3051.8</v>
      </c>
      <c r="AB11" s="65" t="n">
        <v>3358.1</v>
      </c>
      <c r="AC11" s="65" t="n">
        <v>3604.9</v>
      </c>
      <c r="AD11" s="65" t="n">
        <v>3766.3</v>
      </c>
      <c r="AE11" s="65" t="n">
        <v>3805.2</v>
      </c>
      <c r="AF11" s="65" t="n">
        <v>3548.3</v>
      </c>
      <c r="AG11" s="65" t="n">
        <v>3469.6</v>
      </c>
      <c r="AH11" s="65" t="n">
        <v>3994.2</v>
      </c>
      <c r="AI11" s="65" t="n">
        <v>3949.9</v>
      </c>
      <c r="AJ11" s="65" t="n">
        <v>3994.3</v>
      </c>
      <c r="AK11" s="65" t="n">
        <v>4123</v>
      </c>
      <c r="AL11" s="65" t="n">
        <v>3831.2</v>
      </c>
      <c r="AM11" s="65" t="n">
        <v>3970.1</v>
      </c>
      <c r="AN11" s="65" t="n">
        <v>3758.4</v>
      </c>
      <c r="AO11" s="65" t="n">
        <v>3750.6</v>
      </c>
    </row>
    <row r="12">
      <c r="A12" s="64" t="inlineStr">
        <is>
          <t>부채총계</t>
        </is>
      </c>
      <c r="B12" s="65" t="n"/>
      <c r="C12" s="65" t="n"/>
      <c r="D12" s="65" t="n"/>
      <c r="E12" s="65" t="n"/>
      <c r="F12" s="65" t="n"/>
      <c r="G12" s="65" t="n"/>
      <c r="H12" s="65" t="n"/>
      <c r="I12" s="65" t="n"/>
      <c r="J12" s="65" t="n">
        <v>4142.6</v>
      </c>
      <c r="K12" s="65" t="n"/>
      <c r="L12" s="65" t="n"/>
      <c r="M12" s="65" t="n"/>
      <c r="N12" s="65" t="n">
        <v>3968</v>
      </c>
      <c r="O12" s="65" t="n">
        <v>3909</v>
      </c>
      <c r="P12" s="65" t="n">
        <v>3871.7</v>
      </c>
      <c r="Q12" s="65" t="n">
        <v>3732.2</v>
      </c>
      <c r="R12" s="65" t="n">
        <v>3366.3</v>
      </c>
      <c r="S12" s="65" t="n">
        <v>3500.9</v>
      </c>
      <c r="T12" s="65" t="n">
        <v>3633.4</v>
      </c>
      <c r="U12" s="65" t="n">
        <v>3801.3</v>
      </c>
      <c r="V12" s="65" t="n">
        <v>3798.4</v>
      </c>
      <c r="W12" s="65" t="n">
        <v>4112.2</v>
      </c>
      <c r="X12" s="65" t="n">
        <v>4453.1</v>
      </c>
      <c r="Y12" s="65" t="n">
        <v>4519.4</v>
      </c>
      <c r="Z12" s="65" t="n">
        <v>4299.6</v>
      </c>
      <c r="AA12" s="65" t="n">
        <v>4521.1</v>
      </c>
      <c r="AB12" s="65" t="n">
        <v>4929.2</v>
      </c>
      <c r="AC12" s="65" t="n">
        <v>5165.5</v>
      </c>
      <c r="AD12" s="65" t="n">
        <v>4932.6</v>
      </c>
      <c r="AE12" s="65" t="n">
        <v>5152</v>
      </c>
      <c r="AF12" s="65" t="n">
        <v>4965</v>
      </c>
      <c r="AG12" s="65" t="n">
        <v>4800.9</v>
      </c>
      <c r="AH12" s="65" t="n">
        <v>4810.9</v>
      </c>
      <c r="AI12" s="65" t="n">
        <v>4772.7</v>
      </c>
      <c r="AJ12" s="65" t="n">
        <v>4784.4</v>
      </c>
      <c r="AK12" s="65" t="n">
        <v>4987.6</v>
      </c>
      <c r="AL12" s="65" t="n">
        <v>5268.1</v>
      </c>
      <c r="AM12" s="65" t="n">
        <v>5418.8</v>
      </c>
      <c r="AN12" s="65" t="n">
        <v>5281.1</v>
      </c>
      <c r="AO12" s="65" t="n">
        <v>5207.3</v>
      </c>
    </row>
    <row r="13">
      <c r="A13" s="64" t="inlineStr">
        <is>
          <t>자기자본</t>
        </is>
      </c>
      <c r="B13" s="66" t="n"/>
      <c r="C13" s="66" t="n"/>
      <c r="D13" s="66" t="n"/>
      <c r="E13" s="66" t="n"/>
      <c r="F13" s="66" t="n"/>
      <c r="G13" s="66" t="n"/>
      <c r="H13" s="66" t="n"/>
      <c r="I13" s="66" t="n"/>
      <c r="J13" s="66" t="n">
        <v>1141.7</v>
      </c>
      <c r="K13" s="66" t="n"/>
      <c r="L13" s="66" t="n"/>
      <c r="M13" s="66" t="n"/>
      <c r="N13" s="66" t="n">
        <v>1278.1</v>
      </c>
      <c r="O13" s="66" t="n">
        <v>1144.3</v>
      </c>
      <c r="P13" s="66" t="n">
        <v>1158.5</v>
      </c>
      <c r="Q13" s="66" t="n">
        <v>1522.3</v>
      </c>
      <c r="R13" s="66" t="n">
        <v>1899</v>
      </c>
      <c r="S13" s="66" t="n">
        <v>1938.1</v>
      </c>
      <c r="T13" s="66" t="n">
        <v>2018</v>
      </c>
      <c r="U13" s="66" t="n">
        <v>2115.8</v>
      </c>
      <c r="V13" s="66" t="n">
        <v>2172.8</v>
      </c>
      <c r="W13" s="66" t="n">
        <v>2249.6</v>
      </c>
      <c r="X13" s="66" t="n">
        <v>2485.6</v>
      </c>
      <c r="Y13" s="66" t="n">
        <v>2511.2</v>
      </c>
      <c r="Z13" s="66" t="n">
        <v>2503.7</v>
      </c>
      <c r="AA13" s="66" t="n">
        <v>2521.4</v>
      </c>
      <c r="AB13" s="66" t="n">
        <v>2701.1</v>
      </c>
      <c r="AC13" s="66" t="n">
        <v>2664.6</v>
      </c>
      <c r="AD13" s="66" t="n">
        <v>2725.4</v>
      </c>
      <c r="AE13" s="66" t="n">
        <v>2793.8</v>
      </c>
      <c r="AF13" s="66" t="n">
        <v>3314</v>
      </c>
      <c r="AG13" s="66" t="n">
        <v>3064.3</v>
      </c>
      <c r="AH13" s="66" t="n">
        <v>3164.8</v>
      </c>
      <c r="AI13" s="66" t="n">
        <v>3063.6</v>
      </c>
      <c r="AJ13" s="66" t="n">
        <v>3114.4</v>
      </c>
      <c r="AK13" s="66" t="n">
        <v>3285.3</v>
      </c>
      <c r="AL13" s="66" t="n">
        <v>3421.6</v>
      </c>
      <c r="AM13" s="66" t="n">
        <v>3358.1</v>
      </c>
      <c r="AN13" s="66" t="n">
        <v>3533.3</v>
      </c>
      <c r="AO13" s="66" t="n">
        <v>3568.9</v>
      </c>
    </row>
    <row r="14">
      <c r="A14" s="64" t="inlineStr">
        <is>
          <t>유동비율</t>
        </is>
      </c>
      <c r="B14" s="66" t="n"/>
      <c r="C14" s="66" t="n"/>
      <c r="D14" s="66" t="n"/>
      <c r="E14" s="66" t="n"/>
      <c r="F14" s="66" t="n"/>
      <c r="G14" s="66" t="n"/>
      <c r="H14" s="66" t="n"/>
      <c r="I14" s="66" t="n"/>
      <c r="J14" s="66" t="n">
        <v>77.59999999999999</v>
      </c>
      <c r="K14" s="66" t="n"/>
      <c r="L14" s="66" t="n"/>
      <c r="M14" s="66" t="n"/>
      <c r="N14" s="66" t="n">
        <v>80.09999999999999</v>
      </c>
      <c r="O14" s="66" t="n">
        <v>70</v>
      </c>
      <c r="P14" s="66" t="n">
        <v>68.09999999999999</v>
      </c>
      <c r="Q14" s="66" t="n">
        <v>73.5</v>
      </c>
      <c r="R14" s="66" t="n">
        <v>96.3</v>
      </c>
      <c r="S14" s="66" t="n">
        <v>96.2</v>
      </c>
      <c r="T14" s="66" t="n">
        <v>98.09999999999999</v>
      </c>
      <c r="U14" s="66" t="n">
        <v>113.4</v>
      </c>
      <c r="V14" s="66" t="n">
        <v>100.1</v>
      </c>
      <c r="W14" s="66" t="n">
        <v>99</v>
      </c>
      <c r="X14" s="66" t="n">
        <v>99.7</v>
      </c>
      <c r="Y14" s="66" t="n">
        <v>99</v>
      </c>
      <c r="Z14" s="66" t="n">
        <v>104.5</v>
      </c>
      <c r="AA14" s="66" t="n">
        <v>100.7</v>
      </c>
      <c r="AB14" s="66" t="n">
        <v>99.90000000000001</v>
      </c>
      <c r="AC14" s="66" t="n">
        <v>95.8</v>
      </c>
      <c r="AD14" s="66" t="n">
        <v>86</v>
      </c>
      <c r="AE14" s="66" t="n">
        <v>87.90000000000001</v>
      </c>
      <c r="AF14" s="66" t="n">
        <v>97.09999999999999</v>
      </c>
      <c r="AG14" s="66" t="n">
        <v>93.40000000000001</v>
      </c>
      <c r="AH14" s="66" t="n">
        <v>79.5</v>
      </c>
      <c r="AI14" s="66" t="n">
        <v>78.2</v>
      </c>
      <c r="AJ14" s="66" t="n">
        <v>76.5</v>
      </c>
      <c r="AK14" s="66" t="n">
        <v>80.3</v>
      </c>
      <c r="AL14" s="66" t="n">
        <v>90.8</v>
      </c>
      <c r="AM14" s="66" t="n">
        <v>89</v>
      </c>
      <c r="AN14" s="66" t="n">
        <v>93.40000000000001</v>
      </c>
      <c r="AO14" s="66" t="n">
        <v>96.40000000000001</v>
      </c>
    </row>
    <row r="15">
      <c r="A15" s="64" t="inlineStr">
        <is>
          <t>부채비율</t>
        </is>
      </c>
      <c r="B15" s="66" t="n"/>
      <c r="C15" s="66" t="n"/>
      <c r="D15" s="66" t="n"/>
      <c r="E15" s="66" t="n"/>
      <c r="F15" s="66" t="n"/>
      <c r="G15" s="66" t="n"/>
      <c r="H15" s="66" t="n"/>
      <c r="I15" s="66" t="n"/>
      <c r="J15" s="66" t="n">
        <v>362.8</v>
      </c>
      <c r="K15" s="66" t="n"/>
      <c r="L15" s="66" t="n"/>
      <c r="M15" s="66" t="n"/>
      <c r="N15" s="66" t="n">
        <v>310.5</v>
      </c>
      <c r="O15" s="66" t="n">
        <v>341.6</v>
      </c>
      <c r="P15" s="66" t="n">
        <v>334.2</v>
      </c>
      <c r="Q15" s="66" t="n">
        <v>245.2</v>
      </c>
      <c r="R15" s="66" t="n">
        <v>177.3</v>
      </c>
      <c r="S15" s="66" t="n">
        <v>180.6</v>
      </c>
      <c r="T15" s="66" t="n">
        <v>180</v>
      </c>
      <c r="U15" s="66" t="n">
        <v>179.7</v>
      </c>
      <c r="V15" s="66" t="n">
        <v>174.8</v>
      </c>
      <c r="W15" s="66" t="n">
        <v>182.8</v>
      </c>
      <c r="X15" s="66" t="n">
        <v>179.2</v>
      </c>
      <c r="Y15" s="66" t="n">
        <v>180</v>
      </c>
      <c r="Z15" s="66" t="n">
        <v>171.7</v>
      </c>
      <c r="AA15" s="66" t="n">
        <v>179.3</v>
      </c>
      <c r="AB15" s="66" t="n">
        <v>182.5</v>
      </c>
      <c r="AC15" s="66" t="n">
        <v>193.9</v>
      </c>
      <c r="AD15" s="66" t="n">
        <v>181</v>
      </c>
      <c r="AE15" s="66" t="n">
        <v>184.4</v>
      </c>
      <c r="AF15" s="66" t="n">
        <v>149.8</v>
      </c>
      <c r="AG15" s="66" t="n">
        <v>156.7</v>
      </c>
      <c r="AH15" s="66" t="n">
        <v>152</v>
      </c>
      <c r="AI15" s="66" t="n">
        <v>155.8</v>
      </c>
      <c r="AJ15" s="66" t="n">
        <v>153.6</v>
      </c>
      <c r="AK15" s="66" t="n">
        <v>151.8</v>
      </c>
      <c r="AL15" s="66" t="n">
        <v>154</v>
      </c>
      <c r="AM15" s="66" t="n">
        <v>161.4</v>
      </c>
      <c r="AN15" s="66" t="n">
        <v>149.5</v>
      </c>
      <c r="AO15" s="66" t="n">
        <v>145.9</v>
      </c>
    </row>
    <row r="16">
      <c r="A16" s="64" t="inlineStr">
        <is>
          <t>순차입금/자기자본</t>
        </is>
      </c>
      <c r="B16" s="66" t="n"/>
      <c r="C16" s="66" t="n"/>
      <c r="D16" s="66" t="n"/>
      <c r="E16" s="66" t="n"/>
      <c r="F16" s="66" t="n"/>
      <c r="G16" s="66" t="n"/>
      <c r="H16" s="66" t="n"/>
      <c r="I16" s="66" t="n"/>
      <c r="J16" s="66" t="n">
        <v>78.5</v>
      </c>
      <c r="K16" s="66" t="n"/>
      <c r="L16" s="66" t="n"/>
      <c r="M16" s="66" t="n"/>
      <c r="N16" s="66" t="n">
        <v>63.4</v>
      </c>
      <c r="O16" s="66" t="n">
        <v>79.3</v>
      </c>
      <c r="P16" s="66" t="n">
        <v>126.6</v>
      </c>
      <c r="Q16" s="66" t="n">
        <v>76.5</v>
      </c>
      <c r="R16" s="66" t="n">
        <v>36.2</v>
      </c>
      <c r="S16" s="66" t="n">
        <v>37.7</v>
      </c>
      <c r="T16" s="66" t="n">
        <v>32.5</v>
      </c>
      <c r="U16" s="66" t="n">
        <v>29.1</v>
      </c>
      <c r="V16" s="66" t="n">
        <v>22.1</v>
      </c>
      <c r="W16" s="66" t="n">
        <v>21.4</v>
      </c>
      <c r="X16" s="66" t="n">
        <v>15</v>
      </c>
      <c r="Y16" s="66" t="n">
        <v>18.8</v>
      </c>
      <c r="Z16" s="66" t="n">
        <v>21.6</v>
      </c>
      <c r="AA16" s="66" t="n">
        <v>25.5</v>
      </c>
      <c r="AB16" s="66" t="n">
        <v>27.3</v>
      </c>
      <c r="AC16" s="66" t="n">
        <v>32</v>
      </c>
      <c r="AD16" s="66" t="n">
        <v>27.3</v>
      </c>
      <c r="AE16" s="66" t="n">
        <v>29.6</v>
      </c>
      <c r="AF16" s="66" t="n">
        <v>20.9</v>
      </c>
      <c r="AG16" s="66" t="n">
        <v>25.6</v>
      </c>
      <c r="AH16" s="66" t="n">
        <v>20.4</v>
      </c>
      <c r="AI16" s="66" t="n">
        <v>27.6</v>
      </c>
      <c r="AJ16" s="66" t="n">
        <v>26.3</v>
      </c>
      <c r="AK16" s="66" t="n">
        <v>28</v>
      </c>
      <c r="AL16" s="66" t="n">
        <v>25.1</v>
      </c>
      <c r="AM16" s="66" t="n">
        <v>30.3</v>
      </c>
      <c r="AN16" s="66" t="n">
        <v>25.4</v>
      </c>
      <c r="AO16" s="66" t="n">
        <v>17.4</v>
      </c>
    </row>
    <row r="17">
      <c r="A17" s="64" t="inlineStr">
        <is>
          <t>재고자산</t>
        </is>
      </c>
      <c r="B17" s="65" t="n"/>
      <c r="C17" s="65" t="n"/>
      <c r="D17" s="65" t="n"/>
      <c r="E17" s="65" t="n"/>
      <c r="F17" s="65" t="n"/>
      <c r="G17" s="65" t="n"/>
      <c r="H17" s="65" t="n"/>
      <c r="I17" s="65" t="n"/>
      <c r="J17" s="65" t="n">
        <v>1307.3</v>
      </c>
      <c r="K17" s="65" t="n"/>
      <c r="L17" s="65" t="n"/>
      <c r="M17" s="65" t="n"/>
      <c r="N17" s="65" t="n">
        <v>1208.6</v>
      </c>
      <c r="O17" s="65" t="n">
        <v>1200.5</v>
      </c>
      <c r="P17" s="65" t="n">
        <v>1234.2</v>
      </c>
      <c r="Q17" s="65" t="n">
        <v>1296.7</v>
      </c>
      <c r="R17" s="65" t="n">
        <v>1210.1</v>
      </c>
      <c r="S17" s="65" t="n">
        <v>1267.8</v>
      </c>
      <c r="T17" s="65" t="n">
        <v>1291.2</v>
      </c>
      <c r="U17" s="65" t="n">
        <v>1340.8</v>
      </c>
      <c r="V17" s="65" t="n">
        <v>1295.4</v>
      </c>
      <c r="W17" s="65" t="n">
        <v>1392.7</v>
      </c>
      <c r="X17" s="65" t="n">
        <v>1573.5</v>
      </c>
      <c r="Y17" s="65" t="n">
        <v>1709.5</v>
      </c>
      <c r="Z17" s="65" t="n">
        <v>1662.2</v>
      </c>
      <c r="AA17" s="65" t="n">
        <v>1829.1</v>
      </c>
      <c r="AB17" s="65" t="n">
        <v>2053.6</v>
      </c>
      <c r="AC17" s="65" t="n">
        <v>2165</v>
      </c>
      <c r="AD17" s="65" t="n">
        <v>2008.4</v>
      </c>
      <c r="AE17" s="65" t="n">
        <v>2119.8</v>
      </c>
      <c r="AF17" s="65" t="n">
        <v>2215.7</v>
      </c>
      <c r="AG17" s="65" t="n">
        <v>2047</v>
      </c>
      <c r="AH17" s="65" t="n">
        <v>1900.1</v>
      </c>
      <c r="AI17" s="65" t="n">
        <v>1834.1</v>
      </c>
      <c r="AJ17" s="65" t="n">
        <v>1921.5</v>
      </c>
      <c r="AK17" s="65" t="n">
        <v>2106.1</v>
      </c>
      <c r="AL17" s="65" t="n">
        <v>2018.2</v>
      </c>
      <c r="AM17" s="65" t="n">
        <v>2092.6</v>
      </c>
      <c r="AN17" s="65" t="n">
        <v>2167.8</v>
      </c>
      <c r="AO17" s="65" t="n">
        <v>2200.6</v>
      </c>
    </row>
    <row r="18">
      <c r="A18" s="64" t="inlineStr">
        <is>
          <t>재고자산 회전일수</t>
        </is>
      </c>
      <c r="B18" s="65" t="n"/>
      <c r="C18" s="65" t="n"/>
      <c r="D18" s="65" t="n"/>
      <c r="E18" s="65" t="n"/>
      <c r="F18" s="65" t="n"/>
      <c r="G18" s="65" t="n"/>
      <c r="H18" s="65" t="n"/>
      <c r="I18" s="65" t="n"/>
      <c r="J18" s="65" t="n"/>
      <c r="K18" s="65" t="n"/>
      <c r="L18" s="65" t="n"/>
      <c r="M18" s="65" t="n"/>
      <c r="N18" s="65" t="n"/>
      <c r="O18" s="65" t="n"/>
      <c r="P18" s="65" t="n"/>
      <c r="Q18" s="65" t="n"/>
      <c r="R18" s="65" t="n"/>
      <c r="S18" s="65" t="n"/>
      <c r="T18" s="65" t="n"/>
      <c r="U18" s="65" t="n"/>
      <c r="V18" s="65" t="n"/>
      <c r="W18" s="65" t="n"/>
      <c r="X18" s="65" t="n"/>
      <c r="Y18" s="65" t="n"/>
      <c r="Z18" s="65" t="n"/>
      <c r="AA18" s="65" t="n"/>
      <c r="AB18" s="65" t="n"/>
      <c r="AC18" s="65" t="n"/>
      <c r="AD18" s="65" t="n"/>
      <c r="AE18" s="65" t="n"/>
      <c r="AF18" s="65" t="n"/>
      <c r="AG18" s="65" t="n"/>
      <c r="AH18" s="65" t="n"/>
      <c r="AI18" s="65" t="n"/>
      <c r="AJ18" s="65" t="n"/>
      <c r="AK18" s="65" t="n"/>
      <c r="AL18" s="65" t="n"/>
      <c r="AM18" s="65" t="n"/>
      <c r="AN18" s="65" t="n"/>
      <c r="AO18" s="65" t="n"/>
    </row>
    <row r="19">
      <c r="A19" s="64" t="inlineStr">
        <is>
          <t>매출채권 회전일수</t>
        </is>
      </c>
      <c r="B19" s="65" t="n"/>
      <c r="C19" s="65" t="n"/>
      <c r="D19" s="65" t="n"/>
      <c r="E19" s="65" t="n"/>
      <c r="F19" s="65" t="n"/>
      <c r="G19" s="65" t="n"/>
      <c r="H19" s="65" t="n"/>
      <c r="I19" s="65" t="n"/>
      <c r="J19" s="65" t="n"/>
      <c r="K19" s="65" t="n"/>
      <c r="L19" s="65" t="n"/>
      <c r="M19" s="65" t="n"/>
      <c r="N19" s="65" t="n">
        <v>37</v>
      </c>
      <c r="O19" s="65" t="n">
        <v>51</v>
      </c>
      <c r="P19" s="65" t="n">
        <v>60</v>
      </c>
      <c r="Q19" s="65" t="n">
        <v>57</v>
      </c>
      <c r="R19" s="65" t="n">
        <v>41</v>
      </c>
      <c r="S19" s="65" t="n">
        <v>54</v>
      </c>
      <c r="T19" s="65" t="n">
        <v>49</v>
      </c>
      <c r="U19" s="65" t="n">
        <v>56</v>
      </c>
      <c r="V19" s="65" t="n">
        <v>45</v>
      </c>
      <c r="W19" s="65" t="n">
        <v>61</v>
      </c>
      <c r="X19" s="65" t="n">
        <v>55</v>
      </c>
      <c r="Y19" s="65" t="n">
        <v>59</v>
      </c>
      <c r="Z19" s="65" t="n">
        <v>44</v>
      </c>
      <c r="AA19" s="65" t="n">
        <v>47</v>
      </c>
      <c r="AB19" s="65" t="n">
        <v>46</v>
      </c>
      <c r="AC19" s="65" t="n">
        <v>47</v>
      </c>
      <c r="AD19" s="65" t="n">
        <v>36</v>
      </c>
      <c r="AE19" s="65" t="n">
        <v>43</v>
      </c>
      <c r="AF19" s="65" t="n">
        <v>49</v>
      </c>
      <c r="AG19" s="65" t="n">
        <v>49</v>
      </c>
      <c r="AH19" s="65" t="n">
        <v>40</v>
      </c>
      <c r="AI19" s="65" t="n">
        <v>50</v>
      </c>
      <c r="AJ19" s="65" t="n">
        <v>50</v>
      </c>
      <c r="AK19" s="65" t="n">
        <v>53</v>
      </c>
      <c r="AL19" s="65" t="n">
        <v>43</v>
      </c>
      <c r="AM19" s="65" t="n">
        <v>52</v>
      </c>
      <c r="AN19" s="65" t="n">
        <v>50</v>
      </c>
      <c r="AO19" s="65" t="n">
        <v>50</v>
      </c>
    </row>
    <row r="20">
      <c r="A20" s="64" t="inlineStr">
        <is>
          <t>매입채무 회전일수</t>
        </is>
      </c>
      <c r="B20" s="65" t="n"/>
      <c r="C20" s="65" t="n"/>
      <c r="D20" s="65" t="n"/>
      <c r="E20" s="65" t="n"/>
      <c r="F20" s="65" t="n"/>
      <c r="G20" s="65" t="n"/>
      <c r="H20" s="65" t="n"/>
      <c r="I20" s="65" t="n"/>
      <c r="J20" s="65" t="n"/>
      <c r="K20" s="65" t="n"/>
      <c r="L20" s="65" t="n"/>
      <c r="M20" s="65" t="n"/>
      <c r="N20" s="65" t="n"/>
      <c r="O20" s="65" t="n"/>
      <c r="P20" s="65" t="n"/>
      <c r="Q20" s="65" t="n"/>
      <c r="R20" s="65" t="n"/>
      <c r="S20" s="65" t="n"/>
      <c r="T20" s="65" t="n"/>
      <c r="U20" s="65" t="n"/>
      <c r="V20" s="65" t="n"/>
      <c r="W20" s="65" t="n"/>
      <c r="X20" s="65" t="n"/>
      <c r="Y20" s="65" t="n"/>
      <c r="Z20" s="65" t="n"/>
      <c r="AA20" s="65" t="n"/>
      <c r="AB20" s="65" t="n"/>
      <c r="AC20" s="65" t="n"/>
      <c r="AD20" s="65" t="n"/>
      <c r="AE20" s="65" t="n"/>
      <c r="AF20" s="65" t="n"/>
      <c r="AG20" s="65" t="n"/>
      <c r="AH20" s="65" t="n"/>
      <c r="AI20" s="65" t="n"/>
      <c r="AJ20" s="65" t="n"/>
      <c r="AK20" s="65" t="n"/>
      <c r="AL20" s="65" t="n"/>
      <c r="AM20" s="65" t="n"/>
      <c r="AN20" s="65" t="n"/>
      <c r="AO20" s="65" t="n"/>
    </row>
    <row r="21">
      <c r="A21" s="64" t="inlineStr">
        <is>
          <t>현금전환주기(CCC)</t>
        </is>
      </c>
      <c r="B21" s="65" t="n"/>
      <c r="C21" s="65" t="n"/>
      <c r="D21" s="65" t="n"/>
      <c r="E21" s="65" t="n"/>
      <c r="F21" s="65" t="n"/>
      <c r="G21" s="65" t="n"/>
      <c r="H21" s="65" t="n"/>
      <c r="I21" s="65" t="n"/>
      <c r="J21" s="65" t="n"/>
      <c r="K21" s="65" t="n"/>
      <c r="L21" s="65" t="n"/>
      <c r="M21" s="65" t="n"/>
      <c r="N21" s="65" t="n"/>
      <c r="O21" s="65" t="n"/>
      <c r="P21" s="65" t="n"/>
      <c r="Q21" s="65" t="n"/>
      <c r="R21" s="65" t="n"/>
      <c r="S21" s="65" t="n"/>
      <c r="T21" s="65" t="n"/>
      <c r="U21" s="65" t="n"/>
      <c r="V21" s="65" t="n"/>
      <c r="W21" s="65" t="n"/>
      <c r="X21" s="65" t="n"/>
      <c r="Y21" s="65" t="n"/>
      <c r="Z21" s="65" t="n"/>
      <c r="AA21" s="65" t="n"/>
      <c r="AB21" s="65" t="n"/>
      <c r="AC21" s="65" t="n"/>
      <c r="AD21" s="65" t="n"/>
      <c r="AE21" s="65" t="n"/>
      <c r="AF21" s="65" t="n"/>
      <c r="AG21" s="65" t="n"/>
      <c r="AH21" s="65" t="n"/>
      <c r="AI21" s="65" t="n"/>
      <c r="AJ21" s="65" t="n"/>
      <c r="AK21" s="65" t="n"/>
      <c r="AL21" s="65" t="n"/>
      <c r="AM21" s="65" t="n"/>
      <c r="AN21" s="65" t="n"/>
      <c r="AO21" s="65" t="n"/>
    </row>
    <row r="22">
      <c r="A22" s="64" t="inlineStr">
        <is>
          <t>총 차입금</t>
        </is>
      </c>
      <c r="B22" s="65" t="n"/>
      <c r="C22" s="65" t="n"/>
      <c r="D22" s="65" t="n"/>
      <c r="E22" s="65" t="n"/>
      <c r="F22" s="65" t="n"/>
      <c r="G22" s="65" t="n"/>
      <c r="H22" s="65" t="n"/>
      <c r="I22" s="65" t="n"/>
      <c r="J22" s="65" t="n">
        <v>1170.1</v>
      </c>
      <c r="K22" s="65" t="n"/>
      <c r="L22" s="65" t="n"/>
      <c r="M22" s="65" t="n"/>
      <c r="N22" s="65" t="n">
        <v>1087</v>
      </c>
      <c r="O22" s="65" t="n">
        <v>1144.9</v>
      </c>
      <c r="P22" s="65" t="n">
        <v>1644.4</v>
      </c>
      <c r="Q22" s="65" t="n">
        <v>1375.1</v>
      </c>
      <c r="R22" s="65" t="n">
        <v>1024</v>
      </c>
      <c r="S22" s="65" t="n">
        <v>1062.2</v>
      </c>
      <c r="T22" s="65" t="n">
        <v>1048.4</v>
      </c>
      <c r="U22" s="65" t="n">
        <v>1102.6</v>
      </c>
      <c r="V22" s="65" t="n">
        <v>953.9</v>
      </c>
      <c r="W22" s="65" t="n">
        <v>999.0999999999999</v>
      </c>
      <c r="X22" s="65" t="n">
        <v>987.4</v>
      </c>
      <c r="Y22" s="65" t="n">
        <v>973</v>
      </c>
      <c r="Z22" s="65" t="n">
        <v>910.9</v>
      </c>
      <c r="AA22" s="65" t="n">
        <v>1011.4</v>
      </c>
      <c r="AB22" s="65" t="n">
        <v>1144.8</v>
      </c>
      <c r="AC22" s="65" t="n">
        <v>1252.1</v>
      </c>
      <c r="AD22" s="65" t="n">
        <v>1136.6</v>
      </c>
      <c r="AE22" s="65" t="n">
        <v>1204.4</v>
      </c>
      <c r="AF22" s="65" t="n">
        <v>978.3</v>
      </c>
      <c r="AG22" s="65" t="n">
        <v>1093</v>
      </c>
      <c r="AH22" s="65" t="n">
        <v>1064.5</v>
      </c>
      <c r="AI22" s="65" t="n">
        <v>1260.8</v>
      </c>
      <c r="AJ22" s="65" t="n">
        <v>1099.8</v>
      </c>
      <c r="AK22" s="65" t="n">
        <v>1214.4</v>
      </c>
      <c r="AL22" s="65" t="n">
        <v>1256.8</v>
      </c>
      <c r="AM22" s="65" t="n">
        <v>1455.6</v>
      </c>
      <c r="AN22" s="65" t="n">
        <v>1229.6</v>
      </c>
      <c r="AO22" s="65" t="n">
        <v>982.9</v>
      </c>
    </row>
    <row r="23">
      <c r="A23" s="64" t="inlineStr">
        <is>
          <t>현금</t>
        </is>
      </c>
      <c r="B23" s="65" t="n"/>
      <c r="C23" s="65" t="n"/>
      <c r="D23" s="65" t="n"/>
      <c r="E23" s="65" t="n"/>
      <c r="F23" s="65" t="n"/>
      <c r="G23" s="65" t="n"/>
      <c r="H23" s="65" t="n"/>
      <c r="I23" s="65" t="n"/>
      <c r="J23" s="65" t="n">
        <v>273.7</v>
      </c>
      <c r="K23" s="65" t="n"/>
      <c r="L23" s="65" t="n"/>
      <c r="M23" s="65" t="n"/>
      <c r="N23" s="65" t="n">
        <v>276.9</v>
      </c>
      <c r="O23" s="65" t="n">
        <v>237.8</v>
      </c>
      <c r="P23" s="65" t="n">
        <v>177.4</v>
      </c>
      <c r="Q23" s="65" t="n">
        <v>210.9</v>
      </c>
      <c r="R23" s="65" t="n">
        <v>337.5</v>
      </c>
      <c r="S23" s="65" t="n">
        <v>330.6</v>
      </c>
      <c r="T23" s="65" t="n">
        <v>391.9</v>
      </c>
      <c r="U23" s="65" t="n">
        <v>487.4</v>
      </c>
      <c r="V23" s="65" t="n">
        <v>473</v>
      </c>
      <c r="W23" s="65" t="n">
        <v>517.5</v>
      </c>
      <c r="X23" s="65" t="n">
        <v>613.8</v>
      </c>
      <c r="Y23" s="65" t="n">
        <v>501.2</v>
      </c>
      <c r="Z23" s="65" t="n">
        <v>369.9</v>
      </c>
      <c r="AA23" s="65" t="n">
        <v>369.4</v>
      </c>
      <c r="AB23" s="65" t="n">
        <v>408.2</v>
      </c>
      <c r="AC23" s="65" t="n">
        <v>400</v>
      </c>
      <c r="AD23" s="65" t="n">
        <v>392.1</v>
      </c>
      <c r="AE23" s="65" t="n">
        <v>376.5</v>
      </c>
      <c r="AF23" s="65" t="n">
        <v>285.2</v>
      </c>
      <c r="AG23" s="65" t="n">
        <v>307.5</v>
      </c>
      <c r="AH23" s="65" t="n">
        <v>417.5</v>
      </c>
      <c r="AI23" s="65" t="n">
        <v>416.1</v>
      </c>
      <c r="AJ23" s="65" t="n">
        <v>280.1</v>
      </c>
      <c r="AK23" s="65" t="n">
        <v>295</v>
      </c>
      <c r="AL23" s="65" t="n">
        <v>398.6</v>
      </c>
      <c r="AM23" s="65" t="n">
        <v>437.4</v>
      </c>
      <c r="AN23" s="65" t="n">
        <v>331.3</v>
      </c>
      <c r="AO23" s="65" t="n">
        <v>361.9</v>
      </c>
    </row>
    <row r="24">
      <c r="A24" s="64" t="inlineStr">
        <is>
          <t>부문별 매출 · マシンツール、報告セグメント [メンバー]</t>
        </is>
      </c>
      <c r="B24" s="65" t="n"/>
      <c r="C24" s="65" t="n"/>
      <c r="D24" s="65" t="n"/>
      <c r="E24" s="65" t="n"/>
      <c r="F24" s="65" t="n"/>
      <c r="G24" s="65" t="n"/>
      <c r="H24" s="65" t="n"/>
      <c r="I24" s="65" t="n"/>
      <c r="J24" s="65" t="n"/>
      <c r="K24" s="65" t="n"/>
      <c r="L24" s="65" t="n"/>
      <c r="M24" s="65" t="n"/>
      <c r="N24" s="65" t="n"/>
      <c r="O24" s="65" t="n"/>
      <c r="P24" s="65" t="n"/>
      <c r="Q24" s="65" t="n"/>
      <c r="R24" s="65" t="n"/>
      <c r="S24" s="65" t="n"/>
      <c r="T24" s="65" t="n"/>
      <c r="U24" s="65" t="n"/>
      <c r="V24" s="65" t="n"/>
      <c r="W24" s="65" t="n"/>
      <c r="X24" s="65" t="n"/>
      <c r="Y24" s="65" t="n"/>
      <c r="Z24" s="65" t="n"/>
      <c r="AA24" s="65" t="n"/>
      <c r="AB24" s="65" t="n"/>
      <c r="AC24" s="65" t="n">
        <v>842.2</v>
      </c>
      <c r="AD24" s="65" t="n"/>
      <c r="AE24" s="65" t="n">
        <v>859.9</v>
      </c>
      <c r="AF24" s="65" t="n">
        <v>845.8</v>
      </c>
      <c r="AG24" s="65" t="n">
        <v>815.7</v>
      </c>
      <c r="AH24" s="65" t="n"/>
      <c r="AI24" s="65" t="n">
        <v>736.5</v>
      </c>
      <c r="AJ24" s="65" t="n">
        <v>725.1</v>
      </c>
      <c r="AK24" s="65" t="n">
        <v>733.3</v>
      </c>
      <c r="AL24" s="65" t="n"/>
      <c r="AM24" s="65" t="n">
        <v>863.6</v>
      </c>
      <c r="AN24" s="65" t="n">
        <v>944.2</v>
      </c>
      <c r="AO24" s="65" t="n">
        <v>967.2</v>
      </c>
      <c r="AP24" s="61" t="inlineStr">
        <is>
          <t>결산단신 부문 정보(외부 고객 매출)</t>
        </is>
      </c>
    </row>
    <row r="25">
      <c r="A25" s="64" t="inlineStr">
        <is>
          <t>부문별 매출 · インダストリアル・サービス、報告セグメント [メンバー]</t>
        </is>
      </c>
      <c r="B25" s="65" t="n"/>
      <c r="C25" s="65" t="n"/>
      <c r="D25" s="65" t="n"/>
      <c r="E25" s="65" t="n"/>
      <c r="F25" s="65" t="n"/>
      <c r="G25" s="65" t="n"/>
      <c r="H25" s="65" t="n"/>
      <c r="I25" s="65" t="n"/>
      <c r="J25" s="65" t="n"/>
      <c r="K25" s="65" t="n"/>
      <c r="L25" s="65" t="n"/>
      <c r="M25" s="65" t="n"/>
      <c r="N25" s="65" t="n"/>
      <c r="O25" s="65" t="n"/>
      <c r="P25" s="65" t="n"/>
      <c r="Q25" s="65" t="n"/>
      <c r="R25" s="65" t="n"/>
      <c r="S25" s="65" t="n"/>
      <c r="T25" s="65" t="n"/>
      <c r="U25" s="65" t="n"/>
      <c r="V25" s="65" t="n"/>
      <c r="W25" s="65" t="n"/>
      <c r="X25" s="65" t="n"/>
      <c r="Y25" s="65" t="n"/>
      <c r="Z25" s="65" t="n"/>
      <c r="AA25" s="65" t="n"/>
      <c r="AB25" s="65" t="n"/>
      <c r="AC25" s="65" t="n">
        <v>464</v>
      </c>
      <c r="AD25" s="65" t="n"/>
      <c r="AE25" s="65" t="n">
        <v>468.5</v>
      </c>
      <c r="AF25" s="65" t="n">
        <v>462.8</v>
      </c>
      <c r="AG25" s="65" t="n">
        <v>426.6</v>
      </c>
      <c r="AH25" s="65" t="n"/>
      <c r="AI25" s="65" t="n">
        <v>403.5</v>
      </c>
      <c r="AJ25" s="65" t="n">
        <v>409.5</v>
      </c>
      <c r="AK25" s="65" t="n">
        <v>423</v>
      </c>
      <c r="AL25" s="65" t="n"/>
      <c r="AM25" s="65" t="n">
        <v>491.5</v>
      </c>
      <c r="AN25" s="65" t="n">
        <v>467.6</v>
      </c>
      <c r="AO25" s="65" t="n">
        <v>492.4</v>
      </c>
      <c r="AP25" s="61" t="inlineStr">
        <is>
          <t>결산단신 부문 정보(외부 고객 매출)</t>
        </is>
      </c>
    </row>
    <row r="26">
      <c r="A26" s="64" t="inlineStr">
        <is>
          <t>부문별 매출 · 全社機能、報告セグメント [メンバー]</t>
        </is>
      </c>
      <c r="B26" s="65" t="n"/>
      <c r="C26" s="65" t="n"/>
      <c r="D26" s="65" t="n"/>
      <c r="E26" s="65" t="n"/>
      <c r="F26" s="65" t="n"/>
      <c r="G26" s="65" t="n"/>
      <c r="H26" s="65" t="n"/>
      <c r="I26" s="65" t="n"/>
      <c r="J26" s="65" t="n"/>
      <c r="K26" s="65" t="n"/>
      <c r="L26" s="65" t="n"/>
      <c r="M26" s="65" t="n"/>
      <c r="N26" s="65" t="n"/>
      <c r="O26" s="65" t="n"/>
      <c r="P26" s="65" t="n"/>
      <c r="Q26" s="65" t="n"/>
      <c r="R26" s="65" t="n"/>
      <c r="S26" s="65" t="n"/>
      <c r="T26" s="65" t="n"/>
      <c r="U26" s="65" t="n"/>
      <c r="V26" s="65" t="n"/>
      <c r="W26" s="65" t="n"/>
      <c r="X26" s="65" t="n"/>
      <c r="Y26" s="65" t="n"/>
      <c r="Z26" s="65" t="n"/>
      <c r="AA26" s="65" t="n"/>
      <c r="AB26" s="65" t="n"/>
      <c r="AC26" s="65" t="n">
        <v>0.1</v>
      </c>
      <c r="AD26" s="65" t="n"/>
      <c r="AE26" s="65" t="n">
        <v>0.1</v>
      </c>
      <c r="AF26" s="65" t="n">
        <v>0.1</v>
      </c>
      <c r="AG26" s="65" t="n">
        <v>0.1</v>
      </c>
      <c r="AH26" s="65" t="n"/>
      <c r="AI26" s="65" t="n">
        <v>0.1</v>
      </c>
      <c r="AJ26" s="65" t="n">
        <v>0.1</v>
      </c>
      <c r="AK26" s="65" t="n">
        <v>0.1</v>
      </c>
      <c r="AL26" s="65" t="n"/>
      <c r="AM26" s="65" t="n">
        <v>0.1</v>
      </c>
      <c r="AN26" s="65" t="n">
        <v>0.1</v>
      </c>
      <c r="AO26" s="65" t="n">
        <v>0.1</v>
      </c>
      <c r="AP26" s="61" t="inlineStr">
        <is>
          <t>결산단신 부문 정보(외부 고객 매출)</t>
        </is>
      </c>
    </row>
    <row r="27">
      <c r="A27" s="64" t="inlineStr">
        <is>
          <t>부문별 매출 · 消去、報告セグメント [メンバー]</t>
        </is>
      </c>
      <c r="B27" s="65" t="n"/>
      <c r="C27" s="65" t="n"/>
      <c r="D27" s="65" t="n"/>
      <c r="E27" s="65" t="n"/>
      <c r="F27" s="65" t="n"/>
      <c r="G27" s="65" t="n"/>
      <c r="H27" s="65" t="n"/>
      <c r="I27" s="65" t="n"/>
      <c r="J27" s="65" t="n"/>
      <c r="K27" s="65" t="n"/>
      <c r="L27" s="65" t="n"/>
      <c r="M27" s="65" t="n"/>
      <c r="N27" s="65" t="n"/>
      <c r="O27" s="65" t="n"/>
      <c r="P27" s="65" t="n"/>
      <c r="Q27" s="65" t="n"/>
      <c r="R27" s="65" t="n"/>
      <c r="S27" s="65" t="n"/>
      <c r="T27" s="65" t="n"/>
      <c r="U27" s="65" t="n"/>
      <c r="V27" s="65" t="n"/>
      <c r="W27" s="65" t="n"/>
      <c r="X27" s="65" t="n"/>
      <c r="Y27" s="65" t="n"/>
      <c r="Z27" s="65" t="n"/>
      <c r="AA27" s="65" t="n"/>
      <c r="AB27" s="65" t="n"/>
      <c r="AC27" s="65" t="n">
        <v>0</v>
      </c>
      <c r="AD27" s="65" t="n"/>
      <c r="AE27" s="65" t="n">
        <v>0</v>
      </c>
      <c r="AF27" s="65" t="n">
        <v>0</v>
      </c>
      <c r="AG27" s="65" t="n">
        <v>0</v>
      </c>
      <c r="AH27" s="65" t="n"/>
      <c r="AI27" s="65" t="n">
        <v>0</v>
      </c>
      <c r="AJ27" s="65" t="n">
        <v>0</v>
      </c>
      <c r="AK27" s="65" t="n">
        <v>0</v>
      </c>
      <c r="AL27" s="65" t="n"/>
      <c r="AM27" s="65" t="n">
        <v>0</v>
      </c>
      <c r="AN27" s="65" t="n">
        <v>0</v>
      </c>
      <c r="AO27" s="65" t="n">
        <v>0</v>
      </c>
      <c r="AP27" s="61" t="inlineStr">
        <is>
          <t>결산단신 부문 정보(외부 고객 매출)</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2026-10-30T09:04:49Z</dcterms:created>
  <dcterms:modified xmlns:dcterms="http://purl.org/dc/terms/" xmlns:xsi="http://www.w3.org/2001/XMLSchema-instance" xsi:type="dcterms:W3CDTF">2026-10-30T09:05:57Z</dcterms:modified>
</cp:coreProperties>
</file>