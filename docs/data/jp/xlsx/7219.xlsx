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손익계산서" sheetId="1" state="visible" r:id="rId1"/>
    <sheet xmlns:r="http://schemas.openxmlformats.org/officeDocument/2006/relationships" name="포괄손익" sheetId="2" state="visible" r:id="rId2"/>
    <sheet xmlns:r="http://schemas.openxmlformats.org/officeDocument/2006/relationships" name="재무상태표" sheetId="3" state="visible" r:id="rId3"/>
    <sheet xmlns:r="http://schemas.openxmlformats.org/officeDocument/2006/relationships" name="현금흐름표" sheetId="4" state="visible" r:id="rId4"/>
    <sheet xmlns:r="http://schemas.openxmlformats.org/officeDocument/2006/relationships" name="섹터 데이터" sheetId="5" state="visible" r:id="rId5"/>
    <sheet xmlns:r="http://schemas.openxmlformats.org/officeDocument/2006/relationships" name="출처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\(#,##0.0\);&quot;-&quot;"/>
    <numFmt numFmtId="165" formatCode="0.0%;\-0.0%;&quot;-&quot;"/>
  </numFmts>
  <fonts count="9">
    <font>
      <name val="Calibri"/>
      <family val="2"/>
      <color theme="1"/>
      <sz val="11"/>
      <scheme val="minor"/>
    </font>
    <font>
      <name val="맑은 고딕"/>
      <b val="1"/>
      <sz val="20"/>
    </font>
    <font>
      <name val="맑은 고딕"/>
      <color rgb="FFFF0000"/>
      <sz val="9"/>
    </font>
    <font>
      <name val="맑은 고딕"/>
      <color rgb="FF808080"/>
      <sz val="9"/>
    </font>
    <font>
      <name val="맑은 고딕"/>
      <b val="1"/>
      <sz val="10"/>
    </font>
    <font>
      <name val="맑은 고딕"/>
      <b val="1"/>
      <sz val="11"/>
    </font>
    <font>
      <name val="맑은 고딕"/>
      <color rgb="FF808080"/>
      <sz val="11"/>
    </font>
    <font>
      <name val="맑은 고딕"/>
      <sz val="11"/>
    </font>
    <font>
      <name val="맑은 고딕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808080"/>
      </patternFill>
    </fill>
  </fills>
  <borders count="2">
    <border>
      <left/>
      <right/>
      <top/>
      <bottom/>
      <diagonal/>
    </border>
    <border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0" borderId="0" pivotButton="0" quotePrefix="0" xfId="0"/>
    <xf numFmtId="3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6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40" customWidth="1" min="32" max="32"/>
  </cols>
  <sheetData>
    <row r="1">
      <c r="A1" s="1" t="inlineStr">
        <is>
          <t>HKS 손익계산서</t>
        </is>
      </c>
    </row>
    <row r="2">
      <c r="A2" s="2" t="inlineStr">
        <is>
          <t>결산기 기준(27.2Q = 2027년 결산기 2분기) · 8월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FY18</t>
        </is>
      </c>
      <c r="X3" s="4" t="inlineStr">
        <is>
          <t>FY19</t>
        </is>
      </c>
      <c r="Y3" s="4" t="inlineStr">
        <is>
          <t>FY20</t>
        </is>
      </c>
      <c r="Z3" s="4" t="inlineStr">
        <is>
          <t>FY21</t>
        </is>
      </c>
      <c r="AA3" s="4" t="inlineStr">
        <is>
          <t>FY22</t>
        </is>
      </c>
      <c r="AB3" s="4" t="inlineStr">
        <is>
          <t>FY23</t>
        </is>
      </c>
      <c r="AC3" s="4" t="inlineStr">
        <is>
          <t>FY24</t>
        </is>
      </c>
      <c r="AD3" s="4" t="inlineStr">
        <is>
          <t>FY25</t>
        </is>
      </c>
      <c r="AE3" s="4" t="inlineStr">
        <is>
          <t>FY26</t>
        </is>
      </c>
      <c r="AF3" s="4" t="inlineStr">
        <is>
          <t>출처</t>
        </is>
      </c>
    </row>
    <row r="4">
      <c r="A4" s="5" t="inlineStr">
        <is>
          <t>매출액</t>
        </is>
      </c>
      <c r="C4" s="6" t="n">
        <v>18.9497</v>
      </c>
      <c r="D4" s="6" t="n">
        <v>20.3586</v>
      </c>
      <c r="E4" s="6" t="n">
        <v>22.6827</v>
      </c>
      <c r="F4" s="6" t="n">
        <v>24.3065</v>
      </c>
      <c r="G4" s="6" t="n">
        <v>21.8365</v>
      </c>
      <c r="H4" s="6" t="n">
        <v>22.7728</v>
      </c>
      <c r="I4" s="6" t="n">
        <v>22.8941</v>
      </c>
      <c r="J4" s="6" t="n">
        <v>24.9102</v>
      </c>
      <c r="K4" s="6" t="n">
        <v>20.5137</v>
      </c>
      <c r="L4" s="6" t="n">
        <v>21.5837</v>
      </c>
      <c r="M4" s="6" t="n">
        <v>22.8169</v>
      </c>
      <c r="N4" s="6" t="n">
        <v>25.1289</v>
      </c>
      <c r="O4" s="6" t="n">
        <v>21.191</v>
      </c>
      <c r="P4" s="6" t="n">
        <v>20.9755</v>
      </c>
      <c r="Q4" s="6" t="n">
        <v>23.8042</v>
      </c>
      <c r="R4" s="6" t="n">
        <v>23.7955</v>
      </c>
      <c r="S4" s="6" t="n">
        <v>20.6796</v>
      </c>
      <c r="T4" s="6" t="n">
        <v>23.5646</v>
      </c>
      <c r="U4" s="6" t="n">
        <v>26.6779</v>
      </c>
      <c r="V4" s="6" t="n">
        <v>27.9656</v>
      </c>
      <c r="W4" s="6" t="n">
        <v>73.1771</v>
      </c>
      <c r="X4" s="6" t="n">
        <v>60.9703</v>
      </c>
      <c r="Y4" s="6" t="n">
        <v>58.5402</v>
      </c>
      <c r="Z4" s="6" t="n">
        <v>79.71299999999999</v>
      </c>
      <c r="AA4" s="6" t="n">
        <v>86.2974</v>
      </c>
      <c r="AB4" s="6" t="n">
        <v>92.4136</v>
      </c>
      <c r="AC4" s="6" t="n">
        <v>90.0433</v>
      </c>
      <c r="AD4" s="6" t="n">
        <v>89.7662</v>
      </c>
      <c r="AE4" s="6" t="n">
        <v>98.88760000000001</v>
      </c>
      <c r="AF4" s="7" t="inlineStr">
        <is>
          <t>결산단신 XBRL(거래소 공시, TDnet·JPX 보관소). 쓴 문서: 2026-10-13, 2026-07-10, 2026-04-10, 2026-01-09 외 26건 — '출처' 시트에 전부</t>
        </is>
      </c>
    </row>
    <row r="5">
      <c r="A5" s="8" t="inlineStr">
        <is>
          <t>YoY</t>
        </is>
      </c>
      <c r="G5" s="9">
        <f>IF(OR(G4="",C4=""),"",IFERROR(G4/C4-1,""))</f>
        <v/>
      </c>
      <c r="H5" s="9">
        <f>IF(OR(H4="",D4=""),"",IFERROR(H4/D4-1,""))</f>
        <v/>
      </c>
      <c r="I5" s="9">
        <f>IF(OR(I4="",E4=""),"",IFERROR(I4/E4-1,""))</f>
        <v/>
      </c>
      <c r="J5" s="9">
        <f>IF(OR(J4="",F4=""),"",IFERROR(J4/F4-1,""))</f>
        <v/>
      </c>
      <c r="K5" s="9">
        <f>IF(OR(K4="",G4=""),"",IFERROR(K4/G4-1,""))</f>
        <v/>
      </c>
      <c r="L5" s="9">
        <f>IF(OR(L4="",H4=""),"",IFERROR(L4/H4-1,""))</f>
        <v/>
      </c>
      <c r="M5" s="9">
        <f>IF(OR(M4="",I4=""),"",IFERROR(M4/I4-1,""))</f>
        <v/>
      </c>
      <c r="N5" s="9">
        <f>IF(OR(N4="",J4=""),"",IFERROR(N4/J4-1,""))</f>
        <v/>
      </c>
      <c r="O5" s="9">
        <f>IF(OR(O4="",K4=""),"",IFERROR(O4/K4-1,""))</f>
        <v/>
      </c>
      <c r="P5" s="9">
        <f>IF(OR(P4="",L4=""),"",IFERROR(P4/L4-1,""))</f>
        <v/>
      </c>
      <c r="Q5" s="9">
        <f>IF(OR(Q4="",M4=""),"",IFERROR(Q4/M4-1,""))</f>
        <v/>
      </c>
      <c r="R5" s="9">
        <f>IF(OR(R4="",N4=""),"",IFERROR(R4/N4-1,""))</f>
        <v/>
      </c>
      <c r="S5" s="9">
        <f>IF(OR(S4="",O4=""),"",IFERROR(S4/O4-1,""))</f>
        <v/>
      </c>
      <c r="T5" s="9">
        <f>IF(OR(T4="",P4=""),"",IFERROR(T4/P4-1,""))</f>
        <v/>
      </c>
      <c r="U5" s="9">
        <f>IF(OR(U4="",Q4=""),"",IFERROR(U4/Q4-1,""))</f>
        <v/>
      </c>
      <c r="V5" s="9">
        <f>IF(OR(V4="",R4=""),"",IFERROR(V4/R4-1,""))</f>
        <v/>
      </c>
      <c r="X5" s="9">
        <f>IF(OR(X4="",W4=""),"",IFERROR(X4/W4-1,""))</f>
        <v/>
      </c>
      <c r="Y5" s="9">
        <f>IF(OR(Y4="",X4=""),"",IFERROR(Y4/X4-1,""))</f>
        <v/>
      </c>
      <c r="Z5" s="9">
        <f>IF(OR(Z4="",Y4=""),"",IFERROR(Z4/Y4-1,""))</f>
        <v/>
      </c>
      <c r="AA5" s="9">
        <f>IF(OR(AA4="",Z4=""),"",IFERROR(AA4/Z4-1,""))</f>
        <v/>
      </c>
      <c r="AB5" s="9">
        <f>IF(OR(AB4="",AA4=""),"",IFERROR(AB4/AA4-1,""))</f>
        <v/>
      </c>
      <c r="AC5" s="9">
        <f>IF(OR(AC4="",AB4=""),"",IFERROR(AC4/AB4-1,""))</f>
        <v/>
      </c>
      <c r="AD5" s="9">
        <f>IF(OR(AD4="",AC4=""),"",IFERROR(AD4/AC4-1,""))</f>
        <v/>
      </c>
      <c r="AE5" s="9">
        <f>IF(OR(AE4="",AD4=""),"",IFERROR(AE4/AD4-1,""))</f>
        <v/>
      </c>
    </row>
    <row r="6">
      <c r="A6" s="5" t="inlineStr">
        <is>
          <t>매출원가</t>
        </is>
      </c>
      <c r="C6" s="6" t="n">
        <v>10.819</v>
      </c>
      <c r="D6" s="6" t="n">
        <v>11.7762</v>
      </c>
      <c r="E6" s="6" t="n">
        <v>14.6232</v>
      </c>
      <c r="F6" s="6" t="n">
        <v>14.1139</v>
      </c>
      <c r="G6" s="6" t="n">
        <v>12.8665</v>
      </c>
      <c r="H6" s="6" t="n">
        <v>13.4969</v>
      </c>
      <c r="I6" s="6" t="n">
        <v>13.6006</v>
      </c>
      <c r="J6" s="6" t="n">
        <v>14.6314</v>
      </c>
      <c r="K6" s="6" t="n">
        <v>12.1843</v>
      </c>
      <c r="L6" s="6" t="n">
        <v>12.9437</v>
      </c>
      <c r="M6" s="6" t="n">
        <v>12.7835</v>
      </c>
      <c r="N6" s="6" t="n">
        <v>15.6158</v>
      </c>
      <c r="O6" s="6" t="n">
        <v>12.3827</v>
      </c>
      <c r="P6" s="6" t="n">
        <v>12.5475</v>
      </c>
      <c r="Q6" s="6" t="n">
        <v>13.9408</v>
      </c>
      <c r="R6" s="6" t="n">
        <v>14.7239</v>
      </c>
      <c r="S6" s="6" t="n">
        <v>12.385</v>
      </c>
      <c r="T6" s="6" t="n">
        <v>13.5309</v>
      </c>
      <c r="U6" s="6" t="n">
        <v>15.1632</v>
      </c>
      <c r="V6" s="6" t="n">
        <v>17.2313</v>
      </c>
      <c r="W6" s="6" t="n">
        <v>46.2388</v>
      </c>
      <c r="X6" s="6" t="n">
        <v>36.6732</v>
      </c>
      <c r="Y6" s="6" t="n">
        <v>35.1411</v>
      </c>
      <c r="Z6" s="6" t="n">
        <v>48.568</v>
      </c>
      <c r="AA6" s="6" t="n">
        <v>51.3324</v>
      </c>
      <c r="AB6" s="6" t="n">
        <v>54.5955</v>
      </c>
      <c r="AC6" s="6" t="n">
        <v>53.5273</v>
      </c>
      <c r="AD6" s="6" t="n">
        <v>53.595</v>
      </c>
      <c r="AE6" s="6" t="n">
        <v>58.3103</v>
      </c>
    </row>
    <row r="7">
      <c r="A7" s="5" t="inlineStr">
        <is>
          <t>매출총이익</t>
        </is>
      </c>
      <c r="C7" s="6" t="n">
        <v>8.130699999999999</v>
      </c>
      <c r="D7" s="6" t="n">
        <v>8.5823</v>
      </c>
      <c r="E7" s="6" t="n">
        <v>8.0595</v>
      </c>
      <c r="F7" s="6" t="n">
        <v>10.1926</v>
      </c>
      <c r="G7" s="6" t="n">
        <v>8.970000000000001</v>
      </c>
      <c r="H7" s="6" t="n">
        <v>9.2759</v>
      </c>
      <c r="I7" s="6" t="n">
        <v>9.2934</v>
      </c>
      <c r="J7" s="6" t="n">
        <v>10.2788</v>
      </c>
      <c r="K7" s="6" t="n">
        <v>8.3294</v>
      </c>
      <c r="L7" s="6" t="n">
        <v>8.6401</v>
      </c>
      <c r="M7" s="6" t="n">
        <v>10.0335</v>
      </c>
      <c r="N7" s="6" t="n">
        <v>9.5131</v>
      </c>
      <c r="O7" s="6" t="n">
        <v>8.808199999999999</v>
      </c>
      <c r="P7" s="6" t="n">
        <v>8.428000000000001</v>
      </c>
      <c r="Q7" s="6" t="n">
        <v>9.8634</v>
      </c>
      <c r="R7" s="6" t="n">
        <v>9.0716</v>
      </c>
      <c r="S7" s="6" t="n">
        <v>8.294700000000001</v>
      </c>
      <c r="T7" s="6" t="n">
        <v>10.0336</v>
      </c>
      <c r="U7" s="6" t="n">
        <v>11.5147</v>
      </c>
      <c r="V7" s="6" t="n">
        <v>10.7343</v>
      </c>
      <c r="W7" s="6" t="n">
        <v>26.9383</v>
      </c>
      <c r="X7" s="6" t="n">
        <v>24.2971</v>
      </c>
      <c r="Y7" s="6" t="n">
        <v>23.3991</v>
      </c>
      <c r="Z7" s="6" t="n">
        <v>31.145</v>
      </c>
      <c r="AA7" s="6" t="n">
        <v>34.9651</v>
      </c>
      <c r="AB7" s="6" t="n">
        <v>37.8181</v>
      </c>
      <c r="AC7" s="6" t="n">
        <v>36.5161</v>
      </c>
      <c r="AD7" s="6" t="n">
        <v>36.1712</v>
      </c>
      <c r="AE7" s="6" t="n">
        <v>40.5773</v>
      </c>
    </row>
    <row r="8">
      <c r="A8" s="8" t="inlineStr">
        <is>
          <t>매출총이익률</t>
        </is>
      </c>
      <c r="C8" s="9">
        <f>IF(OR(C7="",C4=""),"",IFERROR(C7/C4,""))</f>
        <v/>
      </c>
      <c r="D8" s="9">
        <f>IF(OR(D7="",D4=""),"",IFERROR(D7/D4,""))</f>
        <v/>
      </c>
      <c r="E8" s="9">
        <f>IF(OR(E7="",E4=""),"",IFERROR(E7/E4,""))</f>
        <v/>
      </c>
      <c r="F8" s="9">
        <f>IF(OR(F7="",F4=""),"",IFERROR(F7/F4,""))</f>
        <v/>
      </c>
      <c r="G8" s="9">
        <f>IF(OR(G7="",G4=""),"",IFERROR(G7/G4,""))</f>
        <v/>
      </c>
      <c r="H8" s="9">
        <f>IF(OR(H7="",H4=""),"",IFERROR(H7/H4,""))</f>
        <v/>
      </c>
      <c r="I8" s="9">
        <f>IF(OR(I7="",I4=""),"",IFERROR(I7/I4,""))</f>
        <v/>
      </c>
      <c r="J8" s="9">
        <f>IF(OR(J7="",J4=""),"",IFERROR(J7/J4,""))</f>
        <v/>
      </c>
      <c r="K8" s="9">
        <f>IF(OR(K7="",K4=""),"",IFERROR(K7/K4,""))</f>
        <v/>
      </c>
      <c r="L8" s="9">
        <f>IF(OR(L7="",L4=""),"",IFERROR(L7/L4,""))</f>
        <v/>
      </c>
      <c r="M8" s="9">
        <f>IF(OR(M7="",M4=""),"",IFERROR(M7/M4,""))</f>
        <v/>
      </c>
      <c r="N8" s="9">
        <f>IF(OR(N7="",N4=""),"",IFERROR(N7/N4,""))</f>
        <v/>
      </c>
      <c r="O8" s="9">
        <f>IF(OR(O7="",O4=""),"",IFERROR(O7/O4,""))</f>
        <v/>
      </c>
      <c r="P8" s="9">
        <f>IF(OR(P7="",P4=""),"",IFERROR(P7/P4,""))</f>
        <v/>
      </c>
      <c r="Q8" s="9">
        <f>IF(OR(Q7="",Q4=""),"",IFERROR(Q7/Q4,""))</f>
        <v/>
      </c>
      <c r="R8" s="9">
        <f>IF(OR(R7="",R4=""),"",IFERROR(R7/R4,""))</f>
        <v/>
      </c>
      <c r="S8" s="9">
        <f>IF(OR(S7="",S4=""),"",IFERROR(S7/S4,""))</f>
        <v/>
      </c>
      <c r="T8" s="9">
        <f>IF(OR(T7="",T4=""),"",IFERROR(T7/T4,""))</f>
        <v/>
      </c>
      <c r="U8" s="9">
        <f>IF(OR(U7="",U4=""),"",IFERROR(U7/U4,""))</f>
        <v/>
      </c>
      <c r="V8" s="9">
        <f>IF(OR(V7="",V4=""),"",IFERROR(V7/V4,""))</f>
        <v/>
      </c>
      <c r="W8" s="9">
        <f>IF(OR(W7="",W4=""),"",IFERROR(W7/W4,""))</f>
        <v/>
      </c>
      <c r="X8" s="9">
        <f>IF(OR(X7="",X4=""),"",IFERROR(X7/X4,""))</f>
        <v/>
      </c>
      <c r="Y8" s="9">
        <f>IF(OR(Y7="",Y4=""),"",IFERROR(Y7/Y4,""))</f>
        <v/>
      </c>
      <c r="Z8" s="9">
        <f>IF(OR(Z7="",Z4=""),"",IFERROR(Z7/Z4,""))</f>
        <v/>
      </c>
      <c r="AA8" s="9">
        <f>IF(OR(AA7="",AA4=""),"",IFERROR(AA7/AA4,""))</f>
        <v/>
      </c>
      <c r="AB8" s="9">
        <f>IF(OR(AB7="",AB4=""),"",IFERROR(AB7/AB4,""))</f>
        <v/>
      </c>
      <c r="AC8" s="9">
        <f>IF(OR(AC7="",AC4=""),"",IFERROR(AC7/AC4,""))</f>
        <v/>
      </c>
      <c r="AD8" s="9">
        <f>IF(OR(AD7="",AD4=""),"",IFERROR(AD7/AD4,""))</f>
        <v/>
      </c>
      <c r="AE8" s="9">
        <f>IF(OR(AE7="",AE4=""),"",IFERROR(AE7/AE4,""))</f>
        <v/>
      </c>
    </row>
    <row r="9">
      <c r="A9" s="10" t="inlineStr">
        <is>
          <t>판매운송비</t>
        </is>
      </c>
      <c r="Z9" s="11" t="n">
        <v>1.5983</v>
      </c>
      <c r="AA9" s="11" t="n">
        <v>2.71</v>
      </c>
      <c r="AB9" s="11" t="n">
        <v>2.6341</v>
      </c>
      <c r="AC9" s="11" t="n">
        <v>1.759</v>
      </c>
      <c r="AD9" s="11" t="n">
        <v>2.3901</v>
      </c>
      <c r="AE9" s="11" t="n">
        <v>4.6613</v>
      </c>
    </row>
    <row r="10">
      <c r="A10" s="10" t="inlineStr">
        <is>
          <t>광고선전비</t>
        </is>
      </c>
      <c r="W10" s="11" t="n">
        <v>1.7892</v>
      </c>
      <c r="X10" s="11" t="n">
        <v>1.465</v>
      </c>
      <c r="Y10" s="11" t="n">
        <v>1.21</v>
      </c>
      <c r="Z10" s="11" t="n">
        <v>1.365</v>
      </c>
      <c r="AA10" s="11" t="n">
        <v>1.5046</v>
      </c>
      <c r="AB10" s="11" t="n">
        <v>2.0276</v>
      </c>
      <c r="AC10" s="11" t="n">
        <v>2.3081</v>
      </c>
      <c r="AD10" s="11" t="n">
        <v>1.8165</v>
      </c>
      <c r="AE10" s="11" t="n">
        <v>2.0064</v>
      </c>
    </row>
    <row r="11">
      <c r="A11" s="10" t="inlineStr">
        <is>
          <t>대손충당금 전입</t>
        </is>
      </c>
      <c r="W11" s="11" t="n">
        <v>0</v>
      </c>
      <c r="X11" s="11" t="n">
        <v>0.0003</v>
      </c>
      <c r="Y11" s="11" t="n">
        <v>0</v>
      </c>
      <c r="Z11" s="11" t="n">
        <v>0.0629</v>
      </c>
      <c r="AA11" s="11" t="n">
        <v>0</v>
      </c>
      <c r="AB11" s="11" t="n">
        <v>0.0072</v>
      </c>
      <c r="AC11" s="11" t="n">
        <v>0.0221</v>
      </c>
      <c r="AD11" s="11" t="n">
        <v>0</v>
      </c>
      <c r="AE11" s="11" t="n">
        <v>0.0197</v>
      </c>
    </row>
    <row r="12">
      <c r="A12" s="10" t="inlineStr">
        <is>
          <t>급여·수당</t>
        </is>
      </c>
      <c r="W12" s="11" t="n">
        <v>8.104200000000001</v>
      </c>
      <c r="X12" s="11" t="n">
        <v>7.1306</v>
      </c>
      <c r="Y12" s="11" t="n">
        <v>7.173</v>
      </c>
      <c r="Z12" s="11" t="n">
        <v>8.7263</v>
      </c>
      <c r="AA12" s="11" t="n">
        <v>9.2895</v>
      </c>
      <c r="AB12" s="11" t="n">
        <v>9.793100000000001</v>
      </c>
      <c r="AC12" s="11" t="n">
        <v>10.3527</v>
      </c>
      <c r="AD12" s="11" t="n">
        <v>10.603</v>
      </c>
      <c r="AE12" s="11" t="n">
        <v>10.6778</v>
      </c>
    </row>
    <row r="13">
      <c r="A13" s="10" t="inlineStr">
        <is>
          <t>상여충당금 전입</t>
        </is>
      </c>
      <c r="W13" s="11" t="n">
        <v>0.5441</v>
      </c>
      <c r="X13" s="11" t="n">
        <v>0.5191</v>
      </c>
      <c r="Y13" s="11" t="n">
        <v>0.5244</v>
      </c>
      <c r="Z13" s="11" t="n">
        <v>0.5543</v>
      </c>
      <c r="AA13" s="11" t="n">
        <v>0.5735</v>
      </c>
      <c r="AB13" s="11" t="n">
        <v>0.604</v>
      </c>
      <c r="AC13" s="11" t="n">
        <v>0.6141</v>
      </c>
      <c r="AD13" s="11" t="n">
        <v>0.6448</v>
      </c>
      <c r="AE13" s="11" t="n">
        <v>0.6448</v>
      </c>
    </row>
    <row r="14">
      <c r="A14" s="10" t="inlineStr">
        <is>
          <t>퇴직급여비용</t>
        </is>
      </c>
      <c r="W14" s="11" t="n">
        <v>0.2474</v>
      </c>
      <c r="X14" s="11" t="n">
        <v>0.2397</v>
      </c>
      <c r="Y14" s="11" t="n">
        <v>0.219</v>
      </c>
      <c r="Z14" s="11" t="n">
        <v>0.341</v>
      </c>
      <c r="AA14" s="11" t="n">
        <v>0.4927</v>
      </c>
      <c r="AB14" s="11" t="n">
        <v>0.2982</v>
      </c>
      <c r="AC14" s="11" t="n">
        <v>0.3518</v>
      </c>
      <c r="AD14" s="11" t="n">
        <v>0.2943</v>
      </c>
      <c r="AE14" s="11" t="n">
        <v>0.4185</v>
      </c>
    </row>
    <row r="15">
      <c r="A15" s="10" t="inlineStr">
        <is>
          <t>임원 퇴직위로 충당금 전입</t>
        </is>
      </c>
      <c r="W15" s="11" t="n">
        <v>0.0915</v>
      </c>
      <c r="X15" s="11" t="n">
        <v>0.0703</v>
      </c>
      <c r="Y15" s="11" t="n">
        <v>0.07000000000000001</v>
      </c>
      <c r="Z15" s="11" t="n">
        <v>0.0755</v>
      </c>
      <c r="AA15" s="11" t="n">
        <v>0.0755</v>
      </c>
      <c r="AB15" s="11" t="n">
        <v>0.0755</v>
      </c>
      <c r="AC15" s="11" t="n">
        <v>0.0863</v>
      </c>
      <c r="AD15" s="11" t="n">
        <v>0.09</v>
      </c>
      <c r="AE15" s="11" t="n">
        <v>0.09</v>
      </c>
    </row>
    <row r="16">
      <c r="A16" s="10" t="inlineStr">
        <is>
          <t>감가상각비</t>
        </is>
      </c>
      <c r="W16" s="11" t="n">
        <v>1.8974</v>
      </c>
      <c r="X16" s="11" t="n">
        <v>2.1113</v>
      </c>
      <c r="Y16" s="11" t="n">
        <v>2.6653</v>
      </c>
      <c r="Z16" s="11" t="n">
        <v>3.2002</v>
      </c>
      <c r="AA16" s="11" t="n">
        <v>2.7639</v>
      </c>
      <c r="AB16" s="11" t="n">
        <v>2.5693</v>
      </c>
      <c r="AC16" s="11" t="n">
        <v>2.8761</v>
      </c>
      <c r="AD16" s="11" t="n">
        <v>2.549</v>
      </c>
      <c r="AE16" s="11" t="n">
        <v>2.2334</v>
      </c>
    </row>
    <row r="17">
      <c r="A17" s="10" t="inlineStr">
        <is>
          <t>기타</t>
        </is>
      </c>
      <c r="W17" s="11" t="n">
        <v>12.6296</v>
      </c>
      <c r="X17" s="11" t="n">
        <v>12.9281</v>
      </c>
      <c r="Y17" s="11" t="n">
        <v>11.9926</v>
      </c>
      <c r="Z17" s="11" t="n">
        <v>13.1571</v>
      </c>
      <c r="AA17" s="11" t="n">
        <v>14.939</v>
      </c>
      <c r="AB17" s="11" t="n">
        <v>16.065</v>
      </c>
      <c r="AC17" s="11" t="n">
        <v>15.7248</v>
      </c>
      <c r="AD17" s="11" t="n">
        <v>13.8354</v>
      </c>
      <c r="AE17" s="11" t="n">
        <v>14.0221</v>
      </c>
    </row>
    <row r="18">
      <c r="A18" s="10" t="inlineStr">
        <is>
          <t>판매비와 관리비 합계</t>
        </is>
      </c>
      <c r="C18" s="11" t="n">
        <v>6.7331</v>
      </c>
      <c r="D18" s="11" t="n">
        <v>7.2016</v>
      </c>
      <c r="E18" s="11" t="n">
        <v>7.4122</v>
      </c>
      <c r="F18" s="11" t="n">
        <v>8.2918</v>
      </c>
      <c r="G18" s="11" t="n">
        <v>7.6366</v>
      </c>
      <c r="H18" s="11" t="n">
        <v>8.284599999999999</v>
      </c>
      <c r="I18" s="11" t="n">
        <v>7.1559</v>
      </c>
      <c r="J18" s="11" t="n">
        <v>8.363</v>
      </c>
      <c r="K18" s="11" t="n">
        <v>7.9585</v>
      </c>
      <c r="L18" s="11" t="n">
        <v>7.8865</v>
      </c>
      <c r="M18" s="11" t="n">
        <v>8.1022</v>
      </c>
      <c r="N18" s="11" t="n">
        <v>8.3888</v>
      </c>
      <c r="O18" s="11" t="n">
        <v>8.011200000000001</v>
      </c>
      <c r="P18" s="11" t="n">
        <v>8.096</v>
      </c>
      <c r="Q18" s="11" t="n">
        <v>7.6992</v>
      </c>
      <c r="R18" s="11" t="n">
        <v>8.4168</v>
      </c>
      <c r="S18" s="11" t="n">
        <v>8.6914</v>
      </c>
      <c r="T18" s="11" t="n">
        <v>8.4909</v>
      </c>
      <c r="U18" s="11" t="n">
        <v>8.585699999999999</v>
      </c>
      <c r="V18" s="11" t="n">
        <v>9.0061</v>
      </c>
      <c r="W18" s="11" t="n">
        <v>25.3034</v>
      </c>
      <c r="X18" s="11" t="n">
        <v>22.9991</v>
      </c>
      <c r="Y18" s="11" t="n">
        <v>22.6443</v>
      </c>
      <c r="Z18" s="11" t="n">
        <v>27.4194</v>
      </c>
      <c r="AA18" s="11" t="n">
        <v>29.6386</v>
      </c>
      <c r="AB18" s="11" t="n">
        <v>31.44</v>
      </c>
      <c r="AC18" s="11" t="n">
        <v>32.336</v>
      </c>
      <c r="AD18" s="11" t="n">
        <v>32.2231</v>
      </c>
      <c r="AE18" s="11" t="n">
        <v>34.774</v>
      </c>
    </row>
    <row r="19">
      <c r="A19" s="5" t="inlineStr">
        <is>
          <t>영업이익</t>
        </is>
      </c>
      <c r="C19" s="6" t="n">
        <v>1.3975</v>
      </c>
      <c r="D19" s="6" t="n">
        <v>1.3807</v>
      </c>
      <c r="E19" s="6" t="n">
        <v>0.6473</v>
      </c>
      <c r="F19" s="6" t="n">
        <v>1.9009</v>
      </c>
      <c r="G19" s="6" t="n">
        <v>1.3334</v>
      </c>
      <c r="H19" s="6" t="n">
        <v>0.9913</v>
      </c>
      <c r="I19" s="6" t="n">
        <v>2.1375</v>
      </c>
      <c r="J19" s="6" t="n">
        <v>1.9158</v>
      </c>
      <c r="K19" s="6" t="n">
        <v>0.3709</v>
      </c>
      <c r="L19" s="6" t="n">
        <v>0.7536</v>
      </c>
      <c r="M19" s="6" t="n">
        <v>1.9313</v>
      </c>
      <c r="N19" s="6" t="n">
        <v>1.1243</v>
      </c>
      <c r="O19" s="6" t="n">
        <v>0.7971</v>
      </c>
      <c r="P19" s="6" t="n">
        <v>0.332</v>
      </c>
      <c r="Q19" s="6" t="n">
        <v>2.1642</v>
      </c>
      <c r="R19" s="6" t="n">
        <v>0.6548</v>
      </c>
      <c r="S19" s="6" t="n">
        <v>-0.3967</v>
      </c>
      <c r="T19" s="6" t="n">
        <v>1.5427</v>
      </c>
      <c r="U19" s="6" t="n">
        <v>2.9291</v>
      </c>
      <c r="V19" s="6" t="n">
        <v>1.7282</v>
      </c>
      <c r="W19" s="6" t="n">
        <v>1.6349</v>
      </c>
      <c r="X19" s="6" t="n">
        <v>1.298</v>
      </c>
      <c r="Y19" s="6" t="n">
        <v>0.7548</v>
      </c>
      <c r="Z19" s="6" t="n">
        <v>3.7256</v>
      </c>
      <c r="AA19" s="6" t="n">
        <v>5.3264</v>
      </c>
      <c r="AB19" s="6" t="n">
        <v>6.3781</v>
      </c>
      <c r="AC19" s="6" t="n">
        <v>4.18</v>
      </c>
      <c r="AD19" s="6" t="n">
        <v>3.9481</v>
      </c>
      <c r="AE19" s="6" t="n">
        <v>5.8033</v>
      </c>
    </row>
    <row r="20">
      <c r="A20" s="8" t="inlineStr">
        <is>
          <t>영업이익률</t>
        </is>
      </c>
      <c r="C20" s="9">
        <f>IF(OR(C19="",C4=""),"",IFERROR(C19/C4,""))</f>
        <v/>
      </c>
      <c r="D20" s="9">
        <f>IF(OR(D19="",D4=""),"",IFERROR(D19/D4,""))</f>
        <v/>
      </c>
      <c r="E20" s="9">
        <f>IF(OR(E19="",E4=""),"",IFERROR(E19/E4,""))</f>
        <v/>
      </c>
      <c r="F20" s="9">
        <f>IF(OR(F19="",F4=""),"",IFERROR(F19/F4,""))</f>
        <v/>
      </c>
      <c r="G20" s="9">
        <f>IF(OR(G19="",G4=""),"",IFERROR(G19/G4,""))</f>
        <v/>
      </c>
      <c r="H20" s="9">
        <f>IF(OR(H19="",H4=""),"",IFERROR(H19/H4,""))</f>
        <v/>
      </c>
      <c r="I20" s="9">
        <f>IF(OR(I19="",I4=""),"",IFERROR(I19/I4,""))</f>
        <v/>
      </c>
      <c r="J20" s="9">
        <f>IF(OR(J19="",J4=""),"",IFERROR(J19/J4,""))</f>
        <v/>
      </c>
      <c r="K20" s="9">
        <f>IF(OR(K19="",K4=""),"",IFERROR(K19/K4,""))</f>
        <v/>
      </c>
      <c r="L20" s="9">
        <f>IF(OR(L19="",L4=""),"",IFERROR(L19/L4,""))</f>
        <v/>
      </c>
      <c r="M20" s="9">
        <f>IF(OR(M19="",M4=""),"",IFERROR(M19/M4,""))</f>
        <v/>
      </c>
      <c r="N20" s="9">
        <f>IF(OR(N19="",N4=""),"",IFERROR(N19/N4,""))</f>
        <v/>
      </c>
      <c r="O20" s="9">
        <f>IF(OR(O19="",O4=""),"",IFERROR(O19/O4,""))</f>
        <v/>
      </c>
      <c r="P20" s="9">
        <f>IF(OR(P19="",P4=""),"",IFERROR(P19/P4,""))</f>
        <v/>
      </c>
      <c r="Q20" s="9">
        <f>IF(OR(Q19="",Q4=""),"",IFERROR(Q19/Q4,""))</f>
        <v/>
      </c>
      <c r="R20" s="9">
        <f>IF(OR(R19="",R4=""),"",IFERROR(R19/R4,""))</f>
        <v/>
      </c>
      <c r="S20" s="9">
        <f>IF(OR(S19="",S4=""),"",IFERROR(S19/S4,""))</f>
        <v/>
      </c>
      <c r="T20" s="9">
        <f>IF(OR(T19="",T4=""),"",IFERROR(T19/T4,""))</f>
        <v/>
      </c>
      <c r="U20" s="9">
        <f>IF(OR(U19="",U4=""),"",IFERROR(U19/U4,""))</f>
        <v/>
      </c>
      <c r="V20" s="9">
        <f>IF(OR(V19="",V4=""),"",IFERROR(V19/V4,""))</f>
        <v/>
      </c>
      <c r="W20" s="9">
        <f>IF(OR(W19="",W4=""),"",IFERROR(W19/W4,""))</f>
        <v/>
      </c>
      <c r="X20" s="9">
        <f>IF(OR(X19="",X4=""),"",IFERROR(X19/X4,""))</f>
        <v/>
      </c>
      <c r="Y20" s="9">
        <f>IF(OR(Y19="",Y4=""),"",IFERROR(Y19/Y4,""))</f>
        <v/>
      </c>
      <c r="Z20" s="9">
        <f>IF(OR(Z19="",Z4=""),"",IFERROR(Z19/Z4,""))</f>
        <v/>
      </c>
      <c r="AA20" s="9">
        <f>IF(OR(AA19="",AA4=""),"",IFERROR(AA19/AA4,""))</f>
        <v/>
      </c>
      <c r="AB20" s="9">
        <f>IF(OR(AB19="",AB4=""),"",IFERROR(AB19/AB4,""))</f>
        <v/>
      </c>
      <c r="AC20" s="9">
        <f>IF(OR(AC19="",AC4=""),"",IFERROR(AC19/AC4,""))</f>
        <v/>
      </c>
      <c r="AD20" s="9">
        <f>IF(OR(AD19="",AD4=""),"",IFERROR(AD19/AD4,""))</f>
        <v/>
      </c>
      <c r="AE20" s="9">
        <f>IF(OR(AE19="",AE4=""),"",IFERROR(AE19/AE4,""))</f>
        <v/>
      </c>
    </row>
    <row r="21">
      <c r="A21" s="8" t="inlineStr">
        <is>
          <t>YoY</t>
        </is>
      </c>
      <c r="G21" s="9">
        <f>IF(OR(G19="",C19=""),"",IFERROR(G19/C19-1,""))</f>
        <v/>
      </c>
      <c r="H21" s="9">
        <f>IF(OR(H19="",D19=""),"",IFERROR(H19/D19-1,""))</f>
        <v/>
      </c>
      <c r="I21" s="9">
        <f>IF(OR(I19="",E19=""),"",IFERROR(I19/E19-1,""))</f>
        <v/>
      </c>
      <c r="J21" s="9">
        <f>IF(OR(J19="",F19=""),"",IFERROR(J19/F19-1,""))</f>
        <v/>
      </c>
      <c r="K21" s="9">
        <f>IF(OR(K19="",G19=""),"",IFERROR(K19/G19-1,""))</f>
        <v/>
      </c>
      <c r="L21" s="9">
        <f>IF(OR(L19="",H19=""),"",IFERROR(L19/H19-1,""))</f>
        <v/>
      </c>
      <c r="M21" s="9">
        <f>IF(OR(M19="",I19=""),"",IFERROR(M19/I19-1,""))</f>
        <v/>
      </c>
      <c r="N21" s="9">
        <f>IF(OR(N19="",J19=""),"",IFERROR(N19/J19-1,""))</f>
        <v/>
      </c>
      <c r="O21" s="9">
        <f>IF(OR(O19="",K19=""),"",IFERROR(O19/K19-1,""))</f>
        <v/>
      </c>
      <c r="P21" s="9">
        <f>IF(OR(P19="",L19=""),"",IFERROR(P19/L19-1,""))</f>
        <v/>
      </c>
      <c r="Q21" s="9">
        <f>IF(OR(Q19="",M19=""),"",IFERROR(Q19/M19-1,""))</f>
        <v/>
      </c>
      <c r="R21" s="9">
        <f>IF(OR(R19="",N19=""),"",IFERROR(R19/N19-1,""))</f>
        <v/>
      </c>
      <c r="S21" s="9">
        <f>IF(OR(S19="",O19=""),"",IFERROR(S19/O19-1,""))</f>
        <v/>
      </c>
      <c r="T21" s="9">
        <f>IF(OR(T19="",P19=""),"",IFERROR(T19/P19-1,""))</f>
        <v/>
      </c>
      <c r="U21" s="9">
        <f>IF(OR(U19="",Q19=""),"",IFERROR(U19/Q19-1,""))</f>
        <v/>
      </c>
      <c r="V21" s="9">
        <f>IF(OR(V19="",R19=""),"",IFERROR(V19/R19-1,""))</f>
        <v/>
      </c>
      <c r="X21" s="9">
        <f>IF(OR(X19="",W19=""),"",IFERROR(X19/W19-1,""))</f>
        <v/>
      </c>
      <c r="Y21" s="9">
        <f>IF(OR(Y19="",X19=""),"",IFERROR(Y19/X19-1,""))</f>
        <v/>
      </c>
      <c r="Z21" s="9">
        <f>IF(OR(Z19="",Y19=""),"",IFERROR(Z19/Y19-1,""))</f>
        <v/>
      </c>
      <c r="AA21" s="9">
        <f>IF(OR(AA19="",Z19=""),"",IFERROR(AA19/Z19-1,""))</f>
        <v/>
      </c>
      <c r="AB21" s="9">
        <f>IF(OR(AB19="",AA19=""),"",IFERROR(AB19/AA19-1,""))</f>
        <v/>
      </c>
      <c r="AC21" s="9">
        <f>IF(OR(AC19="",AB19=""),"",IFERROR(AC19/AB19-1,""))</f>
        <v/>
      </c>
      <c r="AD21" s="9">
        <f>IF(OR(AD19="",AC19=""),"",IFERROR(AD19/AC19-1,""))</f>
        <v/>
      </c>
      <c r="AE21" s="9">
        <f>IF(OR(AE19="",AD19=""),"",IFERROR(AE19/AD19-1,""))</f>
        <v/>
      </c>
    </row>
    <row r="22">
      <c r="A22" s="10" t="inlineStr">
        <is>
          <t>이자·배당금 수익</t>
        </is>
      </c>
      <c r="W22" s="11" t="n">
        <v>0.0893</v>
      </c>
      <c r="X22" s="11" t="n">
        <v>0.3552</v>
      </c>
      <c r="Y22" s="11" t="n">
        <v>0.5234</v>
      </c>
      <c r="Z22" s="11" t="n">
        <v>0.4878</v>
      </c>
      <c r="AA22" s="11" t="n">
        <v>0.8749</v>
      </c>
      <c r="AB22" s="11" t="n">
        <v>1.1759</v>
      </c>
      <c r="AC22" s="11" t="n">
        <v>0.8618</v>
      </c>
      <c r="AD22" s="11" t="n">
        <v>0.8656</v>
      </c>
      <c r="AE22" s="11" t="n">
        <v>0.3354</v>
      </c>
    </row>
    <row r="23">
      <c r="A23" s="10" t="inlineStr">
        <is>
          <t>이자수익</t>
        </is>
      </c>
      <c r="C23" s="11" t="n">
        <v>0.0164</v>
      </c>
      <c r="D23" s="11" t="n">
        <v>0.018</v>
      </c>
      <c r="E23" s="11" t="n">
        <v>0.0276</v>
      </c>
      <c r="F23" s="11" t="n">
        <v>-0.0362</v>
      </c>
      <c r="G23" s="11" t="n">
        <v>0.0258</v>
      </c>
      <c r="H23" s="11" t="n">
        <v>0.0285</v>
      </c>
      <c r="I23" s="11" t="n">
        <v>0.0312</v>
      </c>
      <c r="J23" s="11" t="n">
        <v>-0.0682</v>
      </c>
      <c r="K23" s="11" t="n">
        <v>0.0224</v>
      </c>
      <c r="L23" s="11" t="n">
        <v>0.0228</v>
      </c>
      <c r="M23" s="11" t="n">
        <v>0.0199</v>
      </c>
      <c r="N23" s="11" t="n">
        <v>-0.0317</v>
      </c>
      <c r="O23" s="11" t="n">
        <v>0.0304</v>
      </c>
      <c r="P23" s="11" t="n">
        <v>0.0393</v>
      </c>
      <c r="Q23" s="11" t="n">
        <v>0.0138</v>
      </c>
      <c r="R23" s="11" t="n">
        <v>-0.0118</v>
      </c>
      <c r="S23" s="11" t="n">
        <v>0.0503</v>
      </c>
      <c r="T23" s="11" t="n">
        <v>0.0378</v>
      </c>
      <c r="U23" s="11" t="n">
        <v>0.0274</v>
      </c>
      <c r="V23" s="11" t="n">
        <v>-0.0022</v>
      </c>
      <c r="W23" s="11" t="n">
        <v>0.0182</v>
      </c>
      <c r="X23" s="11" t="n">
        <v>0.0169</v>
      </c>
      <c r="Y23" s="11" t="n">
        <v>0.0147</v>
      </c>
      <c r="Z23" s="11" t="n">
        <v>0.0113</v>
      </c>
      <c r="AA23" s="11" t="n">
        <v>0.0257</v>
      </c>
      <c r="AB23" s="11" t="n">
        <v>0.0173</v>
      </c>
      <c r="AC23" s="11" t="n">
        <v>0.0334</v>
      </c>
      <c r="AD23" s="11" t="n">
        <v>0.0717</v>
      </c>
      <c r="AE23" s="11" t="n">
        <v>0.1133</v>
      </c>
    </row>
    <row r="24">
      <c r="A24" s="10" t="inlineStr">
        <is>
          <t>유가증권 이자</t>
        </is>
      </c>
      <c r="W24" s="11" t="n">
        <v>0.0532</v>
      </c>
      <c r="X24" s="11" t="n">
        <v>0.0512</v>
      </c>
      <c r="Y24" s="11" t="n">
        <v>0.0578</v>
      </c>
      <c r="Z24" s="11" t="n">
        <v>0.0609</v>
      </c>
      <c r="AA24" s="11" t="n">
        <v>0.067</v>
      </c>
      <c r="AB24" s="11" t="n">
        <v>0.09569999999999999</v>
      </c>
      <c r="AC24" s="11" t="n">
        <v>0.0578</v>
      </c>
      <c r="AD24" s="11" t="n">
        <v>0.0488</v>
      </c>
      <c r="AE24" s="11" t="n">
        <v>0.0537</v>
      </c>
    </row>
    <row r="25">
      <c r="A25" s="10" t="inlineStr">
        <is>
          <t>배당금수익</t>
        </is>
      </c>
      <c r="C25" s="11" t="n">
        <v>0</v>
      </c>
      <c r="D25" s="11" t="n">
        <v>0.0293</v>
      </c>
      <c r="E25" s="11" t="n">
        <v>0.0014</v>
      </c>
      <c r="F25" s="11" t="n">
        <v>0.0323</v>
      </c>
      <c r="G25" s="11" t="n">
        <v>0</v>
      </c>
      <c r="H25" s="11" t="n">
        <v>0.0319</v>
      </c>
      <c r="I25" s="11" t="n">
        <v>0.007900000000000001</v>
      </c>
      <c r="J25" s="11" t="n">
        <v>0.0393</v>
      </c>
      <c r="K25" s="11" t="n">
        <v>0</v>
      </c>
      <c r="L25" s="11" t="n">
        <v>0.0368</v>
      </c>
      <c r="M25" s="11" t="n">
        <v>0.0044</v>
      </c>
      <c r="N25" s="11" t="n">
        <v>0.0468</v>
      </c>
      <c r="O25" s="11" t="n">
        <v>0.002</v>
      </c>
      <c r="P25" s="11" t="n">
        <v>0.0437</v>
      </c>
      <c r="Q25" s="11" t="n">
        <v>0.0066</v>
      </c>
      <c r="R25" s="11" t="n">
        <v>0.0616</v>
      </c>
      <c r="S25" s="11" t="n">
        <v>0.002</v>
      </c>
      <c r="T25" s="11" t="n">
        <v>0.063</v>
      </c>
      <c r="U25" s="11" t="n">
        <v>0.0083</v>
      </c>
      <c r="V25" s="11" t="n">
        <v>0.0722</v>
      </c>
      <c r="W25" s="11" t="n">
        <v>0.0534</v>
      </c>
      <c r="X25" s="11" t="n">
        <v>0.0549</v>
      </c>
      <c r="Y25" s="11" t="n">
        <v>0.0574</v>
      </c>
      <c r="Z25" s="11" t="n">
        <v>0.0594</v>
      </c>
      <c r="AA25" s="11" t="n">
        <v>0.063</v>
      </c>
      <c r="AB25" s="11" t="n">
        <v>0.07920000000000001</v>
      </c>
      <c r="AC25" s="11" t="n">
        <v>0.0881</v>
      </c>
      <c r="AD25" s="11" t="n">
        <v>0.1138</v>
      </c>
      <c r="AE25" s="11" t="n">
        <v>0.1454</v>
      </c>
    </row>
    <row r="26">
      <c r="A26" s="10" t="inlineStr">
        <is>
          <t>외환차익</t>
        </is>
      </c>
      <c r="C26" s="11" t="n">
        <v>0.2022</v>
      </c>
      <c r="D26" s="11" t="n">
        <v>0.2144</v>
      </c>
      <c r="E26" s="11" t="n">
        <v>0.7517</v>
      </c>
      <c r="F26" s="11" t="n">
        <v>0.2805</v>
      </c>
      <c r="G26" s="11" t="n">
        <v>0</v>
      </c>
      <c r="H26" s="11" t="n">
        <v>0</v>
      </c>
      <c r="I26" s="11" t="n">
        <v>0.0407</v>
      </c>
      <c r="J26" s="11" t="n">
        <v>0.4454</v>
      </c>
      <c r="K26" s="11" t="n">
        <v>0.168</v>
      </c>
      <c r="L26" s="11" t="n">
        <v>0.059</v>
      </c>
      <c r="M26" s="11" t="n">
        <v>0.3395</v>
      </c>
      <c r="N26" s="11" t="n">
        <v>-0.3176</v>
      </c>
      <c r="O26" s="11" t="n">
        <v>0.245</v>
      </c>
      <c r="P26" s="11" t="n">
        <v>0.1186</v>
      </c>
      <c r="Q26" s="11" t="n">
        <v>-0.3635</v>
      </c>
      <c r="R26" s="11" t="n">
        <v>0.1752</v>
      </c>
      <c r="S26" s="11" t="n">
        <v>0.5557</v>
      </c>
      <c r="T26" s="11" t="n">
        <v>0.3595</v>
      </c>
      <c r="U26" s="11" t="n">
        <v>0.1634</v>
      </c>
      <c r="V26" s="11" t="n">
        <v>0.0609</v>
      </c>
      <c r="W26" s="11" t="n">
        <v>0.1731</v>
      </c>
      <c r="X26" s="11" t="n">
        <v>0</v>
      </c>
      <c r="Y26" s="11" t="n">
        <v>0</v>
      </c>
      <c r="Z26" s="11" t="n">
        <v>0.4624</v>
      </c>
      <c r="AA26" s="11" t="n">
        <v>1.4487</v>
      </c>
      <c r="AB26" s="11" t="n">
        <v>0.4861</v>
      </c>
      <c r="AC26" s="11" t="n">
        <v>0.2488</v>
      </c>
      <c r="AD26" s="11" t="n">
        <v>0.1752</v>
      </c>
      <c r="AE26" s="11" t="n">
        <v>1.1394</v>
      </c>
    </row>
    <row r="27">
      <c r="A27" s="10" t="inlineStr">
        <is>
          <t>임대료 수익</t>
        </is>
      </c>
      <c r="W27" s="11" t="n">
        <v>0.0524</v>
      </c>
      <c r="X27" s="11" t="n">
        <v>0.0409</v>
      </c>
      <c r="Y27" s="11" t="n">
        <v>0.0485</v>
      </c>
      <c r="Z27" s="11" t="n">
        <v>0.0498</v>
      </c>
      <c r="AA27" s="11" t="n">
        <v>0.0409</v>
      </c>
      <c r="AB27" s="11" t="n">
        <v>0.0409</v>
      </c>
      <c r="AC27" s="11" t="n">
        <v>0.0409</v>
      </c>
      <c r="AD27" s="11" t="n">
        <v>0.0409</v>
      </c>
      <c r="AE27" s="11" t="n">
        <v>0.0409</v>
      </c>
    </row>
    <row r="28">
      <c r="A28" s="10" t="inlineStr">
        <is>
          <t>사무수수료 수익</t>
        </is>
      </c>
      <c r="W28" s="11" t="n">
        <v>0.0689</v>
      </c>
      <c r="X28" s="11" t="n">
        <v>0.0679</v>
      </c>
      <c r="Y28" s="11" t="n">
        <v>0.0675</v>
      </c>
      <c r="Z28" s="11" t="n">
        <v>0.0669</v>
      </c>
      <c r="AA28" s="11" t="n">
        <v>0.067</v>
      </c>
      <c r="AB28" s="11" t="n">
        <v>0.0565</v>
      </c>
      <c r="AC28" s="11" t="n">
        <v>0.0537</v>
      </c>
      <c r="AD28" s="11" t="n">
        <v>0.0535</v>
      </c>
      <c r="AE28" s="11" t="n">
        <v>0.0533</v>
      </c>
    </row>
    <row r="29">
      <c r="A29" s="10" t="inlineStr">
        <is>
          <t>대손충당금 환입</t>
        </is>
      </c>
      <c r="C29" s="11" t="n">
        <v>0.0167</v>
      </c>
      <c r="D29" s="11" t="n">
        <v>0.0273</v>
      </c>
      <c r="E29" s="11" t="n">
        <v>-0.044</v>
      </c>
      <c r="F29" s="11" t="n">
        <v>0.008</v>
      </c>
      <c r="G29" s="11" t="n">
        <v>0</v>
      </c>
      <c r="H29" s="11" t="n">
        <v>0</v>
      </c>
      <c r="K29" s="11" t="n">
        <v>0.0127</v>
      </c>
      <c r="L29" s="11" t="n">
        <v>-0.0127</v>
      </c>
      <c r="M29" s="11" t="n">
        <v>0</v>
      </c>
      <c r="N29" s="11" t="n">
        <v>0</v>
      </c>
      <c r="O29" s="11" t="n">
        <v>0.0061</v>
      </c>
      <c r="P29" s="11" t="n">
        <v>0.0065</v>
      </c>
      <c r="Q29" s="11" t="n">
        <v>0.0321</v>
      </c>
      <c r="R29" s="11" t="n">
        <v>-0.0071</v>
      </c>
      <c r="S29" s="11" t="n">
        <v>0</v>
      </c>
      <c r="T29" s="11" t="n">
        <v>0</v>
      </c>
      <c r="U29" s="11" t="n">
        <v>0</v>
      </c>
      <c r="V29" s="11" t="n">
        <v>0</v>
      </c>
      <c r="W29" s="11" t="n">
        <v>0.0588</v>
      </c>
      <c r="X29" s="11" t="n">
        <v>0.0235</v>
      </c>
      <c r="Y29" s="11" t="n">
        <v>0.0393</v>
      </c>
      <c r="Z29" s="11" t="n">
        <v>0</v>
      </c>
      <c r="AA29" s="11" t="n">
        <v>0.008</v>
      </c>
      <c r="AB29" s="11" t="n">
        <v>0.0149</v>
      </c>
      <c r="AC29" s="11" t="n">
        <v>0</v>
      </c>
      <c r="AD29" s="11" t="n">
        <v>0.0377</v>
      </c>
      <c r="AE29" s="11" t="n">
        <v>0</v>
      </c>
    </row>
    <row r="30">
      <c r="A30" s="10" t="inlineStr">
        <is>
          <t>스크랩 매각이익</t>
        </is>
      </c>
      <c r="C30" s="11" t="n">
        <v>0.023</v>
      </c>
      <c r="D30" s="11" t="n">
        <v>0.0234</v>
      </c>
      <c r="G30" s="11" t="n">
        <v>0.0248</v>
      </c>
      <c r="H30" s="11" t="n">
        <v>0.0187</v>
      </c>
      <c r="I30" s="11" t="n">
        <v>0.0301</v>
      </c>
      <c r="J30" s="11" t="n">
        <v>0.0235</v>
      </c>
      <c r="K30" s="11" t="n">
        <v>0.0286</v>
      </c>
      <c r="L30" s="11" t="n">
        <v>0.0265</v>
      </c>
      <c r="M30" s="11" t="n">
        <v>0.035</v>
      </c>
      <c r="N30" s="11" t="n">
        <v>0.0237</v>
      </c>
      <c r="O30" s="11" t="n">
        <v>0.0248</v>
      </c>
      <c r="P30" s="11" t="n">
        <v>0.0391</v>
      </c>
      <c r="Q30" s="11" t="n">
        <v>0.0215</v>
      </c>
      <c r="R30" s="11" t="n">
        <v>0.019</v>
      </c>
      <c r="S30" s="11" t="n">
        <v>0.0184</v>
      </c>
      <c r="T30" s="11" t="n">
        <v>0.0326</v>
      </c>
      <c r="U30" s="11" t="n">
        <v>0.0261</v>
      </c>
      <c r="V30" s="11" t="n">
        <v>0.0271</v>
      </c>
      <c r="W30" s="11" t="n">
        <v>0.0559</v>
      </c>
      <c r="X30" s="11" t="n">
        <v>0.0414</v>
      </c>
      <c r="Y30" s="11" t="n">
        <v>0.0193</v>
      </c>
      <c r="Z30" s="11" t="n">
        <v>0.0607</v>
      </c>
      <c r="AA30" s="11" t="n">
        <v>0.0988</v>
      </c>
      <c r="AB30" s="11" t="n">
        <v>0.097</v>
      </c>
      <c r="AC30" s="11" t="n">
        <v>0.1139</v>
      </c>
      <c r="AD30" s="11" t="n">
        <v>0.1043</v>
      </c>
      <c r="AE30" s="11" t="n">
        <v>0.1041</v>
      </c>
    </row>
    <row r="31">
      <c r="A31" s="10" t="inlineStr">
        <is>
          <t>보험환급금</t>
        </is>
      </c>
      <c r="W31" s="11" t="n">
        <v>0.093</v>
      </c>
      <c r="X31" s="11" t="n">
        <v>0.0542</v>
      </c>
      <c r="Y31" s="11" t="n">
        <v>0</v>
      </c>
    </row>
    <row r="32">
      <c r="A32" s="10" t="inlineStr">
        <is>
          <t>기타</t>
        </is>
      </c>
      <c r="C32" s="11" t="n">
        <v>0.0579</v>
      </c>
      <c r="D32" s="11" t="n">
        <v>0.0665</v>
      </c>
      <c r="E32" s="11" t="n">
        <v>0.1172</v>
      </c>
      <c r="F32" s="11" t="n">
        <v>-0.0351</v>
      </c>
      <c r="G32" s="11" t="n">
        <v>0.0337</v>
      </c>
      <c r="H32" s="11" t="n">
        <v>0.0158</v>
      </c>
      <c r="I32" s="11" t="n">
        <v>0.093</v>
      </c>
      <c r="J32" s="11" t="n">
        <v>0.0491</v>
      </c>
      <c r="K32" s="11" t="n">
        <v>0.0776</v>
      </c>
      <c r="L32" s="11" t="n">
        <v>0.005</v>
      </c>
      <c r="M32" s="11" t="n">
        <v>0.017</v>
      </c>
      <c r="N32" s="11" t="n">
        <v>0.0152</v>
      </c>
      <c r="O32" s="11" t="n">
        <v>0.0289</v>
      </c>
      <c r="P32" s="11" t="n">
        <v>0.0256</v>
      </c>
      <c r="Q32" s="11" t="n">
        <v>0.0558</v>
      </c>
      <c r="R32" s="11" t="n">
        <v>0.0174</v>
      </c>
      <c r="S32" s="11" t="n">
        <v>0.0376</v>
      </c>
      <c r="T32" s="11" t="n">
        <v>0.016</v>
      </c>
      <c r="U32" s="11" t="n">
        <v>0.0659</v>
      </c>
      <c r="V32" s="11" t="n">
        <v>0.1117</v>
      </c>
      <c r="W32" s="11" t="n">
        <v>0.1763</v>
      </c>
      <c r="X32" s="11" t="n">
        <v>0.09030000000000001</v>
      </c>
      <c r="Y32" s="11" t="n">
        <v>0.136</v>
      </c>
      <c r="Z32" s="11" t="n">
        <v>0.1812</v>
      </c>
      <c r="AA32" s="11" t="n">
        <v>0.2065</v>
      </c>
      <c r="AB32" s="11" t="n">
        <v>0.1916</v>
      </c>
      <c r="AC32" s="11" t="n">
        <v>0.1148</v>
      </c>
      <c r="AD32" s="11" t="n">
        <v>0.1276</v>
      </c>
      <c r="AE32" s="11" t="n">
        <v>0.2312</v>
      </c>
    </row>
    <row r="33">
      <c r="A33" s="5" t="inlineStr">
        <is>
          <t>영업외수익 합계</t>
        </is>
      </c>
      <c r="C33" s="6" t="n">
        <v>0.3163</v>
      </c>
      <c r="D33" s="6" t="n">
        <v>0.3788</v>
      </c>
      <c r="E33" s="6" t="n">
        <v>0.8073</v>
      </c>
      <c r="F33" s="6" t="n">
        <v>0.4152</v>
      </c>
      <c r="G33" s="6" t="n">
        <v>0.0843</v>
      </c>
      <c r="H33" s="6" t="n">
        <v>0.095</v>
      </c>
      <c r="I33" s="6" t="n">
        <v>0.2029</v>
      </c>
      <c r="J33" s="6" t="n">
        <v>0.5848</v>
      </c>
      <c r="K33" s="6" t="n">
        <v>0.3093</v>
      </c>
      <c r="L33" s="6" t="n">
        <v>0.1374</v>
      </c>
      <c r="M33" s="6" t="n">
        <v>0.4158</v>
      </c>
      <c r="N33" s="6" t="n">
        <v>-0.2057</v>
      </c>
      <c r="O33" s="6" t="n">
        <v>0.3372</v>
      </c>
      <c r="P33" s="6" t="n">
        <v>0.2728</v>
      </c>
      <c r="Q33" s="6" t="n">
        <v>-0.2338</v>
      </c>
      <c r="R33" s="6" t="n">
        <v>0.303</v>
      </c>
      <c r="S33" s="6" t="n">
        <v>0.664</v>
      </c>
      <c r="T33" s="6" t="n">
        <v>0.5088</v>
      </c>
      <c r="U33" s="6" t="n">
        <v>0.2911</v>
      </c>
      <c r="V33" s="6" t="n">
        <v>0.3233</v>
      </c>
      <c r="W33" s="6" t="n">
        <v>0.6756</v>
      </c>
      <c r="X33" s="6" t="n">
        <v>0.6705</v>
      </c>
      <c r="Y33" s="6" t="n">
        <v>0.8918</v>
      </c>
      <c r="Z33" s="6" t="n">
        <v>0.8857</v>
      </c>
      <c r="AA33" s="6" t="n">
        <v>1.9177</v>
      </c>
      <c r="AB33" s="6" t="n">
        <v>0.9669</v>
      </c>
      <c r="AC33" s="6" t="n">
        <v>0.6568000000000001</v>
      </c>
      <c r="AD33" s="6" t="n">
        <v>0.6792</v>
      </c>
      <c r="AE33" s="6" t="n">
        <v>1.7872</v>
      </c>
    </row>
    <row r="34">
      <c r="A34" s="10" t="inlineStr">
        <is>
          <t>이자비용</t>
        </is>
      </c>
      <c r="C34" s="11" t="n">
        <v>0.0127</v>
      </c>
      <c r="D34" s="11" t="n">
        <v>0.0098</v>
      </c>
      <c r="E34" s="11" t="n">
        <v>0.022</v>
      </c>
      <c r="F34" s="11" t="n">
        <v>-0.0332</v>
      </c>
      <c r="G34" s="11" t="n">
        <v>0.0158</v>
      </c>
      <c r="H34" s="11" t="n">
        <v>0.0302</v>
      </c>
      <c r="I34" s="11" t="n">
        <v>0.0326</v>
      </c>
      <c r="J34" s="11" t="n">
        <v>-0.0487</v>
      </c>
      <c r="K34" s="11" t="n">
        <v>0.008200000000000001</v>
      </c>
      <c r="L34" s="11" t="n">
        <v>0.0081</v>
      </c>
      <c r="M34" s="11" t="n">
        <v>0.0095</v>
      </c>
      <c r="N34" s="11" t="n">
        <v>0.008</v>
      </c>
      <c r="O34" s="11" t="n">
        <v>0.0083</v>
      </c>
      <c r="P34" s="11" t="n">
        <v>0.0089</v>
      </c>
      <c r="Q34" s="11" t="n">
        <v>0.0094</v>
      </c>
      <c r="R34" s="11" t="n">
        <v>0.0092</v>
      </c>
      <c r="S34" s="11" t="n">
        <v>0.008500000000000001</v>
      </c>
      <c r="T34" s="11" t="n">
        <v>0.0133</v>
      </c>
      <c r="U34" s="11" t="n">
        <v>0.0142</v>
      </c>
      <c r="V34" s="11" t="n">
        <v>0.0155</v>
      </c>
      <c r="W34" s="11" t="n">
        <v>0.08690000000000001</v>
      </c>
      <c r="X34" s="11" t="n">
        <v>0.0443</v>
      </c>
      <c r="Y34" s="11" t="n">
        <v>0.0483</v>
      </c>
      <c r="Z34" s="11" t="n">
        <v>0.0448</v>
      </c>
      <c r="AA34" s="11" t="n">
        <v>0.0114</v>
      </c>
      <c r="AB34" s="11" t="n">
        <v>0.0299</v>
      </c>
      <c r="AC34" s="11" t="n">
        <v>0.0338</v>
      </c>
      <c r="AD34" s="11" t="n">
        <v>0.0357</v>
      </c>
      <c r="AE34" s="11" t="n">
        <v>0.0515</v>
      </c>
    </row>
    <row r="35">
      <c r="A35" s="10" t="inlineStr">
        <is>
          <t>외환차손</t>
        </is>
      </c>
      <c r="C35" s="11" t="n">
        <v>0</v>
      </c>
      <c r="D35" s="11" t="n">
        <v>0</v>
      </c>
      <c r="G35" s="11" t="n">
        <v>0.1198</v>
      </c>
      <c r="H35" s="11" t="n">
        <v>0.1037</v>
      </c>
      <c r="K35" s="11" t="n">
        <v>0</v>
      </c>
      <c r="L35" s="11" t="n">
        <v>0</v>
      </c>
      <c r="M35" s="11" t="n">
        <v>0</v>
      </c>
      <c r="N35" s="11" t="n">
        <v>0.0516</v>
      </c>
      <c r="R35" s="11" t="n">
        <v>-0.0051</v>
      </c>
      <c r="W35" s="11" t="n">
        <v>0</v>
      </c>
      <c r="X35" s="11" t="n">
        <v>0.0678</v>
      </c>
      <c r="Y35" s="11" t="n">
        <v>0.0323</v>
      </c>
      <c r="Z35" s="11" t="n">
        <v>0</v>
      </c>
      <c r="AB35" s="11" t="n">
        <v>0</v>
      </c>
      <c r="AC35" s="11" t="n">
        <v>0.0516</v>
      </c>
      <c r="AD35" s="11" t="n">
        <v>0</v>
      </c>
    </row>
    <row r="36">
      <c r="A36" s="10" t="inlineStr">
        <is>
          <t>기타</t>
        </is>
      </c>
      <c r="C36" s="11" t="n">
        <v>0.0032</v>
      </c>
      <c r="D36" s="11" t="n">
        <v>0.0018</v>
      </c>
      <c r="E36" s="11" t="n">
        <v>0.0025</v>
      </c>
      <c r="F36" s="11" t="n">
        <v>0.0153</v>
      </c>
      <c r="G36" s="11" t="n">
        <v>0.0075</v>
      </c>
      <c r="H36" s="11" t="n">
        <v>0.0306</v>
      </c>
      <c r="I36" s="11" t="n">
        <v>0.0058</v>
      </c>
      <c r="J36" s="11" t="n">
        <v>0.0125</v>
      </c>
      <c r="K36" s="11" t="n">
        <v>0.0046</v>
      </c>
      <c r="L36" s="11" t="n">
        <v>0.0011</v>
      </c>
      <c r="M36" s="11" t="n">
        <v>0.0307</v>
      </c>
      <c r="N36" s="11" t="n">
        <v>-0.0029</v>
      </c>
      <c r="O36" s="11" t="n">
        <v>0.0025</v>
      </c>
      <c r="P36" s="11" t="n">
        <v>0.0038</v>
      </c>
      <c r="Q36" s="11" t="n">
        <v>0.0065</v>
      </c>
      <c r="R36" s="11" t="n">
        <v>0.0028</v>
      </c>
      <c r="S36" s="11" t="n">
        <v>0.0183</v>
      </c>
      <c r="T36" s="11" t="n">
        <v>-0.008500000000000001</v>
      </c>
      <c r="U36" s="11" t="n">
        <v>0.0004</v>
      </c>
      <c r="V36" s="11" t="n">
        <v>0.0005999999999999999</v>
      </c>
      <c r="W36" s="11" t="n">
        <v>0.008399999999999999</v>
      </c>
      <c r="X36" s="11" t="n">
        <v>0.0125</v>
      </c>
      <c r="Y36" s="11" t="n">
        <v>0.0345</v>
      </c>
      <c r="Z36" s="11" t="n">
        <v>0.0067</v>
      </c>
      <c r="AA36" s="11" t="n">
        <v>0.0228</v>
      </c>
      <c r="AB36" s="11" t="n">
        <v>0.0564</v>
      </c>
      <c r="AC36" s="11" t="n">
        <v>0.0335</v>
      </c>
      <c r="AD36" s="11" t="n">
        <v>0.0156</v>
      </c>
      <c r="AE36" s="11" t="n">
        <v>0.0108</v>
      </c>
    </row>
    <row r="37">
      <c r="A37" s="10" t="inlineStr">
        <is>
          <t>영업외비용 합계</t>
        </is>
      </c>
      <c r="C37" s="11" t="n">
        <v>0.016</v>
      </c>
      <c r="D37" s="11" t="n">
        <v>0.0116</v>
      </c>
      <c r="E37" s="11" t="n">
        <v>0.0246</v>
      </c>
      <c r="F37" s="11" t="n">
        <v>-0.018</v>
      </c>
      <c r="G37" s="11" t="n">
        <v>0.1431</v>
      </c>
      <c r="H37" s="11" t="n">
        <v>0.1645</v>
      </c>
      <c r="I37" s="11" t="n">
        <v>-0.185</v>
      </c>
      <c r="J37" s="11" t="n">
        <v>-0.0362</v>
      </c>
      <c r="K37" s="11" t="n">
        <v>0.0128</v>
      </c>
      <c r="L37" s="11" t="n">
        <v>0.0092</v>
      </c>
      <c r="M37" s="11" t="n">
        <v>0.0402</v>
      </c>
      <c r="N37" s="11" t="n">
        <v>0.0051</v>
      </c>
      <c r="O37" s="11" t="n">
        <v>0.0107</v>
      </c>
      <c r="P37" s="11" t="n">
        <v>0.0127</v>
      </c>
      <c r="Q37" s="11" t="n">
        <v>0.021</v>
      </c>
      <c r="R37" s="11" t="n">
        <v>0.0069</v>
      </c>
      <c r="S37" s="11" t="n">
        <v>0.0268</v>
      </c>
      <c r="T37" s="11" t="n">
        <v>0.0048</v>
      </c>
      <c r="U37" s="11" t="n">
        <v>0.0146</v>
      </c>
      <c r="V37" s="11" t="n">
        <v>0.0161</v>
      </c>
      <c r="W37" s="11" t="n">
        <v>0.0953</v>
      </c>
      <c r="X37" s="11" t="n">
        <v>0.1247</v>
      </c>
      <c r="Y37" s="11" t="n">
        <v>0.1151</v>
      </c>
      <c r="Z37" s="11" t="n">
        <v>0.0515</v>
      </c>
      <c r="AA37" s="11" t="n">
        <v>0.0342</v>
      </c>
      <c r="AB37" s="11" t="n">
        <v>0.0863</v>
      </c>
      <c r="AC37" s="11" t="n">
        <v>0.0673</v>
      </c>
      <c r="AD37" s="11" t="n">
        <v>0.0513</v>
      </c>
      <c r="AE37" s="11" t="n">
        <v>0.0623</v>
      </c>
    </row>
    <row r="38">
      <c r="A38" s="5" t="inlineStr">
        <is>
          <t>경상이익</t>
        </is>
      </c>
      <c r="C38" s="6" t="n">
        <v>1.6979</v>
      </c>
      <c r="D38" s="6" t="n">
        <v>1.7479</v>
      </c>
      <c r="E38" s="6" t="n">
        <v>1.4301</v>
      </c>
      <c r="F38" s="6" t="n">
        <v>2.334</v>
      </c>
      <c r="G38" s="6" t="n">
        <v>1.2746</v>
      </c>
      <c r="H38" s="6" t="n">
        <v>0.9218</v>
      </c>
      <c r="I38" s="6" t="n">
        <v>2.5254</v>
      </c>
      <c r="J38" s="6" t="n">
        <v>2.5369</v>
      </c>
      <c r="K38" s="6" t="n">
        <v>0.6674</v>
      </c>
      <c r="L38" s="6" t="n">
        <v>0.8818</v>
      </c>
      <c r="M38" s="6" t="n">
        <v>2.3069</v>
      </c>
      <c r="N38" s="6" t="n">
        <v>0.9134</v>
      </c>
      <c r="O38" s="6" t="n">
        <v>1.1235</v>
      </c>
      <c r="P38" s="6" t="n">
        <v>0.5921</v>
      </c>
      <c r="Q38" s="6" t="n">
        <v>1.9094</v>
      </c>
      <c r="R38" s="6" t="n">
        <v>0.9509</v>
      </c>
      <c r="S38" s="6" t="n">
        <v>0.2405</v>
      </c>
      <c r="T38" s="6" t="n">
        <v>2.0468</v>
      </c>
      <c r="U38" s="6" t="n">
        <v>3.2055</v>
      </c>
      <c r="V38" s="6" t="n">
        <v>2.0355</v>
      </c>
      <c r="W38" s="6" t="n">
        <v>2.2153</v>
      </c>
      <c r="X38" s="6" t="n">
        <v>1.8438</v>
      </c>
      <c r="Y38" s="6" t="n">
        <v>1.5315</v>
      </c>
      <c r="Z38" s="6" t="n">
        <v>4.5598</v>
      </c>
      <c r="AA38" s="6" t="n">
        <v>7.2099</v>
      </c>
      <c r="AB38" s="6" t="n">
        <v>7.2587</v>
      </c>
      <c r="AC38" s="6" t="n">
        <v>4.7695</v>
      </c>
      <c r="AD38" s="6" t="n">
        <v>4.576</v>
      </c>
      <c r="AE38" s="6" t="n">
        <v>7.5282</v>
      </c>
    </row>
    <row r="39">
      <c r="A39" s="8" t="inlineStr">
        <is>
          <t>경상이익률</t>
        </is>
      </c>
      <c r="C39" s="9">
        <f>IF(OR(C38="",C4=""),"",IFERROR(C38/C4,""))</f>
        <v/>
      </c>
      <c r="D39" s="9">
        <f>IF(OR(D38="",D4=""),"",IFERROR(D38/D4,""))</f>
        <v/>
      </c>
      <c r="E39" s="9">
        <f>IF(OR(E38="",E4=""),"",IFERROR(E38/E4,""))</f>
        <v/>
      </c>
      <c r="F39" s="9">
        <f>IF(OR(F38="",F4=""),"",IFERROR(F38/F4,""))</f>
        <v/>
      </c>
      <c r="G39" s="9">
        <f>IF(OR(G38="",G4=""),"",IFERROR(G38/G4,""))</f>
        <v/>
      </c>
      <c r="H39" s="9">
        <f>IF(OR(H38="",H4=""),"",IFERROR(H38/H4,""))</f>
        <v/>
      </c>
      <c r="I39" s="9">
        <f>IF(OR(I38="",I4=""),"",IFERROR(I38/I4,""))</f>
        <v/>
      </c>
      <c r="J39" s="9">
        <f>IF(OR(J38="",J4=""),"",IFERROR(J38/J4,""))</f>
        <v/>
      </c>
      <c r="K39" s="9">
        <f>IF(OR(K38="",K4=""),"",IFERROR(K38/K4,""))</f>
        <v/>
      </c>
      <c r="L39" s="9">
        <f>IF(OR(L38="",L4=""),"",IFERROR(L38/L4,""))</f>
        <v/>
      </c>
      <c r="M39" s="9">
        <f>IF(OR(M38="",M4=""),"",IFERROR(M38/M4,""))</f>
        <v/>
      </c>
      <c r="N39" s="9">
        <f>IF(OR(N38="",N4=""),"",IFERROR(N38/N4,""))</f>
        <v/>
      </c>
      <c r="O39" s="9">
        <f>IF(OR(O38="",O4=""),"",IFERROR(O38/O4,""))</f>
        <v/>
      </c>
      <c r="P39" s="9">
        <f>IF(OR(P38="",P4=""),"",IFERROR(P38/P4,""))</f>
        <v/>
      </c>
      <c r="Q39" s="9">
        <f>IF(OR(Q38="",Q4=""),"",IFERROR(Q38/Q4,""))</f>
        <v/>
      </c>
      <c r="R39" s="9">
        <f>IF(OR(R38="",R4=""),"",IFERROR(R38/R4,""))</f>
        <v/>
      </c>
      <c r="S39" s="9">
        <f>IF(OR(S38="",S4=""),"",IFERROR(S38/S4,""))</f>
        <v/>
      </c>
      <c r="T39" s="9">
        <f>IF(OR(T38="",T4=""),"",IFERROR(T38/T4,""))</f>
        <v/>
      </c>
      <c r="U39" s="9">
        <f>IF(OR(U38="",U4=""),"",IFERROR(U38/U4,""))</f>
        <v/>
      </c>
      <c r="V39" s="9">
        <f>IF(OR(V38="",V4=""),"",IFERROR(V38/V4,""))</f>
        <v/>
      </c>
      <c r="W39" s="9">
        <f>IF(OR(W38="",W4=""),"",IFERROR(W38/W4,""))</f>
        <v/>
      </c>
      <c r="X39" s="9">
        <f>IF(OR(X38="",X4=""),"",IFERROR(X38/X4,""))</f>
        <v/>
      </c>
      <c r="Y39" s="9">
        <f>IF(OR(Y38="",Y4=""),"",IFERROR(Y38/Y4,""))</f>
        <v/>
      </c>
      <c r="Z39" s="9">
        <f>IF(OR(Z38="",Z4=""),"",IFERROR(Z38/Z4,""))</f>
        <v/>
      </c>
      <c r="AA39" s="9">
        <f>IF(OR(AA38="",AA4=""),"",IFERROR(AA38/AA4,""))</f>
        <v/>
      </c>
      <c r="AB39" s="9">
        <f>IF(OR(AB38="",AB4=""),"",IFERROR(AB38/AB4,""))</f>
        <v/>
      </c>
      <c r="AC39" s="9">
        <f>IF(OR(AC38="",AC4=""),"",IFERROR(AC38/AC4,""))</f>
        <v/>
      </c>
      <c r="AD39" s="9">
        <f>IF(OR(AD38="",AD4=""),"",IFERROR(AD38/AD4,""))</f>
        <v/>
      </c>
      <c r="AE39" s="9">
        <f>IF(OR(AE38="",AE4=""),"",IFERROR(AE38/AE4,""))</f>
        <v/>
      </c>
    </row>
    <row r="40">
      <c r="A40" s="10" t="inlineStr">
        <is>
          <t>고정자산 매각이익</t>
        </is>
      </c>
      <c r="C40" s="11" t="n">
        <v>0.5938</v>
      </c>
      <c r="D40" s="11" t="n">
        <v>0.0204</v>
      </c>
      <c r="E40" s="11" t="n">
        <v>0.04</v>
      </c>
      <c r="F40" s="11" t="n">
        <v>0.0013</v>
      </c>
      <c r="G40" s="11" t="n">
        <v>0.0029</v>
      </c>
      <c r="H40" s="11" t="n">
        <v>0.0156</v>
      </c>
      <c r="I40" s="11" t="n">
        <v>0.0023</v>
      </c>
      <c r="J40" s="11" t="n">
        <v>0.0518</v>
      </c>
      <c r="K40" s="11" t="n">
        <v>0.0473</v>
      </c>
      <c r="L40" s="11" t="n">
        <v>0.107</v>
      </c>
      <c r="M40" s="11" t="n">
        <v>0.0043</v>
      </c>
      <c r="N40" s="11" t="n">
        <v>0.07770000000000001</v>
      </c>
      <c r="O40" s="11" t="n">
        <v>0.09470000000000001</v>
      </c>
      <c r="P40" s="11" t="n">
        <v>0.0092</v>
      </c>
      <c r="Q40" s="11" t="n">
        <v>0.0357</v>
      </c>
      <c r="R40" s="11" t="n">
        <v>0.0066</v>
      </c>
      <c r="S40" s="11" t="n">
        <v>0.0014</v>
      </c>
      <c r="T40" s="11" t="n">
        <v>0.0206</v>
      </c>
      <c r="U40" s="11" t="n">
        <v>0</v>
      </c>
      <c r="V40" s="11" t="n">
        <v>-0.0206</v>
      </c>
      <c r="W40" s="11" t="n">
        <v>0.0951</v>
      </c>
      <c r="X40" s="11" t="n">
        <v>0.0316</v>
      </c>
      <c r="Y40" s="11" t="n">
        <v>0.0531</v>
      </c>
      <c r="Z40" s="11" t="n">
        <v>0.0843</v>
      </c>
      <c r="AA40" s="11" t="n">
        <v>0.6555</v>
      </c>
      <c r="AB40" s="11" t="n">
        <v>0.0726</v>
      </c>
      <c r="AC40" s="11" t="n">
        <v>0.2363</v>
      </c>
      <c r="AD40" s="11" t="n">
        <v>0.1463</v>
      </c>
      <c r="AE40" s="11" t="n">
        <v>0.0014</v>
      </c>
    </row>
    <row r="41">
      <c r="A41" s="10" t="inlineStr">
        <is>
          <t>투자유가증권 매각이익</t>
        </is>
      </c>
      <c r="E41" s="11" t="n">
        <v>0</v>
      </c>
      <c r="F41" s="11" t="n">
        <v>0</v>
      </c>
      <c r="I41" s="11" t="n">
        <v>0</v>
      </c>
      <c r="J41" s="11" t="n">
        <v>0</v>
      </c>
      <c r="Q41" s="11" t="n">
        <v>0</v>
      </c>
      <c r="R41" s="11" t="n">
        <v>0</v>
      </c>
      <c r="U41" s="11" t="n">
        <v>0.3599</v>
      </c>
      <c r="V41" s="11" t="n">
        <v>0.4068</v>
      </c>
      <c r="W41" s="11" t="n">
        <v>0.005</v>
      </c>
      <c r="X41" s="11" t="n">
        <v>0</v>
      </c>
      <c r="Y41" s="11" t="n">
        <v>0</v>
      </c>
      <c r="Z41" s="11" t="n">
        <v>0</v>
      </c>
      <c r="AA41" s="11" t="n">
        <v>0.008200000000000001</v>
      </c>
      <c r="AB41" s="11" t="n">
        <v>0</v>
      </c>
      <c r="AD41" s="11" t="n">
        <v>0</v>
      </c>
      <c r="AE41" s="11" t="n">
        <v>0.9293</v>
      </c>
    </row>
    <row r="42">
      <c r="A42" s="10" t="inlineStr">
        <is>
          <t>제품보상 충당금 환입이익</t>
        </is>
      </c>
      <c r="AC42" s="11" t="n">
        <v>0.3476</v>
      </c>
      <c r="AD42" s="11" t="n">
        <v>0.5772</v>
      </c>
      <c r="AE42" s="11" t="n">
        <v>0.0861</v>
      </c>
    </row>
    <row r="43">
      <c r="A43" s="10" t="inlineStr">
        <is>
          <t>보조금 수입</t>
        </is>
      </c>
      <c r="C43" s="11" t="n">
        <v>0</v>
      </c>
      <c r="D43" s="11" t="n">
        <v>0</v>
      </c>
      <c r="E43" s="11" t="n">
        <v>0.0794</v>
      </c>
      <c r="F43" s="11" t="n">
        <v>0.015</v>
      </c>
      <c r="I43" s="11" t="n">
        <v>0.115</v>
      </c>
      <c r="J43" s="11" t="n">
        <v>0</v>
      </c>
      <c r="M43" s="11" t="n">
        <v>0.0929</v>
      </c>
      <c r="N43" s="11" t="n">
        <v>0</v>
      </c>
      <c r="Q43" s="11" t="n">
        <v>0</v>
      </c>
      <c r="R43" s="11" t="n">
        <v>0</v>
      </c>
      <c r="U43" s="11" t="n">
        <v>0.0015</v>
      </c>
      <c r="V43" s="11" t="n">
        <v>0</v>
      </c>
      <c r="W43" s="11" t="n">
        <v>0</v>
      </c>
      <c r="X43" s="11" t="n">
        <v>0.0619</v>
      </c>
      <c r="Y43" s="11" t="n">
        <v>0.859</v>
      </c>
      <c r="Z43" s="11" t="n">
        <v>0.3065</v>
      </c>
      <c r="AA43" s="11" t="n">
        <v>0.0944</v>
      </c>
      <c r="AB43" s="11" t="n">
        <v>0.115</v>
      </c>
      <c r="AC43" s="11" t="n">
        <v>0.1183</v>
      </c>
      <c r="AD43" s="11" t="n">
        <v>0</v>
      </c>
      <c r="AE43" s="11" t="n">
        <v>0.055</v>
      </c>
    </row>
    <row r="44">
      <c r="A44" s="10" t="inlineStr">
        <is>
          <t>보상금 수취</t>
        </is>
      </c>
      <c r="F44" s="11" t="n">
        <v>0.0184</v>
      </c>
      <c r="W44" s="11" t="n">
        <v>0</v>
      </c>
      <c r="X44" s="11" t="n">
        <v>0.1832</v>
      </c>
      <c r="Y44" s="11" t="n">
        <v>0.0489</v>
      </c>
      <c r="Z44" s="11" t="n">
        <v>0.0062</v>
      </c>
      <c r="AA44" s="11" t="n">
        <v>0.0184</v>
      </c>
      <c r="AB44" s="11" t="n">
        <v>0</v>
      </c>
    </row>
    <row r="45">
      <c r="A45" s="10" t="inlineStr">
        <is>
          <t>제품보상 충당금 환입이익</t>
        </is>
      </c>
      <c r="AB45" s="11" t="n">
        <v>0</v>
      </c>
      <c r="AC45" s="11" t="n">
        <v>0.3476</v>
      </c>
    </row>
    <row r="46">
      <c r="A46" s="10" t="inlineStr">
        <is>
          <t>보험금 수입</t>
        </is>
      </c>
      <c r="O46" s="11" t="n">
        <v>0</v>
      </c>
      <c r="S46" s="11" t="n">
        <v>0.1552</v>
      </c>
    </row>
    <row r="47">
      <c r="A47" s="10" t="inlineStr">
        <is>
          <t>보험금 수입</t>
        </is>
      </c>
      <c r="AD47" s="11" t="n">
        <v>0</v>
      </c>
      <c r="AE47" s="11" t="n">
        <v>0.1552</v>
      </c>
    </row>
    <row r="48">
      <c r="A48" s="10" t="inlineStr">
        <is>
          <t>특별이익 합계</t>
        </is>
      </c>
      <c r="C48" s="11" t="n">
        <v>0.5938</v>
      </c>
      <c r="D48" s="11" t="n">
        <v>0.0287</v>
      </c>
      <c r="E48" s="11" t="n">
        <v>0.1194</v>
      </c>
      <c r="F48" s="11" t="n">
        <v>0.0347</v>
      </c>
      <c r="G48" s="11" t="n">
        <v>0.0029</v>
      </c>
      <c r="H48" s="11" t="n">
        <v>0.0156</v>
      </c>
      <c r="I48" s="11" t="n">
        <v>0.1173</v>
      </c>
      <c r="J48" s="11" t="n">
        <v>0.0518</v>
      </c>
      <c r="K48" s="11" t="n">
        <v>0.0473</v>
      </c>
      <c r="L48" s="11" t="n">
        <v>0.1324</v>
      </c>
      <c r="M48" s="11" t="n">
        <v>0.4449</v>
      </c>
      <c r="N48" s="11" t="n">
        <v>0.07770000000000001</v>
      </c>
      <c r="O48" s="11" t="n">
        <v>0.09470000000000001</v>
      </c>
      <c r="P48" s="11" t="n">
        <v>0.0092</v>
      </c>
      <c r="Q48" s="11" t="n">
        <v>0.6129</v>
      </c>
      <c r="R48" s="11" t="n">
        <v>0.0066</v>
      </c>
      <c r="S48" s="11" t="n">
        <v>0.1565</v>
      </c>
      <c r="T48" s="11" t="n">
        <v>0.2368</v>
      </c>
      <c r="U48" s="11" t="n">
        <v>0.3614</v>
      </c>
      <c r="V48" s="11" t="n">
        <v>0.4723</v>
      </c>
      <c r="W48" s="11" t="n">
        <v>0.1001</v>
      </c>
      <c r="X48" s="11" t="n">
        <v>0.2767</v>
      </c>
      <c r="Y48" s="11" t="n">
        <v>0.961</v>
      </c>
      <c r="Z48" s="11" t="n">
        <v>0.397</v>
      </c>
      <c r="AA48" s="11" t="n">
        <v>0.7765</v>
      </c>
      <c r="AB48" s="11" t="n">
        <v>0.1876</v>
      </c>
      <c r="AC48" s="11" t="n">
        <v>0.7023</v>
      </c>
      <c r="AD48" s="11" t="n">
        <v>0.7235</v>
      </c>
      <c r="AE48" s="11" t="n">
        <v>1.227</v>
      </c>
    </row>
    <row r="49">
      <c r="A49" s="10" t="inlineStr">
        <is>
          <t>고정자산 매각손실</t>
        </is>
      </c>
      <c r="C49" s="11" t="n">
        <v>0.0015</v>
      </c>
      <c r="D49" s="11" t="n">
        <v>0</v>
      </c>
      <c r="E49" s="11" t="n">
        <v>0</v>
      </c>
      <c r="F49" s="11" t="n">
        <v>0</v>
      </c>
      <c r="G49" s="11" t="n">
        <v>0</v>
      </c>
      <c r="H49" s="11" t="n">
        <v>0</v>
      </c>
      <c r="I49" s="11" t="n">
        <v>0</v>
      </c>
      <c r="J49" s="11" t="n">
        <v>0.0411</v>
      </c>
      <c r="K49" s="11" t="n">
        <v>0.0033</v>
      </c>
      <c r="L49" s="11" t="n">
        <v>0</v>
      </c>
      <c r="M49" s="11" t="n">
        <v>0</v>
      </c>
      <c r="N49" s="11" t="n">
        <v>0.0313</v>
      </c>
      <c r="O49" s="11" t="n">
        <v>0</v>
      </c>
      <c r="P49" s="11" t="n">
        <v>0</v>
      </c>
      <c r="Q49" s="11" t="n">
        <v>0</v>
      </c>
      <c r="R49" s="11" t="n">
        <v>0</v>
      </c>
      <c r="S49" s="11" t="n">
        <v>0.008399999999999999</v>
      </c>
      <c r="T49" s="11" t="n">
        <v>0.0002</v>
      </c>
      <c r="U49" s="11" t="n">
        <v>0.0002</v>
      </c>
      <c r="V49" s="11" t="n">
        <v>0.0112</v>
      </c>
      <c r="W49" s="11" t="n">
        <v>0</v>
      </c>
      <c r="X49" s="11" t="n">
        <v>0.0027</v>
      </c>
      <c r="Y49" s="11" t="n">
        <v>0</v>
      </c>
      <c r="Z49" s="11" t="n">
        <v>0.0332</v>
      </c>
      <c r="AA49" s="11" t="n">
        <v>0.0016</v>
      </c>
      <c r="AB49" s="11" t="n">
        <v>0.0411</v>
      </c>
      <c r="AC49" s="11" t="n">
        <v>0.0346</v>
      </c>
      <c r="AD49" s="11" t="n">
        <v>0</v>
      </c>
      <c r="AE49" s="11" t="n">
        <v>0.02</v>
      </c>
    </row>
    <row r="50">
      <c r="A50" s="10" t="inlineStr">
        <is>
          <t>고정자산 제각손실</t>
        </is>
      </c>
      <c r="C50" s="11" t="n">
        <v>0.0046</v>
      </c>
      <c r="D50" s="11" t="n">
        <v>0</v>
      </c>
      <c r="E50" s="11" t="n">
        <v>0.0038</v>
      </c>
      <c r="F50" s="11" t="n">
        <v>0.004</v>
      </c>
      <c r="G50" s="11" t="n">
        <v>0.0007</v>
      </c>
      <c r="H50" s="11" t="n">
        <v>0.0021</v>
      </c>
      <c r="I50" s="11" t="n">
        <v>0.0035</v>
      </c>
      <c r="J50" s="11" t="n">
        <v>0.0149</v>
      </c>
      <c r="K50" s="11" t="n">
        <v>0.0003</v>
      </c>
      <c r="L50" s="11" t="n">
        <v>0.0005999999999999999</v>
      </c>
      <c r="M50" s="11" t="n">
        <v>0.176</v>
      </c>
      <c r="N50" s="11" t="n">
        <v>0.008999999999999999</v>
      </c>
      <c r="O50" s="11" t="n">
        <v>0.0074</v>
      </c>
      <c r="P50" s="11" t="n">
        <v>0.0289</v>
      </c>
      <c r="Q50" s="11" t="n">
        <v>0.0201</v>
      </c>
      <c r="R50" s="11" t="n">
        <v>0.0392</v>
      </c>
      <c r="S50" s="11" t="n">
        <v>0.0058</v>
      </c>
      <c r="T50" s="11" t="n">
        <v>0.0264</v>
      </c>
      <c r="U50" s="11" t="n">
        <v>0.0003</v>
      </c>
      <c r="V50" s="11" t="n">
        <v>0.0073</v>
      </c>
      <c r="W50" s="11" t="n">
        <v>0.3224</v>
      </c>
      <c r="X50" s="11" t="n">
        <v>0.021</v>
      </c>
      <c r="Y50" s="11" t="n">
        <v>0.0213</v>
      </c>
      <c r="Z50" s="11" t="n">
        <v>0.0138</v>
      </c>
      <c r="AA50" s="11" t="n">
        <v>0.0125</v>
      </c>
      <c r="AB50" s="11" t="n">
        <v>0.0213</v>
      </c>
      <c r="AC50" s="11" t="n">
        <v>0.186</v>
      </c>
      <c r="AD50" s="11" t="n">
        <v>0.0956</v>
      </c>
      <c r="AE50" s="11" t="n">
        <v>0.0398</v>
      </c>
    </row>
    <row r="51">
      <c r="A51" s="10" t="inlineStr">
        <is>
          <t>투자유가증권 평가손실</t>
        </is>
      </c>
      <c r="W51" s="11" t="n">
        <v>0</v>
      </c>
      <c r="X51" s="11" t="n">
        <v>0.4859</v>
      </c>
      <c r="Y51" s="11" t="n">
        <v>0.0004</v>
      </c>
      <c r="Z51" s="11" t="n">
        <v>0</v>
      </c>
    </row>
    <row r="52">
      <c r="A52" s="10" t="inlineStr">
        <is>
          <t>설비 이설비용</t>
        </is>
      </c>
      <c r="W52" s="11" t="n">
        <v>0.4324</v>
      </c>
      <c r="X52" s="11" t="n">
        <v>0</v>
      </c>
    </row>
    <row r="53">
      <c r="A53" s="10" t="inlineStr">
        <is>
          <t>원상복구 비용</t>
        </is>
      </c>
      <c r="W53" s="11" t="n">
        <v>0.0174</v>
      </c>
      <c r="X53" s="11" t="n">
        <v>0</v>
      </c>
    </row>
    <row r="54">
      <c r="A54" s="10" t="inlineStr">
        <is>
          <t>관계회사 주식 평가손실</t>
        </is>
      </c>
      <c r="X54" s="11" t="n">
        <v>0</v>
      </c>
      <c r="Y54" s="11" t="n">
        <v>0.1101</v>
      </c>
      <c r="Z54" s="11" t="n">
        <v>0</v>
      </c>
    </row>
    <row r="55">
      <c r="A55" s="10" t="inlineStr">
        <is>
          <t>손상차손</t>
        </is>
      </c>
      <c r="X55" s="11" t="n">
        <v>0</v>
      </c>
      <c r="Y55" s="11" t="n">
        <v>0.3273</v>
      </c>
      <c r="Z55" s="11" t="n">
        <v>0</v>
      </c>
      <c r="AA55" s="11" t="n">
        <v>0.2314</v>
      </c>
      <c r="AB55" s="11" t="n">
        <v>0</v>
      </c>
    </row>
    <row r="56">
      <c r="A56" s="10" t="inlineStr">
        <is>
          <t>제품보상비</t>
        </is>
      </c>
      <c r="Z56" s="11" t="n">
        <v>0</v>
      </c>
      <c r="AA56" s="11" t="n">
        <v>0.8174</v>
      </c>
      <c r="AB56" s="11" t="n">
        <v>0.4374</v>
      </c>
      <c r="AC56" s="11" t="n">
        <v>0</v>
      </c>
    </row>
    <row r="57">
      <c r="A57" s="10" t="inlineStr">
        <is>
          <t>해약 위약금</t>
        </is>
      </c>
      <c r="AC57" s="11" t="n">
        <v>0</v>
      </c>
      <c r="AD57" s="11" t="n">
        <v>0.1013</v>
      </c>
      <c r="AE57" s="11" t="n">
        <v>0</v>
      </c>
    </row>
    <row r="58">
      <c r="A58" s="10" t="inlineStr">
        <is>
          <t>재해손실</t>
        </is>
      </c>
      <c r="AD58" s="11" t="n">
        <v>0</v>
      </c>
      <c r="AE58" s="11" t="n">
        <v>0.1294</v>
      </c>
    </row>
    <row r="59">
      <c r="A59" s="10" t="inlineStr">
        <is>
          <t>특별손실 합계</t>
        </is>
      </c>
      <c r="C59" s="11" t="n">
        <v>0.0062</v>
      </c>
      <c r="D59" s="11" t="n">
        <v>0</v>
      </c>
      <c r="E59" s="11" t="n">
        <v>0.8212</v>
      </c>
      <c r="F59" s="11" t="n">
        <v>0.2354</v>
      </c>
      <c r="G59" s="11" t="n">
        <v>0.0007</v>
      </c>
      <c r="H59" s="11" t="n">
        <v>0.0021</v>
      </c>
      <c r="I59" s="11" t="n">
        <v>0.0035</v>
      </c>
      <c r="J59" s="11" t="n">
        <v>0.4935</v>
      </c>
      <c r="K59" s="11" t="n">
        <v>0.0036</v>
      </c>
      <c r="L59" s="11" t="n">
        <v>0.0005999999999999999</v>
      </c>
      <c r="M59" s="11" t="n">
        <v>0.176</v>
      </c>
      <c r="N59" s="11" t="n">
        <v>0.0403</v>
      </c>
      <c r="O59" s="11" t="n">
        <v>0.0074</v>
      </c>
      <c r="P59" s="11" t="n">
        <v>0.0289</v>
      </c>
      <c r="Q59" s="11" t="n">
        <v>0.1214</v>
      </c>
      <c r="R59" s="11" t="n">
        <v>0.0392</v>
      </c>
      <c r="S59" s="11" t="n">
        <v>0.0142</v>
      </c>
      <c r="T59" s="11" t="n">
        <v>0.0266</v>
      </c>
      <c r="U59" s="11" t="n">
        <v>0.1299</v>
      </c>
      <c r="V59" s="11" t="n">
        <v>0.0185</v>
      </c>
      <c r="W59" s="11" t="n">
        <v>0.7721</v>
      </c>
      <c r="X59" s="11" t="n">
        <v>0.5095</v>
      </c>
      <c r="Y59" s="11" t="n">
        <v>0.1319</v>
      </c>
      <c r="Z59" s="11" t="n">
        <v>0.047</v>
      </c>
      <c r="AA59" s="11" t="n">
        <v>1.0628</v>
      </c>
      <c r="AB59" s="11" t="n">
        <v>0.4998</v>
      </c>
      <c r="AC59" s="11" t="n">
        <v>0.2205</v>
      </c>
      <c r="AD59" s="11" t="n">
        <v>0.1969</v>
      </c>
      <c r="AE59" s="11" t="n">
        <v>0.1893</v>
      </c>
    </row>
    <row r="60">
      <c r="A60" s="10" t="inlineStr">
        <is>
          <t>법인세차감전 순이익</t>
        </is>
      </c>
      <c r="C60" s="11" t="n">
        <v>2.2854</v>
      </c>
      <c r="D60" s="11" t="n">
        <v>1.7766</v>
      </c>
      <c r="E60" s="11" t="n">
        <v>0.7282999999999999</v>
      </c>
      <c r="F60" s="11" t="n">
        <v>2.1333</v>
      </c>
      <c r="G60" s="11" t="n">
        <v>1.2768</v>
      </c>
      <c r="H60" s="11" t="n">
        <v>0.9353</v>
      </c>
      <c r="I60" s="11" t="n">
        <v>2.6392</v>
      </c>
      <c r="J60" s="11" t="n">
        <v>2.0952</v>
      </c>
      <c r="K60" s="11" t="n">
        <v>0.7111</v>
      </c>
      <c r="L60" s="11" t="n">
        <v>1.0136</v>
      </c>
      <c r="M60" s="11" t="n">
        <v>2.5758</v>
      </c>
      <c r="N60" s="11" t="n">
        <v>0.9508</v>
      </c>
      <c r="O60" s="11" t="n">
        <v>1.2108</v>
      </c>
      <c r="P60" s="11" t="n">
        <v>0.5725</v>
      </c>
      <c r="Q60" s="11" t="n">
        <v>2.401</v>
      </c>
      <c r="R60" s="11" t="n">
        <v>0.9184</v>
      </c>
      <c r="S60" s="11" t="n">
        <v>0.3828</v>
      </c>
      <c r="T60" s="11" t="n">
        <v>2.2569</v>
      </c>
      <c r="U60" s="11" t="n">
        <v>3.437</v>
      </c>
      <c r="V60" s="11" t="n">
        <v>2.4893</v>
      </c>
      <c r="W60" s="11" t="n">
        <v>1.5433</v>
      </c>
      <c r="X60" s="11" t="n">
        <v>1.6109</v>
      </c>
      <c r="Y60" s="11" t="n">
        <v>2.3606</v>
      </c>
      <c r="Z60" s="11" t="n">
        <v>4.9097</v>
      </c>
      <c r="AA60" s="11" t="n">
        <v>6.9236</v>
      </c>
      <c r="AB60" s="11" t="n">
        <v>6.9465</v>
      </c>
      <c r="AC60" s="11" t="n">
        <v>5.2513</v>
      </c>
      <c r="AD60" s="11" t="n">
        <v>5.1026</v>
      </c>
      <c r="AE60" s="11" t="n">
        <v>8.566000000000001</v>
      </c>
    </row>
    <row r="61">
      <c r="A61" s="10" t="inlineStr">
        <is>
          <t>법인세·주민세·사업세</t>
        </is>
      </c>
      <c r="C61" s="11" t="n">
        <v>0.236</v>
      </c>
      <c r="D61" s="11" t="n">
        <v>0.2137</v>
      </c>
      <c r="E61" s="11" t="n">
        <v>0.8673999999999999</v>
      </c>
      <c r="F61" s="11" t="n">
        <v>0.6141</v>
      </c>
      <c r="G61" s="11" t="n">
        <v>0.6075</v>
      </c>
      <c r="H61" s="11" t="n">
        <v>-0.066</v>
      </c>
      <c r="I61" s="11" t="n">
        <v>1.4193</v>
      </c>
      <c r="J61" s="11" t="n">
        <v>0.575</v>
      </c>
      <c r="K61" s="11" t="n">
        <v>0.504</v>
      </c>
      <c r="L61" s="11" t="n">
        <v>-0.1686</v>
      </c>
      <c r="M61" s="11" t="n">
        <v>1.1488</v>
      </c>
      <c r="N61" s="11" t="n">
        <v>0.0248</v>
      </c>
      <c r="O61" s="11" t="n">
        <v>0.6575</v>
      </c>
      <c r="P61" s="11" t="n">
        <v>-0.3252</v>
      </c>
      <c r="Q61" s="11" t="n">
        <v>1.0477</v>
      </c>
      <c r="R61" s="11" t="n">
        <v>-0.0183</v>
      </c>
      <c r="S61" s="11" t="n">
        <v>0.4932</v>
      </c>
      <c r="T61" s="11" t="n">
        <v>0.3555</v>
      </c>
      <c r="U61" s="11" t="n">
        <v>1.507</v>
      </c>
      <c r="V61" s="11" t="n">
        <v>0.3814</v>
      </c>
      <c r="W61" s="11" t="n">
        <v>0.986</v>
      </c>
      <c r="X61" s="11" t="n">
        <v>1.3122</v>
      </c>
      <c r="Y61" s="11" t="n">
        <v>0.4177</v>
      </c>
      <c r="Z61" s="11" t="n">
        <v>1.4065</v>
      </c>
      <c r="AA61" s="11" t="n">
        <v>1.9311</v>
      </c>
      <c r="AB61" s="11" t="n">
        <v>2.5357</v>
      </c>
      <c r="AC61" s="11" t="n">
        <v>1.5089</v>
      </c>
      <c r="AD61" s="11" t="n">
        <v>1.3616</v>
      </c>
      <c r="AE61" s="11" t="n">
        <v>2.7371</v>
      </c>
    </row>
    <row r="62">
      <c r="A62" s="10" t="inlineStr">
        <is>
          <t>법인세 조정액</t>
        </is>
      </c>
      <c r="C62" s="11" t="n">
        <v>-0.0458</v>
      </c>
      <c r="D62" s="11" t="n">
        <v>0.3915</v>
      </c>
      <c r="E62" s="11" t="n">
        <v>-0.608</v>
      </c>
      <c r="F62" s="11" t="n">
        <v>0.1632</v>
      </c>
      <c r="G62" s="11" t="n">
        <v>0.0346</v>
      </c>
      <c r="H62" s="11" t="n">
        <v>0.0819</v>
      </c>
      <c r="I62" s="11" t="n">
        <v>-0.3372</v>
      </c>
      <c r="J62" s="11" t="n">
        <v>-0.0024</v>
      </c>
      <c r="K62" s="11" t="n">
        <v>-0.2347</v>
      </c>
      <c r="L62" s="11" t="n">
        <v>0.2945</v>
      </c>
      <c r="M62" s="11" t="n">
        <v>-0.2306</v>
      </c>
      <c r="N62" s="11" t="n">
        <v>0.2814</v>
      </c>
      <c r="O62" s="11" t="n">
        <v>-0.2741</v>
      </c>
      <c r="P62" s="11" t="n">
        <v>0.4031</v>
      </c>
      <c r="Q62" s="11" t="n">
        <v>-0.1822</v>
      </c>
      <c r="R62" s="11" t="n">
        <v>0.1797</v>
      </c>
      <c r="S62" s="11" t="n">
        <v>-0.402</v>
      </c>
      <c r="T62" s="11" t="n">
        <v>0.343</v>
      </c>
      <c r="U62" s="11" t="n">
        <v>-0.3551</v>
      </c>
      <c r="V62" s="11" t="n">
        <v>0.2073</v>
      </c>
      <c r="W62" s="11" t="n">
        <v>-0.3478</v>
      </c>
      <c r="X62" s="11" t="n">
        <v>-0.5783</v>
      </c>
      <c r="Y62" s="11" t="n">
        <v>0.1848</v>
      </c>
      <c r="Z62" s="11" t="n">
        <v>-0.0193</v>
      </c>
      <c r="AA62" s="11" t="n">
        <v>-0.09909999999999999</v>
      </c>
      <c r="AB62" s="11" t="n">
        <v>-0.2231</v>
      </c>
      <c r="AC62" s="11" t="n">
        <v>0.1106</v>
      </c>
      <c r="AD62" s="11" t="n">
        <v>0.1266</v>
      </c>
      <c r="AE62" s="11" t="n">
        <v>-0.2068</v>
      </c>
    </row>
    <row r="63">
      <c r="A63" s="10" t="inlineStr">
        <is>
          <t>법인세 등 합계</t>
        </is>
      </c>
      <c r="C63" s="11" t="n">
        <v>0.1902</v>
      </c>
      <c r="D63" s="11" t="n">
        <v>0.6051</v>
      </c>
      <c r="E63" s="11" t="n">
        <v>0.2594</v>
      </c>
      <c r="F63" s="11" t="n">
        <v>0.7772</v>
      </c>
      <c r="G63" s="11" t="n">
        <v>0.6421</v>
      </c>
      <c r="H63" s="11" t="n">
        <v>0.0159</v>
      </c>
      <c r="I63" s="11" t="n">
        <v>1.082</v>
      </c>
      <c r="J63" s="11" t="n">
        <v>0.5726</v>
      </c>
      <c r="K63" s="11" t="n">
        <v>0.2692</v>
      </c>
      <c r="L63" s="11" t="n">
        <v>0.1259</v>
      </c>
      <c r="M63" s="11" t="n">
        <v>0.9182</v>
      </c>
      <c r="N63" s="11" t="n">
        <v>0.3062</v>
      </c>
      <c r="O63" s="11" t="n">
        <v>0.3834</v>
      </c>
      <c r="P63" s="11" t="n">
        <v>0.0779</v>
      </c>
      <c r="Q63" s="11" t="n">
        <v>0.8656</v>
      </c>
      <c r="R63" s="11" t="n">
        <v>0.1613</v>
      </c>
      <c r="S63" s="11" t="n">
        <v>0.0912</v>
      </c>
      <c r="T63" s="11" t="n">
        <v>0.6985</v>
      </c>
      <c r="U63" s="11" t="n">
        <v>1.1519</v>
      </c>
      <c r="V63" s="11" t="n">
        <v>0.5887</v>
      </c>
      <c r="W63" s="11" t="n">
        <v>0.6382</v>
      </c>
      <c r="X63" s="11" t="n">
        <v>0.7339</v>
      </c>
      <c r="Y63" s="11" t="n">
        <v>0.6024</v>
      </c>
      <c r="Z63" s="11" t="n">
        <v>1.3872</v>
      </c>
      <c r="AA63" s="11" t="n">
        <v>1.832</v>
      </c>
      <c r="AB63" s="11" t="n">
        <v>2.3126</v>
      </c>
      <c r="AC63" s="11" t="n">
        <v>1.6195</v>
      </c>
      <c r="AD63" s="11" t="n">
        <v>1.4882</v>
      </c>
      <c r="AE63" s="11" t="n">
        <v>2.5303</v>
      </c>
    </row>
    <row r="64">
      <c r="A64" s="5" t="inlineStr">
        <is>
          <t>순이익</t>
        </is>
      </c>
      <c r="C64" s="6" t="n">
        <v>2.0953</v>
      </c>
      <c r="D64" s="6" t="n">
        <v>1.1714</v>
      </c>
      <c r="E64" s="6" t="n">
        <v>0.4688</v>
      </c>
      <c r="F64" s="6" t="n">
        <v>1.3561</v>
      </c>
      <c r="G64" s="6" t="n">
        <v>0.6347</v>
      </c>
      <c r="H64" s="6" t="n">
        <v>0.9194</v>
      </c>
      <c r="I64" s="6" t="n">
        <v>1.5572</v>
      </c>
      <c r="J64" s="6" t="n">
        <v>1.5226</v>
      </c>
      <c r="K64" s="6" t="n">
        <v>0.4418</v>
      </c>
      <c r="L64" s="6" t="n">
        <v>0.8877</v>
      </c>
      <c r="M64" s="6" t="n">
        <v>1.6577</v>
      </c>
      <c r="N64" s="6" t="n">
        <v>0.6446</v>
      </c>
      <c r="O64" s="6" t="n">
        <v>0.8274</v>
      </c>
      <c r="P64" s="6" t="n">
        <v>0.4946</v>
      </c>
      <c r="Q64" s="6" t="n">
        <v>1.5354</v>
      </c>
      <c r="R64" s="6" t="n">
        <v>0.757</v>
      </c>
      <c r="S64" s="6" t="n">
        <v>0.2916</v>
      </c>
      <c r="T64" s="6" t="n">
        <v>1.5584</v>
      </c>
      <c r="U64" s="6" t="n">
        <v>2.2851</v>
      </c>
      <c r="V64" s="6" t="n">
        <v>1.9005</v>
      </c>
      <c r="W64" s="6" t="n">
        <v>0.9051</v>
      </c>
      <c r="X64" s="6" t="n">
        <v>0.8771</v>
      </c>
      <c r="Y64" s="6" t="n">
        <v>1.7582</v>
      </c>
      <c r="Z64" s="6" t="n">
        <v>3.5225</v>
      </c>
      <c r="AA64" s="6" t="n">
        <v>5.0916</v>
      </c>
      <c r="AB64" s="6" t="n">
        <v>4.6339</v>
      </c>
      <c r="AC64" s="6" t="n">
        <v>3.6317</v>
      </c>
      <c r="AD64" s="6" t="n">
        <v>3.6144</v>
      </c>
      <c r="AE64" s="6" t="n">
        <v>6.0356</v>
      </c>
    </row>
    <row r="65">
      <c r="A65" s="5" t="inlineStr">
        <is>
          <t>비지배주주 순이익</t>
        </is>
      </c>
      <c r="C65" s="6" t="n">
        <v>0</v>
      </c>
      <c r="D65" s="6" t="n">
        <v>0</v>
      </c>
      <c r="E65" s="6" t="n">
        <v>0.039</v>
      </c>
      <c r="F65" s="6" t="n">
        <v>0.0906</v>
      </c>
      <c r="G65" s="6" t="n">
        <v>0.0477</v>
      </c>
      <c r="H65" s="6" t="n">
        <v>0.0367</v>
      </c>
      <c r="I65" s="6" t="n">
        <v>0.0603</v>
      </c>
      <c r="J65" s="6" t="n">
        <v>-0.0213</v>
      </c>
      <c r="K65" s="6" t="n">
        <v>0.0616</v>
      </c>
      <c r="L65" s="6" t="n">
        <v>0.0391</v>
      </c>
      <c r="M65" s="6" t="n">
        <v>0.0475</v>
      </c>
      <c r="N65" s="6" t="n">
        <v>0.0061</v>
      </c>
      <c r="O65" s="6" t="n">
        <v>0</v>
      </c>
      <c r="P65" s="6" t="n">
        <v>0</v>
      </c>
      <c r="Q65" s="6" t="n">
        <v>0</v>
      </c>
      <c r="R65" s="6" t="n">
        <v>0</v>
      </c>
      <c r="S65" s="6" t="n">
        <v>0</v>
      </c>
      <c r="T65" s="6" t="n">
        <v>0</v>
      </c>
      <c r="U65" s="6" t="n">
        <v>0</v>
      </c>
      <c r="V65" s="6" t="n">
        <v>0</v>
      </c>
      <c r="W65" s="6" t="n">
        <v>-0.0969</v>
      </c>
      <c r="X65" s="6" t="n">
        <v>-0.1317</v>
      </c>
      <c r="Y65" s="6" t="n">
        <v>-0.2455</v>
      </c>
      <c r="Z65" s="6" t="n">
        <v>0</v>
      </c>
      <c r="AA65" s="6" t="n">
        <v>0.1296</v>
      </c>
      <c r="AB65" s="6" t="n">
        <v>0.1233</v>
      </c>
      <c r="AC65" s="6" t="n">
        <v>0.1543</v>
      </c>
      <c r="AD65" s="6" t="n">
        <v>0</v>
      </c>
      <c r="AE65" s="6" t="n">
        <v>0</v>
      </c>
    </row>
    <row r="66">
      <c r="A66" s="5" t="inlineStr">
        <is>
          <t>지배주주 순이익</t>
        </is>
      </c>
      <c r="C66" s="6" t="n">
        <v>2.0953</v>
      </c>
      <c r="D66" s="6" t="n">
        <v>1.1714</v>
      </c>
      <c r="E66" s="6" t="n">
        <v>0.4299</v>
      </c>
      <c r="F66" s="6" t="n">
        <v>1.2654</v>
      </c>
      <c r="G66" s="6" t="n">
        <v>0.5871</v>
      </c>
      <c r="H66" s="6" t="n">
        <v>0.8827</v>
      </c>
      <c r="I66" s="6" t="n">
        <v>1.4969</v>
      </c>
      <c r="J66" s="6" t="n">
        <v>1.5439</v>
      </c>
      <c r="K66" s="6" t="n">
        <v>0.3802</v>
      </c>
      <c r="L66" s="6" t="n">
        <v>0.8486</v>
      </c>
      <c r="M66" s="6" t="n">
        <v>1.6102</v>
      </c>
      <c r="N66" s="6" t="n">
        <v>0.6385</v>
      </c>
      <c r="O66" s="6" t="n">
        <v>0.8274</v>
      </c>
      <c r="P66" s="6" t="n">
        <v>0.4946</v>
      </c>
      <c r="Q66" s="6" t="n">
        <v>1.5354</v>
      </c>
      <c r="R66" s="6" t="n">
        <v>0.757</v>
      </c>
      <c r="S66" s="6" t="n">
        <v>0.2916</v>
      </c>
      <c r="T66" s="6" t="n">
        <v>1.5584</v>
      </c>
      <c r="U66" s="6" t="n">
        <v>2.2851</v>
      </c>
      <c r="V66" s="6" t="n">
        <v>1.9005</v>
      </c>
      <c r="W66" s="6" t="n">
        <v>1.0019</v>
      </c>
      <c r="X66" s="6" t="n">
        <v>1.0589</v>
      </c>
      <c r="Y66" s="6" t="n">
        <v>1.4845</v>
      </c>
      <c r="Z66" s="6" t="n">
        <v>3.5225</v>
      </c>
      <c r="AA66" s="6" t="n">
        <v>4.962</v>
      </c>
      <c r="AB66" s="6" t="n">
        <v>4.5106</v>
      </c>
      <c r="AC66" s="6" t="n">
        <v>3.4775</v>
      </c>
      <c r="AD66" s="6" t="n">
        <v>3.6144</v>
      </c>
      <c r="AE66" s="6" t="n">
        <v>6.0356</v>
      </c>
    </row>
    <row r="67">
      <c r="A67" s="8" t="inlineStr">
        <is>
          <t>순이익률</t>
        </is>
      </c>
      <c r="C67" s="9">
        <f>IF(OR(C66="",C4=""),"",IFERROR(C66/C4,""))</f>
        <v/>
      </c>
      <c r="D67" s="9">
        <f>IF(OR(D66="",D4=""),"",IFERROR(D66/D4,""))</f>
        <v/>
      </c>
      <c r="E67" s="9">
        <f>IF(OR(E66="",E4=""),"",IFERROR(E66/E4,""))</f>
        <v/>
      </c>
      <c r="F67" s="9">
        <f>IF(OR(F66="",F4=""),"",IFERROR(F66/F4,""))</f>
        <v/>
      </c>
      <c r="G67" s="9">
        <f>IF(OR(G66="",G4=""),"",IFERROR(G66/G4,""))</f>
        <v/>
      </c>
      <c r="H67" s="9">
        <f>IF(OR(H66="",H4=""),"",IFERROR(H66/H4,""))</f>
        <v/>
      </c>
      <c r="I67" s="9">
        <f>IF(OR(I66="",I4=""),"",IFERROR(I66/I4,""))</f>
        <v/>
      </c>
      <c r="J67" s="9">
        <f>IF(OR(J66="",J4=""),"",IFERROR(J66/J4,""))</f>
        <v/>
      </c>
      <c r="K67" s="9">
        <f>IF(OR(K66="",K4=""),"",IFERROR(K66/K4,""))</f>
        <v/>
      </c>
      <c r="L67" s="9">
        <f>IF(OR(L66="",L4=""),"",IFERROR(L66/L4,""))</f>
        <v/>
      </c>
      <c r="M67" s="9">
        <f>IF(OR(M66="",M4=""),"",IFERROR(M66/M4,""))</f>
        <v/>
      </c>
      <c r="N67" s="9">
        <f>IF(OR(N66="",N4=""),"",IFERROR(N66/N4,""))</f>
        <v/>
      </c>
      <c r="O67" s="9">
        <f>IF(OR(O66="",O4=""),"",IFERROR(O66/O4,""))</f>
        <v/>
      </c>
      <c r="P67" s="9">
        <f>IF(OR(P66="",P4=""),"",IFERROR(P66/P4,""))</f>
        <v/>
      </c>
      <c r="Q67" s="9">
        <f>IF(OR(Q66="",Q4=""),"",IFERROR(Q66/Q4,""))</f>
        <v/>
      </c>
      <c r="R67" s="9">
        <f>IF(OR(R66="",R4=""),"",IFERROR(R66/R4,""))</f>
        <v/>
      </c>
      <c r="S67" s="9">
        <f>IF(OR(S66="",S4=""),"",IFERROR(S66/S4,""))</f>
        <v/>
      </c>
      <c r="T67" s="9">
        <f>IF(OR(T66="",T4=""),"",IFERROR(T66/T4,""))</f>
        <v/>
      </c>
      <c r="U67" s="9">
        <f>IF(OR(U66="",U4=""),"",IFERROR(U66/U4,""))</f>
        <v/>
      </c>
      <c r="V67" s="9">
        <f>IF(OR(V66="",V4=""),"",IFERROR(V66/V4,""))</f>
        <v/>
      </c>
      <c r="W67" s="9">
        <f>IF(OR(W66="",W4=""),"",IFERROR(W66/W4,""))</f>
        <v/>
      </c>
      <c r="X67" s="9">
        <f>IF(OR(X66="",X4=""),"",IFERROR(X66/X4,""))</f>
        <v/>
      </c>
      <c r="Y67" s="9">
        <f>IF(OR(Y66="",Y4=""),"",IFERROR(Y66/Y4,""))</f>
        <v/>
      </c>
      <c r="Z67" s="9">
        <f>IF(OR(Z66="",Z4=""),"",IFERROR(Z66/Z4,""))</f>
        <v/>
      </c>
      <c r="AA67" s="9">
        <f>IF(OR(AA66="",AA4=""),"",IFERROR(AA66/AA4,""))</f>
        <v/>
      </c>
      <c r="AB67" s="9">
        <f>IF(OR(AB66="",AB4=""),"",IFERROR(AB66/AB4,""))</f>
        <v/>
      </c>
      <c r="AC67" s="9">
        <f>IF(OR(AC66="",AC4=""),"",IFERROR(AC66/AC4,""))</f>
        <v/>
      </c>
      <c r="AD67" s="9">
        <f>IF(OR(AD66="",AD4=""),"",IFERROR(AD66/AD4,""))</f>
        <v/>
      </c>
      <c r="AE67" s="9">
        <f>IF(OR(AE66="",AE4=""),"",IFERROR(AE66/AE4,""))</f>
        <v/>
      </c>
    </row>
    <row r="68">
      <c r="A68" s="8" t="inlineStr">
        <is>
          <t>YoY</t>
        </is>
      </c>
      <c r="G68" s="9">
        <f>IF(OR(G66="",C66=""),"",IFERROR(G66/C66-1,""))</f>
        <v/>
      </c>
      <c r="H68" s="9">
        <f>IF(OR(H66="",D66=""),"",IFERROR(H66/D66-1,""))</f>
        <v/>
      </c>
      <c r="I68" s="9">
        <f>IF(OR(I66="",E66=""),"",IFERROR(I66/E66-1,""))</f>
        <v/>
      </c>
      <c r="J68" s="9">
        <f>IF(OR(J66="",F66=""),"",IFERROR(J66/F66-1,""))</f>
        <v/>
      </c>
      <c r="K68" s="9">
        <f>IF(OR(K66="",G66=""),"",IFERROR(K66/G66-1,""))</f>
        <v/>
      </c>
      <c r="L68" s="9">
        <f>IF(OR(L66="",H66=""),"",IFERROR(L66/H66-1,""))</f>
        <v/>
      </c>
      <c r="M68" s="9">
        <f>IF(OR(M66="",I66=""),"",IFERROR(M66/I66-1,""))</f>
        <v/>
      </c>
      <c r="N68" s="9">
        <f>IF(OR(N66="",J66=""),"",IFERROR(N66/J66-1,""))</f>
        <v/>
      </c>
      <c r="O68" s="9">
        <f>IF(OR(O66="",K66=""),"",IFERROR(O66/K66-1,""))</f>
        <v/>
      </c>
      <c r="P68" s="9">
        <f>IF(OR(P66="",L66=""),"",IFERROR(P66/L66-1,""))</f>
        <v/>
      </c>
      <c r="Q68" s="9">
        <f>IF(OR(Q66="",M66=""),"",IFERROR(Q66/M66-1,""))</f>
        <v/>
      </c>
      <c r="R68" s="9">
        <f>IF(OR(R66="",N66=""),"",IFERROR(R66/N66-1,""))</f>
        <v/>
      </c>
      <c r="S68" s="9">
        <f>IF(OR(S66="",O66=""),"",IFERROR(S66/O66-1,""))</f>
        <v/>
      </c>
      <c r="T68" s="9">
        <f>IF(OR(T66="",P66=""),"",IFERROR(T66/P66-1,""))</f>
        <v/>
      </c>
      <c r="U68" s="9">
        <f>IF(OR(U66="",Q66=""),"",IFERROR(U66/Q66-1,""))</f>
        <v/>
      </c>
      <c r="V68" s="9">
        <f>IF(OR(V66="",R66=""),"",IFERROR(V66/R66-1,""))</f>
        <v/>
      </c>
      <c r="X68" s="9">
        <f>IF(OR(X66="",W66=""),"",IFERROR(X66/W66-1,""))</f>
        <v/>
      </c>
      <c r="Y68" s="9">
        <f>IF(OR(Y66="",X66=""),"",IFERROR(Y66/X66-1,""))</f>
        <v/>
      </c>
      <c r="Z68" s="9">
        <f>IF(OR(Z66="",Y66=""),"",IFERROR(Z66/Y66-1,""))</f>
        <v/>
      </c>
      <c r="AA68" s="9">
        <f>IF(OR(AA66="",Z66=""),"",IFERROR(AA66/Z66-1,""))</f>
        <v/>
      </c>
      <c r="AB68" s="9">
        <f>IF(OR(AB66="",AA66=""),"",IFERROR(AB66/AA66-1,""))</f>
        <v/>
      </c>
      <c r="AC68" s="9">
        <f>IF(OR(AC66="",AB66=""),"",IFERROR(AC66/AB66-1,""))</f>
        <v/>
      </c>
      <c r="AD68" s="9">
        <f>IF(OR(AD66="",AC66=""),"",IFERROR(AD66/AC66-1,""))</f>
        <v/>
      </c>
      <c r="AE68" s="9">
        <f>IF(OR(AE66="",AD66=""),"",IFERROR(AE66/AD66-1,""))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10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40" customWidth="1" min="32" max="32"/>
  </cols>
  <sheetData>
    <row r="1">
      <c r="A1" s="1" t="inlineStr">
        <is>
          <t>HKS 포괄손익</t>
        </is>
      </c>
    </row>
    <row r="2">
      <c r="A2" s="2" t="inlineStr">
        <is>
          <t>결산기 기준(27.2Q = 2027년 결산기 2분기) · 8월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FY18</t>
        </is>
      </c>
      <c r="X3" s="4" t="inlineStr">
        <is>
          <t>FY19</t>
        </is>
      </c>
      <c r="Y3" s="4" t="inlineStr">
        <is>
          <t>FY20</t>
        </is>
      </c>
      <c r="Z3" s="4" t="inlineStr">
        <is>
          <t>FY21</t>
        </is>
      </c>
      <c r="AA3" s="4" t="inlineStr">
        <is>
          <t>FY22</t>
        </is>
      </c>
      <c r="AB3" s="4" t="inlineStr">
        <is>
          <t>FY23</t>
        </is>
      </c>
      <c r="AC3" s="4" t="inlineStr">
        <is>
          <t>FY24</t>
        </is>
      </c>
      <c r="AD3" s="4" t="inlineStr">
        <is>
          <t>FY25</t>
        </is>
      </c>
      <c r="AE3" s="4" t="inlineStr">
        <is>
          <t>FY26</t>
        </is>
      </c>
      <c r="AF3" s="4" t="inlineStr">
        <is>
          <t>출처</t>
        </is>
      </c>
    </row>
    <row r="4">
      <c r="A4" s="5" t="inlineStr">
        <is>
          <t>순이익</t>
        </is>
      </c>
      <c r="C4" s="6" t="n">
        <v>2.0953</v>
      </c>
      <c r="D4" s="6" t="n">
        <v>1.1714</v>
      </c>
      <c r="E4" s="6" t="n">
        <v>0.4688</v>
      </c>
      <c r="F4" s="6" t="n">
        <v>1.3561</v>
      </c>
      <c r="G4" s="6" t="n">
        <v>0.6347</v>
      </c>
      <c r="H4" s="6" t="n">
        <v>0.9194</v>
      </c>
      <c r="I4" s="6" t="n">
        <v>1.5572</v>
      </c>
      <c r="J4" s="6" t="n">
        <v>1.5226</v>
      </c>
      <c r="K4" s="6" t="n">
        <v>0.4418</v>
      </c>
      <c r="L4" s="6" t="n">
        <v>0.8877</v>
      </c>
      <c r="M4" s="6" t="n">
        <v>1.6577</v>
      </c>
      <c r="N4" s="6" t="n">
        <v>0.6446</v>
      </c>
      <c r="O4" s="6" t="n">
        <v>0.8274</v>
      </c>
      <c r="P4" s="6" t="n">
        <v>0.4946</v>
      </c>
      <c r="Q4" s="6" t="n">
        <v>1.5354</v>
      </c>
      <c r="R4" s="6" t="n">
        <v>0.757</v>
      </c>
      <c r="S4" s="6" t="n">
        <v>0.2916</v>
      </c>
      <c r="T4" s="6" t="n">
        <v>1.5584</v>
      </c>
      <c r="U4" s="6" t="n">
        <v>2.2851</v>
      </c>
      <c r="V4" s="6" t="n">
        <v>1.9005</v>
      </c>
      <c r="W4" s="6" t="n">
        <v>0.9051</v>
      </c>
      <c r="X4" s="6" t="n">
        <v>0.9272</v>
      </c>
      <c r="Y4" s="6" t="n">
        <v>1.2391</v>
      </c>
      <c r="Z4" s="6" t="n">
        <v>3.5225</v>
      </c>
      <c r="AA4" s="6" t="n">
        <v>5.0916</v>
      </c>
      <c r="AB4" s="6" t="n">
        <v>4.6339</v>
      </c>
      <c r="AC4" s="6" t="n">
        <v>3.6317</v>
      </c>
      <c r="AD4" s="6" t="n">
        <v>3.6144</v>
      </c>
      <c r="AE4" s="6" t="n">
        <v>6.0356</v>
      </c>
      <c r="AF4" s="7" t="inlineStr">
        <is>
          <t>결산단신 XBRL(거래소 공시, TDnet·JPX 보관소). 쓴 문서: 2026-10-13, 2026-07-10, 2026-04-10, 2026-01-09 외 26건 — '출처' 시트에 전부</t>
        </is>
      </c>
    </row>
    <row r="5">
      <c r="A5" s="10" t="inlineStr">
        <is>
          <t>기타유가증권 평가차액</t>
        </is>
      </c>
      <c r="C5" s="11" t="n">
        <v>-0.1501</v>
      </c>
      <c r="D5" s="11" t="n">
        <v>0.1182</v>
      </c>
      <c r="E5" s="11" t="n">
        <v>0.0891</v>
      </c>
      <c r="F5" s="11" t="n">
        <v>0.0393</v>
      </c>
      <c r="G5" s="11" t="n">
        <v>0.0119</v>
      </c>
      <c r="H5" s="11" t="n">
        <v>0.1312</v>
      </c>
      <c r="I5" s="11" t="n">
        <v>-0.1255</v>
      </c>
      <c r="J5" s="11" t="n">
        <v>0.2345</v>
      </c>
      <c r="K5" s="11" t="n">
        <v>0.0626</v>
      </c>
      <c r="L5" s="11" t="n">
        <v>0.0945</v>
      </c>
      <c r="M5" s="11" t="n">
        <v>0.1176</v>
      </c>
      <c r="N5" s="11" t="n">
        <v>-0.0775</v>
      </c>
      <c r="O5" s="11" t="n">
        <v>-0.0284</v>
      </c>
      <c r="P5" s="11" t="n">
        <v>0.1885</v>
      </c>
      <c r="Q5" s="11" t="n">
        <v>0.1798</v>
      </c>
      <c r="R5" s="11" t="n">
        <v>0.3109</v>
      </c>
      <c r="S5" s="11" t="n">
        <v>0.2705</v>
      </c>
      <c r="T5" s="11" t="n">
        <v>0.6375999999999999</v>
      </c>
      <c r="U5" s="11" t="n">
        <v>-0.3212</v>
      </c>
      <c r="V5" s="11" t="n">
        <v>0.2574</v>
      </c>
      <c r="W5" s="11" t="n">
        <v>-0.0218</v>
      </c>
      <c r="X5" s="11" t="n">
        <v>-0.09130000000000001</v>
      </c>
      <c r="Y5" s="11" t="n">
        <v>-0.08110000000000001</v>
      </c>
      <c r="Z5" s="11" t="n">
        <v>0.1323</v>
      </c>
      <c r="AA5" s="11" t="n">
        <v>0.0965</v>
      </c>
      <c r="AB5" s="11" t="n">
        <v>0.252</v>
      </c>
      <c r="AC5" s="11" t="n">
        <v>0.1972</v>
      </c>
      <c r="AD5" s="11" t="n">
        <v>0.6508</v>
      </c>
      <c r="AE5" s="11" t="n">
        <v>0.8442</v>
      </c>
    </row>
    <row r="6">
      <c r="A6" s="10" t="inlineStr">
        <is>
          <t>해외사업환산조정</t>
        </is>
      </c>
      <c r="C6" s="11" t="n">
        <v>-0.0935</v>
      </c>
      <c r="D6" s="11" t="n">
        <v>0.2702</v>
      </c>
      <c r="E6" s="11" t="n">
        <v>0.4828</v>
      </c>
      <c r="F6" s="11" t="n">
        <v>0.4238</v>
      </c>
      <c r="G6" s="11" t="n">
        <v>-0.1314</v>
      </c>
      <c r="H6" s="11" t="n">
        <v>-0.0648</v>
      </c>
      <c r="I6" s="11" t="n">
        <v>0.2255</v>
      </c>
      <c r="J6" s="11" t="n">
        <v>0.4954</v>
      </c>
      <c r="K6" s="11" t="n">
        <v>0.0893</v>
      </c>
      <c r="L6" s="11" t="n">
        <v>0.0211</v>
      </c>
      <c r="M6" s="11" t="n">
        <v>0.2928</v>
      </c>
      <c r="N6" s="11" t="n">
        <v>0.3601</v>
      </c>
      <c r="O6" s="11" t="n">
        <v>-0.1701</v>
      </c>
      <c r="P6" s="11" t="n">
        <v>0.4717</v>
      </c>
      <c r="Q6" s="11" t="n">
        <v>-0.431</v>
      </c>
      <c r="R6" s="11" t="n">
        <v>0.11</v>
      </c>
      <c r="S6" s="11" t="n">
        <v>0.3474</v>
      </c>
      <c r="T6" s="11" t="n">
        <v>0.7096</v>
      </c>
      <c r="U6" s="11" t="n">
        <v>-0.0987</v>
      </c>
      <c r="V6" s="11" t="n">
        <v>0.1008</v>
      </c>
      <c r="W6" s="11" t="n">
        <v>-0.0007</v>
      </c>
      <c r="X6" s="11" t="n">
        <v>0.0177</v>
      </c>
      <c r="Y6" s="11" t="n">
        <v>-0.0288</v>
      </c>
      <c r="Z6" s="11" t="n">
        <v>0.3533</v>
      </c>
      <c r="AA6" s="11" t="n">
        <v>1.0834</v>
      </c>
      <c r="AB6" s="11" t="n">
        <v>0.5247000000000001</v>
      </c>
      <c r="AC6" s="11" t="n">
        <v>0.7633</v>
      </c>
      <c r="AD6" s="11" t="n">
        <v>-0.0194</v>
      </c>
      <c r="AE6" s="11" t="n">
        <v>1.0591</v>
      </c>
    </row>
    <row r="7">
      <c r="A7" s="10" t="inlineStr">
        <is>
          <t>기타포괄손익 합계</t>
        </is>
      </c>
      <c r="C7" s="11" t="n">
        <v>-0.2436</v>
      </c>
      <c r="D7" s="11" t="n">
        <v>0.3885</v>
      </c>
      <c r="E7" s="11" t="n">
        <v>0.5719</v>
      </c>
      <c r="F7" s="11" t="n">
        <v>0.4631</v>
      </c>
      <c r="G7" s="11" t="n">
        <v>-0.1195</v>
      </c>
      <c r="H7" s="11" t="n">
        <v>0.0664</v>
      </c>
      <c r="I7" s="11" t="n">
        <v>0.1</v>
      </c>
      <c r="J7" s="11" t="n">
        <v>0.7298</v>
      </c>
      <c r="K7" s="11" t="n">
        <v>0.1519</v>
      </c>
      <c r="L7" s="11" t="n">
        <v>0.1157</v>
      </c>
      <c r="M7" s="11" t="n">
        <v>0.4104</v>
      </c>
      <c r="N7" s="11" t="n">
        <v>0.2826</v>
      </c>
      <c r="O7" s="11" t="n">
        <v>-0.1985</v>
      </c>
      <c r="P7" s="11" t="n">
        <v>0.6601</v>
      </c>
      <c r="Q7" s="11" t="n">
        <v>-0.2512</v>
      </c>
      <c r="R7" s="11" t="n">
        <v>0.4209</v>
      </c>
      <c r="S7" s="11" t="n">
        <v>0.6179</v>
      </c>
      <c r="T7" s="11" t="n">
        <v>1.3472</v>
      </c>
      <c r="U7" s="11" t="n">
        <v>-0.4199</v>
      </c>
      <c r="V7" s="11" t="n">
        <v>0.3581</v>
      </c>
      <c r="W7" s="11" t="n">
        <v>-0.0226</v>
      </c>
      <c r="X7" s="11" t="n">
        <v>-0.0736</v>
      </c>
      <c r="Y7" s="11" t="n">
        <v>-0.1099</v>
      </c>
      <c r="Z7" s="11" t="n">
        <v>0.4856</v>
      </c>
      <c r="AA7" s="11" t="n">
        <v>1.1799</v>
      </c>
      <c r="AB7" s="11" t="n">
        <v>0.7766999999999999</v>
      </c>
      <c r="AC7" s="11" t="n">
        <v>0.9605</v>
      </c>
      <c r="AD7" s="11" t="n">
        <v>0.6313</v>
      </c>
      <c r="AE7" s="11" t="n">
        <v>1.9033</v>
      </c>
    </row>
    <row r="8">
      <c r="A8" s="10" t="inlineStr">
        <is>
          <t>포괄이익</t>
        </is>
      </c>
      <c r="C8" s="11" t="n">
        <v>1.8517</v>
      </c>
      <c r="D8" s="11" t="n">
        <v>1.5599</v>
      </c>
      <c r="E8" s="11" t="n">
        <v>1.0407</v>
      </c>
      <c r="F8" s="11" t="n">
        <v>1.8191</v>
      </c>
      <c r="G8" s="11" t="n">
        <v>0.5152</v>
      </c>
      <c r="H8" s="11" t="n">
        <v>0.9858</v>
      </c>
      <c r="I8" s="11" t="n">
        <v>1.6572</v>
      </c>
      <c r="J8" s="11" t="n">
        <v>2.2525</v>
      </c>
      <c r="K8" s="11" t="n">
        <v>0.5938</v>
      </c>
      <c r="L8" s="11" t="n">
        <v>1.0033</v>
      </c>
      <c r="M8" s="11" t="n">
        <v>2.068</v>
      </c>
      <c r="N8" s="11" t="n">
        <v>0.9272</v>
      </c>
      <c r="O8" s="11" t="n">
        <v>0.6289</v>
      </c>
      <c r="P8" s="11" t="n">
        <v>1.1547</v>
      </c>
      <c r="Q8" s="11" t="n">
        <v>1.2842</v>
      </c>
      <c r="R8" s="11" t="n">
        <v>1.1779</v>
      </c>
      <c r="S8" s="11" t="n">
        <v>0.9095</v>
      </c>
      <c r="T8" s="11" t="n">
        <v>2.9056</v>
      </c>
      <c r="U8" s="11" t="n">
        <v>1.8652</v>
      </c>
      <c r="V8" s="11" t="n">
        <v>2.2587</v>
      </c>
      <c r="W8" s="11" t="n">
        <v>0.8825</v>
      </c>
      <c r="X8" s="11" t="n">
        <v>0.8536</v>
      </c>
      <c r="Y8" s="11" t="n">
        <v>1.1291</v>
      </c>
      <c r="Z8" s="11" t="n">
        <v>4.0081</v>
      </c>
      <c r="AA8" s="11" t="n">
        <v>6.2714</v>
      </c>
      <c r="AB8" s="11" t="n">
        <v>5.4106</v>
      </c>
      <c r="AC8" s="11" t="n">
        <v>4.5923</v>
      </c>
      <c r="AD8" s="11" t="n">
        <v>4.2458</v>
      </c>
      <c r="AE8" s="11" t="n">
        <v>7.939</v>
      </c>
    </row>
    <row r="9">
      <c r="A9" s="10" t="inlineStr">
        <is>
          <t>지배주주 포괄이익</t>
        </is>
      </c>
      <c r="C9" s="11" t="n">
        <v>1.8517</v>
      </c>
      <c r="D9" s="11" t="n">
        <v>1.5599</v>
      </c>
      <c r="E9" s="11" t="n">
        <v>0.9918</v>
      </c>
      <c r="F9" s="11" t="n">
        <v>1.7166</v>
      </c>
      <c r="G9" s="11" t="n">
        <v>0.4697</v>
      </c>
      <c r="H9" s="11" t="n">
        <v>0.9504</v>
      </c>
      <c r="I9" s="11" t="n">
        <v>1.5875</v>
      </c>
      <c r="J9" s="11" t="n">
        <v>2.2601</v>
      </c>
      <c r="K9" s="11" t="n">
        <v>0.5306</v>
      </c>
      <c r="L9" s="11" t="n">
        <v>0.9602000000000001</v>
      </c>
      <c r="M9" s="11" t="n">
        <v>2.017</v>
      </c>
      <c r="N9" s="11" t="n">
        <v>0.8965</v>
      </c>
      <c r="O9" s="11" t="n">
        <v>0.6289</v>
      </c>
      <c r="P9" s="11" t="n">
        <v>1.1547</v>
      </c>
      <c r="Q9" s="11" t="n">
        <v>1.2842</v>
      </c>
      <c r="R9" s="11" t="n">
        <v>1.1779</v>
      </c>
      <c r="S9" s="11" t="n">
        <v>0.9095</v>
      </c>
      <c r="T9" s="11" t="n">
        <v>2.9056</v>
      </c>
      <c r="U9" s="11" t="n">
        <v>1.8652</v>
      </c>
      <c r="V9" s="11" t="n">
        <v>2.2587</v>
      </c>
      <c r="W9" s="11" t="n">
        <v>0.9722</v>
      </c>
      <c r="X9" s="11" t="n">
        <v>0.9698</v>
      </c>
      <c r="Y9" s="11" t="n">
        <v>1.3753</v>
      </c>
      <c r="Z9" s="11" t="n">
        <v>4.0081</v>
      </c>
      <c r="AA9" s="11" t="n">
        <v>6.12</v>
      </c>
      <c r="AB9" s="11" t="n">
        <v>5.2678</v>
      </c>
      <c r="AC9" s="11" t="n">
        <v>4.4044</v>
      </c>
      <c r="AD9" s="11" t="n">
        <v>4.2458</v>
      </c>
      <c r="AE9" s="11" t="n">
        <v>7.939</v>
      </c>
    </row>
    <row r="10">
      <c r="A10" s="10" t="inlineStr">
        <is>
          <t>비지배주주 포괄이익</t>
        </is>
      </c>
      <c r="C10" s="11" t="n">
        <v>0</v>
      </c>
      <c r="D10" s="11" t="n">
        <v>0</v>
      </c>
      <c r="E10" s="11" t="n">
        <v>0.0489</v>
      </c>
      <c r="F10" s="11" t="n">
        <v>0.1025</v>
      </c>
      <c r="G10" s="11" t="n">
        <v>0.0455</v>
      </c>
      <c r="H10" s="11" t="n">
        <v>0.0353</v>
      </c>
      <c r="I10" s="11" t="n">
        <v>0.0697</v>
      </c>
      <c r="J10" s="11" t="n">
        <v>-0.0077</v>
      </c>
      <c r="K10" s="11" t="n">
        <v>0.06320000000000001</v>
      </c>
      <c r="L10" s="11" t="n">
        <v>0.0431</v>
      </c>
      <c r="M10" s="11" t="n">
        <v>0.051</v>
      </c>
      <c r="N10" s="11" t="n">
        <v>0.0306</v>
      </c>
      <c r="O10" s="11" t="n">
        <v>0</v>
      </c>
      <c r="P10" s="11" t="n">
        <v>0</v>
      </c>
      <c r="Q10" s="11" t="n">
        <v>0</v>
      </c>
      <c r="R10" s="11" t="n">
        <v>0</v>
      </c>
      <c r="S10" s="11" t="n">
        <v>0</v>
      </c>
      <c r="T10" s="11" t="n">
        <v>0</v>
      </c>
      <c r="U10" s="11" t="n">
        <v>0</v>
      </c>
      <c r="V10" s="11" t="n">
        <v>0</v>
      </c>
      <c r="W10" s="11" t="n">
        <v>-0.0897</v>
      </c>
      <c r="X10" s="11" t="n">
        <v>-0.1162</v>
      </c>
      <c r="Y10" s="11" t="n">
        <v>-0.2461</v>
      </c>
      <c r="Z10" s="11" t="n">
        <v>0</v>
      </c>
      <c r="AA10" s="11" t="n">
        <v>0.1514</v>
      </c>
      <c r="AB10" s="11" t="n">
        <v>0.1428</v>
      </c>
      <c r="AC10" s="11" t="n">
        <v>0.1879</v>
      </c>
      <c r="AD10" s="11" t="n">
        <v>0</v>
      </c>
      <c r="AE10" s="1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102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40" customWidth="1" min="32" max="32"/>
  </cols>
  <sheetData>
    <row r="1">
      <c r="A1" s="1" t="inlineStr">
        <is>
          <t>HKS 재무상태표</t>
        </is>
      </c>
    </row>
    <row r="2">
      <c r="A2" s="2" t="inlineStr">
        <is>
          <t>결산기 기준(27.2Q = 2027년 결산기 2분기) · 8월 결산 · 연결 · 분기 말 잔액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FY18</t>
        </is>
      </c>
      <c r="X3" s="4" t="inlineStr">
        <is>
          <t>FY19</t>
        </is>
      </c>
      <c r="Y3" s="4" t="inlineStr">
        <is>
          <t>FY20</t>
        </is>
      </c>
      <c r="Z3" s="4" t="inlineStr">
        <is>
          <t>FY21</t>
        </is>
      </c>
      <c r="AA3" s="4" t="inlineStr">
        <is>
          <t>FY22</t>
        </is>
      </c>
      <c r="AB3" s="4" t="inlineStr">
        <is>
          <t>FY23</t>
        </is>
      </c>
      <c r="AC3" s="4" t="inlineStr">
        <is>
          <t>FY24</t>
        </is>
      </c>
      <c r="AD3" s="4" t="inlineStr">
        <is>
          <t>FY25</t>
        </is>
      </c>
      <c r="AE3" s="4" t="inlineStr">
        <is>
          <t>FY26</t>
        </is>
      </c>
      <c r="AF3" s="4" t="inlineStr">
        <is>
          <t>출처</t>
        </is>
      </c>
    </row>
    <row r="4">
      <c r="A4" s="10" t="inlineStr">
        <is>
          <t>현금 및 예금</t>
        </is>
      </c>
      <c r="C4" s="11" t="n">
        <v>21.4459</v>
      </c>
      <c r="D4" s="11" t="n">
        <v>20.7774</v>
      </c>
      <c r="E4" s="11" t="n">
        <v>19.3256</v>
      </c>
      <c r="F4" s="11" t="n">
        <v>12.3932</v>
      </c>
      <c r="G4" s="11" t="n">
        <v>16.5896</v>
      </c>
      <c r="H4" s="11" t="n">
        <v>15.2901</v>
      </c>
      <c r="I4" s="11" t="n">
        <v>19.3336</v>
      </c>
      <c r="J4" s="11" t="n">
        <v>13.0837</v>
      </c>
      <c r="K4" s="11" t="n">
        <v>20.1743</v>
      </c>
      <c r="L4" s="11" t="n">
        <v>16.9559</v>
      </c>
      <c r="M4" s="11" t="n">
        <v>17.609</v>
      </c>
      <c r="N4" s="11" t="n">
        <v>21.2246</v>
      </c>
      <c r="O4" s="11" t="n">
        <v>19.6542</v>
      </c>
      <c r="P4" s="11" t="n">
        <v>17.984</v>
      </c>
      <c r="Q4" s="11" t="n">
        <v>20.8591</v>
      </c>
      <c r="R4" s="11" t="n">
        <v>12.3781</v>
      </c>
      <c r="S4" s="11" t="n">
        <v>18.8071</v>
      </c>
      <c r="T4" s="11" t="n">
        <v>22.0465</v>
      </c>
      <c r="U4" s="11" t="n">
        <v>22.4614</v>
      </c>
      <c r="V4" s="11" t="n">
        <v>15.2997</v>
      </c>
      <c r="W4" s="11" t="n">
        <v>15.4415</v>
      </c>
      <c r="X4" s="11" t="n">
        <v>13.0227</v>
      </c>
      <c r="Y4" s="11" t="n">
        <v>17.0797</v>
      </c>
      <c r="Z4" s="11" t="n">
        <v>14.3911</v>
      </c>
      <c r="AA4" s="11" t="n">
        <v>12.3932</v>
      </c>
      <c r="AB4" s="11" t="n">
        <v>13.0837</v>
      </c>
      <c r="AC4" s="11" t="n">
        <v>21.2246</v>
      </c>
      <c r="AD4" s="11" t="n">
        <v>12.3781</v>
      </c>
      <c r="AE4" s="11" t="n">
        <v>15.2997</v>
      </c>
      <c r="AF4" s="7" t="inlineStr">
        <is>
          <t>결산단신 XBRL(거래소 공시, TDnet·JPX 보관소). 쓴 문서: 2026-10-13, 2026-07-10, 2026-04-10, 2026-01-09 외 26건 — '출처' 시트에 전부</t>
        </is>
      </c>
    </row>
    <row r="5">
      <c r="A5" s="10" t="inlineStr">
        <is>
          <t>받을어음·매출채권</t>
        </is>
      </c>
      <c r="C5" s="11" t="n">
        <v>9.7643</v>
      </c>
      <c r="D5" s="11" t="n">
        <v>9.2464</v>
      </c>
      <c r="E5" s="11" t="n">
        <v>0</v>
      </c>
      <c r="F5" s="11" t="n">
        <v>0</v>
      </c>
      <c r="W5" s="11" t="n">
        <v>10.361</v>
      </c>
      <c r="X5" s="11" t="n">
        <v>11.57</v>
      </c>
      <c r="Y5" s="11" t="n">
        <v>10.3171</v>
      </c>
      <c r="Z5" s="11" t="n">
        <v>12.0862</v>
      </c>
      <c r="AA5" s="11" t="n">
        <v>0</v>
      </c>
    </row>
    <row r="6">
      <c r="A6" s="10" t="inlineStr">
        <is>
          <t>받을어음·매출채권·계약자산</t>
        </is>
      </c>
      <c r="E6" s="11" t="n">
        <v>9.121600000000001</v>
      </c>
      <c r="Z6" s="11" t="n">
        <v>0</v>
      </c>
    </row>
    <row r="7">
      <c r="A7" s="10" t="inlineStr">
        <is>
          <t>받을어음</t>
        </is>
      </c>
      <c r="F7" s="11" t="n">
        <v>0</v>
      </c>
      <c r="G7" s="11" t="n">
        <v>0.0924</v>
      </c>
      <c r="H7" s="11" t="n">
        <v>0.0051</v>
      </c>
      <c r="I7" s="11" t="n">
        <v>0.0081</v>
      </c>
      <c r="J7" s="11" t="n">
        <v>0.0418</v>
      </c>
      <c r="K7" s="11" t="n">
        <v>0.0251</v>
      </c>
      <c r="L7" s="11" t="n">
        <v>0</v>
      </c>
      <c r="M7" s="11" t="n">
        <v>0</v>
      </c>
      <c r="N7" s="11" t="n">
        <v>0</v>
      </c>
      <c r="W7" s="11" t="n">
        <v>0.5039</v>
      </c>
      <c r="X7" s="11" t="n">
        <v>0.481</v>
      </c>
      <c r="Y7" s="11" t="n">
        <v>0.5067</v>
      </c>
      <c r="Z7" s="11" t="n">
        <v>0.0024</v>
      </c>
      <c r="AA7" s="11" t="n">
        <v>0</v>
      </c>
      <c r="AB7" s="11" t="n">
        <v>0.0418</v>
      </c>
      <c r="AC7" s="11" t="n">
        <v>0</v>
      </c>
    </row>
    <row r="8">
      <c r="A8" s="10" t="inlineStr">
        <is>
          <t>전자기록채권</t>
        </is>
      </c>
      <c r="F8" s="11" t="n">
        <v>0.714</v>
      </c>
      <c r="G8" s="11" t="n">
        <v>1.118</v>
      </c>
      <c r="H8" s="11" t="n">
        <v>1.1338</v>
      </c>
      <c r="I8" s="11" t="n">
        <v>0.7176</v>
      </c>
      <c r="J8" s="11" t="n">
        <v>0.127</v>
      </c>
      <c r="K8" s="11" t="n">
        <v>0.3156</v>
      </c>
      <c r="L8" s="11" t="n">
        <v>0.3518</v>
      </c>
      <c r="M8" s="11" t="n">
        <v>0.3044</v>
      </c>
      <c r="N8" s="11" t="n">
        <v>0.3382</v>
      </c>
      <c r="O8" s="11" t="n">
        <v>0.3435</v>
      </c>
      <c r="P8" s="11" t="n">
        <v>0.3063</v>
      </c>
      <c r="Q8" s="11" t="n">
        <v>0.2139</v>
      </c>
      <c r="R8" s="11" t="n">
        <v>0.111</v>
      </c>
      <c r="S8" s="11" t="n">
        <v>0.3372</v>
      </c>
      <c r="T8" s="11" t="n">
        <v>0.2684</v>
      </c>
      <c r="U8" s="11" t="n">
        <v>0.0643</v>
      </c>
      <c r="V8" s="11" t="n">
        <v>0</v>
      </c>
      <c r="Z8" s="11" t="n">
        <v>0.532</v>
      </c>
      <c r="AA8" s="11" t="n">
        <v>0.714</v>
      </c>
      <c r="AB8" s="11" t="n">
        <v>0.127</v>
      </c>
      <c r="AC8" s="11" t="n">
        <v>0.3382</v>
      </c>
      <c r="AD8" s="11" t="n">
        <v>0.111</v>
      </c>
      <c r="AE8" s="11" t="n">
        <v>0</v>
      </c>
    </row>
    <row r="9">
      <c r="A9" s="10" t="inlineStr">
        <is>
          <t>매출채권</t>
        </is>
      </c>
      <c r="F9" s="11" t="n">
        <v>11.6103</v>
      </c>
      <c r="G9" s="11" t="n">
        <v>8.1965</v>
      </c>
      <c r="H9" s="11" t="n">
        <v>9.1242</v>
      </c>
      <c r="I9" s="11" t="n">
        <v>9.2982</v>
      </c>
      <c r="J9" s="11" t="n">
        <v>13.4714</v>
      </c>
      <c r="K9" s="11" t="n">
        <v>7.9275</v>
      </c>
      <c r="L9" s="11" t="n">
        <v>8.6859</v>
      </c>
      <c r="M9" s="11" t="n">
        <v>10.2805</v>
      </c>
      <c r="N9" s="11" t="n">
        <v>11.6057</v>
      </c>
      <c r="O9" s="11" t="n">
        <v>9.423400000000001</v>
      </c>
      <c r="P9" s="11" t="n">
        <v>8.6492</v>
      </c>
      <c r="Q9" s="11" t="n">
        <v>8.974</v>
      </c>
      <c r="R9" s="11" t="n">
        <v>14.4602</v>
      </c>
      <c r="S9" s="11" t="n">
        <v>9.082599999999999</v>
      </c>
      <c r="T9" s="11" t="n">
        <v>9.664400000000001</v>
      </c>
      <c r="U9" s="11" t="n">
        <v>10.5131</v>
      </c>
      <c r="V9" s="11" t="n">
        <v>14.7209</v>
      </c>
      <c r="W9" s="11" t="n">
        <v>11.361</v>
      </c>
      <c r="X9" s="11" t="n">
        <v>13.5171</v>
      </c>
      <c r="Y9" s="11" t="n">
        <v>12.4483</v>
      </c>
      <c r="Z9" s="11" t="n">
        <v>13.4175</v>
      </c>
      <c r="AA9" s="11" t="n">
        <v>11.6103</v>
      </c>
      <c r="AB9" s="11" t="n">
        <v>13.4714</v>
      </c>
      <c r="AC9" s="11" t="n">
        <v>11.6057</v>
      </c>
      <c r="AD9" s="11" t="n">
        <v>14.4602</v>
      </c>
      <c r="AE9" s="11" t="n">
        <v>14.7209</v>
      </c>
    </row>
    <row r="10">
      <c r="A10" s="10" t="inlineStr">
        <is>
          <t>계약자산</t>
        </is>
      </c>
      <c r="F10" s="11" t="n">
        <v>0.8114</v>
      </c>
      <c r="G10" s="11" t="n">
        <v>1.4115</v>
      </c>
      <c r="H10" s="11" t="n">
        <v>1.4115</v>
      </c>
      <c r="I10" s="11" t="n">
        <v>0</v>
      </c>
      <c r="J10" s="11" t="n">
        <v>0.8192</v>
      </c>
      <c r="K10" s="11" t="n">
        <v>1.2095</v>
      </c>
      <c r="L10" s="11" t="n">
        <v>1.9576</v>
      </c>
      <c r="M10" s="11" t="n">
        <v>0.1229</v>
      </c>
      <c r="N10" s="11" t="n">
        <v>0.3635</v>
      </c>
      <c r="O10" s="11" t="n">
        <v>0.5502</v>
      </c>
      <c r="P10" s="11" t="n">
        <v>0.7627</v>
      </c>
      <c r="Q10" s="11" t="n">
        <v>0</v>
      </c>
      <c r="R10" s="11" t="n">
        <v>0</v>
      </c>
      <c r="U10" s="11" t="n">
        <v>0.2334</v>
      </c>
      <c r="V10" s="11" t="n">
        <v>0.3436</v>
      </c>
      <c r="Z10" s="11" t="n">
        <v>0</v>
      </c>
      <c r="AA10" s="11" t="n">
        <v>0.8114</v>
      </c>
      <c r="AB10" s="11" t="n">
        <v>0.8192</v>
      </c>
      <c r="AC10" s="11" t="n">
        <v>0.3635</v>
      </c>
      <c r="AD10" s="11" t="n">
        <v>0</v>
      </c>
      <c r="AE10" s="11" t="n">
        <v>0.3436</v>
      </c>
    </row>
    <row r="11">
      <c r="A11" s="10" t="inlineStr">
        <is>
          <t>유가증권</t>
        </is>
      </c>
      <c r="C11" s="11" t="n">
        <v>7.9992</v>
      </c>
      <c r="D11" s="11" t="n">
        <v>7</v>
      </c>
      <c r="E11" s="11" t="n">
        <v>8</v>
      </c>
      <c r="F11" s="11" t="n">
        <v>6</v>
      </c>
      <c r="G11" s="11" t="n">
        <v>10.0032</v>
      </c>
      <c r="H11" s="11" t="n">
        <v>5.9996</v>
      </c>
      <c r="I11" s="11" t="n">
        <v>3.9996</v>
      </c>
      <c r="J11" s="11" t="n">
        <v>1.7306</v>
      </c>
      <c r="K11" s="11" t="n">
        <v>1.7366</v>
      </c>
      <c r="L11" s="11" t="n">
        <v>2.0008</v>
      </c>
      <c r="M11" s="11" t="n">
        <v>6.0004</v>
      </c>
      <c r="N11" s="11" t="n">
        <v>3.0013</v>
      </c>
      <c r="O11" s="11" t="n">
        <v>5.0028</v>
      </c>
      <c r="P11" s="11" t="n">
        <v>6.0015</v>
      </c>
      <c r="Q11" s="11" t="n">
        <v>6.0005</v>
      </c>
      <c r="R11" s="11" t="n">
        <v>4.9957</v>
      </c>
      <c r="S11" s="11" t="n">
        <v>5.9947</v>
      </c>
      <c r="T11" s="11" t="n">
        <v>2.9972</v>
      </c>
      <c r="U11" s="11" t="n">
        <v>3.9913</v>
      </c>
      <c r="V11" s="11" t="n">
        <v>4.9872</v>
      </c>
      <c r="X11" s="11" t="n">
        <v>0</v>
      </c>
      <c r="Y11" s="11" t="n">
        <v>5.9992</v>
      </c>
      <c r="Z11" s="11" t="n">
        <v>9.9992</v>
      </c>
      <c r="AA11" s="11" t="n">
        <v>6</v>
      </c>
      <c r="AB11" s="11" t="n">
        <v>1.7306</v>
      </c>
      <c r="AC11" s="11" t="n">
        <v>3.0013</v>
      </c>
      <c r="AD11" s="11" t="n">
        <v>4.9957</v>
      </c>
      <c r="AE11" s="11" t="n">
        <v>4.9872</v>
      </c>
    </row>
    <row r="12">
      <c r="A12" s="10" t="inlineStr">
        <is>
          <t>제품</t>
        </is>
      </c>
      <c r="C12" s="11" t="n">
        <v>14.7636</v>
      </c>
      <c r="D12" s="11" t="n">
        <v>15.3567</v>
      </c>
      <c r="E12" s="11" t="n">
        <v>16.168</v>
      </c>
      <c r="F12" s="11" t="n">
        <v>11.9001</v>
      </c>
      <c r="G12" s="11" t="n">
        <v>17.0293</v>
      </c>
      <c r="H12" s="11" t="n">
        <v>16.7688</v>
      </c>
      <c r="I12" s="11" t="n">
        <v>17.574</v>
      </c>
      <c r="J12" s="11" t="n">
        <v>12.8815</v>
      </c>
      <c r="K12" s="11" t="n">
        <v>19.2333</v>
      </c>
      <c r="L12" s="11" t="n">
        <v>20.5367</v>
      </c>
      <c r="M12" s="11" t="n">
        <v>21.6339</v>
      </c>
      <c r="N12" s="11" t="n">
        <v>18.1814</v>
      </c>
      <c r="O12" s="11" t="n">
        <v>19.5092</v>
      </c>
      <c r="P12" s="11" t="n">
        <v>19.5028</v>
      </c>
      <c r="Q12" s="11" t="n">
        <v>20.2399</v>
      </c>
      <c r="R12" s="11" t="n">
        <v>15.4751</v>
      </c>
      <c r="S12" s="11" t="n">
        <v>21.3503</v>
      </c>
      <c r="T12" s="11" t="n">
        <v>22.936</v>
      </c>
      <c r="U12" s="11" t="n">
        <v>22.0575</v>
      </c>
      <c r="V12" s="11" t="n">
        <v>14.5755</v>
      </c>
      <c r="W12" s="11" t="n">
        <v>11.8669</v>
      </c>
      <c r="X12" s="11" t="n">
        <v>9.4872</v>
      </c>
      <c r="Y12" s="11" t="n">
        <v>11.3331</v>
      </c>
      <c r="Z12" s="11" t="n">
        <v>8.1112</v>
      </c>
      <c r="AA12" s="11" t="n">
        <v>11.9001</v>
      </c>
      <c r="AB12" s="11" t="n">
        <v>12.8815</v>
      </c>
      <c r="AC12" s="11" t="n">
        <v>18.1814</v>
      </c>
      <c r="AD12" s="11" t="n">
        <v>15.4751</v>
      </c>
      <c r="AE12" s="11" t="n">
        <v>14.5755</v>
      </c>
    </row>
    <row r="13">
      <c r="A13" s="10" t="inlineStr">
        <is>
          <t>재공품</t>
        </is>
      </c>
      <c r="C13" s="11" t="n">
        <v>2.6136</v>
      </c>
      <c r="D13" s="11" t="n">
        <v>3.5343</v>
      </c>
      <c r="E13" s="11" t="n">
        <v>2.1322</v>
      </c>
      <c r="F13" s="11" t="n">
        <v>1.6334</v>
      </c>
      <c r="G13" s="11" t="n">
        <v>2.0913</v>
      </c>
      <c r="H13" s="11" t="n">
        <v>2.3563</v>
      </c>
      <c r="I13" s="11" t="n">
        <v>3.5321</v>
      </c>
      <c r="J13" s="11" t="n">
        <v>2.7917</v>
      </c>
      <c r="K13" s="11" t="n">
        <v>3.4924</v>
      </c>
      <c r="L13" s="11" t="n">
        <v>2.6298</v>
      </c>
      <c r="M13" s="11" t="n">
        <v>2.6264</v>
      </c>
      <c r="N13" s="11" t="n">
        <v>3.3135</v>
      </c>
      <c r="O13" s="11" t="n">
        <v>3.1278</v>
      </c>
      <c r="P13" s="11" t="n">
        <v>3.5979</v>
      </c>
      <c r="Q13" s="11" t="n">
        <v>3.3818</v>
      </c>
      <c r="R13" s="11" t="n">
        <v>2.4968</v>
      </c>
      <c r="S13" s="11" t="n">
        <v>3.7123</v>
      </c>
      <c r="T13" s="11" t="n">
        <v>3.6635</v>
      </c>
      <c r="U13" s="11" t="n">
        <v>5.5481</v>
      </c>
      <c r="V13" s="11" t="n">
        <v>4.7751</v>
      </c>
      <c r="W13" s="11" t="n">
        <v>2.0968</v>
      </c>
      <c r="X13" s="11" t="n">
        <v>1.5893</v>
      </c>
      <c r="Y13" s="11" t="n">
        <v>1.903</v>
      </c>
      <c r="Z13" s="11" t="n">
        <v>1.6824</v>
      </c>
      <c r="AA13" s="11" t="n">
        <v>1.6334</v>
      </c>
      <c r="AB13" s="11" t="n">
        <v>2.7917</v>
      </c>
      <c r="AC13" s="11" t="n">
        <v>3.3135</v>
      </c>
      <c r="AD13" s="11" t="n">
        <v>2.4968</v>
      </c>
      <c r="AE13" s="11" t="n">
        <v>4.7751</v>
      </c>
    </row>
    <row r="14">
      <c r="A14" s="10" t="inlineStr">
        <is>
          <t>원재료·저장품</t>
        </is>
      </c>
      <c r="C14" s="11" t="n">
        <v>5.7294</v>
      </c>
      <c r="D14" s="11" t="n">
        <v>5.943</v>
      </c>
      <c r="E14" s="11" t="n">
        <v>6.2403</v>
      </c>
      <c r="F14" s="11" t="n">
        <v>5.1551</v>
      </c>
      <c r="G14" s="11" t="n">
        <v>6.0705</v>
      </c>
      <c r="H14" s="11" t="n">
        <v>6.3532</v>
      </c>
      <c r="I14" s="11" t="n">
        <v>6.4559</v>
      </c>
      <c r="J14" s="11" t="n">
        <v>5.6056</v>
      </c>
      <c r="K14" s="11" t="n">
        <v>7.0789</v>
      </c>
      <c r="L14" s="11" t="n">
        <v>7.8154</v>
      </c>
      <c r="M14" s="11" t="n">
        <v>7.4308</v>
      </c>
      <c r="N14" s="11" t="n">
        <v>8.155200000000001</v>
      </c>
      <c r="O14" s="11" t="n">
        <v>8.2812</v>
      </c>
      <c r="P14" s="11" t="n">
        <v>8.1183</v>
      </c>
      <c r="Q14" s="11" t="n">
        <v>8.5693</v>
      </c>
      <c r="R14" s="11" t="n">
        <v>7.9219</v>
      </c>
      <c r="S14" s="11" t="n">
        <v>9.3209</v>
      </c>
      <c r="T14" s="11" t="n">
        <v>8.9573</v>
      </c>
      <c r="U14" s="11" t="n">
        <v>8.6501</v>
      </c>
      <c r="V14" s="11" t="n">
        <v>7.4583</v>
      </c>
      <c r="W14" s="11" t="n">
        <v>4.9028</v>
      </c>
      <c r="X14" s="11" t="n">
        <v>4.8762</v>
      </c>
      <c r="Y14" s="11" t="n">
        <v>5.1672</v>
      </c>
      <c r="Z14" s="11" t="n">
        <v>5.0324</v>
      </c>
      <c r="AA14" s="11" t="n">
        <v>5.1551</v>
      </c>
      <c r="AB14" s="11" t="n">
        <v>5.6056</v>
      </c>
      <c r="AC14" s="11" t="n">
        <v>8.155200000000001</v>
      </c>
      <c r="AD14" s="11" t="n">
        <v>7.9219</v>
      </c>
      <c r="AE14" s="11" t="n">
        <v>7.4583</v>
      </c>
    </row>
    <row r="15">
      <c r="A15" s="10" t="inlineStr">
        <is>
          <t>선급비용</t>
        </is>
      </c>
      <c r="F15" s="11" t="n">
        <v>0.711</v>
      </c>
      <c r="J15" s="11" t="n">
        <v>0.5062</v>
      </c>
      <c r="N15" s="11" t="n">
        <v>0.5604</v>
      </c>
      <c r="R15" s="11" t="n">
        <v>0.621</v>
      </c>
      <c r="V15" s="11" t="n">
        <v>0.5412</v>
      </c>
      <c r="W15" s="11" t="n">
        <v>0.3263</v>
      </c>
      <c r="X15" s="11" t="n">
        <v>0.4708</v>
      </c>
      <c r="Y15" s="11" t="n">
        <v>0.4724</v>
      </c>
      <c r="Z15" s="11" t="n">
        <v>0.3188</v>
      </c>
      <c r="AA15" s="11" t="n">
        <v>0.711</v>
      </c>
      <c r="AB15" s="11" t="n">
        <v>0.5062</v>
      </c>
      <c r="AC15" s="11" t="n">
        <v>0.5604</v>
      </c>
      <c r="AD15" s="11" t="n">
        <v>0.621</v>
      </c>
      <c r="AE15" s="11" t="n">
        <v>0.5412</v>
      </c>
    </row>
    <row r="16">
      <c r="A16" s="10" t="inlineStr">
        <is>
          <t>관계회사 단기대여금</t>
        </is>
      </c>
      <c r="F16" s="11" t="n">
        <v>3.0605</v>
      </c>
      <c r="J16" s="11" t="n">
        <v>3.2277</v>
      </c>
      <c r="N16" s="11" t="n">
        <v>3.5434</v>
      </c>
      <c r="R16" s="11" t="n">
        <v>3.0425</v>
      </c>
      <c r="V16" s="11" t="n">
        <v>2.801</v>
      </c>
      <c r="W16" s="11" t="n">
        <v>3.399</v>
      </c>
      <c r="X16" s="11" t="n">
        <v>3.288</v>
      </c>
      <c r="Y16" s="11" t="n">
        <v>2.999</v>
      </c>
      <c r="Z16" s="11" t="n">
        <v>2.0794</v>
      </c>
      <c r="AA16" s="11" t="n">
        <v>3.0605</v>
      </c>
      <c r="AB16" s="11" t="n">
        <v>3.2277</v>
      </c>
      <c r="AC16" s="11" t="n">
        <v>3.5434</v>
      </c>
      <c r="AD16" s="11" t="n">
        <v>3.0425</v>
      </c>
      <c r="AE16" s="11" t="n">
        <v>2.801</v>
      </c>
    </row>
    <row r="17">
      <c r="A17" s="10" t="inlineStr">
        <is>
          <t>미수금</t>
        </is>
      </c>
      <c r="F17" s="11" t="n">
        <v>0.9187</v>
      </c>
      <c r="J17" s="11" t="n">
        <v>1.0426</v>
      </c>
      <c r="N17" s="11" t="n">
        <v>0.5647</v>
      </c>
      <c r="R17" s="11" t="n">
        <v>0.4183</v>
      </c>
      <c r="V17" s="11" t="n">
        <v>0.3633</v>
      </c>
      <c r="W17" s="11" t="n">
        <v>0.918</v>
      </c>
      <c r="X17" s="11" t="n">
        <v>1.2978</v>
      </c>
      <c r="Y17" s="11" t="n">
        <v>0.911</v>
      </c>
      <c r="Z17" s="11" t="n">
        <v>1.0544</v>
      </c>
      <c r="AA17" s="11" t="n">
        <v>0.9187</v>
      </c>
      <c r="AB17" s="11" t="n">
        <v>1.0426</v>
      </c>
      <c r="AC17" s="11" t="n">
        <v>0.5647</v>
      </c>
      <c r="AD17" s="11" t="n">
        <v>0.4183</v>
      </c>
      <c r="AE17" s="11" t="n">
        <v>0.3633</v>
      </c>
    </row>
    <row r="18">
      <c r="A18" s="10" t="inlineStr">
        <is>
          <t>기타</t>
        </is>
      </c>
      <c r="C18" s="11" t="n">
        <v>2.1998</v>
      </c>
      <c r="D18" s="11" t="n">
        <v>2.3525</v>
      </c>
      <c r="E18" s="11" t="n">
        <v>2.5587</v>
      </c>
      <c r="F18" s="11" t="n">
        <v>0.4939</v>
      </c>
      <c r="G18" s="11" t="n">
        <v>2.2641</v>
      </c>
      <c r="H18" s="11" t="n">
        <v>2.2334</v>
      </c>
      <c r="I18" s="11" t="n">
        <v>2.6883</v>
      </c>
      <c r="J18" s="11" t="n">
        <v>0.7617</v>
      </c>
      <c r="K18" s="11" t="n">
        <v>2.7434</v>
      </c>
      <c r="L18" s="11" t="n">
        <v>2.3875</v>
      </c>
      <c r="M18" s="11" t="n">
        <v>2.7805</v>
      </c>
      <c r="N18" s="11" t="n">
        <v>3.0197</v>
      </c>
      <c r="O18" s="11" t="n">
        <v>2.1742</v>
      </c>
      <c r="P18" s="11" t="n">
        <v>1.675</v>
      </c>
      <c r="Q18" s="11" t="n">
        <v>1.969</v>
      </c>
      <c r="R18" s="11" t="n">
        <v>0.4117</v>
      </c>
      <c r="S18" s="11" t="n">
        <v>2.0599</v>
      </c>
      <c r="T18" s="11" t="n">
        <v>1.9397</v>
      </c>
      <c r="U18" s="11" t="n">
        <v>2.3619</v>
      </c>
      <c r="V18" s="11" t="n">
        <v>0.5192</v>
      </c>
      <c r="W18" s="11" t="n">
        <v>2.359</v>
      </c>
      <c r="X18" s="11" t="n">
        <v>0.4714</v>
      </c>
      <c r="Y18" s="11" t="n">
        <v>1.495</v>
      </c>
      <c r="Z18" s="11" t="n">
        <v>0.4425</v>
      </c>
      <c r="AA18" s="11" t="n">
        <v>0.4939</v>
      </c>
      <c r="AB18" s="11" t="n">
        <v>0.7617</v>
      </c>
      <c r="AC18" s="11" t="n">
        <v>3.0197</v>
      </c>
      <c r="AD18" s="11" t="n">
        <v>0.4117</v>
      </c>
      <c r="AE18" s="11" t="n">
        <v>0.5192</v>
      </c>
    </row>
    <row r="19">
      <c r="A19" s="10" t="inlineStr">
        <is>
          <t>대손충당금</t>
        </is>
      </c>
      <c r="C19" s="11" t="n">
        <v>-0.0305</v>
      </c>
      <c r="D19" s="11" t="n">
        <v>-0.007900000000000001</v>
      </c>
      <c r="E19" s="11" t="n">
        <v>-0.077</v>
      </c>
      <c r="F19" s="11" t="n">
        <v>-0.03</v>
      </c>
      <c r="G19" s="11" t="n">
        <v>-0.0592</v>
      </c>
      <c r="H19" s="11" t="n">
        <v>-0.081</v>
      </c>
      <c r="I19" s="11" t="n">
        <v>-0.0698</v>
      </c>
      <c r="J19" s="11" t="n">
        <v>-0.0181</v>
      </c>
      <c r="K19" s="11" t="n">
        <v>-0.0423</v>
      </c>
      <c r="L19" s="11" t="n">
        <v>-0.0586</v>
      </c>
      <c r="M19" s="11" t="n">
        <v>-0.0885</v>
      </c>
      <c r="N19" s="11" t="n">
        <v>-0.0785</v>
      </c>
      <c r="O19" s="11" t="n">
        <v>-0.07190000000000001</v>
      </c>
      <c r="P19" s="11" t="n">
        <v>-0.056</v>
      </c>
      <c r="Q19" s="11" t="n">
        <v>-0.0322</v>
      </c>
      <c r="R19" s="11" t="n">
        <v>-0.0188</v>
      </c>
      <c r="S19" s="11" t="n">
        <v>-0.0439</v>
      </c>
      <c r="T19" s="11" t="n">
        <v>-0.0543</v>
      </c>
      <c r="U19" s="11" t="n">
        <v>-0.0548</v>
      </c>
      <c r="V19" s="11" t="n">
        <v>-0.0179</v>
      </c>
      <c r="W19" s="11" t="n">
        <v>-0.051</v>
      </c>
      <c r="X19" s="11" t="n">
        <v>-0.0218</v>
      </c>
      <c r="Y19" s="11" t="n">
        <v>-0.0477</v>
      </c>
      <c r="Z19" s="11" t="n">
        <v>-0.1302</v>
      </c>
      <c r="AA19" s="11" t="n">
        <v>-0.03</v>
      </c>
      <c r="AB19" s="11" t="n">
        <v>-0.0181</v>
      </c>
      <c r="AC19" s="11" t="n">
        <v>-0.0785</v>
      </c>
      <c r="AD19" s="11" t="n">
        <v>-0.0188</v>
      </c>
      <c r="AE19" s="11" t="n">
        <v>-0.0179</v>
      </c>
    </row>
    <row r="20">
      <c r="A20" s="10" t="inlineStr">
        <is>
          <t>유동자산 합계</t>
        </is>
      </c>
      <c r="C20" s="11" t="n">
        <v>64.4854</v>
      </c>
      <c r="D20" s="11" t="n">
        <v>64.20229999999999</v>
      </c>
      <c r="E20" s="11" t="n">
        <v>63.4695</v>
      </c>
      <c r="F20" s="11" t="n">
        <v>55.3717</v>
      </c>
      <c r="G20" s="11" t="n">
        <v>64.8073</v>
      </c>
      <c r="H20" s="11" t="n">
        <v>60.595</v>
      </c>
      <c r="I20" s="11" t="n">
        <v>63.5374</v>
      </c>
      <c r="J20" s="11" t="n">
        <v>56.0309</v>
      </c>
      <c r="K20" s="11" t="n">
        <v>63.8942</v>
      </c>
      <c r="L20" s="11" t="n">
        <v>63.2628</v>
      </c>
      <c r="M20" s="11" t="n">
        <v>68.7003</v>
      </c>
      <c r="N20" s="11" t="n">
        <v>69.1247</v>
      </c>
      <c r="O20" s="11" t="n">
        <v>67.99460000000001</v>
      </c>
      <c r="P20" s="11" t="n">
        <v>66.54179999999999</v>
      </c>
      <c r="Q20" s="11" t="n">
        <v>70.1755</v>
      </c>
      <c r="R20" s="11" t="n">
        <v>62.3136</v>
      </c>
      <c r="S20" s="11" t="n">
        <v>70.62090000000001</v>
      </c>
      <c r="T20" s="11" t="n">
        <v>72.4186</v>
      </c>
      <c r="U20" s="11" t="n">
        <v>75.82640000000001</v>
      </c>
      <c r="V20" s="11" t="n">
        <v>66.3673</v>
      </c>
      <c r="W20" s="11" t="n">
        <v>46.9769</v>
      </c>
      <c r="X20" s="11" t="n">
        <v>48.4797</v>
      </c>
      <c r="Y20" s="11" t="n">
        <v>53.2467</v>
      </c>
      <c r="Z20" s="11" t="n">
        <v>56.9333</v>
      </c>
      <c r="AA20" s="11" t="n">
        <v>55.3717</v>
      </c>
      <c r="AB20" s="11" t="n">
        <v>56.0309</v>
      </c>
      <c r="AC20" s="11" t="n">
        <v>69.1247</v>
      </c>
      <c r="AD20" s="11" t="n">
        <v>62.3136</v>
      </c>
      <c r="AE20" s="11" t="n">
        <v>66.3673</v>
      </c>
    </row>
    <row r="21">
      <c r="A21" s="10" t="inlineStr">
        <is>
          <t>건물·구축물</t>
        </is>
      </c>
      <c r="F21" s="11" t="n">
        <v>46.5164</v>
      </c>
      <c r="J21" s="11" t="n">
        <v>48.5914</v>
      </c>
      <c r="N21" s="11" t="n">
        <v>49.5517</v>
      </c>
      <c r="R21" s="11" t="n">
        <v>49.7548</v>
      </c>
      <c r="V21" s="11" t="n">
        <v>50.4835</v>
      </c>
      <c r="W21" s="11" t="n">
        <v>48.5097</v>
      </c>
      <c r="X21" s="11" t="n">
        <v>48.8726</v>
      </c>
      <c r="Y21" s="11" t="n">
        <v>48.5707</v>
      </c>
      <c r="Z21" s="11" t="n">
        <v>46.16</v>
      </c>
      <c r="AA21" s="11" t="n">
        <v>46.5164</v>
      </c>
      <c r="AB21" s="11" t="n">
        <v>48.5914</v>
      </c>
      <c r="AC21" s="11" t="n">
        <v>49.5517</v>
      </c>
      <c r="AD21" s="11" t="n">
        <v>49.7548</v>
      </c>
      <c r="AE21" s="11" t="n">
        <v>50.4835</v>
      </c>
    </row>
    <row r="22">
      <c r="A22" s="10" t="inlineStr">
        <is>
          <t>감가상각누계액</t>
        </is>
      </c>
      <c r="F22" s="11" t="n">
        <v>-29.7219</v>
      </c>
      <c r="J22" s="11" t="n">
        <v>-30.9981</v>
      </c>
      <c r="N22" s="11" t="n">
        <v>-32.3454</v>
      </c>
      <c r="R22" s="11" t="n">
        <v>-33.6044</v>
      </c>
      <c r="V22" s="11" t="n">
        <v>-35.0549</v>
      </c>
      <c r="W22" s="11" t="n">
        <v>-27.8962</v>
      </c>
      <c r="X22" s="11" t="n">
        <v>-28.9114</v>
      </c>
      <c r="Y22" s="11" t="n">
        <v>-30.0343</v>
      </c>
      <c r="Z22" s="11" t="n">
        <v>-28.5047</v>
      </c>
      <c r="AA22" s="11" t="n">
        <v>-29.7219</v>
      </c>
      <c r="AB22" s="11" t="n">
        <v>-30.9981</v>
      </c>
      <c r="AC22" s="11" t="n">
        <v>-32.3454</v>
      </c>
      <c r="AD22" s="11" t="n">
        <v>-33.6044</v>
      </c>
      <c r="AE22" s="11" t="n">
        <v>-35.0549</v>
      </c>
    </row>
    <row r="23">
      <c r="A23" s="10" t="inlineStr">
        <is>
          <t>건물·구축물(순액)</t>
        </is>
      </c>
      <c r="C23" s="11" t="n">
        <v>17.3108</v>
      </c>
      <c r="D23" s="11" t="n">
        <v>17.1058</v>
      </c>
      <c r="E23" s="11" t="n">
        <v>16.9764</v>
      </c>
      <c r="F23" s="11" t="n">
        <v>16.7945</v>
      </c>
      <c r="G23" s="11" t="n">
        <v>16.5642</v>
      </c>
      <c r="H23" s="11" t="n">
        <v>17.5407</v>
      </c>
      <c r="I23" s="11" t="n">
        <v>17.4105</v>
      </c>
      <c r="J23" s="11" t="n">
        <v>17.5933</v>
      </c>
      <c r="K23" s="11" t="n">
        <v>17.4228</v>
      </c>
      <c r="L23" s="11" t="n">
        <v>17.4766</v>
      </c>
      <c r="M23" s="11" t="n">
        <v>17.2684</v>
      </c>
      <c r="N23" s="11" t="n">
        <v>17.2062</v>
      </c>
      <c r="O23" s="11" t="n">
        <v>16.9628</v>
      </c>
      <c r="P23" s="11" t="n">
        <v>16.8832</v>
      </c>
      <c r="Q23" s="11" t="n">
        <v>16.4214</v>
      </c>
      <c r="R23" s="11" t="n">
        <v>16.1503</v>
      </c>
      <c r="S23" s="11" t="n">
        <v>15.9442</v>
      </c>
      <c r="T23" s="11" t="n">
        <v>15.9816</v>
      </c>
      <c r="U23" s="11" t="n">
        <v>15.619</v>
      </c>
      <c r="V23" s="11" t="n">
        <v>15.4286</v>
      </c>
      <c r="W23" s="11" t="n">
        <v>20.6135</v>
      </c>
      <c r="X23" s="11" t="n">
        <v>19.9612</v>
      </c>
      <c r="Y23" s="11" t="n">
        <v>18.5364</v>
      </c>
      <c r="Z23" s="11" t="n">
        <v>17.6553</v>
      </c>
      <c r="AA23" s="11" t="n">
        <v>16.7945</v>
      </c>
      <c r="AB23" s="11" t="n">
        <v>17.5933</v>
      </c>
      <c r="AC23" s="11" t="n">
        <v>17.2062</v>
      </c>
      <c r="AD23" s="11" t="n">
        <v>16.1503</v>
      </c>
      <c r="AE23" s="11" t="n">
        <v>15.4286</v>
      </c>
    </row>
    <row r="24">
      <c r="A24" s="10" t="inlineStr">
        <is>
          <t>기계장치·운반구</t>
        </is>
      </c>
      <c r="F24" s="11" t="n">
        <v>64.79600000000001</v>
      </c>
      <c r="J24" s="11" t="n">
        <v>67.29040000000001</v>
      </c>
      <c r="N24" s="11" t="n">
        <v>70.3351</v>
      </c>
      <c r="R24" s="11" t="n">
        <v>72.32599999999999</v>
      </c>
      <c r="V24" s="11" t="n">
        <v>75.1666</v>
      </c>
      <c r="W24" s="11" t="n">
        <v>55.9016</v>
      </c>
      <c r="X24" s="11" t="n">
        <v>58.6391</v>
      </c>
      <c r="Y24" s="11" t="n">
        <v>63.2127</v>
      </c>
      <c r="Z24" s="11" t="n">
        <v>63.0685</v>
      </c>
      <c r="AA24" s="11" t="n">
        <v>64.79600000000001</v>
      </c>
      <c r="AB24" s="11" t="n">
        <v>67.29040000000001</v>
      </c>
      <c r="AC24" s="11" t="n">
        <v>70.3351</v>
      </c>
      <c r="AD24" s="11" t="n">
        <v>72.32599999999999</v>
      </c>
      <c r="AE24" s="11" t="n">
        <v>75.1666</v>
      </c>
    </row>
    <row r="25">
      <c r="A25" s="10" t="inlineStr">
        <is>
          <t>감가상각누계액</t>
        </is>
      </c>
      <c r="F25" s="11" t="n">
        <v>-54.0912</v>
      </c>
      <c r="J25" s="11" t="n">
        <v>-55.8354</v>
      </c>
      <c r="N25" s="11" t="n">
        <v>-58.3227</v>
      </c>
      <c r="R25" s="11" t="n">
        <v>-60.5454</v>
      </c>
      <c r="V25" s="11" t="n">
        <v>-63.5155</v>
      </c>
      <c r="W25" s="11" t="n">
        <v>-44.5848</v>
      </c>
      <c r="X25" s="11" t="n">
        <v>-46.821</v>
      </c>
      <c r="Y25" s="11" t="n">
        <v>-49.8985</v>
      </c>
      <c r="Z25" s="11" t="n">
        <v>-51.9067</v>
      </c>
      <c r="AA25" s="11" t="n">
        <v>-54.0912</v>
      </c>
      <c r="AB25" s="11" t="n">
        <v>-55.8354</v>
      </c>
      <c r="AC25" s="11" t="n">
        <v>-58.3227</v>
      </c>
      <c r="AD25" s="11" t="n">
        <v>-60.5454</v>
      </c>
      <c r="AE25" s="11" t="n">
        <v>-63.5155</v>
      </c>
    </row>
    <row r="26">
      <c r="A26" s="10" t="inlineStr">
        <is>
          <t>기계장치·운반구(순액)</t>
        </is>
      </c>
      <c r="C26" s="11" t="n">
        <v>11.1752</v>
      </c>
      <c r="D26" s="11" t="n">
        <v>10.8039</v>
      </c>
      <c r="E26" s="11" t="n">
        <v>10.6542</v>
      </c>
      <c r="F26" s="11" t="n">
        <v>10.7048</v>
      </c>
      <c r="G26" s="11" t="n">
        <v>10.9111</v>
      </c>
      <c r="H26" s="11" t="n">
        <v>10.6833</v>
      </c>
      <c r="I26" s="11" t="n">
        <v>10.1833</v>
      </c>
      <c r="J26" s="11" t="n">
        <v>11.455</v>
      </c>
      <c r="K26" s="11" t="n">
        <v>12.4534</v>
      </c>
      <c r="L26" s="11" t="n">
        <v>11.9182</v>
      </c>
      <c r="M26" s="11" t="n">
        <v>11.3892</v>
      </c>
      <c r="N26" s="11" t="n">
        <v>12.0124</v>
      </c>
      <c r="O26" s="11" t="n">
        <v>12.4225</v>
      </c>
      <c r="P26" s="11" t="n">
        <v>11.641</v>
      </c>
      <c r="Q26" s="11" t="n">
        <v>12.151</v>
      </c>
      <c r="R26" s="11" t="n">
        <v>11.7806</v>
      </c>
      <c r="S26" s="11" t="n">
        <v>11.3255</v>
      </c>
      <c r="T26" s="11" t="n">
        <v>11.9385</v>
      </c>
      <c r="U26" s="11" t="n">
        <v>12.0886</v>
      </c>
      <c r="V26" s="11" t="n">
        <v>11.6511</v>
      </c>
      <c r="W26" s="11" t="n">
        <v>11.3168</v>
      </c>
      <c r="X26" s="11" t="n">
        <v>11.8181</v>
      </c>
      <c r="Y26" s="11" t="n">
        <v>13.3142</v>
      </c>
      <c r="Z26" s="11" t="n">
        <v>11.1617</v>
      </c>
      <c r="AA26" s="11" t="n">
        <v>10.7048</v>
      </c>
      <c r="AB26" s="11" t="n">
        <v>11.455</v>
      </c>
      <c r="AC26" s="11" t="n">
        <v>12.0124</v>
      </c>
      <c r="AD26" s="11" t="n">
        <v>11.7806</v>
      </c>
      <c r="AE26" s="11" t="n">
        <v>11.6511</v>
      </c>
    </row>
    <row r="27">
      <c r="A27" s="10" t="inlineStr">
        <is>
          <t>건물</t>
        </is>
      </c>
      <c r="F27" s="11" t="n">
        <v>8.9413</v>
      </c>
      <c r="J27" s="11" t="n">
        <v>8.9071</v>
      </c>
      <c r="N27" s="11" t="n">
        <v>8.784000000000001</v>
      </c>
      <c r="R27" s="11" t="n">
        <v>8.152699999999999</v>
      </c>
      <c r="V27" s="11" t="n">
        <v>7.563</v>
      </c>
      <c r="W27" s="11" t="n">
        <v>10.6747</v>
      </c>
      <c r="X27" s="11" t="n">
        <v>10.3684</v>
      </c>
      <c r="Y27" s="11" t="n">
        <v>9.791499999999999</v>
      </c>
      <c r="Z27" s="11" t="n">
        <v>9.5146</v>
      </c>
      <c r="AA27" s="11" t="n">
        <v>8.9413</v>
      </c>
      <c r="AB27" s="11" t="n">
        <v>8.9071</v>
      </c>
      <c r="AC27" s="11" t="n">
        <v>8.784000000000001</v>
      </c>
      <c r="AD27" s="11" t="n">
        <v>8.152699999999999</v>
      </c>
      <c r="AE27" s="11" t="n">
        <v>7.563</v>
      </c>
    </row>
    <row r="28">
      <c r="A28" s="10" t="inlineStr">
        <is>
          <t>구축물</t>
        </is>
      </c>
      <c r="F28" s="11" t="n">
        <v>1.8213</v>
      </c>
      <c r="J28" s="11" t="n">
        <v>1.7121</v>
      </c>
      <c r="N28" s="11" t="n">
        <v>1.6637</v>
      </c>
      <c r="R28" s="11" t="n">
        <v>1.634</v>
      </c>
      <c r="V28" s="11" t="n">
        <v>1.6299</v>
      </c>
      <c r="W28" s="11" t="n">
        <v>2.2546</v>
      </c>
      <c r="X28" s="11" t="n">
        <v>2.1575</v>
      </c>
      <c r="Y28" s="11" t="n">
        <v>2.0169</v>
      </c>
      <c r="Z28" s="11" t="n">
        <v>1.9449</v>
      </c>
      <c r="AA28" s="11" t="n">
        <v>1.8213</v>
      </c>
      <c r="AB28" s="11" t="n">
        <v>1.7121</v>
      </c>
      <c r="AC28" s="11" t="n">
        <v>1.6637</v>
      </c>
      <c r="AD28" s="11" t="n">
        <v>1.634</v>
      </c>
      <c r="AE28" s="11" t="n">
        <v>1.6299</v>
      </c>
    </row>
    <row r="29">
      <c r="A29" s="10" t="inlineStr">
        <is>
          <t>기계장치</t>
        </is>
      </c>
      <c r="F29" s="11" t="n">
        <v>7.0175</v>
      </c>
      <c r="J29" s="11" t="n">
        <v>6.9769</v>
      </c>
      <c r="N29" s="11" t="n">
        <v>7.4795</v>
      </c>
      <c r="R29" s="11" t="n">
        <v>6.7494</v>
      </c>
      <c r="V29" s="11" t="n">
        <v>6.4698</v>
      </c>
      <c r="W29" s="11" t="n">
        <v>6.993</v>
      </c>
      <c r="X29" s="11" t="n">
        <v>8.008599999999999</v>
      </c>
      <c r="Y29" s="11" t="n">
        <v>9.774100000000001</v>
      </c>
      <c r="Z29" s="11" t="n">
        <v>8.2394</v>
      </c>
      <c r="AA29" s="11" t="n">
        <v>7.0175</v>
      </c>
      <c r="AB29" s="11" t="n">
        <v>6.9769</v>
      </c>
      <c r="AC29" s="11" t="n">
        <v>7.4795</v>
      </c>
      <c r="AD29" s="11" t="n">
        <v>6.7494</v>
      </c>
      <c r="AE29" s="11" t="n">
        <v>6.4698</v>
      </c>
    </row>
    <row r="30">
      <c r="A30" s="10" t="inlineStr">
        <is>
          <t>차량운반구</t>
        </is>
      </c>
      <c r="F30" s="11" t="n">
        <v>0.9411</v>
      </c>
      <c r="J30" s="11" t="n">
        <v>1.6197</v>
      </c>
      <c r="N30" s="11" t="n">
        <v>1.1171</v>
      </c>
      <c r="R30" s="11" t="n">
        <v>0.8861</v>
      </c>
      <c r="V30" s="11" t="n">
        <v>0.7549</v>
      </c>
      <c r="W30" s="11" t="n">
        <v>1.447</v>
      </c>
      <c r="X30" s="11" t="n">
        <v>1.4695</v>
      </c>
      <c r="Y30" s="11" t="n">
        <v>1.1115</v>
      </c>
      <c r="Z30" s="11" t="n">
        <v>0.9654</v>
      </c>
      <c r="AA30" s="11" t="n">
        <v>0.9411</v>
      </c>
      <c r="AB30" s="11" t="n">
        <v>1.6197</v>
      </c>
      <c r="AC30" s="11" t="n">
        <v>1.1171</v>
      </c>
      <c r="AD30" s="11" t="n">
        <v>0.8861</v>
      </c>
      <c r="AE30" s="11" t="n">
        <v>0.7549</v>
      </c>
    </row>
    <row r="31">
      <c r="A31" s="10" t="inlineStr">
        <is>
          <t>공구·기구·비품</t>
        </is>
      </c>
      <c r="F31" s="11" t="n">
        <v>0.5706</v>
      </c>
      <c r="J31" s="11" t="n">
        <v>1.1406</v>
      </c>
      <c r="N31" s="11" t="n">
        <v>1.0918</v>
      </c>
      <c r="R31" s="11" t="n">
        <v>0.9653</v>
      </c>
      <c r="V31" s="11" t="n">
        <v>1.1399</v>
      </c>
      <c r="W31" s="11" t="n">
        <v>0.8024</v>
      </c>
      <c r="X31" s="11" t="n">
        <v>0.7078</v>
      </c>
      <c r="Y31" s="11" t="n">
        <v>0.5998</v>
      </c>
      <c r="Z31" s="11" t="n">
        <v>0.4665</v>
      </c>
      <c r="AA31" s="11" t="n">
        <v>0.5706</v>
      </c>
      <c r="AB31" s="11" t="n">
        <v>1.1406</v>
      </c>
      <c r="AC31" s="11" t="n">
        <v>1.0918</v>
      </c>
      <c r="AD31" s="11" t="n">
        <v>0.9653</v>
      </c>
      <c r="AE31" s="11" t="n">
        <v>1.1399</v>
      </c>
    </row>
    <row r="32">
      <c r="A32" s="10" t="inlineStr">
        <is>
          <t>토지</t>
        </is>
      </c>
      <c r="C32" s="11" t="n">
        <v>20.419</v>
      </c>
      <c r="D32" s="11" t="n">
        <v>20.4723</v>
      </c>
      <c r="E32" s="11" t="n">
        <v>20.5747</v>
      </c>
      <c r="F32" s="11" t="n">
        <v>17.5857</v>
      </c>
      <c r="G32" s="11" t="n">
        <v>20.3966</v>
      </c>
      <c r="H32" s="11" t="n">
        <v>20.3925</v>
      </c>
      <c r="I32" s="11" t="n">
        <v>20.4375</v>
      </c>
      <c r="J32" s="11" t="n">
        <v>17.5857</v>
      </c>
      <c r="K32" s="11" t="n">
        <v>20.5113</v>
      </c>
      <c r="L32" s="11" t="n">
        <v>20.5277</v>
      </c>
      <c r="M32" s="11" t="n">
        <v>20.5399</v>
      </c>
      <c r="N32" s="11" t="n">
        <v>20.6644</v>
      </c>
      <c r="O32" s="11" t="n">
        <v>20.6849</v>
      </c>
      <c r="P32" s="11" t="n">
        <v>20.7791</v>
      </c>
      <c r="Q32" s="11" t="n">
        <v>20.6808</v>
      </c>
      <c r="R32" s="11" t="n">
        <v>17.5857</v>
      </c>
      <c r="S32" s="11" t="n">
        <v>20.7709</v>
      </c>
      <c r="T32" s="11" t="n">
        <v>20.9143</v>
      </c>
      <c r="U32" s="11" t="n">
        <v>20.8692</v>
      </c>
      <c r="V32" s="11" t="n">
        <v>17.5857</v>
      </c>
      <c r="W32" s="11" t="n">
        <v>20.43</v>
      </c>
      <c r="X32" s="11" t="n">
        <v>17.6137</v>
      </c>
      <c r="Y32" s="11" t="n">
        <v>22.2119</v>
      </c>
      <c r="Z32" s="11" t="n">
        <v>19.2236</v>
      </c>
      <c r="AA32" s="11" t="n">
        <v>17.5857</v>
      </c>
      <c r="AB32" s="11" t="n">
        <v>17.5857</v>
      </c>
      <c r="AC32" s="11" t="n">
        <v>20.6644</v>
      </c>
      <c r="AD32" s="11" t="n">
        <v>17.5857</v>
      </c>
      <c r="AE32" s="11" t="n">
        <v>17.5857</v>
      </c>
    </row>
    <row r="33">
      <c r="A33" s="10" t="inlineStr">
        <is>
          <t>리스자산</t>
        </is>
      </c>
      <c r="F33" s="11" t="n">
        <v>0.4424</v>
      </c>
      <c r="J33" s="11" t="n">
        <v>0.4424</v>
      </c>
      <c r="N33" s="11" t="n">
        <v>0.4424</v>
      </c>
      <c r="R33" s="11" t="n">
        <v>0.4424</v>
      </c>
      <c r="V33" s="11" t="n">
        <v>0</v>
      </c>
      <c r="W33" s="11" t="n">
        <v>0.374</v>
      </c>
      <c r="X33" s="11" t="n">
        <v>0.4424</v>
      </c>
      <c r="Y33" s="11" t="n">
        <v>0.4424</v>
      </c>
      <c r="Z33" s="11" t="n">
        <v>0.4424</v>
      </c>
      <c r="AA33" s="11" t="n">
        <v>0.4424</v>
      </c>
      <c r="AB33" s="11" t="n">
        <v>0.4424</v>
      </c>
      <c r="AC33" s="11" t="n">
        <v>0.4424</v>
      </c>
      <c r="AD33" s="11" t="n">
        <v>0.4424</v>
      </c>
      <c r="AE33" s="11" t="n">
        <v>0</v>
      </c>
    </row>
    <row r="34">
      <c r="A34" s="10" t="inlineStr">
        <is>
          <t>감가상각누계액</t>
        </is>
      </c>
      <c r="F34" s="11" t="n">
        <v>-0.2939</v>
      </c>
      <c r="J34" s="11" t="n">
        <v>-0.351</v>
      </c>
      <c r="N34" s="11" t="n">
        <v>-0.3915</v>
      </c>
      <c r="R34" s="11" t="n">
        <v>-0.4297</v>
      </c>
      <c r="V34" s="11" t="n">
        <v>0</v>
      </c>
      <c r="W34" s="11" t="n">
        <v>-0.0646</v>
      </c>
      <c r="X34" s="11" t="n">
        <v>-0.1193</v>
      </c>
      <c r="Y34" s="11" t="n">
        <v>-0.1775</v>
      </c>
      <c r="Z34" s="11" t="n">
        <v>-0.2357</v>
      </c>
      <c r="AA34" s="11" t="n">
        <v>-0.2939</v>
      </c>
      <c r="AB34" s="11" t="n">
        <v>-0.351</v>
      </c>
      <c r="AC34" s="11" t="n">
        <v>-0.3915</v>
      </c>
      <c r="AD34" s="11" t="n">
        <v>-0.4297</v>
      </c>
      <c r="AE34" s="11" t="n">
        <v>0</v>
      </c>
    </row>
    <row r="35">
      <c r="A35" s="10" t="inlineStr">
        <is>
          <t>리스자산</t>
        </is>
      </c>
      <c r="C35" s="11" t="n">
        <v>0.1922</v>
      </c>
      <c r="D35" s="11" t="n">
        <v>0.1776</v>
      </c>
      <c r="E35" s="11" t="n">
        <v>0.1631</v>
      </c>
      <c r="F35" s="11" t="n">
        <v>0.1272</v>
      </c>
      <c r="G35" s="11" t="n">
        <v>0.134</v>
      </c>
      <c r="H35" s="11" t="n">
        <v>0.1195</v>
      </c>
      <c r="I35" s="11" t="n">
        <v>0.1049</v>
      </c>
      <c r="J35" s="11" t="n">
        <v>0.0891</v>
      </c>
      <c r="K35" s="11" t="n">
        <v>0.0795</v>
      </c>
      <c r="L35" s="11" t="n">
        <v>0.07000000000000001</v>
      </c>
      <c r="M35" s="11" t="n">
        <v>0.0604</v>
      </c>
      <c r="N35" s="11" t="n">
        <v>0.0509</v>
      </c>
      <c r="O35" s="11" t="n">
        <v>0.0413</v>
      </c>
      <c r="P35" s="11" t="n">
        <v>0.0318</v>
      </c>
      <c r="Q35" s="11" t="n">
        <v>0.0223</v>
      </c>
      <c r="R35" s="11" t="n">
        <v>0.0127</v>
      </c>
      <c r="S35" s="11" t="n">
        <v>0.0032</v>
      </c>
      <c r="T35" s="11" t="n">
        <v>0</v>
      </c>
      <c r="U35" s="11" t="n">
        <v>0</v>
      </c>
      <c r="V35" s="11" t="n">
        <v>0</v>
      </c>
      <c r="W35" s="11" t="n">
        <v>0.3094</v>
      </c>
      <c r="X35" s="11" t="n">
        <v>0.2417</v>
      </c>
      <c r="Y35" s="11" t="n">
        <v>0.2649</v>
      </c>
      <c r="Z35" s="11" t="n">
        <v>0.1654</v>
      </c>
      <c r="AA35" s="11" t="n">
        <v>0.1272</v>
      </c>
      <c r="AB35" s="11" t="n">
        <v>0.0891</v>
      </c>
      <c r="AC35" s="11" t="n">
        <v>0.0509</v>
      </c>
      <c r="AD35" s="11" t="n">
        <v>0.0127</v>
      </c>
      <c r="AE35" s="11" t="n">
        <v>0</v>
      </c>
    </row>
    <row r="36">
      <c r="A36" s="10" t="inlineStr">
        <is>
          <t>건설중인자산</t>
        </is>
      </c>
      <c r="C36" s="11" t="n">
        <v>0.2133</v>
      </c>
      <c r="D36" s="11" t="n">
        <v>0.1754</v>
      </c>
      <c r="E36" s="11" t="n">
        <v>0.33</v>
      </c>
      <c r="F36" s="11" t="n">
        <v>0.2288</v>
      </c>
      <c r="G36" s="11" t="n">
        <v>1.3232</v>
      </c>
      <c r="H36" s="11" t="n">
        <v>0.3291</v>
      </c>
      <c r="I36" s="11" t="n">
        <v>0.7592</v>
      </c>
      <c r="J36" s="11" t="n">
        <v>0.3292</v>
      </c>
      <c r="K36" s="11" t="n">
        <v>0.1854</v>
      </c>
      <c r="L36" s="11" t="n">
        <v>0.2347</v>
      </c>
      <c r="M36" s="11" t="n">
        <v>0.2754</v>
      </c>
      <c r="N36" s="11" t="n">
        <v>1.2806</v>
      </c>
      <c r="O36" s="11" t="n">
        <v>0.5583</v>
      </c>
      <c r="P36" s="11" t="n">
        <v>0.749</v>
      </c>
      <c r="Q36" s="11" t="n">
        <v>0.6311</v>
      </c>
      <c r="R36" s="11" t="n">
        <v>1.0077</v>
      </c>
      <c r="S36" s="11" t="n">
        <v>1.8058</v>
      </c>
      <c r="T36" s="11" t="n">
        <v>0.2966</v>
      </c>
      <c r="U36" s="11" t="n">
        <v>0.3531</v>
      </c>
      <c r="V36" s="11" t="n">
        <v>1.2404</v>
      </c>
      <c r="W36" s="11" t="n">
        <v>3.4497</v>
      </c>
      <c r="X36" s="11" t="n">
        <v>4.0046</v>
      </c>
      <c r="Y36" s="11" t="n">
        <v>0.164</v>
      </c>
      <c r="Z36" s="11" t="n">
        <v>0.0975</v>
      </c>
      <c r="AA36" s="11" t="n">
        <v>0.2288</v>
      </c>
      <c r="AB36" s="11" t="n">
        <v>0.3292</v>
      </c>
      <c r="AC36" s="11" t="n">
        <v>1.2806</v>
      </c>
      <c r="AD36" s="11" t="n">
        <v>1.0077</v>
      </c>
      <c r="AE36" s="11" t="n">
        <v>1.2404</v>
      </c>
    </row>
    <row r="37">
      <c r="A37" s="10" t="inlineStr">
        <is>
          <t>기타</t>
        </is>
      </c>
      <c r="F37" s="11" t="n">
        <v>0</v>
      </c>
      <c r="J37" s="11" t="n">
        <v>0</v>
      </c>
      <c r="N37" s="11" t="n">
        <v>21.9847</v>
      </c>
      <c r="R37" s="11" t="n">
        <v>0</v>
      </c>
      <c r="V37" s="11" t="n">
        <v>0</v>
      </c>
      <c r="W37" s="11" t="n">
        <v>20.6621</v>
      </c>
      <c r="X37" s="11" t="n">
        <v>0</v>
      </c>
      <c r="Y37" s="11" t="n">
        <v>20.1932</v>
      </c>
      <c r="Z37" s="11" t="n">
        <v>0</v>
      </c>
      <c r="AA37" s="11" t="n">
        <v>0</v>
      </c>
      <c r="AB37" s="11" t="n">
        <v>0</v>
      </c>
      <c r="AC37" s="11" t="n">
        <v>21.9847</v>
      </c>
      <c r="AD37" s="11" t="n">
        <v>0</v>
      </c>
      <c r="AE37" s="11" t="n">
        <v>0</v>
      </c>
    </row>
    <row r="38">
      <c r="A38" s="10" t="inlineStr">
        <is>
          <t>감가상각누계액</t>
        </is>
      </c>
      <c r="F38" s="11" t="n">
        <v>-19.6033</v>
      </c>
      <c r="J38" s="11" t="n">
        <v>-19.7723</v>
      </c>
      <c r="N38" s="11" t="n">
        <v>-20.3666</v>
      </c>
      <c r="R38" s="11" t="n">
        <v>-20.2083</v>
      </c>
      <c r="V38" s="11" t="n">
        <v>-20.4886</v>
      </c>
      <c r="W38" s="11" t="n">
        <v>-19.4967</v>
      </c>
      <c r="X38" s="11" t="n">
        <v>-18.903</v>
      </c>
      <c r="Y38" s="11" t="n">
        <v>-19.3117</v>
      </c>
      <c r="Z38" s="11" t="n">
        <v>-19.3933</v>
      </c>
      <c r="AA38" s="11" t="n">
        <v>-19.6033</v>
      </c>
      <c r="AB38" s="11" t="n">
        <v>-19.7723</v>
      </c>
      <c r="AC38" s="11" t="n">
        <v>-20.3666</v>
      </c>
      <c r="AD38" s="11" t="n">
        <v>-20.2083</v>
      </c>
      <c r="AE38" s="11" t="n">
        <v>-20.4886</v>
      </c>
    </row>
    <row r="39">
      <c r="A39" s="10" t="inlineStr">
        <is>
          <t>기타(순액)</t>
        </is>
      </c>
      <c r="C39" s="11" t="n">
        <v>0.829</v>
      </c>
      <c r="D39" s="11" t="n">
        <v>0.8254</v>
      </c>
      <c r="E39" s="11" t="n">
        <v>0.9039</v>
      </c>
      <c r="F39" s="11" t="n">
        <v>0.9898</v>
      </c>
      <c r="G39" s="11" t="n">
        <v>1.0702</v>
      </c>
      <c r="H39" s="11" t="n">
        <v>1.1819</v>
      </c>
      <c r="I39" s="11" t="n">
        <v>1.2769</v>
      </c>
      <c r="J39" s="11" t="n">
        <v>1.6991</v>
      </c>
      <c r="K39" s="11" t="n">
        <v>1.8067</v>
      </c>
      <c r="L39" s="11" t="n">
        <v>1.6666</v>
      </c>
      <c r="M39" s="11" t="n">
        <v>1.7385</v>
      </c>
      <c r="N39" s="11" t="n">
        <v>1.6181</v>
      </c>
      <c r="O39" s="11" t="n">
        <v>1.726</v>
      </c>
      <c r="P39" s="11" t="n">
        <v>1.7266</v>
      </c>
      <c r="Q39" s="11" t="n">
        <v>1.5643</v>
      </c>
      <c r="R39" s="11" t="n">
        <v>1.4667</v>
      </c>
      <c r="S39" s="11" t="n">
        <v>1.5518</v>
      </c>
      <c r="T39" s="11" t="n">
        <v>1.5454</v>
      </c>
      <c r="U39" s="11" t="n">
        <v>1.51</v>
      </c>
      <c r="V39" s="11" t="n">
        <v>1.6484</v>
      </c>
      <c r="W39" s="11" t="n">
        <v>1.1653</v>
      </c>
      <c r="X39" s="11" t="n">
        <v>1.001</v>
      </c>
      <c r="Y39" s="11" t="n">
        <v>0.8815</v>
      </c>
      <c r="Z39" s="11" t="n">
        <v>0.7533</v>
      </c>
      <c r="AA39" s="11" t="n">
        <v>0.9898</v>
      </c>
      <c r="AB39" s="11" t="n">
        <v>1.6991</v>
      </c>
      <c r="AC39" s="11" t="n">
        <v>1.6181</v>
      </c>
      <c r="AD39" s="11" t="n">
        <v>1.4667</v>
      </c>
      <c r="AE39" s="11" t="n">
        <v>1.6484</v>
      </c>
    </row>
    <row r="40">
      <c r="A40" s="10" t="inlineStr">
        <is>
          <t>유형자산 합계</t>
        </is>
      </c>
      <c r="C40" s="11" t="n">
        <v>50.1396</v>
      </c>
      <c r="D40" s="11" t="n">
        <v>49.5604</v>
      </c>
      <c r="E40" s="11" t="n">
        <v>49.6023</v>
      </c>
      <c r="F40" s="11" t="n">
        <v>37.2336</v>
      </c>
      <c r="G40" s="11" t="n">
        <v>50.3993</v>
      </c>
      <c r="H40" s="11" t="n">
        <v>50.247</v>
      </c>
      <c r="I40" s="11" t="n">
        <v>50.1724</v>
      </c>
      <c r="J40" s="11" t="n">
        <v>38.3604</v>
      </c>
      <c r="K40" s="11" t="n">
        <v>52.459</v>
      </c>
      <c r="L40" s="11" t="n">
        <v>51.8937</v>
      </c>
      <c r="M40" s="11" t="n">
        <v>51.2718</v>
      </c>
      <c r="N40" s="11" t="n">
        <v>52.8326</v>
      </c>
      <c r="O40" s="11" t="n">
        <v>52.3959</v>
      </c>
      <c r="P40" s="11" t="n">
        <v>51.8107</v>
      </c>
      <c r="Q40" s="11" t="n">
        <v>51.4708</v>
      </c>
      <c r="R40" s="11" t="n">
        <v>36.9936</v>
      </c>
      <c r="S40" s="11" t="n">
        <v>51.4013</v>
      </c>
      <c r="T40" s="11" t="n">
        <v>50.6764</v>
      </c>
      <c r="U40" s="11" t="n">
        <v>50.4399</v>
      </c>
      <c r="V40" s="11" t="n">
        <v>36.3836</v>
      </c>
      <c r="W40" s="11" t="n">
        <v>57.2846</v>
      </c>
      <c r="X40" s="11" t="n">
        <v>44.5718</v>
      </c>
      <c r="Y40" s="11" t="n">
        <v>55.373</v>
      </c>
      <c r="Z40" s="11" t="n">
        <v>40.6173</v>
      </c>
      <c r="AA40" s="11" t="n">
        <v>37.2336</v>
      </c>
      <c r="AB40" s="11" t="n">
        <v>38.3604</v>
      </c>
      <c r="AC40" s="11" t="n">
        <v>52.8326</v>
      </c>
      <c r="AD40" s="11" t="n">
        <v>36.9936</v>
      </c>
      <c r="AE40" s="11" t="n">
        <v>36.3836</v>
      </c>
    </row>
    <row r="41">
      <c r="A41" s="10" t="inlineStr">
        <is>
          <t>소프트웨어</t>
        </is>
      </c>
      <c r="F41" s="11" t="n">
        <v>1.0484</v>
      </c>
      <c r="J41" s="11" t="n">
        <v>1.0114</v>
      </c>
      <c r="N41" s="11" t="n">
        <v>0.8671</v>
      </c>
      <c r="R41" s="11" t="n">
        <v>0.7232</v>
      </c>
      <c r="V41" s="11" t="n">
        <v>0.2872</v>
      </c>
      <c r="W41" s="11" t="n">
        <v>1.4041</v>
      </c>
      <c r="X41" s="11" t="n">
        <v>0.9944</v>
      </c>
      <c r="Y41" s="11" t="n">
        <v>0.9275</v>
      </c>
      <c r="Z41" s="11" t="n">
        <v>1.0097</v>
      </c>
      <c r="AA41" s="11" t="n">
        <v>1.0484</v>
      </c>
      <c r="AB41" s="11" t="n">
        <v>1.0114</v>
      </c>
      <c r="AC41" s="11" t="n">
        <v>0.8671</v>
      </c>
      <c r="AD41" s="11" t="n">
        <v>0.7232</v>
      </c>
      <c r="AE41" s="11" t="n">
        <v>0.2872</v>
      </c>
    </row>
    <row r="42">
      <c r="A42" s="10" t="inlineStr">
        <is>
          <t>전화가입권</t>
        </is>
      </c>
      <c r="F42" s="11" t="n">
        <v>0.1265</v>
      </c>
      <c r="J42" s="11" t="n">
        <v>0.1265</v>
      </c>
      <c r="N42" s="11" t="n">
        <v>0.1265</v>
      </c>
      <c r="R42" s="11" t="n">
        <v>0.1265</v>
      </c>
      <c r="V42" s="11" t="n">
        <v>0.1265</v>
      </c>
      <c r="W42" s="11" t="n">
        <v>0.1265</v>
      </c>
      <c r="X42" s="11" t="n">
        <v>0.1265</v>
      </c>
      <c r="Y42" s="11" t="n">
        <v>0.1265</v>
      </c>
      <c r="Z42" s="11" t="n">
        <v>0.1265</v>
      </c>
      <c r="AA42" s="11" t="n">
        <v>0.1265</v>
      </c>
      <c r="AB42" s="11" t="n">
        <v>0.1265</v>
      </c>
      <c r="AC42" s="11" t="n">
        <v>0.1265</v>
      </c>
      <c r="AD42" s="11" t="n">
        <v>0.1265</v>
      </c>
      <c r="AE42" s="11" t="n">
        <v>0.1265</v>
      </c>
    </row>
    <row r="43">
      <c r="A43" s="10" t="inlineStr">
        <is>
          <t>기타</t>
        </is>
      </c>
      <c r="C43" s="11" t="n">
        <v>1.2346</v>
      </c>
      <c r="D43" s="11" t="n">
        <v>1.2287</v>
      </c>
      <c r="E43" s="11" t="n">
        <v>1.3192</v>
      </c>
      <c r="F43" s="11" t="n">
        <v>0.2748</v>
      </c>
      <c r="G43" s="11" t="n">
        <v>1.5102</v>
      </c>
      <c r="H43" s="11" t="n">
        <v>1.5226</v>
      </c>
      <c r="I43" s="11" t="n">
        <v>1.5612</v>
      </c>
      <c r="J43" s="11" t="n">
        <v>0.3019</v>
      </c>
      <c r="K43" s="11" t="n">
        <v>1.4646</v>
      </c>
      <c r="L43" s="11" t="n">
        <v>1.3742</v>
      </c>
      <c r="M43" s="11" t="n">
        <v>1.1276</v>
      </c>
      <c r="N43" s="11" t="n">
        <v>1.0915</v>
      </c>
      <c r="O43" s="11" t="n">
        <v>1.0898</v>
      </c>
      <c r="P43" s="11" t="n">
        <v>1.2198</v>
      </c>
      <c r="Q43" s="11" t="n">
        <v>1.1244</v>
      </c>
      <c r="R43" s="11" t="n">
        <v>0.0047</v>
      </c>
      <c r="S43" s="11" t="n">
        <v>0.9815</v>
      </c>
      <c r="T43" s="11" t="n">
        <v>0.9009</v>
      </c>
      <c r="U43" s="11" t="n">
        <v>0.8152</v>
      </c>
      <c r="V43" s="11" t="n">
        <v>0.0123</v>
      </c>
      <c r="W43" s="11" t="n">
        <v>1.8543</v>
      </c>
      <c r="X43" s="11" t="n">
        <v>0.1779</v>
      </c>
      <c r="Y43" s="11" t="n">
        <v>1.5895</v>
      </c>
      <c r="Z43" s="11" t="n">
        <v>0.06909999999999999</v>
      </c>
      <c r="AA43" s="11" t="n">
        <v>0.2748</v>
      </c>
      <c r="AB43" s="11" t="n">
        <v>0.3019</v>
      </c>
      <c r="AC43" s="11" t="n">
        <v>1.0915</v>
      </c>
      <c r="AD43" s="11" t="n">
        <v>0.0047</v>
      </c>
      <c r="AE43" s="11" t="n">
        <v>0.0123</v>
      </c>
    </row>
    <row r="44">
      <c r="A44" s="10" t="inlineStr">
        <is>
          <t>무형자산 합계</t>
        </is>
      </c>
      <c r="C44" s="11" t="n">
        <v>1.2346</v>
      </c>
      <c r="D44" s="11" t="n">
        <v>1.2287</v>
      </c>
      <c r="E44" s="11" t="n">
        <v>1.3192</v>
      </c>
      <c r="F44" s="11" t="n">
        <v>1.4496</v>
      </c>
      <c r="G44" s="11" t="n">
        <v>1.5102</v>
      </c>
      <c r="H44" s="11" t="n">
        <v>1.5226</v>
      </c>
      <c r="I44" s="11" t="n">
        <v>1.5612</v>
      </c>
      <c r="J44" s="11" t="n">
        <v>1.4398</v>
      </c>
      <c r="K44" s="11" t="n">
        <v>1.4646</v>
      </c>
      <c r="L44" s="11" t="n">
        <v>1.3742</v>
      </c>
      <c r="M44" s="11" t="n">
        <v>1.1276</v>
      </c>
      <c r="N44" s="11" t="n">
        <v>1.0915</v>
      </c>
      <c r="O44" s="11" t="n">
        <v>1.0898</v>
      </c>
      <c r="P44" s="11" t="n">
        <v>1.2198</v>
      </c>
      <c r="Q44" s="11" t="n">
        <v>1.1244</v>
      </c>
      <c r="R44" s="11" t="n">
        <v>0.8542999999999999</v>
      </c>
      <c r="S44" s="11" t="n">
        <v>0.9815</v>
      </c>
      <c r="T44" s="11" t="n">
        <v>0.9009</v>
      </c>
      <c r="U44" s="11" t="n">
        <v>0.8152</v>
      </c>
      <c r="V44" s="11" t="n">
        <v>0.426</v>
      </c>
      <c r="W44" s="11" t="n">
        <v>1.8543</v>
      </c>
      <c r="X44" s="11" t="n">
        <v>1.2988</v>
      </c>
      <c r="Y44" s="11" t="n">
        <v>1.5895</v>
      </c>
      <c r="Z44" s="11" t="n">
        <v>1.2052</v>
      </c>
      <c r="AA44" s="11" t="n">
        <v>1.4496</v>
      </c>
      <c r="AB44" s="11" t="n">
        <v>1.4398</v>
      </c>
      <c r="AC44" s="11" t="n">
        <v>1.0915</v>
      </c>
      <c r="AD44" s="11" t="n">
        <v>0.8542999999999999</v>
      </c>
      <c r="AE44" s="11" t="n">
        <v>0.426</v>
      </c>
    </row>
    <row r="45">
      <c r="A45" s="10" t="inlineStr">
        <is>
          <t>투자유가증권</t>
        </is>
      </c>
      <c r="C45" s="11" t="n">
        <v>8.1639</v>
      </c>
      <c r="D45" s="11" t="n">
        <v>8.3432</v>
      </c>
      <c r="E45" s="11" t="n">
        <v>10.5425</v>
      </c>
      <c r="F45" s="11" t="n">
        <v>12.5791</v>
      </c>
      <c r="G45" s="11" t="n">
        <v>9.6828</v>
      </c>
      <c r="H45" s="11" t="n">
        <v>11.8708</v>
      </c>
      <c r="I45" s="11" t="n">
        <v>11.7139</v>
      </c>
      <c r="J45" s="11" t="n">
        <v>13.243</v>
      </c>
      <c r="K45" s="11" t="n">
        <v>13.4706</v>
      </c>
      <c r="L45" s="11" t="n">
        <v>12.6208</v>
      </c>
      <c r="M45" s="11" t="n">
        <v>7.7937</v>
      </c>
      <c r="N45" s="11" t="n">
        <v>6.7023</v>
      </c>
      <c r="O45" s="11" t="n">
        <v>6.6644</v>
      </c>
      <c r="P45" s="11" t="n">
        <v>4.9546</v>
      </c>
      <c r="Q45" s="11" t="n">
        <v>5.2406</v>
      </c>
      <c r="R45" s="11" t="n">
        <v>6.5666</v>
      </c>
      <c r="S45" s="11" t="n">
        <v>6.1156</v>
      </c>
      <c r="T45" s="11" t="n">
        <v>7.0264</v>
      </c>
      <c r="U45" s="11" t="n">
        <v>6.4169</v>
      </c>
      <c r="V45" s="11" t="n">
        <v>6.6693</v>
      </c>
      <c r="W45" s="11" t="n">
        <v>6.2478</v>
      </c>
      <c r="X45" s="11" t="n">
        <v>6.1379</v>
      </c>
      <c r="Y45" s="11" t="n">
        <v>4.1036</v>
      </c>
      <c r="Z45" s="11" t="n">
        <v>4.2643</v>
      </c>
      <c r="AA45" s="11" t="n">
        <v>12.5791</v>
      </c>
      <c r="AB45" s="11" t="n">
        <v>13.243</v>
      </c>
      <c r="AC45" s="11" t="n">
        <v>6.7023</v>
      </c>
      <c r="AD45" s="11" t="n">
        <v>6.5666</v>
      </c>
      <c r="AE45" s="11" t="n">
        <v>6.6693</v>
      </c>
    </row>
    <row r="46">
      <c r="A46" s="10" t="inlineStr">
        <is>
          <t>관계회사 주식</t>
        </is>
      </c>
      <c r="F46" s="11" t="n">
        <v>8.789300000000001</v>
      </c>
      <c r="J46" s="11" t="n">
        <v>8.789300000000001</v>
      </c>
      <c r="N46" s="11" t="n">
        <v>8.969200000000001</v>
      </c>
      <c r="R46" s="11" t="n">
        <v>8.969200000000001</v>
      </c>
      <c r="V46" s="11" t="n">
        <v>8.969200000000001</v>
      </c>
      <c r="W46" s="11" t="n">
        <v>8.8994</v>
      </c>
      <c r="X46" s="11" t="n">
        <v>8.8994</v>
      </c>
      <c r="Y46" s="11" t="n">
        <v>8.789300000000001</v>
      </c>
      <c r="Z46" s="11" t="n">
        <v>8.789300000000001</v>
      </c>
      <c r="AA46" s="11" t="n">
        <v>8.789300000000001</v>
      </c>
      <c r="AB46" s="11" t="n">
        <v>8.789300000000001</v>
      </c>
      <c r="AC46" s="11" t="n">
        <v>8.969200000000001</v>
      </c>
      <c r="AD46" s="11" t="n">
        <v>8.969200000000001</v>
      </c>
      <c r="AE46" s="11" t="n">
        <v>8.969200000000001</v>
      </c>
    </row>
    <row r="47">
      <c r="A47" s="10" t="inlineStr">
        <is>
          <t>장기대여금</t>
        </is>
      </c>
      <c r="C47" s="11" t="n">
        <v>0.1074</v>
      </c>
      <c r="D47" s="11" t="n">
        <v>0.1118</v>
      </c>
      <c r="E47" s="11" t="n">
        <v>0.1181</v>
      </c>
      <c r="F47" s="11" t="n">
        <v>0.1195</v>
      </c>
      <c r="G47" s="11" t="n">
        <v>0.1224</v>
      </c>
      <c r="H47" s="11" t="n">
        <v>0.1221</v>
      </c>
      <c r="I47" s="11" t="n">
        <v>0.1262</v>
      </c>
      <c r="J47" s="11" t="n">
        <v>0.1305</v>
      </c>
      <c r="K47" s="11" t="n">
        <v>0.1314</v>
      </c>
      <c r="L47" s="11" t="n">
        <v>0.1708</v>
      </c>
      <c r="M47" s="11" t="n">
        <v>0.1731</v>
      </c>
      <c r="N47" s="11" t="n">
        <v>0.05</v>
      </c>
      <c r="O47" s="11" t="n">
        <v>0.05</v>
      </c>
      <c r="P47" s="11" t="n">
        <v>0.05</v>
      </c>
      <c r="Q47" s="11" t="n">
        <v>0.04</v>
      </c>
      <c r="R47" s="11" t="n">
        <v>0.04</v>
      </c>
      <c r="S47" s="11" t="n">
        <v>0.04</v>
      </c>
      <c r="T47" s="11" t="n">
        <v>0.04</v>
      </c>
      <c r="U47" s="11" t="n">
        <v>0.04</v>
      </c>
      <c r="V47" s="11" t="n">
        <v>0.04</v>
      </c>
      <c r="W47" s="11" t="n">
        <v>0.1477</v>
      </c>
      <c r="X47" s="11" t="n">
        <v>0.2868</v>
      </c>
      <c r="Y47" s="11" t="n">
        <v>0.1077</v>
      </c>
      <c r="Z47" s="11" t="n">
        <v>0.1239</v>
      </c>
      <c r="AA47" s="11" t="n">
        <v>0.1195</v>
      </c>
      <c r="AB47" s="11" t="n">
        <v>0.1305</v>
      </c>
      <c r="AC47" s="11" t="n">
        <v>0.05</v>
      </c>
      <c r="AD47" s="11" t="n">
        <v>0.04</v>
      </c>
      <c r="AE47" s="11" t="n">
        <v>0.04</v>
      </c>
    </row>
    <row r="48">
      <c r="A48" s="10" t="inlineStr">
        <is>
          <t>이연법인세자산</t>
        </is>
      </c>
      <c r="W48" s="11" t="n">
        <v>1.6619</v>
      </c>
      <c r="X48" s="11" t="n">
        <v>2.4363</v>
      </c>
    </row>
    <row r="49">
      <c r="A49" s="10" t="inlineStr">
        <is>
          <t>파산갱생채권 등</t>
        </is>
      </c>
      <c r="F49" s="11" t="n">
        <v>0.0023</v>
      </c>
      <c r="J49" s="11" t="n">
        <v>0</v>
      </c>
      <c r="N49" s="11" t="n">
        <v>0</v>
      </c>
      <c r="R49" s="11" t="n">
        <v>0</v>
      </c>
      <c r="V49" s="11" t="n">
        <v>0</v>
      </c>
      <c r="W49" s="11" t="n">
        <v>0.006</v>
      </c>
      <c r="X49" s="11" t="n">
        <v>0.0139</v>
      </c>
      <c r="Y49" s="11" t="n">
        <v>0.0047</v>
      </c>
      <c r="Z49" s="11" t="n">
        <v>0.0035</v>
      </c>
      <c r="AA49" s="11" t="n">
        <v>0.0023</v>
      </c>
      <c r="AB49" s="11" t="n">
        <v>0</v>
      </c>
      <c r="AC49" s="11" t="n">
        <v>0</v>
      </c>
      <c r="AD49" s="11" t="n">
        <v>0</v>
      </c>
      <c r="AE49" s="11" t="n">
        <v>0</v>
      </c>
    </row>
    <row r="50">
      <c r="A50" s="10" t="inlineStr">
        <is>
          <t>장기선급비용</t>
        </is>
      </c>
      <c r="F50" s="11" t="n">
        <v>0.07439999999999999</v>
      </c>
      <c r="J50" s="11" t="n">
        <v>0.0479</v>
      </c>
      <c r="N50" s="11" t="n">
        <v>0.1513</v>
      </c>
      <c r="R50" s="11" t="n">
        <v>0.1377</v>
      </c>
      <c r="V50" s="11" t="n">
        <v>0.1637</v>
      </c>
      <c r="W50" s="11" t="n">
        <v>0.07530000000000001</v>
      </c>
      <c r="X50" s="11" t="n">
        <v>0.1067</v>
      </c>
      <c r="Y50" s="11" t="n">
        <v>0.078</v>
      </c>
      <c r="Z50" s="11" t="n">
        <v>0.0756</v>
      </c>
      <c r="AA50" s="11" t="n">
        <v>0.07439999999999999</v>
      </c>
      <c r="AB50" s="11" t="n">
        <v>0.0479</v>
      </c>
      <c r="AC50" s="11" t="n">
        <v>0.1513</v>
      </c>
      <c r="AD50" s="11" t="n">
        <v>0.1377</v>
      </c>
      <c r="AE50" s="11" t="n">
        <v>0.1637</v>
      </c>
    </row>
    <row r="51">
      <c r="A51" s="10" t="inlineStr">
        <is>
          <t>이연법인세자산</t>
        </is>
      </c>
      <c r="F51" s="11" t="n">
        <v>2.0604</v>
      </c>
      <c r="J51" s="11" t="n">
        <v>2.1198</v>
      </c>
      <c r="N51" s="11" t="n">
        <v>2.656</v>
      </c>
      <c r="R51" s="11" t="n">
        <v>1.584</v>
      </c>
      <c r="V51" s="11" t="n">
        <v>1.3357</v>
      </c>
      <c r="X51" s="11" t="n">
        <v>1.821</v>
      </c>
      <c r="Y51" s="11" t="n">
        <v>2.5455</v>
      </c>
      <c r="Z51" s="11" t="n">
        <v>1.8177</v>
      </c>
      <c r="AA51" s="11" t="n">
        <v>2.0604</v>
      </c>
      <c r="AB51" s="11" t="n">
        <v>2.1198</v>
      </c>
      <c r="AC51" s="11" t="n">
        <v>2.656</v>
      </c>
      <c r="AD51" s="11" t="n">
        <v>1.584</v>
      </c>
      <c r="AE51" s="11" t="n">
        <v>1.3357</v>
      </c>
    </row>
    <row r="52">
      <c r="A52" s="10" t="inlineStr">
        <is>
          <t>기타</t>
        </is>
      </c>
      <c r="C52" s="11" t="n">
        <v>3.3616</v>
      </c>
      <c r="D52" s="11" t="n">
        <v>2.9462</v>
      </c>
      <c r="E52" s="11" t="n">
        <v>3.5034</v>
      </c>
      <c r="F52" s="11" t="n">
        <v>0.3622</v>
      </c>
      <c r="G52" s="11" t="n">
        <v>3.5949</v>
      </c>
      <c r="H52" s="11" t="n">
        <v>3.507</v>
      </c>
      <c r="I52" s="11" t="n">
        <v>3.8807</v>
      </c>
      <c r="J52" s="11" t="n">
        <v>0.3634</v>
      </c>
      <c r="K52" s="11" t="n">
        <v>3.9784</v>
      </c>
      <c r="L52" s="11" t="n">
        <v>3.7611</v>
      </c>
      <c r="M52" s="11" t="n">
        <v>3.8926</v>
      </c>
      <c r="N52" s="11" t="n">
        <v>0.9591</v>
      </c>
      <c r="O52" s="11" t="n">
        <v>3.8739</v>
      </c>
      <c r="P52" s="11" t="n">
        <v>3.9748</v>
      </c>
      <c r="Q52" s="11" t="n">
        <v>4.0229</v>
      </c>
      <c r="R52" s="11" t="n">
        <v>0.3543</v>
      </c>
      <c r="S52" s="11" t="n">
        <v>3.7922</v>
      </c>
      <c r="T52" s="11" t="n">
        <v>2.9491</v>
      </c>
      <c r="U52" s="11" t="n">
        <v>3.4329</v>
      </c>
      <c r="V52" s="11" t="n">
        <v>0.3558</v>
      </c>
      <c r="W52" s="11" t="n">
        <v>0.5974</v>
      </c>
      <c r="X52" s="11" t="n">
        <v>0.4079</v>
      </c>
      <c r="Y52" s="11" t="n">
        <v>0.6378</v>
      </c>
      <c r="Z52" s="11" t="n">
        <v>0.3659</v>
      </c>
      <c r="AA52" s="11" t="n">
        <v>0.3622</v>
      </c>
      <c r="AB52" s="11" t="n">
        <v>0.3634</v>
      </c>
      <c r="AC52" s="11" t="n">
        <v>0.9591</v>
      </c>
      <c r="AD52" s="11" t="n">
        <v>0.3543</v>
      </c>
      <c r="AE52" s="11" t="n">
        <v>0.3558</v>
      </c>
    </row>
    <row r="53">
      <c r="A53" s="10" t="inlineStr">
        <is>
          <t>대손충당금</t>
        </is>
      </c>
      <c r="C53" s="11" t="n">
        <v>-0.0145</v>
      </c>
      <c r="D53" s="11" t="n">
        <v>-0.014</v>
      </c>
      <c r="E53" s="11" t="n">
        <v>-0.0139</v>
      </c>
      <c r="F53" s="11" t="n">
        <v>-0.0138</v>
      </c>
      <c r="G53" s="11" t="n">
        <v>-0.0135</v>
      </c>
      <c r="H53" s="11" t="n">
        <v>-0.0133</v>
      </c>
      <c r="I53" s="11" t="n">
        <v>-0.012</v>
      </c>
      <c r="J53" s="11" t="n">
        <v>-0.0109</v>
      </c>
      <c r="K53" s="11" t="n">
        <v>-0.0106</v>
      </c>
      <c r="L53" s="11" t="n">
        <v>-0.0107</v>
      </c>
      <c r="M53" s="11" t="n">
        <v>-0.0106</v>
      </c>
      <c r="N53" s="11" t="n">
        <v>-0.0104</v>
      </c>
      <c r="O53" s="11" t="n">
        <v>-0.0109</v>
      </c>
      <c r="P53" s="11" t="n">
        <v>-0.0106</v>
      </c>
      <c r="Q53" s="11" t="n">
        <v>-0.0005</v>
      </c>
      <c r="R53" s="11" t="n">
        <v>-0.0002</v>
      </c>
      <c r="S53" s="11" t="n">
        <v>-0.0004</v>
      </c>
      <c r="T53" s="11" t="n">
        <v>-0.0001</v>
      </c>
      <c r="U53" s="11" t="n">
        <v>-0.0008</v>
      </c>
      <c r="V53" s="11" t="n">
        <v>-0.0007</v>
      </c>
      <c r="W53" s="11" t="n">
        <v>-0.0188</v>
      </c>
      <c r="X53" s="11" t="n">
        <v>-0.1258</v>
      </c>
      <c r="Y53" s="11" t="n">
        <v>-0.0167</v>
      </c>
      <c r="Z53" s="11" t="n">
        <v>-0.0325</v>
      </c>
      <c r="AA53" s="11" t="n">
        <v>-0.0138</v>
      </c>
      <c r="AB53" s="11" t="n">
        <v>-0.0109</v>
      </c>
      <c r="AC53" s="11" t="n">
        <v>-0.0104</v>
      </c>
      <c r="AD53" s="11" t="n">
        <v>-0.0002</v>
      </c>
      <c r="AE53" s="11" t="n">
        <v>-0.0007</v>
      </c>
    </row>
    <row r="54">
      <c r="A54" s="10" t="inlineStr">
        <is>
          <t>투자 및 기타자산 합계</t>
        </is>
      </c>
      <c r="C54" s="11" t="n">
        <v>11.6184</v>
      </c>
      <c r="D54" s="11" t="n">
        <v>11.3872</v>
      </c>
      <c r="E54" s="11" t="n">
        <v>14.1502</v>
      </c>
      <c r="F54" s="11" t="n">
        <v>23.9733</v>
      </c>
      <c r="G54" s="11" t="n">
        <v>13.3866</v>
      </c>
      <c r="H54" s="11" t="n">
        <v>15.4867</v>
      </c>
      <c r="I54" s="11" t="n">
        <v>15.7088</v>
      </c>
      <c r="J54" s="11" t="n">
        <v>24.6831</v>
      </c>
      <c r="K54" s="11" t="n">
        <v>17.5697</v>
      </c>
      <c r="L54" s="11" t="n">
        <v>16.5419</v>
      </c>
      <c r="M54" s="11" t="n">
        <v>11.8488</v>
      </c>
      <c r="N54" s="11" t="n">
        <v>10.357</v>
      </c>
      <c r="O54" s="11" t="n">
        <v>10.5775</v>
      </c>
      <c r="P54" s="11" t="n">
        <v>8.9688</v>
      </c>
      <c r="Q54" s="11" t="n">
        <v>9.302899999999999</v>
      </c>
      <c r="R54" s="11" t="n">
        <v>17.6516</v>
      </c>
      <c r="S54" s="11" t="n">
        <v>9.9474</v>
      </c>
      <c r="T54" s="11" t="n">
        <v>10.0154</v>
      </c>
      <c r="U54" s="11" t="n">
        <v>9.888999999999999</v>
      </c>
      <c r="V54" s="11" t="n">
        <v>17.533</v>
      </c>
      <c r="W54" s="11" t="n">
        <v>8.635999999999999</v>
      </c>
      <c r="X54" s="11" t="n">
        <v>17.5479</v>
      </c>
      <c r="Y54" s="11" t="n">
        <v>7.3778</v>
      </c>
      <c r="Z54" s="11" t="n">
        <v>15.4077</v>
      </c>
      <c r="AA54" s="11" t="n">
        <v>23.9733</v>
      </c>
      <c r="AB54" s="11" t="n">
        <v>24.6831</v>
      </c>
      <c r="AC54" s="11" t="n">
        <v>10.357</v>
      </c>
      <c r="AD54" s="11" t="n">
        <v>17.6516</v>
      </c>
      <c r="AE54" s="11" t="n">
        <v>17.533</v>
      </c>
    </row>
    <row r="55">
      <c r="A55" s="10" t="inlineStr">
        <is>
          <t>비유동자산 합계</t>
        </is>
      </c>
      <c r="C55" s="11" t="n">
        <v>62.9926</v>
      </c>
      <c r="D55" s="11" t="n">
        <v>62.1764</v>
      </c>
      <c r="E55" s="11" t="n">
        <v>65.07170000000001</v>
      </c>
      <c r="F55" s="11" t="n">
        <v>62.6566</v>
      </c>
      <c r="G55" s="11" t="n">
        <v>65.29600000000001</v>
      </c>
      <c r="H55" s="11" t="n">
        <v>67.2563</v>
      </c>
      <c r="I55" s="11" t="n">
        <v>67.44240000000001</v>
      </c>
      <c r="J55" s="11" t="n">
        <v>64.4832</v>
      </c>
      <c r="K55" s="11" t="n">
        <v>71.4933</v>
      </c>
      <c r="L55" s="11" t="n">
        <v>69.8099</v>
      </c>
      <c r="M55" s="11" t="n">
        <v>64.2483</v>
      </c>
      <c r="N55" s="11" t="n">
        <v>64.2811</v>
      </c>
      <c r="O55" s="11" t="n">
        <v>64.0633</v>
      </c>
      <c r="P55" s="11" t="n">
        <v>61.9993</v>
      </c>
      <c r="Q55" s="11" t="n">
        <v>61.8982</v>
      </c>
      <c r="R55" s="11" t="n">
        <v>55.4995</v>
      </c>
      <c r="S55" s="11" t="n">
        <v>62.3302</v>
      </c>
      <c r="T55" s="11" t="n">
        <v>61.5926</v>
      </c>
      <c r="U55" s="11" t="n">
        <v>61.1442</v>
      </c>
      <c r="V55" s="11" t="n">
        <v>54.3426</v>
      </c>
      <c r="W55" s="11" t="n">
        <v>67.7749</v>
      </c>
      <c r="X55" s="11" t="n">
        <v>63.4184</v>
      </c>
      <c r="Y55" s="11" t="n">
        <v>64.3404</v>
      </c>
      <c r="Z55" s="11" t="n">
        <v>57.2302</v>
      </c>
      <c r="AA55" s="11" t="n">
        <v>62.6566</v>
      </c>
      <c r="AB55" s="11" t="n">
        <v>64.4832</v>
      </c>
      <c r="AC55" s="11" t="n">
        <v>64.2811</v>
      </c>
      <c r="AD55" s="11" t="n">
        <v>55.4995</v>
      </c>
      <c r="AE55" s="11" t="n">
        <v>54.3426</v>
      </c>
    </row>
    <row r="56">
      <c r="A56" s="10" t="inlineStr">
        <is>
          <t>자산 합계</t>
        </is>
      </c>
      <c r="C56" s="11" t="n">
        <v>127.478</v>
      </c>
      <c r="D56" s="11" t="n">
        <v>126.3787</v>
      </c>
      <c r="E56" s="11" t="n">
        <v>128.5412</v>
      </c>
      <c r="F56" s="11" t="n">
        <v>118.0283</v>
      </c>
      <c r="G56" s="11" t="n">
        <v>130.1034</v>
      </c>
      <c r="H56" s="11" t="n">
        <v>127.8514</v>
      </c>
      <c r="I56" s="11" t="n">
        <v>130.9799</v>
      </c>
      <c r="J56" s="11" t="n">
        <v>120.5142</v>
      </c>
      <c r="K56" s="11" t="n">
        <v>135.3875</v>
      </c>
      <c r="L56" s="11" t="n">
        <v>133.0726</v>
      </c>
      <c r="M56" s="11" t="n">
        <v>132.9485</v>
      </c>
      <c r="N56" s="11" t="n">
        <v>133.4058</v>
      </c>
      <c r="O56" s="11" t="n">
        <v>132.0579</v>
      </c>
      <c r="P56" s="11" t="n">
        <v>128.5411</v>
      </c>
      <c r="Q56" s="11" t="n">
        <v>132.0736</v>
      </c>
      <c r="R56" s="11" t="n">
        <v>117.813</v>
      </c>
      <c r="S56" s="11" t="n">
        <v>132.9512</v>
      </c>
      <c r="T56" s="11" t="n">
        <v>134.0112</v>
      </c>
      <c r="U56" s="11" t="n">
        <v>136.9706</v>
      </c>
      <c r="V56" s="11" t="n">
        <v>120.7099</v>
      </c>
      <c r="W56" s="11" t="n">
        <v>114.7518</v>
      </c>
      <c r="X56" s="11" t="n">
        <v>111.8981</v>
      </c>
      <c r="Y56" s="11" t="n">
        <v>117.5871</v>
      </c>
      <c r="Z56" s="11" t="n">
        <v>114.1635</v>
      </c>
      <c r="AA56" s="11" t="n">
        <v>118.0283</v>
      </c>
      <c r="AB56" s="11" t="n">
        <v>120.5142</v>
      </c>
      <c r="AC56" s="11" t="n">
        <v>133.4058</v>
      </c>
      <c r="AD56" s="11" t="n">
        <v>117.813</v>
      </c>
      <c r="AE56" s="11" t="n">
        <v>120.7099</v>
      </c>
    </row>
    <row r="57">
      <c r="A57" s="10" t="inlineStr">
        <is>
          <t>지급어음·매입채무</t>
        </is>
      </c>
      <c r="C57" s="11" t="n">
        <v>5.4094</v>
      </c>
      <c r="D57" s="11" t="n">
        <v>3.9275</v>
      </c>
      <c r="E57" s="11" t="n">
        <v>4.0827</v>
      </c>
      <c r="F57" s="11" t="n">
        <v>3.7178</v>
      </c>
      <c r="G57" s="11" t="n">
        <v>4.7299</v>
      </c>
      <c r="H57" s="11" t="n">
        <v>3.5986</v>
      </c>
      <c r="I57" s="11" t="n">
        <v>3.994</v>
      </c>
      <c r="J57" s="11" t="n">
        <v>3.1167</v>
      </c>
      <c r="K57" s="11" t="n">
        <v>3.0339</v>
      </c>
      <c r="L57" s="11" t="n">
        <v>3.0759</v>
      </c>
      <c r="M57" s="11" t="n">
        <v>3.3764</v>
      </c>
      <c r="N57" s="11" t="n">
        <v>2.1097</v>
      </c>
      <c r="O57" s="11" t="n">
        <v>3.6742</v>
      </c>
      <c r="P57" s="11" t="n">
        <v>2.5982</v>
      </c>
      <c r="Q57" s="11" t="n">
        <v>3.4817</v>
      </c>
      <c r="R57" s="11" t="n">
        <v>2.8853</v>
      </c>
      <c r="S57" s="11" t="n">
        <v>3.3146</v>
      </c>
      <c r="T57" s="11" t="n">
        <v>3.4918</v>
      </c>
      <c r="U57" s="11" t="n">
        <v>3.1561</v>
      </c>
      <c r="V57" s="11" t="n">
        <v>3.2447</v>
      </c>
      <c r="W57" s="11" t="n">
        <v>1.7366</v>
      </c>
      <c r="X57" s="11" t="n">
        <v>3.3346</v>
      </c>
      <c r="Y57" s="11" t="n">
        <v>2.2463</v>
      </c>
      <c r="Z57" s="11" t="n">
        <v>4.0502</v>
      </c>
      <c r="AA57" s="11" t="n">
        <v>3.7178</v>
      </c>
      <c r="AB57" s="11" t="n">
        <v>3.1167</v>
      </c>
      <c r="AC57" s="11" t="n">
        <v>2.1097</v>
      </c>
      <c r="AD57" s="11" t="n">
        <v>2.8853</v>
      </c>
      <c r="AE57" s="11" t="n">
        <v>3.2447</v>
      </c>
    </row>
    <row r="58">
      <c r="A58" s="10" t="inlineStr">
        <is>
          <t>지급어음</t>
        </is>
      </c>
      <c r="F58" s="11" t="n">
        <v>0.6671</v>
      </c>
      <c r="J58" s="11" t="n">
        <v>0.3287</v>
      </c>
      <c r="N58" s="11" t="n">
        <v>0.0911</v>
      </c>
      <c r="R58" s="11" t="n">
        <v>0.07729999999999999</v>
      </c>
      <c r="V58" s="11" t="n">
        <v>0</v>
      </c>
      <c r="W58" s="11" t="n">
        <v>0.3901</v>
      </c>
      <c r="X58" s="11" t="n">
        <v>0.3581</v>
      </c>
      <c r="Y58" s="11" t="n">
        <v>0.3415</v>
      </c>
      <c r="Z58" s="11" t="n">
        <v>0.8217</v>
      </c>
      <c r="AA58" s="11" t="n">
        <v>0.6671</v>
      </c>
      <c r="AB58" s="11" t="n">
        <v>0.3287</v>
      </c>
      <c r="AC58" s="11" t="n">
        <v>0.0911</v>
      </c>
      <c r="AD58" s="11" t="n">
        <v>0.07729999999999999</v>
      </c>
      <c r="AE58" s="11" t="n">
        <v>0</v>
      </c>
    </row>
    <row r="59">
      <c r="A59" s="10" t="inlineStr">
        <is>
          <t>영업외 지급어음</t>
        </is>
      </c>
      <c r="F59" s="11" t="n">
        <v>0.2834</v>
      </c>
      <c r="J59" s="11" t="n">
        <v>0.2895</v>
      </c>
      <c r="N59" s="11" t="n">
        <v>0.0295</v>
      </c>
      <c r="R59" s="11" t="n">
        <v>0</v>
      </c>
      <c r="W59" s="11" t="n">
        <v>0.0559</v>
      </c>
      <c r="X59" s="11" t="n">
        <v>0.0501</v>
      </c>
      <c r="Y59" s="11" t="n">
        <v>0.0402</v>
      </c>
      <c r="Z59" s="11" t="n">
        <v>0.0458</v>
      </c>
      <c r="AA59" s="11" t="n">
        <v>0.2834</v>
      </c>
      <c r="AB59" s="11" t="n">
        <v>0.2895</v>
      </c>
      <c r="AC59" s="11" t="n">
        <v>0.0295</v>
      </c>
      <c r="AD59" s="11" t="n">
        <v>0</v>
      </c>
    </row>
    <row r="60">
      <c r="A60" s="10" t="inlineStr">
        <is>
          <t>전자기록채무</t>
        </is>
      </c>
      <c r="C60" s="11" t="n">
        <v>5.4435</v>
      </c>
      <c r="D60" s="11" t="n">
        <v>5.6988</v>
      </c>
      <c r="E60" s="11" t="n">
        <v>5.3682</v>
      </c>
      <c r="F60" s="11" t="n">
        <v>5.6407</v>
      </c>
      <c r="G60" s="11" t="n">
        <v>6.1906</v>
      </c>
      <c r="H60" s="11" t="n">
        <v>5.3998</v>
      </c>
      <c r="I60" s="11" t="n">
        <v>5.8989</v>
      </c>
      <c r="J60" s="11" t="n">
        <v>6.3132</v>
      </c>
      <c r="K60" s="11" t="n">
        <v>6.8659</v>
      </c>
      <c r="L60" s="11" t="n">
        <v>5.9205</v>
      </c>
      <c r="M60" s="11" t="n">
        <v>4.0981</v>
      </c>
      <c r="N60" s="11" t="n">
        <v>3.2961</v>
      </c>
      <c r="O60" s="11" t="n">
        <v>3.1731</v>
      </c>
      <c r="P60" s="11" t="n">
        <v>2.2813</v>
      </c>
      <c r="Q60" s="11" t="n">
        <v>3.1595</v>
      </c>
      <c r="R60" s="11" t="n">
        <v>3.5357</v>
      </c>
      <c r="S60" s="11" t="n">
        <v>3.5863</v>
      </c>
      <c r="T60" s="11" t="n">
        <v>1.5459</v>
      </c>
      <c r="U60" s="11" t="n">
        <v>0.4775</v>
      </c>
      <c r="V60" s="11" t="n">
        <v>0.5363</v>
      </c>
      <c r="W60" s="11" t="n">
        <v>4.7075</v>
      </c>
      <c r="X60" s="11" t="n">
        <v>5.4256</v>
      </c>
      <c r="Y60" s="11" t="n">
        <v>3.5729</v>
      </c>
      <c r="Z60" s="11" t="n">
        <v>5.9385</v>
      </c>
      <c r="AA60" s="11" t="n">
        <v>5.6407</v>
      </c>
      <c r="AB60" s="11" t="n">
        <v>6.3132</v>
      </c>
      <c r="AC60" s="11" t="n">
        <v>3.2961</v>
      </c>
      <c r="AD60" s="11" t="n">
        <v>3.5357</v>
      </c>
      <c r="AE60" s="11" t="n">
        <v>0.5363</v>
      </c>
    </row>
    <row r="61">
      <c r="A61" s="10" t="inlineStr">
        <is>
          <t>매입채무</t>
        </is>
      </c>
      <c r="F61" s="11" t="n">
        <v>1.9455</v>
      </c>
      <c r="J61" s="11" t="n">
        <v>2.0768</v>
      </c>
      <c r="N61" s="11" t="n">
        <v>1.9337</v>
      </c>
      <c r="R61" s="11" t="n">
        <v>2.2941</v>
      </c>
      <c r="V61" s="11" t="n">
        <v>2.2763</v>
      </c>
      <c r="W61" s="11" t="n">
        <v>1.4017</v>
      </c>
      <c r="X61" s="11" t="n">
        <v>2.727</v>
      </c>
      <c r="Y61" s="11" t="n">
        <v>1.1651</v>
      </c>
      <c r="Z61" s="11" t="n">
        <v>2.1329</v>
      </c>
      <c r="AA61" s="11" t="n">
        <v>1.9455</v>
      </c>
      <c r="AB61" s="11" t="n">
        <v>2.0768</v>
      </c>
      <c r="AC61" s="11" t="n">
        <v>1.9337</v>
      </c>
      <c r="AD61" s="11" t="n">
        <v>2.2941</v>
      </c>
      <c r="AE61" s="11" t="n">
        <v>2.2763</v>
      </c>
    </row>
    <row r="62">
      <c r="A62" s="10" t="inlineStr">
        <is>
          <t>단기차입금</t>
        </is>
      </c>
      <c r="C62" s="11" t="n">
        <v>6.0917</v>
      </c>
      <c r="D62" s="11" t="n">
        <v>6.0917</v>
      </c>
      <c r="E62" s="11" t="n">
        <v>5.9246</v>
      </c>
      <c r="F62" s="11" t="n">
        <v>3</v>
      </c>
      <c r="G62" s="11" t="n">
        <v>5.3886</v>
      </c>
      <c r="H62" s="11" t="n">
        <v>5.2431</v>
      </c>
      <c r="I62" s="11" t="n">
        <v>4.9754</v>
      </c>
      <c r="J62" s="11" t="n">
        <v>3</v>
      </c>
      <c r="K62" s="11" t="n">
        <v>5.3526</v>
      </c>
      <c r="L62" s="11" t="n">
        <v>5.5436</v>
      </c>
      <c r="M62" s="11" t="n">
        <v>5.3412</v>
      </c>
      <c r="N62" s="11" t="n">
        <v>3.4805</v>
      </c>
      <c r="O62" s="11" t="n">
        <v>3.4968</v>
      </c>
      <c r="P62" s="11" t="n">
        <v>3.3218</v>
      </c>
      <c r="Q62" s="11" t="n">
        <v>3.4968</v>
      </c>
      <c r="R62" s="11" t="n">
        <v>1</v>
      </c>
      <c r="S62" s="11" t="n">
        <v>3.2734</v>
      </c>
      <c r="T62" s="11" t="n">
        <v>3.2126</v>
      </c>
      <c r="U62" s="11" t="n">
        <v>2.8019</v>
      </c>
      <c r="V62" s="11" t="n">
        <v>1</v>
      </c>
      <c r="W62" s="11" t="n">
        <v>5.4484</v>
      </c>
      <c r="X62" s="11" t="n">
        <v>6</v>
      </c>
      <c r="Y62" s="11" t="n">
        <v>8.9384</v>
      </c>
      <c r="Z62" s="11" t="n">
        <v>6</v>
      </c>
      <c r="AA62" s="11" t="n">
        <v>3</v>
      </c>
      <c r="AB62" s="11" t="n">
        <v>3</v>
      </c>
      <c r="AC62" s="11" t="n">
        <v>3.4805</v>
      </c>
      <c r="AD62" s="11" t="n">
        <v>1</v>
      </c>
      <c r="AE62" s="11" t="n">
        <v>1</v>
      </c>
    </row>
    <row r="63">
      <c r="A63" s="10" t="inlineStr">
        <is>
          <t>1년 내 상환 장기차입금</t>
        </is>
      </c>
      <c r="F63" s="11" t="n">
        <v>2.2258</v>
      </c>
      <c r="J63" s="11" t="n">
        <v>1.5178</v>
      </c>
      <c r="N63" s="11" t="n">
        <v>2.2428</v>
      </c>
      <c r="R63" s="11" t="n">
        <v>2.4177</v>
      </c>
      <c r="V63" s="11" t="n">
        <v>1.0123</v>
      </c>
      <c r="W63" s="11" t="n">
        <v>1.8335</v>
      </c>
      <c r="X63" s="11" t="n">
        <v>2.1668</v>
      </c>
      <c r="Y63" s="11" t="n">
        <v>2.3926</v>
      </c>
      <c r="Z63" s="11" t="n">
        <v>1.6429</v>
      </c>
      <c r="AA63" s="11" t="n">
        <v>2.2258</v>
      </c>
      <c r="AB63" s="11" t="n">
        <v>1.5178</v>
      </c>
      <c r="AC63" s="11" t="n">
        <v>2.2428</v>
      </c>
      <c r="AD63" s="11" t="n">
        <v>2.4177</v>
      </c>
      <c r="AE63" s="11" t="n">
        <v>1.0123</v>
      </c>
    </row>
    <row r="64">
      <c r="A64" s="10" t="inlineStr">
        <is>
          <t>리스부채</t>
        </is>
      </c>
      <c r="C64" s="11" t="n">
        <v>0.06279999999999999</v>
      </c>
      <c r="D64" s="11" t="n">
        <v>0.06279999999999999</v>
      </c>
      <c r="E64" s="11" t="n">
        <v>0.06279999999999999</v>
      </c>
      <c r="F64" s="11" t="n">
        <v>0.0412</v>
      </c>
      <c r="G64" s="11" t="n">
        <v>0.0601</v>
      </c>
      <c r="H64" s="11" t="n">
        <v>0.0547</v>
      </c>
      <c r="I64" s="11" t="n">
        <v>0.0493</v>
      </c>
      <c r="J64" s="11" t="n">
        <v>0.0412</v>
      </c>
      <c r="K64" s="11" t="n">
        <v>0.0412</v>
      </c>
      <c r="L64" s="11" t="n">
        <v>0.0412</v>
      </c>
      <c r="M64" s="11" t="n">
        <v>0.0412</v>
      </c>
      <c r="N64" s="11" t="n">
        <v>0.0412</v>
      </c>
      <c r="O64" s="11" t="n">
        <v>0.0412</v>
      </c>
      <c r="P64" s="11" t="n">
        <v>0.0309</v>
      </c>
      <c r="Q64" s="11" t="n">
        <v>0.0206</v>
      </c>
      <c r="R64" s="11" t="n">
        <v>0.0103</v>
      </c>
      <c r="S64" s="11" t="n">
        <v>0</v>
      </c>
      <c r="T64" s="11" t="n">
        <v>0</v>
      </c>
      <c r="U64" s="11" t="n">
        <v>0</v>
      </c>
      <c r="V64" s="11" t="n">
        <v>0</v>
      </c>
      <c r="W64" s="11" t="n">
        <v>0.0478</v>
      </c>
      <c r="X64" s="11" t="n">
        <v>0.0412</v>
      </c>
      <c r="Y64" s="11" t="n">
        <v>0.06279999999999999</v>
      </c>
      <c r="Z64" s="11" t="n">
        <v>0.0412</v>
      </c>
      <c r="AA64" s="11" t="n">
        <v>0.0412</v>
      </c>
      <c r="AB64" s="11" t="n">
        <v>0.0412</v>
      </c>
      <c r="AC64" s="11" t="n">
        <v>0.0412</v>
      </c>
      <c r="AD64" s="11" t="n">
        <v>0.0103</v>
      </c>
      <c r="AE64" s="11" t="n">
        <v>0</v>
      </c>
    </row>
    <row r="65">
      <c r="A65" s="10" t="inlineStr">
        <is>
          <t>미지급금</t>
        </is>
      </c>
      <c r="F65" s="11" t="n">
        <v>2.8162</v>
      </c>
      <c r="J65" s="11" t="n">
        <v>2.3885</v>
      </c>
      <c r="N65" s="11" t="n">
        <v>4.0691</v>
      </c>
      <c r="R65" s="11" t="n">
        <v>2.7396</v>
      </c>
      <c r="V65" s="11" t="n">
        <v>2.6472</v>
      </c>
      <c r="W65" s="11" t="n">
        <v>1.623</v>
      </c>
      <c r="X65" s="11" t="n">
        <v>3.2255</v>
      </c>
      <c r="Y65" s="11" t="n">
        <v>1.5009</v>
      </c>
      <c r="Z65" s="11" t="n">
        <v>2.2155</v>
      </c>
      <c r="AA65" s="11" t="n">
        <v>2.8162</v>
      </c>
      <c r="AB65" s="11" t="n">
        <v>2.3885</v>
      </c>
      <c r="AC65" s="11" t="n">
        <v>4.0691</v>
      </c>
      <c r="AD65" s="11" t="n">
        <v>2.7396</v>
      </c>
      <c r="AE65" s="11" t="n">
        <v>2.6472</v>
      </c>
    </row>
    <row r="66">
      <c r="A66" s="10" t="inlineStr">
        <is>
          <t>미지급비용</t>
        </is>
      </c>
      <c r="F66" s="11" t="n">
        <v>0.2628</v>
      </c>
      <c r="J66" s="11" t="n">
        <v>0.3304</v>
      </c>
      <c r="N66" s="11" t="n">
        <v>0.2858</v>
      </c>
      <c r="R66" s="11" t="n">
        <v>0.2901</v>
      </c>
      <c r="V66" s="11" t="n">
        <v>0.2922</v>
      </c>
      <c r="W66" s="11" t="n">
        <v>0.2377</v>
      </c>
      <c r="X66" s="11" t="n">
        <v>0.2726</v>
      </c>
      <c r="Y66" s="11" t="n">
        <v>0.2439</v>
      </c>
      <c r="Z66" s="11" t="n">
        <v>0.2467</v>
      </c>
      <c r="AA66" s="11" t="n">
        <v>0.2628</v>
      </c>
      <c r="AB66" s="11" t="n">
        <v>0.3304</v>
      </c>
      <c r="AC66" s="11" t="n">
        <v>0.2858</v>
      </c>
      <c r="AD66" s="11" t="n">
        <v>0.2901</v>
      </c>
      <c r="AE66" s="11" t="n">
        <v>0.2922</v>
      </c>
    </row>
    <row r="67">
      <c r="A67" s="10" t="inlineStr">
        <is>
          <t>미지급법인세</t>
        </is>
      </c>
      <c r="C67" s="11" t="n">
        <v>0.2395</v>
      </c>
      <c r="D67" s="11" t="n">
        <v>0.3839</v>
      </c>
      <c r="E67" s="11" t="n">
        <v>0.6781</v>
      </c>
      <c r="F67" s="11" t="n">
        <v>0.91</v>
      </c>
      <c r="G67" s="11" t="n">
        <v>0.7573</v>
      </c>
      <c r="H67" s="11" t="n">
        <v>0.6897</v>
      </c>
      <c r="I67" s="11" t="n">
        <v>1.1921</v>
      </c>
      <c r="J67" s="11" t="n">
        <v>1.4075</v>
      </c>
      <c r="K67" s="11" t="n">
        <v>0.5587</v>
      </c>
      <c r="L67" s="11" t="n">
        <v>0.555</v>
      </c>
      <c r="M67" s="11" t="n">
        <v>0.4119</v>
      </c>
      <c r="N67" s="11" t="n">
        <v>0.4046</v>
      </c>
      <c r="O67" s="11" t="n">
        <v>0.7042</v>
      </c>
      <c r="P67" s="11" t="n">
        <v>0.3881</v>
      </c>
      <c r="Q67" s="11" t="n">
        <v>0.601</v>
      </c>
      <c r="R67" s="11" t="n">
        <v>0.4616</v>
      </c>
      <c r="S67" s="11" t="n">
        <v>0.5896</v>
      </c>
      <c r="T67" s="11" t="n">
        <v>0.9285</v>
      </c>
      <c r="U67" s="11" t="n">
        <v>1.9385</v>
      </c>
      <c r="V67" s="11" t="n">
        <v>2.0953</v>
      </c>
      <c r="W67" s="11" t="n">
        <v>0.8105</v>
      </c>
      <c r="X67" s="11" t="n">
        <v>0.98</v>
      </c>
      <c r="Y67" s="11" t="n">
        <v>0.2809</v>
      </c>
      <c r="Z67" s="11" t="n">
        <v>0.978</v>
      </c>
      <c r="AA67" s="11" t="n">
        <v>0.91</v>
      </c>
      <c r="AB67" s="11" t="n">
        <v>1.4075</v>
      </c>
      <c r="AC67" s="11" t="n">
        <v>0.4046</v>
      </c>
      <c r="AD67" s="11" t="n">
        <v>0.4616</v>
      </c>
      <c r="AE67" s="11" t="n">
        <v>2.0953</v>
      </c>
    </row>
    <row r="68">
      <c r="A68" s="10" t="inlineStr">
        <is>
          <t>미지급 소비세</t>
        </is>
      </c>
      <c r="F68" s="11" t="n">
        <v>0.0071</v>
      </c>
      <c r="J68" s="11" t="n">
        <v>0</v>
      </c>
      <c r="N68" s="11" t="n">
        <v>0.4019</v>
      </c>
      <c r="R68" s="11" t="n">
        <v>0.2595</v>
      </c>
      <c r="V68" s="11" t="n">
        <v>0.1162</v>
      </c>
      <c r="W68" s="11" t="n">
        <v>0</v>
      </c>
      <c r="X68" s="11" t="n">
        <v>0.1909</v>
      </c>
      <c r="Y68" s="11" t="n">
        <v>0.3978</v>
      </c>
      <c r="Z68" s="11" t="n">
        <v>0</v>
      </c>
      <c r="AA68" s="11" t="n">
        <v>0.0071</v>
      </c>
      <c r="AB68" s="11" t="n">
        <v>0</v>
      </c>
      <c r="AC68" s="11" t="n">
        <v>0.4019</v>
      </c>
      <c r="AD68" s="11" t="n">
        <v>0.2595</v>
      </c>
      <c r="AE68" s="11" t="n">
        <v>0.1162</v>
      </c>
    </row>
    <row r="69">
      <c r="A69" s="10" t="inlineStr">
        <is>
          <t>선수금</t>
        </is>
      </c>
      <c r="F69" s="11" t="n">
        <v>0</v>
      </c>
      <c r="W69" s="11" t="n">
        <v>0.1548</v>
      </c>
      <c r="X69" s="11" t="n">
        <v>0.9633</v>
      </c>
      <c r="Y69" s="11" t="n">
        <v>0.1415</v>
      </c>
      <c r="Z69" s="11" t="n">
        <v>0.6419</v>
      </c>
      <c r="AA69" s="11" t="n">
        <v>0</v>
      </c>
    </row>
    <row r="70">
      <c r="A70" s="10" t="inlineStr">
        <is>
          <t>계약부채</t>
        </is>
      </c>
      <c r="F70" s="11" t="n">
        <v>0.4739</v>
      </c>
      <c r="J70" s="11" t="n">
        <v>0.1981</v>
      </c>
      <c r="N70" s="11" t="n">
        <v>0.2409</v>
      </c>
      <c r="R70" s="11" t="n">
        <v>0.2558</v>
      </c>
      <c r="V70" s="11" t="n">
        <v>0.2798</v>
      </c>
      <c r="Z70" s="11" t="n">
        <v>0</v>
      </c>
      <c r="AA70" s="11" t="n">
        <v>0.4739</v>
      </c>
      <c r="AB70" s="11" t="n">
        <v>0.1981</v>
      </c>
      <c r="AC70" s="11" t="n">
        <v>0.2409</v>
      </c>
      <c r="AD70" s="11" t="n">
        <v>0.2558</v>
      </c>
      <c r="AE70" s="11" t="n">
        <v>0.2798</v>
      </c>
    </row>
    <row r="71">
      <c r="A71" s="10" t="inlineStr">
        <is>
          <t>예수금</t>
        </is>
      </c>
      <c r="F71" s="11" t="n">
        <v>1.737</v>
      </c>
      <c r="J71" s="11" t="n">
        <v>1.7895</v>
      </c>
      <c r="N71" s="11" t="n">
        <v>1.72</v>
      </c>
      <c r="R71" s="11" t="n">
        <v>1.7714</v>
      </c>
      <c r="V71" s="11" t="n">
        <v>1.8764</v>
      </c>
      <c r="W71" s="11" t="n">
        <v>1.5967</v>
      </c>
      <c r="X71" s="11" t="n">
        <v>1.5743</v>
      </c>
      <c r="Y71" s="11" t="n">
        <v>1.5787</v>
      </c>
      <c r="Z71" s="11" t="n">
        <v>1.6774</v>
      </c>
      <c r="AA71" s="11" t="n">
        <v>1.737</v>
      </c>
      <c r="AB71" s="11" t="n">
        <v>1.7895</v>
      </c>
      <c r="AC71" s="11" t="n">
        <v>1.72</v>
      </c>
      <c r="AD71" s="11" t="n">
        <v>1.7714</v>
      </c>
      <c r="AE71" s="11" t="n">
        <v>1.8764</v>
      </c>
    </row>
    <row r="72">
      <c r="A72" s="10" t="inlineStr">
        <is>
          <t>상여충당금</t>
        </is>
      </c>
      <c r="C72" s="11" t="n">
        <v>1.6644</v>
      </c>
      <c r="D72" s="11" t="n">
        <v>0.7991</v>
      </c>
      <c r="E72" s="11" t="n">
        <v>1.6771</v>
      </c>
      <c r="F72" s="11" t="n">
        <v>0.7794</v>
      </c>
      <c r="G72" s="11" t="n">
        <v>1.7602</v>
      </c>
      <c r="H72" s="11" t="n">
        <v>0.8283</v>
      </c>
      <c r="I72" s="11" t="n">
        <v>1.7263</v>
      </c>
      <c r="J72" s="11" t="n">
        <v>0.7892</v>
      </c>
      <c r="K72" s="11" t="n">
        <v>1.8442</v>
      </c>
      <c r="L72" s="11" t="n">
        <v>0.866</v>
      </c>
      <c r="M72" s="11" t="n">
        <v>1.8388</v>
      </c>
      <c r="N72" s="11" t="n">
        <v>1.0938</v>
      </c>
      <c r="O72" s="11" t="n">
        <v>1.9785</v>
      </c>
      <c r="P72" s="11" t="n">
        <v>0.8941</v>
      </c>
      <c r="Q72" s="11" t="n">
        <v>1.8599</v>
      </c>
      <c r="R72" s="11" t="n">
        <v>0.8509</v>
      </c>
      <c r="S72" s="11" t="n">
        <v>1.9594</v>
      </c>
      <c r="T72" s="11" t="n">
        <v>0.9005</v>
      </c>
      <c r="U72" s="11" t="n">
        <v>1.9198</v>
      </c>
      <c r="V72" s="11" t="n">
        <v>0.8565</v>
      </c>
      <c r="W72" s="11" t="n">
        <v>0.9331</v>
      </c>
      <c r="X72" s="11" t="n">
        <v>0.7334000000000001</v>
      </c>
      <c r="Y72" s="11" t="n">
        <v>0.9678</v>
      </c>
      <c r="Z72" s="11" t="n">
        <v>0.7554999999999999</v>
      </c>
      <c r="AA72" s="11" t="n">
        <v>0.7794</v>
      </c>
      <c r="AB72" s="11" t="n">
        <v>0.7892</v>
      </c>
      <c r="AC72" s="11" t="n">
        <v>1.0938</v>
      </c>
      <c r="AD72" s="11" t="n">
        <v>0.8509</v>
      </c>
      <c r="AE72" s="11" t="n">
        <v>0.8565</v>
      </c>
    </row>
    <row r="73">
      <c r="A73" s="10" t="inlineStr">
        <is>
          <t>제품보상 충당금</t>
        </is>
      </c>
      <c r="N73" s="11" t="n">
        <v>0.6692</v>
      </c>
      <c r="P73" s="11" t="n">
        <v>0.6656</v>
      </c>
      <c r="R73" s="11" t="n">
        <v>0.0868</v>
      </c>
      <c r="T73" s="11" t="n">
        <v>0.0864</v>
      </c>
      <c r="AC73" s="11" t="n">
        <v>0.6692</v>
      </c>
      <c r="AD73" s="11" t="n">
        <v>0.0868</v>
      </c>
    </row>
    <row r="74">
      <c r="A74" s="10" t="inlineStr">
        <is>
          <t>제품보상 충당금</t>
        </is>
      </c>
      <c r="E74" s="11" t="n">
        <v>0.8174</v>
      </c>
      <c r="F74" s="11" t="n">
        <v>0.7037</v>
      </c>
      <c r="G74" s="11" t="n">
        <v>0.6249</v>
      </c>
      <c r="H74" s="11" t="n">
        <v>0.6097</v>
      </c>
      <c r="I74" s="11" t="n">
        <v>0.6011</v>
      </c>
      <c r="J74" s="11" t="n">
        <v>1.0321</v>
      </c>
      <c r="K74" s="11" t="n">
        <v>1.0303</v>
      </c>
      <c r="L74" s="11" t="n">
        <v>1.0242</v>
      </c>
      <c r="M74" s="11" t="n">
        <v>0.6727</v>
      </c>
      <c r="N74" s="11" t="n">
        <v>0.6692</v>
      </c>
      <c r="O74" s="11" t="n">
        <v>0.6671</v>
      </c>
      <c r="Q74" s="11" t="n">
        <v>0.0873</v>
      </c>
      <c r="R74" s="11" t="n">
        <v>0.0868</v>
      </c>
      <c r="S74" s="11" t="n">
        <v>0.08649999999999999</v>
      </c>
      <c r="U74" s="11" t="n">
        <v>0.0862</v>
      </c>
      <c r="Z74" s="11" t="n">
        <v>0</v>
      </c>
      <c r="AA74" s="11" t="n">
        <v>0.7037</v>
      </c>
      <c r="AB74" s="11" t="n">
        <v>1.0321</v>
      </c>
      <c r="AC74" s="11" t="n">
        <v>0.6692</v>
      </c>
      <c r="AD74" s="11" t="n">
        <v>0.0868</v>
      </c>
    </row>
    <row r="75">
      <c r="A75" s="10" t="inlineStr">
        <is>
          <t>제품보상 충당금</t>
        </is>
      </c>
      <c r="F75" s="11" t="n">
        <v>0.7037</v>
      </c>
      <c r="J75" s="11" t="n">
        <v>1.0321</v>
      </c>
      <c r="N75" s="11" t="n">
        <v>0.6692</v>
      </c>
      <c r="R75" s="11" t="n">
        <v>0.0868</v>
      </c>
      <c r="V75" s="11" t="n">
        <v>0</v>
      </c>
      <c r="Z75" s="11" t="n">
        <v>0</v>
      </c>
      <c r="AA75" s="11" t="n">
        <v>0.7037</v>
      </c>
      <c r="AB75" s="11" t="n">
        <v>1.0321</v>
      </c>
      <c r="AC75" s="11" t="n">
        <v>0.6692</v>
      </c>
      <c r="AD75" s="11" t="n">
        <v>0.0868</v>
      </c>
      <c r="AE75" s="11" t="n">
        <v>0</v>
      </c>
    </row>
    <row r="76">
      <c r="A76" s="10" t="inlineStr">
        <is>
          <t>기타</t>
        </is>
      </c>
      <c r="C76" s="11" t="n">
        <v>5.3938</v>
      </c>
      <c r="D76" s="11" t="n">
        <v>5.3449</v>
      </c>
      <c r="E76" s="11" t="n">
        <v>5.3879</v>
      </c>
      <c r="F76" s="11" t="n">
        <v>7.1348</v>
      </c>
      <c r="G76" s="11" t="n">
        <v>5.3738</v>
      </c>
      <c r="H76" s="11" t="n">
        <v>5.7628</v>
      </c>
      <c r="I76" s="11" t="n">
        <v>5.5042</v>
      </c>
      <c r="J76" s="11" t="n">
        <v>6.4099</v>
      </c>
      <c r="K76" s="11" t="n">
        <v>6.2805</v>
      </c>
      <c r="L76" s="11" t="n">
        <v>5.3622</v>
      </c>
      <c r="M76" s="11" t="n">
        <v>4.8054</v>
      </c>
      <c r="N76" s="11" t="n">
        <v>9.7553</v>
      </c>
      <c r="O76" s="11" t="n">
        <v>6.3171</v>
      </c>
      <c r="P76" s="11" t="n">
        <v>5.7329</v>
      </c>
      <c r="Q76" s="11" t="n">
        <v>5.9869</v>
      </c>
      <c r="R76" s="11" t="n">
        <v>0</v>
      </c>
      <c r="S76" s="11" t="n">
        <v>6.447</v>
      </c>
      <c r="T76" s="11" t="n">
        <v>5.7567</v>
      </c>
      <c r="U76" s="11" t="n">
        <v>6.8989</v>
      </c>
      <c r="V76" s="11" t="n">
        <v>0</v>
      </c>
      <c r="W76" s="11" t="n">
        <v>4.1938</v>
      </c>
      <c r="X76" s="11" t="n">
        <v>0.0001</v>
      </c>
      <c r="Y76" s="11" t="n">
        <v>4.7169</v>
      </c>
      <c r="Z76" s="11" t="n">
        <v>5.8824</v>
      </c>
      <c r="AA76" s="11" t="n">
        <v>7.1348</v>
      </c>
      <c r="AB76" s="11" t="n">
        <v>6.4099</v>
      </c>
      <c r="AC76" s="11" t="n">
        <v>9.7553</v>
      </c>
      <c r="AD76" s="11" t="n">
        <v>0</v>
      </c>
      <c r="AE76" s="11" t="n">
        <v>0</v>
      </c>
    </row>
    <row r="77">
      <c r="A77" s="10" t="inlineStr">
        <is>
          <t>유동부채 합계</t>
        </is>
      </c>
      <c r="C77" s="11" t="n">
        <v>24.3051</v>
      </c>
      <c r="D77" s="11" t="n">
        <v>22.3088</v>
      </c>
      <c r="E77" s="11" t="n">
        <v>23.9989</v>
      </c>
      <c r="F77" s="11" t="n">
        <v>21.4937</v>
      </c>
      <c r="G77" s="11" t="n">
        <v>24.8854</v>
      </c>
      <c r="H77" s="11" t="n">
        <v>22.1867</v>
      </c>
      <c r="I77" s="11" t="n">
        <v>23.9412</v>
      </c>
      <c r="J77" s="11" t="n">
        <v>21.5025</v>
      </c>
      <c r="K77" s="11" t="n">
        <v>25.0074</v>
      </c>
      <c r="L77" s="11" t="n">
        <v>22.3887</v>
      </c>
      <c r="M77" s="11" t="n">
        <v>20.5856</v>
      </c>
      <c r="N77" s="11" t="n">
        <v>20.8504</v>
      </c>
      <c r="O77" s="11" t="n">
        <v>20.0524</v>
      </c>
      <c r="P77" s="11" t="n">
        <v>15.9129</v>
      </c>
      <c r="Q77" s="11" t="n">
        <v>18.6939</v>
      </c>
      <c r="R77" s="11" t="n">
        <v>16.0509</v>
      </c>
      <c r="S77" s="11" t="n">
        <v>19.2567</v>
      </c>
      <c r="T77" s="11" t="n">
        <v>15.9224</v>
      </c>
      <c r="U77" s="11" t="n">
        <v>17.2788</v>
      </c>
      <c r="V77" s="11" t="n">
        <v>12.9887</v>
      </c>
      <c r="W77" s="11" t="n">
        <v>17.8777</v>
      </c>
      <c r="X77" s="11" t="n">
        <v>24.709</v>
      </c>
      <c r="Y77" s="11" t="n">
        <v>20.786</v>
      </c>
      <c r="Z77" s="11" t="n">
        <v>23.1381</v>
      </c>
      <c r="AA77" s="11" t="n">
        <v>21.4937</v>
      </c>
      <c r="AB77" s="11" t="n">
        <v>21.5025</v>
      </c>
      <c r="AC77" s="11" t="n">
        <v>20.8504</v>
      </c>
      <c r="AD77" s="11" t="n">
        <v>16.0509</v>
      </c>
      <c r="AE77" s="11" t="n">
        <v>12.9887</v>
      </c>
    </row>
    <row r="78">
      <c r="A78" s="10" t="inlineStr">
        <is>
          <t>장기차입금</t>
        </is>
      </c>
      <c r="C78" s="11" t="n">
        <v>7.4278</v>
      </c>
      <c r="D78" s="11" t="n">
        <v>6.6751</v>
      </c>
      <c r="E78" s="11" t="n">
        <v>6.049</v>
      </c>
      <c r="F78" s="11" t="n">
        <v>4.9406</v>
      </c>
      <c r="G78" s="11" t="n">
        <v>5.0392</v>
      </c>
      <c r="H78" s="11" t="n">
        <v>4.582</v>
      </c>
      <c r="I78" s="11" t="n">
        <v>4.2236</v>
      </c>
      <c r="J78" s="11" t="n">
        <v>3.4228</v>
      </c>
      <c r="K78" s="11" t="n">
        <v>5.6809</v>
      </c>
      <c r="L78" s="11" t="n">
        <v>5.16</v>
      </c>
      <c r="M78" s="11" t="n">
        <v>4.7175</v>
      </c>
      <c r="N78" s="11" t="n">
        <v>4.1082</v>
      </c>
      <c r="O78" s="11" t="n">
        <v>3.734</v>
      </c>
      <c r="P78" s="11" t="n">
        <v>3.1181</v>
      </c>
      <c r="Q78" s="11" t="n">
        <v>2.4856</v>
      </c>
      <c r="R78" s="11" t="n">
        <v>1.2123</v>
      </c>
      <c r="S78" s="11" t="n">
        <v>1.4607</v>
      </c>
      <c r="T78" s="11" t="n">
        <v>2.8389</v>
      </c>
      <c r="U78" s="11" t="n">
        <v>2.517</v>
      </c>
      <c r="V78" s="11" t="n">
        <v>1.9001</v>
      </c>
      <c r="W78" s="11" t="n">
        <v>7.1895</v>
      </c>
      <c r="X78" s="11" t="n">
        <v>3.3328</v>
      </c>
      <c r="Y78" s="11" t="n">
        <v>5.9932</v>
      </c>
      <c r="Z78" s="11" t="n">
        <v>3.1664</v>
      </c>
      <c r="AA78" s="11" t="n">
        <v>4.9406</v>
      </c>
      <c r="AB78" s="11" t="n">
        <v>3.4228</v>
      </c>
      <c r="AC78" s="11" t="n">
        <v>4.1082</v>
      </c>
      <c r="AD78" s="11" t="n">
        <v>1.2123</v>
      </c>
      <c r="AE78" s="11" t="n">
        <v>1.9001</v>
      </c>
    </row>
    <row r="79">
      <c r="A79" s="10" t="inlineStr">
        <is>
          <t>리스부채</t>
        </is>
      </c>
      <c r="C79" s="11" t="n">
        <v>0.1425</v>
      </c>
      <c r="D79" s="11" t="n">
        <v>0.1268</v>
      </c>
      <c r="E79" s="11" t="n">
        <v>0.1111</v>
      </c>
      <c r="F79" s="11" t="n">
        <v>0.0927</v>
      </c>
      <c r="G79" s="11" t="n">
        <v>0.0824</v>
      </c>
      <c r="H79" s="11" t="n">
        <v>0.0721</v>
      </c>
      <c r="I79" s="11" t="n">
        <v>0.0618</v>
      </c>
      <c r="J79" s="11" t="n">
        <v>0.0515</v>
      </c>
      <c r="K79" s="11" t="n">
        <v>0.0412</v>
      </c>
      <c r="L79" s="11" t="n">
        <v>0.0309</v>
      </c>
      <c r="M79" s="11" t="n">
        <v>0.0206</v>
      </c>
      <c r="N79" s="11" t="n">
        <v>0.0103</v>
      </c>
      <c r="O79" s="11" t="n">
        <v>0</v>
      </c>
      <c r="P79" s="11" t="n">
        <v>0</v>
      </c>
      <c r="Q79" s="11" t="n">
        <v>0</v>
      </c>
      <c r="R79" s="11" t="n">
        <v>0</v>
      </c>
      <c r="W79" s="11" t="n">
        <v>0.2829</v>
      </c>
      <c r="X79" s="11" t="n">
        <v>0.2164</v>
      </c>
      <c r="Y79" s="11" t="n">
        <v>0.2211</v>
      </c>
      <c r="Z79" s="11" t="n">
        <v>0.134</v>
      </c>
      <c r="AA79" s="11" t="n">
        <v>0.0927</v>
      </c>
      <c r="AB79" s="11" t="n">
        <v>0.0515</v>
      </c>
      <c r="AC79" s="11" t="n">
        <v>0.0103</v>
      </c>
      <c r="AD79" s="11" t="n">
        <v>0</v>
      </c>
    </row>
    <row r="80">
      <c r="A80" s="10" t="inlineStr">
        <is>
          <t>퇴직급여충당금</t>
        </is>
      </c>
      <c r="F80" s="11" t="n">
        <v>4.3435</v>
      </c>
      <c r="J80" s="11" t="n">
        <v>4.5716</v>
      </c>
      <c r="N80" s="11" t="n">
        <v>4.6957</v>
      </c>
      <c r="R80" s="11" t="n">
        <v>5.0389</v>
      </c>
      <c r="V80" s="11" t="n">
        <v>5.1961</v>
      </c>
      <c r="W80" s="11" t="n">
        <v>3.4322</v>
      </c>
      <c r="X80" s="11" t="n">
        <v>3.6983</v>
      </c>
      <c r="Y80" s="11" t="n">
        <v>3.8877</v>
      </c>
      <c r="Z80" s="11" t="n">
        <v>4.1244</v>
      </c>
      <c r="AA80" s="11" t="n">
        <v>4.3435</v>
      </c>
      <c r="AB80" s="11" t="n">
        <v>4.5716</v>
      </c>
      <c r="AC80" s="11" t="n">
        <v>4.6957</v>
      </c>
      <c r="AD80" s="11" t="n">
        <v>5.0389</v>
      </c>
      <c r="AE80" s="11" t="n">
        <v>5.1961</v>
      </c>
    </row>
    <row r="81">
      <c r="A81" s="10" t="inlineStr">
        <is>
          <t>임원 퇴직위로 충당금</t>
        </is>
      </c>
      <c r="C81" s="11" t="n">
        <v>0.5261</v>
      </c>
      <c r="D81" s="11" t="n">
        <v>0.5447</v>
      </c>
      <c r="E81" s="11" t="n">
        <v>0.5637</v>
      </c>
      <c r="F81" s="11" t="n">
        <v>0.4939</v>
      </c>
      <c r="G81" s="11" t="n">
        <v>0.6016</v>
      </c>
      <c r="H81" s="11" t="n">
        <v>0.5863</v>
      </c>
      <c r="I81" s="11" t="n">
        <v>0.6052</v>
      </c>
      <c r="J81" s="11" t="n">
        <v>0.5299</v>
      </c>
      <c r="K81" s="11" t="n">
        <v>0.6431</v>
      </c>
      <c r="L81" s="11" t="n">
        <v>0.5131</v>
      </c>
      <c r="M81" s="11" t="n">
        <v>0.5358000000000001</v>
      </c>
      <c r="N81" s="11" t="n">
        <v>0.5580000000000001</v>
      </c>
      <c r="O81" s="11" t="n">
        <v>0.5809</v>
      </c>
      <c r="P81" s="11" t="n">
        <v>0.603</v>
      </c>
      <c r="Q81" s="11" t="n">
        <v>0.6258</v>
      </c>
      <c r="R81" s="11" t="n">
        <v>0.543</v>
      </c>
      <c r="S81" s="11" t="n">
        <v>0.6709000000000001</v>
      </c>
      <c r="T81" s="11" t="n">
        <v>0.6931</v>
      </c>
      <c r="U81" s="11" t="n">
        <v>0.7158</v>
      </c>
      <c r="V81" s="11" t="n">
        <v>0.6274999999999999</v>
      </c>
      <c r="W81" s="11" t="n">
        <v>0.4069</v>
      </c>
      <c r="X81" s="11" t="n">
        <v>0.2909</v>
      </c>
      <c r="Y81" s="11" t="n">
        <v>0.4314</v>
      </c>
      <c r="Z81" s="11" t="n">
        <v>0.4239</v>
      </c>
      <c r="AA81" s="11" t="n">
        <v>0.4939</v>
      </c>
      <c r="AB81" s="11" t="n">
        <v>0.5299</v>
      </c>
      <c r="AC81" s="11" t="n">
        <v>0.5580000000000001</v>
      </c>
      <c r="AD81" s="11" t="n">
        <v>0.543</v>
      </c>
      <c r="AE81" s="11" t="n">
        <v>0.6274999999999999</v>
      </c>
    </row>
    <row r="82">
      <c r="A82" s="10" t="inlineStr">
        <is>
          <t>자산복구부채</t>
        </is>
      </c>
      <c r="W82" s="11" t="n">
        <v>0.0462</v>
      </c>
      <c r="X82" s="11" t="n">
        <v>0.0469</v>
      </c>
      <c r="Y82" s="11" t="n">
        <v>0</v>
      </c>
    </row>
    <row r="83">
      <c r="A83" s="10" t="inlineStr">
        <is>
          <t>기타</t>
        </is>
      </c>
      <c r="C83" s="11" t="n">
        <v>0.064</v>
      </c>
      <c r="D83" s="11" t="n">
        <v>0.064</v>
      </c>
      <c r="E83" s="11" t="n">
        <v>0.064</v>
      </c>
      <c r="F83" s="11" t="n">
        <v>0.064</v>
      </c>
      <c r="G83" s="11" t="n">
        <v>0.064</v>
      </c>
      <c r="H83" s="11" t="n">
        <v>0</v>
      </c>
      <c r="I83" s="11" t="n">
        <v>0</v>
      </c>
      <c r="J83" s="11" t="n">
        <v>0</v>
      </c>
      <c r="W83" s="11" t="n">
        <v>0.0071</v>
      </c>
      <c r="X83" s="11" t="n">
        <v>0.064</v>
      </c>
      <c r="Y83" s="11" t="n">
        <v>0.0711</v>
      </c>
      <c r="Z83" s="11" t="n">
        <v>0.064</v>
      </c>
      <c r="AA83" s="11" t="n">
        <v>0.064</v>
      </c>
      <c r="AB83" s="11" t="n">
        <v>0</v>
      </c>
    </row>
    <row r="84">
      <c r="A84" s="10" t="inlineStr">
        <is>
          <t>퇴직급여부채</t>
        </is>
      </c>
      <c r="C84" s="11" t="n">
        <v>4.2298</v>
      </c>
      <c r="D84" s="11" t="n">
        <v>4.3166</v>
      </c>
      <c r="E84" s="11" t="n">
        <v>4.3711</v>
      </c>
      <c r="F84" s="11" t="n">
        <v>4.3435</v>
      </c>
      <c r="G84" s="11" t="n">
        <v>4.423</v>
      </c>
      <c r="H84" s="11" t="n">
        <v>4.4308</v>
      </c>
      <c r="I84" s="11" t="n">
        <v>4.4972</v>
      </c>
      <c r="J84" s="11" t="n">
        <v>4.5716</v>
      </c>
      <c r="K84" s="11" t="n">
        <v>4.6505</v>
      </c>
      <c r="L84" s="11" t="n">
        <v>4.6121</v>
      </c>
      <c r="M84" s="11" t="n">
        <v>4.6532</v>
      </c>
      <c r="N84" s="11" t="n">
        <v>4.6957</v>
      </c>
      <c r="O84" s="11" t="n">
        <v>4.7981</v>
      </c>
      <c r="P84" s="11" t="n">
        <v>4.8599</v>
      </c>
      <c r="Q84" s="11" t="n">
        <v>4.937</v>
      </c>
      <c r="R84" s="11" t="n">
        <v>5.0389</v>
      </c>
      <c r="S84" s="11" t="n">
        <v>5.0637</v>
      </c>
      <c r="T84" s="11" t="n">
        <v>5.1522</v>
      </c>
      <c r="U84" s="11" t="n">
        <v>5.1901</v>
      </c>
      <c r="V84" s="11" t="n">
        <v>5.1961</v>
      </c>
      <c r="W84" s="11" t="n">
        <v>3.4322</v>
      </c>
      <c r="X84" s="11" t="n">
        <v>3.6983</v>
      </c>
      <c r="Y84" s="11" t="n">
        <v>3.8877</v>
      </c>
      <c r="Z84" s="11" t="n">
        <v>4.1244</v>
      </c>
      <c r="AA84" s="11" t="n">
        <v>4.3435</v>
      </c>
      <c r="AB84" s="11" t="n">
        <v>4.5716</v>
      </c>
      <c r="AC84" s="11" t="n">
        <v>4.6957</v>
      </c>
      <c r="AD84" s="11" t="n">
        <v>5.0389</v>
      </c>
      <c r="AE84" s="11" t="n">
        <v>5.1961</v>
      </c>
    </row>
    <row r="85">
      <c r="A85" s="10" t="inlineStr">
        <is>
          <t>비유동부채 합계</t>
        </is>
      </c>
      <c r="C85" s="11" t="n">
        <v>12.3902</v>
      </c>
      <c r="D85" s="11" t="n">
        <v>11.7272</v>
      </c>
      <c r="E85" s="11" t="n">
        <v>11.1589</v>
      </c>
      <c r="F85" s="11" t="n">
        <v>9.934799999999999</v>
      </c>
      <c r="G85" s="11" t="n">
        <v>10.2103</v>
      </c>
      <c r="H85" s="11" t="n">
        <v>9.671200000000001</v>
      </c>
      <c r="I85" s="11" t="n">
        <v>9.3879</v>
      </c>
      <c r="J85" s="11" t="n">
        <v>8.575799999999999</v>
      </c>
      <c r="K85" s="11" t="n">
        <v>11.0156</v>
      </c>
      <c r="L85" s="11" t="n">
        <v>10.3161</v>
      </c>
      <c r="M85" s="11" t="n">
        <v>9.927099999999999</v>
      </c>
      <c r="N85" s="11" t="n">
        <v>9.372199999999999</v>
      </c>
      <c r="O85" s="11" t="n">
        <v>9.113099999999999</v>
      </c>
      <c r="P85" s="11" t="n">
        <v>8.581099999999999</v>
      </c>
      <c r="Q85" s="11" t="n">
        <v>8.048500000000001</v>
      </c>
      <c r="R85" s="11" t="n">
        <v>6.7942</v>
      </c>
      <c r="S85" s="11" t="n">
        <v>7.1953</v>
      </c>
      <c r="T85" s="11" t="n">
        <v>8.684100000000001</v>
      </c>
      <c r="U85" s="11" t="n">
        <v>8.4229</v>
      </c>
      <c r="V85" s="11" t="n">
        <v>7.7237</v>
      </c>
      <c r="W85" s="11" t="n">
        <v>11.3648</v>
      </c>
      <c r="X85" s="11" t="n">
        <v>7.6494</v>
      </c>
      <c r="Y85" s="11" t="n">
        <v>10.6045</v>
      </c>
      <c r="Z85" s="11" t="n">
        <v>7.9127</v>
      </c>
      <c r="AA85" s="11" t="n">
        <v>9.934799999999999</v>
      </c>
      <c r="AB85" s="11" t="n">
        <v>8.575799999999999</v>
      </c>
      <c r="AC85" s="11" t="n">
        <v>9.372199999999999</v>
      </c>
      <c r="AD85" s="11" t="n">
        <v>6.7942</v>
      </c>
      <c r="AE85" s="11" t="n">
        <v>7.7237</v>
      </c>
    </row>
    <row r="86">
      <c r="A86" s="10" t="inlineStr">
        <is>
          <t>부채 합계</t>
        </is>
      </c>
      <c r="C86" s="11" t="n">
        <v>36.6953</v>
      </c>
      <c r="D86" s="11" t="n">
        <v>34.0361</v>
      </c>
      <c r="E86" s="11" t="n">
        <v>35.1578</v>
      </c>
      <c r="F86" s="11" t="n">
        <v>31.4285</v>
      </c>
      <c r="G86" s="11" t="n">
        <v>35.0957</v>
      </c>
      <c r="H86" s="11" t="n">
        <v>31.8579</v>
      </c>
      <c r="I86" s="11" t="n">
        <v>33.3292</v>
      </c>
      <c r="J86" s="11" t="n">
        <v>30.0784</v>
      </c>
      <c r="K86" s="11" t="n">
        <v>36.023</v>
      </c>
      <c r="L86" s="11" t="n">
        <v>32.7048</v>
      </c>
      <c r="M86" s="11" t="n">
        <v>30.5127</v>
      </c>
      <c r="N86" s="11" t="n">
        <v>30.2227</v>
      </c>
      <c r="O86" s="11" t="n">
        <v>29.1654</v>
      </c>
      <c r="P86" s="11" t="n">
        <v>24.494</v>
      </c>
      <c r="Q86" s="11" t="n">
        <v>26.7423</v>
      </c>
      <c r="R86" s="11" t="n">
        <v>22.845</v>
      </c>
      <c r="S86" s="11" t="n">
        <v>26.452</v>
      </c>
      <c r="T86" s="11" t="n">
        <v>24.6065</v>
      </c>
      <c r="U86" s="11" t="n">
        <v>25.7018</v>
      </c>
      <c r="V86" s="11" t="n">
        <v>20.7124</v>
      </c>
      <c r="W86" s="11" t="n">
        <v>29.2425</v>
      </c>
      <c r="X86" s="11" t="n">
        <v>32.3584</v>
      </c>
      <c r="Y86" s="11" t="n">
        <v>31.3904</v>
      </c>
      <c r="Z86" s="11" t="n">
        <v>31.0507</v>
      </c>
      <c r="AA86" s="11" t="n">
        <v>31.4285</v>
      </c>
      <c r="AB86" s="11" t="n">
        <v>30.0784</v>
      </c>
      <c r="AC86" s="11" t="n">
        <v>30.2227</v>
      </c>
      <c r="AD86" s="11" t="n">
        <v>22.845</v>
      </c>
      <c r="AE86" s="11" t="n">
        <v>20.7124</v>
      </c>
    </row>
    <row r="87">
      <c r="A87" s="10" t="inlineStr">
        <is>
          <t>자본금</t>
        </is>
      </c>
      <c r="C87" s="11" t="n">
        <v>8.7875</v>
      </c>
      <c r="D87" s="11" t="n">
        <v>8.7875</v>
      </c>
      <c r="E87" s="11" t="n">
        <v>8.7875</v>
      </c>
      <c r="F87" s="11" t="n">
        <v>8.7875</v>
      </c>
      <c r="G87" s="11" t="n">
        <v>8.7875</v>
      </c>
      <c r="H87" s="11" t="n">
        <v>8.7875</v>
      </c>
      <c r="I87" s="11" t="n">
        <v>8.7875</v>
      </c>
      <c r="J87" s="11" t="n">
        <v>8.7875</v>
      </c>
      <c r="K87" s="11" t="n">
        <v>8.7875</v>
      </c>
      <c r="L87" s="11" t="n">
        <v>8.7875</v>
      </c>
      <c r="M87" s="11" t="n">
        <v>8.7875</v>
      </c>
      <c r="N87" s="11" t="n">
        <v>8.7875</v>
      </c>
      <c r="O87" s="11" t="n">
        <v>8.7875</v>
      </c>
      <c r="P87" s="11" t="n">
        <v>8.7875</v>
      </c>
      <c r="Q87" s="11" t="n">
        <v>8.7875</v>
      </c>
      <c r="R87" s="11" t="n">
        <v>8.7875</v>
      </c>
      <c r="S87" s="11" t="n">
        <v>8.7875</v>
      </c>
      <c r="T87" s="11" t="n">
        <v>8.7875</v>
      </c>
      <c r="U87" s="11" t="n">
        <v>8.7875</v>
      </c>
      <c r="V87" s="11" t="n">
        <v>8.7875</v>
      </c>
      <c r="W87" s="11" t="n">
        <v>8.7875</v>
      </c>
      <c r="X87" s="11" t="n">
        <v>8.7875</v>
      </c>
      <c r="Y87" s="11" t="n">
        <v>8.7875</v>
      </c>
      <c r="Z87" s="11" t="n">
        <v>8.7875</v>
      </c>
      <c r="AA87" s="11" t="n">
        <v>8.7875</v>
      </c>
      <c r="AB87" s="11" t="n">
        <v>8.7875</v>
      </c>
      <c r="AC87" s="11" t="n">
        <v>8.7875</v>
      </c>
      <c r="AD87" s="11" t="n">
        <v>8.7875</v>
      </c>
      <c r="AE87" s="11" t="n">
        <v>8.7875</v>
      </c>
    </row>
    <row r="88">
      <c r="A88" s="10" t="inlineStr">
        <is>
          <t>기타자본잉여금</t>
        </is>
      </c>
      <c r="F88" s="11" t="n">
        <v>9.630000000000001</v>
      </c>
      <c r="J88" s="11" t="n">
        <v>9.630000000000001</v>
      </c>
      <c r="N88" s="11" t="n">
        <v>9.630000000000001</v>
      </c>
      <c r="R88" s="11" t="n">
        <v>9.630000000000001</v>
      </c>
      <c r="V88" s="11" t="n">
        <v>9.630000000000001</v>
      </c>
      <c r="W88" s="11" t="n">
        <v>9.630000000000001</v>
      </c>
      <c r="X88" s="11" t="n">
        <v>9.630000000000001</v>
      </c>
      <c r="Y88" s="11" t="n">
        <v>9.630000000000001</v>
      </c>
      <c r="Z88" s="11" t="n">
        <v>9.630000000000001</v>
      </c>
      <c r="AA88" s="11" t="n">
        <v>9.630000000000001</v>
      </c>
      <c r="AB88" s="11" t="n">
        <v>9.630000000000001</v>
      </c>
      <c r="AC88" s="11" t="n">
        <v>9.630000000000001</v>
      </c>
      <c r="AD88" s="11" t="n">
        <v>9.630000000000001</v>
      </c>
      <c r="AE88" s="11" t="n">
        <v>9.630000000000001</v>
      </c>
    </row>
    <row r="89">
      <c r="A89" s="10" t="inlineStr">
        <is>
          <t>자본잉여금 합계</t>
        </is>
      </c>
      <c r="C89" s="11" t="n">
        <v>9.630000000000001</v>
      </c>
      <c r="D89" s="11" t="n">
        <v>9.630000000000001</v>
      </c>
      <c r="E89" s="11" t="n">
        <v>9.630000000000001</v>
      </c>
      <c r="F89" s="11" t="n">
        <v>9.630000000000001</v>
      </c>
      <c r="G89" s="11" t="n">
        <v>9.630000000000001</v>
      </c>
      <c r="H89" s="11" t="n">
        <v>9.630000000000001</v>
      </c>
      <c r="I89" s="11" t="n">
        <v>9.630000000000001</v>
      </c>
      <c r="J89" s="11" t="n">
        <v>9.630000000000001</v>
      </c>
      <c r="K89" s="11" t="n">
        <v>9.630000000000001</v>
      </c>
      <c r="L89" s="11" t="n">
        <v>9.630000000000001</v>
      </c>
      <c r="M89" s="11" t="n">
        <v>9.630000000000001</v>
      </c>
      <c r="N89" s="11" t="n">
        <v>9.930899999999999</v>
      </c>
      <c r="O89" s="11" t="n">
        <v>9.930899999999999</v>
      </c>
      <c r="P89" s="11" t="n">
        <v>9.930899999999999</v>
      </c>
      <c r="Q89" s="11" t="n">
        <v>9.930899999999999</v>
      </c>
      <c r="R89" s="11" t="n">
        <v>9.630000000000001</v>
      </c>
      <c r="S89" s="11" t="n">
        <v>9.930899999999999</v>
      </c>
      <c r="T89" s="11" t="n">
        <v>9.930899999999999</v>
      </c>
      <c r="U89" s="11" t="n">
        <v>9.930899999999999</v>
      </c>
      <c r="V89" s="11" t="n">
        <v>9.630000000000001</v>
      </c>
      <c r="W89" s="11" t="n">
        <v>9.630000000000001</v>
      </c>
      <c r="X89" s="11" t="n">
        <v>9.630000000000001</v>
      </c>
      <c r="Y89" s="11" t="n">
        <v>9.630000000000001</v>
      </c>
      <c r="Z89" s="11" t="n">
        <v>9.630000000000001</v>
      </c>
      <c r="AA89" s="11" t="n">
        <v>9.630000000000001</v>
      </c>
      <c r="AB89" s="11" t="n">
        <v>9.630000000000001</v>
      </c>
      <c r="AC89" s="11" t="n">
        <v>9.930899999999999</v>
      </c>
      <c r="AD89" s="11" t="n">
        <v>9.630000000000001</v>
      </c>
      <c r="AE89" s="11" t="n">
        <v>9.630000000000001</v>
      </c>
    </row>
    <row r="90">
      <c r="A90" s="10" t="inlineStr">
        <is>
          <t>이익준비금</t>
        </is>
      </c>
      <c r="F90" s="11" t="n">
        <v>0.601</v>
      </c>
      <c r="J90" s="11" t="n">
        <v>0.6717</v>
      </c>
      <c r="N90" s="11" t="n">
        <v>0.7849</v>
      </c>
      <c r="R90" s="11" t="n">
        <v>0.8769</v>
      </c>
      <c r="V90" s="11" t="n">
        <v>0.9689</v>
      </c>
      <c r="W90" s="11" t="n">
        <v>0.4219</v>
      </c>
      <c r="X90" s="11" t="n">
        <v>0.4651</v>
      </c>
      <c r="Y90" s="11" t="n">
        <v>0.5076000000000001</v>
      </c>
      <c r="Z90" s="11" t="n">
        <v>0.5501</v>
      </c>
      <c r="AA90" s="11" t="n">
        <v>0.601</v>
      </c>
      <c r="AB90" s="11" t="n">
        <v>0.6717</v>
      </c>
      <c r="AC90" s="11" t="n">
        <v>0.7849</v>
      </c>
      <c r="AD90" s="11" t="n">
        <v>0.8769</v>
      </c>
      <c r="AE90" s="11" t="n">
        <v>0.9689</v>
      </c>
    </row>
    <row r="91">
      <c r="A91" s="10" t="inlineStr">
        <is>
          <t>고정자산 압축적립금</t>
        </is>
      </c>
      <c r="F91" s="11" t="n">
        <v>0.3987</v>
      </c>
      <c r="J91" s="11" t="n">
        <v>0.3041</v>
      </c>
      <c r="N91" s="11" t="n">
        <v>0.2139</v>
      </c>
      <c r="R91" s="11" t="n">
        <v>0.1301</v>
      </c>
      <c r="V91" s="11" t="n">
        <v>0.1117</v>
      </c>
      <c r="W91" s="11" t="n">
        <v>0.5844</v>
      </c>
      <c r="X91" s="11" t="n">
        <v>0.4555</v>
      </c>
      <c r="Y91" s="11" t="n">
        <v>0.6156</v>
      </c>
      <c r="Z91" s="11" t="n">
        <v>0.4989</v>
      </c>
      <c r="AA91" s="11" t="n">
        <v>0.3987</v>
      </c>
      <c r="AB91" s="11" t="n">
        <v>0.3041</v>
      </c>
      <c r="AC91" s="11" t="n">
        <v>0.2139</v>
      </c>
      <c r="AD91" s="11" t="n">
        <v>0.1301</v>
      </c>
      <c r="AE91" s="11" t="n">
        <v>0.1117</v>
      </c>
    </row>
    <row r="92">
      <c r="A92" s="10" t="inlineStr">
        <is>
          <t>별도적립금</t>
        </is>
      </c>
      <c r="F92" s="11" t="n">
        <v>54.39</v>
      </c>
      <c r="J92" s="11" t="n">
        <v>54.39</v>
      </c>
      <c r="N92" s="11" t="n">
        <v>54.39</v>
      </c>
      <c r="R92" s="11" t="n">
        <v>54.39</v>
      </c>
      <c r="V92" s="11" t="n">
        <v>54.39</v>
      </c>
      <c r="W92" s="11" t="n">
        <v>54.39</v>
      </c>
      <c r="X92" s="11" t="n">
        <v>54.39</v>
      </c>
      <c r="Y92" s="11" t="n">
        <v>54.39</v>
      </c>
      <c r="Z92" s="11" t="n">
        <v>54.39</v>
      </c>
      <c r="AA92" s="11" t="n">
        <v>54.39</v>
      </c>
      <c r="AB92" s="11" t="n">
        <v>54.39</v>
      </c>
      <c r="AC92" s="11" t="n">
        <v>54.39</v>
      </c>
      <c r="AD92" s="11" t="n">
        <v>54.39</v>
      </c>
      <c r="AE92" s="11" t="n">
        <v>54.39</v>
      </c>
    </row>
    <row r="93">
      <c r="A93" s="10" t="inlineStr">
        <is>
          <t>이월이익잉여금</t>
        </is>
      </c>
      <c r="F93" s="11" t="n">
        <v>15.7526</v>
      </c>
      <c r="J93" s="11" t="n">
        <v>19.3829</v>
      </c>
      <c r="N93" s="11" t="n">
        <v>21.3237</v>
      </c>
      <c r="R93" s="11" t="n">
        <v>23.0315</v>
      </c>
      <c r="V93" s="11" t="n">
        <v>27.1376</v>
      </c>
      <c r="W93" s="11" t="n">
        <v>8.3786</v>
      </c>
      <c r="X93" s="11" t="n">
        <v>8.9086</v>
      </c>
      <c r="Y93" s="11" t="n">
        <v>10.0397</v>
      </c>
      <c r="Z93" s="11" t="n">
        <v>12.3162</v>
      </c>
      <c r="AA93" s="11" t="n">
        <v>15.7526</v>
      </c>
      <c r="AB93" s="11" t="n">
        <v>19.3829</v>
      </c>
      <c r="AC93" s="11" t="n">
        <v>21.3237</v>
      </c>
      <c r="AD93" s="11" t="n">
        <v>23.0315</v>
      </c>
      <c r="AE93" s="11" t="n">
        <v>27.1376</v>
      </c>
    </row>
    <row r="94">
      <c r="A94" s="10" t="inlineStr">
        <is>
          <t>이익잉여금 합계</t>
        </is>
      </c>
      <c r="C94" s="11" t="n">
        <v>75.9432</v>
      </c>
      <c r="D94" s="11" t="n">
        <v>77.1146</v>
      </c>
      <c r="E94" s="11" t="n">
        <v>77.5444</v>
      </c>
      <c r="F94" s="11" t="n">
        <v>71.14230000000001</v>
      </c>
      <c r="G94" s="11" t="n">
        <v>78.6895</v>
      </c>
      <c r="H94" s="11" t="n">
        <v>79.5722</v>
      </c>
      <c r="I94" s="11" t="n">
        <v>81.06910000000001</v>
      </c>
      <c r="J94" s="11" t="n">
        <v>74.7488</v>
      </c>
      <c r="K94" s="11" t="n">
        <v>81.8613</v>
      </c>
      <c r="L94" s="11" t="n">
        <v>82.7099</v>
      </c>
      <c r="M94" s="11" t="n">
        <v>84.31999999999999</v>
      </c>
      <c r="N94" s="11" t="n">
        <v>84.9585</v>
      </c>
      <c r="O94" s="11" t="n">
        <v>84.86620000000001</v>
      </c>
      <c r="P94" s="11" t="n">
        <v>85.3608</v>
      </c>
      <c r="Q94" s="11" t="n">
        <v>86.89619999999999</v>
      </c>
      <c r="R94" s="11" t="n">
        <v>78.4285</v>
      </c>
      <c r="S94" s="11" t="n">
        <v>87.0252</v>
      </c>
      <c r="T94" s="11" t="n">
        <v>88.5836</v>
      </c>
      <c r="U94" s="11" t="n">
        <v>90.8687</v>
      </c>
      <c r="V94" s="11" t="n">
        <v>82.6082</v>
      </c>
      <c r="W94" s="11" t="n">
        <v>69.91289999999999</v>
      </c>
      <c r="X94" s="11" t="n">
        <v>64.2192</v>
      </c>
      <c r="Y94" s="11" t="n">
        <v>71.599</v>
      </c>
      <c r="Z94" s="11" t="n">
        <v>67.7551</v>
      </c>
      <c r="AA94" s="11" t="n">
        <v>71.14230000000001</v>
      </c>
      <c r="AB94" s="11" t="n">
        <v>74.7488</v>
      </c>
      <c r="AC94" s="11" t="n">
        <v>84.9585</v>
      </c>
      <c r="AD94" s="11" t="n">
        <v>78.4285</v>
      </c>
      <c r="AE94" s="11" t="n">
        <v>82.6082</v>
      </c>
    </row>
    <row r="95">
      <c r="A95" s="10" t="inlineStr">
        <is>
          <t>자기주식</t>
        </is>
      </c>
      <c r="C95" s="11" t="n">
        <v>-3.5079</v>
      </c>
      <c r="D95" s="11" t="n">
        <v>-3.5079</v>
      </c>
      <c r="E95" s="11" t="n">
        <v>-3.5079</v>
      </c>
      <c r="F95" s="11" t="n">
        <v>-3.5088</v>
      </c>
      <c r="G95" s="11" t="n">
        <v>-3.5104</v>
      </c>
      <c r="H95" s="11" t="n">
        <v>-3.5104</v>
      </c>
      <c r="I95" s="11" t="n">
        <v>-3.5104</v>
      </c>
      <c r="J95" s="11" t="n">
        <v>-3.5109</v>
      </c>
      <c r="K95" s="11" t="n">
        <v>-3.5109</v>
      </c>
      <c r="L95" s="11" t="n">
        <v>-3.5109</v>
      </c>
      <c r="M95" s="11" t="n">
        <v>-3.5109</v>
      </c>
      <c r="N95" s="11" t="n">
        <v>-3.5109</v>
      </c>
      <c r="O95" s="11" t="n">
        <v>-3.5109</v>
      </c>
      <c r="P95" s="11" t="n">
        <v>-3.5109</v>
      </c>
      <c r="Q95" s="11" t="n">
        <v>-3.5109</v>
      </c>
      <c r="R95" s="11" t="n">
        <v>-3.5109</v>
      </c>
      <c r="S95" s="11" t="n">
        <v>-3.5109</v>
      </c>
      <c r="T95" s="11" t="n">
        <v>-3.5109</v>
      </c>
      <c r="U95" s="11" t="n">
        <v>-3.5119</v>
      </c>
      <c r="V95" s="11" t="n">
        <v>-3.5119</v>
      </c>
      <c r="W95" s="11" t="n">
        <v>-3.0697</v>
      </c>
      <c r="X95" s="11" t="n">
        <v>-3.5061</v>
      </c>
      <c r="Y95" s="11" t="n">
        <v>-3.5079</v>
      </c>
      <c r="Z95" s="11" t="n">
        <v>-3.5079</v>
      </c>
      <c r="AA95" s="11" t="n">
        <v>-3.5088</v>
      </c>
      <c r="AB95" s="11" t="n">
        <v>-3.5109</v>
      </c>
      <c r="AC95" s="11" t="n">
        <v>-3.5109</v>
      </c>
      <c r="AD95" s="11" t="n">
        <v>-3.5109</v>
      </c>
      <c r="AE95" s="11" t="n">
        <v>-3.5119</v>
      </c>
    </row>
    <row r="96">
      <c r="A96" s="10" t="inlineStr">
        <is>
          <t>주주자본 합계</t>
        </is>
      </c>
      <c r="C96" s="11" t="n">
        <v>90.8528</v>
      </c>
      <c r="D96" s="11" t="n">
        <v>92.02419999999999</v>
      </c>
      <c r="E96" s="11" t="n">
        <v>92.4541</v>
      </c>
      <c r="F96" s="11" t="n">
        <v>86.0509</v>
      </c>
      <c r="G96" s="11" t="n">
        <v>93.5966</v>
      </c>
      <c r="H96" s="11" t="n">
        <v>94.47929999999999</v>
      </c>
      <c r="I96" s="11" t="n">
        <v>95.97620000000001</v>
      </c>
      <c r="J96" s="11" t="n">
        <v>89.6554</v>
      </c>
      <c r="K96" s="11" t="n">
        <v>96.7679</v>
      </c>
      <c r="L96" s="11" t="n">
        <v>97.6165</v>
      </c>
      <c r="M96" s="11" t="n">
        <v>99.22669999999999</v>
      </c>
      <c r="N96" s="11" t="n">
        <v>100.166</v>
      </c>
      <c r="O96" s="11" t="n">
        <v>100.0738</v>
      </c>
      <c r="P96" s="11" t="n">
        <v>100.5683</v>
      </c>
      <c r="Q96" s="11" t="n">
        <v>102.1038</v>
      </c>
      <c r="R96" s="11" t="n">
        <v>93.3352</v>
      </c>
      <c r="S96" s="11" t="n">
        <v>102.2327</v>
      </c>
      <c r="T96" s="11" t="n">
        <v>103.7911</v>
      </c>
      <c r="U96" s="11" t="n">
        <v>106.0751</v>
      </c>
      <c r="V96" s="11" t="n">
        <v>97.5138</v>
      </c>
      <c r="W96" s="11" t="n">
        <v>85.2607</v>
      </c>
      <c r="X96" s="11" t="n">
        <v>79.1306</v>
      </c>
      <c r="Y96" s="11" t="n">
        <v>86.5086</v>
      </c>
      <c r="Z96" s="11" t="n">
        <v>82.6647</v>
      </c>
      <c r="AA96" s="11" t="n">
        <v>86.0509</v>
      </c>
      <c r="AB96" s="11" t="n">
        <v>89.6554</v>
      </c>
      <c r="AC96" s="11" t="n">
        <v>100.166</v>
      </c>
      <c r="AD96" s="11" t="n">
        <v>93.3352</v>
      </c>
      <c r="AE96" s="11" t="n">
        <v>97.5138</v>
      </c>
    </row>
    <row r="97">
      <c r="A97" s="10" t="inlineStr">
        <is>
          <t>기타유가증권 평가차액</t>
        </is>
      </c>
      <c r="C97" s="11" t="n">
        <v>0.304</v>
      </c>
      <c r="D97" s="11" t="n">
        <v>0.4222</v>
      </c>
      <c r="E97" s="11" t="n">
        <v>0.5113</v>
      </c>
      <c r="F97" s="11" t="n">
        <v>0.5489000000000001</v>
      </c>
      <c r="G97" s="11" t="n">
        <v>0.5624</v>
      </c>
      <c r="H97" s="11" t="n">
        <v>0.6936</v>
      </c>
      <c r="I97" s="11" t="n">
        <v>0.5682</v>
      </c>
      <c r="J97" s="11" t="n">
        <v>0.7804</v>
      </c>
      <c r="K97" s="11" t="n">
        <v>0.8652</v>
      </c>
      <c r="L97" s="11" t="n">
        <v>0.9598</v>
      </c>
      <c r="M97" s="11" t="n">
        <v>1.0773</v>
      </c>
      <c r="N97" s="11" t="n">
        <v>0.9998</v>
      </c>
      <c r="O97" s="11" t="n">
        <v>0.9715</v>
      </c>
      <c r="P97" s="11" t="n">
        <v>1.1599</v>
      </c>
      <c r="Q97" s="11" t="n">
        <v>1.3397</v>
      </c>
      <c r="R97" s="11" t="n">
        <v>1.6328</v>
      </c>
      <c r="S97" s="11" t="n">
        <v>1.9211</v>
      </c>
      <c r="T97" s="11" t="n">
        <v>2.5587</v>
      </c>
      <c r="U97" s="11" t="n">
        <v>2.2375</v>
      </c>
      <c r="V97" s="11" t="n">
        <v>2.4837</v>
      </c>
      <c r="W97" s="11" t="n">
        <v>0.4942</v>
      </c>
      <c r="X97" s="11" t="n">
        <v>0.4092</v>
      </c>
      <c r="Y97" s="11" t="n">
        <v>0.3218</v>
      </c>
      <c r="Z97" s="11" t="n">
        <v>0.448</v>
      </c>
      <c r="AA97" s="11" t="n">
        <v>0.5489000000000001</v>
      </c>
      <c r="AB97" s="11" t="n">
        <v>0.7804</v>
      </c>
      <c r="AC97" s="11" t="n">
        <v>0.9998</v>
      </c>
      <c r="AD97" s="11" t="n">
        <v>1.6328</v>
      </c>
      <c r="AE97" s="11" t="n">
        <v>2.4837</v>
      </c>
    </row>
    <row r="98">
      <c r="A98" s="10" t="inlineStr">
        <is>
          <t>해외사업환산조정</t>
        </is>
      </c>
      <c r="C98" s="11" t="n">
        <v>-0.374</v>
      </c>
      <c r="D98" s="11" t="n">
        <v>-0.1037</v>
      </c>
      <c r="E98" s="11" t="n">
        <v>0.3704</v>
      </c>
      <c r="F98" s="11" t="n">
        <v>0.7823</v>
      </c>
      <c r="G98" s="11" t="n">
        <v>0.6531</v>
      </c>
      <c r="H98" s="11" t="n">
        <v>0.5896</v>
      </c>
      <c r="I98" s="11" t="n">
        <v>0.8057</v>
      </c>
      <c r="J98" s="11" t="n">
        <v>1.2875</v>
      </c>
      <c r="K98" s="11" t="n">
        <v>1.3753</v>
      </c>
      <c r="L98" s="11" t="n">
        <v>1.3924</v>
      </c>
      <c r="M98" s="11" t="n">
        <v>1.6817</v>
      </c>
      <c r="N98" s="11" t="n">
        <v>2.0173</v>
      </c>
      <c r="O98" s="11" t="n">
        <v>1.8471</v>
      </c>
      <c r="P98" s="11" t="n">
        <v>2.3188</v>
      </c>
      <c r="Q98" s="11" t="n">
        <v>1.8878</v>
      </c>
      <c r="R98" s="11" t="n">
        <v>1.9978</v>
      </c>
      <c r="S98" s="11" t="n">
        <v>2.3453</v>
      </c>
      <c r="T98" s="11" t="n">
        <v>3.0549</v>
      </c>
      <c r="U98" s="11" t="n">
        <v>2.9562</v>
      </c>
      <c r="V98" s="11" t="n">
        <v>3.0569</v>
      </c>
      <c r="W98" s="11" t="n">
        <v>-0.6079</v>
      </c>
      <c r="X98" s="11" t="n">
        <v>-0.6057</v>
      </c>
      <c r="Y98" s="11" t="n">
        <v>-0.6338</v>
      </c>
      <c r="Z98" s="11" t="n">
        <v>-0.2805</v>
      </c>
      <c r="AA98" s="11" t="n">
        <v>0.7823</v>
      </c>
      <c r="AB98" s="11" t="n">
        <v>1.2875</v>
      </c>
      <c r="AC98" s="11" t="n">
        <v>2.0173</v>
      </c>
      <c r="AD98" s="11" t="n">
        <v>1.9978</v>
      </c>
      <c r="AE98" s="11" t="n">
        <v>3.0569</v>
      </c>
    </row>
    <row r="99">
      <c r="A99" s="10" t="inlineStr">
        <is>
          <t>평가·환산차액 합계</t>
        </is>
      </c>
      <c r="C99" s="11" t="n">
        <v>-0.07000000000000001</v>
      </c>
      <c r="D99" s="11" t="n">
        <v>0.3184</v>
      </c>
      <c r="E99" s="11" t="n">
        <v>0.8817</v>
      </c>
      <c r="F99" s="11" t="n">
        <v>0.5489000000000001</v>
      </c>
      <c r="G99" s="11" t="n">
        <v>1.2156</v>
      </c>
      <c r="H99" s="11" t="n">
        <v>1.2833</v>
      </c>
      <c r="I99" s="11" t="n">
        <v>1.3739</v>
      </c>
      <c r="J99" s="11" t="n">
        <v>0.7804</v>
      </c>
      <c r="K99" s="11" t="n">
        <v>2.2405</v>
      </c>
      <c r="L99" s="11" t="n">
        <v>2.3522</v>
      </c>
      <c r="M99" s="11" t="n">
        <v>2.759</v>
      </c>
      <c r="N99" s="11" t="n">
        <v>3.0171</v>
      </c>
      <c r="O99" s="11" t="n">
        <v>2.8186</v>
      </c>
      <c r="P99" s="11" t="n">
        <v>3.4787</v>
      </c>
      <c r="Q99" s="11" t="n">
        <v>3.2275</v>
      </c>
      <c r="R99" s="11" t="n">
        <v>1.6328</v>
      </c>
      <c r="S99" s="11" t="n">
        <v>4.2664</v>
      </c>
      <c r="T99" s="11" t="n">
        <v>5.6136</v>
      </c>
      <c r="U99" s="11" t="n">
        <v>5.1936</v>
      </c>
      <c r="V99" s="11" t="n">
        <v>2.4837</v>
      </c>
      <c r="W99" s="11" t="n">
        <v>-0.1137</v>
      </c>
      <c r="X99" s="11" t="n">
        <v>0.4092</v>
      </c>
      <c r="Y99" s="11" t="n">
        <v>-0.312</v>
      </c>
      <c r="Z99" s="11" t="n">
        <v>0.448</v>
      </c>
      <c r="AA99" s="11" t="n">
        <v>0.5489000000000001</v>
      </c>
      <c r="AB99" s="11" t="n">
        <v>0.7804</v>
      </c>
      <c r="AC99" s="11" t="n">
        <v>3.0171</v>
      </c>
      <c r="AD99" s="11" t="n">
        <v>1.6328</v>
      </c>
      <c r="AE99" s="11" t="n">
        <v>2.4837</v>
      </c>
    </row>
    <row r="100">
      <c r="A100" s="10" t="inlineStr">
        <is>
          <t>비지배지분</t>
        </is>
      </c>
      <c r="E100" s="11" t="n">
        <v>0.0476</v>
      </c>
      <c r="F100" s="11" t="n">
        <v>0.1501</v>
      </c>
      <c r="G100" s="11" t="n">
        <v>0.1956</v>
      </c>
      <c r="H100" s="11" t="n">
        <v>0.2309</v>
      </c>
      <c r="I100" s="11" t="n">
        <v>0.3006</v>
      </c>
      <c r="J100" s="11" t="n">
        <v>0.2929</v>
      </c>
      <c r="K100" s="11" t="n">
        <v>0.3561</v>
      </c>
      <c r="L100" s="11" t="n">
        <v>0.3992</v>
      </c>
      <c r="M100" s="11" t="n">
        <v>0.4501</v>
      </c>
      <c r="N100" s="11" t="n">
        <v>0</v>
      </c>
      <c r="W100" s="11" t="n">
        <v>0.3623</v>
      </c>
      <c r="X100" s="11" t="n">
        <v>0.2461</v>
      </c>
      <c r="Y100" s="11" t="n">
        <v>0</v>
      </c>
      <c r="Z100" s="11" t="n">
        <v>0</v>
      </c>
      <c r="AA100" s="11" t="n">
        <v>0.1501</v>
      </c>
      <c r="AB100" s="11" t="n">
        <v>0.2929</v>
      </c>
      <c r="AC100" s="11" t="n">
        <v>0</v>
      </c>
    </row>
    <row r="101">
      <c r="A101" s="10" t="inlineStr">
        <is>
          <t>순자산 합계</t>
        </is>
      </c>
      <c r="C101" s="11" t="n">
        <v>90.78279999999999</v>
      </c>
      <c r="D101" s="11" t="n">
        <v>92.34269999999999</v>
      </c>
      <c r="E101" s="11" t="n">
        <v>93.38339999999999</v>
      </c>
      <c r="F101" s="11" t="n">
        <v>86.5998</v>
      </c>
      <c r="G101" s="11" t="n">
        <v>95.0077</v>
      </c>
      <c r="H101" s="11" t="n">
        <v>95.9935</v>
      </c>
      <c r="I101" s="11" t="n">
        <v>97.6507</v>
      </c>
      <c r="J101" s="11" t="n">
        <v>90.4359</v>
      </c>
      <c r="K101" s="11" t="n">
        <v>99.36450000000001</v>
      </c>
      <c r="L101" s="11" t="n">
        <v>100.3678</v>
      </c>
      <c r="M101" s="11" t="n">
        <v>102.4359</v>
      </c>
      <c r="N101" s="11" t="n">
        <v>103.1831</v>
      </c>
      <c r="O101" s="11" t="n">
        <v>102.8924</v>
      </c>
      <c r="P101" s="11" t="n">
        <v>104.0471</v>
      </c>
      <c r="Q101" s="11" t="n">
        <v>105.3313</v>
      </c>
      <c r="R101" s="11" t="n">
        <v>94.968</v>
      </c>
      <c r="S101" s="11" t="n">
        <v>106.4991</v>
      </c>
      <c r="T101" s="11" t="n">
        <v>109.4047</v>
      </c>
      <c r="U101" s="11" t="n">
        <v>111.2688</v>
      </c>
      <c r="V101" s="11" t="n">
        <v>99.9975</v>
      </c>
      <c r="W101" s="11" t="n">
        <v>85.5093</v>
      </c>
      <c r="X101" s="11" t="n">
        <v>79.5397</v>
      </c>
      <c r="Y101" s="11" t="n">
        <v>86.1966</v>
      </c>
      <c r="Z101" s="11" t="n">
        <v>83.11279999999999</v>
      </c>
      <c r="AA101" s="11" t="n">
        <v>86.5998</v>
      </c>
      <c r="AB101" s="11" t="n">
        <v>90.4359</v>
      </c>
      <c r="AC101" s="11" t="n">
        <v>103.1831</v>
      </c>
      <c r="AD101" s="11" t="n">
        <v>94.968</v>
      </c>
      <c r="AE101" s="11" t="n">
        <v>99.9975</v>
      </c>
    </row>
    <row r="102">
      <c r="A102" s="10" t="inlineStr">
        <is>
          <t>부채·순자산 합계</t>
        </is>
      </c>
      <c r="C102" s="11" t="n">
        <v>127.478</v>
      </c>
      <c r="D102" s="11" t="n">
        <v>126.3787</v>
      </c>
      <c r="E102" s="11" t="n">
        <v>128.5412</v>
      </c>
      <c r="F102" s="11" t="n">
        <v>118.0283</v>
      </c>
      <c r="G102" s="11" t="n">
        <v>130.1034</v>
      </c>
      <c r="H102" s="11" t="n">
        <v>127.8514</v>
      </c>
      <c r="I102" s="11" t="n">
        <v>130.9799</v>
      </c>
      <c r="J102" s="11" t="n">
        <v>120.5142</v>
      </c>
      <c r="K102" s="11" t="n">
        <v>135.3875</v>
      </c>
      <c r="L102" s="11" t="n">
        <v>133.0726</v>
      </c>
      <c r="M102" s="11" t="n">
        <v>132.9485</v>
      </c>
      <c r="N102" s="11" t="n">
        <v>133.4058</v>
      </c>
      <c r="O102" s="11" t="n">
        <v>132.0579</v>
      </c>
      <c r="P102" s="11" t="n">
        <v>128.5411</v>
      </c>
      <c r="Q102" s="11" t="n">
        <v>132.0736</v>
      </c>
      <c r="R102" s="11" t="n">
        <v>117.813</v>
      </c>
      <c r="S102" s="11" t="n">
        <v>132.9512</v>
      </c>
      <c r="T102" s="11" t="n">
        <v>134.0112</v>
      </c>
      <c r="U102" s="11" t="n">
        <v>136.9706</v>
      </c>
      <c r="V102" s="11" t="n">
        <v>120.7099</v>
      </c>
      <c r="W102" s="11" t="n">
        <v>114.7518</v>
      </c>
      <c r="X102" s="11" t="n">
        <v>111.8981</v>
      </c>
      <c r="Y102" s="11" t="n">
        <v>117.5871</v>
      </c>
      <c r="Z102" s="11" t="n">
        <v>114.1635</v>
      </c>
      <c r="AA102" s="11" t="n">
        <v>118.0283</v>
      </c>
      <c r="AB102" s="11" t="n">
        <v>120.5142</v>
      </c>
      <c r="AC102" s="11" t="n">
        <v>133.4058</v>
      </c>
      <c r="AD102" s="11" t="n">
        <v>117.813</v>
      </c>
      <c r="AE102" s="11" t="n">
        <v>120.7099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67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40" customWidth="1" min="32" max="32"/>
  </cols>
  <sheetData>
    <row r="1">
      <c r="A1" s="1" t="inlineStr">
        <is>
          <t>HKS 현금흐름표</t>
        </is>
      </c>
    </row>
    <row r="2">
      <c r="A2" s="2" t="inlineStr">
        <is>
          <t>결산기 기준(27.2Q = 2027년 결산기 2분기) · 8월 결산 · 연결 · 누계(그 분기까지)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FY18</t>
        </is>
      </c>
      <c r="X3" s="4" t="inlineStr">
        <is>
          <t>FY19</t>
        </is>
      </c>
      <c r="Y3" s="4" t="inlineStr">
        <is>
          <t>FY20</t>
        </is>
      </c>
      <c r="Z3" s="4" t="inlineStr">
        <is>
          <t>FY21</t>
        </is>
      </c>
      <c r="AA3" s="4" t="inlineStr">
        <is>
          <t>FY22</t>
        </is>
      </c>
      <c r="AB3" s="4" t="inlineStr">
        <is>
          <t>FY23</t>
        </is>
      </c>
      <c r="AC3" s="4" t="inlineStr">
        <is>
          <t>FY24</t>
        </is>
      </c>
      <c r="AD3" s="4" t="inlineStr">
        <is>
          <t>FY25</t>
        </is>
      </c>
      <c r="AE3" s="4" t="inlineStr">
        <is>
          <t>FY26</t>
        </is>
      </c>
      <c r="AF3" s="4" t="inlineStr">
        <is>
          <t>출처</t>
        </is>
      </c>
    </row>
    <row r="4">
      <c r="A4" s="10" t="inlineStr">
        <is>
          <t>법인세차감전 순이익</t>
        </is>
      </c>
      <c r="D4" s="11" t="n">
        <v>4.062</v>
      </c>
      <c r="F4" s="11" t="n">
        <v>6.9236</v>
      </c>
      <c r="H4" s="11" t="n">
        <v>2.2121</v>
      </c>
      <c r="J4" s="11" t="n">
        <v>6.9465</v>
      </c>
      <c r="L4" s="11" t="n">
        <v>1.7247</v>
      </c>
      <c r="N4" s="11" t="n">
        <v>5.2513</v>
      </c>
      <c r="P4" s="11" t="n">
        <v>1.7833</v>
      </c>
      <c r="R4" s="11" t="n">
        <v>5.1026</v>
      </c>
      <c r="T4" s="11" t="n">
        <v>2.6397</v>
      </c>
      <c r="V4" s="11" t="n">
        <v>8.566000000000001</v>
      </c>
      <c r="W4" s="11" t="n">
        <v>1.5433</v>
      </c>
      <c r="X4" s="11" t="n">
        <v>2.1619</v>
      </c>
      <c r="Y4" s="11" t="n">
        <v>2.1736</v>
      </c>
      <c r="Z4" s="11" t="n">
        <v>4.9097</v>
      </c>
      <c r="AA4" s="11" t="n">
        <v>6.9236</v>
      </c>
      <c r="AB4" s="11" t="n">
        <v>6.9465</v>
      </c>
      <c r="AC4" s="11" t="n">
        <v>5.2513</v>
      </c>
      <c r="AD4" s="11" t="n">
        <v>5.1026</v>
      </c>
      <c r="AE4" s="11" t="n">
        <v>8.566000000000001</v>
      </c>
      <c r="AF4" s="7" t="inlineStr">
        <is>
          <t>결산단신 XBRL(거래소 공시, TDnet·JPX 보관소). 쓴 문서: 2026-10-13, 2026-07-10, 2026-04-10, 2026-01-09 외 26건 — '출처' 시트에 전부</t>
        </is>
      </c>
    </row>
    <row r="5">
      <c r="A5" s="10" t="inlineStr">
        <is>
          <t>감가상각비</t>
        </is>
      </c>
      <c r="D5" s="11" t="n">
        <v>2.7864</v>
      </c>
      <c r="F5" s="11" t="n">
        <v>5.7387</v>
      </c>
      <c r="H5" s="11" t="n">
        <v>2.8267</v>
      </c>
      <c r="J5" s="11" t="n">
        <v>6.0392</v>
      </c>
      <c r="L5" s="11" t="n">
        <v>3.2042</v>
      </c>
      <c r="N5" s="11" t="n">
        <v>6.6692</v>
      </c>
      <c r="P5" s="11" t="n">
        <v>3.1768</v>
      </c>
      <c r="R5" s="11" t="n">
        <v>6.6488</v>
      </c>
      <c r="T5" s="11" t="n">
        <v>2.9694</v>
      </c>
      <c r="V5" s="11" t="n">
        <v>6.2804</v>
      </c>
      <c r="W5" s="11" t="n">
        <v>5.383</v>
      </c>
      <c r="X5" s="11" t="n">
        <v>5.7778</v>
      </c>
      <c r="Y5" s="11" t="n">
        <v>6.174</v>
      </c>
      <c r="Z5" s="11" t="n">
        <v>6.1165</v>
      </c>
      <c r="AA5" s="11" t="n">
        <v>5.7387</v>
      </c>
      <c r="AB5" s="11" t="n">
        <v>6.0392</v>
      </c>
      <c r="AC5" s="11" t="n">
        <v>6.6692</v>
      </c>
      <c r="AD5" s="11" t="n">
        <v>6.6488</v>
      </c>
      <c r="AE5" s="11" t="n">
        <v>6.2804</v>
      </c>
    </row>
    <row r="6">
      <c r="A6" s="10" t="inlineStr">
        <is>
          <t>손상차손</t>
        </is>
      </c>
      <c r="F6" s="11" t="n">
        <v>0.2314</v>
      </c>
      <c r="J6" s="11" t="n">
        <v>0</v>
      </c>
      <c r="X6" s="11" t="n">
        <v>0</v>
      </c>
      <c r="Y6" s="11" t="n">
        <v>0.3273</v>
      </c>
      <c r="Z6" s="11" t="n">
        <v>0</v>
      </c>
      <c r="AA6" s="11" t="n">
        <v>0.2314</v>
      </c>
      <c r="AB6" s="11" t="n">
        <v>0</v>
      </c>
    </row>
    <row r="7">
      <c r="A7" s="10" t="inlineStr">
        <is>
          <t>대손충당금 증감</t>
        </is>
      </c>
      <c r="D7" s="11" t="n">
        <v>-0.044</v>
      </c>
      <c r="F7" s="11" t="n">
        <v>-0.0086</v>
      </c>
      <c r="H7" s="11" t="n">
        <v>0.0376</v>
      </c>
      <c r="J7" s="11" t="n">
        <v>0.0053</v>
      </c>
      <c r="L7" s="11" t="n">
        <v>0.0039</v>
      </c>
      <c r="N7" s="11" t="n">
        <v>0.0223</v>
      </c>
      <c r="P7" s="11" t="n">
        <v>-0.0226</v>
      </c>
      <c r="R7" s="11" t="n">
        <v>-0.0561</v>
      </c>
      <c r="T7" s="11" t="n">
        <v>0.0195</v>
      </c>
      <c r="V7" s="11" t="n">
        <v>0.0192</v>
      </c>
      <c r="W7" s="11" t="n">
        <v>-0.0109</v>
      </c>
      <c r="X7" s="11" t="n">
        <v>0.0004</v>
      </c>
      <c r="Y7" s="11" t="n">
        <v>-0.0047</v>
      </c>
      <c r="Z7" s="11" t="n">
        <v>-0.0005999999999999999</v>
      </c>
      <c r="AA7" s="11" t="n">
        <v>-0.0086</v>
      </c>
      <c r="AB7" s="11" t="n">
        <v>0.0053</v>
      </c>
      <c r="AC7" s="11" t="n">
        <v>0.0223</v>
      </c>
      <c r="AD7" s="11" t="n">
        <v>-0.0561</v>
      </c>
      <c r="AE7" s="11" t="n">
        <v>0.0192</v>
      </c>
    </row>
    <row r="8">
      <c r="A8" s="10" t="inlineStr">
        <is>
          <t>상여충당금 증감</t>
        </is>
      </c>
      <c r="D8" s="11" t="n">
        <v>-0.1856</v>
      </c>
      <c r="F8" s="11" t="n">
        <v>0.0261</v>
      </c>
      <c r="H8" s="11" t="n">
        <v>-0.1825</v>
      </c>
      <c r="J8" s="11" t="n">
        <v>0.0264</v>
      </c>
      <c r="L8" s="11" t="n">
        <v>-0.1713</v>
      </c>
      <c r="N8" s="11" t="n">
        <v>0.0565</v>
      </c>
      <c r="P8" s="11" t="n">
        <v>-0.1997</v>
      </c>
      <c r="R8" s="11" t="n">
        <v>0.0124</v>
      </c>
      <c r="T8" s="11" t="n">
        <v>-0.2057</v>
      </c>
      <c r="V8" s="11" t="n">
        <v>0.0161</v>
      </c>
      <c r="W8" s="11" t="n">
        <v>0.0382</v>
      </c>
      <c r="X8" s="11" t="n">
        <v>0.0197</v>
      </c>
      <c r="Y8" s="11" t="n">
        <v>0.0149</v>
      </c>
      <c r="Z8" s="11" t="n">
        <v>0.017</v>
      </c>
      <c r="AA8" s="11" t="n">
        <v>0.0261</v>
      </c>
      <c r="AB8" s="11" t="n">
        <v>0.0264</v>
      </c>
      <c r="AC8" s="11" t="n">
        <v>0.0565</v>
      </c>
      <c r="AD8" s="11" t="n">
        <v>0.0124</v>
      </c>
      <c r="AE8" s="11" t="n">
        <v>0.0161</v>
      </c>
    </row>
    <row r="9">
      <c r="A9" s="10" t="inlineStr">
        <is>
          <t>임원 퇴직위로 충당금 증감</t>
        </is>
      </c>
      <c r="D9" s="11" t="n">
        <v>0.0379</v>
      </c>
      <c r="F9" s="11" t="n">
        <v>0.0755</v>
      </c>
      <c r="H9" s="11" t="n">
        <v>0.0039</v>
      </c>
      <c r="J9" s="11" t="n">
        <v>0.0415</v>
      </c>
      <c r="L9" s="11" t="n">
        <v>-0.1109</v>
      </c>
      <c r="N9" s="11" t="n">
        <v>-0.0659</v>
      </c>
      <c r="P9" s="11" t="n">
        <v>0.045</v>
      </c>
      <c r="R9" s="11" t="n">
        <v>0.09</v>
      </c>
      <c r="T9" s="11" t="n">
        <v>0.045</v>
      </c>
      <c r="V9" s="11" t="n">
        <v>0.09</v>
      </c>
      <c r="W9" s="11" t="n">
        <v>0.0915</v>
      </c>
      <c r="X9" s="11" t="n">
        <v>-0.0453</v>
      </c>
      <c r="Y9" s="11" t="n">
        <v>0.0698</v>
      </c>
      <c r="Z9" s="11" t="n">
        <v>0.0755</v>
      </c>
      <c r="AA9" s="11" t="n">
        <v>0.0755</v>
      </c>
      <c r="AB9" s="11" t="n">
        <v>0.0415</v>
      </c>
      <c r="AC9" s="11" t="n">
        <v>-0.0659</v>
      </c>
      <c r="AD9" s="11" t="n">
        <v>0.09</v>
      </c>
      <c r="AE9" s="11" t="n">
        <v>0.09</v>
      </c>
    </row>
    <row r="10">
      <c r="A10" s="10" t="inlineStr">
        <is>
          <t>퇴직급여부채 증감</t>
        </is>
      </c>
      <c r="D10" s="11" t="n">
        <v>0.1913</v>
      </c>
      <c r="F10" s="11" t="n">
        <v>0.2191</v>
      </c>
      <c r="H10" s="11" t="n">
        <v>0.0873</v>
      </c>
      <c r="J10" s="11" t="n">
        <v>0.2281</v>
      </c>
      <c r="L10" s="11" t="n">
        <v>0.0406</v>
      </c>
      <c r="N10" s="11" t="n">
        <v>0.1241</v>
      </c>
      <c r="P10" s="11" t="n">
        <v>0.1642</v>
      </c>
      <c r="R10" s="11" t="n">
        <v>0.3432</v>
      </c>
      <c r="T10" s="11" t="n">
        <v>0.1133</v>
      </c>
      <c r="V10" s="11" t="n">
        <v>0.1572</v>
      </c>
      <c r="W10" s="11" t="n">
        <v>0.3146</v>
      </c>
      <c r="X10" s="11" t="n">
        <v>0.2661</v>
      </c>
      <c r="Y10" s="11" t="n">
        <v>0.1894</v>
      </c>
      <c r="Z10" s="11" t="n">
        <v>0.2367</v>
      </c>
      <c r="AA10" s="11" t="n">
        <v>0.2191</v>
      </c>
      <c r="AB10" s="11" t="n">
        <v>0.2281</v>
      </c>
      <c r="AC10" s="11" t="n">
        <v>0.1241</v>
      </c>
      <c r="AD10" s="11" t="n">
        <v>0.3432</v>
      </c>
      <c r="AE10" s="11" t="n">
        <v>0.1572</v>
      </c>
    </row>
    <row r="11">
      <c r="A11" s="10" t="inlineStr">
        <is>
          <t>제품보상 충당금 증감</t>
        </is>
      </c>
      <c r="F11" s="11" t="n">
        <v>0.7037</v>
      </c>
      <c r="Z11" s="11" t="n">
        <v>0</v>
      </c>
      <c r="AA11" s="11" t="n">
        <v>0.7037</v>
      </c>
    </row>
    <row r="12">
      <c r="A12" s="10" t="inlineStr">
        <is>
          <t>제품보상 충당금 증감</t>
        </is>
      </c>
      <c r="D12" s="11" t="n">
        <v>0</v>
      </c>
      <c r="H12" s="11" t="n">
        <v>-0.094</v>
      </c>
      <c r="L12" s="11" t="n">
        <v>-0.007900000000000001</v>
      </c>
    </row>
    <row r="13">
      <c r="A13" s="10" t="inlineStr">
        <is>
          <t>제품보상 충당금 증감</t>
        </is>
      </c>
      <c r="L13" s="11" t="n">
        <v>-0.007900000000000001</v>
      </c>
      <c r="P13" s="11" t="n">
        <v>-0.0036</v>
      </c>
      <c r="T13" s="11" t="n">
        <v>-0.0004</v>
      </c>
    </row>
    <row r="14">
      <c r="A14" s="10" t="inlineStr">
        <is>
          <t>제품보상 충당금 증감</t>
        </is>
      </c>
      <c r="F14" s="11" t="n">
        <v>0.7037</v>
      </c>
      <c r="J14" s="11" t="n">
        <v>0.3284</v>
      </c>
      <c r="N14" s="11" t="n">
        <v>-0.3629</v>
      </c>
      <c r="R14" s="11" t="n">
        <v>-0.5824</v>
      </c>
      <c r="V14" s="11" t="n">
        <v>-0.0868</v>
      </c>
      <c r="AA14" s="11" t="n">
        <v>0.7037</v>
      </c>
      <c r="AB14" s="11" t="n">
        <v>0.3284</v>
      </c>
      <c r="AC14" s="11" t="n">
        <v>-0.3629</v>
      </c>
      <c r="AD14" s="11" t="n">
        <v>-0.5824</v>
      </c>
      <c r="AE14" s="11" t="n">
        <v>-0.0868</v>
      </c>
    </row>
    <row r="15">
      <c r="A15" s="10" t="inlineStr">
        <is>
          <t>이자·배당금 수익</t>
        </is>
      </c>
      <c r="D15" s="11" t="n">
        <v>-0.0636</v>
      </c>
      <c r="F15" s="11" t="n">
        <v>-0.1557</v>
      </c>
      <c r="H15" s="11" t="n">
        <v>-0.0863</v>
      </c>
      <c r="J15" s="11" t="n">
        <v>-0.1922</v>
      </c>
      <c r="L15" s="11" t="n">
        <v>-0.082</v>
      </c>
      <c r="N15" s="11" t="n">
        <v>-0.1793</v>
      </c>
      <c r="P15" s="11" t="n">
        <v>-0.1154</v>
      </c>
      <c r="R15" s="11" t="n">
        <v>-0.2343</v>
      </c>
      <c r="T15" s="11" t="n">
        <v>-0.1531</v>
      </c>
      <c r="V15" s="11" t="n">
        <v>-0.3124</v>
      </c>
      <c r="W15" s="11" t="n">
        <v>-0.1249</v>
      </c>
      <c r="X15" s="11" t="n">
        <v>-0.123</v>
      </c>
      <c r="Y15" s="11" t="n">
        <v>-0.1299</v>
      </c>
      <c r="Z15" s="11" t="n">
        <v>-0.1316</v>
      </c>
      <c r="AA15" s="11" t="n">
        <v>-0.1557</v>
      </c>
      <c r="AB15" s="11" t="n">
        <v>-0.1922</v>
      </c>
      <c r="AC15" s="11" t="n">
        <v>-0.1793</v>
      </c>
      <c r="AD15" s="11" t="n">
        <v>-0.2343</v>
      </c>
      <c r="AE15" s="11" t="n">
        <v>-0.3124</v>
      </c>
    </row>
    <row r="16">
      <c r="A16" s="10" t="inlineStr">
        <is>
          <t>이자비용</t>
        </is>
      </c>
      <c r="D16" s="11" t="n">
        <v>0.0226</v>
      </c>
      <c r="F16" s="11" t="n">
        <v>0.0114</v>
      </c>
      <c r="H16" s="11" t="n">
        <v>0.046</v>
      </c>
      <c r="J16" s="11" t="n">
        <v>0.0299</v>
      </c>
      <c r="L16" s="11" t="n">
        <v>0.0163</v>
      </c>
      <c r="N16" s="11" t="n">
        <v>0.0338</v>
      </c>
      <c r="P16" s="11" t="n">
        <v>0.0171</v>
      </c>
      <c r="R16" s="11" t="n">
        <v>0.0357</v>
      </c>
      <c r="T16" s="11" t="n">
        <v>0.0218</v>
      </c>
      <c r="V16" s="11" t="n">
        <v>0.0515</v>
      </c>
      <c r="W16" s="11" t="n">
        <v>0.08690000000000001</v>
      </c>
      <c r="X16" s="11" t="n">
        <v>0.0539</v>
      </c>
      <c r="Y16" s="11" t="n">
        <v>0.0554</v>
      </c>
      <c r="Z16" s="11" t="n">
        <v>0.0448</v>
      </c>
      <c r="AA16" s="11" t="n">
        <v>0.0114</v>
      </c>
      <c r="AB16" s="11" t="n">
        <v>0.0299</v>
      </c>
      <c r="AC16" s="11" t="n">
        <v>0.0338</v>
      </c>
      <c r="AD16" s="11" t="n">
        <v>0.0357</v>
      </c>
      <c r="AE16" s="11" t="n">
        <v>0.0515</v>
      </c>
    </row>
    <row r="17">
      <c r="A17" s="10" t="inlineStr">
        <is>
          <t>외환차손익</t>
        </is>
      </c>
      <c r="D17" s="11" t="n">
        <v>-0.0484</v>
      </c>
      <c r="F17" s="11" t="n">
        <v>-0.277</v>
      </c>
      <c r="H17" s="11" t="n">
        <v>-0.0055</v>
      </c>
      <c r="J17" s="11" t="n">
        <v>-0.067</v>
      </c>
      <c r="L17" s="11" t="n">
        <v>0.0067</v>
      </c>
      <c r="N17" s="11" t="n">
        <v>0.0867</v>
      </c>
      <c r="P17" s="11" t="n">
        <v>0.008</v>
      </c>
      <c r="R17" s="11" t="n">
        <v>0.0073</v>
      </c>
      <c r="T17" s="11" t="n">
        <v>-0.1064</v>
      </c>
      <c r="V17" s="11" t="n">
        <v>-0.0998</v>
      </c>
      <c r="W17" s="11" t="n">
        <v>0.0007</v>
      </c>
      <c r="X17" s="11" t="n">
        <v>0.09859999999999999</v>
      </c>
      <c r="Y17" s="11" t="n">
        <v>0.0147</v>
      </c>
      <c r="Z17" s="11" t="n">
        <v>-0.0035</v>
      </c>
      <c r="AA17" s="11" t="n">
        <v>-0.277</v>
      </c>
      <c r="AB17" s="11" t="n">
        <v>-0.067</v>
      </c>
      <c r="AC17" s="11" t="n">
        <v>0.0867</v>
      </c>
      <c r="AD17" s="11" t="n">
        <v>0.0073</v>
      </c>
      <c r="AE17" s="11" t="n">
        <v>-0.0998</v>
      </c>
    </row>
    <row r="18">
      <c r="A18" s="10" t="inlineStr">
        <is>
          <t>유형자산 제각·매각손익</t>
        </is>
      </c>
      <c r="D18" s="11" t="n">
        <v>-0.608</v>
      </c>
      <c r="H18" s="11" t="n">
        <v>-0.0157</v>
      </c>
      <c r="L18" s="11" t="n">
        <v>-0.1501</v>
      </c>
    </row>
    <row r="19">
      <c r="A19" s="10" t="inlineStr">
        <is>
          <t>고정자산 제각·매각손익</t>
        </is>
      </c>
      <c r="F19" s="11" t="n">
        <v>-0.6414</v>
      </c>
      <c r="J19" s="11" t="n">
        <v>-0.0101</v>
      </c>
      <c r="L19" s="11" t="n">
        <v>-0.1501</v>
      </c>
      <c r="N19" s="11" t="n">
        <v>-0.0158</v>
      </c>
      <c r="P19" s="11" t="n">
        <v>-0.06759999999999999</v>
      </c>
      <c r="R19" s="11" t="n">
        <v>-0.0507</v>
      </c>
      <c r="T19" s="11" t="n">
        <v>0.0188</v>
      </c>
      <c r="V19" s="11" t="n">
        <v>0.0585</v>
      </c>
      <c r="W19" s="11" t="n">
        <v>0.2272</v>
      </c>
      <c r="X19" s="11" t="n">
        <v>-0.0111</v>
      </c>
      <c r="Y19" s="11" t="n">
        <v>-0.1048</v>
      </c>
      <c r="Z19" s="11" t="n">
        <v>-0.0373</v>
      </c>
      <c r="AA19" s="11" t="n">
        <v>-0.6414</v>
      </c>
      <c r="AB19" s="11" t="n">
        <v>-0.0101</v>
      </c>
      <c r="AC19" s="11" t="n">
        <v>-0.0158</v>
      </c>
      <c r="AD19" s="11" t="n">
        <v>-0.0507</v>
      </c>
      <c r="AE19" s="11" t="n">
        <v>0.0585</v>
      </c>
    </row>
    <row r="20">
      <c r="A20" s="10" t="inlineStr">
        <is>
          <t>투자유가증권 매각손익</t>
        </is>
      </c>
      <c r="W20" s="11" t="n">
        <v>-0.005</v>
      </c>
      <c r="X20" s="11" t="n">
        <v>-0</v>
      </c>
      <c r="Y20" s="11" t="n">
        <v>0</v>
      </c>
    </row>
    <row r="21">
      <c r="A21" s="10" t="inlineStr">
        <is>
          <t>투자유가증권 평가손익</t>
        </is>
      </c>
      <c r="W21" s="11" t="n">
        <v>0</v>
      </c>
      <c r="X21" s="11" t="n">
        <v>0.4859</v>
      </c>
      <c r="Y21" s="11" t="n">
        <v>0.0004</v>
      </c>
      <c r="Z21" s="11" t="n">
        <v>0</v>
      </c>
    </row>
    <row r="22">
      <c r="A22" s="10" t="inlineStr">
        <is>
          <t>투자유가증권 매각이익</t>
        </is>
      </c>
      <c r="P22" s="11" t="n">
        <v>0</v>
      </c>
      <c r="T22" s="11" t="n">
        <v>-0.1626</v>
      </c>
    </row>
    <row r="23">
      <c r="A23" s="10" t="inlineStr">
        <is>
          <t>투자유가증권 매각이익</t>
        </is>
      </c>
      <c r="R23" s="11" t="n">
        <v>0</v>
      </c>
      <c r="V23" s="11" t="n">
        <v>-0.9293</v>
      </c>
      <c r="AD23" s="11" t="n">
        <v>0</v>
      </c>
      <c r="AE23" s="11" t="n">
        <v>-0.9293</v>
      </c>
    </row>
    <row r="24">
      <c r="A24" s="10" t="inlineStr">
        <is>
          <t>보조금 수입</t>
        </is>
      </c>
      <c r="F24" s="11" t="n">
        <v>-0.0944</v>
      </c>
      <c r="J24" s="11" t="n">
        <v>-0.115</v>
      </c>
      <c r="N24" s="11" t="n">
        <v>-0.1183</v>
      </c>
      <c r="P24" s="11" t="n">
        <v>0</v>
      </c>
      <c r="R24" s="11" t="n">
        <v>0</v>
      </c>
      <c r="T24" s="11" t="n">
        <v>-0.0535</v>
      </c>
      <c r="V24" s="11" t="n">
        <v>-0.055</v>
      </c>
      <c r="X24" s="11" t="n">
        <v>-0.2259</v>
      </c>
      <c r="Y24" s="11" t="n">
        <v>-0.9441000000000001</v>
      </c>
      <c r="Z24" s="11" t="n">
        <v>-0.3065</v>
      </c>
      <c r="AA24" s="11" t="n">
        <v>-0.0944</v>
      </c>
      <c r="AB24" s="11" t="n">
        <v>-0.115</v>
      </c>
      <c r="AC24" s="11" t="n">
        <v>-0.1183</v>
      </c>
      <c r="AD24" s="11" t="n">
        <v>0</v>
      </c>
      <c r="AE24" s="11" t="n">
        <v>-0.055</v>
      </c>
    </row>
    <row r="25">
      <c r="A25" s="10" t="inlineStr">
        <is>
          <t>보험환급금</t>
        </is>
      </c>
      <c r="W25" s="11" t="n">
        <v>-0.093</v>
      </c>
      <c r="X25" s="11" t="n">
        <v>-0.0542</v>
      </c>
      <c r="Y25" s="11" t="n">
        <v>0</v>
      </c>
    </row>
    <row r="26">
      <c r="A26" s="10" t="inlineStr">
        <is>
          <t>설비 이설비용</t>
        </is>
      </c>
      <c r="W26" s="11" t="n">
        <v>0.4324</v>
      </c>
      <c r="X26" s="11" t="n">
        <v>0</v>
      </c>
    </row>
    <row r="27">
      <c r="A27" s="10" t="inlineStr">
        <is>
          <t>보험금 수입</t>
        </is>
      </c>
      <c r="P27" s="11" t="n">
        <v>0</v>
      </c>
      <c r="T27" s="11" t="n">
        <v>-0.1552</v>
      </c>
    </row>
    <row r="28">
      <c r="A28" s="10" t="inlineStr">
        <is>
          <t>보험금 수입</t>
        </is>
      </c>
      <c r="R28" s="11" t="n">
        <v>0</v>
      </c>
      <c r="V28" s="11" t="n">
        <v>-0.1552</v>
      </c>
      <c r="AD28" s="11" t="n">
        <v>0</v>
      </c>
      <c r="AE28" s="11" t="n">
        <v>-0.1552</v>
      </c>
    </row>
    <row r="29">
      <c r="A29" s="10" t="inlineStr">
        <is>
          <t>매출채권 증감</t>
        </is>
      </c>
      <c r="D29" s="11" t="n">
        <v>1.633</v>
      </c>
      <c r="F29" s="11" t="n">
        <v>-0.4756</v>
      </c>
      <c r="H29" s="11" t="n">
        <v>-0.2337</v>
      </c>
      <c r="J29" s="11" t="n">
        <v>0.5779</v>
      </c>
      <c r="L29" s="11" t="n">
        <v>0.0027</v>
      </c>
      <c r="N29" s="11" t="n">
        <v>-1.2242</v>
      </c>
      <c r="P29" s="11" t="n">
        <v>2.6073</v>
      </c>
      <c r="R29" s="11" t="n">
        <v>1.8948</v>
      </c>
      <c r="T29" s="11" t="n">
        <v>0.5444</v>
      </c>
      <c r="V29" s="11" t="n">
        <v>-0.2621</v>
      </c>
      <c r="W29" s="11" t="n">
        <v>0.7708</v>
      </c>
      <c r="X29" s="11" t="n">
        <v>-1.2333</v>
      </c>
      <c r="Y29" s="11" t="n">
        <v>1.2499</v>
      </c>
      <c r="Z29" s="11" t="n">
        <v>-1.703</v>
      </c>
      <c r="AA29" s="11" t="n">
        <v>-0.4756</v>
      </c>
      <c r="AB29" s="11" t="n">
        <v>0.5779</v>
      </c>
      <c r="AC29" s="11" t="n">
        <v>-1.2242</v>
      </c>
      <c r="AD29" s="11" t="n">
        <v>1.8948</v>
      </c>
      <c r="AE29" s="11" t="n">
        <v>-0.2621</v>
      </c>
    </row>
    <row r="30">
      <c r="A30" s="10" t="inlineStr">
        <is>
          <t>재고자산 증감</t>
        </is>
      </c>
      <c r="D30" s="11" t="n">
        <v>-4.229</v>
      </c>
      <c r="F30" s="11" t="n">
        <v>-2.5904</v>
      </c>
      <c r="H30" s="11" t="n">
        <v>-1.8383</v>
      </c>
      <c r="J30" s="11" t="n">
        <v>-3.8826</v>
      </c>
      <c r="L30" s="11" t="n">
        <v>-2.8848</v>
      </c>
      <c r="N30" s="11" t="n">
        <v>-1.3751</v>
      </c>
      <c r="P30" s="11" t="n">
        <v>-1.4362</v>
      </c>
      <c r="R30" s="11" t="n">
        <v>-2.7767</v>
      </c>
      <c r="T30" s="11" t="n">
        <v>-2.4413</v>
      </c>
      <c r="V30" s="11" t="n">
        <v>-0.2592</v>
      </c>
      <c r="W30" s="11" t="n">
        <v>1.2507</v>
      </c>
      <c r="X30" s="11" t="n">
        <v>-1.3666</v>
      </c>
      <c r="Y30" s="11" t="n">
        <v>1.6994</v>
      </c>
      <c r="Z30" s="11" t="n">
        <v>-0.9377</v>
      </c>
      <c r="AA30" s="11" t="n">
        <v>-2.5904</v>
      </c>
      <c r="AB30" s="11" t="n">
        <v>-3.8826</v>
      </c>
      <c r="AC30" s="11" t="n">
        <v>-1.3751</v>
      </c>
      <c r="AD30" s="11" t="n">
        <v>-2.7767</v>
      </c>
      <c r="AE30" s="11" t="n">
        <v>-0.2592</v>
      </c>
    </row>
    <row r="31">
      <c r="A31" s="10" t="inlineStr">
        <is>
          <t>기타 유동자산 증감</t>
        </is>
      </c>
      <c r="D31" s="11" t="n">
        <v>-0.6072</v>
      </c>
      <c r="F31" s="11" t="n">
        <v>-0.3326</v>
      </c>
      <c r="H31" s="11" t="n">
        <v>-0.0528</v>
      </c>
      <c r="J31" s="11" t="n">
        <v>-0.2752</v>
      </c>
      <c r="L31" s="11" t="n">
        <v>0.2424</v>
      </c>
      <c r="N31" s="11" t="n">
        <v>-0.5286999999999999</v>
      </c>
      <c r="P31" s="11" t="n">
        <v>1.3834</v>
      </c>
      <c r="R31" s="11" t="n">
        <v>1.0256</v>
      </c>
      <c r="T31" s="11" t="n">
        <v>0.1442</v>
      </c>
      <c r="V31" s="11" t="n">
        <v>-0.2015</v>
      </c>
      <c r="W31" s="11" t="n">
        <v>-0.8477</v>
      </c>
      <c r="X31" s="11" t="n">
        <v>-0.0074</v>
      </c>
      <c r="Y31" s="11" t="n">
        <v>0.9939</v>
      </c>
      <c r="Z31" s="11" t="n">
        <v>-0.4684</v>
      </c>
      <c r="AA31" s="11" t="n">
        <v>-0.3326</v>
      </c>
      <c r="AB31" s="11" t="n">
        <v>-0.2752</v>
      </c>
      <c r="AC31" s="11" t="n">
        <v>-0.5286999999999999</v>
      </c>
      <c r="AD31" s="11" t="n">
        <v>1.0256</v>
      </c>
      <c r="AE31" s="11" t="n">
        <v>-0.2015</v>
      </c>
    </row>
    <row r="32">
      <c r="A32" s="10" t="inlineStr">
        <is>
          <t>매입채무 증감</t>
        </is>
      </c>
      <c r="D32" s="11" t="n">
        <v>-0.4164</v>
      </c>
      <c r="F32" s="11" t="n">
        <v>-1.48</v>
      </c>
      <c r="H32" s="11" t="n">
        <v>-0.2139</v>
      </c>
      <c r="J32" s="11" t="n">
        <v>-0.3166</v>
      </c>
      <c r="L32" s="11" t="n">
        <v>-0.6022999999999999</v>
      </c>
      <c r="N32" s="11" t="n">
        <v>-4.1211</v>
      </c>
      <c r="P32" s="11" t="n">
        <v>-0.3437</v>
      </c>
      <c r="R32" s="11" t="n">
        <v>0.883</v>
      </c>
      <c r="T32" s="11" t="n">
        <v>-1.6751</v>
      </c>
      <c r="V32" s="11" t="n">
        <v>-3.1799</v>
      </c>
      <c r="W32" s="11" t="n">
        <v>0.0555</v>
      </c>
      <c r="X32" s="11" t="n">
        <v>2.8611</v>
      </c>
      <c r="Y32" s="11" t="n">
        <v>-2.9929</v>
      </c>
      <c r="Z32" s="11" t="n">
        <v>3.7794</v>
      </c>
      <c r="AA32" s="11" t="n">
        <v>-1.48</v>
      </c>
      <c r="AB32" s="11" t="n">
        <v>-0.3166</v>
      </c>
      <c r="AC32" s="11" t="n">
        <v>-4.1211</v>
      </c>
      <c r="AD32" s="11" t="n">
        <v>0.883</v>
      </c>
      <c r="AE32" s="11" t="n">
        <v>-3.1799</v>
      </c>
    </row>
    <row r="33">
      <c r="A33" s="10" t="inlineStr">
        <is>
          <t>기타 유동부채 증감</t>
        </is>
      </c>
      <c r="D33" s="11" t="n">
        <v>-0.186</v>
      </c>
      <c r="F33" s="11" t="n">
        <v>0.6199</v>
      </c>
      <c r="H33" s="11" t="n">
        <v>-0.983</v>
      </c>
      <c r="J33" s="11" t="n">
        <v>-0.5756</v>
      </c>
      <c r="L33" s="11" t="n">
        <v>-0.2107</v>
      </c>
      <c r="N33" s="11" t="n">
        <v>1.8414</v>
      </c>
      <c r="P33" s="11" t="n">
        <v>-2.254</v>
      </c>
      <c r="R33" s="11" t="n">
        <v>-1.3924</v>
      </c>
      <c r="T33" s="11" t="n">
        <v>-0.3964</v>
      </c>
      <c r="V33" s="11" t="n">
        <v>-0.4997</v>
      </c>
      <c r="W33" s="11" t="n">
        <v>-0.0086</v>
      </c>
      <c r="X33" s="11" t="n">
        <v>2.8189</v>
      </c>
      <c r="Y33" s="11" t="n">
        <v>-2.8422</v>
      </c>
      <c r="Z33" s="11" t="n">
        <v>1.1924</v>
      </c>
      <c r="AA33" s="11" t="n">
        <v>0.6199</v>
      </c>
      <c r="AB33" s="11" t="n">
        <v>-0.5756</v>
      </c>
      <c r="AC33" s="11" t="n">
        <v>1.8414</v>
      </c>
      <c r="AD33" s="11" t="n">
        <v>-1.3924</v>
      </c>
      <c r="AE33" s="11" t="n">
        <v>-0.4997</v>
      </c>
    </row>
    <row r="34">
      <c r="A34" s="10" t="inlineStr">
        <is>
          <t>미지급 소비세 증감</t>
        </is>
      </c>
      <c r="D34" s="11" t="n">
        <v>-0.1171</v>
      </c>
      <c r="F34" s="11" t="n">
        <v>-0.1081</v>
      </c>
      <c r="H34" s="11" t="n">
        <v>0.0393</v>
      </c>
      <c r="J34" s="11" t="n">
        <v>0.0842</v>
      </c>
      <c r="L34" s="11" t="n">
        <v>-0.0377</v>
      </c>
      <c r="N34" s="11" t="n">
        <v>0.292</v>
      </c>
      <c r="P34" s="11" t="n">
        <v>-0.0433</v>
      </c>
      <c r="R34" s="11" t="n">
        <v>-0.059</v>
      </c>
      <c r="T34" s="11" t="n">
        <v>-0.2536</v>
      </c>
      <c r="V34" s="11" t="n">
        <v>-0.2665</v>
      </c>
      <c r="W34" s="11" t="n">
        <v>-0.3506</v>
      </c>
      <c r="X34" s="11" t="n">
        <v>0.5566</v>
      </c>
      <c r="Y34" s="11" t="n">
        <v>0.0003</v>
      </c>
      <c r="Z34" s="11" t="n">
        <v>-0.3616</v>
      </c>
      <c r="AA34" s="11" t="n">
        <v>-0.1081</v>
      </c>
      <c r="AB34" s="11" t="n">
        <v>0.0842</v>
      </c>
      <c r="AC34" s="11" t="n">
        <v>0.292</v>
      </c>
      <c r="AD34" s="11" t="n">
        <v>-0.059</v>
      </c>
      <c r="AE34" s="11" t="n">
        <v>-0.2665</v>
      </c>
    </row>
    <row r="35">
      <c r="A35" s="10" t="inlineStr">
        <is>
          <t>기타</t>
        </is>
      </c>
      <c r="D35" s="11" t="n">
        <v>-0.0144</v>
      </c>
      <c r="F35" s="11" t="n">
        <v>-0.3094</v>
      </c>
      <c r="H35" s="11" t="n">
        <v>-0.1858</v>
      </c>
      <c r="J35" s="11" t="n">
        <v>-0.1942</v>
      </c>
      <c r="L35" s="11" t="n">
        <v>-0.1164</v>
      </c>
      <c r="N35" s="11" t="n">
        <v>-0.0721</v>
      </c>
      <c r="P35" s="11" t="n">
        <v>0.0102</v>
      </c>
      <c r="R35" s="11" t="n">
        <v>0.0353</v>
      </c>
      <c r="T35" s="11" t="n">
        <v>0.0613</v>
      </c>
      <c r="V35" s="11" t="n">
        <v>0.1975</v>
      </c>
      <c r="W35" s="11" t="n">
        <v>-0.0498</v>
      </c>
      <c r="X35" s="11" t="n">
        <v>-0.0121</v>
      </c>
      <c r="Y35" s="11" t="n">
        <v>-0.0863</v>
      </c>
      <c r="Z35" s="11" t="n">
        <v>-0.0091</v>
      </c>
      <c r="AA35" s="11" t="n">
        <v>-0.3094</v>
      </c>
      <c r="AB35" s="11" t="n">
        <v>-0.1942</v>
      </c>
      <c r="AC35" s="11" t="n">
        <v>-0.0721</v>
      </c>
      <c r="AD35" s="11" t="n">
        <v>0.0353</v>
      </c>
      <c r="AE35" s="11" t="n">
        <v>0.1975</v>
      </c>
    </row>
    <row r="36">
      <c r="A36" s="10" t="inlineStr">
        <is>
          <t>소계</t>
        </is>
      </c>
      <c r="D36" s="11" t="n">
        <v>2.2133</v>
      </c>
      <c r="F36" s="11" t="n">
        <v>8.0761</v>
      </c>
      <c r="H36" s="11" t="n">
        <v>1.3613</v>
      </c>
      <c r="J36" s="11" t="n">
        <v>8.678800000000001</v>
      </c>
      <c r="L36" s="11" t="n">
        <v>0.8673999999999999</v>
      </c>
      <c r="N36" s="11" t="n">
        <v>6.3139</v>
      </c>
      <c r="P36" s="11" t="n">
        <v>4.7092</v>
      </c>
      <c r="R36" s="11" t="n">
        <v>10.9271</v>
      </c>
      <c r="T36" s="11" t="n">
        <v>0.9742</v>
      </c>
      <c r="V36" s="11" t="n">
        <v>9.129</v>
      </c>
      <c r="W36" s="11" t="n">
        <v>8.7043</v>
      </c>
      <c r="X36" s="11" t="n">
        <v>12.0219</v>
      </c>
      <c r="Y36" s="11" t="n">
        <v>5.8581</v>
      </c>
      <c r="Z36" s="11" t="n">
        <v>12.4129</v>
      </c>
      <c r="AA36" s="11" t="n">
        <v>8.0761</v>
      </c>
      <c r="AB36" s="11" t="n">
        <v>8.678800000000001</v>
      </c>
      <c r="AC36" s="11" t="n">
        <v>6.3139</v>
      </c>
      <c r="AD36" s="11" t="n">
        <v>10.9271</v>
      </c>
      <c r="AE36" s="11" t="n">
        <v>9.129</v>
      </c>
    </row>
    <row r="37">
      <c r="A37" s="10" t="inlineStr">
        <is>
          <t>이자·배당금 수취</t>
        </is>
      </c>
      <c r="D37" s="11" t="n">
        <v>0.07630000000000001</v>
      </c>
      <c r="F37" s="11" t="n">
        <v>0.1615</v>
      </c>
      <c r="H37" s="11" t="n">
        <v>0.1027</v>
      </c>
      <c r="J37" s="11" t="n">
        <v>0.2027</v>
      </c>
      <c r="L37" s="11" t="n">
        <v>0.0929</v>
      </c>
      <c r="N37" s="11" t="n">
        <v>0.1989</v>
      </c>
      <c r="P37" s="11" t="n">
        <v>0.116</v>
      </c>
      <c r="R37" s="11" t="n">
        <v>0.2316</v>
      </c>
      <c r="T37" s="11" t="n">
        <v>0.1458</v>
      </c>
      <c r="V37" s="11" t="n">
        <v>0.2873</v>
      </c>
      <c r="W37" s="11" t="n">
        <v>0.1279</v>
      </c>
      <c r="X37" s="11" t="n">
        <v>0.1216</v>
      </c>
      <c r="Y37" s="11" t="n">
        <v>0.1284</v>
      </c>
      <c r="Z37" s="11" t="n">
        <v>0.1307</v>
      </c>
      <c r="AA37" s="11" t="n">
        <v>0.1615</v>
      </c>
      <c r="AB37" s="11" t="n">
        <v>0.2027</v>
      </c>
      <c r="AC37" s="11" t="n">
        <v>0.1989</v>
      </c>
      <c r="AD37" s="11" t="n">
        <v>0.2316</v>
      </c>
      <c r="AE37" s="11" t="n">
        <v>0.2873</v>
      </c>
    </row>
    <row r="38">
      <c r="A38" s="10" t="inlineStr">
        <is>
          <t>이자 지급</t>
        </is>
      </c>
      <c r="D38" s="11" t="n">
        <v>-0.0231</v>
      </c>
      <c r="F38" s="11" t="n">
        <v>-0.0117</v>
      </c>
      <c r="H38" s="11" t="n">
        <v>-0.0454</v>
      </c>
      <c r="J38" s="11" t="n">
        <v>-0.0293</v>
      </c>
      <c r="L38" s="11" t="n">
        <v>-0.016</v>
      </c>
      <c r="N38" s="11" t="n">
        <v>-0.0318</v>
      </c>
      <c r="P38" s="11" t="n">
        <v>-0.0185</v>
      </c>
      <c r="R38" s="11" t="n">
        <v>-0.0353</v>
      </c>
      <c r="T38" s="11" t="n">
        <v>-0.0202</v>
      </c>
      <c r="V38" s="11" t="n">
        <v>-0.0527</v>
      </c>
      <c r="W38" s="11" t="n">
        <v>-0.0939</v>
      </c>
      <c r="X38" s="11" t="n">
        <v>-0.0519</v>
      </c>
      <c r="Y38" s="11" t="n">
        <v>-0.0572</v>
      </c>
      <c r="Z38" s="11" t="n">
        <v>-0.0445</v>
      </c>
      <c r="AA38" s="11" t="n">
        <v>-0.0117</v>
      </c>
      <c r="AB38" s="11" t="n">
        <v>-0.0293</v>
      </c>
      <c r="AC38" s="11" t="n">
        <v>-0.0318</v>
      </c>
      <c r="AD38" s="11" t="n">
        <v>-0.0353</v>
      </c>
      <c r="AE38" s="11" t="n">
        <v>-0.0527</v>
      </c>
    </row>
    <row r="39">
      <c r="A39" s="10" t="inlineStr">
        <is>
          <t>보조금 수취</t>
        </is>
      </c>
      <c r="F39" s="11" t="n">
        <v>0.0297</v>
      </c>
      <c r="J39" s="11" t="n">
        <v>0.05</v>
      </c>
      <c r="N39" s="11" t="n">
        <v>0.07539999999999999</v>
      </c>
      <c r="P39" s="11" t="n">
        <v>0</v>
      </c>
      <c r="R39" s="11" t="n">
        <v>0</v>
      </c>
      <c r="T39" s="11" t="n">
        <v>0.0535</v>
      </c>
      <c r="V39" s="11" t="n">
        <v>0.055</v>
      </c>
      <c r="X39" s="11" t="n">
        <v>0.2259</v>
      </c>
      <c r="Y39" s="11" t="n">
        <v>0.479</v>
      </c>
      <c r="Z39" s="11" t="n">
        <v>0.253</v>
      </c>
      <c r="AA39" s="11" t="n">
        <v>0.0297</v>
      </c>
      <c r="AB39" s="11" t="n">
        <v>0.05</v>
      </c>
      <c r="AC39" s="11" t="n">
        <v>0.07539999999999999</v>
      </c>
      <c r="AD39" s="11" t="n">
        <v>0</v>
      </c>
      <c r="AE39" s="11" t="n">
        <v>0.055</v>
      </c>
    </row>
    <row r="40">
      <c r="A40" s="10" t="inlineStr">
        <is>
          <t>법인세 환급</t>
        </is>
      </c>
      <c r="D40" s="11" t="n">
        <v>0.1761</v>
      </c>
      <c r="F40" s="11" t="n">
        <v>0.1089</v>
      </c>
      <c r="H40" s="11" t="n">
        <v>0.0043</v>
      </c>
      <c r="J40" s="11" t="n">
        <v>0.0717</v>
      </c>
      <c r="L40" s="11" t="n">
        <v>0</v>
      </c>
      <c r="N40" s="11" t="n">
        <v>0.1533</v>
      </c>
      <c r="R40" s="11" t="n">
        <v>0</v>
      </c>
      <c r="Y40" s="11" t="n">
        <v>0</v>
      </c>
      <c r="Z40" s="11" t="n">
        <v>0.2836</v>
      </c>
      <c r="AA40" s="11" t="n">
        <v>0.1089</v>
      </c>
      <c r="AB40" s="11" t="n">
        <v>0.0717</v>
      </c>
      <c r="AC40" s="11" t="n">
        <v>0.1533</v>
      </c>
      <c r="AD40" s="11" t="n">
        <v>0</v>
      </c>
    </row>
    <row r="41">
      <c r="A41" s="10" t="inlineStr">
        <is>
          <t>보험금 수취</t>
        </is>
      </c>
      <c r="P41" s="11" t="n">
        <v>0</v>
      </c>
      <c r="R41" s="11" t="n">
        <v>0</v>
      </c>
      <c r="T41" s="11" t="n">
        <v>0.1552</v>
      </c>
      <c r="V41" s="11" t="n">
        <v>0.1552</v>
      </c>
      <c r="AD41" s="11" t="n">
        <v>0</v>
      </c>
      <c r="AE41" s="11" t="n">
        <v>0.1552</v>
      </c>
    </row>
    <row r="42">
      <c r="A42" s="10" t="inlineStr">
        <is>
          <t>법인세 납부</t>
        </is>
      </c>
      <c r="D42" s="11" t="n">
        <v>-1.0368</v>
      </c>
      <c r="F42" s="11" t="n">
        <v>-1.7764</v>
      </c>
      <c r="H42" s="11" t="n">
        <v>-0.9936</v>
      </c>
      <c r="J42" s="11" t="n">
        <v>-2.0325</v>
      </c>
      <c r="L42" s="11" t="n">
        <v>-1.5896</v>
      </c>
      <c r="N42" s="11" t="n">
        <v>-2.9</v>
      </c>
      <c r="P42" s="11" t="n">
        <v>-0.3495</v>
      </c>
      <c r="R42" s="11" t="n">
        <v>-1.2095</v>
      </c>
      <c r="T42" s="11" t="n">
        <v>-0.504</v>
      </c>
      <c r="V42" s="11" t="n">
        <v>-1.1555</v>
      </c>
      <c r="W42" s="11" t="n">
        <v>-0.07870000000000001</v>
      </c>
      <c r="X42" s="11" t="n">
        <v>-1.1349</v>
      </c>
      <c r="Y42" s="11" t="n">
        <v>-2.4539</v>
      </c>
      <c r="Z42" s="11" t="n">
        <v>-0.9133</v>
      </c>
      <c r="AA42" s="11" t="n">
        <v>-1.7764</v>
      </c>
      <c r="AB42" s="11" t="n">
        <v>-2.0325</v>
      </c>
      <c r="AC42" s="11" t="n">
        <v>-2.9</v>
      </c>
      <c r="AD42" s="11" t="n">
        <v>-1.2095</v>
      </c>
      <c r="AE42" s="11" t="n">
        <v>-1.1555</v>
      </c>
    </row>
    <row r="43">
      <c r="A43" s="10" t="inlineStr">
        <is>
          <t>영업활동 현금흐름</t>
        </is>
      </c>
      <c r="D43" s="11" t="n">
        <v>1.4058</v>
      </c>
      <c r="F43" s="11" t="n">
        <v>6.588</v>
      </c>
      <c r="H43" s="11" t="n">
        <v>0.4293</v>
      </c>
      <c r="J43" s="11" t="n">
        <v>6.9414</v>
      </c>
      <c r="L43" s="11" t="n">
        <v>-0.6453</v>
      </c>
      <c r="N43" s="11" t="n">
        <v>3.8097</v>
      </c>
      <c r="P43" s="11" t="n">
        <v>4.4573</v>
      </c>
      <c r="R43" s="11" t="n">
        <v>9.9139</v>
      </c>
      <c r="T43" s="11" t="n">
        <v>0.8046</v>
      </c>
      <c r="V43" s="11" t="n">
        <v>8.418200000000001</v>
      </c>
      <c r="W43" s="11" t="n">
        <v>8.659599999999999</v>
      </c>
      <c r="X43" s="11" t="n">
        <v>11.1826</v>
      </c>
      <c r="Y43" s="11" t="n">
        <v>3.9544</v>
      </c>
      <c r="Z43" s="11" t="n">
        <v>12.1223</v>
      </c>
      <c r="AA43" s="11" t="n">
        <v>6.588</v>
      </c>
      <c r="AB43" s="11" t="n">
        <v>6.9414</v>
      </c>
      <c r="AC43" s="11" t="n">
        <v>3.8097</v>
      </c>
      <c r="AD43" s="11" t="n">
        <v>9.9139</v>
      </c>
      <c r="AE43" s="11" t="n">
        <v>8.418200000000001</v>
      </c>
    </row>
    <row r="44">
      <c r="A44" s="10" t="inlineStr">
        <is>
          <t>정기예금 증감</t>
        </is>
      </c>
      <c r="D44" s="11" t="n">
        <v>0</v>
      </c>
      <c r="H44" s="11" t="n">
        <v>3</v>
      </c>
    </row>
    <row r="45">
      <c r="A45" s="10" t="inlineStr">
        <is>
          <t>정기예금 증감</t>
        </is>
      </c>
      <c r="F45" s="11" t="n">
        <v>0</v>
      </c>
      <c r="H45" s="11" t="n">
        <v>3</v>
      </c>
      <c r="J45" s="11" t="n">
        <v>-1</v>
      </c>
      <c r="L45" s="11" t="n">
        <v>3</v>
      </c>
      <c r="N45" s="11" t="n">
        <v>0</v>
      </c>
      <c r="P45" s="11" t="n">
        <v>1.3721</v>
      </c>
      <c r="R45" s="11" t="n">
        <v>1.3811</v>
      </c>
      <c r="T45" s="11" t="n">
        <v>2.2178</v>
      </c>
      <c r="V45" s="11" t="n">
        <v>-3.0739</v>
      </c>
      <c r="W45" s="11" t="n">
        <v>7</v>
      </c>
      <c r="X45" s="11" t="n">
        <v>-0.021</v>
      </c>
      <c r="Y45" s="11" t="n">
        <v>-4.979</v>
      </c>
      <c r="Z45" s="11" t="n">
        <v>0</v>
      </c>
      <c r="AA45" s="11" t="n">
        <v>0</v>
      </c>
      <c r="AB45" s="11" t="n">
        <v>-1</v>
      </c>
      <c r="AC45" s="11" t="n">
        <v>0</v>
      </c>
      <c r="AD45" s="11" t="n">
        <v>1.3811</v>
      </c>
      <c r="AE45" s="11" t="n">
        <v>-3.0739</v>
      </c>
    </row>
    <row r="46">
      <c r="A46" s="10" t="inlineStr">
        <is>
          <t>유가증권 취득</t>
        </is>
      </c>
      <c r="D46" s="11" t="n">
        <v>-2</v>
      </c>
      <c r="F46" s="11" t="n">
        <v>-4</v>
      </c>
      <c r="H46" s="11" t="n">
        <v>-1.9996</v>
      </c>
      <c r="J46" s="11" t="n">
        <v>-1.9996</v>
      </c>
      <c r="L46" s="11" t="n">
        <v>-1.0014</v>
      </c>
      <c r="N46" s="11" t="n">
        <v>-2.0032</v>
      </c>
      <c r="P46" s="11" t="n">
        <v>-2.0026</v>
      </c>
      <c r="R46" s="11" t="n">
        <v>-4.9976</v>
      </c>
      <c r="T46" s="11" t="n">
        <v>0</v>
      </c>
      <c r="V46" s="11" t="n">
        <v>-0.9907</v>
      </c>
      <c r="Z46" s="11" t="n">
        <v>0</v>
      </c>
      <c r="AA46" s="11" t="n">
        <v>-4</v>
      </c>
      <c r="AB46" s="11" t="n">
        <v>-1.9996</v>
      </c>
      <c r="AC46" s="11" t="n">
        <v>-2.0032</v>
      </c>
      <c r="AD46" s="11" t="n">
        <v>-4.9976</v>
      </c>
      <c r="AE46" s="11" t="n">
        <v>-0.9907</v>
      </c>
    </row>
    <row r="47">
      <c r="A47" s="10" t="inlineStr">
        <is>
          <t>유가증권 상환 수입</t>
        </is>
      </c>
      <c r="D47" s="11" t="n">
        <v>2</v>
      </c>
      <c r="F47" s="11" t="n">
        <v>5</v>
      </c>
      <c r="H47" s="11" t="n">
        <v>6</v>
      </c>
      <c r="J47" s="11" t="n">
        <v>7</v>
      </c>
      <c r="L47" s="11" t="n">
        <v>3.7353</v>
      </c>
      <c r="N47" s="11" t="n">
        <v>10.7354</v>
      </c>
      <c r="P47" s="11" t="n">
        <v>1</v>
      </c>
      <c r="R47" s="11" t="n">
        <v>5</v>
      </c>
      <c r="T47" s="11" t="n">
        <v>3</v>
      </c>
      <c r="V47" s="11" t="n">
        <v>5</v>
      </c>
      <c r="W47" s="11" t="n">
        <v>2</v>
      </c>
      <c r="X47" s="11" t="n">
        <v>0</v>
      </c>
      <c r="Y47" s="11" t="n">
        <v>0</v>
      </c>
      <c r="Z47" s="11" t="n">
        <v>2</v>
      </c>
      <c r="AA47" s="11" t="n">
        <v>5</v>
      </c>
      <c r="AB47" s="11" t="n">
        <v>7</v>
      </c>
      <c r="AC47" s="11" t="n">
        <v>10.7354</v>
      </c>
      <c r="AD47" s="11" t="n">
        <v>5</v>
      </c>
      <c r="AE47" s="11" t="n">
        <v>5</v>
      </c>
    </row>
    <row r="48">
      <c r="A48" s="10" t="inlineStr">
        <is>
          <t>유형자산 취득(설비투자)</t>
        </is>
      </c>
      <c r="D48" s="11" t="n">
        <v>-2.1321</v>
      </c>
      <c r="F48" s="11" t="n">
        <v>-4.0013</v>
      </c>
      <c r="H48" s="11" t="n">
        <v>-3.1955</v>
      </c>
      <c r="J48" s="11" t="n">
        <v>-6.8746</v>
      </c>
      <c r="L48" s="11" t="n">
        <v>-4.074</v>
      </c>
      <c r="N48" s="11" t="n">
        <v>-6.1584</v>
      </c>
      <c r="P48" s="11" t="n">
        <v>-3.9225</v>
      </c>
      <c r="R48" s="11" t="n">
        <v>-6.4518</v>
      </c>
      <c r="T48" s="11" t="n">
        <v>-2.2727</v>
      </c>
      <c r="V48" s="11" t="n">
        <v>-4.708</v>
      </c>
      <c r="W48" s="11" t="n">
        <v>-13.79</v>
      </c>
      <c r="X48" s="11" t="n">
        <v>-6.0238</v>
      </c>
      <c r="Y48" s="11" t="n">
        <v>-3.6498</v>
      </c>
      <c r="Z48" s="11" t="n">
        <v>-2.0895</v>
      </c>
      <c r="AA48" s="11" t="n">
        <v>-4.0013</v>
      </c>
      <c r="AB48" s="11" t="n">
        <v>-6.8746</v>
      </c>
      <c r="AC48" s="11" t="n">
        <v>-6.1584</v>
      </c>
      <c r="AD48" s="11" t="n">
        <v>-6.4518</v>
      </c>
      <c r="AE48" s="11" t="n">
        <v>-4.708</v>
      </c>
    </row>
    <row r="49">
      <c r="A49" s="10" t="inlineStr">
        <is>
          <t>유형자산 매각</t>
        </is>
      </c>
      <c r="D49" s="11" t="n">
        <v>2.0249</v>
      </c>
      <c r="F49" s="11" t="n">
        <v>2.0664</v>
      </c>
      <c r="H49" s="11" t="n">
        <v>0.0219</v>
      </c>
      <c r="J49" s="11" t="n">
        <v>0.1118</v>
      </c>
      <c r="L49" s="11" t="n">
        <v>0.227</v>
      </c>
      <c r="N49" s="11" t="n">
        <v>0.3339</v>
      </c>
      <c r="P49" s="11" t="n">
        <v>0.3273</v>
      </c>
      <c r="R49" s="11" t="n">
        <v>0.428</v>
      </c>
      <c r="T49" s="11" t="n">
        <v>0.0273</v>
      </c>
      <c r="V49" s="11" t="n">
        <v>0.0018</v>
      </c>
      <c r="W49" s="11" t="n">
        <v>0.2463</v>
      </c>
      <c r="X49" s="11" t="n">
        <v>0.0617</v>
      </c>
      <c r="Y49" s="11" t="n">
        <v>0.183</v>
      </c>
      <c r="Z49" s="11" t="n">
        <v>0.5773</v>
      </c>
      <c r="AA49" s="11" t="n">
        <v>2.0664</v>
      </c>
      <c r="AB49" s="11" t="n">
        <v>0.1118</v>
      </c>
      <c r="AC49" s="11" t="n">
        <v>0.3339</v>
      </c>
      <c r="AD49" s="11" t="n">
        <v>0.428</v>
      </c>
      <c r="AE49" s="11" t="n">
        <v>0.0018</v>
      </c>
    </row>
    <row r="50">
      <c r="A50" s="10" t="inlineStr">
        <is>
          <t>무형자산 취득</t>
        </is>
      </c>
      <c r="D50" s="11" t="n">
        <v>-0.1393</v>
      </c>
      <c r="F50" s="11" t="n">
        <v>-0.5445</v>
      </c>
      <c r="H50" s="11" t="n">
        <v>-0.2734</v>
      </c>
      <c r="J50" s="11" t="n">
        <v>-0.4666</v>
      </c>
      <c r="L50" s="11" t="n">
        <v>-0.083</v>
      </c>
      <c r="N50" s="11" t="n">
        <v>-0.09810000000000001</v>
      </c>
      <c r="P50" s="11" t="n">
        <v>-0.3277</v>
      </c>
      <c r="R50" s="11" t="n">
        <v>-0.4143</v>
      </c>
      <c r="T50" s="11" t="n">
        <v>-0.0444</v>
      </c>
      <c r="V50" s="11" t="n">
        <v>-0.07770000000000001</v>
      </c>
      <c r="W50" s="11" t="n">
        <v>-0.7836</v>
      </c>
      <c r="X50" s="11" t="n">
        <v>-0.1824</v>
      </c>
      <c r="Y50" s="11" t="n">
        <v>-0.5211</v>
      </c>
      <c r="Z50" s="11" t="n">
        <v>-0.2942</v>
      </c>
      <c r="AA50" s="11" t="n">
        <v>-0.5445</v>
      </c>
      <c r="AB50" s="11" t="n">
        <v>-0.4666</v>
      </c>
      <c r="AC50" s="11" t="n">
        <v>-0.09810000000000001</v>
      </c>
      <c r="AD50" s="11" t="n">
        <v>-0.4143</v>
      </c>
      <c r="AE50" s="11" t="n">
        <v>-0.07770000000000001</v>
      </c>
    </row>
    <row r="51">
      <c r="A51" s="10" t="inlineStr">
        <is>
          <t>투자유가증권 취득</t>
        </is>
      </c>
      <c r="D51" s="11" t="n">
        <v>-4.0219</v>
      </c>
      <c r="F51" s="11" t="n">
        <v>-8.053699999999999</v>
      </c>
      <c r="H51" s="11" t="n">
        <v>-3.0158</v>
      </c>
      <c r="J51" s="11" t="n">
        <v>-5.0398</v>
      </c>
      <c r="L51" s="11" t="n">
        <v>-2.0248</v>
      </c>
      <c r="N51" s="11" t="n">
        <v>-3.0493</v>
      </c>
      <c r="P51" s="11" t="n">
        <v>-0.0233</v>
      </c>
      <c r="R51" s="11" t="n">
        <v>-1.0478</v>
      </c>
      <c r="T51" s="11" t="n">
        <v>-0.0241</v>
      </c>
      <c r="V51" s="11" t="n">
        <v>-3.0253</v>
      </c>
      <c r="W51" s="11" t="n">
        <v>-0.0296</v>
      </c>
      <c r="X51" s="11" t="n">
        <v>-0.5983000000000001</v>
      </c>
      <c r="Y51" s="11" t="n">
        <v>-0.0336</v>
      </c>
      <c r="Z51" s="11" t="n">
        <v>-3.0362</v>
      </c>
      <c r="AA51" s="11" t="n">
        <v>-8.053699999999999</v>
      </c>
      <c r="AB51" s="11" t="n">
        <v>-5.0398</v>
      </c>
      <c r="AC51" s="11" t="n">
        <v>-3.0493</v>
      </c>
      <c r="AD51" s="11" t="n">
        <v>-1.0478</v>
      </c>
      <c r="AE51" s="11" t="n">
        <v>-3.0253</v>
      </c>
    </row>
    <row r="52">
      <c r="A52" s="10" t="inlineStr">
        <is>
          <t>보험적립금 해약</t>
        </is>
      </c>
      <c r="W52" s="11" t="n">
        <v>0.2271</v>
      </c>
      <c r="X52" s="11" t="n">
        <v>0.0542</v>
      </c>
      <c r="Y52" s="11" t="n">
        <v>0</v>
      </c>
    </row>
    <row r="53">
      <c r="A53" s="10" t="inlineStr">
        <is>
          <t>설비 이설 지출</t>
        </is>
      </c>
      <c r="W53" s="11" t="n">
        <v>-0.4324</v>
      </c>
      <c r="X53" s="11" t="n">
        <v>0</v>
      </c>
    </row>
    <row r="54">
      <c r="A54" s="10" t="inlineStr">
        <is>
          <t>보조금 수취</t>
        </is>
      </c>
      <c r="F54" s="11" t="n">
        <v>0.06469999999999999</v>
      </c>
      <c r="J54" s="11" t="n">
        <v>0.065</v>
      </c>
      <c r="N54" s="11" t="n">
        <v>0.0429</v>
      </c>
      <c r="R54" s="11" t="n">
        <v>0</v>
      </c>
      <c r="X54" s="11" t="n">
        <v>0</v>
      </c>
      <c r="Y54" s="11" t="n">
        <v>0.4538</v>
      </c>
      <c r="Z54" s="11" t="n">
        <v>0.0649</v>
      </c>
      <c r="AA54" s="11" t="n">
        <v>0.06469999999999999</v>
      </c>
      <c r="AB54" s="11" t="n">
        <v>0.065</v>
      </c>
      <c r="AC54" s="11" t="n">
        <v>0.0429</v>
      </c>
      <c r="AD54" s="11" t="n">
        <v>0</v>
      </c>
    </row>
    <row r="55">
      <c r="A55" s="10" t="inlineStr">
        <is>
          <t>투자유가증권 매각</t>
        </is>
      </c>
      <c r="P55" s="11" t="n">
        <v>0</v>
      </c>
      <c r="R55" s="11" t="n">
        <v>0</v>
      </c>
      <c r="T55" s="11" t="n">
        <v>0.2013</v>
      </c>
      <c r="V55" s="11" t="n">
        <v>1.1713</v>
      </c>
      <c r="AD55" s="11" t="n">
        <v>0</v>
      </c>
      <c r="AE55" s="11" t="n">
        <v>1.1713</v>
      </c>
    </row>
    <row r="56">
      <c r="A56" s="10" t="inlineStr">
        <is>
          <t>기타</t>
        </is>
      </c>
      <c r="D56" s="11" t="n">
        <v>0.0177</v>
      </c>
      <c r="F56" s="11" t="n">
        <v>0.006</v>
      </c>
      <c r="H56" s="11" t="n">
        <v>-0.0003</v>
      </c>
      <c r="J56" s="11" t="n">
        <v>-0.018</v>
      </c>
      <c r="L56" s="11" t="n">
        <v>-0.0436</v>
      </c>
      <c r="N56" s="11" t="n">
        <v>0.0745</v>
      </c>
      <c r="P56" s="11" t="n">
        <v>-0.0022</v>
      </c>
      <c r="R56" s="11" t="n">
        <v>-0.0167</v>
      </c>
      <c r="T56" s="11" t="n">
        <v>-0.0097</v>
      </c>
      <c r="V56" s="11" t="n">
        <v>0.1414</v>
      </c>
      <c r="W56" s="11" t="n">
        <v>-0.017</v>
      </c>
      <c r="X56" s="11" t="n">
        <v>0.0028</v>
      </c>
      <c r="Y56" s="11" t="n">
        <v>0.0403</v>
      </c>
      <c r="Z56" s="11" t="n">
        <v>0.0068</v>
      </c>
      <c r="AA56" s="11" t="n">
        <v>0.006</v>
      </c>
      <c r="AB56" s="11" t="n">
        <v>-0.018</v>
      </c>
      <c r="AC56" s="11" t="n">
        <v>0.0745</v>
      </c>
      <c r="AD56" s="11" t="n">
        <v>-0.0167</v>
      </c>
      <c r="AE56" s="11" t="n">
        <v>0.1414</v>
      </c>
    </row>
    <row r="57">
      <c r="A57" s="10" t="inlineStr">
        <is>
          <t>투자활동 현금흐름</t>
        </is>
      </c>
      <c r="D57" s="11" t="n">
        <v>-4.2507</v>
      </c>
      <c r="F57" s="11" t="n">
        <v>-9.4625</v>
      </c>
      <c r="H57" s="11" t="n">
        <v>0.5372</v>
      </c>
      <c r="J57" s="11" t="n">
        <v>-8.2218</v>
      </c>
      <c r="L57" s="11" t="n">
        <v>-0.2644</v>
      </c>
      <c r="N57" s="11" t="n">
        <v>-0.1223</v>
      </c>
      <c r="P57" s="11" t="n">
        <v>-3.5789</v>
      </c>
      <c r="R57" s="11" t="n">
        <v>-6.119</v>
      </c>
      <c r="T57" s="11" t="n">
        <v>3.0955</v>
      </c>
      <c r="V57" s="11" t="n">
        <v>-5.5611</v>
      </c>
      <c r="W57" s="11" t="n">
        <v>-5.5791</v>
      </c>
      <c r="X57" s="11" t="n">
        <v>-6.7069</v>
      </c>
      <c r="Y57" s="11" t="n">
        <v>-8.506399999999999</v>
      </c>
      <c r="Z57" s="11" t="n">
        <v>-2.771</v>
      </c>
      <c r="AA57" s="11" t="n">
        <v>-9.4625</v>
      </c>
      <c r="AB57" s="11" t="n">
        <v>-8.2218</v>
      </c>
      <c r="AC57" s="11" t="n">
        <v>-0.1223</v>
      </c>
      <c r="AD57" s="11" t="n">
        <v>-6.119</v>
      </c>
      <c r="AE57" s="11" t="n">
        <v>-5.5611</v>
      </c>
    </row>
    <row r="58">
      <c r="A58" s="10" t="inlineStr">
        <is>
          <t>단기차입금 증감</t>
        </is>
      </c>
      <c r="D58" s="11" t="n">
        <v>-3</v>
      </c>
      <c r="F58" s="11" t="n">
        <v>-3</v>
      </c>
      <c r="H58" s="11" t="n">
        <v>0</v>
      </c>
      <c r="J58" s="11" t="n">
        <v>0</v>
      </c>
      <c r="N58" s="11" t="n">
        <v>-2</v>
      </c>
      <c r="R58" s="11" t="n">
        <v>0</v>
      </c>
      <c r="W58" s="11" t="n">
        <v>0</v>
      </c>
      <c r="X58" s="11" t="n">
        <v>3</v>
      </c>
      <c r="Y58" s="11" t="n">
        <v>0</v>
      </c>
      <c r="Z58" s="11" t="n">
        <v>0</v>
      </c>
      <c r="AA58" s="11" t="n">
        <v>-3</v>
      </c>
      <c r="AB58" s="11" t="n">
        <v>0</v>
      </c>
      <c r="AC58" s="11" t="n">
        <v>-2</v>
      </c>
      <c r="AD58" s="11" t="n">
        <v>0</v>
      </c>
    </row>
    <row r="59">
      <c r="A59" s="10" t="inlineStr">
        <is>
          <t>장기차입</t>
        </is>
      </c>
      <c r="D59" s="11" t="n">
        <v>5</v>
      </c>
      <c r="F59" s="11" t="n">
        <v>5</v>
      </c>
      <c r="H59" s="11" t="n">
        <v>0.15</v>
      </c>
      <c r="J59" s="11" t="n">
        <v>0.15</v>
      </c>
      <c r="L59" s="11" t="n">
        <v>3.3</v>
      </c>
      <c r="N59" s="11" t="n">
        <v>3.3</v>
      </c>
      <c r="P59" s="11" t="n">
        <v>0.3</v>
      </c>
      <c r="R59" s="11" t="n">
        <v>0.3</v>
      </c>
      <c r="T59" s="11" t="n">
        <v>2</v>
      </c>
      <c r="V59" s="11" t="n">
        <v>2</v>
      </c>
      <c r="W59" s="11" t="n">
        <v>6</v>
      </c>
      <c r="X59" s="11" t="n">
        <v>0</v>
      </c>
      <c r="Y59" s="11" t="n">
        <v>5.2</v>
      </c>
      <c r="Z59" s="11" t="n">
        <v>0.4</v>
      </c>
      <c r="AA59" s="11" t="n">
        <v>5</v>
      </c>
      <c r="AB59" s="11" t="n">
        <v>0.15</v>
      </c>
      <c r="AC59" s="11" t="n">
        <v>3.3</v>
      </c>
      <c r="AD59" s="11" t="n">
        <v>0.3</v>
      </c>
      <c r="AE59" s="11" t="n">
        <v>2</v>
      </c>
    </row>
    <row r="60">
      <c r="A60" s="10" t="inlineStr">
        <is>
          <t>장기차입금 상환</t>
        </is>
      </c>
      <c r="D60" s="11" t="n">
        <v>-1.5256</v>
      </c>
      <c r="F60" s="11" t="n">
        <v>-3.0917</v>
      </c>
      <c r="H60" s="11" t="n">
        <v>-1.5256</v>
      </c>
      <c r="J60" s="11" t="n">
        <v>-2.6746</v>
      </c>
      <c r="L60" s="11" t="n">
        <v>-1.2725</v>
      </c>
      <c r="N60" s="11" t="n">
        <v>-2.3874</v>
      </c>
      <c r="P60" s="11" t="n">
        <v>-1.4487</v>
      </c>
      <c r="R60" s="11" t="n">
        <v>-2.5305</v>
      </c>
      <c r="T60" s="11" t="n">
        <v>-1.3068</v>
      </c>
      <c r="V60" s="11" t="n">
        <v>-2.9717</v>
      </c>
      <c r="W60" s="11" t="n">
        <v>-7.5025</v>
      </c>
      <c r="X60" s="11" t="n">
        <v>-2.4484</v>
      </c>
      <c r="Y60" s="11" t="n">
        <v>-3.4579</v>
      </c>
      <c r="Z60" s="11" t="n">
        <v>-3.0392</v>
      </c>
      <c r="AA60" s="11" t="n">
        <v>-3.0917</v>
      </c>
      <c r="AB60" s="11" t="n">
        <v>-2.6746</v>
      </c>
      <c r="AC60" s="11" t="n">
        <v>-2.3874</v>
      </c>
      <c r="AD60" s="11" t="n">
        <v>-2.5305</v>
      </c>
      <c r="AE60" s="11" t="n">
        <v>-2.9717</v>
      </c>
    </row>
    <row r="61">
      <c r="A61" s="10" t="inlineStr">
        <is>
          <t>리스부채 상환</t>
        </is>
      </c>
      <c r="D61" s="11" t="n">
        <v>-0.0314</v>
      </c>
      <c r="F61" s="11" t="n">
        <v>-0.06279999999999999</v>
      </c>
      <c r="H61" s="11" t="n">
        <v>-0.0314</v>
      </c>
      <c r="J61" s="11" t="n">
        <v>-0.0617</v>
      </c>
      <c r="L61" s="11" t="n">
        <v>-0.0244</v>
      </c>
      <c r="N61" s="11" t="n">
        <v>-0.045</v>
      </c>
      <c r="P61" s="11" t="n">
        <v>-0.0206</v>
      </c>
      <c r="R61" s="11" t="n">
        <v>-0.0412</v>
      </c>
      <c r="T61" s="11" t="n">
        <v>-0.0103</v>
      </c>
      <c r="V61" s="11" t="n">
        <v>-0.0103</v>
      </c>
      <c r="W61" s="11" t="n">
        <v>-0.0423</v>
      </c>
      <c r="X61" s="11" t="n">
        <v>-0.0578</v>
      </c>
      <c r="Y61" s="11" t="n">
        <v>-0.06279999999999999</v>
      </c>
      <c r="Z61" s="11" t="n">
        <v>-0.06279999999999999</v>
      </c>
      <c r="AA61" s="11" t="n">
        <v>-0.06279999999999999</v>
      </c>
      <c r="AB61" s="11" t="n">
        <v>-0.0617</v>
      </c>
      <c r="AC61" s="11" t="n">
        <v>-0.045</v>
      </c>
      <c r="AD61" s="11" t="n">
        <v>-0.0412</v>
      </c>
      <c r="AE61" s="11" t="n">
        <v>-0.0103</v>
      </c>
    </row>
    <row r="62">
      <c r="A62" s="10" t="inlineStr">
        <is>
          <t>자기주식 취득</t>
        </is>
      </c>
      <c r="D62" s="11" t="n">
        <v>0</v>
      </c>
      <c r="F62" s="11" t="n">
        <v>-0.001</v>
      </c>
      <c r="H62" s="11" t="n">
        <v>-0.0015</v>
      </c>
      <c r="J62" s="11" t="n">
        <v>-0.002</v>
      </c>
      <c r="L62" s="11" t="n">
        <v>0</v>
      </c>
      <c r="N62" s="11" t="n">
        <v>0</v>
      </c>
      <c r="R62" s="11" t="n">
        <v>0</v>
      </c>
      <c r="V62" s="11" t="n">
        <v>-0.0011</v>
      </c>
      <c r="W62" s="11" t="n">
        <v>-0.0005999999999999999</v>
      </c>
      <c r="X62" s="11" t="n">
        <v>-0.4365</v>
      </c>
      <c r="Y62" s="11" t="n">
        <v>-0.0017</v>
      </c>
      <c r="Z62" s="11" t="n">
        <v>0</v>
      </c>
      <c r="AA62" s="11" t="n">
        <v>-0.001</v>
      </c>
      <c r="AB62" s="11" t="n">
        <v>-0.002</v>
      </c>
      <c r="AC62" s="11" t="n">
        <v>0</v>
      </c>
      <c r="AD62" s="11" t="n">
        <v>0</v>
      </c>
      <c r="AE62" s="11" t="n">
        <v>-0.0011</v>
      </c>
    </row>
    <row r="63">
      <c r="A63" s="10" t="inlineStr">
        <is>
          <t>배당금 지급</t>
        </is>
      </c>
      <c r="D63" s="11" t="n">
        <v>-0.5068</v>
      </c>
      <c r="F63" s="11" t="n">
        <v>-0.5084</v>
      </c>
      <c r="H63" s="11" t="n">
        <v>-0.7032</v>
      </c>
      <c r="J63" s="11" t="n">
        <v>-0.7043</v>
      </c>
      <c r="L63" s="11" t="n">
        <v>-1.1239</v>
      </c>
      <c r="N63" s="11" t="n">
        <v>-1.1272</v>
      </c>
      <c r="P63" s="11" t="n">
        <v>-0.9139</v>
      </c>
      <c r="R63" s="11" t="n">
        <v>-0.9202</v>
      </c>
      <c r="T63" s="11" t="n">
        <v>-0.9154</v>
      </c>
      <c r="V63" s="11" t="n">
        <v>-0.9165</v>
      </c>
      <c r="W63" s="11" t="n">
        <v>-0.4298</v>
      </c>
      <c r="X63" s="11" t="n">
        <v>-0.43</v>
      </c>
      <c r="Y63" s="11" t="n">
        <v>-0.4237</v>
      </c>
      <c r="Z63" s="11" t="n">
        <v>-0.4243</v>
      </c>
      <c r="AA63" s="11" t="n">
        <v>-0.5084</v>
      </c>
      <c r="AB63" s="11" t="n">
        <v>-0.7043</v>
      </c>
      <c r="AC63" s="11" t="n">
        <v>-1.1272</v>
      </c>
      <c r="AD63" s="11" t="n">
        <v>-0.9202</v>
      </c>
      <c r="AE63" s="11" t="n">
        <v>-0.9165</v>
      </c>
    </row>
    <row r="64">
      <c r="A64" s="10" t="inlineStr">
        <is>
          <t>연결범위 변경 없는 자회사 주식 취득</t>
        </is>
      </c>
      <c r="J64" s="11" t="n">
        <v>0</v>
      </c>
      <c r="N64" s="11" t="n">
        <v>-0.1799</v>
      </c>
      <c r="R64" s="11" t="n">
        <v>0</v>
      </c>
      <c r="AB64" s="11" t="n">
        <v>0</v>
      </c>
      <c r="AC64" s="11" t="n">
        <v>-0.1799</v>
      </c>
      <c r="AD64" s="11" t="n">
        <v>0</v>
      </c>
    </row>
    <row r="65">
      <c r="A65" s="10" t="inlineStr">
        <is>
          <t>재무활동 현금흐름</t>
        </is>
      </c>
      <c r="D65" s="11" t="n">
        <v>-0.0638</v>
      </c>
      <c r="F65" s="11" t="n">
        <v>-1.6639</v>
      </c>
      <c r="H65" s="11" t="n">
        <v>-2.1117</v>
      </c>
      <c r="J65" s="11" t="n">
        <v>-3.2926</v>
      </c>
      <c r="L65" s="11" t="n">
        <v>0.8792</v>
      </c>
      <c r="N65" s="11" t="n">
        <v>-2.4395</v>
      </c>
      <c r="P65" s="11" t="n">
        <v>-2.0833</v>
      </c>
      <c r="R65" s="11" t="n">
        <v>-3.1919</v>
      </c>
      <c r="T65" s="11" t="n">
        <v>-0.2325</v>
      </c>
      <c r="V65" s="11" t="n">
        <v>-1.8996</v>
      </c>
      <c r="W65" s="11" t="n">
        <v>-1.9753</v>
      </c>
      <c r="X65" s="11" t="n">
        <v>-0.3727</v>
      </c>
      <c r="Y65" s="11" t="n">
        <v>1.2538</v>
      </c>
      <c r="Z65" s="11" t="n">
        <v>-3.1264</v>
      </c>
      <c r="AA65" s="11" t="n">
        <v>-1.6639</v>
      </c>
      <c r="AB65" s="11" t="n">
        <v>-3.2926</v>
      </c>
      <c r="AC65" s="11" t="n">
        <v>-2.4395</v>
      </c>
      <c r="AD65" s="11" t="n">
        <v>-3.1919</v>
      </c>
      <c r="AE65" s="11" t="n">
        <v>-1.8996</v>
      </c>
    </row>
    <row r="66">
      <c r="A66" s="10" t="inlineStr">
        <is>
          <t>현금성자산 환산차이</t>
        </is>
      </c>
      <c r="D66" s="11" t="n">
        <v>0.1358</v>
      </c>
      <c r="F66" s="11" t="n">
        <v>0.4734</v>
      </c>
      <c r="H66" s="11" t="n">
        <v>-0.0501</v>
      </c>
      <c r="J66" s="11" t="n">
        <v>0.036</v>
      </c>
      <c r="L66" s="11" t="n">
        <v>0.0381</v>
      </c>
      <c r="N66" s="11" t="n">
        <v>0.0284</v>
      </c>
      <c r="P66" s="11" t="n">
        <v>-0.0357</v>
      </c>
      <c r="R66" s="11" t="n">
        <v>-0.0114</v>
      </c>
      <c r="T66" s="11" t="n">
        <v>0.3356</v>
      </c>
      <c r="V66" s="11" t="n">
        <v>0.3775</v>
      </c>
      <c r="W66" s="11" t="n">
        <v>-0.0267</v>
      </c>
      <c r="X66" s="11" t="n">
        <v>-0.1678</v>
      </c>
      <c r="Y66" s="11" t="n">
        <v>0.0003</v>
      </c>
      <c r="Z66" s="11" t="n">
        <v>0.2464</v>
      </c>
      <c r="AA66" s="11" t="n">
        <v>0.4734</v>
      </c>
      <c r="AB66" s="11" t="n">
        <v>0.036</v>
      </c>
      <c r="AC66" s="11" t="n">
        <v>0.0284</v>
      </c>
      <c r="AD66" s="11" t="n">
        <v>-0.0114</v>
      </c>
      <c r="AE66" s="11" t="n">
        <v>0.3775</v>
      </c>
    </row>
    <row r="67">
      <c r="A67" s="10" t="inlineStr">
        <is>
          <t>현금성자산 증감</t>
        </is>
      </c>
      <c r="D67" s="11" t="n">
        <v>-2.7729</v>
      </c>
      <c r="F67" s="11" t="n">
        <v>-4.0649</v>
      </c>
      <c r="H67" s="11" t="n">
        <v>-1.1953</v>
      </c>
      <c r="J67" s="11" t="n">
        <v>-4.5371</v>
      </c>
      <c r="L67" s="11" t="n">
        <v>0.0075</v>
      </c>
      <c r="N67" s="11" t="n">
        <v>1.2763</v>
      </c>
      <c r="P67" s="11" t="n">
        <v>-1.2406</v>
      </c>
      <c r="R67" s="11" t="n">
        <v>0.5916</v>
      </c>
      <c r="T67" s="11" t="n">
        <v>4.0032</v>
      </c>
      <c r="V67" s="11" t="n">
        <v>1.3349</v>
      </c>
      <c r="W67" s="11" t="n">
        <v>1.0785</v>
      </c>
      <c r="X67" s="11" t="n">
        <v>3.9353</v>
      </c>
      <c r="Y67" s="11" t="n">
        <v>-3.2978</v>
      </c>
      <c r="Z67" s="11" t="n">
        <v>6.4714</v>
      </c>
      <c r="AA67" s="11" t="n">
        <v>-4.0649</v>
      </c>
      <c r="AB67" s="11" t="n">
        <v>-4.5371</v>
      </c>
      <c r="AC67" s="11" t="n">
        <v>1.2763</v>
      </c>
      <c r="AD67" s="11" t="n">
        <v>0.5916</v>
      </c>
      <c r="AE67" s="11" t="n">
        <v>1.3349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44" customWidth="1" min="7" max="7"/>
  </cols>
  <sheetData>
    <row r="1">
      <c r="A1" s="1" t="inlineStr">
        <is>
          <t>HKS 섹터·사업 데이터</t>
        </is>
      </c>
    </row>
    <row r="2">
      <c r="A2" s="2" t="inlineStr">
        <is>
          <t>2단계 보고서를 만들 때 모은 자료 · 월차 · 출처는 맨 오른쪽</t>
        </is>
      </c>
    </row>
    <row r="4">
      <c r="A4" s="12" t="inlineStr">
        <is>
          <t>가이던스 fy27</t>
        </is>
      </c>
      <c r="B4" s="12" t="n"/>
      <c r="C4" s="12" t="n"/>
      <c r="D4" s="12" t="n"/>
      <c r="E4" s="12" t="n"/>
      <c r="F4" s="12" t="n"/>
      <c r="G4" s="12" t="n"/>
    </row>
    <row r="5">
      <c r="A5" s="13" t="inlineStr">
        <is>
          <t>항목</t>
        </is>
      </c>
      <c r="B5" s="13" t="inlineStr">
        <is>
          <t>값</t>
        </is>
      </c>
      <c r="G5" s="13" t="inlineStr">
        <is>
          <t>출처</t>
        </is>
      </c>
    </row>
    <row r="6">
      <c r="A6" s="14" t="inlineStr">
        <is>
          <t>매출</t>
        </is>
      </c>
      <c r="B6" s="11" t="n">
        <v>99</v>
      </c>
      <c r="G6" s="3" t="inlineStr">
        <is>
          <t>2단계 보고서 자료(회사 설명회 자료·공시)</t>
        </is>
      </c>
    </row>
    <row r="7">
      <c r="A7" s="14" t="inlineStr">
        <is>
          <t>영업이익</t>
        </is>
      </c>
      <c r="B7" s="11" t="n">
        <v>6</v>
      </c>
    </row>
    <row r="8">
      <c r="A8" s="14" t="inlineStr">
        <is>
          <t>ord</t>
        </is>
      </c>
      <c r="B8" s="11" t="n">
        <v>5.8</v>
      </c>
    </row>
    <row r="9">
      <c r="A9" s="14" t="inlineStr">
        <is>
          <t>순이익</t>
        </is>
      </c>
      <c r="B9" s="11" t="n">
        <v>4.5</v>
      </c>
    </row>
    <row r="10">
      <c r="A10" s="14" t="inlineStr">
        <is>
          <t>EPS</t>
        </is>
      </c>
      <c r="B10" s="11" t="n">
        <v>318.05</v>
      </c>
    </row>
    <row r="11">
      <c r="A11" s="14" t="inlineStr">
        <is>
          <t>dps</t>
        </is>
      </c>
      <c r="B11" s="15" t="n">
        <v>83</v>
      </c>
    </row>
    <row r="12">
      <c r="A12" s="14" t="inlineStr">
        <is>
          <t>상반기 매출</t>
        </is>
      </c>
      <c r="B12" s="11" t="n">
        <v>46.75</v>
      </c>
    </row>
    <row r="13">
      <c r="A13" s="14" t="inlineStr">
        <is>
          <t>상반기 영업이익</t>
        </is>
      </c>
      <c r="B13" s="11" t="n">
        <v>2.5</v>
      </c>
    </row>
    <row r="14">
      <c r="A14" s="14" t="inlineStr">
        <is>
          <t>상반기 ord</t>
        </is>
      </c>
      <c r="B14" s="11" t="n">
        <v>2.1</v>
      </c>
    </row>
    <row r="15">
      <c r="A15" s="14" t="inlineStr">
        <is>
          <t>상반기 순이익</t>
        </is>
      </c>
      <c r="B15" s="11" t="n">
        <v>1.85</v>
      </c>
    </row>
    <row r="17">
      <c r="A17" s="12" t="inlineStr">
        <is>
          <t>top customer</t>
        </is>
      </c>
      <c r="B17" s="12" t="n"/>
      <c r="C17" s="12" t="n"/>
      <c r="D17" s="12" t="n"/>
      <c r="E17" s="12" t="n"/>
      <c r="F17" s="12" t="n"/>
      <c r="G17" s="12" t="n"/>
    </row>
    <row r="18">
      <c r="A18" s="13" t="inlineStr">
        <is>
          <t>항목</t>
        </is>
      </c>
      <c r="B18" s="13" t="inlineStr">
        <is>
          <t>값</t>
        </is>
      </c>
      <c r="G18" s="13" t="inlineStr">
        <is>
          <t>출처</t>
        </is>
      </c>
    </row>
    <row r="19">
      <c r="A19" s="14" t="inlineStr">
        <is>
          <t>FY8/25</t>
        </is>
      </c>
      <c r="B19" s="11" t="n">
        <v>9.529999999999999</v>
      </c>
      <c r="G19" s="3" t="inlineStr">
        <is>
          <t>2단계 보고서 자료(회사 설명회 자료·공시)</t>
        </is>
      </c>
    </row>
    <row r="20">
      <c r="A20" s="14" t="inlineStr">
        <is>
          <t>FY8/26</t>
        </is>
      </c>
      <c r="B20" s="11" t="n">
        <v>14.3</v>
      </c>
    </row>
    <row r="22">
      <c r="A22" s="12" t="inlineStr">
        <is>
          <t>bs fy26</t>
        </is>
      </c>
      <c r="B22" s="12" t="n"/>
      <c r="C22" s="12" t="n"/>
      <c r="D22" s="12" t="n"/>
      <c r="E22" s="12" t="n"/>
      <c r="F22" s="12" t="n"/>
      <c r="G22" s="12" t="n"/>
    </row>
    <row r="23">
      <c r="A23" s="13" t="inlineStr">
        <is>
          <t>항목</t>
        </is>
      </c>
      <c r="B23" s="13" t="inlineStr">
        <is>
          <t>값</t>
        </is>
      </c>
      <c r="G23" s="13" t="inlineStr">
        <is>
          <t>출처</t>
        </is>
      </c>
    </row>
    <row r="24">
      <c r="A24" s="14" t="inlineStr">
        <is>
          <t>합계 assets</t>
        </is>
      </c>
      <c r="B24" s="11" t="n">
        <v>137.57</v>
      </c>
      <c r="G24" s="3" t="inlineStr">
        <is>
          <t>2단계 보고서 자료(회사 설명회 자료·공시)</t>
        </is>
      </c>
    </row>
    <row r="25">
      <c r="A25" s="14" t="inlineStr">
        <is>
          <t>net assets</t>
        </is>
      </c>
      <c r="B25" s="11" t="n">
        <v>113.52</v>
      </c>
    </row>
    <row r="26">
      <c r="A26" s="14" t="inlineStr">
        <is>
          <t>equity ratio</t>
        </is>
      </c>
      <c r="B26" s="11" t="n">
        <v>82.5</v>
      </c>
    </row>
    <row r="27">
      <c r="A27" s="14" t="inlineStr">
        <is>
          <t>cash eq</t>
        </is>
      </c>
      <c r="B27" s="11" t="n">
        <v>17.15</v>
      </c>
    </row>
    <row r="28">
      <c r="A28" s="14" t="inlineStr">
        <is>
          <t>debt approx</t>
        </is>
      </c>
      <c r="B28" s="11" t="n">
        <v>4.2</v>
      </c>
    </row>
    <row r="29">
      <c r="A29" s="14" t="inlineStr">
        <is>
          <t>ocf</t>
        </is>
      </c>
      <c r="B29" s="11" t="n">
        <v>8.41</v>
      </c>
    </row>
    <row r="30">
      <c r="A30" s="14" t="inlineStr">
        <is>
          <t>설비투자</t>
        </is>
      </c>
      <c r="B30" s="11" t="n">
        <v>4.7</v>
      </c>
    </row>
    <row r="31">
      <c r="A31" s="14" t="inlineStr">
        <is>
          <t>dep</t>
        </is>
      </c>
      <c r="B31" s="11" t="n">
        <v>6.28</v>
      </c>
    </row>
    <row r="33">
      <c r="A33" s="12" t="inlineStr">
        <is>
          <t>peers · 7217 테인</t>
        </is>
      </c>
      <c r="B33" s="12" t="n"/>
      <c r="C33" s="12" t="n"/>
      <c r="D33" s="12" t="n"/>
      <c r="E33" s="12" t="n"/>
      <c r="F33" s="12" t="n"/>
      <c r="G33" s="12" t="n"/>
    </row>
    <row r="34">
      <c r="A34" s="13" t="inlineStr">
        <is>
          <t>항목</t>
        </is>
      </c>
      <c r="B34" s="13" t="inlineStr">
        <is>
          <t>값</t>
        </is>
      </c>
      <c r="G34" s="13" t="inlineStr">
        <is>
          <t>출처</t>
        </is>
      </c>
    </row>
    <row r="35">
      <c r="A35" s="14" t="inlineStr">
        <is>
          <t>fc EPS</t>
        </is>
      </c>
      <c r="B35" s="11" t="n">
        <v>35.35</v>
      </c>
      <c r="G35" s="3" t="inlineStr">
        <is>
          <t>2단계 보고서 자료(회사 설명회 자료·공시)</t>
        </is>
      </c>
    </row>
    <row r="36">
      <c r="A36" s="14" t="inlineStr">
        <is>
          <t>가격</t>
        </is>
      </c>
      <c r="B36" s="15" t="n">
        <v>460</v>
      </c>
    </row>
    <row r="38">
      <c r="A38" s="12" t="inlineStr">
        <is>
          <t>비교 기업 · 7242 KYB</t>
        </is>
      </c>
      <c r="B38" s="12" t="n"/>
      <c r="C38" s="12" t="n"/>
      <c r="D38" s="12" t="n"/>
      <c r="E38" s="12" t="n"/>
      <c r="F38" s="12" t="n"/>
      <c r="G38" s="12" t="n"/>
    </row>
    <row r="39">
      <c r="A39" s="13" t="inlineStr">
        <is>
          <t>항목</t>
        </is>
      </c>
      <c r="B39" s="13" t="inlineStr">
        <is>
          <t>값</t>
        </is>
      </c>
      <c r="G39" s="13" t="inlineStr">
        <is>
          <t>출처</t>
        </is>
      </c>
    </row>
    <row r="40">
      <c r="A40" s="14" t="inlineStr">
        <is>
          <t>fc EPS</t>
        </is>
      </c>
      <c r="B40" s="11" t="n">
        <v>130.65</v>
      </c>
      <c r="G40" s="3" t="inlineStr">
        <is>
          <t>2단계 보고서 자료(회사 설명회 자료·공시)</t>
        </is>
      </c>
    </row>
    <row r="41">
      <c r="A41" s="14" t="inlineStr">
        <is>
          <t>가격</t>
        </is>
      </c>
      <c r="B41" s="15" t="n">
        <v>1556</v>
      </c>
    </row>
    <row r="43">
      <c r="A43" s="12" t="inlineStr">
        <is>
          <t>peers · 7278 엑세디</t>
        </is>
      </c>
      <c r="B43" s="12" t="n"/>
      <c r="C43" s="12" t="n"/>
      <c r="D43" s="12" t="n"/>
      <c r="E43" s="12" t="n"/>
      <c r="F43" s="12" t="n"/>
      <c r="G43" s="12" t="n"/>
    </row>
    <row r="44">
      <c r="A44" s="13" t="inlineStr">
        <is>
          <t>항목</t>
        </is>
      </c>
      <c r="B44" s="13" t="inlineStr">
        <is>
          <t>값</t>
        </is>
      </c>
      <c r="G44" s="13" t="inlineStr">
        <is>
          <t>출처</t>
        </is>
      </c>
    </row>
    <row r="45">
      <c r="A45" s="14" t="inlineStr">
        <is>
          <t>fc EPS</t>
        </is>
      </c>
      <c r="B45" s="11" t="n">
        <v>391.72</v>
      </c>
      <c r="G45" s="3" t="inlineStr">
        <is>
          <t>2단계 보고서 자료(회사 설명회 자료·공시)</t>
        </is>
      </c>
    </row>
    <row r="46">
      <c r="A46" s="14" t="inlineStr">
        <is>
          <t>가격</t>
        </is>
      </c>
      <c r="B46" s="15" t="n">
        <v>5660</v>
      </c>
    </row>
    <row r="48">
      <c r="A48" s="12" t="inlineStr">
        <is>
          <t>peers · 9832 오토박스세븐</t>
        </is>
      </c>
      <c r="B48" s="12" t="n"/>
      <c r="C48" s="12" t="n"/>
      <c r="D48" s="12" t="n"/>
      <c r="E48" s="12" t="n"/>
      <c r="F48" s="12" t="n"/>
      <c r="G48" s="12" t="n"/>
    </row>
    <row r="49">
      <c r="A49" s="13" t="inlineStr">
        <is>
          <t>항목</t>
        </is>
      </c>
      <c r="B49" s="13" t="inlineStr">
        <is>
          <t>값</t>
        </is>
      </c>
      <c r="G49" s="13" t="inlineStr">
        <is>
          <t>출처</t>
        </is>
      </c>
    </row>
    <row r="50">
      <c r="A50" s="14" t="inlineStr">
        <is>
          <t>fc EPS</t>
        </is>
      </c>
      <c r="B50" s="11" t="n">
        <v>114.62</v>
      </c>
      <c r="G50" s="3" t="inlineStr">
        <is>
          <t>2단계 보고서 자료(회사 설명회 자료·공시)</t>
        </is>
      </c>
    </row>
    <row r="51">
      <c r="A51" s="14" t="inlineStr">
        <is>
          <t>가격</t>
        </is>
      </c>
      <c r="B51" s="15" t="n">
        <v>1531</v>
      </c>
    </row>
    <row r="53">
      <c r="A53" s="12" t="inlineStr">
        <is>
          <t>peers · 9882 옐로햇</t>
        </is>
      </c>
      <c r="B53" s="12" t="n"/>
      <c r="C53" s="12" t="n"/>
      <c r="D53" s="12" t="n"/>
      <c r="E53" s="12" t="n"/>
      <c r="F53" s="12" t="n"/>
      <c r="G53" s="12" t="n"/>
    </row>
    <row r="54">
      <c r="A54" s="13" t="inlineStr">
        <is>
          <t>항목</t>
        </is>
      </c>
      <c r="B54" s="13" t="inlineStr">
        <is>
          <t>값</t>
        </is>
      </c>
      <c r="G54" s="13" t="inlineStr">
        <is>
          <t>출처</t>
        </is>
      </c>
    </row>
    <row r="55">
      <c r="A55" s="14" t="inlineStr">
        <is>
          <t>fc EPS</t>
        </is>
      </c>
      <c r="B55" s="11" t="n">
        <v>142.61</v>
      </c>
      <c r="G55" s="3" t="inlineStr">
        <is>
          <t>2단계 보고서 자료(회사 설명회 자료·공시)</t>
        </is>
      </c>
    </row>
    <row r="56">
      <c r="A56" s="14" t="inlineStr">
        <is>
          <t>가격</t>
        </is>
      </c>
      <c r="B56" s="15" t="n">
        <v>1617</v>
      </c>
    </row>
    <row r="58">
      <c r="A58" s="12" t="inlineStr">
        <is>
          <t>quarters</t>
        </is>
      </c>
      <c r="B58" s="12" t="n"/>
      <c r="C58" s="12" t="n"/>
      <c r="D58" s="12" t="n"/>
      <c r="E58" s="12" t="n"/>
      <c r="F58" s="12" t="n"/>
      <c r="G58" s="12" t="n"/>
    </row>
    <row r="59">
      <c r="A59" s="13" t="inlineStr">
        <is>
          <t>항목</t>
        </is>
      </c>
      <c r="B59" s="13" t="inlineStr">
        <is>
          <t>label</t>
        </is>
      </c>
      <c r="C59" s="13" t="inlineStr">
        <is>
          <t>매출</t>
        </is>
      </c>
      <c r="D59" s="13" t="inlineStr">
        <is>
          <t>gp</t>
        </is>
      </c>
      <c r="E59" s="13" t="inlineStr">
        <is>
          <t>영업이익</t>
        </is>
      </c>
      <c r="F59" s="13" t="inlineStr">
        <is>
          <t>순이익</t>
        </is>
      </c>
      <c r="G59" s="13" t="inlineStr">
        <is>
          <t>출처</t>
        </is>
      </c>
    </row>
    <row r="60">
      <c r="A60" s="14" t="inlineStr">
        <is>
          <t>FY24-Q1</t>
        </is>
      </c>
      <c r="B60" s="16" t="inlineStr">
        <is>
          <t>23.9~11</t>
        </is>
      </c>
      <c r="C60" s="11" t="n">
        <v>20.51</v>
      </c>
      <c r="D60" s="16" t="n"/>
      <c r="E60" s="11" t="n">
        <v>0.37</v>
      </c>
      <c r="F60" s="11" t="n">
        <v>0.38</v>
      </c>
      <c r="G60" s="3" t="inlineStr">
        <is>
          <t>2단계 보고서 자료(회사 설명회 자료·공시)</t>
        </is>
      </c>
    </row>
    <row r="61">
      <c r="A61" s="14" t="inlineStr">
        <is>
          <t>FY24-Q2</t>
        </is>
      </c>
      <c r="B61" s="16" t="inlineStr">
        <is>
          <t>23.12~24.2</t>
        </is>
      </c>
      <c r="C61" s="11" t="n">
        <v>21.58</v>
      </c>
      <c r="D61" s="16" t="n"/>
      <c r="E61" s="11" t="n">
        <v>0.75</v>
      </c>
      <c r="F61" s="11" t="n">
        <v>0.84</v>
      </c>
    </row>
    <row r="62">
      <c r="A62" s="14" t="inlineStr">
        <is>
          <t>FY24-Q3</t>
        </is>
      </c>
      <c r="B62" s="16" t="inlineStr">
        <is>
          <t>24.3~5</t>
        </is>
      </c>
      <c r="C62" s="11" t="n">
        <v>22.82</v>
      </c>
      <c r="D62" s="11" t="n">
        <v>10.03</v>
      </c>
      <c r="E62" s="11" t="n">
        <v>1.93</v>
      </c>
      <c r="F62" s="11" t="n">
        <v>1.61</v>
      </c>
    </row>
    <row r="63">
      <c r="A63" s="14" t="inlineStr">
        <is>
          <t>FY24-Q4</t>
        </is>
      </c>
      <c r="B63" s="16" t="inlineStr">
        <is>
          <t>24.6~8</t>
        </is>
      </c>
      <c r="C63" s="11" t="n">
        <v>25.13</v>
      </c>
      <c r="D63" s="11" t="n">
        <v>9.51</v>
      </c>
      <c r="E63" s="11" t="n">
        <v>1.13</v>
      </c>
      <c r="F63" s="11" t="n">
        <v>0.64</v>
      </c>
    </row>
    <row r="64">
      <c r="A64" s="14" t="inlineStr">
        <is>
          <t>FY25-Q1</t>
        </is>
      </c>
      <c r="B64" s="16" t="inlineStr">
        <is>
          <t>24.9~11</t>
        </is>
      </c>
      <c r="C64" s="11" t="n">
        <v>21.19</v>
      </c>
      <c r="D64" s="11" t="n">
        <v>8.81</v>
      </c>
      <c r="E64" s="11" t="n">
        <v>0.79</v>
      </c>
      <c r="F64" s="11" t="n">
        <v>0.82</v>
      </c>
    </row>
    <row r="65">
      <c r="A65" s="14" t="inlineStr">
        <is>
          <t>FY25-Q2</t>
        </is>
      </c>
      <c r="B65" s="16" t="inlineStr">
        <is>
          <t>24.12~25.2</t>
        </is>
      </c>
      <c r="C65" s="11" t="n">
        <v>20.97</v>
      </c>
      <c r="D65" s="11" t="n">
        <v>8.43</v>
      </c>
      <c r="E65" s="11" t="n">
        <v>0.33</v>
      </c>
      <c r="F65" s="11" t="n">
        <v>0.5</v>
      </c>
    </row>
    <row r="66">
      <c r="A66" s="14" t="inlineStr">
        <is>
          <t>FY25-Q3</t>
        </is>
      </c>
      <c r="B66" s="16" t="inlineStr">
        <is>
          <t>25.3~5</t>
        </is>
      </c>
      <c r="C66" s="11" t="n">
        <v>23.81</v>
      </c>
      <c r="D66" s="11" t="n">
        <v>9.859999999999999</v>
      </c>
      <c r="E66" s="11" t="n">
        <v>2.17</v>
      </c>
      <c r="F66" s="11" t="n">
        <v>1.53</v>
      </c>
    </row>
    <row r="67">
      <c r="A67" s="14" t="inlineStr">
        <is>
          <t>FY25-Q4</t>
        </is>
      </c>
      <c r="B67" s="16" t="inlineStr">
        <is>
          <t>25.6~8</t>
        </is>
      </c>
      <c r="C67" s="11" t="n">
        <v>23.79</v>
      </c>
      <c r="D67" s="11" t="n">
        <v>9.07</v>
      </c>
      <c r="E67" s="11" t="n">
        <v>0.65</v>
      </c>
      <c r="F67" s="11" t="n">
        <v>0.76</v>
      </c>
    </row>
    <row r="68">
      <c r="A68" s="14" t="inlineStr">
        <is>
          <t>FY26-Q1</t>
        </is>
      </c>
      <c r="B68" s="16" t="inlineStr">
        <is>
          <t>25.9~11</t>
        </is>
      </c>
      <c r="C68" s="11" t="n">
        <v>20.67</v>
      </c>
      <c r="D68" s="11" t="n">
        <v>8.289999999999999</v>
      </c>
      <c r="E68" s="11" t="n">
        <v>-0.39</v>
      </c>
      <c r="F68" s="11" t="n">
        <v>0.29</v>
      </c>
    </row>
    <row r="69">
      <c r="A69" s="14" t="inlineStr">
        <is>
          <t>FY26-Q2</t>
        </is>
      </c>
      <c r="B69" s="16" t="inlineStr">
        <is>
          <t>25.12~26.2</t>
        </is>
      </c>
      <c r="C69" s="11" t="n">
        <v>23.57</v>
      </c>
      <c r="D69" s="11" t="n">
        <v>10.03</v>
      </c>
      <c r="E69" s="11" t="n">
        <v>1.53</v>
      </c>
      <c r="F69" s="11" t="n">
        <v>1.56</v>
      </c>
    </row>
    <row r="70">
      <c r="A70" s="14" t="inlineStr">
        <is>
          <t>FY26-Q3</t>
        </is>
      </c>
      <c r="B70" s="16" t="inlineStr">
        <is>
          <t>26.3~5</t>
        </is>
      </c>
      <c r="C70" s="11" t="n">
        <v>26.68</v>
      </c>
      <c r="D70" s="11" t="n">
        <v>11.52</v>
      </c>
      <c r="E70" s="11" t="n">
        <v>2.93</v>
      </c>
      <c r="F70" s="11" t="n">
        <v>2.28</v>
      </c>
    </row>
    <row r="71">
      <c r="A71" s="14" t="inlineStr">
        <is>
          <t>FY26-Q4</t>
        </is>
      </c>
      <c r="B71" s="16" t="inlineStr">
        <is>
          <t>26.6~8</t>
        </is>
      </c>
      <c r="C71" s="11" t="n">
        <v>27.96</v>
      </c>
      <c r="D71" s="11" t="n">
        <v>10.73</v>
      </c>
      <c r="E71" s="11" t="n">
        <v>1.73</v>
      </c>
      <c r="F71" s="11" t="n">
        <v>1.9</v>
      </c>
    </row>
    <row r="73">
      <c r="A73" s="12" t="inlineStr">
        <is>
          <t>가이던스 history 영업이익</t>
        </is>
      </c>
      <c r="B73" s="12" t="n"/>
      <c r="C73" s="12" t="n"/>
      <c r="D73" s="12" t="n"/>
      <c r="E73" s="12" t="n"/>
      <c r="F73" s="12" t="n"/>
      <c r="G73" s="12" t="n"/>
    </row>
    <row r="74">
      <c r="A74" s="13" t="inlineStr">
        <is>
          <t>항목</t>
        </is>
      </c>
      <c r="B74" s="13" t="inlineStr">
        <is>
          <t>initial</t>
        </is>
      </c>
      <c r="C74" s="13" t="inlineStr">
        <is>
          <t>실적</t>
        </is>
      </c>
      <c r="G74" s="13" t="inlineStr">
        <is>
          <t>출처</t>
        </is>
      </c>
    </row>
    <row r="75">
      <c r="A75" s="14" t="inlineStr">
        <is>
          <t>FY8/22</t>
        </is>
      </c>
      <c r="B75" s="11" t="n">
        <v>3.93</v>
      </c>
      <c r="C75" s="11" t="n">
        <v>5.32</v>
      </c>
      <c r="G75" s="3" t="inlineStr">
        <is>
          <t>2단계 보고서 자료(회사 설명회 자료·공시)</t>
        </is>
      </c>
    </row>
    <row r="76">
      <c r="A76" s="14" t="inlineStr">
        <is>
          <t>FY8/23</t>
        </is>
      </c>
      <c r="B76" s="11" t="n">
        <v>4.5</v>
      </c>
      <c r="C76" s="11" t="n">
        <v>6.37</v>
      </c>
    </row>
    <row r="77">
      <c r="A77" s="14" t="inlineStr">
        <is>
          <t>FY8/24</t>
        </is>
      </c>
      <c r="B77" s="11" t="n">
        <v>5.3</v>
      </c>
      <c r="C77" s="11" t="n">
        <v>4.18</v>
      </c>
    </row>
    <row r="78">
      <c r="A78" s="14" t="inlineStr">
        <is>
          <t>FY8/25</t>
        </is>
      </c>
      <c r="B78" s="11" t="n">
        <v>3.9</v>
      </c>
      <c r="C78" s="11" t="n">
        <v>3.94</v>
      </c>
    </row>
    <row r="79">
      <c r="A79" s="14" t="inlineStr">
        <is>
          <t>FY8/26</t>
        </is>
      </c>
      <c r="B79" s="11" t="n">
        <v>3</v>
      </c>
      <c r="C79" s="11" t="n">
        <v>5.8</v>
      </c>
    </row>
    <row r="81">
      <c r="A81" s="12" t="inlineStr">
        <is>
          <t>가이던스 history 매출</t>
        </is>
      </c>
      <c r="B81" s="12" t="n"/>
      <c r="C81" s="12" t="n"/>
      <c r="D81" s="12" t="n"/>
      <c r="E81" s="12" t="n"/>
      <c r="F81" s="12" t="n"/>
      <c r="G81" s="12" t="n"/>
    </row>
    <row r="82">
      <c r="A82" s="13" t="inlineStr">
        <is>
          <t>항목</t>
        </is>
      </c>
      <c r="B82" s="13" t="inlineStr">
        <is>
          <t>initial</t>
        </is>
      </c>
      <c r="C82" s="13" t="inlineStr">
        <is>
          <t>실적</t>
        </is>
      </c>
      <c r="G82" s="13" t="inlineStr">
        <is>
          <t>출처</t>
        </is>
      </c>
    </row>
    <row r="83">
      <c r="A83" s="14" t="inlineStr">
        <is>
          <t>FY8/22</t>
        </is>
      </c>
      <c r="B83" s="11" t="n">
        <v>82.3</v>
      </c>
      <c r="C83" s="11" t="n">
        <v>86.29000000000001</v>
      </c>
      <c r="G83" s="3" t="inlineStr">
        <is>
          <t>2단계 보고서 자료(회사 설명회 자료·공시)</t>
        </is>
      </c>
    </row>
    <row r="84">
      <c r="A84" s="14" t="inlineStr">
        <is>
          <t>FY8/23</t>
        </is>
      </c>
      <c r="B84" s="11" t="n">
        <v>90</v>
      </c>
      <c r="C84" s="11" t="n">
        <v>92.41</v>
      </c>
    </row>
    <row r="85">
      <c r="A85" s="14" t="inlineStr">
        <is>
          <t>FY8/24</t>
        </is>
      </c>
      <c r="B85" s="11" t="n">
        <v>94</v>
      </c>
      <c r="C85" s="11" t="n">
        <v>90.04000000000001</v>
      </c>
    </row>
    <row r="86">
      <c r="A86" s="14" t="inlineStr">
        <is>
          <t>FY8/25</t>
        </is>
      </c>
      <c r="B86" s="11" t="n">
        <v>93.3</v>
      </c>
      <c r="C86" s="11" t="n">
        <v>89.77</v>
      </c>
    </row>
    <row r="87">
      <c r="A87" s="14" t="inlineStr">
        <is>
          <t>FY8/26</t>
        </is>
      </c>
      <c r="B87" s="11" t="n">
        <v>93</v>
      </c>
      <c r="C87" s="11" t="n">
        <v>98.89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1" t="inlineStr">
        <is>
          <t>출처 · 쓴 결산단신</t>
        </is>
      </c>
    </row>
    <row r="3">
      <c r="A3" s="17" t="inlineStr">
        <is>
          <t>공시일</t>
        </is>
      </c>
      <c r="B3" s="17" t="inlineStr">
        <is>
          <t>문서</t>
        </is>
      </c>
      <c r="C3" s="17" t="inlineStr">
        <is>
          <t>PDF</t>
        </is>
      </c>
    </row>
    <row r="4">
      <c r="A4" t="inlineStr">
        <is>
          <t>2026-10-13</t>
        </is>
      </c>
      <c r="B4" t="inlineStr">
        <is>
          <t>2026년 8월 결산기 연간 결산단신</t>
        </is>
      </c>
      <c r="C4" t="inlineStr">
        <is>
          <t>https://www2.jpx.co.jp/disc/72190/140120261008548219.pdf</t>
        </is>
      </c>
    </row>
    <row r="5">
      <c r="A5" t="inlineStr">
        <is>
          <t>2026-07-10</t>
        </is>
      </c>
      <c r="B5" t="inlineStr">
        <is>
          <t>2026년 8월 결산기 ３분기 결산단신</t>
        </is>
      </c>
      <c r="C5" t="inlineStr">
        <is>
          <t>https://www2.jpx.co.jp/disc/72190/140120260709590132.pdf</t>
        </is>
      </c>
    </row>
    <row r="6">
      <c r="A6" t="inlineStr">
        <is>
          <t>2026-04-10</t>
        </is>
      </c>
      <c r="B6" t="inlineStr">
        <is>
          <t>2026년 8월 결산기 ２분기 결산단신</t>
        </is>
      </c>
      <c r="C6" t="inlineStr">
        <is>
          <t>https://www2.jpx.co.jp/disc/72190/140120260407599606.pdf</t>
        </is>
      </c>
    </row>
    <row r="7">
      <c r="A7" t="inlineStr">
        <is>
          <t>2026-01-09</t>
        </is>
      </c>
      <c r="B7" t="inlineStr">
        <is>
          <t>2026년 8월 결산기 １분기 결산단신</t>
        </is>
      </c>
      <c r="C7" t="inlineStr">
        <is>
          <t>https://www2.jpx.co.jp/disc/72190/140120260108530685.pdf</t>
        </is>
      </c>
    </row>
    <row r="8">
      <c r="A8" t="inlineStr">
        <is>
          <t>2025-10-10</t>
        </is>
      </c>
      <c r="B8" t="inlineStr">
        <is>
          <t>2025년 8월 결산기 연간 결산단신</t>
        </is>
      </c>
      <c r="C8" t="inlineStr">
        <is>
          <t>https://www2.jpx.co.jp/disc/72190/140120251010571380.pdf</t>
        </is>
      </c>
    </row>
    <row r="9">
      <c r="A9" t="inlineStr">
        <is>
          <t>2025-07-11</t>
        </is>
      </c>
      <c r="B9" t="inlineStr">
        <is>
          <t>2025년 8월 결산기 ３분기 결산단신</t>
        </is>
      </c>
      <c r="C9" t="inlineStr">
        <is>
          <t>https://www2.jpx.co.jp/disc/72190/140120250710511680.pdf</t>
        </is>
      </c>
    </row>
    <row r="10">
      <c r="A10" t="inlineStr">
        <is>
          <t>2025-04-11</t>
        </is>
      </c>
      <c r="B10" t="inlineStr">
        <is>
          <t>2025년 8월 결산기 ２분기 결산단신</t>
        </is>
      </c>
      <c r="C10" t="inlineStr">
        <is>
          <t>https://www2.jpx.co.jp/disc/72190/140120250410512825.pdf</t>
        </is>
      </c>
    </row>
    <row r="11">
      <c r="A11" t="inlineStr">
        <is>
          <t>2025-01-10</t>
        </is>
      </c>
      <c r="B11" t="inlineStr">
        <is>
          <t>2025년 8월 결산기 １분기 결산단신</t>
        </is>
      </c>
      <c r="C11" t="inlineStr">
        <is>
          <t>https://www2.jpx.co.jp/disc/72190/140120250109548753.pdf</t>
        </is>
      </c>
    </row>
    <row r="12">
      <c r="A12" t="inlineStr">
        <is>
          <t>2024-10-11</t>
        </is>
      </c>
      <c r="B12" t="inlineStr">
        <is>
          <t>2024년 8월 결산기 연간 결산단신</t>
        </is>
      </c>
      <c r="C12" t="inlineStr">
        <is>
          <t>https://www2.jpx.co.jp/disc/72190/140120241011596821.pdf</t>
        </is>
      </c>
    </row>
    <row r="13">
      <c r="A13" t="inlineStr">
        <is>
          <t>2024-07-12</t>
        </is>
      </c>
      <c r="B13" t="inlineStr">
        <is>
          <t>2024년 8월 결산기 3분기 결산단신</t>
        </is>
      </c>
      <c r="C13" t="inlineStr">
        <is>
          <t>https://www2.jpx.co.jp/disc/72190/140120240711547705.pdf</t>
        </is>
      </c>
    </row>
    <row r="14">
      <c r="A14" t="inlineStr">
        <is>
          <t>2024-04-12</t>
        </is>
      </c>
      <c r="B14" t="inlineStr">
        <is>
          <t>２분기 결산단신</t>
        </is>
      </c>
      <c r="C14" t="inlineStr">
        <is>
          <t>https://www2.jpx.co.jp/disc/72190/140120240412569688.pdf</t>
        </is>
      </c>
    </row>
    <row r="15">
      <c r="A15" t="inlineStr">
        <is>
          <t>2024-01-12</t>
        </is>
      </c>
      <c r="B15" t="inlineStr">
        <is>
          <t>2024년 8월 결산기 １분기 결산단신</t>
        </is>
      </c>
      <c r="C15" t="inlineStr">
        <is>
          <t>https://www2.jpx.co.jp/disc/72190/140120240112514060.pdf</t>
        </is>
      </c>
    </row>
    <row r="16">
      <c r="A16" t="inlineStr">
        <is>
          <t>2023-10-13</t>
        </is>
      </c>
      <c r="B16" t="inlineStr">
        <is>
          <t>2023년 8월 결산기 연간 결산단신</t>
        </is>
      </c>
      <c r="C16" t="inlineStr">
        <is>
          <t>https://www2.jpx.co.jp/disc/72190/140120231013566410.pdf</t>
        </is>
      </c>
    </row>
    <row r="17">
      <c r="A17" t="inlineStr">
        <is>
          <t>2023-07-14</t>
        </is>
      </c>
      <c r="B17" t="inlineStr">
        <is>
          <t>2023년 8월 결산기 ３분기 결산단신</t>
        </is>
      </c>
      <c r="C17" t="inlineStr">
        <is>
          <t>https://www2.jpx.co.jp/disc/72190/140120230714522190.pdf</t>
        </is>
      </c>
    </row>
    <row r="18">
      <c r="A18" t="inlineStr">
        <is>
          <t>2023-04-14</t>
        </is>
      </c>
      <c r="B18" t="inlineStr">
        <is>
          <t>2023년 8월 결산기 ２분기 결산단신</t>
        </is>
      </c>
      <c r="C18" t="inlineStr">
        <is>
          <t>https://www2.jpx.co.jp/disc/72190/140120230413546776.pdf</t>
        </is>
      </c>
    </row>
    <row r="19">
      <c r="A19" t="inlineStr">
        <is>
          <t>2023-01-13</t>
        </is>
      </c>
      <c r="B19" t="inlineStr">
        <is>
          <t>2023년 8월 결산기 １분기 결산단신</t>
        </is>
      </c>
      <c r="C19" t="inlineStr">
        <is>
          <t>https://www2.jpx.co.jp/disc/72190/140120221216579660.pdf</t>
        </is>
      </c>
    </row>
    <row r="20">
      <c r="A20" t="inlineStr">
        <is>
          <t>2022-10-14</t>
        </is>
      </c>
      <c r="B20" t="inlineStr">
        <is>
          <t>2022년 8월 결산기 연간 결산단신</t>
        </is>
      </c>
      <c r="C20" t="inlineStr">
        <is>
          <t>https://www2.jpx.co.jp/disc/72190/140120220930539225.pdf</t>
        </is>
      </c>
    </row>
    <row r="21">
      <c r="A21" t="inlineStr">
        <is>
          <t>2022-07-15</t>
        </is>
      </c>
      <c r="B21" t="inlineStr">
        <is>
          <t>2022년 8월 결산기 3분기 결산단신</t>
        </is>
      </c>
      <c r="C21" t="inlineStr">
        <is>
          <t>https://www2.jpx.co.jp/disc/72190/140120220630592553.pdf</t>
        </is>
      </c>
    </row>
    <row r="22">
      <c r="A22" t="inlineStr">
        <is>
          <t>2022-04-08</t>
        </is>
      </c>
      <c r="B22" t="inlineStr">
        <is>
          <t>2022년 8월 결산기 2분기 결산단신</t>
        </is>
      </c>
      <c r="C22" t="inlineStr">
        <is>
          <t>https://www2.jpx.co.jp/disc/72190/140120220330513762.pdf</t>
        </is>
      </c>
    </row>
    <row r="23">
      <c r="A23" t="inlineStr">
        <is>
          <t>2022-01-14</t>
        </is>
      </c>
      <c r="B23" t="inlineStr">
        <is>
          <t>2022년 8월 결산기 1분기 결산단신</t>
        </is>
      </c>
      <c r="C23" t="inlineStr">
        <is>
          <t>https://www2.jpx.co.jp/disc/72190/140120220105564065.pdf</t>
        </is>
      </c>
    </row>
    <row r="24">
      <c r="A24" t="inlineStr">
        <is>
          <t>2021-10-15</t>
        </is>
      </c>
      <c r="B24" t="inlineStr">
        <is>
          <t>2021년 8월 결산기 연간 결산단신</t>
        </is>
      </c>
      <c r="C24" t="inlineStr">
        <is>
          <t>https://www2.jpx.co.jp/disc/72190/140120211005406739.pdf</t>
        </is>
      </c>
    </row>
    <row r="25">
      <c r="A25" t="inlineStr">
        <is>
          <t>2021-07-09</t>
        </is>
      </c>
      <c r="B25" t="inlineStr">
        <is>
          <t>2021년 8월 결산기 3분기 결산단신</t>
        </is>
      </c>
      <c r="C25" t="inlineStr">
        <is>
          <t>https://www2.jpx.co.jp/disc/72190/140120210625456926.pdf</t>
        </is>
      </c>
    </row>
    <row r="26">
      <c r="A26" t="inlineStr">
        <is>
          <t>2021-04-09</t>
        </is>
      </c>
      <c r="B26" t="inlineStr">
        <is>
          <t>2021년 8월 결산기 2분기 결산단신</t>
        </is>
      </c>
      <c r="C26" t="inlineStr">
        <is>
          <t>https://www2.jpx.co.jp/disc/72190/140120210326485468.pdf</t>
        </is>
      </c>
    </row>
    <row r="27">
      <c r="A27" t="inlineStr">
        <is>
          <t>2021-01-13</t>
        </is>
      </c>
      <c r="B27" t="inlineStr">
        <is>
          <t>2021년 8월 결산기 １분기 결산단신</t>
        </is>
      </c>
      <c r="C27" t="inlineStr">
        <is>
          <t>https://www2.jpx.co.jp/disc/72190/140120201225439629.pdf</t>
        </is>
      </c>
    </row>
    <row r="28">
      <c r="A28" t="inlineStr">
        <is>
          <t>2020-10-15</t>
        </is>
      </c>
      <c r="B28" t="inlineStr">
        <is>
          <t>2020년 8월 결산기 연간 결산단신</t>
        </is>
      </c>
      <c r="C28" t="inlineStr">
        <is>
          <t>https://www2.jpx.co.jp/disc/72190/140120201002499580.pdf</t>
        </is>
      </c>
    </row>
    <row r="29">
      <c r="A29" t="inlineStr">
        <is>
          <t>2020-07-14</t>
        </is>
      </c>
      <c r="B29" t="inlineStr">
        <is>
          <t>2020년 8월 결산기 ３분기 결산단신</t>
        </is>
      </c>
      <c r="C29" t="inlineStr">
        <is>
          <t>https://www2.jpx.co.jp/disc/72190/140120200630454978.pdf</t>
        </is>
      </c>
    </row>
    <row r="30">
      <c r="A30" t="inlineStr">
        <is>
          <t>2020-04-10</t>
        </is>
      </c>
      <c r="B30" t="inlineStr">
        <is>
          <t>2020년 8월 결산기 2분기 결산단신</t>
        </is>
      </c>
      <c r="C30" t="inlineStr">
        <is>
          <t>https://www2.jpx.co.jp/disc/72190/140120200325483697.pdf</t>
        </is>
      </c>
    </row>
    <row r="31">
      <c r="A31" t="inlineStr">
        <is>
          <t>2020-01-10</t>
        </is>
      </c>
      <c r="B31" t="inlineStr">
        <is>
          <t>2020년 8월 결산기 １분기 결산단신</t>
        </is>
      </c>
      <c r="C31" t="inlineStr">
        <is>
          <t>https://www2.jpx.co.jp/disc/72190/140120191224440996.pdf</t>
        </is>
      </c>
    </row>
    <row r="32">
      <c r="A32" t="inlineStr">
        <is>
          <t>2019-10-11</t>
        </is>
      </c>
      <c r="B32" t="inlineStr">
        <is>
          <t>2019년 8월 결산기 연간 결산단신</t>
        </is>
      </c>
      <c r="C32" t="inlineStr">
        <is>
          <t>https://www2.jpx.co.jp/disc/72190/140120191001403622.pdf</t>
        </is>
      </c>
    </row>
    <row r="33">
      <c r="A33" t="inlineStr">
        <is>
          <t>2019-07-11</t>
        </is>
      </c>
      <c r="B33" t="inlineStr">
        <is>
          <t>2019년 8월 결산기 ３분기 결산단신</t>
        </is>
      </c>
      <c r="C33" t="inlineStr">
        <is>
          <t>https://www2.jpx.co.jp/disc/72190/140120190626462762.pdf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2026-10-25T06:59:53Z</dcterms:created>
  <dcterms:modified xmlns:dcterms="http://purl.org/dc/terms/" xmlns:xsi="http://www.w3.org/2001/XMLSchema-instance" xsi:type="dcterms:W3CDTF">2026-10-25T06:59:53Z</dcterms:modified>
</cp:coreProperties>
</file>