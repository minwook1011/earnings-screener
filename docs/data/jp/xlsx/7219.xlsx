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8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HKS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8월 결산 · 일본 기준 · 2026.4Q = 2026년 8월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2024.1Q</t>
        </is>
      </c>
      <c r="D3" s="5" t="inlineStr">
        <is>
          <t>2024.2Q</t>
        </is>
      </c>
      <c r="E3" s="5" t="inlineStr">
        <is>
          <t>2024.3Q</t>
        </is>
      </c>
      <c r="F3" s="5" t="inlineStr">
        <is>
          <t>2024.4Q</t>
        </is>
      </c>
      <c r="G3" s="5" t="inlineStr">
        <is>
          <t>2025.1Q</t>
        </is>
      </c>
      <c r="H3" s="5" t="inlineStr">
        <is>
          <t>2025.2Q</t>
        </is>
      </c>
      <c r="I3" s="5" t="inlineStr">
        <is>
          <t>2025.3Q</t>
        </is>
      </c>
      <c r="J3" s="5" t="inlineStr">
        <is>
          <t>2025.4Q</t>
        </is>
      </c>
      <c r="K3" s="5" t="inlineStr">
        <is>
          <t>2026.1Q</t>
        </is>
      </c>
      <c r="L3" s="5" t="inlineStr">
        <is>
          <t>2026.2Q</t>
        </is>
      </c>
      <c r="M3" s="5" t="inlineStr">
        <is>
          <t>2026.3Q</t>
        </is>
      </c>
      <c r="N3" s="5" t="inlineStr">
        <is>
          <t>2026.4Q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2051.374</v>
      </c>
      <c r="D4" s="12" t="n">
        <v>2158.375</v>
      </c>
      <c r="E4" s="12" t="n">
        <v>2281.694</v>
      </c>
      <c r="F4" s="12" t="n">
        <v>2512.889</v>
      </c>
      <c r="G4" s="12" t="n">
        <v>2119.099</v>
      </c>
      <c r="H4" s="12" t="n">
        <v>2097.548</v>
      </c>
      <c r="I4" s="12" t="n">
        <v>2380.421</v>
      </c>
      <c r="J4" s="12" t="n">
        <v>2379.552</v>
      </c>
      <c r="K4" s="12" t="n">
        <v>2067.962</v>
      </c>
      <c r="L4" s="12" t="n">
        <v>2356.459</v>
      </c>
      <c r="M4" s="12" t="n">
        <v>2667.788</v>
      </c>
      <c r="N4" s="12" t="n">
        <v>2796.556</v>
      </c>
      <c r="O4" s="11" t="n">
        <v>5851.586</v>
      </c>
      <c r="P4" s="12" t="n">
        <v>7317.713</v>
      </c>
      <c r="Q4" s="12" t="n">
        <v>6097.033</v>
      </c>
      <c r="R4" s="12" t="n">
        <v>5854.019</v>
      </c>
      <c r="S4" s="12" t="n">
        <v>7971.299</v>
      </c>
      <c r="T4" s="12" t="n">
        <v>8629.744000000001</v>
      </c>
      <c r="U4" s="12" t="n">
        <v>9241.361999999999</v>
      </c>
      <c r="V4" s="12" t="n">
        <v>9004.332</v>
      </c>
      <c r="W4" s="12" t="n">
        <v>8976.620000000001</v>
      </c>
      <c r="X4" s="12" t="n">
        <v>9888.764999999999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1218.432</v>
      </c>
      <c r="D11" s="22" t="n">
        <v>1294.368</v>
      </c>
      <c r="E11" s="22" t="n">
        <v>1278.345</v>
      </c>
      <c r="F11" s="22" t="n">
        <v>1561.58</v>
      </c>
      <c r="G11" s="22" t="n">
        <v>1238.275</v>
      </c>
      <c r="H11" s="22" t="n">
        <v>1254.75</v>
      </c>
      <c r="I11" s="22" t="n">
        <v>1394.083</v>
      </c>
      <c r="J11" s="22" t="n">
        <v>1472.39</v>
      </c>
      <c r="K11" s="22" t="n">
        <v>1238.496</v>
      </c>
      <c r="L11" s="22" t="n">
        <v>1353.094</v>
      </c>
      <c r="M11" s="22" t="n">
        <v>1516.317</v>
      </c>
      <c r="N11" s="22" t="n">
        <v>1723.128</v>
      </c>
      <c r="O11" s="21" t="n">
        <v>3399.185</v>
      </c>
      <c r="P11" s="22" t="n">
        <v>4623.879</v>
      </c>
      <c r="Q11" s="22" t="n">
        <v>3667.318</v>
      </c>
      <c r="R11" s="22" t="n">
        <v>3514.107</v>
      </c>
      <c r="S11" s="22" t="n">
        <v>4856.796</v>
      </c>
      <c r="T11" s="22" t="n">
        <v>5133.236</v>
      </c>
      <c r="U11" s="22" t="n">
        <v>5459.547</v>
      </c>
      <c r="V11" s="22" t="n">
        <v>5352.725</v>
      </c>
      <c r="W11" s="22" t="n">
        <v>5359.498</v>
      </c>
      <c r="X11" s="22" t="n">
        <v>5831.035</v>
      </c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>
        <v>795.849</v>
      </c>
      <c r="D15" s="22" t="n">
        <v>788.651</v>
      </c>
      <c r="E15" s="22" t="n">
        <v>810.224</v>
      </c>
      <c r="F15" s="22" t="n">
        <v>838.878</v>
      </c>
      <c r="G15" s="22" t="n">
        <v>801.119</v>
      </c>
      <c r="H15" s="22" t="n">
        <v>809.595</v>
      </c>
      <c r="I15" s="22" t="n">
        <v>769.917</v>
      </c>
      <c r="J15" s="22" t="n">
        <v>841.682</v>
      </c>
      <c r="K15" s="22" t="n">
        <v>869.136</v>
      </c>
      <c r="L15" s="22" t="n">
        <v>849.09</v>
      </c>
      <c r="M15" s="22" t="n">
        <v>858.566</v>
      </c>
      <c r="N15" s="22" t="n">
        <v>900.605</v>
      </c>
      <c r="O15" s="21" t="n">
        <v>2204.342</v>
      </c>
      <c r="P15" s="22" t="n">
        <v>2530.342</v>
      </c>
      <c r="Q15" s="22" t="n">
        <v>2299.914</v>
      </c>
      <c r="R15" s="22" t="n">
        <v>2264.431</v>
      </c>
      <c r="S15" s="22" t="n">
        <v>2741.941</v>
      </c>
      <c r="T15" s="22" t="n">
        <v>2963.865</v>
      </c>
      <c r="U15" s="22" t="n">
        <v>3144.005</v>
      </c>
      <c r="V15" s="22" t="n">
        <v>3233.602</v>
      </c>
      <c r="W15" s="22" t="n">
        <v>3222.313</v>
      </c>
      <c r="X15" s="22" t="n">
        <v>3477.397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37.092</v>
      </c>
      <c r="D16" s="12" t="n">
        <v>75.35599999999999</v>
      </c>
      <c r="E16" s="12" t="n">
        <v>193.126</v>
      </c>
      <c r="F16" s="12" t="n">
        <v>112.43</v>
      </c>
      <c r="G16" s="12" t="n">
        <v>79.705</v>
      </c>
      <c r="H16" s="12" t="n">
        <v>33.202</v>
      </c>
      <c r="I16" s="12" t="n">
        <v>216.421</v>
      </c>
      <c r="J16" s="12" t="n">
        <v>65.479</v>
      </c>
      <c r="K16" s="12" t="n">
        <v>-39.67</v>
      </c>
      <c r="L16" s="12" t="n">
        <v>154.274</v>
      </c>
      <c r="M16" s="12" t="n">
        <v>292.905</v>
      </c>
      <c r="N16" s="12" t="n">
        <v>172.823</v>
      </c>
      <c r="O16" s="11" t="n">
        <v>248.059</v>
      </c>
      <c r="P16" s="12" t="n">
        <v>163.491</v>
      </c>
      <c r="Q16" s="12" t="n">
        <v>129.8</v>
      </c>
      <c r="R16" s="12" t="n">
        <v>75.48</v>
      </c>
      <c r="S16" s="12" t="n">
        <v>372.562</v>
      </c>
      <c r="T16" s="12" t="n">
        <v>532.643</v>
      </c>
      <c r="U16" s="12" t="n">
        <v>637.808</v>
      </c>
      <c r="V16" s="12" t="n">
        <v>418.004</v>
      </c>
      <c r="W16" s="12" t="n">
        <v>394.807</v>
      </c>
      <c r="X16" s="12" t="n">
        <v>580.332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>
        <v>663.446</v>
      </c>
      <c r="P21" s="22" t="n">
        <v>810.419</v>
      </c>
      <c r="Q21" s="22" t="n">
        <v>713.0549999999999</v>
      </c>
      <c r="R21" s="22" t="n">
        <v>717.3049999999999</v>
      </c>
      <c r="S21" s="22" t="n">
        <v>872.633</v>
      </c>
      <c r="T21" s="22" t="n">
        <v>928.946</v>
      </c>
      <c r="U21" s="22" t="n">
        <v>979.312</v>
      </c>
      <c r="V21" s="22" t="n">
        <v>1035.266</v>
      </c>
      <c r="W21" s="22" t="n">
        <v>1060.303</v>
      </c>
      <c r="X21" s="22" t="n">
        <v>1067.782</v>
      </c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>
        <v>138.051</v>
      </c>
      <c r="P23" s="22" t="n">
        <v>189.736</v>
      </c>
      <c r="Q23" s="22" t="n">
        <v>211.133</v>
      </c>
      <c r="R23" s="22" t="n">
        <v>266.526</v>
      </c>
      <c r="S23" s="22" t="n">
        <v>320.019</v>
      </c>
      <c r="T23" s="22" t="n">
        <v>276.388</v>
      </c>
      <c r="U23" s="22" t="n">
        <v>256.931</v>
      </c>
      <c r="V23" s="22" t="n">
        <v>287.609</v>
      </c>
      <c r="W23" s="22" t="n">
        <v>254.897</v>
      </c>
      <c r="X23" s="22" t="n">
        <v>223.335</v>
      </c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>
        <v>4.734</v>
      </c>
      <c r="D32" s="22" t="n">
        <v>13.238</v>
      </c>
      <c r="E32" s="22" t="n">
        <v>44.489</v>
      </c>
      <c r="F32" s="22" t="n">
        <v>7.767</v>
      </c>
      <c r="G32" s="22" t="n">
        <v>9.472</v>
      </c>
      <c r="H32" s="22" t="n">
        <v>0.921</v>
      </c>
      <c r="I32" s="22" t="n">
        <v>61.292</v>
      </c>
      <c r="J32" s="22" t="n">
        <v>0.664</v>
      </c>
      <c r="K32" s="22" t="n">
        <v>15.653</v>
      </c>
      <c r="L32" s="22" t="n">
        <v>23.676</v>
      </c>
      <c r="M32" s="22" t="n">
        <v>36.144</v>
      </c>
      <c r="N32" s="22" t="n">
        <v>47.228</v>
      </c>
      <c r="O32" s="21" t="n">
        <v>74.03400000000001</v>
      </c>
      <c r="P32" s="22" t="n">
        <v>10.011</v>
      </c>
      <c r="Q32" s="22" t="n">
        <v>27.669</v>
      </c>
      <c r="R32" s="22" t="n">
        <v>96.101</v>
      </c>
      <c r="S32" s="22" t="n">
        <v>39.696</v>
      </c>
      <c r="T32" s="22" t="n">
        <v>77.655</v>
      </c>
      <c r="U32" s="22" t="n">
        <v>18.758</v>
      </c>
      <c r="V32" s="22" t="n">
        <v>70.22799999999999</v>
      </c>
      <c r="W32" s="22" t="n">
        <v>72.349</v>
      </c>
      <c r="X32" s="22" t="n">
        <v>122.701</v>
      </c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>
        <v>0.361</v>
      </c>
      <c r="D34" s="22" t="n">
        <v>0.062</v>
      </c>
      <c r="E34" s="22" t="n">
        <v>17.6</v>
      </c>
      <c r="F34" s="22" t="n">
        <v>4.03</v>
      </c>
      <c r="G34" s="22" t="n">
        <v>0.741</v>
      </c>
      <c r="H34" s="22" t="n">
        <v>2.89</v>
      </c>
      <c r="I34" s="22" t="n">
        <v>12.137</v>
      </c>
      <c r="J34" s="22" t="n">
        <v>3.921</v>
      </c>
      <c r="K34" s="22" t="n">
        <v>1.421</v>
      </c>
      <c r="L34" s="22" t="n">
        <v>2.664</v>
      </c>
      <c r="M34" s="22" t="n">
        <v>12.993</v>
      </c>
      <c r="N34" s="22" t="n">
        <v>1.847</v>
      </c>
      <c r="O34" s="21" t="n">
        <v>81.01600000000001</v>
      </c>
      <c r="P34" s="22" t="n">
        <v>77.20699999999999</v>
      </c>
      <c r="Q34" s="22" t="n">
        <v>50.955</v>
      </c>
      <c r="R34" s="22" t="n">
        <v>13.19</v>
      </c>
      <c r="S34" s="22" t="n">
        <v>4.703</v>
      </c>
      <c r="T34" s="22" t="n">
        <v>106.282</v>
      </c>
      <c r="U34" s="22" t="n">
        <v>49.982</v>
      </c>
      <c r="V34" s="22" t="n">
        <v>22.053</v>
      </c>
      <c r="W34" s="22" t="n">
        <v>19.689</v>
      </c>
      <c r="X34" s="22" t="n">
        <v>18.925</v>
      </c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30.927</v>
      </c>
      <c r="D36" s="22" t="n">
        <v>13.744</v>
      </c>
      <c r="E36" s="22" t="n">
        <v>41.582</v>
      </c>
      <c r="F36" s="22" t="n">
        <v>-20.573</v>
      </c>
      <c r="G36" s="22" t="n">
        <v>33.718</v>
      </c>
      <c r="H36" s="22" t="n">
        <v>27.278</v>
      </c>
      <c r="I36" s="22" t="n">
        <v>-23.376</v>
      </c>
      <c r="J36" s="22" t="n">
        <v>30.302</v>
      </c>
      <c r="K36" s="22" t="n">
        <v>66.399</v>
      </c>
      <c r="L36" s="22" t="n">
        <v>50.882</v>
      </c>
      <c r="M36" s="22" t="n">
        <v>29.106</v>
      </c>
      <c r="N36" s="22" t="n">
        <v>32.331</v>
      </c>
      <c r="O36" s="21" t="n">
        <v>48.802</v>
      </c>
      <c r="P36" s="22" t="n">
        <v>67.56399999999999</v>
      </c>
      <c r="Q36" s="22" t="n">
        <v>67.047</v>
      </c>
      <c r="R36" s="22" t="n">
        <v>89.179</v>
      </c>
      <c r="S36" s="22" t="n">
        <v>88.56699999999999</v>
      </c>
      <c r="T36" s="22" t="n">
        <v>191.765</v>
      </c>
      <c r="U36" s="22" t="n">
        <v>96.691</v>
      </c>
      <c r="V36" s="22" t="n">
        <v>65.68000000000001</v>
      </c>
      <c r="W36" s="22" t="n">
        <v>67.922</v>
      </c>
      <c r="X36" s="22" t="n">
        <v>178.718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>
        <v>1.281</v>
      </c>
      <c r="D38" s="22" t="n">
        <v>0.919</v>
      </c>
      <c r="E38" s="22" t="n">
        <v>4.017</v>
      </c>
      <c r="F38" s="22" t="n">
        <v>0.514</v>
      </c>
      <c r="G38" s="22" t="n">
        <v>1.072</v>
      </c>
      <c r="H38" s="22" t="n">
        <v>1.268</v>
      </c>
      <c r="I38" s="22" t="n">
        <v>2.101</v>
      </c>
      <c r="J38" s="22" t="n">
        <v>0.6870000000000001</v>
      </c>
      <c r="K38" s="22" t="n">
        <v>2.681</v>
      </c>
      <c r="L38" s="22" t="n">
        <v>0.476</v>
      </c>
      <c r="M38" s="22" t="n">
        <v>1.464</v>
      </c>
      <c r="N38" s="22" t="n">
        <v>1.608</v>
      </c>
      <c r="O38" s="21" t="n">
        <v>11.582</v>
      </c>
      <c r="P38" s="22" t="n">
        <v>9.529999999999999</v>
      </c>
      <c r="Q38" s="22" t="n">
        <v>12.467</v>
      </c>
      <c r="R38" s="22" t="n">
        <v>11.51</v>
      </c>
      <c r="S38" s="22" t="n">
        <v>5.153</v>
      </c>
      <c r="T38" s="22" t="n">
        <v>3.422</v>
      </c>
      <c r="U38" s="22" t="n">
        <v>8.628</v>
      </c>
      <c r="V38" s="22" t="n">
        <v>6.731</v>
      </c>
      <c r="W38" s="22" t="n">
        <v>5.128</v>
      </c>
      <c r="X38" s="22" t="n">
        <v>6.229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71.11</v>
      </c>
      <c r="D40" s="12" t="n">
        <v>101.358</v>
      </c>
      <c r="E40" s="12" t="n">
        <v>257.58</v>
      </c>
      <c r="F40" s="12" t="n">
        <v>95.08</v>
      </c>
      <c r="G40" s="12" t="n">
        <v>121.081</v>
      </c>
      <c r="H40" s="12" t="n">
        <v>57.245</v>
      </c>
      <c r="I40" s="12" t="n">
        <v>240.098</v>
      </c>
      <c r="J40" s="12" t="n">
        <v>91.839</v>
      </c>
      <c r="K40" s="12" t="n">
        <v>38.279</v>
      </c>
      <c r="L40" s="12" t="n">
        <v>225.694</v>
      </c>
      <c r="M40" s="12" t="n">
        <v>343.698</v>
      </c>
      <c r="N40" s="12" t="n">
        <v>248.926</v>
      </c>
      <c r="O40" s="11" t="n">
        <v>278.297</v>
      </c>
      <c r="P40" s="12" t="n">
        <v>154.329</v>
      </c>
      <c r="Q40" s="12" t="n">
        <v>161.094</v>
      </c>
      <c r="R40" s="12" t="n">
        <v>236.06</v>
      </c>
      <c r="S40" s="12" t="n">
        <v>490.969</v>
      </c>
      <c r="T40" s="12" t="n">
        <v>692.36</v>
      </c>
      <c r="U40" s="12" t="n">
        <v>694.647</v>
      </c>
      <c r="V40" s="12" t="n">
        <v>525.128</v>
      </c>
      <c r="W40" s="12" t="n">
        <v>510.263</v>
      </c>
      <c r="X40" s="12" t="n">
        <v>856.597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26.925</v>
      </c>
      <c r="D41" s="22" t="n">
        <v>12.593</v>
      </c>
      <c r="E41" s="22" t="n">
        <v>91.815</v>
      </c>
      <c r="F41" s="22" t="n">
        <v>30.619</v>
      </c>
      <c r="G41" s="22" t="n">
        <v>38.339</v>
      </c>
      <c r="H41" s="22" t="n">
        <v>7.788</v>
      </c>
      <c r="I41" s="22" t="n">
        <v>86.557</v>
      </c>
      <c r="J41" s="22" t="n">
        <v>16.135</v>
      </c>
      <c r="K41" s="22" t="n">
        <v>9.117000000000001</v>
      </c>
      <c r="L41" s="22" t="n">
        <v>69.85299999999999</v>
      </c>
      <c r="M41" s="22" t="n">
        <v>115.189</v>
      </c>
      <c r="N41" s="22" t="n">
        <v>58.874</v>
      </c>
      <c r="O41" s="21" t="n">
        <v>73.801</v>
      </c>
      <c r="P41" s="22" t="n">
        <v>63.824</v>
      </c>
      <c r="Q41" s="22" t="n">
        <v>73.38500000000001</v>
      </c>
      <c r="R41" s="22" t="n">
        <v>60.242</v>
      </c>
      <c r="S41" s="22" t="n">
        <v>138.717</v>
      </c>
      <c r="T41" s="22" t="n">
        <v>183.2</v>
      </c>
      <c r="U41" s="22" t="n">
        <v>231.258</v>
      </c>
      <c r="V41" s="22" t="n">
        <v>161.952</v>
      </c>
      <c r="W41" s="22" t="n">
        <v>148.819</v>
      </c>
      <c r="X41" s="22" t="n">
        <v>253.033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44.184</v>
      </c>
      <c r="D43" s="12" t="n">
        <v>88.765</v>
      </c>
      <c r="E43" s="12" t="n">
        <v>165.765</v>
      </c>
      <c r="F43" s="12" t="n">
        <v>64.461</v>
      </c>
      <c r="G43" s="12" t="n">
        <v>82.742</v>
      </c>
      <c r="H43" s="12" t="n">
        <v>49.456</v>
      </c>
      <c r="I43" s="12" t="n">
        <v>153.542</v>
      </c>
      <c r="J43" s="12" t="n">
        <v>75.703</v>
      </c>
      <c r="K43" s="12" t="n">
        <v>29.162</v>
      </c>
      <c r="L43" s="12" t="n">
        <v>155.841</v>
      </c>
      <c r="M43" s="12" t="n">
        <v>228.508</v>
      </c>
      <c r="N43" s="12" t="n">
        <v>190.053</v>
      </c>
      <c r="O43" s="11" t="n">
        <v>204.496</v>
      </c>
      <c r="P43" s="12" t="n">
        <v>90.505</v>
      </c>
      <c r="Q43" s="12" t="n">
        <v>87.708</v>
      </c>
      <c r="R43" s="12" t="n">
        <v>175.817</v>
      </c>
      <c r="S43" s="12" t="n">
        <v>352.251</v>
      </c>
      <c r="T43" s="12" t="n">
        <v>509.159</v>
      </c>
      <c r="U43" s="12" t="n">
        <v>463.388</v>
      </c>
      <c r="V43" s="12" t="n">
        <v>363.175</v>
      </c>
      <c r="W43" s="12" t="n">
        <v>361.443</v>
      </c>
      <c r="X43" s="12" t="n">
        <v>603.564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38.024</v>
      </c>
      <c r="D44" s="12" t="n">
        <v>84.857</v>
      </c>
      <c r="E44" s="12" t="n">
        <v>161.018</v>
      </c>
      <c r="F44" s="12" t="n">
        <v>63.847</v>
      </c>
      <c r="G44" s="12" t="n">
        <v>82.742</v>
      </c>
      <c r="H44" s="12" t="n">
        <v>49.456</v>
      </c>
      <c r="I44" s="12" t="n">
        <v>153.542</v>
      </c>
      <c r="J44" s="12" t="n">
        <v>75.703</v>
      </c>
      <c r="K44" s="12" t="n">
        <v>29.162</v>
      </c>
      <c r="L44" s="12" t="n">
        <v>155.841</v>
      </c>
      <c r="M44" s="12" t="n">
        <v>228.508</v>
      </c>
      <c r="N44" s="12" t="n">
        <v>190.053</v>
      </c>
      <c r="O44" s="11" t="n">
        <v>191.515</v>
      </c>
      <c r="P44" s="12" t="n">
        <v>100.194</v>
      </c>
      <c r="Q44" s="12" t="n">
        <v>105.887</v>
      </c>
      <c r="R44" s="12" t="n">
        <v>148.451</v>
      </c>
      <c r="S44" s="12" t="n">
        <v>352.251</v>
      </c>
      <c r="T44" s="12" t="n">
        <v>496.198</v>
      </c>
      <c r="U44" s="12" t="n">
        <v>451.056</v>
      </c>
      <c r="V44" s="12" t="n">
        <v>347.746</v>
      </c>
      <c r="W44" s="12" t="n">
        <v>361.443</v>
      </c>
      <c r="X44" s="12" t="n">
        <v>603.564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(2026.10.23)</t>
        </is>
      </c>
      <c r="B47" s="29" t="n">
        <v>2435</v>
      </c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>
        <v>1600000</v>
      </c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 2026.10.23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2024.1Q</t>
        </is>
      </c>
      <c r="D77" s="5" t="inlineStr">
        <is>
          <t>2024.2Q</t>
        </is>
      </c>
      <c r="E77" s="5" t="inlineStr">
        <is>
          <t>2024.3Q</t>
        </is>
      </c>
      <c r="F77" s="5" t="inlineStr">
        <is>
          <t>2024.4Q</t>
        </is>
      </c>
      <c r="G77" s="5" t="inlineStr">
        <is>
          <t>2025.1Q</t>
        </is>
      </c>
      <c r="H77" s="5" t="inlineStr">
        <is>
          <t>2025.2Q</t>
        </is>
      </c>
      <c r="I77" s="5" t="inlineStr">
        <is>
          <t>2025.3Q</t>
        </is>
      </c>
      <c r="J77" s="5" t="inlineStr">
        <is>
          <t>2025.4Q</t>
        </is>
      </c>
      <c r="K77" s="5" t="inlineStr">
        <is>
          <t>2026.1Q</t>
        </is>
      </c>
      <c r="L77" s="5" t="inlineStr">
        <is>
          <t>2026.2Q</t>
        </is>
      </c>
      <c r="M77" s="5" t="inlineStr">
        <is>
          <t>2026.3Q</t>
        </is>
      </c>
      <c r="N77" s="5" t="inlineStr">
        <is>
          <t>2026.4Q</t>
        </is>
      </c>
      <c r="O77" s="5" t="inlineStr">
        <is>
          <t>2017</t>
        </is>
      </c>
      <c r="P77" s="5" t="inlineStr">
        <is>
          <t>2018</t>
        </is>
      </c>
      <c r="Q77" s="5" t="inlineStr">
        <is>
          <t>2019</t>
        </is>
      </c>
      <c r="R77" s="5" t="inlineStr">
        <is>
          <t>2020</t>
        </is>
      </c>
      <c r="S77" s="5" t="inlineStr">
        <is>
          <t>2021</t>
        </is>
      </c>
      <c r="T77" s="5" t="inlineStr">
        <is>
          <t>2022</t>
        </is>
      </c>
      <c r="U77" s="5" t="inlineStr">
        <is>
          <t>2023</t>
        </is>
      </c>
      <c r="V77" s="5" t="inlineStr">
        <is>
          <t>2024</t>
        </is>
      </c>
      <c r="W77" s="5" t="inlineStr">
        <is>
          <t>2025</t>
        </is>
      </c>
      <c r="X77" s="5" t="inlineStr">
        <is>
          <t>2026</t>
        </is>
      </c>
      <c r="Y77" s="5" t="inlineStr">
        <is>
          <t>2027(MW)</t>
        </is>
      </c>
      <c r="Z77" s="5" t="inlineStr">
        <is>
          <t>2028(MW)</t>
        </is>
      </c>
      <c r="AA77" s="5" t="inlineStr">
        <is>
          <t>2029(MW)</t>
        </is>
      </c>
      <c r="AB77" s="5" t="inlineStr">
        <is>
          <t>2030(MW)</t>
        </is>
      </c>
      <c r="AC77" s="5" t="inlineStr">
        <is>
          <t>2031(MW)</t>
        </is>
      </c>
    </row>
    <row r="78">
      <c r="A78" s="9" t="inlineStr">
        <is>
          <t>매출액</t>
        </is>
      </c>
      <c r="C78" s="12" t="n">
        <v>2051.374</v>
      </c>
      <c r="D78" s="12" t="n">
        <v>2158.375</v>
      </c>
      <c r="E78" s="12" t="n">
        <v>2281.694</v>
      </c>
      <c r="F78" s="12" t="n">
        <v>2512.889</v>
      </c>
      <c r="G78" s="12" t="n">
        <v>2119.099</v>
      </c>
      <c r="H78" s="12" t="n">
        <v>2097.548</v>
      </c>
      <c r="I78" s="12" t="n">
        <v>2380.421</v>
      </c>
      <c r="J78" s="12" t="n">
        <v>2379.552</v>
      </c>
      <c r="K78" s="12" t="n">
        <v>2067.962</v>
      </c>
      <c r="L78" s="12" t="n">
        <v>2356.459</v>
      </c>
      <c r="M78" s="12" t="n">
        <v>2667.788</v>
      </c>
      <c r="N78" s="12" t="n">
        <v>2796.556</v>
      </c>
      <c r="T78" s="12" t="n">
        <v>2430.65</v>
      </c>
      <c r="U78" s="12" t="n">
        <v>2491.022</v>
      </c>
      <c r="V78" s="12" t="n">
        <v>2512.889</v>
      </c>
      <c r="W78" s="12" t="n">
        <v>2379.552</v>
      </c>
      <c r="X78" s="12" t="n">
        <v>2796.556</v>
      </c>
    </row>
    <row r="79">
      <c r="A79" s="20" t="inlineStr">
        <is>
          <t>매출원가</t>
        </is>
      </c>
      <c r="C79" s="22" t="n">
        <v>1218.432</v>
      </c>
      <c r="D79" s="22" t="n">
        <v>1294.368</v>
      </c>
      <c r="E79" s="22" t="n">
        <v>1278.345</v>
      </c>
      <c r="F79" s="22" t="n">
        <v>1561.58</v>
      </c>
      <c r="G79" s="22" t="n">
        <v>1238.275</v>
      </c>
      <c r="H79" s="22" t="n">
        <v>1254.75</v>
      </c>
      <c r="I79" s="22" t="n">
        <v>1394.083</v>
      </c>
      <c r="J79" s="22" t="n">
        <v>1472.39</v>
      </c>
      <c r="K79" s="22" t="n">
        <v>1238.496</v>
      </c>
      <c r="L79" s="22" t="n">
        <v>1353.094</v>
      </c>
      <c r="M79" s="22" t="n">
        <v>1516.317</v>
      </c>
      <c r="N79" s="22" t="n">
        <v>1723.128</v>
      </c>
      <c r="T79" s="22" t="n">
        <v>1411.388</v>
      </c>
      <c r="U79" s="22" t="n">
        <v>1463.139</v>
      </c>
      <c r="V79" s="22" t="n">
        <v>1561.58</v>
      </c>
      <c r="W79" s="22" t="n">
        <v>1472.39</v>
      </c>
      <c r="X79" s="22" t="n">
        <v>1723.128</v>
      </c>
    </row>
    <row r="80">
      <c r="A80" s="9" t="inlineStr">
        <is>
          <t>매출총이익</t>
        </is>
      </c>
      <c r="C80" s="12" t="n">
        <v>832.941</v>
      </c>
      <c r="D80" s="12" t="n">
        <v>864.0069999999999</v>
      </c>
      <c r="E80" s="12" t="n">
        <v>1003.35</v>
      </c>
      <c r="F80" s="12" t="n">
        <v>951.309</v>
      </c>
      <c r="G80" s="12" t="n">
        <v>880.824</v>
      </c>
      <c r="H80" s="12" t="n">
        <v>842.797</v>
      </c>
      <c r="I80" s="12" t="n">
        <v>986.338</v>
      </c>
      <c r="J80" s="12" t="n">
        <v>907.162</v>
      </c>
      <c r="K80" s="12" t="n">
        <v>829.466</v>
      </c>
      <c r="L80" s="12" t="n">
        <v>1003.365</v>
      </c>
      <c r="M80" s="12" t="n">
        <v>1151.471</v>
      </c>
      <c r="N80" s="12" t="n">
        <v>1073.428</v>
      </c>
      <c r="T80" s="12" t="n">
        <v>1019.262</v>
      </c>
      <c r="U80" s="12" t="n">
        <v>1027.882</v>
      </c>
      <c r="V80" s="12" t="n">
        <v>951.309</v>
      </c>
      <c r="W80" s="12" t="n">
        <v>907.162</v>
      </c>
      <c r="X80" s="12" t="n">
        <v>1073.428</v>
      </c>
    </row>
    <row r="81">
      <c r="A81" s="20" t="inlineStr">
        <is>
          <t>판매비와 관리비 합계</t>
        </is>
      </c>
      <c r="C81" s="22" t="n">
        <v>795.849</v>
      </c>
      <c r="D81" s="22" t="n">
        <v>788.651</v>
      </c>
      <c r="E81" s="22" t="n">
        <v>810.224</v>
      </c>
      <c r="F81" s="22" t="n">
        <v>838.878</v>
      </c>
      <c r="G81" s="22" t="n">
        <v>801.119</v>
      </c>
      <c r="H81" s="22" t="n">
        <v>809.595</v>
      </c>
      <c r="I81" s="22" t="n">
        <v>769.917</v>
      </c>
      <c r="J81" s="22" t="n">
        <v>841.682</v>
      </c>
      <c r="K81" s="22" t="n">
        <v>869.136</v>
      </c>
      <c r="L81" s="22" t="n">
        <v>849.09</v>
      </c>
      <c r="M81" s="22" t="n">
        <v>858.566</v>
      </c>
      <c r="N81" s="22" t="n">
        <v>900.605</v>
      </c>
      <c r="T81" s="22" t="n">
        <v>829.176</v>
      </c>
      <c r="U81" s="22" t="n">
        <v>836.298</v>
      </c>
      <c r="V81" s="22" t="n">
        <v>838.878</v>
      </c>
      <c r="W81" s="22" t="n">
        <v>841.682</v>
      </c>
      <c r="X81" s="22" t="n">
        <v>900.605</v>
      </c>
    </row>
    <row r="82">
      <c r="A82" s="9" t="inlineStr">
        <is>
          <t>영업이익</t>
        </is>
      </c>
      <c r="C82" s="12" t="n">
        <v>37.092</v>
      </c>
      <c r="D82" s="12" t="n">
        <v>75.35599999999999</v>
      </c>
      <c r="E82" s="12" t="n">
        <v>193.126</v>
      </c>
      <c r="F82" s="12" t="n">
        <v>112.43</v>
      </c>
      <c r="G82" s="12" t="n">
        <v>79.705</v>
      </c>
      <c r="H82" s="12" t="n">
        <v>33.202</v>
      </c>
      <c r="I82" s="12" t="n">
        <v>216.421</v>
      </c>
      <c r="J82" s="12" t="n">
        <v>65.479</v>
      </c>
      <c r="K82" s="12" t="n">
        <v>-39.67</v>
      </c>
      <c r="L82" s="12" t="n">
        <v>154.274</v>
      </c>
      <c r="M82" s="12" t="n">
        <v>292.905</v>
      </c>
      <c r="N82" s="12" t="n">
        <v>172.823</v>
      </c>
      <c r="T82" s="12" t="n">
        <v>190.087</v>
      </c>
      <c r="U82" s="12" t="n">
        <v>191.584</v>
      </c>
      <c r="V82" s="12" t="n">
        <v>112.43</v>
      </c>
      <c r="W82" s="12" t="n">
        <v>65.479</v>
      </c>
      <c r="X82" s="12" t="n">
        <v>172.823</v>
      </c>
    </row>
    <row r="83">
      <c r="A83" s="20" t="inlineStr">
        <is>
          <t>이자수익</t>
        </is>
      </c>
      <c r="C83" s="22" t="n">
        <v>2.239</v>
      </c>
      <c r="D83" s="22" t="n">
        <v>2.28</v>
      </c>
      <c r="E83" s="22" t="n">
        <v>1.988</v>
      </c>
      <c r="F83" s="22" t="n">
        <v>-3.168</v>
      </c>
      <c r="G83" s="22" t="n">
        <v>3.044</v>
      </c>
      <c r="H83" s="22" t="n">
        <v>3.929</v>
      </c>
      <c r="I83" s="22" t="n">
        <v>1.384</v>
      </c>
      <c r="J83" s="22" t="n">
        <v>-1.184</v>
      </c>
      <c r="K83" s="22" t="n">
        <v>5.034</v>
      </c>
      <c r="L83" s="22" t="n">
        <v>3.781</v>
      </c>
      <c r="M83" s="22" t="n">
        <v>2.737</v>
      </c>
      <c r="N83" s="22" t="n">
        <v>-0.22</v>
      </c>
      <c r="T83" s="22" t="n">
        <v>-3.619</v>
      </c>
      <c r="U83" s="22" t="n">
        <v>-6.82</v>
      </c>
      <c r="V83" s="22" t="n">
        <v>-3.168</v>
      </c>
      <c r="W83" s="22" t="n">
        <v>-1.184</v>
      </c>
      <c r="X83" s="22" t="n">
        <v>-0.22</v>
      </c>
    </row>
    <row r="84">
      <c r="A84" s="20" t="inlineStr">
        <is>
          <t>배당금수익</t>
        </is>
      </c>
      <c r="C84" s="22" t="n">
        <v>0.004</v>
      </c>
      <c r="D84" s="22" t="n">
        <v>3.679</v>
      </c>
      <c r="E84" s="22" t="n">
        <v>0.443</v>
      </c>
      <c r="F84" s="22" t="n">
        <v>4.684</v>
      </c>
      <c r="G84" s="22" t="n">
        <v>0.198</v>
      </c>
      <c r="H84" s="22" t="n">
        <v>4.368</v>
      </c>
      <c r="I84" s="22" t="n">
        <v>0.658</v>
      </c>
      <c r="J84" s="22" t="n">
        <v>6.155</v>
      </c>
      <c r="K84" s="22" t="n">
        <v>0.198</v>
      </c>
      <c r="L84" s="22" t="n">
        <v>6.296</v>
      </c>
      <c r="M84" s="22" t="n">
        <v>0.828</v>
      </c>
      <c r="N84" s="22" t="n">
        <v>7.216</v>
      </c>
      <c r="T84" s="22" t="n">
        <v>3.228</v>
      </c>
      <c r="U84" s="22" t="n">
        <v>3.932</v>
      </c>
      <c r="V84" s="22" t="n">
        <v>4.684</v>
      </c>
      <c r="W84" s="22" t="n">
        <v>6.155</v>
      </c>
      <c r="X84" s="22" t="n">
        <v>7.216</v>
      </c>
    </row>
    <row r="85">
      <c r="A85" s="20" t="inlineStr">
        <is>
          <t>외환차익</t>
        </is>
      </c>
      <c r="C85" s="22" t="n">
        <v>16.796</v>
      </c>
      <c r="D85" s="22" t="n">
        <v>5.901</v>
      </c>
      <c r="E85" s="22" t="n">
        <v>33.946</v>
      </c>
      <c r="F85" s="22" t="n">
        <v>-31.762</v>
      </c>
      <c r="G85" s="22" t="n">
        <v>24.495</v>
      </c>
      <c r="H85" s="22" t="n">
        <v>11.86</v>
      </c>
      <c r="I85" s="22" t="n">
        <v>-36.355</v>
      </c>
      <c r="J85" s="22" t="n">
        <v>17.519</v>
      </c>
      <c r="K85" s="22" t="n">
        <v>55.567</v>
      </c>
      <c r="L85" s="22" t="n">
        <v>35.951</v>
      </c>
      <c r="M85" s="22" t="n">
        <v>16.339</v>
      </c>
      <c r="N85" s="22" t="n">
        <v>6.086</v>
      </c>
      <c r="T85" s="22" t="n">
        <v>28.048</v>
      </c>
      <c r="U85" s="22" t="n">
        <v>44.538</v>
      </c>
      <c r="V85" s="22" t="n">
        <v>-31.762</v>
      </c>
      <c r="W85" s="22" t="n">
        <v>17.519</v>
      </c>
      <c r="X85" s="22" t="n">
        <v>6.086</v>
      </c>
    </row>
    <row r="86">
      <c r="A86" s="20" t="inlineStr">
        <is>
          <t>대손충당금 환입</t>
        </is>
      </c>
      <c r="C86" s="22" t="n">
        <v>1.266</v>
      </c>
      <c r="D86" s="22" t="n">
        <v>-1.266</v>
      </c>
      <c r="E86" s="22" t="n">
        <v>0</v>
      </c>
      <c r="F86" s="22" t="n">
        <v>0</v>
      </c>
      <c r="G86" s="22" t="n">
        <v>0.614</v>
      </c>
      <c r="H86" s="22" t="n">
        <v>0.651</v>
      </c>
      <c r="I86" s="22" t="n">
        <v>3.214</v>
      </c>
      <c r="J86" s="22" t="n">
        <v>-0.706</v>
      </c>
      <c r="K86" s="22" t="n">
        <v>0</v>
      </c>
      <c r="L86" s="22" t="n">
        <v>0</v>
      </c>
      <c r="M86" s="22" t="n">
        <v>0</v>
      </c>
      <c r="N86" s="22" t="n">
        <v>0</v>
      </c>
      <c r="V86" s="22" t="n">
        <v>0</v>
      </c>
      <c r="W86" s="22" t="n">
        <v>-0.706</v>
      </c>
      <c r="X86" s="22" t="n">
        <v>0</v>
      </c>
    </row>
    <row r="87">
      <c r="A87" s="20" t="inlineStr">
        <is>
          <t>스크랩 매각이익</t>
        </is>
      </c>
      <c r="C87" s="22" t="n">
        <v>2.859</v>
      </c>
      <c r="D87" s="22" t="n">
        <v>2.651</v>
      </c>
      <c r="E87" s="22" t="n">
        <v>3.504</v>
      </c>
      <c r="F87" s="22" t="n">
        <v>2.371</v>
      </c>
      <c r="G87" s="22" t="n">
        <v>2.476</v>
      </c>
      <c r="H87" s="22" t="n">
        <v>3.907</v>
      </c>
      <c r="I87" s="22" t="n">
        <v>2.15</v>
      </c>
      <c r="J87" s="22" t="n">
        <v>1.901</v>
      </c>
      <c r="K87" s="22" t="n">
        <v>1.841</v>
      </c>
      <c r="L87" s="22" t="n">
        <v>3.256</v>
      </c>
      <c r="M87" s="22" t="n">
        <v>2.607</v>
      </c>
      <c r="N87" s="22" t="n">
        <v>2.705</v>
      </c>
      <c r="U87" s="22" t="n">
        <v>2.348</v>
      </c>
      <c r="V87" s="22" t="n">
        <v>2.371</v>
      </c>
      <c r="W87" s="22" t="n">
        <v>1.901</v>
      </c>
      <c r="X87" s="22" t="n">
        <v>2.705</v>
      </c>
    </row>
    <row r="88">
      <c r="A88" s="20" t="inlineStr">
        <is>
          <t>기타</t>
        </is>
      </c>
      <c r="C88" s="22" t="n">
        <v>7.76</v>
      </c>
      <c r="D88" s="22" t="n">
        <v>0.5</v>
      </c>
      <c r="E88" s="22" t="n">
        <v>1.701</v>
      </c>
      <c r="F88" s="22" t="n">
        <v>1.517</v>
      </c>
      <c r="G88" s="22" t="n">
        <v>2.888</v>
      </c>
      <c r="H88" s="22" t="n">
        <v>2.563</v>
      </c>
      <c r="I88" s="22" t="n">
        <v>5.575</v>
      </c>
      <c r="J88" s="22" t="n">
        <v>1.736</v>
      </c>
      <c r="K88" s="22" t="n">
        <v>3.758</v>
      </c>
      <c r="L88" s="22" t="n">
        <v>1.598</v>
      </c>
      <c r="M88" s="22" t="n">
        <v>6.594</v>
      </c>
      <c r="N88" s="22" t="n">
        <v>11.173</v>
      </c>
      <c r="T88" s="22" t="n">
        <v>-3.513</v>
      </c>
      <c r="U88" s="22" t="n">
        <v>4.909</v>
      </c>
      <c r="V88" s="22" t="n">
        <v>1.517</v>
      </c>
      <c r="W88" s="22" t="n">
        <v>1.736</v>
      </c>
      <c r="X88" s="22" t="n">
        <v>11.173</v>
      </c>
    </row>
    <row r="89">
      <c r="A89" s="20" t="inlineStr">
        <is>
          <t>영업외수익 합계</t>
        </is>
      </c>
      <c r="C89" s="22" t="n">
        <v>30.927</v>
      </c>
      <c r="D89" s="22" t="n">
        <v>13.744</v>
      </c>
      <c r="E89" s="22" t="n">
        <v>41.582</v>
      </c>
      <c r="F89" s="22" t="n">
        <v>-20.573</v>
      </c>
      <c r="G89" s="22" t="n">
        <v>33.718</v>
      </c>
      <c r="H89" s="22" t="n">
        <v>27.278</v>
      </c>
      <c r="I89" s="22" t="n">
        <v>-23.376</v>
      </c>
      <c r="J89" s="22" t="n">
        <v>30.302</v>
      </c>
      <c r="K89" s="22" t="n">
        <v>66.399</v>
      </c>
      <c r="L89" s="22" t="n">
        <v>50.882</v>
      </c>
      <c r="M89" s="22" t="n">
        <v>29.106</v>
      </c>
      <c r="N89" s="22" t="n">
        <v>32.331</v>
      </c>
      <c r="T89" s="22" t="n">
        <v>41.519</v>
      </c>
      <c r="U89" s="22" t="n">
        <v>58.48</v>
      </c>
      <c r="V89" s="22" t="n">
        <v>-20.573</v>
      </c>
      <c r="W89" s="22" t="n">
        <v>30.302</v>
      </c>
      <c r="X89" s="22" t="n">
        <v>32.331</v>
      </c>
    </row>
    <row r="90">
      <c r="A90" s="20" t="inlineStr">
        <is>
          <t>이자비용</t>
        </is>
      </c>
      <c r="C90" s="22" t="n">
        <v>0.821</v>
      </c>
      <c r="D90" s="22" t="n">
        <v>0.8110000000000001</v>
      </c>
      <c r="E90" s="22" t="n">
        <v>0.952</v>
      </c>
      <c r="F90" s="22" t="n">
        <v>0.8</v>
      </c>
      <c r="G90" s="22" t="n">
        <v>0.825</v>
      </c>
      <c r="H90" s="22" t="n">
        <v>0.885</v>
      </c>
      <c r="I90" s="22" t="n">
        <v>0.9429999999999999</v>
      </c>
      <c r="J90" s="22" t="n">
        <v>0.918</v>
      </c>
      <c r="K90" s="22" t="n">
        <v>0.853</v>
      </c>
      <c r="L90" s="22" t="n">
        <v>1.33</v>
      </c>
      <c r="M90" s="22" t="n">
        <v>1.423</v>
      </c>
      <c r="N90" s="22" t="n">
        <v>1.545</v>
      </c>
      <c r="T90" s="22" t="n">
        <v>-3.321</v>
      </c>
      <c r="U90" s="22" t="n">
        <v>-4.872</v>
      </c>
      <c r="V90" s="22" t="n">
        <v>0.8</v>
      </c>
      <c r="W90" s="22" t="n">
        <v>0.918</v>
      </c>
      <c r="X90" s="22" t="n">
        <v>1.545</v>
      </c>
    </row>
    <row r="91">
      <c r="A91" s="20" t="inlineStr">
        <is>
          <t>외환차손</t>
        </is>
      </c>
      <c r="C91" s="22" t="n">
        <v>0</v>
      </c>
      <c r="D91" s="22" t="n">
        <v>0</v>
      </c>
      <c r="E91" s="22" t="n">
        <v>0</v>
      </c>
      <c r="F91" s="22" t="n">
        <v>5.162</v>
      </c>
      <c r="J91" s="22" t="n">
        <v>-0.507</v>
      </c>
      <c r="V91" s="22" t="n">
        <v>5.162</v>
      </c>
      <c r="W91" s="22" t="n">
        <v>-0.507</v>
      </c>
    </row>
    <row r="92">
      <c r="A92" s="20" t="inlineStr">
        <is>
          <t>기타</t>
        </is>
      </c>
      <c r="C92" s="22" t="n">
        <v>0.459</v>
      </c>
      <c r="D92" s="22" t="n">
        <v>0.109</v>
      </c>
      <c r="E92" s="22" t="n">
        <v>3.065</v>
      </c>
      <c r="F92" s="22" t="n">
        <v>-0.287</v>
      </c>
      <c r="G92" s="22" t="n">
        <v>0.246</v>
      </c>
      <c r="H92" s="22" t="n">
        <v>0.383</v>
      </c>
      <c r="I92" s="22" t="n">
        <v>0.651</v>
      </c>
      <c r="J92" s="22" t="n">
        <v>0.276</v>
      </c>
      <c r="K92" s="22" t="n">
        <v>1.827</v>
      </c>
      <c r="L92" s="22" t="n">
        <v>-0.854</v>
      </c>
      <c r="M92" s="22" t="n">
        <v>0.041</v>
      </c>
      <c r="N92" s="22" t="n">
        <v>0.063</v>
      </c>
      <c r="T92" s="22" t="n">
        <v>1.526</v>
      </c>
      <c r="U92" s="22" t="n">
        <v>1.248</v>
      </c>
      <c r="V92" s="22" t="n">
        <v>-0.287</v>
      </c>
      <c r="W92" s="22" t="n">
        <v>0.276</v>
      </c>
      <c r="X92" s="22" t="n">
        <v>0.063</v>
      </c>
    </row>
    <row r="93">
      <c r="A93" s="20" t="inlineStr">
        <is>
          <t>영업외비용 합계</t>
        </is>
      </c>
      <c r="C93" s="22" t="n">
        <v>1.281</v>
      </c>
      <c r="D93" s="22" t="n">
        <v>0.919</v>
      </c>
      <c r="E93" s="22" t="n">
        <v>4.017</v>
      </c>
      <c r="F93" s="22" t="n">
        <v>0.514</v>
      </c>
      <c r="G93" s="22" t="n">
        <v>1.072</v>
      </c>
      <c r="H93" s="22" t="n">
        <v>1.268</v>
      </c>
      <c r="I93" s="22" t="n">
        <v>2.101</v>
      </c>
      <c r="J93" s="22" t="n">
        <v>0.6870000000000001</v>
      </c>
      <c r="K93" s="22" t="n">
        <v>2.681</v>
      </c>
      <c r="L93" s="22" t="n">
        <v>0.476</v>
      </c>
      <c r="M93" s="22" t="n">
        <v>1.464</v>
      </c>
      <c r="N93" s="22" t="n">
        <v>1.608</v>
      </c>
      <c r="T93" s="22" t="n">
        <v>-1.795</v>
      </c>
      <c r="U93" s="22" t="n">
        <v>-3.623</v>
      </c>
      <c r="V93" s="22" t="n">
        <v>0.514</v>
      </c>
      <c r="W93" s="22" t="n">
        <v>0.6870000000000001</v>
      </c>
      <c r="X93" s="22" t="n">
        <v>1.608</v>
      </c>
    </row>
    <row r="94">
      <c r="A94" s="9" t="inlineStr">
        <is>
          <t>경상이익</t>
        </is>
      </c>
      <c r="C94" s="12" t="n">
        <v>66.73699999999999</v>
      </c>
      <c r="D94" s="12" t="n">
        <v>88.182</v>
      </c>
      <c r="E94" s="12" t="n">
        <v>230.691</v>
      </c>
      <c r="F94" s="12" t="n">
        <v>91.343</v>
      </c>
      <c r="G94" s="12" t="n">
        <v>112.351</v>
      </c>
      <c r="H94" s="12" t="n">
        <v>59.212</v>
      </c>
      <c r="I94" s="12" t="n">
        <v>190.944</v>
      </c>
      <c r="J94" s="12" t="n">
        <v>95.095</v>
      </c>
      <c r="K94" s="12" t="n">
        <v>24.048</v>
      </c>
      <c r="L94" s="12" t="n">
        <v>204.681</v>
      </c>
      <c r="M94" s="12" t="n">
        <v>320.546</v>
      </c>
      <c r="N94" s="12" t="n">
        <v>203.547</v>
      </c>
      <c r="T94" s="12" t="n">
        <v>233.401</v>
      </c>
      <c r="U94" s="12" t="n">
        <v>253.687</v>
      </c>
      <c r="V94" s="12" t="n">
        <v>91.343</v>
      </c>
      <c r="W94" s="12" t="n">
        <v>95.095</v>
      </c>
      <c r="X94" s="12" t="n">
        <v>203.547</v>
      </c>
    </row>
    <row r="95">
      <c r="A95" s="20" t="inlineStr">
        <is>
          <t>고정자산 매각이익</t>
        </is>
      </c>
      <c r="C95" s="22" t="n">
        <v>4.734</v>
      </c>
      <c r="D95" s="22" t="n">
        <v>10.698</v>
      </c>
      <c r="E95" s="22" t="n">
        <v>0.431</v>
      </c>
      <c r="F95" s="22" t="n">
        <v>7.767</v>
      </c>
      <c r="G95" s="22" t="n">
        <v>9.472</v>
      </c>
      <c r="H95" s="22" t="n">
        <v>0.921</v>
      </c>
      <c r="I95" s="22" t="n">
        <v>3.569</v>
      </c>
      <c r="J95" s="22" t="n">
        <v>0.664</v>
      </c>
      <c r="K95" s="22" t="n">
        <v>0.136</v>
      </c>
      <c r="L95" s="22" t="n">
        <v>2.063</v>
      </c>
      <c r="M95" s="22" t="n">
        <v>0</v>
      </c>
      <c r="N95" s="22" t="n">
        <v>-2.061</v>
      </c>
      <c r="T95" s="22" t="n">
        <v>0.132</v>
      </c>
      <c r="U95" s="22" t="n">
        <v>5.178</v>
      </c>
      <c r="V95" s="22" t="n">
        <v>7.767</v>
      </c>
      <c r="W95" s="22" t="n">
        <v>0.664</v>
      </c>
      <c r="X95" s="22" t="n">
        <v>-2.061</v>
      </c>
    </row>
    <row r="96">
      <c r="A96" s="20" t="inlineStr">
        <is>
          <t>투자유가증권 매각이익</t>
        </is>
      </c>
      <c r="I96" s="22" t="n">
        <v>0</v>
      </c>
      <c r="J96" s="22" t="n">
        <v>0</v>
      </c>
      <c r="M96" s="22" t="n">
        <v>35.994</v>
      </c>
      <c r="N96" s="22" t="n">
        <v>40.675</v>
      </c>
      <c r="T96" s="22" t="n">
        <v>0</v>
      </c>
      <c r="U96" s="22" t="n">
        <v>0</v>
      </c>
      <c r="W96" s="22" t="n">
        <v>0</v>
      </c>
      <c r="X96" s="22" t="n">
        <v>40.675</v>
      </c>
    </row>
    <row r="97">
      <c r="A97" s="20" t="inlineStr">
        <is>
          <t>제품보상 충당금 환입이익</t>
        </is>
      </c>
      <c r="F97" s="22" t="n">
        <v>0</v>
      </c>
      <c r="J97" s="22" t="n">
        <v>0</v>
      </c>
      <c r="N97" s="22" t="n">
        <v>8.614000000000001</v>
      </c>
      <c r="V97" s="22" t="n">
        <v>0</v>
      </c>
      <c r="W97" s="22" t="n">
        <v>0</v>
      </c>
      <c r="X97" s="22" t="n">
        <v>8.614000000000001</v>
      </c>
    </row>
    <row r="98">
      <c r="A98" s="20" t="inlineStr">
        <is>
          <t>보조금 수입</t>
        </is>
      </c>
      <c r="E98" s="22" t="n">
        <v>9.292999999999999</v>
      </c>
      <c r="F98" s="22" t="n">
        <v>0</v>
      </c>
      <c r="I98" s="22" t="n">
        <v>0</v>
      </c>
      <c r="J98" s="22" t="n">
        <v>0</v>
      </c>
      <c r="M98" s="22" t="n">
        <v>0.15</v>
      </c>
      <c r="N98" s="22" t="n">
        <v>0</v>
      </c>
      <c r="T98" s="22" t="n">
        <v>1.5</v>
      </c>
      <c r="U98" s="22" t="n">
        <v>0</v>
      </c>
      <c r="V98" s="22" t="n">
        <v>0</v>
      </c>
      <c r="W98" s="22" t="n">
        <v>0</v>
      </c>
      <c r="X98" s="22" t="n">
        <v>0</v>
      </c>
    </row>
    <row r="99">
      <c r="A99" s="20" t="inlineStr">
        <is>
          <t>보험금 수입</t>
        </is>
      </c>
      <c r="G99" s="22" t="n">
        <v>0</v>
      </c>
      <c r="H99" s="22" t="n">
        <v>0</v>
      </c>
      <c r="I99" s="22" t="n">
        <v>0</v>
      </c>
      <c r="J99" s="22" t="n">
        <v>0</v>
      </c>
      <c r="K99" s="22" t="n">
        <v>15.516</v>
      </c>
      <c r="L99" s="22" t="n">
        <v>0</v>
      </c>
      <c r="M99" s="22" t="n">
        <v>0</v>
      </c>
      <c r="N99" s="22" t="n">
        <v>0</v>
      </c>
      <c r="W99" s="22" t="n">
        <v>0</v>
      </c>
      <c r="X99" s="22" t="n">
        <v>0</v>
      </c>
    </row>
    <row r="100">
      <c r="A100" s="20" t="inlineStr">
        <is>
          <t>특별이익 합계</t>
        </is>
      </c>
      <c r="C100" s="22" t="n">
        <v>4.734</v>
      </c>
      <c r="D100" s="22" t="n">
        <v>13.238</v>
      </c>
      <c r="E100" s="22" t="n">
        <v>44.489</v>
      </c>
      <c r="F100" s="22" t="n">
        <v>7.767</v>
      </c>
      <c r="G100" s="22" t="n">
        <v>9.472</v>
      </c>
      <c r="H100" s="22" t="n">
        <v>0.921</v>
      </c>
      <c r="I100" s="22" t="n">
        <v>61.292</v>
      </c>
      <c r="J100" s="22" t="n">
        <v>0.664</v>
      </c>
      <c r="K100" s="22" t="n">
        <v>15.653</v>
      </c>
      <c r="L100" s="22" t="n">
        <v>23.676</v>
      </c>
      <c r="M100" s="22" t="n">
        <v>36.144</v>
      </c>
      <c r="N100" s="22" t="n">
        <v>47.228</v>
      </c>
      <c r="T100" s="22" t="n">
        <v>3.474</v>
      </c>
      <c r="U100" s="22" t="n">
        <v>5.178</v>
      </c>
      <c r="V100" s="22" t="n">
        <v>7.767</v>
      </c>
      <c r="W100" s="22" t="n">
        <v>0.664</v>
      </c>
      <c r="X100" s="22" t="n">
        <v>47.228</v>
      </c>
    </row>
    <row r="101">
      <c r="A101" s="20" t="inlineStr">
        <is>
          <t>고정자산 매각손실</t>
        </is>
      </c>
      <c r="C101" s="22" t="n">
        <v>0.327</v>
      </c>
      <c r="D101" s="22" t="n">
        <v>0</v>
      </c>
      <c r="E101" s="22" t="n">
        <v>0</v>
      </c>
      <c r="F101" s="22" t="n">
        <v>3.129</v>
      </c>
      <c r="G101" s="22" t="n">
        <v>0</v>
      </c>
      <c r="H101" s="22" t="n">
        <v>0</v>
      </c>
      <c r="I101" s="22" t="n">
        <v>0</v>
      </c>
      <c r="J101" s="22" t="n">
        <v>0</v>
      </c>
      <c r="K101" s="22" t="n">
        <v>0.838</v>
      </c>
      <c r="L101" s="22" t="n">
        <v>0.024</v>
      </c>
      <c r="M101" s="22" t="n">
        <v>0.024</v>
      </c>
      <c r="N101" s="22" t="n">
        <v>1.117</v>
      </c>
      <c r="T101" s="22" t="n">
        <v>0.004</v>
      </c>
      <c r="U101" s="22" t="n">
        <v>4.115</v>
      </c>
      <c r="V101" s="22" t="n">
        <v>3.129</v>
      </c>
      <c r="W101" s="22" t="n">
        <v>0</v>
      </c>
      <c r="X101" s="22" t="n">
        <v>1.117</v>
      </c>
    </row>
    <row r="102">
      <c r="A102" s="20" t="inlineStr">
        <is>
          <t>고정자산 제각손실</t>
        </is>
      </c>
      <c r="C102" s="22" t="n">
        <v>0.034</v>
      </c>
      <c r="D102" s="22" t="n">
        <v>0.062</v>
      </c>
      <c r="E102" s="22" t="n">
        <v>17.599</v>
      </c>
      <c r="F102" s="22" t="n">
        <v>0.901</v>
      </c>
      <c r="G102" s="22" t="n">
        <v>0.741</v>
      </c>
      <c r="H102" s="22" t="n">
        <v>2.89</v>
      </c>
      <c r="I102" s="22" t="n">
        <v>2.008</v>
      </c>
      <c r="J102" s="22" t="n">
        <v>3.92</v>
      </c>
      <c r="K102" s="22" t="n">
        <v>0.583</v>
      </c>
      <c r="L102" s="22" t="n">
        <v>2.639</v>
      </c>
      <c r="M102" s="22" t="n">
        <v>0.03</v>
      </c>
      <c r="N102" s="22" t="n">
        <v>0.731</v>
      </c>
      <c r="T102" s="22" t="n">
        <v>0.403</v>
      </c>
      <c r="U102" s="22" t="n">
        <v>1.493</v>
      </c>
      <c r="V102" s="22" t="n">
        <v>0.901</v>
      </c>
      <c r="W102" s="22" t="n">
        <v>3.92</v>
      </c>
      <c r="X102" s="22" t="n">
        <v>0.731</v>
      </c>
    </row>
    <row r="103">
      <c r="A103" s="20" t="inlineStr">
        <is>
          <t>제품보상비</t>
        </is>
      </c>
      <c r="T103" s="22" t="n">
        <v>0</v>
      </c>
      <c r="U103" s="22" t="n">
        <v>43.736</v>
      </c>
    </row>
    <row r="104">
      <c r="A104" s="20" t="inlineStr">
        <is>
          <t>해약 위약금</t>
        </is>
      </c>
      <c r="F104" s="22" t="n">
        <v>0</v>
      </c>
      <c r="J104" s="22" t="n">
        <v>0</v>
      </c>
      <c r="N104" s="22" t="n">
        <v>0</v>
      </c>
      <c r="V104" s="22" t="n">
        <v>0</v>
      </c>
      <c r="W104" s="22" t="n">
        <v>0</v>
      </c>
      <c r="X104" s="22" t="n">
        <v>0</v>
      </c>
    </row>
    <row r="105">
      <c r="A105" s="20" t="inlineStr">
        <is>
          <t>특별손실 합계</t>
        </is>
      </c>
      <c r="C105" s="22" t="n">
        <v>0.361</v>
      </c>
      <c r="D105" s="22" t="n">
        <v>0.062</v>
      </c>
      <c r="E105" s="22" t="n">
        <v>17.6</v>
      </c>
      <c r="F105" s="22" t="n">
        <v>4.03</v>
      </c>
      <c r="G105" s="22" t="n">
        <v>0.741</v>
      </c>
      <c r="H105" s="22" t="n">
        <v>2.89</v>
      </c>
      <c r="I105" s="22" t="n">
        <v>12.137</v>
      </c>
      <c r="J105" s="22" t="n">
        <v>3.921</v>
      </c>
      <c r="K105" s="22" t="n">
        <v>1.421</v>
      </c>
      <c r="L105" s="22" t="n">
        <v>2.664</v>
      </c>
      <c r="M105" s="22" t="n">
        <v>12.993</v>
      </c>
      <c r="N105" s="22" t="n">
        <v>1.847</v>
      </c>
      <c r="T105" s="22" t="n">
        <v>23.543</v>
      </c>
      <c r="U105" s="22" t="n">
        <v>49.346</v>
      </c>
      <c r="V105" s="22" t="n">
        <v>4.03</v>
      </c>
      <c r="W105" s="22" t="n">
        <v>3.921</v>
      </c>
      <c r="X105" s="22" t="n">
        <v>1.847</v>
      </c>
    </row>
    <row r="106">
      <c r="A106" s="9" t="inlineStr">
        <is>
          <t>법인세차감전 순이익</t>
        </is>
      </c>
      <c r="C106" s="12" t="n">
        <v>71.11</v>
      </c>
      <c r="D106" s="12" t="n">
        <v>101.358</v>
      </c>
      <c r="E106" s="12" t="n">
        <v>257.58</v>
      </c>
      <c r="F106" s="12" t="n">
        <v>95.08</v>
      </c>
      <c r="G106" s="12" t="n">
        <v>121.081</v>
      </c>
      <c r="H106" s="12" t="n">
        <v>57.245</v>
      </c>
      <c r="I106" s="12" t="n">
        <v>240.098</v>
      </c>
      <c r="J106" s="12" t="n">
        <v>91.839</v>
      </c>
      <c r="K106" s="12" t="n">
        <v>38.279</v>
      </c>
      <c r="L106" s="12" t="n">
        <v>225.694</v>
      </c>
      <c r="M106" s="12" t="n">
        <v>343.698</v>
      </c>
      <c r="N106" s="12" t="n">
        <v>248.926</v>
      </c>
      <c r="T106" s="12" t="n">
        <v>213.332</v>
      </c>
      <c r="U106" s="12" t="n">
        <v>209.519</v>
      </c>
      <c r="V106" s="12" t="n">
        <v>95.08</v>
      </c>
      <c r="W106" s="12" t="n">
        <v>91.839</v>
      </c>
      <c r="X106" s="12" t="n">
        <v>248.926</v>
      </c>
    </row>
    <row r="107">
      <c r="A107" s="20" t="inlineStr">
        <is>
          <t>법인세·주민세·사업세</t>
        </is>
      </c>
      <c r="C107" s="22" t="n">
        <v>50.395</v>
      </c>
      <c r="D107" s="22" t="n">
        <v>-16.862</v>
      </c>
      <c r="E107" s="22" t="n">
        <v>114.877</v>
      </c>
      <c r="F107" s="22" t="n">
        <v>2.478</v>
      </c>
      <c r="G107" s="22" t="n">
        <v>65.746</v>
      </c>
      <c r="H107" s="22" t="n">
        <v>-32.524</v>
      </c>
      <c r="I107" s="22" t="n">
        <v>104.775</v>
      </c>
      <c r="J107" s="22" t="n">
        <v>-1.834</v>
      </c>
      <c r="K107" s="22" t="n">
        <v>49.316</v>
      </c>
      <c r="L107" s="22" t="n">
        <v>35.555</v>
      </c>
      <c r="M107" s="22" t="n">
        <v>150.697</v>
      </c>
      <c r="N107" s="22" t="n">
        <v>38.143</v>
      </c>
      <c r="T107" s="22" t="n">
        <v>61.408</v>
      </c>
      <c r="U107" s="22" t="n">
        <v>57.5</v>
      </c>
      <c r="V107" s="22" t="n">
        <v>2.478</v>
      </c>
      <c r="W107" s="22" t="n">
        <v>-1.834</v>
      </c>
      <c r="X107" s="22" t="n">
        <v>38.143</v>
      </c>
    </row>
    <row r="108">
      <c r="A108" s="20" t="inlineStr">
        <is>
          <t>법인세 조정액</t>
        </is>
      </c>
      <c r="C108" s="22" t="n">
        <v>-23.47</v>
      </c>
      <c r="D108" s="22" t="n">
        <v>29.454</v>
      </c>
      <c r="E108" s="22" t="n">
        <v>-23.06</v>
      </c>
      <c r="F108" s="22" t="n">
        <v>28.14</v>
      </c>
      <c r="G108" s="22" t="n">
        <v>-27.406</v>
      </c>
      <c r="H108" s="22" t="n">
        <v>40.31</v>
      </c>
      <c r="I108" s="22" t="n">
        <v>-18.217</v>
      </c>
      <c r="J108" s="22" t="n">
        <v>17.969</v>
      </c>
      <c r="K108" s="22" t="n">
        <v>-40.198</v>
      </c>
      <c r="L108" s="22" t="n">
        <v>34.297</v>
      </c>
      <c r="M108" s="22" t="n">
        <v>-35.507</v>
      </c>
      <c r="N108" s="22" t="n">
        <v>20.73</v>
      </c>
      <c r="T108" s="22" t="n">
        <v>16.316</v>
      </c>
      <c r="U108" s="22" t="n">
        <v>-0.243</v>
      </c>
      <c r="V108" s="22" t="n">
        <v>28.14</v>
      </c>
      <c r="W108" s="22" t="n">
        <v>17.969</v>
      </c>
      <c r="X108" s="22" t="n">
        <v>20.73</v>
      </c>
    </row>
    <row r="109">
      <c r="A109" s="20" t="inlineStr">
        <is>
          <t>법인세 등 합계</t>
        </is>
      </c>
      <c r="C109" s="22" t="n">
        <v>26.925</v>
      </c>
      <c r="D109" s="22" t="n">
        <v>12.593</v>
      </c>
      <c r="E109" s="22" t="n">
        <v>91.815</v>
      </c>
      <c r="F109" s="22" t="n">
        <v>30.619</v>
      </c>
      <c r="G109" s="22" t="n">
        <v>38.339</v>
      </c>
      <c r="H109" s="22" t="n">
        <v>7.788</v>
      </c>
      <c r="I109" s="22" t="n">
        <v>86.557</v>
      </c>
      <c r="J109" s="22" t="n">
        <v>16.135</v>
      </c>
      <c r="K109" s="22" t="n">
        <v>9.117000000000001</v>
      </c>
      <c r="L109" s="22" t="n">
        <v>69.85299999999999</v>
      </c>
      <c r="M109" s="22" t="n">
        <v>115.189</v>
      </c>
      <c r="N109" s="22" t="n">
        <v>58.874</v>
      </c>
      <c r="T109" s="22" t="n">
        <v>77.724</v>
      </c>
      <c r="U109" s="22" t="n">
        <v>57.257</v>
      </c>
      <c r="V109" s="22" t="n">
        <v>30.619</v>
      </c>
      <c r="W109" s="22" t="n">
        <v>16.135</v>
      </c>
      <c r="X109" s="22" t="n">
        <v>58.874</v>
      </c>
    </row>
    <row r="110">
      <c r="A110" s="9" t="inlineStr">
        <is>
          <t>순이익</t>
        </is>
      </c>
      <c r="C110" s="12" t="n">
        <v>44.184</v>
      </c>
      <c r="D110" s="12" t="n">
        <v>88.765</v>
      </c>
      <c r="E110" s="12" t="n">
        <v>165.765</v>
      </c>
      <c r="F110" s="12" t="n">
        <v>64.461</v>
      </c>
      <c r="G110" s="12" t="n">
        <v>82.742</v>
      </c>
      <c r="H110" s="12" t="n">
        <v>49.456</v>
      </c>
      <c r="I110" s="12" t="n">
        <v>153.542</v>
      </c>
      <c r="J110" s="12" t="n">
        <v>75.703</v>
      </c>
      <c r="K110" s="12" t="n">
        <v>29.162</v>
      </c>
      <c r="L110" s="12" t="n">
        <v>155.841</v>
      </c>
      <c r="M110" s="12" t="n">
        <v>228.508</v>
      </c>
      <c r="N110" s="12" t="n">
        <v>190.053</v>
      </c>
      <c r="T110" s="12" t="n">
        <v>135.607</v>
      </c>
      <c r="U110" s="12" t="n">
        <v>152.261</v>
      </c>
      <c r="V110" s="12" t="n">
        <v>64.461</v>
      </c>
      <c r="W110" s="12" t="n">
        <v>75.703</v>
      </c>
      <c r="X110" s="12" t="n">
        <v>190.053</v>
      </c>
    </row>
    <row r="111">
      <c r="A111" s="9" t="inlineStr">
        <is>
          <t>비지배주주 순이익</t>
        </is>
      </c>
      <c r="C111" s="12" t="n">
        <v>6.16</v>
      </c>
      <c r="D111" s="12" t="n">
        <v>3.908</v>
      </c>
      <c r="E111" s="12" t="n">
        <v>4.747</v>
      </c>
      <c r="F111" s="12" t="n">
        <v>0.613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T111" s="12" t="n">
        <v>9.061</v>
      </c>
      <c r="U111" s="12" t="n">
        <v>-2.126</v>
      </c>
      <c r="V111" s="12" t="n">
        <v>0.613</v>
      </c>
      <c r="W111" s="12" t="n">
        <v>0</v>
      </c>
      <c r="X111" s="12" t="n">
        <v>0</v>
      </c>
    </row>
    <row r="112">
      <c r="A112" s="9" t="inlineStr">
        <is>
          <t>지배주주 순이익</t>
        </is>
      </c>
      <c r="C112" s="12" t="n">
        <v>38.024</v>
      </c>
      <c r="D112" s="12" t="n">
        <v>84.857</v>
      </c>
      <c r="E112" s="12" t="n">
        <v>161.018</v>
      </c>
      <c r="F112" s="12" t="n">
        <v>63.847</v>
      </c>
      <c r="G112" s="12" t="n">
        <v>82.742</v>
      </c>
      <c r="H112" s="12" t="n">
        <v>49.456</v>
      </c>
      <c r="I112" s="12" t="n">
        <v>153.542</v>
      </c>
      <c r="J112" s="12" t="n">
        <v>75.703</v>
      </c>
      <c r="K112" s="12" t="n">
        <v>29.162</v>
      </c>
      <c r="L112" s="12" t="n">
        <v>155.841</v>
      </c>
      <c r="M112" s="12" t="n">
        <v>228.508</v>
      </c>
      <c r="N112" s="12" t="n">
        <v>190.053</v>
      </c>
      <c r="T112" s="12" t="n">
        <v>126.545</v>
      </c>
      <c r="U112" s="12" t="n">
        <v>154.387</v>
      </c>
      <c r="V112" s="12" t="n">
        <v>63.847</v>
      </c>
      <c r="W112" s="12" t="n">
        <v>75.703</v>
      </c>
      <c r="X112" s="12" t="n">
        <v>190.053</v>
      </c>
    </row>
    <row r="114">
      <c r="A114" s="18" t="inlineStr">
        <is>
          <t>포괄손익 · 전 항목</t>
        </is>
      </c>
      <c r="B114" s="44" t="inlineStr">
        <is>
          <t>분기 = 3개월 단독</t>
        </is>
      </c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</row>
    <row r="115">
      <c r="A115" s="5" t="inlineStr">
        <is>
          <t>항목</t>
        </is>
      </c>
      <c r="B115" s="5" t="inlineStr">
        <is>
          <t>참고</t>
        </is>
      </c>
      <c r="C115" s="5" t="inlineStr">
        <is>
          <t>2024.1Q</t>
        </is>
      </c>
      <c r="D115" s="5" t="inlineStr">
        <is>
          <t>2024.2Q</t>
        </is>
      </c>
      <c r="E115" s="5" t="inlineStr">
        <is>
          <t>2024.3Q</t>
        </is>
      </c>
      <c r="F115" s="5" t="inlineStr">
        <is>
          <t>2024.4Q</t>
        </is>
      </c>
      <c r="G115" s="5" t="inlineStr">
        <is>
          <t>2025.1Q</t>
        </is>
      </c>
      <c r="H115" s="5" t="inlineStr">
        <is>
          <t>2025.2Q</t>
        </is>
      </c>
      <c r="I115" s="5" t="inlineStr">
        <is>
          <t>2025.3Q</t>
        </is>
      </c>
      <c r="J115" s="5" t="inlineStr">
        <is>
          <t>2025.4Q</t>
        </is>
      </c>
      <c r="K115" s="5" t="inlineStr">
        <is>
          <t>2026.1Q</t>
        </is>
      </c>
      <c r="L115" s="5" t="inlineStr">
        <is>
          <t>2026.2Q</t>
        </is>
      </c>
      <c r="M115" s="5" t="inlineStr">
        <is>
          <t>2026.3Q</t>
        </is>
      </c>
      <c r="N115" s="5" t="inlineStr">
        <is>
          <t>2026.4Q</t>
        </is>
      </c>
      <c r="O115" s="5" t="inlineStr">
        <is>
          <t>2017</t>
        </is>
      </c>
      <c r="P115" s="5" t="inlineStr">
        <is>
          <t>2018</t>
        </is>
      </c>
      <c r="Q115" s="5" t="inlineStr">
        <is>
          <t>2019</t>
        </is>
      </c>
      <c r="R115" s="5" t="inlineStr">
        <is>
          <t>2020</t>
        </is>
      </c>
      <c r="S115" s="5" t="inlineStr">
        <is>
          <t>2021</t>
        </is>
      </c>
      <c r="T115" s="5" t="inlineStr">
        <is>
          <t>2022</t>
        </is>
      </c>
      <c r="U115" s="5" t="inlineStr">
        <is>
          <t>2023</t>
        </is>
      </c>
      <c r="V115" s="5" t="inlineStr">
        <is>
          <t>2024</t>
        </is>
      </c>
      <c r="W115" s="5" t="inlineStr">
        <is>
          <t>2025</t>
        </is>
      </c>
      <c r="X115" s="5" t="inlineStr">
        <is>
          <t>2026</t>
        </is>
      </c>
      <c r="Y115" s="5" t="inlineStr">
        <is>
          <t>2027(MW)</t>
        </is>
      </c>
      <c r="Z115" s="5" t="inlineStr">
        <is>
          <t>2028(MW)</t>
        </is>
      </c>
      <c r="AA115" s="5" t="inlineStr">
        <is>
          <t>2029(MW)</t>
        </is>
      </c>
      <c r="AB115" s="5" t="inlineStr">
        <is>
          <t>2030(MW)</t>
        </is>
      </c>
      <c r="AC115" s="5" t="inlineStr">
        <is>
          <t>2031(MW)</t>
        </is>
      </c>
    </row>
    <row r="116">
      <c r="A116" s="9" t="inlineStr">
        <is>
          <t>순이익</t>
        </is>
      </c>
      <c r="C116" s="12" t="n">
        <v>44.184</v>
      </c>
      <c r="D116" s="12" t="n">
        <v>88.765</v>
      </c>
      <c r="E116" s="12" t="n">
        <v>165.765</v>
      </c>
      <c r="F116" s="12" t="n">
        <v>64.461</v>
      </c>
      <c r="G116" s="12" t="n">
        <v>82.742</v>
      </c>
      <c r="H116" s="12" t="n">
        <v>49.456</v>
      </c>
      <c r="I116" s="12" t="n">
        <v>153.542</v>
      </c>
      <c r="J116" s="12" t="n">
        <v>75.703</v>
      </c>
      <c r="K116" s="12" t="n">
        <v>29.162</v>
      </c>
      <c r="L116" s="12" t="n">
        <v>155.841</v>
      </c>
      <c r="M116" s="12" t="n">
        <v>228.508</v>
      </c>
      <c r="N116" s="12" t="n">
        <v>190.053</v>
      </c>
      <c r="T116" s="12" t="n">
        <v>135.607</v>
      </c>
      <c r="U116" s="12" t="n">
        <v>152.261</v>
      </c>
      <c r="V116" s="12" t="n">
        <v>64.461</v>
      </c>
      <c r="W116" s="12" t="n">
        <v>75.703</v>
      </c>
      <c r="X116" s="12" t="n">
        <v>190.053</v>
      </c>
    </row>
    <row r="117">
      <c r="A117" s="20" t="inlineStr">
        <is>
          <t>기타유가증권 평가차액</t>
        </is>
      </c>
      <c r="C117" s="22" t="n">
        <v>6.26</v>
      </c>
      <c r="D117" s="22" t="n">
        <v>9.454000000000001</v>
      </c>
      <c r="E117" s="22" t="n">
        <v>11.757</v>
      </c>
      <c r="F117" s="22" t="n">
        <v>-7.75</v>
      </c>
      <c r="G117" s="22" t="n">
        <v>-2.835</v>
      </c>
      <c r="H117" s="22" t="n">
        <v>18.846</v>
      </c>
      <c r="I117" s="22" t="n">
        <v>17.976</v>
      </c>
      <c r="J117" s="22" t="n">
        <v>31.091</v>
      </c>
      <c r="K117" s="22" t="n">
        <v>27.047</v>
      </c>
      <c r="L117" s="22" t="n">
        <v>63.758</v>
      </c>
      <c r="M117" s="22" t="n">
        <v>-32.119</v>
      </c>
      <c r="N117" s="22" t="n">
        <v>25.736</v>
      </c>
      <c r="T117" s="22" t="n">
        <v>3.926</v>
      </c>
      <c r="U117" s="22" t="n">
        <v>23.446</v>
      </c>
      <c r="V117" s="22" t="n">
        <v>-7.75</v>
      </c>
      <c r="W117" s="22" t="n">
        <v>31.091</v>
      </c>
      <c r="X117" s="22" t="n">
        <v>25.736</v>
      </c>
    </row>
    <row r="118">
      <c r="A118" s="20" t="inlineStr">
        <is>
          <t>해외사업환산조정</t>
        </is>
      </c>
      <c r="C118" s="22" t="n">
        <v>8.93</v>
      </c>
      <c r="D118" s="22" t="n">
        <v>2.112</v>
      </c>
      <c r="E118" s="22" t="n">
        <v>29.279</v>
      </c>
      <c r="F118" s="22" t="n">
        <v>36.01</v>
      </c>
      <c r="G118" s="22" t="n">
        <v>-17.013</v>
      </c>
      <c r="H118" s="22" t="n">
        <v>47.166</v>
      </c>
      <c r="I118" s="22" t="n">
        <v>-43.096</v>
      </c>
      <c r="J118" s="22" t="n">
        <v>11.001</v>
      </c>
      <c r="K118" s="22" t="n">
        <v>34.745</v>
      </c>
      <c r="L118" s="22" t="n">
        <v>70.959</v>
      </c>
      <c r="M118" s="22" t="n">
        <v>-9.874000000000001</v>
      </c>
      <c r="N118" s="22" t="n">
        <v>10.079</v>
      </c>
      <c r="T118" s="22" t="n">
        <v>42.381</v>
      </c>
      <c r="U118" s="22" t="n">
        <v>49.536</v>
      </c>
      <c r="V118" s="22" t="n">
        <v>36.01</v>
      </c>
      <c r="W118" s="22" t="n">
        <v>11.001</v>
      </c>
      <c r="X118" s="22" t="n">
        <v>10.079</v>
      </c>
    </row>
    <row r="119">
      <c r="A119" s="20" t="inlineStr">
        <is>
          <t>기타포괄손익 합계</t>
        </is>
      </c>
      <c r="C119" s="22" t="n">
        <v>15.19</v>
      </c>
      <c r="D119" s="22" t="n">
        <v>11.567</v>
      </c>
      <c r="E119" s="22" t="n">
        <v>41.036</v>
      </c>
      <c r="F119" s="22" t="n">
        <v>28.259</v>
      </c>
      <c r="G119" s="22" t="n">
        <v>-19.849</v>
      </c>
      <c r="H119" s="22" t="n">
        <v>66.01300000000001</v>
      </c>
      <c r="I119" s="22" t="n">
        <v>-25.121</v>
      </c>
      <c r="J119" s="22" t="n">
        <v>42.092</v>
      </c>
      <c r="K119" s="22" t="n">
        <v>61.792</v>
      </c>
      <c r="L119" s="22" t="n">
        <v>134.717</v>
      </c>
      <c r="M119" s="22" t="n">
        <v>-41.992</v>
      </c>
      <c r="N119" s="22" t="n">
        <v>35.814</v>
      </c>
      <c r="T119" s="22" t="n">
        <v>46.307</v>
      </c>
      <c r="U119" s="22" t="n">
        <v>72.983</v>
      </c>
      <c r="V119" s="22" t="n">
        <v>28.259</v>
      </c>
      <c r="W119" s="22" t="n">
        <v>42.092</v>
      </c>
      <c r="X119" s="22" t="n">
        <v>35.814</v>
      </c>
    </row>
    <row r="120">
      <c r="A120" s="9" t="inlineStr">
        <is>
          <t>포괄이익</t>
        </is>
      </c>
      <c r="C120" s="12" t="n">
        <v>59.375</v>
      </c>
      <c r="D120" s="12" t="n">
        <v>100.332</v>
      </c>
      <c r="E120" s="12" t="n">
        <v>206.801</v>
      </c>
      <c r="F120" s="12" t="n">
        <v>92.72</v>
      </c>
      <c r="G120" s="12" t="n">
        <v>62.893</v>
      </c>
      <c r="H120" s="12" t="n">
        <v>115.469</v>
      </c>
      <c r="I120" s="12" t="n">
        <v>128.422</v>
      </c>
      <c r="J120" s="12" t="n">
        <v>117.794</v>
      </c>
      <c r="K120" s="12" t="n">
        <v>90.95399999999999</v>
      </c>
      <c r="L120" s="12" t="n">
        <v>290.559</v>
      </c>
      <c r="M120" s="12" t="n">
        <v>186.516</v>
      </c>
      <c r="N120" s="12" t="n">
        <v>225.867</v>
      </c>
      <c r="T120" s="12" t="n">
        <v>181.914</v>
      </c>
      <c r="U120" s="12" t="n">
        <v>225.245</v>
      </c>
      <c r="V120" s="12" t="n">
        <v>92.72</v>
      </c>
      <c r="W120" s="12" t="n">
        <v>117.794</v>
      </c>
      <c r="X120" s="12" t="n">
        <v>225.867</v>
      </c>
    </row>
    <row r="121">
      <c r="A121" s="9" t="inlineStr">
        <is>
          <t>지배주주 포괄이익</t>
        </is>
      </c>
      <c r="C121" s="12" t="n">
        <v>53.058</v>
      </c>
      <c r="D121" s="12" t="n">
        <v>96.023</v>
      </c>
      <c r="E121" s="12" t="n">
        <v>201.705</v>
      </c>
      <c r="F121" s="12" t="n">
        <v>89.655</v>
      </c>
      <c r="G121" s="12" t="n">
        <v>62.893</v>
      </c>
      <c r="H121" s="12" t="n">
        <v>115.469</v>
      </c>
      <c r="I121" s="12" t="n">
        <v>128.422</v>
      </c>
      <c r="J121" s="12" t="n">
        <v>117.794</v>
      </c>
      <c r="K121" s="12" t="n">
        <v>90.95399999999999</v>
      </c>
      <c r="L121" s="12" t="n">
        <v>290.559</v>
      </c>
      <c r="M121" s="12" t="n">
        <v>186.516</v>
      </c>
      <c r="N121" s="12" t="n">
        <v>225.867</v>
      </c>
      <c r="T121" s="12" t="n">
        <v>171.664</v>
      </c>
      <c r="U121" s="12" t="n">
        <v>226.014</v>
      </c>
      <c r="V121" s="12" t="n">
        <v>89.655</v>
      </c>
      <c r="W121" s="12" t="n">
        <v>117.794</v>
      </c>
      <c r="X121" s="12" t="n">
        <v>225.867</v>
      </c>
    </row>
    <row r="122">
      <c r="A122" s="9" t="inlineStr">
        <is>
          <t>비지배주주 포괄이익</t>
        </is>
      </c>
      <c r="C122" s="12" t="n">
        <v>6.316</v>
      </c>
      <c r="D122" s="12" t="n">
        <v>4.309</v>
      </c>
      <c r="E122" s="12" t="n">
        <v>5.097</v>
      </c>
      <c r="F122" s="12" t="n">
        <v>3.064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T122" s="12" t="n">
        <v>10.25</v>
      </c>
      <c r="U122" s="12" t="n">
        <v>-0.77</v>
      </c>
      <c r="V122" s="12" t="n">
        <v>3.064</v>
      </c>
      <c r="W122" s="12" t="n">
        <v>0</v>
      </c>
      <c r="X122" s="12" t="n">
        <v>0</v>
      </c>
    </row>
    <row r="124">
      <c r="A124" s="18" t="inlineStr">
        <is>
          <t>현금흐름표 · 전 항목</t>
        </is>
      </c>
      <c r="B124" s="44" t="inlineStr">
        <is>
          <t>분기 = 결산기 첫날부터 누계(공시 그대로)</t>
        </is>
      </c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</row>
    <row r="125">
      <c r="A125" s="5" t="inlineStr">
        <is>
          <t>항목</t>
        </is>
      </c>
      <c r="B125" s="5" t="inlineStr">
        <is>
          <t>참고</t>
        </is>
      </c>
      <c r="C125" s="5" t="inlineStr">
        <is>
          <t>2024.1Q</t>
        </is>
      </c>
      <c r="D125" s="5" t="inlineStr">
        <is>
          <t>2024.2Q</t>
        </is>
      </c>
      <c r="E125" s="5" t="inlineStr">
        <is>
          <t>2024.3Q</t>
        </is>
      </c>
      <c r="F125" s="5" t="inlineStr">
        <is>
          <t>2024.4Q</t>
        </is>
      </c>
      <c r="G125" s="5" t="inlineStr">
        <is>
          <t>2025.1Q</t>
        </is>
      </c>
      <c r="H125" s="5" t="inlineStr">
        <is>
          <t>2025.2Q</t>
        </is>
      </c>
      <c r="I125" s="5" t="inlineStr">
        <is>
          <t>2025.3Q</t>
        </is>
      </c>
      <c r="J125" s="5" t="inlineStr">
        <is>
          <t>2025.4Q</t>
        </is>
      </c>
      <c r="K125" s="5" t="inlineStr">
        <is>
          <t>2026.1Q</t>
        </is>
      </c>
      <c r="L125" s="5" t="inlineStr">
        <is>
          <t>2026.2Q</t>
        </is>
      </c>
      <c r="M125" s="5" t="inlineStr">
        <is>
          <t>2026.3Q</t>
        </is>
      </c>
      <c r="N125" s="5" t="inlineStr">
        <is>
          <t>2026.4Q</t>
        </is>
      </c>
      <c r="O125" s="5" t="inlineStr">
        <is>
          <t>2017</t>
        </is>
      </c>
      <c r="P125" s="5" t="inlineStr">
        <is>
          <t>2018</t>
        </is>
      </c>
      <c r="Q125" s="5" t="inlineStr">
        <is>
          <t>2019</t>
        </is>
      </c>
      <c r="R125" s="5" t="inlineStr">
        <is>
          <t>2020</t>
        </is>
      </c>
      <c r="S125" s="5" t="inlineStr">
        <is>
          <t>2021</t>
        </is>
      </c>
      <c r="T125" s="5" t="inlineStr">
        <is>
          <t>2022</t>
        </is>
      </c>
      <c r="U125" s="5" t="inlineStr">
        <is>
          <t>2023</t>
        </is>
      </c>
      <c r="V125" s="5" t="inlineStr">
        <is>
          <t>2024</t>
        </is>
      </c>
      <c r="W125" s="5" t="inlineStr">
        <is>
          <t>2025</t>
        </is>
      </c>
      <c r="X125" s="5" t="inlineStr">
        <is>
          <t>2026</t>
        </is>
      </c>
      <c r="Y125" s="5" t="inlineStr">
        <is>
          <t>2027(MW)</t>
        </is>
      </c>
      <c r="Z125" s="5" t="inlineStr">
        <is>
          <t>2028(MW)</t>
        </is>
      </c>
      <c r="AA125" s="5" t="inlineStr">
        <is>
          <t>2029(MW)</t>
        </is>
      </c>
      <c r="AB125" s="5" t="inlineStr">
        <is>
          <t>2030(MW)</t>
        </is>
      </c>
      <c r="AC125" s="5" t="inlineStr">
        <is>
          <t>2031(MW)</t>
        </is>
      </c>
    </row>
    <row r="126">
      <c r="A126" s="9" t="inlineStr">
        <is>
          <t>법인세차감전 순이익</t>
        </is>
      </c>
      <c r="D126" s="12" t="n">
        <v>172.468</v>
      </c>
      <c r="F126" s="12" t="n">
        <v>525.128</v>
      </c>
      <c r="H126" s="12" t="n">
        <v>178.326</v>
      </c>
      <c r="J126" s="12" t="n">
        <v>510.263</v>
      </c>
      <c r="L126" s="12" t="n">
        <v>263.973</v>
      </c>
      <c r="N126" s="12" t="n">
        <v>856.597</v>
      </c>
      <c r="O126" s="12" t="n">
        <v>265.853</v>
      </c>
      <c r="P126" s="12" t="n">
        <v>154.329</v>
      </c>
      <c r="Q126" s="12" t="n">
        <v>216.19</v>
      </c>
      <c r="R126" s="12" t="n">
        <v>217.355</v>
      </c>
      <c r="S126" s="12" t="n">
        <v>490.969</v>
      </c>
      <c r="T126" s="12" t="n">
        <v>692.36</v>
      </c>
      <c r="U126" s="12" t="n">
        <v>694.647</v>
      </c>
      <c r="V126" s="12" t="n">
        <v>525.128</v>
      </c>
      <c r="W126" s="12" t="n">
        <v>510.263</v>
      </c>
      <c r="X126" s="12" t="n">
        <v>856.597</v>
      </c>
    </row>
    <row r="127">
      <c r="A127" s="20" t="inlineStr">
        <is>
          <t>감가상각비</t>
        </is>
      </c>
      <c r="D127" s="22" t="n">
        <v>320.424</v>
      </c>
      <c r="F127" s="22" t="n">
        <v>666.922</v>
      </c>
      <c r="H127" s="22" t="n">
        <v>317.681</v>
      </c>
      <c r="J127" s="22" t="n">
        <v>664.879</v>
      </c>
      <c r="L127" s="22" t="n">
        <v>296.936</v>
      </c>
      <c r="N127" s="22" t="n">
        <v>628.043</v>
      </c>
      <c r="O127" s="22" t="n">
        <v>553.439</v>
      </c>
      <c r="P127" s="22" t="n">
        <v>538.296</v>
      </c>
      <c r="Q127" s="22" t="n">
        <v>577.785</v>
      </c>
      <c r="R127" s="22" t="n">
        <v>617.398</v>
      </c>
      <c r="S127" s="22" t="n">
        <v>611.651</v>
      </c>
      <c r="T127" s="22" t="n">
        <v>573.873</v>
      </c>
      <c r="U127" s="22" t="n">
        <v>603.9160000000001</v>
      </c>
      <c r="V127" s="22" t="n">
        <v>666.922</v>
      </c>
      <c r="W127" s="22" t="n">
        <v>664.879</v>
      </c>
      <c r="X127" s="22" t="n">
        <v>628.043</v>
      </c>
    </row>
    <row r="128">
      <c r="A128" s="20" t="inlineStr">
        <is>
          <t>손상차손</t>
        </is>
      </c>
      <c r="Q128" s="22" t="n">
        <v>0</v>
      </c>
      <c r="R128" s="22" t="n">
        <v>32.729</v>
      </c>
      <c r="S128" s="22" t="n">
        <v>0</v>
      </c>
      <c r="T128" s="22" t="n">
        <v>23.136</v>
      </c>
      <c r="U128" s="22" t="n">
        <v>0</v>
      </c>
    </row>
    <row r="129">
      <c r="A129" s="20" t="inlineStr">
        <is>
          <t>대손충당금 증감</t>
        </is>
      </c>
      <c r="D129" s="22" t="n">
        <v>0.389</v>
      </c>
      <c r="F129" s="22" t="n">
        <v>2.235</v>
      </c>
      <c r="H129" s="22" t="n">
        <v>-2.261</v>
      </c>
      <c r="J129" s="22" t="n">
        <v>-5.611</v>
      </c>
      <c r="L129" s="22" t="n">
        <v>1.95</v>
      </c>
      <c r="N129" s="22" t="n">
        <v>1.916</v>
      </c>
      <c r="O129" s="22" t="n">
        <v>-34.11</v>
      </c>
      <c r="P129" s="22" t="n">
        <v>-1.086</v>
      </c>
      <c r="Q129" s="22" t="n">
        <v>0.037</v>
      </c>
      <c r="R129" s="22" t="n">
        <v>-0.471</v>
      </c>
      <c r="S129" s="22" t="n">
        <v>-0.055</v>
      </c>
      <c r="T129" s="22" t="n">
        <v>-0.865</v>
      </c>
      <c r="U129" s="22" t="n">
        <v>0.531</v>
      </c>
      <c r="V129" s="22" t="n">
        <v>2.235</v>
      </c>
      <c r="W129" s="22" t="n">
        <v>-5.611</v>
      </c>
      <c r="X129" s="22" t="n">
        <v>1.916</v>
      </c>
    </row>
    <row r="130">
      <c r="A130" s="20" t="inlineStr">
        <is>
          <t>상여충당금 증감</t>
        </is>
      </c>
      <c r="D130" s="22" t="n">
        <v>-17.127</v>
      </c>
      <c r="F130" s="22" t="n">
        <v>5.649</v>
      </c>
      <c r="H130" s="22" t="n">
        <v>-19.969</v>
      </c>
      <c r="J130" s="22" t="n">
        <v>1.244</v>
      </c>
      <c r="L130" s="22" t="n">
        <v>-20.566</v>
      </c>
      <c r="N130" s="22" t="n">
        <v>1.608</v>
      </c>
      <c r="O130" s="22" t="n">
        <v>1.77</v>
      </c>
      <c r="P130" s="22" t="n">
        <v>3.818</v>
      </c>
      <c r="Q130" s="22" t="n">
        <v>1.973</v>
      </c>
      <c r="R130" s="22" t="n">
        <v>1.489</v>
      </c>
      <c r="S130" s="22" t="n">
        <v>1.697</v>
      </c>
      <c r="T130" s="22" t="n">
        <v>2.612</v>
      </c>
      <c r="U130" s="22" t="n">
        <v>2.641</v>
      </c>
      <c r="V130" s="22" t="n">
        <v>5.649</v>
      </c>
      <c r="W130" s="22" t="n">
        <v>1.244</v>
      </c>
      <c r="X130" s="22" t="n">
        <v>1.608</v>
      </c>
    </row>
    <row r="131">
      <c r="A131" s="20" t="inlineStr">
        <is>
          <t>임원 퇴직위로 충당금 증감</t>
        </is>
      </c>
      <c r="D131" s="22" t="n">
        <v>-11.085</v>
      </c>
      <c r="F131" s="22" t="n">
        <v>-6.59</v>
      </c>
      <c r="H131" s="22" t="n">
        <v>4.505</v>
      </c>
      <c r="J131" s="22" t="n">
        <v>9</v>
      </c>
      <c r="L131" s="22" t="n">
        <v>4.505</v>
      </c>
      <c r="N131" s="22" t="n">
        <v>9</v>
      </c>
      <c r="O131" s="22" t="n">
        <v>-106.87</v>
      </c>
      <c r="P131" s="22" t="n">
        <v>9.15</v>
      </c>
      <c r="Q131" s="22" t="n">
        <v>-4.53</v>
      </c>
      <c r="R131" s="22" t="n">
        <v>6.98</v>
      </c>
      <c r="S131" s="22" t="n">
        <v>7.55</v>
      </c>
      <c r="T131" s="22" t="n">
        <v>7.55</v>
      </c>
      <c r="U131" s="22" t="n">
        <v>4.15</v>
      </c>
      <c r="V131" s="22" t="n">
        <v>-6.59</v>
      </c>
      <c r="W131" s="22" t="n">
        <v>9</v>
      </c>
      <c r="X131" s="22" t="n">
        <v>9</v>
      </c>
    </row>
    <row r="132">
      <c r="A132" s="20" t="inlineStr">
        <is>
          <t>퇴직급여부채 증감</t>
        </is>
      </c>
      <c r="D132" s="22" t="n">
        <v>4.058</v>
      </c>
      <c r="F132" s="22" t="n">
        <v>12.413</v>
      </c>
      <c r="H132" s="22" t="n">
        <v>16.424</v>
      </c>
      <c r="J132" s="22" t="n">
        <v>34.319</v>
      </c>
      <c r="L132" s="22" t="n">
        <v>11.333</v>
      </c>
      <c r="N132" s="22" t="n">
        <v>15.723</v>
      </c>
      <c r="O132" s="22" t="n">
        <v>25.093</v>
      </c>
      <c r="P132" s="22" t="n">
        <v>31.461</v>
      </c>
      <c r="Q132" s="22" t="n">
        <v>26.609</v>
      </c>
      <c r="R132" s="22" t="n">
        <v>18.938</v>
      </c>
      <c r="S132" s="22" t="n">
        <v>23.672</v>
      </c>
      <c r="T132" s="22" t="n">
        <v>21.907</v>
      </c>
      <c r="U132" s="22" t="n">
        <v>22.805</v>
      </c>
      <c r="V132" s="22" t="n">
        <v>12.413</v>
      </c>
      <c r="W132" s="22" t="n">
        <v>34.319</v>
      </c>
      <c r="X132" s="22" t="n">
        <v>15.723</v>
      </c>
    </row>
    <row r="133">
      <c r="A133" s="20" t="inlineStr">
        <is>
          <t>제품보상 충당금 증감</t>
        </is>
      </c>
      <c r="S133" s="22" t="n">
        <v>0</v>
      </c>
      <c r="T133" s="22" t="n">
        <v>70.369</v>
      </c>
    </row>
    <row r="134">
      <c r="A134" s="20" t="inlineStr">
        <is>
          <t>제품보상 충당금 증감</t>
        </is>
      </c>
      <c r="D134" s="22" t="n">
        <v>-0.788</v>
      </c>
      <c r="F134" s="22" t="n">
        <v>-36.29</v>
      </c>
      <c r="H134" s="22" t="n">
        <v>-0.36</v>
      </c>
      <c r="J134" s="22" t="n">
        <v>-58.236</v>
      </c>
      <c r="L134" s="22" t="n">
        <v>-0.045</v>
      </c>
      <c r="N134" s="22" t="n">
        <v>-8.683</v>
      </c>
      <c r="T134" s="22" t="n">
        <v>70.369</v>
      </c>
      <c r="U134" s="22" t="n">
        <v>32.841</v>
      </c>
      <c r="V134" s="22" t="n">
        <v>-36.29</v>
      </c>
      <c r="W134" s="22" t="n">
        <v>-58.236</v>
      </c>
      <c r="X134" s="22" t="n">
        <v>-8.683</v>
      </c>
    </row>
    <row r="135">
      <c r="A135" s="20" t="inlineStr">
        <is>
          <t>이자·배당금 수익</t>
        </is>
      </c>
      <c r="D135" s="22" t="n">
        <v>-8.202999999999999</v>
      </c>
      <c r="F135" s="22" t="n">
        <v>-17.934</v>
      </c>
      <c r="H135" s="22" t="n">
        <v>-11.54</v>
      </c>
      <c r="J135" s="22" t="n">
        <v>-23.432</v>
      </c>
      <c r="L135" s="22" t="n">
        <v>-15.309</v>
      </c>
      <c r="N135" s="22" t="n">
        <v>-31.241</v>
      </c>
      <c r="O135" s="22" t="n">
        <v>-11.816</v>
      </c>
      <c r="P135" s="22" t="n">
        <v>-12.49</v>
      </c>
      <c r="Q135" s="22" t="n">
        <v>-12.298</v>
      </c>
      <c r="R135" s="22" t="n">
        <v>-12.988</v>
      </c>
      <c r="S135" s="22" t="n">
        <v>-13.157</v>
      </c>
      <c r="T135" s="22" t="n">
        <v>-15.568</v>
      </c>
      <c r="U135" s="22" t="n">
        <v>-19.223</v>
      </c>
      <c r="V135" s="22" t="n">
        <v>-17.934</v>
      </c>
      <c r="W135" s="22" t="n">
        <v>-23.432</v>
      </c>
      <c r="X135" s="22" t="n">
        <v>-31.241</v>
      </c>
    </row>
    <row r="136">
      <c r="A136" s="20" t="inlineStr">
        <is>
          <t>이자비용</t>
        </is>
      </c>
      <c r="D136" s="22" t="n">
        <v>1.632</v>
      </c>
      <c r="F136" s="22" t="n">
        <v>3.384</v>
      </c>
      <c r="H136" s="22" t="n">
        <v>1.71</v>
      </c>
      <c r="J136" s="22" t="n">
        <v>3.571</v>
      </c>
      <c r="L136" s="22" t="n">
        <v>2.183</v>
      </c>
      <c r="N136" s="22" t="n">
        <v>5.151</v>
      </c>
      <c r="O136" s="22" t="n">
        <v>8.32</v>
      </c>
      <c r="P136" s="22" t="n">
        <v>8.692</v>
      </c>
      <c r="Q136" s="22" t="n">
        <v>5.389</v>
      </c>
      <c r="R136" s="22" t="n">
        <v>5.539</v>
      </c>
      <c r="S136" s="22" t="n">
        <v>4.482</v>
      </c>
      <c r="T136" s="22" t="n">
        <v>1.137</v>
      </c>
      <c r="U136" s="22" t="n">
        <v>2.987</v>
      </c>
      <c r="V136" s="22" t="n">
        <v>3.384</v>
      </c>
      <c r="W136" s="22" t="n">
        <v>3.571</v>
      </c>
      <c r="X136" s="22" t="n">
        <v>5.151</v>
      </c>
    </row>
    <row r="137">
      <c r="A137" s="20" t="inlineStr">
        <is>
          <t>외환차손익</t>
        </is>
      </c>
      <c r="D137" s="22" t="n">
        <v>0.668</v>
      </c>
      <c r="F137" s="22" t="n">
        <v>8.669</v>
      </c>
      <c r="H137" s="22" t="n">
        <v>0.797</v>
      </c>
      <c r="J137" s="22" t="n">
        <v>0.728</v>
      </c>
      <c r="L137" s="22" t="n">
        <v>-10.641</v>
      </c>
      <c r="N137" s="22" t="n">
        <v>-9.983000000000001</v>
      </c>
      <c r="O137" s="22" t="n">
        <v>-1.48</v>
      </c>
      <c r="P137" s="22" t="n">
        <v>0.073</v>
      </c>
      <c r="Q137" s="22" t="n">
        <v>9.859999999999999</v>
      </c>
      <c r="R137" s="22" t="n">
        <v>1.467</v>
      </c>
      <c r="S137" s="22" t="n">
        <v>-0.349</v>
      </c>
      <c r="T137" s="22" t="n">
        <v>-27.7</v>
      </c>
      <c r="U137" s="22" t="n">
        <v>-6.698</v>
      </c>
      <c r="V137" s="22" t="n">
        <v>8.669</v>
      </c>
      <c r="W137" s="22" t="n">
        <v>0.728</v>
      </c>
      <c r="X137" s="22" t="n">
        <v>-9.983000000000001</v>
      </c>
    </row>
    <row r="138">
      <c r="A138" s="20" t="inlineStr">
        <is>
          <t>유형자산 제각·매각손익</t>
        </is>
      </c>
      <c r="D138" s="22" t="n">
        <v>-15.008</v>
      </c>
    </row>
    <row r="139">
      <c r="A139" s="20" t="inlineStr">
        <is>
          <t>고정자산 제각·매각손익</t>
        </is>
      </c>
      <c r="D139" s="22" t="n">
        <v>-15.008</v>
      </c>
      <c r="F139" s="22" t="n">
        <v>-1.576</v>
      </c>
      <c r="H139" s="22" t="n">
        <v>-6.762</v>
      </c>
      <c r="J139" s="22" t="n">
        <v>-5.066</v>
      </c>
      <c r="L139" s="22" t="n">
        <v>1.885</v>
      </c>
      <c r="N139" s="22" t="n">
        <v>5.848</v>
      </c>
      <c r="O139" s="22" t="n">
        <v>14.196</v>
      </c>
      <c r="P139" s="22" t="n">
        <v>22.72</v>
      </c>
      <c r="Q139" s="22" t="n">
        <v>-1.106</v>
      </c>
      <c r="R139" s="22" t="n">
        <v>-10.476</v>
      </c>
      <c r="S139" s="22" t="n">
        <v>-3.726</v>
      </c>
      <c r="T139" s="22" t="n">
        <v>-64.145</v>
      </c>
      <c r="U139" s="22" t="n">
        <v>-1.014</v>
      </c>
      <c r="V139" s="22" t="n">
        <v>-1.576</v>
      </c>
      <c r="W139" s="22" t="n">
        <v>-5.066</v>
      </c>
      <c r="X139" s="22" t="n">
        <v>5.848</v>
      </c>
    </row>
    <row r="140">
      <c r="A140" s="20" t="inlineStr">
        <is>
          <t>투자유가증권 매각손익</t>
        </is>
      </c>
      <c r="O140" s="22" t="n">
        <v>0</v>
      </c>
      <c r="P140" s="22" t="n">
        <v>-0.495</v>
      </c>
      <c r="Q140" s="22" t="n">
        <v>-0.002</v>
      </c>
      <c r="R140" s="22" t="n">
        <v>0</v>
      </c>
    </row>
    <row r="141">
      <c r="A141" s="20" t="inlineStr">
        <is>
          <t>투자유가증권 평가손익</t>
        </is>
      </c>
      <c r="P141" s="22" t="n">
        <v>0</v>
      </c>
      <c r="Q141" s="22" t="n">
        <v>48.586</v>
      </c>
      <c r="R141" s="22" t="n">
        <v>0.043</v>
      </c>
      <c r="S141" s="22" t="n">
        <v>0</v>
      </c>
    </row>
    <row r="142">
      <c r="A142" s="20" t="inlineStr">
        <is>
          <t>투자유가증권 매각이익</t>
        </is>
      </c>
      <c r="H142" s="22" t="n">
        <v>0</v>
      </c>
      <c r="L142" s="22" t="n">
        <v>-16.264</v>
      </c>
    </row>
    <row r="143">
      <c r="A143" s="20" t="inlineStr">
        <is>
          <t>투자유가증권 매각이익</t>
        </is>
      </c>
      <c r="J143" s="22" t="n">
        <v>0</v>
      </c>
      <c r="N143" s="22" t="n">
        <v>-92.93300000000001</v>
      </c>
      <c r="W143" s="22" t="n">
        <v>0</v>
      </c>
      <c r="X143" s="22" t="n">
        <v>-92.93300000000001</v>
      </c>
    </row>
    <row r="144">
      <c r="A144" s="20" t="inlineStr">
        <is>
          <t>보조금 수입</t>
        </is>
      </c>
      <c r="F144" s="22" t="n">
        <v>-11.833</v>
      </c>
      <c r="H144" s="22" t="n">
        <v>0</v>
      </c>
      <c r="J144" s="22" t="n">
        <v>0</v>
      </c>
      <c r="L144" s="22" t="n">
        <v>-5.349</v>
      </c>
      <c r="N144" s="22" t="n">
        <v>-5.499</v>
      </c>
      <c r="O144" s="22" t="n">
        <v>-10</v>
      </c>
      <c r="P144" s="22" t="n">
        <v>0</v>
      </c>
      <c r="Q144" s="22" t="n">
        <v>-22.594</v>
      </c>
      <c r="R144" s="22" t="n">
        <v>-94.414</v>
      </c>
      <c r="S144" s="22" t="n">
        <v>-30.645</v>
      </c>
      <c r="T144" s="22" t="n">
        <v>-9.438000000000001</v>
      </c>
      <c r="U144" s="22" t="n">
        <v>-11.498</v>
      </c>
      <c r="V144" s="22" t="n">
        <v>-11.833</v>
      </c>
      <c r="W144" s="22" t="n">
        <v>0</v>
      </c>
      <c r="X144" s="22" t="n">
        <v>-5.499</v>
      </c>
    </row>
    <row r="145">
      <c r="A145" s="20" t="inlineStr">
        <is>
          <t>보상금 수취</t>
        </is>
      </c>
      <c r="O145" s="22" t="n">
        <v>-70.075</v>
      </c>
      <c r="P145" s="22" t="n">
        <v>0</v>
      </c>
    </row>
    <row r="146">
      <c r="A146" s="20" t="inlineStr">
        <is>
          <t>보험환급금</t>
        </is>
      </c>
      <c r="O146" s="22" t="n">
        <v>0</v>
      </c>
      <c r="P146" s="22" t="n">
        <v>-9.298999999999999</v>
      </c>
      <c r="Q146" s="22" t="n">
        <v>-5.42</v>
      </c>
      <c r="R146" s="22" t="n">
        <v>0</v>
      </c>
    </row>
    <row r="147">
      <c r="A147" s="20" t="inlineStr">
        <is>
          <t>설비 이설비용</t>
        </is>
      </c>
      <c r="O147" s="22" t="n">
        <v>0</v>
      </c>
      <c r="P147" s="22" t="n">
        <v>43.235</v>
      </c>
      <c r="Q147" s="22" t="n">
        <v>0</v>
      </c>
    </row>
    <row r="148">
      <c r="A148" s="20" t="inlineStr">
        <is>
          <t>보험금 수입</t>
        </is>
      </c>
      <c r="H148" s="22" t="n">
        <v>0</v>
      </c>
      <c r="L148" s="22" t="n">
        <v>-15.516</v>
      </c>
    </row>
    <row r="149">
      <c r="A149" s="20" t="inlineStr">
        <is>
          <t>보험금 수입</t>
        </is>
      </c>
      <c r="J149" s="22" t="n">
        <v>0</v>
      </c>
      <c r="N149" s="22" t="n">
        <v>-15.516</v>
      </c>
      <c r="W149" s="22" t="n">
        <v>0</v>
      </c>
      <c r="X149" s="22" t="n">
        <v>-15.516</v>
      </c>
    </row>
    <row r="150">
      <c r="A150" s="20" t="inlineStr">
        <is>
          <t>매출채권 증감</t>
        </is>
      </c>
      <c r="D150" s="22" t="n">
        <v>0.273</v>
      </c>
      <c r="F150" s="22" t="n">
        <v>-122.42</v>
      </c>
      <c r="H150" s="22" t="n">
        <v>260.732</v>
      </c>
      <c r="J150" s="22" t="n">
        <v>189.479</v>
      </c>
      <c r="L150" s="22" t="n">
        <v>54.439</v>
      </c>
      <c r="N150" s="22" t="n">
        <v>-26.205</v>
      </c>
      <c r="O150" s="22" t="n">
        <v>111.503</v>
      </c>
      <c r="P150" s="22" t="n">
        <v>77.083</v>
      </c>
      <c r="Q150" s="22" t="n">
        <v>-123.334</v>
      </c>
      <c r="R150" s="22" t="n">
        <v>124.993</v>
      </c>
      <c r="S150" s="22" t="n">
        <v>-170.303</v>
      </c>
      <c r="T150" s="22" t="n">
        <v>-47.559</v>
      </c>
      <c r="U150" s="22" t="n">
        <v>57.793</v>
      </c>
      <c r="V150" s="22" t="n">
        <v>-122.42</v>
      </c>
      <c r="W150" s="22" t="n">
        <v>189.479</v>
      </c>
      <c r="X150" s="22" t="n">
        <v>-26.205</v>
      </c>
    </row>
    <row r="151">
      <c r="A151" s="20" t="inlineStr">
        <is>
          <t>재고자산 증감</t>
        </is>
      </c>
      <c r="D151" s="22" t="n">
        <v>-288.481</v>
      </c>
      <c r="F151" s="22" t="n">
        <v>-137.513</v>
      </c>
      <c r="H151" s="22" t="n">
        <v>-143.624</v>
      </c>
      <c r="J151" s="22" t="n">
        <v>-277.67</v>
      </c>
      <c r="L151" s="22" t="n">
        <v>-244.135</v>
      </c>
      <c r="N151" s="22" t="n">
        <v>-25.916</v>
      </c>
      <c r="O151" s="22" t="n">
        <v>-24.391</v>
      </c>
      <c r="P151" s="22" t="n">
        <v>125.066</v>
      </c>
      <c r="Q151" s="22" t="n">
        <v>-136.664</v>
      </c>
      <c r="R151" s="22" t="n">
        <v>169.939</v>
      </c>
      <c r="S151" s="22" t="n">
        <v>-93.767</v>
      </c>
      <c r="T151" s="22" t="n">
        <v>-259.042</v>
      </c>
      <c r="U151" s="22" t="n">
        <v>-388.255</v>
      </c>
      <c r="V151" s="22" t="n">
        <v>-137.513</v>
      </c>
      <c r="W151" s="22" t="n">
        <v>-277.67</v>
      </c>
      <c r="X151" s="22" t="n">
        <v>-25.916</v>
      </c>
    </row>
    <row r="152">
      <c r="A152" s="20" t="inlineStr">
        <is>
          <t>기타 유동자산 증감</t>
        </is>
      </c>
      <c r="D152" s="22" t="n">
        <v>24.235</v>
      </c>
      <c r="F152" s="22" t="n">
        <v>-52.868</v>
      </c>
      <c r="H152" s="22" t="n">
        <v>138.342</v>
      </c>
      <c r="J152" s="22" t="n">
        <v>102.561</v>
      </c>
      <c r="L152" s="22" t="n">
        <v>14.423</v>
      </c>
      <c r="N152" s="22" t="n">
        <v>-20.152</v>
      </c>
      <c r="O152" s="22" t="n">
        <v>-19.764</v>
      </c>
      <c r="P152" s="22" t="n">
        <v>-84.774</v>
      </c>
      <c r="Q152" s="22" t="n">
        <v>-0.743</v>
      </c>
      <c r="R152" s="22" t="n">
        <v>99.39400000000001</v>
      </c>
      <c r="S152" s="22" t="n">
        <v>-46.839</v>
      </c>
      <c r="T152" s="22" t="n">
        <v>-33.259</v>
      </c>
      <c r="U152" s="22" t="n">
        <v>-27.523</v>
      </c>
      <c r="V152" s="22" t="n">
        <v>-52.868</v>
      </c>
      <c r="W152" s="22" t="n">
        <v>102.561</v>
      </c>
      <c r="X152" s="22" t="n">
        <v>-20.152</v>
      </c>
    </row>
    <row r="153">
      <c r="A153" s="20" t="inlineStr">
        <is>
          <t>매입채무 증감</t>
        </is>
      </c>
      <c r="D153" s="22" t="n">
        <v>-60.233</v>
      </c>
      <c r="F153" s="22" t="n">
        <v>-412.11</v>
      </c>
      <c r="H153" s="22" t="n">
        <v>-34.373</v>
      </c>
      <c r="J153" s="22" t="n">
        <v>88.297</v>
      </c>
      <c r="L153" s="22" t="n">
        <v>-167.508</v>
      </c>
      <c r="N153" s="22" t="n">
        <v>-317.988</v>
      </c>
      <c r="O153" s="22" t="n">
        <v>-58.939</v>
      </c>
      <c r="P153" s="22" t="n">
        <v>5.553</v>
      </c>
      <c r="Q153" s="22" t="n">
        <v>286.114</v>
      </c>
      <c r="R153" s="22" t="n">
        <v>-299.29</v>
      </c>
      <c r="S153" s="22" t="n">
        <v>377.944</v>
      </c>
      <c r="T153" s="22" t="n">
        <v>-147.995</v>
      </c>
      <c r="U153" s="22" t="n">
        <v>-31.656</v>
      </c>
      <c r="V153" s="22" t="n">
        <v>-412.11</v>
      </c>
      <c r="W153" s="22" t="n">
        <v>88.297</v>
      </c>
      <c r="X153" s="22" t="n">
        <v>-317.988</v>
      </c>
    </row>
    <row r="154">
      <c r="A154" s="20" t="inlineStr">
        <is>
          <t>기타 유동부채 증감</t>
        </is>
      </c>
      <c r="D154" s="22" t="n">
        <v>-21.066</v>
      </c>
      <c r="F154" s="22" t="n">
        <v>184.143</v>
      </c>
      <c r="H154" s="22" t="n">
        <v>-225.397</v>
      </c>
      <c r="J154" s="22" t="n">
        <v>-139.243</v>
      </c>
      <c r="L154" s="22" t="n">
        <v>-39.639</v>
      </c>
      <c r="N154" s="22" t="n">
        <v>-49.972</v>
      </c>
      <c r="O154" s="22" t="n">
        <v>-38.366</v>
      </c>
      <c r="P154" s="22" t="n">
        <v>-0.862</v>
      </c>
      <c r="Q154" s="22" t="n">
        <v>281.891</v>
      </c>
      <c r="R154" s="22" t="n">
        <v>-284.218</v>
      </c>
      <c r="S154" s="22" t="n">
        <v>119.235</v>
      </c>
      <c r="T154" s="22" t="n">
        <v>61.991</v>
      </c>
      <c r="U154" s="22" t="n">
        <v>-57.561</v>
      </c>
      <c r="V154" s="22" t="n">
        <v>184.143</v>
      </c>
      <c r="W154" s="22" t="n">
        <v>-139.243</v>
      </c>
      <c r="X154" s="22" t="n">
        <v>-49.972</v>
      </c>
    </row>
    <row r="155">
      <c r="A155" s="20" t="inlineStr">
        <is>
          <t>미지급 소비세 증감</t>
        </is>
      </c>
      <c r="D155" s="22" t="n">
        <v>-3.769</v>
      </c>
      <c r="F155" s="22" t="n">
        <v>29.196</v>
      </c>
      <c r="H155" s="22" t="n">
        <v>-4.332</v>
      </c>
      <c r="J155" s="22" t="n">
        <v>-5.9</v>
      </c>
      <c r="L155" s="22" t="n">
        <v>-25.36</v>
      </c>
      <c r="N155" s="22" t="n">
        <v>-26.648</v>
      </c>
      <c r="O155" s="22" t="n">
        <v>-0.323</v>
      </c>
      <c r="P155" s="22" t="n">
        <v>-35.06</v>
      </c>
      <c r="Q155" s="22" t="n">
        <v>55.663</v>
      </c>
      <c r="R155" s="22" t="n">
        <v>0.029</v>
      </c>
      <c r="S155" s="22" t="n">
        <v>-36.156</v>
      </c>
      <c r="T155" s="22" t="n">
        <v>-10.808</v>
      </c>
      <c r="U155" s="22" t="n">
        <v>8.414999999999999</v>
      </c>
      <c r="V155" s="22" t="n">
        <v>29.196</v>
      </c>
      <c r="W155" s="22" t="n">
        <v>-5.9</v>
      </c>
      <c r="X155" s="22" t="n">
        <v>-26.648</v>
      </c>
    </row>
    <row r="156">
      <c r="A156" s="20" t="inlineStr">
        <is>
          <t>기타</t>
        </is>
      </c>
      <c r="D156" s="22" t="n">
        <v>-11.642</v>
      </c>
      <c r="F156" s="22" t="n">
        <v>-7.211</v>
      </c>
      <c r="H156" s="22" t="n">
        <v>1.024</v>
      </c>
      <c r="J156" s="22" t="n">
        <v>3.531</v>
      </c>
      <c r="L156" s="22" t="n">
        <v>6.13</v>
      </c>
      <c r="N156" s="22" t="n">
        <v>19.751</v>
      </c>
      <c r="O156" s="22" t="n">
        <v>6.611</v>
      </c>
      <c r="P156" s="22" t="n">
        <v>-4.982</v>
      </c>
      <c r="Q156" s="22" t="n">
        <v>-1.215</v>
      </c>
      <c r="R156" s="22" t="n">
        <v>-8.628</v>
      </c>
      <c r="S156" s="22" t="n">
        <v>-0.913</v>
      </c>
      <c r="T156" s="22" t="n">
        <v>-30.941</v>
      </c>
      <c r="U156" s="22" t="n">
        <v>-19.422</v>
      </c>
      <c r="V156" s="22" t="n">
        <v>-7.211</v>
      </c>
      <c r="W156" s="22" t="n">
        <v>3.531</v>
      </c>
      <c r="X156" s="22" t="n">
        <v>19.751</v>
      </c>
    </row>
    <row r="157">
      <c r="A157" s="20" t="inlineStr">
        <is>
          <t>소계</t>
        </is>
      </c>
      <c r="D157" s="22" t="n">
        <v>86.741</v>
      </c>
      <c r="F157" s="22" t="n">
        <v>631.393</v>
      </c>
      <c r="H157" s="22" t="n">
        <v>470.922</v>
      </c>
      <c r="J157" s="22" t="n">
        <v>1092.715</v>
      </c>
      <c r="L157" s="22" t="n">
        <v>97.425</v>
      </c>
      <c r="N157" s="22" t="n">
        <v>912.9</v>
      </c>
      <c r="O157" s="22" t="n">
        <v>610.651</v>
      </c>
      <c r="P157" s="22" t="n">
        <v>870.428</v>
      </c>
      <c r="Q157" s="22" t="n">
        <v>1202.189</v>
      </c>
      <c r="R157" s="22" t="n">
        <v>585.813</v>
      </c>
      <c r="S157" s="22" t="n">
        <v>1241.287</v>
      </c>
      <c r="T157" s="22" t="n">
        <v>807.612</v>
      </c>
      <c r="U157" s="22" t="n">
        <v>867.877</v>
      </c>
      <c r="V157" s="22" t="n">
        <v>631.393</v>
      </c>
      <c r="W157" s="22" t="n">
        <v>1092.715</v>
      </c>
      <c r="X157" s="22" t="n">
        <v>912.9</v>
      </c>
    </row>
    <row r="158">
      <c r="A158" s="20" t="inlineStr">
        <is>
          <t>이자·배당금 수취</t>
        </is>
      </c>
      <c r="D158" s="22" t="n">
        <v>9.289999999999999</v>
      </c>
      <c r="F158" s="22" t="n">
        <v>19.89</v>
      </c>
      <c r="H158" s="22" t="n">
        <v>11.601</v>
      </c>
      <c r="J158" s="22" t="n">
        <v>23.157</v>
      </c>
      <c r="L158" s="22" t="n">
        <v>14.583</v>
      </c>
      <c r="N158" s="22" t="n">
        <v>28.728</v>
      </c>
      <c r="O158" s="22" t="n">
        <v>12.039</v>
      </c>
      <c r="P158" s="22" t="n">
        <v>12.787</v>
      </c>
      <c r="Q158" s="22" t="n">
        <v>12.163</v>
      </c>
      <c r="R158" s="22" t="n">
        <v>12.838</v>
      </c>
      <c r="S158" s="22" t="n">
        <v>13.074</v>
      </c>
      <c r="T158" s="22" t="n">
        <v>16.147</v>
      </c>
      <c r="U158" s="22" t="n">
        <v>20.269</v>
      </c>
      <c r="V158" s="22" t="n">
        <v>19.89</v>
      </c>
      <c r="W158" s="22" t="n">
        <v>23.157</v>
      </c>
      <c r="X158" s="22" t="n">
        <v>28.728</v>
      </c>
    </row>
    <row r="159">
      <c r="A159" s="20" t="inlineStr">
        <is>
          <t>이자 지급</t>
        </is>
      </c>
      <c r="D159" s="22" t="n">
        <v>-1.605</v>
      </c>
      <c r="F159" s="22" t="n">
        <v>-3.178</v>
      </c>
      <c r="H159" s="22" t="n">
        <v>-1.845</v>
      </c>
      <c r="J159" s="22" t="n">
        <v>-3.528</v>
      </c>
      <c r="L159" s="22" t="n">
        <v>-2.015</v>
      </c>
      <c r="N159" s="22" t="n">
        <v>-5.273</v>
      </c>
      <c r="O159" s="22" t="n">
        <v>-8.282</v>
      </c>
      <c r="P159" s="22" t="n">
        <v>-9.385</v>
      </c>
      <c r="Q159" s="22" t="n">
        <v>-5.194</v>
      </c>
      <c r="R159" s="22" t="n">
        <v>-5.72</v>
      </c>
      <c r="S159" s="22" t="n">
        <v>-4.453</v>
      </c>
      <c r="T159" s="22" t="n">
        <v>-1.174</v>
      </c>
      <c r="U159" s="22" t="n">
        <v>-2.925</v>
      </c>
      <c r="V159" s="22" t="n">
        <v>-3.178</v>
      </c>
      <c r="W159" s="22" t="n">
        <v>-3.528</v>
      </c>
      <c r="X159" s="22" t="n">
        <v>-5.273</v>
      </c>
    </row>
    <row r="160">
      <c r="A160" s="20" t="inlineStr">
        <is>
          <t>보상금 수취</t>
        </is>
      </c>
      <c r="O160" s="22" t="n">
        <v>170.931</v>
      </c>
      <c r="P160" s="22" t="n">
        <v>0</v>
      </c>
    </row>
    <row r="161">
      <c r="A161" s="20" t="inlineStr">
        <is>
          <t>보조금 수취</t>
        </is>
      </c>
      <c r="F161" s="22" t="n">
        <v>7.54</v>
      </c>
      <c r="H161" s="22" t="n">
        <v>0</v>
      </c>
      <c r="J161" s="22" t="n">
        <v>0</v>
      </c>
      <c r="L161" s="22" t="n">
        <v>5.349</v>
      </c>
      <c r="N161" s="22" t="n">
        <v>5.499</v>
      </c>
      <c r="Q161" s="22" t="n">
        <v>22.594</v>
      </c>
      <c r="R161" s="22" t="n">
        <v>47.898</v>
      </c>
      <c r="S161" s="22" t="n">
        <v>25.297</v>
      </c>
      <c r="T161" s="22" t="n">
        <v>2.97</v>
      </c>
      <c r="U161" s="22" t="n">
        <v>5</v>
      </c>
      <c r="V161" s="22" t="n">
        <v>7.54</v>
      </c>
      <c r="W161" s="22" t="n">
        <v>0</v>
      </c>
      <c r="X161" s="22" t="n">
        <v>5.499</v>
      </c>
    </row>
    <row r="162">
      <c r="A162" s="20" t="inlineStr">
        <is>
          <t>법인세 환급</t>
        </is>
      </c>
      <c r="D162" s="22" t="n">
        <v>0</v>
      </c>
      <c r="F162" s="22" t="n">
        <v>15.329</v>
      </c>
      <c r="J162" s="22" t="n">
        <v>0</v>
      </c>
      <c r="R162" s="22" t="n">
        <v>0</v>
      </c>
      <c r="S162" s="22" t="n">
        <v>28.359</v>
      </c>
      <c r="T162" s="22" t="n">
        <v>10.886</v>
      </c>
      <c r="U162" s="22" t="n">
        <v>7.171</v>
      </c>
      <c r="V162" s="22" t="n">
        <v>15.329</v>
      </c>
      <c r="W162" s="22" t="n">
        <v>0</v>
      </c>
    </row>
    <row r="163">
      <c r="A163" s="20" t="inlineStr">
        <is>
          <t>보험금 수취</t>
        </is>
      </c>
      <c r="H163" s="22" t="n">
        <v>0</v>
      </c>
      <c r="J163" s="22" t="n">
        <v>0</v>
      </c>
      <c r="L163" s="22" t="n">
        <v>15.516</v>
      </c>
      <c r="N163" s="22" t="n">
        <v>15.516</v>
      </c>
      <c r="W163" s="22" t="n">
        <v>0</v>
      </c>
      <c r="X163" s="22" t="n">
        <v>15.516</v>
      </c>
    </row>
    <row r="164">
      <c r="A164" s="20" t="inlineStr">
        <is>
          <t>법인세 납부</t>
        </is>
      </c>
      <c r="D164" s="22" t="n">
        <v>-158.961</v>
      </c>
      <c r="F164" s="22" t="n">
        <v>-290.004</v>
      </c>
      <c r="H164" s="22" t="n">
        <v>-34.952</v>
      </c>
      <c r="J164" s="22" t="n">
        <v>-120.955</v>
      </c>
      <c r="L164" s="22" t="n">
        <v>-50.397</v>
      </c>
      <c r="N164" s="22" t="n">
        <v>-115.552</v>
      </c>
      <c r="O164" s="22" t="n">
        <v>-320.631</v>
      </c>
      <c r="P164" s="22" t="n">
        <v>-7.867</v>
      </c>
      <c r="Q164" s="22" t="n">
        <v>-113.489</v>
      </c>
      <c r="R164" s="22" t="n">
        <v>-245.387</v>
      </c>
      <c r="S164" s="22" t="n">
        <v>-91.331</v>
      </c>
      <c r="T164" s="22" t="n">
        <v>-177.637</v>
      </c>
      <c r="U164" s="22" t="n">
        <v>-203.253</v>
      </c>
      <c r="V164" s="22" t="n">
        <v>-290.004</v>
      </c>
      <c r="W164" s="22" t="n">
        <v>-120.955</v>
      </c>
      <c r="X164" s="22" t="n">
        <v>-115.552</v>
      </c>
    </row>
    <row r="165">
      <c r="A165" s="9" t="inlineStr">
        <is>
          <t>영업활동 현금흐름</t>
        </is>
      </c>
      <c r="D165" s="12" t="n">
        <v>-64.535</v>
      </c>
      <c r="F165" s="12" t="n">
        <v>380.969</v>
      </c>
      <c r="H165" s="12" t="n">
        <v>445.725</v>
      </c>
      <c r="J165" s="12" t="n">
        <v>991.389</v>
      </c>
      <c r="L165" s="12" t="n">
        <v>80.462</v>
      </c>
      <c r="N165" s="12" t="n">
        <v>841.818</v>
      </c>
      <c r="O165" s="12" t="n">
        <v>464.707</v>
      </c>
      <c r="P165" s="12" t="n">
        <v>865.963</v>
      </c>
      <c r="Q165" s="12" t="n">
        <v>1118.263</v>
      </c>
      <c r="R165" s="12" t="n">
        <v>395.442</v>
      </c>
      <c r="S165" s="12" t="n">
        <v>1212.233</v>
      </c>
      <c r="T165" s="12" t="n">
        <v>658.803</v>
      </c>
      <c r="U165" s="12" t="n">
        <v>694.139</v>
      </c>
      <c r="V165" s="12" t="n">
        <v>380.969</v>
      </c>
      <c r="W165" s="12" t="n">
        <v>991.389</v>
      </c>
      <c r="X165" s="12" t="n">
        <v>841.818</v>
      </c>
    </row>
    <row r="166">
      <c r="A166" s="20" t="inlineStr">
        <is>
          <t>정기예금 증감</t>
        </is>
      </c>
      <c r="D166" s="22" t="n">
        <v>300</v>
      </c>
      <c r="F166" s="22" t="n">
        <v>0</v>
      </c>
      <c r="H166" s="22" t="n">
        <v>137.21</v>
      </c>
      <c r="J166" s="22" t="n">
        <v>138.11</v>
      </c>
      <c r="L166" s="22" t="n">
        <v>221.78</v>
      </c>
      <c r="N166" s="22" t="n">
        <v>-307.39</v>
      </c>
      <c r="O166" s="22" t="n">
        <v>250</v>
      </c>
      <c r="P166" s="22" t="n">
        <v>700</v>
      </c>
      <c r="Q166" s="22" t="n">
        <v>-2.1</v>
      </c>
      <c r="R166" s="22" t="n">
        <v>-497.9</v>
      </c>
      <c r="S166" s="22" t="n">
        <v>0</v>
      </c>
      <c r="T166" s="22" t="n">
        <v>0</v>
      </c>
      <c r="U166" s="22" t="n">
        <v>-100</v>
      </c>
      <c r="V166" s="22" t="n">
        <v>0</v>
      </c>
      <c r="W166" s="22" t="n">
        <v>138.11</v>
      </c>
      <c r="X166" s="22" t="n">
        <v>-307.39</v>
      </c>
    </row>
    <row r="167">
      <c r="A167" s="20" t="inlineStr">
        <is>
          <t>유가증권 취득</t>
        </is>
      </c>
      <c r="D167" s="22" t="n">
        <v>-100.136</v>
      </c>
      <c r="F167" s="22" t="n">
        <v>-200.316</v>
      </c>
      <c r="H167" s="22" t="n">
        <v>-200.263</v>
      </c>
      <c r="J167" s="22" t="n">
        <v>-499.756</v>
      </c>
      <c r="L167" s="22" t="n">
        <v>0</v>
      </c>
      <c r="N167" s="22" t="n">
        <v>-99.072</v>
      </c>
      <c r="S167" s="22" t="n">
        <v>0</v>
      </c>
      <c r="T167" s="22" t="n">
        <v>-400</v>
      </c>
      <c r="U167" s="22" t="n">
        <v>-199.962</v>
      </c>
      <c r="V167" s="22" t="n">
        <v>-200.316</v>
      </c>
      <c r="W167" s="22" t="n">
        <v>-499.756</v>
      </c>
      <c r="X167" s="22" t="n">
        <v>-99.072</v>
      </c>
    </row>
    <row r="168">
      <c r="A168" s="20" t="inlineStr">
        <is>
          <t>유가증권 상환 수입</t>
        </is>
      </c>
      <c r="D168" s="22" t="n">
        <v>373.535</v>
      </c>
      <c r="F168" s="22" t="n">
        <v>1073.535</v>
      </c>
      <c r="H168" s="22" t="n">
        <v>100</v>
      </c>
      <c r="J168" s="22" t="n">
        <v>500</v>
      </c>
      <c r="L168" s="22" t="n">
        <v>300</v>
      </c>
      <c r="N168" s="22" t="n">
        <v>500</v>
      </c>
      <c r="O168" s="22" t="n">
        <v>200</v>
      </c>
      <c r="P168" s="22" t="n">
        <v>200</v>
      </c>
      <c r="Q168" s="22" t="n">
        <v>0</v>
      </c>
      <c r="R168" s="22" t="n">
        <v>0</v>
      </c>
      <c r="S168" s="22" t="n">
        <v>200</v>
      </c>
      <c r="T168" s="22" t="n">
        <v>500</v>
      </c>
      <c r="U168" s="22" t="n">
        <v>700</v>
      </c>
      <c r="V168" s="22" t="n">
        <v>1073.535</v>
      </c>
      <c r="W168" s="22" t="n">
        <v>500</v>
      </c>
      <c r="X168" s="22" t="n">
        <v>500</v>
      </c>
    </row>
    <row r="169">
      <c r="A169" s="20" t="inlineStr">
        <is>
          <t>유형자산 취득(설비투자)</t>
        </is>
      </c>
      <c r="D169" s="22" t="n">
        <v>-407.405</v>
      </c>
      <c r="F169" s="22" t="n">
        <v>-615.842</v>
      </c>
      <c r="H169" s="22" t="n">
        <v>-392.248</v>
      </c>
      <c r="J169" s="22" t="n">
        <v>-645.182</v>
      </c>
      <c r="L169" s="22" t="n">
        <v>-227.268</v>
      </c>
      <c r="N169" s="22" t="n">
        <v>-470.798</v>
      </c>
      <c r="O169" s="22" t="n">
        <v>-815.587</v>
      </c>
      <c r="P169" s="22" t="n">
        <v>-1378.996</v>
      </c>
      <c r="Q169" s="22" t="n">
        <v>-602.3819999999999</v>
      </c>
      <c r="R169" s="22" t="n">
        <v>-364.98</v>
      </c>
      <c r="S169" s="22" t="n">
        <v>-208.946</v>
      </c>
      <c r="T169" s="22" t="n">
        <v>-400.13</v>
      </c>
      <c r="U169" s="22" t="n">
        <v>-687.46</v>
      </c>
      <c r="V169" s="22" t="n">
        <v>-615.842</v>
      </c>
      <c r="W169" s="22" t="n">
        <v>-645.182</v>
      </c>
      <c r="X169" s="22" t="n">
        <v>-470.798</v>
      </c>
    </row>
    <row r="170">
      <c r="A170" s="20" t="inlineStr">
        <is>
          <t>유형자산 매각</t>
        </is>
      </c>
      <c r="D170" s="22" t="n">
        <v>22.702</v>
      </c>
      <c r="F170" s="22" t="n">
        <v>33.39</v>
      </c>
      <c r="H170" s="22" t="n">
        <v>32.732</v>
      </c>
      <c r="J170" s="22" t="n">
        <v>42.805</v>
      </c>
      <c r="L170" s="22" t="n">
        <v>2.728</v>
      </c>
      <c r="N170" s="22" t="n">
        <v>0.177</v>
      </c>
      <c r="O170" s="22" t="n">
        <v>4.492</v>
      </c>
      <c r="P170" s="22" t="n">
        <v>24.628</v>
      </c>
      <c r="Q170" s="22" t="n">
        <v>6.168</v>
      </c>
      <c r="R170" s="22" t="n">
        <v>18.303</v>
      </c>
      <c r="S170" s="22" t="n">
        <v>57.726</v>
      </c>
      <c r="T170" s="22" t="n">
        <v>206.64</v>
      </c>
      <c r="U170" s="22" t="n">
        <v>11.178</v>
      </c>
      <c r="V170" s="22" t="n">
        <v>33.39</v>
      </c>
      <c r="W170" s="22" t="n">
        <v>42.805</v>
      </c>
      <c r="X170" s="22" t="n">
        <v>0.177</v>
      </c>
    </row>
    <row r="171">
      <c r="A171" s="20" t="inlineStr">
        <is>
          <t>무형자산 취득</t>
        </is>
      </c>
      <c r="D171" s="22" t="n">
        <v>-8.298999999999999</v>
      </c>
      <c r="F171" s="22" t="n">
        <v>-9.805999999999999</v>
      </c>
      <c r="H171" s="22" t="n">
        <v>-32.768</v>
      </c>
      <c r="J171" s="22" t="n">
        <v>-41.431</v>
      </c>
      <c r="L171" s="22" t="n">
        <v>-4.436</v>
      </c>
      <c r="N171" s="22" t="n">
        <v>-7.769</v>
      </c>
      <c r="O171" s="22" t="n">
        <v>-93.801</v>
      </c>
      <c r="P171" s="22" t="n">
        <v>-78.36199999999999</v>
      </c>
      <c r="Q171" s="22" t="n">
        <v>-18.236</v>
      </c>
      <c r="R171" s="22" t="n">
        <v>-52.106</v>
      </c>
      <c r="S171" s="22" t="n">
        <v>-29.419</v>
      </c>
      <c r="T171" s="22" t="n">
        <v>-54.453</v>
      </c>
      <c r="U171" s="22" t="n">
        <v>-46.659</v>
      </c>
      <c r="V171" s="22" t="n">
        <v>-9.805999999999999</v>
      </c>
      <c r="W171" s="22" t="n">
        <v>-41.431</v>
      </c>
      <c r="X171" s="22" t="n">
        <v>-7.769</v>
      </c>
    </row>
    <row r="172">
      <c r="A172" s="20" t="inlineStr">
        <is>
          <t>투자유가증권 취득</t>
        </is>
      </c>
      <c r="D172" s="22" t="n">
        <v>-202.479</v>
      </c>
      <c r="F172" s="22" t="n">
        <v>-304.934</v>
      </c>
      <c r="H172" s="22" t="n">
        <v>-2.327</v>
      </c>
      <c r="J172" s="22" t="n">
        <v>-104.782</v>
      </c>
      <c r="L172" s="22" t="n">
        <v>-2.414</v>
      </c>
      <c r="N172" s="22" t="n">
        <v>-302.532</v>
      </c>
      <c r="O172" s="22" t="n">
        <v>-202.853</v>
      </c>
      <c r="P172" s="22" t="n">
        <v>-2.959</v>
      </c>
      <c r="Q172" s="22" t="n">
        <v>-59.832</v>
      </c>
      <c r="R172" s="22" t="n">
        <v>-3.365</v>
      </c>
      <c r="S172" s="22" t="n">
        <v>-303.621</v>
      </c>
      <c r="T172" s="22" t="n">
        <v>-805.369</v>
      </c>
      <c r="U172" s="22" t="n">
        <v>-503.979</v>
      </c>
      <c r="V172" s="22" t="n">
        <v>-304.934</v>
      </c>
      <c r="W172" s="22" t="n">
        <v>-104.782</v>
      </c>
      <c r="X172" s="22" t="n">
        <v>-302.532</v>
      </c>
    </row>
    <row r="173">
      <c r="A173" s="20" t="inlineStr">
        <is>
          <t>보험적립금 해약</t>
        </is>
      </c>
      <c r="O173" s="22" t="n">
        <v>0</v>
      </c>
      <c r="P173" s="22" t="n">
        <v>22.714</v>
      </c>
      <c r="Q173" s="22" t="n">
        <v>5.42</v>
      </c>
      <c r="R173" s="22" t="n">
        <v>0</v>
      </c>
    </row>
    <row r="174">
      <c r="A174" s="20" t="inlineStr">
        <is>
          <t>보조금 수취</t>
        </is>
      </c>
      <c r="O174" s="22" t="n">
        <v>10</v>
      </c>
      <c r="P174" s="22" t="n">
        <v>0</v>
      </c>
    </row>
    <row r="175">
      <c r="A175" s="20" t="inlineStr">
        <is>
          <t>설비 이설 지출</t>
        </is>
      </c>
      <c r="O175" s="22" t="n">
        <v>0</v>
      </c>
      <c r="P175" s="22" t="n">
        <v>-43.235</v>
      </c>
      <c r="Q175" s="22" t="n">
        <v>0</v>
      </c>
    </row>
    <row r="176">
      <c r="A176" s="20" t="inlineStr">
        <is>
          <t>보조금 수취</t>
        </is>
      </c>
      <c r="F176" s="22" t="n">
        <v>4.293</v>
      </c>
      <c r="J176" s="22" t="n">
        <v>0</v>
      </c>
      <c r="Q176" s="22" t="n">
        <v>0</v>
      </c>
      <c r="R176" s="22" t="n">
        <v>45.376</v>
      </c>
      <c r="S176" s="22" t="n">
        <v>6.488</v>
      </c>
      <c r="T176" s="22" t="n">
        <v>6.468</v>
      </c>
      <c r="U176" s="22" t="n">
        <v>6.498</v>
      </c>
      <c r="V176" s="22" t="n">
        <v>4.293</v>
      </c>
      <c r="W176" s="22" t="n">
        <v>0</v>
      </c>
    </row>
    <row r="177">
      <c r="A177" s="20" t="inlineStr">
        <is>
          <t>투자유가증권 매각</t>
        </is>
      </c>
      <c r="H177" s="22" t="n">
        <v>0</v>
      </c>
      <c r="J177" s="22" t="n">
        <v>0</v>
      </c>
      <c r="L177" s="22" t="n">
        <v>20.128</v>
      </c>
      <c r="N177" s="22" t="n">
        <v>117.129</v>
      </c>
      <c r="W177" s="22" t="n">
        <v>0</v>
      </c>
      <c r="X177" s="22" t="n">
        <v>117.129</v>
      </c>
    </row>
    <row r="178">
      <c r="A178" s="20" t="inlineStr">
        <is>
          <t>기타</t>
        </is>
      </c>
      <c r="D178" s="22" t="n">
        <v>-4.36</v>
      </c>
      <c r="F178" s="22" t="n">
        <v>7.449</v>
      </c>
      <c r="H178" s="22" t="n">
        <v>-0.221</v>
      </c>
      <c r="J178" s="22" t="n">
        <v>-1.665</v>
      </c>
      <c r="L178" s="22" t="n">
        <v>-0.968</v>
      </c>
      <c r="N178" s="22" t="n">
        <v>14.14</v>
      </c>
      <c r="O178" s="22" t="n">
        <v>-18.313</v>
      </c>
      <c r="P178" s="22" t="n">
        <v>-1.703</v>
      </c>
      <c r="Q178" s="22" t="n">
        <v>0.276</v>
      </c>
      <c r="R178" s="22" t="n">
        <v>4.032</v>
      </c>
      <c r="S178" s="22" t="n">
        <v>0.678</v>
      </c>
      <c r="T178" s="22" t="n">
        <v>0.599</v>
      </c>
      <c r="U178" s="22" t="n">
        <v>-1.797</v>
      </c>
      <c r="V178" s="22" t="n">
        <v>7.449</v>
      </c>
      <c r="W178" s="22" t="n">
        <v>-1.665</v>
      </c>
      <c r="X178" s="22" t="n">
        <v>14.14</v>
      </c>
    </row>
    <row r="179">
      <c r="A179" s="9" t="inlineStr">
        <is>
          <t>투자활동 현금흐름</t>
        </is>
      </c>
      <c r="D179" s="12" t="n">
        <v>-26.443</v>
      </c>
      <c r="F179" s="12" t="n">
        <v>-12.231</v>
      </c>
      <c r="H179" s="12" t="n">
        <v>-357.885</v>
      </c>
      <c r="J179" s="12" t="n">
        <v>-611.901</v>
      </c>
      <c r="L179" s="12" t="n">
        <v>309.548</v>
      </c>
      <c r="N179" s="12" t="n">
        <v>-556.115</v>
      </c>
      <c r="O179" s="12" t="n">
        <v>-666.062</v>
      </c>
      <c r="P179" s="12" t="n">
        <v>-557.914</v>
      </c>
      <c r="Q179" s="12" t="n">
        <v>-670.686</v>
      </c>
      <c r="R179" s="12" t="n">
        <v>-850.639</v>
      </c>
      <c r="S179" s="12" t="n">
        <v>-277.095</v>
      </c>
      <c r="T179" s="12" t="n">
        <v>-946.245</v>
      </c>
      <c r="U179" s="12" t="n">
        <v>-822.181</v>
      </c>
      <c r="V179" s="12" t="n">
        <v>-12.231</v>
      </c>
      <c r="W179" s="12" t="n">
        <v>-611.901</v>
      </c>
      <c r="X179" s="12" t="n">
        <v>-556.115</v>
      </c>
    </row>
    <row r="180">
      <c r="A180" s="20" t="inlineStr">
        <is>
          <t>단기차입금 증감</t>
        </is>
      </c>
      <c r="F180" s="22" t="n">
        <v>-200</v>
      </c>
      <c r="J180" s="22" t="n">
        <v>0</v>
      </c>
      <c r="O180" s="22" t="n">
        <v>-150</v>
      </c>
      <c r="P180" s="22" t="n">
        <v>0</v>
      </c>
      <c r="Q180" s="22" t="n">
        <v>300</v>
      </c>
      <c r="R180" s="22" t="n">
        <v>0</v>
      </c>
      <c r="S180" s="22" t="n">
        <v>0</v>
      </c>
      <c r="T180" s="22" t="n">
        <v>-300</v>
      </c>
      <c r="U180" s="22" t="n">
        <v>0</v>
      </c>
      <c r="V180" s="22" t="n">
        <v>-200</v>
      </c>
      <c r="W180" s="22" t="n">
        <v>0</v>
      </c>
    </row>
    <row r="181">
      <c r="A181" s="20" t="inlineStr">
        <is>
          <t>장기차입</t>
        </is>
      </c>
      <c r="D181" s="22" t="n">
        <v>330</v>
      </c>
      <c r="F181" s="22" t="n">
        <v>330</v>
      </c>
      <c r="H181" s="22" t="n">
        <v>30</v>
      </c>
      <c r="J181" s="22" t="n">
        <v>30</v>
      </c>
      <c r="L181" s="22" t="n">
        <v>200</v>
      </c>
      <c r="N181" s="22" t="n">
        <v>200</v>
      </c>
      <c r="O181" s="22" t="n">
        <v>50</v>
      </c>
      <c r="P181" s="22" t="n">
        <v>600</v>
      </c>
      <c r="Q181" s="22" t="n">
        <v>0</v>
      </c>
      <c r="R181" s="22" t="n">
        <v>520</v>
      </c>
      <c r="S181" s="22" t="n">
        <v>40</v>
      </c>
      <c r="T181" s="22" t="n">
        <v>500</v>
      </c>
      <c r="U181" s="22" t="n">
        <v>15</v>
      </c>
      <c r="V181" s="22" t="n">
        <v>330</v>
      </c>
      <c r="W181" s="22" t="n">
        <v>30</v>
      </c>
      <c r="X181" s="22" t="n">
        <v>200</v>
      </c>
    </row>
    <row r="182">
      <c r="A182" s="20" t="inlineStr">
        <is>
          <t>장기차입금 상환</t>
        </is>
      </c>
      <c r="D182" s="22" t="n">
        <v>-127.252</v>
      </c>
      <c r="F182" s="22" t="n">
        <v>-238.74</v>
      </c>
      <c r="H182" s="22" t="n">
        <v>-144.871</v>
      </c>
      <c r="J182" s="22" t="n">
        <v>-253.046</v>
      </c>
      <c r="L182" s="22" t="n">
        <v>-130.675</v>
      </c>
      <c r="N182" s="22" t="n">
        <v>-297.173</v>
      </c>
      <c r="O182" s="22" t="n">
        <v>-199.134</v>
      </c>
      <c r="P182" s="22" t="n">
        <v>-750.25</v>
      </c>
      <c r="Q182" s="22" t="n">
        <v>-244.836</v>
      </c>
      <c r="R182" s="22" t="n">
        <v>-345.79</v>
      </c>
      <c r="S182" s="22" t="n">
        <v>-303.923</v>
      </c>
      <c r="T182" s="22" t="n">
        <v>-309.168</v>
      </c>
      <c r="U182" s="22" t="n">
        <v>-267.458</v>
      </c>
      <c r="V182" s="22" t="n">
        <v>-238.74</v>
      </c>
      <c r="W182" s="22" t="n">
        <v>-253.046</v>
      </c>
      <c r="X182" s="22" t="n">
        <v>-297.173</v>
      </c>
    </row>
    <row r="183">
      <c r="A183" s="20" t="inlineStr">
        <is>
          <t>리스부채 상환</t>
        </is>
      </c>
      <c r="D183" s="22" t="n">
        <v>-2.437</v>
      </c>
      <c r="F183" s="22" t="n">
        <v>-4.498</v>
      </c>
      <c r="H183" s="22" t="n">
        <v>-2.061</v>
      </c>
      <c r="J183" s="22" t="n">
        <v>-4.122</v>
      </c>
      <c r="L183" s="22" t="n">
        <v>-1.03</v>
      </c>
      <c r="N183" s="22" t="n">
        <v>-1.03</v>
      </c>
      <c r="O183" s="22" t="n">
        <v>-3.091</v>
      </c>
      <c r="P183" s="22" t="n">
        <v>-4.232</v>
      </c>
      <c r="Q183" s="22" t="n">
        <v>-5.782</v>
      </c>
      <c r="R183" s="22" t="n">
        <v>-6.283</v>
      </c>
      <c r="S183" s="22" t="n">
        <v>-6.283</v>
      </c>
      <c r="T183" s="22" t="n">
        <v>-6.283</v>
      </c>
      <c r="U183" s="22" t="n">
        <v>-6.174</v>
      </c>
      <c r="V183" s="22" t="n">
        <v>-4.498</v>
      </c>
      <c r="W183" s="22" t="n">
        <v>-4.122</v>
      </c>
      <c r="X183" s="22" t="n">
        <v>-1.03</v>
      </c>
    </row>
    <row r="184">
      <c r="A184" s="20" t="inlineStr">
        <is>
          <t>자기주식 취득</t>
        </is>
      </c>
      <c r="D184" s="22" t="n">
        <v>0</v>
      </c>
      <c r="F184" s="22" t="n">
        <v>0</v>
      </c>
      <c r="J184" s="22" t="n">
        <v>0</v>
      </c>
      <c r="N184" s="22" t="n">
        <v>-0.107</v>
      </c>
      <c r="O184" s="22" t="n">
        <v>-0.802</v>
      </c>
      <c r="P184" s="22" t="n">
        <v>-0.063</v>
      </c>
      <c r="Q184" s="22" t="n">
        <v>-43.648</v>
      </c>
      <c r="R184" s="22" t="n">
        <v>-0.172</v>
      </c>
      <c r="S184" s="22" t="n">
        <v>0</v>
      </c>
      <c r="T184" s="22" t="n">
        <v>-0.097</v>
      </c>
      <c r="U184" s="22" t="n">
        <v>-0.201</v>
      </c>
      <c r="V184" s="22" t="n">
        <v>0</v>
      </c>
      <c r="W184" s="22" t="n">
        <v>0</v>
      </c>
      <c r="X184" s="22" t="n">
        <v>-0.107</v>
      </c>
    </row>
    <row r="185">
      <c r="A185" s="20" t="inlineStr">
        <is>
          <t>배당금 지급</t>
        </is>
      </c>
      <c r="D185" s="22" t="n">
        <v>-112.394</v>
      </c>
      <c r="F185" s="22" t="n">
        <v>-112.721</v>
      </c>
      <c r="H185" s="22" t="n">
        <v>-91.393</v>
      </c>
      <c r="J185" s="22" t="n">
        <v>-92.024</v>
      </c>
      <c r="L185" s="22" t="n">
        <v>-91.54300000000001</v>
      </c>
      <c r="N185" s="22" t="n">
        <v>-91.64700000000001</v>
      </c>
      <c r="O185" s="22" t="n">
        <v>-53.802</v>
      </c>
      <c r="P185" s="22" t="n">
        <v>-42.984</v>
      </c>
      <c r="Q185" s="22" t="n">
        <v>-42.999</v>
      </c>
      <c r="R185" s="22" t="n">
        <v>-42.373</v>
      </c>
      <c r="S185" s="22" t="n">
        <v>-42.433</v>
      </c>
      <c r="T185" s="22" t="n">
        <v>-50.838</v>
      </c>
      <c r="U185" s="22" t="n">
        <v>-70.43000000000001</v>
      </c>
      <c r="V185" s="22" t="n">
        <v>-112.721</v>
      </c>
      <c r="W185" s="22" t="n">
        <v>-92.024</v>
      </c>
      <c r="X185" s="22" t="n">
        <v>-91.64700000000001</v>
      </c>
    </row>
    <row r="186">
      <c r="A186" s="20" t="inlineStr">
        <is>
          <t>연결범위 변경 없는 자회사 주식 취득</t>
        </is>
      </c>
      <c r="F186" s="22" t="n">
        <v>-17.989</v>
      </c>
      <c r="J186" s="22" t="n">
        <v>0</v>
      </c>
      <c r="U186" s="22" t="n">
        <v>0</v>
      </c>
      <c r="V186" s="22" t="n">
        <v>-17.989</v>
      </c>
      <c r="W186" s="22" t="n">
        <v>0</v>
      </c>
    </row>
    <row r="187">
      <c r="A187" s="9" t="inlineStr">
        <is>
          <t>재무활동 현금흐름</t>
        </is>
      </c>
      <c r="D187" s="12" t="n">
        <v>87.916</v>
      </c>
      <c r="F187" s="12" t="n">
        <v>-243.949</v>
      </c>
      <c r="H187" s="12" t="n">
        <v>-208.326</v>
      </c>
      <c r="J187" s="12" t="n">
        <v>-319.192</v>
      </c>
      <c r="L187" s="12" t="n">
        <v>-23.248</v>
      </c>
      <c r="N187" s="12" t="n">
        <v>-189.958</v>
      </c>
      <c r="O187" s="12" t="n">
        <v>-356.831</v>
      </c>
      <c r="P187" s="12" t="n">
        <v>-197.53</v>
      </c>
      <c r="Q187" s="12" t="n">
        <v>-37.266</v>
      </c>
      <c r="R187" s="12" t="n">
        <v>125.38</v>
      </c>
      <c r="S187" s="12" t="n">
        <v>-312.64</v>
      </c>
      <c r="T187" s="12" t="n">
        <v>-166.387</v>
      </c>
      <c r="U187" s="12" t="n">
        <v>-329.263</v>
      </c>
      <c r="V187" s="12" t="n">
        <v>-243.949</v>
      </c>
      <c r="W187" s="12" t="n">
        <v>-319.192</v>
      </c>
      <c r="X187" s="12" t="n">
        <v>-189.958</v>
      </c>
    </row>
    <row r="188">
      <c r="A188" s="20" t="inlineStr">
        <is>
          <t>현금성자산 환산차이</t>
        </is>
      </c>
      <c r="D188" s="22" t="n">
        <v>3.813</v>
      </c>
      <c r="F188" s="22" t="n">
        <v>2.836</v>
      </c>
      <c r="H188" s="22" t="n">
        <v>-3.574</v>
      </c>
      <c r="J188" s="22" t="n">
        <v>-1.135</v>
      </c>
      <c r="L188" s="22" t="n">
        <v>33.561</v>
      </c>
      <c r="N188" s="22" t="n">
        <v>37.749</v>
      </c>
      <c r="O188" s="22" t="n">
        <v>28.026</v>
      </c>
      <c r="P188" s="22" t="n">
        <v>-2.665</v>
      </c>
      <c r="Q188" s="22" t="n">
        <v>-16.784</v>
      </c>
      <c r="R188" s="22" t="n">
        <v>0.033</v>
      </c>
      <c r="S188" s="22" t="n">
        <v>24.643</v>
      </c>
      <c r="T188" s="22" t="n">
        <v>47.342</v>
      </c>
      <c r="U188" s="22" t="n">
        <v>3.595</v>
      </c>
      <c r="V188" s="22" t="n">
        <v>2.836</v>
      </c>
      <c r="W188" s="22" t="n">
        <v>-1.135</v>
      </c>
      <c r="X188" s="22" t="n">
        <v>37.749</v>
      </c>
    </row>
    <row r="189">
      <c r="A189" s="20" t="inlineStr">
        <is>
          <t>현금성자산 증감</t>
        </is>
      </c>
      <c r="D189" s="22" t="n">
        <v>0.75</v>
      </c>
      <c r="F189" s="22" t="n">
        <v>127.626</v>
      </c>
      <c r="H189" s="22" t="n">
        <v>-124.06</v>
      </c>
      <c r="J189" s="22" t="n">
        <v>59.16</v>
      </c>
      <c r="L189" s="22" t="n">
        <v>400.323</v>
      </c>
      <c r="N189" s="22" t="n">
        <v>133.492</v>
      </c>
      <c r="O189" s="22" t="n">
        <v>-530.159</v>
      </c>
      <c r="P189" s="22" t="n">
        <v>107.853</v>
      </c>
      <c r="Q189" s="22" t="n">
        <v>393.526</v>
      </c>
      <c r="R189" s="22" t="n">
        <v>-329.782</v>
      </c>
      <c r="S189" s="22" t="n">
        <v>647.141</v>
      </c>
      <c r="T189" s="22" t="n">
        <v>-406.486</v>
      </c>
      <c r="U189" s="22" t="n">
        <v>-453.709</v>
      </c>
      <c r="V189" s="22" t="n">
        <v>127.626</v>
      </c>
      <c r="W189" s="22" t="n">
        <v>59.16</v>
      </c>
      <c r="X189" s="22" t="n">
        <v>133.492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HKS 재무상태표</t>
        </is>
      </c>
    </row>
    <row r="2">
      <c r="A2" s="45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2025.4Q</t>
        </is>
      </c>
      <c r="D3" s="5" t="inlineStr">
        <is>
          <t>2026.1Q</t>
        </is>
      </c>
      <c r="E3" s="5" t="inlineStr">
        <is>
          <t>2026.2Q</t>
        </is>
      </c>
      <c r="F3" s="5" t="inlineStr">
        <is>
          <t>2026.3Q</t>
        </is>
      </c>
      <c r="G3" s="5" t="inlineStr">
        <is>
          <t>2026.4Q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6231.356</v>
      </c>
      <c r="D5" s="12" t="n">
        <v>7062.09</v>
      </c>
      <c r="E5" s="12" t="n">
        <v>7241.864</v>
      </c>
      <c r="F5" s="12" t="n">
        <v>7582.641</v>
      </c>
      <c r="G5" s="12" t="n">
        <v>6636.731</v>
      </c>
      <c r="H5" s="11" t="n">
        <v>5537.172</v>
      </c>
      <c r="I5" s="12" t="n">
        <v>5603.094</v>
      </c>
      <c r="J5" s="12" t="n">
        <v>6912.473</v>
      </c>
      <c r="K5" s="12" t="n">
        <v>6231.356</v>
      </c>
      <c r="L5" s="12" t="n">
        <v>6636.731</v>
      </c>
    </row>
    <row r="6">
      <c r="A6" s="20" t="inlineStr">
        <is>
          <t>현금및현금성자산</t>
        </is>
      </c>
      <c r="B6" s="10" t="n"/>
      <c r="C6" s="21" t="n">
        <v>1237.812</v>
      </c>
      <c r="D6" s="22" t="n">
        <v>1880.709</v>
      </c>
      <c r="E6" s="22" t="n">
        <v>2204.655</v>
      </c>
      <c r="F6" s="22" t="n">
        <v>2246.141</v>
      </c>
      <c r="G6" s="22" t="n">
        <v>1529.975</v>
      </c>
      <c r="H6" s="21" t="n">
        <v>1239.324</v>
      </c>
      <c r="I6" s="22" t="n">
        <v>1308.369</v>
      </c>
      <c r="J6" s="22" t="n">
        <v>2122.462</v>
      </c>
      <c r="K6" s="22" t="n">
        <v>1237.812</v>
      </c>
      <c r="L6" s="22" t="n">
        <v>1529.975</v>
      </c>
    </row>
    <row r="7">
      <c r="A7" s="20" t="inlineStr">
        <is>
          <t>단기금융상품</t>
        </is>
      </c>
      <c r="B7" s="10" t="n"/>
      <c r="C7" s="21" t="n">
        <v>499.568</v>
      </c>
      <c r="D7" s="22" t="n">
        <v>599.465</v>
      </c>
      <c r="E7" s="22" t="n">
        <v>299.72</v>
      </c>
      <c r="F7" s="22" t="n">
        <v>399.128</v>
      </c>
      <c r="G7" s="22" t="n">
        <v>498.722</v>
      </c>
      <c r="H7" s="21" t="n">
        <v>600</v>
      </c>
      <c r="I7" s="22" t="n">
        <v>173.061</v>
      </c>
      <c r="J7" s="22" t="n">
        <v>300.135</v>
      </c>
      <c r="K7" s="22" t="n">
        <v>499.568</v>
      </c>
      <c r="L7" s="22" t="n">
        <v>498.722</v>
      </c>
    </row>
    <row r="8">
      <c r="A8" s="20" t="inlineStr">
        <is>
          <t>매출채권</t>
        </is>
      </c>
      <c r="B8" s="10" t="n"/>
      <c r="C8" s="21" t="n">
        <v>1446.019</v>
      </c>
      <c r="D8" s="22" t="n">
        <v>908.256</v>
      </c>
      <c r="E8" s="22" t="n">
        <v>966.437</v>
      </c>
      <c r="F8" s="22" t="n">
        <v>1051.314</v>
      </c>
      <c r="G8" s="22" t="n">
        <v>1472.086</v>
      </c>
      <c r="H8" s="21" t="n">
        <v>1161.03</v>
      </c>
      <c r="I8" s="22" t="n">
        <v>1347.144</v>
      </c>
      <c r="J8" s="22" t="n">
        <v>1160.566</v>
      </c>
      <c r="K8" s="22" t="n">
        <v>1446.019</v>
      </c>
      <c r="L8" s="22" t="n">
        <v>1472.086</v>
      </c>
    </row>
    <row r="9">
      <c r="A9" s="20" t="inlineStr">
        <is>
          <t>재고자산</t>
        </is>
      </c>
      <c r="B9" s="10" t="n"/>
      <c r="C9" s="21" t="n">
        <v>2589.373</v>
      </c>
      <c r="D9" s="22" t="n">
        <v>3438.343</v>
      </c>
      <c r="E9" s="22" t="n">
        <v>3555.675</v>
      </c>
      <c r="F9" s="22" t="n">
        <v>3625.574</v>
      </c>
      <c r="G9" s="22" t="n">
        <v>2680.895</v>
      </c>
      <c r="H9" s="21" t="n">
        <v>1868.857</v>
      </c>
      <c r="I9" s="22" t="n">
        <v>2127.89</v>
      </c>
      <c r="J9" s="22" t="n">
        <v>2965.01</v>
      </c>
      <c r="K9" s="22" t="n">
        <v>2589.373</v>
      </c>
      <c r="L9" s="22" t="n">
        <v>2680.895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5549.946</v>
      </c>
      <c r="D11" s="12" t="n">
        <v>6233.025</v>
      </c>
      <c r="E11" s="12" t="n">
        <v>6159.261</v>
      </c>
      <c r="F11" s="12" t="n">
        <v>6114.417</v>
      </c>
      <c r="G11" s="12" t="n">
        <v>5434.257</v>
      </c>
      <c r="H11" s="11" t="n">
        <v>6265.66</v>
      </c>
      <c r="I11" s="12" t="n">
        <v>6448.325</v>
      </c>
      <c r="J11" s="12" t="n">
        <v>6428.108</v>
      </c>
      <c r="K11" s="12" t="n">
        <v>5549.946</v>
      </c>
      <c r="L11" s="12" t="n">
        <v>5434.257</v>
      </c>
    </row>
    <row r="12">
      <c r="A12" s="20" t="inlineStr">
        <is>
          <t>유형자산</t>
        </is>
      </c>
      <c r="B12" s="10" t="n"/>
      <c r="C12" s="21" t="n">
        <v>3699.357</v>
      </c>
      <c r="D12" s="22" t="n">
        <v>5140.13</v>
      </c>
      <c r="E12" s="22" t="n">
        <v>5067.637</v>
      </c>
      <c r="F12" s="22" t="n">
        <v>5043.993</v>
      </c>
      <c r="G12" s="22" t="n">
        <v>3638.359</v>
      </c>
      <c r="H12" s="21" t="n">
        <v>3723.364</v>
      </c>
      <c r="I12" s="22" t="n">
        <v>3836.041</v>
      </c>
      <c r="J12" s="22" t="n">
        <v>5283.256</v>
      </c>
      <c r="K12" s="22" t="n">
        <v>3699.357</v>
      </c>
      <c r="L12" s="22" t="n">
        <v>3638.359</v>
      </c>
    </row>
    <row r="13">
      <c r="A13" s="20" t="inlineStr">
        <is>
          <t>무형자산</t>
        </is>
      </c>
      <c r="B13" s="10" t="n"/>
      <c r="C13" s="21" t="n">
        <v>85.431</v>
      </c>
      <c r="D13" s="22" t="n">
        <v>98.15000000000001</v>
      </c>
      <c r="E13" s="22" t="n">
        <v>90.087</v>
      </c>
      <c r="F13" s="22" t="n">
        <v>81.524</v>
      </c>
      <c r="G13" s="22" t="n">
        <v>42.6</v>
      </c>
      <c r="H13" s="21" t="n">
        <v>144.96</v>
      </c>
      <c r="I13" s="22" t="n">
        <v>143.978</v>
      </c>
      <c r="J13" s="22" t="n">
        <v>109.152</v>
      </c>
      <c r="K13" s="22" t="n">
        <v>85.431</v>
      </c>
      <c r="L13" s="22" t="n">
        <v>42.6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11781.302</v>
      </c>
      <c r="D16" s="12" t="n">
        <v>13295.116</v>
      </c>
      <c r="E16" s="12" t="n">
        <v>13401.125</v>
      </c>
      <c r="F16" s="12" t="n">
        <v>13697.059</v>
      </c>
      <c r="G16" s="12" t="n">
        <v>12070.988</v>
      </c>
      <c r="H16" s="11" t="n">
        <v>11802.833</v>
      </c>
      <c r="I16" s="12" t="n">
        <v>12051.42</v>
      </c>
      <c r="J16" s="12" t="n">
        <v>13340.581</v>
      </c>
      <c r="K16" s="12" t="n">
        <v>11781.302</v>
      </c>
      <c r="L16" s="12" t="n">
        <v>12070.988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1605.085</v>
      </c>
      <c r="D18" s="12" t="n">
        <v>1925.674</v>
      </c>
      <c r="E18" s="12" t="n">
        <v>1592.241</v>
      </c>
      <c r="F18" s="12" t="n">
        <v>1727.885</v>
      </c>
      <c r="G18" s="12" t="n">
        <v>1298.87</v>
      </c>
      <c r="H18" s="11" t="n">
        <v>2149.375</v>
      </c>
      <c r="I18" s="12" t="n">
        <v>2150.254</v>
      </c>
      <c r="J18" s="12" t="n">
        <v>2085.043</v>
      </c>
      <c r="K18" s="12" t="n">
        <v>1605.085</v>
      </c>
      <c r="L18" s="12" t="n">
        <v>1298.87</v>
      </c>
    </row>
    <row r="19">
      <c r="A19" s="20" t="inlineStr">
        <is>
          <t>매입채무</t>
        </is>
      </c>
      <c r="B19" s="10" t="n"/>
      <c r="C19" s="21" t="n">
        <v>288.531</v>
      </c>
      <c r="D19" s="22" t="n">
        <v>331.457</v>
      </c>
      <c r="E19" s="22" t="n">
        <v>349.178</v>
      </c>
      <c r="F19" s="22" t="n">
        <v>315.605</v>
      </c>
      <c r="G19" s="22" t="n">
        <v>324.471</v>
      </c>
      <c r="H19" s="21" t="n">
        <v>371.781</v>
      </c>
      <c r="I19" s="22" t="n">
        <v>311.671</v>
      </c>
      <c r="J19" s="22" t="n">
        <v>210.971</v>
      </c>
      <c r="K19" s="22" t="n">
        <v>288.531</v>
      </c>
      <c r="L19" s="22" t="n">
        <v>324.471</v>
      </c>
    </row>
    <row r="20">
      <c r="A20" s="20" t="inlineStr">
        <is>
          <t>단기차입금</t>
        </is>
      </c>
      <c r="B20" s="10" t="n"/>
      <c r="C20" s="21" t="n">
        <v>100</v>
      </c>
      <c r="D20" s="22" t="n">
        <v>327.336</v>
      </c>
      <c r="E20" s="22" t="n">
        <v>321.262</v>
      </c>
      <c r="F20" s="22" t="n">
        <v>280.192</v>
      </c>
      <c r="G20" s="22" t="n">
        <v>100</v>
      </c>
      <c r="H20" s="21" t="n">
        <v>300</v>
      </c>
      <c r="I20" s="22" t="n">
        <v>300</v>
      </c>
      <c r="J20" s="22" t="n">
        <v>348.046</v>
      </c>
      <c r="K20" s="22" t="n">
        <v>100</v>
      </c>
      <c r="L20" s="22" t="n">
        <v>100</v>
      </c>
    </row>
    <row r="21">
      <c r="A21" s="20" t="inlineStr">
        <is>
          <t>유동성장기부채</t>
        </is>
      </c>
      <c r="B21" s="10" t="n"/>
      <c r="C21" s="21" t="n">
        <v>241.772</v>
      </c>
      <c r="D21" s="22" t="n"/>
      <c r="E21" s="22" t="n"/>
      <c r="F21" s="22" t="n"/>
      <c r="G21" s="22" t="n">
        <v>101.226</v>
      </c>
      <c r="H21" s="21" t="n">
        <v>222.578</v>
      </c>
      <c r="I21" s="22" t="n">
        <v>151.78</v>
      </c>
      <c r="J21" s="22" t="n">
        <v>224.28</v>
      </c>
      <c r="K21" s="22" t="n">
        <v>241.772</v>
      </c>
      <c r="L21" s="22" t="n">
        <v>101.226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679.418</v>
      </c>
      <c r="D23" s="12" t="n">
        <v>719.529</v>
      </c>
      <c r="E23" s="12" t="n">
        <v>868.414</v>
      </c>
      <c r="F23" s="12" t="n">
        <v>842.294</v>
      </c>
      <c r="G23" s="12" t="n">
        <v>772.3680000000001</v>
      </c>
      <c r="H23" s="11" t="n">
        <v>993.477</v>
      </c>
      <c r="I23" s="12" t="n">
        <v>857.58</v>
      </c>
      <c r="J23" s="12" t="n">
        <v>937.223</v>
      </c>
      <c r="K23" s="12" t="n">
        <v>679.418</v>
      </c>
      <c r="L23" s="12" t="n">
        <v>772.3680000000001</v>
      </c>
    </row>
    <row r="24">
      <c r="A24" s="20" t="inlineStr">
        <is>
          <t>장기차입금</t>
        </is>
      </c>
      <c r="B24" s="10" t="n"/>
      <c r="C24" s="21" t="n">
        <v>121.23</v>
      </c>
      <c r="D24" s="22" t="n">
        <v>146.067</v>
      </c>
      <c r="E24" s="22" t="n">
        <v>283.887</v>
      </c>
      <c r="F24" s="22" t="n">
        <v>251.704</v>
      </c>
      <c r="G24" s="22" t="n">
        <v>190.007</v>
      </c>
      <c r="H24" s="21" t="n">
        <v>494.062</v>
      </c>
      <c r="I24" s="22" t="n">
        <v>342.282</v>
      </c>
      <c r="J24" s="22" t="n">
        <v>410.824</v>
      </c>
      <c r="K24" s="22" t="n">
        <v>121.23</v>
      </c>
      <c r="L24" s="22" t="n">
        <v>190.007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2284.503</v>
      </c>
      <c r="D27" s="12" t="n">
        <v>2645.204</v>
      </c>
      <c r="E27" s="12" t="n">
        <v>2460.655</v>
      </c>
      <c r="F27" s="12" t="n">
        <v>2570.18</v>
      </c>
      <c r="G27" s="12" t="n">
        <v>2071.239</v>
      </c>
      <c r="H27" s="11" t="n">
        <v>3142.853</v>
      </c>
      <c r="I27" s="12" t="n">
        <v>3007.835</v>
      </c>
      <c r="J27" s="12" t="n">
        <v>3022.266</v>
      </c>
      <c r="K27" s="12" t="n">
        <v>2284.503</v>
      </c>
      <c r="L27" s="12" t="n">
        <v>2071.239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9496.798000000001</v>
      </c>
      <c r="D31" s="12" t="n">
        <v>10649.911</v>
      </c>
      <c r="E31" s="12" t="n">
        <v>10940.47</v>
      </c>
      <c r="F31" s="12" t="n">
        <v>11126.879</v>
      </c>
      <c r="G31" s="12" t="n">
        <v>9999.749</v>
      </c>
      <c r="H31" s="11" t="n">
        <v>8644.969999999999</v>
      </c>
      <c r="I31" s="12" t="n">
        <v>9014.294</v>
      </c>
      <c r="J31" s="12" t="n">
        <v>10318.315</v>
      </c>
      <c r="K31" s="12" t="n">
        <v>9496.798000000001</v>
      </c>
      <c r="L31" s="12" t="n">
        <v>9999.749</v>
      </c>
    </row>
    <row r="32">
      <c r="A32" s="20" t="inlineStr">
        <is>
          <t>자본금</t>
        </is>
      </c>
      <c r="B32" s="10" t="n"/>
      <c r="C32" s="21" t="n">
        <v>878.75</v>
      </c>
      <c r="D32" s="22" t="n">
        <v>878.75</v>
      </c>
      <c r="E32" s="22" t="n">
        <v>878.75</v>
      </c>
      <c r="F32" s="22" t="n">
        <v>878.75</v>
      </c>
      <c r="G32" s="22" t="n">
        <v>878.75</v>
      </c>
      <c r="H32" s="21" t="n">
        <v>878.75</v>
      </c>
      <c r="I32" s="22" t="n">
        <v>878.75</v>
      </c>
      <c r="J32" s="22" t="n">
        <v>878.75</v>
      </c>
      <c r="K32" s="22" t="n">
        <v>878.75</v>
      </c>
      <c r="L32" s="22" t="n">
        <v>878.75</v>
      </c>
    </row>
    <row r="33">
      <c r="A33" s="20" t="inlineStr">
        <is>
          <t>이익잉여금</t>
        </is>
      </c>
      <c r="B33" s="10" t="n"/>
      <c r="C33" s="21" t="n">
        <v>7842.854</v>
      </c>
      <c r="D33" s="22" t="n">
        <v>8702.52</v>
      </c>
      <c r="E33" s="22" t="n">
        <v>8858.361000000001</v>
      </c>
      <c r="F33" s="22" t="n">
        <v>9086.869000000001</v>
      </c>
      <c r="G33" s="22" t="n">
        <v>8260.82</v>
      </c>
      <c r="H33" s="21" t="n">
        <v>7114.228</v>
      </c>
      <c r="I33" s="22" t="n">
        <v>7474.876</v>
      </c>
      <c r="J33" s="22" t="n">
        <v>8495.851000000001</v>
      </c>
      <c r="K33" s="22" t="n">
        <v>7842.854</v>
      </c>
      <c r="L33" s="22" t="n">
        <v>8260.82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>
        <v>15.01</v>
      </c>
      <c r="I34" s="22" t="n">
        <v>29.291</v>
      </c>
      <c r="J34" s="22" t="n">
        <v>0</v>
      </c>
      <c r="K34" s="22" t="n"/>
      <c r="L34" s="22" t="n"/>
    </row>
    <row r="35">
      <c r="A35" s="9" t="inlineStr">
        <is>
          <t>자본총계</t>
        </is>
      </c>
      <c r="B35" s="10" t="n"/>
      <c r="C35" s="11" t="n">
        <v>9496.798000000001</v>
      </c>
      <c r="D35" s="12" t="n">
        <v>10649.911</v>
      </c>
      <c r="E35" s="12" t="n">
        <v>10940.47</v>
      </c>
      <c r="F35" s="12" t="n">
        <v>11126.879</v>
      </c>
      <c r="G35" s="12" t="n">
        <v>9999.749</v>
      </c>
      <c r="H35" s="11" t="n">
        <v>8659.98</v>
      </c>
      <c r="I35" s="12" t="n">
        <v>9043.584999999999</v>
      </c>
      <c r="J35" s="12" t="n">
        <v>10318.315</v>
      </c>
      <c r="K35" s="12" t="n">
        <v>9496.798000000001</v>
      </c>
      <c r="L35" s="12" t="n">
        <v>9999.749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>
        <v>991.389</v>
      </c>
      <c r="D37" s="12" t="n"/>
      <c r="E37" s="12" t="n">
        <v>626.126</v>
      </c>
      <c r="F37" s="12" t="n"/>
      <c r="G37" s="12" t="n">
        <v>841.818</v>
      </c>
      <c r="H37" s="11" t="n">
        <v>658.803</v>
      </c>
      <c r="I37" s="12" t="n">
        <v>694.139</v>
      </c>
      <c r="J37" s="12" t="n">
        <v>380.969</v>
      </c>
      <c r="K37" s="12" t="n">
        <v>991.389</v>
      </c>
      <c r="L37" s="12" t="n">
        <v>841.818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>
        <v>686.6130000000001</v>
      </c>
      <c r="D38" s="22" t="n"/>
      <c r="E38" s="22" t="n">
        <v>493.301</v>
      </c>
      <c r="F38" s="22" t="n"/>
      <c r="G38" s="22" t="n">
        <v>478.567</v>
      </c>
      <c r="H38" s="21" t="n">
        <v>454.583</v>
      </c>
      <c r="I38" s="22" t="n">
        <v>734.119</v>
      </c>
      <c r="J38" s="22" t="n">
        <v>625.648</v>
      </c>
      <c r="K38" s="22" t="n">
        <v>686.6130000000001</v>
      </c>
      <c r="L38" s="22" t="n">
        <v>478.567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>
        <v>92.024</v>
      </c>
      <c r="D40" s="22" t="n"/>
      <c r="E40" s="22" t="n">
        <v>92.17400000000001</v>
      </c>
      <c r="F40" s="22" t="n"/>
      <c r="G40" s="22" t="n">
        <v>91.64700000000001</v>
      </c>
      <c r="H40" s="21" t="n">
        <v>50.838</v>
      </c>
      <c r="I40" s="22" t="n">
        <v>70.43000000000001</v>
      </c>
      <c r="J40" s="22" t="n">
        <v>112.721</v>
      </c>
      <c r="K40" s="22" t="n">
        <v>92.024</v>
      </c>
      <c r="L40" s="22" t="n">
        <v>91.64700000000001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6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6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6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6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6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6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IFERROR(('연간'!T16)/('연간'!T38),"")</f>
        <v/>
      </c>
      <c r="I48" s="33">
        <f>IFERROR(('연간'!U16)/('연간'!U38),"")</f>
        <v/>
      </c>
      <c r="J48" s="33">
        <f>IFERROR(('연간'!V16)/('연간'!V38),"")</f>
        <v/>
      </c>
      <c r="K48" s="33">
        <f>IFERROR(('연간'!W16)/('연간'!W38),"")</f>
        <v/>
      </c>
      <c r="L48" s="33">
        <f>IFERROR(('연간'!X16)/('연간'!X38),"")</f>
        <v/>
      </c>
    </row>
    <row r="49">
      <c r="A49" s="46" t="inlineStr">
        <is>
          <t>차입금 상환연수</t>
        </is>
      </c>
      <c r="B49" s="10" t="inlineStr">
        <is>
          <t>4년↓ (버핏)</t>
        </is>
      </c>
      <c r="C49" s="47">
        <f>IFERROR(IF((IF(COUNT('연간'!G44:J44)&lt;4,"",SUM('연간'!G44:J44)))&lt;=0,"적자",C28/(IF(COUNT('연간'!G44:J44)&lt;4,"",SUM('연간'!G44:J44)))),"")</f>
        <v/>
      </c>
      <c r="D49" s="48">
        <f>IFERROR(IF((IF(COUNT('연간'!H44:K44)&lt;4,"",SUM('연간'!H44:K44)))&lt;=0,"적자",D28/(IF(COUNT('연간'!H44:K44)&lt;4,"",SUM('연간'!H44:K44)))),"")</f>
        <v/>
      </c>
      <c r="E49" s="48">
        <f>IFERROR(IF((IF(COUNT('연간'!I44:L44)&lt;4,"",SUM('연간'!I44:L44)))&lt;=0,"적자",E28/(IF(COUNT('연간'!I44:L44)&lt;4,"",SUM('연간'!I44:L44)))),"")</f>
        <v/>
      </c>
      <c r="F49" s="48">
        <f>IFERROR(IF((IF(COUNT('연간'!J44:M44)&lt;4,"",SUM('연간'!J44:M44)))&lt;=0,"적자",F28/(IF(COUNT('연간'!J44:M44)&lt;4,"",SUM('연간'!J44:M44)))),"")</f>
        <v/>
      </c>
      <c r="G49" s="48">
        <f>IFERROR(IF((IF(COUNT('연간'!K44:N44)&lt;4,"",SUM('연간'!K44:N44)))&lt;=0,"적자",G28/(IF(COUNT('연간'!K44:N44)&lt;4,"",SUM('연간'!K44:N44)))),"")</f>
        <v/>
      </c>
      <c r="H49" s="47">
        <f>IFERROR(IF(('연간'!T44)&lt;=0,"적자",H28/('연간'!T44)),"")</f>
        <v/>
      </c>
      <c r="I49" s="48">
        <f>IFERROR(IF(('연간'!U44)&lt;=0,"적자",I28/('연간'!U44)),"")</f>
        <v/>
      </c>
      <c r="J49" s="48">
        <f>IFERROR(IF(('연간'!V44)&lt;=0,"적자",J28/('연간'!V44)),"")</f>
        <v/>
      </c>
      <c r="K49" s="48">
        <f>IFERROR(IF(('연간'!W44)&lt;=0,"적자",K28/('연간'!W44)),"")</f>
        <v/>
      </c>
      <c r="L49" s="48">
        <f>IFERROR(IF(('연간'!X44)&lt;=0,"적자",L28/('연간'!X44)),"")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6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IFERROR(('연간'!T44)/H31,"")</f>
        <v/>
      </c>
      <c r="I51" s="38">
        <f>IFERROR(('연간'!U44)/I31,"")</f>
        <v/>
      </c>
      <c r="J51" s="38">
        <f>IFERROR(('연간'!V44)/J31,"")</f>
        <v/>
      </c>
      <c r="K51" s="38">
        <f>IFERROR(('연간'!W44)/K31,"")</f>
        <v/>
      </c>
      <c r="L51" s="38">
        <f>IFERROR(('연간'!X44)/L31,"")</f>
        <v/>
      </c>
    </row>
    <row r="52">
      <c r="A52" s="46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IFERROR(('연간'!T43)/H16,"")</f>
        <v/>
      </c>
      <c r="I52" s="38">
        <f>IFERROR(('연간'!U43)/I16,"")</f>
        <v/>
      </c>
      <c r="J52" s="38">
        <f>IFERROR(('연간'!V43)/J16,"")</f>
        <v/>
      </c>
      <c r="K52" s="38">
        <f>IFERROR(('연간'!W43)/K16,"")</f>
        <v/>
      </c>
      <c r="L52" s="38">
        <f>IFERROR(('연간'!X43)/L16,"")</f>
        <v/>
      </c>
    </row>
    <row r="53">
      <c r="A53" s="46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IFERROR(('연간'!T16)*(1-0.3)/(H35+H29),"")</f>
        <v/>
      </c>
      <c r="I53" s="38">
        <f>IFERROR(('연간'!U16)*(1-0.3)/(I35+I29),"")</f>
        <v/>
      </c>
      <c r="J53" s="38">
        <f>IFERROR(('연간'!V16)*(1-0.3)/(J35+J29),"")</f>
        <v/>
      </c>
      <c r="K53" s="38">
        <f>IFERROR(('연간'!W16)*(1-0.3)/(K35+K29),"")</f>
        <v/>
      </c>
      <c r="L53" s="38">
        <f>IFERROR(('연간'!X16)*(1-0.3)/(L35+L29),"")</f>
        <v/>
      </c>
    </row>
    <row r="54">
      <c r="A54" s="46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IFERROR(('연간'!T12)/('연간'!T4),"")</f>
        <v/>
      </c>
      <c r="I54" s="38">
        <f>IFERROR(('연간'!U12)/('연간'!U4),"")</f>
        <v/>
      </c>
      <c r="J54" s="38">
        <f>IFERROR(('연간'!V12)/('연간'!V4),"")</f>
        <v/>
      </c>
      <c r="K54" s="38">
        <f>IFERROR(('연간'!W12)/('연간'!W4),"")</f>
        <v/>
      </c>
      <c r="L54" s="38">
        <f>IFERROR(('연간'!X12)/('연간'!X4),"")</f>
        <v/>
      </c>
    </row>
    <row r="55">
      <c r="A55" s="46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IFERROR(('연간'!T16)/('연간'!T4),"")</f>
        <v/>
      </c>
      <c r="I55" s="38">
        <f>IFERROR(('연간'!U16)/('연간'!U4),"")</f>
        <v/>
      </c>
      <c r="J55" s="38">
        <f>IFERROR(('연간'!V16)/('연간'!V4),"")</f>
        <v/>
      </c>
      <c r="K55" s="38">
        <f>IFERROR(('연간'!W16)/('연간'!W4),"")</f>
        <v/>
      </c>
      <c r="L55" s="38">
        <f>IFERROR(('연간'!X16)/('연간'!X4),"")</f>
        <v/>
      </c>
    </row>
    <row r="56">
      <c r="A56" s="46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IFERROR(('연간'!T43)/('연간'!T4),"")</f>
        <v/>
      </c>
      <c r="I56" s="38">
        <f>IFERROR(('연간'!U43)/('연간'!U4),"")</f>
        <v/>
      </c>
      <c r="J56" s="38">
        <f>IFERROR(('연간'!V43)/('연간'!V4),"")</f>
        <v/>
      </c>
      <c r="K56" s="38">
        <f>IFERROR(('연간'!W43)/('연간'!W4),"")</f>
        <v/>
      </c>
      <c r="L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6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6" t="inlineStr">
        <is>
          <t>매출채권회전일수</t>
        </is>
      </c>
      <c r="B59" s="10" t="inlineStr">
        <is>
          <t>짧을수록↑</t>
        </is>
      </c>
      <c r="C59" s="49">
        <f>IFERROR(C8/(IF(COUNT('연간'!G4:J4)&lt;4,"",SUM('연간'!G4:J4)))*365,"")</f>
        <v/>
      </c>
      <c r="D59" s="50">
        <f>IFERROR(D8/(IF(COUNT('연간'!H4:K4)&lt;4,"",SUM('연간'!H4:K4)))*365,"")</f>
        <v/>
      </c>
      <c r="E59" s="50">
        <f>IFERROR(E8/(IF(COUNT('연간'!I4:L4)&lt;4,"",SUM('연간'!I4:L4)))*365,"")</f>
        <v/>
      </c>
      <c r="F59" s="50">
        <f>IFERROR(F8/(IF(COUNT('연간'!J4:M4)&lt;4,"",SUM('연간'!J4:M4)))*365,"")</f>
        <v/>
      </c>
      <c r="G59" s="50">
        <f>IFERROR(G8/(IF(COUNT('연간'!K4:N4)&lt;4,"",SUM('연간'!K4:N4)))*365,"")</f>
        <v/>
      </c>
      <c r="H59" s="49">
        <f>IFERROR(H8/('연간'!T4)*365,"")</f>
        <v/>
      </c>
      <c r="I59" s="50">
        <f>IFERROR(I8/('연간'!U4)*365,"")</f>
        <v/>
      </c>
      <c r="J59" s="50">
        <f>IFERROR(J8/('연간'!V4)*365,"")</f>
        <v/>
      </c>
      <c r="K59" s="50">
        <f>IFERROR(K8/('연간'!W4)*365,"")</f>
        <v/>
      </c>
      <c r="L59" s="50">
        <f>IFERROR(L8/('연간'!X4)*365,"")</f>
        <v/>
      </c>
    </row>
    <row r="60">
      <c r="A60" s="46" t="inlineStr">
        <is>
          <t>재고자산회전일수</t>
        </is>
      </c>
      <c r="B60" s="10" t="inlineStr">
        <is>
          <t>짧을수록↑</t>
        </is>
      </c>
      <c r="C60" s="49">
        <f>IFERROR(C9/(IF(COUNT('연간'!G11:J11)&lt;4,"",SUM('연간'!G11:J11)))*365,"")</f>
        <v/>
      </c>
      <c r="D60" s="50">
        <f>IFERROR(D9/(IF(COUNT('연간'!H11:K11)&lt;4,"",SUM('연간'!H11:K11)))*365,"")</f>
        <v/>
      </c>
      <c r="E60" s="50">
        <f>IFERROR(E9/(IF(COUNT('연간'!I11:L11)&lt;4,"",SUM('연간'!I11:L11)))*365,"")</f>
        <v/>
      </c>
      <c r="F60" s="50">
        <f>IFERROR(F9/(IF(COUNT('연간'!J11:M11)&lt;4,"",SUM('연간'!J11:M11)))*365,"")</f>
        <v/>
      </c>
      <c r="G60" s="50">
        <f>IFERROR(G9/(IF(COUNT('연간'!K11:N11)&lt;4,"",SUM('연간'!K11:N11)))*365,"")</f>
        <v/>
      </c>
      <c r="H60" s="49">
        <f>IFERROR(H9/('연간'!T11)*365,"")</f>
        <v/>
      </c>
      <c r="I60" s="50">
        <f>IFERROR(I9/('연간'!U11)*365,"")</f>
        <v/>
      </c>
      <c r="J60" s="50">
        <f>IFERROR(J9/('연간'!V11)*365,"")</f>
        <v/>
      </c>
      <c r="K60" s="50">
        <f>IFERROR(K9/('연간'!W11)*365,"")</f>
        <v/>
      </c>
      <c r="L60" s="50">
        <f>IFERROR(L9/('연간'!X11)*365,"")</f>
        <v/>
      </c>
    </row>
    <row r="61">
      <c r="A61" s="46" t="inlineStr">
        <is>
          <t>매입채무회전일수</t>
        </is>
      </c>
      <c r="B61" s="10" t="inlineStr">
        <is>
          <t>길수록 유리</t>
        </is>
      </c>
      <c r="C61" s="49">
        <f>IFERROR(C19/(IF(COUNT('연간'!G11:J11)&lt;4,"",SUM('연간'!G11:J11)))*365,"")</f>
        <v/>
      </c>
      <c r="D61" s="50">
        <f>IFERROR(D19/(IF(COUNT('연간'!H11:K11)&lt;4,"",SUM('연간'!H11:K11)))*365,"")</f>
        <v/>
      </c>
      <c r="E61" s="50">
        <f>IFERROR(E19/(IF(COUNT('연간'!I11:L11)&lt;4,"",SUM('연간'!I11:L11)))*365,"")</f>
        <v/>
      </c>
      <c r="F61" s="50">
        <f>IFERROR(F19/(IF(COUNT('연간'!J11:M11)&lt;4,"",SUM('연간'!J11:M11)))*365,"")</f>
        <v/>
      </c>
      <c r="G61" s="50">
        <f>IFERROR(G19/(IF(COUNT('연간'!K11:N11)&lt;4,"",SUM('연간'!K11:N11)))*365,"")</f>
        <v/>
      </c>
      <c r="H61" s="49">
        <f>IFERROR(H19/('연간'!T11)*365,"")</f>
        <v/>
      </c>
      <c r="I61" s="50">
        <f>IFERROR(I19/('연간'!U11)*365,"")</f>
        <v/>
      </c>
      <c r="J61" s="50">
        <f>IFERROR(J19/('연간'!V11)*365,"")</f>
        <v/>
      </c>
      <c r="K61" s="50">
        <f>IFERROR(K19/('연간'!W11)*365,"")</f>
        <v/>
      </c>
      <c r="L61" s="50">
        <f>IFERROR(L19/('연간'!X11)*365,"")</f>
        <v/>
      </c>
    </row>
    <row r="62">
      <c r="A62" s="46" t="inlineStr">
        <is>
          <t>현금전환주기 (CCC)</t>
        </is>
      </c>
      <c r="B62" s="10" t="inlineStr">
        <is>
          <t>짧을수록↑</t>
        </is>
      </c>
      <c r="C62" s="49">
        <f>IF(OR(C59="",C60="",C61=""),"",IFERROR(C59+C60-C61,""))</f>
        <v/>
      </c>
      <c r="D62" s="50">
        <f>IF(OR(D59="",D60="",D61=""),"",IFERROR(D59+D60-D61,""))</f>
        <v/>
      </c>
      <c r="E62" s="50">
        <f>IF(OR(E59="",E60="",E61=""),"",IFERROR(E59+E60-E61,""))</f>
        <v/>
      </c>
      <c r="F62" s="50">
        <f>IF(OR(F59="",F60="",F61=""),"",IFERROR(F59+F60-F61,""))</f>
        <v/>
      </c>
      <c r="G62" s="50">
        <f>IF(OR(G59="",G60="",G61=""),"",IFERROR(G59+G60-G61,""))</f>
        <v/>
      </c>
      <c r="H62" s="49">
        <f>IF(OR(H59="",H60="",H61=""),"",IFERROR(H59+H60-H61,""))</f>
        <v/>
      </c>
      <c r="I62" s="50">
        <f>IF(OR(I59="",I60="",I61=""),"",IFERROR(I59+I60-I61,""))</f>
        <v/>
      </c>
      <c r="J62" s="50">
        <f>IF(OR(J59="",J60="",J61=""),"",IFERROR(J59+J60-J61,""))</f>
        <v/>
      </c>
      <c r="K62" s="50">
        <f>IF(OR(K59="",K60="",K61=""),"",IFERROR(K59+K60-K61,""))</f>
        <v/>
      </c>
      <c r="L62" s="50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6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IF(H37="","",IFERROR(H37/('연간'!T43),""))</f>
        <v/>
      </c>
      <c r="I64" s="33">
        <f>IF(I37="","",IFERROR(I37/('연간'!U43),""))</f>
        <v/>
      </c>
      <c r="J64" s="33">
        <f>IF(J37="","",IFERROR(J37/('연간'!V43),""))</f>
        <v/>
      </c>
      <c r="K64" s="33">
        <f>IF(K37="","",IFERROR(K37/('연간'!W43),""))</f>
        <v/>
      </c>
      <c r="L64" s="33">
        <f>IF(L37="","",IFERROR(L37/('연간'!X43),""))</f>
        <v/>
      </c>
    </row>
    <row r="65">
      <c r="A65" s="46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6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6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IF(H40="","",IFERROR(H40/('연간'!T44),""))</f>
        <v/>
      </c>
      <c r="I67" s="38">
        <f>IF(I40="","",IFERROR(I40/('연간'!U44),""))</f>
        <v/>
      </c>
      <c r="J67" s="38">
        <f>IF(J40="","",IFERROR(J40/('연간'!V44),""))</f>
        <v/>
      </c>
      <c r="K67" s="38">
        <f>IF(K40="","",IFERROR(K40/('연간'!W44),""))</f>
        <v/>
      </c>
      <c r="L67" s="38">
        <f>IF(L40="","",IFERROR(L40/('연간'!X44),""))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2025.4Q</t>
        </is>
      </c>
      <c r="D70" s="5" t="inlineStr">
        <is>
          <t>2026.1Q</t>
        </is>
      </c>
      <c r="E70" s="5" t="inlineStr">
        <is>
          <t>2026.2Q</t>
        </is>
      </c>
      <c r="F70" s="5" t="inlineStr">
        <is>
          <t>2026.3Q</t>
        </is>
      </c>
      <c r="G70" s="5" t="inlineStr">
        <is>
          <t>2026.4Q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1237.812</v>
      </c>
      <c r="D71" s="22" t="n">
        <v>1880.709</v>
      </c>
      <c r="E71" s="22" t="n">
        <v>2204.655</v>
      </c>
      <c r="F71" s="22" t="n">
        <v>2246.141</v>
      </c>
      <c r="G71" s="22" t="n">
        <v>1529.975</v>
      </c>
      <c r="H71" s="22" t="n">
        <v>1239.324</v>
      </c>
      <c r="I71" s="22" t="n">
        <v>1308.369</v>
      </c>
      <c r="J71" s="22" t="n">
        <v>2122.462</v>
      </c>
      <c r="K71" s="22" t="n">
        <v>1237.812</v>
      </c>
      <c r="L71" s="22" t="n">
        <v>1529.975</v>
      </c>
    </row>
    <row r="72">
      <c r="A72" s="20" t="inlineStr">
        <is>
          <t>받을어음·매출채권</t>
        </is>
      </c>
      <c r="H72" s="22" t="n">
        <v>0</v>
      </c>
    </row>
    <row r="73">
      <c r="A73" s="20" t="inlineStr">
        <is>
          <t>받을어음</t>
        </is>
      </c>
      <c r="H73" s="22" t="n">
        <v>0</v>
      </c>
      <c r="I73" s="22" t="n">
        <v>4.18</v>
      </c>
      <c r="J73" s="22" t="n">
        <v>0</v>
      </c>
    </row>
    <row r="74">
      <c r="A74" s="20" t="inlineStr">
        <is>
          <t>전자기록채권</t>
        </is>
      </c>
      <c r="C74" s="22" t="n">
        <v>11.1</v>
      </c>
      <c r="D74" s="22" t="n">
        <v>33.72</v>
      </c>
      <c r="E74" s="22" t="n">
        <v>26.836</v>
      </c>
      <c r="F74" s="22" t="n">
        <v>6.432</v>
      </c>
      <c r="G74" s="22" t="n">
        <v>0</v>
      </c>
      <c r="H74" s="22" t="n">
        <v>71.40000000000001</v>
      </c>
      <c r="I74" s="22" t="n">
        <v>12.7</v>
      </c>
      <c r="J74" s="22" t="n">
        <v>33.821</v>
      </c>
      <c r="K74" s="22" t="n">
        <v>11.1</v>
      </c>
      <c r="L74" s="22" t="n">
        <v>0</v>
      </c>
    </row>
    <row r="75">
      <c r="A75" s="20" t="inlineStr">
        <is>
          <t>매출채권</t>
        </is>
      </c>
      <c r="C75" s="22" t="n">
        <v>1446.019</v>
      </c>
      <c r="D75" s="22" t="n">
        <v>908.256</v>
      </c>
      <c r="E75" s="22" t="n">
        <v>966.437</v>
      </c>
      <c r="F75" s="22" t="n">
        <v>1051.314</v>
      </c>
      <c r="G75" s="22" t="n">
        <v>1472.086</v>
      </c>
      <c r="H75" s="22" t="n">
        <v>1161.03</v>
      </c>
      <c r="I75" s="22" t="n">
        <v>1347.144</v>
      </c>
      <c r="J75" s="22" t="n">
        <v>1160.566</v>
      </c>
      <c r="K75" s="22" t="n">
        <v>1446.019</v>
      </c>
      <c r="L75" s="22" t="n">
        <v>1472.086</v>
      </c>
    </row>
    <row r="76">
      <c r="A76" s="20" t="inlineStr">
        <is>
          <t>계약자산</t>
        </is>
      </c>
      <c r="C76" s="22" t="n">
        <v>0</v>
      </c>
      <c r="F76" s="22" t="n">
        <v>23.343</v>
      </c>
      <c r="G76" s="22" t="n">
        <v>34.362</v>
      </c>
      <c r="H76" s="22" t="n">
        <v>81.14100000000001</v>
      </c>
      <c r="I76" s="22" t="n">
        <v>81.917</v>
      </c>
      <c r="J76" s="22" t="n">
        <v>36.351</v>
      </c>
      <c r="K76" s="22" t="n">
        <v>0</v>
      </c>
      <c r="L76" s="22" t="n">
        <v>34.362</v>
      </c>
    </row>
    <row r="77">
      <c r="A77" s="20" t="inlineStr">
        <is>
          <t>유가증권</t>
        </is>
      </c>
      <c r="C77" s="22" t="n">
        <v>499.568</v>
      </c>
      <c r="D77" s="22" t="n">
        <v>599.465</v>
      </c>
      <c r="E77" s="22" t="n">
        <v>299.72</v>
      </c>
      <c r="F77" s="22" t="n">
        <v>399.128</v>
      </c>
      <c r="G77" s="22" t="n">
        <v>498.722</v>
      </c>
      <c r="H77" s="22" t="n">
        <v>600</v>
      </c>
      <c r="I77" s="22" t="n">
        <v>173.061</v>
      </c>
      <c r="J77" s="22" t="n">
        <v>300.135</v>
      </c>
      <c r="K77" s="22" t="n">
        <v>499.568</v>
      </c>
      <c r="L77" s="22" t="n">
        <v>498.722</v>
      </c>
    </row>
    <row r="78">
      <c r="A78" s="20" t="inlineStr">
        <is>
          <t>제품</t>
        </is>
      </c>
      <c r="C78" s="22" t="n">
        <v>1547.506</v>
      </c>
      <c r="D78" s="22" t="n">
        <v>2135.027</v>
      </c>
      <c r="E78" s="22" t="n">
        <v>2293.597</v>
      </c>
      <c r="F78" s="22" t="n">
        <v>2205.749</v>
      </c>
      <c r="G78" s="22" t="n">
        <v>1457.555</v>
      </c>
      <c r="H78" s="22" t="n">
        <v>1190.007</v>
      </c>
      <c r="I78" s="22" t="n">
        <v>1288.151</v>
      </c>
      <c r="J78" s="22" t="n">
        <v>1818.139</v>
      </c>
      <c r="K78" s="22" t="n">
        <v>1547.506</v>
      </c>
      <c r="L78" s="22" t="n">
        <v>1457.555</v>
      </c>
    </row>
    <row r="79">
      <c r="A79" s="20" t="inlineStr">
        <is>
          <t>재공품</t>
        </is>
      </c>
      <c r="C79" s="22" t="n">
        <v>249.678</v>
      </c>
      <c r="D79" s="22" t="n">
        <v>371.227</v>
      </c>
      <c r="E79" s="22" t="n">
        <v>366.351</v>
      </c>
      <c r="F79" s="22" t="n">
        <v>554.812</v>
      </c>
      <c r="G79" s="22" t="n">
        <v>477.511</v>
      </c>
      <c r="H79" s="22" t="n">
        <v>163.335</v>
      </c>
      <c r="I79" s="22" t="n">
        <v>279.174</v>
      </c>
      <c r="J79" s="22" t="n">
        <v>331.347</v>
      </c>
      <c r="K79" s="22" t="n">
        <v>249.678</v>
      </c>
      <c r="L79" s="22" t="n">
        <v>477.511</v>
      </c>
    </row>
    <row r="80">
      <c r="A80" s="20" t="inlineStr">
        <is>
          <t>원재료·저장품</t>
        </is>
      </c>
      <c r="C80" s="22" t="n">
        <v>792.189</v>
      </c>
      <c r="D80" s="22" t="n">
        <v>932.0890000000001</v>
      </c>
      <c r="E80" s="22" t="n">
        <v>895.727</v>
      </c>
      <c r="F80" s="22" t="n">
        <v>865.013</v>
      </c>
      <c r="G80" s="22" t="n">
        <v>745.829</v>
      </c>
      <c r="H80" s="22" t="n">
        <v>515.515</v>
      </c>
      <c r="I80" s="22" t="n">
        <v>560.5650000000001</v>
      </c>
      <c r="J80" s="22" t="n">
        <v>815.524</v>
      </c>
      <c r="K80" s="22" t="n">
        <v>792.189</v>
      </c>
      <c r="L80" s="22" t="n">
        <v>745.829</v>
      </c>
    </row>
    <row r="81">
      <c r="A81" s="20" t="inlineStr">
        <is>
          <t>선급비용</t>
        </is>
      </c>
      <c r="C81" s="22" t="n">
        <v>62.101</v>
      </c>
      <c r="G81" s="22" t="n">
        <v>54.121</v>
      </c>
      <c r="H81" s="22" t="n">
        <v>71.098</v>
      </c>
      <c r="I81" s="22" t="n">
        <v>50.621</v>
      </c>
      <c r="J81" s="22" t="n">
        <v>56.042</v>
      </c>
      <c r="K81" s="22" t="n">
        <v>62.101</v>
      </c>
      <c r="L81" s="22" t="n">
        <v>54.121</v>
      </c>
    </row>
    <row r="82">
      <c r="A82" s="20" t="inlineStr">
        <is>
          <t>관계회사 단기대여금</t>
        </is>
      </c>
      <c r="C82" s="22" t="n">
        <v>304.251</v>
      </c>
      <c r="G82" s="22" t="n">
        <v>280.104</v>
      </c>
      <c r="H82" s="22" t="n">
        <v>306.05</v>
      </c>
      <c r="I82" s="22" t="n">
        <v>322.77</v>
      </c>
      <c r="J82" s="22" t="n">
        <v>354.345</v>
      </c>
      <c r="K82" s="22" t="n">
        <v>304.251</v>
      </c>
      <c r="L82" s="22" t="n">
        <v>280.104</v>
      </c>
    </row>
    <row r="83">
      <c r="A83" s="20" t="inlineStr">
        <is>
          <t>미수금</t>
        </is>
      </c>
      <c r="C83" s="22" t="n">
        <v>41.832</v>
      </c>
      <c r="G83" s="22" t="n">
        <v>36.331</v>
      </c>
      <c r="H83" s="22" t="n">
        <v>91.874</v>
      </c>
      <c r="I83" s="22" t="n">
        <v>104.256</v>
      </c>
      <c r="J83" s="22" t="n">
        <v>56.47</v>
      </c>
      <c r="K83" s="22" t="n">
        <v>41.832</v>
      </c>
      <c r="L83" s="22" t="n">
        <v>36.331</v>
      </c>
    </row>
    <row r="84">
      <c r="A84" s="20" t="inlineStr">
        <is>
          <t>기타</t>
        </is>
      </c>
      <c r="C84" s="22" t="n">
        <v>41.174</v>
      </c>
      <c r="D84" s="22" t="n">
        <v>205.987</v>
      </c>
      <c r="E84" s="22" t="n">
        <v>193.966</v>
      </c>
      <c r="F84" s="22" t="n">
        <v>236.187</v>
      </c>
      <c r="G84" s="22" t="n">
        <v>51.92</v>
      </c>
      <c r="H84" s="22" t="n">
        <v>49.394</v>
      </c>
      <c r="I84" s="22" t="n">
        <v>76.17</v>
      </c>
      <c r="J84" s="22" t="n">
        <v>301.968</v>
      </c>
      <c r="K84" s="22" t="n">
        <v>41.174</v>
      </c>
      <c r="L84" s="22" t="n">
        <v>51.92</v>
      </c>
    </row>
    <row r="85">
      <c r="A85" s="20" t="inlineStr">
        <is>
          <t>대손충당금</t>
        </is>
      </c>
      <c r="C85" s="22" t="n">
        <v>-1.877</v>
      </c>
      <c r="D85" s="22" t="n">
        <v>-4.393</v>
      </c>
      <c r="E85" s="22" t="n">
        <v>-5.428</v>
      </c>
      <c r="F85" s="22" t="n">
        <v>-5.483</v>
      </c>
      <c r="G85" s="22" t="n">
        <v>-1.79</v>
      </c>
      <c r="H85" s="22" t="n">
        <v>-2.998</v>
      </c>
      <c r="I85" s="22" t="n">
        <v>-1.808</v>
      </c>
      <c r="J85" s="22" t="n">
        <v>-7.845</v>
      </c>
      <c r="K85" s="22" t="n">
        <v>-1.877</v>
      </c>
      <c r="L85" s="22" t="n">
        <v>-1.79</v>
      </c>
    </row>
    <row r="86">
      <c r="A86" s="9" t="inlineStr">
        <is>
          <t>유동자산 합계</t>
        </is>
      </c>
      <c r="C86" s="12" t="n">
        <v>6231.356</v>
      </c>
      <c r="D86" s="12" t="n">
        <v>7062.09</v>
      </c>
      <c r="E86" s="12" t="n">
        <v>7241.864</v>
      </c>
      <c r="F86" s="12" t="n">
        <v>7582.641</v>
      </c>
      <c r="G86" s="12" t="n">
        <v>6636.731</v>
      </c>
      <c r="H86" s="12" t="n">
        <v>5537.172</v>
      </c>
      <c r="I86" s="12" t="n">
        <v>5603.094</v>
      </c>
      <c r="J86" s="12" t="n">
        <v>6912.473</v>
      </c>
      <c r="K86" s="12" t="n">
        <v>6231.356</v>
      </c>
      <c r="L86" s="12" t="n">
        <v>6636.731</v>
      </c>
    </row>
    <row r="87">
      <c r="A87" s="20" t="inlineStr">
        <is>
          <t>건물·구축물</t>
        </is>
      </c>
      <c r="C87" s="22" t="n">
        <v>4975.475</v>
      </c>
      <c r="G87" s="22" t="n">
        <v>5048.354</v>
      </c>
      <c r="H87" s="22" t="n">
        <v>4651.641</v>
      </c>
      <c r="I87" s="22" t="n">
        <v>4859.138</v>
      </c>
      <c r="J87" s="22" t="n">
        <v>4955.165</v>
      </c>
      <c r="K87" s="22" t="n">
        <v>4975.475</v>
      </c>
      <c r="L87" s="22" t="n">
        <v>5048.354</v>
      </c>
    </row>
    <row r="88">
      <c r="A88" s="20" t="inlineStr">
        <is>
          <t>감가상각누계액</t>
        </is>
      </c>
      <c r="C88" s="22" t="n">
        <v>-3360.441</v>
      </c>
      <c r="G88" s="22" t="n">
        <v>-3505.493</v>
      </c>
      <c r="H88" s="22" t="n">
        <v>-2972.194</v>
      </c>
      <c r="I88" s="22" t="n">
        <v>-3099.812</v>
      </c>
      <c r="J88" s="22" t="n">
        <v>-3234.543</v>
      </c>
      <c r="K88" s="22" t="n">
        <v>-3360.441</v>
      </c>
      <c r="L88" s="22" t="n">
        <v>-3505.493</v>
      </c>
    </row>
    <row r="89">
      <c r="A89" s="20" t="inlineStr">
        <is>
          <t>건물·구축물(순액)</t>
        </is>
      </c>
      <c r="C89" s="22" t="n">
        <v>1615.033</v>
      </c>
      <c r="D89" s="22" t="n">
        <v>1594.417</v>
      </c>
      <c r="E89" s="22" t="n">
        <v>1598.155</v>
      </c>
      <c r="F89" s="22" t="n">
        <v>1561.898</v>
      </c>
      <c r="G89" s="22" t="n">
        <v>1542.86</v>
      </c>
      <c r="H89" s="22" t="n">
        <v>1679.446</v>
      </c>
      <c r="I89" s="22" t="n">
        <v>1759.326</v>
      </c>
      <c r="J89" s="22" t="n">
        <v>1720.621</v>
      </c>
      <c r="K89" s="22" t="n">
        <v>1615.033</v>
      </c>
      <c r="L89" s="22" t="n">
        <v>1542.86</v>
      </c>
    </row>
    <row r="90">
      <c r="A90" s="20" t="inlineStr">
        <is>
          <t>기계장치·운반구</t>
        </is>
      </c>
      <c r="C90" s="22" t="n">
        <v>7232.602</v>
      </c>
      <c r="G90" s="22" t="n">
        <v>7516.659</v>
      </c>
      <c r="H90" s="22" t="n">
        <v>6479.596</v>
      </c>
      <c r="I90" s="22" t="n">
        <v>6729.035</v>
      </c>
      <c r="J90" s="22" t="n">
        <v>7033.509</v>
      </c>
      <c r="K90" s="22" t="n">
        <v>7232.602</v>
      </c>
      <c r="L90" s="22" t="n">
        <v>7516.659</v>
      </c>
    </row>
    <row r="91">
      <c r="A91" s="20" t="inlineStr">
        <is>
          <t>감가상각누계액</t>
        </is>
      </c>
      <c r="C91" s="22" t="n">
        <v>-6054.54</v>
      </c>
      <c r="G91" s="22" t="n">
        <v>-6351.548</v>
      </c>
      <c r="H91" s="22" t="n">
        <v>-5409.118</v>
      </c>
      <c r="I91" s="22" t="n">
        <v>-5583.537</v>
      </c>
      <c r="J91" s="22" t="n">
        <v>-5832.271</v>
      </c>
      <c r="K91" s="22" t="n">
        <v>-6054.54</v>
      </c>
      <c r="L91" s="22" t="n">
        <v>-6351.548</v>
      </c>
    </row>
    <row r="92">
      <c r="A92" s="20" t="inlineStr">
        <is>
          <t>기계장치·운반구(순액)</t>
        </is>
      </c>
      <c r="C92" s="22" t="n">
        <v>1178.062</v>
      </c>
      <c r="D92" s="22" t="n">
        <v>1132.546</v>
      </c>
      <c r="E92" s="22" t="n">
        <v>1193.848</v>
      </c>
      <c r="F92" s="22" t="n">
        <v>1208.857</v>
      </c>
      <c r="G92" s="22" t="n">
        <v>1165.11</v>
      </c>
      <c r="H92" s="22" t="n">
        <v>1070.477</v>
      </c>
      <c r="I92" s="22" t="n">
        <v>1145.498</v>
      </c>
      <c r="J92" s="22" t="n">
        <v>1201.237</v>
      </c>
      <c r="K92" s="22" t="n">
        <v>1178.062</v>
      </c>
      <c r="L92" s="22" t="n">
        <v>1165.11</v>
      </c>
    </row>
    <row r="93">
      <c r="A93" s="20" t="inlineStr">
        <is>
          <t>건물</t>
        </is>
      </c>
      <c r="C93" s="22" t="n">
        <v>815.2670000000001</v>
      </c>
      <c r="G93" s="22" t="n">
        <v>756.299</v>
      </c>
      <c r="H93" s="22" t="n">
        <v>894.13</v>
      </c>
      <c r="I93" s="22" t="n">
        <v>890.706</v>
      </c>
      <c r="J93" s="22" t="n">
        <v>878.402</v>
      </c>
      <c r="K93" s="22" t="n">
        <v>815.2670000000001</v>
      </c>
      <c r="L93" s="22" t="n">
        <v>756.299</v>
      </c>
    </row>
    <row r="94">
      <c r="A94" s="20" t="inlineStr">
        <is>
          <t>구축물</t>
        </is>
      </c>
      <c r="C94" s="22" t="n">
        <v>163.396</v>
      </c>
      <c r="G94" s="22" t="n">
        <v>162.992</v>
      </c>
      <c r="H94" s="22" t="n">
        <v>182.133</v>
      </c>
      <c r="I94" s="22" t="n">
        <v>171.214</v>
      </c>
      <c r="J94" s="22" t="n">
        <v>166.369</v>
      </c>
      <c r="K94" s="22" t="n">
        <v>163.396</v>
      </c>
      <c r="L94" s="22" t="n">
        <v>162.992</v>
      </c>
    </row>
    <row r="95">
      <c r="A95" s="20" t="inlineStr">
        <is>
          <t>기계장치</t>
        </is>
      </c>
      <c r="C95" s="22" t="n">
        <v>674.936</v>
      </c>
      <c r="G95" s="22" t="n">
        <v>646.977</v>
      </c>
      <c r="H95" s="22" t="n">
        <v>701.75</v>
      </c>
      <c r="I95" s="22" t="n">
        <v>697.689</v>
      </c>
      <c r="J95" s="22" t="n">
        <v>747.953</v>
      </c>
      <c r="K95" s="22" t="n">
        <v>674.936</v>
      </c>
      <c r="L95" s="22" t="n">
        <v>646.977</v>
      </c>
    </row>
    <row r="96">
      <c r="A96" s="20" t="inlineStr">
        <is>
          <t>차량운반구</t>
        </is>
      </c>
      <c r="C96" s="22" t="n">
        <v>88.611</v>
      </c>
      <c r="G96" s="22" t="n">
        <v>75.492</v>
      </c>
      <c r="H96" s="22" t="n">
        <v>94.113</v>
      </c>
      <c r="I96" s="22" t="n">
        <v>161.971</v>
      </c>
      <c r="J96" s="22" t="n">
        <v>111.707</v>
      </c>
      <c r="K96" s="22" t="n">
        <v>88.611</v>
      </c>
      <c r="L96" s="22" t="n">
        <v>75.492</v>
      </c>
    </row>
    <row r="97">
      <c r="A97" s="20" t="inlineStr">
        <is>
          <t>공구·기구·비품</t>
        </is>
      </c>
      <c r="C97" s="22" t="n">
        <v>96.52500000000001</v>
      </c>
      <c r="G97" s="22" t="n">
        <v>113.988</v>
      </c>
      <c r="H97" s="22" t="n">
        <v>57.065</v>
      </c>
      <c r="I97" s="22" t="n">
        <v>114.06</v>
      </c>
      <c r="J97" s="22" t="n">
        <v>109.18</v>
      </c>
      <c r="K97" s="22" t="n">
        <v>96.52500000000001</v>
      </c>
      <c r="L97" s="22" t="n">
        <v>113.988</v>
      </c>
    </row>
    <row r="98">
      <c r="A98" s="20" t="inlineStr">
        <is>
          <t>토지</t>
        </is>
      </c>
      <c r="C98" s="22" t="n">
        <v>1758.572</v>
      </c>
      <c r="D98" s="22" t="n">
        <v>2077.092</v>
      </c>
      <c r="E98" s="22" t="n">
        <v>2091.429</v>
      </c>
      <c r="F98" s="22" t="n">
        <v>2086.923</v>
      </c>
      <c r="G98" s="22" t="n">
        <v>1758.572</v>
      </c>
      <c r="H98" s="22" t="n">
        <v>1758.572</v>
      </c>
      <c r="I98" s="22" t="n">
        <v>1758.572</v>
      </c>
      <c r="J98" s="22" t="n">
        <v>2066.442</v>
      </c>
      <c r="K98" s="22" t="n">
        <v>1758.572</v>
      </c>
      <c r="L98" s="22" t="n">
        <v>1758.572</v>
      </c>
    </row>
    <row r="99">
      <c r="A99" s="20" t="inlineStr">
        <is>
          <t>리스자산</t>
        </is>
      </c>
      <c r="C99" s="22" t="n">
        <v>44.243</v>
      </c>
      <c r="G99" s="22" t="n">
        <v>0</v>
      </c>
      <c r="H99" s="22" t="n">
        <v>44.243</v>
      </c>
      <c r="I99" s="22" t="n">
        <v>44.243</v>
      </c>
      <c r="J99" s="22" t="n">
        <v>44.243</v>
      </c>
      <c r="K99" s="22" t="n">
        <v>44.243</v>
      </c>
      <c r="L99" s="22" t="n">
        <v>0</v>
      </c>
    </row>
    <row r="100">
      <c r="A100" s="20" t="inlineStr">
        <is>
          <t>감가상각누계액</t>
        </is>
      </c>
      <c r="C100" s="22" t="n">
        <v>-42.971</v>
      </c>
      <c r="G100" s="22" t="n">
        <v>0</v>
      </c>
      <c r="H100" s="22" t="n">
        <v>-29.388</v>
      </c>
      <c r="I100" s="22" t="n">
        <v>-35.105</v>
      </c>
      <c r="J100" s="22" t="n">
        <v>-39.154</v>
      </c>
      <c r="K100" s="22" t="n">
        <v>-42.971</v>
      </c>
      <c r="L100" s="22" t="n">
        <v>0</v>
      </c>
    </row>
    <row r="101">
      <c r="A101" s="20" t="inlineStr">
        <is>
          <t>리스자산</t>
        </is>
      </c>
      <c r="C101" s="22" t="n">
        <v>1.272</v>
      </c>
      <c r="D101" s="22" t="n">
        <v>0.318</v>
      </c>
      <c r="E101" s="22" t="n">
        <v>0</v>
      </c>
      <c r="F101" s="22" t="n">
        <v>0</v>
      </c>
      <c r="G101" s="22" t="n">
        <v>0</v>
      </c>
      <c r="H101" s="22" t="n">
        <v>12.724</v>
      </c>
      <c r="I101" s="22" t="n">
        <v>8.906000000000001</v>
      </c>
      <c r="J101" s="22" t="n">
        <v>5.089</v>
      </c>
      <c r="K101" s="22" t="n">
        <v>1.272</v>
      </c>
      <c r="L101" s="22" t="n">
        <v>0</v>
      </c>
    </row>
    <row r="102">
      <c r="A102" s="20" t="inlineStr">
        <is>
          <t>건설중인자산</t>
        </is>
      </c>
      <c r="C102" s="22" t="n">
        <v>100.775</v>
      </c>
      <c r="D102" s="22" t="n">
        <v>180.579</v>
      </c>
      <c r="E102" s="22" t="n">
        <v>29.659</v>
      </c>
      <c r="F102" s="22" t="n">
        <v>35.314</v>
      </c>
      <c r="G102" s="22" t="n">
        <v>124.036</v>
      </c>
      <c r="H102" s="22" t="n">
        <v>22.875</v>
      </c>
      <c r="I102" s="22" t="n">
        <v>32.918</v>
      </c>
      <c r="J102" s="22" t="n">
        <v>128.056</v>
      </c>
      <c r="K102" s="22" t="n">
        <v>100.775</v>
      </c>
      <c r="L102" s="22" t="n">
        <v>124.036</v>
      </c>
    </row>
    <row r="103">
      <c r="A103" s="20" t="inlineStr">
        <is>
          <t>기타</t>
        </is>
      </c>
      <c r="C103" s="22" t="n">
        <v>0</v>
      </c>
      <c r="G103" s="22" t="n">
        <v>0</v>
      </c>
      <c r="H103" s="22" t="n">
        <v>0</v>
      </c>
      <c r="I103" s="22" t="n">
        <v>0</v>
      </c>
      <c r="J103" s="22" t="n">
        <v>2198.466</v>
      </c>
      <c r="K103" s="22" t="n">
        <v>0</v>
      </c>
      <c r="L103" s="22" t="n">
        <v>0</v>
      </c>
    </row>
    <row r="104">
      <c r="A104" s="20" t="inlineStr">
        <is>
          <t>감가상각누계액</t>
        </is>
      </c>
      <c r="C104" s="22" t="n">
        <v>-2020.826</v>
      </c>
      <c r="G104" s="22" t="n">
        <v>-2048.864</v>
      </c>
      <c r="H104" s="22" t="n">
        <v>-1960.328</v>
      </c>
      <c r="I104" s="22" t="n">
        <v>-1977.23</v>
      </c>
      <c r="J104" s="22" t="n">
        <v>-2036.657</v>
      </c>
      <c r="K104" s="22" t="n">
        <v>-2020.826</v>
      </c>
      <c r="L104" s="22" t="n">
        <v>-2048.864</v>
      </c>
    </row>
    <row r="105">
      <c r="A105" s="20" t="inlineStr">
        <is>
          <t>기타(순액)</t>
        </is>
      </c>
      <c r="C105" s="22" t="n">
        <v>146.669</v>
      </c>
      <c r="D105" s="22" t="n">
        <v>155.176</v>
      </c>
      <c r="E105" s="22" t="n">
        <v>154.545</v>
      </c>
      <c r="F105" s="22" t="n">
        <v>150.999</v>
      </c>
      <c r="G105" s="22" t="n">
        <v>164.838</v>
      </c>
      <c r="H105" s="22" t="n">
        <v>98.97799999999999</v>
      </c>
      <c r="I105" s="22" t="n">
        <v>169.912</v>
      </c>
      <c r="J105" s="22" t="n">
        <v>161.808</v>
      </c>
      <c r="K105" s="22" t="n">
        <v>146.669</v>
      </c>
      <c r="L105" s="22" t="n">
        <v>164.838</v>
      </c>
    </row>
    <row r="106">
      <c r="A106" s="20" t="inlineStr">
        <is>
          <t>유형자산 합계</t>
        </is>
      </c>
      <c r="C106" s="22" t="n">
        <v>3699.357</v>
      </c>
      <c r="D106" s="22" t="n">
        <v>5140.13</v>
      </c>
      <c r="E106" s="22" t="n">
        <v>5067.637</v>
      </c>
      <c r="F106" s="22" t="n">
        <v>5043.993</v>
      </c>
      <c r="G106" s="22" t="n">
        <v>3638.359</v>
      </c>
      <c r="H106" s="22" t="n">
        <v>3723.364</v>
      </c>
      <c r="I106" s="22" t="n">
        <v>3836.041</v>
      </c>
      <c r="J106" s="22" t="n">
        <v>5283.256</v>
      </c>
      <c r="K106" s="22" t="n">
        <v>3699.357</v>
      </c>
      <c r="L106" s="22" t="n">
        <v>3638.359</v>
      </c>
    </row>
    <row r="107">
      <c r="A107" s="20" t="inlineStr">
        <is>
          <t>소프트웨어</t>
        </is>
      </c>
      <c r="C107" s="22" t="n">
        <v>72.31699999999999</v>
      </c>
      <c r="G107" s="22" t="n">
        <v>28.722</v>
      </c>
      <c r="H107" s="22" t="n">
        <v>104.837</v>
      </c>
      <c r="I107" s="22" t="n">
        <v>101.143</v>
      </c>
      <c r="J107" s="22" t="n">
        <v>86.714</v>
      </c>
      <c r="K107" s="22" t="n">
        <v>72.31699999999999</v>
      </c>
      <c r="L107" s="22" t="n">
        <v>28.722</v>
      </c>
    </row>
    <row r="108">
      <c r="A108" s="20" t="inlineStr">
        <is>
          <t>전화가입권</t>
        </is>
      </c>
      <c r="C108" s="22" t="n">
        <v>12.646</v>
      </c>
      <c r="G108" s="22" t="n">
        <v>12.646</v>
      </c>
      <c r="H108" s="22" t="n">
        <v>12.646</v>
      </c>
      <c r="I108" s="22" t="n">
        <v>12.646</v>
      </c>
      <c r="J108" s="22" t="n">
        <v>12.646</v>
      </c>
      <c r="K108" s="22" t="n">
        <v>12.646</v>
      </c>
      <c r="L108" s="22" t="n">
        <v>12.646</v>
      </c>
    </row>
    <row r="109">
      <c r="A109" s="20" t="inlineStr">
        <is>
          <t>기타</t>
        </is>
      </c>
      <c r="C109" s="22" t="n">
        <v>0.468</v>
      </c>
      <c r="D109" s="22" t="n">
        <v>98.15000000000001</v>
      </c>
      <c r="E109" s="22" t="n">
        <v>90.087</v>
      </c>
      <c r="F109" s="22" t="n">
        <v>81.524</v>
      </c>
      <c r="G109" s="22" t="n">
        <v>1.231</v>
      </c>
      <c r="H109" s="22" t="n">
        <v>27.477</v>
      </c>
      <c r="I109" s="22" t="n">
        <v>30.189</v>
      </c>
      <c r="J109" s="22" t="n">
        <v>109.152</v>
      </c>
      <c r="K109" s="22" t="n">
        <v>0.468</v>
      </c>
      <c r="L109" s="22" t="n">
        <v>1.231</v>
      </c>
    </row>
    <row r="110">
      <c r="A110" s="20" t="inlineStr">
        <is>
          <t>무형자산 합계</t>
        </is>
      </c>
      <c r="C110" s="22" t="n">
        <v>85.431</v>
      </c>
      <c r="D110" s="22" t="n">
        <v>98.15000000000001</v>
      </c>
      <c r="E110" s="22" t="n">
        <v>90.087</v>
      </c>
      <c r="F110" s="22" t="n">
        <v>81.524</v>
      </c>
      <c r="G110" s="22" t="n">
        <v>42.6</v>
      </c>
      <c r="H110" s="22" t="n">
        <v>144.96</v>
      </c>
      <c r="I110" s="22" t="n">
        <v>143.978</v>
      </c>
      <c r="J110" s="22" t="n">
        <v>109.152</v>
      </c>
      <c r="K110" s="22" t="n">
        <v>85.431</v>
      </c>
      <c r="L110" s="22" t="n">
        <v>42.6</v>
      </c>
    </row>
    <row r="111">
      <c r="A111" s="20" t="inlineStr">
        <is>
          <t>투자유가증권</t>
        </is>
      </c>
      <c r="C111" s="22" t="n">
        <v>656.6609999999999</v>
      </c>
      <c r="D111" s="22" t="n">
        <v>611.561</v>
      </c>
      <c r="E111" s="22" t="n">
        <v>702.636</v>
      </c>
      <c r="F111" s="22" t="n">
        <v>641.6849999999999</v>
      </c>
      <c r="G111" s="22" t="n">
        <v>666.9299999999999</v>
      </c>
      <c r="H111" s="22" t="n">
        <v>1257.906</v>
      </c>
      <c r="I111" s="22" t="n">
        <v>1324.299</v>
      </c>
      <c r="J111" s="22" t="n">
        <v>670.23</v>
      </c>
      <c r="K111" s="22" t="n">
        <v>656.6609999999999</v>
      </c>
      <c r="L111" s="22" t="n">
        <v>666.9299999999999</v>
      </c>
    </row>
    <row r="112">
      <c r="A112" s="20" t="inlineStr">
        <is>
          <t>관계회사 주식</t>
        </is>
      </c>
      <c r="C112" s="22" t="n">
        <v>896.915</v>
      </c>
      <c r="G112" s="22" t="n">
        <v>896.915</v>
      </c>
      <c r="H112" s="22" t="n">
        <v>878.926</v>
      </c>
      <c r="I112" s="22" t="n">
        <v>878.926</v>
      </c>
      <c r="J112" s="22" t="n">
        <v>896.915</v>
      </c>
      <c r="K112" s="22" t="n">
        <v>896.915</v>
      </c>
      <c r="L112" s="22" t="n">
        <v>896.915</v>
      </c>
    </row>
    <row r="113">
      <c r="A113" s="20" t="inlineStr">
        <is>
          <t>장기대여금</t>
        </is>
      </c>
      <c r="C113" s="22" t="n">
        <v>4</v>
      </c>
      <c r="D113" s="22" t="n">
        <v>4</v>
      </c>
      <c r="E113" s="22" t="n">
        <v>4</v>
      </c>
      <c r="F113" s="22" t="n">
        <v>4</v>
      </c>
      <c r="G113" s="22" t="n">
        <v>4</v>
      </c>
      <c r="H113" s="22" t="n">
        <v>11.954</v>
      </c>
      <c r="I113" s="22" t="n">
        <v>13.05</v>
      </c>
      <c r="J113" s="22" t="n">
        <v>5</v>
      </c>
      <c r="K113" s="22" t="n">
        <v>4</v>
      </c>
      <c r="L113" s="22" t="n">
        <v>4</v>
      </c>
    </row>
    <row r="114">
      <c r="A114" s="20" t="inlineStr">
        <is>
          <t>파산갱생채권 등</t>
        </is>
      </c>
      <c r="C114" s="22" t="n">
        <v>0</v>
      </c>
      <c r="G114" s="22" t="n">
        <v>0</v>
      </c>
      <c r="H114" s="22" t="n">
        <v>0.229</v>
      </c>
      <c r="I114" s="22" t="n">
        <v>0</v>
      </c>
      <c r="J114" s="22" t="n">
        <v>0</v>
      </c>
      <c r="K114" s="22" t="n">
        <v>0</v>
      </c>
      <c r="L114" s="22" t="n">
        <v>0</v>
      </c>
    </row>
    <row r="115">
      <c r="A115" s="20" t="inlineStr">
        <is>
          <t>장기선급비용</t>
        </is>
      </c>
      <c r="C115" s="22" t="n">
        <v>13.766</v>
      </c>
      <c r="G115" s="22" t="n">
        <v>16.367</v>
      </c>
      <c r="H115" s="22" t="n">
        <v>7.437</v>
      </c>
      <c r="I115" s="22" t="n">
        <v>4.793</v>
      </c>
      <c r="J115" s="22" t="n">
        <v>15.134</v>
      </c>
      <c r="K115" s="22" t="n">
        <v>13.766</v>
      </c>
      <c r="L115" s="22" t="n">
        <v>16.367</v>
      </c>
    </row>
    <row r="116">
      <c r="A116" s="20" t="inlineStr">
        <is>
          <t>이연법인세자산</t>
        </is>
      </c>
      <c r="C116" s="22" t="n">
        <v>158.405</v>
      </c>
      <c r="G116" s="22" t="n">
        <v>133.571</v>
      </c>
      <c r="H116" s="22" t="n">
        <v>206.043</v>
      </c>
      <c r="I116" s="22" t="n">
        <v>211.977</v>
      </c>
      <c r="J116" s="22" t="n">
        <v>265.603</v>
      </c>
      <c r="K116" s="22" t="n">
        <v>158.405</v>
      </c>
      <c r="L116" s="22" t="n">
        <v>133.571</v>
      </c>
    </row>
    <row r="117">
      <c r="A117" s="20" t="inlineStr">
        <is>
          <t>기타</t>
        </is>
      </c>
      <c r="C117" s="22" t="n">
        <v>35.426</v>
      </c>
      <c r="D117" s="22" t="n">
        <v>379.224</v>
      </c>
      <c r="E117" s="22" t="n">
        <v>294.915</v>
      </c>
      <c r="F117" s="22" t="n">
        <v>343.292</v>
      </c>
      <c r="G117" s="22" t="n">
        <v>35.585</v>
      </c>
      <c r="H117" s="22" t="n">
        <v>36.22</v>
      </c>
      <c r="I117" s="22" t="n">
        <v>36.344</v>
      </c>
      <c r="J117" s="22" t="n">
        <v>95.907</v>
      </c>
      <c r="K117" s="22" t="n">
        <v>35.426</v>
      </c>
      <c r="L117" s="22" t="n">
        <v>35.585</v>
      </c>
    </row>
    <row r="118">
      <c r="A118" s="20" t="inlineStr">
        <is>
          <t>대손충당금</t>
        </is>
      </c>
      <c r="C118" s="22" t="n">
        <v>-0.019</v>
      </c>
      <c r="D118" s="22" t="n">
        <v>-0.041</v>
      </c>
      <c r="E118" s="22" t="n">
        <v>-0.014</v>
      </c>
      <c r="F118" s="22" t="n">
        <v>-0.078</v>
      </c>
      <c r="G118" s="22" t="n">
        <v>-0.073</v>
      </c>
      <c r="H118" s="22" t="n">
        <v>-1.384</v>
      </c>
      <c r="I118" s="22" t="n">
        <v>-1.087</v>
      </c>
      <c r="J118" s="22" t="n">
        <v>-1.041</v>
      </c>
      <c r="K118" s="22" t="n">
        <v>-0.019</v>
      </c>
      <c r="L118" s="22" t="n">
        <v>-0.073</v>
      </c>
    </row>
    <row r="119">
      <c r="A119" s="20" t="inlineStr">
        <is>
          <t>투자 및 기타자산 합계</t>
        </is>
      </c>
      <c r="C119" s="22" t="n">
        <v>1765.156</v>
      </c>
      <c r="D119" s="22" t="n">
        <v>994.744</v>
      </c>
      <c r="E119" s="22" t="n">
        <v>1001.536</v>
      </c>
      <c r="F119" s="22" t="n">
        <v>988.899</v>
      </c>
      <c r="G119" s="22" t="n">
        <v>1753.297</v>
      </c>
      <c r="H119" s="22" t="n">
        <v>2397.334</v>
      </c>
      <c r="I119" s="22" t="n">
        <v>2468.305</v>
      </c>
      <c r="J119" s="22" t="n">
        <v>1035.699</v>
      </c>
      <c r="K119" s="22" t="n">
        <v>1765.156</v>
      </c>
      <c r="L119" s="22" t="n">
        <v>1753.297</v>
      </c>
    </row>
    <row r="120">
      <c r="A120" s="9" t="inlineStr">
        <is>
          <t>비유동자산 합계</t>
        </is>
      </c>
      <c r="C120" s="12" t="n">
        <v>5549.946</v>
      </c>
      <c r="D120" s="12" t="n">
        <v>6233.025</v>
      </c>
      <c r="E120" s="12" t="n">
        <v>6159.261</v>
      </c>
      <c r="F120" s="12" t="n">
        <v>6114.417</v>
      </c>
      <c r="G120" s="12" t="n">
        <v>5434.257</v>
      </c>
      <c r="H120" s="12" t="n">
        <v>6265.66</v>
      </c>
      <c r="I120" s="12" t="n">
        <v>6448.325</v>
      </c>
      <c r="J120" s="12" t="n">
        <v>6428.108</v>
      </c>
      <c r="K120" s="12" t="n">
        <v>5549.946</v>
      </c>
      <c r="L120" s="12" t="n">
        <v>5434.257</v>
      </c>
    </row>
    <row r="121">
      <c r="A121" s="9" t="inlineStr">
        <is>
          <t>자산 합계</t>
        </is>
      </c>
      <c r="C121" s="12" t="n">
        <v>11781.302</v>
      </c>
      <c r="D121" s="12" t="n">
        <v>13295.116</v>
      </c>
      <c r="E121" s="12" t="n">
        <v>13401.125</v>
      </c>
      <c r="F121" s="12" t="n">
        <v>13697.059</v>
      </c>
      <c r="G121" s="12" t="n">
        <v>12070.988</v>
      </c>
      <c r="H121" s="12" t="n">
        <v>11802.833</v>
      </c>
      <c r="I121" s="12" t="n">
        <v>12051.42</v>
      </c>
      <c r="J121" s="12" t="n">
        <v>13340.581</v>
      </c>
      <c r="K121" s="12" t="n">
        <v>11781.302</v>
      </c>
      <c r="L121" s="12" t="n">
        <v>12070.988</v>
      </c>
    </row>
    <row r="122">
      <c r="A122" s="20" t="inlineStr">
        <is>
          <t>지급어음·매입채무</t>
        </is>
      </c>
      <c r="C122" s="22" t="n">
        <v>288.531</v>
      </c>
      <c r="D122" s="22" t="n">
        <v>331.457</v>
      </c>
      <c r="E122" s="22" t="n">
        <v>349.178</v>
      </c>
      <c r="F122" s="22" t="n">
        <v>315.605</v>
      </c>
      <c r="G122" s="22" t="n">
        <v>324.471</v>
      </c>
      <c r="H122" s="22" t="n">
        <v>371.781</v>
      </c>
      <c r="I122" s="22" t="n">
        <v>311.671</v>
      </c>
      <c r="J122" s="22" t="n">
        <v>210.971</v>
      </c>
      <c r="K122" s="22" t="n">
        <v>288.531</v>
      </c>
      <c r="L122" s="22" t="n">
        <v>324.471</v>
      </c>
    </row>
    <row r="123">
      <c r="A123" s="20" t="inlineStr">
        <is>
          <t>지급어음</t>
        </is>
      </c>
      <c r="C123" s="22" t="n">
        <v>7.729</v>
      </c>
      <c r="G123" s="22" t="n">
        <v>0</v>
      </c>
      <c r="H123" s="22" t="n">
        <v>66.708</v>
      </c>
      <c r="I123" s="22" t="n">
        <v>32.869</v>
      </c>
      <c r="J123" s="22" t="n">
        <v>9.108000000000001</v>
      </c>
      <c r="K123" s="22" t="n">
        <v>7.729</v>
      </c>
      <c r="L123" s="22" t="n">
        <v>0</v>
      </c>
    </row>
    <row r="124">
      <c r="A124" s="20" t="inlineStr">
        <is>
          <t>영업외 지급어음</t>
        </is>
      </c>
      <c r="C124" s="22" t="n">
        <v>0</v>
      </c>
      <c r="H124" s="22" t="n">
        <v>28.339</v>
      </c>
      <c r="I124" s="22" t="n">
        <v>28.953</v>
      </c>
      <c r="J124" s="22" t="n">
        <v>2.95</v>
      </c>
      <c r="K124" s="22" t="n">
        <v>0</v>
      </c>
    </row>
    <row r="125">
      <c r="A125" s="20" t="inlineStr">
        <is>
          <t>전자기록채무</t>
        </is>
      </c>
      <c r="C125" s="22" t="n">
        <v>353.574</v>
      </c>
      <c r="D125" s="22" t="n">
        <v>358.626</v>
      </c>
      <c r="E125" s="22" t="n">
        <v>154.586</v>
      </c>
      <c r="F125" s="22" t="n">
        <v>47.749</v>
      </c>
      <c r="G125" s="22" t="n">
        <v>53.635</v>
      </c>
      <c r="H125" s="22" t="n">
        <v>564.067</v>
      </c>
      <c r="I125" s="22" t="n">
        <v>631.322</v>
      </c>
      <c r="J125" s="22" t="n">
        <v>329.605</v>
      </c>
      <c r="K125" s="22" t="n">
        <v>353.574</v>
      </c>
      <c r="L125" s="22" t="n">
        <v>53.635</v>
      </c>
    </row>
    <row r="126">
      <c r="A126" s="20" t="inlineStr">
        <is>
          <t>매입채무</t>
        </is>
      </c>
      <c r="C126" s="22" t="n">
        <v>229.41</v>
      </c>
      <c r="G126" s="22" t="n">
        <v>227.632</v>
      </c>
      <c r="H126" s="22" t="n">
        <v>194.548</v>
      </c>
      <c r="I126" s="22" t="n">
        <v>207.675</v>
      </c>
      <c r="J126" s="22" t="n">
        <v>193.372</v>
      </c>
      <c r="K126" s="22" t="n">
        <v>229.41</v>
      </c>
      <c r="L126" s="22" t="n">
        <v>227.632</v>
      </c>
    </row>
    <row r="127">
      <c r="A127" s="20" t="inlineStr">
        <is>
          <t>단기차입금</t>
        </is>
      </c>
      <c r="C127" s="22" t="n">
        <v>100</v>
      </c>
      <c r="D127" s="22" t="n">
        <v>327.336</v>
      </c>
      <c r="E127" s="22" t="n">
        <v>321.262</v>
      </c>
      <c r="F127" s="22" t="n">
        <v>280.192</v>
      </c>
      <c r="G127" s="22" t="n">
        <v>100</v>
      </c>
      <c r="H127" s="22" t="n">
        <v>300</v>
      </c>
      <c r="I127" s="22" t="n">
        <v>300</v>
      </c>
      <c r="J127" s="22" t="n">
        <v>348.046</v>
      </c>
      <c r="K127" s="22" t="n">
        <v>100</v>
      </c>
      <c r="L127" s="22" t="n">
        <v>100</v>
      </c>
    </row>
    <row r="128">
      <c r="A128" s="20" t="inlineStr">
        <is>
          <t>1년 내 상환 장기차입금</t>
        </is>
      </c>
      <c r="C128" s="22" t="n">
        <v>241.772</v>
      </c>
      <c r="G128" s="22" t="n">
        <v>101.226</v>
      </c>
      <c r="H128" s="22" t="n">
        <v>222.578</v>
      </c>
      <c r="I128" s="22" t="n">
        <v>151.78</v>
      </c>
      <c r="J128" s="22" t="n">
        <v>224.28</v>
      </c>
      <c r="K128" s="22" t="n">
        <v>241.772</v>
      </c>
      <c r="L128" s="22" t="n">
        <v>101.226</v>
      </c>
    </row>
    <row r="129">
      <c r="A129" s="20" t="inlineStr">
        <is>
          <t>리스부채</t>
        </is>
      </c>
      <c r="C129" s="22" t="n">
        <v>1.03</v>
      </c>
      <c r="D129" s="22" t="n">
        <v>0</v>
      </c>
      <c r="E129" s="22" t="n">
        <v>0</v>
      </c>
      <c r="F129" s="22" t="n">
        <v>0</v>
      </c>
      <c r="G129" s="22" t="n">
        <v>0</v>
      </c>
      <c r="H129" s="22" t="n">
        <v>4.122</v>
      </c>
      <c r="I129" s="22" t="n">
        <v>4.122</v>
      </c>
      <c r="J129" s="22" t="n">
        <v>4.122</v>
      </c>
      <c r="K129" s="22" t="n">
        <v>1.03</v>
      </c>
      <c r="L129" s="22" t="n">
        <v>0</v>
      </c>
    </row>
    <row r="130">
      <c r="A130" s="20" t="inlineStr">
        <is>
          <t>미지급금</t>
        </is>
      </c>
      <c r="C130" s="22" t="n">
        <v>273.96</v>
      </c>
      <c r="G130" s="22" t="n">
        <v>264.716</v>
      </c>
      <c r="H130" s="22" t="n">
        <v>281.618</v>
      </c>
      <c r="I130" s="22" t="n">
        <v>238.847</v>
      </c>
      <c r="J130" s="22" t="n">
        <v>406.915</v>
      </c>
      <c r="K130" s="22" t="n">
        <v>273.96</v>
      </c>
      <c r="L130" s="22" t="n">
        <v>264.716</v>
      </c>
    </row>
    <row r="131">
      <c r="A131" s="20" t="inlineStr">
        <is>
          <t>미지급비용</t>
        </is>
      </c>
      <c r="C131" s="22" t="n">
        <v>29.009</v>
      </c>
      <c r="G131" s="22" t="n">
        <v>29.217</v>
      </c>
      <c r="H131" s="22" t="n">
        <v>26.28</v>
      </c>
      <c r="I131" s="22" t="n">
        <v>33.043</v>
      </c>
      <c r="J131" s="22" t="n">
        <v>28.576</v>
      </c>
      <c r="K131" s="22" t="n">
        <v>29.009</v>
      </c>
      <c r="L131" s="22" t="n">
        <v>29.217</v>
      </c>
    </row>
    <row r="132">
      <c r="A132" s="20" t="inlineStr">
        <is>
          <t>미지급법인세</t>
        </is>
      </c>
      <c r="C132" s="22" t="n">
        <v>46.155</v>
      </c>
      <c r="D132" s="22" t="n">
        <v>58.959</v>
      </c>
      <c r="E132" s="22" t="n">
        <v>92.848</v>
      </c>
      <c r="F132" s="22" t="n">
        <v>193.846</v>
      </c>
      <c r="G132" s="22" t="n">
        <v>209.534</v>
      </c>
      <c r="H132" s="22" t="n">
        <v>91</v>
      </c>
      <c r="I132" s="22" t="n">
        <v>140.749</v>
      </c>
      <c r="J132" s="22" t="n">
        <v>40.464</v>
      </c>
      <c r="K132" s="22" t="n">
        <v>46.155</v>
      </c>
      <c r="L132" s="22" t="n">
        <v>209.534</v>
      </c>
    </row>
    <row r="133">
      <c r="A133" s="20" t="inlineStr">
        <is>
          <t>미지급 소비세</t>
        </is>
      </c>
      <c r="C133" s="22" t="n">
        <v>25.948</v>
      </c>
      <c r="G133" s="22" t="n">
        <v>11.62</v>
      </c>
      <c r="H133" s="22" t="n">
        <v>0.708</v>
      </c>
      <c r="I133" s="22" t="n">
        <v>0</v>
      </c>
      <c r="J133" s="22" t="n">
        <v>40.187</v>
      </c>
      <c r="K133" s="22" t="n">
        <v>25.948</v>
      </c>
      <c r="L133" s="22" t="n">
        <v>11.62</v>
      </c>
    </row>
    <row r="134">
      <c r="A134" s="20" t="inlineStr">
        <is>
          <t>선수금</t>
        </is>
      </c>
      <c r="H134" s="22" t="n">
        <v>0</v>
      </c>
    </row>
    <row r="135">
      <c r="A135" s="20" t="inlineStr">
        <is>
          <t>계약부채</t>
        </is>
      </c>
      <c r="C135" s="22" t="n">
        <v>25.579</v>
      </c>
      <c r="G135" s="22" t="n">
        <v>27.984</v>
      </c>
      <c r="H135" s="22" t="n">
        <v>47.388</v>
      </c>
      <c r="I135" s="22" t="n">
        <v>19.809</v>
      </c>
      <c r="J135" s="22" t="n">
        <v>24.092</v>
      </c>
      <c r="K135" s="22" t="n">
        <v>25.579</v>
      </c>
      <c r="L135" s="22" t="n">
        <v>27.984</v>
      </c>
    </row>
    <row r="136">
      <c r="A136" s="20" t="inlineStr">
        <is>
          <t>예수금</t>
        </is>
      </c>
      <c r="C136" s="22" t="n">
        <v>177.136</v>
      </c>
      <c r="G136" s="22" t="n">
        <v>187.644</v>
      </c>
      <c r="H136" s="22" t="n">
        <v>173.7</v>
      </c>
      <c r="I136" s="22" t="n">
        <v>178.954</v>
      </c>
      <c r="J136" s="22" t="n">
        <v>172</v>
      </c>
      <c r="K136" s="22" t="n">
        <v>177.136</v>
      </c>
      <c r="L136" s="22" t="n">
        <v>187.644</v>
      </c>
    </row>
    <row r="137">
      <c r="A137" s="20" t="inlineStr">
        <is>
          <t>상여충당금</t>
        </is>
      </c>
      <c r="C137" s="22" t="n">
        <v>85.093</v>
      </c>
      <c r="D137" s="22" t="n">
        <v>195.937</v>
      </c>
      <c r="E137" s="22" t="n">
        <v>90.054</v>
      </c>
      <c r="F137" s="22" t="n">
        <v>191.98</v>
      </c>
      <c r="G137" s="22" t="n">
        <v>85.654</v>
      </c>
      <c r="H137" s="22" t="n">
        <v>77.94499999999999</v>
      </c>
      <c r="I137" s="22" t="n">
        <v>78.917</v>
      </c>
      <c r="J137" s="22" t="n">
        <v>109.376</v>
      </c>
      <c r="K137" s="22" t="n">
        <v>85.093</v>
      </c>
      <c r="L137" s="22" t="n">
        <v>85.654</v>
      </c>
    </row>
    <row r="138">
      <c r="A138" s="20" t="inlineStr">
        <is>
          <t>제품보상 충당금</t>
        </is>
      </c>
      <c r="C138" s="22" t="n">
        <v>8.683</v>
      </c>
      <c r="D138" s="22" t="n">
        <v>8.654</v>
      </c>
      <c r="E138" s="22" t="n">
        <v>8.638</v>
      </c>
      <c r="F138" s="22" t="n">
        <v>8.618</v>
      </c>
      <c r="G138" s="22" t="n">
        <v>0</v>
      </c>
      <c r="H138" s="22" t="n">
        <v>70.369</v>
      </c>
      <c r="I138" s="22" t="n">
        <v>103.21</v>
      </c>
      <c r="J138" s="22" t="n">
        <v>66.92</v>
      </c>
      <c r="K138" s="22" t="n">
        <v>8.683</v>
      </c>
      <c r="L138" s="22" t="n">
        <v>0</v>
      </c>
    </row>
    <row r="139">
      <c r="A139" s="20" t="inlineStr">
        <is>
          <t>기타</t>
        </is>
      </c>
      <c r="C139" s="22" t="n">
        <v>0</v>
      </c>
      <c r="D139" s="22" t="n">
        <v>644.704</v>
      </c>
      <c r="E139" s="22" t="n">
        <v>575.672</v>
      </c>
      <c r="F139" s="22" t="n">
        <v>689.894</v>
      </c>
      <c r="G139" s="22" t="n">
        <v>0.004</v>
      </c>
      <c r="H139" s="22" t="n">
        <v>713.4829999999999</v>
      </c>
      <c r="I139" s="22" t="n">
        <v>640.9880000000001</v>
      </c>
      <c r="J139" s="22" t="n">
        <v>975.535</v>
      </c>
      <c r="K139" s="22" t="n">
        <v>0</v>
      </c>
      <c r="L139" s="22" t="n">
        <v>0.004</v>
      </c>
    </row>
    <row r="140">
      <c r="A140" s="9" t="inlineStr">
        <is>
          <t>유동부채 합계</t>
        </is>
      </c>
      <c r="C140" s="12" t="n">
        <v>1605.085</v>
      </c>
      <c r="D140" s="12" t="n">
        <v>1925.674</v>
      </c>
      <c r="E140" s="12" t="n">
        <v>1592.241</v>
      </c>
      <c r="F140" s="12" t="n">
        <v>1727.885</v>
      </c>
      <c r="G140" s="12" t="n">
        <v>1298.87</v>
      </c>
      <c r="H140" s="12" t="n">
        <v>2149.375</v>
      </c>
      <c r="I140" s="12" t="n">
        <v>2150.254</v>
      </c>
      <c r="J140" s="12" t="n">
        <v>2085.043</v>
      </c>
      <c r="K140" s="12" t="n">
        <v>1605.085</v>
      </c>
      <c r="L140" s="12" t="n">
        <v>1298.87</v>
      </c>
    </row>
    <row r="141">
      <c r="A141" s="20" t="inlineStr">
        <is>
          <t>장기차입금</t>
        </is>
      </c>
      <c r="C141" s="22" t="n">
        <v>121.23</v>
      </c>
      <c r="D141" s="22" t="n">
        <v>146.067</v>
      </c>
      <c r="E141" s="22" t="n">
        <v>283.887</v>
      </c>
      <c r="F141" s="22" t="n">
        <v>251.704</v>
      </c>
      <c r="G141" s="22" t="n">
        <v>190.007</v>
      </c>
      <c r="H141" s="22" t="n">
        <v>494.062</v>
      </c>
      <c r="I141" s="22" t="n">
        <v>342.282</v>
      </c>
      <c r="J141" s="22" t="n">
        <v>410.824</v>
      </c>
      <c r="K141" s="22" t="n">
        <v>121.23</v>
      </c>
      <c r="L141" s="22" t="n">
        <v>190.007</v>
      </c>
    </row>
    <row r="142">
      <c r="A142" s="20" t="inlineStr">
        <is>
          <t>리스부채</t>
        </is>
      </c>
      <c r="C142" s="22" t="n">
        <v>0</v>
      </c>
      <c r="H142" s="22" t="n">
        <v>9.275</v>
      </c>
      <c r="I142" s="22" t="n">
        <v>5.153</v>
      </c>
      <c r="J142" s="22" t="n">
        <v>1.03</v>
      </c>
      <c r="K142" s="22" t="n">
        <v>0</v>
      </c>
    </row>
    <row r="143">
      <c r="A143" s="20" t="inlineStr">
        <is>
          <t>퇴직급여충당금</t>
        </is>
      </c>
      <c r="C143" s="22" t="n">
        <v>503.888</v>
      </c>
      <c r="G143" s="22" t="n">
        <v>519.611</v>
      </c>
      <c r="H143" s="22" t="n">
        <v>434.349</v>
      </c>
      <c r="I143" s="22" t="n">
        <v>457.155</v>
      </c>
      <c r="J143" s="22" t="n">
        <v>469.568</v>
      </c>
      <c r="K143" s="22" t="n">
        <v>503.888</v>
      </c>
      <c r="L143" s="22" t="n">
        <v>519.611</v>
      </c>
    </row>
    <row r="144">
      <c r="A144" s="20" t="inlineStr">
        <is>
          <t>임원 퇴직위로 충당금</t>
        </is>
      </c>
      <c r="C144" s="22" t="n">
        <v>54.3</v>
      </c>
      <c r="D144" s="22" t="n">
        <v>67.087</v>
      </c>
      <c r="E144" s="22" t="n">
        <v>69.30500000000001</v>
      </c>
      <c r="F144" s="22" t="n">
        <v>71.58199999999999</v>
      </c>
      <c r="G144" s="22" t="n">
        <v>62.75</v>
      </c>
      <c r="H144" s="22" t="n">
        <v>49.39</v>
      </c>
      <c r="I144" s="22" t="n">
        <v>52.99</v>
      </c>
      <c r="J144" s="22" t="n">
        <v>55.8</v>
      </c>
      <c r="K144" s="22" t="n">
        <v>54.3</v>
      </c>
      <c r="L144" s="22" t="n">
        <v>62.75</v>
      </c>
    </row>
    <row r="145">
      <c r="A145" s="20" t="inlineStr">
        <is>
          <t>기타</t>
        </is>
      </c>
      <c r="H145" s="22" t="n">
        <v>6.4</v>
      </c>
      <c r="I145" s="22" t="n">
        <v>0</v>
      </c>
    </row>
    <row r="146">
      <c r="A146" s="20" t="inlineStr">
        <is>
          <t>퇴직급여부채</t>
        </is>
      </c>
      <c r="C146" s="22" t="n">
        <v>503.888</v>
      </c>
      <c r="D146" s="22" t="n">
        <v>506.375</v>
      </c>
      <c r="E146" s="22" t="n">
        <v>515.222</v>
      </c>
      <c r="F146" s="22" t="n">
        <v>519.008</v>
      </c>
      <c r="G146" s="22" t="n">
        <v>519.611</v>
      </c>
      <c r="H146" s="22" t="n">
        <v>434.349</v>
      </c>
      <c r="I146" s="22" t="n">
        <v>457.155</v>
      </c>
      <c r="J146" s="22" t="n">
        <v>469.568</v>
      </c>
      <c r="K146" s="22" t="n">
        <v>503.888</v>
      </c>
      <c r="L146" s="22" t="n">
        <v>519.611</v>
      </c>
    </row>
    <row r="147">
      <c r="A147" s="9" t="inlineStr">
        <is>
          <t>비유동부채 합계</t>
        </is>
      </c>
      <c r="C147" s="12" t="n">
        <v>679.418</v>
      </c>
      <c r="D147" s="12" t="n">
        <v>719.529</v>
      </c>
      <c r="E147" s="12" t="n">
        <v>868.414</v>
      </c>
      <c r="F147" s="12" t="n">
        <v>842.294</v>
      </c>
      <c r="G147" s="12" t="n">
        <v>772.3680000000001</v>
      </c>
      <c r="H147" s="12" t="n">
        <v>993.477</v>
      </c>
      <c r="I147" s="12" t="n">
        <v>857.58</v>
      </c>
      <c r="J147" s="12" t="n">
        <v>937.223</v>
      </c>
      <c r="K147" s="12" t="n">
        <v>679.418</v>
      </c>
      <c r="L147" s="12" t="n">
        <v>772.3680000000001</v>
      </c>
    </row>
    <row r="148">
      <c r="A148" s="9" t="inlineStr">
        <is>
          <t>부채 합계</t>
        </is>
      </c>
      <c r="C148" s="12" t="n">
        <v>2284.503</v>
      </c>
      <c r="D148" s="12" t="n">
        <v>2645.204</v>
      </c>
      <c r="E148" s="12" t="n">
        <v>2460.655</v>
      </c>
      <c r="F148" s="12" t="n">
        <v>2570.18</v>
      </c>
      <c r="G148" s="12" t="n">
        <v>2071.239</v>
      </c>
      <c r="H148" s="12" t="n">
        <v>3142.853</v>
      </c>
      <c r="I148" s="12" t="n">
        <v>3007.835</v>
      </c>
      <c r="J148" s="12" t="n">
        <v>3022.266</v>
      </c>
      <c r="K148" s="12" t="n">
        <v>2284.503</v>
      </c>
      <c r="L148" s="12" t="n">
        <v>2071.239</v>
      </c>
    </row>
    <row r="149">
      <c r="A149" s="20" t="inlineStr">
        <is>
          <t>자본금</t>
        </is>
      </c>
      <c r="C149" s="22" t="n">
        <v>878.75</v>
      </c>
      <c r="D149" s="22" t="n">
        <v>878.75</v>
      </c>
      <c r="E149" s="22" t="n">
        <v>878.75</v>
      </c>
      <c r="F149" s="22" t="n">
        <v>878.75</v>
      </c>
      <c r="G149" s="22" t="n">
        <v>878.75</v>
      </c>
      <c r="H149" s="22" t="n">
        <v>878.75</v>
      </c>
      <c r="I149" s="22" t="n">
        <v>878.75</v>
      </c>
      <c r="J149" s="22" t="n">
        <v>878.75</v>
      </c>
      <c r="K149" s="22" t="n">
        <v>878.75</v>
      </c>
      <c r="L149" s="22" t="n">
        <v>878.75</v>
      </c>
    </row>
    <row r="150">
      <c r="A150" s="20" t="inlineStr">
        <is>
          <t>기타자본잉여금</t>
        </is>
      </c>
      <c r="C150" s="22" t="n">
        <v>963</v>
      </c>
      <c r="G150" s="22" t="n">
        <v>963</v>
      </c>
      <c r="H150" s="22" t="n">
        <v>963</v>
      </c>
      <c r="I150" s="22" t="n">
        <v>963</v>
      </c>
      <c r="J150" s="22" t="n">
        <v>963</v>
      </c>
      <c r="K150" s="22" t="n">
        <v>963</v>
      </c>
      <c r="L150" s="22" t="n">
        <v>963</v>
      </c>
    </row>
    <row r="151">
      <c r="A151" s="20" t="inlineStr">
        <is>
          <t>자본잉여금 합계</t>
        </is>
      </c>
      <c r="C151" s="22" t="n">
        <v>963</v>
      </c>
      <c r="D151" s="22" t="n">
        <v>993.088</v>
      </c>
      <c r="E151" s="22" t="n">
        <v>993.088</v>
      </c>
      <c r="F151" s="22" t="n">
        <v>993.088</v>
      </c>
      <c r="G151" s="22" t="n">
        <v>963</v>
      </c>
      <c r="H151" s="22" t="n">
        <v>963</v>
      </c>
      <c r="I151" s="22" t="n">
        <v>963</v>
      </c>
      <c r="J151" s="22" t="n">
        <v>993.088</v>
      </c>
      <c r="K151" s="22" t="n">
        <v>963</v>
      </c>
      <c r="L151" s="22" t="n">
        <v>963</v>
      </c>
    </row>
    <row r="152">
      <c r="A152" s="20" t="inlineStr">
        <is>
          <t>이익준비금</t>
        </is>
      </c>
      <c r="C152" s="22" t="n">
        <v>87.69</v>
      </c>
      <c r="G152" s="22" t="n">
        <v>96.887</v>
      </c>
      <c r="H152" s="22" t="n">
        <v>60.099</v>
      </c>
      <c r="I152" s="22" t="n">
        <v>67.17400000000001</v>
      </c>
      <c r="J152" s="22" t="n">
        <v>78.49299999999999</v>
      </c>
      <c r="K152" s="22" t="n">
        <v>87.69</v>
      </c>
      <c r="L152" s="22" t="n">
        <v>96.887</v>
      </c>
    </row>
    <row r="153">
      <c r="A153" s="20" t="inlineStr">
        <is>
          <t>고정자산 압축적립금</t>
        </is>
      </c>
      <c r="C153" s="22" t="n">
        <v>13.01</v>
      </c>
      <c r="G153" s="22" t="n">
        <v>11.17</v>
      </c>
      <c r="H153" s="22" t="n">
        <v>39.872</v>
      </c>
      <c r="I153" s="22" t="n">
        <v>30.414</v>
      </c>
      <c r="J153" s="22" t="n">
        <v>21.393</v>
      </c>
      <c r="K153" s="22" t="n">
        <v>13.01</v>
      </c>
      <c r="L153" s="22" t="n">
        <v>11.17</v>
      </c>
    </row>
    <row r="154">
      <c r="A154" s="20" t="inlineStr">
        <is>
          <t>별도적립금</t>
        </is>
      </c>
      <c r="C154" s="22" t="n">
        <v>5439</v>
      </c>
      <c r="G154" s="22" t="n">
        <v>5439</v>
      </c>
      <c r="H154" s="22" t="n">
        <v>5439</v>
      </c>
      <c r="I154" s="22" t="n">
        <v>5439</v>
      </c>
      <c r="J154" s="22" t="n">
        <v>5439</v>
      </c>
      <c r="K154" s="22" t="n">
        <v>5439</v>
      </c>
      <c r="L154" s="22" t="n">
        <v>5439</v>
      </c>
    </row>
    <row r="155">
      <c r="A155" s="20" t="inlineStr">
        <is>
          <t>이월이익잉여금</t>
        </is>
      </c>
      <c r="C155" s="22" t="n">
        <v>2303.153</v>
      </c>
      <c r="G155" s="22" t="n">
        <v>2713.763</v>
      </c>
      <c r="H155" s="22" t="n">
        <v>1575.256</v>
      </c>
      <c r="I155" s="22" t="n">
        <v>1938.287</v>
      </c>
      <c r="J155" s="22" t="n">
        <v>2132.37</v>
      </c>
      <c r="K155" s="22" t="n">
        <v>2303.153</v>
      </c>
      <c r="L155" s="22" t="n">
        <v>2713.763</v>
      </c>
    </row>
    <row r="156">
      <c r="A156" s="20" t="inlineStr">
        <is>
          <t>이익잉여금 합계</t>
        </is>
      </c>
      <c r="C156" s="22" t="n">
        <v>7842.854</v>
      </c>
      <c r="D156" s="22" t="n">
        <v>8702.52</v>
      </c>
      <c r="E156" s="22" t="n">
        <v>8858.361000000001</v>
      </c>
      <c r="F156" s="22" t="n">
        <v>9086.869000000001</v>
      </c>
      <c r="G156" s="22" t="n">
        <v>8260.82</v>
      </c>
      <c r="H156" s="22" t="n">
        <v>7114.228</v>
      </c>
      <c r="I156" s="22" t="n">
        <v>7474.876</v>
      </c>
      <c r="J156" s="22" t="n">
        <v>8495.851000000001</v>
      </c>
      <c r="K156" s="22" t="n">
        <v>7842.854</v>
      </c>
      <c r="L156" s="22" t="n">
        <v>8260.82</v>
      </c>
    </row>
    <row r="157">
      <c r="A157" s="20" t="inlineStr">
        <is>
          <t>자기주식</t>
        </is>
      </c>
      <c r="C157" s="22" t="n">
        <v>-351.086</v>
      </c>
      <c r="D157" s="22" t="n">
        <v>-351.086</v>
      </c>
      <c r="E157" s="22" t="n">
        <v>-351.086</v>
      </c>
      <c r="F157" s="22" t="n">
        <v>-351.194</v>
      </c>
      <c r="G157" s="22" t="n">
        <v>-351.194</v>
      </c>
      <c r="H157" s="22" t="n">
        <v>-350.885</v>
      </c>
      <c r="I157" s="22" t="n">
        <v>-351.086</v>
      </c>
      <c r="J157" s="22" t="n">
        <v>-351.086</v>
      </c>
      <c r="K157" s="22" t="n">
        <v>-351.086</v>
      </c>
      <c r="L157" s="22" t="n">
        <v>-351.194</v>
      </c>
    </row>
    <row r="158">
      <c r="A158" s="9" t="inlineStr">
        <is>
          <t>주주자본 합계</t>
        </is>
      </c>
      <c r="C158" s="12" t="n">
        <v>9333.518</v>
      </c>
      <c r="D158" s="12" t="n">
        <v>10223.272</v>
      </c>
      <c r="E158" s="12" t="n">
        <v>10379.113</v>
      </c>
      <c r="F158" s="12" t="n">
        <v>10607.514</v>
      </c>
      <c r="G158" s="12" t="n">
        <v>9751.376</v>
      </c>
      <c r="H158" s="12" t="n">
        <v>8605.093000000001</v>
      </c>
      <c r="I158" s="12" t="n">
        <v>8965.540000000001</v>
      </c>
      <c r="J158" s="12" t="n">
        <v>10016.603</v>
      </c>
      <c r="K158" s="12" t="n">
        <v>9333.518</v>
      </c>
      <c r="L158" s="12" t="n">
        <v>9751.376</v>
      </c>
    </row>
    <row r="159">
      <c r="A159" s="20" t="inlineStr">
        <is>
          <t>기타유가증권 평가차액</t>
        </is>
      </c>
      <c r="C159" s="22" t="n">
        <v>163.28</v>
      </c>
      <c r="D159" s="22" t="n">
        <v>192.108</v>
      </c>
      <c r="E159" s="22" t="n">
        <v>255.866</v>
      </c>
      <c r="F159" s="22" t="n">
        <v>223.748</v>
      </c>
      <c r="G159" s="22" t="n">
        <v>248.372</v>
      </c>
      <c r="H159" s="22" t="n">
        <v>54.887</v>
      </c>
      <c r="I159" s="22" t="n">
        <v>78.044</v>
      </c>
      <c r="J159" s="22" t="n">
        <v>99.983</v>
      </c>
      <c r="K159" s="22" t="n">
        <v>163.28</v>
      </c>
      <c r="L159" s="22" t="n">
        <v>248.372</v>
      </c>
    </row>
    <row r="160">
      <c r="A160" s="20" t="inlineStr">
        <is>
          <t>해외사업환산조정</t>
        </is>
      </c>
      <c r="C160" s="22" t="n">
        <v>199.785</v>
      </c>
      <c r="D160" s="22" t="n">
        <v>234.53</v>
      </c>
      <c r="E160" s="22" t="n">
        <v>305.489</v>
      </c>
      <c r="F160" s="22" t="n">
        <v>295.616</v>
      </c>
      <c r="G160" s="22" t="n">
        <v>305.694</v>
      </c>
      <c r="H160" s="22" t="n">
        <v>78.23399999999999</v>
      </c>
      <c r="I160" s="22" t="n">
        <v>128.754</v>
      </c>
      <c r="J160" s="22" t="n">
        <v>201.727</v>
      </c>
      <c r="K160" s="22" t="n">
        <v>199.785</v>
      </c>
      <c r="L160" s="22" t="n">
        <v>305.694</v>
      </c>
    </row>
    <row r="161">
      <c r="A161" s="20" t="inlineStr">
        <is>
          <t>평가·환산차액 합계</t>
        </is>
      </c>
      <c r="C161" s="22" t="n">
        <v>163.28</v>
      </c>
      <c r="D161" s="22" t="n">
        <v>426.639</v>
      </c>
      <c r="E161" s="22" t="n">
        <v>561.356</v>
      </c>
      <c r="F161" s="22" t="n">
        <v>519.364</v>
      </c>
      <c r="G161" s="22" t="n">
        <v>248.372</v>
      </c>
      <c r="H161" s="22" t="n">
        <v>54.887</v>
      </c>
      <c r="I161" s="22" t="n">
        <v>78.044</v>
      </c>
      <c r="J161" s="22" t="n">
        <v>301.711</v>
      </c>
      <c r="K161" s="22" t="n">
        <v>163.28</v>
      </c>
      <c r="L161" s="22" t="n">
        <v>248.372</v>
      </c>
    </row>
    <row r="162">
      <c r="A162" s="20" t="inlineStr">
        <is>
          <t>비지배지분</t>
        </is>
      </c>
      <c r="H162" s="22" t="n">
        <v>15.01</v>
      </c>
      <c r="I162" s="22" t="n">
        <v>29.291</v>
      </c>
      <c r="J162" s="22" t="n">
        <v>0</v>
      </c>
    </row>
    <row r="163">
      <c r="A163" s="9" t="inlineStr">
        <is>
          <t>순자산 합계</t>
        </is>
      </c>
      <c r="C163" s="12" t="n">
        <v>9496.798000000001</v>
      </c>
      <c r="D163" s="12" t="n">
        <v>10649.911</v>
      </c>
      <c r="E163" s="12" t="n">
        <v>10940.47</v>
      </c>
      <c r="F163" s="12" t="n">
        <v>11126.879</v>
      </c>
      <c r="G163" s="12" t="n">
        <v>9999.749</v>
      </c>
      <c r="H163" s="12" t="n">
        <v>8659.98</v>
      </c>
      <c r="I163" s="12" t="n">
        <v>9043.584999999999</v>
      </c>
      <c r="J163" s="12" t="n">
        <v>10318.315</v>
      </c>
      <c r="K163" s="12" t="n">
        <v>9496.798000000001</v>
      </c>
      <c r="L163" s="12" t="n">
        <v>9999.749</v>
      </c>
    </row>
    <row r="164">
      <c r="A164" s="9" t="inlineStr">
        <is>
          <t>부채·순자산 합계</t>
        </is>
      </c>
      <c r="C164" s="12" t="n">
        <v>11781.302</v>
      </c>
      <c r="D164" s="12" t="n">
        <v>13295.116</v>
      </c>
      <c r="E164" s="12" t="n">
        <v>13401.125</v>
      </c>
      <c r="F164" s="12" t="n">
        <v>13697.059</v>
      </c>
      <c r="G164" s="12" t="n">
        <v>12070.988</v>
      </c>
      <c r="H164" s="12" t="n">
        <v>11802.833</v>
      </c>
      <c r="I164" s="12" t="n">
        <v>12051.42</v>
      </c>
      <c r="J164" s="12" t="n">
        <v>13340.581</v>
      </c>
      <c r="K164" s="12" t="n">
        <v>11781.302</v>
      </c>
      <c r="L164" s="12" t="n">
        <v>12070.988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51" t="inlineStr">
        <is>
          <t>HKS 섹터·사업 데이터</t>
        </is>
      </c>
    </row>
    <row r="2">
      <c r="A2" s="52" t="inlineStr">
        <is>
          <t>2단계 보고서를 만들 때 모은 자료 · 월차 · 출처는 맨 오른쪽</t>
        </is>
      </c>
    </row>
    <row r="4">
      <c r="A4" s="53" t="inlineStr">
        <is>
          <t>가이던스 fy27</t>
        </is>
      </c>
      <c r="B4" s="53" t="n"/>
      <c r="C4" s="53" t="n"/>
      <c r="D4" s="53" t="n"/>
      <c r="E4" s="53" t="n"/>
      <c r="F4" s="53" t="n"/>
      <c r="G4" s="53" t="n"/>
    </row>
    <row r="5">
      <c r="A5" s="54" t="inlineStr">
        <is>
          <t>항목</t>
        </is>
      </c>
      <c r="B5" s="54" t="inlineStr">
        <is>
          <t>값</t>
        </is>
      </c>
      <c r="G5" s="54" t="inlineStr">
        <is>
          <t>출처</t>
        </is>
      </c>
    </row>
    <row r="6">
      <c r="A6" s="55" t="inlineStr">
        <is>
          <t>매출</t>
        </is>
      </c>
      <c r="B6" s="56" t="n">
        <v>99</v>
      </c>
      <c r="G6" s="57" t="inlineStr">
        <is>
          <t>2단계 보고서 자료(회사 설명회 자료·공시)</t>
        </is>
      </c>
    </row>
    <row r="7">
      <c r="A7" s="55" t="inlineStr">
        <is>
          <t>영업이익</t>
        </is>
      </c>
      <c r="B7" s="56" t="n">
        <v>6</v>
      </c>
    </row>
    <row r="8">
      <c r="A8" s="55" t="inlineStr">
        <is>
          <t>ord</t>
        </is>
      </c>
      <c r="B8" s="56" t="n">
        <v>5.8</v>
      </c>
    </row>
    <row r="9">
      <c r="A9" s="55" t="inlineStr">
        <is>
          <t>순이익</t>
        </is>
      </c>
      <c r="B9" s="56" t="n">
        <v>4.5</v>
      </c>
    </row>
    <row r="10">
      <c r="A10" s="55" t="inlineStr">
        <is>
          <t>EPS</t>
        </is>
      </c>
      <c r="B10" s="56" t="n">
        <v>318.05</v>
      </c>
    </row>
    <row r="11">
      <c r="A11" s="55" t="inlineStr">
        <is>
          <t>dps</t>
        </is>
      </c>
      <c r="B11" s="58" t="n">
        <v>83</v>
      </c>
    </row>
    <row r="12">
      <c r="A12" s="55" t="inlineStr">
        <is>
          <t>상반기 매출</t>
        </is>
      </c>
      <c r="B12" s="56" t="n">
        <v>46.75</v>
      </c>
    </row>
    <row r="13">
      <c r="A13" s="55" t="inlineStr">
        <is>
          <t>상반기 영업이익</t>
        </is>
      </c>
      <c r="B13" s="56" t="n">
        <v>2.5</v>
      </c>
    </row>
    <row r="14">
      <c r="A14" s="55" t="inlineStr">
        <is>
          <t>상반기 ord</t>
        </is>
      </c>
      <c r="B14" s="56" t="n">
        <v>2.1</v>
      </c>
    </row>
    <row r="15">
      <c r="A15" s="55" t="inlineStr">
        <is>
          <t>상반기 순이익</t>
        </is>
      </c>
      <c r="B15" s="56" t="n">
        <v>1.85</v>
      </c>
    </row>
    <row r="17">
      <c r="A17" s="53" t="inlineStr">
        <is>
          <t>top customer</t>
        </is>
      </c>
      <c r="B17" s="53" t="n"/>
      <c r="C17" s="53" t="n"/>
      <c r="D17" s="53" t="n"/>
      <c r="E17" s="53" t="n"/>
      <c r="F17" s="53" t="n"/>
      <c r="G17" s="53" t="n"/>
    </row>
    <row r="18">
      <c r="A18" s="54" t="inlineStr">
        <is>
          <t>항목</t>
        </is>
      </c>
      <c r="B18" s="54" t="inlineStr">
        <is>
          <t>값</t>
        </is>
      </c>
      <c r="G18" s="54" t="inlineStr">
        <is>
          <t>출처</t>
        </is>
      </c>
    </row>
    <row r="19">
      <c r="A19" s="55" t="inlineStr">
        <is>
          <t>FY8/25</t>
        </is>
      </c>
      <c r="B19" s="56" t="n">
        <v>9.529999999999999</v>
      </c>
      <c r="G19" s="57" t="inlineStr">
        <is>
          <t>2단계 보고서 자료(회사 설명회 자료·공시)</t>
        </is>
      </c>
    </row>
    <row r="20">
      <c r="A20" s="55" t="inlineStr">
        <is>
          <t>FY8/26</t>
        </is>
      </c>
      <c r="B20" s="56" t="n">
        <v>14.3</v>
      </c>
    </row>
    <row r="22">
      <c r="A22" s="53" t="inlineStr">
        <is>
          <t>bs fy26</t>
        </is>
      </c>
      <c r="B22" s="53" t="n"/>
      <c r="C22" s="53" t="n"/>
      <c r="D22" s="53" t="n"/>
      <c r="E22" s="53" t="n"/>
      <c r="F22" s="53" t="n"/>
      <c r="G22" s="53" t="n"/>
    </row>
    <row r="23">
      <c r="A23" s="54" t="inlineStr">
        <is>
          <t>항목</t>
        </is>
      </c>
      <c r="B23" s="54" t="inlineStr">
        <is>
          <t>값</t>
        </is>
      </c>
      <c r="G23" s="54" t="inlineStr">
        <is>
          <t>출처</t>
        </is>
      </c>
    </row>
    <row r="24">
      <c r="A24" s="55" t="inlineStr">
        <is>
          <t>합계 assets</t>
        </is>
      </c>
      <c r="B24" s="56" t="n">
        <v>137.57</v>
      </c>
      <c r="G24" s="57" t="inlineStr">
        <is>
          <t>2단계 보고서 자료(회사 설명회 자료·공시)</t>
        </is>
      </c>
    </row>
    <row r="25">
      <c r="A25" s="55" t="inlineStr">
        <is>
          <t>net assets</t>
        </is>
      </c>
      <c r="B25" s="56" t="n">
        <v>113.52</v>
      </c>
    </row>
    <row r="26">
      <c r="A26" s="55" t="inlineStr">
        <is>
          <t>equity ratio</t>
        </is>
      </c>
      <c r="B26" s="56" t="n">
        <v>82.5</v>
      </c>
    </row>
    <row r="27">
      <c r="A27" s="55" t="inlineStr">
        <is>
          <t>cash eq</t>
        </is>
      </c>
      <c r="B27" s="56" t="n">
        <v>17.15</v>
      </c>
    </row>
    <row r="28">
      <c r="A28" s="55" t="inlineStr">
        <is>
          <t>debt approx</t>
        </is>
      </c>
      <c r="B28" s="56" t="n">
        <v>4.2</v>
      </c>
    </row>
    <row r="29">
      <c r="A29" s="55" t="inlineStr">
        <is>
          <t>ocf</t>
        </is>
      </c>
      <c r="B29" s="56" t="n">
        <v>8.41</v>
      </c>
    </row>
    <row r="30">
      <c r="A30" s="55" t="inlineStr">
        <is>
          <t>설비투자</t>
        </is>
      </c>
      <c r="B30" s="56" t="n">
        <v>4.7</v>
      </c>
    </row>
    <row r="31">
      <c r="A31" s="55" t="inlineStr">
        <is>
          <t>dep</t>
        </is>
      </c>
      <c r="B31" s="56" t="n">
        <v>6.28</v>
      </c>
    </row>
    <row r="33">
      <c r="A33" s="53" t="inlineStr">
        <is>
          <t>peers · 7217 테인</t>
        </is>
      </c>
      <c r="B33" s="53" t="n"/>
      <c r="C33" s="53" t="n"/>
      <c r="D33" s="53" t="n"/>
      <c r="E33" s="53" t="n"/>
      <c r="F33" s="53" t="n"/>
      <c r="G33" s="53" t="n"/>
    </row>
    <row r="34">
      <c r="A34" s="54" t="inlineStr">
        <is>
          <t>항목</t>
        </is>
      </c>
      <c r="B34" s="54" t="inlineStr">
        <is>
          <t>값</t>
        </is>
      </c>
      <c r="G34" s="54" t="inlineStr">
        <is>
          <t>출처</t>
        </is>
      </c>
    </row>
    <row r="35">
      <c r="A35" s="55" t="inlineStr">
        <is>
          <t>fc EPS</t>
        </is>
      </c>
      <c r="B35" s="56" t="n">
        <v>35.35</v>
      </c>
      <c r="G35" s="57" t="inlineStr">
        <is>
          <t>2단계 보고서 자료(회사 설명회 자료·공시)</t>
        </is>
      </c>
    </row>
    <row r="36">
      <c r="A36" s="55" t="inlineStr">
        <is>
          <t>가격</t>
        </is>
      </c>
      <c r="B36" s="58" t="n">
        <v>460</v>
      </c>
    </row>
    <row r="38">
      <c r="A38" s="53" t="inlineStr">
        <is>
          <t>비교 기업 · 7242 KYB</t>
        </is>
      </c>
      <c r="B38" s="53" t="n"/>
      <c r="C38" s="53" t="n"/>
      <c r="D38" s="53" t="n"/>
      <c r="E38" s="53" t="n"/>
      <c r="F38" s="53" t="n"/>
      <c r="G38" s="53" t="n"/>
    </row>
    <row r="39">
      <c r="A39" s="54" t="inlineStr">
        <is>
          <t>항목</t>
        </is>
      </c>
      <c r="B39" s="54" t="inlineStr">
        <is>
          <t>값</t>
        </is>
      </c>
      <c r="G39" s="54" t="inlineStr">
        <is>
          <t>출처</t>
        </is>
      </c>
    </row>
    <row r="40">
      <c r="A40" s="55" t="inlineStr">
        <is>
          <t>fc EPS</t>
        </is>
      </c>
      <c r="B40" s="56" t="n">
        <v>130.65</v>
      </c>
      <c r="G40" s="57" t="inlineStr">
        <is>
          <t>2단계 보고서 자료(회사 설명회 자료·공시)</t>
        </is>
      </c>
    </row>
    <row r="41">
      <c r="A41" s="55" t="inlineStr">
        <is>
          <t>가격</t>
        </is>
      </c>
      <c r="B41" s="58" t="n">
        <v>1556</v>
      </c>
    </row>
    <row r="43">
      <c r="A43" s="53" t="inlineStr">
        <is>
          <t>peers · 7278 엑세디</t>
        </is>
      </c>
      <c r="B43" s="53" t="n"/>
      <c r="C43" s="53" t="n"/>
      <c r="D43" s="53" t="n"/>
      <c r="E43" s="53" t="n"/>
      <c r="F43" s="53" t="n"/>
      <c r="G43" s="53" t="n"/>
    </row>
    <row r="44">
      <c r="A44" s="54" t="inlineStr">
        <is>
          <t>항목</t>
        </is>
      </c>
      <c r="B44" s="54" t="inlineStr">
        <is>
          <t>값</t>
        </is>
      </c>
      <c r="G44" s="54" t="inlineStr">
        <is>
          <t>출처</t>
        </is>
      </c>
    </row>
    <row r="45">
      <c r="A45" s="55" t="inlineStr">
        <is>
          <t>fc EPS</t>
        </is>
      </c>
      <c r="B45" s="56" t="n">
        <v>391.72</v>
      </c>
      <c r="G45" s="57" t="inlineStr">
        <is>
          <t>2단계 보고서 자료(회사 설명회 자료·공시)</t>
        </is>
      </c>
    </row>
    <row r="46">
      <c r="A46" s="55" t="inlineStr">
        <is>
          <t>가격</t>
        </is>
      </c>
      <c r="B46" s="58" t="n">
        <v>5660</v>
      </c>
    </row>
    <row r="48">
      <c r="A48" s="53" t="inlineStr">
        <is>
          <t>peers · 9832 오토박스세븐</t>
        </is>
      </c>
      <c r="B48" s="53" t="n"/>
      <c r="C48" s="53" t="n"/>
      <c r="D48" s="53" t="n"/>
      <c r="E48" s="53" t="n"/>
      <c r="F48" s="53" t="n"/>
      <c r="G48" s="53" t="n"/>
    </row>
    <row r="49">
      <c r="A49" s="54" t="inlineStr">
        <is>
          <t>항목</t>
        </is>
      </c>
      <c r="B49" s="54" t="inlineStr">
        <is>
          <t>값</t>
        </is>
      </c>
      <c r="G49" s="54" t="inlineStr">
        <is>
          <t>출처</t>
        </is>
      </c>
    </row>
    <row r="50">
      <c r="A50" s="55" t="inlineStr">
        <is>
          <t>fc EPS</t>
        </is>
      </c>
      <c r="B50" s="56" t="n">
        <v>114.62</v>
      </c>
      <c r="G50" s="57" t="inlineStr">
        <is>
          <t>2단계 보고서 자료(회사 설명회 자료·공시)</t>
        </is>
      </c>
    </row>
    <row r="51">
      <c r="A51" s="55" t="inlineStr">
        <is>
          <t>가격</t>
        </is>
      </c>
      <c r="B51" s="58" t="n">
        <v>1531</v>
      </c>
    </row>
    <row r="53">
      <c r="A53" s="53" t="inlineStr">
        <is>
          <t>peers · 9882 옐로햇</t>
        </is>
      </c>
      <c r="B53" s="53" t="n"/>
      <c r="C53" s="53" t="n"/>
      <c r="D53" s="53" t="n"/>
      <c r="E53" s="53" t="n"/>
      <c r="F53" s="53" t="n"/>
      <c r="G53" s="53" t="n"/>
    </row>
    <row r="54">
      <c r="A54" s="54" t="inlineStr">
        <is>
          <t>항목</t>
        </is>
      </c>
      <c r="B54" s="54" t="inlineStr">
        <is>
          <t>값</t>
        </is>
      </c>
      <c r="G54" s="54" t="inlineStr">
        <is>
          <t>출처</t>
        </is>
      </c>
    </row>
    <row r="55">
      <c r="A55" s="55" t="inlineStr">
        <is>
          <t>fc EPS</t>
        </is>
      </c>
      <c r="B55" s="56" t="n">
        <v>142.61</v>
      </c>
      <c r="G55" s="57" t="inlineStr">
        <is>
          <t>2단계 보고서 자료(회사 설명회 자료·공시)</t>
        </is>
      </c>
    </row>
    <row r="56">
      <c r="A56" s="55" t="inlineStr">
        <is>
          <t>가격</t>
        </is>
      </c>
      <c r="B56" s="58" t="n">
        <v>1617</v>
      </c>
    </row>
    <row r="58">
      <c r="A58" s="53" t="inlineStr">
        <is>
          <t>quarters</t>
        </is>
      </c>
      <c r="B58" s="53" t="n"/>
      <c r="C58" s="53" t="n"/>
      <c r="D58" s="53" t="n"/>
      <c r="E58" s="53" t="n"/>
      <c r="F58" s="53" t="n"/>
      <c r="G58" s="53" t="n"/>
    </row>
    <row r="59">
      <c r="A59" s="54" t="inlineStr">
        <is>
          <t>항목</t>
        </is>
      </c>
      <c r="B59" s="54" t="inlineStr">
        <is>
          <t>label</t>
        </is>
      </c>
      <c r="C59" s="54" t="inlineStr">
        <is>
          <t>매출</t>
        </is>
      </c>
      <c r="D59" s="54" t="inlineStr">
        <is>
          <t>gp</t>
        </is>
      </c>
      <c r="E59" s="54" t="inlineStr">
        <is>
          <t>영업이익</t>
        </is>
      </c>
      <c r="F59" s="54" t="inlineStr">
        <is>
          <t>순이익</t>
        </is>
      </c>
      <c r="G59" s="54" t="inlineStr">
        <is>
          <t>출처</t>
        </is>
      </c>
    </row>
    <row r="60">
      <c r="A60" s="55" t="inlineStr">
        <is>
          <t>FY24-Q1</t>
        </is>
      </c>
      <c r="B60" s="59" t="inlineStr">
        <is>
          <t>23.9~11</t>
        </is>
      </c>
      <c r="C60" s="56" t="n">
        <v>20.51</v>
      </c>
      <c r="D60" s="59" t="n"/>
      <c r="E60" s="56" t="n">
        <v>0.37</v>
      </c>
      <c r="F60" s="56" t="n">
        <v>0.38</v>
      </c>
      <c r="G60" s="57" t="inlineStr">
        <is>
          <t>2단계 보고서 자료(회사 설명회 자료·공시)</t>
        </is>
      </c>
    </row>
    <row r="61">
      <c r="A61" s="55" t="inlineStr">
        <is>
          <t>FY24-Q2</t>
        </is>
      </c>
      <c r="B61" s="59" t="inlineStr">
        <is>
          <t>23.12~24.2</t>
        </is>
      </c>
      <c r="C61" s="56" t="n">
        <v>21.58</v>
      </c>
      <c r="D61" s="59" t="n"/>
      <c r="E61" s="56" t="n">
        <v>0.75</v>
      </c>
      <c r="F61" s="56" t="n">
        <v>0.84</v>
      </c>
    </row>
    <row r="62">
      <c r="A62" s="55" t="inlineStr">
        <is>
          <t>FY24-Q3</t>
        </is>
      </c>
      <c r="B62" s="59" t="inlineStr">
        <is>
          <t>24.3~5</t>
        </is>
      </c>
      <c r="C62" s="56" t="n">
        <v>22.82</v>
      </c>
      <c r="D62" s="56" t="n">
        <v>10.03</v>
      </c>
      <c r="E62" s="56" t="n">
        <v>1.93</v>
      </c>
      <c r="F62" s="56" t="n">
        <v>1.61</v>
      </c>
    </row>
    <row r="63">
      <c r="A63" s="55" t="inlineStr">
        <is>
          <t>FY24-Q4</t>
        </is>
      </c>
      <c r="B63" s="59" t="inlineStr">
        <is>
          <t>24.6~8</t>
        </is>
      </c>
      <c r="C63" s="56" t="n">
        <v>25.13</v>
      </c>
      <c r="D63" s="56" t="n">
        <v>9.51</v>
      </c>
      <c r="E63" s="56" t="n">
        <v>1.13</v>
      </c>
      <c r="F63" s="56" t="n">
        <v>0.64</v>
      </c>
    </row>
    <row r="64">
      <c r="A64" s="55" t="inlineStr">
        <is>
          <t>FY25-Q1</t>
        </is>
      </c>
      <c r="B64" s="59" t="inlineStr">
        <is>
          <t>24.9~11</t>
        </is>
      </c>
      <c r="C64" s="56" t="n">
        <v>21.19</v>
      </c>
      <c r="D64" s="56" t="n">
        <v>8.81</v>
      </c>
      <c r="E64" s="56" t="n">
        <v>0.79</v>
      </c>
      <c r="F64" s="56" t="n">
        <v>0.82</v>
      </c>
    </row>
    <row r="65">
      <c r="A65" s="55" t="inlineStr">
        <is>
          <t>FY25-Q2</t>
        </is>
      </c>
      <c r="B65" s="59" t="inlineStr">
        <is>
          <t>24.12~25.2</t>
        </is>
      </c>
      <c r="C65" s="56" t="n">
        <v>20.97</v>
      </c>
      <c r="D65" s="56" t="n">
        <v>8.43</v>
      </c>
      <c r="E65" s="56" t="n">
        <v>0.33</v>
      </c>
      <c r="F65" s="56" t="n">
        <v>0.5</v>
      </c>
    </row>
    <row r="66">
      <c r="A66" s="55" t="inlineStr">
        <is>
          <t>FY25-Q3</t>
        </is>
      </c>
      <c r="B66" s="59" t="inlineStr">
        <is>
          <t>25.3~5</t>
        </is>
      </c>
      <c r="C66" s="56" t="n">
        <v>23.81</v>
      </c>
      <c r="D66" s="56" t="n">
        <v>9.859999999999999</v>
      </c>
      <c r="E66" s="56" t="n">
        <v>2.17</v>
      </c>
      <c r="F66" s="56" t="n">
        <v>1.53</v>
      </c>
    </row>
    <row r="67">
      <c r="A67" s="55" t="inlineStr">
        <is>
          <t>FY25-Q4</t>
        </is>
      </c>
      <c r="B67" s="59" t="inlineStr">
        <is>
          <t>25.6~8</t>
        </is>
      </c>
      <c r="C67" s="56" t="n">
        <v>23.79</v>
      </c>
      <c r="D67" s="56" t="n">
        <v>9.07</v>
      </c>
      <c r="E67" s="56" t="n">
        <v>0.65</v>
      </c>
      <c r="F67" s="56" t="n">
        <v>0.76</v>
      </c>
    </row>
    <row r="68">
      <c r="A68" s="55" t="inlineStr">
        <is>
          <t>FY26-Q1</t>
        </is>
      </c>
      <c r="B68" s="59" t="inlineStr">
        <is>
          <t>25.9~11</t>
        </is>
      </c>
      <c r="C68" s="56" t="n">
        <v>20.67</v>
      </c>
      <c r="D68" s="56" t="n">
        <v>8.289999999999999</v>
      </c>
      <c r="E68" s="56" t="n">
        <v>-0.39</v>
      </c>
      <c r="F68" s="56" t="n">
        <v>0.29</v>
      </c>
    </row>
    <row r="69">
      <c r="A69" s="55" t="inlineStr">
        <is>
          <t>FY26-Q2</t>
        </is>
      </c>
      <c r="B69" s="59" t="inlineStr">
        <is>
          <t>25.12~26.2</t>
        </is>
      </c>
      <c r="C69" s="56" t="n">
        <v>23.57</v>
      </c>
      <c r="D69" s="56" t="n">
        <v>10.03</v>
      </c>
      <c r="E69" s="56" t="n">
        <v>1.53</v>
      </c>
      <c r="F69" s="56" t="n">
        <v>1.56</v>
      </c>
    </row>
    <row r="70">
      <c r="A70" s="55" t="inlineStr">
        <is>
          <t>FY26-Q3</t>
        </is>
      </c>
      <c r="B70" s="59" t="inlineStr">
        <is>
          <t>26.3~5</t>
        </is>
      </c>
      <c r="C70" s="56" t="n">
        <v>26.68</v>
      </c>
      <c r="D70" s="56" t="n">
        <v>11.52</v>
      </c>
      <c r="E70" s="56" t="n">
        <v>2.93</v>
      </c>
      <c r="F70" s="56" t="n">
        <v>2.28</v>
      </c>
    </row>
    <row r="71">
      <c r="A71" s="55" t="inlineStr">
        <is>
          <t>FY26-Q4</t>
        </is>
      </c>
      <c r="B71" s="59" t="inlineStr">
        <is>
          <t>26.6~8</t>
        </is>
      </c>
      <c r="C71" s="56" t="n">
        <v>27.96</v>
      </c>
      <c r="D71" s="56" t="n">
        <v>10.73</v>
      </c>
      <c r="E71" s="56" t="n">
        <v>1.73</v>
      </c>
      <c r="F71" s="56" t="n">
        <v>1.9</v>
      </c>
    </row>
    <row r="73">
      <c r="A73" s="53" t="inlineStr">
        <is>
          <t>가이던스 history 영업이익</t>
        </is>
      </c>
      <c r="B73" s="53" t="n"/>
      <c r="C73" s="53" t="n"/>
      <c r="D73" s="53" t="n"/>
      <c r="E73" s="53" t="n"/>
      <c r="F73" s="53" t="n"/>
      <c r="G73" s="53" t="n"/>
    </row>
    <row r="74">
      <c r="A74" s="54" t="inlineStr">
        <is>
          <t>항목</t>
        </is>
      </c>
      <c r="B74" s="54" t="inlineStr">
        <is>
          <t>initial</t>
        </is>
      </c>
      <c r="C74" s="54" t="inlineStr">
        <is>
          <t>실적</t>
        </is>
      </c>
      <c r="G74" s="54" t="inlineStr">
        <is>
          <t>출처</t>
        </is>
      </c>
    </row>
    <row r="75">
      <c r="A75" s="55" t="inlineStr">
        <is>
          <t>FY8/22</t>
        </is>
      </c>
      <c r="B75" s="56" t="n">
        <v>3.93</v>
      </c>
      <c r="C75" s="56" t="n">
        <v>5.32</v>
      </c>
      <c r="G75" s="57" t="inlineStr">
        <is>
          <t>2단계 보고서 자료(회사 설명회 자료·공시)</t>
        </is>
      </c>
    </row>
    <row r="76">
      <c r="A76" s="55" t="inlineStr">
        <is>
          <t>FY8/23</t>
        </is>
      </c>
      <c r="B76" s="56" t="n">
        <v>4.5</v>
      </c>
      <c r="C76" s="56" t="n">
        <v>6.37</v>
      </c>
    </row>
    <row r="77">
      <c r="A77" s="55" t="inlineStr">
        <is>
          <t>FY8/24</t>
        </is>
      </c>
      <c r="B77" s="56" t="n">
        <v>5.3</v>
      </c>
      <c r="C77" s="56" t="n">
        <v>4.18</v>
      </c>
    </row>
    <row r="78">
      <c r="A78" s="55" t="inlineStr">
        <is>
          <t>FY8/25</t>
        </is>
      </c>
      <c r="B78" s="56" t="n">
        <v>3.9</v>
      </c>
      <c r="C78" s="56" t="n">
        <v>3.94</v>
      </c>
    </row>
    <row r="79">
      <c r="A79" s="55" t="inlineStr">
        <is>
          <t>FY8/26</t>
        </is>
      </c>
      <c r="B79" s="56" t="n">
        <v>3</v>
      </c>
      <c r="C79" s="56" t="n">
        <v>5.8</v>
      </c>
    </row>
    <row r="81">
      <c r="A81" s="53" t="inlineStr">
        <is>
          <t>가이던스 history 매출</t>
        </is>
      </c>
      <c r="B81" s="53" t="n"/>
      <c r="C81" s="53" t="n"/>
      <c r="D81" s="53" t="n"/>
      <c r="E81" s="53" t="n"/>
      <c r="F81" s="53" t="n"/>
      <c r="G81" s="53" t="n"/>
    </row>
    <row r="82">
      <c r="A82" s="54" t="inlineStr">
        <is>
          <t>항목</t>
        </is>
      </c>
      <c r="B82" s="54" t="inlineStr">
        <is>
          <t>initial</t>
        </is>
      </c>
      <c r="C82" s="54" t="inlineStr">
        <is>
          <t>실적</t>
        </is>
      </c>
      <c r="G82" s="54" t="inlineStr">
        <is>
          <t>출처</t>
        </is>
      </c>
    </row>
    <row r="83">
      <c r="A83" s="55" t="inlineStr">
        <is>
          <t>FY8/22</t>
        </is>
      </c>
      <c r="B83" s="56" t="n">
        <v>82.3</v>
      </c>
      <c r="C83" s="56" t="n">
        <v>86.29000000000001</v>
      </c>
      <c r="G83" s="57" t="inlineStr">
        <is>
          <t>2단계 보고서 자료(회사 설명회 자료·공시)</t>
        </is>
      </c>
    </row>
    <row r="84">
      <c r="A84" s="55" t="inlineStr">
        <is>
          <t>FY8/23</t>
        </is>
      </c>
      <c r="B84" s="56" t="n">
        <v>90</v>
      </c>
      <c r="C84" s="56" t="n">
        <v>92.41</v>
      </c>
    </row>
    <row r="85">
      <c r="A85" s="55" t="inlineStr">
        <is>
          <t>FY8/24</t>
        </is>
      </c>
      <c r="B85" s="56" t="n">
        <v>94</v>
      </c>
      <c r="C85" s="56" t="n">
        <v>90.04000000000001</v>
      </c>
    </row>
    <row r="86">
      <c r="A86" s="55" t="inlineStr">
        <is>
          <t>FY8/25</t>
        </is>
      </c>
      <c r="B86" s="56" t="n">
        <v>93.3</v>
      </c>
      <c r="C86" s="56" t="n">
        <v>89.77</v>
      </c>
    </row>
    <row r="87">
      <c r="A87" s="55" t="inlineStr">
        <is>
          <t>FY8/26</t>
        </is>
      </c>
      <c r="B87" s="56" t="n">
        <v>93</v>
      </c>
      <c r="C87" s="56" t="n">
        <v>98.89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1" t="inlineStr">
        <is>
          <t>출처 · 쓴 결산단신</t>
        </is>
      </c>
    </row>
    <row r="3">
      <c r="A3" s="60" t="inlineStr">
        <is>
          <t>공시일</t>
        </is>
      </c>
      <c r="B3" s="60" t="inlineStr">
        <is>
          <t>문서</t>
        </is>
      </c>
      <c r="C3" s="60" t="inlineStr">
        <is>
          <t>PDF</t>
        </is>
      </c>
    </row>
    <row r="4">
      <c r="A4" t="inlineStr">
        <is>
          <t>2026-10-13</t>
        </is>
      </c>
      <c r="B4" t="inlineStr">
        <is>
          <t>2026년 8월 결산기 연간 결산단신</t>
        </is>
      </c>
      <c r="C4" t="inlineStr">
        <is>
          <t>https://www2.jpx.co.jp/disc/72190/140120261008548219.pdf</t>
        </is>
      </c>
    </row>
    <row r="5">
      <c r="A5" t="inlineStr">
        <is>
          <t>2026-07-10</t>
        </is>
      </c>
      <c r="B5" t="inlineStr">
        <is>
          <t>2026년 8월 결산기 ３분기 결산단신</t>
        </is>
      </c>
      <c r="C5" t="inlineStr">
        <is>
          <t>https://www2.jpx.co.jp/disc/72190/140120260709590132.pdf</t>
        </is>
      </c>
    </row>
    <row r="6">
      <c r="A6" t="inlineStr">
        <is>
          <t>2026-04-10</t>
        </is>
      </c>
      <c r="B6" t="inlineStr">
        <is>
          <t>2026년 8월 결산기 ２분기 결산단신</t>
        </is>
      </c>
      <c r="C6" t="inlineStr">
        <is>
          <t>https://www2.jpx.co.jp/disc/72190/140120260407599606.pdf</t>
        </is>
      </c>
    </row>
    <row r="7">
      <c r="A7" t="inlineStr">
        <is>
          <t>2026-01-09</t>
        </is>
      </c>
      <c r="B7" t="inlineStr">
        <is>
          <t>2026년 8월 결산기 １분기 결산단신</t>
        </is>
      </c>
      <c r="C7" t="inlineStr">
        <is>
          <t>https://www2.jpx.co.jp/disc/72190/140120260108530685.pdf</t>
        </is>
      </c>
    </row>
    <row r="8">
      <c r="A8" t="inlineStr">
        <is>
          <t>2025-10-10</t>
        </is>
      </c>
      <c r="B8" t="inlineStr">
        <is>
          <t>2025년 8월 결산기 연간 결산단신</t>
        </is>
      </c>
      <c r="C8" t="inlineStr">
        <is>
          <t>https://www2.jpx.co.jp/disc/72190/140120251010571380.pdf</t>
        </is>
      </c>
    </row>
    <row r="9">
      <c r="A9" t="inlineStr">
        <is>
          <t>2025-07-11</t>
        </is>
      </c>
      <c r="B9" t="inlineStr">
        <is>
          <t>2025년 8월 결산기 ３분기 결산단신</t>
        </is>
      </c>
      <c r="C9" t="inlineStr">
        <is>
          <t>https://www2.jpx.co.jp/disc/72190/140120250710511680.pdf</t>
        </is>
      </c>
    </row>
    <row r="10">
      <c r="A10" t="inlineStr">
        <is>
          <t>2025-04-11</t>
        </is>
      </c>
      <c r="B10" t="inlineStr">
        <is>
          <t>2025년 8월 결산기 ２분기 결산단신</t>
        </is>
      </c>
      <c r="C10" t="inlineStr">
        <is>
          <t>https://www2.jpx.co.jp/disc/72190/140120250410512825.pdf</t>
        </is>
      </c>
    </row>
    <row r="11">
      <c r="A11" t="inlineStr">
        <is>
          <t>2025-01-10</t>
        </is>
      </c>
      <c r="B11" t="inlineStr">
        <is>
          <t>2025년 8월 결산기 １분기 결산단신</t>
        </is>
      </c>
      <c r="C11" t="inlineStr">
        <is>
          <t>https://www2.jpx.co.jp/disc/72190/140120250109548753.pdf</t>
        </is>
      </c>
    </row>
    <row r="12">
      <c r="A12" t="inlineStr">
        <is>
          <t>2024-10-11</t>
        </is>
      </c>
      <c r="B12" t="inlineStr">
        <is>
          <t>2024년 8월 결산기 연간 결산단신</t>
        </is>
      </c>
      <c r="C12" t="inlineStr">
        <is>
          <t>https://www2.jpx.co.jp/disc/72190/140120241011596821.pdf</t>
        </is>
      </c>
    </row>
    <row r="13">
      <c r="A13" t="inlineStr">
        <is>
          <t>2024-07-12</t>
        </is>
      </c>
      <c r="B13" t="inlineStr">
        <is>
          <t>2024년 8월 결산기 3분기 결산단신</t>
        </is>
      </c>
      <c r="C13" t="inlineStr">
        <is>
          <t>https://www2.jpx.co.jp/disc/72190/140120240711547705.pdf</t>
        </is>
      </c>
    </row>
    <row r="14">
      <c r="A14" t="inlineStr">
        <is>
          <t>2024-04-12</t>
        </is>
      </c>
      <c r="B14" t="inlineStr">
        <is>
          <t>２분기 결산단신</t>
        </is>
      </c>
      <c r="C14" t="inlineStr">
        <is>
          <t>https://www2.jpx.co.jp/disc/72190/140120240412569688.pdf</t>
        </is>
      </c>
    </row>
    <row r="15">
      <c r="A15" t="inlineStr">
        <is>
          <t>2024-01-12</t>
        </is>
      </c>
      <c r="B15" t="inlineStr">
        <is>
          <t>2024년 8월 결산기 １분기 결산단신</t>
        </is>
      </c>
      <c r="C15" t="inlineStr">
        <is>
          <t>https://www2.jpx.co.jp/disc/72190/140120240112514060.pdf</t>
        </is>
      </c>
    </row>
    <row r="16">
      <c r="A16" t="inlineStr">
        <is>
          <t>2023-10-13</t>
        </is>
      </c>
      <c r="B16" t="inlineStr">
        <is>
          <t>2023년 8월 결산기 연간 결산단신</t>
        </is>
      </c>
      <c r="C16" t="inlineStr">
        <is>
          <t>https://www2.jpx.co.jp/disc/72190/140120231013566410.pdf</t>
        </is>
      </c>
    </row>
    <row r="17">
      <c r="A17" t="inlineStr">
        <is>
          <t>2023-07-14</t>
        </is>
      </c>
      <c r="B17" t="inlineStr">
        <is>
          <t>2023년 8월 결산기 ３분기 결산단신</t>
        </is>
      </c>
      <c r="C17" t="inlineStr">
        <is>
          <t>https://www2.jpx.co.jp/disc/72190/140120230714522190.pdf</t>
        </is>
      </c>
    </row>
    <row r="18">
      <c r="A18" t="inlineStr">
        <is>
          <t>2023-04-14</t>
        </is>
      </c>
      <c r="B18" t="inlineStr">
        <is>
          <t>2023년 8월 결산기 ２분기 결산단신</t>
        </is>
      </c>
      <c r="C18" t="inlineStr">
        <is>
          <t>https://www2.jpx.co.jp/disc/72190/140120230413546776.pdf</t>
        </is>
      </c>
    </row>
    <row r="19">
      <c r="A19" t="inlineStr">
        <is>
          <t>2023-01-13</t>
        </is>
      </c>
      <c r="B19" t="inlineStr">
        <is>
          <t>2023년 8월 결산기 １분기 결산단신</t>
        </is>
      </c>
      <c r="C19" t="inlineStr">
        <is>
          <t>https://www2.jpx.co.jp/disc/72190/140120221216579660.pdf</t>
        </is>
      </c>
    </row>
    <row r="20">
      <c r="A20" t="inlineStr">
        <is>
          <t>2022-10-14</t>
        </is>
      </c>
      <c r="B20" t="inlineStr">
        <is>
          <t>2022년 8월 결산기 연간 결산단신</t>
        </is>
      </c>
      <c r="C20" t="inlineStr">
        <is>
          <t>https://www2.jpx.co.jp/disc/72190/140120220930539225.pdf</t>
        </is>
      </c>
    </row>
    <row r="21">
      <c r="A21" t="inlineStr">
        <is>
          <t>2021-10-15</t>
        </is>
      </c>
      <c r="B21" t="inlineStr">
        <is>
          <t>2021년 8월 결산기 연간 결산단신</t>
        </is>
      </c>
      <c r="C21" t="inlineStr">
        <is>
          <t>https://www2.jpx.co.jp/disc/72190/140120211005406739.pdf</t>
        </is>
      </c>
    </row>
    <row r="22">
      <c r="A22" t="inlineStr">
        <is>
          <t>2020-10-15</t>
        </is>
      </c>
      <c r="B22" t="inlineStr">
        <is>
          <t>2020년 8월 결산기 연간 결산단신</t>
        </is>
      </c>
      <c r="C22" t="inlineStr">
        <is>
          <t>https://www2.jpx.co.jp/disc/72190/140120201002499580.pdf</t>
        </is>
      </c>
    </row>
    <row r="23">
      <c r="A23" t="inlineStr">
        <is>
          <t>2019-10-11</t>
        </is>
      </c>
      <c r="B23" t="inlineStr">
        <is>
          <t>2019년 8월 결산기 연간 결산단신</t>
        </is>
      </c>
      <c r="C23" t="inlineStr">
        <is>
          <t>https://www2.jpx.co.jp/disc/72190/140120191001403622.pdf</t>
        </is>
      </c>
    </row>
    <row r="24">
      <c r="A24" t="inlineStr">
        <is>
          <t>2018-10-15</t>
        </is>
      </c>
      <c r="B24" t="inlineStr">
        <is>
          <t>연간 결산단신</t>
        </is>
      </c>
      <c r="C24" t="inlineStr">
        <is>
          <t>https://www2.jpx.co.jp/disc/72190/140120181007415133.pdf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2026-10-25T07:48:08Z</dcterms:created>
  <dcterms:modified xmlns:dcterms="http://purl.org/dc/terms/" xmlns:xsi="http://www.w3.org/2001/XMLSchema-instance" xsi:type="dcterms:W3CDTF">2026-10-25T07:48:09Z</dcterms:modified>
</cp:coreProperties>
</file>