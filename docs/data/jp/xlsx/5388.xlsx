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28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47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5388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4272.208</v>
      </c>
      <c r="D4" s="12" t="n">
        <v>2827.84</v>
      </c>
      <c r="E4" s="12" t="n">
        <v>3652.502</v>
      </c>
      <c r="F4" s="12" t="n">
        <v>3711.708</v>
      </c>
      <c r="G4" s="12" t="n">
        <v>4130.223</v>
      </c>
      <c r="H4" s="12" t="n">
        <v>4213.19</v>
      </c>
      <c r="I4" s="12" t="n">
        <v>3719.887</v>
      </c>
      <c r="J4" s="12" t="n">
        <v>3992.776</v>
      </c>
      <c r="K4" s="12" t="n">
        <v>4686.943</v>
      </c>
      <c r="L4" s="12" t="n">
        <v>4675.883</v>
      </c>
      <c r="M4" s="12" t="n">
        <v>4184.198</v>
      </c>
      <c r="N4" s="12" t="n">
        <v>4418.417</v>
      </c>
      <c r="O4" s="11" t="n">
        <v>12930.314</v>
      </c>
      <c r="P4" s="12" t="n">
        <v>13736.698</v>
      </c>
      <c r="Q4" s="12" t="n">
        <v>13465.917</v>
      </c>
      <c r="R4" s="12" t="n">
        <v>15440.129</v>
      </c>
      <c r="S4" s="12" t="n">
        <v>14593.834</v>
      </c>
      <c r="T4" s="12" t="n">
        <v>15257.435</v>
      </c>
      <c r="U4" s="12" t="n">
        <v>14172.355</v>
      </c>
      <c r="V4" s="12" t="n">
        <v>14497.668</v>
      </c>
      <c r="W4" s="12" t="n">
        <v>15707.623</v>
      </c>
      <c r="X4" s="12" t="n">
        <v>17075.489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BentoniteDivisionReportableSegmentMember</t>
        </is>
      </c>
      <c r="B7" s="10" t="n"/>
      <c r="C7" s="19" t="n">
        <v>2971.464</v>
      </c>
      <c r="D7" s="20" t="n">
        <v>2572.373</v>
      </c>
      <c r="E7" s="20" t="n">
        <v>2746.237</v>
      </c>
      <c r="F7" s="20" t="n">
        <v>2666.788</v>
      </c>
      <c r="G7" s="20" t="n">
        <v>2847.642</v>
      </c>
      <c r="H7" s="20" t="n">
        <v>2833.553</v>
      </c>
      <c r="I7" s="20" t="n">
        <v>2812.934</v>
      </c>
      <c r="J7" s="20" t="n">
        <v>2923.791</v>
      </c>
      <c r="K7" s="20" t="n">
        <v>3120.468</v>
      </c>
      <c r="L7" s="20" t="n">
        <v>2985.13</v>
      </c>
      <c r="M7" s="20" t="n">
        <v>3077.58</v>
      </c>
      <c r="N7" s="20" t="n">
        <v>2998.835</v>
      </c>
      <c r="O7" s="19" t="n"/>
      <c r="P7" s="20" t="n"/>
      <c r="Q7" s="20" t="n"/>
      <c r="R7" s="20" t="n"/>
      <c r="S7" s="20" t="n"/>
      <c r="T7" s="20" t="n"/>
      <c r="U7" s="20" t="n"/>
      <c r="V7" s="20" t="n">
        <v>11329.123</v>
      </c>
      <c r="W7" s="20" t="n">
        <v>11094.22</v>
      </c>
      <c r="X7" s="20" t="n">
        <v>11842.323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ClayscienceDivisionReportableSegmentMember</t>
        </is>
      </c>
      <c r="B10" s="10" t="n"/>
      <c r="C10" s="19" t="n"/>
      <c r="D10" s="20" t="n">
        <v>482.807</v>
      </c>
      <c r="E10" s="20" t="n">
        <v>500.431</v>
      </c>
      <c r="F10" s="20" t="n"/>
      <c r="G10" s="20" t="n"/>
      <c r="H10" s="20" t="n">
        <v>355.922</v>
      </c>
      <c r="I10" s="20" t="n">
        <v>420.683</v>
      </c>
      <c r="J10" s="20" t="n"/>
      <c r="K10" s="20" t="n"/>
      <c r="L10" s="20" t="n">
        <v>449.698</v>
      </c>
      <c r="M10" s="20" t="n">
        <v>492.183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1642.335</v>
      </c>
      <c r="W10" s="20" t="n">
        <v>1808.894</v>
      </c>
      <c r="X10" s="20" t="n">
        <v>1788.188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ClayReportableSegmentMember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AgricultureDivisionReportableSegmentMember</t>
        </is>
      </c>
      <c r="B16" s="10" t="n"/>
      <c r="C16" s="19" t="n">
        <v>914.583</v>
      </c>
      <c r="D16" s="20" t="n">
        <v>950.239</v>
      </c>
      <c r="E16" s="20" t="n">
        <v>405.833</v>
      </c>
      <c r="F16" s="20" t="n">
        <v>529.082</v>
      </c>
      <c r="G16" s="20" t="n">
        <v>845.878</v>
      </c>
      <c r="H16" s="20" t="n">
        <v>1023.715</v>
      </c>
      <c r="I16" s="20" t="n">
        <v>486.269</v>
      </c>
      <c r="J16" s="20" t="n">
        <v>606.5940000000001</v>
      </c>
      <c r="K16" s="20" t="n">
        <v>1111.059</v>
      </c>
      <c r="L16" s="20" t="n">
        <v>1241.055</v>
      </c>
      <c r="M16" s="20" t="n">
        <v>614.434</v>
      </c>
      <c r="N16" s="20" t="n">
        <v>908.65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2703.789</v>
      </c>
      <c r="W16" s="20" t="n">
        <v>2804.508</v>
      </c>
      <c r="X16" s="20" t="n">
        <v>3444.977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3652.502</v>
      </c>
      <c r="F19" s="20" t="n"/>
      <c r="G19" s="20" t="n"/>
      <c r="H19" s="20" t="n"/>
      <c r="I19" s="20" t="n">
        <v>3719.887</v>
      </c>
      <c r="J19" s="20" t="n"/>
      <c r="K19" s="20" t="n"/>
      <c r="L19" s="20" t="n"/>
      <c r="M19" s="20" t="n">
        <v>4184.198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3014.957</v>
      </c>
      <c r="D23" s="20" t="n">
        <v>2221.671</v>
      </c>
      <c r="E23" s="20" t="n">
        <v>2635.405</v>
      </c>
      <c r="F23" s="20" t="n">
        <v>2687.709</v>
      </c>
      <c r="G23" s="20" t="n">
        <v>2928.707</v>
      </c>
      <c r="H23" s="20" t="n">
        <v>2994.078</v>
      </c>
      <c r="I23" s="20" t="n">
        <v>2669.946</v>
      </c>
      <c r="J23" s="20" t="n">
        <v>2900.728</v>
      </c>
      <c r="K23" s="20" t="n">
        <v>3228.221</v>
      </c>
      <c r="L23" s="20" t="n">
        <v>3271.818</v>
      </c>
      <c r="M23" s="20" t="n">
        <v>2951.894</v>
      </c>
      <c r="N23" s="20" t="n">
        <v>3119.125</v>
      </c>
      <c r="O23" s="19" t="n">
        <v>8662.688</v>
      </c>
      <c r="P23" s="20" t="n">
        <v>9092.755999999999</v>
      </c>
      <c r="Q23" s="20" t="n">
        <v>9432.183999999999</v>
      </c>
      <c r="R23" s="20" t="n">
        <v>10387.948</v>
      </c>
      <c r="S23" s="20" t="n">
        <v>9405.365</v>
      </c>
      <c r="T23" s="20" t="n">
        <v>10522.213</v>
      </c>
      <c r="U23" s="20" t="n">
        <v>10593.403</v>
      </c>
      <c r="V23" s="20" t="n">
        <v>10606.391</v>
      </c>
      <c r="W23" s="20" t="n">
        <v>11245.899</v>
      </c>
      <c r="X23" s="20" t="n">
        <v>12070.713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828.729</v>
      </c>
      <c r="D29" s="20" t="n">
        <v>249.218</v>
      </c>
      <c r="E29" s="20" t="n">
        <v>821.032</v>
      </c>
      <c r="F29" s="20" t="n">
        <v>758.389</v>
      </c>
      <c r="G29" s="20" t="n">
        <v>816.085</v>
      </c>
      <c r="H29" s="20" t="n">
        <v>785.513</v>
      </c>
      <c r="I29" s="20" t="n">
        <v>816.6660000000001</v>
      </c>
      <c r="J29" s="20" t="n">
        <v>864.2859999999999</v>
      </c>
      <c r="K29" s="20" t="n">
        <v>910.891</v>
      </c>
      <c r="L29" s="20" t="n">
        <v>810.671</v>
      </c>
      <c r="M29" s="20" t="n">
        <v>871.927</v>
      </c>
      <c r="N29" s="20" t="n">
        <v>890.878</v>
      </c>
      <c r="O29" s="19" t="n">
        <v>2680.629</v>
      </c>
      <c r="P29" s="20" t="n">
        <v>2854.351</v>
      </c>
      <c r="Q29" s="20" t="n">
        <v>2467.876</v>
      </c>
      <c r="R29" s="20" t="n">
        <v>3120.322</v>
      </c>
      <c r="S29" s="20" t="n">
        <v>2941.625</v>
      </c>
      <c r="T29" s="20" t="n">
        <v>3069.106</v>
      </c>
      <c r="U29" s="20" t="n">
        <v>2596.512</v>
      </c>
      <c r="V29" s="20" t="n">
        <v>2695.005</v>
      </c>
      <c r="W29" s="20" t="n">
        <v>3181.019</v>
      </c>
      <c r="X29" s="20" t="n">
        <v>3402.514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428.521</v>
      </c>
      <c r="D31" s="12" t="n">
        <v>356.951</v>
      </c>
      <c r="E31" s="12" t="n">
        <v>196.064</v>
      </c>
      <c r="F31" s="12" t="n">
        <v>265.609</v>
      </c>
      <c r="G31" s="12" t="n">
        <v>385.432</v>
      </c>
      <c r="H31" s="12" t="n">
        <v>433.599</v>
      </c>
      <c r="I31" s="12" t="n">
        <v>233.274</v>
      </c>
      <c r="J31" s="12" t="n">
        <v>227.762</v>
      </c>
      <c r="K31" s="12" t="n">
        <v>547.831</v>
      </c>
      <c r="L31" s="12" t="n">
        <v>593.394</v>
      </c>
      <c r="M31" s="12" t="n">
        <v>360.376</v>
      </c>
      <c r="N31" s="12" t="n">
        <v>408.414</v>
      </c>
      <c r="O31" s="11" t="n">
        <v>1586.996</v>
      </c>
      <c r="P31" s="12" t="n">
        <v>1789.59</v>
      </c>
      <c r="Q31" s="12" t="n">
        <v>1565.856</v>
      </c>
      <c r="R31" s="12" t="n">
        <v>1931.858</v>
      </c>
      <c r="S31" s="12" t="n">
        <v>2246.844</v>
      </c>
      <c r="T31" s="12" t="n">
        <v>1666.114</v>
      </c>
      <c r="U31" s="12" t="n">
        <v>982.4400000000001</v>
      </c>
      <c r="V31" s="12" t="n">
        <v>1196.271</v>
      </c>
      <c r="W31" s="12" t="n">
        <v>1280.704</v>
      </c>
      <c r="X31" s="12" t="n">
        <v>1602.261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>
        <v>331.629</v>
      </c>
      <c r="P36" s="20" t="n">
        <v>331.207</v>
      </c>
      <c r="Q36" s="20" t="n">
        <v>276.442</v>
      </c>
      <c r="R36" s="20" t="n">
        <v>341.674</v>
      </c>
      <c r="S36" s="20" t="n">
        <v>362</v>
      </c>
      <c r="T36" s="20" t="n">
        <v>401.022</v>
      </c>
      <c r="U36" s="20" t="n">
        <v>348.215</v>
      </c>
      <c r="V36" s="20" t="n">
        <v>343.395</v>
      </c>
      <c r="W36" s="20" t="n">
        <v>433.195</v>
      </c>
      <c r="X36" s="20" t="n">
        <v>454.445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>
        <v>60.39</v>
      </c>
      <c r="P38" s="20" t="n">
        <v>58.202</v>
      </c>
      <c r="Q38" s="20" t="n">
        <v>26.76</v>
      </c>
      <c r="R38" s="20" t="n">
        <v>37.503</v>
      </c>
      <c r="S38" s="20" t="n">
        <v>39.785</v>
      </c>
      <c r="T38" s="20" t="n">
        <v>33.866</v>
      </c>
      <c r="U38" s="20" t="n">
        <v>33.177</v>
      </c>
      <c r="V38" s="20" t="n">
        <v>41.764</v>
      </c>
      <c r="W38" s="20" t="n">
        <v>44.757</v>
      </c>
      <c r="X38" s="20" t="n">
        <v>130.68</v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>
        <v>119.383</v>
      </c>
      <c r="P40" s="20" t="n">
        <v>132.745</v>
      </c>
      <c r="Q40" s="20" t="n">
        <v>149.587</v>
      </c>
      <c r="R40" s="20" t="n">
        <v>186.464</v>
      </c>
      <c r="S40" s="20" t="n">
        <v>174.124</v>
      </c>
      <c r="T40" s="20" t="n">
        <v>197.561</v>
      </c>
      <c r="U40" s="20" t="n">
        <v>209.986</v>
      </c>
      <c r="V40" s="20" t="n">
        <v>257.525</v>
      </c>
      <c r="W40" s="20" t="n">
        <v>275.84</v>
      </c>
      <c r="X40" s="20" t="n">
        <v>361.637</v>
      </c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>
        <v>165.582</v>
      </c>
      <c r="P42" s="20" t="n">
        <v>192.398</v>
      </c>
      <c r="Q42" s="20" t="n">
        <v>151.177</v>
      </c>
      <c r="R42" s="20" t="n">
        <v>162.675</v>
      </c>
      <c r="S42" s="20" t="n">
        <v>151.962</v>
      </c>
      <c r="T42" s="20" t="n">
        <v>162.381</v>
      </c>
      <c r="U42" s="20" t="n">
        <v>159.287</v>
      </c>
      <c r="V42" s="20" t="n">
        <v>176.438</v>
      </c>
      <c r="W42" s="20" t="n">
        <v>207.419</v>
      </c>
      <c r="X42" s="20" t="n">
        <v>235.623</v>
      </c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-4.332</v>
      </c>
      <c r="E47" s="20" t="n">
        <v>0.003</v>
      </c>
      <c r="F47" s="20" t="n">
        <v>7.575</v>
      </c>
      <c r="G47" s="20" t="n">
        <v>50.141</v>
      </c>
      <c r="H47" s="20" t="n">
        <v>94.43899999999999</v>
      </c>
      <c r="I47" s="20" t="n">
        <v>89.571</v>
      </c>
      <c r="J47" s="20" t="n">
        <v>93.872</v>
      </c>
      <c r="K47" s="20" t="n">
        <v>0.455</v>
      </c>
      <c r="L47" s="20" t="n">
        <v>1.714</v>
      </c>
      <c r="M47" s="20" t="n">
        <v>0</v>
      </c>
      <c r="N47" s="20" t="n">
        <v>0</v>
      </c>
      <c r="O47" s="19" t="n">
        <v>10.106</v>
      </c>
      <c r="P47" s="20" t="n">
        <v>1.587</v>
      </c>
      <c r="Q47" s="20" t="n">
        <v>0</v>
      </c>
      <c r="R47" s="20" t="n">
        <v>181.909</v>
      </c>
      <c r="S47" s="20" t="n">
        <v>76.726</v>
      </c>
      <c r="T47" s="20" t="n">
        <v>0.105</v>
      </c>
      <c r="U47" s="20" t="n">
        <v>2.099</v>
      </c>
      <c r="V47" s="20" t="n">
        <v>5.345</v>
      </c>
      <c r="W47" s="20" t="n">
        <v>152.158</v>
      </c>
      <c r="X47" s="20" t="n">
        <v>185.612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2.01</v>
      </c>
      <c r="D49" s="20" t="n">
        <v>1.466</v>
      </c>
      <c r="E49" s="20" t="n">
        <v>6.591</v>
      </c>
      <c r="F49" s="20" t="n">
        <v>4.024</v>
      </c>
      <c r="G49" s="20" t="n">
        <v>5.817</v>
      </c>
      <c r="H49" s="20" t="n">
        <v>19.029</v>
      </c>
      <c r="I49" s="20" t="n">
        <v>1.861</v>
      </c>
      <c r="J49" s="20" t="n">
        <v>46.992</v>
      </c>
      <c r="K49" s="20" t="n">
        <v>8.856</v>
      </c>
      <c r="L49" s="20" t="n">
        <v>34.34</v>
      </c>
      <c r="M49" s="20" t="n">
        <v>8.624000000000001</v>
      </c>
      <c r="N49" s="20" t="n">
        <v>11.547</v>
      </c>
      <c r="O49" s="19" t="n">
        <v>25.451</v>
      </c>
      <c r="P49" s="20" t="n">
        <v>23.021</v>
      </c>
      <c r="Q49" s="20" t="n">
        <v>19.38</v>
      </c>
      <c r="R49" s="20" t="n">
        <v>28.042</v>
      </c>
      <c r="S49" s="20" t="n">
        <v>54.736</v>
      </c>
      <c r="T49" s="20" t="n">
        <v>22.257</v>
      </c>
      <c r="U49" s="20" t="n">
        <v>25.213</v>
      </c>
      <c r="V49" s="20" t="n">
        <v>12.981</v>
      </c>
      <c r="W49" s="20" t="n">
        <v>35.461</v>
      </c>
      <c r="X49" s="20" t="n">
        <v>92.04900000000001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30.122</v>
      </c>
      <c r="D51" s="20" t="n">
        <v>17.548</v>
      </c>
      <c r="E51" s="20" t="n">
        <v>120.411</v>
      </c>
      <c r="F51" s="20" t="n">
        <v>55.574</v>
      </c>
      <c r="G51" s="20" t="n">
        <v>127.213</v>
      </c>
      <c r="H51" s="20" t="n">
        <v>27.788</v>
      </c>
      <c r="I51" s="20" t="n">
        <v>86.965</v>
      </c>
      <c r="J51" s="20" t="n">
        <v>45.282</v>
      </c>
      <c r="K51" s="20" t="n">
        <v>118.805</v>
      </c>
      <c r="L51" s="20" t="n">
        <v>132.336</v>
      </c>
      <c r="M51" s="20" t="n">
        <v>111.262</v>
      </c>
      <c r="N51" s="20" t="n">
        <v>45.663</v>
      </c>
      <c r="O51" s="19" t="n">
        <v>141.91</v>
      </c>
      <c r="P51" s="20" t="n">
        <v>174.577</v>
      </c>
      <c r="Q51" s="20" t="n">
        <v>84.545</v>
      </c>
      <c r="R51" s="20" t="n">
        <v>176.132</v>
      </c>
      <c r="S51" s="20" t="n">
        <v>170.782</v>
      </c>
      <c r="T51" s="20" t="n">
        <v>282.002</v>
      </c>
      <c r="U51" s="20" t="n">
        <v>457.791</v>
      </c>
      <c r="V51" s="20" t="n">
        <v>331.856</v>
      </c>
      <c r="W51" s="20" t="n">
        <v>330.986</v>
      </c>
      <c r="X51" s="20" t="n">
        <v>383.388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5.504</v>
      </c>
      <c r="D53" s="20" t="n">
        <v>2.174</v>
      </c>
      <c r="E53" s="20" t="n">
        <v>1.622</v>
      </c>
      <c r="F53" s="20" t="n">
        <v>54.067</v>
      </c>
      <c r="G53" s="20" t="n">
        <v>-47.984</v>
      </c>
      <c r="H53" s="20" t="n">
        <v>20.701</v>
      </c>
      <c r="I53" s="20" t="n">
        <v>38.163</v>
      </c>
      <c r="J53" s="20" t="n">
        <v>-26.19</v>
      </c>
      <c r="K53" s="20" t="n">
        <v>-4.346</v>
      </c>
      <c r="L53" s="20" t="n">
        <v>23.383</v>
      </c>
      <c r="M53" s="20" t="n">
        <v>7.562</v>
      </c>
      <c r="N53" s="20" t="n">
        <v>8.206</v>
      </c>
      <c r="O53" s="19" t="n">
        <v>10.569</v>
      </c>
      <c r="P53" s="20" t="n">
        <v>28.682</v>
      </c>
      <c r="Q53" s="20" t="n">
        <v>110.887</v>
      </c>
      <c r="R53" s="20" t="n">
        <v>13.656</v>
      </c>
      <c r="S53" s="20" t="n">
        <v>8.593</v>
      </c>
      <c r="T53" s="20" t="n">
        <v>34.467</v>
      </c>
      <c r="U53" s="20" t="n">
        <v>47.973</v>
      </c>
      <c r="V53" s="20" t="n">
        <v>10.775</v>
      </c>
      <c r="W53" s="20" t="n">
        <v>28.406</v>
      </c>
      <c r="X53" s="20" t="n">
        <v>31.01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451.13</v>
      </c>
      <c r="D55" s="12" t="n">
        <v>366.527</v>
      </c>
      <c r="E55" s="12" t="n">
        <v>308.266</v>
      </c>
      <c r="F55" s="12" t="n">
        <v>270.667</v>
      </c>
      <c r="G55" s="12" t="n">
        <v>604.952</v>
      </c>
      <c r="H55" s="12" t="n">
        <v>516.095</v>
      </c>
      <c r="I55" s="12" t="n">
        <v>369.786</v>
      </c>
      <c r="J55" s="12" t="n">
        <v>346.115</v>
      </c>
      <c r="K55" s="12" t="n">
        <v>662.58</v>
      </c>
      <c r="L55" s="12" t="n">
        <v>669.721</v>
      </c>
      <c r="M55" s="12" t="n">
        <v>455.451</v>
      </c>
      <c r="N55" s="12" t="n">
        <v>434.325</v>
      </c>
      <c r="O55" s="11" t="n">
        <v>1702.992</v>
      </c>
      <c r="P55" s="12" t="n">
        <v>1914.053</v>
      </c>
      <c r="Q55" s="12" t="n">
        <v>1520.133</v>
      </c>
      <c r="R55" s="12" t="n">
        <v>2248.201</v>
      </c>
      <c r="S55" s="12" t="n">
        <v>2431.023</v>
      </c>
      <c r="T55" s="12" t="n">
        <v>1891.497</v>
      </c>
      <c r="U55" s="12" t="n">
        <v>1369.144</v>
      </c>
      <c r="V55" s="12" t="n">
        <v>1509.716</v>
      </c>
      <c r="W55" s="12" t="n">
        <v>1699.98</v>
      </c>
      <c r="X55" s="12" t="n">
        <v>2048.202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139.529</v>
      </c>
      <c r="D57" s="20" t="n">
        <v>83.976</v>
      </c>
      <c r="E57" s="20" t="n">
        <v>112.884</v>
      </c>
      <c r="F57" s="20" t="n">
        <v>50.611</v>
      </c>
      <c r="G57" s="20" t="n">
        <v>219.544</v>
      </c>
      <c r="H57" s="20" t="n">
        <v>180.212</v>
      </c>
      <c r="I57" s="20" t="n">
        <v>161.78</v>
      </c>
      <c r="J57" s="20" t="n">
        <v>106.288</v>
      </c>
      <c r="K57" s="20" t="n">
        <v>215.72</v>
      </c>
      <c r="L57" s="20" t="n">
        <v>163.359</v>
      </c>
      <c r="M57" s="20" t="n">
        <v>155.433</v>
      </c>
      <c r="N57" s="20" t="n">
        <v>112.453</v>
      </c>
      <c r="O57" s="19" t="n">
        <v>490.096</v>
      </c>
      <c r="P57" s="20" t="n">
        <v>545.5599999999999</v>
      </c>
      <c r="Q57" s="20" t="n">
        <v>296.414</v>
      </c>
      <c r="R57" s="20" t="n">
        <v>555.966</v>
      </c>
      <c r="S57" s="20" t="n">
        <v>708.427</v>
      </c>
      <c r="T57" s="20" t="n">
        <v>535.336</v>
      </c>
      <c r="U57" s="20" t="n">
        <v>400.779</v>
      </c>
      <c r="V57" s="20" t="n">
        <v>426.927</v>
      </c>
      <c r="W57" s="20" t="n">
        <v>563.251</v>
      </c>
      <c r="X57" s="20" t="n">
        <v>647.147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311.6</v>
      </c>
      <c r="D59" s="12" t="n">
        <v>282.553</v>
      </c>
      <c r="E59" s="12" t="n">
        <v>195.381</v>
      </c>
      <c r="F59" s="12" t="n">
        <v>220.056</v>
      </c>
      <c r="G59" s="12" t="n">
        <v>385.408</v>
      </c>
      <c r="H59" s="12" t="n">
        <v>335.884</v>
      </c>
      <c r="I59" s="12" t="n">
        <v>208.005</v>
      </c>
      <c r="J59" s="12" t="n">
        <v>239.828</v>
      </c>
      <c r="K59" s="12" t="n">
        <v>446.86</v>
      </c>
      <c r="L59" s="12" t="n">
        <v>506.362</v>
      </c>
      <c r="M59" s="12" t="n">
        <v>300.018</v>
      </c>
      <c r="N59" s="12" t="n">
        <v>321.872</v>
      </c>
      <c r="O59" s="11" t="n">
        <v>1212.896</v>
      </c>
      <c r="P59" s="12" t="n">
        <v>1368.492</v>
      </c>
      <c r="Q59" s="12" t="n">
        <v>1223.719</v>
      </c>
      <c r="R59" s="12" t="n">
        <v>1692.235</v>
      </c>
      <c r="S59" s="12" t="n">
        <v>1722.596</v>
      </c>
      <c r="T59" s="12" t="n">
        <v>1356.161</v>
      </c>
      <c r="U59" s="12" t="n">
        <v>968.365</v>
      </c>
      <c r="V59" s="12" t="n">
        <v>1082.79</v>
      </c>
      <c r="W59" s="12" t="n">
        <v>1136.729</v>
      </c>
      <c r="X59" s="12" t="n">
        <v>1401.055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306.562</v>
      </c>
      <c r="D61" s="12" t="n">
        <v>264.456</v>
      </c>
      <c r="E61" s="12" t="n">
        <v>182.451</v>
      </c>
      <c r="F61" s="12" t="n">
        <v>192.401</v>
      </c>
      <c r="G61" s="12" t="n">
        <v>378.827</v>
      </c>
      <c r="H61" s="12" t="n">
        <v>324.399</v>
      </c>
      <c r="I61" s="12" t="n">
        <v>190.86</v>
      </c>
      <c r="J61" s="12" t="n">
        <v>230.038</v>
      </c>
      <c r="K61" s="12" t="n">
        <v>431.99</v>
      </c>
      <c r="L61" s="12" t="n">
        <v>487.993</v>
      </c>
      <c r="M61" s="12" t="n">
        <v>285.519</v>
      </c>
      <c r="N61" s="12" t="n">
        <v>303.212</v>
      </c>
      <c r="O61" s="11" t="n">
        <v>1190.931</v>
      </c>
      <c r="P61" s="12" t="n">
        <v>1340.096</v>
      </c>
      <c r="Q61" s="12" t="n">
        <v>1402.664</v>
      </c>
      <c r="R61" s="12" t="n">
        <v>1648.05</v>
      </c>
      <c r="S61" s="12" t="n">
        <v>1681.639</v>
      </c>
      <c r="T61" s="12" t="n">
        <v>1301.68</v>
      </c>
      <c r="U61" s="12" t="n">
        <v>842.473</v>
      </c>
      <c r="V61" s="12" t="n">
        <v>1043.706</v>
      </c>
      <c r="W61" s="12" t="n">
        <v>1078.078</v>
      </c>
      <c r="X61" s="12" t="n">
        <v>1340.881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4272.208</v>
      </c>
      <c r="D96" s="12" t="n">
        <v>2827.84</v>
      </c>
      <c r="E96" s="12" t="n">
        <v>3652.502</v>
      </c>
      <c r="F96" s="12" t="n">
        <v>3711.708</v>
      </c>
      <c r="G96" s="12" t="n">
        <v>4130.223</v>
      </c>
      <c r="H96" s="12" t="n">
        <v>4213.19</v>
      </c>
      <c r="I96" s="12" t="n">
        <v>3719.887</v>
      </c>
      <c r="J96" s="12" t="n">
        <v>3992.776</v>
      </c>
      <c r="K96" s="12" t="n">
        <v>4686.943</v>
      </c>
      <c r="L96" s="12" t="n">
        <v>4675.883</v>
      </c>
      <c r="M96" s="12" t="n">
        <v>4184.198</v>
      </c>
      <c r="N96" s="12" t="n">
        <v>4418.417</v>
      </c>
      <c r="V96" s="12" t="n">
        <v>2827.84</v>
      </c>
      <c r="W96" s="12" t="n">
        <v>4213.19</v>
      </c>
      <c r="X96" s="12" t="n">
        <v>4675.883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3014.957</v>
      </c>
      <c r="D98" s="20" t="n">
        <v>2221.671</v>
      </c>
      <c r="E98" s="20" t="n">
        <v>2635.405</v>
      </c>
      <c r="F98" s="20" t="n">
        <v>2687.709</v>
      </c>
      <c r="G98" s="20" t="n">
        <v>2928.707</v>
      </c>
      <c r="H98" s="20" t="n">
        <v>2994.078</v>
      </c>
      <c r="I98" s="20" t="n">
        <v>2669.946</v>
      </c>
      <c r="J98" s="20" t="n">
        <v>2900.728</v>
      </c>
      <c r="K98" s="20" t="n">
        <v>3228.221</v>
      </c>
      <c r="L98" s="20" t="n">
        <v>3271.818</v>
      </c>
      <c r="M98" s="20" t="n">
        <v>2951.894</v>
      </c>
      <c r="N98" s="20" t="n">
        <v>3119.125</v>
      </c>
      <c r="V98" s="20" t="n">
        <v>2221.671</v>
      </c>
      <c r="W98" s="20" t="n">
        <v>2994.078</v>
      </c>
      <c r="X98" s="20" t="n">
        <v>3271.818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1257.251</v>
      </c>
      <c r="D100" s="12" t="n">
        <v>606.169</v>
      </c>
      <c r="E100" s="12" t="n">
        <v>1017.097</v>
      </c>
      <c r="F100" s="12" t="n">
        <v>1023.998</v>
      </c>
      <c r="G100" s="12" t="n">
        <v>1201.517</v>
      </c>
      <c r="H100" s="12" t="n">
        <v>1219.112</v>
      </c>
      <c r="I100" s="12" t="n">
        <v>1049.94</v>
      </c>
      <c r="J100" s="12" t="n">
        <v>1092.048</v>
      </c>
      <c r="K100" s="12" t="n">
        <v>1458.723</v>
      </c>
      <c r="L100" s="12" t="n">
        <v>1404.065</v>
      </c>
      <c r="M100" s="12" t="n">
        <v>1232.303</v>
      </c>
      <c r="N100" s="12" t="n">
        <v>1299.293</v>
      </c>
      <c r="V100" s="12" t="n">
        <v>606.169</v>
      </c>
      <c r="W100" s="12" t="n">
        <v>1219.112</v>
      </c>
      <c r="X100" s="12" t="n">
        <v>1404.065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828.729</v>
      </c>
      <c r="D102" s="20" t="n">
        <v>249.218</v>
      </c>
      <c r="E102" s="20" t="n">
        <v>821.032</v>
      </c>
      <c r="F102" s="20" t="n">
        <v>758.389</v>
      </c>
      <c r="G102" s="20" t="n">
        <v>816.085</v>
      </c>
      <c r="H102" s="20" t="n">
        <v>785.513</v>
      </c>
      <c r="I102" s="20" t="n">
        <v>816.6660000000001</v>
      </c>
      <c r="J102" s="20" t="n">
        <v>864.2859999999999</v>
      </c>
      <c r="K102" s="20" t="n">
        <v>910.891</v>
      </c>
      <c r="L102" s="20" t="n">
        <v>810.671</v>
      </c>
      <c r="M102" s="20" t="n">
        <v>871.927</v>
      </c>
      <c r="N102" s="20" t="n">
        <v>890.878</v>
      </c>
      <c r="V102" s="20" t="n">
        <v>249.218</v>
      </c>
      <c r="W102" s="20" t="n">
        <v>785.513</v>
      </c>
      <c r="X102" s="20" t="n">
        <v>810.671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428.521</v>
      </c>
      <c r="D104" s="12" t="n">
        <v>356.951</v>
      </c>
      <c r="E104" s="12" t="n">
        <v>196.064</v>
      </c>
      <c r="F104" s="12" t="n">
        <v>265.609</v>
      </c>
      <c r="G104" s="12" t="n">
        <v>385.432</v>
      </c>
      <c r="H104" s="12" t="n">
        <v>433.599</v>
      </c>
      <c r="I104" s="12" t="n">
        <v>233.274</v>
      </c>
      <c r="J104" s="12" t="n">
        <v>227.762</v>
      </c>
      <c r="K104" s="12" t="n">
        <v>547.831</v>
      </c>
      <c r="L104" s="12" t="n">
        <v>593.394</v>
      </c>
      <c r="M104" s="12" t="n">
        <v>360.376</v>
      </c>
      <c r="N104" s="12" t="n">
        <v>408.414</v>
      </c>
      <c r="V104" s="12" t="n">
        <v>356.951</v>
      </c>
      <c r="W104" s="12" t="n">
        <v>433.599</v>
      </c>
      <c r="X104" s="12" t="n">
        <v>593.394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3.99</v>
      </c>
      <c r="D107" s="20" t="n">
        <v>6.93</v>
      </c>
      <c r="E107" s="20" t="n">
        <v>4.103</v>
      </c>
      <c r="F107" s="20" t="n">
        <v>27.37</v>
      </c>
      <c r="G107" s="20" t="n">
        <v>3.353</v>
      </c>
      <c r="H107" s="20" t="n">
        <v>36.258</v>
      </c>
      <c r="I107" s="20" t="n">
        <v>20.439</v>
      </c>
      <c r="J107" s="20" t="n">
        <v>19.633</v>
      </c>
      <c r="K107" s="20" t="n">
        <v>22.108</v>
      </c>
      <c r="L107" s="20" t="n">
        <v>27.481</v>
      </c>
      <c r="M107" s="20" t="n">
        <v>19.757</v>
      </c>
      <c r="N107" s="20" t="n">
        <v>30.97</v>
      </c>
      <c r="V107" s="20" t="n">
        <v>6.93</v>
      </c>
      <c r="W107" s="20" t="n">
        <v>36.258</v>
      </c>
      <c r="X107" s="20" t="n">
        <v>27.481</v>
      </c>
    </row>
    <row r="108">
      <c r="A108" s="18" t="inlineStr">
        <is>
          <t>배당금수익</t>
        </is>
      </c>
      <c r="C108" s="20" t="n">
        <v>14.252</v>
      </c>
      <c r="D108" s="20" t="n">
        <v>53.088</v>
      </c>
      <c r="E108" s="20" t="n">
        <v>67.892</v>
      </c>
      <c r="F108" s="20" t="n">
        <v>65.599</v>
      </c>
      <c r="G108" s="20" t="n">
        <v>71.023</v>
      </c>
      <c r="H108" s="20" t="n">
        <v>30.044</v>
      </c>
      <c r="I108" s="20" t="n">
        <v>59.644</v>
      </c>
      <c r="J108" s="20" t="n">
        <v>13.942</v>
      </c>
      <c r="K108" s="20" t="n">
        <v>42.959</v>
      </c>
      <c r="L108" s="20" t="n">
        <v>66.229</v>
      </c>
      <c r="M108" s="20" t="n">
        <v>35.499</v>
      </c>
      <c r="N108" s="20" t="n">
        <v>57.714</v>
      </c>
      <c r="V108" s="20" t="n">
        <v>53.088</v>
      </c>
      <c r="W108" s="20" t="n">
        <v>30.044</v>
      </c>
      <c r="X108" s="20" t="n">
        <v>66.229</v>
      </c>
    </row>
    <row r="109">
      <c r="A109" s="18" t="inlineStr">
        <is>
          <t>외환차익</t>
        </is>
      </c>
      <c r="C109" s="20" t="n">
        <v>-37.681</v>
      </c>
      <c r="D109" s="20" t="n">
        <v>45.081</v>
      </c>
      <c r="E109" s="20" t="n">
        <v>42.401</v>
      </c>
      <c r="F109" s="20" t="n">
        <v>-42.401</v>
      </c>
      <c r="G109" s="20" t="n">
        <v>45.022</v>
      </c>
      <c r="H109" s="20" t="n">
        <v>-45.022</v>
      </c>
      <c r="I109" s="20" t="n">
        <v>0</v>
      </c>
      <c r="L109" s="20" t="n">
        <v>32.134</v>
      </c>
      <c r="M109" s="20" t="n">
        <v>47.593</v>
      </c>
      <c r="V109" s="20" t="n">
        <v>45.081</v>
      </c>
      <c r="W109" s="20" t="n">
        <v>-45.022</v>
      </c>
      <c r="X109" s="20" t="n">
        <v>32.134</v>
      </c>
    </row>
    <row r="110">
      <c r="A110" s="18" t="inlineStr">
        <is>
          <t>Gain On Sales Of Securities NOI</t>
        </is>
      </c>
      <c r="C110" s="20" t="n">
        <v>44.905</v>
      </c>
      <c r="D110" s="20" t="n">
        <v>0</v>
      </c>
      <c r="E110" s="20" t="n">
        <v>0</v>
      </c>
      <c r="F110" s="20" t="n">
        <v>0</v>
      </c>
      <c r="G110" s="20" t="n">
        <v>0</v>
      </c>
      <c r="H110" s="20" t="n">
        <v>0</v>
      </c>
      <c r="V110" s="20" t="n">
        <v>0</v>
      </c>
      <c r="W110" s="20" t="n">
        <v>0</v>
      </c>
    </row>
    <row r="111">
      <c r="A111" s="18" t="inlineStr">
        <is>
          <t>기타</t>
        </is>
      </c>
      <c r="C111" s="20" t="n">
        <v>4.657</v>
      </c>
      <c r="D111" s="20" t="n">
        <v>5.278</v>
      </c>
      <c r="E111" s="20" t="n">
        <v>6.014</v>
      </c>
      <c r="F111" s="20" t="n">
        <v>5.006</v>
      </c>
      <c r="G111" s="20" t="n">
        <v>7.814</v>
      </c>
      <c r="H111" s="20" t="n">
        <v>6.509</v>
      </c>
      <c r="I111" s="20" t="n">
        <v>6.881</v>
      </c>
      <c r="J111" s="20" t="n">
        <v>11.707</v>
      </c>
      <c r="K111" s="20" t="n">
        <v>6.678</v>
      </c>
      <c r="L111" s="20" t="n">
        <v>6.492</v>
      </c>
      <c r="M111" s="20" t="n">
        <v>8.411</v>
      </c>
      <c r="N111" s="20" t="n">
        <v>4.574</v>
      </c>
      <c r="V111" s="20" t="n">
        <v>5.278</v>
      </c>
      <c r="W111" s="20" t="n">
        <v>6.509</v>
      </c>
      <c r="X111" s="20" t="n">
        <v>6.492</v>
      </c>
    </row>
    <row r="112">
      <c r="A112" s="18" t="inlineStr">
        <is>
          <t>영업외수익 합계</t>
        </is>
      </c>
      <c r="C112" s="20" t="n">
        <v>30.122</v>
      </c>
      <c r="D112" s="20" t="n">
        <v>17.548</v>
      </c>
      <c r="E112" s="20" t="n">
        <v>120.411</v>
      </c>
      <c r="F112" s="20" t="n">
        <v>55.574</v>
      </c>
      <c r="G112" s="20" t="n">
        <v>127.213</v>
      </c>
      <c r="H112" s="20" t="n">
        <v>27.788</v>
      </c>
      <c r="I112" s="20" t="n">
        <v>86.965</v>
      </c>
      <c r="J112" s="20" t="n">
        <v>45.282</v>
      </c>
      <c r="K112" s="20" t="n">
        <v>118.805</v>
      </c>
      <c r="L112" s="20" t="n">
        <v>132.336</v>
      </c>
      <c r="M112" s="20" t="n">
        <v>111.262</v>
      </c>
      <c r="N112" s="20" t="n">
        <v>45.663</v>
      </c>
      <c r="V112" s="20" t="n">
        <v>17.548</v>
      </c>
      <c r="W112" s="20" t="n">
        <v>27.788</v>
      </c>
      <c r="X112" s="20" t="n">
        <v>132.336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이자비용</t>
        </is>
      </c>
      <c r="C114" s="20" t="n">
        <v>1.043</v>
      </c>
      <c r="D114" s="20" t="n">
        <v>0.854</v>
      </c>
      <c r="E114" s="20" t="n">
        <v>0.9429999999999999</v>
      </c>
      <c r="F114" s="20" t="n">
        <v>1.009</v>
      </c>
      <c r="G114" s="20" t="n">
        <v>0.953</v>
      </c>
      <c r="H114" s="20" t="n">
        <v>1.032</v>
      </c>
      <c r="I114" s="20" t="n">
        <v>0.957</v>
      </c>
      <c r="J114" s="20" t="n">
        <v>0.975</v>
      </c>
      <c r="K114" s="20" t="n">
        <v>0.93</v>
      </c>
      <c r="L114" s="20" t="n">
        <v>1.041</v>
      </c>
      <c r="M114" s="20" t="n">
        <v>0.875</v>
      </c>
      <c r="N114" s="20" t="n">
        <v>0.988</v>
      </c>
      <c r="V114" s="20" t="n">
        <v>0.854</v>
      </c>
      <c r="W114" s="20" t="n">
        <v>1.032</v>
      </c>
      <c r="X114" s="20" t="n">
        <v>1.041</v>
      </c>
    </row>
    <row r="115">
      <c r="A115" s="18" t="inlineStr">
        <is>
          <t>커미트먼트 수수료</t>
        </is>
      </c>
      <c r="C115" s="20" t="n">
        <v>0.63</v>
      </c>
      <c r="D115" s="20" t="n">
        <v>0.623</v>
      </c>
      <c r="E115" s="20" t="n">
        <v>0.626</v>
      </c>
      <c r="F115" s="20" t="n">
        <v>0.63</v>
      </c>
      <c r="G115" s="20" t="n">
        <v>0.63</v>
      </c>
      <c r="H115" s="20" t="n">
        <v>0.616</v>
      </c>
      <c r="I115" s="20" t="n">
        <v>0.623</v>
      </c>
      <c r="J115" s="20" t="n">
        <v>0.63</v>
      </c>
      <c r="K115" s="20" t="n">
        <v>0.63</v>
      </c>
      <c r="L115" s="20" t="n">
        <v>0.614</v>
      </c>
      <c r="M115" s="20" t="n">
        <v>0.627</v>
      </c>
      <c r="N115" s="20" t="n">
        <v>0.63</v>
      </c>
      <c r="V115" s="20" t="n">
        <v>0.623</v>
      </c>
      <c r="W115" s="20" t="n">
        <v>0.616</v>
      </c>
      <c r="X115" s="20" t="n">
        <v>0.614</v>
      </c>
    </row>
    <row r="116">
      <c r="A116" s="18" t="inlineStr">
        <is>
          <t>재고자산 폐기손실</t>
        </is>
      </c>
      <c r="D116" s="20" t="n">
        <v>0</v>
      </c>
      <c r="H116" s="20" t="n">
        <v>1.378</v>
      </c>
      <c r="L116" s="20" t="n">
        <v>0</v>
      </c>
      <c r="V116" s="20" t="n">
        <v>0</v>
      </c>
      <c r="W116" s="20" t="n">
        <v>1.378</v>
      </c>
      <c r="X116" s="20" t="n">
        <v>0</v>
      </c>
    </row>
    <row r="117">
      <c r="A117" s="18" t="inlineStr">
        <is>
          <t>Loss Due To Spoilage NOE</t>
        </is>
      </c>
      <c r="D117" s="20" t="n">
        <v>0.518</v>
      </c>
      <c r="H117" s="20" t="n">
        <v>5.121</v>
      </c>
      <c r="V117" s="20" t="n">
        <v>0.518</v>
      </c>
      <c r="W117" s="20" t="n">
        <v>5.121</v>
      </c>
    </row>
    <row r="118">
      <c r="A118" s="18" t="inlineStr">
        <is>
          <t>외환차손</t>
        </is>
      </c>
      <c r="E118" s="20" t="n">
        <v>0</v>
      </c>
      <c r="F118" s="20" t="n">
        <v>51.629</v>
      </c>
      <c r="I118" s="20" t="n">
        <v>33.729</v>
      </c>
      <c r="J118" s="20" t="n">
        <v>-27.799</v>
      </c>
      <c r="M118" s="20" t="n">
        <v>0</v>
      </c>
      <c r="N118" s="20" t="n">
        <v>6.229</v>
      </c>
    </row>
    <row r="119">
      <c r="A119" s="18" t="inlineStr">
        <is>
          <t>보험해약 손실</t>
        </is>
      </c>
      <c r="G119" s="20" t="n">
        <v>0</v>
      </c>
      <c r="K119" s="20" t="n">
        <v>0</v>
      </c>
    </row>
    <row r="120">
      <c r="A120" s="18" t="inlineStr">
        <is>
          <t>Settlement Money NOE</t>
        </is>
      </c>
      <c r="I120" s="20" t="n">
        <v>0</v>
      </c>
      <c r="J120" s="20" t="n">
        <v>0</v>
      </c>
      <c r="M120" s="20" t="n">
        <v>4.111</v>
      </c>
      <c r="N120" s="20" t="n">
        <v>0</v>
      </c>
    </row>
    <row r="121">
      <c r="A121" s="18" t="inlineStr">
        <is>
          <t>기타</t>
        </is>
      </c>
      <c r="C121" s="20" t="n">
        <v>0.451</v>
      </c>
      <c r="D121" s="20" t="n">
        <v>0.645</v>
      </c>
      <c r="E121" s="20" t="n">
        <v>0.053</v>
      </c>
      <c r="F121" s="20" t="n">
        <v>0.798</v>
      </c>
      <c r="G121" s="20" t="n">
        <v>0.078</v>
      </c>
      <c r="H121" s="20" t="n">
        <v>0.552</v>
      </c>
      <c r="I121" s="20" t="n">
        <v>2.853</v>
      </c>
      <c r="J121" s="20" t="n">
        <v>-2.729</v>
      </c>
      <c r="K121" s="20" t="n">
        <v>0.025</v>
      </c>
      <c r="L121" s="20" t="n">
        <v>4.994</v>
      </c>
      <c r="M121" s="20" t="n">
        <v>1.948</v>
      </c>
      <c r="N121" s="20" t="n">
        <v>0.357</v>
      </c>
      <c r="V121" s="20" t="n">
        <v>0.645</v>
      </c>
      <c r="W121" s="20" t="n">
        <v>0.552</v>
      </c>
      <c r="X121" s="20" t="n">
        <v>4.994</v>
      </c>
    </row>
    <row r="122">
      <c r="A122" s="18" t="inlineStr">
        <is>
          <t>영업외비용 합계</t>
        </is>
      </c>
      <c r="C122" s="20" t="n">
        <v>5.504</v>
      </c>
      <c r="D122" s="20" t="n">
        <v>2.174</v>
      </c>
      <c r="E122" s="20" t="n">
        <v>1.622</v>
      </c>
      <c r="F122" s="20" t="n">
        <v>54.067</v>
      </c>
      <c r="G122" s="20" t="n">
        <v>-47.984</v>
      </c>
      <c r="H122" s="20" t="n">
        <v>20.701</v>
      </c>
      <c r="I122" s="20" t="n">
        <v>38.163</v>
      </c>
      <c r="J122" s="20" t="n">
        <v>-26.19</v>
      </c>
      <c r="K122" s="20" t="n">
        <v>-4.346</v>
      </c>
      <c r="L122" s="20" t="n">
        <v>23.383</v>
      </c>
      <c r="M122" s="20" t="n">
        <v>7.562</v>
      </c>
      <c r="N122" s="20" t="n">
        <v>8.206</v>
      </c>
      <c r="V122" s="20" t="n">
        <v>2.174</v>
      </c>
      <c r="W122" s="20" t="n">
        <v>20.701</v>
      </c>
      <c r="X122" s="20" t="n">
        <v>23.383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I123" s="15">
        <f>IF(OR(I122="",E122=""),"",IF(I122*E122&lt;=0,"",IFERROR(I122/E122-1,"")))</f>
        <v/>
      </c>
      <c r="J123" s="15">
        <f>IF(OR(J122="",F122=""),"",IF(J122*F122&lt;=0,"",IFERROR(J122/F122-1,"")))</f>
        <v/>
      </c>
      <c r="K123" s="15">
        <f>IF(OR(K122="",G122=""),"",IF(K122*G122&lt;=0,"",IFERROR(K122/G122-1,"")))</f>
        <v/>
      </c>
      <c r="L123" s="15">
        <f>IF(OR(L122="",H122=""),"",IF(L122*H122&lt;=0,"",IFERROR(L122/H122-1,"")))</f>
        <v/>
      </c>
      <c r="M123" s="15">
        <f>IF(OR(M122="",I122=""),"",IF(M122*I122&lt;=0,"",IFERROR(M122/I122-1,"")))</f>
        <v/>
      </c>
      <c r="N123" s="15">
        <f>IF(OR(N122="",J122=""),"",IF(N122*J122&lt;=0,"",IFERROR(N122/J122-1,"")))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9" t="inlineStr">
        <is>
          <t>경상이익</t>
        </is>
      </c>
      <c r="C124" s="12" t="n">
        <v>453.139</v>
      </c>
      <c r="D124" s="12" t="n">
        <v>372.326</v>
      </c>
      <c r="E124" s="12" t="n">
        <v>314.853</v>
      </c>
      <c r="F124" s="12" t="n">
        <v>267.116</v>
      </c>
      <c r="G124" s="12" t="n">
        <v>560.628</v>
      </c>
      <c r="H124" s="12" t="n">
        <v>440.687</v>
      </c>
      <c r="I124" s="12" t="n">
        <v>282.075</v>
      </c>
      <c r="J124" s="12" t="n">
        <v>299.236</v>
      </c>
      <c r="K124" s="12" t="n">
        <v>670.981</v>
      </c>
      <c r="L124" s="12" t="n">
        <v>702.348</v>
      </c>
      <c r="M124" s="12" t="n">
        <v>464.076</v>
      </c>
      <c r="N124" s="12" t="n">
        <v>445.872</v>
      </c>
      <c r="V124" s="12" t="n">
        <v>372.326</v>
      </c>
      <c r="W124" s="12" t="n">
        <v>440.687</v>
      </c>
      <c r="X124" s="12" t="n">
        <v>702.348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6">
      <c r="A126" s="18" t="inlineStr">
        <is>
          <t>고정자산 매각이익</t>
        </is>
      </c>
      <c r="C126" s="20" t="n">
        <v>0</v>
      </c>
      <c r="D126" s="20" t="n">
        <v>-5.532</v>
      </c>
      <c r="E126" s="20" t="n">
        <v>0.003</v>
      </c>
      <c r="F126" s="20" t="n">
        <v>0</v>
      </c>
      <c r="G126" s="20" t="n">
        <v>0</v>
      </c>
      <c r="H126" s="20" t="n">
        <v>0.007</v>
      </c>
      <c r="I126" s="20" t="n">
        <v>0.199</v>
      </c>
      <c r="J126" s="20" t="n">
        <v>0</v>
      </c>
      <c r="K126" s="20" t="n">
        <v>0.455</v>
      </c>
      <c r="L126" s="20" t="n">
        <v>1.714</v>
      </c>
      <c r="M126" s="20" t="n">
        <v>0</v>
      </c>
      <c r="N126" s="20" t="n">
        <v>0</v>
      </c>
      <c r="V126" s="20" t="n">
        <v>-5.532</v>
      </c>
      <c r="W126" s="20" t="n">
        <v>0.007</v>
      </c>
      <c r="X126" s="20" t="n">
        <v>1.714</v>
      </c>
    </row>
    <row r="127">
      <c r="A127" s="18" t="inlineStr">
        <is>
          <t>투자유가증권 매각이익</t>
        </is>
      </c>
      <c r="C127" s="20" t="n">
        <v>0</v>
      </c>
      <c r="D127" s="20" t="n">
        <v>1.2</v>
      </c>
      <c r="E127" s="20" t="n">
        <v>0</v>
      </c>
      <c r="F127" s="20" t="n">
        <v>7.574</v>
      </c>
      <c r="G127" s="20" t="n">
        <v>50.141</v>
      </c>
      <c r="H127" s="20" t="n">
        <v>94.43300000000001</v>
      </c>
      <c r="I127" s="20" t="n">
        <v>89.371</v>
      </c>
      <c r="J127" s="20" t="n">
        <v>93.872</v>
      </c>
      <c r="K127" s="20" t="n">
        <v>0</v>
      </c>
      <c r="L127" s="20" t="n">
        <v>0</v>
      </c>
      <c r="M127" s="20" t="n">
        <v>0</v>
      </c>
      <c r="N127" s="20" t="n">
        <v>0</v>
      </c>
      <c r="V127" s="20" t="n">
        <v>1.2</v>
      </c>
      <c r="W127" s="20" t="n">
        <v>94.43300000000001</v>
      </c>
      <c r="X127" s="20" t="n">
        <v>0</v>
      </c>
    </row>
    <row r="128">
      <c r="A128" s="18" t="inlineStr">
        <is>
          <t>특별이익 합계</t>
        </is>
      </c>
      <c r="C128" s="20" t="n">
        <v>0</v>
      </c>
      <c r="D128" s="20" t="n">
        <v>-4.332</v>
      </c>
      <c r="E128" s="20" t="n">
        <v>0.003</v>
      </c>
      <c r="F128" s="20" t="n">
        <v>7.575</v>
      </c>
      <c r="G128" s="20" t="n">
        <v>50.141</v>
      </c>
      <c r="H128" s="20" t="n">
        <v>94.43899999999999</v>
      </c>
      <c r="I128" s="20" t="n">
        <v>89.571</v>
      </c>
      <c r="J128" s="20" t="n">
        <v>93.872</v>
      </c>
      <c r="K128" s="20" t="n">
        <v>0.455</v>
      </c>
      <c r="L128" s="20" t="n">
        <v>1.714</v>
      </c>
      <c r="M128" s="20" t="n">
        <v>0</v>
      </c>
      <c r="N128" s="20" t="n">
        <v>0</v>
      </c>
      <c r="V128" s="20" t="n">
        <v>-4.332</v>
      </c>
      <c r="W128" s="20" t="n">
        <v>94.43899999999999</v>
      </c>
      <c r="X128" s="20" t="n">
        <v>1.714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18" t="inlineStr">
        <is>
          <t>고정자산 매각손실</t>
        </is>
      </c>
      <c r="I130" s="20" t="n">
        <v>0</v>
      </c>
      <c r="J130" s="20" t="n">
        <v>0</v>
      </c>
      <c r="M130" s="20" t="n">
        <v>5.583</v>
      </c>
      <c r="N130" s="20" t="n">
        <v>0</v>
      </c>
    </row>
    <row r="131">
      <c r="A131" s="18" t="inlineStr">
        <is>
          <t>고정자산 제각손실</t>
        </is>
      </c>
      <c r="C131" s="20" t="n">
        <v>2.01</v>
      </c>
      <c r="D131" s="20" t="n">
        <v>1.466</v>
      </c>
      <c r="E131" s="20" t="n">
        <v>6.591</v>
      </c>
      <c r="F131" s="20" t="n">
        <v>4.024</v>
      </c>
      <c r="G131" s="20" t="n">
        <v>5.817</v>
      </c>
      <c r="H131" s="20" t="n">
        <v>1.434</v>
      </c>
      <c r="I131" s="20" t="n">
        <v>1.861</v>
      </c>
      <c r="J131" s="20" t="n">
        <v>46.992</v>
      </c>
      <c r="K131" s="20" t="n">
        <v>8.856</v>
      </c>
      <c r="L131" s="20" t="n">
        <v>9.539999999999999</v>
      </c>
      <c r="M131" s="20" t="n">
        <v>3.04</v>
      </c>
      <c r="N131" s="20" t="n">
        <v>11.547</v>
      </c>
      <c r="V131" s="20" t="n">
        <v>1.466</v>
      </c>
      <c r="W131" s="20" t="n">
        <v>1.434</v>
      </c>
      <c r="X131" s="20" t="n">
        <v>9.539999999999999</v>
      </c>
    </row>
    <row r="132">
      <c r="A132" s="18" t="inlineStr">
        <is>
          <t>특별손실 합계</t>
        </is>
      </c>
      <c r="C132" s="20" t="n">
        <v>2.01</v>
      </c>
      <c r="D132" s="20" t="n">
        <v>1.466</v>
      </c>
      <c r="E132" s="20" t="n">
        <v>6.591</v>
      </c>
      <c r="F132" s="20" t="n">
        <v>4.024</v>
      </c>
      <c r="G132" s="20" t="n">
        <v>5.817</v>
      </c>
      <c r="H132" s="20" t="n">
        <v>19.029</v>
      </c>
      <c r="I132" s="20" t="n">
        <v>1.861</v>
      </c>
      <c r="J132" s="20" t="n">
        <v>46.992</v>
      </c>
      <c r="K132" s="20" t="n">
        <v>8.856</v>
      </c>
      <c r="L132" s="20" t="n">
        <v>34.34</v>
      </c>
      <c r="M132" s="20" t="n">
        <v>8.624000000000001</v>
      </c>
      <c r="N132" s="20" t="n">
        <v>11.547</v>
      </c>
      <c r="V132" s="20" t="n">
        <v>1.466</v>
      </c>
      <c r="W132" s="20" t="n">
        <v>19.029</v>
      </c>
      <c r="X132" s="20" t="n">
        <v>34.34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법인세차감전 순이익</t>
        </is>
      </c>
      <c r="C134" s="12" t="n">
        <v>451.13</v>
      </c>
      <c r="D134" s="12" t="n">
        <v>366.527</v>
      </c>
      <c r="E134" s="12" t="n">
        <v>308.266</v>
      </c>
      <c r="F134" s="12" t="n">
        <v>270.667</v>
      </c>
      <c r="G134" s="12" t="n">
        <v>604.952</v>
      </c>
      <c r="H134" s="12" t="n">
        <v>516.095</v>
      </c>
      <c r="I134" s="12" t="n">
        <v>369.786</v>
      </c>
      <c r="J134" s="12" t="n">
        <v>346.115</v>
      </c>
      <c r="K134" s="12" t="n">
        <v>662.58</v>
      </c>
      <c r="L134" s="12" t="n">
        <v>669.721</v>
      </c>
      <c r="M134" s="12" t="n">
        <v>455.451</v>
      </c>
      <c r="N134" s="12" t="n">
        <v>434.325</v>
      </c>
      <c r="V134" s="12" t="n">
        <v>366.527</v>
      </c>
      <c r="W134" s="12" t="n">
        <v>516.095</v>
      </c>
      <c r="X134" s="12" t="n">
        <v>669.721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법인세·주민세·사업세</t>
        </is>
      </c>
      <c r="C136" s="20" t="n">
        <v>105.573</v>
      </c>
      <c r="D136" s="20" t="n">
        <v>127.618</v>
      </c>
      <c r="E136" s="20" t="n">
        <v>57.337</v>
      </c>
      <c r="F136" s="20" t="n">
        <v>83.762</v>
      </c>
      <c r="G136" s="20" t="n">
        <v>204.86</v>
      </c>
      <c r="H136" s="20" t="n">
        <v>230.513</v>
      </c>
      <c r="I136" s="20" t="n">
        <v>55.129</v>
      </c>
      <c r="J136" s="20" t="n">
        <v>134.391</v>
      </c>
      <c r="K136" s="20" t="n">
        <v>193.108</v>
      </c>
      <c r="L136" s="20" t="n">
        <v>205.299</v>
      </c>
      <c r="M136" s="20" t="n">
        <v>22.482</v>
      </c>
      <c r="N136" s="20" t="n">
        <v>154.578</v>
      </c>
      <c r="V136" s="20" t="n">
        <v>127.618</v>
      </c>
      <c r="W136" s="20" t="n">
        <v>230.513</v>
      </c>
      <c r="X136" s="20" t="n">
        <v>205.299</v>
      </c>
    </row>
    <row r="137">
      <c r="A137" s="18" t="inlineStr">
        <is>
          <t>과년도 법인세</t>
        </is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43.456</v>
      </c>
      <c r="J137" s="20" t="n">
        <v>7.91</v>
      </c>
      <c r="K137" s="20" t="n">
        <v>0</v>
      </c>
      <c r="L137" s="20" t="n">
        <v>0</v>
      </c>
      <c r="M137" s="20" t="n">
        <v>0</v>
      </c>
      <c r="N137" s="20" t="n">
        <v>0</v>
      </c>
      <c r="W137" s="20" t="n">
        <v>0</v>
      </c>
      <c r="X137" s="20" t="n">
        <v>0</v>
      </c>
    </row>
    <row r="138">
      <c r="A138" s="18" t="inlineStr">
        <is>
          <t>법인세 조정액</t>
        </is>
      </c>
      <c r="C138" s="20" t="n">
        <v>33.956</v>
      </c>
      <c r="D138" s="20" t="n">
        <v>-43.642</v>
      </c>
      <c r="E138" s="20" t="n">
        <v>55.546</v>
      </c>
      <c r="F138" s="20" t="n">
        <v>-33.15</v>
      </c>
      <c r="G138" s="20" t="n">
        <v>14.684</v>
      </c>
      <c r="H138" s="20" t="n">
        <v>-50.301</v>
      </c>
      <c r="I138" s="20" t="n">
        <v>63.194</v>
      </c>
      <c r="J138" s="20" t="n">
        <v>-36.014</v>
      </c>
      <c r="K138" s="20" t="n">
        <v>22.613</v>
      </c>
      <c r="L138" s="20" t="n">
        <v>-41.941</v>
      </c>
      <c r="M138" s="20" t="n">
        <v>132.951</v>
      </c>
      <c r="N138" s="20" t="n">
        <v>-42.126</v>
      </c>
      <c r="V138" s="20" t="n">
        <v>-43.642</v>
      </c>
      <c r="W138" s="20" t="n">
        <v>-50.301</v>
      </c>
      <c r="X138" s="20" t="n">
        <v>-41.941</v>
      </c>
    </row>
    <row r="139">
      <c r="A139" s="18" t="inlineStr">
        <is>
          <t>법인세 등 합계</t>
        </is>
      </c>
      <c r="C139" s="20" t="n">
        <v>139.529</v>
      </c>
      <c r="D139" s="20" t="n">
        <v>83.976</v>
      </c>
      <c r="E139" s="20" t="n">
        <v>112.884</v>
      </c>
      <c r="F139" s="20" t="n">
        <v>50.611</v>
      </c>
      <c r="G139" s="20" t="n">
        <v>219.544</v>
      </c>
      <c r="H139" s="20" t="n">
        <v>180.212</v>
      </c>
      <c r="I139" s="20" t="n">
        <v>161.78</v>
      </c>
      <c r="J139" s="20" t="n">
        <v>106.288</v>
      </c>
      <c r="K139" s="20" t="n">
        <v>215.72</v>
      </c>
      <c r="L139" s="20" t="n">
        <v>163.359</v>
      </c>
      <c r="M139" s="20" t="n">
        <v>155.433</v>
      </c>
      <c r="N139" s="20" t="n">
        <v>112.453</v>
      </c>
      <c r="V139" s="20" t="n">
        <v>83.976</v>
      </c>
      <c r="W139" s="20" t="n">
        <v>180.212</v>
      </c>
      <c r="X139" s="20" t="n">
        <v>163.359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9" t="inlineStr">
        <is>
          <t>순이익</t>
        </is>
      </c>
      <c r="C141" s="12" t="n">
        <v>311.6</v>
      </c>
      <c r="D141" s="12" t="n">
        <v>282.553</v>
      </c>
      <c r="E141" s="12" t="n">
        <v>195.381</v>
      </c>
      <c r="F141" s="12" t="n">
        <v>220.056</v>
      </c>
      <c r="G141" s="12" t="n">
        <v>385.408</v>
      </c>
      <c r="H141" s="12" t="n">
        <v>335.884</v>
      </c>
      <c r="I141" s="12" t="n">
        <v>208.005</v>
      </c>
      <c r="J141" s="12" t="n">
        <v>239.828</v>
      </c>
      <c r="K141" s="12" t="n">
        <v>446.86</v>
      </c>
      <c r="L141" s="12" t="n">
        <v>506.362</v>
      </c>
      <c r="M141" s="12" t="n">
        <v>300.018</v>
      </c>
      <c r="N141" s="12" t="n">
        <v>321.872</v>
      </c>
      <c r="V141" s="12" t="n">
        <v>282.553</v>
      </c>
      <c r="W141" s="12" t="n">
        <v>335.884</v>
      </c>
      <c r="X141" s="12" t="n">
        <v>506.362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9" t="inlineStr">
        <is>
          <t>비지배주주 순이익</t>
        </is>
      </c>
      <c r="C143" s="12" t="n">
        <v>5.039</v>
      </c>
      <c r="D143" s="12" t="n">
        <v>10.921</v>
      </c>
      <c r="E143" s="12" t="n">
        <v>12.929</v>
      </c>
      <c r="F143" s="12" t="n">
        <v>27.656</v>
      </c>
      <c r="G143" s="12" t="n">
        <v>6.58</v>
      </c>
      <c r="H143" s="12" t="n">
        <v>11.485</v>
      </c>
      <c r="I143" s="12" t="n">
        <v>17.144</v>
      </c>
      <c r="J143" s="12" t="n">
        <v>9.789999999999999</v>
      </c>
      <c r="K143" s="12" t="n">
        <v>14.87</v>
      </c>
      <c r="L143" s="12" t="n">
        <v>18.369</v>
      </c>
      <c r="M143" s="12" t="n">
        <v>14.498</v>
      </c>
      <c r="N143" s="12" t="n">
        <v>18.661</v>
      </c>
      <c r="V143" s="12" t="n">
        <v>10.921</v>
      </c>
      <c r="W143" s="12" t="n">
        <v>11.485</v>
      </c>
      <c r="X143" s="12" t="n">
        <v>18.369</v>
      </c>
    </row>
    <row r="144">
      <c r="A144" s="9" t="inlineStr">
        <is>
          <t>지배주주 순이익</t>
        </is>
      </c>
      <c r="C144" s="12" t="n">
        <v>306.562</v>
      </c>
      <c r="D144" s="12" t="n">
        <v>264.456</v>
      </c>
      <c r="E144" s="12" t="n">
        <v>182.451</v>
      </c>
      <c r="F144" s="12" t="n">
        <v>192.401</v>
      </c>
      <c r="G144" s="12" t="n">
        <v>378.827</v>
      </c>
      <c r="H144" s="12" t="n">
        <v>324.399</v>
      </c>
      <c r="I144" s="12" t="n">
        <v>190.86</v>
      </c>
      <c r="J144" s="12" t="n">
        <v>230.038</v>
      </c>
      <c r="K144" s="12" t="n">
        <v>431.99</v>
      </c>
      <c r="L144" s="12" t="n">
        <v>487.993</v>
      </c>
      <c r="M144" s="12" t="n">
        <v>285.519</v>
      </c>
      <c r="N144" s="12" t="n">
        <v>303.212</v>
      </c>
      <c r="V144" s="12" t="n">
        <v>264.456</v>
      </c>
      <c r="W144" s="12" t="n">
        <v>324.399</v>
      </c>
      <c r="X144" s="12" t="n">
        <v>487.993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2024.3Q</t>
        </is>
      </c>
      <c r="D148" s="5" t="inlineStr">
        <is>
          <t>2024.4Q</t>
        </is>
      </c>
      <c r="E148" s="5" t="inlineStr">
        <is>
          <t>2025.1Q</t>
        </is>
      </c>
      <c r="F148" s="5" t="inlineStr">
        <is>
          <t>2025.2Q</t>
        </is>
      </c>
      <c r="G148" s="5" t="inlineStr">
        <is>
          <t>2025.3Q</t>
        </is>
      </c>
      <c r="H148" s="5" t="inlineStr">
        <is>
          <t>2025.4Q</t>
        </is>
      </c>
      <c r="I148" s="5" t="inlineStr">
        <is>
          <t>2026.1Q</t>
        </is>
      </c>
      <c r="J148" s="5" t="inlineStr">
        <is>
          <t>2026.2Q</t>
        </is>
      </c>
      <c r="K148" s="5" t="inlineStr">
        <is>
          <t>2026.3Q</t>
        </is>
      </c>
      <c r="L148" s="5" t="inlineStr">
        <is>
          <t>2026.4Q</t>
        </is>
      </c>
      <c r="M148" s="5" t="inlineStr">
        <is>
          <t>2027.1Q</t>
        </is>
      </c>
      <c r="N148" s="5" t="inlineStr">
        <is>
          <t>2027.2Q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9" t="inlineStr">
        <is>
          <t>순이익</t>
        </is>
      </c>
      <c r="C149" s="12" t="n">
        <v>311.6</v>
      </c>
      <c r="D149" s="12" t="n">
        <v>275.378</v>
      </c>
      <c r="E149" s="12" t="n">
        <v>195.381</v>
      </c>
      <c r="F149" s="12" t="n">
        <v>220.056</v>
      </c>
      <c r="G149" s="12" t="n">
        <v>385.408</v>
      </c>
      <c r="H149" s="12" t="n">
        <v>335.884</v>
      </c>
      <c r="I149" s="12" t="n">
        <v>208.005</v>
      </c>
      <c r="J149" s="12" t="n">
        <v>239.828</v>
      </c>
      <c r="K149" s="12" t="n">
        <v>446.86</v>
      </c>
      <c r="L149" s="12" t="n">
        <v>506.362</v>
      </c>
      <c r="M149" s="12" t="n">
        <v>300.018</v>
      </c>
      <c r="N149" s="12" t="n">
        <v>321.872</v>
      </c>
      <c r="V149" s="12" t="n">
        <v>275.378</v>
      </c>
      <c r="W149" s="12" t="n">
        <v>335.884</v>
      </c>
      <c r="X149" s="12" t="n">
        <v>506.362</v>
      </c>
    </row>
    <row r="150">
      <c r="A150" s="18" t="inlineStr">
        <is>
          <t>기타유가증권 평가차액</t>
        </is>
      </c>
      <c r="C150" s="20" t="n">
        <v>-36.503</v>
      </c>
      <c r="D150" s="20" t="n">
        <v>-6.362</v>
      </c>
      <c r="E150" s="20" t="n">
        <v>-26.184</v>
      </c>
      <c r="F150" s="20" t="n">
        <v>-4.579</v>
      </c>
      <c r="G150" s="20" t="n">
        <v>-24.327</v>
      </c>
      <c r="H150" s="20" t="n">
        <v>-25.983</v>
      </c>
      <c r="I150" s="20" t="n">
        <v>-88.25</v>
      </c>
      <c r="J150" s="20" t="n">
        <v>-41.611</v>
      </c>
      <c r="K150" s="20" t="n">
        <v>-13.903</v>
      </c>
      <c r="L150" s="20" t="n">
        <v>12.9</v>
      </c>
      <c r="M150" s="20" t="n">
        <v>6.441</v>
      </c>
      <c r="N150" s="20" t="n">
        <v>5.184</v>
      </c>
      <c r="V150" s="20" t="n">
        <v>-6.362</v>
      </c>
      <c r="W150" s="20" t="n">
        <v>-25.983</v>
      </c>
      <c r="X150" s="20" t="n">
        <v>12.9</v>
      </c>
    </row>
    <row r="151">
      <c r="A151" s="18" t="inlineStr">
        <is>
          <t>이연헤지손익</t>
        </is>
      </c>
      <c r="C151" s="20" t="n">
        <v>-2.234</v>
      </c>
      <c r="D151" s="20" t="n">
        <v>2.234</v>
      </c>
      <c r="E151" s="20" t="n">
        <v>0.956</v>
      </c>
      <c r="F151" s="20" t="n">
        <v>-5.355</v>
      </c>
      <c r="G151" s="20" t="n">
        <v>4.298</v>
      </c>
      <c r="I151" s="20" t="n">
        <v>0</v>
      </c>
      <c r="J151" s="20" t="n">
        <v>0</v>
      </c>
      <c r="K151" s="20" t="n">
        <v>0</v>
      </c>
      <c r="V151" s="20" t="n">
        <v>2.234</v>
      </c>
    </row>
    <row r="152">
      <c r="A152" s="18" t="inlineStr">
        <is>
          <t>해외사업환산조정</t>
        </is>
      </c>
      <c r="C152" s="20" t="n">
        <v>59.223</v>
      </c>
      <c r="D152" s="20" t="n">
        <v>-97.498</v>
      </c>
      <c r="E152" s="20" t="n">
        <v>141.175</v>
      </c>
      <c r="F152" s="20" t="n">
        <v>64.354</v>
      </c>
      <c r="G152" s="20" t="n">
        <v>-182.926</v>
      </c>
      <c r="H152" s="20" t="n">
        <v>233.097</v>
      </c>
      <c r="I152" s="20" t="n">
        <v>-140.795</v>
      </c>
      <c r="J152" s="20" t="n">
        <v>-64.84999999999999</v>
      </c>
      <c r="K152" s="20" t="n">
        <v>73.051</v>
      </c>
      <c r="L152" s="20" t="n">
        <v>141.975</v>
      </c>
      <c r="M152" s="20" t="n">
        <v>43.816</v>
      </c>
      <c r="N152" s="20" t="n">
        <v>41.869</v>
      </c>
      <c r="V152" s="20" t="n">
        <v>-97.498</v>
      </c>
      <c r="W152" s="20" t="n">
        <v>233.097</v>
      </c>
      <c r="X152" s="20" t="n">
        <v>141.975</v>
      </c>
    </row>
    <row r="153">
      <c r="A153" s="18" t="inlineStr">
        <is>
          <t>기타포괄손익 합계</t>
        </is>
      </c>
      <c r="C153" s="20" t="n">
        <v>20.485</v>
      </c>
      <c r="D153" s="20" t="n">
        <v>-101.625</v>
      </c>
      <c r="E153" s="20" t="n">
        <v>115.948</v>
      </c>
      <c r="F153" s="20" t="n">
        <v>54.417</v>
      </c>
      <c r="G153" s="20" t="n">
        <v>-202.953</v>
      </c>
      <c r="H153" s="20" t="n">
        <v>207.215</v>
      </c>
      <c r="I153" s="20" t="n">
        <v>-229.046</v>
      </c>
      <c r="J153" s="20" t="n">
        <v>-106.46</v>
      </c>
      <c r="K153" s="20" t="n">
        <v>59.148</v>
      </c>
      <c r="L153" s="20" t="n">
        <v>154.876</v>
      </c>
      <c r="M153" s="20" t="n">
        <v>50.258</v>
      </c>
      <c r="N153" s="20" t="n">
        <v>47.052</v>
      </c>
      <c r="V153" s="20" t="n">
        <v>-101.625</v>
      </c>
      <c r="W153" s="20" t="n">
        <v>207.215</v>
      </c>
      <c r="X153" s="20" t="n">
        <v>154.876</v>
      </c>
    </row>
    <row r="154">
      <c r="A154" s="9" t="inlineStr">
        <is>
          <t>포괄이익</t>
        </is>
      </c>
      <c r="C154" s="12" t="n">
        <v>332.086</v>
      </c>
      <c r="D154" s="12" t="n">
        <v>173.752</v>
      </c>
      <c r="E154" s="12" t="n">
        <v>311.329</v>
      </c>
      <c r="F154" s="12" t="n">
        <v>274.474</v>
      </c>
      <c r="G154" s="12" t="n">
        <v>182.453</v>
      </c>
      <c r="H154" s="12" t="n">
        <v>543.1</v>
      </c>
      <c r="I154" s="12" t="n">
        <v>-21.041</v>
      </c>
      <c r="J154" s="12" t="n">
        <v>133.367</v>
      </c>
      <c r="K154" s="12" t="n">
        <v>506.008</v>
      </c>
      <c r="L154" s="12" t="n">
        <v>661.2380000000001</v>
      </c>
      <c r="M154" s="12" t="n">
        <v>350.276</v>
      </c>
      <c r="N154" s="12" t="n">
        <v>368.925</v>
      </c>
      <c r="V154" s="12" t="n">
        <v>173.752</v>
      </c>
      <c r="W154" s="12" t="n">
        <v>543.1</v>
      </c>
      <c r="X154" s="12" t="n">
        <v>661.2380000000001</v>
      </c>
    </row>
    <row r="155">
      <c r="A155" s="9" t="inlineStr">
        <is>
          <t>지배주주 포괄이익</t>
        </is>
      </c>
      <c r="C155" s="12" t="n">
        <v>309.836</v>
      </c>
      <c r="D155" s="12" t="n">
        <v>190.132</v>
      </c>
      <c r="E155" s="12" t="n">
        <v>257.632</v>
      </c>
      <c r="F155" s="12" t="n">
        <v>225.454</v>
      </c>
      <c r="G155" s="12" t="n">
        <v>227.361</v>
      </c>
      <c r="H155" s="12" t="n">
        <v>461.518</v>
      </c>
      <c r="I155" s="12" t="n">
        <v>5.762</v>
      </c>
      <c r="J155" s="12" t="n">
        <v>141.45</v>
      </c>
      <c r="K155" s="12" t="n">
        <v>467.369</v>
      </c>
      <c r="L155" s="12" t="n">
        <v>596.691</v>
      </c>
      <c r="M155" s="12" t="n">
        <v>325.076</v>
      </c>
      <c r="N155" s="12" t="n">
        <v>337.983</v>
      </c>
      <c r="V155" s="12" t="n">
        <v>190.132</v>
      </c>
      <c r="W155" s="12" t="n">
        <v>461.518</v>
      </c>
      <c r="X155" s="12" t="n">
        <v>596.691</v>
      </c>
    </row>
    <row r="156">
      <c r="A156" s="9" t="inlineStr">
        <is>
          <t>비지배주주 포괄이익</t>
        </is>
      </c>
      <c r="C156" s="12" t="n">
        <v>22.249</v>
      </c>
      <c r="D156" s="12" t="n">
        <v>-16.38</v>
      </c>
      <c r="E156" s="12" t="n">
        <v>53.697</v>
      </c>
      <c r="F156" s="12" t="n">
        <v>49.02</v>
      </c>
      <c r="G156" s="12" t="n">
        <v>-44.909</v>
      </c>
      <c r="H156" s="12" t="n">
        <v>81.58199999999999</v>
      </c>
      <c r="I156" s="12" t="n">
        <v>-26.804</v>
      </c>
      <c r="J156" s="12" t="n">
        <v>-8.082000000000001</v>
      </c>
      <c r="K156" s="12" t="n">
        <v>38.639</v>
      </c>
      <c r="L156" s="12" t="n">
        <v>64.54600000000001</v>
      </c>
      <c r="M156" s="12" t="n">
        <v>25.2</v>
      </c>
      <c r="N156" s="12" t="n">
        <v>30.941</v>
      </c>
      <c r="V156" s="12" t="n">
        <v>-16.38</v>
      </c>
      <c r="W156" s="12" t="n">
        <v>81.58199999999999</v>
      </c>
      <c r="X156" s="12" t="n">
        <v>64.54600000000001</v>
      </c>
    </row>
    <row r="158">
      <c r="A158" s="16" t="inlineStr">
        <is>
          <t>부문 · 전 항목</t>
        </is>
      </c>
      <c r="B158" s="42" t="inlineStr">
        <is>
          <t>부문 · 항목</t>
        </is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</row>
    <row r="159">
      <c r="A159" s="5" t="inlineStr">
        <is>
          <t>항목</t>
        </is>
      </c>
      <c r="B159" s="5" t="inlineStr">
        <is>
          <t>참고</t>
        </is>
      </c>
      <c r="C159" s="5" t="inlineStr">
        <is>
          <t>2024.3Q</t>
        </is>
      </c>
      <c r="D159" s="5" t="inlineStr">
        <is>
          <t>2024.4Q</t>
        </is>
      </c>
      <c r="E159" s="5" t="inlineStr">
        <is>
          <t>2025.1Q</t>
        </is>
      </c>
      <c r="F159" s="5" t="inlineStr">
        <is>
          <t>2025.2Q</t>
        </is>
      </c>
      <c r="G159" s="5" t="inlineStr">
        <is>
          <t>2025.3Q</t>
        </is>
      </c>
      <c r="H159" s="5" t="inlineStr">
        <is>
          <t>2025.4Q</t>
        </is>
      </c>
      <c r="I159" s="5" t="inlineStr">
        <is>
          <t>2026.1Q</t>
        </is>
      </c>
      <c r="J159" s="5" t="inlineStr">
        <is>
          <t>2026.2Q</t>
        </is>
      </c>
      <c r="K159" s="5" t="inlineStr">
        <is>
          <t>2026.3Q</t>
        </is>
      </c>
      <c r="L159" s="5" t="inlineStr">
        <is>
          <t>2026.4Q</t>
        </is>
      </c>
      <c r="M159" s="5" t="inlineStr">
        <is>
          <t>2027.1Q</t>
        </is>
      </c>
      <c r="N159" s="5" t="inlineStr">
        <is>
          <t>2027.2Q</t>
        </is>
      </c>
      <c r="O159" s="5" t="inlineStr">
        <is>
          <t>2017</t>
        </is>
      </c>
      <c r="P159" s="5" t="inlineStr">
        <is>
          <t>2018</t>
        </is>
      </c>
      <c r="Q159" s="5" t="inlineStr">
        <is>
          <t>2019</t>
        </is>
      </c>
      <c r="R159" s="5" t="inlineStr">
        <is>
          <t>2020</t>
        </is>
      </c>
      <c r="S159" s="5" t="inlineStr">
        <is>
          <t>2021</t>
        </is>
      </c>
      <c r="T159" s="5" t="inlineStr">
        <is>
          <t>2022</t>
        </is>
      </c>
      <c r="U159" s="5" t="inlineStr">
        <is>
          <t>2023</t>
        </is>
      </c>
      <c r="V159" s="5" t="inlineStr">
        <is>
          <t>2024</t>
        </is>
      </c>
      <c r="W159" s="5" t="inlineStr">
        <is>
          <t>2025</t>
        </is>
      </c>
      <c r="X159" s="5" t="inlineStr">
        <is>
          <t>2026</t>
        </is>
      </c>
      <c r="Y159" s="5" t="inlineStr">
        <is>
          <t>2027(MW)</t>
        </is>
      </c>
      <c r="Z159" s="5" t="inlineStr">
        <is>
          <t>2028(MW)</t>
        </is>
      </c>
      <c r="AA159" s="5" t="inlineStr">
        <is>
          <t>2029(MW)</t>
        </is>
      </c>
      <c r="AB159" s="5" t="inlineStr">
        <is>
          <t>2030(MW)</t>
        </is>
      </c>
      <c r="AC159" s="5" t="inlineStr">
        <is>
          <t>2031(MW)</t>
        </is>
      </c>
    </row>
    <row r="160">
      <c r="A160" s="18" t="inlineStr">
        <is>
          <t>BentoniteDivisionReportableSegmentMember · 외부 고객 매출</t>
        </is>
      </c>
      <c r="C160" s="20" t="n">
        <v>2971.464</v>
      </c>
      <c r="D160" s="20" t="n">
        <v>2572.373</v>
      </c>
      <c r="E160" s="20" t="n">
        <v>2746.237</v>
      </c>
      <c r="F160" s="20" t="n">
        <v>2666.788</v>
      </c>
      <c r="G160" s="20" t="n">
        <v>2847.642</v>
      </c>
      <c r="H160" s="20" t="n">
        <v>2833.553</v>
      </c>
      <c r="I160" s="20" t="n">
        <v>2812.934</v>
      </c>
      <c r="J160" s="20" t="n">
        <v>2923.791</v>
      </c>
      <c r="K160" s="20" t="n">
        <v>3120.468</v>
      </c>
      <c r="L160" s="20" t="n">
        <v>2985.13</v>
      </c>
      <c r="M160" s="20" t="n">
        <v>3077.58</v>
      </c>
      <c r="N160" s="20" t="n">
        <v>2998.835</v>
      </c>
      <c r="V160" s="20" t="n">
        <v>2572.373</v>
      </c>
      <c r="W160" s="20" t="n">
        <v>2833.553</v>
      </c>
      <c r="X160" s="20" t="n">
        <v>2985.13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ClayscienceDivisionReportableSegmentMember · 외부 고객 매출</t>
        </is>
      </c>
      <c r="D162" s="20" t="n">
        <v>482.807</v>
      </c>
      <c r="E162" s="20" t="n">
        <v>500.431</v>
      </c>
      <c r="H162" s="20" t="n">
        <v>355.922</v>
      </c>
      <c r="I162" s="20" t="n">
        <v>420.683</v>
      </c>
      <c r="L162" s="20" t="n">
        <v>449.698</v>
      </c>
      <c r="M162" s="20" t="n">
        <v>492.183</v>
      </c>
      <c r="V162" s="20" t="n">
        <v>482.807</v>
      </c>
      <c r="W162" s="20" t="n">
        <v>355.922</v>
      </c>
      <c r="X162" s="20" t="n">
        <v>449.698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AgricultureDivisionReportableSegmentMember · 외부 고객 매출</t>
        </is>
      </c>
      <c r="C164" s="20" t="n">
        <v>914.583</v>
      </c>
      <c r="D164" s="20" t="n">
        <v>950.239</v>
      </c>
      <c r="E164" s="20" t="n">
        <v>405.833</v>
      </c>
      <c r="F164" s="20" t="n">
        <v>529.082</v>
      </c>
      <c r="G164" s="20" t="n">
        <v>845.878</v>
      </c>
      <c r="H164" s="20" t="n">
        <v>1023.715</v>
      </c>
      <c r="I164" s="20" t="n">
        <v>486.269</v>
      </c>
      <c r="J164" s="20" t="n">
        <v>606.5940000000001</v>
      </c>
      <c r="K164" s="20" t="n">
        <v>1111.059</v>
      </c>
      <c r="L164" s="20" t="n">
        <v>1241.055</v>
      </c>
      <c r="M164" s="20" t="n">
        <v>614.434</v>
      </c>
      <c r="N164" s="20" t="n">
        <v>908.65</v>
      </c>
      <c r="V164" s="20" t="n">
        <v>950.239</v>
      </c>
      <c r="W164" s="20" t="n">
        <v>1023.715</v>
      </c>
      <c r="X164" s="20" t="n">
        <v>1241.055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보고부문 합계 · 외부 고객 매출</t>
        </is>
      </c>
      <c r="C166" s="20" t="n">
        <v>4272.208</v>
      </c>
      <c r="E166" s="20" t="n">
        <v>3652.502</v>
      </c>
      <c r="F166" s="20" t="n">
        <v>3711.708</v>
      </c>
      <c r="G166" s="20" t="n">
        <v>4130.223</v>
      </c>
      <c r="I166" s="20" t="n">
        <v>3719.887</v>
      </c>
      <c r="J166" s="20" t="n">
        <v>3992.776</v>
      </c>
      <c r="K166" s="20" t="n">
        <v>4686.943</v>
      </c>
      <c r="M166" s="20" t="n">
        <v>4184.198</v>
      </c>
      <c r="N166" s="20" t="n">
        <v>4418.417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</row>
    <row r="168">
      <c r="A168" s="18" t="inlineStr">
        <is>
          <t>조정액 · 외부 고객 매출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18" t="inlineStr">
        <is>
          <t>EntityTotalMember · 외부 고객 매출</t>
        </is>
      </c>
      <c r="E169" s="20" t="n">
        <v>3652.502</v>
      </c>
      <c r="I169" s="20" t="n">
        <v>3719.887</v>
      </c>
      <c r="M169" s="20" t="n">
        <v>4184.198</v>
      </c>
    </row>
    <row r="170">
      <c r="A170" s="9" t="inlineStr">
        <is>
          <t>외부 고객 매출</t>
        </is>
      </c>
      <c r="C170" s="12" t="n">
        <v>4272.208</v>
      </c>
      <c r="D170" s="12" t="n">
        <v>4005.42</v>
      </c>
      <c r="E170" s="12" t="n">
        <v>3652.502</v>
      </c>
      <c r="F170" s="12" t="n">
        <v>3711.708</v>
      </c>
      <c r="G170" s="12" t="n">
        <v>4130.223</v>
      </c>
      <c r="H170" s="12" t="n">
        <v>4213.19</v>
      </c>
      <c r="V170" s="12" t="n">
        <v>4005.42</v>
      </c>
      <c r="W170" s="12" t="n">
        <v>4213.19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</row>
    <row r="172">
      <c r="A172" s="18" t="inlineStr">
        <is>
          <t>BentoniteDivisionReportableSegmentMember · 부문 간 내부매출·대체</t>
        </is>
      </c>
      <c r="C172" s="20" t="n">
        <v>24.314</v>
      </c>
      <c r="D172" s="20" t="n">
        <v>24.574</v>
      </c>
      <c r="E172" s="20" t="n">
        <v>25.165</v>
      </c>
      <c r="F172" s="20" t="n">
        <v>34.317</v>
      </c>
      <c r="G172" s="20" t="n">
        <v>33.638</v>
      </c>
      <c r="H172" s="20" t="n">
        <v>21.893</v>
      </c>
      <c r="I172" s="20" t="n">
        <v>24.212</v>
      </c>
      <c r="J172" s="20" t="n">
        <v>29.218</v>
      </c>
      <c r="K172" s="20" t="n">
        <v>38.347</v>
      </c>
      <c r="L172" s="20" t="n">
        <v>24.722</v>
      </c>
      <c r="M172" s="20" t="n">
        <v>22.839</v>
      </c>
      <c r="N172" s="20" t="n">
        <v>34.088</v>
      </c>
      <c r="V172" s="20" t="n">
        <v>24.574</v>
      </c>
      <c r="W172" s="20" t="n">
        <v>21.893</v>
      </c>
      <c r="X172" s="20" t="n">
        <v>24.722</v>
      </c>
    </row>
    <row r="173">
      <c r="A173" s="18" t="inlineStr">
        <is>
          <t>ClayscienceDivisionReportableSegmentMember · 부문 간 내부매출·대체</t>
        </is>
      </c>
      <c r="D173" s="20" t="n">
        <v>24.209</v>
      </c>
      <c r="E173" s="20" t="n">
        <v>21.325</v>
      </c>
      <c r="H173" s="20" t="n">
        <v>29.762</v>
      </c>
      <c r="I173" s="20" t="n">
        <v>31.656</v>
      </c>
      <c r="L173" s="20" t="n">
        <v>35.767</v>
      </c>
      <c r="M173" s="20" t="n">
        <v>17.182</v>
      </c>
      <c r="V173" s="20" t="n">
        <v>24.209</v>
      </c>
      <c r="W173" s="20" t="n">
        <v>29.762</v>
      </c>
      <c r="X173" s="20" t="n">
        <v>35.767</v>
      </c>
    </row>
    <row r="174">
      <c r="A174" s="18" t="inlineStr">
        <is>
          <t>AgricultureDivisionReportableSegmentMember · 부문 간 내부매출·대체</t>
        </is>
      </c>
      <c r="C174" s="20" t="n">
        <v>0</v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V174" s="20" t="n">
        <v>0</v>
      </c>
      <c r="W174" s="20" t="n">
        <v>0</v>
      </c>
      <c r="X174" s="20" t="n">
        <v>0</v>
      </c>
    </row>
    <row r="175">
      <c r="A175" s="18" t="inlineStr">
        <is>
          <t>보고부문 합계 · 부문 간 내부매출·대체</t>
        </is>
      </c>
      <c r="C175" s="20" t="n">
        <v>49.808</v>
      </c>
      <c r="E175" s="20" t="n">
        <v>46.491</v>
      </c>
      <c r="F175" s="20" t="n">
        <v>62.794</v>
      </c>
      <c r="G175" s="20" t="n">
        <v>49.186</v>
      </c>
      <c r="I175" s="20" t="n">
        <v>55.868</v>
      </c>
      <c r="J175" s="20" t="n">
        <v>50.258</v>
      </c>
      <c r="K175" s="20" t="n">
        <v>74.08499999999999</v>
      </c>
      <c r="M175" s="20" t="n">
        <v>40.022</v>
      </c>
      <c r="N175" s="20" t="n">
        <v>69.751</v>
      </c>
    </row>
    <row r="176">
      <c r="A176" s="18" t="inlineStr">
        <is>
          <t>조정액 · 부문 간 내부매출·대체</t>
        </is>
      </c>
      <c r="C176" s="20" t="n">
        <v>-49.808</v>
      </c>
      <c r="D176" s="20" t="n">
        <v>-48.782</v>
      </c>
      <c r="E176" s="20" t="n">
        <v>-46.491</v>
      </c>
      <c r="F176" s="20" t="n">
        <v>-62.794</v>
      </c>
      <c r="G176" s="20" t="n">
        <v>-49.186</v>
      </c>
      <c r="H176" s="20" t="n">
        <v>-51.654</v>
      </c>
      <c r="I176" s="20" t="n">
        <v>-55.868</v>
      </c>
      <c r="J176" s="20" t="n">
        <v>-50.258</v>
      </c>
      <c r="K176" s="20" t="n">
        <v>-74.08499999999999</v>
      </c>
      <c r="L176" s="20" t="n">
        <v>-60.488</v>
      </c>
      <c r="M176" s="20" t="n">
        <v>-40.022</v>
      </c>
      <c r="N176" s="20" t="n">
        <v>-69.751</v>
      </c>
      <c r="V176" s="20" t="n">
        <v>-48.782</v>
      </c>
      <c r="W176" s="20" t="n">
        <v>-51.654</v>
      </c>
      <c r="X176" s="20" t="n">
        <v>-60.488</v>
      </c>
    </row>
    <row r="177">
      <c r="A177" s="18" t="inlineStr">
        <is>
          <t>EntityTotalMember · 부문 간 내부매출·대체</t>
        </is>
      </c>
      <c r="E177" s="20" t="n">
        <v>0</v>
      </c>
      <c r="I177" s="20" t="n">
        <v>0</v>
      </c>
      <c r="M177" s="20" t="n">
        <v>0</v>
      </c>
    </row>
    <row r="178">
      <c r="A178" s="18" t="inlineStr">
        <is>
          <t>부문 간 내부매출·대체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V178" s="20" t="n">
        <v>0</v>
      </c>
      <c r="W178" s="20" t="n">
        <v>0</v>
      </c>
    </row>
    <row r="179">
      <c r="A179" s="18" t="inlineStr">
        <is>
          <t>BentoniteDivisionReportableSegmentMember · 계</t>
        </is>
      </c>
      <c r="C179" s="20" t="n">
        <v>2995.777</v>
      </c>
      <c r="D179" s="20" t="n">
        <v>2596.948</v>
      </c>
      <c r="E179" s="20" t="n">
        <v>2771.403</v>
      </c>
      <c r="F179" s="20" t="n">
        <v>2701.104</v>
      </c>
      <c r="G179" s="20" t="n">
        <v>2881.28</v>
      </c>
      <c r="H179" s="20" t="n">
        <v>2855.446</v>
      </c>
      <c r="I179" s="20" t="n">
        <v>2837.146</v>
      </c>
      <c r="J179" s="20" t="n">
        <v>2953.009</v>
      </c>
      <c r="K179" s="20" t="n">
        <v>3158.816</v>
      </c>
      <c r="L179" s="20" t="n">
        <v>3009.851</v>
      </c>
      <c r="M179" s="20" t="n">
        <v>3100.42</v>
      </c>
      <c r="N179" s="20" t="n">
        <v>3032.923</v>
      </c>
      <c r="V179" s="20" t="n">
        <v>2596.948</v>
      </c>
      <c r="W179" s="20" t="n">
        <v>2855.446</v>
      </c>
      <c r="X179" s="20" t="n">
        <v>3009.851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ClayscienceDivisionReportableSegmentMember · 계</t>
        </is>
      </c>
      <c r="D181" s="20" t="n">
        <v>507.016</v>
      </c>
      <c r="E181" s="20" t="n">
        <v>521.7569999999999</v>
      </c>
      <c r="H181" s="20" t="n">
        <v>385.684</v>
      </c>
      <c r="I181" s="20" t="n">
        <v>452.339</v>
      </c>
      <c r="L181" s="20" t="n">
        <v>485.465</v>
      </c>
      <c r="M181" s="20" t="n">
        <v>509.366</v>
      </c>
      <c r="V181" s="20" t="n">
        <v>507.016</v>
      </c>
      <c r="W181" s="20" t="n">
        <v>385.684</v>
      </c>
      <c r="X181" s="20" t="n">
        <v>485.465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AgricultureDivisionReportableSegmentMember · 계</t>
        </is>
      </c>
      <c r="C183" s="20" t="n">
        <v>914.583</v>
      </c>
      <c r="D183" s="20" t="n">
        <v>950.239</v>
      </c>
      <c r="E183" s="20" t="n">
        <v>405.833</v>
      </c>
      <c r="F183" s="20" t="n">
        <v>529.082</v>
      </c>
      <c r="G183" s="20" t="n">
        <v>845.878</v>
      </c>
      <c r="H183" s="20" t="n">
        <v>1023.715</v>
      </c>
      <c r="I183" s="20" t="n">
        <v>486.269</v>
      </c>
      <c r="J183" s="20" t="n">
        <v>606.5940000000001</v>
      </c>
      <c r="K183" s="20" t="n">
        <v>1111.059</v>
      </c>
      <c r="L183" s="20" t="n">
        <v>1241.055</v>
      </c>
      <c r="M183" s="20" t="n">
        <v>614.434</v>
      </c>
      <c r="N183" s="20" t="n">
        <v>908.65</v>
      </c>
      <c r="V183" s="20" t="n">
        <v>950.239</v>
      </c>
      <c r="W183" s="20" t="n">
        <v>1023.715</v>
      </c>
      <c r="X183" s="20" t="n">
        <v>1241.055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보고부문 합계 · 계</t>
        </is>
      </c>
      <c r="C185" s="20" t="n">
        <v>4322.016</v>
      </c>
      <c r="E185" s="20" t="n">
        <v>3698.993</v>
      </c>
      <c r="F185" s="20" t="n">
        <v>3774.502</v>
      </c>
      <c r="G185" s="20" t="n">
        <v>4179.409</v>
      </c>
      <c r="I185" s="20" t="n">
        <v>3775.756</v>
      </c>
      <c r="J185" s="20" t="n">
        <v>4043.033</v>
      </c>
      <c r="K185" s="20" t="n">
        <v>4761.029</v>
      </c>
      <c r="M185" s="20" t="n">
        <v>4224.221</v>
      </c>
      <c r="N185" s="20" t="n">
        <v>4488.168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</row>
    <row r="187">
      <c r="A187" s="18" t="inlineStr">
        <is>
          <t>조정액 · 계</t>
        </is>
      </c>
      <c r="C187" s="20" t="n">
        <v>-49.808</v>
      </c>
      <c r="D187" s="20" t="n">
        <v>-48.782</v>
      </c>
      <c r="E187" s="20" t="n">
        <v>-46.491</v>
      </c>
      <c r="F187" s="20" t="n">
        <v>-62.794</v>
      </c>
      <c r="G187" s="20" t="n">
        <v>-49.186</v>
      </c>
      <c r="H187" s="20" t="n">
        <v>-51.654</v>
      </c>
      <c r="I187" s="20" t="n">
        <v>-55.868</v>
      </c>
      <c r="J187" s="20" t="n">
        <v>-50.258</v>
      </c>
      <c r="K187" s="20" t="n">
        <v>-74.08499999999999</v>
      </c>
      <c r="L187" s="20" t="n">
        <v>-60.488</v>
      </c>
      <c r="M187" s="20" t="n">
        <v>-40.022</v>
      </c>
      <c r="N187" s="20" t="n">
        <v>-69.751</v>
      </c>
      <c r="V187" s="20" t="n">
        <v>-48.782</v>
      </c>
      <c r="W187" s="20" t="n">
        <v>-51.654</v>
      </c>
      <c r="X187" s="20" t="n">
        <v>-60.488</v>
      </c>
    </row>
    <row r="188">
      <c r="A188" s="18" t="inlineStr">
        <is>
          <t>EntityTotalMember · 계</t>
        </is>
      </c>
      <c r="E188" s="20" t="n">
        <v>3652.502</v>
      </c>
      <c r="I188" s="20" t="n">
        <v>3719.887</v>
      </c>
      <c r="M188" s="20" t="n">
        <v>4184.198</v>
      </c>
    </row>
    <row r="189">
      <c r="A189" s="9" t="inlineStr">
        <is>
          <t>계</t>
        </is>
      </c>
      <c r="C189" s="12" t="n">
        <v>4272.208</v>
      </c>
      <c r="D189" s="12" t="n">
        <v>4005.42</v>
      </c>
      <c r="E189" s="12" t="n">
        <v>3652.502</v>
      </c>
      <c r="F189" s="12" t="n">
        <v>3711.708</v>
      </c>
      <c r="G189" s="12" t="n">
        <v>4130.223</v>
      </c>
      <c r="H189" s="12" t="n">
        <v>4213.19</v>
      </c>
      <c r="V189" s="12" t="n">
        <v>4005.42</v>
      </c>
      <c r="W189" s="12" t="n">
        <v>4213.19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</row>
    <row r="191">
      <c r="A191" s="18" t="inlineStr">
        <is>
          <t>BentoniteDivisionReportableSegmentMember · 부문 이익</t>
        </is>
      </c>
      <c r="C191" s="20" t="n">
        <v>395.31</v>
      </c>
      <c r="D191" s="20" t="n">
        <v>265.032</v>
      </c>
      <c r="E191" s="20" t="n">
        <v>286.051</v>
      </c>
      <c r="F191" s="20" t="n">
        <v>255.121</v>
      </c>
      <c r="G191" s="20" t="n">
        <v>267.034</v>
      </c>
      <c r="H191" s="20" t="n">
        <v>266.556</v>
      </c>
      <c r="I191" s="20" t="n">
        <v>308.07</v>
      </c>
      <c r="J191" s="20" t="n">
        <v>360.219</v>
      </c>
      <c r="K191" s="20" t="n">
        <v>346.129</v>
      </c>
      <c r="L191" s="20" t="n">
        <v>274.698</v>
      </c>
      <c r="M191" s="20" t="n">
        <v>306.422</v>
      </c>
      <c r="N191" s="20" t="n">
        <v>251.371</v>
      </c>
      <c r="V191" s="20" t="n">
        <v>265.032</v>
      </c>
      <c r="W191" s="20" t="n">
        <v>266.556</v>
      </c>
      <c r="X191" s="20" t="n">
        <v>274.698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IF(OR(C191="",C179=""),"",IF(C179&lt;=0,"",IFERROR(C191/C179,"")))</f>
        <v/>
      </c>
      <c r="D192" s="15">
        <f>IF(OR(D191="",D179=""),"",IF(D179&lt;=0,"",IFERROR(D191/D179,"")))</f>
        <v/>
      </c>
      <c r="E192" s="15">
        <f>IF(OR(E191="",E179=""),"",IF(E179&lt;=0,"",IFERROR(E191/E179,"")))</f>
        <v/>
      </c>
      <c r="F192" s="15">
        <f>IF(OR(F191="",F179=""),"",IF(F179&lt;=0,"",IFERROR(F191/F179,"")))</f>
        <v/>
      </c>
      <c r="G192" s="15">
        <f>IF(OR(G191="",G179=""),"",IF(G179&lt;=0,"",IFERROR(G191/G179,"")))</f>
        <v/>
      </c>
      <c r="H192" s="15">
        <f>IF(OR(H191="",H179=""),"",IF(H179&lt;=0,"",IFERROR(H191/H179,"")))</f>
        <v/>
      </c>
      <c r="I192" s="15">
        <f>IF(OR(I191="",I179=""),"",IF(I179&lt;=0,"",IFERROR(I191/I179,"")))</f>
        <v/>
      </c>
      <c r="J192" s="15">
        <f>IF(OR(J191="",J179=""),"",IF(J179&lt;=0,"",IFERROR(J191/J179,"")))</f>
        <v/>
      </c>
      <c r="K192" s="15">
        <f>IF(OR(K191="",K179=""),"",IF(K179&lt;=0,"",IFERROR(K191/K179,"")))</f>
        <v/>
      </c>
      <c r="L192" s="15">
        <f>IF(OR(L191="",L179=""),"",IF(L179&lt;=0,"",IFERROR(L191/L179,"")))</f>
        <v/>
      </c>
      <c r="M192" s="15">
        <f>IF(OR(M191="",M179=""),"",IF(M179&lt;=0,"",IFERROR(M191/M179,"")))</f>
        <v/>
      </c>
      <c r="N192" s="15">
        <f>IF(OR(N191="",N179=""),"",IF(N179&lt;=0,"",IFERROR(N191/N179,"")))</f>
        <v/>
      </c>
      <c r="V192" s="15">
        <f>IF(OR(V191="",V179=""),"",IF(V179&lt;=0,"",IFERROR(V191/V179,"")))</f>
        <v/>
      </c>
      <c r="W192" s="15">
        <f>IF(OR(W191="",W179=""),"",IF(W179&lt;=0,"",IFERROR(W191/W179,"")))</f>
        <v/>
      </c>
      <c r="X192" s="15">
        <f>IF(OR(X191="",X179=""),"",IF(X179&lt;=0,"",IFERROR(X191/X179,"")))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ClayscienceDivisionReportableSegmentMember · 부문 이익(손실)</t>
        </is>
      </c>
      <c r="D194" s="20" t="n">
        <v>67.934</v>
      </c>
      <c r="E194" s="20" t="n">
        <v>102.809</v>
      </c>
      <c r="H194" s="20" t="n">
        <v>-23.855</v>
      </c>
      <c r="I194" s="20" t="n">
        <v>37.066</v>
      </c>
      <c r="L194" s="20" t="n">
        <v>19.622</v>
      </c>
      <c r="M194" s="20" t="n">
        <v>85.05500000000001</v>
      </c>
      <c r="V194" s="20" t="n">
        <v>67.934</v>
      </c>
      <c r="W194" s="20" t="n">
        <v>-23.855</v>
      </c>
      <c r="X194" s="20" t="n">
        <v>19.622</v>
      </c>
    </row>
    <row r="195">
      <c r="A195" s="43" t="inlineStr">
        <is>
          <t>OPM</t>
        </is>
      </c>
      <c r="B195" s="3" t="inlineStr">
        <is>
          <t>영업이익 ÷ 매출</t>
        </is>
      </c>
      <c r="D195" s="15">
        <f>IF(OR(D194="",D181=""),"",IF(D181&lt;=0,"",IFERROR(D194/D181,"")))</f>
        <v/>
      </c>
      <c r="E195" s="15">
        <f>IF(OR(E194="",E181=""),"",IF(E181&lt;=0,"",IFERROR(E194/E181,"")))</f>
        <v/>
      </c>
      <c r="H195" s="15">
        <f>IF(OR(H194="",H181=""),"",IF(H181&lt;=0,"",IFERROR(H194/H181,"")))</f>
        <v/>
      </c>
      <c r="I195" s="15">
        <f>IF(OR(I194="",I181=""),"",IF(I181&lt;=0,"",IFERROR(I194/I181,"")))</f>
        <v/>
      </c>
      <c r="L195" s="15">
        <f>IF(OR(L194="",L181=""),"",IF(L181&lt;=0,"",IFERROR(L194/L181,"")))</f>
        <v/>
      </c>
      <c r="M195" s="15">
        <f>IF(OR(M194="",M181=""),"",IF(M181&lt;=0,"",IFERROR(M194/M181,"")))</f>
        <v/>
      </c>
      <c r="V195" s="15">
        <f>IF(OR(V194="",V181=""),"",IF(V181&lt;=0,"",IFERROR(V194/V181,"")))</f>
        <v/>
      </c>
      <c r="W195" s="15">
        <f>IF(OR(W194="",W181=""),"",IF(W181&lt;=0,"",IFERROR(W194/W181,"")))</f>
        <v/>
      </c>
      <c r="X195" s="15">
        <f>IF(OR(X194="",X181=""),"",IF(X181&lt;=0,"",IFERROR(X194/X181,"")))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AgricultureDivisionReportableSegmentMember · 부문 이익</t>
        </is>
      </c>
      <c r="C197" s="20" t="n">
        <v>233.899</v>
      </c>
      <c r="D197" s="20" t="n">
        <v>259.841</v>
      </c>
      <c r="E197" s="20" t="n">
        <v>-58.78</v>
      </c>
      <c r="F197" s="20" t="n">
        <v>40.47</v>
      </c>
      <c r="G197" s="20" t="n">
        <v>199.862</v>
      </c>
      <c r="H197" s="20" t="n">
        <v>371.531</v>
      </c>
      <c r="I197" s="20" t="n">
        <v>-12.775</v>
      </c>
      <c r="J197" s="20" t="n">
        <v>45.361</v>
      </c>
      <c r="K197" s="20" t="n">
        <v>339.471</v>
      </c>
      <c r="L197" s="20" t="n">
        <v>457.394</v>
      </c>
      <c r="M197" s="20" t="n">
        <v>84.355</v>
      </c>
      <c r="N197" s="20" t="n">
        <v>215.072</v>
      </c>
      <c r="V197" s="20" t="n">
        <v>259.841</v>
      </c>
      <c r="W197" s="20" t="n">
        <v>371.531</v>
      </c>
      <c r="X197" s="20" t="n">
        <v>457.394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IF(OR(C197="",C183=""),"",IF(C183&lt;=0,"",IFERROR(C197/C183,"")))</f>
        <v/>
      </c>
      <c r="D198" s="15">
        <f>IF(OR(D197="",D183=""),"",IF(D183&lt;=0,"",IFERROR(D197/D183,"")))</f>
        <v/>
      </c>
      <c r="E198" s="15">
        <f>IF(OR(E197="",E183=""),"",IF(E183&lt;=0,"",IFERROR(E197/E183,"")))</f>
        <v/>
      </c>
      <c r="F198" s="15">
        <f>IF(OR(F197="",F183=""),"",IF(F183&lt;=0,"",IFERROR(F197/F183,"")))</f>
        <v/>
      </c>
      <c r="G198" s="15">
        <f>IF(OR(G197="",G183=""),"",IF(G183&lt;=0,"",IFERROR(G197/G183,"")))</f>
        <v/>
      </c>
      <c r="H198" s="15">
        <f>IF(OR(H197="",H183=""),"",IF(H183&lt;=0,"",IFERROR(H197/H183,"")))</f>
        <v/>
      </c>
      <c r="I198" s="15">
        <f>IF(OR(I197="",I183=""),"",IF(I183&lt;=0,"",IFERROR(I197/I183,"")))</f>
        <v/>
      </c>
      <c r="J198" s="15">
        <f>IF(OR(J197="",J183=""),"",IF(J183&lt;=0,"",IFERROR(J197/J183,"")))</f>
        <v/>
      </c>
      <c r="K198" s="15">
        <f>IF(OR(K197="",K183=""),"",IF(K183&lt;=0,"",IFERROR(K197/K183,"")))</f>
        <v/>
      </c>
      <c r="L198" s="15">
        <f>IF(OR(L197="",L183=""),"",IF(L183&lt;=0,"",IFERROR(L197/L183,"")))</f>
        <v/>
      </c>
      <c r="M198" s="15">
        <f>IF(OR(M197="",M183=""),"",IF(M183&lt;=0,"",IFERROR(M197/M183,"")))</f>
        <v/>
      </c>
      <c r="N198" s="15">
        <f>IF(OR(N197="",N183=""),"",IF(N183&lt;=0,"",IFERROR(N197/N183,"")))</f>
        <v/>
      </c>
      <c r="V198" s="15">
        <f>IF(OR(V197="",V183=""),"",IF(V183&lt;=0,"",IFERROR(V197/V183,"")))</f>
        <v/>
      </c>
      <c r="W198" s="15">
        <f>IF(OR(W197="",W183=""),"",IF(W183&lt;=0,"",IFERROR(W197/W183,"")))</f>
        <v/>
      </c>
      <c r="X198" s="15">
        <f>IF(OR(X197="",X183=""),"",IF(X183&lt;=0,"",IFERROR(X197/X183,"")))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보고부문 합계 · 부문 이익</t>
        </is>
      </c>
      <c r="C200" s="20" t="n">
        <v>627.717</v>
      </c>
      <c r="E200" s="20" t="n">
        <v>330.08</v>
      </c>
      <c r="F200" s="20" t="n">
        <v>386.435</v>
      </c>
      <c r="G200" s="20" t="n">
        <v>478.983</v>
      </c>
      <c r="I200" s="20" t="n">
        <v>332.361</v>
      </c>
      <c r="J200" s="20" t="n">
        <v>449.608</v>
      </c>
      <c r="K200" s="20" t="n">
        <v>752.4</v>
      </c>
      <c r="M200" s="20" t="n">
        <v>475.833</v>
      </c>
      <c r="N200" s="20" t="n">
        <v>576.4640000000001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IF(OR(C200="",C185=""),"",IF(C185&lt;=0,"",IFERROR(C200/C185,"")))</f>
        <v/>
      </c>
      <c r="E201" s="15">
        <f>IF(OR(E200="",E185=""),"",IF(E185&lt;=0,"",IFERROR(E200/E185,"")))</f>
        <v/>
      </c>
      <c r="F201" s="15">
        <f>IF(OR(F200="",F185=""),"",IF(F185&lt;=0,"",IFERROR(F200/F185,"")))</f>
        <v/>
      </c>
      <c r="G201" s="15">
        <f>IF(OR(G200="",G185=""),"",IF(G185&lt;=0,"",IFERROR(G200/G185,"")))</f>
        <v/>
      </c>
      <c r="I201" s="15">
        <f>IF(OR(I200="",I185=""),"",IF(I185&lt;=0,"",IFERROR(I200/I185,"")))</f>
        <v/>
      </c>
      <c r="J201" s="15">
        <f>IF(OR(J200="",J185=""),"",IF(J185&lt;=0,"",IFERROR(J200/J185,"")))</f>
        <v/>
      </c>
      <c r="K201" s="15">
        <f>IF(OR(K200="",K185=""),"",IF(K185&lt;=0,"",IFERROR(K200/K185,"")))</f>
        <v/>
      </c>
      <c r="M201" s="15">
        <f>IF(OR(M200="",M185=""),"",IF(M185&lt;=0,"",IFERROR(M200/M185,"")))</f>
        <v/>
      </c>
      <c r="N201" s="15">
        <f>IF(OR(N200="",N185=""),"",IF(N185&lt;=0,"",IFERROR(N200/N185,"")))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</row>
    <row r="203">
      <c r="A203" s="18" t="inlineStr">
        <is>
          <t>조정액 · 부문 이익</t>
        </is>
      </c>
      <c r="C203" s="20" t="n">
        <v>-199.196</v>
      </c>
      <c r="D203" s="20" t="n">
        <v>-200.912</v>
      </c>
      <c r="E203" s="20" t="n">
        <v>-134.015</v>
      </c>
      <c r="F203" s="20" t="n">
        <v>-120.827</v>
      </c>
      <c r="G203" s="20" t="n">
        <v>-93.55</v>
      </c>
      <c r="H203" s="20" t="n">
        <v>-180.632</v>
      </c>
      <c r="I203" s="20" t="n">
        <v>-99.087</v>
      </c>
      <c r="J203" s="20" t="n">
        <v>-221.845</v>
      </c>
      <c r="K203" s="20" t="n">
        <v>-204.569</v>
      </c>
      <c r="L203" s="20" t="n">
        <v>-158.32</v>
      </c>
      <c r="M203" s="20" t="n">
        <v>-115.457</v>
      </c>
      <c r="N203" s="20" t="n">
        <v>-168.05</v>
      </c>
      <c r="V203" s="20" t="n">
        <v>-200.912</v>
      </c>
      <c r="W203" s="20" t="n">
        <v>-180.632</v>
      </c>
      <c r="X203" s="20" t="n">
        <v>-158.32</v>
      </c>
    </row>
    <row r="204">
      <c r="A204" s="18" t="inlineStr">
        <is>
          <t>EntityTotalMember · 부문 이익(손실)</t>
        </is>
      </c>
      <c r="E204" s="20" t="n">
        <v>196.064</v>
      </c>
      <c r="I204" s="20" t="n">
        <v>233.274</v>
      </c>
      <c r="M204" s="20" t="n">
        <v>360.376</v>
      </c>
    </row>
    <row r="205">
      <c r="A205" s="9" t="inlineStr">
        <is>
          <t>부문 이익</t>
        </is>
      </c>
      <c r="C205" s="12" t="n">
        <v>428.521</v>
      </c>
      <c r="D205" s="12" t="n">
        <v>391.896</v>
      </c>
      <c r="E205" s="12" t="n">
        <v>196.064</v>
      </c>
      <c r="F205" s="12" t="n">
        <v>265.609</v>
      </c>
      <c r="G205" s="12" t="n">
        <v>385.432</v>
      </c>
      <c r="H205" s="12" t="n">
        <v>433.599</v>
      </c>
      <c r="V205" s="12" t="n">
        <v>391.896</v>
      </c>
      <c r="W205" s="12" t="n">
        <v>433.599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IF(OR(C205="",C170=""),"",IF(C170&lt;=0,"",IFERROR(C205/C170,"")))</f>
        <v/>
      </c>
      <c r="D206" s="15">
        <f>IF(OR(D205="",D170=""),"",IF(D170&lt;=0,"",IFERROR(D205/D170,"")))</f>
        <v/>
      </c>
      <c r="E206" s="15">
        <f>IF(OR(E205="",E170=""),"",IF(E170&lt;=0,"",IFERROR(E205/E170,"")))</f>
        <v/>
      </c>
      <c r="F206" s="15">
        <f>IF(OR(F205="",F170=""),"",IF(F170&lt;=0,"",IFERROR(F205/F170,"")))</f>
        <v/>
      </c>
      <c r="G206" s="15">
        <f>IF(OR(G205="",G170=""),"",IF(G170&lt;=0,"",IFERROR(G205/G170,"")))</f>
        <v/>
      </c>
      <c r="H206" s="15">
        <f>IF(OR(H205="",H170=""),"",IF(H170&lt;=0,"",IFERROR(H205/H170,"")))</f>
        <v/>
      </c>
      <c r="V206" s="15">
        <f>IF(OR(V205="",V170=""),"",IF(V170&lt;=0,"",IFERROR(V205/V170,"")))</f>
        <v/>
      </c>
      <c r="W206" s="15">
        <f>IF(OR(W205="",W170=""),"",IF(W170&lt;=0,"",IFERROR(W205/W170,"")))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V207" s="15">
        <f>IF(OR(V205="",U205=""),"",IF(U205&lt;=0,"",IFERROR(V205/U205-1,"")))</f>
        <v/>
      </c>
      <c r="W207" s="15">
        <f>IF(OR(W205="",V205=""),"",IF(V205&lt;=0,"",IFERROR(W205/V205-1,"")))</f>
        <v/>
      </c>
    </row>
    <row r="209">
      <c r="A209" s="16" t="inlineStr">
        <is>
          <t>현금흐름표 · 전 항목</t>
        </is>
      </c>
      <c r="B209" s="42" t="inlineStr">
        <is>
          <t>분기 = 결산기 첫날부터 누계(공시 그대로)</t>
        </is>
      </c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</row>
    <row r="210">
      <c r="A210" s="5" t="inlineStr">
        <is>
          <t>항목</t>
        </is>
      </c>
      <c r="B210" s="5" t="inlineStr">
        <is>
          <t>참고</t>
        </is>
      </c>
      <c r="C210" s="5" t="inlineStr">
        <is>
          <t>2024.3Q</t>
        </is>
      </c>
      <c r="D210" s="5" t="inlineStr">
        <is>
          <t>2024.4Q</t>
        </is>
      </c>
      <c r="E210" s="5" t="inlineStr">
        <is>
          <t>2025.1Q</t>
        </is>
      </c>
      <c r="F210" s="5" t="inlineStr">
        <is>
          <t>2025.2Q</t>
        </is>
      </c>
      <c r="G210" s="5" t="inlineStr">
        <is>
          <t>2025.3Q</t>
        </is>
      </c>
      <c r="H210" s="5" t="inlineStr">
        <is>
          <t>2025.4Q</t>
        </is>
      </c>
      <c r="I210" s="5" t="inlineStr">
        <is>
          <t>2026.1Q</t>
        </is>
      </c>
      <c r="J210" s="5" t="inlineStr">
        <is>
          <t>2026.2Q</t>
        </is>
      </c>
      <c r="K210" s="5" t="inlineStr">
        <is>
          <t>2026.3Q</t>
        </is>
      </c>
      <c r="L210" s="5" t="inlineStr">
        <is>
          <t>2026.4Q</t>
        </is>
      </c>
      <c r="M210" s="5" t="inlineStr">
        <is>
          <t>2027.1Q</t>
        </is>
      </c>
      <c r="N210" s="5" t="inlineStr">
        <is>
          <t>2027.2Q</t>
        </is>
      </c>
      <c r="O210" s="5" t="inlineStr">
        <is>
          <t>2017</t>
        </is>
      </c>
      <c r="P210" s="5" t="inlineStr">
        <is>
          <t>2018</t>
        </is>
      </c>
      <c r="Q210" s="5" t="inlineStr">
        <is>
          <t>2019</t>
        </is>
      </c>
      <c r="R210" s="5" t="inlineStr">
        <is>
          <t>2020</t>
        </is>
      </c>
      <c r="S210" s="5" t="inlineStr">
        <is>
          <t>2021</t>
        </is>
      </c>
      <c r="T210" s="5" t="inlineStr">
        <is>
          <t>2022</t>
        </is>
      </c>
      <c r="U210" s="5" t="inlineStr">
        <is>
          <t>2023</t>
        </is>
      </c>
      <c r="V210" s="5" t="inlineStr">
        <is>
          <t>2024</t>
        </is>
      </c>
      <c r="W210" s="5" t="inlineStr">
        <is>
          <t>2025</t>
        </is>
      </c>
      <c r="X210" s="5" t="inlineStr">
        <is>
          <t>2026</t>
        </is>
      </c>
      <c r="Y210" s="5" t="inlineStr">
        <is>
          <t>2027(MW)</t>
        </is>
      </c>
      <c r="Z210" s="5" t="inlineStr">
        <is>
          <t>2028(MW)</t>
        </is>
      </c>
      <c r="AA210" s="5" t="inlineStr">
        <is>
          <t>2029(MW)</t>
        </is>
      </c>
      <c r="AB210" s="5" t="inlineStr">
        <is>
          <t>2030(MW)</t>
        </is>
      </c>
      <c r="AC210" s="5" t="inlineStr">
        <is>
          <t>2031(MW)</t>
        </is>
      </c>
    </row>
    <row r="211">
      <c r="A211" s="9" t="inlineStr">
        <is>
          <t>법인세차감전 순이익</t>
        </is>
      </c>
      <c r="D211" s="12" t="n">
        <v>1563.849</v>
      </c>
      <c r="H211" s="12" t="n">
        <v>1699.98</v>
      </c>
      <c r="L211" s="12" t="n">
        <v>2048.202</v>
      </c>
      <c r="O211" s="12" t="n">
        <v>1702.992</v>
      </c>
      <c r="P211" s="12" t="n">
        <v>1914.053</v>
      </c>
      <c r="Q211" s="12" t="n">
        <v>1806.843</v>
      </c>
      <c r="R211" s="12" t="n">
        <v>2248.201</v>
      </c>
      <c r="S211" s="12" t="n">
        <v>2431.023</v>
      </c>
      <c r="T211" s="12" t="n">
        <v>1891.497</v>
      </c>
      <c r="U211" s="12" t="n">
        <v>1352.227</v>
      </c>
      <c r="V211" s="12" t="n">
        <v>1563.849</v>
      </c>
      <c r="W211" s="12" t="n">
        <v>1699.98</v>
      </c>
      <c r="X211" s="12" t="n">
        <v>2048.202</v>
      </c>
    </row>
    <row r="212">
      <c r="A212" s="18" t="inlineStr">
        <is>
          <t>감가상각비</t>
        </is>
      </c>
      <c r="D212" s="20" t="n">
        <v>884.144</v>
      </c>
      <c r="H212" s="20" t="n">
        <v>835.076</v>
      </c>
      <c r="L212" s="20" t="n">
        <v>898.298</v>
      </c>
      <c r="O212" s="20" t="n">
        <v>618.316</v>
      </c>
      <c r="P212" s="20" t="n">
        <v>664.332</v>
      </c>
      <c r="Q212" s="20" t="n">
        <v>703.796</v>
      </c>
      <c r="R212" s="20" t="n">
        <v>918.996</v>
      </c>
      <c r="S212" s="20" t="n">
        <v>866.546</v>
      </c>
      <c r="T212" s="20" t="n">
        <v>835.061</v>
      </c>
      <c r="U212" s="20" t="n">
        <v>846.212</v>
      </c>
      <c r="V212" s="20" t="n">
        <v>884.144</v>
      </c>
      <c r="W212" s="20" t="n">
        <v>835.076</v>
      </c>
      <c r="X212" s="20" t="n">
        <v>898.298</v>
      </c>
    </row>
    <row r="213">
      <c r="A213" s="18" t="inlineStr">
        <is>
          <t>상여충당금 증감</t>
        </is>
      </c>
      <c r="D213" s="20" t="n">
        <v>16.838</v>
      </c>
      <c r="H213" s="20" t="n">
        <v>-4.193</v>
      </c>
      <c r="L213" s="20" t="n">
        <v>3.93</v>
      </c>
      <c r="O213" s="20" t="n">
        <v>1.099</v>
      </c>
      <c r="P213" s="20" t="n">
        <v>-3.241</v>
      </c>
      <c r="Q213" s="20" t="n">
        <v>6.687</v>
      </c>
      <c r="R213" s="20" t="n">
        <v>12.134</v>
      </c>
      <c r="S213" s="20" t="n">
        <v>12.467</v>
      </c>
      <c r="T213" s="20" t="n">
        <v>-16.694</v>
      </c>
      <c r="U213" s="20" t="n">
        <v>-1.838</v>
      </c>
      <c r="V213" s="20" t="n">
        <v>16.838</v>
      </c>
      <c r="W213" s="20" t="n">
        <v>-4.193</v>
      </c>
      <c r="X213" s="20" t="n">
        <v>3.93</v>
      </c>
    </row>
    <row r="214">
      <c r="A214" s="18" t="inlineStr">
        <is>
          <t>대손충당금 증감</t>
        </is>
      </c>
      <c r="D214" s="20" t="n">
        <v>1.72</v>
      </c>
      <c r="H214" s="20" t="n">
        <v>0.886</v>
      </c>
      <c r="L214" s="20" t="n">
        <v>-2.581</v>
      </c>
      <c r="O214" s="20" t="n">
        <v>-1.383</v>
      </c>
      <c r="P214" s="20" t="n">
        <v>-0.08699999999999999</v>
      </c>
      <c r="Q214" s="20" t="n">
        <v>0</v>
      </c>
      <c r="T214" s="20" t="n">
        <v>0</v>
      </c>
      <c r="U214" s="20" t="n">
        <v>-0.027</v>
      </c>
      <c r="V214" s="20" t="n">
        <v>1.72</v>
      </c>
      <c r="W214" s="20" t="n">
        <v>0.886</v>
      </c>
      <c r="X214" s="20" t="n">
        <v>-2.581</v>
      </c>
    </row>
    <row r="215">
      <c r="A215" s="18" t="inlineStr">
        <is>
          <t>Increase Decrease In Provision For Mine Closure Expenses Ope CF</t>
        </is>
      </c>
      <c r="D215" s="20" t="n">
        <v>19.232</v>
      </c>
      <c r="H215" s="20" t="n">
        <v>16.801</v>
      </c>
      <c r="L215" s="20" t="n">
        <v>18.626</v>
      </c>
      <c r="O215" s="20" t="n">
        <v>9.004</v>
      </c>
      <c r="P215" s="20" t="n">
        <v>16.392</v>
      </c>
      <c r="Q215" s="20" t="n">
        <v>16.383</v>
      </c>
      <c r="R215" s="20" t="n">
        <v>15.914</v>
      </c>
      <c r="S215" s="20" t="n">
        <v>12.294</v>
      </c>
      <c r="T215" s="20" t="n">
        <v>16.485</v>
      </c>
      <c r="U215" s="20" t="n">
        <v>19.734</v>
      </c>
      <c r="V215" s="20" t="n">
        <v>19.232</v>
      </c>
      <c r="W215" s="20" t="n">
        <v>16.801</v>
      </c>
      <c r="X215" s="20" t="n">
        <v>18.626</v>
      </c>
    </row>
    <row r="216">
      <c r="A216" s="18" t="inlineStr">
        <is>
          <t>퇴직급여부채 증감</t>
        </is>
      </c>
      <c r="D216" s="20" t="n">
        <v>1.232</v>
      </c>
      <c r="H216" s="20" t="n">
        <v>2.046</v>
      </c>
      <c r="L216" s="20" t="n">
        <v>1.713</v>
      </c>
      <c r="O216" s="20" t="n">
        <v>1.302</v>
      </c>
      <c r="P216" s="20" t="n">
        <v>-0.29</v>
      </c>
      <c r="Q216" s="20" t="n">
        <v>-1.339</v>
      </c>
      <c r="R216" s="20" t="n">
        <v>-1.384</v>
      </c>
      <c r="S216" s="20" t="n">
        <v>3.566</v>
      </c>
      <c r="T216" s="20" t="n">
        <v>1.257</v>
      </c>
      <c r="U216" s="20" t="n">
        <v>1.004</v>
      </c>
      <c r="V216" s="20" t="n">
        <v>1.232</v>
      </c>
      <c r="W216" s="20" t="n">
        <v>2.046</v>
      </c>
      <c r="X216" s="20" t="n">
        <v>1.713</v>
      </c>
    </row>
    <row r="217">
      <c r="A217" s="18" t="inlineStr">
        <is>
          <t>이자·배당금 수익</t>
        </is>
      </c>
      <c r="D217" s="20" t="n">
        <v>-171.359</v>
      </c>
      <c r="H217" s="20" t="n">
        <v>-305.642</v>
      </c>
      <c r="L217" s="20" t="n">
        <v>-272.436</v>
      </c>
      <c r="O217" s="20" t="n">
        <v>-116.306</v>
      </c>
      <c r="P217" s="20" t="n">
        <v>-153.902</v>
      </c>
      <c r="Q217" s="20" t="n">
        <v>-160.131</v>
      </c>
      <c r="R217" s="20" t="n">
        <v>-149.705</v>
      </c>
      <c r="S217" s="20" t="n">
        <v>-144.855</v>
      </c>
      <c r="T217" s="20" t="n">
        <v>-172.897</v>
      </c>
      <c r="U217" s="20" t="n">
        <v>-215.712</v>
      </c>
      <c r="V217" s="20" t="n">
        <v>-171.359</v>
      </c>
      <c r="W217" s="20" t="n">
        <v>-305.642</v>
      </c>
      <c r="X217" s="20" t="n">
        <v>-272.436</v>
      </c>
    </row>
    <row r="218">
      <c r="A218" s="18" t="inlineStr">
        <is>
          <t>이자비용</t>
        </is>
      </c>
      <c r="D218" s="20" t="n">
        <v>3.852</v>
      </c>
      <c r="H218" s="20" t="n">
        <v>3.937</v>
      </c>
      <c r="L218" s="20" t="n">
        <v>3.903</v>
      </c>
      <c r="O218" s="20" t="n">
        <v>3.099</v>
      </c>
      <c r="P218" s="20" t="n">
        <v>3.695</v>
      </c>
      <c r="Q218" s="20" t="n">
        <v>3.628</v>
      </c>
      <c r="R218" s="20" t="n">
        <v>1.848</v>
      </c>
      <c r="S218" s="20" t="n">
        <v>5.046</v>
      </c>
      <c r="T218" s="20" t="n">
        <v>4.971</v>
      </c>
      <c r="U218" s="20" t="n">
        <v>2.538</v>
      </c>
      <c r="V218" s="20" t="n">
        <v>3.852</v>
      </c>
      <c r="W218" s="20" t="n">
        <v>3.937</v>
      </c>
      <c r="X218" s="20" t="n">
        <v>3.903</v>
      </c>
    </row>
    <row r="219">
      <c r="A219" s="18" t="inlineStr">
        <is>
          <t>외환차손익</t>
        </is>
      </c>
      <c r="D219" s="20" t="n">
        <v>-72.191</v>
      </c>
      <c r="H219" s="20" t="n">
        <v>-26.062</v>
      </c>
      <c r="L219" s="20" t="n">
        <v>-45.736</v>
      </c>
      <c r="O219" s="20" t="n">
        <v>-12.681</v>
      </c>
      <c r="P219" s="20" t="n">
        <v>13.989</v>
      </c>
      <c r="Q219" s="20" t="n">
        <v>-6.611</v>
      </c>
      <c r="R219" s="20" t="n">
        <v>2.449</v>
      </c>
      <c r="S219" s="20" t="n">
        <v>-3.381</v>
      </c>
      <c r="T219" s="20" t="n">
        <v>-24.572</v>
      </c>
      <c r="U219" s="20" t="n">
        <v>-74.30500000000001</v>
      </c>
      <c r="V219" s="20" t="n">
        <v>-72.191</v>
      </c>
      <c r="W219" s="20" t="n">
        <v>-26.062</v>
      </c>
      <c r="X219" s="20" t="n">
        <v>-45.736</v>
      </c>
    </row>
    <row r="220">
      <c r="A220" s="18" t="inlineStr">
        <is>
          <t>고정자산 매각손익</t>
        </is>
      </c>
      <c r="D220" s="20" t="n">
        <v>-9.704000000000001</v>
      </c>
      <c r="H220" s="20" t="n">
        <v>-0.01</v>
      </c>
      <c r="L220" s="20" t="n">
        <v>-2.368</v>
      </c>
      <c r="P220" s="20" t="n">
        <v>0</v>
      </c>
      <c r="Q220" s="20" t="n">
        <v>0.282</v>
      </c>
      <c r="R220" s="20" t="n">
        <v>-6.03</v>
      </c>
      <c r="S220" s="20" t="n">
        <v>-0.359</v>
      </c>
      <c r="T220" s="20" t="n">
        <v>0.725</v>
      </c>
      <c r="U220" s="20" t="n">
        <v>-6.513</v>
      </c>
      <c r="V220" s="20" t="n">
        <v>-9.704000000000001</v>
      </c>
      <c r="W220" s="20" t="n">
        <v>-0.01</v>
      </c>
      <c r="X220" s="20" t="n">
        <v>-2.368</v>
      </c>
    </row>
    <row r="221">
      <c r="A221" s="18" t="inlineStr">
        <is>
          <t>고정자산 제각손실</t>
        </is>
      </c>
      <c r="D221" s="20" t="n">
        <v>13.998</v>
      </c>
      <c r="H221" s="20" t="n">
        <v>17.866</v>
      </c>
      <c r="L221" s="20" t="n">
        <v>67.249</v>
      </c>
      <c r="O221" s="20" t="n">
        <v>25.451</v>
      </c>
      <c r="P221" s="20" t="n">
        <v>23.021</v>
      </c>
      <c r="Q221" s="20" t="n">
        <v>20.819</v>
      </c>
      <c r="R221" s="20" t="n">
        <v>27.512</v>
      </c>
      <c r="S221" s="20" t="n">
        <v>16.84</v>
      </c>
      <c r="T221" s="20" t="n">
        <v>11.992</v>
      </c>
      <c r="U221" s="20" t="n">
        <v>20.911</v>
      </c>
      <c r="V221" s="20" t="n">
        <v>13.998</v>
      </c>
      <c r="W221" s="20" t="n">
        <v>17.866</v>
      </c>
      <c r="X221" s="20" t="n">
        <v>67.249</v>
      </c>
    </row>
    <row r="222">
      <c r="A222" s="18" t="inlineStr">
        <is>
          <t>재해 손실</t>
        </is>
      </c>
      <c r="D222" s="20" t="n">
        <v>0</v>
      </c>
      <c r="R222" s="20" t="n">
        <v>0</v>
      </c>
      <c r="S222" s="20" t="n">
        <v>32.045</v>
      </c>
      <c r="T222" s="20" t="n">
        <v>9.433</v>
      </c>
      <c r="U222" s="20" t="n">
        <v>1.2</v>
      </c>
      <c r="V222" s="20" t="n">
        <v>0</v>
      </c>
    </row>
    <row r="223">
      <c r="A223" s="18" t="inlineStr">
        <is>
          <t>투자유가증권 매각손익</t>
        </is>
      </c>
      <c r="D223" s="20" t="n">
        <v>0</v>
      </c>
      <c r="H223" s="20" t="n">
        <v>-152.148</v>
      </c>
      <c r="L223" s="20" t="n">
        <v>-183.243</v>
      </c>
      <c r="Q223" s="20" t="n">
        <v>0</v>
      </c>
      <c r="R223" s="20" t="n">
        <v>-174.823</v>
      </c>
      <c r="S223" s="20" t="n">
        <v>0</v>
      </c>
      <c r="V223" s="20" t="n">
        <v>0</v>
      </c>
      <c r="W223" s="20" t="n">
        <v>-152.148</v>
      </c>
      <c r="X223" s="20" t="n">
        <v>-183.243</v>
      </c>
    </row>
    <row r="224">
      <c r="A224" s="18" t="inlineStr">
        <is>
          <t>유가증권 매각손익</t>
        </is>
      </c>
      <c r="D224" s="20" t="n">
        <v>-121.973</v>
      </c>
      <c r="H224" s="20" t="n">
        <v>0</v>
      </c>
      <c r="P224" s="20" t="n">
        <v>0</v>
      </c>
      <c r="Q224" s="20" t="n">
        <v>85.58</v>
      </c>
      <c r="R224" s="20" t="n">
        <v>0</v>
      </c>
      <c r="T224" s="20" t="n">
        <v>0</v>
      </c>
      <c r="U224" s="20" t="n">
        <v>-257.75</v>
      </c>
      <c r="V224" s="20" t="n">
        <v>-121.973</v>
      </c>
      <c r="W224" s="20" t="n">
        <v>0</v>
      </c>
    </row>
    <row r="225">
      <c r="A225" s="18" t="inlineStr">
        <is>
          <t>유가증권 상환손익</t>
        </is>
      </c>
      <c r="P225" s="20" t="n">
        <v>0</v>
      </c>
      <c r="Q225" s="20" t="n">
        <v>18.101</v>
      </c>
      <c r="R225" s="20" t="n">
        <v>0</v>
      </c>
    </row>
    <row r="226">
      <c r="A226" s="18" t="inlineStr">
        <is>
          <t>매출채권 증감</t>
        </is>
      </c>
      <c r="D226" s="20" t="n">
        <v>-8.59</v>
      </c>
      <c r="H226" s="20" t="n">
        <v>323.239</v>
      </c>
      <c r="L226" s="20" t="n">
        <v>-39.639</v>
      </c>
      <c r="O226" s="20" t="n">
        <v>-259.72</v>
      </c>
      <c r="P226" s="20" t="n">
        <v>-595.086</v>
      </c>
      <c r="Q226" s="20" t="n">
        <v>-230.905</v>
      </c>
      <c r="R226" s="20" t="n">
        <v>-114.379</v>
      </c>
      <c r="S226" s="20" t="n">
        <v>446.72</v>
      </c>
      <c r="T226" s="20" t="n">
        <v>-31.247</v>
      </c>
      <c r="U226" s="20" t="n">
        <v>-76.593</v>
      </c>
      <c r="V226" s="20" t="n">
        <v>-8.59</v>
      </c>
      <c r="W226" s="20" t="n">
        <v>323.239</v>
      </c>
      <c r="X226" s="20" t="n">
        <v>-39.639</v>
      </c>
    </row>
    <row r="227">
      <c r="A227" s="18" t="inlineStr">
        <is>
          <t>재고자산 증감</t>
        </is>
      </c>
      <c r="D227" s="20" t="n">
        <v>-201.161</v>
      </c>
      <c r="H227" s="20" t="n">
        <v>-1177.305</v>
      </c>
      <c r="L227" s="20" t="n">
        <v>1881.595</v>
      </c>
      <c r="O227" s="20" t="n">
        <v>192.012</v>
      </c>
      <c r="P227" s="20" t="n">
        <v>-232.444</v>
      </c>
      <c r="Q227" s="20" t="n">
        <v>-33.222</v>
      </c>
      <c r="R227" s="20" t="n">
        <v>-416.658</v>
      </c>
      <c r="S227" s="20" t="n">
        <v>375.82</v>
      </c>
      <c r="T227" s="20" t="n">
        <v>-253.994</v>
      </c>
      <c r="U227" s="20" t="n">
        <v>-1240.876</v>
      </c>
      <c r="V227" s="20" t="n">
        <v>-201.161</v>
      </c>
      <c r="W227" s="20" t="n">
        <v>-1177.305</v>
      </c>
      <c r="X227" s="20" t="n">
        <v>1881.595</v>
      </c>
    </row>
    <row r="228">
      <c r="A228" s="18" t="inlineStr">
        <is>
          <t>매입채무 증감</t>
        </is>
      </c>
      <c r="D228" s="20" t="n">
        <v>-135.298</v>
      </c>
      <c r="H228" s="20" t="n">
        <v>162.712</v>
      </c>
      <c r="L228" s="20" t="n">
        <v>-69.255</v>
      </c>
      <c r="O228" s="20" t="n">
        <v>19.327</v>
      </c>
      <c r="P228" s="20" t="n">
        <v>-109.656</v>
      </c>
      <c r="Q228" s="20" t="n">
        <v>38.283</v>
      </c>
      <c r="R228" s="20" t="n">
        <v>497.965</v>
      </c>
      <c r="S228" s="20" t="n">
        <v>-376.182</v>
      </c>
      <c r="T228" s="20" t="n">
        <v>-195.894</v>
      </c>
      <c r="U228" s="20" t="n">
        <v>209.992</v>
      </c>
      <c r="V228" s="20" t="n">
        <v>-135.298</v>
      </c>
      <c r="W228" s="20" t="n">
        <v>162.712</v>
      </c>
      <c r="X228" s="20" t="n">
        <v>-69.255</v>
      </c>
    </row>
    <row r="229">
      <c r="A229" s="18" t="inlineStr">
        <is>
          <t>미지급금 증감</t>
        </is>
      </c>
      <c r="D229" s="20" t="n">
        <v>199.235</v>
      </c>
      <c r="H229" s="20" t="n">
        <v>-205.781</v>
      </c>
      <c r="L229" s="20" t="n">
        <v>346.725</v>
      </c>
      <c r="O229" s="20" t="n">
        <v>22.845</v>
      </c>
      <c r="P229" s="20" t="n">
        <v>66.60899999999999</v>
      </c>
      <c r="Q229" s="20" t="n">
        <v>-22.107</v>
      </c>
      <c r="R229" s="20" t="n">
        <v>163.717</v>
      </c>
      <c r="S229" s="20" t="n">
        <v>18.903</v>
      </c>
      <c r="T229" s="20" t="n">
        <v>-156.807</v>
      </c>
      <c r="U229" s="20" t="n">
        <v>-15.734</v>
      </c>
      <c r="V229" s="20" t="n">
        <v>199.235</v>
      </c>
      <c r="W229" s="20" t="n">
        <v>-205.781</v>
      </c>
      <c r="X229" s="20" t="n">
        <v>346.725</v>
      </c>
    </row>
    <row r="230">
      <c r="A230" s="18" t="inlineStr">
        <is>
          <t>기타</t>
        </is>
      </c>
      <c r="D230" s="20" t="n">
        <v>264.273</v>
      </c>
      <c r="H230" s="20" t="n">
        <v>-14.399</v>
      </c>
      <c r="L230" s="20" t="n">
        <v>112.44</v>
      </c>
      <c r="O230" s="20" t="n">
        <v>45.705</v>
      </c>
      <c r="P230" s="20" t="n">
        <v>6.926</v>
      </c>
      <c r="Q230" s="20" t="n">
        <v>37.258</v>
      </c>
      <c r="R230" s="20" t="n">
        <v>87.001</v>
      </c>
      <c r="S230" s="20" t="n">
        <v>-42.73</v>
      </c>
      <c r="T230" s="20" t="n">
        <v>-207.263</v>
      </c>
      <c r="U230" s="20" t="n">
        <v>-5.813</v>
      </c>
      <c r="V230" s="20" t="n">
        <v>264.273</v>
      </c>
      <c r="W230" s="20" t="n">
        <v>-14.399</v>
      </c>
      <c r="X230" s="20" t="n">
        <v>112.44</v>
      </c>
    </row>
    <row r="231">
      <c r="A231" s="18" t="inlineStr">
        <is>
          <t>소계</t>
        </is>
      </c>
      <c r="D231" s="20" t="n">
        <v>2248.099</v>
      </c>
      <c r="H231" s="20" t="n">
        <v>1177.005</v>
      </c>
      <c r="L231" s="20" t="n">
        <v>4767.426</v>
      </c>
      <c r="O231" s="20" t="n">
        <v>2251.066</v>
      </c>
      <c r="P231" s="20" t="n">
        <v>1614.31</v>
      </c>
      <c r="Q231" s="20" t="n">
        <v>2283.347</v>
      </c>
      <c r="R231" s="20" t="n">
        <v>3112.758</v>
      </c>
      <c r="S231" s="20" t="n">
        <v>3653.768</v>
      </c>
      <c r="T231" s="20" t="n">
        <v>1712.052</v>
      </c>
      <c r="U231" s="20" t="n">
        <v>558.658</v>
      </c>
      <c r="V231" s="20" t="n">
        <v>2248.099</v>
      </c>
      <c r="W231" s="20" t="n">
        <v>1177.005</v>
      </c>
      <c r="X231" s="20" t="n">
        <v>4767.426</v>
      </c>
    </row>
    <row r="232">
      <c r="A232" s="18" t="inlineStr">
        <is>
          <t>이자·배당금 수취</t>
        </is>
      </c>
      <c r="D232" s="20" t="n">
        <v>171.359</v>
      </c>
      <c r="H232" s="20" t="n">
        <v>305.642</v>
      </c>
      <c r="L232" s="20" t="n">
        <v>270.694</v>
      </c>
      <c r="O232" s="20" t="n">
        <v>116.306</v>
      </c>
      <c r="P232" s="20" t="n">
        <v>153.902</v>
      </c>
      <c r="Q232" s="20" t="n">
        <v>160.131</v>
      </c>
      <c r="R232" s="20" t="n">
        <v>149.705</v>
      </c>
      <c r="S232" s="20" t="n">
        <v>144.855</v>
      </c>
      <c r="T232" s="20" t="n">
        <v>172.897</v>
      </c>
      <c r="U232" s="20" t="n">
        <v>215.712</v>
      </c>
      <c r="V232" s="20" t="n">
        <v>171.359</v>
      </c>
      <c r="W232" s="20" t="n">
        <v>305.642</v>
      </c>
      <c r="X232" s="20" t="n">
        <v>270.694</v>
      </c>
    </row>
    <row r="233">
      <c r="A233" s="18" t="inlineStr">
        <is>
          <t>이자 지급</t>
        </is>
      </c>
      <c r="D233" s="20" t="n">
        <v>-3.852</v>
      </c>
      <c r="H233" s="20" t="n">
        <v>-3.931</v>
      </c>
      <c r="L233" s="20" t="n">
        <v>-3.899</v>
      </c>
      <c r="O233" s="20" t="n">
        <v>-3.099</v>
      </c>
      <c r="P233" s="20" t="n">
        <v>-3.695</v>
      </c>
      <c r="Q233" s="20" t="n">
        <v>-3.628</v>
      </c>
      <c r="R233" s="20" t="n">
        <v>-1.848</v>
      </c>
      <c r="S233" s="20" t="n">
        <v>-4.903</v>
      </c>
      <c r="T233" s="20" t="n">
        <v>-4.949</v>
      </c>
      <c r="U233" s="20" t="n">
        <v>-2.705</v>
      </c>
      <c r="V233" s="20" t="n">
        <v>-3.852</v>
      </c>
      <c r="W233" s="20" t="n">
        <v>-3.931</v>
      </c>
      <c r="X233" s="20" t="n">
        <v>-3.899</v>
      </c>
    </row>
    <row r="234">
      <c r="A234" s="18" t="inlineStr">
        <is>
          <t>법인세 납부</t>
        </is>
      </c>
      <c r="D234" s="20" t="n">
        <v>-493.802</v>
      </c>
      <c r="H234" s="20" t="n">
        <v>-454.772</v>
      </c>
      <c r="L234" s="20" t="n">
        <v>-709.016</v>
      </c>
      <c r="O234" s="20" t="n">
        <v>-468.468</v>
      </c>
      <c r="P234" s="20" t="n">
        <v>-498.693</v>
      </c>
      <c r="Q234" s="20" t="n">
        <v>-552.854</v>
      </c>
      <c r="R234" s="20" t="n">
        <v>-510.573</v>
      </c>
      <c r="S234" s="20" t="n">
        <v>-537.159</v>
      </c>
      <c r="T234" s="20" t="n">
        <v>-691.126</v>
      </c>
      <c r="U234" s="20" t="n">
        <v>-536.357</v>
      </c>
      <c r="V234" s="20" t="n">
        <v>-493.802</v>
      </c>
      <c r="W234" s="20" t="n">
        <v>-454.772</v>
      </c>
      <c r="X234" s="20" t="n">
        <v>-709.016</v>
      </c>
    </row>
    <row r="235">
      <c r="A235" s="18" t="inlineStr">
        <is>
          <t>재해손실 지급</t>
        </is>
      </c>
      <c r="D235" s="20" t="n">
        <v>0</v>
      </c>
      <c r="R235" s="20" t="n">
        <v>0</v>
      </c>
      <c r="S235" s="20" t="n">
        <v>-29.296</v>
      </c>
      <c r="T235" s="20" t="n">
        <v>-11.063</v>
      </c>
      <c r="U235" s="20" t="n">
        <v>-1.24</v>
      </c>
      <c r="V235" s="20" t="n">
        <v>0</v>
      </c>
    </row>
    <row r="236">
      <c r="A236" s="9" t="inlineStr">
        <is>
          <t>영업활동 현금흐름</t>
        </is>
      </c>
      <c r="D236" s="12" t="n">
        <v>1921.804</v>
      </c>
      <c r="H236" s="12" t="n">
        <v>1023.944</v>
      </c>
      <c r="L236" s="12" t="n">
        <v>4325.203</v>
      </c>
      <c r="O236" s="12" t="n">
        <v>1895.805</v>
      </c>
      <c r="P236" s="12" t="n">
        <v>1265.824</v>
      </c>
      <c r="Q236" s="12" t="n">
        <v>1886.994</v>
      </c>
      <c r="R236" s="12" t="n">
        <v>2750.042</v>
      </c>
      <c r="S236" s="12" t="n">
        <v>3227.263</v>
      </c>
      <c r="T236" s="12" t="n">
        <v>1177.811</v>
      </c>
      <c r="U236" s="12" t="n">
        <v>234.067</v>
      </c>
      <c r="V236" s="12" t="n">
        <v>1921.804</v>
      </c>
      <c r="W236" s="12" t="n">
        <v>1023.944</v>
      </c>
      <c r="X236" s="12" t="n">
        <v>4325.203</v>
      </c>
    </row>
    <row r="237">
      <c r="A237" s="18" t="inlineStr">
        <is>
          <t>정기예금 인출</t>
        </is>
      </c>
      <c r="D237" s="20" t="n">
        <v>0</v>
      </c>
      <c r="R237" s="20" t="n">
        <v>0</v>
      </c>
      <c r="S237" s="20" t="n">
        <v>91.798</v>
      </c>
      <c r="T237" s="20" t="n">
        <v>44.799</v>
      </c>
      <c r="U237" s="20" t="n">
        <v>74.72</v>
      </c>
      <c r="V237" s="20" t="n">
        <v>0</v>
      </c>
    </row>
    <row r="238">
      <c r="A238" s="18" t="inlineStr">
        <is>
          <t>정기예금 예입</t>
        </is>
      </c>
      <c r="D238" s="20" t="n">
        <v>-25</v>
      </c>
      <c r="H238" s="20" t="n">
        <v>-19.017</v>
      </c>
      <c r="L238" s="20" t="n">
        <v>-48.01</v>
      </c>
      <c r="O238" s="20" t="n">
        <v>-41.604</v>
      </c>
      <c r="P238" s="20" t="n">
        <v>-72.20099999999999</v>
      </c>
      <c r="Q238" s="20" t="n">
        <v>-46.201</v>
      </c>
      <c r="R238" s="20" t="n">
        <v>-54.601</v>
      </c>
      <c r="S238" s="20" t="n">
        <v>0</v>
      </c>
      <c r="U238" s="20" t="n">
        <v>0</v>
      </c>
      <c r="V238" s="20" t="n">
        <v>-25</v>
      </c>
      <c r="W238" s="20" t="n">
        <v>-19.017</v>
      </c>
      <c r="X238" s="20" t="n">
        <v>-48.01</v>
      </c>
    </row>
    <row r="239">
      <c r="A239" s="18" t="inlineStr">
        <is>
          <t>투자유가증권 취득</t>
        </is>
      </c>
      <c r="D239" s="20" t="n">
        <v>-25.037</v>
      </c>
      <c r="H239" s="20" t="n">
        <v>-23.076</v>
      </c>
      <c r="L239" s="20" t="n">
        <v>-4.403</v>
      </c>
      <c r="O239" s="20" t="n">
        <v>-117.764</v>
      </c>
      <c r="P239" s="20" t="n">
        <v>-15.035</v>
      </c>
      <c r="Q239" s="20" t="n">
        <v>-122.38</v>
      </c>
      <c r="R239" s="20" t="n">
        <v>-115.406</v>
      </c>
      <c r="S239" s="20" t="n">
        <v>-15.718</v>
      </c>
      <c r="T239" s="20" t="n">
        <v>-352.296</v>
      </c>
      <c r="U239" s="20" t="n">
        <v>-23.318</v>
      </c>
      <c r="V239" s="20" t="n">
        <v>-25.037</v>
      </c>
      <c r="W239" s="20" t="n">
        <v>-23.076</v>
      </c>
      <c r="X239" s="20" t="n">
        <v>-4.403</v>
      </c>
    </row>
    <row r="240">
      <c r="A240" s="18" t="inlineStr">
        <is>
          <t>투자유가증권 매각</t>
        </is>
      </c>
      <c r="D240" s="20" t="n">
        <v>1.445</v>
      </c>
      <c r="H240" s="20" t="n">
        <v>350.902</v>
      </c>
      <c r="L240" s="20" t="n">
        <v>401.599</v>
      </c>
      <c r="Q240" s="20" t="n">
        <v>0</v>
      </c>
      <c r="R240" s="20" t="n">
        <v>314.022</v>
      </c>
      <c r="S240" s="20" t="n">
        <v>0</v>
      </c>
      <c r="U240" s="20" t="n">
        <v>0</v>
      </c>
      <c r="V240" s="20" t="n">
        <v>1.445</v>
      </c>
      <c r="W240" s="20" t="n">
        <v>350.902</v>
      </c>
      <c r="X240" s="20" t="n">
        <v>401.599</v>
      </c>
    </row>
    <row r="241">
      <c r="A241" s="18" t="inlineStr">
        <is>
          <t>투자유가증권 상환</t>
        </is>
      </c>
      <c r="D241" s="20" t="n">
        <v>0</v>
      </c>
      <c r="P241" s="20" t="n">
        <v>0</v>
      </c>
      <c r="Q241" s="20" t="n">
        <v>100.165</v>
      </c>
      <c r="R241" s="20" t="n">
        <v>0</v>
      </c>
      <c r="T241" s="20" t="n">
        <v>0</v>
      </c>
      <c r="U241" s="20" t="n">
        <v>135.63</v>
      </c>
      <c r="V241" s="20" t="n">
        <v>0</v>
      </c>
    </row>
    <row r="242">
      <c r="A242" s="18" t="inlineStr">
        <is>
          <t>유형자산 취득(설비투자)</t>
        </is>
      </c>
      <c r="D242" s="20" t="n">
        <v>-812.116</v>
      </c>
      <c r="H242" s="20" t="n">
        <v>-514.729</v>
      </c>
      <c r="L242" s="20" t="n">
        <v>-1140.777</v>
      </c>
      <c r="O242" s="20" t="n">
        <v>-1180.205</v>
      </c>
      <c r="P242" s="20" t="n">
        <v>-636.732</v>
      </c>
      <c r="Q242" s="20" t="n">
        <v>-1810.928</v>
      </c>
      <c r="R242" s="20" t="n">
        <v>-965.693</v>
      </c>
      <c r="S242" s="20" t="n">
        <v>-546.688</v>
      </c>
      <c r="T242" s="20" t="n">
        <v>-678.787</v>
      </c>
      <c r="U242" s="20" t="n">
        <v>-754.071</v>
      </c>
      <c r="V242" s="20" t="n">
        <v>-812.116</v>
      </c>
      <c r="W242" s="20" t="n">
        <v>-514.729</v>
      </c>
      <c r="X242" s="20" t="n">
        <v>-1140.777</v>
      </c>
    </row>
    <row r="243">
      <c r="A243" s="18" t="inlineStr">
        <is>
          <t>유형자산 매각</t>
        </is>
      </c>
      <c r="D243" s="20" t="n">
        <v>19.127</v>
      </c>
      <c r="H243" s="20" t="n">
        <v>0.553</v>
      </c>
      <c r="L243" s="20" t="n">
        <v>7.485</v>
      </c>
      <c r="Q243" s="20" t="n">
        <v>0</v>
      </c>
      <c r="R243" s="20" t="n">
        <v>11.695</v>
      </c>
      <c r="S243" s="20" t="n">
        <v>3.721</v>
      </c>
      <c r="T243" s="20" t="n">
        <v>0.334</v>
      </c>
      <c r="U243" s="20" t="n">
        <v>11.448</v>
      </c>
      <c r="V243" s="20" t="n">
        <v>19.127</v>
      </c>
      <c r="W243" s="20" t="n">
        <v>0.553</v>
      </c>
      <c r="X243" s="20" t="n">
        <v>7.485</v>
      </c>
    </row>
    <row r="244">
      <c r="A244" s="18" t="inlineStr">
        <is>
          <t>무형자산 취득</t>
        </is>
      </c>
      <c r="D244" s="20" t="n">
        <v>-186.011</v>
      </c>
      <c r="H244" s="20" t="n">
        <v>-548.071</v>
      </c>
      <c r="L244" s="20" t="n">
        <v>-65.60899999999999</v>
      </c>
      <c r="O244" s="20" t="n">
        <v>-18.163</v>
      </c>
      <c r="P244" s="20" t="n">
        <v>-10.217</v>
      </c>
      <c r="Q244" s="20" t="n">
        <v>-29.14</v>
      </c>
      <c r="R244" s="20" t="n">
        <v>-54.535</v>
      </c>
      <c r="S244" s="20" t="n">
        <v>-12.612</v>
      </c>
      <c r="T244" s="20" t="n">
        <v>-13.193</v>
      </c>
      <c r="U244" s="20" t="n">
        <v>-2.656</v>
      </c>
      <c r="V244" s="20" t="n">
        <v>-186.011</v>
      </c>
      <c r="W244" s="20" t="n">
        <v>-548.071</v>
      </c>
      <c r="X244" s="20" t="n">
        <v>-65.60899999999999</v>
      </c>
    </row>
    <row r="245">
      <c r="A245" s="18" t="inlineStr">
        <is>
          <t>대여</t>
        </is>
      </c>
      <c r="H245" s="20" t="n">
        <v>0</v>
      </c>
      <c r="L245" s="20" t="n">
        <v>-1674.141</v>
      </c>
      <c r="W245" s="20" t="n">
        <v>0</v>
      </c>
      <c r="X245" s="20" t="n">
        <v>-1674.141</v>
      </c>
    </row>
    <row r="246">
      <c r="A246" s="18" t="inlineStr">
        <is>
          <t>기타</t>
        </is>
      </c>
      <c r="D246" s="20" t="n">
        <v>-12.9</v>
      </c>
      <c r="H246" s="20" t="n">
        <v>-15.805</v>
      </c>
      <c r="L246" s="20" t="n">
        <v>-52.951</v>
      </c>
      <c r="O246" s="20" t="n">
        <v>-12.458</v>
      </c>
      <c r="P246" s="20" t="n">
        <v>-15.348</v>
      </c>
      <c r="Q246" s="20" t="n">
        <v>-10.638</v>
      </c>
      <c r="R246" s="20" t="n">
        <v>-8.433999999999999</v>
      </c>
      <c r="S246" s="20" t="n">
        <v>-8.875999999999999</v>
      </c>
      <c r="T246" s="20" t="n">
        <v>-9.465</v>
      </c>
      <c r="U246" s="20" t="n">
        <v>-11.004</v>
      </c>
      <c r="V246" s="20" t="n">
        <v>-12.9</v>
      </c>
      <c r="W246" s="20" t="n">
        <v>-15.805</v>
      </c>
      <c r="X246" s="20" t="n">
        <v>-52.951</v>
      </c>
    </row>
    <row r="247">
      <c r="A247" s="9" t="inlineStr">
        <is>
          <t>투자활동 현금흐름</t>
        </is>
      </c>
      <c r="D247" s="12" t="n">
        <v>-1040.494</v>
      </c>
      <c r="H247" s="12" t="n">
        <v>-769.244</v>
      </c>
      <c r="L247" s="12" t="n">
        <v>-2576.809</v>
      </c>
      <c r="O247" s="12" t="n">
        <v>-1370.195</v>
      </c>
      <c r="P247" s="12" t="n">
        <v>-749.535</v>
      </c>
      <c r="Q247" s="12" t="n">
        <v>-1919.123</v>
      </c>
      <c r="R247" s="12" t="n">
        <v>-872.952</v>
      </c>
      <c r="S247" s="12" t="n">
        <v>-488.375</v>
      </c>
      <c r="T247" s="12" t="n">
        <v>-1008.609</v>
      </c>
      <c r="U247" s="12" t="n">
        <v>-569.251</v>
      </c>
      <c r="V247" s="12" t="n">
        <v>-1040.494</v>
      </c>
      <c r="W247" s="12" t="n">
        <v>-769.244</v>
      </c>
      <c r="X247" s="12" t="n">
        <v>-2576.809</v>
      </c>
    </row>
    <row r="248">
      <c r="A248" s="18" t="inlineStr">
        <is>
          <t>장기차입</t>
        </is>
      </c>
      <c r="R248" s="20" t="n">
        <v>0</v>
      </c>
      <c r="S248" s="20" t="n">
        <v>1000</v>
      </c>
      <c r="T248" s="20" t="n">
        <v>0</v>
      </c>
    </row>
    <row r="249">
      <c r="A249" s="18" t="inlineStr">
        <is>
          <t>장기차입금 상환</t>
        </is>
      </c>
      <c r="D249" s="20" t="n">
        <v>0</v>
      </c>
      <c r="S249" s="20" t="n">
        <v>0</v>
      </c>
      <c r="T249" s="20" t="n">
        <v>-75</v>
      </c>
      <c r="U249" s="20" t="n">
        <v>-925</v>
      </c>
      <c r="V249" s="20" t="n">
        <v>0</v>
      </c>
    </row>
    <row r="250">
      <c r="A250" s="18" t="inlineStr">
        <is>
          <t>금융리스부채 상환</t>
        </is>
      </c>
      <c r="D250" s="20" t="n">
        <v>-34.375</v>
      </c>
      <c r="H250" s="20" t="n">
        <v>-31.237</v>
      </c>
      <c r="L250" s="20" t="n">
        <v>-17.11</v>
      </c>
      <c r="O250" s="20" t="n">
        <v>-21.082</v>
      </c>
      <c r="P250" s="20" t="n">
        <v>-18.305</v>
      </c>
      <c r="Q250" s="20" t="n">
        <v>-19.186</v>
      </c>
      <c r="R250" s="20" t="n">
        <v>-20.326</v>
      </c>
      <c r="S250" s="20" t="n">
        <v>-30.226</v>
      </c>
      <c r="T250" s="20" t="n">
        <v>-32.366</v>
      </c>
      <c r="U250" s="20" t="n">
        <v>-33.131</v>
      </c>
      <c r="V250" s="20" t="n">
        <v>-34.375</v>
      </c>
      <c r="W250" s="20" t="n">
        <v>-31.237</v>
      </c>
      <c r="X250" s="20" t="n">
        <v>-17.11</v>
      </c>
    </row>
    <row r="251">
      <c r="A251" s="18" t="inlineStr">
        <is>
          <t>자기주식 처분</t>
        </is>
      </c>
      <c r="O251" s="20" t="n">
        <v>0</v>
      </c>
      <c r="P251" s="20" t="n">
        <v>1243.925</v>
      </c>
      <c r="Q251" s="20" t="n">
        <v>0</v>
      </c>
    </row>
    <row r="252">
      <c r="A252" s="18" t="inlineStr">
        <is>
          <t>자기주식 취득</t>
        </is>
      </c>
      <c r="D252" s="20" t="n">
        <v>-6.297</v>
      </c>
      <c r="H252" s="20" t="n">
        <v>-332.975</v>
      </c>
      <c r="L252" s="20" t="n">
        <v>-0.177</v>
      </c>
      <c r="O252" s="20" t="n">
        <v>-118.026</v>
      </c>
      <c r="P252" s="20" t="n">
        <v>-0.104</v>
      </c>
      <c r="Q252" s="20" t="n">
        <v>-0.134</v>
      </c>
      <c r="R252" s="20" t="n">
        <v>-1377.625</v>
      </c>
      <c r="S252" s="20" t="n">
        <v>0</v>
      </c>
      <c r="T252" s="20" t="n">
        <v>0</v>
      </c>
      <c r="U252" s="20" t="n">
        <v>-376.919</v>
      </c>
      <c r="V252" s="20" t="n">
        <v>-6.297</v>
      </c>
      <c r="W252" s="20" t="n">
        <v>-332.975</v>
      </c>
      <c r="X252" s="20" t="n">
        <v>-0.177</v>
      </c>
    </row>
    <row r="253">
      <c r="A253" s="18" t="inlineStr">
        <is>
          <t>배당금 지급</t>
        </is>
      </c>
      <c r="D253" s="20" t="n">
        <v>-686.011</v>
      </c>
      <c r="H253" s="20" t="n">
        <v>-494.353</v>
      </c>
      <c r="L253" s="20" t="n">
        <v>-486.788</v>
      </c>
      <c r="O253" s="20" t="n">
        <v>-268.055</v>
      </c>
      <c r="P253" s="20" t="n">
        <v>-263.862</v>
      </c>
      <c r="Q253" s="20" t="n">
        <v>-541.518</v>
      </c>
      <c r="R253" s="20" t="n">
        <v>-433.277</v>
      </c>
      <c r="S253" s="20" t="n">
        <v>-386.549</v>
      </c>
      <c r="T253" s="20" t="n">
        <v>-387.305</v>
      </c>
      <c r="U253" s="20" t="n">
        <v>-387.251</v>
      </c>
      <c r="V253" s="20" t="n">
        <v>-686.011</v>
      </c>
      <c r="W253" s="20" t="n">
        <v>-494.353</v>
      </c>
      <c r="X253" s="20" t="n">
        <v>-486.788</v>
      </c>
    </row>
    <row r="254">
      <c r="A254" s="9" t="inlineStr">
        <is>
          <t>재무활동 현금흐름</t>
        </is>
      </c>
      <c r="D254" s="12" t="n">
        <v>-726.683</v>
      </c>
      <c r="H254" s="12" t="n">
        <v>-858.567</v>
      </c>
      <c r="L254" s="12" t="n">
        <v>-504.076</v>
      </c>
      <c r="O254" s="12" t="n">
        <v>-407.164</v>
      </c>
      <c r="P254" s="12" t="n">
        <v>961.652</v>
      </c>
      <c r="Q254" s="12" t="n">
        <v>-560.8390000000001</v>
      </c>
      <c r="R254" s="12" t="n">
        <v>-1831.229</v>
      </c>
      <c r="S254" s="12" t="n">
        <v>583.223</v>
      </c>
      <c r="T254" s="12" t="n">
        <v>-494.672</v>
      </c>
      <c r="U254" s="12" t="n">
        <v>-1722.302</v>
      </c>
      <c r="V254" s="12" t="n">
        <v>-726.683</v>
      </c>
      <c r="W254" s="12" t="n">
        <v>-858.567</v>
      </c>
      <c r="X254" s="12" t="n">
        <v>-504.076</v>
      </c>
    </row>
    <row r="255">
      <c r="A255" s="18" t="inlineStr">
        <is>
          <t>현금성자산 환산차이</t>
        </is>
      </c>
      <c r="D255" s="20" t="n">
        <v>171.043</v>
      </c>
      <c r="H255" s="20" t="n">
        <v>242.829</v>
      </c>
      <c r="L255" s="20" t="n">
        <v>-18.127</v>
      </c>
      <c r="O255" s="20" t="n">
        <v>-8.1</v>
      </c>
      <c r="P255" s="20" t="n">
        <v>-113.476</v>
      </c>
      <c r="Q255" s="20" t="n">
        <v>45.117</v>
      </c>
      <c r="R255" s="20" t="n">
        <v>-18.08</v>
      </c>
      <c r="S255" s="20" t="n">
        <v>-39.107</v>
      </c>
      <c r="T255" s="20" t="n">
        <v>223.336</v>
      </c>
      <c r="U255" s="20" t="n">
        <v>473.047</v>
      </c>
      <c r="V255" s="20" t="n">
        <v>171.043</v>
      </c>
      <c r="W255" s="20" t="n">
        <v>242.829</v>
      </c>
      <c r="X255" s="20" t="n">
        <v>-18.127</v>
      </c>
    </row>
    <row r="256">
      <c r="A256" s="18" t="inlineStr">
        <is>
          <t>현금성자산 증감</t>
        </is>
      </c>
      <c r="D256" s="20" t="n">
        <v>325.67</v>
      </c>
      <c r="H256" s="20" t="n">
        <v>-361.037</v>
      </c>
      <c r="L256" s="20" t="n">
        <v>1226.19</v>
      </c>
      <c r="O256" s="20" t="n">
        <v>110.344</v>
      </c>
      <c r="P256" s="20" t="n">
        <v>1364.465</v>
      </c>
      <c r="Q256" s="20" t="n">
        <v>-547.851</v>
      </c>
      <c r="R256" s="20" t="n">
        <v>27.78</v>
      </c>
      <c r="S256" s="20" t="n">
        <v>3283.004</v>
      </c>
      <c r="T256" s="20" t="n">
        <v>-102.133</v>
      </c>
      <c r="U256" s="20" t="n">
        <v>-1584.438</v>
      </c>
      <c r="V256" s="20" t="n">
        <v>325.67</v>
      </c>
      <c r="W256" s="20" t="n">
        <v>-361.037</v>
      </c>
      <c r="X256" s="20" t="n">
        <v>1226.19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5388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17930.404</v>
      </c>
      <c r="D5" s="12" t="n">
        <v>18263.153</v>
      </c>
      <c r="E5" s="12" t="n">
        <v>19025.534</v>
      </c>
      <c r="F5" s="12" t="n">
        <v>18788.614</v>
      </c>
      <c r="G5" s="12" t="n">
        <v>18355.867</v>
      </c>
      <c r="H5" s="11" t="n">
        <v>16781.043</v>
      </c>
      <c r="I5" s="12" t="n">
        <v>16410.115</v>
      </c>
      <c r="J5" s="12" t="n">
        <v>16821.7</v>
      </c>
      <c r="K5" s="12" t="n">
        <v>13604.958</v>
      </c>
      <c r="L5" s="12" t="n">
        <v>19025.534</v>
      </c>
    </row>
    <row r="6">
      <c r="A6" s="18" t="inlineStr">
        <is>
          <t>현금및현금성자산</t>
        </is>
      </c>
      <c r="B6" s="10" t="n"/>
      <c r="C6" s="19" t="n">
        <v>9185.025</v>
      </c>
      <c r="D6" s="20" t="n">
        <v>7614.044</v>
      </c>
      <c r="E6" s="20" t="n">
        <v>9573.429</v>
      </c>
      <c r="F6" s="20" t="n">
        <v>9304.768</v>
      </c>
      <c r="G6" s="20" t="n">
        <v>8374.746999999999</v>
      </c>
      <c r="H6" s="19" t="n">
        <v>8065.909</v>
      </c>
      <c r="I6" s="20" t="n">
        <v>7542.31</v>
      </c>
      <c r="J6" s="20" t="n">
        <v>8641.246999999999</v>
      </c>
      <c r="K6" s="20" t="n">
        <v>4929.727</v>
      </c>
      <c r="L6" s="20" t="n">
        <v>9573.429</v>
      </c>
    </row>
    <row r="7">
      <c r="A7" s="18" t="inlineStr">
        <is>
          <t>단기금융상품</t>
        </is>
      </c>
      <c r="B7" s="10" t="n"/>
      <c r="C7" s="19" t="n">
        <v>441.505</v>
      </c>
      <c r="D7" s="20" t="n">
        <v>465.132</v>
      </c>
      <c r="E7" s="20" t="n">
        <v>475.771</v>
      </c>
      <c r="F7" s="20" t="n">
        <v>484.011</v>
      </c>
      <c r="G7" s="20" t="n">
        <v>0</v>
      </c>
      <c r="H7" s="19" t="n">
        <v>2002.652</v>
      </c>
      <c r="I7" s="20" t="n">
        <v>748.2670000000001</v>
      </c>
      <c r="J7" s="20" t="n">
        <v>0</v>
      </c>
      <c r="K7" s="20" t="n">
        <v>0</v>
      </c>
      <c r="L7" s="20" t="n">
        <v>475.771</v>
      </c>
    </row>
    <row r="8">
      <c r="A8" s="18" t="inlineStr">
        <is>
          <t>매출채권</t>
        </is>
      </c>
      <c r="B8" s="10" t="n"/>
      <c r="C8" s="19" t="n">
        <v>4074.147</v>
      </c>
      <c r="D8" s="20" t="n">
        <v>4925.117</v>
      </c>
      <c r="E8" s="20" t="n">
        <v>2759.481</v>
      </c>
      <c r="F8" s="20" t="n">
        <v>2571.263</v>
      </c>
      <c r="G8" s="20" t="n">
        <v>2736.393</v>
      </c>
      <c r="H8" s="19" t="n">
        <v>2574.977</v>
      </c>
      <c r="I8" s="20" t="n">
        <v>2474.551</v>
      </c>
      <c r="J8" s="20" t="n">
        <v>2525.196</v>
      </c>
      <c r="K8" s="20" t="n">
        <v>2552.777</v>
      </c>
      <c r="L8" s="20" t="n">
        <v>2759.481</v>
      </c>
    </row>
    <row r="9">
      <c r="A9" s="18" t="inlineStr">
        <is>
          <t>재고자산</t>
        </is>
      </c>
      <c r="B9" s="10" t="n"/>
      <c r="C9" s="19" t="n">
        <v>4131.428</v>
      </c>
      <c r="D9" s="20" t="n">
        <v>3529.949</v>
      </c>
      <c r="E9" s="20" t="n">
        <v>2923.707</v>
      </c>
      <c r="F9" s="20" t="n">
        <v>3048.825</v>
      </c>
      <c r="G9" s="20" t="n">
        <v>3898.512</v>
      </c>
      <c r="H9" s="19" t="n">
        <v>2184.844</v>
      </c>
      <c r="I9" s="20" t="n">
        <v>3426.162</v>
      </c>
      <c r="J9" s="20" t="n">
        <v>3627.507</v>
      </c>
      <c r="K9" s="20" t="n">
        <v>4487.299</v>
      </c>
      <c r="L9" s="20" t="n">
        <v>2923.707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7607.715</v>
      </c>
      <c r="D11" s="12" t="n">
        <v>7808.941</v>
      </c>
      <c r="E11" s="12" t="n">
        <v>7819.05</v>
      </c>
      <c r="F11" s="12" t="n">
        <v>7804.157</v>
      </c>
      <c r="G11" s="12" t="n">
        <v>8548.67</v>
      </c>
      <c r="H11" s="11" t="n">
        <v>8067.925</v>
      </c>
      <c r="I11" s="12" t="n">
        <v>8150.034</v>
      </c>
      <c r="J11" s="12" t="n">
        <v>8406.918</v>
      </c>
      <c r="K11" s="12" t="n">
        <v>8256.343999999999</v>
      </c>
      <c r="L11" s="12" t="n">
        <v>7819.05</v>
      </c>
    </row>
    <row r="12">
      <c r="A12" s="18" t="inlineStr">
        <is>
          <t>유형자산</t>
        </is>
      </c>
      <c r="B12" s="10" t="n"/>
      <c r="C12" s="19" t="n">
        <v>5601.893</v>
      </c>
      <c r="D12" s="20" t="n">
        <v>5863.342</v>
      </c>
      <c r="E12" s="20" t="n">
        <v>5837.239</v>
      </c>
      <c r="F12" s="20" t="n">
        <v>5941.635</v>
      </c>
      <c r="G12" s="20" t="n">
        <v>6218.353</v>
      </c>
      <c r="H12" s="19" t="n">
        <v>5855.867</v>
      </c>
      <c r="I12" s="20" t="n">
        <v>5849.317</v>
      </c>
      <c r="J12" s="20" t="n">
        <v>5759.053</v>
      </c>
      <c r="K12" s="20" t="n">
        <v>4755.412</v>
      </c>
      <c r="L12" s="20" t="n">
        <v>5837.239</v>
      </c>
    </row>
    <row r="13">
      <c r="A13" s="18" t="inlineStr">
        <is>
          <t>무형자산</t>
        </is>
      </c>
      <c r="B13" s="10" t="n"/>
      <c r="C13" s="19" t="n">
        <v>707.364</v>
      </c>
      <c r="D13" s="20" t="n">
        <v>668.88</v>
      </c>
      <c r="E13" s="20" t="n">
        <v>632.8680000000001</v>
      </c>
      <c r="F13" s="20" t="n">
        <v>605.569</v>
      </c>
      <c r="G13" s="20" t="n">
        <v>568.614</v>
      </c>
      <c r="H13" s="19" t="n">
        <v>78.562</v>
      </c>
      <c r="I13" s="20" t="n">
        <v>80.092</v>
      </c>
      <c r="J13" s="20" t="n">
        <v>263.262</v>
      </c>
      <c r="K13" s="20" t="n">
        <v>772.217</v>
      </c>
      <c r="L13" s="20" t="n">
        <v>632.8680000000001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25538.12</v>
      </c>
      <c r="D16" s="12" t="n">
        <v>26072.095</v>
      </c>
      <c r="E16" s="12" t="n">
        <v>26844.585</v>
      </c>
      <c r="F16" s="12" t="n">
        <v>26592.771</v>
      </c>
      <c r="G16" s="12" t="n">
        <v>26904.537</v>
      </c>
      <c r="H16" s="11" t="n">
        <v>24848.968</v>
      </c>
      <c r="I16" s="12" t="n">
        <v>24560.149</v>
      </c>
      <c r="J16" s="12" t="n">
        <v>25228.619</v>
      </c>
      <c r="K16" s="12" t="n">
        <v>21861.302</v>
      </c>
      <c r="L16" s="12" t="n">
        <v>26844.585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2148.571</v>
      </c>
      <c r="D18" s="12" t="n">
        <v>2356.54</v>
      </c>
      <c r="E18" s="12" t="n">
        <v>2465.599</v>
      </c>
      <c r="F18" s="12" t="n">
        <v>2346.701</v>
      </c>
      <c r="G18" s="12" t="n">
        <v>2310.544</v>
      </c>
      <c r="H18" s="11" t="n">
        <v>2036.656</v>
      </c>
      <c r="I18" s="12" t="n">
        <v>2049.349</v>
      </c>
      <c r="J18" s="12" t="n">
        <v>2118.83</v>
      </c>
      <c r="K18" s="12" t="n">
        <v>2065.848</v>
      </c>
      <c r="L18" s="12" t="n">
        <v>2465.599</v>
      </c>
    </row>
    <row r="19">
      <c r="A19" s="18" t="inlineStr">
        <is>
          <t>매입채무</t>
        </is>
      </c>
      <c r="B19" s="10" t="n"/>
      <c r="C19" s="19" t="n">
        <v>913.229</v>
      </c>
      <c r="D19" s="20" t="n">
        <v>1019.787</v>
      </c>
      <c r="E19" s="20" t="n">
        <v>862.449</v>
      </c>
      <c r="F19" s="20" t="n">
        <v>1283.001</v>
      </c>
      <c r="G19" s="20" t="n">
        <v>1017.315</v>
      </c>
      <c r="H19" s="19" t="n">
        <v>680.289</v>
      </c>
      <c r="I19" s="20" t="n">
        <v>894.401</v>
      </c>
      <c r="J19" s="20" t="n">
        <v>762.172</v>
      </c>
      <c r="K19" s="20" t="n">
        <v>933.937</v>
      </c>
      <c r="L19" s="20" t="n">
        <v>862.449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100</v>
      </c>
      <c r="I21" s="20" t="n">
        <v>0</v>
      </c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1230.181</v>
      </c>
      <c r="D23" s="12" t="n">
        <v>1232.926</v>
      </c>
      <c r="E23" s="12" t="n">
        <v>1235.12</v>
      </c>
      <c r="F23" s="12" t="n">
        <v>1056.397</v>
      </c>
      <c r="G23" s="12" t="n">
        <v>1035.396</v>
      </c>
      <c r="H23" s="11" t="n">
        <v>1833.871</v>
      </c>
      <c r="I23" s="12" t="n">
        <v>1161.625</v>
      </c>
      <c r="J23" s="12" t="n">
        <v>1242.062</v>
      </c>
      <c r="K23" s="12" t="n">
        <v>538.422</v>
      </c>
      <c r="L23" s="12" t="n">
        <v>1235.12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>
        <v>825</v>
      </c>
      <c r="I24" s="20" t="n">
        <v>0</v>
      </c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3378.753</v>
      </c>
      <c r="D27" s="12" t="n">
        <v>3589.467</v>
      </c>
      <c r="E27" s="12" t="n">
        <v>3700.719</v>
      </c>
      <c r="F27" s="12" t="n">
        <v>3403.099</v>
      </c>
      <c r="G27" s="12" t="n">
        <v>3345.94</v>
      </c>
      <c r="H27" s="11" t="n">
        <v>3870.527</v>
      </c>
      <c r="I27" s="12" t="n">
        <v>3210.975</v>
      </c>
      <c r="J27" s="12" t="n">
        <v>3360.892</v>
      </c>
      <c r="K27" s="12" t="n">
        <v>2604.271</v>
      </c>
      <c r="L27" s="12" t="n">
        <v>3700.719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21389.071</v>
      </c>
      <c r="D31" s="12" t="n">
        <v>21673.691</v>
      </c>
      <c r="E31" s="12" t="n">
        <v>22270.383</v>
      </c>
      <c r="F31" s="12" t="n">
        <v>22290.99</v>
      </c>
      <c r="G31" s="12" t="n">
        <v>22628.973</v>
      </c>
      <c r="H31" s="11" t="n">
        <v>20505.353</v>
      </c>
      <c r="I31" s="12" t="n">
        <v>20758.442</v>
      </c>
      <c r="J31" s="12" t="n">
        <v>21201.934</v>
      </c>
      <c r="K31" s="12" t="n">
        <v>18451.848</v>
      </c>
      <c r="L31" s="12" t="n">
        <v>22270.383</v>
      </c>
    </row>
    <row r="32">
      <c r="A32" s="18" t="inlineStr">
        <is>
          <t>자본금</t>
        </is>
      </c>
      <c r="B32" s="10" t="n"/>
      <c r="C32" s="19" t="n">
        <v>1617.8</v>
      </c>
      <c r="D32" s="20" t="n">
        <v>1617.8</v>
      </c>
      <c r="E32" s="20" t="n">
        <v>1617.8</v>
      </c>
      <c r="F32" s="20" t="n">
        <v>1617.8</v>
      </c>
      <c r="G32" s="20" t="n">
        <v>1617.8</v>
      </c>
      <c r="H32" s="19" t="n">
        <v>1617.8</v>
      </c>
      <c r="I32" s="20" t="n">
        <v>1617.8</v>
      </c>
      <c r="J32" s="20" t="n">
        <v>1617.8</v>
      </c>
      <c r="K32" s="20" t="n">
        <v>1617.8</v>
      </c>
      <c r="L32" s="20" t="n">
        <v>1617.8</v>
      </c>
    </row>
    <row r="33">
      <c r="A33" s="18" t="inlineStr">
        <is>
          <t>이익잉여금</t>
        </is>
      </c>
      <c r="B33" s="10" t="n"/>
      <c r="C33" s="19" t="n">
        <v>17692.531</v>
      </c>
      <c r="D33" s="20" t="n">
        <v>17941.846</v>
      </c>
      <c r="E33" s="20" t="n">
        <v>18429.838</v>
      </c>
      <c r="F33" s="20" t="n">
        <v>18410.899</v>
      </c>
      <c r="G33" s="20" t="n">
        <v>18714.111</v>
      </c>
      <c r="H33" s="19" t="n">
        <v>16179.707</v>
      </c>
      <c r="I33" s="20" t="n">
        <v>16635.132</v>
      </c>
      <c r="J33" s="20" t="n">
        <v>16992.515</v>
      </c>
      <c r="K33" s="20" t="n">
        <v>15785.719</v>
      </c>
      <c r="L33" s="20" t="n">
        <v>18429.838</v>
      </c>
    </row>
    <row r="34">
      <c r="A34" s="18" t="inlineStr">
        <is>
          <t>비지배지분</t>
        </is>
      </c>
      <c r="B34" s="10" t="n"/>
      <c r="C34" s="19" t="n">
        <v>770.296</v>
      </c>
      <c r="D34" s="20" t="n">
        <v>808.936</v>
      </c>
      <c r="E34" s="20" t="n">
        <v>873.482</v>
      </c>
      <c r="F34" s="20" t="n">
        <v>898.682</v>
      </c>
      <c r="G34" s="20" t="n">
        <v>929.624</v>
      </c>
      <c r="H34" s="19" t="n">
        <v>473.088</v>
      </c>
      <c r="I34" s="20" t="n">
        <v>590.731</v>
      </c>
      <c r="J34" s="20" t="n">
        <v>665.792</v>
      </c>
      <c r="K34" s="20" t="n">
        <v>805.183</v>
      </c>
      <c r="L34" s="20" t="n">
        <v>873.482</v>
      </c>
    </row>
    <row r="35">
      <c r="A35" s="9" t="inlineStr">
        <is>
          <t>자본총계</t>
        </is>
      </c>
      <c r="B35" s="10" t="n"/>
      <c r="C35" s="11" t="n">
        <v>22159.367</v>
      </c>
      <c r="D35" s="12" t="n">
        <v>22482.627</v>
      </c>
      <c r="E35" s="12" t="n">
        <v>23143.865</v>
      </c>
      <c r="F35" s="12" t="n">
        <v>23189.672</v>
      </c>
      <c r="G35" s="12" t="n">
        <v>23558.597</v>
      </c>
      <c r="H35" s="11" t="n">
        <v>20978.441</v>
      </c>
      <c r="I35" s="12" t="n">
        <v>21349.173</v>
      </c>
      <c r="J35" s="12" t="n">
        <v>21867.726</v>
      </c>
      <c r="K35" s="12" t="n">
        <v>19257.031</v>
      </c>
      <c r="L35" s="12" t="n">
        <v>23143.865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4325.203</v>
      </c>
      <c r="F37" s="12" t="n"/>
      <c r="G37" s="12" t="n"/>
      <c r="H37" s="11" t="n">
        <v>1177.811</v>
      </c>
      <c r="I37" s="12" t="n">
        <v>234.067</v>
      </c>
      <c r="J37" s="12" t="n">
        <v>1921.804</v>
      </c>
      <c r="K37" s="12" t="n">
        <v>1023.944</v>
      </c>
      <c r="L37" s="12" t="n">
        <v>4325.203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1206.386</v>
      </c>
      <c r="F38" s="20" t="n"/>
      <c r="G38" s="20" t="n"/>
      <c r="H38" s="19" t="n">
        <v>691.98</v>
      </c>
      <c r="I38" s="20" t="n">
        <v>756.727</v>
      </c>
      <c r="J38" s="20" t="n">
        <v>998.127</v>
      </c>
      <c r="K38" s="20" t="n">
        <v>1062.8</v>
      </c>
      <c r="L38" s="20" t="n">
        <v>1206.386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486.788</v>
      </c>
      <c r="F40" s="20" t="n"/>
      <c r="G40" s="20" t="n"/>
      <c r="H40" s="19" t="n">
        <v>387.305</v>
      </c>
      <c r="I40" s="20" t="n">
        <v>387.251</v>
      </c>
      <c r="J40" s="20" t="n">
        <v>686.011</v>
      </c>
      <c r="K40" s="20" t="n">
        <v>494.353</v>
      </c>
      <c r="L40" s="20" t="n">
        <v>486.788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9185.025</v>
      </c>
      <c r="D71" s="20" t="n">
        <v>7614.044</v>
      </c>
      <c r="E71" s="20" t="n">
        <v>9573.429</v>
      </c>
      <c r="F71" s="20" t="n">
        <v>9304.768</v>
      </c>
      <c r="G71" s="20" t="n">
        <v>8374.746999999999</v>
      </c>
      <c r="H71" s="20" t="n">
        <v>8065.909</v>
      </c>
      <c r="I71" s="20" t="n">
        <v>7542.31</v>
      </c>
      <c r="J71" s="20" t="n">
        <v>8641.246999999999</v>
      </c>
      <c r="K71" s="20" t="n">
        <v>4929.727</v>
      </c>
      <c r="L71" s="20" t="n">
        <v>9573.429</v>
      </c>
    </row>
    <row r="72">
      <c r="A72" s="18" t="inlineStr">
        <is>
          <t>받을어음·매출채권</t>
        </is>
      </c>
      <c r="C72" s="20" t="n">
        <v>4074.147</v>
      </c>
      <c r="D72" s="20" t="n">
        <v>4925.117</v>
      </c>
      <c r="H72" s="20" t="n">
        <v>4416.885</v>
      </c>
      <c r="I72" s="20" t="n">
        <v>4501.078</v>
      </c>
      <c r="J72" s="20" t="n">
        <v>4515.369</v>
      </c>
      <c r="K72" s="20" t="n">
        <v>4198.856</v>
      </c>
    </row>
    <row r="73">
      <c r="A73" s="18" t="inlineStr">
        <is>
          <t>받을어음</t>
        </is>
      </c>
      <c r="E73" s="20" t="n">
        <v>13.855</v>
      </c>
      <c r="F73" s="20" t="n">
        <v>4.675</v>
      </c>
      <c r="G73" s="20" t="n">
        <v>0</v>
      </c>
      <c r="H73" s="20" t="n">
        <v>1089.103</v>
      </c>
      <c r="I73" s="20" t="n">
        <v>1150.864</v>
      </c>
      <c r="J73" s="20" t="n">
        <v>847.4109999999999</v>
      </c>
      <c r="K73" s="20" t="n">
        <v>355.666</v>
      </c>
      <c r="L73" s="20" t="n">
        <v>13.855</v>
      </c>
    </row>
    <row r="74">
      <c r="A74" s="18" t="inlineStr">
        <is>
          <t>전자기록채권</t>
        </is>
      </c>
      <c r="E74" s="20" t="n">
        <v>1469.211</v>
      </c>
      <c r="F74" s="20" t="n">
        <v>1475.108</v>
      </c>
      <c r="G74" s="20" t="n">
        <v>1274.748</v>
      </c>
      <c r="H74" s="20" t="n">
        <v>562.9109999999999</v>
      </c>
      <c r="I74" s="20" t="n">
        <v>628.052</v>
      </c>
      <c r="J74" s="20" t="n">
        <v>892.829</v>
      </c>
      <c r="K74" s="20" t="n">
        <v>1080.197</v>
      </c>
      <c r="L74" s="20" t="n">
        <v>1469.211</v>
      </c>
    </row>
    <row r="75">
      <c r="A75" s="18" t="inlineStr">
        <is>
          <t>매출채권</t>
        </is>
      </c>
      <c r="E75" s="20" t="n">
        <v>2759.481</v>
      </c>
      <c r="F75" s="20" t="n">
        <v>2571.263</v>
      </c>
      <c r="G75" s="20" t="n">
        <v>2736.393</v>
      </c>
      <c r="H75" s="20" t="n">
        <v>2574.977</v>
      </c>
      <c r="I75" s="20" t="n">
        <v>2474.551</v>
      </c>
      <c r="J75" s="20" t="n">
        <v>2525.196</v>
      </c>
      <c r="K75" s="20" t="n">
        <v>2552.777</v>
      </c>
      <c r="L75" s="20" t="n">
        <v>2759.481</v>
      </c>
    </row>
    <row r="76">
      <c r="A76" s="18" t="inlineStr">
        <is>
          <t>유가증권</t>
        </is>
      </c>
      <c r="C76" s="20" t="n">
        <v>441.505</v>
      </c>
      <c r="D76" s="20" t="n">
        <v>465.132</v>
      </c>
      <c r="E76" s="20" t="n">
        <v>475.771</v>
      </c>
      <c r="F76" s="20" t="n">
        <v>484.011</v>
      </c>
      <c r="G76" s="20" t="n">
        <v>0</v>
      </c>
      <c r="H76" s="20" t="n">
        <v>2002.652</v>
      </c>
      <c r="I76" s="20" t="n">
        <v>748.2670000000001</v>
      </c>
      <c r="J76" s="20" t="n">
        <v>0</v>
      </c>
      <c r="K76" s="20" t="n">
        <v>0</v>
      </c>
      <c r="L76" s="20" t="n">
        <v>475.771</v>
      </c>
    </row>
    <row r="77">
      <c r="A77" s="18" t="inlineStr">
        <is>
          <t>상품·제품</t>
        </is>
      </c>
      <c r="C77" s="20" t="n">
        <v>799.206</v>
      </c>
      <c r="D77" s="20" t="n">
        <v>761.486</v>
      </c>
      <c r="E77" s="20" t="n">
        <v>696.04</v>
      </c>
      <c r="F77" s="20" t="n">
        <v>715.599</v>
      </c>
      <c r="G77" s="20" t="n">
        <v>704.875</v>
      </c>
      <c r="H77" s="20" t="n">
        <v>443.697</v>
      </c>
      <c r="I77" s="20" t="n">
        <v>688.357</v>
      </c>
      <c r="J77" s="20" t="n">
        <v>643.397</v>
      </c>
      <c r="K77" s="20" t="n">
        <v>692.7190000000001</v>
      </c>
      <c r="L77" s="20" t="n">
        <v>696.04</v>
      </c>
    </row>
    <row r="78">
      <c r="A78" s="18" t="inlineStr">
        <is>
          <t>재공품</t>
        </is>
      </c>
      <c r="C78" s="20" t="n">
        <v>585.854</v>
      </c>
      <c r="D78" s="20" t="n">
        <v>583.942</v>
      </c>
      <c r="E78" s="20" t="n">
        <v>558.79</v>
      </c>
      <c r="F78" s="20" t="n">
        <v>654.826</v>
      </c>
      <c r="G78" s="20" t="n">
        <v>719.527</v>
      </c>
      <c r="H78" s="20" t="n">
        <v>377.573</v>
      </c>
      <c r="I78" s="20" t="n">
        <v>488.403</v>
      </c>
      <c r="J78" s="20" t="n">
        <v>581.647</v>
      </c>
      <c r="K78" s="20" t="n">
        <v>413.111</v>
      </c>
      <c r="L78" s="20" t="n">
        <v>558.79</v>
      </c>
    </row>
    <row r="79">
      <c r="A79" s="18" t="inlineStr">
        <is>
          <t>원재료·저장품</t>
        </is>
      </c>
      <c r="C79" s="20" t="n">
        <v>2746.368</v>
      </c>
      <c r="D79" s="20" t="n">
        <v>2184.521</v>
      </c>
      <c r="E79" s="20" t="n">
        <v>1668.877</v>
      </c>
      <c r="F79" s="20" t="n">
        <v>1678.4</v>
      </c>
      <c r="G79" s="20" t="n">
        <v>2474.11</v>
      </c>
      <c r="H79" s="20" t="n">
        <v>1363.574</v>
      </c>
      <c r="I79" s="20" t="n">
        <v>2249.402</v>
      </c>
      <c r="J79" s="20" t="n">
        <v>2402.463</v>
      </c>
      <c r="K79" s="20" t="n">
        <v>3381.469</v>
      </c>
      <c r="L79" s="20" t="n">
        <v>1668.877</v>
      </c>
    </row>
    <row r="80">
      <c r="A80" s="18" t="inlineStr">
        <is>
          <t>선급비용</t>
        </is>
      </c>
      <c r="E80" s="20" t="n">
        <v>33.084</v>
      </c>
      <c r="H80" s="20" t="n">
        <v>13.037</v>
      </c>
      <c r="I80" s="20" t="n">
        <v>21.819</v>
      </c>
      <c r="J80" s="20" t="n">
        <v>15.214</v>
      </c>
      <c r="K80" s="20" t="n">
        <v>20.281</v>
      </c>
      <c r="L80" s="20" t="n">
        <v>33.084</v>
      </c>
    </row>
    <row r="81">
      <c r="A81" s="18" t="inlineStr">
        <is>
          <t>단기대여금</t>
        </is>
      </c>
      <c r="D81" s="20" t="n">
        <v>1647.968</v>
      </c>
      <c r="E81" s="20" t="n">
        <v>1750.742</v>
      </c>
      <c r="F81" s="20" t="n">
        <v>1804.755</v>
      </c>
      <c r="G81" s="20" t="n">
        <v>1849.63</v>
      </c>
      <c r="K81" s="20" t="n">
        <v>0</v>
      </c>
      <c r="L81" s="20" t="n">
        <v>1750.742</v>
      </c>
    </row>
    <row r="82">
      <c r="A82" s="18" t="inlineStr">
        <is>
          <t>기타</t>
        </is>
      </c>
      <c r="C82" s="20" t="n">
        <v>98.337</v>
      </c>
      <c r="D82" s="20" t="n">
        <v>81.07899999999999</v>
      </c>
      <c r="E82" s="20" t="n">
        <v>59.421</v>
      </c>
      <c r="F82" s="20" t="n">
        <v>95.364</v>
      </c>
      <c r="G82" s="20" t="n">
        <v>221.877</v>
      </c>
      <c r="H82" s="20" t="n">
        <v>110.75</v>
      </c>
      <c r="I82" s="20" t="n">
        <v>192.355</v>
      </c>
      <c r="J82" s="20" t="n">
        <v>37.77</v>
      </c>
      <c r="K82" s="20" t="n">
        <v>180.09</v>
      </c>
      <c r="L82" s="20" t="n">
        <v>59.421</v>
      </c>
    </row>
    <row r="83">
      <c r="A83" s="18" t="inlineStr">
        <is>
          <t>대손충당금</t>
        </is>
      </c>
      <c r="C83" s="20" t="n">
        <v>-0.04</v>
      </c>
      <c r="D83" s="20" t="n">
        <v>-0.139</v>
      </c>
      <c r="E83" s="20" t="n">
        <v>-0.08599999999999999</v>
      </c>
      <c r="F83" s="20" t="n">
        <v>-0.157</v>
      </c>
      <c r="G83" s="20" t="n">
        <v>-0.044</v>
      </c>
      <c r="H83" s="20" t="n">
        <v>0</v>
      </c>
      <c r="I83" s="20" t="n">
        <v>-0.059</v>
      </c>
      <c r="J83" s="20" t="n">
        <v>-0.196</v>
      </c>
      <c r="K83" s="20" t="n">
        <v>-1.083</v>
      </c>
      <c r="L83" s="20" t="n">
        <v>-0.08599999999999999</v>
      </c>
    </row>
    <row r="84">
      <c r="A84" s="9" t="inlineStr">
        <is>
          <t>유동자산 합계</t>
        </is>
      </c>
      <c r="C84" s="12" t="n">
        <v>17930.404</v>
      </c>
      <c r="D84" s="12" t="n">
        <v>18263.153</v>
      </c>
      <c r="E84" s="12" t="n">
        <v>19025.534</v>
      </c>
      <c r="F84" s="12" t="n">
        <v>18788.614</v>
      </c>
      <c r="G84" s="12" t="n">
        <v>18355.867</v>
      </c>
      <c r="H84" s="12" t="n">
        <v>16781.043</v>
      </c>
      <c r="I84" s="12" t="n">
        <v>16410.115</v>
      </c>
      <c r="J84" s="12" t="n">
        <v>16821.7</v>
      </c>
      <c r="K84" s="12" t="n">
        <v>13604.958</v>
      </c>
      <c r="L84" s="12" t="n">
        <v>19025.534</v>
      </c>
    </row>
    <row r="85">
      <c r="A85" s="18" t="inlineStr">
        <is>
          <t>건물·구축물</t>
        </is>
      </c>
      <c r="E85" s="20" t="n">
        <v>7619.973</v>
      </c>
      <c r="H85" s="20" t="n">
        <v>7187.088</v>
      </c>
      <c r="I85" s="20" t="n">
        <v>7251.528</v>
      </c>
      <c r="J85" s="20" t="n">
        <v>7319.271</v>
      </c>
      <c r="K85" s="20" t="n">
        <v>7438.526</v>
      </c>
      <c r="L85" s="20" t="n">
        <v>7619.973</v>
      </c>
    </row>
    <row r="86">
      <c r="A86" s="18" t="inlineStr">
        <is>
          <t>감가상각누계액</t>
        </is>
      </c>
      <c r="E86" s="20" t="n">
        <v>-5716.747</v>
      </c>
      <c r="H86" s="20" t="n">
        <v>-5248.011</v>
      </c>
      <c r="I86" s="20" t="n">
        <v>-5372.556</v>
      </c>
      <c r="J86" s="20" t="n">
        <v>-5489.204</v>
      </c>
      <c r="K86" s="20" t="n">
        <v>-5630.275</v>
      </c>
      <c r="L86" s="20" t="n">
        <v>-5716.747</v>
      </c>
    </row>
    <row r="87">
      <c r="A87" s="18" t="inlineStr">
        <is>
          <t>손상차손누계액</t>
        </is>
      </c>
      <c r="E87" s="20" t="n">
        <v>-0.518</v>
      </c>
      <c r="H87" s="20" t="n">
        <v>-0.518</v>
      </c>
      <c r="I87" s="20" t="n">
        <v>-0.518</v>
      </c>
      <c r="J87" s="20" t="n">
        <v>-0.518</v>
      </c>
      <c r="K87" s="20" t="n">
        <v>-0.518</v>
      </c>
      <c r="L87" s="20" t="n">
        <v>-0.518</v>
      </c>
    </row>
    <row r="88">
      <c r="A88" s="18" t="inlineStr">
        <is>
          <t>건물</t>
        </is>
      </c>
      <c r="E88" s="20" t="n">
        <v>1397.509</v>
      </c>
      <c r="H88" s="20" t="n">
        <v>1415.206</v>
      </c>
      <c r="I88" s="20" t="n">
        <v>1362.825</v>
      </c>
      <c r="J88" s="20" t="n">
        <v>1329.408</v>
      </c>
      <c r="K88" s="20" t="n">
        <v>1284.804</v>
      </c>
      <c r="L88" s="20" t="n">
        <v>1397.509</v>
      </c>
    </row>
    <row r="89">
      <c r="A89" s="18" t="inlineStr">
        <is>
          <t>구축물</t>
        </is>
      </c>
      <c r="E89" s="20" t="n">
        <v>222.668</v>
      </c>
      <c r="H89" s="20" t="n">
        <v>167.443</v>
      </c>
      <c r="I89" s="20" t="n">
        <v>155.137</v>
      </c>
      <c r="J89" s="20" t="n">
        <v>167.953</v>
      </c>
      <c r="K89" s="20" t="n">
        <v>211.403</v>
      </c>
      <c r="L89" s="20" t="n">
        <v>222.668</v>
      </c>
    </row>
    <row r="90">
      <c r="A90" s="18" t="inlineStr">
        <is>
          <t>기계장치</t>
        </is>
      </c>
      <c r="E90" s="20" t="n">
        <v>1340.738</v>
      </c>
      <c r="H90" s="20" t="n">
        <v>1574.979</v>
      </c>
      <c r="I90" s="20" t="n">
        <v>1504.608</v>
      </c>
      <c r="J90" s="20" t="n">
        <v>1584.469</v>
      </c>
      <c r="K90" s="20" t="n">
        <v>1343.288</v>
      </c>
      <c r="L90" s="20" t="n">
        <v>1340.738</v>
      </c>
    </row>
    <row r="91">
      <c r="A91" s="18" t="inlineStr">
        <is>
          <t>차량운반구</t>
        </is>
      </c>
      <c r="E91" s="20" t="n">
        <v>27.634</v>
      </c>
      <c r="H91" s="20" t="n">
        <v>6.053</v>
      </c>
      <c r="I91" s="20" t="n">
        <v>5.357</v>
      </c>
      <c r="J91" s="20" t="n">
        <v>10.854</v>
      </c>
      <c r="K91" s="20" t="n">
        <v>10.983</v>
      </c>
      <c r="L91" s="20" t="n">
        <v>27.634</v>
      </c>
    </row>
    <row r="92">
      <c r="A92" s="18" t="inlineStr">
        <is>
          <t>공구·기구·비품</t>
        </is>
      </c>
      <c r="E92" s="20" t="n">
        <v>126.303</v>
      </c>
      <c r="H92" s="20" t="n">
        <v>71.614</v>
      </c>
      <c r="I92" s="20" t="n">
        <v>119.787</v>
      </c>
      <c r="J92" s="20" t="n">
        <v>109.428</v>
      </c>
      <c r="K92" s="20" t="n">
        <v>111.372</v>
      </c>
      <c r="L92" s="20" t="n">
        <v>126.303</v>
      </c>
    </row>
    <row r="93">
      <c r="A93" s="18" t="inlineStr">
        <is>
          <t>건물·구축물(순액)</t>
        </is>
      </c>
      <c r="C93" s="20" t="n">
        <v>1905.278</v>
      </c>
      <c r="D93" s="20" t="n">
        <v>1942.975</v>
      </c>
      <c r="E93" s="20" t="n">
        <v>1902.707</v>
      </c>
      <c r="F93" s="20" t="n">
        <v>1898.269</v>
      </c>
      <c r="G93" s="20" t="n">
        <v>1926.614</v>
      </c>
      <c r="H93" s="20" t="n">
        <v>1938.558</v>
      </c>
      <c r="I93" s="20" t="n">
        <v>1878.454</v>
      </c>
      <c r="J93" s="20" t="n">
        <v>1829.548</v>
      </c>
      <c r="K93" s="20" t="n">
        <v>1807.733</v>
      </c>
      <c r="L93" s="20" t="n">
        <v>1902.707</v>
      </c>
    </row>
    <row r="94">
      <c r="A94" s="18" t="inlineStr">
        <is>
          <t>기계장치·운반구</t>
        </is>
      </c>
      <c r="E94" s="20" t="n">
        <v>15027.477</v>
      </c>
      <c r="H94" s="20" t="n">
        <v>13496.986</v>
      </c>
      <c r="I94" s="20" t="n">
        <v>13853.507</v>
      </c>
      <c r="J94" s="20" t="n">
        <v>14431.178</v>
      </c>
      <c r="K94" s="20" t="n">
        <v>14550.747</v>
      </c>
      <c r="L94" s="20" t="n">
        <v>15027.477</v>
      </c>
    </row>
    <row r="95">
      <c r="A95" s="18" t="inlineStr">
        <is>
          <t>감가상각누계액</t>
        </is>
      </c>
      <c r="E95" s="20" t="n">
        <v>-13515.629</v>
      </c>
      <c r="H95" s="20" t="n">
        <v>-11648.373</v>
      </c>
      <c r="I95" s="20" t="n">
        <v>-12112.257</v>
      </c>
      <c r="J95" s="20" t="n">
        <v>-12614.895</v>
      </c>
      <c r="K95" s="20" t="n">
        <v>-13028.681</v>
      </c>
      <c r="L95" s="20" t="n">
        <v>-13515.629</v>
      </c>
    </row>
    <row r="96">
      <c r="A96" s="18" t="inlineStr">
        <is>
          <t>손상차손누계액</t>
        </is>
      </c>
      <c r="E96" s="20" t="n">
        <v>-20.683</v>
      </c>
      <c r="H96" s="20" t="n">
        <v>-20.683</v>
      </c>
      <c r="I96" s="20" t="n">
        <v>-20.683</v>
      </c>
      <c r="J96" s="20" t="n">
        <v>-20.683</v>
      </c>
      <c r="K96" s="20" t="n">
        <v>-20.683</v>
      </c>
      <c r="L96" s="20" t="n">
        <v>-20.683</v>
      </c>
    </row>
    <row r="97">
      <c r="A97" s="18" t="inlineStr">
        <is>
          <t>기계장치·운반구(순액)</t>
        </is>
      </c>
      <c r="C97" s="20" t="n">
        <v>1470.905</v>
      </c>
      <c r="D97" s="20" t="n">
        <v>1485</v>
      </c>
      <c r="E97" s="20" t="n">
        <v>1491.164</v>
      </c>
      <c r="F97" s="20" t="n">
        <v>1424.563</v>
      </c>
      <c r="G97" s="20" t="n">
        <v>1773.221</v>
      </c>
      <c r="H97" s="20" t="n">
        <v>1827.93</v>
      </c>
      <c r="I97" s="20" t="n">
        <v>1720.566</v>
      </c>
      <c r="J97" s="20" t="n">
        <v>1795.599</v>
      </c>
      <c r="K97" s="20" t="n">
        <v>1501.382</v>
      </c>
      <c r="L97" s="20" t="n">
        <v>1491.164</v>
      </c>
    </row>
    <row r="98">
      <c r="A98" s="18" t="inlineStr">
        <is>
          <t>토지</t>
        </is>
      </c>
      <c r="C98" s="20" t="n">
        <v>1874.876</v>
      </c>
      <c r="D98" s="20" t="n">
        <v>1874.876</v>
      </c>
      <c r="E98" s="20" t="n">
        <v>1874.876</v>
      </c>
      <c r="F98" s="20" t="n">
        <v>1874.876</v>
      </c>
      <c r="G98" s="20" t="n">
        <v>1875.091</v>
      </c>
      <c r="H98" s="20" t="n">
        <v>1778.514</v>
      </c>
      <c r="I98" s="20" t="n">
        <v>1874.629</v>
      </c>
      <c r="J98" s="20" t="n">
        <v>1875.419</v>
      </c>
      <c r="K98" s="20" t="n">
        <v>1687.599</v>
      </c>
      <c r="L98" s="20" t="n">
        <v>1874.876</v>
      </c>
    </row>
    <row r="99">
      <c r="A99" s="18" t="inlineStr">
        <is>
          <t>리스자산</t>
        </is>
      </c>
      <c r="E99" s="20" t="n">
        <v>290.218</v>
      </c>
      <c r="H99" s="20" t="n">
        <v>363.57</v>
      </c>
      <c r="I99" s="20" t="n">
        <v>363.186</v>
      </c>
      <c r="J99" s="20" t="n">
        <v>357.653</v>
      </c>
      <c r="K99" s="20" t="n">
        <v>355.96</v>
      </c>
      <c r="L99" s="20" t="n">
        <v>290.218</v>
      </c>
    </row>
    <row r="100">
      <c r="A100" s="18" t="inlineStr">
        <is>
          <t>감가상각누계액</t>
        </is>
      </c>
      <c r="E100" s="20" t="n">
        <v>-259.833</v>
      </c>
      <c r="H100" s="20" t="n">
        <v>-260.162</v>
      </c>
      <c r="I100" s="20" t="n">
        <v>-275.47</v>
      </c>
      <c r="J100" s="20" t="n">
        <v>-292.905</v>
      </c>
      <c r="K100" s="20" t="n">
        <v>-308.079</v>
      </c>
      <c r="L100" s="20" t="n">
        <v>-259.833</v>
      </c>
    </row>
    <row r="101">
      <c r="A101" s="18" t="inlineStr">
        <is>
          <t>리스자산(순액)</t>
        </is>
      </c>
      <c r="C101" s="20" t="n">
        <v>34.005</v>
      </c>
      <c r="D101" s="20" t="n">
        <v>33.827</v>
      </c>
      <c r="E101" s="20" t="n">
        <v>30.384</v>
      </c>
      <c r="F101" s="20" t="n">
        <v>55.098</v>
      </c>
      <c r="G101" s="20" t="n">
        <v>55.149</v>
      </c>
      <c r="H101" s="20" t="n">
        <v>103.407</v>
      </c>
      <c r="I101" s="20" t="n">
        <v>87.715</v>
      </c>
      <c r="J101" s="20" t="n">
        <v>64.748</v>
      </c>
      <c r="K101" s="20" t="n">
        <v>22.167</v>
      </c>
      <c r="L101" s="20" t="n">
        <v>30.384</v>
      </c>
    </row>
    <row r="102">
      <c r="A102" s="18" t="inlineStr">
        <is>
          <t>건설중인자산</t>
        </is>
      </c>
      <c r="C102" s="20" t="n">
        <v>161.781</v>
      </c>
      <c r="D102" s="20" t="n">
        <v>380.77</v>
      </c>
      <c r="E102" s="20" t="n">
        <v>405.176</v>
      </c>
      <c r="F102" s="20" t="n">
        <v>540.228</v>
      </c>
      <c r="G102" s="20" t="n">
        <v>434.3</v>
      </c>
      <c r="H102" s="20" t="n">
        <v>130.633</v>
      </c>
      <c r="I102" s="20" t="n">
        <v>158.983</v>
      </c>
      <c r="J102" s="20" t="n">
        <v>71.97199999999999</v>
      </c>
      <c r="K102" s="20" t="n">
        <v>83.79300000000001</v>
      </c>
      <c r="L102" s="20" t="n">
        <v>405.176</v>
      </c>
    </row>
    <row r="103">
      <c r="A103" s="18" t="inlineStr">
        <is>
          <t>기타</t>
        </is>
      </c>
      <c r="E103" s="20" t="n">
        <v>854.107</v>
      </c>
      <c r="H103" s="20" t="n">
        <v>707.8579999999999</v>
      </c>
      <c r="I103" s="20" t="n">
        <v>768.46</v>
      </c>
      <c r="J103" s="20" t="n">
        <v>799.7809999999999</v>
      </c>
      <c r="K103" s="20" t="n">
        <v>841.229</v>
      </c>
      <c r="L103" s="20" t="n">
        <v>854.107</v>
      </c>
    </row>
    <row r="104">
      <c r="A104" s="18" t="inlineStr">
        <is>
          <t>감가상각누계액</t>
        </is>
      </c>
      <c r="E104" s="20" t="n">
        <v>-721.176</v>
      </c>
      <c r="H104" s="20" t="n">
        <v>-631.034</v>
      </c>
      <c r="I104" s="20" t="n">
        <v>-639.4930000000001</v>
      </c>
      <c r="J104" s="20" t="n">
        <v>-678.0170000000001</v>
      </c>
      <c r="K104" s="20" t="n">
        <v>-721.103</v>
      </c>
      <c r="L104" s="20" t="n">
        <v>-721.176</v>
      </c>
    </row>
    <row r="105">
      <c r="A105" s="18" t="inlineStr">
        <is>
          <t>기타(순액)</t>
        </is>
      </c>
      <c r="C105" s="20" t="n">
        <v>155.046</v>
      </c>
      <c r="D105" s="20" t="n">
        <v>145.89</v>
      </c>
      <c r="E105" s="20" t="n">
        <v>132.93</v>
      </c>
      <c r="F105" s="20" t="n">
        <v>148.599</v>
      </c>
      <c r="G105" s="20" t="n">
        <v>153.975</v>
      </c>
      <c r="H105" s="20" t="n">
        <v>76.82299999999999</v>
      </c>
      <c r="I105" s="20" t="n">
        <v>128.967</v>
      </c>
      <c r="J105" s="20" t="n">
        <v>121.764</v>
      </c>
      <c r="K105" s="20" t="n">
        <v>120.125</v>
      </c>
      <c r="L105" s="20" t="n">
        <v>132.93</v>
      </c>
    </row>
    <row r="106">
      <c r="A106" s="18" t="inlineStr">
        <is>
          <t>유형자산 합계</t>
        </is>
      </c>
      <c r="C106" s="20" t="n">
        <v>5601.893</v>
      </c>
      <c r="D106" s="20" t="n">
        <v>5863.342</v>
      </c>
      <c r="E106" s="20" t="n">
        <v>5837.239</v>
      </c>
      <c r="F106" s="20" t="n">
        <v>5941.635</v>
      </c>
      <c r="G106" s="20" t="n">
        <v>6218.353</v>
      </c>
      <c r="H106" s="20" t="n">
        <v>5855.867</v>
      </c>
      <c r="I106" s="20" t="n">
        <v>5849.317</v>
      </c>
      <c r="J106" s="20" t="n">
        <v>5759.053</v>
      </c>
      <c r="K106" s="20" t="n">
        <v>4755.412</v>
      </c>
      <c r="L106" s="20" t="n">
        <v>5837.239</v>
      </c>
    </row>
    <row r="107">
      <c r="A107" s="18" t="inlineStr">
        <is>
          <t>무형자산</t>
        </is>
      </c>
      <c r="C107" s="20" t="n">
        <v>707.364</v>
      </c>
      <c r="D107" s="20" t="n">
        <v>668.88</v>
      </c>
      <c r="E107" s="20" t="n">
        <v>632.8680000000001</v>
      </c>
      <c r="F107" s="20" t="n">
        <v>605.569</v>
      </c>
      <c r="G107" s="20" t="n">
        <v>568.614</v>
      </c>
      <c r="H107" s="20" t="n">
        <v>78.562</v>
      </c>
      <c r="I107" s="20" t="n">
        <v>80.092</v>
      </c>
      <c r="J107" s="20" t="n">
        <v>263.262</v>
      </c>
      <c r="K107" s="20" t="n">
        <v>772.217</v>
      </c>
      <c r="L107" s="20" t="n">
        <v>632.8680000000001</v>
      </c>
    </row>
    <row r="108">
      <c r="A108" s="18" t="inlineStr">
        <is>
          <t>투자 및 기타자산</t>
        </is>
      </c>
      <c r="C108" s="20" t="n">
        <v>1300.04</v>
      </c>
      <c r="D108" s="20" t="n">
        <v>1278.302</v>
      </c>
      <c r="J108" s="20" t="n">
        <v>2386.186</v>
      </c>
      <c r="K108" s="20" t="n">
        <v>2182.333</v>
      </c>
    </row>
    <row r="109">
      <c r="A109" s="18" t="inlineStr">
        <is>
          <t>투자유가증권</t>
        </is>
      </c>
      <c r="E109" s="20" t="n">
        <v>413.724</v>
      </c>
      <c r="H109" s="20" t="n">
        <v>1577.586</v>
      </c>
      <c r="I109" s="20" t="n">
        <v>1704.976</v>
      </c>
      <c r="J109" s="20" t="n">
        <v>1887.27</v>
      </c>
      <c r="K109" s="20" t="n">
        <v>1244.172</v>
      </c>
      <c r="L109" s="20" t="n">
        <v>413.724</v>
      </c>
    </row>
    <row r="110">
      <c r="A110" s="18" t="inlineStr">
        <is>
          <t>관계회사 주식</t>
        </is>
      </c>
      <c r="E110" s="20" t="n">
        <v>739.194</v>
      </c>
      <c r="H110" s="20" t="n">
        <v>751.292</v>
      </c>
      <c r="I110" s="20" t="n">
        <v>751.292</v>
      </c>
      <c r="J110" s="20" t="n">
        <v>751.292</v>
      </c>
      <c r="K110" s="20" t="n">
        <v>751.292</v>
      </c>
      <c r="L110" s="20" t="n">
        <v>739.194</v>
      </c>
    </row>
    <row r="111">
      <c r="A111" s="18" t="inlineStr">
        <is>
          <t>장기대여금</t>
        </is>
      </c>
      <c r="E111" s="20" t="n">
        <v>230.83</v>
      </c>
      <c r="H111" s="20" t="n">
        <v>201.989</v>
      </c>
      <c r="I111" s="20" t="n">
        <v>329.983</v>
      </c>
      <c r="J111" s="20" t="n">
        <v>237.979</v>
      </c>
      <c r="K111" s="20" t="n">
        <v>344.83</v>
      </c>
      <c r="L111" s="20" t="n">
        <v>230.83</v>
      </c>
    </row>
    <row r="112">
      <c r="A112" s="18" t="inlineStr">
        <is>
          <t>장기선급비용</t>
        </is>
      </c>
      <c r="E112" s="20" t="n">
        <v>26.393</v>
      </c>
      <c r="H112" s="20" t="n">
        <v>0</v>
      </c>
      <c r="I112" s="20" t="n">
        <v>32.262</v>
      </c>
      <c r="J112" s="20" t="n">
        <v>31.957</v>
      </c>
      <c r="K112" s="20" t="n">
        <v>29.167</v>
      </c>
      <c r="L112" s="20" t="n">
        <v>26.393</v>
      </c>
    </row>
    <row r="113">
      <c r="A113" s="18" t="inlineStr">
        <is>
          <t>이연법인세자산</t>
        </is>
      </c>
      <c r="E113" s="20" t="n">
        <v>108.26</v>
      </c>
      <c r="H113" s="20" t="n">
        <v>70.015</v>
      </c>
      <c r="I113" s="20" t="n">
        <v>63.339</v>
      </c>
      <c r="J113" s="20" t="n">
        <v>46.598</v>
      </c>
      <c r="K113" s="20" t="n">
        <v>81.675</v>
      </c>
      <c r="L113" s="20" t="n">
        <v>108.26</v>
      </c>
    </row>
    <row r="114">
      <c r="A114" s="18" t="inlineStr">
        <is>
          <t>보험적립금</t>
        </is>
      </c>
      <c r="E114" s="20" t="n">
        <v>179.768</v>
      </c>
      <c r="H114" s="20" t="n">
        <v>199.733</v>
      </c>
      <c r="I114" s="20" t="n">
        <v>199.764</v>
      </c>
      <c r="J114" s="20" t="n">
        <v>207.443</v>
      </c>
      <c r="K114" s="20" t="n">
        <v>207.098</v>
      </c>
      <c r="L114" s="20" t="n">
        <v>179.768</v>
      </c>
    </row>
    <row r="115">
      <c r="A115" s="18" t="inlineStr">
        <is>
          <t>임차보증금·보증금</t>
        </is>
      </c>
      <c r="E115" s="20" t="n">
        <v>26.936</v>
      </c>
      <c r="H115" s="20" t="n">
        <v>27.807</v>
      </c>
      <c r="I115" s="20" t="n">
        <v>27.293</v>
      </c>
      <c r="J115" s="20" t="n">
        <v>26.845</v>
      </c>
      <c r="K115" s="20" t="n">
        <v>26.432</v>
      </c>
      <c r="L115" s="20" t="n">
        <v>26.936</v>
      </c>
    </row>
    <row r="116">
      <c r="A116" s="18" t="inlineStr">
        <is>
          <t>기타</t>
        </is>
      </c>
      <c r="E116" s="20" t="n">
        <v>44.045</v>
      </c>
      <c r="H116" s="20" t="n">
        <v>485.98</v>
      </c>
      <c r="I116" s="20" t="n">
        <v>452.308</v>
      </c>
      <c r="J116" s="20" t="n">
        <v>452.318</v>
      </c>
      <c r="K116" s="20" t="n">
        <v>44.045</v>
      </c>
      <c r="L116" s="20" t="n">
        <v>44.045</v>
      </c>
    </row>
    <row r="117">
      <c r="A117" s="18" t="inlineStr">
        <is>
          <t>대손충당금</t>
        </is>
      </c>
      <c r="C117" s="20" t="n">
        <v>-1.584</v>
      </c>
      <c r="D117" s="20" t="n">
        <v>-1.584</v>
      </c>
      <c r="E117" s="20" t="n">
        <v>0</v>
      </c>
      <c r="H117" s="20" t="n">
        <v>-0.08599999999999999</v>
      </c>
      <c r="I117" s="20" t="n">
        <v>0</v>
      </c>
      <c r="J117" s="20" t="n">
        <v>-1.584</v>
      </c>
      <c r="K117" s="20" t="n">
        <v>-1.584</v>
      </c>
      <c r="L117" s="20" t="n">
        <v>0</v>
      </c>
    </row>
    <row r="118">
      <c r="A118" s="18" t="inlineStr">
        <is>
          <t>투자 및 기타자산</t>
        </is>
      </c>
      <c r="C118" s="20" t="n">
        <v>1298.456</v>
      </c>
      <c r="D118" s="20" t="n">
        <v>1276.718</v>
      </c>
      <c r="E118" s="20" t="n">
        <v>1348.942</v>
      </c>
      <c r="F118" s="20" t="n">
        <v>1256.951</v>
      </c>
      <c r="G118" s="20" t="n">
        <v>1761.702</v>
      </c>
      <c r="H118" s="20" t="n">
        <v>2133.495</v>
      </c>
      <c r="I118" s="20" t="n">
        <v>2220.623</v>
      </c>
      <c r="J118" s="20" t="n">
        <v>2384.602</v>
      </c>
      <c r="K118" s="20" t="n">
        <v>2728.714</v>
      </c>
      <c r="L118" s="20" t="n">
        <v>1348.942</v>
      </c>
    </row>
    <row r="119">
      <c r="A119" s="9" t="inlineStr">
        <is>
          <t>비유동자산 합계</t>
        </is>
      </c>
      <c r="C119" s="12" t="n">
        <v>7607.715</v>
      </c>
      <c r="D119" s="12" t="n">
        <v>7808.941</v>
      </c>
      <c r="E119" s="12" t="n">
        <v>7819.05</v>
      </c>
      <c r="F119" s="12" t="n">
        <v>7804.157</v>
      </c>
      <c r="G119" s="12" t="n">
        <v>8548.67</v>
      </c>
      <c r="H119" s="12" t="n">
        <v>8067.925</v>
      </c>
      <c r="I119" s="12" t="n">
        <v>8150.034</v>
      </c>
      <c r="J119" s="12" t="n">
        <v>8406.918</v>
      </c>
      <c r="K119" s="12" t="n">
        <v>8256.343999999999</v>
      </c>
      <c r="L119" s="12" t="n">
        <v>7819.05</v>
      </c>
    </row>
    <row r="120">
      <c r="A120" s="9" t="inlineStr">
        <is>
          <t>자산 합계</t>
        </is>
      </c>
      <c r="C120" s="12" t="n">
        <v>25538.12</v>
      </c>
      <c r="D120" s="12" t="n">
        <v>26072.095</v>
      </c>
      <c r="E120" s="12" t="n">
        <v>26844.585</v>
      </c>
      <c r="F120" s="12" t="n">
        <v>26592.771</v>
      </c>
      <c r="G120" s="12" t="n">
        <v>26904.537</v>
      </c>
      <c r="H120" s="12" t="n">
        <v>24848.968</v>
      </c>
      <c r="I120" s="12" t="n">
        <v>24560.149</v>
      </c>
      <c r="J120" s="12" t="n">
        <v>25228.619</v>
      </c>
      <c r="K120" s="12" t="n">
        <v>21861.302</v>
      </c>
      <c r="L120" s="12" t="n">
        <v>26844.585</v>
      </c>
    </row>
    <row r="121">
      <c r="A121" s="18" t="inlineStr">
        <is>
          <t>매입채무</t>
        </is>
      </c>
      <c r="C121" s="20" t="n">
        <v>913.229</v>
      </c>
      <c r="D121" s="20" t="n">
        <v>1019.787</v>
      </c>
      <c r="E121" s="20" t="n">
        <v>862.449</v>
      </c>
      <c r="F121" s="20" t="n">
        <v>1283.001</v>
      </c>
      <c r="G121" s="20" t="n">
        <v>1017.315</v>
      </c>
      <c r="H121" s="20" t="n">
        <v>680.289</v>
      </c>
      <c r="I121" s="20" t="n">
        <v>894.401</v>
      </c>
      <c r="J121" s="20" t="n">
        <v>762.172</v>
      </c>
      <c r="K121" s="20" t="n">
        <v>933.937</v>
      </c>
      <c r="L121" s="20" t="n">
        <v>862.449</v>
      </c>
    </row>
    <row r="122">
      <c r="A122" s="18" t="inlineStr">
        <is>
          <t>1년 내 상환 장기차입금</t>
        </is>
      </c>
      <c r="H122" s="20" t="n">
        <v>100</v>
      </c>
      <c r="I122" s="20" t="n">
        <v>0</v>
      </c>
    </row>
    <row r="123">
      <c r="A123" s="18" t="inlineStr">
        <is>
          <t>리스부채</t>
        </is>
      </c>
      <c r="E123" s="20" t="n">
        <v>9.23</v>
      </c>
      <c r="H123" s="20" t="n">
        <v>31.668</v>
      </c>
      <c r="I123" s="20" t="n">
        <v>32.747</v>
      </c>
      <c r="J123" s="20" t="n">
        <v>30.135</v>
      </c>
      <c r="K123" s="20" t="n">
        <v>9.032</v>
      </c>
      <c r="L123" s="20" t="n">
        <v>9.23</v>
      </c>
    </row>
    <row r="124">
      <c r="A124" s="18" t="inlineStr">
        <is>
          <t>미지급금</t>
        </is>
      </c>
      <c r="C124" s="20" t="n">
        <v>747.005</v>
      </c>
      <c r="D124" s="20" t="n">
        <v>950.298</v>
      </c>
      <c r="E124" s="20" t="n">
        <v>976.658</v>
      </c>
      <c r="G124" s="20" t="n">
        <v>833.649</v>
      </c>
      <c r="H124" s="20" t="n">
        <v>639.593</v>
      </c>
      <c r="I124" s="20" t="n">
        <v>569.629</v>
      </c>
      <c r="J124" s="20" t="n">
        <v>788.771</v>
      </c>
      <c r="K124" s="20" t="n">
        <v>509.47</v>
      </c>
      <c r="L124" s="20" t="n">
        <v>976.658</v>
      </c>
    </row>
    <row r="125">
      <c r="A125" s="18" t="inlineStr">
        <is>
          <t>미지급비용</t>
        </is>
      </c>
      <c r="E125" s="20" t="n">
        <v>43.165</v>
      </c>
      <c r="H125" s="20" t="n">
        <v>41.132</v>
      </c>
      <c r="I125" s="20" t="n">
        <v>62.43</v>
      </c>
      <c r="J125" s="20" t="n">
        <v>44.03</v>
      </c>
      <c r="K125" s="20" t="n">
        <v>40.466</v>
      </c>
      <c r="L125" s="20" t="n">
        <v>43.165</v>
      </c>
    </row>
    <row r="126">
      <c r="A126" s="18" t="inlineStr">
        <is>
          <t>미지급법인세</t>
        </is>
      </c>
      <c r="C126" s="20" t="n">
        <v>203.287</v>
      </c>
      <c r="D126" s="20" t="n">
        <v>138.623</v>
      </c>
      <c r="E126" s="20" t="n">
        <v>360.936</v>
      </c>
      <c r="F126" s="20" t="n">
        <v>44.217</v>
      </c>
      <c r="G126" s="20" t="n">
        <v>176.698</v>
      </c>
      <c r="H126" s="20" t="n">
        <v>362.754</v>
      </c>
      <c r="I126" s="20" t="n">
        <v>307.235</v>
      </c>
      <c r="J126" s="20" t="n">
        <v>292.873</v>
      </c>
      <c r="K126" s="20" t="n">
        <v>398.1</v>
      </c>
      <c r="L126" s="20" t="n">
        <v>360.936</v>
      </c>
    </row>
    <row r="127">
      <c r="A127" s="18" t="inlineStr">
        <is>
          <t>미지급 소비세</t>
        </is>
      </c>
      <c r="E127" s="20" t="n">
        <v>255.827</v>
      </c>
      <c r="H127" s="20" t="n">
        <v>0</v>
      </c>
      <c r="I127" s="20" t="n">
        <v>0</v>
      </c>
      <c r="J127" s="20" t="n">
        <v>146.341</v>
      </c>
      <c r="K127" s="20" t="n">
        <v>0</v>
      </c>
      <c r="L127" s="20" t="n">
        <v>255.827</v>
      </c>
    </row>
    <row r="128">
      <c r="A128" s="18" t="inlineStr">
        <is>
          <t>예수금</t>
        </is>
      </c>
      <c r="E128" s="20" t="n">
        <v>19.622</v>
      </c>
      <c r="H128" s="20" t="n">
        <v>17.319</v>
      </c>
      <c r="I128" s="20" t="n">
        <v>18.456</v>
      </c>
      <c r="J128" s="20" t="n">
        <v>18.284</v>
      </c>
      <c r="K128" s="20" t="n">
        <v>36.312</v>
      </c>
      <c r="L128" s="20" t="n">
        <v>19.622</v>
      </c>
    </row>
    <row r="129">
      <c r="A129" s="18" t="inlineStr">
        <is>
          <t>상여충당금</t>
        </is>
      </c>
      <c r="C129" s="20" t="n">
        <v>165.164</v>
      </c>
      <c r="D129" s="20" t="n">
        <v>92.143</v>
      </c>
      <c r="E129" s="20" t="n">
        <v>164.743</v>
      </c>
      <c r="F129" s="20" t="n">
        <v>92.572</v>
      </c>
      <c r="G129" s="20" t="n">
        <v>179.219</v>
      </c>
      <c r="H129" s="20" t="n">
        <v>150.004</v>
      </c>
      <c r="I129" s="20" t="n">
        <v>148.166</v>
      </c>
      <c r="J129" s="20" t="n">
        <v>165.005</v>
      </c>
      <c r="K129" s="20" t="n">
        <v>138.529</v>
      </c>
      <c r="L129" s="20" t="n">
        <v>164.743</v>
      </c>
    </row>
    <row r="130">
      <c r="A130" s="18" t="inlineStr">
        <is>
          <t>기타</t>
        </is>
      </c>
      <c r="C130" s="20" t="n">
        <v>119.886</v>
      </c>
      <c r="D130" s="20" t="n">
        <v>155.686</v>
      </c>
      <c r="E130" s="20" t="n">
        <v>100.812</v>
      </c>
      <c r="F130" s="20" t="n">
        <v>926.909</v>
      </c>
      <c r="G130" s="20" t="n">
        <v>103.66</v>
      </c>
      <c r="H130" s="20" t="n">
        <v>72.345</v>
      </c>
      <c r="I130" s="20" t="n">
        <v>97.17</v>
      </c>
      <c r="J130" s="20" t="n">
        <v>79.871</v>
      </c>
      <c r="K130" s="20" t="n">
        <v>93.14</v>
      </c>
      <c r="L130" s="20" t="n">
        <v>100.812</v>
      </c>
    </row>
    <row r="131">
      <c r="A131" s="9" t="inlineStr">
        <is>
          <t>유동부채 합계</t>
        </is>
      </c>
      <c r="C131" s="12" t="n">
        <v>2148.571</v>
      </c>
      <c r="D131" s="12" t="n">
        <v>2356.54</v>
      </c>
      <c r="E131" s="12" t="n">
        <v>2465.599</v>
      </c>
      <c r="F131" s="12" t="n">
        <v>2346.701</v>
      </c>
      <c r="G131" s="12" t="n">
        <v>2310.544</v>
      </c>
      <c r="H131" s="12" t="n">
        <v>2036.656</v>
      </c>
      <c r="I131" s="12" t="n">
        <v>2049.349</v>
      </c>
      <c r="J131" s="12" t="n">
        <v>2118.83</v>
      </c>
      <c r="K131" s="12" t="n">
        <v>2065.848</v>
      </c>
      <c r="L131" s="12" t="n">
        <v>2465.599</v>
      </c>
    </row>
    <row r="132">
      <c r="A132" s="18" t="inlineStr">
        <is>
          <t>장기차입금</t>
        </is>
      </c>
      <c r="H132" s="20" t="n">
        <v>825</v>
      </c>
      <c r="I132" s="20" t="n">
        <v>0</v>
      </c>
    </row>
    <row r="133">
      <c r="A133" s="18" t="inlineStr">
        <is>
          <t>리스부채</t>
        </is>
      </c>
      <c r="C133" s="20" t="n">
        <v>17.334</v>
      </c>
      <c r="E133" s="20" t="n">
        <v>14.54</v>
      </c>
      <c r="G133" s="20" t="n">
        <v>45.502</v>
      </c>
      <c r="H133" s="20" t="n">
        <v>82.122</v>
      </c>
      <c r="I133" s="20" t="n">
        <v>63.641</v>
      </c>
      <c r="J133" s="20" t="n">
        <v>43.835</v>
      </c>
      <c r="K133" s="20" t="n">
        <v>15.614</v>
      </c>
      <c r="L133" s="20" t="n">
        <v>14.54</v>
      </c>
    </row>
    <row r="134">
      <c r="A134" s="18" t="inlineStr">
        <is>
          <t>이연법인세부채</t>
        </is>
      </c>
      <c r="C134" s="20" t="n">
        <v>15.322</v>
      </c>
      <c r="E134" s="20" t="n">
        <v>17.932</v>
      </c>
      <c r="H134" s="20" t="n">
        <v>6.154</v>
      </c>
      <c r="I134" s="20" t="n">
        <v>10.85</v>
      </c>
      <c r="J134" s="20" t="n">
        <v>11.494</v>
      </c>
      <c r="K134" s="20" t="n">
        <v>17.551</v>
      </c>
      <c r="L134" s="20" t="n">
        <v>17.932</v>
      </c>
    </row>
    <row r="135">
      <c r="A135" s="18" t="inlineStr">
        <is>
          <t>퇴직급여부채</t>
        </is>
      </c>
      <c r="C135" s="20" t="n">
        <v>19.37</v>
      </c>
      <c r="D135" s="20" t="n">
        <v>20.046</v>
      </c>
      <c r="E135" s="20" t="n">
        <v>20.166</v>
      </c>
      <c r="F135" s="20" t="n">
        <v>20.419</v>
      </c>
      <c r="G135" s="20" t="n">
        <v>20.986</v>
      </c>
      <c r="H135" s="20" t="n">
        <v>13.353</v>
      </c>
      <c r="I135" s="20" t="n">
        <v>14.547</v>
      </c>
      <c r="J135" s="20" t="n">
        <v>15.969</v>
      </c>
      <c r="K135" s="20" t="n">
        <v>18.317</v>
      </c>
      <c r="L135" s="20" t="n">
        <v>20.166</v>
      </c>
    </row>
    <row r="136">
      <c r="A136" s="18" t="inlineStr">
        <is>
          <t>Provision For Mine Closure Expenses NCL</t>
        </is>
      </c>
      <c r="C136" s="20" t="n">
        <v>646.173</v>
      </c>
      <c r="D136" s="20" t="n">
        <v>651.139</v>
      </c>
      <c r="E136" s="20" t="n">
        <v>656.1130000000001</v>
      </c>
      <c r="F136" s="20" t="n">
        <v>662.1319999999999</v>
      </c>
      <c r="G136" s="20" t="n">
        <v>668.098</v>
      </c>
      <c r="H136" s="20" t="n">
        <v>581.718</v>
      </c>
      <c r="I136" s="20" t="n">
        <v>601.452</v>
      </c>
      <c r="J136" s="20" t="n">
        <v>620.6849999999999</v>
      </c>
      <c r="K136" s="20" t="n">
        <v>91.36799999999999</v>
      </c>
      <c r="L136" s="20" t="n">
        <v>656.1130000000001</v>
      </c>
    </row>
    <row r="137">
      <c r="A137" s="18" t="inlineStr">
        <is>
          <t>자산복구부채</t>
        </is>
      </c>
      <c r="C137" s="20" t="n">
        <v>23.494</v>
      </c>
      <c r="D137" s="20" t="n">
        <v>23.494</v>
      </c>
      <c r="E137" s="20" t="n">
        <v>23.494</v>
      </c>
      <c r="F137" s="20" t="n">
        <v>23.494</v>
      </c>
      <c r="G137" s="20" t="n">
        <v>23.494</v>
      </c>
      <c r="H137" s="20" t="n">
        <v>23.494</v>
      </c>
      <c r="I137" s="20" t="n">
        <v>23.494</v>
      </c>
      <c r="J137" s="20" t="n">
        <v>23.494</v>
      </c>
      <c r="K137" s="20" t="n">
        <v>23.494</v>
      </c>
      <c r="L137" s="20" t="n">
        <v>23.494</v>
      </c>
    </row>
    <row r="138">
      <c r="A138" s="18" t="inlineStr">
        <is>
          <t>장기 예수보증금</t>
        </is>
      </c>
      <c r="E138" s="20" t="n">
        <v>58.94</v>
      </c>
      <c r="H138" s="20" t="n">
        <v>33.775</v>
      </c>
      <c r="I138" s="20" t="n">
        <v>33.775</v>
      </c>
      <c r="J138" s="20" t="n">
        <v>33.782</v>
      </c>
      <c r="K138" s="20" t="n">
        <v>32.846</v>
      </c>
      <c r="L138" s="20" t="n">
        <v>58.94</v>
      </c>
    </row>
    <row r="139">
      <c r="A139" s="18" t="inlineStr">
        <is>
          <t>장기미지급금</t>
        </is>
      </c>
      <c r="E139" s="20" t="n">
        <v>237.568</v>
      </c>
      <c r="H139" s="20" t="n">
        <v>240.01</v>
      </c>
      <c r="I139" s="20" t="n">
        <v>237.568</v>
      </c>
      <c r="J139" s="20" t="n">
        <v>237.568</v>
      </c>
      <c r="K139" s="20" t="n">
        <v>237.568</v>
      </c>
      <c r="L139" s="20" t="n">
        <v>237.568</v>
      </c>
    </row>
    <row r="140">
      <c r="A140" s="18" t="inlineStr">
        <is>
          <t>Long Term Accounts Payable Facilities</t>
        </is>
      </c>
      <c r="E140" s="20" t="n">
        <v>126.025</v>
      </c>
      <c r="H140" s="20" t="n">
        <v>0</v>
      </c>
      <c r="I140" s="20" t="n">
        <v>148.051</v>
      </c>
      <c r="J140" s="20" t="n">
        <v>149.035</v>
      </c>
      <c r="K140" s="20" t="n">
        <v>137.53</v>
      </c>
      <c r="L140" s="20" t="n">
        <v>126.025</v>
      </c>
    </row>
    <row r="141">
      <c r="A141" s="18" t="inlineStr">
        <is>
          <t>기타</t>
        </is>
      </c>
      <c r="C141" s="20" t="n">
        <v>508.485</v>
      </c>
      <c r="D141" s="20" t="n">
        <v>538.245</v>
      </c>
      <c r="E141" s="20" t="n">
        <v>520.8049999999999</v>
      </c>
      <c r="F141" s="20" t="n">
        <v>350.35</v>
      </c>
      <c r="G141" s="20" t="n">
        <v>277.314</v>
      </c>
      <c r="H141" s="20" t="n">
        <v>302.027</v>
      </c>
      <c r="I141" s="20" t="n">
        <v>447.638</v>
      </c>
      <c r="J141" s="20" t="n">
        <v>526.581</v>
      </c>
      <c r="K141" s="20" t="n">
        <v>514.188</v>
      </c>
      <c r="L141" s="20" t="n">
        <v>520.8049999999999</v>
      </c>
    </row>
    <row r="142">
      <c r="A142" s="9" t="inlineStr">
        <is>
          <t>비유동부채 합계</t>
        </is>
      </c>
      <c r="C142" s="12" t="n">
        <v>1230.181</v>
      </c>
      <c r="D142" s="12" t="n">
        <v>1232.926</v>
      </c>
      <c r="E142" s="12" t="n">
        <v>1235.12</v>
      </c>
      <c r="F142" s="12" t="n">
        <v>1056.397</v>
      </c>
      <c r="G142" s="12" t="n">
        <v>1035.396</v>
      </c>
      <c r="H142" s="12" t="n">
        <v>1833.871</v>
      </c>
      <c r="I142" s="12" t="n">
        <v>1161.625</v>
      </c>
      <c r="J142" s="12" t="n">
        <v>1242.062</v>
      </c>
      <c r="K142" s="12" t="n">
        <v>538.422</v>
      </c>
      <c r="L142" s="12" t="n">
        <v>1235.12</v>
      </c>
    </row>
    <row r="143">
      <c r="A143" s="9" t="inlineStr">
        <is>
          <t>부채 합계</t>
        </is>
      </c>
      <c r="C143" s="12" t="n">
        <v>3378.753</v>
      </c>
      <c r="D143" s="12" t="n">
        <v>3589.467</v>
      </c>
      <c r="E143" s="12" t="n">
        <v>3700.719</v>
      </c>
      <c r="F143" s="12" t="n">
        <v>3403.099</v>
      </c>
      <c r="G143" s="12" t="n">
        <v>3345.94</v>
      </c>
      <c r="H143" s="12" t="n">
        <v>3870.527</v>
      </c>
      <c r="I143" s="12" t="n">
        <v>3210.975</v>
      </c>
      <c r="J143" s="12" t="n">
        <v>3360.892</v>
      </c>
      <c r="K143" s="12" t="n">
        <v>2604.271</v>
      </c>
      <c r="L143" s="12" t="n">
        <v>3700.719</v>
      </c>
    </row>
    <row r="144">
      <c r="A144" s="18" t="inlineStr">
        <is>
          <t>자본금</t>
        </is>
      </c>
      <c r="C144" s="20" t="n">
        <v>1617.8</v>
      </c>
      <c r="D144" s="20" t="n">
        <v>1617.8</v>
      </c>
      <c r="E144" s="20" t="n">
        <v>1617.8</v>
      </c>
      <c r="F144" s="20" t="n">
        <v>1617.8</v>
      </c>
      <c r="G144" s="20" t="n">
        <v>1617.8</v>
      </c>
      <c r="H144" s="20" t="n">
        <v>1617.8</v>
      </c>
      <c r="I144" s="20" t="n">
        <v>1617.8</v>
      </c>
      <c r="J144" s="20" t="n">
        <v>1617.8</v>
      </c>
      <c r="K144" s="20" t="n">
        <v>1617.8</v>
      </c>
      <c r="L144" s="20" t="n">
        <v>1617.8</v>
      </c>
    </row>
    <row r="145">
      <c r="A145" s="18" t="inlineStr">
        <is>
          <t>자본준비금</t>
        </is>
      </c>
      <c r="E145" s="20" t="n">
        <v>2217.11</v>
      </c>
      <c r="H145" s="20" t="n">
        <v>2217.11</v>
      </c>
      <c r="I145" s="20" t="n">
        <v>2217.11</v>
      </c>
      <c r="J145" s="20" t="n">
        <v>2217.11</v>
      </c>
      <c r="K145" s="20" t="n">
        <v>2217.11</v>
      </c>
      <c r="L145" s="20" t="n">
        <v>2217.11</v>
      </c>
    </row>
    <row r="146">
      <c r="A146" s="18" t="inlineStr">
        <is>
          <t>기타자본잉여금</t>
        </is>
      </c>
      <c r="E146" s="20" t="n">
        <v>1455.823</v>
      </c>
      <c r="H146" s="20" t="n">
        <v>1455.823</v>
      </c>
      <c r="I146" s="20" t="n">
        <v>1455.823</v>
      </c>
      <c r="J146" s="20" t="n">
        <v>1455.823</v>
      </c>
      <c r="K146" s="20" t="n">
        <v>1455.823</v>
      </c>
      <c r="L146" s="20" t="n">
        <v>1455.823</v>
      </c>
    </row>
    <row r="147">
      <c r="A147" s="18" t="inlineStr">
        <is>
          <t>자본잉여금</t>
        </is>
      </c>
      <c r="C147" s="20" t="n">
        <v>3672.201</v>
      </c>
      <c r="D147" s="20" t="n">
        <v>3672.201</v>
      </c>
      <c r="E147" s="20" t="n">
        <v>3672.201</v>
      </c>
      <c r="F147" s="20" t="n">
        <v>3672.201</v>
      </c>
      <c r="G147" s="20" t="n">
        <v>3672.201</v>
      </c>
      <c r="H147" s="20" t="n">
        <v>3672.201</v>
      </c>
      <c r="I147" s="20" t="n">
        <v>3672.201</v>
      </c>
      <c r="J147" s="20" t="n">
        <v>3672.201</v>
      </c>
      <c r="K147" s="20" t="n">
        <v>3672.933</v>
      </c>
      <c r="L147" s="20" t="n">
        <v>3672.201</v>
      </c>
    </row>
    <row r="148">
      <c r="A148" s="18" t="inlineStr">
        <is>
          <t>이익준비금</t>
        </is>
      </c>
      <c r="E148" s="20" t="n">
        <v>404.45</v>
      </c>
      <c r="H148" s="20" t="n">
        <v>404.45</v>
      </c>
      <c r="I148" s="20" t="n">
        <v>404.45</v>
      </c>
      <c r="J148" s="20" t="n">
        <v>404.45</v>
      </c>
      <c r="K148" s="20" t="n">
        <v>404.45</v>
      </c>
      <c r="L148" s="20" t="n">
        <v>404.45</v>
      </c>
    </row>
    <row r="149">
      <c r="A149" s="18" t="inlineStr">
        <is>
          <t>Reserve For Dividends3</t>
        </is>
      </c>
      <c r="E149" s="20" t="n">
        <v>370</v>
      </c>
      <c r="H149" s="20" t="n">
        <v>370</v>
      </c>
      <c r="I149" s="20" t="n">
        <v>370</v>
      </c>
      <c r="J149" s="20" t="n">
        <v>370</v>
      </c>
      <c r="K149" s="20" t="n">
        <v>370</v>
      </c>
      <c r="L149" s="20" t="n">
        <v>370</v>
      </c>
    </row>
    <row r="150">
      <c r="A150" s="18" t="inlineStr">
        <is>
          <t>Reserve For Research And Development</t>
        </is>
      </c>
      <c r="E150" s="20" t="n">
        <v>420</v>
      </c>
      <c r="H150" s="20" t="n">
        <v>420</v>
      </c>
      <c r="I150" s="20" t="n">
        <v>420</v>
      </c>
      <c r="J150" s="20" t="n">
        <v>420</v>
      </c>
      <c r="K150" s="20" t="n">
        <v>420</v>
      </c>
      <c r="L150" s="20" t="n">
        <v>420</v>
      </c>
    </row>
    <row r="151">
      <c r="A151" s="18" t="inlineStr">
        <is>
          <t>Reserve For Resource Development</t>
        </is>
      </c>
      <c r="E151" s="20" t="n">
        <v>150</v>
      </c>
      <c r="H151" s="20" t="n">
        <v>150</v>
      </c>
      <c r="I151" s="20" t="n">
        <v>150</v>
      </c>
      <c r="J151" s="20" t="n">
        <v>150</v>
      </c>
      <c r="K151" s="20" t="n">
        <v>150</v>
      </c>
      <c r="L151" s="20" t="n">
        <v>150</v>
      </c>
    </row>
    <row r="152">
      <c r="A152" s="18" t="inlineStr">
        <is>
          <t>별도적립금</t>
        </is>
      </c>
      <c r="E152" s="20" t="n">
        <v>2718</v>
      </c>
      <c r="H152" s="20" t="n">
        <v>2718</v>
      </c>
      <c r="I152" s="20" t="n">
        <v>2718</v>
      </c>
      <c r="J152" s="20" t="n">
        <v>2718</v>
      </c>
      <c r="K152" s="20" t="n">
        <v>2718</v>
      </c>
      <c r="L152" s="20" t="n">
        <v>2718</v>
      </c>
    </row>
    <row r="153">
      <c r="A153" s="18" t="inlineStr">
        <is>
          <t>이월이익잉여금</t>
        </is>
      </c>
      <c r="E153" s="20" t="n">
        <v>12566.447</v>
      </c>
      <c r="H153" s="20" t="n">
        <v>10214.785</v>
      </c>
      <c r="I153" s="20" t="n">
        <v>10796.102</v>
      </c>
      <c r="J153" s="20" t="n">
        <v>11192.569</v>
      </c>
      <c r="K153" s="20" t="n">
        <v>11723.269</v>
      </c>
      <c r="L153" s="20" t="n">
        <v>12566.447</v>
      </c>
    </row>
    <row r="154">
      <c r="A154" s="18" t="inlineStr">
        <is>
          <t>이익잉여금</t>
        </is>
      </c>
      <c r="C154" s="20" t="n">
        <v>17692.531</v>
      </c>
      <c r="D154" s="20" t="n">
        <v>17941.846</v>
      </c>
      <c r="E154" s="20" t="n">
        <v>18429.838</v>
      </c>
      <c r="F154" s="20" t="n">
        <v>18410.899</v>
      </c>
      <c r="G154" s="20" t="n">
        <v>18714.111</v>
      </c>
      <c r="H154" s="20" t="n">
        <v>16179.707</v>
      </c>
      <c r="I154" s="20" t="n">
        <v>16635.132</v>
      </c>
      <c r="J154" s="20" t="n">
        <v>16992.515</v>
      </c>
      <c r="K154" s="20" t="n">
        <v>15785.719</v>
      </c>
      <c r="L154" s="20" t="n">
        <v>18429.838</v>
      </c>
    </row>
    <row r="155">
      <c r="A155" s="18" t="inlineStr">
        <is>
          <t>자기주식</t>
        </is>
      </c>
      <c r="C155" s="20" t="n">
        <v>-2091.857</v>
      </c>
      <c r="D155" s="20" t="n">
        <v>-2091.928</v>
      </c>
      <c r="E155" s="20" t="n">
        <v>-2091.928</v>
      </c>
      <c r="F155" s="20" t="n">
        <v>-2091.94</v>
      </c>
      <c r="G155" s="20" t="n">
        <v>-2091.94</v>
      </c>
      <c r="H155" s="20" t="n">
        <v>-1375.558</v>
      </c>
      <c r="I155" s="20" t="n">
        <v>-1752.478</v>
      </c>
      <c r="J155" s="20" t="n">
        <v>-1758.775</v>
      </c>
      <c r="K155" s="20" t="n">
        <v>-2091.751</v>
      </c>
      <c r="L155" s="20" t="n">
        <v>-2091.928</v>
      </c>
    </row>
    <row r="156">
      <c r="A156" s="9" t="inlineStr">
        <is>
          <t>주주자본 합계</t>
        </is>
      </c>
      <c r="C156" s="12" t="n">
        <v>20890.675</v>
      </c>
      <c r="D156" s="12" t="n">
        <v>21139.918</v>
      </c>
      <c r="E156" s="12" t="n">
        <v>21627.91</v>
      </c>
      <c r="F156" s="12" t="n">
        <v>21608.96</v>
      </c>
      <c r="G156" s="12" t="n">
        <v>21912.172</v>
      </c>
      <c r="H156" s="12" t="n">
        <v>20094.149</v>
      </c>
      <c r="I156" s="12" t="n">
        <v>20172.655</v>
      </c>
      <c r="J156" s="12" t="n">
        <v>20523.74</v>
      </c>
      <c r="K156" s="12" t="n">
        <v>18984.701</v>
      </c>
      <c r="L156" s="12" t="n">
        <v>21627.91</v>
      </c>
    </row>
    <row r="157">
      <c r="A157" s="18" t="inlineStr">
        <is>
          <t>기타유가증권 평가차액</t>
        </is>
      </c>
      <c r="C157" s="20" t="n">
        <v>147.217</v>
      </c>
      <c r="D157" s="20" t="n">
        <v>133.314</v>
      </c>
      <c r="E157" s="20" t="n">
        <v>146.214</v>
      </c>
      <c r="F157" s="20" t="n">
        <v>152.655</v>
      </c>
      <c r="G157" s="20" t="n">
        <v>157.839</v>
      </c>
      <c r="H157" s="20" t="n">
        <v>335.997</v>
      </c>
      <c r="I157" s="20" t="n">
        <v>357.908</v>
      </c>
      <c r="J157" s="20" t="n">
        <v>358.151</v>
      </c>
      <c r="K157" s="20" t="n">
        <v>272.329</v>
      </c>
      <c r="L157" s="20" t="n">
        <v>146.214</v>
      </c>
    </row>
    <row r="158">
      <c r="A158" s="18" t="inlineStr">
        <is>
          <t>이연헤지손익</t>
        </is>
      </c>
      <c r="H158" s="20" t="n">
        <v>5.709</v>
      </c>
      <c r="I158" s="20" t="n">
        <v>0</v>
      </c>
      <c r="J158" s="20" t="n">
        <v>0</v>
      </c>
    </row>
    <row r="159">
      <c r="A159" s="18" t="inlineStr">
        <is>
          <t>해외사업환산조정</t>
        </is>
      </c>
      <c r="C159" s="20" t="n">
        <v>351.177</v>
      </c>
      <c r="D159" s="20" t="n">
        <v>400.459</v>
      </c>
      <c r="E159" s="20" t="n">
        <v>496.258</v>
      </c>
      <c r="F159" s="20" t="n">
        <v>529.373</v>
      </c>
      <c r="G159" s="20" t="n">
        <v>558.96</v>
      </c>
      <c r="H159" s="20" t="n">
        <v>69.496</v>
      </c>
      <c r="I159" s="20" t="n">
        <v>227.878</v>
      </c>
      <c r="J159" s="20" t="n">
        <v>320.041</v>
      </c>
      <c r="K159" s="20" t="n">
        <v>495.002</v>
      </c>
      <c r="L159" s="20" t="n">
        <v>496.258</v>
      </c>
    </row>
    <row r="160">
      <c r="A160" s="18" t="inlineStr">
        <is>
          <t>기타포괄손익누계액 합계</t>
        </is>
      </c>
      <c r="C160" s="20" t="n">
        <v>498.394</v>
      </c>
      <c r="D160" s="20" t="n">
        <v>533.773</v>
      </c>
      <c r="E160" s="20" t="n">
        <v>642.472</v>
      </c>
      <c r="F160" s="20" t="n">
        <v>682.028</v>
      </c>
      <c r="G160" s="20" t="n">
        <v>716.8</v>
      </c>
      <c r="H160" s="20" t="n">
        <v>411.203</v>
      </c>
      <c r="I160" s="20" t="n">
        <v>585.787</v>
      </c>
      <c r="J160" s="20" t="n">
        <v>678.193</v>
      </c>
      <c r="K160" s="20" t="n">
        <v>272.329</v>
      </c>
      <c r="L160" s="20" t="n">
        <v>642.472</v>
      </c>
    </row>
    <row r="161">
      <c r="A161" s="18" t="inlineStr">
        <is>
          <t>비지배지분</t>
        </is>
      </c>
      <c r="C161" s="20" t="n">
        <v>770.296</v>
      </c>
      <c r="D161" s="20" t="n">
        <v>808.936</v>
      </c>
      <c r="E161" s="20" t="n">
        <v>873.482</v>
      </c>
      <c r="F161" s="20" t="n">
        <v>898.682</v>
      </c>
      <c r="G161" s="20" t="n">
        <v>929.624</v>
      </c>
      <c r="H161" s="20" t="n">
        <v>473.088</v>
      </c>
      <c r="I161" s="20" t="n">
        <v>590.731</v>
      </c>
      <c r="J161" s="20" t="n">
        <v>665.792</v>
      </c>
      <c r="K161" s="20" t="n">
        <v>805.183</v>
      </c>
      <c r="L161" s="20" t="n">
        <v>873.482</v>
      </c>
    </row>
    <row r="162">
      <c r="A162" s="9" t="inlineStr">
        <is>
          <t>순자산 합계</t>
        </is>
      </c>
      <c r="C162" s="12" t="n">
        <v>22159.367</v>
      </c>
      <c r="D162" s="12" t="n">
        <v>22482.627</v>
      </c>
      <c r="E162" s="12" t="n">
        <v>23143.865</v>
      </c>
      <c r="F162" s="12" t="n">
        <v>23189.672</v>
      </c>
      <c r="G162" s="12" t="n">
        <v>23558.597</v>
      </c>
      <c r="H162" s="12" t="n">
        <v>20978.441</v>
      </c>
      <c r="I162" s="12" t="n">
        <v>21349.173</v>
      </c>
      <c r="J162" s="12" t="n">
        <v>21867.726</v>
      </c>
      <c r="K162" s="12" t="n">
        <v>19257.031</v>
      </c>
      <c r="L162" s="12" t="n">
        <v>23143.865</v>
      </c>
    </row>
    <row r="163">
      <c r="A163" s="9" t="inlineStr">
        <is>
          <t>부채·순자산 합계</t>
        </is>
      </c>
      <c r="C163" s="12" t="n">
        <v>25538.12</v>
      </c>
      <c r="D163" s="12" t="n">
        <v>26072.095</v>
      </c>
      <c r="E163" s="12" t="n">
        <v>26844.585</v>
      </c>
      <c r="F163" s="12" t="n">
        <v>26592.771</v>
      </c>
      <c r="G163" s="12" t="n">
        <v>26904.537</v>
      </c>
      <c r="H163" s="12" t="n">
        <v>24848.968</v>
      </c>
      <c r="I163" s="12" t="n">
        <v>24560.149</v>
      </c>
      <c r="J163" s="12" t="n">
        <v>25228.619</v>
      </c>
      <c r="K163" s="12" t="n">
        <v>21861.302</v>
      </c>
      <c r="L163" s="12" t="n">
        <v>26844.585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0" t="inlineStr">
        <is>
          <t>5388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filing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</row>
    <row r="5">
      <c r="A5" s="53" t="inlineStr">
        <is>
          <t>항목</t>
        </is>
      </c>
      <c r="B5" s="53" t="inlineStr">
        <is>
          <t>값</t>
        </is>
      </c>
      <c r="N5" s="53" t="inlineStr">
        <is>
          <t>출처</t>
        </is>
      </c>
    </row>
    <row r="6">
      <c r="A6" s="54" t="inlineStr">
        <is>
          <t>depreciation 상반기</t>
        </is>
      </c>
      <c r="B6" s="55" t="n">
        <v>4.29</v>
      </c>
      <c r="N6" s="56" t="inlineStr">
        <is>
          <t>2단계 보고서 자료(회사 설명회 자료·공시)</t>
        </is>
      </c>
    </row>
    <row r="7">
      <c r="A7" s="54" t="inlineStr">
        <is>
          <t>depreciation 상반기 ly</t>
        </is>
      </c>
      <c r="B7" s="55" t="n">
        <v>4.08</v>
      </c>
    </row>
    <row r="9">
      <c r="A9" s="52" t="inlineStr">
        <is>
          <t>this filing · 상반기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</row>
    <row r="10">
      <c r="A10" s="53" t="inlineStr">
        <is>
          <t>항목</t>
        </is>
      </c>
      <c r="B10" s="53" t="inlineStr">
        <is>
          <t>값</t>
        </is>
      </c>
      <c r="N10" s="53" t="inlineStr">
        <is>
          <t>출처</t>
        </is>
      </c>
    </row>
    <row r="11">
      <c r="A11" s="54" t="inlineStr">
        <is>
          <t>매출</t>
        </is>
      </c>
      <c r="B11" s="55" t="n">
        <v>86.03</v>
      </c>
      <c r="N11" s="56" t="inlineStr">
        <is>
          <t>2단계 보고서 자료(회사 설명회 자료·공시)</t>
        </is>
      </c>
    </row>
    <row r="12">
      <c r="A12" s="54" t="inlineStr">
        <is>
          <t>매출 YoY</t>
        </is>
      </c>
      <c r="B12" s="55" t="n">
        <v>11.5</v>
      </c>
    </row>
    <row r="13">
      <c r="A13" s="54" t="inlineStr">
        <is>
          <t>gp</t>
        </is>
      </c>
      <c r="B13" s="55" t="n">
        <v>25.32</v>
      </c>
    </row>
    <row r="14">
      <c r="A14" s="54" t="inlineStr">
        <is>
          <t>sga</t>
        </is>
      </c>
      <c r="B14" s="55" t="n">
        <v>17.63</v>
      </c>
    </row>
    <row r="15">
      <c r="A15" s="54" t="inlineStr">
        <is>
          <t>영업이익</t>
        </is>
      </c>
      <c r="B15" s="55" t="n">
        <v>7.69</v>
      </c>
    </row>
    <row r="16">
      <c r="A16" s="54" t="inlineStr">
        <is>
          <t>영업이익 YoY</t>
        </is>
      </c>
      <c r="B16" s="55" t="n">
        <v>66.8</v>
      </c>
    </row>
    <row r="17">
      <c r="A17" s="54" t="inlineStr">
        <is>
          <t>ordinary</t>
        </is>
      </c>
      <c r="B17" s="55" t="n">
        <v>9.1</v>
      </c>
    </row>
    <row r="18">
      <c r="A18" s="54" t="inlineStr">
        <is>
          <t>ordinary YoY</t>
        </is>
      </c>
      <c r="B18" s="55" t="n">
        <v>56.5</v>
      </c>
    </row>
    <row r="19">
      <c r="A19" s="54" t="inlineStr">
        <is>
          <t>순이익</t>
        </is>
      </c>
      <c r="B19" s="55" t="n">
        <v>5.89</v>
      </c>
    </row>
    <row r="20">
      <c r="A20" s="54" t="inlineStr">
        <is>
          <t>순이익 YoY</t>
        </is>
      </c>
      <c r="B20" s="55" t="n">
        <v>39.9</v>
      </c>
    </row>
    <row r="21">
      <c r="A21" s="54" t="inlineStr">
        <is>
          <t>EPS</t>
        </is>
      </c>
      <c r="B21" s="55" t="n">
        <v>48.34</v>
      </c>
    </row>
    <row r="23">
      <c r="A23" s="52" t="inlineStr">
        <is>
          <t>this filing · 상반기 ly</t>
        </is>
      </c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</row>
    <row r="24">
      <c r="A24" s="53" t="inlineStr">
        <is>
          <t>항목</t>
        </is>
      </c>
      <c r="B24" s="53" t="inlineStr">
        <is>
          <t>값</t>
        </is>
      </c>
      <c r="N24" s="53" t="inlineStr">
        <is>
          <t>출처</t>
        </is>
      </c>
    </row>
    <row r="25">
      <c r="A25" s="54" t="inlineStr">
        <is>
          <t>매출</t>
        </is>
      </c>
      <c r="B25" s="55" t="n">
        <v>77.13</v>
      </c>
      <c r="N25" s="56" t="inlineStr">
        <is>
          <t>2단계 보고서 자료(회사 설명회 자료·공시)</t>
        </is>
      </c>
    </row>
    <row r="26">
      <c r="A26" s="54" t="inlineStr">
        <is>
          <t>gp</t>
        </is>
      </c>
      <c r="B26" s="55" t="n">
        <v>21.42</v>
      </c>
    </row>
    <row r="27">
      <c r="A27" s="54" t="inlineStr">
        <is>
          <t>sga</t>
        </is>
      </c>
      <c r="B27" s="55" t="n">
        <v>16.81</v>
      </c>
    </row>
    <row r="28">
      <c r="A28" s="54" t="inlineStr">
        <is>
          <t>영업이익</t>
        </is>
      </c>
      <c r="B28" s="55" t="n">
        <v>4.61</v>
      </c>
    </row>
    <row r="29">
      <c r="A29" s="54" t="inlineStr">
        <is>
          <t>ordinary</t>
        </is>
      </c>
      <c r="B29" s="55" t="n">
        <v>5.81</v>
      </c>
    </row>
    <row r="30">
      <c r="A30" s="54" t="inlineStr">
        <is>
          <t>순이익</t>
        </is>
      </c>
      <c r="B30" s="55" t="n">
        <v>4.21</v>
      </c>
    </row>
    <row r="31">
      <c r="A31" s="54" t="inlineStr">
        <is>
          <t>EPS</t>
        </is>
      </c>
      <c r="B31" s="55" t="n">
        <v>34.56</v>
      </c>
    </row>
    <row r="33">
      <c r="A33" s="52" t="inlineStr">
        <is>
          <t>this filing · 2Q standalone</t>
        </is>
      </c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</row>
    <row r="34">
      <c r="A34" s="53" t="inlineStr">
        <is>
          <t>항목</t>
        </is>
      </c>
      <c r="B34" s="53" t="inlineStr">
        <is>
          <t>값</t>
        </is>
      </c>
      <c r="N34" s="53" t="inlineStr">
        <is>
          <t>출처</t>
        </is>
      </c>
    </row>
    <row r="35">
      <c r="A35" s="54" t="inlineStr">
        <is>
          <t>매출</t>
        </is>
      </c>
      <c r="B35" s="55" t="n">
        <v>44.19</v>
      </c>
      <c r="N35" s="56" t="inlineStr">
        <is>
          <t>2단계 보고서 자료(회사 설명회 자료·공시)</t>
        </is>
      </c>
    </row>
    <row r="36">
      <c r="A36" s="54" t="inlineStr">
        <is>
          <t>매출 ly</t>
        </is>
      </c>
      <c r="B36" s="55" t="n">
        <v>39.93</v>
      </c>
    </row>
    <row r="37">
      <c r="A37" s="54" t="inlineStr">
        <is>
          <t>gp</t>
        </is>
      </c>
      <c r="B37" s="55" t="n">
        <v>13</v>
      </c>
    </row>
    <row r="38">
      <c r="A38" s="54" t="inlineStr">
        <is>
          <t>영업이익</t>
        </is>
      </c>
      <c r="B38" s="55" t="n">
        <v>4.09</v>
      </c>
    </row>
    <row r="39">
      <c r="A39" s="54" t="inlineStr">
        <is>
          <t>영업이익 ly</t>
        </is>
      </c>
      <c r="B39" s="55" t="n">
        <v>2.28</v>
      </c>
    </row>
    <row r="40">
      <c r="A40" s="54" t="inlineStr">
        <is>
          <t>ordinary</t>
        </is>
      </c>
      <c r="B40" s="55" t="n">
        <v>4.46</v>
      </c>
    </row>
    <row r="41">
      <c r="A41" s="54" t="inlineStr">
        <is>
          <t>ordinary ly</t>
        </is>
      </c>
      <c r="B41" s="55" t="n">
        <v>2.99</v>
      </c>
    </row>
    <row r="42">
      <c r="A42" s="54" t="inlineStr">
        <is>
          <t>순이익</t>
        </is>
      </c>
      <c r="B42" s="55" t="n">
        <v>3.03</v>
      </c>
    </row>
    <row r="43">
      <c r="A43" s="54" t="inlineStr">
        <is>
          <t>순이익 ly</t>
        </is>
      </c>
      <c r="B43" s="55" t="n">
        <v>2.3</v>
      </c>
    </row>
    <row r="45">
      <c r="A45" s="52" t="inlineStr">
        <is>
          <t>this filing · nonop 상반기</t>
        </is>
      </c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</row>
    <row r="46">
      <c r="A46" s="53" t="inlineStr">
        <is>
          <t>항목</t>
        </is>
      </c>
      <c r="B46" s="53" t="inlineStr">
        <is>
          <t>값</t>
        </is>
      </c>
      <c r="N46" s="53" t="inlineStr">
        <is>
          <t>출처</t>
        </is>
      </c>
    </row>
    <row r="47">
      <c r="A47" s="54" t="inlineStr">
        <is>
          <t>영업외수익</t>
        </is>
      </c>
      <c r="B47" s="55" t="n">
        <v>1.57</v>
      </c>
      <c r="N47" s="56" t="inlineStr">
        <is>
          <t>2단계 보고서 자료(회사 설명회 자료·공시)</t>
        </is>
      </c>
    </row>
    <row r="48">
      <c r="A48" s="54" t="inlineStr">
        <is>
          <t>이자수익</t>
        </is>
      </c>
      <c r="B48" s="55" t="n">
        <v>0.51</v>
      </c>
    </row>
    <row r="49">
      <c r="A49" s="54" t="inlineStr">
        <is>
          <t>배당수익</t>
        </is>
      </c>
      <c r="B49" s="55" t="n">
        <v>0.93</v>
      </c>
    </row>
    <row r="50">
      <c r="A50" s="54" t="inlineStr">
        <is>
          <t>기타수익</t>
        </is>
      </c>
      <c r="B50" s="55" t="n">
        <v>0.13</v>
      </c>
    </row>
    <row r="51">
      <c r="A51" s="54" t="inlineStr">
        <is>
          <t>영업외비용</t>
        </is>
      </c>
      <c r="B51" s="55" t="n">
        <v>0.16</v>
      </c>
    </row>
    <row r="52">
      <c r="A52" s="54" t="inlineStr">
        <is>
          <t>이자비용</t>
        </is>
      </c>
      <c r="B52" s="55" t="n">
        <v>0.02</v>
      </c>
    </row>
    <row r="53">
      <c r="A53" s="54" t="inlineStr">
        <is>
          <t>환차손</t>
        </is>
      </c>
      <c r="B53" s="55" t="n">
        <v>0.06</v>
      </c>
    </row>
    <row r="54">
      <c r="A54" s="54" t="inlineStr">
        <is>
          <t>해결금</t>
        </is>
      </c>
      <c r="B54" s="55" t="n">
        <v>0.04</v>
      </c>
    </row>
    <row r="55">
      <c r="A55" s="54" t="inlineStr">
        <is>
          <t>기타비용</t>
        </is>
      </c>
      <c r="B55" s="55" t="n">
        <v>0.04</v>
      </c>
    </row>
    <row r="56">
      <c r="A56" s="54" t="inlineStr">
        <is>
          <t>경상이익</t>
        </is>
      </c>
      <c r="B56" s="55" t="n">
        <v>9.1</v>
      </c>
    </row>
    <row r="57">
      <c r="A57" s="54" t="inlineStr">
        <is>
          <t>특별이익</t>
        </is>
      </c>
      <c r="B57" s="55" t="n">
        <v>0</v>
      </c>
    </row>
    <row r="58">
      <c r="A58" s="54" t="inlineStr">
        <is>
          <t>특별손실</t>
        </is>
      </c>
      <c r="B58" s="55" t="n">
        <v>0.2</v>
      </c>
    </row>
    <row r="59">
      <c r="A59" s="54" t="inlineStr">
        <is>
          <t>고정자산 매각·제각손</t>
        </is>
      </c>
      <c r="B59" s="55" t="n">
        <v>0.2</v>
      </c>
    </row>
    <row r="60">
      <c r="A60" s="54" t="inlineStr">
        <is>
          <t>세전이익</t>
        </is>
      </c>
      <c r="B60" s="55" t="n">
        <v>8.9</v>
      </c>
    </row>
    <row r="61">
      <c r="A61" s="54" t="inlineStr">
        <is>
          <t>법인세 등</t>
        </is>
      </c>
      <c r="B61" s="55" t="n">
        <v>2.68</v>
      </c>
    </row>
    <row r="62">
      <c r="A62" s="54" t="inlineStr">
        <is>
          <t>비지배지분 이익</t>
        </is>
      </c>
      <c r="B62" s="55" t="n">
        <v>0.33</v>
      </c>
    </row>
    <row r="64">
      <c r="A64" s="52" t="inlineStr">
        <is>
          <t>this filing · nonop 상반기 ly</t>
        </is>
      </c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</row>
    <row r="65">
      <c r="A65" s="53" t="inlineStr">
        <is>
          <t>항목</t>
        </is>
      </c>
      <c r="B65" s="53" t="inlineStr">
        <is>
          <t>값</t>
        </is>
      </c>
      <c r="N65" s="53" t="inlineStr">
        <is>
          <t>출처</t>
        </is>
      </c>
    </row>
    <row r="66">
      <c r="A66" s="54" t="inlineStr">
        <is>
          <t>영업외수익</t>
        </is>
      </c>
      <c r="B66" s="55" t="n">
        <v>1.32</v>
      </c>
      <c r="N66" s="56" t="inlineStr">
        <is>
          <t>2단계 보고서 자료(회사 설명회 자료·공시)</t>
        </is>
      </c>
    </row>
    <row r="67">
      <c r="A67" s="54" t="inlineStr">
        <is>
          <t>영업외비용</t>
        </is>
      </c>
      <c r="B67" s="55" t="n">
        <v>0.12</v>
      </c>
    </row>
    <row r="68">
      <c r="A68" s="54" t="inlineStr">
        <is>
          <t>경상이익</t>
        </is>
      </c>
      <c r="B68" s="55" t="n">
        <v>5.81</v>
      </c>
    </row>
    <row r="69">
      <c r="A69" s="54" t="inlineStr">
        <is>
          <t>특별이익</t>
        </is>
      </c>
      <c r="B69" s="55" t="n">
        <v>1.83</v>
      </c>
    </row>
    <row r="70">
      <c r="A70" s="54" t="inlineStr">
        <is>
          <t>투자유가증권 매각익</t>
        </is>
      </c>
      <c r="B70" s="55" t="n">
        <v>1.83</v>
      </c>
    </row>
    <row r="71">
      <c r="A71" s="54" t="inlineStr">
        <is>
          <t>특별손실</t>
        </is>
      </c>
      <c r="B71" s="55" t="n">
        <v>0.49</v>
      </c>
    </row>
    <row r="72">
      <c r="A72" s="54" t="inlineStr">
        <is>
          <t>세전이익</t>
        </is>
      </c>
      <c r="B72" s="55" t="n">
        <v>7.16</v>
      </c>
    </row>
    <row r="73">
      <c r="A73" s="54" t="inlineStr">
        <is>
          <t>법인세 등</t>
        </is>
      </c>
      <c r="B73" s="55" t="n">
        <v>2.68</v>
      </c>
    </row>
    <row r="75">
      <c r="A75" s="52" t="inlineStr">
        <is>
          <t>this filing · nonop 1Q</t>
        </is>
      </c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</row>
    <row r="76">
      <c r="A76" s="53" t="inlineStr">
        <is>
          <t>항목</t>
        </is>
      </c>
      <c r="B76" s="53" t="inlineStr">
        <is>
          <t>값</t>
        </is>
      </c>
      <c r="N76" s="53" t="inlineStr">
        <is>
          <t>출처</t>
        </is>
      </c>
    </row>
    <row r="77">
      <c r="A77" s="54" t="inlineStr">
        <is>
          <t>영업외비용</t>
        </is>
      </c>
      <c r="B77" s="55" t="n">
        <v>0.08</v>
      </c>
      <c r="N77" s="56" t="inlineStr">
        <is>
          <t>2단계 보고서 자료(회사 설명회 자료·공시)</t>
        </is>
      </c>
    </row>
    <row r="78">
      <c r="A78" s="54" t="inlineStr">
        <is>
          <t>경상이익</t>
        </is>
      </c>
      <c r="B78" s="55" t="n">
        <v>4.64</v>
      </c>
    </row>
    <row r="79">
      <c r="A79" s="54" t="inlineStr">
        <is>
          <t>특별손실</t>
        </is>
      </c>
      <c r="B79" s="55" t="n">
        <v>0.09</v>
      </c>
    </row>
    <row r="80">
      <c r="A80" s="54" t="inlineStr">
        <is>
          <t>세전이익</t>
        </is>
      </c>
      <c r="B80" s="55" t="n">
        <v>4.55</v>
      </c>
    </row>
    <row r="81">
      <c r="A81" s="54" t="inlineStr">
        <is>
          <t>법인세 등</t>
        </is>
      </c>
      <c r="B81" s="55" t="n">
        <v>1.55</v>
      </c>
    </row>
    <row r="82">
      <c r="A82" s="54" t="inlineStr">
        <is>
          <t>환차익</t>
        </is>
      </c>
      <c r="B82" s="55" t="n">
        <v>0.47</v>
      </c>
    </row>
    <row r="83">
      <c r="A83" s="54" t="inlineStr">
        <is>
          <t>전년1Q 환차손</t>
        </is>
      </c>
      <c r="B83" s="55" t="n">
        <v>0.33</v>
      </c>
    </row>
    <row r="84">
      <c r="A84" s="54" t="inlineStr">
        <is>
          <t>전년1Q 투자유가증권 매각익</t>
        </is>
      </c>
      <c r="B84" s="55" t="n">
        <v>0.89</v>
      </c>
    </row>
    <row r="86">
      <c r="A86" s="52" t="inlineStr">
        <is>
          <t>this filing · bs 상반기</t>
        </is>
      </c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</row>
    <row r="87">
      <c r="A87" s="53" t="inlineStr">
        <is>
          <t>항목</t>
        </is>
      </c>
      <c r="B87" s="53" t="inlineStr">
        <is>
          <t>값</t>
        </is>
      </c>
      <c r="N87" s="53" t="inlineStr">
        <is>
          <t>출처</t>
        </is>
      </c>
    </row>
    <row r="88">
      <c r="A88" s="54" t="inlineStr">
        <is>
          <t>총자산</t>
        </is>
      </c>
      <c r="B88" s="55" t="n">
        <v>269</v>
      </c>
      <c r="N88" s="56" t="inlineStr">
        <is>
          <t>2단계 보고서 자료(회사 설명회 자료·공시)</t>
        </is>
      </c>
    </row>
    <row r="89">
      <c r="A89" s="54" t="inlineStr">
        <is>
          <t>순자산</t>
        </is>
      </c>
      <c r="B89" s="55" t="n">
        <v>235.6</v>
      </c>
    </row>
    <row r="90">
      <c r="A90" s="54" t="inlineStr">
        <is>
          <t>자기자본</t>
        </is>
      </c>
      <c r="B90" s="55" t="n">
        <v>226.3</v>
      </c>
    </row>
    <row r="91">
      <c r="A91" s="54" t="inlineStr">
        <is>
          <t>자기자본비율</t>
        </is>
      </c>
      <c r="B91" s="55" t="n">
        <v>84.09999999999999</v>
      </c>
    </row>
    <row r="92">
      <c r="A92" s="54" t="inlineStr">
        <is>
          <t>현금예금</t>
        </is>
      </c>
      <c r="B92" s="55" t="n">
        <v>83.7</v>
      </c>
    </row>
    <row r="93">
      <c r="A93" s="54" t="inlineStr">
        <is>
          <t>원재료·저장품</t>
        </is>
      </c>
      <c r="B93" s="55" t="n">
        <v>24.7</v>
      </c>
    </row>
    <row r="94">
      <c r="A94" s="54" t="inlineStr">
        <is>
          <t>원재료·저장품_전기말</t>
        </is>
      </c>
      <c r="B94" s="55" t="n">
        <v>16.7</v>
      </c>
    </row>
    <row r="95">
      <c r="A95" s="54" t="inlineStr">
        <is>
          <t>유형자산</t>
        </is>
      </c>
      <c r="B95" s="55" t="n">
        <v>62.2</v>
      </c>
    </row>
    <row r="97">
      <c r="A97" s="52" t="inlineStr">
        <is>
          <t>가이던스 path · 하반기 implied</t>
        </is>
      </c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</row>
    <row r="98">
      <c r="A98" s="53" t="inlineStr">
        <is>
          <t>항목</t>
        </is>
      </c>
      <c r="B98" s="53" t="inlineStr">
        <is>
          <t>값</t>
        </is>
      </c>
      <c r="N98" s="53" t="inlineStr">
        <is>
          <t>출처</t>
        </is>
      </c>
    </row>
    <row r="99">
      <c r="A99" s="54" t="inlineStr">
        <is>
          <t>매출</t>
        </is>
      </c>
      <c r="B99" s="55" t="n">
        <v>93.97</v>
      </c>
      <c r="N99" s="56" t="inlineStr">
        <is>
          <t>2단계 보고서 자료(회사 설명회 자료·공시)</t>
        </is>
      </c>
    </row>
    <row r="100">
      <c r="A100" s="54" t="inlineStr">
        <is>
          <t>매출 ly</t>
        </is>
      </c>
      <c r="B100" s="55" t="n">
        <v>93.62</v>
      </c>
    </row>
    <row r="101">
      <c r="A101" s="54" t="inlineStr">
        <is>
          <t>영업이익</t>
        </is>
      </c>
      <c r="B101" s="55" t="n">
        <v>11.31</v>
      </c>
    </row>
    <row r="102">
      <c r="A102" s="54" t="inlineStr">
        <is>
          <t>영업이익 ly</t>
        </is>
      </c>
      <c r="B102" s="55" t="n">
        <v>11.41</v>
      </c>
    </row>
    <row r="103">
      <c r="A103" s="54" t="inlineStr">
        <is>
          <t>순이익</t>
        </is>
      </c>
      <c r="B103" s="55" t="n">
        <v>8.609999999999999</v>
      </c>
    </row>
    <row r="104">
      <c r="A104" s="54" t="inlineStr">
        <is>
          <t>순이익 ly</t>
        </is>
      </c>
      <c r="B104" s="55" t="n">
        <v>9.199999999999999</v>
      </c>
    </row>
    <row r="106">
      <c r="A106" s="52" t="inlineStr">
        <is>
          <t>bs annual</t>
        </is>
      </c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</row>
    <row r="107">
      <c r="A107" s="53" t="inlineStr">
        <is>
          <t>항목</t>
        </is>
      </c>
      <c r="B107" s="53" t="inlineStr">
        <is>
          <t>2022</t>
        </is>
      </c>
      <c r="C107" s="53" t="inlineStr">
        <is>
          <t>2023</t>
        </is>
      </c>
      <c r="D107" s="53" t="inlineStr">
        <is>
          <t>2024</t>
        </is>
      </c>
      <c r="E107" s="53" t="inlineStr">
        <is>
          <t>2025</t>
        </is>
      </c>
      <c r="F107" s="53" t="inlineStr">
        <is>
          <t>2026</t>
        </is>
      </c>
      <c r="N107" s="53" t="inlineStr">
        <is>
          <t>출처</t>
        </is>
      </c>
    </row>
    <row r="108">
      <c r="A108" s="54" t="inlineStr">
        <is>
          <t>labels</t>
        </is>
      </c>
      <c r="B108" s="57" t="n">
        <v>2022</v>
      </c>
      <c r="C108" s="57" t="n">
        <v>2023</v>
      </c>
      <c r="D108" s="57" t="n">
        <v>2024</v>
      </c>
      <c r="E108" s="57" t="n">
        <v>2025</v>
      </c>
      <c r="F108" s="57" t="n">
        <v>2026</v>
      </c>
      <c r="N108" s="56" t="inlineStr">
        <is>
          <t>2단계 보고서 자료(회사 설명회 자료·공시)</t>
        </is>
      </c>
    </row>
    <row r="109">
      <c r="A109" s="54" t="inlineStr">
        <is>
          <t>current assets</t>
        </is>
      </c>
      <c r="B109" s="55" t="n">
        <v>167.8</v>
      </c>
      <c r="C109" s="55" t="n">
        <v>164.1</v>
      </c>
      <c r="D109" s="55" t="n">
        <v>168.2</v>
      </c>
      <c r="E109" s="55" t="n">
        <v>174</v>
      </c>
      <c r="F109" s="55" t="n">
        <v>190.3</v>
      </c>
    </row>
    <row r="110">
      <c r="A110" s="54" t="inlineStr">
        <is>
          <t>cash</t>
        </is>
      </c>
      <c r="B110" s="55" t="n">
        <v>80.7</v>
      </c>
      <c r="C110" s="55" t="n">
        <v>75.40000000000001</v>
      </c>
      <c r="D110" s="55" t="n">
        <v>86.40000000000001</v>
      </c>
      <c r="E110" s="55" t="n">
        <v>83</v>
      </c>
      <c r="F110" s="55" t="n">
        <v>95.7</v>
      </c>
    </row>
    <row r="111">
      <c r="A111" s="54" t="inlineStr">
        <is>
          <t>st fin</t>
        </is>
      </c>
      <c r="B111" s="55" t="n">
        <v>20</v>
      </c>
      <c r="C111" s="55" t="n">
        <v>7.5</v>
      </c>
      <c r="D111" s="55" t="n">
        <v>0</v>
      </c>
      <c r="E111" s="58" t="n"/>
      <c r="F111" s="55" t="n">
        <v>4.8</v>
      </c>
    </row>
    <row r="112">
      <c r="A112" s="54" t="inlineStr">
        <is>
          <t>receivables</t>
        </is>
      </c>
      <c r="B112" s="55" t="n">
        <v>25.7</v>
      </c>
      <c r="C112" s="55" t="n">
        <v>24.7</v>
      </c>
      <c r="D112" s="55" t="n">
        <v>25.3</v>
      </c>
      <c r="E112" s="58" t="n"/>
      <c r="F112" s="55" t="n">
        <v>27.6</v>
      </c>
    </row>
    <row r="113">
      <c r="A113" s="54" t="inlineStr">
        <is>
          <t>inventory</t>
        </is>
      </c>
      <c r="B113" s="55" t="n">
        <v>21.8</v>
      </c>
      <c r="C113" s="55" t="n">
        <v>34.3</v>
      </c>
      <c r="D113" s="55" t="n">
        <v>36.3</v>
      </c>
      <c r="E113" s="58" t="n"/>
      <c r="F113" s="55" t="n">
        <v>29.2</v>
      </c>
    </row>
    <row r="114">
      <c r="A114" s="54" t="inlineStr">
        <is>
          <t>noncurrent assets</t>
        </is>
      </c>
      <c r="B114" s="55" t="n">
        <v>80.7</v>
      </c>
      <c r="C114" s="55" t="n">
        <v>81.5</v>
      </c>
      <c r="D114" s="55" t="n">
        <v>84.09999999999999</v>
      </c>
      <c r="E114" s="55" t="n">
        <v>84.40000000000001</v>
      </c>
      <c r="F114" s="55" t="n">
        <v>78.2</v>
      </c>
    </row>
    <row r="115">
      <c r="A115" s="54" t="inlineStr">
        <is>
          <t>ppe</t>
        </is>
      </c>
      <c r="B115" s="55" t="n">
        <v>58.6</v>
      </c>
      <c r="C115" s="55" t="n">
        <v>58.5</v>
      </c>
      <c r="D115" s="55" t="n">
        <v>57.6</v>
      </c>
      <c r="E115" s="55" t="n">
        <v>54.7</v>
      </c>
      <c r="F115" s="55" t="n">
        <v>58.4</v>
      </c>
    </row>
    <row r="116">
      <c r="A116" s="54" t="inlineStr">
        <is>
          <t>intangibles</t>
        </is>
      </c>
      <c r="B116" s="55" t="n">
        <v>0.8</v>
      </c>
      <c r="C116" s="55" t="n">
        <v>0.8</v>
      </c>
      <c r="D116" s="55" t="n">
        <v>2.6</v>
      </c>
      <c r="E116" s="58" t="n"/>
      <c r="F116" s="55" t="n">
        <v>6.3</v>
      </c>
    </row>
    <row r="117">
      <c r="A117" s="54" t="inlineStr">
        <is>
          <t>inv property</t>
        </is>
      </c>
      <c r="B117" s="58" t="n"/>
      <c r="C117" s="58" t="n"/>
      <c r="D117" s="58" t="n"/>
      <c r="E117" s="58" t="n"/>
      <c r="F117" s="58" t="n"/>
    </row>
    <row r="118">
      <c r="A118" s="54" t="inlineStr">
        <is>
          <t>합계 assets</t>
        </is>
      </c>
      <c r="B118" s="55" t="n">
        <v>248.5</v>
      </c>
      <c r="C118" s="55" t="n">
        <v>245.6</v>
      </c>
      <c r="D118" s="55" t="n">
        <v>252.3</v>
      </c>
      <c r="E118" s="55" t="n">
        <v>258.4</v>
      </c>
      <c r="F118" s="55" t="n">
        <v>268.4</v>
      </c>
    </row>
    <row r="119">
      <c r="A119" s="54" t="inlineStr">
        <is>
          <t>current liab</t>
        </is>
      </c>
      <c r="B119" s="55" t="n">
        <v>20.4</v>
      </c>
      <c r="C119" s="55" t="n">
        <v>20.5</v>
      </c>
      <c r="D119" s="55" t="n">
        <v>21.2</v>
      </c>
      <c r="E119" s="58" t="n"/>
      <c r="F119" s="55" t="n">
        <v>24.7</v>
      </c>
    </row>
    <row r="120">
      <c r="A120" s="54" t="inlineStr">
        <is>
          <t>payables</t>
        </is>
      </c>
      <c r="B120" s="55" t="n">
        <v>6.8</v>
      </c>
      <c r="C120" s="55" t="n">
        <v>8.9</v>
      </c>
      <c r="D120" s="55" t="n">
        <v>7.6</v>
      </c>
      <c r="E120" s="58" t="n"/>
      <c r="F120" s="55" t="n">
        <v>8.6</v>
      </c>
    </row>
    <row r="121">
      <c r="A121" s="54" t="inlineStr">
        <is>
          <t>st debt</t>
        </is>
      </c>
      <c r="B121" s="58" t="n"/>
      <c r="C121" s="58" t="n"/>
      <c r="D121" s="58" t="n"/>
      <c r="E121" s="58" t="n"/>
      <c r="F121" s="58" t="n"/>
    </row>
    <row r="122">
      <c r="A122" s="54" t="inlineStr">
        <is>
          <t>noncurrent liab</t>
        </is>
      </c>
      <c r="B122" s="55" t="n">
        <v>18.3</v>
      </c>
      <c r="C122" s="55" t="n">
        <v>11.6</v>
      </c>
      <c r="D122" s="55" t="n">
        <v>12.4</v>
      </c>
      <c r="E122" s="58" t="n"/>
      <c r="F122" s="55" t="n">
        <v>12.4</v>
      </c>
    </row>
    <row r="123">
      <c r="A123" s="54" t="inlineStr">
        <is>
          <t>lt debt</t>
        </is>
      </c>
      <c r="B123" s="55" t="n">
        <v>8.199999999999999</v>
      </c>
      <c r="C123" s="55" t="n">
        <v>0</v>
      </c>
      <c r="D123" s="58" t="n"/>
      <c r="E123" s="58" t="n"/>
      <c r="F123" s="58" t="n"/>
    </row>
    <row r="124">
      <c r="A124" s="54" t="inlineStr">
        <is>
          <t>bonds</t>
        </is>
      </c>
      <c r="B124" s="58" t="n"/>
      <c r="C124" s="58" t="n"/>
      <c r="D124" s="58" t="n"/>
      <c r="E124" s="58" t="n"/>
      <c r="F124" s="58" t="n"/>
    </row>
    <row r="125">
      <c r="A125" s="54" t="inlineStr">
        <is>
          <t>합계 liab</t>
        </is>
      </c>
      <c r="B125" s="55" t="n">
        <v>38.7</v>
      </c>
      <c r="C125" s="55" t="n">
        <v>32.1</v>
      </c>
      <c r="D125" s="55" t="n">
        <v>33.6</v>
      </c>
      <c r="E125" s="58" t="n"/>
      <c r="F125" s="55" t="n">
        <v>37</v>
      </c>
    </row>
    <row r="126">
      <c r="A126" s="54" t="inlineStr">
        <is>
          <t>capital stock</t>
        </is>
      </c>
      <c r="B126" s="55" t="n">
        <v>16.2</v>
      </c>
      <c r="C126" s="55" t="n">
        <v>16.2</v>
      </c>
      <c r="D126" s="55" t="n">
        <v>16.2</v>
      </c>
      <c r="E126" s="55" t="n">
        <v>16.2</v>
      </c>
      <c r="F126" s="55" t="n">
        <v>16.2</v>
      </c>
    </row>
    <row r="127">
      <c r="A127" s="54" t="inlineStr">
        <is>
          <t>retained</t>
        </is>
      </c>
      <c r="B127" s="55" t="n">
        <v>161.8</v>
      </c>
      <c r="C127" s="55" t="n">
        <v>166.4</v>
      </c>
      <c r="D127" s="55" t="n">
        <v>169.9</v>
      </c>
      <c r="E127" s="58" t="n"/>
      <c r="F127" s="55" t="n">
        <v>184.3</v>
      </c>
    </row>
    <row r="128">
      <c r="A128" s="54" t="inlineStr">
        <is>
          <t>nci</t>
        </is>
      </c>
      <c r="B128" s="55" t="n">
        <v>4.7</v>
      </c>
      <c r="C128" s="55" t="n">
        <v>5.9</v>
      </c>
      <c r="D128" s="55" t="n">
        <v>6.7</v>
      </c>
      <c r="E128" s="58" t="n"/>
      <c r="F128" s="55" t="n">
        <v>8.699999999999999</v>
      </c>
    </row>
    <row r="129">
      <c r="A129" s="54" t="inlineStr">
        <is>
          <t>합계 equity</t>
        </is>
      </c>
      <c r="B129" s="55" t="n">
        <v>209.8</v>
      </c>
      <c r="C129" s="55" t="n">
        <v>213.5</v>
      </c>
      <c r="D129" s="55" t="n">
        <v>218.7</v>
      </c>
      <c r="E129" s="55" t="n">
        <v>223.5</v>
      </c>
      <c r="F129" s="55" t="n">
        <v>231.4</v>
      </c>
    </row>
    <row r="130">
      <c r="A130" s="54" t="inlineStr">
        <is>
          <t>current ltd</t>
        </is>
      </c>
      <c r="B130" s="55" t="n">
        <v>1</v>
      </c>
      <c r="C130" s="55" t="n">
        <v>0</v>
      </c>
      <c r="D130" s="58" t="n"/>
      <c r="E130" s="58" t="n"/>
      <c r="F130" s="58" t="n"/>
    </row>
    <row r="131">
      <c r="A131" s="54" t="inlineStr">
        <is>
          <t>equity owner</t>
        </is>
      </c>
      <c r="B131" s="55" t="n">
        <v>205.1</v>
      </c>
      <c r="C131" s="55" t="n">
        <v>207.6</v>
      </c>
      <c r="D131" s="55" t="n">
        <v>212</v>
      </c>
      <c r="E131" s="58" t="n"/>
      <c r="F131" s="55" t="n">
        <v>222.7</v>
      </c>
    </row>
    <row r="133">
      <c r="A133" s="52" t="inlineStr">
        <is>
          <t>cf annual</t>
        </is>
      </c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</row>
    <row r="134">
      <c r="A134" s="53" t="inlineStr">
        <is>
          <t>항목</t>
        </is>
      </c>
      <c r="B134" s="53" t="inlineStr">
        <is>
          <t>2022</t>
        </is>
      </c>
      <c r="C134" s="53" t="inlineStr">
        <is>
          <t>2023</t>
        </is>
      </c>
      <c r="D134" s="53" t="inlineStr">
        <is>
          <t>2024</t>
        </is>
      </c>
      <c r="E134" s="53" t="inlineStr">
        <is>
          <t>2025</t>
        </is>
      </c>
      <c r="F134" s="53" t="inlineStr">
        <is>
          <t>2026</t>
        </is>
      </c>
      <c r="N134" s="53" t="inlineStr">
        <is>
          <t>출처</t>
        </is>
      </c>
    </row>
    <row r="135">
      <c r="A135" s="54" t="inlineStr">
        <is>
          <t>labels</t>
        </is>
      </c>
      <c r="B135" s="57" t="n">
        <v>2022</v>
      </c>
      <c r="C135" s="57" t="n">
        <v>2023</v>
      </c>
      <c r="D135" s="57" t="n">
        <v>2024</v>
      </c>
      <c r="E135" s="57" t="n">
        <v>2025</v>
      </c>
      <c r="F135" s="57" t="n">
        <v>2026</v>
      </c>
      <c r="N135" s="56" t="inlineStr">
        <is>
          <t>2단계 보고서 자료(회사 설명회 자료·공시)</t>
        </is>
      </c>
    </row>
    <row r="136">
      <c r="A136" s="54" t="inlineStr">
        <is>
          <t>ocf</t>
        </is>
      </c>
      <c r="B136" s="55" t="n">
        <v>11.8</v>
      </c>
      <c r="C136" s="55" t="n">
        <v>2.3</v>
      </c>
      <c r="D136" s="55" t="n">
        <v>19.2</v>
      </c>
      <c r="E136" s="55" t="n">
        <v>10.2</v>
      </c>
      <c r="F136" s="55" t="n">
        <v>43.3</v>
      </c>
    </row>
    <row r="137">
      <c r="A137" s="54" t="inlineStr">
        <is>
          <t>설비투자</t>
        </is>
      </c>
      <c r="B137" s="55" t="n">
        <v>6.9</v>
      </c>
      <c r="C137" s="55" t="n">
        <v>7.6</v>
      </c>
      <c r="D137" s="55" t="n">
        <v>10</v>
      </c>
      <c r="E137" s="55" t="n">
        <v>10.6</v>
      </c>
      <c r="F137" s="55" t="n">
        <v>12.1</v>
      </c>
    </row>
    <row r="138">
      <c r="A138" s="54" t="inlineStr">
        <is>
          <t>dividends</t>
        </is>
      </c>
      <c r="B138" s="55" t="n">
        <v>3.9</v>
      </c>
      <c r="C138" s="55" t="n">
        <v>3.9</v>
      </c>
      <c r="D138" s="55" t="n">
        <v>6.9</v>
      </c>
      <c r="E138" s="55" t="n">
        <v>4.9</v>
      </c>
      <c r="F138" s="55" t="n">
        <v>4.9</v>
      </c>
    </row>
    <row r="140">
      <c r="A140" s="52" t="inlineStr">
        <is>
          <t>부문별 annual ext 매출</t>
        </is>
      </c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</row>
    <row r="141">
      <c r="A141" s="53" t="inlineStr">
        <is>
          <t>항목</t>
        </is>
      </c>
      <c r="B141" s="53" t="inlineStr">
        <is>
          <t>2024</t>
        </is>
      </c>
      <c r="C141" s="53" t="inlineStr">
        <is>
          <t>2025</t>
        </is>
      </c>
      <c r="D141" s="53" t="inlineStr">
        <is>
          <t>2026</t>
        </is>
      </c>
      <c r="N141" s="53" t="inlineStr">
        <is>
          <t>출처</t>
        </is>
      </c>
    </row>
    <row r="142">
      <c r="A142" s="54" t="inlineStr">
        <is>
          <t>labels</t>
        </is>
      </c>
      <c r="B142" s="57" t="n">
        <v>2024</v>
      </c>
      <c r="C142" s="57" t="n">
        <v>2025</v>
      </c>
      <c r="D142" s="57" t="n">
        <v>2026</v>
      </c>
      <c r="N142" s="56" t="inlineStr">
        <is>
          <t>FY3/2024 당시 공시는 벤토나이트 / 클레이사이언스(파인케미컬·애그리비즈니스·라이프사이언스) 구분이었음 — 위 3부문 숫자는 이후 공시의 재분류 값(prep). 부문 이익 연간은 결산단신 세그먼트 주석으로 확인.</t>
        </is>
      </c>
    </row>
    <row r="143">
      <c r="A143" s="54" t="inlineStr">
        <is>
          <t>벤토나이트</t>
        </is>
      </c>
      <c r="B143" s="55" t="n">
        <v>113.3</v>
      </c>
      <c r="C143" s="55" t="n">
        <v>110.9</v>
      </c>
      <c r="D143" s="55" t="n">
        <v>118.4</v>
      </c>
    </row>
    <row r="144">
      <c r="A144" s="54" t="inlineStr">
        <is>
          <t>클레이사이언스</t>
        </is>
      </c>
      <c r="B144" s="55" t="n">
        <v>16.4</v>
      </c>
      <c r="C144" s="55" t="n">
        <v>18.1</v>
      </c>
      <c r="D144" s="55" t="n">
        <v>17.9</v>
      </c>
    </row>
    <row r="145">
      <c r="A145" s="54" t="inlineStr">
        <is>
          <t>애그리</t>
        </is>
      </c>
      <c r="B145" s="55" t="n">
        <v>27</v>
      </c>
      <c r="C145" s="55" t="n">
        <v>28</v>
      </c>
      <c r="D145" s="55" t="n">
        <v>34.4</v>
      </c>
    </row>
    <row r="147">
      <c r="A147" s="52" t="inlineStr">
        <is>
          <t>부문별 quarterly ext 매출</t>
        </is>
      </c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</row>
    <row r="148">
      <c r="A148" s="53" t="inlineStr">
        <is>
          <t>항목</t>
        </is>
      </c>
      <c r="B148" s="53" t="inlineStr">
        <is>
          <t>2024.3Q</t>
        </is>
      </c>
      <c r="C148" s="53" t="inlineStr">
        <is>
          <t>2024.4Q</t>
        </is>
      </c>
      <c r="D148" s="53" t="inlineStr">
        <is>
          <t>2025.1Q</t>
        </is>
      </c>
      <c r="E148" s="53" t="inlineStr">
        <is>
          <t>2025.2Q</t>
        </is>
      </c>
      <c r="F148" s="53" t="inlineStr">
        <is>
          <t>2025.3Q</t>
        </is>
      </c>
      <c r="G148" s="53" t="inlineStr">
        <is>
          <t>2025.4Q</t>
        </is>
      </c>
      <c r="H148" s="53" t="inlineStr">
        <is>
          <t>2026.1Q</t>
        </is>
      </c>
      <c r="I148" s="53" t="inlineStr">
        <is>
          <t>2026.2Q</t>
        </is>
      </c>
      <c r="J148" s="53" t="inlineStr">
        <is>
          <t>2026.3Q</t>
        </is>
      </c>
      <c r="K148" s="53" t="inlineStr">
        <is>
          <t>2026.4Q</t>
        </is>
      </c>
      <c r="L148" s="53" t="inlineStr">
        <is>
          <t>2027.1Q</t>
        </is>
      </c>
      <c r="M148" s="53" t="inlineStr">
        <is>
          <t>2027.2Q</t>
        </is>
      </c>
      <c r="N148" s="53" t="inlineStr">
        <is>
          <t>출처</t>
        </is>
      </c>
    </row>
    <row r="149">
      <c r="A149" s="54" t="inlineStr">
        <is>
          <t>벤토나이트</t>
        </is>
      </c>
      <c r="B149" s="55" t="n">
        <v>29.7</v>
      </c>
      <c r="C149" s="55" t="n">
        <v>25.7</v>
      </c>
      <c r="D149" s="55" t="n">
        <v>27.5</v>
      </c>
      <c r="E149" s="55" t="n">
        <v>26.7</v>
      </c>
      <c r="F149" s="55" t="n">
        <v>28.5</v>
      </c>
      <c r="G149" s="55" t="n">
        <v>28.3</v>
      </c>
      <c r="H149" s="55" t="n">
        <v>28.1</v>
      </c>
      <c r="I149" s="55" t="n">
        <v>29.2</v>
      </c>
      <c r="J149" s="55" t="n">
        <v>31.2</v>
      </c>
      <c r="K149" s="55" t="n">
        <v>29.9</v>
      </c>
      <c r="L149" s="55" t="n">
        <v>30.8</v>
      </c>
      <c r="M149" s="55" t="n">
        <v>30</v>
      </c>
      <c r="N149" s="56" t="inlineStr">
        <is>
          <t>prep 값(누계 차분). 클레이사이언스 빈칸은 매출합계 − 나머지로 계산 가능(근사). 2026.2Q 4.6·2027.2Q 5.1은 결산단신 원문으로 계산.</t>
        </is>
      </c>
    </row>
    <row r="150">
      <c r="A150" s="54" t="inlineStr">
        <is>
          <t>애그리</t>
        </is>
      </c>
      <c r="B150" s="55" t="n">
        <v>9.1</v>
      </c>
      <c r="C150" s="55" t="n">
        <v>9.5</v>
      </c>
      <c r="D150" s="55" t="n">
        <v>4.1</v>
      </c>
      <c r="E150" s="55" t="n">
        <v>5.3</v>
      </c>
      <c r="F150" s="55" t="n">
        <v>8.5</v>
      </c>
      <c r="G150" s="55" t="n">
        <v>10.2</v>
      </c>
      <c r="H150" s="55" t="n">
        <v>4.9</v>
      </c>
      <c r="I150" s="55" t="n">
        <v>6.1</v>
      </c>
      <c r="J150" s="55" t="n">
        <v>11.1</v>
      </c>
      <c r="K150" s="55" t="n">
        <v>12.4</v>
      </c>
      <c r="L150" s="55" t="n">
        <v>6.1</v>
      </c>
      <c r="M150" s="55" t="n">
        <v>9.1</v>
      </c>
    </row>
    <row r="151">
      <c r="A151" s="54" t="inlineStr">
        <is>
          <t>클레이사이언스</t>
        </is>
      </c>
      <c r="B151" s="58" t="n"/>
      <c r="C151" s="55" t="n">
        <v>4.8</v>
      </c>
      <c r="D151" s="55" t="n">
        <v>5</v>
      </c>
      <c r="E151" s="58" t="n"/>
      <c r="F151" s="58" t="n"/>
      <c r="G151" s="55" t="n">
        <v>3.6</v>
      </c>
      <c r="H151" s="55" t="n">
        <v>4.2</v>
      </c>
      <c r="I151" s="55" t="n">
        <v>4.6</v>
      </c>
      <c r="J151" s="58" t="n"/>
      <c r="K151" s="55" t="n">
        <v>4.5</v>
      </c>
      <c r="L151" s="55" t="n">
        <v>4.9</v>
      </c>
      <c r="M151" s="55" t="n">
        <v>5.1</v>
      </c>
    </row>
    <row r="153">
      <c r="A153" s="52" t="inlineStr">
        <is>
          <t>reactions_발표다음날등락</t>
        </is>
      </c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</row>
    <row r="154">
      <c r="A154" s="53" t="inlineStr">
        <is>
          <t>항목</t>
        </is>
      </c>
      <c r="B154" s="53" t="inlineStr">
        <is>
          <t>기준일</t>
        </is>
      </c>
      <c r="C154" s="53" t="inlineStr">
        <is>
          <t>다음날</t>
        </is>
      </c>
      <c r="D154" s="53" t="inlineStr">
        <is>
          <t>등락%</t>
        </is>
      </c>
      <c r="N154" s="53" t="inlineStr">
        <is>
          <t>출처</t>
        </is>
      </c>
    </row>
    <row r="155">
      <c r="A155" s="54" t="inlineStr">
        <is>
          <t>2025-08-08</t>
        </is>
      </c>
      <c r="B155" s="58" t="inlineStr">
        <is>
          <t>2025-08-08</t>
        </is>
      </c>
      <c r="C155" s="58" t="inlineStr">
        <is>
          <t>2025-08-12</t>
        </is>
      </c>
      <c r="D155" s="55" t="n">
        <v>0.2</v>
      </c>
      <c r="N155" s="56" t="inlineStr">
        <is>
          <t>2단계 보고서 자료(회사 설명회 자료·공시)</t>
        </is>
      </c>
    </row>
    <row r="156">
      <c r="A156" s="54" t="inlineStr">
        <is>
          <t>2025-10-31</t>
        </is>
      </c>
      <c r="B156" s="58" t="inlineStr">
        <is>
          <t>2025-10-31</t>
        </is>
      </c>
      <c r="C156" s="58" t="inlineStr">
        <is>
          <t>2025-11-04</t>
        </is>
      </c>
      <c r="D156" s="55" t="n">
        <v>-1.9</v>
      </c>
    </row>
    <row r="157">
      <c r="A157" s="54" t="inlineStr">
        <is>
          <t>2026-01-30</t>
        </is>
      </c>
      <c r="B157" s="58" t="inlineStr">
        <is>
          <t>2026-01-30</t>
        </is>
      </c>
      <c r="C157" s="58" t="inlineStr">
        <is>
          <t>2026-02-02</t>
        </is>
      </c>
      <c r="D157" s="55" t="n">
        <v>0.6</v>
      </c>
    </row>
    <row r="158">
      <c r="A158" s="54" t="inlineStr">
        <is>
          <t>2026-02-06</t>
        </is>
      </c>
      <c r="B158" s="58" t="inlineStr">
        <is>
          <t>2026-02-06</t>
        </is>
      </c>
      <c r="C158" s="58" t="inlineStr">
        <is>
          <t>2026-02-09</t>
        </is>
      </c>
      <c r="D158" s="55" t="n">
        <v>1.9</v>
      </c>
    </row>
    <row r="159">
      <c r="A159" s="54" t="inlineStr">
        <is>
          <t>2026-05-08</t>
        </is>
      </c>
      <c r="B159" s="58" t="inlineStr">
        <is>
          <t>2026-05-08</t>
        </is>
      </c>
      <c r="C159" s="58" t="inlineStr">
        <is>
          <t>2026-05-11</t>
        </is>
      </c>
      <c r="D159" s="55" t="n">
        <v>-2.5</v>
      </c>
    </row>
    <row r="160">
      <c r="A160" s="54" t="inlineStr">
        <is>
          <t>2026-07-31</t>
        </is>
      </c>
      <c r="B160" s="58" t="inlineStr">
        <is>
          <t>2026-07-31</t>
        </is>
      </c>
      <c r="C160" s="58" t="inlineStr">
        <is>
          <t>2026-08-03</t>
        </is>
      </c>
      <c r="D160" s="55" t="n">
        <v>-0.8</v>
      </c>
    </row>
    <row r="161">
      <c r="A161" s="54" t="inlineStr">
        <is>
          <t>2026-08-07</t>
        </is>
      </c>
      <c r="B161" s="58" t="inlineStr">
        <is>
          <t>2026-08-07</t>
        </is>
      </c>
      <c r="C161" s="58" t="inlineStr">
        <is>
          <t>2026-08-10</t>
        </is>
      </c>
      <c r="D161" s="55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https://www2.jpx.co.jp/disc/53880/140120261029559553.pdf</t>
        </is>
      </c>
    </row>
    <row r="5">
      <c r="A5" t="inlineStr">
        <is>
          <t>2026-08-07</t>
        </is>
      </c>
      <c r="B5" t="inlineStr">
        <is>
          <t>2027년 3월 결산기 1분기 결산단신</t>
        </is>
      </c>
      <c r="C5" t="inlineStr">
        <is>
          <t>https://www2.jpx.co.jp/disc/53880/140120260806512504.pdf</t>
        </is>
      </c>
    </row>
    <row r="6">
      <c r="A6" t="inlineStr">
        <is>
          <t>2026-07-31</t>
        </is>
      </c>
      <c r="B6" t="inlineStr">
        <is>
          <t>2027년 3월 결산기 １분기 결산단신</t>
        </is>
      </c>
      <c r="C6" t="inlineStr">
        <is>
          <t>https://www2.jpx.co.jp/disc/53880/140120260730503292.pdf</t>
        </is>
      </c>
    </row>
    <row r="7">
      <c r="A7" t="inlineStr">
        <is>
          <t>2026-05-08</t>
        </is>
      </c>
      <c r="B7" t="inlineStr">
        <is>
          <t>2026년 3월 결산기 연간 결산단신</t>
        </is>
      </c>
      <c r="C7" t="inlineStr">
        <is>
          <t>https://www2.jpx.co.jp/disc/53880/140120260507517414.pdf</t>
        </is>
      </c>
    </row>
    <row r="8">
      <c r="A8" t="inlineStr">
        <is>
          <t>2026-02-06</t>
        </is>
      </c>
      <c r="B8" t="inlineStr">
        <is>
          <t>2026년 3월 결산기 3분기 결산단신</t>
        </is>
      </c>
      <c r="C8" t="inlineStr">
        <is>
          <t>https://www2.jpx.co.jp/disc/53880/140120260205548217.pdf</t>
        </is>
      </c>
    </row>
    <row r="9">
      <c r="A9" t="inlineStr">
        <is>
          <t>2026-01-30</t>
        </is>
      </c>
      <c r="B9" t="inlineStr">
        <is>
          <t>2026년 3월 결산기 3분기 결산단신</t>
        </is>
      </c>
      <c r="C9" t="inlineStr">
        <is>
          <t>https://www2.jpx.co.jp/disc/53880/140120260129541349.pdf</t>
        </is>
      </c>
    </row>
    <row r="10">
      <c r="A10" t="inlineStr">
        <is>
          <t>2025-10-31</t>
        </is>
      </c>
      <c r="B10" t="inlineStr">
        <is>
          <t>2026년 3월 결산기 2분기 결산단신</t>
        </is>
      </c>
      <c r="C10" t="inlineStr">
        <is>
          <t>https://www2.jpx.co.jp/disc/53880/140120251029581982.pdf</t>
        </is>
      </c>
    </row>
    <row r="11">
      <c r="A11" t="inlineStr">
        <is>
          <t>2025-08-08</t>
        </is>
      </c>
      <c r="B11" t="inlineStr">
        <is>
          <t>2026년 3월 결산기 1분기 결산단신</t>
        </is>
      </c>
      <c r="C11" t="inlineStr">
        <is>
          <t>https://www2.jpx.co.jp/disc/53880/140120250808535955.pdf</t>
        </is>
      </c>
    </row>
    <row r="12">
      <c r="A12" t="inlineStr">
        <is>
          <t>2025-07-31</t>
        </is>
      </c>
      <c r="B12" t="inlineStr">
        <is>
          <t>2026년 3월 결산기 1분기 결산단신</t>
        </is>
      </c>
      <c r="C12" t="inlineStr">
        <is>
          <t>https://www2.jpx.co.jp/disc/53880/140120250730523729.pdf</t>
        </is>
      </c>
    </row>
    <row r="13">
      <c r="A13" t="inlineStr">
        <is>
          <t>2025-05-09</t>
        </is>
      </c>
      <c r="B13" t="inlineStr">
        <is>
          <t>2025년 3월 결산기 연간 결산단신</t>
        </is>
      </c>
      <c r="C13" t="inlineStr">
        <is>
          <t>https://www2.jpx.co.jp/disc/53880/140120250507531472.pdf</t>
        </is>
      </c>
    </row>
    <row r="14">
      <c r="A14" t="inlineStr">
        <is>
          <t>2025-02-07</t>
        </is>
      </c>
      <c r="B14" t="inlineStr">
        <is>
          <t>2025년 3월 결산기 3분기 결산단신</t>
        </is>
      </c>
      <c r="C14" t="inlineStr">
        <is>
          <t>https://www2.jpx.co.jp/disc/53880/140120250206564747.pdf</t>
        </is>
      </c>
    </row>
    <row r="15">
      <c r="A15" t="inlineStr">
        <is>
          <t>2025-01-31</t>
        </is>
      </c>
      <c r="B15" t="inlineStr">
        <is>
          <t>2025년 3월 결산기 3분기 결산단신</t>
        </is>
      </c>
      <c r="C15" t="inlineStr">
        <is>
          <t>https://www2.jpx.co.jp/disc/53880/140120250130559005.pdf</t>
        </is>
      </c>
    </row>
    <row r="16">
      <c r="A16" t="inlineStr">
        <is>
          <t>2024-10-31</t>
        </is>
      </c>
      <c r="B16" t="inlineStr">
        <is>
          <t>2025년 3월 결산기 2분기 결산단신</t>
        </is>
      </c>
      <c r="C16" t="inlineStr">
        <is>
          <t>https://www2.jpx.co.jp/disc/53880/140120241030505764.pdf</t>
        </is>
      </c>
    </row>
    <row r="17">
      <c r="A17" t="inlineStr">
        <is>
          <t>2024-08-02</t>
        </is>
      </c>
      <c r="B17" t="inlineStr">
        <is>
          <t>2025년 3월 결산기 1분기 결산단신</t>
        </is>
      </c>
      <c r="C17" t="inlineStr">
        <is>
          <t>https://www2.jpx.co.jp/disc/53880/140120240802561427.pdf</t>
        </is>
      </c>
    </row>
    <row r="18">
      <c r="A18" t="inlineStr">
        <is>
          <t>2024-07-31</t>
        </is>
      </c>
      <c r="B18" t="inlineStr">
        <is>
          <t>2025년 3월 결산기 1분기 결산단신</t>
        </is>
      </c>
      <c r="C18" t="inlineStr">
        <is>
          <t>https://www2.jpx.co.jp/disc/53880/140120240730557278.pdf</t>
        </is>
      </c>
    </row>
    <row r="19">
      <c r="A19" t="inlineStr">
        <is>
          <t>2024-05-10</t>
        </is>
      </c>
      <c r="B19" t="inlineStr">
        <is>
          <t>2024년 3월 결산기 연간 결산단신</t>
        </is>
      </c>
      <c r="C19" t="inlineStr">
        <is>
          <t>https://www2.jpx.co.jp/disc/53880/140120240509586288.pdf</t>
        </is>
      </c>
    </row>
    <row r="20">
      <c r="A20" t="inlineStr">
        <is>
          <t>2023-05-12</t>
        </is>
      </c>
      <c r="B20" t="inlineStr">
        <is>
          <t>2023년 3월 결산기 연간 결산단신</t>
        </is>
      </c>
      <c r="C20" t="inlineStr">
        <is>
          <t>https://www2.jpx.co.jp/disc/53880/140120230511567314.pdf</t>
        </is>
      </c>
    </row>
    <row r="21">
      <c r="A21" t="inlineStr">
        <is>
          <t>2022-05-06</t>
        </is>
      </c>
      <c r="B21" t="inlineStr">
        <is>
          <t>2022년 3월 결산기 연간 결산단신</t>
        </is>
      </c>
      <c r="C21" t="inlineStr">
        <is>
          <t>https://www2.jpx.co.jp/disc/53880/140120220502532733.pdf</t>
        </is>
      </c>
    </row>
    <row r="22">
      <c r="A22" t="inlineStr">
        <is>
          <t>2021-05-07</t>
        </is>
      </c>
      <c r="B22" t="inlineStr">
        <is>
          <t>2021년 3월 결산기 연간 결산단신</t>
        </is>
      </c>
      <c r="C22" t="inlineStr">
        <is>
          <t>https://www2.jpx.co.jp/disc/53880/140120210426400306.pdf</t>
        </is>
      </c>
    </row>
    <row r="23">
      <c r="A23" t="inlineStr">
        <is>
          <t>2020-05-08</t>
        </is>
      </c>
      <c r="B23" t="inlineStr">
        <is>
          <t>2020년 3월 결산기 연간 결산단신</t>
        </is>
      </c>
      <c r="C23" t="inlineStr">
        <is>
          <t>https://www2.jpx.co.jp/disc/53880/140120200429402097.pdf</t>
        </is>
      </c>
    </row>
    <row r="24">
      <c r="A24" t="inlineStr">
        <is>
          <t>2019-05-10</t>
        </is>
      </c>
      <c r="B24" t="inlineStr">
        <is>
          <t>2019년 3월 결산기 연간 결산단신</t>
        </is>
      </c>
      <c r="C24" t="inlineStr">
        <is>
          <t>https://www2.jpx.co.jp/disc/53880/140120190425411811.pdf</t>
        </is>
      </c>
    </row>
    <row r="25">
      <c r="A25" t="inlineStr">
        <is>
          <t>2018-05-11</t>
        </is>
      </c>
      <c r="B25" t="inlineStr">
        <is>
          <t>연간 결산단신</t>
        </is>
      </c>
      <c r="C25" t="inlineStr">
        <is>
          <t>https://www2.jpx.co.jp/disc/53880/140120180409407538.pdf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5388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36건(2019-05-10~2026-10-30).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/>
      <c r="D5" s="65" t="n"/>
      <c r="E5" s="65" t="n"/>
      <c r="F5" s="65" t="n"/>
      <c r="G5" s="65" t="n"/>
      <c r="H5" s="65" t="n">
        <v>32.3</v>
      </c>
      <c r="I5" s="65" t="n">
        <v>31.7</v>
      </c>
      <c r="J5" s="65" t="n">
        <v>40.7</v>
      </c>
      <c r="K5" s="65" t="n">
        <v>30</v>
      </c>
      <c r="L5" s="65" t="n">
        <v>35.3</v>
      </c>
      <c r="M5" s="65" t="n">
        <v>36.5</v>
      </c>
      <c r="N5" s="65" t="n">
        <v>41.5</v>
      </c>
      <c r="O5" s="65" t="n">
        <v>41</v>
      </c>
      <c r="P5" s="65" t="n">
        <v>31.2</v>
      </c>
      <c r="Q5" s="65" t="n">
        <v>31.6</v>
      </c>
      <c r="R5" s="65" t="n">
        <v>43.1</v>
      </c>
      <c r="S5" s="65" t="n">
        <v>40</v>
      </c>
      <c r="T5" s="65" t="n">
        <v>35.8</v>
      </c>
      <c r="U5" s="65" t="n">
        <v>35.7</v>
      </c>
      <c r="V5" s="65" t="n">
        <v>41.6</v>
      </c>
      <c r="W5" s="65" t="n">
        <v>39.5</v>
      </c>
      <c r="X5" s="65" t="n">
        <v>33.1</v>
      </c>
      <c r="Y5" s="65" t="n">
        <v>37.2</v>
      </c>
      <c r="Z5" s="65" t="n">
        <v>43.3</v>
      </c>
      <c r="AA5" s="65" t="n">
        <v>28.1</v>
      </c>
      <c r="AB5" s="65" t="n">
        <v>36.7</v>
      </c>
      <c r="AC5" s="65" t="n">
        <v>37.3</v>
      </c>
      <c r="AD5" s="65" t="n">
        <v>42.7</v>
      </c>
      <c r="AE5" s="65" t="n">
        <v>28.3</v>
      </c>
      <c r="AF5" s="65" t="n">
        <v>36.5</v>
      </c>
      <c r="AG5" s="65" t="n">
        <v>37.1</v>
      </c>
      <c r="AH5" s="65" t="n">
        <v>41.3</v>
      </c>
      <c r="AI5" s="65" t="n">
        <v>42.1</v>
      </c>
      <c r="AJ5" s="65" t="n">
        <v>37.2</v>
      </c>
      <c r="AK5" s="65" t="n">
        <v>39.9</v>
      </c>
      <c r="AL5" s="65" t="n">
        <v>46.9</v>
      </c>
      <c r="AM5" s="65" t="n">
        <v>46.8</v>
      </c>
      <c r="AN5" s="65" t="n">
        <v>41.8</v>
      </c>
      <c r="AO5" s="65" t="n">
        <v>44.2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>
        <v>9.300000000000001</v>
      </c>
      <c r="M6" s="66" t="n">
        <v>15.1</v>
      </c>
      <c r="N6" s="66" t="n">
        <v>2</v>
      </c>
      <c r="O6" s="66" t="n">
        <v>36.7</v>
      </c>
      <c r="P6" s="66" t="n">
        <v>-11.6</v>
      </c>
      <c r="Q6" s="66" t="n">
        <v>-13.4</v>
      </c>
      <c r="R6" s="66" t="n">
        <v>3.9</v>
      </c>
      <c r="S6" s="66" t="n">
        <v>-2.4</v>
      </c>
      <c r="T6" s="66" t="n">
        <v>14.7</v>
      </c>
      <c r="U6" s="66" t="n">
        <v>13</v>
      </c>
      <c r="V6" s="66" t="n">
        <v>-3.5</v>
      </c>
      <c r="W6" s="66" t="n">
        <v>-1.2</v>
      </c>
      <c r="X6" s="66" t="n">
        <v>-7.5</v>
      </c>
      <c r="Y6" s="66" t="n">
        <v>4.2</v>
      </c>
      <c r="Z6" s="66" t="n">
        <v>4.1</v>
      </c>
      <c r="AA6" s="66" t="n">
        <v>-28.9</v>
      </c>
      <c r="AB6" s="66" t="n">
        <v>10.9</v>
      </c>
      <c r="AC6" s="66" t="n">
        <v>0.3</v>
      </c>
      <c r="AD6" s="66" t="n">
        <v>-1.4</v>
      </c>
      <c r="AE6" s="66" t="n">
        <v>0.7</v>
      </c>
      <c r="AF6" s="66" t="n">
        <v>-0.5</v>
      </c>
      <c r="AG6" s="66" t="n">
        <v>-0.5</v>
      </c>
      <c r="AH6" s="66" t="n">
        <v>-3.3</v>
      </c>
      <c r="AI6" s="66" t="n">
        <v>48.8</v>
      </c>
      <c r="AJ6" s="66" t="n">
        <v>1.9</v>
      </c>
      <c r="AK6" s="66" t="n">
        <v>7.5</v>
      </c>
      <c r="AL6" s="66" t="n">
        <v>13.6</v>
      </c>
      <c r="AM6" s="66" t="n">
        <v>11.2</v>
      </c>
      <c r="AN6" s="66" t="n">
        <v>12.4</v>
      </c>
      <c r="AO6" s="66" t="n">
        <v>10.8</v>
      </c>
    </row>
    <row r="7">
      <c r="A7" s="64" t="inlineStr">
        <is>
          <t>영업이익</t>
        </is>
      </c>
      <c r="B7" s="65" t="n"/>
      <c r="C7" s="65" t="n"/>
      <c r="D7" s="65" t="n"/>
      <c r="E7" s="65" t="n"/>
      <c r="F7" s="65" t="n"/>
      <c r="G7" s="65" t="n"/>
      <c r="H7" s="65" t="n">
        <v>2.5</v>
      </c>
      <c r="I7" s="65" t="n">
        <v>3</v>
      </c>
      <c r="J7" s="65" t="n">
        <v>6.3</v>
      </c>
      <c r="K7" s="65" t="n">
        <v>3.8</v>
      </c>
      <c r="L7" s="65" t="n">
        <v>3.2</v>
      </c>
      <c r="M7" s="65" t="n">
        <v>3.5</v>
      </c>
      <c r="N7" s="65" t="n">
        <v>6.6</v>
      </c>
      <c r="O7" s="65" t="n">
        <v>6</v>
      </c>
      <c r="P7" s="65" t="n">
        <v>3</v>
      </c>
      <c r="Q7" s="65" t="n">
        <v>4.1</v>
      </c>
      <c r="R7" s="65" t="n">
        <v>8.9</v>
      </c>
      <c r="S7" s="65" t="n">
        <v>6.4</v>
      </c>
      <c r="T7" s="65" t="n">
        <v>3.4</v>
      </c>
      <c r="U7" s="65" t="n">
        <v>3.8</v>
      </c>
      <c r="V7" s="65" t="n">
        <v>6.3</v>
      </c>
      <c r="W7" s="65" t="n">
        <v>3.1</v>
      </c>
      <c r="X7" s="65" t="n">
        <v>-0.1</v>
      </c>
      <c r="Y7" s="65" t="n">
        <v>1.6</v>
      </c>
      <c r="Z7" s="65" t="n">
        <v>3.5</v>
      </c>
      <c r="AA7" s="65" t="n">
        <v>4.9</v>
      </c>
      <c r="AB7" s="65" t="n">
        <v>1.5</v>
      </c>
      <c r="AC7" s="65" t="n">
        <v>2.6</v>
      </c>
      <c r="AD7" s="65" t="n">
        <v>4.3</v>
      </c>
      <c r="AE7" s="65" t="n">
        <v>3.6</v>
      </c>
      <c r="AF7" s="65" t="n">
        <v>2</v>
      </c>
      <c r="AG7" s="65" t="n">
        <v>2.7</v>
      </c>
      <c r="AH7" s="65" t="n">
        <v>3.9</v>
      </c>
      <c r="AI7" s="65" t="n">
        <v>4.3</v>
      </c>
      <c r="AJ7" s="65" t="n">
        <v>2.3</v>
      </c>
      <c r="AK7" s="65" t="n">
        <v>2.3</v>
      </c>
      <c r="AL7" s="65" t="n">
        <v>5.5</v>
      </c>
      <c r="AM7" s="65" t="n">
        <v>5.9</v>
      </c>
      <c r="AN7" s="65" t="n">
        <v>3.6</v>
      </c>
      <c r="AO7" s="65" t="n">
        <v>4.1</v>
      </c>
    </row>
    <row r="8">
      <c r="A8" s="64" t="inlineStr">
        <is>
          <t>영업이익률</t>
        </is>
      </c>
      <c r="B8" s="66" t="n"/>
      <c r="C8" s="66" t="n"/>
      <c r="D8" s="66" t="n"/>
      <c r="E8" s="66" t="n"/>
      <c r="F8" s="66" t="n"/>
      <c r="G8" s="66" t="n"/>
      <c r="H8" s="66" t="n">
        <v>7.7</v>
      </c>
      <c r="I8" s="66" t="n">
        <v>9.5</v>
      </c>
      <c r="J8" s="66" t="n">
        <v>15.5</v>
      </c>
      <c r="K8" s="66" t="n">
        <v>12.7</v>
      </c>
      <c r="L8" s="66" t="n">
        <v>9.1</v>
      </c>
      <c r="M8" s="66" t="n">
        <v>9.6</v>
      </c>
      <c r="N8" s="66" t="n">
        <v>15.9</v>
      </c>
      <c r="O8" s="66" t="n">
        <v>14.6</v>
      </c>
      <c r="P8" s="66" t="n">
        <v>9.6</v>
      </c>
      <c r="Q8" s="66" t="n">
        <v>13</v>
      </c>
      <c r="R8" s="66" t="n">
        <v>20.6</v>
      </c>
      <c r="S8" s="66" t="n">
        <v>16</v>
      </c>
      <c r="T8" s="66" t="n">
        <v>9.5</v>
      </c>
      <c r="U8" s="66" t="n">
        <v>10.6</v>
      </c>
      <c r="V8" s="66" t="n">
        <v>15.1</v>
      </c>
      <c r="W8" s="66" t="n">
        <v>7.8</v>
      </c>
      <c r="X8" s="66" t="n">
        <v>-0.3</v>
      </c>
      <c r="Y8" s="66" t="n">
        <v>4.3</v>
      </c>
      <c r="Z8" s="66" t="n">
        <v>8.1</v>
      </c>
      <c r="AA8" s="66" t="n">
        <v>17.4</v>
      </c>
      <c r="AB8" s="66" t="n">
        <v>4.1</v>
      </c>
      <c r="AC8" s="66" t="n">
        <v>7</v>
      </c>
      <c r="AD8" s="66" t="n">
        <v>10.1</v>
      </c>
      <c r="AE8" s="66" t="n">
        <v>12.7</v>
      </c>
      <c r="AF8" s="66" t="n">
        <v>5.5</v>
      </c>
      <c r="AG8" s="66" t="n">
        <v>7.3</v>
      </c>
      <c r="AH8" s="66" t="n">
        <v>9.4</v>
      </c>
      <c r="AI8" s="66" t="n">
        <v>10.2</v>
      </c>
      <c r="AJ8" s="66" t="n">
        <v>6.2</v>
      </c>
      <c r="AK8" s="66" t="n">
        <v>5.8</v>
      </c>
      <c r="AL8" s="66" t="n">
        <v>11.7</v>
      </c>
      <c r="AM8" s="66" t="n">
        <v>12.6</v>
      </c>
      <c r="AN8" s="66" t="n">
        <v>8.6</v>
      </c>
      <c r="AO8" s="66" t="n">
        <v>9.300000000000001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>
        <v>28</v>
      </c>
      <c r="M9" s="66" t="n">
        <v>16.7</v>
      </c>
      <c r="N9" s="66" t="n">
        <v>4.8</v>
      </c>
      <c r="O9" s="66" t="n">
        <v>57.9</v>
      </c>
      <c r="P9" s="66" t="n">
        <v>-6.2</v>
      </c>
      <c r="Q9" s="66" t="n">
        <v>17.1</v>
      </c>
      <c r="R9" s="66" t="n">
        <v>34.8</v>
      </c>
      <c r="S9" s="66" t="n">
        <v>6.7</v>
      </c>
      <c r="T9" s="66" t="n">
        <v>13.3</v>
      </c>
      <c r="U9" s="66" t="n">
        <v>-7.3</v>
      </c>
      <c r="V9" s="66" t="n">
        <v>-29.2</v>
      </c>
      <c r="W9" s="66" t="n">
        <v>-51.6</v>
      </c>
      <c r="X9" s="66" t="n">
        <v>-102.9</v>
      </c>
      <c r="Y9" s="66" t="n">
        <v>-57.9</v>
      </c>
      <c r="Z9" s="66" t="n">
        <v>-44.4</v>
      </c>
      <c r="AA9" s="66" t="n">
        <v>58.1</v>
      </c>
      <c r="AB9" s="66" t="n"/>
      <c r="AC9" s="66" t="n">
        <v>62.5</v>
      </c>
      <c r="AD9" s="66" t="n">
        <v>22.9</v>
      </c>
      <c r="AE9" s="66" t="n">
        <v>-26.5</v>
      </c>
      <c r="AF9" s="66" t="n">
        <v>33.3</v>
      </c>
      <c r="AG9" s="66" t="n">
        <v>3.8</v>
      </c>
      <c r="AH9" s="66" t="n">
        <v>-9.300000000000001</v>
      </c>
      <c r="AI9" s="66" t="n">
        <v>19.4</v>
      </c>
      <c r="AJ9" s="66" t="n">
        <v>15</v>
      </c>
      <c r="AK9" s="66" t="n">
        <v>-14.8</v>
      </c>
      <c r="AL9" s="66" t="n">
        <v>41</v>
      </c>
      <c r="AM9" s="66" t="n">
        <v>37.2</v>
      </c>
      <c r="AN9" s="66" t="n">
        <v>56.5</v>
      </c>
      <c r="AO9" s="66" t="n">
        <v>78.3</v>
      </c>
    </row>
    <row r="10">
      <c r="A10" s="64" t="inlineStr">
        <is>
          <t>유동자산</t>
        </is>
      </c>
      <c r="B10" s="65" t="n"/>
      <c r="C10" s="65" t="n"/>
      <c r="D10" s="65" t="n"/>
      <c r="E10" s="65" t="n"/>
      <c r="F10" s="65" t="n"/>
      <c r="G10" s="65" t="n">
        <v>118.3</v>
      </c>
      <c r="H10" s="65" t="n"/>
      <c r="I10" s="65" t="n"/>
      <c r="J10" s="65" t="n"/>
      <c r="K10" s="65" t="n">
        <v>135.1</v>
      </c>
      <c r="L10" s="65" t="n">
        <v>133.6</v>
      </c>
      <c r="M10" s="65" t="n">
        <v>123.5</v>
      </c>
      <c r="N10" s="65" t="n">
        <v>129</v>
      </c>
      <c r="O10" s="65" t="n">
        <v>140.7</v>
      </c>
      <c r="P10" s="65" t="n">
        <v>144.1</v>
      </c>
      <c r="Q10" s="65" t="n">
        <v>146.1</v>
      </c>
      <c r="R10" s="65" t="n">
        <v>154.6</v>
      </c>
      <c r="S10" s="65" t="n">
        <v>164.5</v>
      </c>
      <c r="T10" s="65" t="n">
        <v>157.2</v>
      </c>
      <c r="U10" s="65" t="n">
        <v>162.4</v>
      </c>
      <c r="V10" s="65" t="n">
        <v>169.5</v>
      </c>
      <c r="W10" s="65" t="n">
        <v>167.8</v>
      </c>
      <c r="X10" s="65" t="n">
        <v>162.7</v>
      </c>
      <c r="Y10" s="65" t="n">
        <v>159.6</v>
      </c>
      <c r="Z10" s="65" t="n">
        <v>161.3</v>
      </c>
      <c r="AA10" s="65" t="n">
        <v>164.1</v>
      </c>
      <c r="AB10" s="65" t="n">
        <v>159.6</v>
      </c>
      <c r="AC10" s="65" t="n">
        <v>165.2</v>
      </c>
      <c r="AD10" s="65" t="n">
        <v>165</v>
      </c>
      <c r="AE10" s="65" t="n">
        <v>168.2</v>
      </c>
      <c r="AF10" s="65" t="n">
        <v>162.7</v>
      </c>
      <c r="AG10" s="65" t="n">
        <v>165.5</v>
      </c>
      <c r="AH10" s="65" t="n">
        <v>166.1</v>
      </c>
      <c r="AI10" s="65" t="n">
        <v>136</v>
      </c>
      <c r="AJ10" s="65" t="n">
        <v>170.1</v>
      </c>
      <c r="AK10" s="65" t="n">
        <v>179.3</v>
      </c>
      <c r="AL10" s="65" t="n">
        <v>182.6</v>
      </c>
      <c r="AM10" s="65" t="n">
        <v>190.3</v>
      </c>
      <c r="AN10" s="65" t="n">
        <v>187.9</v>
      </c>
      <c r="AO10" s="65" t="n">
        <v>183.6</v>
      </c>
    </row>
    <row r="11">
      <c r="A11" s="64" t="inlineStr">
        <is>
          <t>유동부채</t>
        </is>
      </c>
      <c r="B11" s="65" t="n"/>
      <c r="C11" s="65" t="n"/>
      <c r="D11" s="65" t="n"/>
      <c r="E11" s="65" t="n"/>
      <c r="F11" s="65" t="n"/>
      <c r="G11" s="65" t="n">
        <v>18.7</v>
      </c>
      <c r="H11" s="65" t="n"/>
      <c r="I11" s="65" t="n"/>
      <c r="J11" s="65" t="n"/>
      <c r="K11" s="65" t="n">
        <v>19.9</v>
      </c>
      <c r="L11" s="65" t="n">
        <v>19.5</v>
      </c>
      <c r="M11" s="65" t="n">
        <v>20.9</v>
      </c>
      <c r="N11" s="65" t="n">
        <v>18.7</v>
      </c>
      <c r="O11" s="65" t="n">
        <v>25.2</v>
      </c>
      <c r="P11" s="65" t="n">
        <v>19.2</v>
      </c>
      <c r="Q11" s="65" t="n">
        <v>18.4</v>
      </c>
      <c r="R11" s="65" t="n">
        <v>20.1</v>
      </c>
      <c r="S11" s="65" t="n">
        <v>26.1</v>
      </c>
      <c r="T11" s="65" t="n">
        <v>18.8</v>
      </c>
      <c r="U11" s="65" t="n">
        <v>20.7</v>
      </c>
      <c r="V11" s="65" t="n">
        <v>22.4</v>
      </c>
      <c r="W11" s="65" t="n">
        <v>20.4</v>
      </c>
      <c r="X11" s="65" t="n">
        <v>16.9</v>
      </c>
      <c r="Y11" s="65" t="n">
        <v>19</v>
      </c>
      <c r="Z11" s="65" t="n">
        <v>19.3</v>
      </c>
      <c r="AA11" s="65" t="n">
        <v>20.5</v>
      </c>
      <c r="AB11" s="65" t="n">
        <v>18.9</v>
      </c>
      <c r="AC11" s="65" t="n">
        <v>21.5</v>
      </c>
      <c r="AD11" s="65" t="n">
        <v>20.2</v>
      </c>
      <c r="AE11" s="65" t="n">
        <v>21.2</v>
      </c>
      <c r="AF11" s="65" t="n">
        <v>19.1</v>
      </c>
      <c r="AG11" s="65" t="n">
        <v>20.3</v>
      </c>
      <c r="AH11" s="65" t="n">
        <v>20.6</v>
      </c>
      <c r="AI11" s="65" t="n">
        <v>20.7</v>
      </c>
      <c r="AJ11" s="65" t="n">
        <v>19</v>
      </c>
      <c r="AK11" s="65" t="n">
        <v>21.5</v>
      </c>
      <c r="AL11" s="65" t="n">
        <v>23.6</v>
      </c>
      <c r="AM11" s="65" t="n">
        <v>24.7</v>
      </c>
      <c r="AN11" s="65" t="n">
        <v>23.5</v>
      </c>
      <c r="AO11" s="65" t="n">
        <v>23.1</v>
      </c>
    </row>
    <row r="12">
      <c r="A12" s="64" t="inlineStr">
        <is>
          <t>부채총계</t>
        </is>
      </c>
      <c r="B12" s="65" t="n"/>
      <c r="C12" s="65" t="n"/>
      <c r="D12" s="65" t="n"/>
      <c r="E12" s="65" t="n"/>
      <c r="F12" s="65" t="n"/>
      <c r="G12" s="65" t="n">
        <v>23.2</v>
      </c>
      <c r="H12" s="65" t="n"/>
      <c r="I12" s="65" t="n"/>
      <c r="J12" s="65" t="n"/>
      <c r="K12" s="65" t="n">
        <v>29.3</v>
      </c>
      <c r="L12" s="65" t="n">
        <v>29.1</v>
      </c>
      <c r="M12" s="65" t="n">
        <v>30.2</v>
      </c>
      <c r="N12" s="65" t="n">
        <v>28.1</v>
      </c>
      <c r="O12" s="65" t="n">
        <v>34.5</v>
      </c>
      <c r="P12" s="65" t="n">
        <v>38.9</v>
      </c>
      <c r="Q12" s="65" t="n">
        <v>38.1</v>
      </c>
      <c r="R12" s="65" t="n">
        <v>39.4</v>
      </c>
      <c r="S12" s="65" t="n">
        <v>45.1</v>
      </c>
      <c r="T12" s="65" t="n">
        <v>37.7</v>
      </c>
      <c r="U12" s="65" t="n">
        <v>39.4</v>
      </c>
      <c r="V12" s="65" t="n">
        <v>40.9</v>
      </c>
      <c r="W12" s="65" t="n">
        <v>38.7</v>
      </c>
      <c r="X12" s="65" t="n">
        <v>35.9</v>
      </c>
      <c r="Y12" s="65" t="n">
        <v>29.7</v>
      </c>
      <c r="Z12" s="65" t="n">
        <v>29.5</v>
      </c>
      <c r="AA12" s="65" t="n">
        <v>32.1</v>
      </c>
      <c r="AB12" s="65" t="n">
        <v>30.9</v>
      </c>
      <c r="AC12" s="65" t="n">
        <v>33.3</v>
      </c>
      <c r="AD12" s="65" t="n">
        <v>32</v>
      </c>
      <c r="AE12" s="65" t="n">
        <v>33.6</v>
      </c>
      <c r="AF12" s="65" t="n">
        <v>31.5</v>
      </c>
      <c r="AG12" s="65" t="n">
        <v>32.7</v>
      </c>
      <c r="AH12" s="65" t="n">
        <v>33.2</v>
      </c>
      <c r="AI12" s="65" t="n">
        <v>26</v>
      </c>
      <c r="AJ12" s="65" t="n">
        <v>31.4</v>
      </c>
      <c r="AK12" s="65" t="n">
        <v>33.8</v>
      </c>
      <c r="AL12" s="65" t="n">
        <v>35.9</v>
      </c>
      <c r="AM12" s="65" t="n">
        <v>37</v>
      </c>
      <c r="AN12" s="65" t="n">
        <v>34</v>
      </c>
      <c r="AO12" s="65" t="n">
        <v>33.5</v>
      </c>
    </row>
    <row r="13">
      <c r="A13" s="64" t="inlineStr">
        <is>
          <t>자기자본</t>
        </is>
      </c>
      <c r="B13" s="66" t="n"/>
      <c r="C13" s="66" t="n"/>
      <c r="D13" s="66" t="n"/>
      <c r="E13" s="66" t="n"/>
      <c r="F13" s="66" t="n"/>
      <c r="G13" s="66" t="n">
        <v>162.7</v>
      </c>
      <c r="H13" s="66" t="n"/>
      <c r="I13" s="66" t="n"/>
      <c r="J13" s="66" t="n"/>
      <c r="K13" s="66" t="n">
        <v>188.1</v>
      </c>
      <c r="L13" s="66" t="n">
        <v>186.2</v>
      </c>
      <c r="M13" s="66" t="n">
        <v>175.5</v>
      </c>
      <c r="N13" s="66" t="n">
        <v>181.3</v>
      </c>
      <c r="O13" s="66" t="n">
        <v>184.7</v>
      </c>
      <c r="P13" s="66" t="n">
        <v>183.5</v>
      </c>
      <c r="Q13" s="66" t="n">
        <v>185.8</v>
      </c>
      <c r="R13" s="66" t="n">
        <v>192.1</v>
      </c>
      <c r="S13" s="66" t="n">
        <v>198</v>
      </c>
      <c r="T13" s="66" t="n">
        <v>197.4</v>
      </c>
      <c r="U13" s="66" t="n">
        <v>200.9</v>
      </c>
      <c r="V13" s="66" t="n">
        <v>205.7</v>
      </c>
      <c r="W13" s="66" t="n">
        <v>209.8</v>
      </c>
      <c r="X13" s="66" t="n">
        <v>207.7</v>
      </c>
      <c r="Y13" s="66" t="n">
        <v>212.1</v>
      </c>
      <c r="Z13" s="66" t="n">
        <v>213.1</v>
      </c>
      <c r="AA13" s="66" t="n">
        <v>213.5</v>
      </c>
      <c r="AB13" s="66" t="n">
        <v>211.3</v>
      </c>
      <c r="AC13" s="66" t="n">
        <v>215.6</v>
      </c>
      <c r="AD13" s="66" t="n">
        <v>217</v>
      </c>
      <c r="AE13" s="66" t="n">
        <v>218.7</v>
      </c>
      <c r="AF13" s="66" t="n">
        <v>216.1</v>
      </c>
      <c r="AG13" s="66" t="n">
        <v>218.1</v>
      </c>
      <c r="AH13" s="66" t="n">
        <v>218.1</v>
      </c>
      <c r="AI13" s="66" t="n">
        <v>192.6</v>
      </c>
      <c r="AJ13" s="66" t="n">
        <v>220.3</v>
      </c>
      <c r="AK13" s="66" t="n">
        <v>221.6</v>
      </c>
      <c r="AL13" s="66" t="n">
        <v>224.8</v>
      </c>
      <c r="AM13" s="66" t="n">
        <v>231.4</v>
      </c>
      <c r="AN13" s="66" t="n">
        <v>231.9</v>
      </c>
      <c r="AO13" s="66" t="n">
        <v>235.6</v>
      </c>
    </row>
    <row r="14">
      <c r="A14" s="64" t="inlineStr">
        <is>
          <t>유동비율</t>
        </is>
      </c>
      <c r="B14" s="66" t="n"/>
      <c r="C14" s="66" t="n"/>
      <c r="D14" s="66" t="n"/>
      <c r="E14" s="66" t="n"/>
      <c r="F14" s="66" t="n"/>
      <c r="G14" s="66" t="n">
        <v>632.6</v>
      </c>
      <c r="H14" s="66" t="n"/>
      <c r="I14" s="66" t="n"/>
      <c r="J14" s="66" t="n"/>
      <c r="K14" s="66" t="n">
        <v>678.9</v>
      </c>
      <c r="L14" s="66" t="n">
        <v>685.1</v>
      </c>
      <c r="M14" s="66" t="n">
        <v>590.9</v>
      </c>
      <c r="N14" s="66" t="n">
        <v>689.8</v>
      </c>
      <c r="O14" s="66" t="n">
        <v>558.3</v>
      </c>
      <c r="P14" s="66" t="n">
        <v>750.5</v>
      </c>
      <c r="Q14" s="66" t="n">
        <v>794</v>
      </c>
      <c r="R14" s="66" t="n">
        <v>769.2</v>
      </c>
      <c r="S14" s="66" t="n">
        <v>630.3</v>
      </c>
      <c r="T14" s="66" t="n">
        <v>836.2</v>
      </c>
      <c r="U14" s="66" t="n">
        <v>784.5</v>
      </c>
      <c r="V14" s="66" t="n">
        <v>756.7</v>
      </c>
      <c r="W14" s="66" t="n">
        <v>822.5</v>
      </c>
      <c r="X14" s="66" t="n">
        <v>962.7</v>
      </c>
      <c r="Y14" s="66" t="n">
        <v>840</v>
      </c>
      <c r="Z14" s="66" t="n">
        <v>835.8</v>
      </c>
      <c r="AA14" s="66" t="n">
        <v>800.5</v>
      </c>
      <c r="AB14" s="66" t="n">
        <v>844.4</v>
      </c>
      <c r="AC14" s="66" t="n">
        <v>768.4</v>
      </c>
      <c r="AD14" s="66" t="n">
        <v>816.8</v>
      </c>
      <c r="AE14" s="66" t="n">
        <v>793.4</v>
      </c>
      <c r="AF14" s="66" t="n">
        <v>851.8</v>
      </c>
      <c r="AG14" s="66" t="n">
        <v>815.3</v>
      </c>
      <c r="AH14" s="66" t="n">
        <v>806.3</v>
      </c>
      <c r="AI14" s="66" t="n">
        <v>657</v>
      </c>
      <c r="AJ14" s="66" t="n">
        <v>895.3</v>
      </c>
      <c r="AK14" s="66" t="n">
        <v>834</v>
      </c>
      <c r="AL14" s="66" t="n">
        <v>773.7</v>
      </c>
      <c r="AM14" s="66" t="n">
        <v>770.4</v>
      </c>
      <c r="AN14" s="66" t="n">
        <v>799.6</v>
      </c>
      <c r="AO14" s="66" t="n">
        <v>794.8</v>
      </c>
    </row>
    <row r="15">
      <c r="A15" s="64" t="inlineStr">
        <is>
          <t>부채비율</t>
        </is>
      </c>
      <c r="B15" s="66" t="n"/>
      <c r="C15" s="66" t="n"/>
      <c r="D15" s="66" t="n"/>
      <c r="E15" s="66" t="n"/>
      <c r="F15" s="66" t="n"/>
      <c r="G15" s="66" t="n">
        <v>14.3</v>
      </c>
      <c r="H15" s="66" t="n"/>
      <c r="I15" s="66" t="n"/>
      <c r="J15" s="66" t="n"/>
      <c r="K15" s="66" t="n">
        <v>15.6</v>
      </c>
      <c r="L15" s="66" t="n">
        <v>15.6</v>
      </c>
      <c r="M15" s="66" t="n">
        <v>17.2</v>
      </c>
      <c r="N15" s="66" t="n">
        <v>15.5</v>
      </c>
      <c r="O15" s="66" t="n">
        <v>18.7</v>
      </c>
      <c r="P15" s="66" t="n">
        <v>21.2</v>
      </c>
      <c r="Q15" s="66" t="n">
        <v>20.5</v>
      </c>
      <c r="R15" s="66" t="n">
        <v>20.5</v>
      </c>
      <c r="S15" s="66" t="n">
        <v>22.8</v>
      </c>
      <c r="T15" s="66" t="n">
        <v>19.1</v>
      </c>
      <c r="U15" s="66" t="n">
        <v>19.6</v>
      </c>
      <c r="V15" s="66" t="n">
        <v>19.9</v>
      </c>
      <c r="W15" s="66" t="n">
        <v>18.4</v>
      </c>
      <c r="X15" s="66" t="n">
        <v>17.3</v>
      </c>
      <c r="Y15" s="66" t="n">
        <v>14</v>
      </c>
      <c r="Z15" s="66" t="n">
        <v>13.8</v>
      </c>
      <c r="AA15" s="66" t="n">
        <v>15</v>
      </c>
      <c r="AB15" s="66" t="n">
        <v>14.6</v>
      </c>
      <c r="AC15" s="66" t="n">
        <v>15.4</v>
      </c>
      <c r="AD15" s="66" t="n">
        <v>14.7</v>
      </c>
      <c r="AE15" s="66" t="n">
        <v>15.4</v>
      </c>
      <c r="AF15" s="66" t="n">
        <v>14.6</v>
      </c>
      <c r="AG15" s="66" t="n">
        <v>15</v>
      </c>
      <c r="AH15" s="66" t="n">
        <v>15.2</v>
      </c>
      <c r="AI15" s="66" t="n">
        <v>13.5</v>
      </c>
      <c r="AJ15" s="66" t="n">
        <v>14.3</v>
      </c>
      <c r="AK15" s="66" t="n">
        <v>15.3</v>
      </c>
      <c r="AL15" s="66" t="n">
        <v>16</v>
      </c>
      <c r="AM15" s="66" t="n">
        <v>16</v>
      </c>
      <c r="AN15" s="66" t="n">
        <v>14.7</v>
      </c>
      <c r="AO15" s="66" t="n">
        <v>14.2</v>
      </c>
    </row>
    <row r="16">
      <c r="A16" s="64" t="inlineStr">
        <is>
          <t>순차입금/자기자본</t>
        </is>
      </c>
      <c r="B16" s="66" t="n"/>
      <c r="C16" s="66" t="n"/>
      <c r="D16" s="66" t="n"/>
      <c r="E16" s="66" t="n"/>
      <c r="F16" s="66" t="n"/>
      <c r="G16" s="66" t="n">
        <v>-26.6</v>
      </c>
      <c r="H16" s="66" t="n"/>
      <c r="I16" s="66" t="n"/>
      <c r="J16" s="66" t="n"/>
      <c r="K16" s="66" t="n">
        <v>-32.2</v>
      </c>
      <c r="L16" s="66" t="n">
        <v>-31.1</v>
      </c>
      <c r="M16" s="66" t="n">
        <v>-29.1</v>
      </c>
      <c r="N16" s="66" t="n">
        <v>-24.3</v>
      </c>
      <c r="O16" s="66" t="n">
        <v>-33.3</v>
      </c>
      <c r="P16" s="66" t="n">
        <v>-33.9</v>
      </c>
      <c r="Q16" s="66" t="n">
        <v>-35.7</v>
      </c>
      <c r="R16" s="66" t="n">
        <v>-35.1</v>
      </c>
      <c r="S16" s="66" t="n">
        <v>-41.8</v>
      </c>
      <c r="T16" s="66" t="n">
        <v>-39.1</v>
      </c>
      <c r="U16" s="66" t="n">
        <v>-40.2</v>
      </c>
      <c r="V16" s="66" t="n">
        <v>-38</v>
      </c>
      <c r="W16" s="66" t="n">
        <v>-33.6</v>
      </c>
      <c r="X16" s="66" t="n">
        <v>-30.7</v>
      </c>
      <c r="Y16" s="66" t="n">
        <v>-32.9</v>
      </c>
      <c r="Z16" s="66" t="n">
        <v>-30.7</v>
      </c>
      <c r="AA16" s="66" t="n">
        <v>-34.9</v>
      </c>
      <c r="AB16" s="66" t="n">
        <v>-35.9</v>
      </c>
      <c r="AC16" s="66" t="n">
        <v>-36</v>
      </c>
      <c r="AD16" s="66" t="n">
        <v>-35.5</v>
      </c>
      <c r="AE16" s="66" t="n">
        <v>-39.2</v>
      </c>
      <c r="AF16" s="66" t="n">
        <v>-37.4</v>
      </c>
      <c r="AG16" s="66" t="n">
        <v>-39.9</v>
      </c>
      <c r="AH16" s="66" t="n">
        <v>-36.3</v>
      </c>
      <c r="AI16" s="66" t="n">
        <v>-25.4</v>
      </c>
      <c r="AJ16" s="66" t="n">
        <v>-38.4</v>
      </c>
      <c r="AK16" s="66" t="n">
        <v>-41.4</v>
      </c>
      <c r="AL16" s="66" t="n">
        <v>-33.9</v>
      </c>
      <c r="AM16" s="66" t="n">
        <v>-41.3</v>
      </c>
      <c r="AN16" s="66" t="n">
        <v>-40.1</v>
      </c>
      <c r="AO16" s="66" t="n">
        <v>-35.3</v>
      </c>
    </row>
    <row r="17">
      <c r="A17" s="64" t="inlineStr">
        <is>
          <t>재고자산</t>
        </is>
      </c>
      <c r="B17" s="65" t="n"/>
      <c r="C17" s="65" t="n"/>
      <c r="D17" s="65" t="n"/>
      <c r="E17" s="65" t="n"/>
      <c r="F17" s="65" t="n"/>
      <c r="G17" s="65" t="n">
        <v>17.5</v>
      </c>
      <c r="H17" s="65" t="n"/>
      <c r="I17" s="65" t="n"/>
      <c r="J17" s="65" t="n"/>
      <c r="K17" s="65" t="n">
        <v>18.9</v>
      </c>
      <c r="L17" s="65" t="n">
        <v>23</v>
      </c>
      <c r="M17" s="65" t="n">
        <v>20.4</v>
      </c>
      <c r="N17" s="65" t="n">
        <v>20.4</v>
      </c>
      <c r="O17" s="65" t="n">
        <v>23</v>
      </c>
      <c r="P17" s="65" t="n">
        <v>24.1</v>
      </c>
      <c r="Q17" s="65" t="n">
        <v>22.8</v>
      </c>
      <c r="R17" s="65" t="n">
        <v>20.2</v>
      </c>
      <c r="S17" s="65" t="n">
        <v>19.4</v>
      </c>
      <c r="T17" s="65" t="n">
        <v>20.4</v>
      </c>
      <c r="U17" s="65" t="n">
        <v>21.2</v>
      </c>
      <c r="V17" s="65" t="n">
        <v>22.5</v>
      </c>
      <c r="W17" s="65" t="n">
        <v>21.8</v>
      </c>
      <c r="X17" s="65" t="n">
        <v>27.1</v>
      </c>
      <c r="Y17" s="65" t="n">
        <v>30.4</v>
      </c>
      <c r="Z17" s="65" t="n">
        <v>37.6</v>
      </c>
      <c r="AA17" s="65" t="n">
        <v>34.3</v>
      </c>
      <c r="AB17" s="65" t="n">
        <v>36.5</v>
      </c>
      <c r="AC17" s="65" t="n">
        <v>38.6</v>
      </c>
      <c r="AD17" s="65" t="n">
        <v>38.6</v>
      </c>
      <c r="AE17" s="65" t="n">
        <v>36.2</v>
      </c>
      <c r="AF17" s="65" t="n">
        <v>39.8</v>
      </c>
      <c r="AG17" s="65" t="n">
        <v>36.8</v>
      </c>
      <c r="AH17" s="65" t="n">
        <v>41.6</v>
      </c>
      <c r="AI17" s="65" t="n">
        <v>44.8</v>
      </c>
      <c r="AJ17" s="65" t="n">
        <v>45.6</v>
      </c>
      <c r="AK17" s="65" t="n">
        <v>41.4</v>
      </c>
      <c r="AL17" s="65" t="n">
        <v>35.2</v>
      </c>
      <c r="AM17" s="65" t="n">
        <v>29.3</v>
      </c>
      <c r="AN17" s="65" t="n">
        <v>30.5</v>
      </c>
      <c r="AO17" s="65" t="n">
        <v>38.9</v>
      </c>
    </row>
    <row r="18">
      <c r="A18" s="64" t="inlineStr">
        <is>
          <t>재고자산 회전일수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>
        <v>74</v>
      </c>
      <c r="L18" s="65" t="n">
        <v>85</v>
      </c>
      <c r="M18" s="65" t="n">
        <v>73</v>
      </c>
      <c r="N18" s="65" t="n">
        <v>69</v>
      </c>
      <c r="O18" s="65" t="n">
        <v>77</v>
      </c>
      <c r="P18" s="65" t="n">
        <v>104</v>
      </c>
      <c r="Q18" s="65" t="n">
        <v>101</v>
      </c>
      <c r="R18" s="65" t="n">
        <v>70</v>
      </c>
      <c r="S18" s="65" t="n">
        <v>68</v>
      </c>
      <c r="T18" s="65" t="n">
        <v>76</v>
      </c>
      <c r="U18" s="65" t="n">
        <v>79</v>
      </c>
      <c r="V18" s="65" t="n">
        <v>74</v>
      </c>
      <c r="W18" s="65" t="n">
        <v>69</v>
      </c>
      <c r="X18" s="65" t="n">
        <v>96</v>
      </c>
      <c r="Y18" s="65" t="n">
        <v>98</v>
      </c>
      <c r="Z18" s="65" t="n">
        <v>108</v>
      </c>
      <c r="AA18" s="65" t="n">
        <v>154</v>
      </c>
      <c r="AB18" s="65" t="n">
        <v>123</v>
      </c>
      <c r="AC18" s="65" t="n">
        <v>132</v>
      </c>
      <c r="AD18" s="65" t="n">
        <v>117</v>
      </c>
      <c r="AE18" s="65" t="n">
        <v>148</v>
      </c>
      <c r="AF18" s="65" t="n">
        <v>137</v>
      </c>
      <c r="AG18" s="65" t="n">
        <v>124</v>
      </c>
      <c r="AH18" s="65" t="n">
        <v>129</v>
      </c>
      <c r="AI18" s="65" t="n">
        <v>136</v>
      </c>
      <c r="AJ18" s="65" t="n">
        <v>155</v>
      </c>
      <c r="AK18" s="65" t="n">
        <v>130</v>
      </c>
      <c r="AL18" s="65" t="n">
        <v>99</v>
      </c>
      <c r="AM18" s="65" t="n">
        <v>82</v>
      </c>
      <c r="AN18" s="65" t="n">
        <v>94</v>
      </c>
      <c r="AO18" s="65" t="n">
        <v>113</v>
      </c>
    </row>
    <row r="19">
      <c r="A19" s="64" t="inlineStr">
        <is>
          <t>매출채권 회전일수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>
        <v>77</v>
      </c>
      <c r="L19" s="65" t="n">
        <v>117</v>
      </c>
      <c r="M19" s="65" t="n">
        <v>112</v>
      </c>
      <c r="N19" s="65" t="n">
        <v>112</v>
      </c>
      <c r="O19" s="65" t="n">
        <v>64</v>
      </c>
      <c r="P19" s="65" t="n">
        <v>118</v>
      </c>
      <c r="Q19" s="65" t="n">
        <v>115</v>
      </c>
      <c r="R19" s="65" t="n">
        <v>105</v>
      </c>
      <c r="S19" s="65" t="n">
        <v>62</v>
      </c>
      <c r="T19" s="65" t="n">
        <v>108</v>
      </c>
      <c r="U19" s="65" t="n">
        <v>107</v>
      </c>
      <c r="V19" s="65" t="n"/>
      <c r="W19" s="65" t="n">
        <v>59</v>
      </c>
      <c r="X19" s="65" t="n"/>
      <c r="Y19" s="65" t="n"/>
      <c r="Z19" s="65" t="n"/>
      <c r="AA19" s="65" t="n">
        <v>80</v>
      </c>
      <c r="AB19" s="65" t="n">
        <v>106</v>
      </c>
      <c r="AC19" s="65" t="n">
        <v>111</v>
      </c>
      <c r="AD19" s="65" t="n">
        <v>103</v>
      </c>
      <c r="AE19" s="65" t="n">
        <v>81</v>
      </c>
      <c r="AF19" s="65" t="n">
        <v>103</v>
      </c>
      <c r="AG19" s="65" t="n">
        <v>99</v>
      </c>
      <c r="AH19" s="65" t="n">
        <v>97</v>
      </c>
      <c r="AI19" s="65" t="n">
        <v>55</v>
      </c>
      <c r="AJ19" s="65" t="n">
        <v>96</v>
      </c>
      <c r="AK19" s="65" t="n">
        <v>93</v>
      </c>
      <c r="AL19" s="65" t="n">
        <v>96</v>
      </c>
      <c r="AM19" s="65" t="n">
        <v>54</v>
      </c>
      <c r="AN19" s="65" t="n">
        <v>56</v>
      </c>
      <c r="AO19" s="65" t="n">
        <v>56</v>
      </c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>
        <v>30</v>
      </c>
      <c r="L20" s="65" t="n">
        <v>38</v>
      </c>
      <c r="M20" s="65" t="n">
        <v>36</v>
      </c>
      <c r="N20" s="65" t="n">
        <v>28</v>
      </c>
      <c r="O20" s="65" t="n">
        <v>42</v>
      </c>
      <c r="P20" s="65" t="n">
        <v>43</v>
      </c>
      <c r="Q20" s="65" t="n">
        <v>37</v>
      </c>
      <c r="R20" s="65" t="n">
        <v>27</v>
      </c>
      <c r="S20" s="65" t="n">
        <v>31</v>
      </c>
      <c r="T20" s="65" t="n">
        <v>28</v>
      </c>
      <c r="U20" s="65" t="n">
        <v>33</v>
      </c>
      <c r="V20" s="65" t="n">
        <v>35</v>
      </c>
      <c r="W20" s="65" t="n">
        <v>21</v>
      </c>
      <c r="X20" s="65" t="n">
        <v>27</v>
      </c>
      <c r="Y20" s="65" t="n">
        <v>31</v>
      </c>
      <c r="Z20" s="65" t="n">
        <v>28</v>
      </c>
      <c r="AA20" s="65" t="n">
        <v>40</v>
      </c>
      <c r="AB20" s="65" t="n">
        <v>29</v>
      </c>
      <c r="AC20" s="65" t="n">
        <v>36</v>
      </c>
      <c r="AD20" s="65" t="n">
        <v>27</v>
      </c>
      <c r="AE20" s="65" t="n">
        <v>31</v>
      </c>
      <c r="AF20" s="65" t="n">
        <v>29</v>
      </c>
      <c r="AG20" s="65" t="n">
        <v>32</v>
      </c>
      <c r="AH20" s="65" t="n">
        <v>29</v>
      </c>
      <c r="AI20" s="65" t="n">
        <v>28</v>
      </c>
      <c r="AJ20" s="65" t="n">
        <v>27</v>
      </c>
      <c r="AK20" s="65" t="n">
        <v>29</v>
      </c>
      <c r="AL20" s="65" t="n">
        <v>29</v>
      </c>
      <c r="AM20" s="65" t="n">
        <v>24</v>
      </c>
      <c r="AN20" s="65" t="n">
        <v>39</v>
      </c>
      <c r="AO20" s="65" t="n">
        <v>30</v>
      </c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>
        <v>121</v>
      </c>
      <c r="L21" s="65" t="n">
        <v>164</v>
      </c>
      <c r="M21" s="65" t="n">
        <v>149</v>
      </c>
      <c r="N21" s="65" t="n">
        <v>153</v>
      </c>
      <c r="O21" s="65" t="n">
        <v>99</v>
      </c>
      <c r="P21" s="65" t="n">
        <v>179</v>
      </c>
      <c r="Q21" s="65" t="n">
        <v>179</v>
      </c>
      <c r="R21" s="65" t="n">
        <v>148</v>
      </c>
      <c r="S21" s="65" t="n">
        <v>99</v>
      </c>
      <c r="T21" s="65" t="n">
        <v>156</v>
      </c>
      <c r="U21" s="65" t="n">
        <v>153</v>
      </c>
      <c r="V21" s="65" t="n"/>
      <c r="W21" s="65" t="n">
        <v>107</v>
      </c>
      <c r="X21" s="65" t="n"/>
      <c r="Y21" s="65" t="n"/>
      <c r="Z21" s="65" t="n"/>
      <c r="AA21" s="65" t="n">
        <v>194</v>
      </c>
      <c r="AB21" s="65" t="n">
        <v>200</v>
      </c>
      <c r="AC21" s="65" t="n">
        <v>207</v>
      </c>
      <c r="AD21" s="65" t="n">
        <v>193</v>
      </c>
      <c r="AE21" s="65" t="n">
        <v>198</v>
      </c>
      <c r="AF21" s="65" t="n">
        <v>211</v>
      </c>
      <c r="AG21" s="65" t="n">
        <v>191</v>
      </c>
      <c r="AH21" s="65" t="n">
        <v>197</v>
      </c>
      <c r="AI21" s="65" t="n">
        <v>163</v>
      </c>
      <c r="AJ21" s="65" t="n">
        <v>224</v>
      </c>
      <c r="AK21" s="65" t="n">
        <v>194</v>
      </c>
      <c r="AL21" s="65" t="n">
        <v>166</v>
      </c>
      <c r="AM21" s="65" t="n">
        <v>112</v>
      </c>
      <c r="AN21" s="65" t="n">
        <v>111</v>
      </c>
      <c r="AO21" s="65" t="n">
        <v>139</v>
      </c>
    </row>
    <row r="22">
      <c r="A22" s="64" t="inlineStr">
        <is>
          <t>총 차입금</t>
        </is>
      </c>
      <c r="B22" s="65" t="n"/>
      <c r="C22" s="65" t="n"/>
      <c r="D22" s="65" t="n"/>
      <c r="E22" s="65" t="n"/>
      <c r="F22" s="65" t="n"/>
      <c r="G22" s="65" t="n">
        <v>0.2</v>
      </c>
      <c r="H22" s="65" t="n"/>
      <c r="I22" s="65" t="n"/>
      <c r="J22" s="65" t="n"/>
      <c r="K22" s="65" t="n">
        <v>0.7</v>
      </c>
      <c r="L22" s="65" t="n">
        <v>0</v>
      </c>
      <c r="M22" s="65" t="n">
        <v>0</v>
      </c>
      <c r="N22" s="65" t="n">
        <v>0</v>
      </c>
      <c r="O22" s="65" t="n">
        <v>0.6000000000000001</v>
      </c>
      <c r="P22" s="65" t="n">
        <v>10</v>
      </c>
      <c r="Q22" s="65" t="n">
        <v>10</v>
      </c>
      <c r="R22" s="65" t="n">
        <v>10</v>
      </c>
      <c r="S22" s="65" t="n">
        <v>11</v>
      </c>
      <c r="T22" s="65" t="n">
        <v>10</v>
      </c>
      <c r="U22" s="65" t="n">
        <v>9.800000000000001</v>
      </c>
      <c r="V22" s="65" t="n">
        <v>9.5</v>
      </c>
      <c r="W22" s="65" t="n">
        <v>10.3</v>
      </c>
      <c r="X22" s="65" t="n">
        <v>9</v>
      </c>
      <c r="Y22" s="65" t="n">
        <v>0.7</v>
      </c>
      <c r="Z22" s="65" t="n">
        <v>1</v>
      </c>
      <c r="AA22" s="65" t="n">
        <v>0.8999999999999999</v>
      </c>
      <c r="AB22" s="65" t="n">
        <v>0</v>
      </c>
      <c r="AC22" s="65" t="n">
        <v>0.6</v>
      </c>
      <c r="AD22" s="65" t="n">
        <v>0.8</v>
      </c>
      <c r="AE22" s="65" t="n">
        <v>0.7</v>
      </c>
      <c r="AF22" s="65" t="n">
        <v>0</v>
      </c>
      <c r="AG22" s="65" t="n">
        <v>0.3</v>
      </c>
      <c r="AH22" s="65" t="n">
        <v>0.7</v>
      </c>
      <c r="AI22" s="65" t="n">
        <v>0.3</v>
      </c>
      <c r="AJ22" s="65" t="n">
        <v>0</v>
      </c>
      <c r="AK22" s="65" t="n">
        <v>0.2</v>
      </c>
      <c r="AL22" s="65" t="n">
        <v>0</v>
      </c>
      <c r="AM22" s="65" t="n">
        <v>0.2</v>
      </c>
      <c r="AN22" s="65" t="n">
        <v>0</v>
      </c>
      <c r="AO22" s="65" t="n">
        <v>0.5</v>
      </c>
    </row>
    <row r="23">
      <c r="A23" s="64" t="inlineStr">
        <is>
          <t>현금</t>
        </is>
      </c>
      <c r="B23" s="65" t="n"/>
      <c r="C23" s="65" t="n"/>
      <c r="D23" s="65" t="n"/>
      <c r="E23" s="65" t="n"/>
      <c r="F23" s="65" t="n"/>
      <c r="G23" s="65" t="n">
        <v>43.5</v>
      </c>
      <c r="H23" s="65" t="n"/>
      <c r="I23" s="65" t="n"/>
      <c r="J23" s="65" t="n"/>
      <c r="K23" s="65" t="n">
        <v>61.2</v>
      </c>
      <c r="L23" s="65" t="n">
        <v>57.9</v>
      </c>
      <c r="M23" s="65" t="n">
        <v>51</v>
      </c>
      <c r="N23" s="65" t="n">
        <v>44.1</v>
      </c>
      <c r="O23" s="65" t="n">
        <v>62.1</v>
      </c>
      <c r="P23" s="65" t="n">
        <v>72.2</v>
      </c>
      <c r="Q23" s="65" t="n">
        <v>76.40000000000001</v>
      </c>
      <c r="R23" s="65" t="n">
        <v>77.5</v>
      </c>
      <c r="S23" s="65" t="n">
        <v>93.8</v>
      </c>
      <c r="T23" s="65" t="n">
        <v>87.09999999999999</v>
      </c>
      <c r="U23" s="65" t="n">
        <v>90.59999999999999</v>
      </c>
      <c r="V23" s="65" t="n">
        <v>87.7</v>
      </c>
      <c r="W23" s="65" t="n">
        <v>80.7</v>
      </c>
      <c r="X23" s="65" t="n">
        <v>72.8</v>
      </c>
      <c r="Y23" s="65" t="n">
        <v>70.5</v>
      </c>
      <c r="Z23" s="65" t="n">
        <v>66.5</v>
      </c>
      <c r="AA23" s="65" t="n">
        <v>75.40000000000001</v>
      </c>
      <c r="AB23" s="65" t="n">
        <v>75.8</v>
      </c>
      <c r="AC23" s="65" t="n">
        <v>78.2</v>
      </c>
      <c r="AD23" s="65" t="n">
        <v>77.90000000000001</v>
      </c>
      <c r="AE23" s="65" t="n">
        <v>86.40000000000001</v>
      </c>
      <c r="AF23" s="65" t="n">
        <v>80.90000000000001</v>
      </c>
      <c r="AG23" s="65" t="n">
        <v>87.40000000000001</v>
      </c>
      <c r="AH23" s="65" t="n">
        <v>79.90000000000001</v>
      </c>
      <c r="AI23" s="65" t="n">
        <v>49.3</v>
      </c>
      <c r="AJ23" s="65" t="n">
        <v>84.7</v>
      </c>
      <c r="AK23" s="65" t="n">
        <v>91.90000000000001</v>
      </c>
      <c r="AL23" s="65" t="n">
        <v>76.09999999999999</v>
      </c>
      <c r="AM23" s="65" t="n">
        <v>95.7</v>
      </c>
      <c r="AN23" s="65" t="n">
        <v>93</v>
      </c>
      <c r="AO23" s="65" t="n">
        <v>83.7</v>
      </c>
    </row>
    <row r="24">
      <c r="A24" s="64" t="inlineStr">
        <is>
          <t>부문별 매출 · BentoniteDivisionReportableSegmentMember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29</v>
      </c>
      <c r="AC24" s="65" t="n">
        <v>28.9</v>
      </c>
      <c r="AD24" s="65" t="n">
        <v>29.7</v>
      </c>
      <c r="AE24" s="65" t="n">
        <v>25.7</v>
      </c>
      <c r="AF24" s="65" t="n">
        <v>27.5</v>
      </c>
      <c r="AG24" s="65" t="n">
        <v>26.7</v>
      </c>
      <c r="AH24" s="65" t="n">
        <v>28.5</v>
      </c>
      <c r="AI24" s="65" t="n">
        <v>28.3</v>
      </c>
      <c r="AJ24" s="65" t="n">
        <v>28.1</v>
      </c>
      <c r="AK24" s="65" t="n">
        <v>29.2</v>
      </c>
      <c r="AL24" s="65" t="n">
        <v>31.2</v>
      </c>
      <c r="AM24" s="65" t="n">
        <v>29.9</v>
      </c>
      <c r="AN24" s="65" t="n">
        <v>30.8</v>
      </c>
      <c r="AO24" s="65" t="n">
        <v>30</v>
      </c>
      <c r="AP24" s="61" t="inlineStr">
        <is>
          <t>결산단신 부문 정보(외부 고객 매출)</t>
        </is>
      </c>
    </row>
    <row r="25">
      <c r="A25" s="64" t="inlineStr">
        <is>
          <t>부문별 매출 · ClayscienceDivisionReportableSegmentMember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3.5</v>
      </c>
      <c r="AC25" s="65" t="n"/>
      <c r="AD25" s="65" t="n"/>
      <c r="AE25" s="65" t="n">
        <v>4.8</v>
      </c>
      <c r="AF25" s="65" t="n">
        <v>5</v>
      </c>
      <c r="AG25" s="65" t="n"/>
      <c r="AH25" s="65" t="n"/>
      <c r="AI25" s="65" t="n">
        <v>3.6</v>
      </c>
      <c r="AJ25" s="65" t="n">
        <v>4.2</v>
      </c>
      <c r="AK25" s="65" t="n"/>
      <c r="AL25" s="65" t="n"/>
      <c r="AM25" s="65" t="n">
        <v>4.5</v>
      </c>
      <c r="AN25" s="65" t="n">
        <v>4.9</v>
      </c>
      <c r="AO25" s="65" t="n"/>
      <c r="AP25" s="61" t="inlineStr">
        <is>
          <t>결산단신 부문 정보(외부 고객 매출)</t>
        </is>
      </c>
    </row>
    <row r="26">
      <c r="A26" s="64" t="inlineStr">
        <is>
          <t>부문별 매출 · AgricultureDivisionReportableSegmentMember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4.2</v>
      </c>
      <c r="AC26" s="65" t="n">
        <v>4.2</v>
      </c>
      <c r="AD26" s="65" t="n">
        <v>9.1</v>
      </c>
      <c r="AE26" s="65" t="n">
        <v>9.5</v>
      </c>
      <c r="AF26" s="65" t="n">
        <v>4.1</v>
      </c>
      <c r="AG26" s="65" t="n">
        <v>5.3</v>
      </c>
      <c r="AH26" s="65" t="n">
        <v>8.5</v>
      </c>
      <c r="AI26" s="65" t="n">
        <v>10.2</v>
      </c>
      <c r="AJ26" s="65" t="n">
        <v>4.9</v>
      </c>
      <c r="AK26" s="65" t="n">
        <v>6.1</v>
      </c>
      <c r="AL26" s="65" t="n">
        <v>11.1</v>
      </c>
      <c r="AM26" s="65" t="n">
        <v>12.4</v>
      </c>
      <c r="AN26" s="65" t="n">
        <v>6.1</v>
      </c>
      <c r="AO26" s="65" t="n">
        <v>9.1</v>
      </c>
      <c r="AP26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2026-10-30T11:10:48Z</dcterms:created>
  <dcterms:modified xmlns:dcterms="http://purl.org/dc/terms/" xmlns:xsi="http://www.w3.org/2001/XMLSchema-instance" xsi:type="dcterms:W3CDTF">2026-10-30T11:12:00Z</dcterms:modified>
</cp:coreProperties>
</file>