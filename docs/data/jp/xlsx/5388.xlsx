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섹터 데이터" sheetId="3" state="visible" r:id="rId3"/>
    <sheet xmlns:r="http://schemas.openxmlformats.org/officeDocument/2006/relationships" name="출처" sheetId="4" state="visible" r:id="rId4"/>
    <sheet xmlns:r="http://schemas.openxmlformats.org/officeDocument/2006/relationships" name="재무제표 한눈에 보기" sheetId="5" state="visible" r:id="rId5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  <numFmt numFmtId="169" formatCode="#,##0.0;\(#,##0.0\);&quot;-&quot;"/>
    <numFmt numFmtId="170" formatCode="0.0&quot;%&quot;"/>
  </numFmts>
  <fonts count="25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color rgb="FFFF0000"/>
      <sz val="9"/>
    </font>
    <font>
      <name val="맑은 고딕"/>
      <b val="1"/>
      <color rgb="FFFFFFFF"/>
      <sz val="11"/>
    </font>
    <font>
      <name val="맑은 고딕"/>
      <b val="1"/>
      <sz val="10"/>
    </font>
    <font>
      <name val="맑은 고딕"/>
      <sz val="11"/>
    </font>
    <font>
      <name val="맑은 고딕"/>
      <color rgb="FF808080"/>
      <sz val="9"/>
    </font>
    <font>
      <name val="맑은 고딕"/>
      <b val="1"/>
      <sz val="12"/>
    </font>
    <font>
      <name val="맑은 고딕"/>
      <color rgb="00666666"/>
      <sz val="8"/>
    </font>
    <font>
      <name val="맑은 고딕"/>
      <b val="1"/>
      <sz val="9"/>
    </font>
    <font>
      <name val="맑은 고딕"/>
      <sz val="9"/>
    </font>
  </fonts>
  <fills count="9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808080"/>
      </patternFill>
    </fill>
    <fill>
      <patternFill patternType="solid">
        <fgColor rgb="FFD9D9D9"/>
      </patternFill>
    </fill>
    <fill>
      <patternFill patternType="solid">
        <fgColor rgb="00D9E1F2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0" borderId="0" pivotButton="0" quotePrefix="0" xfId="0"/>
    <xf numFmtId="0" fontId="17" fillId="6" borderId="0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9" fillId="0" borderId="0" pivotButton="0" quotePrefix="0" xfId="0"/>
    <xf numFmtId="169" fontId="19" fillId="0" borderId="0" applyAlignment="1" pivotButton="0" quotePrefix="0" xfId="0">
      <alignment horizontal="center" vertical="center"/>
    </xf>
    <xf numFmtId="0" fontId="20" fillId="0" borderId="0" pivotButton="0" quotePrefix="0" xfId="0"/>
    <xf numFmtId="3" fontId="19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7" borderId="0" pivotButton="0" quotePrefix="0" xfId="0"/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3" fillId="8" borderId="0" applyAlignment="1" pivotButton="0" quotePrefix="0" xfId="0">
      <alignment horizontal="center"/>
    </xf>
    <xf numFmtId="0" fontId="24" fillId="0" borderId="0" pivotButton="0" quotePrefix="0" xfId="0"/>
    <xf numFmtId="3" fontId="24" fillId="0" borderId="0" pivotButton="0" quotePrefix="0" xfId="0"/>
    <xf numFmtId="170" fontId="24" fillId="0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매출액 (억 엔) · 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보기'!A5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보기'!$B$5:$AO$5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보기'!A6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보기'!$B$6:$AO$6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부문별 매출 (억 엔)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'재무제표 한눈에 보기'!A24</f>
            </strRef>
          </tx>
          <spPr>
            <a:ln xmlns:a="http://schemas.openxmlformats.org/drawingml/2006/main" w="22000">
              <a:solidFill>
                <a:srgbClr val="4472C4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4472C4"/>
              </a:solidFill>
              <a:ln xmlns:a="http://schemas.openxmlformats.org/drawingml/2006/main">
                <a:solidFill>
                  <a:srgbClr val="4472C4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보기'!$B$24:$AO$24</f>
            </numRef>
          </val>
          <smooth val="0"/>
        </ser>
        <ser>
          <idx val="1"/>
          <order val="1"/>
          <tx>
            <strRef>
              <f>'재무제표 한눈에 보기'!A25</f>
            </strRef>
          </tx>
          <spPr>
            <a:ln xmlns:a="http://schemas.openxmlformats.org/drawingml/2006/main" w="22000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보기'!$B$25:$AO$25</f>
            </numRef>
          </val>
          <smooth val="0"/>
        </ser>
        <ser>
          <idx val="2"/>
          <order val="2"/>
          <tx>
            <strRef>
              <f>'재무제표 한눈에 보기'!A26</f>
            </strRef>
          </tx>
          <spPr>
            <a:ln xmlns:a="http://schemas.openxmlformats.org/drawingml/2006/main" w="22000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cat>
            <numRef>
              <f>'재무제표 한눈에 보기'!$B$4:$AO$4</f>
            </numRef>
          </cat>
          <val>
            <numRef>
              <f>'재무제표 한눈에 보기'!$B$26:$AO$26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legend>
      <legendPos val="t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영업이익 (억 엔) · OPM·YoY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보기'!A7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보기'!$B$7:$AO$7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1"/>
          <order val="1"/>
          <tx>
            <strRef>
              <f>'재무제표 한눈에 보기'!A8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ED7D31"/>
              </a:solidFill>
              <a:ln xmlns:a="http://schemas.openxmlformats.org/drawingml/2006/main">
                <a:solidFill>
                  <a:srgbClr val="ED7D31"/>
                </a:solidFill>
                <a:prstDash val="solid"/>
              </a:ln>
            </spPr>
          </marker>
          <val>
            <numRef>
              <f>'재무제표 한눈에 보기'!$B$8:$AO$8</f>
            </numRef>
          </val>
          <smooth val="0"/>
        </ser>
        <ser>
          <idx val="2"/>
          <order val="2"/>
          <tx>
            <strRef>
              <f>'재무제표 한눈에 보기'!A9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보기'!$B$9:$AO$9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재무 안정성 — 총 차입금·현금 (억 엔) · 부채비율 (%)</a:t>
            </a:r>
          </a:p>
        </rich>
      </tx>
    </title>
    <plotArea>
      <barChart>
        <barDir val="col"/>
        <grouping val="clustered"/>
        <varyColors val="0"/>
        <ser>
          <idx val="0"/>
          <order val="0"/>
          <tx>
            <strRef>
              <f>'재무제표 한눈에 보기'!A22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solidFill>
                <a:srgbClr val="4472C4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보기'!$B$22:$AO$22</f>
            </numRef>
          </val>
        </ser>
        <ser>
          <idx val="1"/>
          <order val="1"/>
          <tx>
            <strRef>
              <f>'재무제표 한눈에 보기'!A23</f>
            </strRef>
          </tx>
          <spPr>
            <a:solidFill xmlns:a="http://schemas.openxmlformats.org/drawingml/2006/main">
              <a:srgbClr val="ED7D31"/>
            </a:solidFill>
            <a:ln xmlns:a="http://schemas.openxmlformats.org/drawingml/2006/main">
              <a:solidFill>
                <a:srgbClr val="ED7D31"/>
              </a:solidFill>
              <a:prstDash val="solid"/>
            </a:ln>
          </spPr>
          <cat>
            <numRef>
              <f>'재무제표 한눈에 보기'!$B$4:$AO$4</f>
            </numRef>
          </cat>
          <val>
            <numRef>
              <f>'재무제표 한눈에 보기'!$B$23:$AO$23</f>
            </numRef>
          </val>
        </ser>
        <dLbls>
          <numFmt formatCode="#,##0"/>
          <dLblPos val="outEnd"/>
          <showLegendKey val="0"/>
          <showVal val="1"/>
          <showCatName val="0"/>
          <showSerName val="0"/>
        </dLbls>
        <gapWidth val="40"/>
        <axId val="10"/>
        <axId val="100"/>
      </barChart>
      <lineChart>
        <grouping val="standard"/>
        <ser>
          <idx val="2"/>
          <order val="2"/>
          <tx>
            <strRef>
              <f>'재무제표 한눈에 보기'!A15</f>
            </strRef>
          </tx>
          <spPr>
            <a:ln xmlns:a="http://schemas.openxmlformats.org/drawingml/2006/main">
              <a:solidFill>
                <a:srgbClr val="A5A5A5"/>
              </a:solidFill>
              <a:prstDash val="solid"/>
            </a:ln>
          </spPr>
          <marker>
            <symbol val="circle"/>
            <size val="5"/>
            <spPr>
              <a:solidFill xmlns:a="http://schemas.openxmlformats.org/drawingml/2006/main">
                <a:srgbClr val="A5A5A5"/>
              </a:solidFill>
              <a:ln xmlns:a="http://schemas.openxmlformats.org/drawingml/2006/main">
                <a:solidFill>
                  <a:srgbClr val="A5A5A5"/>
                </a:solidFill>
                <a:prstDash val="solid"/>
              </a:ln>
            </spPr>
          </marker>
          <val>
            <numRef>
              <f>'재무제표 한눈에 보기'!$B$15:$AO$15</f>
            </numRef>
          </val>
          <smooth val="0"/>
        </ser>
        <dLbls>
          <numFmt formatCode="0&quot;%&quot;"/>
          <dLblPos val="t"/>
          <showLegendKey val="0"/>
          <showVal val="1"/>
          <showCatName val="0"/>
          <showSerName val="0"/>
        </dLbls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t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28</row>
      <rowOff>0</rowOff>
    </from>
    <ext cx="86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22</col>
      <colOff>0</colOff>
      <row>28</row>
      <rowOff>0</rowOff>
    </from>
    <ext cx="86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47</row>
      <rowOff>0</rowOff>
    </from>
    <ext cx="8640000" cy="32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22</col>
      <colOff>0</colOff>
      <row>47</row>
      <rowOff>0</rowOff>
    </from>
    <ext cx="8640000" cy="32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56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5388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2027.2Q = 2027년 3월 결산기 2분기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2024.3Q</t>
        </is>
      </c>
      <c r="D3" s="5" t="inlineStr">
        <is>
          <t>2024.4Q</t>
        </is>
      </c>
      <c r="E3" s="5" t="inlineStr">
        <is>
          <t>2025.1Q</t>
        </is>
      </c>
      <c r="F3" s="5" t="inlineStr">
        <is>
          <t>2025.2Q</t>
        </is>
      </c>
      <c r="G3" s="5" t="inlineStr">
        <is>
          <t>2025.3Q</t>
        </is>
      </c>
      <c r="H3" s="5" t="inlineStr">
        <is>
          <t>2025.4Q</t>
        </is>
      </c>
      <c r="I3" s="5" t="inlineStr">
        <is>
          <t>2026.1Q</t>
        </is>
      </c>
      <c r="J3" s="5" t="inlineStr">
        <is>
          <t>2026.2Q</t>
        </is>
      </c>
      <c r="K3" s="5" t="inlineStr">
        <is>
          <t>2026.3Q</t>
        </is>
      </c>
      <c r="L3" s="5" t="inlineStr">
        <is>
          <t>2026.4Q</t>
        </is>
      </c>
      <c r="M3" s="5" t="inlineStr">
        <is>
          <t>2027.1Q</t>
        </is>
      </c>
      <c r="N3" s="5" t="inlineStr">
        <is>
          <t>2027.2Q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4272.208</v>
      </c>
      <c r="D4" s="12" t="n">
        <v>2827.84</v>
      </c>
      <c r="E4" s="12" t="n">
        <v>3652.502</v>
      </c>
      <c r="F4" s="12" t="n">
        <v>3711.708</v>
      </c>
      <c r="G4" s="12" t="n">
        <v>4130.223</v>
      </c>
      <c r="H4" s="12" t="n">
        <v>4213.19</v>
      </c>
      <c r="I4" s="12" t="n">
        <v>3719.887</v>
      </c>
      <c r="J4" s="12" t="n">
        <v>3992.776</v>
      </c>
      <c r="K4" s="12" t="n">
        <v>4686.943</v>
      </c>
      <c r="L4" s="12" t="n">
        <v>4675.883</v>
      </c>
      <c r="M4" s="12" t="n">
        <v>4184.198</v>
      </c>
      <c r="N4" s="12" t="n">
        <v>4418.417</v>
      </c>
      <c r="O4" s="11" t="n">
        <v>12930.314</v>
      </c>
      <c r="P4" s="12" t="n">
        <v>13736.698</v>
      </c>
      <c r="Q4" s="12" t="n">
        <v>13465.917</v>
      </c>
      <c r="R4" s="12" t="n">
        <v>15440.129</v>
      </c>
      <c r="S4" s="12" t="n">
        <v>14593.834</v>
      </c>
      <c r="T4" s="12" t="n">
        <v>15257.435</v>
      </c>
      <c r="U4" s="12" t="n">
        <v>14172.355</v>
      </c>
      <c r="V4" s="12" t="n">
        <v>14497.668</v>
      </c>
      <c r="W4" s="12" t="n">
        <v>15707.623</v>
      </c>
      <c r="X4" s="12" t="n">
        <v>17075.489</v>
      </c>
      <c r="Y4" s="11">
        <f>IF(COUNT(Y7,Y10,Y13,Y16,Y19)=0,"",SUM(Y7,Y10,Y13,Y16,Y19))</f>
        <v/>
      </c>
      <c r="Z4" s="12">
        <f>IF(COUNT(Z7,Z10,Z13,Z16,Z19)=0,"",SUM(Z7,Z10,Z13,Z16,Z19))</f>
        <v/>
      </c>
      <c r="AA4" s="12">
        <f>IF(COUNT(AA7,AA10,AA13,AA16,AA19)=0,"",SUM(AA7,AA10,AA13,AA16,AA19))</f>
        <v/>
      </c>
      <c r="AB4" s="12">
        <f>IF(COUNT(AB7,AB10,AB13,AB16,AB19)=0,"",SUM(AB7,AB10,AB13,AB16,AB19))</f>
        <v/>
      </c>
      <c r="AC4" s="12">
        <f>IF(COUNT(AC7,AC10,AC13,AC16,AC19)=0,"",SUM(AC7,AC10,AC13,AC16,AC19))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BentoniteDivisionReportableSegmentMember</t>
        </is>
      </c>
      <c r="B7" s="10" t="n"/>
      <c r="C7" s="19" t="n">
        <v>2971.464</v>
      </c>
      <c r="D7" s="20" t="n">
        <v>2572.373</v>
      </c>
      <c r="E7" s="20" t="n">
        <v>2746.237</v>
      </c>
      <c r="F7" s="20" t="n">
        <v>2666.788</v>
      </c>
      <c r="G7" s="20" t="n">
        <v>2847.642</v>
      </c>
      <c r="H7" s="20" t="n">
        <v>2833.553</v>
      </c>
      <c r="I7" s="20" t="n">
        <v>2812.934</v>
      </c>
      <c r="J7" s="20" t="n">
        <v>2923.791</v>
      </c>
      <c r="K7" s="20" t="n">
        <v>3120.468</v>
      </c>
      <c r="L7" s="20" t="n">
        <v>2985.13</v>
      </c>
      <c r="M7" s="20" t="n">
        <v>3077.58</v>
      </c>
      <c r="N7" s="20" t="n">
        <v>2998.835</v>
      </c>
      <c r="O7" s="19" t="n"/>
      <c r="P7" s="20" t="n"/>
      <c r="Q7" s="20" t="n"/>
      <c r="R7" s="20" t="n"/>
      <c r="S7" s="20" t="n"/>
      <c r="T7" s="20" t="n"/>
      <c r="U7" s="20" t="n"/>
      <c r="V7" s="20" t="n">
        <v>11329.123</v>
      </c>
      <c r="W7" s="20" t="n">
        <v>11094.22</v>
      </c>
      <c r="X7" s="20" t="n">
        <v>11842.323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ClayscienceDivisionReportableSegmentMember</t>
        </is>
      </c>
      <c r="B10" s="10" t="n"/>
      <c r="C10" s="19" t="n"/>
      <c r="D10" s="20" t="n">
        <v>482.807</v>
      </c>
      <c r="E10" s="20" t="n">
        <v>500.431</v>
      </c>
      <c r="F10" s="20" t="n"/>
      <c r="G10" s="20" t="n"/>
      <c r="H10" s="20" t="n">
        <v>355.922</v>
      </c>
      <c r="I10" s="20" t="n">
        <v>420.683</v>
      </c>
      <c r="J10" s="20" t="n"/>
      <c r="K10" s="20" t="n"/>
      <c r="L10" s="20" t="n">
        <v>449.698</v>
      </c>
      <c r="M10" s="20" t="n">
        <v>492.183</v>
      </c>
      <c r="N10" s="20" t="n"/>
      <c r="O10" s="19" t="n"/>
      <c r="P10" s="20" t="n"/>
      <c r="Q10" s="20" t="n"/>
      <c r="R10" s="20" t="n"/>
      <c r="S10" s="20" t="n"/>
      <c r="T10" s="20" t="n"/>
      <c r="U10" s="20" t="n"/>
      <c r="V10" s="20" t="n">
        <v>1642.335</v>
      </c>
      <c r="W10" s="20" t="n">
        <v>1808.894</v>
      </c>
      <c r="X10" s="20" t="n">
        <v>1788.188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ClayReportableSegmentMember</t>
        </is>
      </c>
      <c r="B13" s="10" t="n"/>
      <c r="C13" s="19" t="n"/>
      <c r="D13" s="20" t="n"/>
      <c r="E13" s="20" t="n"/>
      <c r="F13" s="20" t="n"/>
      <c r="G13" s="20" t="n"/>
      <c r="H13" s="20" t="n"/>
      <c r="I13" s="20" t="n"/>
      <c r="J13" s="20" t="n"/>
      <c r="K13" s="20" t="n"/>
      <c r="L13" s="20" t="n"/>
      <c r="M13" s="20" t="n"/>
      <c r="N13" s="20" t="n"/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/>
      <c r="X13" s="20" t="n"/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AgricultureDivisionReportableSegmentMember</t>
        </is>
      </c>
      <c r="B16" s="10" t="n"/>
      <c r="C16" s="19" t="n">
        <v>914.583</v>
      </c>
      <c r="D16" s="20" t="n">
        <v>950.239</v>
      </c>
      <c r="E16" s="20" t="n">
        <v>405.833</v>
      </c>
      <c r="F16" s="20" t="n">
        <v>529.082</v>
      </c>
      <c r="G16" s="20" t="n">
        <v>845.878</v>
      </c>
      <c r="H16" s="20" t="n">
        <v>1023.715</v>
      </c>
      <c r="I16" s="20" t="n">
        <v>486.269</v>
      </c>
      <c r="J16" s="20" t="n">
        <v>606.5940000000001</v>
      </c>
      <c r="K16" s="20" t="n">
        <v>1111.059</v>
      </c>
      <c r="L16" s="20" t="n">
        <v>1241.055</v>
      </c>
      <c r="M16" s="20" t="n">
        <v>614.434</v>
      </c>
      <c r="N16" s="20" t="n">
        <v>908.65</v>
      </c>
      <c r="O16" s="19" t="n"/>
      <c r="P16" s="20" t="n"/>
      <c r="Q16" s="20" t="n"/>
      <c r="R16" s="20" t="n"/>
      <c r="S16" s="20" t="n"/>
      <c r="T16" s="20" t="n"/>
      <c r="U16" s="20" t="n"/>
      <c r="V16" s="20" t="n">
        <v>2703.789</v>
      </c>
      <c r="W16" s="20" t="n">
        <v>2804.508</v>
      </c>
      <c r="X16" s="20" t="n">
        <v>3444.977</v>
      </c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EntityTotalMember</t>
        </is>
      </c>
      <c r="B19" s="10" t="n"/>
      <c r="C19" s="19" t="n"/>
      <c r="D19" s="20" t="n"/>
      <c r="E19" s="20" t="n">
        <v>3652.502</v>
      </c>
      <c r="F19" s="20" t="n"/>
      <c r="G19" s="20" t="n"/>
      <c r="H19" s="20" t="n"/>
      <c r="I19" s="20" t="n">
        <v>3719.887</v>
      </c>
      <c r="J19" s="20" t="n"/>
      <c r="K19" s="20" t="n"/>
      <c r="L19" s="20" t="n"/>
      <c r="M19" s="20" t="n">
        <v>4184.198</v>
      </c>
      <c r="N19" s="20" t="n"/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/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6" t="inlineStr">
        <is>
          <t>매출원가</t>
        </is>
      </c>
      <c r="B22" s="16" t="n"/>
      <c r="C22" s="17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7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7" t="n"/>
      <c r="Z22" s="16" t="n"/>
      <c r="AA22" s="16" t="n"/>
      <c r="AB22" s="16" t="n"/>
      <c r="AC22" s="16" t="n"/>
    </row>
    <row r="23">
      <c r="A23" s="18" t="inlineStr">
        <is>
          <t>전체 매출원가</t>
        </is>
      </c>
      <c r="B23" s="10" t="n"/>
      <c r="C23" s="19" t="n">
        <v>3014.957</v>
      </c>
      <c r="D23" s="20" t="n">
        <v>2221.671</v>
      </c>
      <c r="E23" s="20" t="n">
        <v>2635.405</v>
      </c>
      <c r="F23" s="20" t="n">
        <v>2687.709</v>
      </c>
      <c r="G23" s="20" t="n">
        <v>2928.707</v>
      </c>
      <c r="H23" s="20" t="n">
        <v>2994.078</v>
      </c>
      <c r="I23" s="20" t="n">
        <v>2669.946</v>
      </c>
      <c r="J23" s="20" t="n">
        <v>2900.728</v>
      </c>
      <c r="K23" s="20" t="n">
        <v>3228.221</v>
      </c>
      <c r="L23" s="20" t="n">
        <v>3271.818</v>
      </c>
      <c r="M23" s="20" t="n">
        <v>2951.894</v>
      </c>
      <c r="N23" s="20" t="n">
        <v>3119.125</v>
      </c>
      <c r="O23" s="19" t="n">
        <v>8662.688</v>
      </c>
      <c r="P23" s="20" t="n">
        <v>9092.755999999999</v>
      </c>
      <c r="Q23" s="20" t="n">
        <v>9432.183999999999</v>
      </c>
      <c r="R23" s="20" t="n">
        <v>10387.948</v>
      </c>
      <c r="S23" s="20" t="n">
        <v>9405.365</v>
      </c>
      <c r="T23" s="20" t="n">
        <v>10522.213</v>
      </c>
      <c r="U23" s="20" t="n">
        <v>10593.403</v>
      </c>
      <c r="V23" s="20" t="n">
        <v>10606.391</v>
      </c>
      <c r="W23" s="20" t="n">
        <v>11245.899</v>
      </c>
      <c r="X23" s="20" t="n">
        <v>12070.713</v>
      </c>
      <c r="Y23" s="19" t="n"/>
      <c r="Z23" s="20" t="n"/>
      <c r="AA23" s="20" t="n"/>
      <c r="AB23" s="20" t="n"/>
      <c r="AC23" s="20" t="n"/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IF(OR(G23="",C23=""),"",IF(C23&lt;=0,"",IFERROR(G23/C23-1,"")))</f>
        <v/>
      </c>
      <c r="H24" s="15">
        <f>IF(OR(H23="",D23=""),"",IF(D23&lt;=0,"",IFERROR(H23/D23-1,"")))</f>
        <v/>
      </c>
      <c r="I24" s="15">
        <f>IF(OR(I23="",E23=""),"",IF(E23&lt;=0,"",IFERROR(I23/E23-1,"")))</f>
        <v/>
      </c>
      <c r="J24" s="15">
        <f>IF(OR(J23="",F23=""),"",IF(F23&lt;=0,"",IFERROR(J23/F23-1,"")))</f>
        <v/>
      </c>
      <c r="K24" s="15">
        <f>IF(OR(K23="",G23=""),"",IF(G23&lt;=0,"",IFERROR(K23/G23-1,"")))</f>
        <v/>
      </c>
      <c r="L24" s="15">
        <f>IF(OR(L23="",H23=""),"",IF(H23&lt;=0,"",IFERROR(L23/H23-1,"")))</f>
        <v/>
      </c>
      <c r="M24" s="15">
        <f>IF(OR(M23="",I23=""),"",IF(I23&lt;=0,"",IFERROR(M23/I23-1,"")))</f>
        <v/>
      </c>
      <c r="N24" s="15">
        <f>IF(OR(N23="",J23=""),"",IF(J23&lt;=0,"",IFERROR(N23/J23-1,"")))</f>
        <v/>
      </c>
      <c r="O24" s="14" t="n"/>
      <c r="P24" s="15">
        <f>IF(OR(P23="",O23=""),"",IF(O23&lt;=0,"",IFERROR(P23/O23-1,"")))</f>
        <v/>
      </c>
      <c r="Q24" s="15">
        <f>IF(OR(Q23="",P23=""),"",IF(P23&lt;=0,"",IFERROR(Q23/P23-1,"")))</f>
        <v/>
      </c>
      <c r="R24" s="15">
        <f>IF(OR(R23="",Q23=""),"",IF(Q23&lt;=0,"",IFERROR(R23/Q23-1,"")))</f>
        <v/>
      </c>
      <c r="S24" s="15">
        <f>IF(OR(S23="",R23=""),"",IF(R23&lt;=0,"",IFERROR(S23/R23-1,"")))</f>
        <v/>
      </c>
      <c r="T24" s="15">
        <f>IF(OR(T23="",S23=""),"",IF(S23&lt;=0,"",IFERROR(T23/S23-1,"")))</f>
        <v/>
      </c>
      <c r="U24" s="15">
        <f>IF(OR(U23="",T23=""),"",IF(T23&lt;=0,"",IFERROR(U23/T23-1,"")))</f>
        <v/>
      </c>
      <c r="V24" s="15">
        <f>IF(OR(V23="",U23=""),"",IF(U23&lt;=0,"",IFERROR(V23/U23-1,"")))</f>
        <v/>
      </c>
      <c r="W24" s="15">
        <f>IF(OR(W23="",V23=""),"",IF(V23&lt;=0,"",IFERROR(W23/V23-1,"")))</f>
        <v/>
      </c>
      <c r="X24" s="15">
        <f>IF(OR(X23="",W23=""),"",IF(W23&lt;=0,"",IFERROR(X23/W23-1,"")))</f>
        <v/>
      </c>
      <c r="Y24" s="14">
        <f>IF(OR(Y23="",X23=""),"",IF(X23&lt;=0,"",IFERROR(Y23/X23-1,"")))</f>
        <v/>
      </c>
      <c r="Z24" s="15">
        <f>IF(OR(Z23="",Y23=""),"",IF(Y23&lt;=0,"",IFERROR(Z23/Y23-1,"")))</f>
        <v/>
      </c>
      <c r="AA24" s="15">
        <f>IF(OR(AA23="",Z23=""),"",IF(Z23&lt;=0,"",IFERROR(AA23/Z23-1,"")))</f>
        <v/>
      </c>
      <c r="AB24" s="15">
        <f>IF(OR(AB23="",AA23=""),"",IF(AA23&lt;=0,"",IFERROR(AB23/AA23-1,"")))</f>
        <v/>
      </c>
      <c r="AC24" s="15">
        <f>IF(OR(AC23="",AB23=""),"",IF(AB23&lt;=0,"",IFERROR(AC23/AB23-1,"")))</f>
        <v/>
      </c>
    </row>
    <row r="25">
      <c r="A25" s="18" t="inlineStr">
        <is>
          <t>매출총이익</t>
        </is>
      </c>
      <c r="B25" s="10" t="n"/>
      <c r="C25" s="19">
        <f>IF(OR(C4="",C23=""),"",IFERROR(C4-C23,""))</f>
        <v/>
      </c>
      <c r="D25" s="20">
        <f>IF(OR(D4="",D23=""),"",IFERROR(D4-D23,""))</f>
        <v/>
      </c>
      <c r="E25" s="20">
        <f>IF(OR(E4="",E23=""),"",IFERROR(E4-E23,""))</f>
        <v/>
      </c>
      <c r="F25" s="20">
        <f>IF(OR(F4="",F23=""),"",IFERROR(F4-F23,""))</f>
        <v/>
      </c>
      <c r="G25" s="20">
        <f>IF(OR(G4="",G23=""),"",IFERROR(G4-G23,""))</f>
        <v/>
      </c>
      <c r="H25" s="20">
        <f>IF(OR(H4="",H23=""),"",IFERROR(H4-H23,""))</f>
        <v/>
      </c>
      <c r="I25" s="20">
        <f>IF(OR(I4="",I23=""),"",IFERROR(I4-I23,""))</f>
        <v/>
      </c>
      <c r="J25" s="20">
        <f>IF(OR(J4="",J23=""),"",IFERROR(J4-J23,""))</f>
        <v/>
      </c>
      <c r="K25" s="20">
        <f>IF(OR(K4="",K23=""),"",IFERROR(K4-K23,""))</f>
        <v/>
      </c>
      <c r="L25" s="20">
        <f>IF(OR(L4="",L23=""),"",IFERROR(L4-L23,""))</f>
        <v/>
      </c>
      <c r="M25" s="20">
        <f>IF(OR(M4="",M23=""),"",IFERROR(M4-M23,""))</f>
        <v/>
      </c>
      <c r="N25" s="20">
        <f>IF(OR(N4="",N23=""),"",IFERROR(N4-N23,""))</f>
        <v/>
      </c>
      <c r="O25" s="19">
        <f>IF(OR(O4="",O23=""),"",IFERROR(O4-O23,""))</f>
        <v/>
      </c>
      <c r="P25" s="20">
        <f>IF(OR(P4="",P23=""),"",IFERROR(P4-P23,""))</f>
        <v/>
      </c>
      <c r="Q25" s="20">
        <f>IF(OR(Q4="",Q23=""),"",IFERROR(Q4-Q23,""))</f>
        <v/>
      </c>
      <c r="R25" s="20">
        <f>IF(OR(R4="",R23=""),"",IFERROR(R4-R23,""))</f>
        <v/>
      </c>
      <c r="S25" s="20">
        <f>IF(OR(S4="",S23=""),"",IFERROR(S4-S23,""))</f>
        <v/>
      </c>
      <c r="T25" s="20">
        <f>IF(OR(T4="",T23=""),"",IFERROR(T4-T23,""))</f>
        <v/>
      </c>
      <c r="U25" s="20">
        <f>IF(OR(U4="",U23=""),"",IFERROR(U4-U23,""))</f>
        <v/>
      </c>
      <c r="V25" s="20">
        <f>IF(OR(V4="",V23=""),"",IFERROR(V4-V23,""))</f>
        <v/>
      </c>
      <c r="W25" s="20">
        <f>IF(OR(W4="",W23=""),"",IFERROR(W4-W23,""))</f>
        <v/>
      </c>
      <c r="X25" s="20">
        <f>IF(OR(X4="",X23=""),"",IFERROR(X4-X23,""))</f>
        <v/>
      </c>
      <c r="Y25" s="19" t="n"/>
      <c r="Z25" s="20" t="n"/>
      <c r="AA25" s="20" t="n"/>
      <c r="AB25" s="20" t="n"/>
      <c r="AC25" s="20" t="n"/>
    </row>
    <row r="26">
      <c r="A26" s="13" t="inlineStr">
        <is>
          <t>GPM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IF(OR(G25="",C25=""),"",IF(C25&lt;=0,"",IFERROR(G25/C25-1,"")))</f>
        <v/>
      </c>
      <c r="H27" s="15">
        <f>IF(OR(H25="",D25=""),"",IF(D25&lt;=0,"",IFERROR(H25/D25-1,"")))</f>
        <v/>
      </c>
      <c r="I27" s="15">
        <f>IF(OR(I25="",E25=""),"",IF(E25&lt;=0,"",IFERROR(I25/E25-1,"")))</f>
        <v/>
      </c>
      <c r="J27" s="15">
        <f>IF(OR(J25="",F25=""),"",IF(F25&lt;=0,"",IFERROR(J25/F25-1,"")))</f>
        <v/>
      </c>
      <c r="K27" s="15">
        <f>IF(OR(K25="",G25=""),"",IF(G25&lt;=0,"",IFERROR(K25/G25-1,"")))</f>
        <v/>
      </c>
      <c r="L27" s="15">
        <f>IF(OR(L25="",H25=""),"",IF(H25&lt;=0,"",IFERROR(L25/H25-1,"")))</f>
        <v/>
      </c>
      <c r="M27" s="15">
        <f>IF(OR(M25="",I25=""),"",IF(I25&lt;=0,"",IFERROR(M25/I25-1,"")))</f>
        <v/>
      </c>
      <c r="N27" s="15">
        <f>IF(OR(N25="",J25=""),"",IF(J25&lt;=0,"",IFERROR(N25/J25-1,"")))</f>
        <v/>
      </c>
      <c r="O27" s="14" t="n"/>
      <c r="P27" s="15">
        <f>IF(OR(P25="",O25=""),"",IF(O25&lt;=0,"",IFERROR(P25/O25-1,"")))</f>
        <v/>
      </c>
      <c r="Q27" s="15">
        <f>IF(OR(Q25="",P25=""),"",IF(P25&lt;=0,"",IFERROR(Q25/P25-1,"")))</f>
        <v/>
      </c>
      <c r="R27" s="15">
        <f>IF(OR(R25="",Q25=""),"",IF(Q25&lt;=0,"",IFERROR(R25/Q25-1,"")))</f>
        <v/>
      </c>
      <c r="S27" s="15">
        <f>IF(OR(S25="",R25=""),"",IF(R25&lt;=0,"",IFERROR(S25/R25-1,"")))</f>
        <v/>
      </c>
      <c r="T27" s="15">
        <f>IF(OR(T25="",S25=""),"",IF(S25&lt;=0,"",IFERROR(T25/S25-1,"")))</f>
        <v/>
      </c>
      <c r="U27" s="15">
        <f>IF(OR(U25="",T25=""),"",IF(T25&lt;=0,"",IFERROR(U25/T25-1,"")))</f>
        <v/>
      </c>
      <c r="V27" s="15">
        <f>IF(OR(V25="",U25=""),"",IF(U25&lt;=0,"",IFERROR(V25/U25-1,"")))</f>
        <v/>
      </c>
      <c r="W27" s="15">
        <f>IF(OR(W25="",V25=""),"",IF(V25&lt;=0,"",IFERROR(W25/V25-1,"")))</f>
        <v/>
      </c>
      <c r="X27" s="15">
        <f>IF(OR(X25="",W25=""),"",IF(W25&lt;=0,"",IFERROR(X25/W25-1,"")))</f>
        <v/>
      </c>
      <c r="Y27" s="14">
        <f>IF(OR(Y25="",X25=""),"",IF(X25&lt;=0,"",IFERROR(Y25/X25-1,"")))</f>
        <v/>
      </c>
      <c r="Z27" s="15">
        <f>IF(OR(Z25="",Y25=""),"",IF(Y25&lt;=0,"",IFERROR(Z25/Y25-1,"")))</f>
        <v/>
      </c>
      <c r="AA27" s="15">
        <f>IF(OR(AA25="",Z25=""),"",IF(Z25&lt;=0,"",IFERROR(AA25/Z25-1,"")))</f>
        <v/>
      </c>
      <c r="AB27" s="15">
        <f>IF(OR(AB25="",AA25=""),"",IF(AA25&lt;=0,"",IFERROR(AB25/AA25-1,"")))</f>
        <v/>
      </c>
      <c r="AC27" s="15">
        <f>IF(OR(AC25="",AB25=""),"",IF(AB25&lt;=0,"",IFERROR(AC25/AB25-1,"")))</f>
        <v/>
      </c>
    </row>
    <row r="28">
      <c r="A28" s="23" t="inlineStr">
        <is>
          <t>판매관리비</t>
        </is>
      </c>
      <c r="B28" s="23" t="n"/>
      <c r="C28" s="24" t="n"/>
      <c r="D28" s="23" t="n"/>
      <c r="E28" s="23" t="n"/>
      <c r="F28" s="23" t="n"/>
      <c r="G28" s="23" t="n"/>
      <c r="H28" s="23" t="n"/>
      <c r="I28" s="23" t="n"/>
      <c r="J28" s="23" t="n"/>
      <c r="K28" s="23" t="n"/>
      <c r="L28" s="23" t="n"/>
      <c r="M28" s="23" t="n"/>
      <c r="N28" s="23" t="n"/>
      <c r="O28" s="24" t="n"/>
      <c r="P28" s="23" t="n"/>
      <c r="Q28" s="23" t="n"/>
      <c r="R28" s="23" t="n"/>
      <c r="S28" s="23" t="n"/>
      <c r="T28" s="23" t="n"/>
      <c r="U28" s="23" t="n"/>
      <c r="V28" s="23" t="n"/>
      <c r="W28" s="23" t="n"/>
      <c r="X28" s="23" t="n"/>
      <c r="Y28" s="24" t="n"/>
      <c r="Z28" s="23" t="n"/>
      <c r="AA28" s="23" t="n"/>
      <c r="AB28" s="23" t="n"/>
      <c r="AC28" s="23" t="n"/>
    </row>
    <row r="29">
      <c r="A29" s="18" t="inlineStr">
        <is>
          <t>전체 판관비</t>
        </is>
      </c>
      <c r="B29" s="10" t="n"/>
      <c r="C29" s="19" t="n">
        <v>828.729</v>
      </c>
      <c r="D29" s="20" t="n">
        <v>249.218</v>
      </c>
      <c r="E29" s="20" t="n">
        <v>821.032</v>
      </c>
      <c r="F29" s="20" t="n">
        <v>758.389</v>
      </c>
      <c r="G29" s="20" t="n">
        <v>816.085</v>
      </c>
      <c r="H29" s="20" t="n">
        <v>785.513</v>
      </c>
      <c r="I29" s="20" t="n">
        <v>816.6660000000001</v>
      </c>
      <c r="J29" s="20" t="n">
        <v>864.2859999999999</v>
      </c>
      <c r="K29" s="20" t="n">
        <v>910.891</v>
      </c>
      <c r="L29" s="20" t="n">
        <v>810.671</v>
      </c>
      <c r="M29" s="20" t="n">
        <v>871.927</v>
      </c>
      <c r="N29" s="20" t="n">
        <v>890.878</v>
      </c>
      <c r="O29" s="19" t="n">
        <v>2680.629</v>
      </c>
      <c r="P29" s="20" t="n">
        <v>2854.351</v>
      </c>
      <c r="Q29" s="20" t="n">
        <v>2467.876</v>
      </c>
      <c r="R29" s="20" t="n">
        <v>3120.322</v>
      </c>
      <c r="S29" s="20" t="n">
        <v>2941.625</v>
      </c>
      <c r="T29" s="20" t="n">
        <v>3069.106</v>
      </c>
      <c r="U29" s="20" t="n">
        <v>2596.512</v>
      </c>
      <c r="V29" s="20" t="n">
        <v>2695.005</v>
      </c>
      <c r="W29" s="20" t="n">
        <v>3181.019</v>
      </c>
      <c r="X29" s="20" t="n">
        <v>3402.514</v>
      </c>
      <c r="Y29" s="19" t="n"/>
      <c r="Z29" s="20" t="n"/>
      <c r="AA29" s="20" t="n"/>
      <c r="AB29" s="20" t="n"/>
      <c r="AC29" s="20" t="n"/>
    </row>
    <row r="30">
      <c r="A30" s="13" t="inlineStr">
        <is>
          <t>YoY</t>
        </is>
      </c>
      <c r="B30" s="10" t="n"/>
      <c r="C30" s="14" t="n"/>
      <c r="D30" s="15" t="n"/>
      <c r="E30" s="15" t="n"/>
      <c r="F30" s="15" t="n"/>
      <c r="G30" s="15">
        <f>IF(OR(G29="",C29=""),"",IF(C29&lt;=0,"",IFERROR(G29/C29-1,"")))</f>
        <v/>
      </c>
      <c r="H30" s="15">
        <f>IF(OR(H29="",D29=""),"",IF(D29&lt;=0,"",IFERROR(H29/D29-1,"")))</f>
        <v/>
      </c>
      <c r="I30" s="15">
        <f>IF(OR(I29="",E29=""),"",IF(E29&lt;=0,"",IFERROR(I29/E29-1,"")))</f>
        <v/>
      </c>
      <c r="J30" s="15">
        <f>IF(OR(J29="",F29=""),"",IF(F29&lt;=0,"",IFERROR(J29/F29-1,"")))</f>
        <v/>
      </c>
      <c r="K30" s="15">
        <f>IF(OR(K29="",G29=""),"",IF(G29&lt;=0,"",IFERROR(K29/G29-1,"")))</f>
        <v/>
      </c>
      <c r="L30" s="15">
        <f>IF(OR(L29="",H29=""),"",IF(H29&lt;=0,"",IFERROR(L29/H29-1,"")))</f>
        <v/>
      </c>
      <c r="M30" s="15">
        <f>IF(OR(M29="",I29=""),"",IF(I29&lt;=0,"",IFERROR(M29/I29-1,"")))</f>
        <v/>
      </c>
      <c r="N30" s="15">
        <f>IF(OR(N29="",J29=""),"",IF(J29&lt;=0,"",IFERROR(N29/J29-1,"")))</f>
        <v/>
      </c>
      <c r="O30" s="14" t="n"/>
      <c r="P30" s="15">
        <f>IF(OR(P29="",O29=""),"",IF(O29&lt;=0,"",IFERROR(P29/O29-1,"")))</f>
        <v/>
      </c>
      <c r="Q30" s="15">
        <f>IF(OR(Q29="",P29=""),"",IF(P29&lt;=0,"",IFERROR(Q29/P29-1,"")))</f>
        <v/>
      </c>
      <c r="R30" s="15">
        <f>IF(OR(R29="",Q29=""),"",IF(Q29&lt;=0,"",IFERROR(R29/Q29-1,"")))</f>
        <v/>
      </c>
      <c r="S30" s="15">
        <f>IF(OR(S29="",R29=""),"",IF(R29&lt;=0,"",IFERROR(S29/R29-1,"")))</f>
        <v/>
      </c>
      <c r="T30" s="15">
        <f>IF(OR(T29="",S29=""),"",IF(S29&lt;=0,"",IFERROR(T29/S29-1,"")))</f>
        <v/>
      </c>
      <c r="U30" s="15">
        <f>IF(OR(U29="",T29=""),"",IF(T29&lt;=0,"",IFERROR(U29/T29-1,"")))</f>
        <v/>
      </c>
      <c r="V30" s="15">
        <f>IF(OR(V29="",U29=""),"",IF(U29&lt;=0,"",IFERROR(V29/U29-1,"")))</f>
        <v/>
      </c>
      <c r="W30" s="15">
        <f>IF(OR(W29="",V29=""),"",IF(V29&lt;=0,"",IFERROR(W29/V29-1,"")))</f>
        <v/>
      </c>
      <c r="X30" s="15">
        <f>IF(OR(X29="",W29=""),"",IF(W29&lt;=0,"",IFERROR(X29/W29-1,"")))</f>
        <v/>
      </c>
      <c r="Y30" s="14">
        <f>IF(OR(Y29="",X29=""),"",IF(X29&lt;=0,"",IFERROR(Y29/X29-1,"")))</f>
        <v/>
      </c>
      <c r="Z30" s="15">
        <f>IF(OR(Z29="",Y29=""),"",IF(Y29&lt;=0,"",IFERROR(Z29/Y29-1,"")))</f>
        <v/>
      </c>
      <c r="AA30" s="15">
        <f>IF(OR(AA29="",Z29=""),"",IF(Z29&lt;=0,"",IFERROR(AA29/Z29-1,"")))</f>
        <v/>
      </c>
      <c r="AB30" s="15">
        <f>IF(OR(AB29="",AA29=""),"",IF(AA29&lt;=0,"",IFERROR(AB29/AA29-1,"")))</f>
        <v/>
      </c>
      <c r="AC30" s="15">
        <f>IF(OR(AC29="",AB29=""),"",IF(AB29&lt;=0,"",IFERROR(AC29/AB29-1,"")))</f>
        <v/>
      </c>
    </row>
    <row r="31">
      <c r="A31" s="9" t="inlineStr">
        <is>
          <t>영업이익</t>
        </is>
      </c>
      <c r="B31" s="10" t="inlineStr">
        <is>
          <t>MW = 매출 × OPM</t>
        </is>
      </c>
      <c r="C31" s="11" t="n">
        <v>428.521</v>
      </c>
      <c r="D31" s="12" t="n">
        <v>356.951</v>
      </c>
      <c r="E31" s="12" t="n">
        <v>196.064</v>
      </c>
      <c r="F31" s="12" t="n">
        <v>265.609</v>
      </c>
      <c r="G31" s="12" t="n">
        <v>385.432</v>
      </c>
      <c r="H31" s="12" t="n">
        <v>433.599</v>
      </c>
      <c r="I31" s="12" t="n">
        <v>233.274</v>
      </c>
      <c r="J31" s="12" t="n">
        <v>227.762</v>
      </c>
      <c r="K31" s="12" t="n">
        <v>547.831</v>
      </c>
      <c r="L31" s="12" t="n">
        <v>593.394</v>
      </c>
      <c r="M31" s="12" t="n">
        <v>360.376</v>
      </c>
      <c r="N31" s="12" t="n">
        <v>408.414</v>
      </c>
      <c r="O31" s="11" t="n">
        <v>1586.996</v>
      </c>
      <c r="P31" s="12" t="n">
        <v>1789.59</v>
      </c>
      <c r="Q31" s="12" t="n">
        <v>1565.856</v>
      </c>
      <c r="R31" s="12" t="n">
        <v>1931.858</v>
      </c>
      <c r="S31" s="12" t="n">
        <v>2246.844</v>
      </c>
      <c r="T31" s="12" t="n">
        <v>1666.114</v>
      </c>
      <c r="U31" s="12" t="n">
        <v>982.4400000000001</v>
      </c>
      <c r="V31" s="12" t="n">
        <v>1196.271</v>
      </c>
      <c r="W31" s="12" t="n">
        <v>1280.704</v>
      </c>
      <c r="X31" s="12" t="n">
        <v>1602.261</v>
      </c>
      <c r="Y31" s="11">
        <f>IF(OR(Y4="",Y32=""),"",IFERROR(Y4*Y32,""))</f>
        <v/>
      </c>
      <c r="Z31" s="12">
        <f>IF(OR(Z4="",Z32=""),"",IFERROR(Z4*Z32,""))</f>
        <v/>
      </c>
      <c r="AA31" s="12">
        <f>IF(OR(AA4="",AA32=""),"",IFERROR(AA4*AA32,""))</f>
        <v/>
      </c>
      <c r="AB31" s="12">
        <f>IF(OR(AB4="",AB32=""),"",IFERROR(AB4*AB32,""))</f>
        <v/>
      </c>
      <c r="AC31" s="12">
        <f>IF(OR(AC4="",AC32=""),"",IFERROR(AC4*AC32,""))</f>
        <v/>
      </c>
    </row>
    <row r="32">
      <c r="A32" s="13" t="inlineStr">
        <is>
          <t>OPM</t>
        </is>
      </c>
      <c r="B32" s="10" t="inlineStr">
        <is>
          <t>MW 입력</t>
        </is>
      </c>
      <c r="C32" s="14">
        <f>IF(OR(C31="",C4=""),"",IFERROR(C31/C4,""))</f>
        <v/>
      </c>
      <c r="D32" s="15">
        <f>IF(OR(D31="",D4=""),"",IFERROR(D31/D4,""))</f>
        <v/>
      </c>
      <c r="E32" s="15">
        <f>IF(OR(E31="",E4=""),"",IFERROR(E31/E4,""))</f>
        <v/>
      </c>
      <c r="F32" s="15">
        <f>IF(OR(F31="",F4=""),"",IFERROR(F31/F4,""))</f>
        <v/>
      </c>
      <c r="G32" s="15">
        <f>IF(OR(G31="",G4=""),"",IFERROR(G31/G4,""))</f>
        <v/>
      </c>
      <c r="H32" s="15">
        <f>IF(OR(H31="",H4=""),"",IFERROR(H31/H4,""))</f>
        <v/>
      </c>
      <c r="I32" s="15">
        <f>IF(OR(I31="",I4=""),"",IFERROR(I31/I4,""))</f>
        <v/>
      </c>
      <c r="J32" s="15">
        <f>IF(OR(J31="",J4=""),"",IFERROR(J31/J4,""))</f>
        <v/>
      </c>
      <c r="K32" s="15">
        <f>IF(OR(K31="",K4=""),"",IFERROR(K31/K4,""))</f>
        <v/>
      </c>
      <c r="L32" s="15">
        <f>IF(OR(L31="",L4=""),"",IFERROR(L31/L4,""))</f>
        <v/>
      </c>
      <c r="M32" s="15">
        <f>IF(OR(M31="",M4=""),"",IFERROR(M31/M4,""))</f>
        <v/>
      </c>
      <c r="N32" s="15">
        <f>IF(OR(N31="",N4=""),"",IFERROR(N31/N4,""))</f>
        <v/>
      </c>
      <c r="O32" s="14">
        <f>IF(OR(O31="",O4=""),"",IFERROR(O31/O4,""))</f>
        <v/>
      </c>
      <c r="P32" s="15">
        <f>IF(OR(P31="",P4=""),"",IFERROR(P31/P4,""))</f>
        <v/>
      </c>
      <c r="Q32" s="15">
        <f>IF(OR(Q31="",Q4=""),"",IFERROR(Q31/Q4,""))</f>
        <v/>
      </c>
      <c r="R32" s="15">
        <f>IF(OR(R31="",R4=""),"",IFERROR(R31/R4,""))</f>
        <v/>
      </c>
      <c r="S32" s="15">
        <f>IF(OR(S31="",S4=""),"",IFERROR(S31/S4,""))</f>
        <v/>
      </c>
      <c r="T32" s="15">
        <f>IF(OR(T31="",T4=""),"",IFERROR(T31/T4,""))</f>
        <v/>
      </c>
      <c r="U32" s="15">
        <f>IF(OR(U31="",U4=""),"",IFERROR(U31/U4,""))</f>
        <v/>
      </c>
      <c r="V32" s="15">
        <f>IF(OR(V31="",V4=""),"",IFERROR(V31/V4,""))</f>
        <v/>
      </c>
      <c r="W32" s="15">
        <f>IF(OR(W31="",W4=""),"",IFERROR(W31/W4,""))</f>
        <v/>
      </c>
      <c r="X32" s="15">
        <f>IF(OR(X31="",X4=""),"",IFERROR(X31/X4,""))</f>
        <v/>
      </c>
      <c r="Y32" s="25" t="n"/>
      <c r="Z32" s="26" t="n"/>
      <c r="AA32" s="26" t="n"/>
      <c r="AB32" s="26" t="n"/>
      <c r="AC32" s="26" t="n"/>
    </row>
    <row r="33">
      <c r="A33" s="13" t="inlineStr">
        <is>
          <t>증가율</t>
        </is>
      </c>
      <c r="B33" s="10" t="n"/>
      <c r="C33" s="14" t="n"/>
      <c r="D33" s="15" t="n"/>
      <c r="E33" s="15" t="n"/>
      <c r="F33" s="15" t="n"/>
      <c r="G33" s="15">
        <f>IF(OR(G31="",C31=""),"",IFERROR(G31/C31-1,""))</f>
        <v/>
      </c>
      <c r="H33" s="15">
        <f>IF(OR(H31="",D31=""),"",IFERROR(H31/D31-1,""))</f>
        <v/>
      </c>
      <c r="I33" s="15">
        <f>IF(OR(I31="",E31=""),"",IFERROR(I31/E31-1,""))</f>
        <v/>
      </c>
      <c r="J33" s="15">
        <f>IF(OR(J31="",F31=""),"",IFERROR(J31/F31-1,""))</f>
        <v/>
      </c>
      <c r="K33" s="15">
        <f>IF(OR(K31="",G31=""),"",IFERROR(K31/G31-1,""))</f>
        <v/>
      </c>
      <c r="L33" s="15">
        <f>IF(OR(L31="",H31=""),"",IFERROR(L31/H31-1,""))</f>
        <v/>
      </c>
      <c r="M33" s="15">
        <f>IF(OR(M31="",I31=""),"",IFERROR(M31/I31-1,""))</f>
        <v/>
      </c>
      <c r="N33" s="15">
        <f>IF(OR(N31="",J31=""),"",IFERROR(N31/J31-1,""))</f>
        <v/>
      </c>
      <c r="O33" s="14" t="n"/>
      <c r="P33" s="15">
        <f>IF(OR(P31="",O31=""),"",IFERROR(P31/O31-1,""))</f>
        <v/>
      </c>
      <c r="Q33" s="15">
        <f>IF(OR(Q31="",P31=""),"",IFERROR(Q31/P31-1,""))</f>
        <v/>
      </c>
      <c r="R33" s="15">
        <f>IF(OR(R31="",Q31=""),"",IFERROR(R31/Q31-1,""))</f>
        <v/>
      </c>
      <c r="S33" s="15">
        <f>IF(OR(S31="",R31=""),"",IFERROR(S31/R31-1,""))</f>
        <v/>
      </c>
      <c r="T33" s="15">
        <f>IF(OR(T31="",S31=""),"",IFERROR(T31/S31-1,""))</f>
        <v/>
      </c>
      <c r="U33" s="15">
        <f>IF(OR(U31="",T31=""),"",IFERROR(U31/T31-1,""))</f>
        <v/>
      </c>
      <c r="V33" s="15">
        <f>IF(OR(V31="",U31=""),"",IFERROR(V31/U31-1,""))</f>
        <v/>
      </c>
      <c r="W33" s="15">
        <f>IF(OR(W31="",V31=""),"",IFERROR(W31/V31-1,""))</f>
        <v/>
      </c>
      <c r="X33" s="15">
        <f>IF(OR(X31="",W31=""),"",IFERROR(X31/W31-1,""))</f>
        <v/>
      </c>
      <c r="Y33" s="14">
        <f>IF(OR(Y31="",X31=""),"",IFERROR(Y31/X31-1,""))</f>
        <v/>
      </c>
      <c r="Z33" s="15">
        <f>IF(OR(Z31="",Y31=""),"",IFERROR(Z31/Y31-1,""))</f>
        <v/>
      </c>
      <c r="AA33" s="15">
        <f>IF(OR(AA31="",Z31=""),"",IFERROR(AA31/Z31-1,""))</f>
        <v/>
      </c>
      <c r="AB33" s="15">
        <f>IF(OR(AB31="",AA31=""),"",IFERROR(AB31/AA31-1,""))</f>
        <v/>
      </c>
      <c r="AC33" s="15">
        <f>IF(OR(AC31="",AB31=""),"",IFERROR(AC31/AB31-1,""))</f>
        <v/>
      </c>
    </row>
    <row r="34">
      <c r="A34" s="16" t="inlineStr">
        <is>
          <t>비용의 성격별 분류</t>
        </is>
      </c>
      <c r="B34" s="16" t="inlineStr">
        <is>
          <t>참고 데이터</t>
        </is>
      </c>
      <c r="C34" s="17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7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7" t="n"/>
      <c r="Z34" s="16" t="n"/>
      <c r="AA34" s="16" t="n"/>
      <c r="AB34" s="16" t="n"/>
      <c r="AC34" s="16" t="n"/>
    </row>
    <row r="35">
      <c r="A35" s="9" t="inlineStr">
        <is>
          <t>총 판관비</t>
        </is>
      </c>
      <c r="B35" s="10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2" t="n"/>
      <c r="M35" s="12" t="n"/>
      <c r="N35" s="12" t="n"/>
      <c r="O35" s="11">
        <f>IF(O29="","",O29)</f>
        <v/>
      </c>
      <c r="P35" s="12">
        <f>IF(P29="","",P29)</f>
        <v/>
      </c>
      <c r="Q35" s="12">
        <f>IF(Q29="","",Q29)</f>
        <v/>
      </c>
      <c r="R35" s="12">
        <f>IF(R29="","",R29)</f>
        <v/>
      </c>
      <c r="S35" s="12">
        <f>IF(S29="","",S29)</f>
        <v/>
      </c>
      <c r="T35" s="12">
        <f>IF(T29="","",T29)</f>
        <v/>
      </c>
      <c r="U35" s="12">
        <f>IF(U29="","",U29)</f>
        <v/>
      </c>
      <c r="V35" s="12">
        <f>IF(V29="","",V29)</f>
        <v/>
      </c>
      <c r="W35" s="12">
        <f>IF(W29="","",W29)</f>
        <v/>
      </c>
      <c r="X35" s="12">
        <f>IF(X29="","",X29)</f>
        <v/>
      </c>
      <c r="Y35" s="11" t="n"/>
      <c r="Z35" s="12" t="n"/>
      <c r="AA35" s="12" t="n"/>
      <c r="AB35" s="12" t="n"/>
      <c r="AC35" s="12" t="n"/>
    </row>
    <row r="36">
      <c r="A36" s="18" t="inlineStr">
        <is>
          <t>급여</t>
        </is>
      </c>
      <c r="B36" s="10" t="inlineStr">
        <is>
          <t>고정비</t>
        </is>
      </c>
      <c r="C36" s="19" t="n"/>
      <c r="D36" s="20" t="n"/>
      <c r="E36" s="20" t="n"/>
      <c r="F36" s="20" t="n"/>
      <c r="G36" s="20" t="n"/>
      <c r="H36" s="20" t="n"/>
      <c r="I36" s="20" t="n"/>
      <c r="J36" s="20" t="n"/>
      <c r="K36" s="20" t="n"/>
      <c r="L36" s="20" t="n"/>
      <c r="M36" s="20" t="n"/>
      <c r="N36" s="20" t="n"/>
      <c r="O36" s="19" t="n">
        <v>331.629</v>
      </c>
      <c r="P36" s="20" t="n">
        <v>331.207</v>
      </c>
      <c r="Q36" s="20" t="n">
        <v>276.442</v>
      </c>
      <c r="R36" s="20" t="n">
        <v>341.674</v>
      </c>
      <c r="S36" s="20" t="n">
        <v>362</v>
      </c>
      <c r="T36" s="20" t="n">
        <v>401.022</v>
      </c>
      <c r="U36" s="20" t="n">
        <v>348.215</v>
      </c>
      <c r="V36" s="20" t="n">
        <v>343.395</v>
      </c>
      <c r="W36" s="20" t="n">
        <v>433.195</v>
      </c>
      <c r="X36" s="20" t="n">
        <v>454.445</v>
      </c>
      <c r="Y36" s="19" t="n"/>
      <c r="Z36" s="20" t="n"/>
      <c r="AA36" s="20" t="n"/>
      <c r="AB36" s="20" t="n"/>
      <c r="AC36" s="20" t="n"/>
    </row>
    <row r="37">
      <c r="A37" s="13" t="inlineStr">
        <is>
          <t>% of Sales</t>
        </is>
      </c>
      <c r="B37" s="10" t="n"/>
      <c r="C37" s="14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4">
        <f>IF(OR(O36="",O4=""),"",IFERROR(O36/O4,""))</f>
        <v/>
      </c>
      <c r="P37" s="15">
        <f>IF(OR(P36="",P4=""),"",IFERROR(P36/P4,""))</f>
        <v/>
      </c>
      <c r="Q37" s="15">
        <f>IF(OR(Q36="",Q4=""),"",IFERROR(Q36/Q4,""))</f>
        <v/>
      </c>
      <c r="R37" s="15">
        <f>IF(OR(R36="",R4=""),"",IFERROR(R36/R4,""))</f>
        <v/>
      </c>
      <c r="S37" s="15">
        <f>IF(OR(S36="",S4=""),"",IFERROR(S36/S4,""))</f>
        <v/>
      </c>
      <c r="T37" s="15">
        <f>IF(OR(T36="",T4=""),"",IFERROR(T36/T4,""))</f>
        <v/>
      </c>
      <c r="U37" s="15">
        <f>IF(OR(U36="",U4=""),"",IFERROR(U36/U4,""))</f>
        <v/>
      </c>
      <c r="V37" s="15">
        <f>IF(OR(V36="",V4=""),"",IFERROR(V36/V4,""))</f>
        <v/>
      </c>
      <c r="W37" s="15">
        <f>IF(OR(W36="",W4=""),"",IFERROR(W36/W4,""))</f>
        <v/>
      </c>
      <c r="X37" s="15">
        <f>IF(OR(X36="",X4=""),"",IFERROR(X36/X4,""))</f>
        <v/>
      </c>
      <c r="Y37" s="14" t="n"/>
      <c r="Z37" s="15" t="n"/>
      <c r="AA37" s="15" t="n"/>
      <c r="AB37" s="15" t="n"/>
      <c r="AC37" s="15" t="n"/>
    </row>
    <row r="38">
      <c r="A38" s="18" t="inlineStr">
        <is>
          <t>감가상각비</t>
        </is>
      </c>
      <c r="B38" s="10" t="inlineStr">
        <is>
          <t>고정비</t>
        </is>
      </c>
      <c r="C38" s="19" t="n"/>
      <c r="D38" s="20" t="n"/>
      <c r="E38" s="20" t="n"/>
      <c r="F38" s="20" t="n"/>
      <c r="G38" s="20" t="n"/>
      <c r="H38" s="20" t="n"/>
      <c r="I38" s="20" t="n"/>
      <c r="J38" s="20" t="n"/>
      <c r="K38" s="20" t="n"/>
      <c r="L38" s="20" t="n"/>
      <c r="M38" s="20" t="n"/>
      <c r="N38" s="20" t="n"/>
      <c r="O38" s="19" t="n">
        <v>60.39</v>
      </c>
      <c r="P38" s="20" t="n">
        <v>58.202</v>
      </c>
      <c r="Q38" s="20" t="n">
        <v>26.76</v>
      </c>
      <c r="R38" s="20" t="n">
        <v>37.503</v>
      </c>
      <c r="S38" s="20" t="n">
        <v>39.785</v>
      </c>
      <c r="T38" s="20" t="n">
        <v>33.866</v>
      </c>
      <c r="U38" s="20" t="n">
        <v>33.177</v>
      </c>
      <c r="V38" s="20" t="n">
        <v>41.764</v>
      </c>
      <c r="W38" s="20" t="n">
        <v>44.757</v>
      </c>
      <c r="X38" s="20" t="n">
        <v>130.68</v>
      </c>
      <c r="Y38" s="19" t="n"/>
      <c r="Z38" s="20" t="n"/>
      <c r="AA38" s="20" t="n"/>
      <c r="AB38" s="20" t="n"/>
      <c r="AC38" s="20" t="n"/>
    </row>
    <row r="39">
      <c r="A39" s="13" t="inlineStr">
        <is>
          <t>% of Sales</t>
        </is>
      </c>
      <c r="B39" s="10" t="n"/>
      <c r="C39" s="14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4">
        <f>IF(OR(O38="",O4=""),"",IFERROR(O38/O4,""))</f>
        <v/>
      </c>
      <c r="P39" s="15">
        <f>IF(OR(P38="",P4=""),"",IFERROR(P38/P4,""))</f>
        <v/>
      </c>
      <c r="Q39" s="15">
        <f>IF(OR(Q38="",Q4=""),"",IFERROR(Q38/Q4,""))</f>
        <v/>
      </c>
      <c r="R39" s="15">
        <f>IF(OR(R38="",R4=""),"",IFERROR(R38/R4,""))</f>
        <v/>
      </c>
      <c r="S39" s="15">
        <f>IF(OR(S38="",S4=""),"",IFERROR(S38/S4,""))</f>
        <v/>
      </c>
      <c r="T39" s="15">
        <f>IF(OR(T38="",T4=""),"",IFERROR(T38/T4,""))</f>
        <v/>
      </c>
      <c r="U39" s="15">
        <f>IF(OR(U38="",U4=""),"",IFERROR(U38/U4,""))</f>
        <v/>
      </c>
      <c r="V39" s="15">
        <f>IF(OR(V38="",V4=""),"",IFERROR(V38/V4,""))</f>
        <v/>
      </c>
      <c r="W39" s="15">
        <f>IF(OR(W38="",W4=""),"",IFERROR(W38/W4,""))</f>
        <v/>
      </c>
      <c r="X39" s="15">
        <f>IF(OR(X38="",X4=""),"",IFERROR(X38/X4,""))</f>
        <v/>
      </c>
      <c r="Y39" s="14" t="n"/>
      <c r="Z39" s="15" t="n"/>
      <c r="AA39" s="15" t="n"/>
      <c r="AB39" s="15" t="n"/>
      <c r="AC39" s="15" t="n"/>
    </row>
    <row r="40">
      <c r="A40" s="18" t="inlineStr">
        <is>
          <t>지급수수료</t>
        </is>
      </c>
      <c r="B40" s="10" t="inlineStr">
        <is>
          <t>고정비</t>
        </is>
      </c>
      <c r="C40" s="19" t="n"/>
      <c r="D40" s="20" t="n"/>
      <c r="E40" s="20" t="n"/>
      <c r="F40" s="20" t="n"/>
      <c r="G40" s="20" t="n"/>
      <c r="H40" s="20" t="n"/>
      <c r="I40" s="20" t="n"/>
      <c r="J40" s="20" t="n"/>
      <c r="K40" s="20" t="n"/>
      <c r="L40" s="20" t="n"/>
      <c r="M40" s="20" t="n"/>
      <c r="N40" s="20" t="n"/>
      <c r="O40" s="19" t="n">
        <v>119.383</v>
      </c>
      <c r="P40" s="20" t="n">
        <v>132.745</v>
      </c>
      <c r="Q40" s="20" t="n">
        <v>149.587</v>
      </c>
      <c r="R40" s="20" t="n">
        <v>186.464</v>
      </c>
      <c r="S40" s="20" t="n">
        <v>174.124</v>
      </c>
      <c r="T40" s="20" t="n">
        <v>197.561</v>
      </c>
      <c r="U40" s="20" t="n">
        <v>209.986</v>
      </c>
      <c r="V40" s="20" t="n">
        <v>257.525</v>
      </c>
      <c r="W40" s="20" t="n">
        <v>275.84</v>
      </c>
      <c r="X40" s="20" t="n">
        <v>361.637</v>
      </c>
      <c r="Y40" s="19" t="n"/>
      <c r="Z40" s="20" t="n"/>
      <c r="AA40" s="20" t="n"/>
      <c r="AB40" s="20" t="n"/>
      <c r="AC40" s="20" t="n"/>
    </row>
    <row r="41">
      <c r="A41" s="13" t="inlineStr">
        <is>
          <t>% of Sales</t>
        </is>
      </c>
      <c r="B41" s="10" t="n"/>
      <c r="C41" s="14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4">
        <f>IF(OR(O40="",O4=""),"",IFERROR(O40/O4,""))</f>
        <v/>
      </c>
      <c r="P41" s="15">
        <f>IF(OR(P40="",P4=""),"",IFERROR(P40/P4,""))</f>
        <v/>
      </c>
      <c r="Q41" s="15">
        <f>IF(OR(Q40="",Q4=""),"",IFERROR(Q40/Q4,""))</f>
        <v/>
      </c>
      <c r="R41" s="15">
        <f>IF(OR(R40="",R4=""),"",IFERROR(R40/R4,""))</f>
        <v/>
      </c>
      <c r="S41" s="15">
        <f>IF(OR(S40="",S4=""),"",IFERROR(S40/S4,""))</f>
        <v/>
      </c>
      <c r="T41" s="15">
        <f>IF(OR(T40="",T4=""),"",IFERROR(T40/T4,""))</f>
        <v/>
      </c>
      <c r="U41" s="15">
        <f>IF(OR(U40="",U4=""),"",IFERROR(U40/U4,""))</f>
        <v/>
      </c>
      <c r="V41" s="15">
        <f>IF(OR(V40="",V4=""),"",IFERROR(V40/V4,""))</f>
        <v/>
      </c>
      <c r="W41" s="15">
        <f>IF(OR(W40="",W4=""),"",IFERROR(W40/W4,""))</f>
        <v/>
      </c>
      <c r="X41" s="15">
        <f>IF(OR(X40="",X4=""),"",IFERROR(X40/X4,""))</f>
        <v/>
      </c>
      <c r="Y41" s="14" t="n"/>
      <c r="Z41" s="15" t="n"/>
      <c r="AA41" s="15" t="n"/>
      <c r="AB41" s="15" t="n"/>
      <c r="AC41" s="15" t="n"/>
    </row>
    <row r="42">
      <c r="A42" s="18" t="inlineStr">
        <is>
          <t>연구개발비</t>
        </is>
      </c>
      <c r="B42" s="10" t="inlineStr">
        <is>
          <t>변동비</t>
        </is>
      </c>
      <c r="C42" s="19" t="n"/>
      <c r="D42" s="20" t="n"/>
      <c r="E42" s="20" t="n"/>
      <c r="F42" s="20" t="n"/>
      <c r="G42" s="20" t="n"/>
      <c r="H42" s="20" t="n"/>
      <c r="I42" s="20" t="n"/>
      <c r="J42" s="20" t="n"/>
      <c r="K42" s="20" t="n"/>
      <c r="L42" s="20" t="n"/>
      <c r="M42" s="20" t="n"/>
      <c r="N42" s="20" t="n"/>
      <c r="O42" s="19" t="n">
        <v>165.582</v>
      </c>
      <c r="P42" s="20" t="n">
        <v>192.398</v>
      </c>
      <c r="Q42" s="20" t="n">
        <v>151.177</v>
      </c>
      <c r="R42" s="20" t="n">
        <v>162.675</v>
      </c>
      <c r="S42" s="20" t="n">
        <v>151.962</v>
      </c>
      <c r="T42" s="20" t="n">
        <v>162.381</v>
      </c>
      <c r="U42" s="20" t="n">
        <v>159.287</v>
      </c>
      <c r="V42" s="20" t="n">
        <v>176.438</v>
      </c>
      <c r="W42" s="20" t="n">
        <v>207.419</v>
      </c>
      <c r="X42" s="20" t="n">
        <v>235.623</v>
      </c>
      <c r="Y42" s="19" t="n"/>
      <c r="Z42" s="20" t="n"/>
      <c r="AA42" s="20" t="n"/>
      <c r="AB42" s="20" t="n"/>
      <c r="AC42" s="20" t="n"/>
    </row>
    <row r="43">
      <c r="A43" s="13" t="inlineStr">
        <is>
          <t>% of Sales</t>
        </is>
      </c>
      <c r="B43" s="10" t="n"/>
      <c r="C43" s="14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4">
        <f>IF(OR(O42="",O4=""),"",IFERROR(O42/O4,""))</f>
        <v/>
      </c>
      <c r="P43" s="15">
        <f>IF(OR(P42="",P4=""),"",IFERROR(P42/P4,""))</f>
        <v/>
      </c>
      <c r="Q43" s="15">
        <f>IF(OR(Q42="",Q4=""),"",IFERROR(Q42/Q4,""))</f>
        <v/>
      </c>
      <c r="R43" s="15">
        <f>IF(OR(R42="",R4=""),"",IFERROR(R42/R4,""))</f>
        <v/>
      </c>
      <c r="S43" s="15">
        <f>IF(OR(S42="",S4=""),"",IFERROR(S42/S4,""))</f>
        <v/>
      </c>
      <c r="T43" s="15">
        <f>IF(OR(T42="",T4=""),"",IFERROR(T42/T4,""))</f>
        <v/>
      </c>
      <c r="U43" s="15">
        <f>IF(OR(U42="",U4=""),"",IFERROR(U42/U4,""))</f>
        <v/>
      </c>
      <c r="V43" s="15">
        <f>IF(OR(V42="",V4=""),"",IFERROR(V42/V4,""))</f>
        <v/>
      </c>
      <c r="W43" s="15">
        <f>IF(OR(W42="",W4=""),"",IFERROR(W42/W4,""))</f>
        <v/>
      </c>
      <c r="X43" s="15">
        <f>IF(OR(X42="",X4=""),"",IFERROR(X42/X4,""))</f>
        <v/>
      </c>
      <c r="Y43" s="14" t="n"/>
      <c r="Z43" s="15" t="n"/>
      <c r="AA43" s="15" t="n"/>
      <c r="AB43" s="15" t="n"/>
      <c r="AC43" s="15" t="n"/>
    </row>
    <row r="44">
      <c r="A44" s="18" t="inlineStr">
        <is>
          <t>기타비용</t>
        </is>
      </c>
      <c r="B44" s="10" t="inlineStr">
        <is>
          <t>변동비</t>
        </is>
      </c>
      <c r="C44" s="19" t="n"/>
      <c r="D44" s="20" t="n"/>
      <c r="E44" s="20" t="n"/>
      <c r="F44" s="20" t="n"/>
      <c r="G44" s="20" t="n"/>
      <c r="H44" s="20" t="n"/>
      <c r="I44" s="20" t="n"/>
      <c r="J44" s="20" t="n"/>
      <c r="K44" s="20" t="n"/>
      <c r="L44" s="20" t="n"/>
      <c r="M44" s="20" t="n"/>
      <c r="N44" s="20" t="n"/>
      <c r="O44" s="19">
        <f>IF(OR(O35="",O36="",O38="",O40="",O42=""),"",IFERROR(O35-O36-O38-O40-O42,""))</f>
        <v/>
      </c>
      <c r="P44" s="20">
        <f>IF(OR(P35="",P36="",P38="",P40="",P42=""),"",IFERROR(P35-P36-P38-P40-P42,""))</f>
        <v/>
      </c>
      <c r="Q44" s="20">
        <f>IF(OR(Q35="",Q36="",Q38="",Q40="",Q42=""),"",IFERROR(Q35-Q36-Q38-Q40-Q42,""))</f>
        <v/>
      </c>
      <c r="R44" s="20">
        <f>IF(OR(R35="",R36="",R38="",R40="",R42=""),"",IFERROR(R35-R36-R38-R40-R42,""))</f>
        <v/>
      </c>
      <c r="S44" s="20">
        <f>IF(OR(S35="",S36="",S38="",S40="",S42=""),"",IFERROR(S35-S36-S38-S40-S42,""))</f>
        <v/>
      </c>
      <c r="T44" s="20">
        <f>IF(OR(T35="",T36="",T38="",T40="",T42=""),"",IFERROR(T35-T36-T38-T40-T42,""))</f>
        <v/>
      </c>
      <c r="U44" s="20">
        <f>IF(OR(U35="",U36="",U38="",U40="",U42=""),"",IFERROR(U35-U36-U38-U40-U42,""))</f>
        <v/>
      </c>
      <c r="V44" s="20">
        <f>IF(OR(V35="",V36="",V38="",V40="",V42=""),"",IFERROR(V35-V36-V38-V40-V42,""))</f>
        <v/>
      </c>
      <c r="W44" s="20">
        <f>IF(OR(W35="",W36="",W38="",W40="",W42=""),"",IFERROR(W35-W36-W38-W40-W42,""))</f>
        <v/>
      </c>
      <c r="X44" s="20">
        <f>IF(OR(X35="",X36="",X38="",X40="",X42=""),"",IFERROR(X35-X36-X38-X40-X42,""))</f>
        <v/>
      </c>
      <c r="Y44" s="19" t="n"/>
      <c r="Z44" s="20" t="n"/>
      <c r="AA44" s="20" t="n"/>
      <c r="AB44" s="20" t="n"/>
      <c r="AC44" s="20" t="n"/>
    </row>
    <row r="45">
      <c r="A45" s="13" t="inlineStr">
        <is>
          <t>% of Sales</t>
        </is>
      </c>
      <c r="B45" s="10" t="n"/>
      <c r="C45" s="14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4">
        <f>IF(OR(O44="",O4=""),"",IFERROR(O44/O4,""))</f>
        <v/>
      </c>
      <c r="P45" s="15">
        <f>IF(OR(P44="",P4=""),"",IFERROR(P44/P4,""))</f>
        <v/>
      </c>
      <c r="Q45" s="15">
        <f>IF(OR(Q44="",Q4=""),"",IFERROR(Q44/Q4,""))</f>
        <v/>
      </c>
      <c r="R45" s="15">
        <f>IF(OR(R44="",R4=""),"",IFERROR(R44/R4,""))</f>
        <v/>
      </c>
      <c r="S45" s="15">
        <f>IF(OR(S44="",S4=""),"",IFERROR(S44/S4,""))</f>
        <v/>
      </c>
      <c r="T45" s="15">
        <f>IF(OR(T44="",T4=""),"",IFERROR(T44/T4,""))</f>
        <v/>
      </c>
      <c r="U45" s="15">
        <f>IF(OR(U44="",U4=""),"",IFERROR(U44/U4,""))</f>
        <v/>
      </c>
      <c r="V45" s="15">
        <f>IF(OR(V44="",V4=""),"",IFERROR(V44/V4,""))</f>
        <v/>
      </c>
      <c r="W45" s="15">
        <f>IF(OR(W44="",W4=""),"",IFERROR(W44/W4,""))</f>
        <v/>
      </c>
      <c r="X45" s="15">
        <f>IF(OR(X44="",X4=""),"",IFERROR(X44/X4,""))</f>
        <v/>
      </c>
      <c r="Y45" s="14" t="n"/>
      <c r="Z45" s="15" t="n"/>
      <c r="AA45" s="15" t="n"/>
      <c r="AB45" s="15" t="n"/>
      <c r="AC45" s="15" t="n"/>
    </row>
    <row r="46">
      <c r="A46" s="16" t="inlineStr">
        <is>
          <t>당기순이익 추정</t>
        </is>
      </c>
      <c r="B46" s="16" t="n"/>
      <c r="C46" s="17" t="n"/>
      <c r="D46" s="16" t="n"/>
      <c r="E46" s="16" t="n"/>
      <c r="F46" s="16" t="n"/>
      <c r="G46" s="16" t="n"/>
      <c r="H46" s="16" t="n"/>
      <c r="I46" s="16" t="n"/>
      <c r="J46" s="16" t="n"/>
      <c r="K46" s="16" t="n"/>
      <c r="L46" s="16" t="n"/>
      <c r="M46" s="16" t="n"/>
      <c r="N46" s="16" t="n"/>
      <c r="O46" s="17" t="n"/>
      <c r="P46" s="16" t="n"/>
      <c r="Q46" s="16" t="n"/>
      <c r="R46" s="16" t="n"/>
      <c r="S46" s="16" t="n"/>
      <c r="T46" s="16" t="n"/>
      <c r="U46" s="16" t="n"/>
      <c r="V46" s="16" t="n"/>
      <c r="W46" s="16" t="n"/>
      <c r="X46" s="16" t="n"/>
      <c r="Y46" s="17" t="n"/>
      <c r="Z46" s="16" t="n"/>
      <c r="AA46" s="16" t="n"/>
      <c r="AB46" s="16" t="n"/>
      <c r="AC46" s="16" t="n"/>
    </row>
    <row r="47">
      <c r="A47" s="18" t="inlineStr">
        <is>
          <t>특별이익</t>
        </is>
      </c>
      <c r="B47" s="10" t="n"/>
      <c r="C47" s="19" t="n">
        <v>0</v>
      </c>
      <c r="D47" s="20" t="n">
        <v>-4.332</v>
      </c>
      <c r="E47" s="20" t="n">
        <v>0.003</v>
      </c>
      <c r="F47" s="20" t="n">
        <v>7.575</v>
      </c>
      <c r="G47" s="20" t="n">
        <v>50.141</v>
      </c>
      <c r="H47" s="20" t="n">
        <v>94.43899999999999</v>
      </c>
      <c r="I47" s="20" t="n">
        <v>89.571</v>
      </c>
      <c r="J47" s="20" t="n">
        <v>93.872</v>
      </c>
      <c r="K47" s="20" t="n">
        <v>0.455</v>
      </c>
      <c r="L47" s="20" t="n">
        <v>1.714</v>
      </c>
      <c r="M47" s="20" t="n">
        <v>0</v>
      </c>
      <c r="N47" s="20" t="n">
        <v>0</v>
      </c>
      <c r="O47" s="19" t="n">
        <v>10.106</v>
      </c>
      <c r="P47" s="20" t="n">
        <v>1.587</v>
      </c>
      <c r="Q47" s="20" t="n">
        <v>0</v>
      </c>
      <c r="R47" s="20" t="n">
        <v>181.909</v>
      </c>
      <c r="S47" s="20" t="n">
        <v>76.726</v>
      </c>
      <c r="T47" s="20" t="n">
        <v>0.105</v>
      </c>
      <c r="U47" s="20" t="n">
        <v>2.099</v>
      </c>
      <c r="V47" s="20" t="n">
        <v>5.345</v>
      </c>
      <c r="W47" s="20" t="n">
        <v>152.158</v>
      </c>
      <c r="X47" s="20" t="n">
        <v>185.612</v>
      </c>
      <c r="Y47" s="19">
        <f>IF(OR(Y4="",Y48=""),"",IFERROR(Y4*Y48,""))</f>
        <v/>
      </c>
      <c r="Z47" s="20">
        <f>IF(OR(Z4="",Z48=""),"",IFERROR(Z4*Z48,""))</f>
        <v/>
      </c>
      <c r="AA47" s="20">
        <f>IF(OR(AA4="",AA48=""),"",IFERROR(AA4*AA48,""))</f>
        <v/>
      </c>
      <c r="AB47" s="20">
        <f>IF(OR(AB4="",AB48=""),"",IFERROR(AB4*AB48,""))</f>
        <v/>
      </c>
      <c r="AC47" s="20">
        <f>IF(OR(AC4="",AC48=""),"",IFERROR(AC4*AC48,""))</f>
        <v/>
      </c>
    </row>
    <row r="48">
      <c r="A48" s="13" t="inlineStr">
        <is>
          <t>% of Sales</t>
        </is>
      </c>
      <c r="B48" s="10" t="inlineStr">
        <is>
          <t>MW = 최근 3년 평균</t>
        </is>
      </c>
      <c r="C48" s="14">
        <f>IF(OR(C47="",C4=""),"",IFERROR(C47/C4,""))</f>
        <v/>
      </c>
      <c r="D48" s="15">
        <f>IF(OR(D47="",D4=""),"",IFERROR(D47/D4,""))</f>
        <v/>
      </c>
      <c r="E48" s="15">
        <f>IF(OR(E47="",E4=""),"",IFERROR(E47/E4,""))</f>
        <v/>
      </c>
      <c r="F48" s="15">
        <f>IF(OR(F47="",F4=""),"",IFERROR(F47/F4,""))</f>
        <v/>
      </c>
      <c r="G48" s="15">
        <f>IF(OR(G47="",G4=""),"",IFERROR(G47/G4,""))</f>
        <v/>
      </c>
      <c r="H48" s="15">
        <f>IF(OR(H47="",H4=""),"",IFERROR(H47/H4,""))</f>
        <v/>
      </c>
      <c r="I48" s="15">
        <f>IF(OR(I47="",I4=""),"",IFERROR(I47/I4,""))</f>
        <v/>
      </c>
      <c r="J48" s="15">
        <f>IF(OR(J47="",J4=""),"",IFERROR(J47/J4,""))</f>
        <v/>
      </c>
      <c r="K48" s="15">
        <f>IF(OR(K47="",K4=""),"",IFERROR(K47/K4,""))</f>
        <v/>
      </c>
      <c r="L48" s="15">
        <f>IF(OR(L47="",L4=""),"",IFERROR(L47/L4,""))</f>
        <v/>
      </c>
      <c r="M48" s="15">
        <f>IF(OR(M47="",M4=""),"",IFERROR(M47/M4,""))</f>
        <v/>
      </c>
      <c r="N48" s="15">
        <f>IF(OR(N47="",N4=""),"",IFERROR(N47/N4,""))</f>
        <v/>
      </c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25">
        <f>IFERROR(AVERAGE(V48,W48,X48),"")</f>
        <v/>
      </c>
      <c r="Z48" s="26">
        <f>Y48</f>
        <v/>
      </c>
      <c r="AA48" s="26">
        <f>Z48</f>
        <v/>
      </c>
      <c r="AB48" s="26">
        <f>AA48</f>
        <v/>
      </c>
      <c r="AC48" s="26">
        <f>AB48</f>
        <v/>
      </c>
    </row>
    <row r="49">
      <c r="A49" s="18" t="inlineStr">
        <is>
          <t>특별손실</t>
        </is>
      </c>
      <c r="B49" s="10" t="n"/>
      <c r="C49" s="19" t="n">
        <v>2.01</v>
      </c>
      <c r="D49" s="20" t="n">
        <v>1.466</v>
      </c>
      <c r="E49" s="20" t="n">
        <v>6.591</v>
      </c>
      <c r="F49" s="20" t="n">
        <v>4.024</v>
      </c>
      <c r="G49" s="20" t="n">
        <v>5.817</v>
      </c>
      <c r="H49" s="20" t="n">
        <v>19.029</v>
      </c>
      <c r="I49" s="20" t="n">
        <v>1.861</v>
      </c>
      <c r="J49" s="20" t="n">
        <v>46.992</v>
      </c>
      <c r="K49" s="20" t="n">
        <v>8.856</v>
      </c>
      <c r="L49" s="20" t="n">
        <v>34.34</v>
      </c>
      <c r="M49" s="20" t="n">
        <v>8.624000000000001</v>
      </c>
      <c r="N49" s="20" t="n">
        <v>11.547</v>
      </c>
      <c r="O49" s="19" t="n">
        <v>25.451</v>
      </c>
      <c r="P49" s="20" t="n">
        <v>23.021</v>
      </c>
      <c r="Q49" s="20" t="n">
        <v>19.38</v>
      </c>
      <c r="R49" s="20" t="n">
        <v>28.042</v>
      </c>
      <c r="S49" s="20" t="n">
        <v>54.736</v>
      </c>
      <c r="T49" s="20" t="n">
        <v>22.257</v>
      </c>
      <c r="U49" s="20" t="n">
        <v>25.213</v>
      </c>
      <c r="V49" s="20" t="n">
        <v>12.981</v>
      </c>
      <c r="W49" s="20" t="n">
        <v>35.461</v>
      </c>
      <c r="X49" s="20" t="n">
        <v>92.04900000000001</v>
      </c>
      <c r="Y49" s="19">
        <f>IF(OR(Y4="",Y50=""),"",IFERROR(Y4*Y50,""))</f>
        <v/>
      </c>
      <c r="Z49" s="20">
        <f>IF(OR(Z4="",Z50=""),"",IFERROR(Z4*Z50,""))</f>
        <v/>
      </c>
      <c r="AA49" s="20">
        <f>IF(OR(AA4="",AA50=""),"",IFERROR(AA4*AA50,""))</f>
        <v/>
      </c>
      <c r="AB49" s="20">
        <f>IF(OR(AB4="",AB50=""),"",IFERROR(AB4*AB50,""))</f>
        <v/>
      </c>
      <c r="AC49" s="20">
        <f>IF(OR(AC4="",AC50=""),"",IFERROR(AC4*AC50,""))</f>
        <v/>
      </c>
    </row>
    <row r="50">
      <c r="A50" s="13" t="inlineStr">
        <is>
          <t>% of Sales</t>
        </is>
      </c>
      <c r="B50" s="10" t="n"/>
      <c r="C50" s="14">
        <f>IF(OR(C49="",C4=""),"",IFERROR(C49/C4,""))</f>
        <v/>
      </c>
      <c r="D50" s="15">
        <f>IF(OR(D49="",D4=""),"",IFERROR(D49/D4,""))</f>
        <v/>
      </c>
      <c r="E50" s="15">
        <f>IF(OR(E49="",E4=""),"",IFERROR(E49/E4,""))</f>
        <v/>
      </c>
      <c r="F50" s="15">
        <f>IF(OR(F49="",F4=""),"",IFERROR(F49/F4,""))</f>
        <v/>
      </c>
      <c r="G50" s="15">
        <f>IF(OR(G49="",G4=""),"",IFERROR(G49/G4,""))</f>
        <v/>
      </c>
      <c r="H50" s="15">
        <f>IF(OR(H49="",H4=""),"",IFERROR(H49/H4,""))</f>
        <v/>
      </c>
      <c r="I50" s="15">
        <f>IF(OR(I49="",I4=""),"",IFERROR(I49/I4,""))</f>
        <v/>
      </c>
      <c r="J50" s="15">
        <f>IF(OR(J49="",J4=""),"",IFERROR(J49/J4,""))</f>
        <v/>
      </c>
      <c r="K50" s="15">
        <f>IF(OR(K49="",K4=""),"",IFERROR(K49/K4,""))</f>
        <v/>
      </c>
      <c r="L50" s="15">
        <f>IF(OR(L49="",L4=""),"",IFERROR(L49/L4,""))</f>
        <v/>
      </c>
      <c r="M50" s="15">
        <f>IF(OR(M49="",M4=""),"",IFERROR(M49/M4,""))</f>
        <v/>
      </c>
      <c r="N50" s="15">
        <f>IF(OR(N49="",N4=""),"",IFERROR(N49/N4,""))</f>
        <v/>
      </c>
      <c r="O50" s="14">
        <f>IF(OR(O49="",O4=""),"",IFERROR(O49/O4,""))</f>
        <v/>
      </c>
      <c r="P50" s="15">
        <f>IF(OR(P49="",P4=""),"",IFERROR(P49/P4,""))</f>
        <v/>
      </c>
      <c r="Q50" s="15">
        <f>IF(OR(Q49="",Q4=""),"",IFERROR(Q49/Q4,""))</f>
        <v/>
      </c>
      <c r="R50" s="15">
        <f>IF(OR(R49="",R4=""),"",IFERROR(R49/R4,""))</f>
        <v/>
      </c>
      <c r="S50" s="15">
        <f>IF(OR(S49="",S4=""),"",IFERROR(S49/S4,""))</f>
        <v/>
      </c>
      <c r="T50" s="15">
        <f>IF(OR(T49="",T4=""),"",IFERROR(T49/T4,""))</f>
        <v/>
      </c>
      <c r="U50" s="15">
        <f>IF(OR(U49="",U4=""),"",IFERROR(U49/U4,""))</f>
        <v/>
      </c>
      <c r="V50" s="15">
        <f>IF(OR(V49="",V4=""),"",IFERROR(V49/V4,""))</f>
        <v/>
      </c>
      <c r="W50" s="15">
        <f>IF(OR(W49="",W4=""),"",IFERROR(W49/W4,""))</f>
        <v/>
      </c>
      <c r="X50" s="15">
        <f>IF(OR(X49="",X4=""),"",IFERROR(X49/X4,""))</f>
        <v/>
      </c>
      <c r="Y50" s="25">
        <f>IFERROR(AVERAGE(V50,W50,X50),"")</f>
        <v/>
      </c>
      <c r="Z50" s="26">
        <f>Y50</f>
        <v/>
      </c>
      <c r="AA50" s="26">
        <f>Z50</f>
        <v/>
      </c>
      <c r="AB50" s="26">
        <f>AA50</f>
        <v/>
      </c>
      <c r="AC50" s="26">
        <f>AB50</f>
        <v/>
      </c>
    </row>
    <row r="51">
      <c r="A51" s="18" t="inlineStr">
        <is>
          <t>영업외수익</t>
        </is>
      </c>
      <c r="B51" s="10" t="n"/>
      <c r="C51" s="19" t="n">
        <v>30.122</v>
      </c>
      <c r="D51" s="20" t="n">
        <v>17.548</v>
      </c>
      <c r="E51" s="20" t="n">
        <v>120.411</v>
      </c>
      <c r="F51" s="20" t="n">
        <v>55.574</v>
      </c>
      <c r="G51" s="20" t="n">
        <v>127.213</v>
      </c>
      <c r="H51" s="20" t="n">
        <v>27.788</v>
      </c>
      <c r="I51" s="20" t="n">
        <v>86.965</v>
      </c>
      <c r="J51" s="20" t="n">
        <v>45.282</v>
      </c>
      <c r="K51" s="20" t="n">
        <v>118.805</v>
      </c>
      <c r="L51" s="20" t="n">
        <v>132.336</v>
      </c>
      <c r="M51" s="20" t="n">
        <v>111.262</v>
      </c>
      <c r="N51" s="20" t="n">
        <v>45.663</v>
      </c>
      <c r="O51" s="19" t="n">
        <v>141.91</v>
      </c>
      <c r="P51" s="20" t="n">
        <v>174.577</v>
      </c>
      <c r="Q51" s="20" t="n">
        <v>84.545</v>
      </c>
      <c r="R51" s="20" t="n">
        <v>176.132</v>
      </c>
      <c r="S51" s="20" t="n">
        <v>170.782</v>
      </c>
      <c r="T51" s="20" t="n">
        <v>282.002</v>
      </c>
      <c r="U51" s="20" t="n">
        <v>457.791</v>
      </c>
      <c r="V51" s="20" t="n">
        <v>331.856</v>
      </c>
      <c r="W51" s="20" t="n">
        <v>330.986</v>
      </c>
      <c r="X51" s="20" t="n">
        <v>383.388</v>
      </c>
      <c r="Y51" s="19">
        <f>IF(OR(Y4="",Y52=""),"",IFERROR(Y4*Y52,""))</f>
        <v/>
      </c>
      <c r="Z51" s="20">
        <f>IF(OR(Z4="",Z52=""),"",IFERROR(Z4*Z52,""))</f>
        <v/>
      </c>
      <c r="AA51" s="20">
        <f>IF(OR(AA4="",AA52=""),"",IFERROR(AA4*AA52,""))</f>
        <v/>
      </c>
      <c r="AB51" s="20">
        <f>IF(OR(AB4="",AB52=""),"",IFERROR(AB4*AB52,""))</f>
        <v/>
      </c>
      <c r="AC51" s="20">
        <f>IF(OR(AC4="",AC52=""),"",IFERROR(AC4*AC52,""))</f>
        <v/>
      </c>
    </row>
    <row r="52">
      <c r="A52" s="13" t="inlineStr">
        <is>
          <t>% of Sales</t>
        </is>
      </c>
      <c r="B52" s="10" t="n"/>
      <c r="C52" s="14">
        <f>IF(OR(C51="",C4=""),"",IFERROR(C51/C4,""))</f>
        <v/>
      </c>
      <c r="D52" s="15">
        <f>IF(OR(D51="",D4=""),"",IFERROR(D51/D4,""))</f>
        <v/>
      </c>
      <c r="E52" s="15">
        <f>IF(OR(E51="",E4=""),"",IFERROR(E51/E4,""))</f>
        <v/>
      </c>
      <c r="F52" s="15">
        <f>IF(OR(F51="",F4=""),"",IFERROR(F51/F4,""))</f>
        <v/>
      </c>
      <c r="G52" s="15">
        <f>IF(OR(G51="",G4=""),"",IFERROR(G51/G4,""))</f>
        <v/>
      </c>
      <c r="H52" s="15">
        <f>IF(OR(H51="",H4=""),"",IFERROR(H51/H4,""))</f>
        <v/>
      </c>
      <c r="I52" s="15">
        <f>IF(OR(I51="",I4=""),"",IFERROR(I51/I4,""))</f>
        <v/>
      </c>
      <c r="J52" s="15">
        <f>IF(OR(J51="",J4=""),"",IFERROR(J51/J4,""))</f>
        <v/>
      </c>
      <c r="K52" s="15">
        <f>IF(OR(K51="",K4=""),"",IFERROR(K51/K4,""))</f>
        <v/>
      </c>
      <c r="L52" s="15">
        <f>IF(OR(L51="",L4=""),"",IFERROR(L51/L4,""))</f>
        <v/>
      </c>
      <c r="M52" s="15">
        <f>IF(OR(M51="",M4=""),"",IFERROR(M51/M4,""))</f>
        <v/>
      </c>
      <c r="N52" s="15">
        <f>IF(OR(N51="",N4=""),"",IFERROR(N51/N4,""))</f>
        <v/>
      </c>
      <c r="O52" s="14">
        <f>IF(OR(O51="",O4=""),"",IFERROR(O51/O4,""))</f>
        <v/>
      </c>
      <c r="P52" s="15">
        <f>IF(OR(P51="",P4=""),"",IFERROR(P51/P4,""))</f>
        <v/>
      </c>
      <c r="Q52" s="15">
        <f>IF(OR(Q51="",Q4=""),"",IFERROR(Q51/Q4,""))</f>
        <v/>
      </c>
      <c r="R52" s="15">
        <f>IF(OR(R51="",R4=""),"",IFERROR(R51/R4,""))</f>
        <v/>
      </c>
      <c r="S52" s="15">
        <f>IF(OR(S51="",S4=""),"",IFERROR(S51/S4,""))</f>
        <v/>
      </c>
      <c r="T52" s="15">
        <f>IF(OR(T51="",T4=""),"",IFERROR(T51/T4,""))</f>
        <v/>
      </c>
      <c r="U52" s="15">
        <f>IF(OR(U51="",U4=""),"",IFERROR(U51/U4,""))</f>
        <v/>
      </c>
      <c r="V52" s="15">
        <f>IF(OR(V51="",V4=""),"",IFERROR(V51/V4,""))</f>
        <v/>
      </c>
      <c r="W52" s="15">
        <f>IF(OR(W51="",W4=""),"",IFERROR(W51/W4,""))</f>
        <v/>
      </c>
      <c r="X52" s="15">
        <f>IF(OR(X51="",X4=""),"",IFERROR(X51/X4,""))</f>
        <v/>
      </c>
      <c r="Y52" s="25">
        <f>IFERROR(AVERAGE(V52,W52,X52),"")</f>
        <v/>
      </c>
      <c r="Z52" s="26">
        <f>Y52</f>
        <v/>
      </c>
      <c r="AA52" s="26">
        <f>Z52</f>
        <v/>
      </c>
      <c r="AB52" s="26">
        <f>AA52</f>
        <v/>
      </c>
      <c r="AC52" s="26">
        <f>AB52</f>
        <v/>
      </c>
    </row>
    <row r="53">
      <c r="A53" s="18" t="inlineStr">
        <is>
          <t>영업외비용</t>
        </is>
      </c>
      <c r="B53" s="10" t="n"/>
      <c r="C53" s="19" t="n">
        <v>5.504</v>
      </c>
      <c r="D53" s="20" t="n">
        <v>2.174</v>
      </c>
      <c r="E53" s="20" t="n">
        <v>1.622</v>
      </c>
      <c r="F53" s="20" t="n">
        <v>54.067</v>
      </c>
      <c r="G53" s="20" t="n">
        <v>-47.984</v>
      </c>
      <c r="H53" s="20" t="n">
        <v>20.701</v>
      </c>
      <c r="I53" s="20" t="n">
        <v>38.163</v>
      </c>
      <c r="J53" s="20" t="n">
        <v>-26.19</v>
      </c>
      <c r="K53" s="20" t="n">
        <v>-4.346</v>
      </c>
      <c r="L53" s="20" t="n">
        <v>23.383</v>
      </c>
      <c r="M53" s="20" t="n">
        <v>7.562</v>
      </c>
      <c r="N53" s="20" t="n">
        <v>8.206</v>
      </c>
      <c r="O53" s="19" t="n">
        <v>10.569</v>
      </c>
      <c r="P53" s="20" t="n">
        <v>28.682</v>
      </c>
      <c r="Q53" s="20" t="n">
        <v>110.887</v>
      </c>
      <c r="R53" s="20" t="n">
        <v>13.656</v>
      </c>
      <c r="S53" s="20" t="n">
        <v>8.593</v>
      </c>
      <c r="T53" s="20" t="n">
        <v>34.467</v>
      </c>
      <c r="U53" s="20" t="n">
        <v>47.973</v>
      </c>
      <c r="V53" s="20" t="n">
        <v>10.775</v>
      </c>
      <c r="W53" s="20" t="n">
        <v>28.406</v>
      </c>
      <c r="X53" s="20" t="n">
        <v>31.01</v>
      </c>
      <c r="Y53" s="19">
        <f>IF(OR(Y4="",Y54=""),"",IFERROR(Y4*Y54,""))</f>
        <v/>
      </c>
      <c r="Z53" s="20">
        <f>IF(OR(Z4="",Z54=""),"",IFERROR(Z4*Z54,""))</f>
        <v/>
      </c>
      <c r="AA53" s="20">
        <f>IF(OR(AA4="",AA54=""),"",IFERROR(AA4*AA54,""))</f>
        <v/>
      </c>
      <c r="AB53" s="20">
        <f>IF(OR(AB4="",AB54=""),"",IFERROR(AB4*AB54,""))</f>
        <v/>
      </c>
      <c r="AC53" s="20">
        <f>IF(OR(AC4="",AC54=""),"",IFERROR(AC4*AC54,""))</f>
        <v/>
      </c>
    </row>
    <row r="54">
      <c r="A54" s="13" t="inlineStr">
        <is>
          <t>% of Sales</t>
        </is>
      </c>
      <c r="B54" s="10" t="n"/>
      <c r="C54" s="14">
        <f>IF(OR(C53="",C4=""),"",IFERROR(C53/C4,""))</f>
        <v/>
      </c>
      <c r="D54" s="15">
        <f>IF(OR(D53="",D4=""),"",IFERROR(D53/D4,""))</f>
        <v/>
      </c>
      <c r="E54" s="15">
        <f>IF(OR(E53="",E4=""),"",IFERROR(E53/E4,""))</f>
        <v/>
      </c>
      <c r="F54" s="15">
        <f>IF(OR(F53="",F4=""),"",IFERROR(F53/F4,""))</f>
        <v/>
      </c>
      <c r="G54" s="15">
        <f>IF(OR(G53="",G4=""),"",IFERROR(G53/G4,""))</f>
        <v/>
      </c>
      <c r="H54" s="15">
        <f>IF(OR(H53="",H4=""),"",IFERROR(H53/H4,""))</f>
        <v/>
      </c>
      <c r="I54" s="15">
        <f>IF(OR(I53="",I4=""),"",IFERROR(I53/I4,""))</f>
        <v/>
      </c>
      <c r="J54" s="15">
        <f>IF(OR(J53="",J4=""),"",IFERROR(J53/J4,""))</f>
        <v/>
      </c>
      <c r="K54" s="15">
        <f>IF(OR(K53="",K4=""),"",IFERROR(K53/K4,""))</f>
        <v/>
      </c>
      <c r="L54" s="15">
        <f>IF(OR(L53="",L4=""),"",IFERROR(L53/L4,""))</f>
        <v/>
      </c>
      <c r="M54" s="15">
        <f>IF(OR(M53="",M4=""),"",IFERROR(M53/M4,""))</f>
        <v/>
      </c>
      <c r="N54" s="15">
        <f>IF(OR(N53="",N4=""),"",IFERROR(N53/N4,""))</f>
        <v/>
      </c>
      <c r="O54" s="14">
        <f>IF(OR(O53="",O4=""),"",IFERROR(O53/O4,""))</f>
        <v/>
      </c>
      <c r="P54" s="15">
        <f>IF(OR(P53="",P4=""),"",IFERROR(P53/P4,""))</f>
        <v/>
      </c>
      <c r="Q54" s="15">
        <f>IF(OR(Q53="",Q4=""),"",IFERROR(Q53/Q4,""))</f>
        <v/>
      </c>
      <c r="R54" s="15">
        <f>IF(OR(R53="",R4=""),"",IFERROR(R53/R4,""))</f>
        <v/>
      </c>
      <c r="S54" s="15">
        <f>IF(OR(S53="",S4=""),"",IFERROR(S53/S4,""))</f>
        <v/>
      </c>
      <c r="T54" s="15">
        <f>IF(OR(T53="",T4=""),"",IFERROR(T53/T4,""))</f>
        <v/>
      </c>
      <c r="U54" s="15">
        <f>IF(OR(U53="",U4=""),"",IFERROR(U53/U4,""))</f>
        <v/>
      </c>
      <c r="V54" s="15">
        <f>IF(OR(V53="",V4=""),"",IFERROR(V53/V4,""))</f>
        <v/>
      </c>
      <c r="W54" s="15">
        <f>IF(OR(W53="",W4=""),"",IFERROR(W53/W4,""))</f>
        <v/>
      </c>
      <c r="X54" s="15">
        <f>IF(OR(X53="",X4=""),"",IFERROR(X53/X4,""))</f>
        <v/>
      </c>
      <c r="Y54" s="25">
        <f>IFERROR(AVERAGE(V54,W54,X54),"")</f>
        <v/>
      </c>
      <c r="Z54" s="26">
        <f>Y54</f>
        <v/>
      </c>
      <c r="AA54" s="26">
        <f>Z54</f>
        <v/>
      </c>
      <c r="AB54" s="26">
        <f>AA54</f>
        <v/>
      </c>
      <c r="AC54" s="26">
        <f>AB54</f>
        <v/>
      </c>
    </row>
    <row r="55">
      <c r="A55" s="9" t="inlineStr">
        <is>
          <t>법인세비용차감전순이익(손실)</t>
        </is>
      </c>
      <c r="B55" s="10" t="n"/>
      <c r="C55" s="11" t="n">
        <v>451.13</v>
      </c>
      <c r="D55" s="12" t="n">
        <v>366.527</v>
      </c>
      <c r="E55" s="12" t="n">
        <v>308.266</v>
      </c>
      <c r="F55" s="12" t="n">
        <v>270.667</v>
      </c>
      <c r="G55" s="12" t="n">
        <v>604.952</v>
      </c>
      <c r="H55" s="12" t="n">
        <v>516.095</v>
      </c>
      <c r="I55" s="12" t="n">
        <v>369.786</v>
      </c>
      <c r="J55" s="12" t="n">
        <v>346.115</v>
      </c>
      <c r="K55" s="12" t="n">
        <v>662.58</v>
      </c>
      <c r="L55" s="12" t="n">
        <v>669.721</v>
      </c>
      <c r="M55" s="12" t="n">
        <v>455.451</v>
      </c>
      <c r="N55" s="12" t="n">
        <v>434.325</v>
      </c>
      <c r="O55" s="11" t="n">
        <v>1702.992</v>
      </c>
      <c r="P55" s="12" t="n">
        <v>1914.053</v>
      </c>
      <c r="Q55" s="12" t="n">
        <v>1520.133</v>
      </c>
      <c r="R55" s="12" t="n">
        <v>2248.201</v>
      </c>
      <c r="S55" s="12" t="n">
        <v>2431.023</v>
      </c>
      <c r="T55" s="12" t="n">
        <v>1891.497</v>
      </c>
      <c r="U55" s="12" t="n">
        <v>1369.144</v>
      </c>
      <c r="V55" s="12" t="n">
        <v>1509.716</v>
      </c>
      <c r="W55" s="12" t="n">
        <v>1699.98</v>
      </c>
      <c r="X55" s="12" t="n">
        <v>2048.202</v>
      </c>
      <c r="Y55" s="11">
        <f>IF(OR(Y31=""),"",IFERROR(Y31+N(Y47)-N(Y49)+N(Y51)-N(Y53),""))</f>
        <v/>
      </c>
      <c r="Z55" s="12">
        <f>IF(OR(Z31=""),"",IFERROR(Z31+N(Z47)-N(Z49)+N(Z51)-N(Z53),""))</f>
        <v/>
      </c>
      <c r="AA55" s="12">
        <f>IF(OR(AA31=""),"",IFERROR(AA31+N(AA47)-N(AA49)+N(AA51)-N(AA53),""))</f>
        <v/>
      </c>
      <c r="AB55" s="12">
        <f>IF(OR(AB31=""),"",IFERROR(AB31+N(AB47)-N(AB49)+N(AB51)-N(AB53),""))</f>
        <v/>
      </c>
      <c r="AC55" s="12">
        <f>IF(OR(AC31=""),"",IFERROR(AC31+N(AC47)-N(AC49)+N(AC51)-N(AC53),""))</f>
        <v/>
      </c>
    </row>
    <row r="56">
      <c r="A56" s="13" t="inlineStr">
        <is>
          <t>YoY</t>
        </is>
      </c>
      <c r="B56" s="10" t="n"/>
      <c r="C56" s="14" t="n"/>
      <c r="D56" s="15" t="n"/>
      <c r="E56" s="15" t="n"/>
      <c r="F56" s="15" t="n"/>
      <c r="G56" s="15">
        <f>IF(OR(G55="",C55=""),"",IF(C55&lt;=0,"",IFERROR(G55/C55-1,"")))</f>
        <v/>
      </c>
      <c r="H56" s="15">
        <f>IF(OR(H55="",D55=""),"",IF(D55&lt;=0,"",IFERROR(H55/D55-1,"")))</f>
        <v/>
      </c>
      <c r="I56" s="15">
        <f>IF(OR(I55="",E55=""),"",IF(E55&lt;=0,"",IFERROR(I55/E55-1,"")))</f>
        <v/>
      </c>
      <c r="J56" s="15">
        <f>IF(OR(J55="",F55=""),"",IF(F55&lt;=0,"",IFERROR(J55/F55-1,"")))</f>
        <v/>
      </c>
      <c r="K56" s="15">
        <f>IF(OR(K55="",G55=""),"",IF(G55&lt;=0,"",IFERROR(K55/G55-1,"")))</f>
        <v/>
      </c>
      <c r="L56" s="15">
        <f>IF(OR(L55="",H55=""),"",IF(H55&lt;=0,"",IFERROR(L55/H55-1,"")))</f>
        <v/>
      </c>
      <c r="M56" s="15">
        <f>IF(OR(M55="",I55=""),"",IF(I55&lt;=0,"",IFERROR(M55/I55-1,"")))</f>
        <v/>
      </c>
      <c r="N56" s="15">
        <f>IF(OR(N55="",J55=""),"",IF(J55&lt;=0,"",IFERROR(N55/J55-1,"")))</f>
        <v/>
      </c>
      <c r="O56" s="14" t="n"/>
      <c r="P56" s="15">
        <f>IF(OR(P55="",O55=""),"",IF(O55&lt;=0,"",IFERROR(P55/O55-1,"")))</f>
        <v/>
      </c>
      <c r="Q56" s="15">
        <f>IF(OR(Q55="",P55=""),"",IF(P55&lt;=0,"",IFERROR(Q55/P55-1,"")))</f>
        <v/>
      </c>
      <c r="R56" s="15">
        <f>IF(OR(R55="",Q55=""),"",IF(Q55&lt;=0,"",IFERROR(R55/Q55-1,"")))</f>
        <v/>
      </c>
      <c r="S56" s="15">
        <f>IF(OR(S55="",R55=""),"",IF(R55&lt;=0,"",IFERROR(S55/R55-1,"")))</f>
        <v/>
      </c>
      <c r="T56" s="15">
        <f>IF(OR(T55="",S55=""),"",IF(S55&lt;=0,"",IFERROR(T55/S55-1,"")))</f>
        <v/>
      </c>
      <c r="U56" s="15">
        <f>IF(OR(U55="",T55=""),"",IF(T55&lt;=0,"",IFERROR(U55/T55-1,"")))</f>
        <v/>
      </c>
      <c r="V56" s="15">
        <f>IF(OR(V55="",U55=""),"",IF(U55&lt;=0,"",IFERROR(V55/U55-1,"")))</f>
        <v/>
      </c>
      <c r="W56" s="15">
        <f>IF(OR(W55="",V55=""),"",IF(V55&lt;=0,"",IFERROR(W55/V55-1,"")))</f>
        <v/>
      </c>
      <c r="X56" s="15">
        <f>IF(OR(X55="",W55=""),"",IF(W55&lt;=0,"",IFERROR(X55/W55-1,"")))</f>
        <v/>
      </c>
      <c r="Y56" s="14">
        <f>IF(OR(Y55="",X55=""),"",IF(X55&lt;=0,"",IFERROR(Y55/X55-1,"")))</f>
        <v/>
      </c>
      <c r="Z56" s="15">
        <f>IF(OR(Z55="",Y55=""),"",IF(Y55&lt;=0,"",IFERROR(Z55/Y55-1,"")))</f>
        <v/>
      </c>
      <c r="AA56" s="15">
        <f>IF(OR(AA55="",Z55=""),"",IF(Z55&lt;=0,"",IFERROR(AA55/Z55-1,"")))</f>
        <v/>
      </c>
      <c r="AB56" s="15">
        <f>IF(OR(AB55="",AA55=""),"",IF(AA55&lt;=0,"",IFERROR(AB55/AA55-1,"")))</f>
        <v/>
      </c>
      <c r="AC56" s="15">
        <f>IF(OR(AC55="",AB55=""),"",IF(AB55&lt;=0,"",IFERROR(AC55/AB55-1,"")))</f>
        <v/>
      </c>
    </row>
    <row r="57">
      <c r="A57" s="18" t="inlineStr">
        <is>
          <t>법인세비용(수익)</t>
        </is>
      </c>
      <c r="B57" s="10" t="n"/>
      <c r="C57" s="19" t="n">
        <v>139.529</v>
      </c>
      <c r="D57" s="20" t="n">
        <v>83.976</v>
      </c>
      <c r="E57" s="20" t="n">
        <v>112.884</v>
      </c>
      <c r="F57" s="20" t="n">
        <v>50.611</v>
      </c>
      <c r="G57" s="20" t="n">
        <v>219.544</v>
      </c>
      <c r="H57" s="20" t="n">
        <v>180.212</v>
      </c>
      <c r="I57" s="20" t="n">
        <v>161.78</v>
      </c>
      <c r="J57" s="20" t="n">
        <v>106.288</v>
      </c>
      <c r="K57" s="20" t="n">
        <v>215.72</v>
      </c>
      <c r="L57" s="20" t="n">
        <v>163.359</v>
      </c>
      <c r="M57" s="20" t="n">
        <v>155.433</v>
      </c>
      <c r="N57" s="20" t="n">
        <v>112.453</v>
      </c>
      <c r="O57" s="19" t="n">
        <v>490.096</v>
      </c>
      <c r="P57" s="20" t="n">
        <v>545.5599999999999</v>
      </c>
      <c r="Q57" s="20" t="n">
        <v>296.414</v>
      </c>
      <c r="R57" s="20" t="n">
        <v>555.966</v>
      </c>
      <c r="S57" s="20" t="n">
        <v>708.427</v>
      </c>
      <c r="T57" s="20" t="n">
        <v>535.336</v>
      </c>
      <c r="U57" s="20" t="n">
        <v>400.779</v>
      </c>
      <c r="V57" s="20" t="n">
        <v>426.927</v>
      </c>
      <c r="W57" s="20" t="n">
        <v>563.251</v>
      </c>
      <c r="X57" s="20" t="n">
        <v>647.147</v>
      </c>
      <c r="Y57" s="19">
        <f>IF(OR(Y55="",Y58=""),"",IFERROR(MAX(Y55,0)*Y58,""))</f>
        <v/>
      </c>
      <c r="Z57" s="20">
        <f>IF(OR(Z55="",Z58=""),"",IFERROR(MAX(Z55,0)*Z58,""))</f>
        <v/>
      </c>
      <c r="AA57" s="20">
        <f>IF(OR(AA55="",AA58=""),"",IFERROR(MAX(AA55,0)*AA58,""))</f>
        <v/>
      </c>
      <c r="AB57" s="20">
        <f>IF(OR(AB55="",AB58=""),"",IFERROR(MAX(AB55,0)*AB58,""))</f>
        <v/>
      </c>
      <c r="AC57" s="20">
        <f>IF(OR(AC55="",AC58=""),"",IFERROR(MAX(AC55,0)*AC58,""))</f>
        <v/>
      </c>
    </row>
    <row r="58">
      <c r="A58" s="13" t="inlineStr">
        <is>
          <t>법인세율</t>
        </is>
      </c>
      <c r="B58" s="10" t="inlineStr">
        <is>
          <t>MW 기본 30%</t>
        </is>
      </c>
      <c r="C58" s="14">
        <f>IF(OR(C57="",C55=""),"",IFERROR(C57/C55,""))</f>
        <v/>
      </c>
      <c r="D58" s="15">
        <f>IF(OR(D57="",D55=""),"",IFERROR(D57/D55,""))</f>
        <v/>
      </c>
      <c r="E58" s="15">
        <f>IF(OR(E57="",E55=""),"",IFERROR(E57/E55,""))</f>
        <v/>
      </c>
      <c r="F58" s="15">
        <f>IF(OR(F57="",F55=""),"",IFERROR(F57/F55,""))</f>
        <v/>
      </c>
      <c r="G58" s="15">
        <f>IF(OR(G57="",G55=""),"",IFERROR(G57/G55,""))</f>
        <v/>
      </c>
      <c r="H58" s="15">
        <f>IF(OR(H57="",H55=""),"",IFERROR(H57/H55,""))</f>
        <v/>
      </c>
      <c r="I58" s="15">
        <f>IF(OR(I57="",I55=""),"",IFERROR(I57/I55,""))</f>
        <v/>
      </c>
      <c r="J58" s="15">
        <f>IF(OR(J57="",J55=""),"",IFERROR(J57/J55,""))</f>
        <v/>
      </c>
      <c r="K58" s="15">
        <f>IF(OR(K57="",K55=""),"",IFERROR(K57/K55,""))</f>
        <v/>
      </c>
      <c r="L58" s="15">
        <f>IF(OR(L57="",L55=""),"",IFERROR(L57/L55,""))</f>
        <v/>
      </c>
      <c r="M58" s="15">
        <f>IF(OR(M57="",M55=""),"",IFERROR(M57/M55,""))</f>
        <v/>
      </c>
      <c r="N58" s="15">
        <f>IF(OR(N57="",N55=""),"",IFERROR(N57/N55,""))</f>
        <v/>
      </c>
      <c r="O58" s="14">
        <f>IF(OR(O57="",O55=""),"",IFERROR(O57/O55,""))</f>
        <v/>
      </c>
      <c r="P58" s="15">
        <f>IF(OR(P57="",P55=""),"",IFERROR(P57/P55,""))</f>
        <v/>
      </c>
      <c r="Q58" s="15">
        <f>IF(OR(Q57="",Q55=""),"",IFERROR(Q57/Q55,""))</f>
        <v/>
      </c>
      <c r="R58" s="15">
        <f>IF(OR(R57="",R55=""),"",IFERROR(R57/R55,""))</f>
        <v/>
      </c>
      <c r="S58" s="15">
        <f>IF(OR(S57="",S55=""),"",IFERROR(S57/S55,""))</f>
        <v/>
      </c>
      <c r="T58" s="15">
        <f>IF(OR(T57="",T55=""),"",IFERROR(T57/T55,""))</f>
        <v/>
      </c>
      <c r="U58" s="15">
        <f>IF(OR(U57="",U55=""),"",IFERROR(U57/U55,""))</f>
        <v/>
      </c>
      <c r="V58" s="15">
        <f>IF(OR(V57="",V55=""),"",IFERROR(V57/V55,""))</f>
        <v/>
      </c>
      <c r="W58" s="15">
        <f>IF(OR(W57="",W55=""),"",IFERROR(W57/W55,""))</f>
        <v/>
      </c>
      <c r="X58" s="15">
        <f>IF(OR(X57="",X55=""),"",IFERROR(X57/X55,""))</f>
        <v/>
      </c>
      <c r="Y58" s="25" t="n">
        <v>0.3</v>
      </c>
      <c r="Z58" s="26" t="n">
        <v>0.3</v>
      </c>
      <c r="AA58" s="26" t="n">
        <v>0.3</v>
      </c>
      <c r="AB58" s="26" t="n">
        <v>0.3</v>
      </c>
      <c r="AC58" s="26" t="n">
        <v>0.3</v>
      </c>
    </row>
    <row r="59">
      <c r="A59" s="9" t="inlineStr">
        <is>
          <t>당기순이익(손실)</t>
        </is>
      </c>
      <c r="B59" s="10" t="n"/>
      <c r="C59" s="11" t="n">
        <v>311.6</v>
      </c>
      <c r="D59" s="12" t="n">
        <v>282.553</v>
      </c>
      <c r="E59" s="12" t="n">
        <v>195.381</v>
      </c>
      <c r="F59" s="12" t="n">
        <v>220.056</v>
      </c>
      <c r="G59" s="12" t="n">
        <v>385.408</v>
      </c>
      <c r="H59" s="12" t="n">
        <v>335.884</v>
      </c>
      <c r="I59" s="12" t="n">
        <v>208.005</v>
      </c>
      <c r="J59" s="12" t="n">
        <v>239.828</v>
      </c>
      <c r="K59" s="12" t="n">
        <v>446.86</v>
      </c>
      <c r="L59" s="12" t="n">
        <v>506.362</v>
      </c>
      <c r="M59" s="12" t="n">
        <v>300.018</v>
      </c>
      <c r="N59" s="12" t="n">
        <v>321.872</v>
      </c>
      <c r="O59" s="11" t="n">
        <v>1212.896</v>
      </c>
      <c r="P59" s="12" t="n">
        <v>1368.492</v>
      </c>
      <c r="Q59" s="12" t="n">
        <v>1223.719</v>
      </c>
      <c r="R59" s="12" t="n">
        <v>1692.235</v>
      </c>
      <c r="S59" s="12" t="n">
        <v>1722.596</v>
      </c>
      <c r="T59" s="12" t="n">
        <v>1356.161</v>
      </c>
      <c r="U59" s="12" t="n">
        <v>968.365</v>
      </c>
      <c r="V59" s="12" t="n">
        <v>1082.79</v>
      </c>
      <c r="W59" s="12" t="n">
        <v>1136.729</v>
      </c>
      <c r="X59" s="12" t="n">
        <v>1401.055</v>
      </c>
      <c r="Y59" s="11">
        <f>IF(OR(Y55=""),"",IFERROR(Y55-Y57,""))</f>
        <v/>
      </c>
      <c r="Z59" s="12">
        <f>IF(OR(Z55=""),"",IFERROR(Z55-Z57,""))</f>
        <v/>
      </c>
      <c r="AA59" s="12">
        <f>IF(OR(AA55=""),"",IFERROR(AA55-AA57,""))</f>
        <v/>
      </c>
      <c r="AB59" s="12">
        <f>IF(OR(AB55=""),"",IFERROR(AB55-AB57,""))</f>
        <v/>
      </c>
      <c r="AC59" s="12">
        <f>IF(OR(AC55=""),"",IFERROR(AC55-AC57,""))</f>
        <v/>
      </c>
    </row>
    <row r="60">
      <c r="A60" s="13" t="inlineStr">
        <is>
          <t>YoY</t>
        </is>
      </c>
      <c r="B60" s="10" t="n"/>
      <c r="C60" s="14" t="n"/>
      <c r="D60" s="15" t="n"/>
      <c r="E60" s="15" t="n"/>
      <c r="F60" s="15" t="n"/>
      <c r="G60" s="15">
        <f>IF(OR(G59="",C59=""),"",IF(C59&lt;=0,"",IFERROR(G59/C59-1,"")))</f>
        <v/>
      </c>
      <c r="H60" s="15">
        <f>IF(OR(H59="",D59=""),"",IF(D59&lt;=0,"",IFERROR(H59/D59-1,"")))</f>
        <v/>
      </c>
      <c r="I60" s="15">
        <f>IF(OR(I59="",E59=""),"",IF(E59&lt;=0,"",IFERROR(I59/E59-1,"")))</f>
        <v/>
      </c>
      <c r="J60" s="15">
        <f>IF(OR(J59="",F59=""),"",IF(F59&lt;=0,"",IFERROR(J59/F59-1,"")))</f>
        <v/>
      </c>
      <c r="K60" s="15">
        <f>IF(OR(K59="",G59=""),"",IF(G59&lt;=0,"",IFERROR(K59/G59-1,"")))</f>
        <v/>
      </c>
      <c r="L60" s="15">
        <f>IF(OR(L59="",H59=""),"",IF(H59&lt;=0,"",IFERROR(L59/H59-1,"")))</f>
        <v/>
      </c>
      <c r="M60" s="15">
        <f>IF(OR(M59="",I59=""),"",IF(I59&lt;=0,"",IFERROR(M59/I59-1,"")))</f>
        <v/>
      </c>
      <c r="N60" s="15">
        <f>IF(OR(N59="",J59=""),"",IF(J59&lt;=0,"",IFERROR(N59/J59-1,"")))</f>
        <v/>
      </c>
      <c r="O60" s="14" t="n"/>
      <c r="P60" s="15">
        <f>IF(OR(P59="",O59=""),"",IF(O59&lt;=0,"",IFERROR(P59/O59-1,"")))</f>
        <v/>
      </c>
      <c r="Q60" s="15">
        <f>IF(OR(Q59="",P59=""),"",IF(P59&lt;=0,"",IFERROR(Q59/P59-1,"")))</f>
        <v/>
      </c>
      <c r="R60" s="15">
        <f>IF(OR(R59="",Q59=""),"",IF(Q59&lt;=0,"",IFERROR(R59/Q59-1,"")))</f>
        <v/>
      </c>
      <c r="S60" s="15">
        <f>IF(OR(S59="",R59=""),"",IF(R59&lt;=0,"",IFERROR(S59/R59-1,"")))</f>
        <v/>
      </c>
      <c r="T60" s="15">
        <f>IF(OR(T59="",S59=""),"",IF(S59&lt;=0,"",IFERROR(T59/S59-1,"")))</f>
        <v/>
      </c>
      <c r="U60" s="15">
        <f>IF(OR(U59="",T59=""),"",IF(T59&lt;=0,"",IFERROR(U59/T59-1,"")))</f>
        <v/>
      </c>
      <c r="V60" s="15">
        <f>IF(OR(V59="",U59=""),"",IF(U59&lt;=0,"",IFERROR(V59/U59-1,"")))</f>
        <v/>
      </c>
      <c r="W60" s="15">
        <f>IF(OR(W59="",V59=""),"",IF(V59&lt;=0,"",IFERROR(W59/V59-1,"")))</f>
        <v/>
      </c>
      <c r="X60" s="15">
        <f>IF(OR(X59="",W59=""),"",IF(W59&lt;=0,"",IFERROR(X59/W59-1,"")))</f>
        <v/>
      </c>
      <c r="Y60" s="14">
        <f>IF(OR(Y59="",X59=""),"",IF(X59&lt;=0,"",IFERROR(Y59/X59-1,"")))</f>
        <v/>
      </c>
      <c r="Z60" s="15">
        <f>IF(OR(Z59="",Y59=""),"",IF(Y59&lt;=0,"",IFERROR(Z59/Y59-1,"")))</f>
        <v/>
      </c>
      <c r="AA60" s="15">
        <f>IF(OR(AA59="",Z59=""),"",IF(Z59&lt;=0,"",IFERROR(AA59/Z59-1,"")))</f>
        <v/>
      </c>
      <c r="AB60" s="15">
        <f>IF(OR(AB59="",AA59=""),"",IF(AA59&lt;=0,"",IFERROR(AB59/AA59-1,"")))</f>
        <v/>
      </c>
      <c r="AC60" s="15">
        <f>IF(OR(AC59="",AB59=""),"",IF(AB59&lt;=0,"",IFERROR(AC59/AB59-1,"")))</f>
        <v/>
      </c>
    </row>
    <row r="61">
      <c r="A61" s="9" t="inlineStr">
        <is>
          <t>지배주주 순이익</t>
        </is>
      </c>
      <c r="B61" s="10" t="n"/>
      <c r="C61" s="11" t="n">
        <v>306.562</v>
      </c>
      <c r="D61" s="12" t="n">
        <v>264.456</v>
      </c>
      <c r="E61" s="12" t="n">
        <v>182.451</v>
      </c>
      <c r="F61" s="12" t="n">
        <v>192.401</v>
      </c>
      <c r="G61" s="12" t="n">
        <v>378.827</v>
      </c>
      <c r="H61" s="12" t="n">
        <v>324.399</v>
      </c>
      <c r="I61" s="12" t="n">
        <v>190.86</v>
      </c>
      <c r="J61" s="12" t="n">
        <v>230.038</v>
      </c>
      <c r="K61" s="12" t="n">
        <v>431.99</v>
      </c>
      <c r="L61" s="12" t="n">
        <v>487.993</v>
      </c>
      <c r="M61" s="12" t="n">
        <v>285.519</v>
      </c>
      <c r="N61" s="12" t="n">
        <v>303.212</v>
      </c>
      <c r="O61" s="11" t="n">
        <v>1190.931</v>
      </c>
      <c r="P61" s="12" t="n">
        <v>1340.096</v>
      </c>
      <c r="Q61" s="12" t="n">
        <v>1402.664</v>
      </c>
      <c r="R61" s="12" t="n">
        <v>1648.05</v>
      </c>
      <c r="S61" s="12" t="n">
        <v>1681.639</v>
      </c>
      <c r="T61" s="12" t="n">
        <v>1301.68</v>
      </c>
      <c r="U61" s="12" t="n">
        <v>842.473</v>
      </c>
      <c r="V61" s="12" t="n">
        <v>1043.706</v>
      </c>
      <c r="W61" s="12" t="n">
        <v>1078.078</v>
      </c>
      <c r="X61" s="12" t="n">
        <v>1340.881</v>
      </c>
      <c r="Y61" s="11">
        <f>IF(OR(Y59="",Y62=""),"",IFERROR(Y59*Y62,""))</f>
        <v/>
      </c>
      <c r="Z61" s="12">
        <f>IF(OR(Z59="",Z62=""),"",IFERROR(Z59*Z62,""))</f>
        <v/>
      </c>
      <c r="AA61" s="12">
        <f>IF(OR(AA59="",AA62=""),"",IFERROR(AA59*AA62,""))</f>
        <v/>
      </c>
      <c r="AB61" s="12">
        <f>IF(OR(AB59="",AB62=""),"",IFERROR(AB59*AB62,""))</f>
        <v/>
      </c>
      <c r="AC61" s="12">
        <f>IF(OR(AC59="",AC62=""),"",IFERROR(AC59*AC62,""))</f>
        <v/>
      </c>
    </row>
    <row r="62">
      <c r="A62" s="13" t="inlineStr">
        <is>
          <t>지배주주 순이익률</t>
        </is>
      </c>
      <c r="B62" s="10" t="inlineStr">
        <is>
          <t>MW 기본 100%</t>
        </is>
      </c>
      <c r="C62" s="14">
        <f>IF(OR(C61="",C59=""),"",IFERROR(C61/C59,""))</f>
        <v/>
      </c>
      <c r="D62" s="15">
        <f>IF(OR(D61="",D59=""),"",IFERROR(D61/D59,""))</f>
        <v/>
      </c>
      <c r="E62" s="15">
        <f>IF(OR(E61="",E59=""),"",IFERROR(E61/E59,""))</f>
        <v/>
      </c>
      <c r="F62" s="15">
        <f>IF(OR(F61="",F59=""),"",IFERROR(F61/F59,""))</f>
        <v/>
      </c>
      <c r="G62" s="15">
        <f>IF(OR(G61="",G59=""),"",IFERROR(G61/G59,""))</f>
        <v/>
      </c>
      <c r="H62" s="15">
        <f>IF(OR(H61="",H59=""),"",IFERROR(H61/H59,""))</f>
        <v/>
      </c>
      <c r="I62" s="15">
        <f>IF(OR(I61="",I59=""),"",IFERROR(I61/I59,""))</f>
        <v/>
      </c>
      <c r="J62" s="15">
        <f>IF(OR(J61="",J59=""),"",IFERROR(J61/J59,""))</f>
        <v/>
      </c>
      <c r="K62" s="15">
        <f>IF(OR(K61="",K59=""),"",IFERROR(K61/K59,""))</f>
        <v/>
      </c>
      <c r="L62" s="15">
        <f>IF(OR(L61="",L59=""),"",IFERROR(L61/L59,""))</f>
        <v/>
      </c>
      <c r="M62" s="15">
        <f>IF(OR(M61="",M59=""),"",IFERROR(M61/M59,""))</f>
        <v/>
      </c>
      <c r="N62" s="15">
        <f>IF(OR(N61="",N59=""),"",IFERROR(N61/N59,""))</f>
        <v/>
      </c>
      <c r="O62" s="14">
        <f>IF(OR(O61="",O59=""),"",IFERROR(O61/O59,""))</f>
        <v/>
      </c>
      <c r="P62" s="15">
        <f>IF(OR(P61="",P59=""),"",IFERROR(P61/P59,""))</f>
        <v/>
      </c>
      <c r="Q62" s="15">
        <f>IF(OR(Q61="",Q59=""),"",IFERROR(Q61/Q59,""))</f>
        <v/>
      </c>
      <c r="R62" s="15">
        <f>IF(OR(R61="",R59=""),"",IFERROR(R61/R59,""))</f>
        <v/>
      </c>
      <c r="S62" s="15">
        <f>IF(OR(S61="",S59=""),"",IFERROR(S61/S59,""))</f>
        <v/>
      </c>
      <c r="T62" s="15">
        <f>IF(OR(T61="",T59=""),"",IFERROR(T61/T59,""))</f>
        <v/>
      </c>
      <c r="U62" s="15">
        <f>IF(OR(U61="",U59=""),"",IFERROR(U61/U59,""))</f>
        <v/>
      </c>
      <c r="V62" s="15">
        <f>IF(OR(V61="",V59=""),"",IFERROR(V61/V59,""))</f>
        <v/>
      </c>
      <c r="W62" s="15">
        <f>IF(OR(W61="",W59=""),"",IFERROR(W61/W59,""))</f>
        <v/>
      </c>
      <c r="X62" s="15">
        <f>IF(OR(X61="",X59=""),"",IFERROR(X61/X59,""))</f>
        <v/>
      </c>
      <c r="Y62" s="25" t="n">
        <v>1</v>
      </c>
      <c r="Z62" s="26" t="n">
        <v>1</v>
      </c>
      <c r="AA62" s="26" t="n">
        <v>1</v>
      </c>
      <c r="AB62" s="26" t="n">
        <v>1</v>
      </c>
      <c r="AC62" s="26" t="n">
        <v>1</v>
      </c>
    </row>
    <row r="63">
      <c r="A63" s="13" t="inlineStr">
        <is>
          <t>지배주주 순이익 YoY</t>
        </is>
      </c>
      <c r="B63" s="10" t="n"/>
      <c r="C63" s="14" t="n"/>
      <c r="D63" s="15" t="n"/>
      <c r="E63" s="15" t="n"/>
      <c r="F63" s="15" t="n"/>
      <c r="G63" s="15">
        <f>IF(OR(G61="",C61=""),"",IF(C61&lt;=0,"",IFERROR(G61/C61-1,"")))</f>
        <v/>
      </c>
      <c r="H63" s="15">
        <f>IF(OR(H61="",D61=""),"",IF(D61&lt;=0,"",IFERROR(H61/D61-1,"")))</f>
        <v/>
      </c>
      <c r="I63" s="15">
        <f>IF(OR(I61="",E61=""),"",IF(E61&lt;=0,"",IFERROR(I61/E61-1,"")))</f>
        <v/>
      </c>
      <c r="J63" s="15">
        <f>IF(OR(J61="",F61=""),"",IF(F61&lt;=0,"",IFERROR(J61/F61-1,"")))</f>
        <v/>
      </c>
      <c r="K63" s="15">
        <f>IF(OR(K61="",G61=""),"",IF(G61&lt;=0,"",IFERROR(K61/G61-1,"")))</f>
        <v/>
      </c>
      <c r="L63" s="15">
        <f>IF(OR(L61="",H61=""),"",IF(H61&lt;=0,"",IFERROR(L61/H61-1,"")))</f>
        <v/>
      </c>
      <c r="M63" s="15">
        <f>IF(OR(M61="",I61=""),"",IF(I61&lt;=0,"",IFERROR(M61/I61-1,"")))</f>
        <v/>
      </c>
      <c r="N63" s="15">
        <f>IF(OR(N61="",J61=""),"",IF(J61&lt;=0,"",IFERROR(N61/J61-1,"")))</f>
        <v/>
      </c>
      <c r="O63" s="14" t="n"/>
      <c r="P63" s="15">
        <f>IF(OR(P61="",O61=""),"",IF(O61&lt;=0,"",IFERROR(P61/O61-1,"")))</f>
        <v/>
      </c>
      <c r="Q63" s="15">
        <f>IF(OR(Q61="",P61=""),"",IF(P61&lt;=0,"",IFERROR(Q61/P61-1,"")))</f>
        <v/>
      </c>
      <c r="R63" s="15">
        <f>IF(OR(R61="",Q61=""),"",IF(Q61&lt;=0,"",IFERROR(R61/Q61-1,"")))</f>
        <v/>
      </c>
      <c r="S63" s="15">
        <f>IF(OR(S61="",R61=""),"",IF(R61&lt;=0,"",IFERROR(S61/R61-1,"")))</f>
        <v/>
      </c>
      <c r="T63" s="15">
        <f>IF(OR(T61="",S61=""),"",IF(S61&lt;=0,"",IFERROR(T61/S61-1,"")))</f>
        <v/>
      </c>
      <c r="U63" s="15">
        <f>IF(OR(U61="",T61=""),"",IF(T61&lt;=0,"",IFERROR(U61/T61-1,"")))</f>
        <v/>
      </c>
      <c r="V63" s="15">
        <f>IF(OR(V61="",U61=""),"",IF(U61&lt;=0,"",IFERROR(V61/U61-1,"")))</f>
        <v/>
      </c>
      <c r="W63" s="15">
        <f>IF(OR(W61="",V61=""),"",IF(V61&lt;=0,"",IFERROR(W61/V61-1,"")))</f>
        <v/>
      </c>
      <c r="X63" s="15">
        <f>IF(OR(X61="",W61=""),"",IF(W61&lt;=0,"",IFERROR(X61/W61-1,"")))</f>
        <v/>
      </c>
      <c r="Y63" s="14">
        <f>IF(OR(Y61="",X61=""),"",IF(X61&lt;=0,"",IFERROR(Y61/X61-1,"")))</f>
        <v/>
      </c>
      <c r="Z63" s="15">
        <f>IF(OR(Z61="",Y61=""),"",IF(Y61&lt;=0,"",IFERROR(Z61/Y61-1,"")))</f>
        <v/>
      </c>
      <c r="AA63" s="15">
        <f>IF(OR(AA61="",Z61=""),"",IF(Z61&lt;=0,"",IFERROR(AA61/Z61-1,"")))</f>
        <v/>
      </c>
      <c r="AB63" s="15">
        <f>IF(OR(AB61="",AA61=""),"",IF(AA61&lt;=0,"",IFERROR(AB61/AA61-1,"")))</f>
        <v/>
      </c>
      <c r="AC63" s="15">
        <f>IF(OR(AC61="",AB61=""),"",IF(AB61&lt;=0,"",IFERROR(AC61/AB61-1,"")))</f>
        <v/>
      </c>
    </row>
    <row r="64">
      <c r="A64" s="16" t="inlineStr">
        <is>
          <t>목표주가 산출</t>
        </is>
      </c>
      <c r="B64" s="16" t="n"/>
      <c r="C64" s="17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7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7" t="n"/>
      <c r="Z64" s="16" t="n"/>
      <c r="AA64" s="16" t="n"/>
      <c r="AB64" s="16" t="n"/>
      <c r="AC64" s="16" t="n"/>
    </row>
    <row r="65">
      <c r="A65" s="18" t="inlineStr">
        <is>
          <t>현재 주가 ()</t>
        </is>
      </c>
      <c r="B65" s="27" t="n"/>
      <c r="C65" s="28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8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8" t="n"/>
      <c r="Z65" s="29" t="n"/>
      <c r="AA65" s="29" t="n"/>
      <c r="AB65" s="29" t="n"/>
      <c r="AC65" s="29" t="n"/>
    </row>
    <row r="66">
      <c r="A66" s="18" t="inlineStr">
        <is>
          <t>발행주식수 (보통주)</t>
        </is>
      </c>
      <c r="B66" s="27" t="n"/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8" t="n"/>
      <c r="Z66" s="29" t="n"/>
      <c r="AA66" s="29" t="n"/>
      <c r="AB66" s="29" t="n"/>
      <c r="AC66" s="29" t="n"/>
    </row>
    <row r="67">
      <c r="A67" s="18" t="inlineStr">
        <is>
          <t>시가총액 (백만엔)</t>
        </is>
      </c>
      <c r="B67" s="12">
        <f>IF(OR(B65="",B66=""),"",B65*B66/1000000.0)</f>
        <v/>
      </c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19" t="n"/>
      <c r="Z67" s="20" t="n"/>
      <c r="AA67" s="20" t="n"/>
      <c r="AB67" s="20" t="n"/>
      <c r="AC67" s="20" t="n"/>
    </row>
    <row r="68">
      <c r="A68" s="13" t="inlineStr">
        <is>
          <t>OPM</t>
        </is>
      </c>
      <c r="B68" s="10" t="n"/>
      <c r="C68" s="14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4">
        <f>IF(O32="","",O32)</f>
        <v/>
      </c>
      <c r="P68" s="15">
        <f>IF(P32="","",P32)</f>
        <v/>
      </c>
      <c r="Q68" s="15">
        <f>IF(Q32="","",Q32)</f>
        <v/>
      </c>
      <c r="R68" s="15">
        <f>IF(R32="","",R32)</f>
        <v/>
      </c>
      <c r="S68" s="15">
        <f>IF(S32="","",S32)</f>
        <v/>
      </c>
      <c r="T68" s="15">
        <f>IF(T32="","",T32)</f>
        <v/>
      </c>
      <c r="U68" s="15">
        <f>IF(U32="","",U32)</f>
        <v/>
      </c>
      <c r="V68" s="15">
        <f>IF(V32="","",V32)</f>
        <v/>
      </c>
      <c r="W68" s="15">
        <f>IF(W32="","",W32)</f>
        <v/>
      </c>
      <c r="X68" s="15">
        <f>IF(X32="","",X32)</f>
        <v/>
      </c>
      <c r="Y68" s="14">
        <f>IF(Y32="","",Y32)</f>
        <v/>
      </c>
      <c r="Z68" s="15">
        <f>IF(Z32="","",Z32)</f>
        <v/>
      </c>
      <c r="AA68" s="15">
        <f>IF(AA32="","",AA32)</f>
        <v/>
      </c>
      <c r="AB68" s="15">
        <f>IF(AB32="","",AB32)</f>
        <v/>
      </c>
      <c r="AC68" s="15">
        <f>IF(AC32="","",AC32)</f>
        <v/>
      </c>
    </row>
    <row r="69">
      <c r="A69" s="13" t="inlineStr">
        <is>
          <t>지배주주 순이익 증가율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>
        <f>IF(OR(P61="",O61=""),"",IFERROR(P61/O61-1,""))</f>
        <v/>
      </c>
      <c r="Q69" s="15">
        <f>IF(OR(Q61="",P61=""),"",IFERROR(Q61/P61-1,""))</f>
        <v/>
      </c>
      <c r="R69" s="15">
        <f>IF(OR(R61="",Q61=""),"",IFERROR(R61/Q61-1,""))</f>
        <v/>
      </c>
      <c r="S69" s="15">
        <f>IF(OR(S61="",R61=""),"",IFERROR(S61/R61-1,""))</f>
        <v/>
      </c>
      <c r="T69" s="15">
        <f>IF(OR(T61="",S61=""),"",IFERROR(T61/S61-1,""))</f>
        <v/>
      </c>
      <c r="U69" s="15">
        <f>IF(OR(U61="",T61=""),"",IFERROR(U61/T61-1,""))</f>
        <v/>
      </c>
      <c r="V69" s="15">
        <f>IF(OR(V61="",U61=""),"",IFERROR(V61/U61-1,""))</f>
        <v/>
      </c>
      <c r="W69" s="15">
        <f>IF(OR(W61="",V61=""),"",IFERROR(W61/V61-1,""))</f>
        <v/>
      </c>
      <c r="X69" s="15">
        <f>IF(OR(X61="",W61=""),"",IFERROR(X61/W61-1,""))</f>
        <v/>
      </c>
      <c r="Y69" s="14">
        <f>IF(OR(Y61="",X61=""),"",IFERROR(Y61/X61-1,""))</f>
        <v/>
      </c>
      <c r="Z69" s="15">
        <f>IF(OR(Z61="",Y61=""),"",IFERROR(Z61/Y61-1,""))</f>
        <v/>
      </c>
      <c r="AA69" s="15">
        <f>IF(OR(AA61="",Z61=""),"",IFERROR(AA61/Z61-1,""))</f>
        <v/>
      </c>
      <c r="AB69" s="15">
        <f>IF(OR(AB61="",AA61=""),"",IFERROR(AB61/AA61-1,""))</f>
        <v/>
      </c>
      <c r="AC69" s="15">
        <f>IF(OR(AC61="",AB61=""),"",IFERROR(AC61/AB61-1,""))</f>
        <v/>
      </c>
    </row>
    <row r="70">
      <c r="A70" s="18" t="inlineStr">
        <is>
          <t>P/E (현재 주가)</t>
        </is>
      </c>
      <c r="B70" s="10" t="inlineStr">
        <is>
          <t>시총 ÷ 지배순이익</t>
        </is>
      </c>
      <c r="C70" s="30" t="n"/>
      <c r="D70" s="31" t="n"/>
      <c r="E70" s="31" t="n"/>
      <c r="F70" s="31" t="n"/>
      <c r="G70" s="31" t="n"/>
      <c r="H70" s="31" t="n"/>
      <c r="I70" s="31" t="n"/>
      <c r="J70" s="31" t="n"/>
      <c r="K70" s="31" t="n"/>
      <c r="L70" s="31" t="n"/>
      <c r="M70" s="31" t="n"/>
      <c r="N70" s="31" t="n"/>
      <c r="O70" s="30" t="n"/>
      <c r="P70" s="31" t="n"/>
      <c r="Q70" s="31" t="n"/>
      <c r="R70" s="31" t="n"/>
      <c r="S70" s="31" t="n"/>
      <c r="T70" s="31" t="n"/>
      <c r="U70" s="31" t="n"/>
      <c r="V70" s="31" t="n"/>
      <c r="W70" s="31" t="n"/>
      <c r="X70" s="31">
        <f>IF(OR($B$67="",X61=""),"",IFERROR($B$67/X61,""))</f>
        <v/>
      </c>
      <c r="Y70" s="30">
        <f>IF(OR($B$67="",Y61=""),"",IFERROR($B$67/Y61,""))</f>
        <v/>
      </c>
      <c r="Z70" s="31">
        <f>IF(OR($B$67="",Z61=""),"",IFERROR($B$67/Z61,""))</f>
        <v/>
      </c>
      <c r="AA70" s="31">
        <f>IF(OR($B$67="",AA61=""),"",IFERROR($B$67/AA61,""))</f>
        <v/>
      </c>
      <c r="AB70" s="31">
        <f>IF(OR($B$67="",AB61=""),"",IFERROR($B$67/AB61,""))</f>
        <v/>
      </c>
      <c r="AC70" s="31">
        <f>IF(OR($B$67="",AC61=""),"",IFERROR($B$67/AC61,""))</f>
        <v/>
      </c>
    </row>
    <row r="71">
      <c r="A71" s="18" t="inlineStr">
        <is>
          <t>Target P/E</t>
        </is>
      </c>
      <c r="B71" s="10" t="inlineStr">
        <is>
          <t>직접 입력</t>
        </is>
      </c>
      <c r="C71" s="30" t="n"/>
      <c r="D71" s="31" t="n"/>
      <c r="E71" s="31" t="n"/>
      <c r="F71" s="31" t="n"/>
      <c r="G71" s="31" t="n"/>
      <c r="H71" s="31" t="n"/>
      <c r="I71" s="31" t="n"/>
      <c r="J71" s="31" t="n"/>
      <c r="K71" s="31" t="n"/>
      <c r="L71" s="31" t="n"/>
      <c r="M71" s="31" t="n"/>
      <c r="N71" s="31" t="n"/>
      <c r="O71" s="30" t="n"/>
      <c r="P71" s="31" t="n"/>
      <c r="Q71" s="31" t="n"/>
      <c r="R71" s="31" t="n"/>
      <c r="S71" s="31" t="n"/>
      <c r="T71" s="31" t="n"/>
      <c r="U71" s="31" t="n"/>
      <c r="V71" s="31" t="n"/>
      <c r="W71" s="31" t="n"/>
      <c r="X71" s="31" t="n"/>
      <c r="Y71" s="32" t="n"/>
      <c r="Z71" s="33" t="n"/>
      <c r="AA71" s="33" t="n"/>
      <c r="AB71" s="33" t="n"/>
      <c r="AC71" s="33" t="n"/>
    </row>
    <row r="72">
      <c r="A72" s="18" t="inlineStr">
        <is>
          <t>EPS</t>
        </is>
      </c>
      <c r="B72" s="10" t="inlineStr">
        <is>
          <t>지배순이익 ÷ 주식수</t>
        </is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8">
        <f>IF(OR(O61="",$B$66=""),"",IFERROR(O61*1000000.0/$B$66,""))</f>
        <v/>
      </c>
      <c r="P72" s="29">
        <f>IF(OR(P61="",$B$66=""),"",IFERROR(P61*1000000.0/$B$66,""))</f>
        <v/>
      </c>
      <c r="Q72" s="29">
        <f>IF(OR(Q61="",$B$66=""),"",IFERROR(Q61*1000000.0/$B$66,""))</f>
        <v/>
      </c>
      <c r="R72" s="29">
        <f>IF(OR(R61="",$B$66=""),"",IFERROR(R61*1000000.0/$B$66,""))</f>
        <v/>
      </c>
      <c r="S72" s="29">
        <f>IF(OR(S61="",$B$66=""),"",IFERROR(S61*1000000.0/$B$66,""))</f>
        <v/>
      </c>
      <c r="T72" s="29">
        <f>IF(OR(T61="",$B$66=""),"",IFERROR(T61*1000000.0/$B$66,""))</f>
        <v/>
      </c>
      <c r="U72" s="29">
        <f>IF(OR(U61="",$B$66=""),"",IFERROR(U61*1000000.0/$B$66,""))</f>
        <v/>
      </c>
      <c r="V72" s="29">
        <f>IF(OR(V61="",$B$66=""),"",IFERROR(V61*1000000.0/$B$66,""))</f>
        <v/>
      </c>
      <c r="W72" s="29">
        <f>IF(OR(W61="",$B$66=""),"",IFERROR(W61*1000000.0/$B$66,""))</f>
        <v/>
      </c>
      <c r="X72" s="29">
        <f>IF(OR(X61="",$B$66=""),"",IFERROR(X61*1000000.0/$B$66,""))</f>
        <v/>
      </c>
      <c r="Y72" s="28">
        <f>IF(OR(Y61="",$B$66=""),"",IFERROR(Y61*1000000.0/$B$66,""))</f>
        <v/>
      </c>
      <c r="Z72" s="29">
        <f>IF(OR(Z61="",$B$66=""),"",IFERROR(Z61*1000000.0/$B$66,""))</f>
        <v/>
      </c>
      <c r="AA72" s="29">
        <f>IF(OR(AA61="",$B$66=""),"",IFERROR(AA61*1000000.0/$B$66,""))</f>
        <v/>
      </c>
      <c r="AB72" s="29">
        <f>IF(OR(AB61="",$B$66=""),"",IFERROR(AB61*1000000.0/$B$66,""))</f>
        <v/>
      </c>
      <c r="AC72" s="29">
        <f>IF(OR(AC61="",$B$66=""),"",IFERROR(AC61*1000000.0/$B$66,""))</f>
        <v/>
      </c>
    </row>
    <row r="73">
      <c r="A73" s="9" t="inlineStr">
        <is>
          <t>목표주가</t>
        </is>
      </c>
      <c r="B73" s="10" t="n"/>
      <c r="C73" s="34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34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34">
        <f>IF(OR(Y72="",Y71=""),"",IFERROR(Y72*Y71,""))</f>
        <v/>
      </c>
      <c r="Z73" s="27">
        <f>IF(OR(Z72="",Z71=""),"",IFERROR(Z72*Z71,""))</f>
        <v/>
      </c>
      <c r="AA73" s="27">
        <f>IF(OR(AA72="",AA71=""),"",IFERROR(AA72*AA71,""))</f>
        <v/>
      </c>
      <c r="AB73" s="27">
        <f>IF(OR(AB72="",AB71=""),"",IFERROR(AB72*AB71,""))</f>
        <v/>
      </c>
      <c r="AC73" s="27">
        <f>IF(OR(AC72="",AC71=""),"",IFERROR(AC72*AC71,""))</f>
        <v/>
      </c>
    </row>
    <row r="74">
      <c r="A74" s="18" t="inlineStr">
        <is>
          <t>상승여력</t>
        </is>
      </c>
      <c r="B74" s="10" t="n"/>
      <c r="C74" s="35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5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7">
        <f>IF(OR(Y73="",$B$65=""),"",IFERROR(Y73/$B$65-1,""))</f>
        <v/>
      </c>
      <c r="Z74" s="38">
        <f>IF(OR(Z73="",$B$65=""),"",IFERROR(Z73/$B$65-1,""))</f>
        <v/>
      </c>
      <c r="AA74" s="38">
        <f>IF(OR(AA73="",$B$65=""),"",IFERROR(AA73/$B$65-1,""))</f>
        <v/>
      </c>
      <c r="AB74" s="38">
        <f>IF(OR(AB73="",$B$65=""),"",IFERROR(AB73/$B$65-1,""))</f>
        <v/>
      </c>
      <c r="AC74" s="38">
        <f>IF(OR(AC73="",$B$65=""),"",IFERROR(AC73/$B$65-1,""))</f>
        <v/>
      </c>
    </row>
    <row r="75">
      <c r="A75" s="16" t="inlineStr">
        <is>
          <t>자산가치 산출</t>
        </is>
      </c>
      <c r="B75" s="16" t="inlineStr">
        <is>
          <t>최신 분기 BS</t>
        </is>
      </c>
      <c r="C75" s="17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7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7" t="n"/>
      <c r="Z75" s="16" t="n"/>
      <c r="AA75" s="16" t="n"/>
      <c r="AB75" s="16" t="n"/>
      <c r="AC75" s="16" t="n"/>
    </row>
    <row r="76">
      <c r="A76" s="18" t="inlineStr">
        <is>
          <t>현금및현금성자산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'재무상태표'!G6</f>
        <v/>
      </c>
      <c r="Y76" s="19">
        <f>'재무상태표'!G6</f>
        <v/>
      </c>
      <c r="Z76" s="20">
        <f>'재무상태표'!G6</f>
        <v/>
      </c>
      <c r="AA76" s="20">
        <f>'재무상태표'!G6</f>
        <v/>
      </c>
      <c r="AB76" s="20">
        <f>'재무상태표'!G6</f>
        <v/>
      </c>
      <c r="AC76" s="20">
        <f>'재무상태표'!G6</f>
        <v/>
      </c>
    </row>
    <row r="77">
      <c r="A77" s="18" t="inlineStr">
        <is>
          <t>단기금융상품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'재무상태표'!G7</f>
        <v/>
      </c>
      <c r="Y77" s="19">
        <f>'재무상태표'!G7</f>
        <v/>
      </c>
      <c r="Z77" s="20">
        <f>'재무상태표'!G7</f>
        <v/>
      </c>
      <c r="AA77" s="20">
        <f>'재무상태표'!G7</f>
        <v/>
      </c>
      <c r="AB77" s="20">
        <f>'재무상태표'!G7</f>
        <v/>
      </c>
      <c r="AC77" s="20">
        <f>'재무상태표'!G7</f>
        <v/>
      </c>
    </row>
    <row r="78">
      <c r="A78" s="18" t="inlineStr">
        <is>
          <t>투자부동산</t>
        </is>
      </c>
      <c r="B78" s="10" t="n"/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>
        <f>'재무상태표'!G14</f>
        <v/>
      </c>
      <c r="Y78" s="19">
        <f>'재무상태표'!G14</f>
        <v/>
      </c>
      <c r="Z78" s="20">
        <f>'재무상태표'!G14</f>
        <v/>
      </c>
      <c r="AA78" s="20">
        <f>'재무상태표'!G14</f>
        <v/>
      </c>
      <c r="AB78" s="20">
        <f>'재무상태표'!G14</f>
        <v/>
      </c>
      <c r="AC78" s="20">
        <f>'재무상태표'!G14</f>
        <v/>
      </c>
    </row>
    <row r="79">
      <c r="A79" s="18" t="inlineStr">
        <is>
          <t>지배자본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'재무상태표'!G31</f>
        <v/>
      </c>
      <c r="Y79" s="19">
        <f>'재무상태표'!G31</f>
        <v/>
      </c>
      <c r="Z79" s="20">
        <f>'재무상태표'!G31</f>
        <v/>
      </c>
      <c r="AA79" s="20">
        <f>'재무상태표'!G31</f>
        <v/>
      </c>
      <c r="AB79" s="20">
        <f>'재무상태표'!G31</f>
        <v/>
      </c>
      <c r="AC79" s="20">
        <f>'재무상태표'!G31</f>
        <v/>
      </c>
    </row>
    <row r="80">
      <c r="A80" s="18" t="inlineStr">
        <is>
          <t>부채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'재무상태표'!G27</f>
        <v/>
      </c>
      <c r="Y80" s="19">
        <f>'재무상태표'!G27</f>
        <v/>
      </c>
      <c r="Z80" s="20">
        <f>'재무상태표'!G27</f>
        <v/>
      </c>
      <c r="AA80" s="20">
        <f>'재무상태표'!G27</f>
        <v/>
      </c>
      <c r="AB80" s="20">
        <f>'재무상태표'!G27</f>
        <v/>
      </c>
      <c r="AC80" s="20">
        <f>'재무상태표'!G27</f>
        <v/>
      </c>
    </row>
    <row r="81">
      <c r="A81" s="13" t="inlineStr">
        <is>
          <t>부채비율</t>
        </is>
      </c>
      <c r="B81" s="10" t="n"/>
      <c r="C81" s="14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4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5">
        <f>IF(OR(X80="",X79=""),"",IFERROR(X80/X79,""))</f>
        <v/>
      </c>
      <c r="Y81" s="14">
        <f>IF(OR(Y80="",Y79=""),"",IFERROR(Y80/Y79,""))</f>
        <v/>
      </c>
      <c r="Z81" s="15">
        <f>IF(OR(Z80="",Z79=""),"",IFERROR(Z80/Z79,""))</f>
        <v/>
      </c>
      <c r="AA81" s="15">
        <f>IF(OR(AA80="",AA79=""),"",IFERROR(AA80/AA79,""))</f>
        <v/>
      </c>
      <c r="AB81" s="15">
        <f>IF(OR(AB80="",AB79=""),"",IFERROR(AB80/AB79,""))</f>
        <v/>
      </c>
      <c r="AC81" s="15">
        <f>IF(OR(AC80="",AC79=""),"",IFERROR(AC80/AC79,""))</f>
        <v/>
      </c>
    </row>
    <row r="82">
      <c r="A82" s="9" t="inlineStr">
        <is>
          <t>자산가치</t>
        </is>
      </c>
      <c r="B82" s="10" t="inlineStr">
        <is>
          <t>현금+단기금융+투자부동산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>
        <f>SUM(X76,X77,X78)</f>
        <v/>
      </c>
      <c r="Y82" s="11">
        <f>SUM(Y76,Y77,Y78)</f>
        <v/>
      </c>
      <c r="Z82" s="12">
        <f>SUM(Z76,Z77,Z78)</f>
        <v/>
      </c>
      <c r="AA82" s="12">
        <f>SUM(AA76,AA77,AA78)</f>
        <v/>
      </c>
      <c r="AB82" s="12">
        <f>SUM(AB76,AB77,AB78)</f>
        <v/>
      </c>
      <c r="AC82" s="12">
        <f>SUM(AC76,AC77,AC78)</f>
        <v/>
      </c>
    </row>
    <row r="83">
      <c r="A83" s="16" t="inlineStr">
        <is>
          <t>기업가치 산출</t>
        </is>
      </c>
      <c r="B83" s="16" t="n"/>
      <c r="C83" s="17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7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7" t="n"/>
      <c r="Z83" s="16" t="n"/>
      <c r="AA83" s="16" t="n"/>
      <c r="AB83" s="16" t="n"/>
      <c r="AC83" s="16" t="n"/>
    </row>
    <row r="84">
      <c r="A84" s="18" t="inlineStr">
        <is>
          <t>목표 시가총액 (P/E)</t>
        </is>
      </c>
      <c r="B84" s="10" t="inlineStr">
        <is>
          <t>지배순이익 × Target P/E</t>
        </is>
      </c>
      <c r="C84" s="19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19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19">
        <f>IF(OR(Y61="",Y71=""),"",IFERROR(Y61*Y71,""))</f>
        <v/>
      </c>
      <c r="Z84" s="20">
        <f>IF(OR(Z61="",Z71=""),"",IFERROR(Z61*Z71,""))</f>
        <v/>
      </c>
      <c r="AA84" s="20">
        <f>IF(OR(AA61="",AA71=""),"",IFERROR(AA61*AA71,""))</f>
        <v/>
      </c>
      <c r="AB84" s="20">
        <f>IF(OR(AB61="",AB71=""),"",IFERROR(AB61*AB71,""))</f>
        <v/>
      </c>
      <c r="AC84" s="20">
        <f>IF(OR(AC61="",AC71=""),"",IFERROR(AC61*AC71,""))</f>
        <v/>
      </c>
    </row>
    <row r="85">
      <c r="A85" s="9" t="inlineStr">
        <is>
          <t>기업가치</t>
        </is>
      </c>
      <c r="B85" s="10" t="inlineStr">
        <is>
          <t>목표시총 + 자산가치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1">
        <f>IF(OR(Y84=""),"",IFERROR(Y84+Y82,""))</f>
        <v/>
      </c>
      <c r="Z85" s="12">
        <f>IF(OR(Z84=""),"",IFERROR(Z84+Z82,""))</f>
        <v/>
      </c>
      <c r="AA85" s="12">
        <f>IF(OR(AA84=""),"",IFERROR(AA84+AA82,""))</f>
        <v/>
      </c>
      <c r="AB85" s="12">
        <f>IF(OR(AB84=""),"",IFERROR(AB84+AB82,""))</f>
        <v/>
      </c>
      <c r="AC85" s="12">
        <f>IF(OR(AC84=""),"",IFERROR(AC84+AC82,""))</f>
        <v/>
      </c>
    </row>
    <row r="86">
      <c r="A86" s="18" t="inlineStr">
        <is>
          <t>현재 시가총액</t>
        </is>
      </c>
      <c r="B86" s="10" t="n"/>
      <c r="C86" s="19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19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19">
        <f>$B$67</f>
        <v/>
      </c>
      <c r="Z86" s="20">
        <f>$B$67</f>
        <v/>
      </c>
      <c r="AA86" s="20">
        <f>$B$67</f>
        <v/>
      </c>
      <c r="AB86" s="20">
        <f>$B$67</f>
        <v/>
      </c>
      <c r="AC86" s="20">
        <f>$B$67</f>
        <v/>
      </c>
    </row>
    <row r="87">
      <c r="A87" s="18" t="inlineStr">
        <is>
          <t>상승여력</t>
        </is>
      </c>
      <c r="B87" s="10" t="n"/>
      <c r="C87" s="35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5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7">
        <f>IF(OR(Y85="",Y86=""),"",IFERROR(Y85/Y86-1,""))</f>
        <v/>
      </c>
      <c r="Z87" s="38">
        <f>IF(OR(Z85="",Z86=""),"",IFERROR(Z85/Z86-1,""))</f>
        <v/>
      </c>
      <c r="AA87" s="38">
        <f>IF(OR(AA85="",AA86=""),"",IFERROR(AA85/AA86-1,""))</f>
        <v/>
      </c>
      <c r="AB87" s="38">
        <f>IF(OR(AB85="",AB86=""),"",IFERROR(AB85/AB86-1,""))</f>
        <v/>
      </c>
      <c r="AC87" s="38">
        <f>IF(OR(AC85="",AC86=""),"",IFERROR(AC85/AC86-1,""))</f>
        <v/>
      </c>
    </row>
    <row r="88">
      <c r="C88" s="39" t="n"/>
      <c r="O88" s="39" t="n"/>
      <c r="Y88" s="39" t="n"/>
    </row>
    <row r="89">
      <c r="A89" s="40" t="inlineStr">
        <is>
          <t>출처</t>
        </is>
      </c>
      <c r="C89" s="39" t="n"/>
      <c r="O89" s="39" t="n"/>
      <c r="Y89" s="39" t="n"/>
    </row>
    <row r="90">
      <c r="A90" s="41" t="inlineStr">
        <is>
          <t>결산단신 XBRL(TDnet·JPX 보관소) — 쓴 문서는 '출처' 시트</t>
        </is>
      </c>
      <c r="C90" s="39" t="n"/>
      <c r="O90" s="39" t="n"/>
      <c r="Y90" s="39" t="n"/>
    </row>
    <row r="91">
      <c r="A91" s="41" t="inlineStr">
        <is>
          <t>분기 = 누계에서 앞 분기를 뺀 3개월 값</t>
        </is>
      </c>
      <c r="C91" s="39" t="n"/>
      <c r="O91" s="39" t="n"/>
      <c r="Y91" s="39" t="n"/>
    </row>
    <row r="92">
      <c r="A92" s="41" t="inlineStr">
        <is>
          <t>주가: 야후 파이낸스 일봉</t>
        </is>
      </c>
      <c r="C92" s="39" t="n"/>
      <c r="O92" s="39" t="n"/>
      <c r="Y92" s="39" t="n"/>
    </row>
    <row r="94">
      <c r="A94" s="16" t="inlineStr">
        <is>
          <t>손익계산서 · 전 항목</t>
        </is>
      </c>
      <c r="B94" s="42" t="inlineStr">
        <is>
          <t>분기 = 3개월 단독</t>
        </is>
      </c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</row>
    <row r="95">
      <c r="A95" s="5" t="inlineStr">
        <is>
          <t>항목</t>
        </is>
      </c>
      <c r="B95" s="5" t="inlineStr">
        <is>
          <t>참고</t>
        </is>
      </c>
      <c r="C95" s="5" t="inlineStr">
        <is>
          <t>2024.3Q</t>
        </is>
      </c>
      <c r="D95" s="5" t="inlineStr">
        <is>
          <t>2024.4Q</t>
        </is>
      </c>
      <c r="E95" s="5" t="inlineStr">
        <is>
          <t>2025.1Q</t>
        </is>
      </c>
      <c r="F95" s="5" t="inlineStr">
        <is>
          <t>2025.2Q</t>
        </is>
      </c>
      <c r="G95" s="5" t="inlineStr">
        <is>
          <t>2025.3Q</t>
        </is>
      </c>
      <c r="H95" s="5" t="inlineStr">
        <is>
          <t>2025.4Q</t>
        </is>
      </c>
      <c r="I95" s="5" t="inlineStr">
        <is>
          <t>2026.1Q</t>
        </is>
      </c>
      <c r="J95" s="5" t="inlineStr">
        <is>
          <t>2026.2Q</t>
        </is>
      </c>
      <c r="K95" s="5" t="inlineStr">
        <is>
          <t>2026.3Q</t>
        </is>
      </c>
      <c r="L95" s="5" t="inlineStr">
        <is>
          <t>2026.4Q</t>
        </is>
      </c>
      <c r="M95" s="5" t="inlineStr">
        <is>
          <t>2027.1Q</t>
        </is>
      </c>
      <c r="N95" s="5" t="inlineStr">
        <is>
          <t>2027.2Q</t>
        </is>
      </c>
      <c r="O95" s="5" t="inlineStr">
        <is>
          <t>2017</t>
        </is>
      </c>
      <c r="P95" s="5" t="inlineStr">
        <is>
          <t>2018</t>
        </is>
      </c>
      <c r="Q95" s="5" t="inlineStr">
        <is>
          <t>2019</t>
        </is>
      </c>
      <c r="R95" s="5" t="inlineStr">
        <is>
          <t>2020</t>
        </is>
      </c>
      <c r="S95" s="5" t="inlineStr">
        <is>
          <t>2021</t>
        </is>
      </c>
      <c r="T95" s="5" t="inlineStr">
        <is>
          <t>2022</t>
        </is>
      </c>
      <c r="U95" s="5" t="inlineStr">
        <is>
          <t>2023</t>
        </is>
      </c>
      <c r="V95" s="5" t="inlineStr">
        <is>
          <t>2024</t>
        </is>
      </c>
      <c r="W95" s="5" t="inlineStr">
        <is>
          <t>2025</t>
        </is>
      </c>
      <c r="X95" s="5" t="inlineStr">
        <is>
          <t>2026</t>
        </is>
      </c>
      <c r="Y95" s="5" t="inlineStr">
        <is>
          <t>2027(MW)</t>
        </is>
      </c>
      <c r="Z95" s="5" t="inlineStr">
        <is>
          <t>2028(MW)</t>
        </is>
      </c>
      <c r="AA95" s="5" t="inlineStr">
        <is>
          <t>2029(MW)</t>
        </is>
      </c>
      <c r="AB95" s="5" t="inlineStr">
        <is>
          <t>2030(MW)</t>
        </is>
      </c>
      <c r="AC95" s="5" t="inlineStr">
        <is>
          <t>2031(MW)</t>
        </is>
      </c>
    </row>
    <row r="96">
      <c r="A96" s="9" t="inlineStr">
        <is>
          <t>매출액</t>
        </is>
      </c>
      <c r="C96" s="12" t="n">
        <v>4272.208</v>
      </c>
      <c r="D96" s="12" t="n">
        <v>2827.84</v>
      </c>
      <c r="E96" s="12" t="n">
        <v>3652.502</v>
      </c>
      <c r="F96" s="12" t="n">
        <v>3711.708</v>
      </c>
      <c r="G96" s="12" t="n">
        <v>4130.223</v>
      </c>
      <c r="H96" s="12" t="n">
        <v>4213.19</v>
      </c>
      <c r="I96" s="12" t="n">
        <v>3719.887</v>
      </c>
      <c r="J96" s="12" t="n">
        <v>3992.776</v>
      </c>
      <c r="K96" s="12" t="n">
        <v>4686.943</v>
      </c>
      <c r="L96" s="12" t="n">
        <v>4675.883</v>
      </c>
      <c r="M96" s="12" t="n">
        <v>4184.198</v>
      </c>
      <c r="N96" s="12" t="n">
        <v>4418.417</v>
      </c>
      <c r="V96" s="12" t="n">
        <v>2827.84</v>
      </c>
      <c r="W96" s="12" t="n">
        <v>4213.19</v>
      </c>
      <c r="X96" s="12" t="n">
        <v>4675.883</v>
      </c>
    </row>
    <row r="97">
      <c r="A97" s="43" t="inlineStr">
        <is>
          <t>YoY</t>
        </is>
      </c>
      <c r="B97" s="3" t="inlineStr">
        <is>
          <t>전년 같은 분기·전년 대비</t>
        </is>
      </c>
      <c r="G97" s="15">
        <f>IF(OR(G96="",C96=""),"",IF(C96&lt;=0,"",IFERROR(G96/C96-1,"")))</f>
        <v/>
      </c>
      <c r="H97" s="15">
        <f>IF(OR(H96="",D96=""),"",IF(D96&lt;=0,"",IFERROR(H96/D96-1,"")))</f>
        <v/>
      </c>
      <c r="I97" s="15">
        <f>IF(OR(I96="",E96=""),"",IF(E96&lt;=0,"",IFERROR(I96/E96-1,"")))</f>
        <v/>
      </c>
      <c r="J97" s="15">
        <f>IF(OR(J96="",F96=""),"",IF(F96&lt;=0,"",IFERROR(J96/F96-1,"")))</f>
        <v/>
      </c>
      <c r="K97" s="15">
        <f>IF(OR(K96="",G96=""),"",IF(G96&lt;=0,"",IFERROR(K96/G96-1,"")))</f>
        <v/>
      </c>
      <c r="L97" s="15">
        <f>IF(OR(L96="",H96=""),"",IF(H96&lt;=0,"",IFERROR(L96/H96-1,"")))</f>
        <v/>
      </c>
      <c r="M97" s="15">
        <f>IF(OR(M96="",I96=""),"",IF(I96&lt;=0,"",IFERROR(M96/I96-1,"")))</f>
        <v/>
      </c>
      <c r="N97" s="15">
        <f>IF(OR(N96="",J96=""),"",IF(J96&lt;=0,"",IFERROR(N96/J96-1,"")))</f>
        <v/>
      </c>
      <c r="V97" s="15">
        <f>IF(OR(V96="",U96=""),"",IF(U96&lt;=0,"",IFERROR(V96/U96-1,"")))</f>
        <v/>
      </c>
      <c r="W97" s="15">
        <f>IF(OR(W96="",V96=""),"",IF(V96&lt;=0,"",IFERROR(W96/V96-1,"")))</f>
        <v/>
      </c>
      <c r="X97" s="15">
        <f>IF(OR(X96="",W96=""),"",IF(W96&lt;=0,"",IFERROR(X96/W96-1,"")))</f>
        <v/>
      </c>
    </row>
    <row r="98">
      <c r="A98" s="18" t="inlineStr">
        <is>
          <t>매출원가</t>
        </is>
      </c>
      <c r="C98" s="20" t="n">
        <v>3014.957</v>
      </c>
      <c r="D98" s="20" t="n">
        <v>2221.671</v>
      </c>
      <c r="E98" s="20" t="n">
        <v>2635.405</v>
      </c>
      <c r="F98" s="20" t="n">
        <v>2687.709</v>
      </c>
      <c r="G98" s="20" t="n">
        <v>2928.707</v>
      </c>
      <c r="H98" s="20" t="n">
        <v>2994.078</v>
      </c>
      <c r="I98" s="20" t="n">
        <v>2669.946</v>
      </c>
      <c r="J98" s="20" t="n">
        <v>2900.728</v>
      </c>
      <c r="K98" s="20" t="n">
        <v>3228.221</v>
      </c>
      <c r="L98" s="20" t="n">
        <v>3271.818</v>
      </c>
      <c r="M98" s="20" t="n">
        <v>2951.894</v>
      </c>
      <c r="N98" s="20" t="n">
        <v>3119.125</v>
      </c>
      <c r="V98" s="20" t="n">
        <v>2221.671</v>
      </c>
      <c r="W98" s="20" t="n">
        <v>2994.078</v>
      </c>
      <c r="X98" s="20" t="n">
        <v>3271.818</v>
      </c>
    </row>
    <row r="99">
      <c r="A99" s="43" t="inlineStr">
        <is>
          <t>YoY</t>
        </is>
      </c>
      <c r="B99" s="3" t="inlineStr">
        <is>
          <t>전년 같은 분기·전년 대비</t>
        </is>
      </c>
      <c r="G99" s="15">
        <f>IF(OR(G98="",C98=""),"",IF(G98*C98&lt;=0,"",IFERROR(G98/C98-1,"")))</f>
        <v/>
      </c>
      <c r="H99" s="15">
        <f>IF(OR(H98="",D98=""),"",IF(H98*D98&lt;=0,"",IFERROR(H98/D98-1,"")))</f>
        <v/>
      </c>
      <c r="I99" s="15">
        <f>IF(OR(I98="",E98=""),"",IF(I98*E98&lt;=0,"",IFERROR(I98/E98-1,"")))</f>
        <v/>
      </c>
      <c r="J99" s="15">
        <f>IF(OR(J98="",F98=""),"",IF(J98*F98&lt;=0,"",IFERROR(J98/F98-1,"")))</f>
        <v/>
      </c>
      <c r="K99" s="15">
        <f>IF(OR(K98="",G98=""),"",IF(K98*G98&lt;=0,"",IFERROR(K98/G98-1,"")))</f>
        <v/>
      </c>
      <c r="L99" s="15">
        <f>IF(OR(L98="",H98=""),"",IF(L98*H98&lt;=0,"",IFERROR(L98/H98-1,"")))</f>
        <v/>
      </c>
      <c r="M99" s="15">
        <f>IF(OR(M98="",I98=""),"",IF(M98*I98&lt;=0,"",IFERROR(M98/I98-1,"")))</f>
        <v/>
      </c>
      <c r="N99" s="15">
        <f>IF(OR(N98="",J98=""),"",IF(N98*J98&lt;=0,"",IFERROR(N98/J98-1,"")))</f>
        <v/>
      </c>
      <c r="V99" s="15">
        <f>IF(OR(V98="",U98=""),"",IF(V98*U98&lt;=0,"",IFERROR(V98/U98-1,"")))</f>
        <v/>
      </c>
      <c r="W99" s="15">
        <f>IF(OR(W98="",V98=""),"",IF(W98*V98&lt;=0,"",IFERROR(W98/V98-1,"")))</f>
        <v/>
      </c>
      <c r="X99" s="15">
        <f>IF(OR(X98="",W98=""),"",IF(X98*W98&lt;=0,"",IFERROR(X98/W98-1,"")))</f>
        <v/>
      </c>
    </row>
    <row r="100">
      <c r="A100" s="9" t="inlineStr">
        <is>
          <t>매출총이익</t>
        </is>
      </c>
      <c r="C100" s="12" t="n">
        <v>1257.251</v>
      </c>
      <c r="D100" s="12" t="n">
        <v>606.169</v>
      </c>
      <c r="E100" s="12" t="n">
        <v>1017.097</v>
      </c>
      <c r="F100" s="12" t="n">
        <v>1023.998</v>
      </c>
      <c r="G100" s="12" t="n">
        <v>1201.517</v>
      </c>
      <c r="H100" s="12" t="n">
        <v>1219.112</v>
      </c>
      <c r="I100" s="12" t="n">
        <v>1049.94</v>
      </c>
      <c r="J100" s="12" t="n">
        <v>1092.048</v>
      </c>
      <c r="K100" s="12" t="n">
        <v>1458.723</v>
      </c>
      <c r="L100" s="12" t="n">
        <v>1404.065</v>
      </c>
      <c r="M100" s="12" t="n">
        <v>1232.303</v>
      </c>
      <c r="N100" s="12" t="n">
        <v>1299.293</v>
      </c>
      <c r="V100" s="12" t="n">
        <v>606.169</v>
      </c>
      <c r="W100" s="12" t="n">
        <v>1219.112</v>
      </c>
      <c r="X100" s="12" t="n">
        <v>1404.065</v>
      </c>
    </row>
    <row r="101">
      <c r="A101" s="43" t="inlineStr">
        <is>
          <t>YoY</t>
        </is>
      </c>
      <c r="B101" s="3" t="inlineStr">
        <is>
          <t>전년 같은 분기·전년 대비</t>
        </is>
      </c>
      <c r="G101" s="15">
        <f>IF(OR(G100="",C100=""),"",IF(C100&lt;=0,"",IFERROR(G100/C100-1,"")))</f>
        <v/>
      </c>
      <c r="H101" s="15">
        <f>IF(OR(H100="",D100=""),"",IF(D100&lt;=0,"",IFERROR(H100/D100-1,"")))</f>
        <v/>
      </c>
      <c r="I101" s="15">
        <f>IF(OR(I100="",E100=""),"",IF(E100&lt;=0,"",IFERROR(I100/E100-1,"")))</f>
        <v/>
      </c>
      <c r="J101" s="15">
        <f>IF(OR(J100="",F100=""),"",IF(F100&lt;=0,"",IFERROR(J100/F100-1,"")))</f>
        <v/>
      </c>
      <c r="K101" s="15">
        <f>IF(OR(K100="",G100=""),"",IF(G100&lt;=0,"",IFERROR(K100/G100-1,"")))</f>
        <v/>
      </c>
      <c r="L101" s="15">
        <f>IF(OR(L100="",H100=""),"",IF(H100&lt;=0,"",IFERROR(L100/H100-1,"")))</f>
        <v/>
      </c>
      <c r="M101" s="15">
        <f>IF(OR(M100="",I100=""),"",IF(I100&lt;=0,"",IFERROR(M100/I100-1,"")))</f>
        <v/>
      </c>
      <c r="N101" s="15">
        <f>IF(OR(N100="",J100=""),"",IF(J100&lt;=0,"",IFERROR(N100/J100-1,"")))</f>
        <v/>
      </c>
      <c r="V101" s="15">
        <f>IF(OR(V100="",U100=""),"",IF(U100&lt;=0,"",IFERROR(V100/U100-1,"")))</f>
        <v/>
      </c>
      <c r="W101" s="15">
        <f>IF(OR(W100="",V100=""),"",IF(V100&lt;=0,"",IFERROR(W100/V100-1,"")))</f>
        <v/>
      </c>
      <c r="X101" s="15">
        <f>IF(OR(X100="",W100=""),"",IF(W100&lt;=0,"",IFERROR(X100/W100-1,"")))</f>
        <v/>
      </c>
    </row>
    <row r="102">
      <c r="A102" s="18" t="inlineStr">
        <is>
          <t>판매비와 관리비</t>
        </is>
      </c>
      <c r="C102" s="20" t="n">
        <v>828.729</v>
      </c>
      <c r="D102" s="20" t="n">
        <v>249.218</v>
      </c>
      <c r="E102" s="20" t="n">
        <v>821.032</v>
      </c>
      <c r="F102" s="20" t="n">
        <v>758.389</v>
      </c>
      <c r="G102" s="20" t="n">
        <v>816.085</v>
      </c>
      <c r="H102" s="20" t="n">
        <v>785.513</v>
      </c>
      <c r="I102" s="20" t="n">
        <v>816.6660000000001</v>
      </c>
      <c r="J102" s="20" t="n">
        <v>864.2859999999999</v>
      </c>
      <c r="K102" s="20" t="n">
        <v>910.891</v>
      </c>
      <c r="L102" s="20" t="n">
        <v>810.671</v>
      </c>
      <c r="M102" s="20" t="n">
        <v>871.927</v>
      </c>
      <c r="N102" s="20" t="n">
        <v>890.878</v>
      </c>
      <c r="V102" s="20" t="n">
        <v>249.218</v>
      </c>
      <c r="W102" s="20" t="n">
        <v>785.513</v>
      </c>
      <c r="X102" s="20" t="n">
        <v>810.671</v>
      </c>
    </row>
    <row r="103">
      <c r="A103" s="43" t="inlineStr">
        <is>
          <t>YoY</t>
        </is>
      </c>
      <c r="B103" s="3" t="inlineStr">
        <is>
          <t>전년 같은 분기·전년 대비</t>
        </is>
      </c>
      <c r="G103" s="15">
        <f>IF(OR(G102="",C102=""),"",IF(G102*C102&lt;=0,"",IFERROR(G102/C102-1,"")))</f>
        <v/>
      </c>
      <c r="H103" s="15">
        <f>IF(OR(H102="",D102=""),"",IF(H102*D102&lt;=0,"",IFERROR(H102/D102-1,"")))</f>
        <v/>
      </c>
      <c r="I103" s="15">
        <f>IF(OR(I102="",E102=""),"",IF(I102*E102&lt;=0,"",IFERROR(I102/E102-1,"")))</f>
        <v/>
      </c>
      <c r="J103" s="15">
        <f>IF(OR(J102="",F102=""),"",IF(J102*F102&lt;=0,"",IFERROR(J102/F102-1,"")))</f>
        <v/>
      </c>
      <c r="K103" s="15">
        <f>IF(OR(K102="",G102=""),"",IF(K102*G102&lt;=0,"",IFERROR(K102/G102-1,"")))</f>
        <v/>
      </c>
      <c r="L103" s="15">
        <f>IF(OR(L102="",H102=""),"",IF(L102*H102&lt;=0,"",IFERROR(L102/H102-1,"")))</f>
        <v/>
      </c>
      <c r="M103" s="15">
        <f>IF(OR(M102="",I102=""),"",IF(M102*I102&lt;=0,"",IFERROR(M102/I102-1,"")))</f>
        <v/>
      </c>
      <c r="N103" s="15">
        <f>IF(OR(N102="",J102=""),"",IF(N102*J102&lt;=0,"",IFERROR(N102/J102-1,"")))</f>
        <v/>
      </c>
      <c r="V103" s="15">
        <f>IF(OR(V102="",U102=""),"",IF(V102*U102&lt;=0,"",IFERROR(V102/U102-1,"")))</f>
        <v/>
      </c>
      <c r="W103" s="15">
        <f>IF(OR(W102="",V102=""),"",IF(W102*V102&lt;=0,"",IFERROR(W102/V102-1,"")))</f>
        <v/>
      </c>
      <c r="X103" s="15">
        <f>IF(OR(X102="",W102=""),"",IF(X102*W102&lt;=0,"",IFERROR(X102/W102-1,"")))</f>
        <v/>
      </c>
    </row>
    <row r="104">
      <c r="A104" s="9" t="inlineStr">
        <is>
          <t>영업이익</t>
        </is>
      </c>
      <c r="C104" s="12" t="n">
        <v>428.521</v>
      </c>
      <c r="D104" s="12" t="n">
        <v>356.951</v>
      </c>
      <c r="E104" s="12" t="n">
        <v>196.064</v>
      </c>
      <c r="F104" s="12" t="n">
        <v>265.609</v>
      </c>
      <c r="G104" s="12" t="n">
        <v>385.432</v>
      </c>
      <c r="H104" s="12" t="n">
        <v>433.599</v>
      </c>
      <c r="I104" s="12" t="n">
        <v>233.274</v>
      </c>
      <c r="J104" s="12" t="n">
        <v>227.762</v>
      </c>
      <c r="K104" s="12" t="n">
        <v>547.831</v>
      </c>
      <c r="L104" s="12" t="n">
        <v>593.394</v>
      </c>
      <c r="M104" s="12" t="n">
        <v>360.376</v>
      </c>
      <c r="N104" s="12" t="n">
        <v>408.414</v>
      </c>
      <c r="V104" s="12" t="n">
        <v>356.951</v>
      </c>
      <c r="W104" s="12" t="n">
        <v>433.599</v>
      </c>
      <c r="X104" s="12" t="n">
        <v>593.394</v>
      </c>
    </row>
    <row r="105">
      <c r="A105" s="43" t="inlineStr">
        <is>
          <t>OPM</t>
        </is>
      </c>
      <c r="B105" s="3" t="inlineStr">
        <is>
          <t>영업이익 ÷ 매출</t>
        </is>
      </c>
      <c r="C105" s="15">
        <f>IF(OR(C104="",C96=""),"",IF(C96&lt;=0,"",IFERROR(C104/C96,"")))</f>
        <v/>
      </c>
      <c r="D105" s="15">
        <f>IF(OR(D104="",D96=""),"",IF(D96&lt;=0,"",IFERROR(D104/D96,"")))</f>
        <v/>
      </c>
      <c r="E105" s="15">
        <f>IF(OR(E104="",E96=""),"",IF(E96&lt;=0,"",IFERROR(E104/E96,"")))</f>
        <v/>
      </c>
      <c r="F105" s="15">
        <f>IF(OR(F104="",F96=""),"",IF(F96&lt;=0,"",IFERROR(F104/F96,"")))</f>
        <v/>
      </c>
      <c r="G105" s="15">
        <f>IF(OR(G104="",G96=""),"",IF(G96&lt;=0,"",IFERROR(G104/G96,"")))</f>
        <v/>
      </c>
      <c r="H105" s="15">
        <f>IF(OR(H104="",H96=""),"",IF(H96&lt;=0,"",IFERROR(H104/H96,"")))</f>
        <v/>
      </c>
      <c r="I105" s="15">
        <f>IF(OR(I104="",I96=""),"",IF(I96&lt;=0,"",IFERROR(I104/I96,"")))</f>
        <v/>
      </c>
      <c r="J105" s="15">
        <f>IF(OR(J104="",J96=""),"",IF(J96&lt;=0,"",IFERROR(J104/J96,"")))</f>
        <v/>
      </c>
      <c r="K105" s="15">
        <f>IF(OR(K104="",K96=""),"",IF(K96&lt;=0,"",IFERROR(K104/K96,"")))</f>
        <v/>
      </c>
      <c r="L105" s="15">
        <f>IF(OR(L104="",L96=""),"",IF(L96&lt;=0,"",IFERROR(L104/L96,"")))</f>
        <v/>
      </c>
      <c r="M105" s="15">
        <f>IF(OR(M104="",M96=""),"",IF(M96&lt;=0,"",IFERROR(M104/M96,"")))</f>
        <v/>
      </c>
      <c r="N105" s="15">
        <f>IF(OR(N104="",N96=""),"",IF(N96&lt;=0,"",IFERROR(N104/N96,"")))</f>
        <v/>
      </c>
      <c r="V105" s="15">
        <f>IF(OR(V104="",V96=""),"",IF(V96&lt;=0,"",IFERROR(V104/V96,"")))</f>
        <v/>
      </c>
      <c r="W105" s="15">
        <f>IF(OR(W104="",W96=""),"",IF(W96&lt;=0,"",IFERROR(W104/W96,"")))</f>
        <v/>
      </c>
      <c r="X105" s="15">
        <f>IF(OR(X104="",X96=""),"",IF(X96&lt;=0,"",IFERROR(X104/X96,"")))</f>
        <v/>
      </c>
    </row>
    <row r="106">
      <c r="A106" s="43" t="inlineStr">
        <is>
          <t>YoY</t>
        </is>
      </c>
      <c r="B106" s="3" t="inlineStr">
        <is>
          <t>전년 같은 분기·전년 대비</t>
        </is>
      </c>
      <c r="G106" s="15">
        <f>IF(OR(G104="",C104=""),"",IF(C104&lt;=0,"",IFERROR(G104/C104-1,"")))</f>
        <v/>
      </c>
      <c r="H106" s="15">
        <f>IF(OR(H104="",D104=""),"",IF(D104&lt;=0,"",IFERROR(H104/D104-1,"")))</f>
        <v/>
      </c>
      <c r="I106" s="15">
        <f>IF(OR(I104="",E104=""),"",IF(E104&lt;=0,"",IFERROR(I104/E104-1,"")))</f>
        <v/>
      </c>
      <c r="J106" s="15">
        <f>IF(OR(J104="",F104=""),"",IF(F104&lt;=0,"",IFERROR(J104/F104-1,"")))</f>
        <v/>
      </c>
      <c r="K106" s="15">
        <f>IF(OR(K104="",G104=""),"",IF(G104&lt;=0,"",IFERROR(K104/G104-1,"")))</f>
        <v/>
      </c>
      <c r="L106" s="15">
        <f>IF(OR(L104="",H104=""),"",IF(H104&lt;=0,"",IFERROR(L104/H104-1,"")))</f>
        <v/>
      </c>
      <c r="M106" s="15">
        <f>IF(OR(M104="",I104=""),"",IF(I104&lt;=0,"",IFERROR(M104/I104-1,"")))</f>
        <v/>
      </c>
      <c r="N106" s="15">
        <f>IF(OR(N104="",J104=""),"",IF(J104&lt;=0,"",IFERROR(N104/J104-1,"")))</f>
        <v/>
      </c>
      <c r="V106" s="15">
        <f>IF(OR(V104="",U104=""),"",IF(U104&lt;=0,"",IFERROR(V104/U104-1,"")))</f>
        <v/>
      </c>
      <c r="W106" s="15">
        <f>IF(OR(W104="",V104=""),"",IF(V104&lt;=0,"",IFERROR(W104/V104-1,"")))</f>
        <v/>
      </c>
      <c r="X106" s="15">
        <f>IF(OR(X104="",W104=""),"",IF(W104&lt;=0,"",IFERROR(X104/W104-1,"")))</f>
        <v/>
      </c>
    </row>
    <row r="107">
      <c r="A107" s="18" t="inlineStr">
        <is>
          <t>이자수익</t>
        </is>
      </c>
      <c r="C107" s="20" t="n">
        <v>3.99</v>
      </c>
      <c r="D107" s="20" t="n">
        <v>6.93</v>
      </c>
      <c r="E107" s="20" t="n">
        <v>4.103</v>
      </c>
      <c r="F107" s="20" t="n">
        <v>27.37</v>
      </c>
      <c r="G107" s="20" t="n">
        <v>3.353</v>
      </c>
      <c r="H107" s="20" t="n">
        <v>36.258</v>
      </c>
      <c r="I107" s="20" t="n">
        <v>20.439</v>
      </c>
      <c r="J107" s="20" t="n">
        <v>19.633</v>
      </c>
      <c r="K107" s="20" t="n">
        <v>22.108</v>
      </c>
      <c r="L107" s="20" t="n">
        <v>27.481</v>
      </c>
      <c r="M107" s="20" t="n">
        <v>19.757</v>
      </c>
      <c r="N107" s="20" t="n">
        <v>30.97</v>
      </c>
      <c r="V107" s="20" t="n">
        <v>6.93</v>
      </c>
      <c r="W107" s="20" t="n">
        <v>36.258</v>
      </c>
      <c r="X107" s="20" t="n">
        <v>27.481</v>
      </c>
    </row>
    <row r="108">
      <c r="A108" s="18" t="inlineStr">
        <is>
          <t>배당금수익</t>
        </is>
      </c>
      <c r="C108" s="20" t="n">
        <v>14.252</v>
      </c>
      <c r="D108" s="20" t="n">
        <v>53.088</v>
      </c>
      <c r="E108" s="20" t="n">
        <v>67.892</v>
      </c>
      <c r="F108" s="20" t="n">
        <v>65.599</v>
      </c>
      <c r="G108" s="20" t="n">
        <v>71.023</v>
      </c>
      <c r="H108" s="20" t="n">
        <v>30.044</v>
      </c>
      <c r="I108" s="20" t="n">
        <v>59.644</v>
      </c>
      <c r="J108" s="20" t="n">
        <v>13.942</v>
      </c>
      <c r="K108" s="20" t="n">
        <v>42.959</v>
      </c>
      <c r="L108" s="20" t="n">
        <v>66.229</v>
      </c>
      <c r="M108" s="20" t="n">
        <v>35.499</v>
      </c>
      <c r="N108" s="20" t="n">
        <v>57.714</v>
      </c>
      <c r="V108" s="20" t="n">
        <v>53.088</v>
      </c>
      <c r="W108" s="20" t="n">
        <v>30.044</v>
      </c>
      <c r="X108" s="20" t="n">
        <v>66.229</v>
      </c>
    </row>
    <row r="109">
      <c r="A109" s="18" t="inlineStr">
        <is>
          <t>외환차익</t>
        </is>
      </c>
      <c r="C109" s="20" t="n">
        <v>-37.681</v>
      </c>
      <c r="D109" s="20" t="n">
        <v>45.081</v>
      </c>
      <c r="E109" s="20" t="n">
        <v>42.401</v>
      </c>
      <c r="F109" s="20" t="n">
        <v>-42.401</v>
      </c>
      <c r="G109" s="20" t="n">
        <v>45.022</v>
      </c>
      <c r="H109" s="20" t="n">
        <v>-45.022</v>
      </c>
      <c r="I109" s="20" t="n">
        <v>0</v>
      </c>
      <c r="L109" s="20" t="n">
        <v>32.134</v>
      </c>
      <c r="M109" s="20" t="n">
        <v>47.593</v>
      </c>
      <c r="V109" s="20" t="n">
        <v>45.081</v>
      </c>
      <c r="W109" s="20" t="n">
        <v>-45.022</v>
      </c>
      <c r="X109" s="20" t="n">
        <v>32.134</v>
      </c>
    </row>
    <row r="110">
      <c r="A110" s="18" t="inlineStr">
        <is>
          <t>유가증권 매각 이익</t>
        </is>
      </c>
      <c r="C110" s="20" t="n">
        <v>44.905</v>
      </c>
      <c r="D110" s="20" t="n">
        <v>0</v>
      </c>
      <c r="E110" s="20" t="n">
        <v>0</v>
      </c>
      <c r="F110" s="20" t="n">
        <v>0</v>
      </c>
      <c r="G110" s="20" t="n">
        <v>0</v>
      </c>
      <c r="H110" s="20" t="n">
        <v>0</v>
      </c>
      <c r="V110" s="20" t="n">
        <v>0</v>
      </c>
      <c r="W110" s="20" t="n">
        <v>0</v>
      </c>
    </row>
    <row r="111">
      <c r="A111" s="18" t="inlineStr">
        <is>
          <t>기타</t>
        </is>
      </c>
      <c r="C111" s="20" t="n">
        <v>4.657</v>
      </c>
      <c r="D111" s="20" t="n">
        <v>5.278</v>
      </c>
      <c r="E111" s="20" t="n">
        <v>6.014</v>
      </c>
      <c r="F111" s="20" t="n">
        <v>5.006</v>
      </c>
      <c r="G111" s="20" t="n">
        <v>7.814</v>
      </c>
      <c r="H111" s="20" t="n">
        <v>6.509</v>
      </c>
      <c r="I111" s="20" t="n">
        <v>6.881</v>
      </c>
      <c r="J111" s="20" t="n">
        <v>11.707</v>
      </c>
      <c r="K111" s="20" t="n">
        <v>6.678</v>
      </c>
      <c r="L111" s="20" t="n">
        <v>6.492</v>
      </c>
      <c r="M111" s="20" t="n">
        <v>8.411</v>
      </c>
      <c r="N111" s="20" t="n">
        <v>4.574</v>
      </c>
      <c r="V111" s="20" t="n">
        <v>5.278</v>
      </c>
      <c r="W111" s="20" t="n">
        <v>6.509</v>
      </c>
      <c r="X111" s="20" t="n">
        <v>6.492</v>
      </c>
    </row>
    <row r="112">
      <c r="A112" s="18" t="inlineStr">
        <is>
          <t>영업외수익 합계</t>
        </is>
      </c>
      <c r="C112" s="20" t="n">
        <v>30.122</v>
      </c>
      <c r="D112" s="20" t="n">
        <v>17.548</v>
      </c>
      <c r="E112" s="20" t="n">
        <v>120.411</v>
      </c>
      <c r="F112" s="20" t="n">
        <v>55.574</v>
      </c>
      <c r="G112" s="20" t="n">
        <v>127.213</v>
      </c>
      <c r="H112" s="20" t="n">
        <v>27.788</v>
      </c>
      <c r="I112" s="20" t="n">
        <v>86.965</v>
      </c>
      <c r="J112" s="20" t="n">
        <v>45.282</v>
      </c>
      <c r="K112" s="20" t="n">
        <v>118.805</v>
      </c>
      <c r="L112" s="20" t="n">
        <v>132.336</v>
      </c>
      <c r="M112" s="20" t="n">
        <v>111.262</v>
      </c>
      <c r="N112" s="20" t="n">
        <v>45.663</v>
      </c>
      <c r="V112" s="20" t="n">
        <v>17.548</v>
      </c>
      <c r="W112" s="20" t="n">
        <v>27.788</v>
      </c>
      <c r="X112" s="20" t="n">
        <v>132.336</v>
      </c>
    </row>
    <row r="113">
      <c r="A113" s="43" t="inlineStr">
        <is>
          <t>YoY</t>
        </is>
      </c>
      <c r="B113" s="3" t="inlineStr">
        <is>
          <t>전년 같은 분기·전년 대비</t>
        </is>
      </c>
      <c r="G113" s="15">
        <f>IF(OR(G112="",C112=""),"",IF(G112*C112&lt;=0,"",IFERROR(G112/C112-1,"")))</f>
        <v/>
      </c>
      <c r="H113" s="15">
        <f>IF(OR(H112="",D112=""),"",IF(H112*D112&lt;=0,"",IFERROR(H112/D112-1,"")))</f>
        <v/>
      </c>
      <c r="I113" s="15">
        <f>IF(OR(I112="",E112=""),"",IF(I112*E112&lt;=0,"",IFERROR(I112/E112-1,"")))</f>
        <v/>
      </c>
      <c r="J113" s="15">
        <f>IF(OR(J112="",F112=""),"",IF(J112*F112&lt;=0,"",IFERROR(J112/F112-1,"")))</f>
        <v/>
      </c>
      <c r="K113" s="15">
        <f>IF(OR(K112="",G112=""),"",IF(K112*G112&lt;=0,"",IFERROR(K112/G112-1,"")))</f>
        <v/>
      </c>
      <c r="L113" s="15">
        <f>IF(OR(L112="",H112=""),"",IF(L112*H112&lt;=0,"",IFERROR(L112/H112-1,"")))</f>
        <v/>
      </c>
      <c r="M113" s="15">
        <f>IF(OR(M112="",I112=""),"",IF(M112*I112&lt;=0,"",IFERROR(M112/I112-1,"")))</f>
        <v/>
      </c>
      <c r="N113" s="15">
        <f>IF(OR(N112="",J112=""),"",IF(N112*J112&lt;=0,"",IFERROR(N112/J112-1,"")))</f>
        <v/>
      </c>
      <c r="V113" s="15">
        <f>IF(OR(V112="",U112=""),"",IF(V112*U112&lt;=0,"",IFERROR(V112/U112-1,"")))</f>
        <v/>
      </c>
      <c r="W113" s="15">
        <f>IF(OR(W112="",V112=""),"",IF(W112*V112&lt;=0,"",IFERROR(W112/V112-1,"")))</f>
        <v/>
      </c>
      <c r="X113" s="15">
        <f>IF(OR(X112="",W112=""),"",IF(X112*W112&lt;=0,"",IFERROR(X112/W112-1,"")))</f>
        <v/>
      </c>
    </row>
    <row r="114">
      <c r="A114" s="18" t="inlineStr">
        <is>
          <t>이자비용</t>
        </is>
      </c>
      <c r="C114" s="20" t="n">
        <v>1.043</v>
      </c>
      <c r="D114" s="20" t="n">
        <v>0.854</v>
      </c>
      <c r="E114" s="20" t="n">
        <v>0.9429999999999999</v>
      </c>
      <c r="F114" s="20" t="n">
        <v>1.009</v>
      </c>
      <c r="G114" s="20" t="n">
        <v>0.953</v>
      </c>
      <c r="H114" s="20" t="n">
        <v>1.032</v>
      </c>
      <c r="I114" s="20" t="n">
        <v>0.957</v>
      </c>
      <c r="J114" s="20" t="n">
        <v>0.975</v>
      </c>
      <c r="K114" s="20" t="n">
        <v>0.93</v>
      </c>
      <c r="L114" s="20" t="n">
        <v>1.041</v>
      </c>
      <c r="M114" s="20" t="n">
        <v>0.875</v>
      </c>
      <c r="N114" s="20" t="n">
        <v>0.988</v>
      </c>
      <c r="V114" s="20" t="n">
        <v>0.854</v>
      </c>
      <c r="W114" s="20" t="n">
        <v>1.032</v>
      </c>
      <c r="X114" s="20" t="n">
        <v>1.041</v>
      </c>
    </row>
    <row r="115">
      <c r="A115" s="18" t="inlineStr">
        <is>
          <t>커미트먼트 수수료</t>
        </is>
      </c>
      <c r="C115" s="20" t="n">
        <v>0.63</v>
      </c>
      <c r="D115" s="20" t="n">
        <v>0.623</v>
      </c>
      <c r="E115" s="20" t="n">
        <v>0.626</v>
      </c>
      <c r="F115" s="20" t="n">
        <v>0.63</v>
      </c>
      <c r="G115" s="20" t="n">
        <v>0.63</v>
      </c>
      <c r="H115" s="20" t="n">
        <v>0.616</v>
      </c>
      <c r="I115" s="20" t="n">
        <v>0.623</v>
      </c>
      <c r="J115" s="20" t="n">
        <v>0.63</v>
      </c>
      <c r="K115" s="20" t="n">
        <v>0.63</v>
      </c>
      <c r="L115" s="20" t="n">
        <v>0.614</v>
      </c>
      <c r="M115" s="20" t="n">
        <v>0.627</v>
      </c>
      <c r="N115" s="20" t="n">
        <v>0.63</v>
      </c>
      <c r="V115" s="20" t="n">
        <v>0.623</v>
      </c>
      <c r="W115" s="20" t="n">
        <v>0.616</v>
      </c>
      <c r="X115" s="20" t="n">
        <v>0.614</v>
      </c>
    </row>
    <row r="116">
      <c r="A116" s="18" t="inlineStr">
        <is>
          <t>재고자산 폐기손실</t>
        </is>
      </c>
      <c r="D116" s="20" t="n">
        <v>0</v>
      </c>
      <c r="H116" s="20" t="n">
        <v>1.378</v>
      </c>
      <c r="L116" s="20" t="n">
        <v>0</v>
      </c>
      <c r="V116" s="20" t="n">
        <v>0</v>
      </c>
      <c r="W116" s="20" t="n">
        <v>1.378</v>
      </c>
      <c r="X116" s="20" t="n">
        <v>0</v>
      </c>
    </row>
    <row r="117">
      <c r="A117" s="18" t="inlineStr">
        <is>
          <t>공손비</t>
        </is>
      </c>
      <c r="D117" s="20" t="n">
        <v>0.518</v>
      </c>
      <c r="H117" s="20" t="n">
        <v>5.121</v>
      </c>
      <c r="V117" s="20" t="n">
        <v>0.518</v>
      </c>
      <c r="W117" s="20" t="n">
        <v>5.121</v>
      </c>
    </row>
    <row r="118">
      <c r="A118" s="18" t="inlineStr">
        <is>
          <t>외환차손</t>
        </is>
      </c>
      <c r="E118" s="20" t="n">
        <v>0</v>
      </c>
      <c r="F118" s="20" t="n">
        <v>51.629</v>
      </c>
      <c r="I118" s="20" t="n">
        <v>33.729</v>
      </c>
      <c r="J118" s="20" t="n">
        <v>-27.799</v>
      </c>
      <c r="M118" s="20" t="n">
        <v>0</v>
      </c>
      <c r="N118" s="20" t="n">
        <v>6.229</v>
      </c>
    </row>
    <row r="119">
      <c r="A119" s="18" t="inlineStr">
        <is>
          <t>보험해약 손실</t>
        </is>
      </c>
      <c r="G119" s="20" t="n">
        <v>0</v>
      </c>
      <c r="K119" s="20" t="n">
        <v>0</v>
      </c>
    </row>
    <row r="120">
      <c r="A120" s="18" t="inlineStr">
        <is>
          <t>해결금</t>
        </is>
      </c>
      <c r="I120" s="20" t="n">
        <v>0</v>
      </c>
      <c r="J120" s="20" t="n">
        <v>0</v>
      </c>
      <c r="M120" s="20" t="n">
        <v>4.111</v>
      </c>
      <c r="N120" s="20" t="n">
        <v>0</v>
      </c>
    </row>
    <row r="121">
      <c r="A121" s="18" t="inlineStr">
        <is>
          <t>기타</t>
        </is>
      </c>
      <c r="C121" s="20" t="n">
        <v>0.451</v>
      </c>
      <c r="D121" s="20" t="n">
        <v>0.645</v>
      </c>
      <c r="E121" s="20" t="n">
        <v>0.053</v>
      </c>
      <c r="F121" s="20" t="n">
        <v>0.798</v>
      </c>
      <c r="G121" s="20" t="n">
        <v>0.078</v>
      </c>
      <c r="H121" s="20" t="n">
        <v>0.552</v>
      </c>
      <c r="I121" s="20" t="n">
        <v>2.853</v>
      </c>
      <c r="J121" s="20" t="n">
        <v>-2.729</v>
      </c>
      <c r="K121" s="20" t="n">
        <v>0.025</v>
      </c>
      <c r="L121" s="20" t="n">
        <v>4.994</v>
      </c>
      <c r="M121" s="20" t="n">
        <v>1.948</v>
      </c>
      <c r="N121" s="20" t="n">
        <v>0.357</v>
      </c>
      <c r="V121" s="20" t="n">
        <v>0.645</v>
      </c>
      <c r="W121" s="20" t="n">
        <v>0.552</v>
      </c>
      <c r="X121" s="20" t="n">
        <v>4.994</v>
      </c>
    </row>
    <row r="122">
      <c r="A122" s="18" t="inlineStr">
        <is>
          <t>영업외비용 합계</t>
        </is>
      </c>
      <c r="C122" s="20" t="n">
        <v>5.504</v>
      </c>
      <c r="D122" s="20" t="n">
        <v>2.174</v>
      </c>
      <c r="E122" s="20" t="n">
        <v>1.622</v>
      </c>
      <c r="F122" s="20" t="n">
        <v>54.067</v>
      </c>
      <c r="G122" s="20" t="n">
        <v>-47.984</v>
      </c>
      <c r="H122" s="20" t="n">
        <v>20.701</v>
      </c>
      <c r="I122" s="20" t="n">
        <v>38.163</v>
      </c>
      <c r="J122" s="20" t="n">
        <v>-26.19</v>
      </c>
      <c r="K122" s="20" t="n">
        <v>-4.346</v>
      </c>
      <c r="L122" s="20" t="n">
        <v>23.383</v>
      </c>
      <c r="M122" s="20" t="n">
        <v>7.562</v>
      </c>
      <c r="N122" s="20" t="n">
        <v>8.206</v>
      </c>
      <c r="V122" s="20" t="n">
        <v>2.174</v>
      </c>
      <c r="W122" s="20" t="n">
        <v>20.701</v>
      </c>
      <c r="X122" s="20" t="n">
        <v>23.383</v>
      </c>
    </row>
    <row r="123">
      <c r="A123" s="43" t="inlineStr">
        <is>
          <t>YoY</t>
        </is>
      </c>
      <c r="B123" s="3" t="inlineStr">
        <is>
          <t>전년 같은 분기·전년 대비</t>
        </is>
      </c>
      <c r="G123" s="15">
        <f>IF(OR(G122="",C122=""),"",IF(G122*C122&lt;=0,"",IFERROR(G122/C122-1,"")))</f>
        <v/>
      </c>
      <c r="H123" s="15">
        <f>IF(OR(H122="",D122=""),"",IF(H122*D122&lt;=0,"",IFERROR(H122/D122-1,"")))</f>
        <v/>
      </c>
      <c r="I123" s="15">
        <f>IF(OR(I122="",E122=""),"",IF(I122*E122&lt;=0,"",IFERROR(I122/E122-1,"")))</f>
        <v/>
      </c>
      <c r="J123" s="15">
        <f>IF(OR(J122="",F122=""),"",IF(J122*F122&lt;=0,"",IFERROR(J122/F122-1,"")))</f>
        <v/>
      </c>
      <c r="K123" s="15">
        <f>IF(OR(K122="",G122=""),"",IF(K122*G122&lt;=0,"",IFERROR(K122/G122-1,"")))</f>
        <v/>
      </c>
      <c r="L123" s="15">
        <f>IF(OR(L122="",H122=""),"",IF(L122*H122&lt;=0,"",IFERROR(L122/H122-1,"")))</f>
        <v/>
      </c>
      <c r="M123" s="15">
        <f>IF(OR(M122="",I122=""),"",IF(M122*I122&lt;=0,"",IFERROR(M122/I122-1,"")))</f>
        <v/>
      </c>
      <c r="N123" s="15">
        <f>IF(OR(N122="",J122=""),"",IF(N122*J122&lt;=0,"",IFERROR(N122/J122-1,"")))</f>
        <v/>
      </c>
      <c r="V123" s="15">
        <f>IF(OR(V122="",U122=""),"",IF(V122*U122&lt;=0,"",IFERROR(V122/U122-1,"")))</f>
        <v/>
      </c>
      <c r="W123" s="15">
        <f>IF(OR(W122="",V122=""),"",IF(W122*V122&lt;=0,"",IFERROR(W122/V122-1,"")))</f>
        <v/>
      </c>
      <c r="X123" s="15">
        <f>IF(OR(X122="",W122=""),"",IF(X122*W122&lt;=0,"",IFERROR(X122/W122-1,"")))</f>
        <v/>
      </c>
    </row>
    <row r="124">
      <c r="A124" s="9" t="inlineStr">
        <is>
          <t>경상이익</t>
        </is>
      </c>
      <c r="C124" s="12" t="n">
        <v>453.139</v>
      </c>
      <c r="D124" s="12" t="n">
        <v>372.326</v>
      </c>
      <c r="E124" s="12" t="n">
        <v>314.853</v>
      </c>
      <c r="F124" s="12" t="n">
        <v>267.116</v>
      </c>
      <c r="G124" s="12" t="n">
        <v>560.628</v>
      </c>
      <c r="H124" s="12" t="n">
        <v>440.687</v>
      </c>
      <c r="I124" s="12" t="n">
        <v>282.075</v>
      </c>
      <c r="J124" s="12" t="n">
        <v>299.236</v>
      </c>
      <c r="K124" s="12" t="n">
        <v>670.981</v>
      </c>
      <c r="L124" s="12" t="n">
        <v>702.348</v>
      </c>
      <c r="M124" s="12" t="n">
        <v>464.076</v>
      </c>
      <c r="N124" s="12" t="n">
        <v>445.872</v>
      </c>
      <c r="V124" s="12" t="n">
        <v>372.326</v>
      </c>
      <c r="W124" s="12" t="n">
        <v>440.687</v>
      </c>
      <c r="X124" s="12" t="n">
        <v>702.348</v>
      </c>
    </row>
    <row r="125">
      <c r="A125" s="43" t="inlineStr">
        <is>
          <t>YoY</t>
        </is>
      </c>
      <c r="B125" s="3" t="inlineStr">
        <is>
          <t>전년 같은 분기·전년 대비</t>
        </is>
      </c>
      <c r="G125" s="15">
        <f>IF(OR(G124="",C124=""),"",IF(C124&lt;=0,"",IFERROR(G124/C124-1,"")))</f>
        <v/>
      </c>
      <c r="H125" s="15">
        <f>IF(OR(H124="",D124=""),"",IF(D124&lt;=0,"",IFERROR(H124/D124-1,"")))</f>
        <v/>
      </c>
      <c r="I125" s="15">
        <f>IF(OR(I124="",E124=""),"",IF(E124&lt;=0,"",IFERROR(I124/E124-1,"")))</f>
        <v/>
      </c>
      <c r="J125" s="15">
        <f>IF(OR(J124="",F124=""),"",IF(F124&lt;=0,"",IFERROR(J124/F124-1,"")))</f>
        <v/>
      </c>
      <c r="K125" s="15">
        <f>IF(OR(K124="",G124=""),"",IF(G124&lt;=0,"",IFERROR(K124/G124-1,"")))</f>
        <v/>
      </c>
      <c r="L125" s="15">
        <f>IF(OR(L124="",H124=""),"",IF(H124&lt;=0,"",IFERROR(L124/H124-1,"")))</f>
        <v/>
      </c>
      <c r="M125" s="15">
        <f>IF(OR(M124="",I124=""),"",IF(I124&lt;=0,"",IFERROR(M124/I124-1,"")))</f>
        <v/>
      </c>
      <c r="N125" s="15">
        <f>IF(OR(N124="",J124=""),"",IF(J124&lt;=0,"",IFERROR(N124/J124-1,"")))</f>
        <v/>
      </c>
      <c r="V125" s="15">
        <f>IF(OR(V124="",U124=""),"",IF(U124&lt;=0,"",IFERROR(V124/U124-1,"")))</f>
        <v/>
      </c>
      <c r="W125" s="15">
        <f>IF(OR(W124="",V124=""),"",IF(V124&lt;=0,"",IFERROR(W124/V124-1,"")))</f>
        <v/>
      </c>
      <c r="X125" s="15">
        <f>IF(OR(X124="",W124=""),"",IF(W124&lt;=0,"",IFERROR(X124/W124-1,"")))</f>
        <v/>
      </c>
    </row>
    <row r="126">
      <c r="A126" s="18" t="inlineStr">
        <is>
          <t>고정자산 매각이익</t>
        </is>
      </c>
      <c r="C126" s="20" t="n">
        <v>0</v>
      </c>
      <c r="D126" s="20" t="n">
        <v>-5.532</v>
      </c>
      <c r="E126" s="20" t="n">
        <v>0.003</v>
      </c>
      <c r="F126" s="20" t="n">
        <v>0</v>
      </c>
      <c r="G126" s="20" t="n">
        <v>0</v>
      </c>
      <c r="H126" s="20" t="n">
        <v>0.007</v>
      </c>
      <c r="I126" s="20" t="n">
        <v>0.199</v>
      </c>
      <c r="J126" s="20" t="n">
        <v>0</v>
      </c>
      <c r="K126" s="20" t="n">
        <v>0.455</v>
      </c>
      <c r="L126" s="20" t="n">
        <v>1.714</v>
      </c>
      <c r="M126" s="20" t="n">
        <v>0</v>
      </c>
      <c r="N126" s="20" t="n">
        <v>0</v>
      </c>
      <c r="V126" s="20" t="n">
        <v>-5.532</v>
      </c>
      <c r="W126" s="20" t="n">
        <v>0.007</v>
      </c>
      <c r="X126" s="20" t="n">
        <v>1.714</v>
      </c>
    </row>
    <row r="127">
      <c r="A127" s="18" t="inlineStr">
        <is>
          <t>투자유가증권 매각이익</t>
        </is>
      </c>
      <c r="C127" s="20" t="n">
        <v>0</v>
      </c>
      <c r="D127" s="20" t="n">
        <v>1.2</v>
      </c>
      <c r="E127" s="20" t="n">
        <v>0</v>
      </c>
      <c r="F127" s="20" t="n">
        <v>7.574</v>
      </c>
      <c r="G127" s="20" t="n">
        <v>50.141</v>
      </c>
      <c r="H127" s="20" t="n">
        <v>94.43300000000001</v>
      </c>
      <c r="I127" s="20" t="n">
        <v>89.371</v>
      </c>
      <c r="J127" s="20" t="n">
        <v>93.872</v>
      </c>
      <c r="K127" s="20" t="n">
        <v>0</v>
      </c>
      <c r="L127" s="20" t="n">
        <v>0</v>
      </c>
      <c r="M127" s="20" t="n">
        <v>0</v>
      </c>
      <c r="N127" s="20" t="n">
        <v>0</v>
      </c>
      <c r="V127" s="20" t="n">
        <v>1.2</v>
      </c>
      <c r="W127" s="20" t="n">
        <v>94.43300000000001</v>
      </c>
      <c r="X127" s="20" t="n">
        <v>0</v>
      </c>
    </row>
    <row r="128">
      <c r="A128" s="18" t="inlineStr">
        <is>
          <t>특별이익 합계</t>
        </is>
      </c>
      <c r="C128" s="20" t="n">
        <v>0</v>
      </c>
      <c r="D128" s="20" t="n">
        <v>-4.332</v>
      </c>
      <c r="E128" s="20" t="n">
        <v>0.003</v>
      </c>
      <c r="F128" s="20" t="n">
        <v>7.575</v>
      </c>
      <c r="G128" s="20" t="n">
        <v>50.141</v>
      </c>
      <c r="H128" s="20" t="n">
        <v>94.43899999999999</v>
      </c>
      <c r="I128" s="20" t="n">
        <v>89.571</v>
      </c>
      <c r="J128" s="20" t="n">
        <v>93.872</v>
      </c>
      <c r="K128" s="20" t="n">
        <v>0.455</v>
      </c>
      <c r="L128" s="20" t="n">
        <v>1.714</v>
      </c>
      <c r="M128" s="20" t="n">
        <v>0</v>
      </c>
      <c r="N128" s="20" t="n">
        <v>0</v>
      </c>
      <c r="V128" s="20" t="n">
        <v>-4.332</v>
      </c>
      <c r="W128" s="20" t="n">
        <v>94.43899999999999</v>
      </c>
      <c r="X128" s="20" t="n">
        <v>1.714</v>
      </c>
    </row>
    <row r="129">
      <c r="A129" s="43" t="inlineStr">
        <is>
          <t>YoY</t>
        </is>
      </c>
      <c r="B129" s="3" t="inlineStr">
        <is>
          <t>전년 같은 분기·전년 대비</t>
        </is>
      </c>
      <c r="G129" s="15">
        <f>IF(OR(G128="",C128=""),"",IF(G128*C128&lt;=0,"",IFERROR(G128/C128-1,"")))</f>
        <v/>
      </c>
      <c r="H129" s="15">
        <f>IF(OR(H128="",D128=""),"",IF(H128*D128&lt;=0,"",IFERROR(H128/D128-1,"")))</f>
        <v/>
      </c>
      <c r="I129" s="15">
        <f>IF(OR(I128="",E128=""),"",IF(I128*E128&lt;=0,"",IFERROR(I128/E128-1,"")))</f>
        <v/>
      </c>
      <c r="J129" s="15">
        <f>IF(OR(J128="",F128=""),"",IF(J128*F128&lt;=0,"",IFERROR(J128/F128-1,"")))</f>
        <v/>
      </c>
      <c r="K129" s="15">
        <f>IF(OR(K128="",G128=""),"",IF(K128*G128&lt;=0,"",IFERROR(K128/G128-1,"")))</f>
        <v/>
      </c>
      <c r="L129" s="15">
        <f>IF(OR(L128="",H128=""),"",IF(L128*H128&lt;=0,"",IFERROR(L128/H128-1,"")))</f>
        <v/>
      </c>
      <c r="M129" s="15">
        <f>IF(OR(M128="",I128=""),"",IF(M128*I128&lt;=0,"",IFERROR(M128/I128-1,"")))</f>
        <v/>
      </c>
      <c r="N129" s="15">
        <f>IF(OR(N128="",J128=""),"",IF(N128*J128&lt;=0,"",IFERROR(N128/J128-1,"")))</f>
        <v/>
      </c>
      <c r="V129" s="15">
        <f>IF(OR(V128="",U128=""),"",IF(V128*U128&lt;=0,"",IFERROR(V128/U128-1,"")))</f>
        <v/>
      </c>
      <c r="W129" s="15">
        <f>IF(OR(W128="",V128=""),"",IF(W128*V128&lt;=0,"",IFERROR(W128/V128-1,"")))</f>
        <v/>
      </c>
      <c r="X129" s="15">
        <f>IF(OR(X128="",W128=""),"",IF(X128*W128&lt;=0,"",IFERROR(X128/W128-1,"")))</f>
        <v/>
      </c>
    </row>
    <row r="130">
      <c r="A130" s="18" t="inlineStr">
        <is>
          <t>고정자산 매각손실</t>
        </is>
      </c>
      <c r="I130" s="20" t="n">
        <v>0</v>
      </c>
      <c r="J130" s="20" t="n">
        <v>0</v>
      </c>
      <c r="M130" s="20" t="n">
        <v>5.583</v>
      </c>
      <c r="N130" s="20" t="n">
        <v>0</v>
      </c>
    </row>
    <row r="131">
      <c r="A131" s="18" t="inlineStr">
        <is>
          <t>고정자산 제각손실</t>
        </is>
      </c>
      <c r="C131" s="20" t="n">
        <v>2.01</v>
      </c>
      <c r="D131" s="20" t="n">
        <v>1.466</v>
      </c>
      <c r="E131" s="20" t="n">
        <v>6.591</v>
      </c>
      <c r="F131" s="20" t="n">
        <v>4.024</v>
      </c>
      <c r="G131" s="20" t="n">
        <v>5.817</v>
      </c>
      <c r="H131" s="20" t="n">
        <v>1.434</v>
      </c>
      <c r="I131" s="20" t="n">
        <v>1.861</v>
      </c>
      <c r="J131" s="20" t="n">
        <v>46.992</v>
      </c>
      <c r="K131" s="20" t="n">
        <v>8.856</v>
      </c>
      <c r="L131" s="20" t="n">
        <v>9.539999999999999</v>
      </c>
      <c r="M131" s="20" t="n">
        <v>3.04</v>
      </c>
      <c r="N131" s="20" t="n">
        <v>11.547</v>
      </c>
      <c r="V131" s="20" t="n">
        <v>1.466</v>
      </c>
      <c r="W131" s="20" t="n">
        <v>1.434</v>
      </c>
      <c r="X131" s="20" t="n">
        <v>9.539999999999999</v>
      </c>
    </row>
    <row r="132">
      <c r="A132" s="18" t="inlineStr">
        <is>
          <t>특별손실 합계</t>
        </is>
      </c>
      <c r="C132" s="20" t="n">
        <v>2.01</v>
      </c>
      <c r="D132" s="20" t="n">
        <v>1.466</v>
      </c>
      <c r="E132" s="20" t="n">
        <v>6.591</v>
      </c>
      <c r="F132" s="20" t="n">
        <v>4.024</v>
      </c>
      <c r="G132" s="20" t="n">
        <v>5.817</v>
      </c>
      <c r="H132" s="20" t="n">
        <v>19.029</v>
      </c>
      <c r="I132" s="20" t="n">
        <v>1.861</v>
      </c>
      <c r="J132" s="20" t="n">
        <v>46.992</v>
      </c>
      <c r="K132" s="20" t="n">
        <v>8.856</v>
      </c>
      <c r="L132" s="20" t="n">
        <v>34.34</v>
      </c>
      <c r="M132" s="20" t="n">
        <v>8.624000000000001</v>
      </c>
      <c r="N132" s="20" t="n">
        <v>11.547</v>
      </c>
      <c r="V132" s="20" t="n">
        <v>1.466</v>
      </c>
      <c r="W132" s="20" t="n">
        <v>19.029</v>
      </c>
      <c r="X132" s="20" t="n">
        <v>34.34</v>
      </c>
    </row>
    <row r="133">
      <c r="A133" s="43" t="inlineStr">
        <is>
          <t>YoY</t>
        </is>
      </c>
      <c r="B133" s="3" t="inlineStr">
        <is>
          <t>전년 같은 분기·전년 대비</t>
        </is>
      </c>
      <c r="G133" s="15">
        <f>IF(OR(G132="",C132=""),"",IF(G132*C132&lt;=0,"",IFERROR(G132/C132-1,"")))</f>
        <v/>
      </c>
      <c r="H133" s="15">
        <f>IF(OR(H132="",D132=""),"",IF(H132*D132&lt;=0,"",IFERROR(H132/D132-1,"")))</f>
        <v/>
      </c>
      <c r="I133" s="15">
        <f>IF(OR(I132="",E132=""),"",IF(I132*E132&lt;=0,"",IFERROR(I132/E132-1,"")))</f>
        <v/>
      </c>
      <c r="J133" s="15">
        <f>IF(OR(J132="",F132=""),"",IF(J132*F132&lt;=0,"",IFERROR(J132/F132-1,"")))</f>
        <v/>
      </c>
      <c r="K133" s="15">
        <f>IF(OR(K132="",G132=""),"",IF(K132*G132&lt;=0,"",IFERROR(K132/G132-1,"")))</f>
        <v/>
      </c>
      <c r="L133" s="15">
        <f>IF(OR(L132="",H132=""),"",IF(L132*H132&lt;=0,"",IFERROR(L132/H132-1,"")))</f>
        <v/>
      </c>
      <c r="M133" s="15">
        <f>IF(OR(M132="",I132=""),"",IF(M132*I132&lt;=0,"",IFERROR(M132/I132-1,"")))</f>
        <v/>
      </c>
      <c r="N133" s="15">
        <f>IF(OR(N132="",J132=""),"",IF(N132*J132&lt;=0,"",IFERROR(N132/J132-1,"")))</f>
        <v/>
      </c>
      <c r="V133" s="15">
        <f>IF(OR(V132="",U132=""),"",IF(V132*U132&lt;=0,"",IFERROR(V132/U132-1,"")))</f>
        <v/>
      </c>
      <c r="W133" s="15">
        <f>IF(OR(W132="",V132=""),"",IF(W132*V132&lt;=0,"",IFERROR(W132/V132-1,"")))</f>
        <v/>
      </c>
      <c r="X133" s="15">
        <f>IF(OR(X132="",W132=""),"",IF(X132*W132&lt;=0,"",IFERROR(X132/W132-1,"")))</f>
        <v/>
      </c>
    </row>
    <row r="134">
      <c r="A134" s="9" t="inlineStr">
        <is>
          <t>법인세차감전 순이익</t>
        </is>
      </c>
      <c r="C134" s="12" t="n">
        <v>451.13</v>
      </c>
      <c r="D134" s="12" t="n">
        <v>366.527</v>
      </c>
      <c r="E134" s="12" t="n">
        <v>308.266</v>
      </c>
      <c r="F134" s="12" t="n">
        <v>270.667</v>
      </c>
      <c r="G134" s="12" t="n">
        <v>604.952</v>
      </c>
      <c r="H134" s="12" t="n">
        <v>516.095</v>
      </c>
      <c r="I134" s="12" t="n">
        <v>369.786</v>
      </c>
      <c r="J134" s="12" t="n">
        <v>346.115</v>
      </c>
      <c r="K134" s="12" t="n">
        <v>662.58</v>
      </c>
      <c r="L134" s="12" t="n">
        <v>669.721</v>
      </c>
      <c r="M134" s="12" t="n">
        <v>455.451</v>
      </c>
      <c r="N134" s="12" t="n">
        <v>434.325</v>
      </c>
      <c r="V134" s="12" t="n">
        <v>366.527</v>
      </c>
      <c r="W134" s="12" t="n">
        <v>516.095</v>
      </c>
      <c r="X134" s="12" t="n">
        <v>669.721</v>
      </c>
    </row>
    <row r="135">
      <c r="A135" s="43" t="inlineStr">
        <is>
          <t>YoY</t>
        </is>
      </c>
      <c r="B135" s="3" t="inlineStr">
        <is>
          <t>전년 같은 분기·전년 대비</t>
        </is>
      </c>
      <c r="G135" s="15">
        <f>IF(OR(G134="",C134=""),"",IF(C134&lt;=0,"",IFERROR(G134/C134-1,"")))</f>
        <v/>
      </c>
      <c r="H135" s="15">
        <f>IF(OR(H134="",D134=""),"",IF(D134&lt;=0,"",IFERROR(H134/D134-1,"")))</f>
        <v/>
      </c>
      <c r="I135" s="15">
        <f>IF(OR(I134="",E134=""),"",IF(E134&lt;=0,"",IFERROR(I134/E134-1,"")))</f>
        <v/>
      </c>
      <c r="J135" s="15">
        <f>IF(OR(J134="",F134=""),"",IF(F134&lt;=0,"",IFERROR(J134/F134-1,"")))</f>
        <v/>
      </c>
      <c r="K135" s="15">
        <f>IF(OR(K134="",G134=""),"",IF(G134&lt;=0,"",IFERROR(K134/G134-1,"")))</f>
        <v/>
      </c>
      <c r="L135" s="15">
        <f>IF(OR(L134="",H134=""),"",IF(H134&lt;=0,"",IFERROR(L134/H134-1,"")))</f>
        <v/>
      </c>
      <c r="M135" s="15">
        <f>IF(OR(M134="",I134=""),"",IF(I134&lt;=0,"",IFERROR(M134/I134-1,"")))</f>
        <v/>
      </c>
      <c r="N135" s="15">
        <f>IF(OR(N134="",J134=""),"",IF(J134&lt;=0,"",IFERROR(N134/J134-1,"")))</f>
        <v/>
      </c>
      <c r="V135" s="15">
        <f>IF(OR(V134="",U134=""),"",IF(U134&lt;=0,"",IFERROR(V134/U134-1,"")))</f>
        <v/>
      </c>
      <c r="W135" s="15">
        <f>IF(OR(W134="",V134=""),"",IF(V134&lt;=0,"",IFERROR(W134/V134-1,"")))</f>
        <v/>
      </c>
      <c r="X135" s="15">
        <f>IF(OR(X134="",W134=""),"",IF(W134&lt;=0,"",IFERROR(X134/W134-1,"")))</f>
        <v/>
      </c>
    </row>
    <row r="136">
      <c r="A136" s="18" t="inlineStr">
        <is>
          <t>법인세·주민세·사업세</t>
        </is>
      </c>
      <c r="C136" s="20" t="n">
        <v>105.573</v>
      </c>
      <c r="D136" s="20" t="n">
        <v>127.618</v>
      </c>
      <c r="E136" s="20" t="n">
        <v>57.337</v>
      </c>
      <c r="F136" s="20" t="n">
        <v>83.762</v>
      </c>
      <c r="G136" s="20" t="n">
        <v>204.86</v>
      </c>
      <c r="H136" s="20" t="n">
        <v>230.513</v>
      </c>
      <c r="I136" s="20" t="n">
        <v>55.129</v>
      </c>
      <c r="J136" s="20" t="n">
        <v>134.391</v>
      </c>
      <c r="K136" s="20" t="n">
        <v>193.108</v>
      </c>
      <c r="L136" s="20" t="n">
        <v>205.299</v>
      </c>
      <c r="M136" s="20" t="n">
        <v>22.482</v>
      </c>
      <c r="N136" s="20" t="n">
        <v>154.578</v>
      </c>
      <c r="V136" s="20" t="n">
        <v>127.618</v>
      </c>
      <c r="W136" s="20" t="n">
        <v>230.513</v>
      </c>
      <c r="X136" s="20" t="n">
        <v>205.299</v>
      </c>
    </row>
    <row r="137">
      <c r="A137" s="18" t="inlineStr">
        <is>
          <t>과년도 법인세</t>
        </is>
      </c>
      <c r="E137" s="20" t="n">
        <v>0</v>
      </c>
      <c r="F137" s="20" t="n">
        <v>0</v>
      </c>
      <c r="G137" s="20" t="n">
        <v>0</v>
      </c>
      <c r="H137" s="20" t="n">
        <v>0</v>
      </c>
      <c r="I137" s="20" t="n">
        <v>43.456</v>
      </c>
      <c r="J137" s="20" t="n">
        <v>7.91</v>
      </c>
      <c r="K137" s="20" t="n">
        <v>0</v>
      </c>
      <c r="L137" s="20" t="n">
        <v>0</v>
      </c>
      <c r="M137" s="20" t="n">
        <v>0</v>
      </c>
      <c r="N137" s="20" t="n">
        <v>0</v>
      </c>
      <c r="W137" s="20" t="n">
        <v>0</v>
      </c>
      <c r="X137" s="20" t="n">
        <v>0</v>
      </c>
    </row>
    <row r="138">
      <c r="A138" s="18" t="inlineStr">
        <is>
          <t>법인세 조정액</t>
        </is>
      </c>
      <c r="C138" s="20" t="n">
        <v>33.956</v>
      </c>
      <c r="D138" s="20" t="n">
        <v>-43.642</v>
      </c>
      <c r="E138" s="20" t="n">
        <v>55.546</v>
      </c>
      <c r="F138" s="20" t="n">
        <v>-33.15</v>
      </c>
      <c r="G138" s="20" t="n">
        <v>14.684</v>
      </c>
      <c r="H138" s="20" t="n">
        <v>-50.301</v>
      </c>
      <c r="I138" s="20" t="n">
        <v>63.194</v>
      </c>
      <c r="J138" s="20" t="n">
        <v>-36.014</v>
      </c>
      <c r="K138" s="20" t="n">
        <v>22.613</v>
      </c>
      <c r="L138" s="20" t="n">
        <v>-41.941</v>
      </c>
      <c r="M138" s="20" t="n">
        <v>132.951</v>
      </c>
      <c r="N138" s="20" t="n">
        <v>-42.126</v>
      </c>
      <c r="V138" s="20" t="n">
        <v>-43.642</v>
      </c>
      <c r="W138" s="20" t="n">
        <v>-50.301</v>
      </c>
      <c r="X138" s="20" t="n">
        <v>-41.941</v>
      </c>
    </row>
    <row r="139">
      <c r="A139" s="18" t="inlineStr">
        <is>
          <t>법인세 등 합계</t>
        </is>
      </c>
      <c r="C139" s="20" t="n">
        <v>139.529</v>
      </c>
      <c r="D139" s="20" t="n">
        <v>83.976</v>
      </c>
      <c r="E139" s="20" t="n">
        <v>112.884</v>
      </c>
      <c r="F139" s="20" t="n">
        <v>50.611</v>
      </c>
      <c r="G139" s="20" t="n">
        <v>219.544</v>
      </c>
      <c r="H139" s="20" t="n">
        <v>180.212</v>
      </c>
      <c r="I139" s="20" t="n">
        <v>161.78</v>
      </c>
      <c r="J139" s="20" t="n">
        <v>106.288</v>
      </c>
      <c r="K139" s="20" t="n">
        <v>215.72</v>
      </c>
      <c r="L139" s="20" t="n">
        <v>163.359</v>
      </c>
      <c r="M139" s="20" t="n">
        <v>155.433</v>
      </c>
      <c r="N139" s="20" t="n">
        <v>112.453</v>
      </c>
      <c r="V139" s="20" t="n">
        <v>83.976</v>
      </c>
      <c r="W139" s="20" t="n">
        <v>180.212</v>
      </c>
      <c r="X139" s="20" t="n">
        <v>163.359</v>
      </c>
    </row>
    <row r="140">
      <c r="A140" s="43" t="inlineStr">
        <is>
          <t>YoY</t>
        </is>
      </c>
      <c r="B140" s="3" t="inlineStr">
        <is>
          <t>전년 같은 분기·전년 대비</t>
        </is>
      </c>
      <c r="G140" s="15">
        <f>IF(OR(G139="",C139=""),"",IF(G139*C139&lt;=0,"",IFERROR(G139/C139-1,"")))</f>
        <v/>
      </c>
      <c r="H140" s="15">
        <f>IF(OR(H139="",D139=""),"",IF(H139*D139&lt;=0,"",IFERROR(H139/D139-1,"")))</f>
        <v/>
      </c>
      <c r="I140" s="15">
        <f>IF(OR(I139="",E139=""),"",IF(I139*E139&lt;=0,"",IFERROR(I139/E139-1,"")))</f>
        <v/>
      </c>
      <c r="J140" s="15">
        <f>IF(OR(J139="",F139=""),"",IF(J139*F139&lt;=0,"",IFERROR(J139/F139-1,"")))</f>
        <v/>
      </c>
      <c r="K140" s="15">
        <f>IF(OR(K139="",G139=""),"",IF(K139*G139&lt;=0,"",IFERROR(K139/G139-1,"")))</f>
        <v/>
      </c>
      <c r="L140" s="15">
        <f>IF(OR(L139="",H139=""),"",IF(L139*H139&lt;=0,"",IFERROR(L139/H139-1,"")))</f>
        <v/>
      </c>
      <c r="M140" s="15">
        <f>IF(OR(M139="",I139=""),"",IF(M139*I139&lt;=0,"",IFERROR(M139/I139-1,"")))</f>
        <v/>
      </c>
      <c r="N140" s="15">
        <f>IF(OR(N139="",J139=""),"",IF(N139*J139&lt;=0,"",IFERROR(N139/J139-1,"")))</f>
        <v/>
      </c>
      <c r="V140" s="15">
        <f>IF(OR(V139="",U139=""),"",IF(V139*U139&lt;=0,"",IFERROR(V139/U139-1,"")))</f>
        <v/>
      </c>
      <c r="W140" s="15">
        <f>IF(OR(W139="",V139=""),"",IF(W139*V139&lt;=0,"",IFERROR(W139/V139-1,"")))</f>
        <v/>
      </c>
      <c r="X140" s="15">
        <f>IF(OR(X139="",W139=""),"",IF(X139*W139&lt;=0,"",IFERROR(X139/W139-1,"")))</f>
        <v/>
      </c>
    </row>
    <row r="141">
      <c r="A141" s="9" t="inlineStr">
        <is>
          <t>순이익</t>
        </is>
      </c>
      <c r="C141" s="12" t="n">
        <v>311.6</v>
      </c>
      <c r="D141" s="12" t="n">
        <v>282.553</v>
      </c>
      <c r="E141" s="12" t="n">
        <v>195.381</v>
      </c>
      <c r="F141" s="12" t="n">
        <v>220.056</v>
      </c>
      <c r="G141" s="12" t="n">
        <v>385.408</v>
      </c>
      <c r="H141" s="12" t="n">
        <v>335.884</v>
      </c>
      <c r="I141" s="12" t="n">
        <v>208.005</v>
      </c>
      <c r="J141" s="12" t="n">
        <v>239.828</v>
      </c>
      <c r="K141" s="12" t="n">
        <v>446.86</v>
      </c>
      <c r="L141" s="12" t="n">
        <v>506.362</v>
      </c>
      <c r="M141" s="12" t="n">
        <v>300.018</v>
      </c>
      <c r="N141" s="12" t="n">
        <v>321.872</v>
      </c>
      <c r="V141" s="12" t="n">
        <v>282.553</v>
      </c>
      <c r="W141" s="12" t="n">
        <v>335.884</v>
      </c>
      <c r="X141" s="12" t="n">
        <v>506.362</v>
      </c>
    </row>
    <row r="142">
      <c r="A142" s="43" t="inlineStr">
        <is>
          <t>YoY</t>
        </is>
      </c>
      <c r="B142" s="3" t="inlineStr">
        <is>
          <t>전년 같은 분기·전년 대비</t>
        </is>
      </c>
      <c r="G142" s="15">
        <f>IF(OR(G141="",C141=""),"",IF(C141&lt;=0,"",IFERROR(G141/C141-1,"")))</f>
        <v/>
      </c>
      <c r="H142" s="15">
        <f>IF(OR(H141="",D141=""),"",IF(D141&lt;=0,"",IFERROR(H141/D141-1,"")))</f>
        <v/>
      </c>
      <c r="I142" s="15">
        <f>IF(OR(I141="",E141=""),"",IF(E141&lt;=0,"",IFERROR(I141/E141-1,"")))</f>
        <v/>
      </c>
      <c r="J142" s="15">
        <f>IF(OR(J141="",F141=""),"",IF(F141&lt;=0,"",IFERROR(J141/F141-1,"")))</f>
        <v/>
      </c>
      <c r="K142" s="15">
        <f>IF(OR(K141="",G141=""),"",IF(G141&lt;=0,"",IFERROR(K141/G141-1,"")))</f>
        <v/>
      </c>
      <c r="L142" s="15">
        <f>IF(OR(L141="",H141=""),"",IF(H141&lt;=0,"",IFERROR(L141/H141-1,"")))</f>
        <v/>
      </c>
      <c r="M142" s="15">
        <f>IF(OR(M141="",I141=""),"",IF(I141&lt;=0,"",IFERROR(M141/I141-1,"")))</f>
        <v/>
      </c>
      <c r="N142" s="15">
        <f>IF(OR(N141="",J141=""),"",IF(J141&lt;=0,"",IFERROR(N141/J141-1,"")))</f>
        <v/>
      </c>
      <c r="V142" s="15">
        <f>IF(OR(V141="",U141=""),"",IF(U141&lt;=0,"",IFERROR(V141/U141-1,"")))</f>
        <v/>
      </c>
      <c r="W142" s="15">
        <f>IF(OR(W141="",V141=""),"",IF(V141&lt;=0,"",IFERROR(W141/V141-1,"")))</f>
        <v/>
      </c>
      <c r="X142" s="15">
        <f>IF(OR(X141="",W141=""),"",IF(W141&lt;=0,"",IFERROR(X141/W141-1,"")))</f>
        <v/>
      </c>
    </row>
    <row r="143">
      <c r="A143" s="9" t="inlineStr">
        <is>
          <t>비지배주주 순이익</t>
        </is>
      </c>
      <c r="C143" s="12" t="n">
        <v>5.039</v>
      </c>
      <c r="D143" s="12" t="n">
        <v>10.921</v>
      </c>
      <c r="E143" s="12" t="n">
        <v>12.929</v>
      </c>
      <c r="F143" s="12" t="n">
        <v>27.656</v>
      </c>
      <c r="G143" s="12" t="n">
        <v>6.58</v>
      </c>
      <c r="H143" s="12" t="n">
        <v>11.485</v>
      </c>
      <c r="I143" s="12" t="n">
        <v>17.144</v>
      </c>
      <c r="J143" s="12" t="n">
        <v>9.789999999999999</v>
      </c>
      <c r="K143" s="12" t="n">
        <v>14.87</v>
      </c>
      <c r="L143" s="12" t="n">
        <v>18.369</v>
      </c>
      <c r="M143" s="12" t="n">
        <v>14.498</v>
      </c>
      <c r="N143" s="12" t="n">
        <v>18.661</v>
      </c>
      <c r="V143" s="12" t="n">
        <v>10.921</v>
      </c>
      <c r="W143" s="12" t="n">
        <v>11.485</v>
      </c>
      <c r="X143" s="12" t="n">
        <v>18.369</v>
      </c>
    </row>
    <row r="144">
      <c r="A144" s="9" t="inlineStr">
        <is>
          <t>지배주주 순이익</t>
        </is>
      </c>
      <c r="C144" s="12" t="n">
        <v>306.562</v>
      </c>
      <c r="D144" s="12" t="n">
        <v>264.456</v>
      </c>
      <c r="E144" s="12" t="n">
        <v>182.451</v>
      </c>
      <c r="F144" s="12" t="n">
        <v>192.401</v>
      </c>
      <c r="G144" s="12" t="n">
        <v>378.827</v>
      </c>
      <c r="H144" s="12" t="n">
        <v>324.399</v>
      </c>
      <c r="I144" s="12" t="n">
        <v>190.86</v>
      </c>
      <c r="J144" s="12" t="n">
        <v>230.038</v>
      </c>
      <c r="K144" s="12" t="n">
        <v>431.99</v>
      </c>
      <c r="L144" s="12" t="n">
        <v>487.993</v>
      </c>
      <c r="M144" s="12" t="n">
        <v>285.519</v>
      </c>
      <c r="N144" s="12" t="n">
        <v>303.212</v>
      </c>
      <c r="V144" s="12" t="n">
        <v>264.456</v>
      </c>
      <c r="W144" s="12" t="n">
        <v>324.399</v>
      </c>
      <c r="X144" s="12" t="n">
        <v>487.993</v>
      </c>
    </row>
    <row r="145">
      <c r="A145" s="43" t="inlineStr">
        <is>
          <t>YoY</t>
        </is>
      </c>
      <c r="B145" s="3" t="inlineStr">
        <is>
          <t>전년 같은 분기·전년 대비</t>
        </is>
      </c>
      <c r="G145" s="15">
        <f>IF(OR(G144="",C144=""),"",IF(C144&lt;=0,"",IFERROR(G144/C144-1,"")))</f>
        <v/>
      </c>
      <c r="H145" s="15">
        <f>IF(OR(H144="",D144=""),"",IF(D144&lt;=0,"",IFERROR(H144/D144-1,"")))</f>
        <v/>
      </c>
      <c r="I145" s="15">
        <f>IF(OR(I144="",E144=""),"",IF(E144&lt;=0,"",IFERROR(I144/E144-1,"")))</f>
        <v/>
      </c>
      <c r="J145" s="15">
        <f>IF(OR(J144="",F144=""),"",IF(F144&lt;=0,"",IFERROR(J144/F144-1,"")))</f>
        <v/>
      </c>
      <c r="K145" s="15">
        <f>IF(OR(K144="",G144=""),"",IF(G144&lt;=0,"",IFERROR(K144/G144-1,"")))</f>
        <v/>
      </c>
      <c r="L145" s="15">
        <f>IF(OR(L144="",H144=""),"",IF(H144&lt;=0,"",IFERROR(L144/H144-1,"")))</f>
        <v/>
      </c>
      <c r="M145" s="15">
        <f>IF(OR(M144="",I144=""),"",IF(I144&lt;=0,"",IFERROR(M144/I144-1,"")))</f>
        <v/>
      </c>
      <c r="N145" s="15">
        <f>IF(OR(N144="",J144=""),"",IF(J144&lt;=0,"",IFERROR(N144/J144-1,"")))</f>
        <v/>
      </c>
      <c r="V145" s="15">
        <f>IF(OR(V144="",U144=""),"",IF(U144&lt;=0,"",IFERROR(V144/U144-1,"")))</f>
        <v/>
      </c>
      <c r="W145" s="15">
        <f>IF(OR(W144="",V144=""),"",IF(V144&lt;=0,"",IFERROR(W144/V144-1,"")))</f>
        <v/>
      </c>
      <c r="X145" s="15">
        <f>IF(OR(X144="",W144=""),"",IF(W144&lt;=0,"",IFERROR(X144/W144-1,"")))</f>
        <v/>
      </c>
    </row>
    <row r="147">
      <c r="A147" s="16" t="inlineStr">
        <is>
          <t>포괄손익 · 전 항목</t>
        </is>
      </c>
      <c r="B147" s="42" t="inlineStr">
        <is>
          <t>분기 = 3개월 단독</t>
        </is>
      </c>
      <c r="C147" s="16" t="n"/>
      <c r="D147" s="16" t="n"/>
      <c r="E147" s="16" t="n"/>
      <c r="F147" s="16" t="n"/>
      <c r="G147" s="16" t="n"/>
      <c r="H147" s="16" t="n"/>
      <c r="I147" s="16" t="n"/>
      <c r="J147" s="16" t="n"/>
      <c r="K147" s="16" t="n"/>
      <c r="L147" s="16" t="n"/>
      <c r="M147" s="16" t="n"/>
      <c r="N147" s="16" t="n"/>
      <c r="O147" s="16" t="n"/>
      <c r="P147" s="16" t="n"/>
      <c r="Q147" s="16" t="n"/>
      <c r="R147" s="16" t="n"/>
      <c r="S147" s="16" t="n"/>
      <c r="T147" s="16" t="n"/>
      <c r="U147" s="16" t="n"/>
      <c r="V147" s="16" t="n"/>
      <c r="W147" s="16" t="n"/>
      <c r="X147" s="16" t="n"/>
      <c r="Y147" s="16" t="n"/>
      <c r="Z147" s="16" t="n"/>
      <c r="AA147" s="16" t="n"/>
      <c r="AB147" s="16" t="n"/>
      <c r="AC147" s="16" t="n"/>
    </row>
    <row r="148">
      <c r="A148" s="5" t="inlineStr">
        <is>
          <t>항목</t>
        </is>
      </c>
      <c r="B148" s="5" t="inlineStr">
        <is>
          <t>참고</t>
        </is>
      </c>
      <c r="C148" s="5" t="inlineStr">
        <is>
          <t>2024.3Q</t>
        </is>
      </c>
      <c r="D148" s="5" t="inlineStr">
        <is>
          <t>2024.4Q</t>
        </is>
      </c>
      <c r="E148" s="5" t="inlineStr">
        <is>
          <t>2025.1Q</t>
        </is>
      </c>
      <c r="F148" s="5" t="inlineStr">
        <is>
          <t>2025.2Q</t>
        </is>
      </c>
      <c r="G148" s="5" t="inlineStr">
        <is>
          <t>2025.3Q</t>
        </is>
      </c>
      <c r="H148" s="5" t="inlineStr">
        <is>
          <t>2025.4Q</t>
        </is>
      </c>
      <c r="I148" s="5" t="inlineStr">
        <is>
          <t>2026.1Q</t>
        </is>
      </c>
      <c r="J148" s="5" t="inlineStr">
        <is>
          <t>2026.2Q</t>
        </is>
      </c>
      <c r="K148" s="5" t="inlineStr">
        <is>
          <t>2026.3Q</t>
        </is>
      </c>
      <c r="L148" s="5" t="inlineStr">
        <is>
          <t>2026.4Q</t>
        </is>
      </c>
      <c r="M148" s="5" t="inlineStr">
        <is>
          <t>2027.1Q</t>
        </is>
      </c>
      <c r="N148" s="5" t="inlineStr">
        <is>
          <t>2027.2Q</t>
        </is>
      </c>
      <c r="O148" s="5" t="inlineStr">
        <is>
          <t>2017</t>
        </is>
      </c>
      <c r="P148" s="5" t="inlineStr">
        <is>
          <t>2018</t>
        </is>
      </c>
      <c r="Q148" s="5" t="inlineStr">
        <is>
          <t>2019</t>
        </is>
      </c>
      <c r="R148" s="5" t="inlineStr">
        <is>
          <t>2020</t>
        </is>
      </c>
      <c r="S148" s="5" t="inlineStr">
        <is>
          <t>2021</t>
        </is>
      </c>
      <c r="T148" s="5" t="inlineStr">
        <is>
          <t>2022</t>
        </is>
      </c>
      <c r="U148" s="5" t="inlineStr">
        <is>
          <t>2023</t>
        </is>
      </c>
      <c r="V148" s="5" t="inlineStr">
        <is>
          <t>2024</t>
        </is>
      </c>
      <c r="W148" s="5" t="inlineStr">
        <is>
          <t>2025</t>
        </is>
      </c>
      <c r="X148" s="5" t="inlineStr">
        <is>
          <t>2026</t>
        </is>
      </c>
      <c r="Y148" s="5" t="inlineStr">
        <is>
          <t>2027(MW)</t>
        </is>
      </c>
      <c r="Z148" s="5" t="inlineStr">
        <is>
          <t>2028(MW)</t>
        </is>
      </c>
      <c r="AA148" s="5" t="inlineStr">
        <is>
          <t>2029(MW)</t>
        </is>
      </c>
      <c r="AB148" s="5" t="inlineStr">
        <is>
          <t>2030(MW)</t>
        </is>
      </c>
      <c r="AC148" s="5" t="inlineStr">
        <is>
          <t>2031(MW)</t>
        </is>
      </c>
    </row>
    <row r="149">
      <c r="A149" s="9" t="inlineStr">
        <is>
          <t>순이익</t>
        </is>
      </c>
      <c r="C149" s="12" t="n">
        <v>311.6</v>
      </c>
      <c r="D149" s="12" t="n">
        <v>275.378</v>
      </c>
      <c r="E149" s="12" t="n">
        <v>195.381</v>
      </c>
      <c r="F149" s="12" t="n">
        <v>220.056</v>
      </c>
      <c r="G149" s="12" t="n">
        <v>385.408</v>
      </c>
      <c r="H149" s="12" t="n">
        <v>335.884</v>
      </c>
      <c r="I149" s="12" t="n">
        <v>208.005</v>
      </c>
      <c r="J149" s="12" t="n">
        <v>239.828</v>
      </c>
      <c r="K149" s="12" t="n">
        <v>446.86</v>
      </c>
      <c r="L149" s="12" t="n">
        <v>506.362</v>
      </c>
      <c r="M149" s="12" t="n">
        <v>300.018</v>
      </c>
      <c r="N149" s="12" t="n">
        <v>321.872</v>
      </c>
      <c r="V149" s="12" t="n">
        <v>275.378</v>
      </c>
      <c r="W149" s="12" t="n">
        <v>335.884</v>
      </c>
      <c r="X149" s="12" t="n">
        <v>506.362</v>
      </c>
    </row>
    <row r="150">
      <c r="A150" s="18" t="inlineStr">
        <is>
          <t>기타유가증권 평가차액</t>
        </is>
      </c>
      <c r="C150" s="20" t="n">
        <v>-36.503</v>
      </c>
      <c r="D150" s="20" t="n">
        <v>-6.362</v>
      </c>
      <c r="E150" s="20" t="n">
        <v>-26.184</v>
      </c>
      <c r="F150" s="20" t="n">
        <v>-4.579</v>
      </c>
      <c r="G150" s="20" t="n">
        <v>-24.327</v>
      </c>
      <c r="H150" s="20" t="n">
        <v>-25.983</v>
      </c>
      <c r="I150" s="20" t="n">
        <v>-88.25</v>
      </c>
      <c r="J150" s="20" t="n">
        <v>-41.611</v>
      </c>
      <c r="K150" s="20" t="n">
        <v>-13.903</v>
      </c>
      <c r="L150" s="20" t="n">
        <v>12.9</v>
      </c>
      <c r="M150" s="20" t="n">
        <v>6.441</v>
      </c>
      <c r="N150" s="20" t="n">
        <v>5.184</v>
      </c>
      <c r="V150" s="20" t="n">
        <v>-6.362</v>
      </c>
      <c r="W150" s="20" t="n">
        <v>-25.983</v>
      </c>
      <c r="X150" s="20" t="n">
        <v>12.9</v>
      </c>
    </row>
    <row r="151">
      <c r="A151" s="18" t="inlineStr">
        <is>
          <t>이연헤지손익</t>
        </is>
      </c>
      <c r="C151" s="20" t="n">
        <v>-2.234</v>
      </c>
      <c r="D151" s="20" t="n">
        <v>2.234</v>
      </c>
      <c r="E151" s="20" t="n">
        <v>0.956</v>
      </c>
      <c r="F151" s="20" t="n">
        <v>-5.355</v>
      </c>
      <c r="G151" s="20" t="n">
        <v>4.298</v>
      </c>
      <c r="I151" s="20" t="n">
        <v>0</v>
      </c>
      <c r="J151" s="20" t="n">
        <v>0</v>
      </c>
      <c r="K151" s="20" t="n">
        <v>0</v>
      </c>
      <c r="V151" s="20" t="n">
        <v>2.234</v>
      </c>
    </row>
    <row r="152">
      <c r="A152" s="18" t="inlineStr">
        <is>
          <t>해외사업환산조정</t>
        </is>
      </c>
      <c r="C152" s="20" t="n">
        <v>59.223</v>
      </c>
      <c r="D152" s="20" t="n">
        <v>-97.498</v>
      </c>
      <c r="E152" s="20" t="n">
        <v>141.175</v>
      </c>
      <c r="F152" s="20" t="n">
        <v>64.354</v>
      </c>
      <c r="G152" s="20" t="n">
        <v>-182.926</v>
      </c>
      <c r="H152" s="20" t="n">
        <v>233.097</v>
      </c>
      <c r="I152" s="20" t="n">
        <v>-140.795</v>
      </c>
      <c r="J152" s="20" t="n">
        <v>-64.84999999999999</v>
      </c>
      <c r="K152" s="20" t="n">
        <v>73.051</v>
      </c>
      <c r="L152" s="20" t="n">
        <v>141.975</v>
      </c>
      <c r="M152" s="20" t="n">
        <v>43.816</v>
      </c>
      <c r="N152" s="20" t="n">
        <v>41.869</v>
      </c>
      <c r="V152" s="20" t="n">
        <v>-97.498</v>
      </c>
      <c r="W152" s="20" t="n">
        <v>233.097</v>
      </c>
      <c r="X152" s="20" t="n">
        <v>141.975</v>
      </c>
    </row>
    <row r="153">
      <c r="A153" s="18" t="inlineStr">
        <is>
          <t>기타포괄손익 합계</t>
        </is>
      </c>
      <c r="C153" s="20" t="n">
        <v>20.485</v>
      </c>
      <c r="D153" s="20" t="n">
        <v>-101.625</v>
      </c>
      <c r="E153" s="20" t="n">
        <v>115.948</v>
      </c>
      <c r="F153" s="20" t="n">
        <v>54.417</v>
      </c>
      <c r="G153" s="20" t="n">
        <v>-202.953</v>
      </c>
      <c r="H153" s="20" t="n">
        <v>207.215</v>
      </c>
      <c r="I153" s="20" t="n">
        <v>-229.046</v>
      </c>
      <c r="J153" s="20" t="n">
        <v>-106.46</v>
      </c>
      <c r="K153" s="20" t="n">
        <v>59.148</v>
      </c>
      <c r="L153" s="20" t="n">
        <v>154.876</v>
      </c>
      <c r="M153" s="20" t="n">
        <v>50.258</v>
      </c>
      <c r="N153" s="20" t="n">
        <v>47.052</v>
      </c>
      <c r="V153" s="20" t="n">
        <v>-101.625</v>
      </c>
      <c r="W153" s="20" t="n">
        <v>207.215</v>
      </c>
      <c r="X153" s="20" t="n">
        <v>154.876</v>
      </c>
    </row>
    <row r="154">
      <c r="A154" s="9" t="inlineStr">
        <is>
          <t>포괄이익</t>
        </is>
      </c>
      <c r="C154" s="12" t="n">
        <v>332.086</v>
      </c>
      <c r="D154" s="12" t="n">
        <v>173.752</v>
      </c>
      <c r="E154" s="12" t="n">
        <v>311.329</v>
      </c>
      <c r="F154" s="12" t="n">
        <v>274.474</v>
      </c>
      <c r="G154" s="12" t="n">
        <v>182.453</v>
      </c>
      <c r="H154" s="12" t="n">
        <v>543.1</v>
      </c>
      <c r="I154" s="12" t="n">
        <v>-21.041</v>
      </c>
      <c r="J154" s="12" t="n">
        <v>133.367</v>
      </c>
      <c r="K154" s="12" t="n">
        <v>506.008</v>
      </c>
      <c r="L154" s="12" t="n">
        <v>661.2380000000001</v>
      </c>
      <c r="M154" s="12" t="n">
        <v>350.276</v>
      </c>
      <c r="N154" s="12" t="n">
        <v>368.925</v>
      </c>
      <c r="V154" s="12" t="n">
        <v>173.752</v>
      </c>
      <c r="W154" s="12" t="n">
        <v>543.1</v>
      </c>
      <c r="X154" s="12" t="n">
        <v>661.2380000000001</v>
      </c>
    </row>
    <row r="155">
      <c r="A155" s="9" t="inlineStr">
        <is>
          <t>지배주주 포괄이익</t>
        </is>
      </c>
      <c r="C155" s="12" t="n">
        <v>309.836</v>
      </c>
      <c r="D155" s="12" t="n">
        <v>190.132</v>
      </c>
      <c r="E155" s="12" t="n">
        <v>257.632</v>
      </c>
      <c r="F155" s="12" t="n">
        <v>225.454</v>
      </c>
      <c r="G155" s="12" t="n">
        <v>227.361</v>
      </c>
      <c r="H155" s="12" t="n">
        <v>461.518</v>
      </c>
      <c r="I155" s="12" t="n">
        <v>5.762</v>
      </c>
      <c r="J155" s="12" t="n">
        <v>141.45</v>
      </c>
      <c r="K155" s="12" t="n">
        <v>467.369</v>
      </c>
      <c r="L155" s="12" t="n">
        <v>596.691</v>
      </c>
      <c r="M155" s="12" t="n">
        <v>325.076</v>
      </c>
      <c r="N155" s="12" t="n">
        <v>337.983</v>
      </c>
      <c r="V155" s="12" t="n">
        <v>190.132</v>
      </c>
      <c r="W155" s="12" t="n">
        <v>461.518</v>
      </c>
      <c r="X155" s="12" t="n">
        <v>596.691</v>
      </c>
    </row>
    <row r="156">
      <c r="A156" s="9" t="inlineStr">
        <is>
          <t>비지배주주 포괄이익</t>
        </is>
      </c>
      <c r="C156" s="12" t="n">
        <v>22.249</v>
      </c>
      <c r="D156" s="12" t="n">
        <v>-16.38</v>
      </c>
      <c r="E156" s="12" t="n">
        <v>53.697</v>
      </c>
      <c r="F156" s="12" t="n">
        <v>49.02</v>
      </c>
      <c r="G156" s="12" t="n">
        <v>-44.909</v>
      </c>
      <c r="H156" s="12" t="n">
        <v>81.58199999999999</v>
      </c>
      <c r="I156" s="12" t="n">
        <v>-26.804</v>
      </c>
      <c r="J156" s="12" t="n">
        <v>-8.082000000000001</v>
      </c>
      <c r="K156" s="12" t="n">
        <v>38.639</v>
      </c>
      <c r="L156" s="12" t="n">
        <v>64.54600000000001</v>
      </c>
      <c r="M156" s="12" t="n">
        <v>25.2</v>
      </c>
      <c r="N156" s="12" t="n">
        <v>30.941</v>
      </c>
      <c r="V156" s="12" t="n">
        <v>-16.38</v>
      </c>
      <c r="W156" s="12" t="n">
        <v>81.58199999999999</v>
      </c>
      <c r="X156" s="12" t="n">
        <v>64.54600000000001</v>
      </c>
    </row>
    <row r="158">
      <c r="A158" s="16" t="inlineStr">
        <is>
          <t>부문 · 전 항목</t>
        </is>
      </c>
      <c r="B158" s="42" t="inlineStr">
        <is>
          <t>부문 · 항목</t>
        </is>
      </c>
      <c r="C158" s="16" t="n"/>
      <c r="D158" s="16" t="n"/>
      <c r="E158" s="16" t="n"/>
      <c r="F158" s="16" t="n"/>
      <c r="G158" s="16" t="n"/>
      <c r="H158" s="16" t="n"/>
      <c r="I158" s="16" t="n"/>
      <c r="J158" s="16" t="n"/>
      <c r="K158" s="16" t="n"/>
      <c r="L158" s="16" t="n"/>
      <c r="M158" s="16" t="n"/>
      <c r="N158" s="16" t="n"/>
      <c r="O158" s="16" t="n"/>
      <c r="P158" s="16" t="n"/>
      <c r="Q158" s="16" t="n"/>
      <c r="R158" s="16" t="n"/>
      <c r="S158" s="16" t="n"/>
      <c r="T158" s="16" t="n"/>
      <c r="U158" s="16" t="n"/>
      <c r="V158" s="16" t="n"/>
      <c r="W158" s="16" t="n"/>
      <c r="X158" s="16" t="n"/>
      <c r="Y158" s="16" t="n"/>
      <c r="Z158" s="16" t="n"/>
      <c r="AA158" s="16" t="n"/>
      <c r="AB158" s="16" t="n"/>
      <c r="AC158" s="16" t="n"/>
    </row>
    <row r="159">
      <c r="A159" s="5" t="inlineStr">
        <is>
          <t>항목</t>
        </is>
      </c>
      <c r="B159" s="5" t="inlineStr">
        <is>
          <t>참고</t>
        </is>
      </c>
      <c r="C159" s="5" t="inlineStr">
        <is>
          <t>2024.3Q</t>
        </is>
      </c>
      <c r="D159" s="5" t="inlineStr">
        <is>
          <t>2024.4Q</t>
        </is>
      </c>
      <c r="E159" s="5" t="inlineStr">
        <is>
          <t>2025.1Q</t>
        </is>
      </c>
      <c r="F159" s="5" t="inlineStr">
        <is>
          <t>2025.2Q</t>
        </is>
      </c>
      <c r="G159" s="5" t="inlineStr">
        <is>
          <t>2025.3Q</t>
        </is>
      </c>
      <c r="H159" s="5" t="inlineStr">
        <is>
          <t>2025.4Q</t>
        </is>
      </c>
      <c r="I159" s="5" t="inlineStr">
        <is>
          <t>2026.1Q</t>
        </is>
      </c>
      <c r="J159" s="5" t="inlineStr">
        <is>
          <t>2026.2Q</t>
        </is>
      </c>
      <c r="K159" s="5" t="inlineStr">
        <is>
          <t>2026.3Q</t>
        </is>
      </c>
      <c r="L159" s="5" t="inlineStr">
        <is>
          <t>2026.4Q</t>
        </is>
      </c>
      <c r="M159" s="5" t="inlineStr">
        <is>
          <t>2027.1Q</t>
        </is>
      </c>
      <c r="N159" s="5" t="inlineStr">
        <is>
          <t>2027.2Q</t>
        </is>
      </c>
      <c r="O159" s="5" t="inlineStr">
        <is>
          <t>2017</t>
        </is>
      </c>
      <c r="P159" s="5" t="inlineStr">
        <is>
          <t>2018</t>
        </is>
      </c>
      <c r="Q159" s="5" t="inlineStr">
        <is>
          <t>2019</t>
        </is>
      </c>
      <c r="R159" s="5" t="inlineStr">
        <is>
          <t>2020</t>
        </is>
      </c>
      <c r="S159" s="5" t="inlineStr">
        <is>
          <t>2021</t>
        </is>
      </c>
      <c r="T159" s="5" t="inlineStr">
        <is>
          <t>2022</t>
        </is>
      </c>
      <c r="U159" s="5" t="inlineStr">
        <is>
          <t>2023</t>
        </is>
      </c>
      <c r="V159" s="5" t="inlineStr">
        <is>
          <t>2024</t>
        </is>
      </c>
      <c r="W159" s="5" t="inlineStr">
        <is>
          <t>2025</t>
        </is>
      </c>
      <c r="X159" s="5" t="inlineStr">
        <is>
          <t>2026</t>
        </is>
      </c>
      <c r="Y159" s="5" t="inlineStr">
        <is>
          <t>2027(MW)</t>
        </is>
      </c>
      <c r="Z159" s="5" t="inlineStr">
        <is>
          <t>2028(MW)</t>
        </is>
      </c>
      <c r="AA159" s="5" t="inlineStr">
        <is>
          <t>2029(MW)</t>
        </is>
      </c>
      <c r="AB159" s="5" t="inlineStr">
        <is>
          <t>2030(MW)</t>
        </is>
      </c>
      <c r="AC159" s="5" t="inlineStr">
        <is>
          <t>2031(MW)</t>
        </is>
      </c>
    </row>
    <row r="160">
      <c r="A160" s="18" t="inlineStr">
        <is>
          <t>BentoniteDivisionReportableSegmentMember · 외부 고객 매출</t>
        </is>
      </c>
      <c r="C160" s="20" t="n">
        <v>2971.464</v>
      </c>
      <c r="D160" s="20" t="n">
        <v>2572.373</v>
      </c>
      <c r="E160" s="20" t="n">
        <v>2746.237</v>
      </c>
      <c r="F160" s="20" t="n">
        <v>2666.788</v>
      </c>
      <c r="G160" s="20" t="n">
        <v>2847.642</v>
      </c>
      <c r="H160" s="20" t="n">
        <v>2833.553</v>
      </c>
      <c r="I160" s="20" t="n">
        <v>2812.934</v>
      </c>
      <c r="J160" s="20" t="n">
        <v>2923.791</v>
      </c>
      <c r="K160" s="20" t="n">
        <v>3120.468</v>
      </c>
      <c r="L160" s="20" t="n">
        <v>2985.13</v>
      </c>
      <c r="M160" s="20" t="n">
        <v>3077.58</v>
      </c>
      <c r="N160" s="20" t="n">
        <v>2998.835</v>
      </c>
      <c r="V160" s="20" t="n">
        <v>2572.373</v>
      </c>
      <c r="W160" s="20" t="n">
        <v>2833.553</v>
      </c>
      <c r="X160" s="20" t="n">
        <v>2985.13</v>
      </c>
    </row>
    <row r="161">
      <c r="A161" s="43" t="inlineStr">
        <is>
          <t>YoY</t>
        </is>
      </c>
      <c r="B161" s="3" t="inlineStr">
        <is>
          <t>전년 같은 분기·전년 대비</t>
        </is>
      </c>
      <c r="G161" s="15">
        <f>IF(OR(G160="",C160=""),"",IF(C160&lt;=0,"",IFERROR(G160/C160-1,"")))</f>
        <v/>
      </c>
      <c r="H161" s="15">
        <f>IF(OR(H160="",D160=""),"",IF(D160&lt;=0,"",IFERROR(H160/D160-1,"")))</f>
        <v/>
      </c>
      <c r="I161" s="15">
        <f>IF(OR(I160="",E160=""),"",IF(E160&lt;=0,"",IFERROR(I160/E160-1,"")))</f>
        <v/>
      </c>
      <c r="J161" s="15">
        <f>IF(OR(J160="",F160=""),"",IF(F160&lt;=0,"",IFERROR(J160/F160-1,"")))</f>
        <v/>
      </c>
      <c r="K161" s="15">
        <f>IF(OR(K160="",G160=""),"",IF(G160&lt;=0,"",IFERROR(K160/G160-1,"")))</f>
        <v/>
      </c>
      <c r="L161" s="15">
        <f>IF(OR(L160="",H160=""),"",IF(H160&lt;=0,"",IFERROR(L160/H160-1,"")))</f>
        <v/>
      </c>
      <c r="M161" s="15">
        <f>IF(OR(M160="",I160=""),"",IF(I160&lt;=0,"",IFERROR(M160/I160-1,"")))</f>
        <v/>
      </c>
      <c r="N161" s="15">
        <f>IF(OR(N160="",J160=""),"",IF(J160&lt;=0,"",IFERROR(N160/J160-1,"")))</f>
        <v/>
      </c>
      <c r="V161" s="15">
        <f>IF(OR(V160="",U160=""),"",IF(U160&lt;=0,"",IFERROR(V160/U160-1,"")))</f>
        <v/>
      </c>
      <c r="W161" s="15">
        <f>IF(OR(W160="",V160=""),"",IF(V160&lt;=0,"",IFERROR(W160/V160-1,"")))</f>
        <v/>
      </c>
      <c r="X161" s="15">
        <f>IF(OR(X160="",W160=""),"",IF(W160&lt;=0,"",IFERROR(X160/W160-1,"")))</f>
        <v/>
      </c>
    </row>
    <row r="162">
      <c r="A162" s="18" t="inlineStr">
        <is>
          <t>ClayscienceDivisionReportableSegmentMember · 외부 고객 매출</t>
        </is>
      </c>
      <c r="D162" s="20" t="n">
        <v>482.807</v>
      </c>
      <c r="E162" s="20" t="n">
        <v>500.431</v>
      </c>
      <c r="H162" s="20" t="n">
        <v>355.922</v>
      </c>
      <c r="I162" s="20" t="n">
        <v>420.683</v>
      </c>
      <c r="L162" s="20" t="n">
        <v>449.698</v>
      </c>
      <c r="M162" s="20" t="n">
        <v>492.183</v>
      </c>
      <c r="V162" s="20" t="n">
        <v>482.807</v>
      </c>
      <c r="W162" s="20" t="n">
        <v>355.922</v>
      </c>
      <c r="X162" s="20" t="n">
        <v>449.698</v>
      </c>
    </row>
    <row r="163">
      <c r="A163" s="43" t="inlineStr">
        <is>
          <t>YoY</t>
        </is>
      </c>
      <c r="B163" s="3" t="inlineStr">
        <is>
          <t>전년 같은 분기·전년 대비</t>
        </is>
      </c>
      <c r="H163" s="15">
        <f>IF(OR(H162="",D162=""),"",IF(D162&lt;=0,"",IFERROR(H162/D162-1,"")))</f>
        <v/>
      </c>
      <c r="I163" s="15">
        <f>IF(OR(I162="",E162=""),"",IF(E162&lt;=0,"",IFERROR(I162/E162-1,"")))</f>
        <v/>
      </c>
      <c r="L163" s="15">
        <f>IF(OR(L162="",H162=""),"",IF(H162&lt;=0,"",IFERROR(L162/H162-1,"")))</f>
        <v/>
      </c>
      <c r="M163" s="15">
        <f>IF(OR(M162="",I162=""),"",IF(I162&lt;=0,"",IFERROR(M162/I162-1,"")))</f>
        <v/>
      </c>
      <c r="V163" s="15">
        <f>IF(OR(V162="",U162=""),"",IF(U162&lt;=0,"",IFERROR(V162/U162-1,"")))</f>
        <v/>
      </c>
      <c r="W163" s="15">
        <f>IF(OR(W162="",V162=""),"",IF(V162&lt;=0,"",IFERROR(W162/V162-1,"")))</f>
        <v/>
      </c>
      <c r="X163" s="15">
        <f>IF(OR(X162="",W162=""),"",IF(W162&lt;=0,"",IFERROR(X162/W162-1,"")))</f>
        <v/>
      </c>
    </row>
    <row r="164">
      <c r="A164" s="18" t="inlineStr">
        <is>
          <t>AgricultureDivisionReportableSegmentMember · 외부 고객 매출</t>
        </is>
      </c>
      <c r="C164" s="20" t="n">
        <v>914.583</v>
      </c>
      <c r="D164" s="20" t="n">
        <v>950.239</v>
      </c>
      <c r="E164" s="20" t="n">
        <v>405.833</v>
      </c>
      <c r="F164" s="20" t="n">
        <v>529.082</v>
      </c>
      <c r="G164" s="20" t="n">
        <v>845.878</v>
      </c>
      <c r="H164" s="20" t="n">
        <v>1023.715</v>
      </c>
      <c r="I164" s="20" t="n">
        <v>486.269</v>
      </c>
      <c r="J164" s="20" t="n">
        <v>606.5940000000001</v>
      </c>
      <c r="K164" s="20" t="n">
        <v>1111.059</v>
      </c>
      <c r="L164" s="20" t="n">
        <v>1241.055</v>
      </c>
      <c r="M164" s="20" t="n">
        <v>614.434</v>
      </c>
      <c r="N164" s="20" t="n">
        <v>908.65</v>
      </c>
      <c r="V164" s="20" t="n">
        <v>950.239</v>
      </c>
      <c r="W164" s="20" t="n">
        <v>1023.715</v>
      </c>
      <c r="X164" s="20" t="n">
        <v>1241.055</v>
      </c>
    </row>
    <row r="165">
      <c r="A165" s="43" t="inlineStr">
        <is>
          <t>YoY</t>
        </is>
      </c>
      <c r="B165" s="3" t="inlineStr">
        <is>
          <t>전년 같은 분기·전년 대비</t>
        </is>
      </c>
      <c r="G165" s="15">
        <f>IF(OR(G164="",C164=""),"",IF(C164&lt;=0,"",IFERROR(G164/C164-1,"")))</f>
        <v/>
      </c>
      <c r="H165" s="15">
        <f>IF(OR(H164="",D164=""),"",IF(D164&lt;=0,"",IFERROR(H164/D164-1,"")))</f>
        <v/>
      </c>
      <c r="I165" s="15">
        <f>IF(OR(I164="",E164=""),"",IF(E164&lt;=0,"",IFERROR(I164/E164-1,"")))</f>
        <v/>
      </c>
      <c r="J165" s="15">
        <f>IF(OR(J164="",F164=""),"",IF(F164&lt;=0,"",IFERROR(J164/F164-1,"")))</f>
        <v/>
      </c>
      <c r="K165" s="15">
        <f>IF(OR(K164="",G164=""),"",IF(G164&lt;=0,"",IFERROR(K164/G164-1,"")))</f>
        <v/>
      </c>
      <c r="L165" s="15">
        <f>IF(OR(L164="",H164=""),"",IF(H164&lt;=0,"",IFERROR(L164/H164-1,"")))</f>
        <v/>
      </c>
      <c r="M165" s="15">
        <f>IF(OR(M164="",I164=""),"",IF(I164&lt;=0,"",IFERROR(M164/I164-1,"")))</f>
        <v/>
      </c>
      <c r="N165" s="15">
        <f>IF(OR(N164="",J164=""),"",IF(J164&lt;=0,"",IFERROR(N164/J164-1,"")))</f>
        <v/>
      </c>
      <c r="V165" s="15">
        <f>IF(OR(V164="",U164=""),"",IF(U164&lt;=0,"",IFERROR(V164/U164-1,"")))</f>
        <v/>
      </c>
      <c r="W165" s="15">
        <f>IF(OR(W164="",V164=""),"",IF(V164&lt;=0,"",IFERROR(W164/V164-1,"")))</f>
        <v/>
      </c>
      <c r="X165" s="15">
        <f>IF(OR(X164="",W164=""),"",IF(W164&lt;=0,"",IFERROR(X164/W164-1,"")))</f>
        <v/>
      </c>
    </row>
    <row r="166">
      <c r="A166" s="18" t="inlineStr">
        <is>
          <t>보고부문 합계 · 외부 고객 매출</t>
        </is>
      </c>
      <c r="C166" s="20" t="n">
        <v>4272.208</v>
      </c>
      <c r="E166" s="20" t="n">
        <v>3652.502</v>
      </c>
      <c r="F166" s="20" t="n">
        <v>3711.708</v>
      </c>
      <c r="G166" s="20" t="n">
        <v>4130.223</v>
      </c>
      <c r="I166" s="20" t="n">
        <v>3719.887</v>
      </c>
      <c r="J166" s="20" t="n">
        <v>3992.776</v>
      </c>
      <c r="K166" s="20" t="n">
        <v>4686.943</v>
      </c>
      <c r="M166" s="20" t="n">
        <v>4184.198</v>
      </c>
      <c r="N166" s="20" t="n">
        <v>4418.417</v>
      </c>
    </row>
    <row r="167">
      <c r="A167" s="43" t="inlineStr">
        <is>
          <t>YoY</t>
        </is>
      </c>
      <c r="B167" s="3" t="inlineStr">
        <is>
          <t>전년 같은 분기·전년 대비</t>
        </is>
      </c>
      <c r="G167" s="15">
        <f>IF(OR(G166="",C166=""),"",IF(C166&lt;=0,"",IFERROR(G166/C166-1,"")))</f>
        <v/>
      </c>
      <c r="I167" s="15">
        <f>IF(OR(I166="",E166=""),"",IF(E166&lt;=0,"",IFERROR(I166/E166-1,"")))</f>
        <v/>
      </c>
      <c r="J167" s="15">
        <f>IF(OR(J166="",F166=""),"",IF(F166&lt;=0,"",IFERROR(J166/F166-1,"")))</f>
        <v/>
      </c>
      <c r="K167" s="15">
        <f>IF(OR(K166="",G166=""),"",IF(G166&lt;=0,"",IFERROR(K166/G166-1,"")))</f>
        <v/>
      </c>
      <c r="M167" s="15">
        <f>IF(OR(M166="",I166=""),"",IF(I166&lt;=0,"",IFERROR(M166/I166-1,"")))</f>
        <v/>
      </c>
      <c r="N167" s="15">
        <f>IF(OR(N166="",J166=""),"",IF(J166&lt;=0,"",IFERROR(N166/J166-1,"")))</f>
        <v/>
      </c>
    </row>
    <row r="168">
      <c r="A168" s="18" t="inlineStr">
        <is>
          <t>조정액 · 외부 고객 매출</t>
        </is>
      </c>
      <c r="C168" s="20" t="n">
        <v>0</v>
      </c>
      <c r="D168" s="20" t="n">
        <v>0</v>
      </c>
      <c r="E168" s="20" t="n">
        <v>0</v>
      </c>
      <c r="F168" s="20" t="n">
        <v>0</v>
      </c>
      <c r="G168" s="20" t="n">
        <v>0</v>
      </c>
      <c r="H168" s="20" t="n">
        <v>0</v>
      </c>
      <c r="I168" s="20" t="n">
        <v>0</v>
      </c>
      <c r="J168" s="20" t="n">
        <v>0</v>
      </c>
      <c r="K168" s="20" t="n">
        <v>0</v>
      </c>
      <c r="L168" s="20" t="n">
        <v>0</v>
      </c>
      <c r="M168" s="20" t="n">
        <v>0</v>
      </c>
      <c r="N168" s="20" t="n">
        <v>0</v>
      </c>
      <c r="V168" s="20" t="n">
        <v>0</v>
      </c>
      <c r="W168" s="20" t="n">
        <v>0</v>
      </c>
      <c r="X168" s="20" t="n">
        <v>0</v>
      </c>
    </row>
    <row r="169">
      <c r="A169" s="18" t="inlineStr">
        <is>
          <t>EntityTotalMember · 외부 고객 매출</t>
        </is>
      </c>
      <c r="E169" s="20" t="n">
        <v>3652.502</v>
      </c>
      <c r="I169" s="20" t="n">
        <v>3719.887</v>
      </c>
      <c r="M169" s="20" t="n">
        <v>4184.198</v>
      </c>
    </row>
    <row r="170">
      <c r="A170" s="9" t="inlineStr">
        <is>
          <t>외부 고객 매출</t>
        </is>
      </c>
      <c r="C170" s="12" t="n">
        <v>4272.208</v>
      </c>
      <c r="D170" s="12" t="n">
        <v>4005.42</v>
      </c>
      <c r="E170" s="12" t="n">
        <v>3652.502</v>
      </c>
      <c r="F170" s="12" t="n">
        <v>3711.708</v>
      </c>
      <c r="G170" s="12" t="n">
        <v>4130.223</v>
      </c>
      <c r="H170" s="12" t="n">
        <v>4213.19</v>
      </c>
      <c r="V170" s="12" t="n">
        <v>4005.42</v>
      </c>
      <c r="W170" s="12" t="n">
        <v>4213.19</v>
      </c>
    </row>
    <row r="171">
      <c r="A171" s="43" t="inlineStr">
        <is>
          <t>YoY</t>
        </is>
      </c>
      <c r="B171" s="3" t="inlineStr">
        <is>
          <t>전년 같은 분기·전년 대비</t>
        </is>
      </c>
      <c r="G171" s="15">
        <f>IF(OR(G170="",C170=""),"",IF(C170&lt;=0,"",IFERROR(G170/C170-1,"")))</f>
        <v/>
      </c>
      <c r="H171" s="15">
        <f>IF(OR(H170="",D170=""),"",IF(D170&lt;=0,"",IFERROR(H170/D170-1,"")))</f>
        <v/>
      </c>
      <c r="V171" s="15">
        <f>IF(OR(V170="",U170=""),"",IF(U170&lt;=0,"",IFERROR(V170/U170-1,"")))</f>
        <v/>
      </c>
      <c r="W171" s="15">
        <f>IF(OR(W170="",V170=""),"",IF(V170&lt;=0,"",IFERROR(W170/V170-1,"")))</f>
        <v/>
      </c>
    </row>
    <row r="172">
      <c r="A172" s="18" t="inlineStr">
        <is>
          <t>BentoniteDivisionReportableSegmentMember · 부문 간 내부매출·대체</t>
        </is>
      </c>
      <c r="C172" s="20" t="n">
        <v>24.314</v>
      </c>
      <c r="D172" s="20" t="n">
        <v>24.574</v>
      </c>
      <c r="E172" s="20" t="n">
        <v>25.165</v>
      </c>
      <c r="F172" s="20" t="n">
        <v>34.317</v>
      </c>
      <c r="G172" s="20" t="n">
        <v>33.638</v>
      </c>
      <c r="H172" s="20" t="n">
        <v>21.893</v>
      </c>
      <c r="I172" s="20" t="n">
        <v>24.212</v>
      </c>
      <c r="J172" s="20" t="n">
        <v>29.218</v>
      </c>
      <c r="K172" s="20" t="n">
        <v>38.347</v>
      </c>
      <c r="L172" s="20" t="n">
        <v>24.722</v>
      </c>
      <c r="M172" s="20" t="n">
        <v>22.839</v>
      </c>
      <c r="N172" s="20" t="n">
        <v>34.088</v>
      </c>
      <c r="V172" s="20" t="n">
        <v>24.574</v>
      </c>
      <c r="W172" s="20" t="n">
        <v>21.893</v>
      </c>
      <c r="X172" s="20" t="n">
        <v>24.722</v>
      </c>
    </row>
    <row r="173">
      <c r="A173" s="18" t="inlineStr">
        <is>
          <t>ClayscienceDivisionReportableSegmentMember · 부문 간 내부매출·대체</t>
        </is>
      </c>
      <c r="D173" s="20" t="n">
        <v>24.209</v>
      </c>
      <c r="E173" s="20" t="n">
        <v>21.325</v>
      </c>
      <c r="H173" s="20" t="n">
        <v>29.762</v>
      </c>
      <c r="I173" s="20" t="n">
        <v>31.656</v>
      </c>
      <c r="L173" s="20" t="n">
        <v>35.767</v>
      </c>
      <c r="M173" s="20" t="n">
        <v>17.182</v>
      </c>
      <c r="V173" s="20" t="n">
        <v>24.209</v>
      </c>
      <c r="W173" s="20" t="n">
        <v>29.762</v>
      </c>
      <c r="X173" s="20" t="n">
        <v>35.767</v>
      </c>
    </row>
    <row r="174">
      <c r="A174" s="18" t="inlineStr">
        <is>
          <t>AgricultureDivisionReportableSegmentMember · 부문 간 내부매출·대체</t>
        </is>
      </c>
      <c r="C174" s="20" t="n">
        <v>0</v>
      </c>
      <c r="D174" s="20" t="n">
        <v>0</v>
      </c>
      <c r="E174" s="20" t="n">
        <v>0</v>
      </c>
      <c r="F174" s="20" t="n">
        <v>0</v>
      </c>
      <c r="G174" s="20" t="n">
        <v>0</v>
      </c>
      <c r="H174" s="20" t="n">
        <v>0</v>
      </c>
      <c r="I174" s="20" t="n">
        <v>0</v>
      </c>
      <c r="J174" s="20" t="n">
        <v>0</v>
      </c>
      <c r="K174" s="20" t="n">
        <v>0</v>
      </c>
      <c r="L174" s="20" t="n">
        <v>0</v>
      </c>
      <c r="M174" s="20" t="n">
        <v>0</v>
      </c>
      <c r="N174" s="20" t="n">
        <v>0</v>
      </c>
      <c r="V174" s="20" t="n">
        <v>0</v>
      </c>
      <c r="W174" s="20" t="n">
        <v>0</v>
      </c>
      <c r="X174" s="20" t="n">
        <v>0</v>
      </c>
    </row>
    <row r="175">
      <c r="A175" s="18" t="inlineStr">
        <is>
          <t>보고부문 합계 · 부문 간 내부매출·대체</t>
        </is>
      </c>
      <c r="C175" s="20" t="n">
        <v>49.808</v>
      </c>
      <c r="E175" s="20" t="n">
        <v>46.491</v>
      </c>
      <c r="F175" s="20" t="n">
        <v>62.794</v>
      </c>
      <c r="G175" s="20" t="n">
        <v>49.186</v>
      </c>
      <c r="I175" s="20" t="n">
        <v>55.868</v>
      </c>
      <c r="J175" s="20" t="n">
        <v>50.258</v>
      </c>
      <c r="K175" s="20" t="n">
        <v>74.08499999999999</v>
      </c>
      <c r="M175" s="20" t="n">
        <v>40.022</v>
      </c>
      <c r="N175" s="20" t="n">
        <v>69.751</v>
      </c>
    </row>
    <row r="176">
      <c r="A176" s="18" t="inlineStr">
        <is>
          <t>조정액 · 부문 간 내부매출·대체</t>
        </is>
      </c>
      <c r="C176" s="20" t="n">
        <v>-49.808</v>
      </c>
      <c r="D176" s="20" t="n">
        <v>-48.782</v>
      </c>
      <c r="E176" s="20" t="n">
        <v>-46.491</v>
      </c>
      <c r="F176" s="20" t="n">
        <v>-62.794</v>
      </c>
      <c r="G176" s="20" t="n">
        <v>-49.186</v>
      </c>
      <c r="H176" s="20" t="n">
        <v>-51.654</v>
      </c>
      <c r="I176" s="20" t="n">
        <v>-55.868</v>
      </c>
      <c r="J176" s="20" t="n">
        <v>-50.258</v>
      </c>
      <c r="K176" s="20" t="n">
        <v>-74.08499999999999</v>
      </c>
      <c r="L176" s="20" t="n">
        <v>-60.488</v>
      </c>
      <c r="M176" s="20" t="n">
        <v>-40.022</v>
      </c>
      <c r="N176" s="20" t="n">
        <v>-69.751</v>
      </c>
      <c r="V176" s="20" t="n">
        <v>-48.782</v>
      </c>
      <c r="W176" s="20" t="n">
        <v>-51.654</v>
      </c>
      <c r="X176" s="20" t="n">
        <v>-60.488</v>
      </c>
    </row>
    <row r="177">
      <c r="A177" s="18" t="inlineStr">
        <is>
          <t>EntityTotalMember · 부문 간 내부매출·대체</t>
        </is>
      </c>
      <c r="E177" s="20" t="n">
        <v>0</v>
      </c>
      <c r="I177" s="20" t="n">
        <v>0</v>
      </c>
      <c r="M177" s="20" t="n">
        <v>0</v>
      </c>
    </row>
    <row r="178">
      <c r="A178" s="18" t="inlineStr">
        <is>
          <t>부문 간 내부매출·대체</t>
        </is>
      </c>
      <c r="C178" s="20" t="n">
        <v>0</v>
      </c>
      <c r="D178" s="20" t="n">
        <v>0</v>
      </c>
      <c r="E178" s="20" t="n">
        <v>0</v>
      </c>
      <c r="F178" s="20" t="n">
        <v>0</v>
      </c>
      <c r="G178" s="20" t="n">
        <v>0</v>
      </c>
      <c r="H178" s="20" t="n">
        <v>0</v>
      </c>
      <c r="V178" s="20" t="n">
        <v>0</v>
      </c>
      <c r="W178" s="20" t="n">
        <v>0</v>
      </c>
    </row>
    <row r="179">
      <c r="A179" s="18" t="inlineStr">
        <is>
          <t>BentoniteDivisionReportableSegmentMember · 계</t>
        </is>
      </c>
      <c r="C179" s="20" t="n">
        <v>2995.777</v>
      </c>
      <c r="D179" s="20" t="n">
        <v>2596.948</v>
      </c>
      <c r="E179" s="20" t="n">
        <v>2771.403</v>
      </c>
      <c r="F179" s="20" t="n">
        <v>2701.104</v>
      </c>
      <c r="G179" s="20" t="n">
        <v>2881.28</v>
      </c>
      <c r="H179" s="20" t="n">
        <v>2855.446</v>
      </c>
      <c r="I179" s="20" t="n">
        <v>2837.146</v>
      </c>
      <c r="J179" s="20" t="n">
        <v>2953.009</v>
      </c>
      <c r="K179" s="20" t="n">
        <v>3158.816</v>
      </c>
      <c r="L179" s="20" t="n">
        <v>3009.851</v>
      </c>
      <c r="M179" s="20" t="n">
        <v>3100.42</v>
      </c>
      <c r="N179" s="20" t="n">
        <v>3032.923</v>
      </c>
      <c r="V179" s="20" t="n">
        <v>2596.948</v>
      </c>
      <c r="W179" s="20" t="n">
        <v>2855.446</v>
      </c>
      <c r="X179" s="20" t="n">
        <v>3009.851</v>
      </c>
    </row>
    <row r="180">
      <c r="A180" s="43" t="inlineStr">
        <is>
          <t>YoY</t>
        </is>
      </c>
      <c r="B180" s="3" t="inlineStr">
        <is>
          <t>전년 같은 분기·전년 대비</t>
        </is>
      </c>
      <c r="G180" s="15">
        <f>IF(OR(G179="",C179=""),"",IF(C179&lt;=0,"",IFERROR(G179/C179-1,"")))</f>
        <v/>
      </c>
      <c r="H180" s="15">
        <f>IF(OR(H179="",D179=""),"",IF(D179&lt;=0,"",IFERROR(H179/D179-1,"")))</f>
        <v/>
      </c>
      <c r="I180" s="15">
        <f>IF(OR(I179="",E179=""),"",IF(E179&lt;=0,"",IFERROR(I179/E179-1,"")))</f>
        <v/>
      </c>
      <c r="J180" s="15">
        <f>IF(OR(J179="",F179=""),"",IF(F179&lt;=0,"",IFERROR(J179/F179-1,"")))</f>
        <v/>
      </c>
      <c r="K180" s="15">
        <f>IF(OR(K179="",G179=""),"",IF(G179&lt;=0,"",IFERROR(K179/G179-1,"")))</f>
        <v/>
      </c>
      <c r="L180" s="15">
        <f>IF(OR(L179="",H179=""),"",IF(H179&lt;=0,"",IFERROR(L179/H179-1,"")))</f>
        <v/>
      </c>
      <c r="M180" s="15">
        <f>IF(OR(M179="",I179=""),"",IF(I179&lt;=0,"",IFERROR(M179/I179-1,"")))</f>
        <v/>
      </c>
      <c r="N180" s="15">
        <f>IF(OR(N179="",J179=""),"",IF(J179&lt;=0,"",IFERROR(N179/J179-1,"")))</f>
        <v/>
      </c>
      <c r="V180" s="15">
        <f>IF(OR(V179="",U179=""),"",IF(U179&lt;=0,"",IFERROR(V179/U179-1,"")))</f>
        <v/>
      </c>
      <c r="W180" s="15">
        <f>IF(OR(W179="",V179=""),"",IF(V179&lt;=0,"",IFERROR(W179/V179-1,"")))</f>
        <v/>
      </c>
      <c r="X180" s="15">
        <f>IF(OR(X179="",W179=""),"",IF(W179&lt;=0,"",IFERROR(X179/W179-1,"")))</f>
        <v/>
      </c>
    </row>
    <row r="181">
      <c r="A181" s="18" t="inlineStr">
        <is>
          <t>ClayscienceDivisionReportableSegmentMember · 계</t>
        </is>
      </c>
      <c r="D181" s="20" t="n">
        <v>507.016</v>
      </c>
      <c r="E181" s="20" t="n">
        <v>521.7569999999999</v>
      </c>
      <c r="H181" s="20" t="n">
        <v>385.684</v>
      </c>
      <c r="I181" s="20" t="n">
        <v>452.339</v>
      </c>
      <c r="L181" s="20" t="n">
        <v>485.465</v>
      </c>
      <c r="M181" s="20" t="n">
        <v>509.366</v>
      </c>
      <c r="V181" s="20" t="n">
        <v>507.016</v>
      </c>
      <c r="W181" s="20" t="n">
        <v>385.684</v>
      </c>
      <c r="X181" s="20" t="n">
        <v>485.465</v>
      </c>
    </row>
    <row r="182">
      <c r="A182" s="43" t="inlineStr">
        <is>
          <t>YoY</t>
        </is>
      </c>
      <c r="B182" s="3" t="inlineStr">
        <is>
          <t>전년 같은 분기·전년 대비</t>
        </is>
      </c>
      <c r="H182" s="15">
        <f>IF(OR(H181="",D181=""),"",IF(D181&lt;=0,"",IFERROR(H181/D181-1,"")))</f>
        <v/>
      </c>
      <c r="I182" s="15">
        <f>IF(OR(I181="",E181=""),"",IF(E181&lt;=0,"",IFERROR(I181/E181-1,"")))</f>
        <v/>
      </c>
      <c r="L182" s="15">
        <f>IF(OR(L181="",H181=""),"",IF(H181&lt;=0,"",IFERROR(L181/H181-1,"")))</f>
        <v/>
      </c>
      <c r="M182" s="15">
        <f>IF(OR(M181="",I181=""),"",IF(I181&lt;=0,"",IFERROR(M181/I181-1,"")))</f>
        <v/>
      </c>
      <c r="V182" s="15">
        <f>IF(OR(V181="",U181=""),"",IF(U181&lt;=0,"",IFERROR(V181/U181-1,"")))</f>
        <v/>
      </c>
      <c r="W182" s="15">
        <f>IF(OR(W181="",V181=""),"",IF(V181&lt;=0,"",IFERROR(W181/V181-1,"")))</f>
        <v/>
      </c>
      <c r="X182" s="15">
        <f>IF(OR(X181="",W181=""),"",IF(W181&lt;=0,"",IFERROR(X181/W181-1,"")))</f>
        <v/>
      </c>
    </row>
    <row r="183">
      <c r="A183" s="18" t="inlineStr">
        <is>
          <t>AgricultureDivisionReportableSegmentMember · 계</t>
        </is>
      </c>
      <c r="C183" s="20" t="n">
        <v>914.583</v>
      </c>
      <c r="D183" s="20" t="n">
        <v>950.239</v>
      </c>
      <c r="E183" s="20" t="n">
        <v>405.833</v>
      </c>
      <c r="F183" s="20" t="n">
        <v>529.082</v>
      </c>
      <c r="G183" s="20" t="n">
        <v>845.878</v>
      </c>
      <c r="H183" s="20" t="n">
        <v>1023.715</v>
      </c>
      <c r="I183" s="20" t="n">
        <v>486.269</v>
      </c>
      <c r="J183" s="20" t="n">
        <v>606.5940000000001</v>
      </c>
      <c r="K183" s="20" t="n">
        <v>1111.059</v>
      </c>
      <c r="L183" s="20" t="n">
        <v>1241.055</v>
      </c>
      <c r="M183" s="20" t="n">
        <v>614.434</v>
      </c>
      <c r="N183" s="20" t="n">
        <v>908.65</v>
      </c>
      <c r="V183" s="20" t="n">
        <v>950.239</v>
      </c>
      <c r="W183" s="20" t="n">
        <v>1023.715</v>
      </c>
      <c r="X183" s="20" t="n">
        <v>1241.055</v>
      </c>
    </row>
    <row r="184">
      <c r="A184" s="43" t="inlineStr">
        <is>
          <t>YoY</t>
        </is>
      </c>
      <c r="B184" s="3" t="inlineStr">
        <is>
          <t>전년 같은 분기·전년 대비</t>
        </is>
      </c>
      <c r="G184" s="15">
        <f>IF(OR(G183="",C183=""),"",IF(C183&lt;=0,"",IFERROR(G183/C183-1,"")))</f>
        <v/>
      </c>
      <c r="H184" s="15">
        <f>IF(OR(H183="",D183=""),"",IF(D183&lt;=0,"",IFERROR(H183/D183-1,"")))</f>
        <v/>
      </c>
      <c r="I184" s="15">
        <f>IF(OR(I183="",E183=""),"",IF(E183&lt;=0,"",IFERROR(I183/E183-1,"")))</f>
        <v/>
      </c>
      <c r="J184" s="15">
        <f>IF(OR(J183="",F183=""),"",IF(F183&lt;=0,"",IFERROR(J183/F183-1,"")))</f>
        <v/>
      </c>
      <c r="K184" s="15">
        <f>IF(OR(K183="",G183=""),"",IF(G183&lt;=0,"",IFERROR(K183/G183-1,"")))</f>
        <v/>
      </c>
      <c r="L184" s="15">
        <f>IF(OR(L183="",H183=""),"",IF(H183&lt;=0,"",IFERROR(L183/H183-1,"")))</f>
        <v/>
      </c>
      <c r="M184" s="15">
        <f>IF(OR(M183="",I183=""),"",IF(I183&lt;=0,"",IFERROR(M183/I183-1,"")))</f>
        <v/>
      </c>
      <c r="N184" s="15">
        <f>IF(OR(N183="",J183=""),"",IF(J183&lt;=0,"",IFERROR(N183/J183-1,"")))</f>
        <v/>
      </c>
      <c r="V184" s="15">
        <f>IF(OR(V183="",U183=""),"",IF(U183&lt;=0,"",IFERROR(V183/U183-1,"")))</f>
        <v/>
      </c>
      <c r="W184" s="15">
        <f>IF(OR(W183="",V183=""),"",IF(V183&lt;=0,"",IFERROR(W183/V183-1,"")))</f>
        <v/>
      </c>
      <c r="X184" s="15">
        <f>IF(OR(X183="",W183=""),"",IF(W183&lt;=0,"",IFERROR(X183/W183-1,"")))</f>
        <v/>
      </c>
    </row>
    <row r="185">
      <c r="A185" s="18" t="inlineStr">
        <is>
          <t>보고부문 합계 · 계</t>
        </is>
      </c>
      <c r="C185" s="20" t="n">
        <v>4322.016</v>
      </c>
      <c r="E185" s="20" t="n">
        <v>3698.993</v>
      </c>
      <c r="F185" s="20" t="n">
        <v>3774.502</v>
      </c>
      <c r="G185" s="20" t="n">
        <v>4179.409</v>
      </c>
      <c r="I185" s="20" t="n">
        <v>3775.756</v>
      </c>
      <c r="J185" s="20" t="n">
        <v>4043.033</v>
      </c>
      <c r="K185" s="20" t="n">
        <v>4761.029</v>
      </c>
      <c r="M185" s="20" t="n">
        <v>4224.221</v>
      </c>
      <c r="N185" s="20" t="n">
        <v>4488.168</v>
      </c>
    </row>
    <row r="186">
      <c r="A186" s="43" t="inlineStr">
        <is>
          <t>YoY</t>
        </is>
      </c>
      <c r="B186" s="3" t="inlineStr">
        <is>
          <t>전년 같은 분기·전년 대비</t>
        </is>
      </c>
      <c r="G186" s="15">
        <f>IF(OR(G185="",C185=""),"",IF(C185&lt;=0,"",IFERROR(G185/C185-1,"")))</f>
        <v/>
      </c>
      <c r="I186" s="15">
        <f>IF(OR(I185="",E185=""),"",IF(E185&lt;=0,"",IFERROR(I185/E185-1,"")))</f>
        <v/>
      </c>
      <c r="J186" s="15">
        <f>IF(OR(J185="",F185=""),"",IF(F185&lt;=0,"",IFERROR(J185/F185-1,"")))</f>
        <v/>
      </c>
      <c r="K186" s="15">
        <f>IF(OR(K185="",G185=""),"",IF(G185&lt;=0,"",IFERROR(K185/G185-1,"")))</f>
        <v/>
      </c>
      <c r="M186" s="15">
        <f>IF(OR(M185="",I185=""),"",IF(I185&lt;=0,"",IFERROR(M185/I185-1,"")))</f>
        <v/>
      </c>
      <c r="N186" s="15">
        <f>IF(OR(N185="",J185=""),"",IF(J185&lt;=0,"",IFERROR(N185/J185-1,"")))</f>
        <v/>
      </c>
    </row>
    <row r="187">
      <c r="A187" s="18" t="inlineStr">
        <is>
          <t>조정액 · 계</t>
        </is>
      </c>
      <c r="C187" s="20" t="n">
        <v>-49.808</v>
      </c>
      <c r="D187" s="20" t="n">
        <v>-48.782</v>
      </c>
      <c r="E187" s="20" t="n">
        <v>-46.491</v>
      </c>
      <c r="F187" s="20" t="n">
        <v>-62.794</v>
      </c>
      <c r="G187" s="20" t="n">
        <v>-49.186</v>
      </c>
      <c r="H187" s="20" t="n">
        <v>-51.654</v>
      </c>
      <c r="I187" s="20" t="n">
        <v>-55.868</v>
      </c>
      <c r="J187" s="20" t="n">
        <v>-50.258</v>
      </c>
      <c r="K187" s="20" t="n">
        <v>-74.08499999999999</v>
      </c>
      <c r="L187" s="20" t="n">
        <v>-60.488</v>
      </c>
      <c r="M187" s="20" t="n">
        <v>-40.022</v>
      </c>
      <c r="N187" s="20" t="n">
        <v>-69.751</v>
      </c>
      <c r="V187" s="20" t="n">
        <v>-48.782</v>
      </c>
      <c r="W187" s="20" t="n">
        <v>-51.654</v>
      </c>
      <c r="X187" s="20" t="n">
        <v>-60.488</v>
      </c>
    </row>
    <row r="188">
      <c r="A188" s="18" t="inlineStr">
        <is>
          <t>EntityTotalMember · 계</t>
        </is>
      </c>
      <c r="E188" s="20" t="n">
        <v>3652.502</v>
      </c>
      <c r="I188" s="20" t="n">
        <v>3719.887</v>
      </c>
      <c r="M188" s="20" t="n">
        <v>4184.198</v>
      </c>
    </row>
    <row r="189">
      <c r="A189" s="9" t="inlineStr">
        <is>
          <t>계</t>
        </is>
      </c>
      <c r="C189" s="12" t="n">
        <v>4272.208</v>
      </c>
      <c r="D189" s="12" t="n">
        <v>4005.42</v>
      </c>
      <c r="E189" s="12" t="n">
        <v>3652.502</v>
      </c>
      <c r="F189" s="12" t="n">
        <v>3711.708</v>
      </c>
      <c r="G189" s="12" t="n">
        <v>4130.223</v>
      </c>
      <c r="H189" s="12" t="n">
        <v>4213.19</v>
      </c>
      <c r="V189" s="12" t="n">
        <v>4005.42</v>
      </c>
      <c r="W189" s="12" t="n">
        <v>4213.19</v>
      </c>
    </row>
    <row r="190">
      <c r="A190" s="43" t="inlineStr">
        <is>
          <t>YoY</t>
        </is>
      </c>
      <c r="B190" s="3" t="inlineStr">
        <is>
          <t>전년 같은 분기·전년 대비</t>
        </is>
      </c>
      <c r="G190" s="15">
        <f>IF(OR(G189="",C189=""),"",IF(C189&lt;=0,"",IFERROR(G189/C189-1,"")))</f>
        <v/>
      </c>
      <c r="H190" s="15">
        <f>IF(OR(H189="",D189=""),"",IF(D189&lt;=0,"",IFERROR(H189/D189-1,"")))</f>
        <v/>
      </c>
      <c r="V190" s="15">
        <f>IF(OR(V189="",U189=""),"",IF(U189&lt;=0,"",IFERROR(V189/U189-1,"")))</f>
        <v/>
      </c>
      <c r="W190" s="15">
        <f>IF(OR(W189="",V189=""),"",IF(V189&lt;=0,"",IFERROR(W189/V189-1,"")))</f>
        <v/>
      </c>
    </row>
    <row r="191">
      <c r="A191" s="18" t="inlineStr">
        <is>
          <t>BentoniteDivisionReportableSegmentMember · 부문 이익</t>
        </is>
      </c>
      <c r="C191" s="20" t="n">
        <v>395.31</v>
      </c>
      <c r="D191" s="20" t="n">
        <v>265.032</v>
      </c>
      <c r="E191" s="20" t="n">
        <v>286.051</v>
      </c>
      <c r="F191" s="20" t="n">
        <v>255.121</v>
      </c>
      <c r="G191" s="20" t="n">
        <v>267.034</v>
      </c>
      <c r="H191" s="20" t="n">
        <v>266.556</v>
      </c>
      <c r="I191" s="20" t="n">
        <v>308.07</v>
      </c>
      <c r="J191" s="20" t="n">
        <v>360.219</v>
      </c>
      <c r="K191" s="20" t="n">
        <v>346.129</v>
      </c>
      <c r="L191" s="20" t="n">
        <v>274.698</v>
      </c>
      <c r="M191" s="20" t="n">
        <v>306.422</v>
      </c>
      <c r="N191" s="20" t="n">
        <v>251.371</v>
      </c>
      <c r="V191" s="20" t="n">
        <v>265.032</v>
      </c>
      <c r="W191" s="20" t="n">
        <v>266.556</v>
      </c>
      <c r="X191" s="20" t="n">
        <v>274.698</v>
      </c>
    </row>
    <row r="192">
      <c r="A192" s="43" t="inlineStr">
        <is>
          <t>OPM</t>
        </is>
      </c>
      <c r="B192" s="3" t="inlineStr">
        <is>
          <t>영업이익 ÷ 매출</t>
        </is>
      </c>
      <c r="C192" s="15">
        <f>IF(OR(C191="",C179=""),"",IF(C179&lt;=0,"",IFERROR(C191/C179,"")))</f>
        <v/>
      </c>
      <c r="D192" s="15">
        <f>IF(OR(D191="",D179=""),"",IF(D179&lt;=0,"",IFERROR(D191/D179,"")))</f>
        <v/>
      </c>
      <c r="E192" s="15">
        <f>IF(OR(E191="",E179=""),"",IF(E179&lt;=0,"",IFERROR(E191/E179,"")))</f>
        <v/>
      </c>
      <c r="F192" s="15">
        <f>IF(OR(F191="",F179=""),"",IF(F179&lt;=0,"",IFERROR(F191/F179,"")))</f>
        <v/>
      </c>
      <c r="G192" s="15">
        <f>IF(OR(G191="",G179=""),"",IF(G179&lt;=0,"",IFERROR(G191/G179,"")))</f>
        <v/>
      </c>
      <c r="H192" s="15">
        <f>IF(OR(H191="",H179=""),"",IF(H179&lt;=0,"",IFERROR(H191/H179,"")))</f>
        <v/>
      </c>
      <c r="I192" s="15">
        <f>IF(OR(I191="",I179=""),"",IF(I179&lt;=0,"",IFERROR(I191/I179,"")))</f>
        <v/>
      </c>
      <c r="J192" s="15">
        <f>IF(OR(J191="",J179=""),"",IF(J179&lt;=0,"",IFERROR(J191/J179,"")))</f>
        <v/>
      </c>
      <c r="K192" s="15">
        <f>IF(OR(K191="",K179=""),"",IF(K179&lt;=0,"",IFERROR(K191/K179,"")))</f>
        <v/>
      </c>
      <c r="L192" s="15">
        <f>IF(OR(L191="",L179=""),"",IF(L179&lt;=0,"",IFERROR(L191/L179,"")))</f>
        <v/>
      </c>
      <c r="M192" s="15">
        <f>IF(OR(M191="",M179=""),"",IF(M179&lt;=0,"",IFERROR(M191/M179,"")))</f>
        <v/>
      </c>
      <c r="N192" s="15">
        <f>IF(OR(N191="",N179=""),"",IF(N179&lt;=0,"",IFERROR(N191/N179,"")))</f>
        <v/>
      </c>
      <c r="V192" s="15">
        <f>IF(OR(V191="",V179=""),"",IF(V179&lt;=0,"",IFERROR(V191/V179,"")))</f>
        <v/>
      </c>
      <c r="W192" s="15">
        <f>IF(OR(W191="",W179=""),"",IF(W179&lt;=0,"",IFERROR(W191/W179,"")))</f>
        <v/>
      </c>
      <c r="X192" s="15">
        <f>IF(OR(X191="",X179=""),"",IF(X179&lt;=0,"",IFERROR(X191/X179,"")))</f>
        <v/>
      </c>
    </row>
    <row r="193">
      <c r="A193" s="43" t="inlineStr">
        <is>
          <t>YoY</t>
        </is>
      </c>
      <c r="B193" s="3" t="inlineStr">
        <is>
          <t>전년 같은 분기·전년 대비</t>
        </is>
      </c>
      <c r="G193" s="15">
        <f>IF(OR(G191="",C191=""),"",IF(C191&lt;=0,"",IFERROR(G191/C191-1,"")))</f>
        <v/>
      </c>
      <c r="H193" s="15">
        <f>IF(OR(H191="",D191=""),"",IF(D191&lt;=0,"",IFERROR(H191/D191-1,"")))</f>
        <v/>
      </c>
      <c r="I193" s="15">
        <f>IF(OR(I191="",E191=""),"",IF(E191&lt;=0,"",IFERROR(I191/E191-1,"")))</f>
        <v/>
      </c>
      <c r="J193" s="15">
        <f>IF(OR(J191="",F191=""),"",IF(F191&lt;=0,"",IFERROR(J191/F191-1,"")))</f>
        <v/>
      </c>
      <c r="K193" s="15">
        <f>IF(OR(K191="",G191=""),"",IF(G191&lt;=0,"",IFERROR(K191/G191-1,"")))</f>
        <v/>
      </c>
      <c r="L193" s="15">
        <f>IF(OR(L191="",H191=""),"",IF(H191&lt;=0,"",IFERROR(L191/H191-1,"")))</f>
        <v/>
      </c>
      <c r="M193" s="15">
        <f>IF(OR(M191="",I191=""),"",IF(I191&lt;=0,"",IFERROR(M191/I191-1,"")))</f>
        <v/>
      </c>
      <c r="N193" s="15">
        <f>IF(OR(N191="",J191=""),"",IF(J191&lt;=0,"",IFERROR(N191/J191-1,"")))</f>
        <v/>
      </c>
      <c r="V193" s="15">
        <f>IF(OR(V191="",U191=""),"",IF(U191&lt;=0,"",IFERROR(V191/U191-1,"")))</f>
        <v/>
      </c>
      <c r="W193" s="15">
        <f>IF(OR(W191="",V191=""),"",IF(V191&lt;=0,"",IFERROR(W191/V191-1,"")))</f>
        <v/>
      </c>
      <c r="X193" s="15">
        <f>IF(OR(X191="",W191=""),"",IF(W191&lt;=0,"",IFERROR(X191/W191-1,"")))</f>
        <v/>
      </c>
    </row>
    <row r="194">
      <c r="A194" s="18" t="inlineStr">
        <is>
          <t>ClayscienceDivisionReportableSegmentMember · 부문 이익(손실)</t>
        </is>
      </c>
      <c r="D194" s="20" t="n">
        <v>67.934</v>
      </c>
      <c r="E194" s="20" t="n">
        <v>102.809</v>
      </c>
      <c r="H194" s="20" t="n">
        <v>-23.855</v>
      </c>
      <c r="I194" s="20" t="n">
        <v>37.066</v>
      </c>
      <c r="L194" s="20" t="n">
        <v>19.622</v>
      </c>
      <c r="M194" s="20" t="n">
        <v>85.05500000000001</v>
      </c>
      <c r="V194" s="20" t="n">
        <v>67.934</v>
      </c>
      <c r="W194" s="20" t="n">
        <v>-23.855</v>
      </c>
      <c r="X194" s="20" t="n">
        <v>19.622</v>
      </c>
    </row>
    <row r="195">
      <c r="A195" s="43" t="inlineStr">
        <is>
          <t>OPM</t>
        </is>
      </c>
      <c r="B195" s="3" t="inlineStr">
        <is>
          <t>영업이익 ÷ 매출</t>
        </is>
      </c>
      <c r="D195" s="15">
        <f>IF(OR(D194="",D181=""),"",IF(D181&lt;=0,"",IFERROR(D194/D181,"")))</f>
        <v/>
      </c>
      <c r="E195" s="15">
        <f>IF(OR(E194="",E181=""),"",IF(E181&lt;=0,"",IFERROR(E194/E181,"")))</f>
        <v/>
      </c>
      <c r="H195" s="15">
        <f>IF(OR(H194="",H181=""),"",IF(H181&lt;=0,"",IFERROR(H194/H181,"")))</f>
        <v/>
      </c>
      <c r="I195" s="15">
        <f>IF(OR(I194="",I181=""),"",IF(I181&lt;=0,"",IFERROR(I194/I181,"")))</f>
        <v/>
      </c>
      <c r="L195" s="15">
        <f>IF(OR(L194="",L181=""),"",IF(L181&lt;=0,"",IFERROR(L194/L181,"")))</f>
        <v/>
      </c>
      <c r="M195" s="15">
        <f>IF(OR(M194="",M181=""),"",IF(M181&lt;=0,"",IFERROR(M194/M181,"")))</f>
        <v/>
      </c>
      <c r="V195" s="15">
        <f>IF(OR(V194="",V181=""),"",IF(V181&lt;=0,"",IFERROR(V194/V181,"")))</f>
        <v/>
      </c>
      <c r="W195" s="15">
        <f>IF(OR(W194="",W181=""),"",IF(W181&lt;=0,"",IFERROR(W194/W181,"")))</f>
        <v/>
      </c>
      <c r="X195" s="15">
        <f>IF(OR(X194="",X181=""),"",IF(X181&lt;=0,"",IFERROR(X194/X181,"")))</f>
        <v/>
      </c>
    </row>
    <row r="196">
      <c r="A196" s="43" t="inlineStr">
        <is>
          <t>YoY</t>
        </is>
      </c>
      <c r="B196" s="3" t="inlineStr">
        <is>
          <t>전년 같은 분기·전년 대비</t>
        </is>
      </c>
      <c r="H196" s="15">
        <f>IF(OR(H194="",D194=""),"",IF(D194&lt;=0,"",IFERROR(H194/D194-1,"")))</f>
        <v/>
      </c>
      <c r="I196" s="15">
        <f>IF(OR(I194="",E194=""),"",IF(E194&lt;=0,"",IFERROR(I194/E194-1,"")))</f>
        <v/>
      </c>
      <c r="L196" s="15">
        <f>IF(OR(L194="",H194=""),"",IF(H194&lt;=0,"",IFERROR(L194/H194-1,"")))</f>
        <v/>
      </c>
      <c r="M196" s="15">
        <f>IF(OR(M194="",I194=""),"",IF(I194&lt;=0,"",IFERROR(M194/I194-1,"")))</f>
        <v/>
      </c>
      <c r="V196" s="15">
        <f>IF(OR(V194="",U194=""),"",IF(U194&lt;=0,"",IFERROR(V194/U194-1,"")))</f>
        <v/>
      </c>
      <c r="W196" s="15">
        <f>IF(OR(W194="",V194=""),"",IF(V194&lt;=0,"",IFERROR(W194/V194-1,"")))</f>
        <v/>
      </c>
      <c r="X196" s="15">
        <f>IF(OR(X194="",W194=""),"",IF(W194&lt;=0,"",IFERROR(X194/W194-1,"")))</f>
        <v/>
      </c>
    </row>
    <row r="197">
      <c r="A197" s="18" t="inlineStr">
        <is>
          <t>AgricultureDivisionReportableSegmentMember · 부문 이익</t>
        </is>
      </c>
      <c r="C197" s="20" t="n">
        <v>233.899</v>
      </c>
      <c r="D197" s="20" t="n">
        <v>259.841</v>
      </c>
      <c r="E197" s="20" t="n">
        <v>-58.78</v>
      </c>
      <c r="F197" s="20" t="n">
        <v>40.47</v>
      </c>
      <c r="G197" s="20" t="n">
        <v>199.862</v>
      </c>
      <c r="H197" s="20" t="n">
        <v>371.531</v>
      </c>
      <c r="I197" s="20" t="n">
        <v>-12.775</v>
      </c>
      <c r="J197" s="20" t="n">
        <v>45.361</v>
      </c>
      <c r="K197" s="20" t="n">
        <v>339.471</v>
      </c>
      <c r="L197" s="20" t="n">
        <v>457.394</v>
      </c>
      <c r="M197" s="20" t="n">
        <v>84.355</v>
      </c>
      <c r="N197" s="20" t="n">
        <v>215.072</v>
      </c>
      <c r="V197" s="20" t="n">
        <v>259.841</v>
      </c>
      <c r="W197" s="20" t="n">
        <v>371.531</v>
      </c>
      <c r="X197" s="20" t="n">
        <v>457.394</v>
      </c>
    </row>
    <row r="198">
      <c r="A198" s="43" t="inlineStr">
        <is>
          <t>OPM</t>
        </is>
      </c>
      <c r="B198" s="3" t="inlineStr">
        <is>
          <t>영업이익 ÷ 매출</t>
        </is>
      </c>
      <c r="C198" s="15">
        <f>IF(OR(C197="",C183=""),"",IF(C183&lt;=0,"",IFERROR(C197/C183,"")))</f>
        <v/>
      </c>
      <c r="D198" s="15">
        <f>IF(OR(D197="",D183=""),"",IF(D183&lt;=0,"",IFERROR(D197/D183,"")))</f>
        <v/>
      </c>
      <c r="E198" s="15">
        <f>IF(OR(E197="",E183=""),"",IF(E183&lt;=0,"",IFERROR(E197/E183,"")))</f>
        <v/>
      </c>
      <c r="F198" s="15">
        <f>IF(OR(F197="",F183=""),"",IF(F183&lt;=0,"",IFERROR(F197/F183,"")))</f>
        <v/>
      </c>
      <c r="G198" s="15">
        <f>IF(OR(G197="",G183=""),"",IF(G183&lt;=0,"",IFERROR(G197/G183,"")))</f>
        <v/>
      </c>
      <c r="H198" s="15">
        <f>IF(OR(H197="",H183=""),"",IF(H183&lt;=0,"",IFERROR(H197/H183,"")))</f>
        <v/>
      </c>
      <c r="I198" s="15">
        <f>IF(OR(I197="",I183=""),"",IF(I183&lt;=0,"",IFERROR(I197/I183,"")))</f>
        <v/>
      </c>
      <c r="J198" s="15">
        <f>IF(OR(J197="",J183=""),"",IF(J183&lt;=0,"",IFERROR(J197/J183,"")))</f>
        <v/>
      </c>
      <c r="K198" s="15">
        <f>IF(OR(K197="",K183=""),"",IF(K183&lt;=0,"",IFERROR(K197/K183,"")))</f>
        <v/>
      </c>
      <c r="L198" s="15">
        <f>IF(OR(L197="",L183=""),"",IF(L183&lt;=0,"",IFERROR(L197/L183,"")))</f>
        <v/>
      </c>
      <c r="M198" s="15">
        <f>IF(OR(M197="",M183=""),"",IF(M183&lt;=0,"",IFERROR(M197/M183,"")))</f>
        <v/>
      </c>
      <c r="N198" s="15">
        <f>IF(OR(N197="",N183=""),"",IF(N183&lt;=0,"",IFERROR(N197/N183,"")))</f>
        <v/>
      </c>
      <c r="V198" s="15">
        <f>IF(OR(V197="",V183=""),"",IF(V183&lt;=0,"",IFERROR(V197/V183,"")))</f>
        <v/>
      </c>
      <c r="W198" s="15">
        <f>IF(OR(W197="",W183=""),"",IF(W183&lt;=0,"",IFERROR(W197/W183,"")))</f>
        <v/>
      </c>
      <c r="X198" s="15">
        <f>IF(OR(X197="",X183=""),"",IF(X183&lt;=0,"",IFERROR(X197/X183,"")))</f>
        <v/>
      </c>
    </row>
    <row r="199">
      <c r="A199" s="43" t="inlineStr">
        <is>
          <t>YoY</t>
        </is>
      </c>
      <c r="B199" s="3" t="inlineStr">
        <is>
          <t>전년 같은 분기·전년 대비</t>
        </is>
      </c>
      <c r="G199" s="15">
        <f>IF(OR(G197="",C197=""),"",IF(C197&lt;=0,"",IFERROR(G197/C197-1,"")))</f>
        <v/>
      </c>
      <c r="H199" s="15">
        <f>IF(OR(H197="",D197=""),"",IF(D197&lt;=0,"",IFERROR(H197/D197-1,"")))</f>
        <v/>
      </c>
      <c r="I199" s="15">
        <f>IF(OR(I197="",E197=""),"",IF(E197&lt;=0,"",IFERROR(I197/E197-1,"")))</f>
        <v/>
      </c>
      <c r="J199" s="15">
        <f>IF(OR(J197="",F197=""),"",IF(F197&lt;=0,"",IFERROR(J197/F197-1,"")))</f>
        <v/>
      </c>
      <c r="K199" s="15">
        <f>IF(OR(K197="",G197=""),"",IF(G197&lt;=0,"",IFERROR(K197/G197-1,"")))</f>
        <v/>
      </c>
      <c r="L199" s="15">
        <f>IF(OR(L197="",H197=""),"",IF(H197&lt;=0,"",IFERROR(L197/H197-1,"")))</f>
        <v/>
      </c>
      <c r="M199" s="15">
        <f>IF(OR(M197="",I197=""),"",IF(I197&lt;=0,"",IFERROR(M197/I197-1,"")))</f>
        <v/>
      </c>
      <c r="N199" s="15">
        <f>IF(OR(N197="",J197=""),"",IF(J197&lt;=0,"",IFERROR(N197/J197-1,"")))</f>
        <v/>
      </c>
      <c r="V199" s="15">
        <f>IF(OR(V197="",U197=""),"",IF(U197&lt;=0,"",IFERROR(V197/U197-1,"")))</f>
        <v/>
      </c>
      <c r="W199" s="15">
        <f>IF(OR(W197="",V197=""),"",IF(V197&lt;=0,"",IFERROR(W197/V197-1,"")))</f>
        <v/>
      </c>
      <c r="X199" s="15">
        <f>IF(OR(X197="",W197=""),"",IF(W197&lt;=0,"",IFERROR(X197/W197-1,"")))</f>
        <v/>
      </c>
    </row>
    <row r="200">
      <c r="A200" s="18" t="inlineStr">
        <is>
          <t>보고부문 합계 · 부문 이익</t>
        </is>
      </c>
      <c r="C200" s="20" t="n">
        <v>627.717</v>
      </c>
      <c r="E200" s="20" t="n">
        <v>330.08</v>
      </c>
      <c r="F200" s="20" t="n">
        <v>386.435</v>
      </c>
      <c r="G200" s="20" t="n">
        <v>478.983</v>
      </c>
      <c r="I200" s="20" t="n">
        <v>332.361</v>
      </c>
      <c r="J200" s="20" t="n">
        <v>449.608</v>
      </c>
      <c r="K200" s="20" t="n">
        <v>752.4</v>
      </c>
      <c r="M200" s="20" t="n">
        <v>475.833</v>
      </c>
      <c r="N200" s="20" t="n">
        <v>576.4640000000001</v>
      </c>
    </row>
    <row r="201">
      <c r="A201" s="43" t="inlineStr">
        <is>
          <t>OPM</t>
        </is>
      </c>
      <c r="B201" s="3" t="inlineStr">
        <is>
          <t>영업이익 ÷ 매출</t>
        </is>
      </c>
      <c r="C201" s="15">
        <f>IF(OR(C200="",C185=""),"",IF(C185&lt;=0,"",IFERROR(C200/C185,"")))</f>
        <v/>
      </c>
      <c r="E201" s="15">
        <f>IF(OR(E200="",E185=""),"",IF(E185&lt;=0,"",IFERROR(E200/E185,"")))</f>
        <v/>
      </c>
      <c r="F201" s="15">
        <f>IF(OR(F200="",F185=""),"",IF(F185&lt;=0,"",IFERROR(F200/F185,"")))</f>
        <v/>
      </c>
      <c r="G201" s="15">
        <f>IF(OR(G200="",G185=""),"",IF(G185&lt;=0,"",IFERROR(G200/G185,"")))</f>
        <v/>
      </c>
      <c r="I201" s="15">
        <f>IF(OR(I200="",I185=""),"",IF(I185&lt;=0,"",IFERROR(I200/I185,"")))</f>
        <v/>
      </c>
      <c r="J201" s="15">
        <f>IF(OR(J200="",J185=""),"",IF(J185&lt;=0,"",IFERROR(J200/J185,"")))</f>
        <v/>
      </c>
      <c r="K201" s="15">
        <f>IF(OR(K200="",K185=""),"",IF(K185&lt;=0,"",IFERROR(K200/K185,"")))</f>
        <v/>
      </c>
      <c r="M201" s="15">
        <f>IF(OR(M200="",M185=""),"",IF(M185&lt;=0,"",IFERROR(M200/M185,"")))</f>
        <v/>
      </c>
      <c r="N201" s="15">
        <f>IF(OR(N200="",N185=""),"",IF(N185&lt;=0,"",IFERROR(N200/N185,"")))</f>
        <v/>
      </c>
    </row>
    <row r="202">
      <c r="A202" s="43" t="inlineStr">
        <is>
          <t>YoY</t>
        </is>
      </c>
      <c r="B202" s="3" t="inlineStr">
        <is>
          <t>전년 같은 분기·전년 대비</t>
        </is>
      </c>
      <c r="G202" s="15">
        <f>IF(OR(G200="",C200=""),"",IF(C200&lt;=0,"",IFERROR(G200/C200-1,"")))</f>
        <v/>
      </c>
      <c r="I202" s="15">
        <f>IF(OR(I200="",E200=""),"",IF(E200&lt;=0,"",IFERROR(I200/E200-1,"")))</f>
        <v/>
      </c>
      <c r="J202" s="15">
        <f>IF(OR(J200="",F200=""),"",IF(F200&lt;=0,"",IFERROR(J200/F200-1,"")))</f>
        <v/>
      </c>
      <c r="K202" s="15">
        <f>IF(OR(K200="",G200=""),"",IF(G200&lt;=0,"",IFERROR(K200/G200-1,"")))</f>
        <v/>
      </c>
      <c r="M202" s="15">
        <f>IF(OR(M200="",I200=""),"",IF(I200&lt;=0,"",IFERROR(M200/I200-1,"")))</f>
        <v/>
      </c>
      <c r="N202" s="15">
        <f>IF(OR(N200="",J200=""),"",IF(J200&lt;=0,"",IFERROR(N200/J200-1,"")))</f>
        <v/>
      </c>
    </row>
    <row r="203">
      <c r="A203" s="18" t="inlineStr">
        <is>
          <t>조정액 · 부문 이익</t>
        </is>
      </c>
      <c r="C203" s="20" t="n">
        <v>-199.196</v>
      </c>
      <c r="D203" s="20" t="n">
        <v>-200.912</v>
      </c>
      <c r="E203" s="20" t="n">
        <v>-134.015</v>
      </c>
      <c r="F203" s="20" t="n">
        <v>-120.827</v>
      </c>
      <c r="G203" s="20" t="n">
        <v>-93.55</v>
      </c>
      <c r="H203" s="20" t="n">
        <v>-180.632</v>
      </c>
      <c r="I203" s="20" t="n">
        <v>-99.087</v>
      </c>
      <c r="J203" s="20" t="n">
        <v>-221.845</v>
      </c>
      <c r="K203" s="20" t="n">
        <v>-204.569</v>
      </c>
      <c r="L203" s="20" t="n">
        <v>-158.32</v>
      </c>
      <c r="M203" s="20" t="n">
        <v>-115.457</v>
      </c>
      <c r="N203" s="20" t="n">
        <v>-168.05</v>
      </c>
      <c r="V203" s="20" t="n">
        <v>-200.912</v>
      </c>
      <c r="W203" s="20" t="n">
        <v>-180.632</v>
      </c>
      <c r="X203" s="20" t="n">
        <v>-158.32</v>
      </c>
    </row>
    <row r="204">
      <c r="A204" s="18" t="inlineStr">
        <is>
          <t>EntityTotalMember · 부문 이익(손실)</t>
        </is>
      </c>
      <c r="E204" s="20" t="n">
        <v>196.064</v>
      </c>
      <c r="I204" s="20" t="n">
        <v>233.274</v>
      </c>
      <c r="M204" s="20" t="n">
        <v>360.376</v>
      </c>
    </row>
    <row r="205">
      <c r="A205" s="9" t="inlineStr">
        <is>
          <t>부문 이익</t>
        </is>
      </c>
      <c r="C205" s="12" t="n">
        <v>428.521</v>
      </c>
      <c r="D205" s="12" t="n">
        <v>391.896</v>
      </c>
      <c r="E205" s="12" t="n">
        <v>196.064</v>
      </c>
      <c r="F205" s="12" t="n">
        <v>265.609</v>
      </c>
      <c r="G205" s="12" t="n">
        <v>385.432</v>
      </c>
      <c r="H205" s="12" t="n">
        <v>433.599</v>
      </c>
      <c r="V205" s="12" t="n">
        <v>391.896</v>
      </c>
      <c r="W205" s="12" t="n">
        <v>433.599</v>
      </c>
    </row>
    <row r="206">
      <c r="A206" s="43" t="inlineStr">
        <is>
          <t>OPM</t>
        </is>
      </c>
      <c r="B206" s="3" t="inlineStr">
        <is>
          <t>영업이익 ÷ 매출</t>
        </is>
      </c>
      <c r="C206" s="15">
        <f>IF(OR(C205="",C170=""),"",IF(C170&lt;=0,"",IFERROR(C205/C170,"")))</f>
        <v/>
      </c>
      <c r="D206" s="15">
        <f>IF(OR(D205="",D170=""),"",IF(D170&lt;=0,"",IFERROR(D205/D170,"")))</f>
        <v/>
      </c>
      <c r="E206" s="15">
        <f>IF(OR(E205="",E170=""),"",IF(E170&lt;=0,"",IFERROR(E205/E170,"")))</f>
        <v/>
      </c>
      <c r="F206" s="15">
        <f>IF(OR(F205="",F170=""),"",IF(F170&lt;=0,"",IFERROR(F205/F170,"")))</f>
        <v/>
      </c>
      <c r="G206" s="15">
        <f>IF(OR(G205="",G170=""),"",IF(G170&lt;=0,"",IFERROR(G205/G170,"")))</f>
        <v/>
      </c>
      <c r="H206" s="15">
        <f>IF(OR(H205="",H170=""),"",IF(H170&lt;=0,"",IFERROR(H205/H170,"")))</f>
        <v/>
      </c>
      <c r="V206" s="15">
        <f>IF(OR(V205="",V170=""),"",IF(V170&lt;=0,"",IFERROR(V205/V170,"")))</f>
        <v/>
      </c>
      <c r="W206" s="15">
        <f>IF(OR(W205="",W170=""),"",IF(W170&lt;=0,"",IFERROR(W205/W170,"")))</f>
        <v/>
      </c>
    </row>
    <row r="207">
      <c r="A207" s="43" t="inlineStr">
        <is>
          <t>YoY</t>
        </is>
      </c>
      <c r="B207" s="3" t="inlineStr">
        <is>
          <t>전년 같은 분기·전년 대비</t>
        </is>
      </c>
      <c r="G207" s="15">
        <f>IF(OR(G205="",C205=""),"",IF(C205&lt;=0,"",IFERROR(G205/C205-1,"")))</f>
        <v/>
      </c>
      <c r="H207" s="15">
        <f>IF(OR(H205="",D205=""),"",IF(D205&lt;=0,"",IFERROR(H205/D205-1,"")))</f>
        <v/>
      </c>
      <c r="V207" s="15">
        <f>IF(OR(V205="",U205=""),"",IF(U205&lt;=0,"",IFERROR(V205/U205-1,"")))</f>
        <v/>
      </c>
      <c r="W207" s="15">
        <f>IF(OR(W205="",V205=""),"",IF(V205&lt;=0,"",IFERROR(W205/V205-1,"")))</f>
        <v/>
      </c>
    </row>
    <row r="209">
      <c r="A209" s="16" t="inlineStr">
        <is>
          <t>현금흐름표 · 전 항목</t>
        </is>
      </c>
      <c r="B209" s="42" t="inlineStr">
        <is>
          <t>분기 = 결산기 첫날부터 누계(공시 그대로)</t>
        </is>
      </c>
      <c r="C209" s="16" t="n"/>
      <c r="D209" s="16" t="n"/>
      <c r="E209" s="16" t="n"/>
      <c r="F209" s="16" t="n"/>
      <c r="G209" s="16" t="n"/>
      <c r="H209" s="16" t="n"/>
      <c r="I209" s="16" t="n"/>
      <c r="J209" s="16" t="n"/>
      <c r="K209" s="16" t="n"/>
      <c r="L209" s="16" t="n"/>
      <c r="M209" s="16" t="n"/>
      <c r="N209" s="16" t="n"/>
      <c r="O209" s="16" t="n"/>
      <c r="P209" s="16" t="n"/>
      <c r="Q209" s="16" t="n"/>
      <c r="R209" s="16" t="n"/>
      <c r="S209" s="16" t="n"/>
      <c r="T209" s="16" t="n"/>
      <c r="U209" s="16" t="n"/>
      <c r="V209" s="16" t="n"/>
      <c r="W209" s="16" t="n"/>
      <c r="X209" s="16" t="n"/>
      <c r="Y209" s="16" t="n"/>
      <c r="Z209" s="16" t="n"/>
      <c r="AA209" s="16" t="n"/>
      <c r="AB209" s="16" t="n"/>
      <c r="AC209" s="16" t="n"/>
    </row>
    <row r="210">
      <c r="A210" s="5" t="inlineStr">
        <is>
          <t>항목</t>
        </is>
      </c>
      <c r="B210" s="5" t="inlineStr">
        <is>
          <t>참고</t>
        </is>
      </c>
      <c r="C210" s="5" t="inlineStr">
        <is>
          <t>2024.3Q</t>
        </is>
      </c>
      <c r="D210" s="5" t="inlineStr">
        <is>
          <t>2024.4Q</t>
        </is>
      </c>
      <c r="E210" s="5" t="inlineStr">
        <is>
          <t>2025.1Q</t>
        </is>
      </c>
      <c r="F210" s="5" t="inlineStr">
        <is>
          <t>2025.2Q</t>
        </is>
      </c>
      <c r="G210" s="5" t="inlineStr">
        <is>
          <t>2025.3Q</t>
        </is>
      </c>
      <c r="H210" s="5" t="inlineStr">
        <is>
          <t>2025.4Q</t>
        </is>
      </c>
      <c r="I210" s="5" t="inlineStr">
        <is>
          <t>2026.1Q</t>
        </is>
      </c>
      <c r="J210" s="5" t="inlineStr">
        <is>
          <t>2026.2Q</t>
        </is>
      </c>
      <c r="K210" s="5" t="inlineStr">
        <is>
          <t>2026.3Q</t>
        </is>
      </c>
      <c r="L210" s="5" t="inlineStr">
        <is>
          <t>2026.4Q</t>
        </is>
      </c>
      <c r="M210" s="5" t="inlineStr">
        <is>
          <t>2027.1Q</t>
        </is>
      </c>
      <c r="N210" s="5" t="inlineStr">
        <is>
          <t>2027.2Q</t>
        </is>
      </c>
      <c r="O210" s="5" t="inlineStr">
        <is>
          <t>2017</t>
        </is>
      </c>
      <c r="P210" s="5" t="inlineStr">
        <is>
          <t>2018</t>
        </is>
      </c>
      <c r="Q210" s="5" t="inlineStr">
        <is>
          <t>2019</t>
        </is>
      </c>
      <c r="R210" s="5" t="inlineStr">
        <is>
          <t>2020</t>
        </is>
      </c>
      <c r="S210" s="5" t="inlineStr">
        <is>
          <t>2021</t>
        </is>
      </c>
      <c r="T210" s="5" t="inlineStr">
        <is>
          <t>2022</t>
        </is>
      </c>
      <c r="U210" s="5" t="inlineStr">
        <is>
          <t>2023</t>
        </is>
      </c>
      <c r="V210" s="5" t="inlineStr">
        <is>
          <t>2024</t>
        </is>
      </c>
      <c r="W210" s="5" t="inlineStr">
        <is>
          <t>2025</t>
        </is>
      </c>
      <c r="X210" s="5" t="inlineStr">
        <is>
          <t>2026</t>
        </is>
      </c>
      <c r="Y210" s="5" t="inlineStr">
        <is>
          <t>2027(MW)</t>
        </is>
      </c>
      <c r="Z210" s="5" t="inlineStr">
        <is>
          <t>2028(MW)</t>
        </is>
      </c>
      <c r="AA210" s="5" t="inlineStr">
        <is>
          <t>2029(MW)</t>
        </is>
      </c>
      <c r="AB210" s="5" t="inlineStr">
        <is>
          <t>2030(MW)</t>
        </is>
      </c>
      <c r="AC210" s="5" t="inlineStr">
        <is>
          <t>2031(MW)</t>
        </is>
      </c>
    </row>
    <row r="211">
      <c r="A211" s="9" t="inlineStr">
        <is>
          <t>법인세차감전 순이익</t>
        </is>
      </c>
      <c r="D211" s="12" t="n">
        <v>1563.849</v>
      </c>
      <c r="H211" s="12" t="n">
        <v>1699.98</v>
      </c>
      <c r="L211" s="12" t="n">
        <v>2048.202</v>
      </c>
      <c r="O211" s="12" t="n">
        <v>1702.992</v>
      </c>
      <c r="P211" s="12" t="n">
        <v>1914.053</v>
      </c>
      <c r="Q211" s="12" t="n">
        <v>1806.843</v>
      </c>
      <c r="R211" s="12" t="n">
        <v>2248.201</v>
      </c>
      <c r="S211" s="12" t="n">
        <v>2431.023</v>
      </c>
      <c r="T211" s="12" t="n">
        <v>1891.497</v>
      </c>
      <c r="U211" s="12" t="n">
        <v>1352.227</v>
      </c>
      <c r="V211" s="12" t="n">
        <v>1563.849</v>
      </c>
      <c r="W211" s="12" t="n">
        <v>1699.98</v>
      </c>
      <c r="X211" s="12" t="n">
        <v>2048.202</v>
      </c>
    </row>
    <row r="212">
      <c r="A212" s="18" t="inlineStr">
        <is>
          <t>감가상각비</t>
        </is>
      </c>
      <c r="D212" s="20" t="n">
        <v>884.144</v>
      </c>
      <c r="H212" s="20" t="n">
        <v>835.076</v>
      </c>
      <c r="L212" s="20" t="n">
        <v>898.298</v>
      </c>
      <c r="O212" s="20" t="n">
        <v>618.316</v>
      </c>
      <c r="P212" s="20" t="n">
        <v>664.332</v>
      </c>
      <c r="Q212" s="20" t="n">
        <v>703.796</v>
      </c>
      <c r="R212" s="20" t="n">
        <v>918.996</v>
      </c>
      <c r="S212" s="20" t="n">
        <v>866.546</v>
      </c>
      <c r="T212" s="20" t="n">
        <v>835.061</v>
      </c>
      <c r="U212" s="20" t="n">
        <v>846.212</v>
      </c>
      <c r="V212" s="20" t="n">
        <v>884.144</v>
      </c>
      <c r="W212" s="20" t="n">
        <v>835.076</v>
      </c>
      <c r="X212" s="20" t="n">
        <v>898.298</v>
      </c>
    </row>
    <row r="213">
      <c r="A213" s="18" t="inlineStr">
        <is>
          <t>상여충당금 증감</t>
        </is>
      </c>
      <c r="D213" s="20" t="n">
        <v>16.838</v>
      </c>
      <c r="H213" s="20" t="n">
        <v>-4.193</v>
      </c>
      <c r="L213" s="20" t="n">
        <v>3.93</v>
      </c>
      <c r="O213" s="20" t="n">
        <v>1.099</v>
      </c>
      <c r="P213" s="20" t="n">
        <v>-3.241</v>
      </c>
      <c r="Q213" s="20" t="n">
        <v>6.687</v>
      </c>
      <c r="R213" s="20" t="n">
        <v>12.134</v>
      </c>
      <c r="S213" s="20" t="n">
        <v>12.467</v>
      </c>
      <c r="T213" s="20" t="n">
        <v>-16.694</v>
      </c>
      <c r="U213" s="20" t="n">
        <v>-1.838</v>
      </c>
      <c r="V213" s="20" t="n">
        <v>16.838</v>
      </c>
      <c r="W213" s="20" t="n">
        <v>-4.193</v>
      </c>
      <c r="X213" s="20" t="n">
        <v>3.93</v>
      </c>
    </row>
    <row r="214">
      <c r="A214" s="18" t="inlineStr">
        <is>
          <t>대손충당금 증감</t>
        </is>
      </c>
      <c r="D214" s="20" t="n">
        <v>1.72</v>
      </c>
      <c r="H214" s="20" t="n">
        <v>0.886</v>
      </c>
      <c r="L214" s="20" t="n">
        <v>-2.581</v>
      </c>
      <c r="O214" s="20" t="n">
        <v>-1.383</v>
      </c>
      <c r="P214" s="20" t="n">
        <v>-0.08699999999999999</v>
      </c>
      <c r="Q214" s="20" t="n">
        <v>0</v>
      </c>
      <c r="T214" s="20" t="n">
        <v>0</v>
      </c>
      <c r="U214" s="20" t="n">
        <v>-0.027</v>
      </c>
      <c r="V214" s="20" t="n">
        <v>1.72</v>
      </c>
      <c r="W214" s="20" t="n">
        <v>0.886</v>
      </c>
      <c r="X214" s="20" t="n">
        <v>-2.581</v>
      </c>
    </row>
    <row r="215">
      <c r="A215" s="18" t="inlineStr">
        <is>
          <t>폐광 비용 충당금 증감액(△는 감소)</t>
        </is>
      </c>
      <c r="D215" s="20" t="n">
        <v>19.232</v>
      </c>
      <c r="H215" s="20" t="n">
        <v>16.801</v>
      </c>
      <c r="L215" s="20" t="n">
        <v>18.626</v>
      </c>
      <c r="O215" s="20" t="n">
        <v>9.004</v>
      </c>
      <c r="P215" s="20" t="n">
        <v>16.392</v>
      </c>
      <c r="Q215" s="20" t="n">
        <v>16.383</v>
      </c>
      <c r="R215" s="20" t="n">
        <v>15.914</v>
      </c>
      <c r="S215" s="20" t="n">
        <v>12.294</v>
      </c>
      <c r="T215" s="20" t="n">
        <v>16.485</v>
      </c>
      <c r="U215" s="20" t="n">
        <v>19.734</v>
      </c>
      <c r="V215" s="20" t="n">
        <v>19.232</v>
      </c>
      <c r="W215" s="20" t="n">
        <v>16.801</v>
      </c>
      <c r="X215" s="20" t="n">
        <v>18.626</v>
      </c>
    </row>
    <row r="216">
      <c r="A216" s="18" t="inlineStr">
        <is>
          <t>퇴직급여부채 증감</t>
        </is>
      </c>
      <c r="D216" s="20" t="n">
        <v>1.232</v>
      </c>
      <c r="H216" s="20" t="n">
        <v>2.046</v>
      </c>
      <c r="L216" s="20" t="n">
        <v>1.713</v>
      </c>
      <c r="O216" s="20" t="n">
        <v>1.302</v>
      </c>
      <c r="P216" s="20" t="n">
        <v>-0.29</v>
      </c>
      <c r="Q216" s="20" t="n">
        <v>-1.339</v>
      </c>
      <c r="R216" s="20" t="n">
        <v>-1.384</v>
      </c>
      <c r="S216" s="20" t="n">
        <v>3.566</v>
      </c>
      <c r="T216" s="20" t="n">
        <v>1.257</v>
      </c>
      <c r="U216" s="20" t="n">
        <v>1.004</v>
      </c>
      <c r="V216" s="20" t="n">
        <v>1.232</v>
      </c>
      <c r="W216" s="20" t="n">
        <v>2.046</v>
      </c>
      <c r="X216" s="20" t="n">
        <v>1.713</v>
      </c>
    </row>
    <row r="217">
      <c r="A217" s="18" t="inlineStr">
        <is>
          <t>이자·배당금 수익</t>
        </is>
      </c>
      <c r="D217" s="20" t="n">
        <v>-171.359</v>
      </c>
      <c r="H217" s="20" t="n">
        <v>-305.642</v>
      </c>
      <c r="L217" s="20" t="n">
        <v>-272.436</v>
      </c>
      <c r="O217" s="20" t="n">
        <v>-116.306</v>
      </c>
      <c r="P217" s="20" t="n">
        <v>-153.902</v>
      </c>
      <c r="Q217" s="20" t="n">
        <v>-160.131</v>
      </c>
      <c r="R217" s="20" t="n">
        <v>-149.705</v>
      </c>
      <c r="S217" s="20" t="n">
        <v>-144.855</v>
      </c>
      <c r="T217" s="20" t="n">
        <v>-172.897</v>
      </c>
      <c r="U217" s="20" t="n">
        <v>-215.712</v>
      </c>
      <c r="V217" s="20" t="n">
        <v>-171.359</v>
      </c>
      <c r="W217" s="20" t="n">
        <v>-305.642</v>
      </c>
      <c r="X217" s="20" t="n">
        <v>-272.436</v>
      </c>
    </row>
    <row r="218">
      <c r="A218" s="18" t="inlineStr">
        <is>
          <t>이자비용</t>
        </is>
      </c>
      <c r="D218" s="20" t="n">
        <v>3.852</v>
      </c>
      <c r="H218" s="20" t="n">
        <v>3.937</v>
      </c>
      <c r="L218" s="20" t="n">
        <v>3.903</v>
      </c>
      <c r="O218" s="20" t="n">
        <v>3.099</v>
      </c>
      <c r="P218" s="20" t="n">
        <v>3.695</v>
      </c>
      <c r="Q218" s="20" t="n">
        <v>3.628</v>
      </c>
      <c r="R218" s="20" t="n">
        <v>1.848</v>
      </c>
      <c r="S218" s="20" t="n">
        <v>5.046</v>
      </c>
      <c r="T218" s="20" t="n">
        <v>4.971</v>
      </c>
      <c r="U218" s="20" t="n">
        <v>2.538</v>
      </c>
      <c r="V218" s="20" t="n">
        <v>3.852</v>
      </c>
      <c r="W218" s="20" t="n">
        <v>3.937</v>
      </c>
      <c r="X218" s="20" t="n">
        <v>3.903</v>
      </c>
    </row>
    <row r="219">
      <c r="A219" s="18" t="inlineStr">
        <is>
          <t>외환차손익</t>
        </is>
      </c>
      <c r="D219" s="20" t="n">
        <v>-72.191</v>
      </c>
      <c r="H219" s="20" t="n">
        <v>-26.062</v>
      </c>
      <c r="L219" s="20" t="n">
        <v>-45.736</v>
      </c>
      <c r="O219" s="20" t="n">
        <v>-12.681</v>
      </c>
      <c r="P219" s="20" t="n">
        <v>13.989</v>
      </c>
      <c r="Q219" s="20" t="n">
        <v>-6.611</v>
      </c>
      <c r="R219" s="20" t="n">
        <v>2.449</v>
      </c>
      <c r="S219" s="20" t="n">
        <v>-3.381</v>
      </c>
      <c r="T219" s="20" t="n">
        <v>-24.572</v>
      </c>
      <c r="U219" s="20" t="n">
        <v>-74.30500000000001</v>
      </c>
      <c r="V219" s="20" t="n">
        <v>-72.191</v>
      </c>
      <c r="W219" s="20" t="n">
        <v>-26.062</v>
      </c>
      <c r="X219" s="20" t="n">
        <v>-45.736</v>
      </c>
    </row>
    <row r="220">
      <c r="A220" s="18" t="inlineStr">
        <is>
          <t>고정자산 매각손익</t>
        </is>
      </c>
      <c r="D220" s="20" t="n">
        <v>-9.704000000000001</v>
      </c>
      <c r="H220" s="20" t="n">
        <v>-0.01</v>
      </c>
      <c r="L220" s="20" t="n">
        <v>-2.368</v>
      </c>
      <c r="P220" s="20" t="n">
        <v>0</v>
      </c>
      <c r="Q220" s="20" t="n">
        <v>0.282</v>
      </c>
      <c r="R220" s="20" t="n">
        <v>-6.03</v>
      </c>
      <c r="S220" s="20" t="n">
        <v>-0.359</v>
      </c>
      <c r="T220" s="20" t="n">
        <v>0.725</v>
      </c>
      <c r="U220" s="20" t="n">
        <v>-6.513</v>
      </c>
      <c r="V220" s="20" t="n">
        <v>-9.704000000000001</v>
      </c>
      <c r="W220" s="20" t="n">
        <v>-0.01</v>
      </c>
      <c r="X220" s="20" t="n">
        <v>-2.368</v>
      </c>
    </row>
    <row r="221">
      <c r="A221" s="18" t="inlineStr">
        <is>
          <t>고정자산 제각손실</t>
        </is>
      </c>
      <c r="D221" s="20" t="n">
        <v>13.998</v>
      </c>
      <c r="H221" s="20" t="n">
        <v>17.866</v>
      </c>
      <c r="L221" s="20" t="n">
        <v>67.249</v>
      </c>
      <c r="O221" s="20" t="n">
        <v>25.451</v>
      </c>
      <c r="P221" s="20" t="n">
        <v>23.021</v>
      </c>
      <c r="Q221" s="20" t="n">
        <v>20.819</v>
      </c>
      <c r="R221" s="20" t="n">
        <v>27.512</v>
      </c>
      <c r="S221" s="20" t="n">
        <v>16.84</v>
      </c>
      <c r="T221" s="20" t="n">
        <v>11.992</v>
      </c>
      <c r="U221" s="20" t="n">
        <v>20.911</v>
      </c>
      <c r="V221" s="20" t="n">
        <v>13.998</v>
      </c>
      <c r="W221" s="20" t="n">
        <v>17.866</v>
      </c>
      <c r="X221" s="20" t="n">
        <v>67.249</v>
      </c>
    </row>
    <row r="222">
      <c r="A222" s="18" t="inlineStr">
        <is>
          <t>재해 손실</t>
        </is>
      </c>
      <c r="D222" s="20" t="n">
        <v>0</v>
      </c>
      <c r="R222" s="20" t="n">
        <v>0</v>
      </c>
      <c r="S222" s="20" t="n">
        <v>32.045</v>
      </c>
      <c r="T222" s="20" t="n">
        <v>9.433</v>
      </c>
      <c r="U222" s="20" t="n">
        <v>1.2</v>
      </c>
      <c r="V222" s="20" t="n">
        <v>0</v>
      </c>
    </row>
    <row r="223">
      <c r="A223" s="18" t="inlineStr">
        <is>
          <t>투자유가증권 매각손익</t>
        </is>
      </c>
      <c r="D223" s="20" t="n">
        <v>0</v>
      </c>
      <c r="H223" s="20" t="n">
        <v>-152.148</v>
      </c>
      <c r="L223" s="20" t="n">
        <v>-183.243</v>
      </c>
      <c r="Q223" s="20" t="n">
        <v>0</v>
      </c>
      <c r="R223" s="20" t="n">
        <v>-174.823</v>
      </c>
      <c r="S223" s="20" t="n">
        <v>0</v>
      </c>
      <c r="V223" s="20" t="n">
        <v>0</v>
      </c>
      <c r="W223" s="20" t="n">
        <v>-152.148</v>
      </c>
      <c r="X223" s="20" t="n">
        <v>-183.243</v>
      </c>
    </row>
    <row r="224">
      <c r="A224" s="18" t="inlineStr">
        <is>
          <t>유가증권 매각손익</t>
        </is>
      </c>
      <c r="D224" s="20" t="n">
        <v>-121.973</v>
      </c>
      <c r="H224" s="20" t="n">
        <v>0</v>
      </c>
      <c r="P224" s="20" t="n">
        <v>0</v>
      </c>
      <c r="Q224" s="20" t="n">
        <v>85.58</v>
      </c>
      <c r="R224" s="20" t="n">
        <v>0</v>
      </c>
      <c r="T224" s="20" t="n">
        <v>0</v>
      </c>
      <c r="U224" s="20" t="n">
        <v>-257.75</v>
      </c>
      <c r="V224" s="20" t="n">
        <v>-121.973</v>
      </c>
      <c r="W224" s="20" t="n">
        <v>0</v>
      </c>
    </row>
    <row r="225">
      <c r="A225" s="18" t="inlineStr">
        <is>
          <t>유가증권 상환손익</t>
        </is>
      </c>
      <c r="P225" s="20" t="n">
        <v>0</v>
      </c>
      <c r="Q225" s="20" t="n">
        <v>18.101</v>
      </c>
      <c r="R225" s="20" t="n">
        <v>0</v>
      </c>
    </row>
    <row r="226">
      <c r="A226" s="18" t="inlineStr">
        <is>
          <t>매출채권 증감</t>
        </is>
      </c>
      <c r="D226" s="20" t="n">
        <v>-8.59</v>
      </c>
      <c r="H226" s="20" t="n">
        <v>323.239</v>
      </c>
      <c r="L226" s="20" t="n">
        <v>-39.639</v>
      </c>
      <c r="O226" s="20" t="n">
        <v>-259.72</v>
      </c>
      <c r="P226" s="20" t="n">
        <v>-595.086</v>
      </c>
      <c r="Q226" s="20" t="n">
        <v>-230.905</v>
      </c>
      <c r="R226" s="20" t="n">
        <v>-114.379</v>
      </c>
      <c r="S226" s="20" t="n">
        <v>446.72</v>
      </c>
      <c r="T226" s="20" t="n">
        <v>-31.247</v>
      </c>
      <c r="U226" s="20" t="n">
        <v>-76.593</v>
      </c>
      <c r="V226" s="20" t="n">
        <v>-8.59</v>
      </c>
      <c r="W226" s="20" t="n">
        <v>323.239</v>
      </c>
      <c r="X226" s="20" t="n">
        <v>-39.639</v>
      </c>
    </row>
    <row r="227">
      <c r="A227" s="18" t="inlineStr">
        <is>
          <t>재고자산 증감</t>
        </is>
      </c>
      <c r="D227" s="20" t="n">
        <v>-201.161</v>
      </c>
      <c r="H227" s="20" t="n">
        <v>-1177.305</v>
      </c>
      <c r="L227" s="20" t="n">
        <v>1881.595</v>
      </c>
      <c r="O227" s="20" t="n">
        <v>192.012</v>
      </c>
      <c r="P227" s="20" t="n">
        <v>-232.444</v>
      </c>
      <c r="Q227" s="20" t="n">
        <v>-33.222</v>
      </c>
      <c r="R227" s="20" t="n">
        <v>-416.658</v>
      </c>
      <c r="S227" s="20" t="n">
        <v>375.82</v>
      </c>
      <c r="T227" s="20" t="n">
        <v>-253.994</v>
      </c>
      <c r="U227" s="20" t="n">
        <v>-1240.876</v>
      </c>
      <c r="V227" s="20" t="n">
        <v>-201.161</v>
      </c>
      <c r="W227" s="20" t="n">
        <v>-1177.305</v>
      </c>
      <c r="X227" s="20" t="n">
        <v>1881.595</v>
      </c>
    </row>
    <row r="228">
      <c r="A228" s="18" t="inlineStr">
        <is>
          <t>매입채무 증감</t>
        </is>
      </c>
      <c r="D228" s="20" t="n">
        <v>-135.298</v>
      </c>
      <c r="H228" s="20" t="n">
        <v>162.712</v>
      </c>
      <c r="L228" s="20" t="n">
        <v>-69.255</v>
      </c>
      <c r="O228" s="20" t="n">
        <v>19.327</v>
      </c>
      <c r="P228" s="20" t="n">
        <v>-109.656</v>
      </c>
      <c r="Q228" s="20" t="n">
        <v>38.283</v>
      </c>
      <c r="R228" s="20" t="n">
        <v>497.965</v>
      </c>
      <c r="S228" s="20" t="n">
        <v>-376.182</v>
      </c>
      <c r="T228" s="20" t="n">
        <v>-195.894</v>
      </c>
      <c r="U228" s="20" t="n">
        <v>209.992</v>
      </c>
      <c r="V228" s="20" t="n">
        <v>-135.298</v>
      </c>
      <c r="W228" s="20" t="n">
        <v>162.712</v>
      </c>
      <c r="X228" s="20" t="n">
        <v>-69.255</v>
      </c>
    </row>
    <row r="229">
      <c r="A229" s="18" t="inlineStr">
        <is>
          <t>미지급금 증감</t>
        </is>
      </c>
      <c r="D229" s="20" t="n">
        <v>199.235</v>
      </c>
      <c r="H229" s="20" t="n">
        <v>-205.781</v>
      </c>
      <c r="L229" s="20" t="n">
        <v>346.725</v>
      </c>
      <c r="O229" s="20" t="n">
        <v>22.845</v>
      </c>
      <c r="P229" s="20" t="n">
        <v>66.60899999999999</v>
      </c>
      <c r="Q229" s="20" t="n">
        <v>-22.107</v>
      </c>
      <c r="R229" s="20" t="n">
        <v>163.717</v>
      </c>
      <c r="S229" s="20" t="n">
        <v>18.903</v>
      </c>
      <c r="T229" s="20" t="n">
        <v>-156.807</v>
      </c>
      <c r="U229" s="20" t="n">
        <v>-15.734</v>
      </c>
      <c r="V229" s="20" t="n">
        <v>199.235</v>
      </c>
      <c r="W229" s="20" t="n">
        <v>-205.781</v>
      </c>
      <c r="X229" s="20" t="n">
        <v>346.725</v>
      </c>
    </row>
    <row r="230">
      <c r="A230" s="18" t="inlineStr">
        <is>
          <t>기타</t>
        </is>
      </c>
      <c r="D230" s="20" t="n">
        <v>264.273</v>
      </c>
      <c r="H230" s="20" t="n">
        <v>-14.399</v>
      </c>
      <c r="L230" s="20" t="n">
        <v>112.44</v>
      </c>
      <c r="O230" s="20" t="n">
        <v>45.705</v>
      </c>
      <c r="P230" s="20" t="n">
        <v>6.926</v>
      </c>
      <c r="Q230" s="20" t="n">
        <v>37.258</v>
      </c>
      <c r="R230" s="20" t="n">
        <v>87.001</v>
      </c>
      <c r="S230" s="20" t="n">
        <v>-42.73</v>
      </c>
      <c r="T230" s="20" t="n">
        <v>-207.263</v>
      </c>
      <c r="U230" s="20" t="n">
        <v>-5.813</v>
      </c>
      <c r="V230" s="20" t="n">
        <v>264.273</v>
      </c>
      <c r="W230" s="20" t="n">
        <v>-14.399</v>
      </c>
      <c r="X230" s="20" t="n">
        <v>112.44</v>
      </c>
    </row>
    <row r="231">
      <c r="A231" s="18" t="inlineStr">
        <is>
          <t>소계</t>
        </is>
      </c>
      <c r="D231" s="20" t="n">
        <v>2248.099</v>
      </c>
      <c r="H231" s="20" t="n">
        <v>1177.005</v>
      </c>
      <c r="L231" s="20" t="n">
        <v>4767.426</v>
      </c>
      <c r="O231" s="20" t="n">
        <v>2251.066</v>
      </c>
      <c r="P231" s="20" t="n">
        <v>1614.31</v>
      </c>
      <c r="Q231" s="20" t="n">
        <v>2283.347</v>
      </c>
      <c r="R231" s="20" t="n">
        <v>3112.758</v>
      </c>
      <c r="S231" s="20" t="n">
        <v>3653.768</v>
      </c>
      <c r="T231" s="20" t="n">
        <v>1712.052</v>
      </c>
      <c r="U231" s="20" t="n">
        <v>558.658</v>
      </c>
      <c r="V231" s="20" t="n">
        <v>2248.099</v>
      </c>
      <c r="W231" s="20" t="n">
        <v>1177.005</v>
      </c>
      <c r="X231" s="20" t="n">
        <v>4767.426</v>
      </c>
    </row>
    <row r="232">
      <c r="A232" s="18" t="inlineStr">
        <is>
          <t>이자·배당금 수취</t>
        </is>
      </c>
      <c r="D232" s="20" t="n">
        <v>171.359</v>
      </c>
      <c r="H232" s="20" t="n">
        <v>305.642</v>
      </c>
      <c r="L232" s="20" t="n">
        <v>270.694</v>
      </c>
      <c r="O232" s="20" t="n">
        <v>116.306</v>
      </c>
      <c r="P232" s="20" t="n">
        <v>153.902</v>
      </c>
      <c r="Q232" s="20" t="n">
        <v>160.131</v>
      </c>
      <c r="R232" s="20" t="n">
        <v>149.705</v>
      </c>
      <c r="S232" s="20" t="n">
        <v>144.855</v>
      </c>
      <c r="T232" s="20" t="n">
        <v>172.897</v>
      </c>
      <c r="U232" s="20" t="n">
        <v>215.712</v>
      </c>
      <c r="V232" s="20" t="n">
        <v>171.359</v>
      </c>
      <c r="W232" s="20" t="n">
        <v>305.642</v>
      </c>
      <c r="X232" s="20" t="n">
        <v>270.694</v>
      </c>
    </row>
    <row r="233">
      <c r="A233" s="18" t="inlineStr">
        <is>
          <t>이자 지급</t>
        </is>
      </c>
      <c r="D233" s="20" t="n">
        <v>-3.852</v>
      </c>
      <c r="H233" s="20" t="n">
        <v>-3.931</v>
      </c>
      <c r="L233" s="20" t="n">
        <v>-3.899</v>
      </c>
      <c r="O233" s="20" t="n">
        <v>-3.099</v>
      </c>
      <c r="P233" s="20" t="n">
        <v>-3.695</v>
      </c>
      <c r="Q233" s="20" t="n">
        <v>-3.628</v>
      </c>
      <c r="R233" s="20" t="n">
        <v>-1.848</v>
      </c>
      <c r="S233" s="20" t="n">
        <v>-4.903</v>
      </c>
      <c r="T233" s="20" t="n">
        <v>-4.949</v>
      </c>
      <c r="U233" s="20" t="n">
        <v>-2.705</v>
      </c>
      <c r="V233" s="20" t="n">
        <v>-3.852</v>
      </c>
      <c r="W233" s="20" t="n">
        <v>-3.931</v>
      </c>
      <c r="X233" s="20" t="n">
        <v>-3.899</v>
      </c>
    </row>
    <row r="234">
      <c r="A234" s="18" t="inlineStr">
        <is>
          <t>법인세 납부</t>
        </is>
      </c>
      <c r="D234" s="20" t="n">
        <v>-493.802</v>
      </c>
      <c r="H234" s="20" t="n">
        <v>-454.772</v>
      </c>
      <c r="L234" s="20" t="n">
        <v>-709.016</v>
      </c>
      <c r="O234" s="20" t="n">
        <v>-468.468</v>
      </c>
      <c r="P234" s="20" t="n">
        <v>-498.693</v>
      </c>
      <c r="Q234" s="20" t="n">
        <v>-552.854</v>
      </c>
      <c r="R234" s="20" t="n">
        <v>-510.573</v>
      </c>
      <c r="S234" s="20" t="n">
        <v>-537.159</v>
      </c>
      <c r="T234" s="20" t="n">
        <v>-691.126</v>
      </c>
      <c r="U234" s="20" t="n">
        <v>-536.357</v>
      </c>
      <c r="V234" s="20" t="n">
        <v>-493.802</v>
      </c>
      <c r="W234" s="20" t="n">
        <v>-454.772</v>
      </c>
      <c r="X234" s="20" t="n">
        <v>-709.016</v>
      </c>
    </row>
    <row r="235">
      <c r="A235" s="18" t="inlineStr">
        <is>
          <t>재해손실 지급</t>
        </is>
      </c>
      <c r="D235" s="20" t="n">
        <v>0</v>
      </c>
      <c r="R235" s="20" t="n">
        <v>0</v>
      </c>
      <c r="S235" s="20" t="n">
        <v>-29.296</v>
      </c>
      <c r="T235" s="20" t="n">
        <v>-11.063</v>
      </c>
      <c r="U235" s="20" t="n">
        <v>-1.24</v>
      </c>
      <c r="V235" s="20" t="n">
        <v>0</v>
      </c>
    </row>
    <row r="236">
      <c r="A236" s="9" t="inlineStr">
        <is>
          <t>영업활동 현금흐름</t>
        </is>
      </c>
      <c r="D236" s="12" t="n">
        <v>1921.804</v>
      </c>
      <c r="H236" s="12" t="n">
        <v>1023.944</v>
      </c>
      <c r="L236" s="12" t="n">
        <v>4325.203</v>
      </c>
      <c r="O236" s="12" t="n">
        <v>1895.805</v>
      </c>
      <c r="P236" s="12" t="n">
        <v>1265.824</v>
      </c>
      <c r="Q236" s="12" t="n">
        <v>1886.994</v>
      </c>
      <c r="R236" s="12" t="n">
        <v>2750.042</v>
      </c>
      <c r="S236" s="12" t="n">
        <v>3227.263</v>
      </c>
      <c r="T236" s="12" t="n">
        <v>1177.811</v>
      </c>
      <c r="U236" s="12" t="n">
        <v>234.067</v>
      </c>
      <c r="V236" s="12" t="n">
        <v>1921.804</v>
      </c>
      <c r="W236" s="12" t="n">
        <v>1023.944</v>
      </c>
      <c r="X236" s="12" t="n">
        <v>4325.203</v>
      </c>
    </row>
    <row r="237">
      <c r="A237" s="18" t="inlineStr">
        <is>
          <t>정기예금 인출</t>
        </is>
      </c>
      <c r="D237" s="20" t="n">
        <v>0</v>
      </c>
      <c r="R237" s="20" t="n">
        <v>0</v>
      </c>
      <c r="S237" s="20" t="n">
        <v>91.798</v>
      </c>
      <c r="T237" s="20" t="n">
        <v>44.799</v>
      </c>
      <c r="U237" s="20" t="n">
        <v>74.72</v>
      </c>
      <c r="V237" s="20" t="n">
        <v>0</v>
      </c>
    </row>
    <row r="238">
      <c r="A238" s="18" t="inlineStr">
        <is>
          <t>정기예금 예입</t>
        </is>
      </c>
      <c r="D238" s="20" t="n">
        <v>-25</v>
      </c>
      <c r="H238" s="20" t="n">
        <v>-19.017</v>
      </c>
      <c r="L238" s="20" t="n">
        <v>-48.01</v>
      </c>
      <c r="O238" s="20" t="n">
        <v>-41.604</v>
      </c>
      <c r="P238" s="20" t="n">
        <v>-72.20099999999999</v>
      </c>
      <c r="Q238" s="20" t="n">
        <v>-46.201</v>
      </c>
      <c r="R238" s="20" t="n">
        <v>-54.601</v>
      </c>
      <c r="S238" s="20" t="n">
        <v>0</v>
      </c>
      <c r="U238" s="20" t="n">
        <v>0</v>
      </c>
      <c r="V238" s="20" t="n">
        <v>-25</v>
      </c>
      <c r="W238" s="20" t="n">
        <v>-19.017</v>
      </c>
      <c r="X238" s="20" t="n">
        <v>-48.01</v>
      </c>
    </row>
    <row r="239">
      <c r="A239" s="18" t="inlineStr">
        <is>
          <t>투자유가증권 취득</t>
        </is>
      </c>
      <c r="D239" s="20" t="n">
        <v>-25.037</v>
      </c>
      <c r="H239" s="20" t="n">
        <v>-23.076</v>
      </c>
      <c r="L239" s="20" t="n">
        <v>-4.403</v>
      </c>
      <c r="O239" s="20" t="n">
        <v>-117.764</v>
      </c>
      <c r="P239" s="20" t="n">
        <v>-15.035</v>
      </c>
      <c r="Q239" s="20" t="n">
        <v>-122.38</v>
      </c>
      <c r="R239" s="20" t="n">
        <v>-115.406</v>
      </c>
      <c r="S239" s="20" t="n">
        <v>-15.718</v>
      </c>
      <c r="T239" s="20" t="n">
        <v>-352.296</v>
      </c>
      <c r="U239" s="20" t="n">
        <v>-23.318</v>
      </c>
      <c r="V239" s="20" t="n">
        <v>-25.037</v>
      </c>
      <c r="W239" s="20" t="n">
        <v>-23.076</v>
      </c>
      <c r="X239" s="20" t="n">
        <v>-4.403</v>
      </c>
    </row>
    <row r="240">
      <c r="A240" s="18" t="inlineStr">
        <is>
          <t>투자유가증권 매각</t>
        </is>
      </c>
      <c r="D240" s="20" t="n">
        <v>1.445</v>
      </c>
      <c r="H240" s="20" t="n">
        <v>350.902</v>
      </c>
      <c r="L240" s="20" t="n">
        <v>401.599</v>
      </c>
      <c r="Q240" s="20" t="n">
        <v>0</v>
      </c>
      <c r="R240" s="20" t="n">
        <v>314.022</v>
      </c>
      <c r="S240" s="20" t="n">
        <v>0</v>
      </c>
      <c r="U240" s="20" t="n">
        <v>0</v>
      </c>
      <c r="V240" s="20" t="n">
        <v>1.445</v>
      </c>
      <c r="W240" s="20" t="n">
        <v>350.902</v>
      </c>
      <c r="X240" s="20" t="n">
        <v>401.599</v>
      </c>
    </row>
    <row r="241">
      <c r="A241" s="18" t="inlineStr">
        <is>
          <t>투자유가증권 상환</t>
        </is>
      </c>
      <c r="D241" s="20" t="n">
        <v>0</v>
      </c>
      <c r="P241" s="20" t="n">
        <v>0</v>
      </c>
      <c r="Q241" s="20" t="n">
        <v>100.165</v>
      </c>
      <c r="R241" s="20" t="n">
        <v>0</v>
      </c>
      <c r="T241" s="20" t="n">
        <v>0</v>
      </c>
      <c r="U241" s="20" t="n">
        <v>135.63</v>
      </c>
      <c r="V241" s="20" t="n">
        <v>0</v>
      </c>
    </row>
    <row r="242">
      <c r="A242" s="18" t="inlineStr">
        <is>
          <t>유형자산 취득(설비투자)</t>
        </is>
      </c>
      <c r="D242" s="20" t="n">
        <v>-812.116</v>
      </c>
      <c r="H242" s="20" t="n">
        <v>-514.729</v>
      </c>
      <c r="L242" s="20" t="n">
        <v>-1140.777</v>
      </c>
      <c r="O242" s="20" t="n">
        <v>-1180.205</v>
      </c>
      <c r="P242" s="20" t="n">
        <v>-636.732</v>
      </c>
      <c r="Q242" s="20" t="n">
        <v>-1810.928</v>
      </c>
      <c r="R242" s="20" t="n">
        <v>-965.693</v>
      </c>
      <c r="S242" s="20" t="n">
        <v>-546.688</v>
      </c>
      <c r="T242" s="20" t="n">
        <v>-678.787</v>
      </c>
      <c r="U242" s="20" t="n">
        <v>-754.071</v>
      </c>
      <c r="V242" s="20" t="n">
        <v>-812.116</v>
      </c>
      <c r="W242" s="20" t="n">
        <v>-514.729</v>
      </c>
      <c r="X242" s="20" t="n">
        <v>-1140.777</v>
      </c>
    </row>
    <row r="243">
      <c r="A243" s="18" t="inlineStr">
        <is>
          <t>유형자산 매각</t>
        </is>
      </c>
      <c r="D243" s="20" t="n">
        <v>19.127</v>
      </c>
      <c r="H243" s="20" t="n">
        <v>0.553</v>
      </c>
      <c r="L243" s="20" t="n">
        <v>7.485</v>
      </c>
      <c r="Q243" s="20" t="n">
        <v>0</v>
      </c>
      <c r="R243" s="20" t="n">
        <v>11.695</v>
      </c>
      <c r="S243" s="20" t="n">
        <v>3.721</v>
      </c>
      <c r="T243" s="20" t="n">
        <v>0.334</v>
      </c>
      <c r="U243" s="20" t="n">
        <v>11.448</v>
      </c>
      <c r="V243" s="20" t="n">
        <v>19.127</v>
      </c>
      <c r="W243" s="20" t="n">
        <v>0.553</v>
      </c>
      <c r="X243" s="20" t="n">
        <v>7.485</v>
      </c>
    </row>
    <row r="244">
      <c r="A244" s="18" t="inlineStr">
        <is>
          <t>무형자산 취득</t>
        </is>
      </c>
      <c r="D244" s="20" t="n">
        <v>-186.011</v>
      </c>
      <c r="H244" s="20" t="n">
        <v>-548.071</v>
      </c>
      <c r="L244" s="20" t="n">
        <v>-65.60899999999999</v>
      </c>
      <c r="O244" s="20" t="n">
        <v>-18.163</v>
      </c>
      <c r="P244" s="20" t="n">
        <v>-10.217</v>
      </c>
      <c r="Q244" s="20" t="n">
        <v>-29.14</v>
      </c>
      <c r="R244" s="20" t="n">
        <v>-54.535</v>
      </c>
      <c r="S244" s="20" t="n">
        <v>-12.612</v>
      </c>
      <c r="T244" s="20" t="n">
        <v>-13.193</v>
      </c>
      <c r="U244" s="20" t="n">
        <v>-2.656</v>
      </c>
      <c r="V244" s="20" t="n">
        <v>-186.011</v>
      </c>
      <c r="W244" s="20" t="n">
        <v>-548.071</v>
      </c>
      <c r="X244" s="20" t="n">
        <v>-65.60899999999999</v>
      </c>
    </row>
    <row r="245">
      <c r="A245" s="18" t="inlineStr">
        <is>
          <t>대여</t>
        </is>
      </c>
      <c r="H245" s="20" t="n">
        <v>0</v>
      </c>
      <c r="L245" s="20" t="n">
        <v>-1674.141</v>
      </c>
      <c r="W245" s="20" t="n">
        <v>0</v>
      </c>
      <c r="X245" s="20" t="n">
        <v>-1674.141</v>
      </c>
    </row>
    <row r="246">
      <c r="A246" s="18" t="inlineStr">
        <is>
          <t>기타</t>
        </is>
      </c>
      <c r="D246" s="20" t="n">
        <v>-12.9</v>
      </c>
      <c r="H246" s="20" t="n">
        <v>-15.805</v>
      </c>
      <c r="L246" s="20" t="n">
        <v>-52.951</v>
      </c>
      <c r="O246" s="20" t="n">
        <v>-12.458</v>
      </c>
      <c r="P246" s="20" t="n">
        <v>-15.348</v>
      </c>
      <c r="Q246" s="20" t="n">
        <v>-10.638</v>
      </c>
      <c r="R246" s="20" t="n">
        <v>-8.433999999999999</v>
      </c>
      <c r="S246" s="20" t="n">
        <v>-8.875999999999999</v>
      </c>
      <c r="T246" s="20" t="n">
        <v>-9.465</v>
      </c>
      <c r="U246" s="20" t="n">
        <v>-11.004</v>
      </c>
      <c r="V246" s="20" t="n">
        <v>-12.9</v>
      </c>
      <c r="W246" s="20" t="n">
        <v>-15.805</v>
      </c>
      <c r="X246" s="20" t="n">
        <v>-52.951</v>
      </c>
    </row>
    <row r="247">
      <c r="A247" s="9" t="inlineStr">
        <is>
          <t>투자활동 현금흐름</t>
        </is>
      </c>
      <c r="D247" s="12" t="n">
        <v>-1040.494</v>
      </c>
      <c r="H247" s="12" t="n">
        <v>-769.244</v>
      </c>
      <c r="L247" s="12" t="n">
        <v>-2576.809</v>
      </c>
      <c r="O247" s="12" t="n">
        <v>-1370.195</v>
      </c>
      <c r="P247" s="12" t="n">
        <v>-749.535</v>
      </c>
      <c r="Q247" s="12" t="n">
        <v>-1919.123</v>
      </c>
      <c r="R247" s="12" t="n">
        <v>-872.952</v>
      </c>
      <c r="S247" s="12" t="n">
        <v>-488.375</v>
      </c>
      <c r="T247" s="12" t="n">
        <v>-1008.609</v>
      </c>
      <c r="U247" s="12" t="n">
        <v>-569.251</v>
      </c>
      <c r="V247" s="12" t="n">
        <v>-1040.494</v>
      </c>
      <c r="W247" s="12" t="n">
        <v>-769.244</v>
      </c>
      <c r="X247" s="12" t="n">
        <v>-2576.809</v>
      </c>
    </row>
    <row r="248">
      <c r="A248" s="18" t="inlineStr">
        <is>
          <t>장기차입</t>
        </is>
      </c>
      <c r="R248" s="20" t="n">
        <v>0</v>
      </c>
      <c r="S248" s="20" t="n">
        <v>1000</v>
      </c>
      <c r="T248" s="20" t="n">
        <v>0</v>
      </c>
    </row>
    <row r="249">
      <c r="A249" s="18" t="inlineStr">
        <is>
          <t>장기차입금 상환</t>
        </is>
      </c>
      <c r="D249" s="20" t="n">
        <v>0</v>
      </c>
      <c r="S249" s="20" t="n">
        <v>0</v>
      </c>
      <c r="T249" s="20" t="n">
        <v>-75</v>
      </c>
      <c r="U249" s="20" t="n">
        <v>-925</v>
      </c>
      <c r="V249" s="20" t="n">
        <v>0</v>
      </c>
    </row>
    <row r="250">
      <c r="A250" s="18" t="inlineStr">
        <is>
          <t>금융리스부채 상환</t>
        </is>
      </c>
      <c r="D250" s="20" t="n">
        <v>-34.375</v>
      </c>
      <c r="H250" s="20" t="n">
        <v>-31.237</v>
      </c>
      <c r="L250" s="20" t="n">
        <v>-17.11</v>
      </c>
      <c r="O250" s="20" t="n">
        <v>-21.082</v>
      </c>
      <c r="P250" s="20" t="n">
        <v>-18.305</v>
      </c>
      <c r="Q250" s="20" t="n">
        <v>-19.186</v>
      </c>
      <c r="R250" s="20" t="n">
        <v>-20.326</v>
      </c>
      <c r="S250" s="20" t="n">
        <v>-30.226</v>
      </c>
      <c r="T250" s="20" t="n">
        <v>-32.366</v>
      </c>
      <c r="U250" s="20" t="n">
        <v>-33.131</v>
      </c>
      <c r="V250" s="20" t="n">
        <v>-34.375</v>
      </c>
      <c r="W250" s="20" t="n">
        <v>-31.237</v>
      </c>
      <c r="X250" s="20" t="n">
        <v>-17.11</v>
      </c>
    </row>
    <row r="251">
      <c r="A251" s="18" t="inlineStr">
        <is>
          <t>자기주식 처분</t>
        </is>
      </c>
      <c r="O251" s="20" t="n">
        <v>0</v>
      </c>
      <c r="P251" s="20" t="n">
        <v>1243.925</v>
      </c>
      <c r="Q251" s="20" t="n">
        <v>0</v>
      </c>
    </row>
    <row r="252">
      <c r="A252" s="18" t="inlineStr">
        <is>
          <t>자기주식 취득</t>
        </is>
      </c>
      <c r="D252" s="20" t="n">
        <v>-6.297</v>
      </c>
      <c r="H252" s="20" t="n">
        <v>-332.975</v>
      </c>
      <c r="L252" s="20" t="n">
        <v>-0.177</v>
      </c>
      <c r="O252" s="20" t="n">
        <v>-118.026</v>
      </c>
      <c r="P252" s="20" t="n">
        <v>-0.104</v>
      </c>
      <c r="Q252" s="20" t="n">
        <v>-0.134</v>
      </c>
      <c r="R252" s="20" t="n">
        <v>-1377.625</v>
      </c>
      <c r="S252" s="20" t="n">
        <v>0</v>
      </c>
      <c r="T252" s="20" t="n">
        <v>0</v>
      </c>
      <c r="U252" s="20" t="n">
        <v>-376.919</v>
      </c>
      <c r="V252" s="20" t="n">
        <v>-6.297</v>
      </c>
      <c r="W252" s="20" t="n">
        <v>-332.975</v>
      </c>
      <c r="X252" s="20" t="n">
        <v>-0.177</v>
      </c>
    </row>
    <row r="253">
      <c r="A253" s="18" t="inlineStr">
        <is>
          <t>배당금 지급</t>
        </is>
      </c>
      <c r="D253" s="20" t="n">
        <v>-686.011</v>
      </c>
      <c r="H253" s="20" t="n">
        <v>-494.353</v>
      </c>
      <c r="L253" s="20" t="n">
        <v>-486.788</v>
      </c>
      <c r="O253" s="20" t="n">
        <v>-268.055</v>
      </c>
      <c r="P253" s="20" t="n">
        <v>-263.862</v>
      </c>
      <c r="Q253" s="20" t="n">
        <v>-541.518</v>
      </c>
      <c r="R253" s="20" t="n">
        <v>-433.277</v>
      </c>
      <c r="S253" s="20" t="n">
        <v>-386.549</v>
      </c>
      <c r="T253" s="20" t="n">
        <v>-387.305</v>
      </c>
      <c r="U253" s="20" t="n">
        <v>-387.251</v>
      </c>
      <c r="V253" s="20" t="n">
        <v>-686.011</v>
      </c>
      <c r="W253" s="20" t="n">
        <v>-494.353</v>
      </c>
      <c r="X253" s="20" t="n">
        <v>-486.788</v>
      </c>
    </row>
    <row r="254">
      <c r="A254" s="9" t="inlineStr">
        <is>
          <t>재무활동 현금흐름</t>
        </is>
      </c>
      <c r="D254" s="12" t="n">
        <v>-726.683</v>
      </c>
      <c r="H254" s="12" t="n">
        <v>-858.567</v>
      </c>
      <c r="L254" s="12" t="n">
        <v>-504.076</v>
      </c>
      <c r="O254" s="12" t="n">
        <v>-407.164</v>
      </c>
      <c r="P254" s="12" t="n">
        <v>961.652</v>
      </c>
      <c r="Q254" s="12" t="n">
        <v>-560.8390000000001</v>
      </c>
      <c r="R254" s="12" t="n">
        <v>-1831.229</v>
      </c>
      <c r="S254" s="12" t="n">
        <v>583.223</v>
      </c>
      <c r="T254" s="12" t="n">
        <v>-494.672</v>
      </c>
      <c r="U254" s="12" t="n">
        <v>-1722.302</v>
      </c>
      <c r="V254" s="12" t="n">
        <v>-726.683</v>
      </c>
      <c r="W254" s="12" t="n">
        <v>-858.567</v>
      </c>
      <c r="X254" s="12" t="n">
        <v>-504.076</v>
      </c>
    </row>
    <row r="255">
      <c r="A255" s="18" t="inlineStr">
        <is>
          <t>현금성자산 환산차이</t>
        </is>
      </c>
      <c r="D255" s="20" t="n">
        <v>171.043</v>
      </c>
      <c r="H255" s="20" t="n">
        <v>242.829</v>
      </c>
      <c r="L255" s="20" t="n">
        <v>-18.127</v>
      </c>
      <c r="O255" s="20" t="n">
        <v>-8.1</v>
      </c>
      <c r="P255" s="20" t="n">
        <v>-113.476</v>
      </c>
      <c r="Q255" s="20" t="n">
        <v>45.117</v>
      </c>
      <c r="R255" s="20" t="n">
        <v>-18.08</v>
      </c>
      <c r="S255" s="20" t="n">
        <v>-39.107</v>
      </c>
      <c r="T255" s="20" t="n">
        <v>223.336</v>
      </c>
      <c r="U255" s="20" t="n">
        <v>473.047</v>
      </c>
      <c r="V255" s="20" t="n">
        <v>171.043</v>
      </c>
      <c r="W255" s="20" t="n">
        <v>242.829</v>
      </c>
      <c r="X255" s="20" t="n">
        <v>-18.127</v>
      </c>
    </row>
    <row r="256">
      <c r="A256" s="18" t="inlineStr">
        <is>
          <t>현금성자산 증감</t>
        </is>
      </c>
      <c r="D256" s="20" t="n">
        <v>325.67</v>
      </c>
      <c r="H256" s="20" t="n">
        <v>-361.037</v>
      </c>
      <c r="L256" s="20" t="n">
        <v>1226.19</v>
      </c>
      <c r="O256" s="20" t="n">
        <v>110.344</v>
      </c>
      <c r="P256" s="20" t="n">
        <v>1364.465</v>
      </c>
      <c r="Q256" s="20" t="n">
        <v>-547.851</v>
      </c>
      <c r="R256" s="20" t="n">
        <v>27.78</v>
      </c>
      <c r="S256" s="20" t="n">
        <v>3283.004</v>
      </c>
      <c r="T256" s="20" t="n">
        <v>-102.133</v>
      </c>
      <c r="U256" s="20" t="n">
        <v>-1584.438</v>
      </c>
      <c r="V256" s="20" t="n">
        <v>325.67</v>
      </c>
      <c r="W256" s="20" t="n">
        <v>-361.037</v>
      </c>
      <c r="X256" s="20" t="n">
        <v>1226.19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6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5388 재무상태표</t>
        </is>
      </c>
    </row>
    <row r="2">
      <c r="A2" s="44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2026.2Q</t>
        </is>
      </c>
      <c r="D3" s="5" t="inlineStr">
        <is>
          <t>2026.3Q</t>
        </is>
      </c>
      <c r="E3" s="5" t="inlineStr">
        <is>
          <t>2026.4Q</t>
        </is>
      </c>
      <c r="F3" s="5" t="inlineStr">
        <is>
          <t>2027.1Q</t>
        </is>
      </c>
      <c r="G3" s="5" t="inlineStr">
        <is>
          <t>2027.2Q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17930.404</v>
      </c>
      <c r="D5" s="12" t="n">
        <v>18263.153</v>
      </c>
      <c r="E5" s="12" t="n">
        <v>19025.534</v>
      </c>
      <c r="F5" s="12" t="n">
        <v>18788.614</v>
      </c>
      <c r="G5" s="12" t="n">
        <v>18355.867</v>
      </c>
      <c r="H5" s="11" t="n">
        <v>16781.043</v>
      </c>
      <c r="I5" s="12" t="n">
        <v>16410.115</v>
      </c>
      <c r="J5" s="12" t="n">
        <v>16821.7</v>
      </c>
      <c r="K5" s="12" t="n">
        <v>13604.958</v>
      </c>
      <c r="L5" s="12" t="n">
        <v>19025.534</v>
      </c>
    </row>
    <row r="6">
      <c r="A6" s="18" t="inlineStr">
        <is>
          <t>현금및현금성자산</t>
        </is>
      </c>
      <c r="B6" s="10" t="n"/>
      <c r="C6" s="19" t="n">
        <v>9185.025</v>
      </c>
      <c r="D6" s="20" t="n">
        <v>7614.044</v>
      </c>
      <c r="E6" s="20" t="n">
        <v>9573.429</v>
      </c>
      <c r="F6" s="20" t="n">
        <v>9304.768</v>
      </c>
      <c r="G6" s="20" t="n">
        <v>8374.746999999999</v>
      </c>
      <c r="H6" s="19" t="n">
        <v>8065.909</v>
      </c>
      <c r="I6" s="20" t="n">
        <v>7542.31</v>
      </c>
      <c r="J6" s="20" t="n">
        <v>8641.246999999999</v>
      </c>
      <c r="K6" s="20" t="n">
        <v>4929.727</v>
      </c>
      <c r="L6" s="20" t="n">
        <v>9573.429</v>
      </c>
    </row>
    <row r="7">
      <c r="A7" s="18" t="inlineStr">
        <is>
          <t>단기금융상품</t>
        </is>
      </c>
      <c r="B7" s="10" t="n"/>
      <c r="C7" s="19" t="n">
        <v>441.505</v>
      </c>
      <c r="D7" s="20" t="n">
        <v>465.132</v>
      </c>
      <c r="E7" s="20" t="n">
        <v>475.771</v>
      </c>
      <c r="F7" s="20" t="n">
        <v>484.011</v>
      </c>
      <c r="G7" s="20" t="n">
        <v>0</v>
      </c>
      <c r="H7" s="19" t="n">
        <v>2002.652</v>
      </c>
      <c r="I7" s="20" t="n">
        <v>748.2670000000001</v>
      </c>
      <c r="J7" s="20" t="n">
        <v>0</v>
      </c>
      <c r="K7" s="20" t="n">
        <v>0</v>
      </c>
      <c r="L7" s="20" t="n">
        <v>475.771</v>
      </c>
    </row>
    <row r="8">
      <c r="A8" s="18" t="inlineStr">
        <is>
          <t>매출채권</t>
        </is>
      </c>
      <c r="B8" s="10" t="n"/>
      <c r="C8" s="19" t="n">
        <v>4074.147</v>
      </c>
      <c r="D8" s="20" t="n">
        <v>4925.117</v>
      </c>
      <c r="E8" s="20" t="n">
        <v>2759.481</v>
      </c>
      <c r="F8" s="20" t="n">
        <v>2571.263</v>
      </c>
      <c r="G8" s="20" t="n">
        <v>2736.393</v>
      </c>
      <c r="H8" s="19" t="n">
        <v>2574.977</v>
      </c>
      <c r="I8" s="20" t="n">
        <v>2474.551</v>
      </c>
      <c r="J8" s="20" t="n">
        <v>2525.196</v>
      </c>
      <c r="K8" s="20" t="n">
        <v>2552.777</v>
      </c>
      <c r="L8" s="20" t="n">
        <v>2759.481</v>
      </c>
    </row>
    <row r="9">
      <c r="A9" s="18" t="inlineStr">
        <is>
          <t>재고자산</t>
        </is>
      </c>
      <c r="B9" s="10" t="n"/>
      <c r="C9" s="19" t="n">
        <v>4131.428</v>
      </c>
      <c r="D9" s="20" t="n">
        <v>3529.949</v>
      </c>
      <c r="E9" s="20" t="n">
        <v>2923.707</v>
      </c>
      <c r="F9" s="20" t="n">
        <v>3048.825</v>
      </c>
      <c r="G9" s="20" t="n">
        <v>3898.512</v>
      </c>
      <c r="H9" s="19" t="n">
        <v>2184.844</v>
      </c>
      <c r="I9" s="20" t="n">
        <v>3426.162</v>
      </c>
      <c r="J9" s="20" t="n">
        <v>3627.507</v>
      </c>
      <c r="K9" s="20" t="n">
        <v>4487.299</v>
      </c>
      <c r="L9" s="20" t="n">
        <v>2923.707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7607.715</v>
      </c>
      <c r="D11" s="12" t="n">
        <v>7808.941</v>
      </c>
      <c r="E11" s="12" t="n">
        <v>7819.05</v>
      </c>
      <c r="F11" s="12" t="n">
        <v>7804.157</v>
      </c>
      <c r="G11" s="12" t="n">
        <v>8548.67</v>
      </c>
      <c r="H11" s="11" t="n">
        <v>8067.925</v>
      </c>
      <c r="I11" s="12" t="n">
        <v>8150.034</v>
      </c>
      <c r="J11" s="12" t="n">
        <v>8406.918</v>
      </c>
      <c r="K11" s="12" t="n">
        <v>8256.343999999999</v>
      </c>
      <c r="L11" s="12" t="n">
        <v>7819.05</v>
      </c>
    </row>
    <row r="12">
      <c r="A12" s="18" t="inlineStr">
        <is>
          <t>유형자산</t>
        </is>
      </c>
      <c r="B12" s="10" t="n"/>
      <c r="C12" s="19" t="n">
        <v>5601.893</v>
      </c>
      <c r="D12" s="20" t="n">
        <v>5863.342</v>
      </c>
      <c r="E12" s="20" t="n">
        <v>5837.239</v>
      </c>
      <c r="F12" s="20" t="n">
        <v>5941.635</v>
      </c>
      <c r="G12" s="20" t="n">
        <v>6218.353</v>
      </c>
      <c r="H12" s="19" t="n">
        <v>5855.867</v>
      </c>
      <c r="I12" s="20" t="n">
        <v>5849.317</v>
      </c>
      <c r="J12" s="20" t="n">
        <v>5759.053</v>
      </c>
      <c r="K12" s="20" t="n">
        <v>4755.412</v>
      </c>
      <c r="L12" s="20" t="n">
        <v>5837.239</v>
      </c>
    </row>
    <row r="13">
      <c r="A13" s="18" t="inlineStr">
        <is>
          <t>무형자산</t>
        </is>
      </c>
      <c r="B13" s="10" t="n"/>
      <c r="C13" s="19" t="n">
        <v>707.364</v>
      </c>
      <c r="D13" s="20" t="n">
        <v>668.88</v>
      </c>
      <c r="E13" s="20" t="n">
        <v>632.8680000000001</v>
      </c>
      <c r="F13" s="20" t="n">
        <v>605.569</v>
      </c>
      <c r="G13" s="20" t="n">
        <v>568.614</v>
      </c>
      <c r="H13" s="19" t="n">
        <v>78.562</v>
      </c>
      <c r="I13" s="20" t="n">
        <v>80.092</v>
      </c>
      <c r="J13" s="20" t="n">
        <v>263.262</v>
      </c>
      <c r="K13" s="20" t="n">
        <v>772.217</v>
      </c>
      <c r="L13" s="20" t="n">
        <v>632.8680000000001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25538.12</v>
      </c>
      <c r="D16" s="12" t="n">
        <v>26072.095</v>
      </c>
      <c r="E16" s="12" t="n">
        <v>26844.585</v>
      </c>
      <c r="F16" s="12" t="n">
        <v>26592.771</v>
      </c>
      <c r="G16" s="12" t="n">
        <v>26904.537</v>
      </c>
      <c r="H16" s="11" t="n">
        <v>24848.968</v>
      </c>
      <c r="I16" s="12" t="n">
        <v>24560.149</v>
      </c>
      <c r="J16" s="12" t="n">
        <v>25228.619</v>
      </c>
      <c r="K16" s="12" t="n">
        <v>21861.302</v>
      </c>
      <c r="L16" s="12" t="n">
        <v>26844.585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2148.571</v>
      </c>
      <c r="D18" s="12" t="n">
        <v>2356.54</v>
      </c>
      <c r="E18" s="12" t="n">
        <v>2465.599</v>
      </c>
      <c r="F18" s="12" t="n">
        <v>2346.701</v>
      </c>
      <c r="G18" s="12" t="n">
        <v>2310.544</v>
      </c>
      <c r="H18" s="11" t="n">
        <v>2036.656</v>
      </c>
      <c r="I18" s="12" t="n">
        <v>2049.349</v>
      </c>
      <c r="J18" s="12" t="n">
        <v>2118.83</v>
      </c>
      <c r="K18" s="12" t="n">
        <v>2065.848</v>
      </c>
      <c r="L18" s="12" t="n">
        <v>2465.599</v>
      </c>
    </row>
    <row r="19">
      <c r="A19" s="18" t="inlineStr">
        <is>
          <t>매입채무</t>
        </is>
      </c>
      <c r="B19" s="10" t="n"/>
      <c r="C19" s="19" t="n">
        <v>913.229</v>
      </c>
      <c r="D19" s="20" t="n">
        <v>1019.787</v>
      </c>
      <c r="E19" s="20" t="n">
        <v>862.449</v>
      </c>
      <c r="F19" s="20" t="n">
        <v>1283.001</v>
      </c>
      <c r="G19" s="20" t="n">
        <v>1017.315</v>
      </c>
      <c r="H19" s="19" t="n">
        <v>680.289</v>
      </c>
      <c r="I19" s="20" t="n">
        <v>894.401</v>
      </c>
      <c r="J19" s="20" t="n">
        <v>762.172</v>
      </c>
      <c r="K19" s="20" t="n">
        <v>933.937</v>
      </c>
      <c r="L19" s="20" t="n">
        <v>862.449</v>
      </c>
    </row>
    <row r="20">
      <c r="A20" s="18" t="inlineStr">
        <is>
          <t>단기차입금</t>
        </is>
      </c>
      <c r="B20" s="10" t="n"/>
      <c r="C20" s="19" t="n"/>
      <c r="D20" s="20" t="n"/>
      <c r="E20" s="20" t="n"/>
      <c r="F20" s="20" t="n"/>
      <c r="G20" s="20" t="n"/>
      <c r="H20" s="19" t="n"/>
      <c r="I20" s="20" t="n"/>
      <c r="J20" s="20" t="n"/>
      <c r="K20" s="20" t="n"/>
      <c r="L20" s="20" t="n"/>
    </row>
    <row r="21">
      <c r="A21" s="18" t="inlineStr">
        <is>
          <t>유동성장기부채</t>
        </is>
      </c>
      <c r="B21" s="10" t="n"/>
      <c r="C21" s="19" t="n"/>
      <c r="D21" s="20" t="n"/>
      <c r="E21" s="20" t="n"/>
      <c r="F21" s="20" t="n"/>
      <c r="G21" s="20" t="n"/>
      <c r="H21" s="19" t="n">
        <v>100</v>
      </c>
      <c r="I21" s="20" t="n">
        <v>0</v>
      </c>
      <c r="J21" s="20" t="n"/>
      <c r="K21" s="20" t="n"/>
      <c r="L21" s="20" t="n"/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1230.181</v>
      </c>
      <c r="D23" s="12" t="n">
        <v>1232.926</v>
      </c>
      <c r="E23" s="12" t="n">
        <v>1235.12</v>
      </c>
      <c r="F23" s="12" t="n">
        <v>1056.397</v>
      </c>
      <c r="G23" s="12" t="n">
        <v>1035.396</v>
      </c>
      <c r="H23" s="11" t="n">
        <v>1833.871</v>
      </c>
      <c r="I23" s="12" t="n">
        <v>1161.625</v>
      </c>
      <c r="J23" s="12" t="n">
        <v>1242.062</v>
      </c>
      <c r="K23" s="12" t="n">
        <v>538.422</v>
      </c>
      <c r="L23" s="12" t="n">
        <v>1235.12</v>
      </c>
    </row>
    <row r="24">
      <c r="A24" s="18" t="inlineStr">
        <is>
          <t>장기차입금</t>
        </is>
      </c>
      <c r="B24" s="10" t="n"/>
      <c r="C24" s="19" t="n"/>
      <c r="D24" s="20" t="n"/>
      <c r="E24" s="20" t="n"/>
      <c r="F24" s="20" t="n"/>
      <c r="G24" s="20" t="n"/>
      <c r="H24" s="19" t="n">
        <v>825</v>
      </c>
      <c r="I24" s="20" t="n">
        <v>0</v>
      </c>
      <c r="J24" s="20" t="n"/>
      <c r="K24" s="20" t="n"/>
      <c r="L24" s="20" t="n"/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3378.753</v>
      </c>
      <c r="D27" s="12" t="n">
        <v>3589.467</v>
      </c>
      <c r="E27" s="12" t="n">
        <v>3700.719</v>
      </c>
      <c r="F27" s="12" t="n">
        <v>3403.099</v>
      </c>
      <c r="G27" s="12" t="n">
        <v>3345.94</v>
      </c>
      <c r="H27" s="11" t="n">
        <v>3870.527</v>
      </c>
      <c r="I27" s="12" t="n">
        <v>3210.975</v>
      </c>
      <c r="J27" s="12" t="n">
        <v>3360.892</v>
      </c>
      <c r="K27" s="12" t="n">
        <v>2604.271</v>
      </c>
      <c r="L27" s="12" t="n">
        <v>3700.719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21389.071</v>
      </c>
      <c r="D31" s="12" t="n">
        <v>21673.691</v>
      </c>
      <c r="E31" s="12" t="n">
        <v>22270.383</v>
      </c>
      <c r="F31" s="12" t="n">
        <v>22290.99</v>
      </c>
      <c r="G31" s="12" t="n">
        <v>22628.973</v>
      </c>
      <c r="H31" s="11" t="n">
        <v>20505.353</v>
      </c>
      <c r="I31" s="12" t="n">
        <v>20758.442</v>
      </c>
      <c r="J31" s="12" t="n">
        <v>21201.934</v>
      </c>
      <c r="K31" s="12" t="n">
        <v>18451.848</v>
      </c>
      <c r="L31" s="12" t="n">
        <v>22270.383</v>
      </c>
    </row>
    <row r="32">
      <c r="A32" s="18" t="inlineStr">
        <is>
          <t>자본금</t>
        </is>
      </c>
      <c r="B32" s="10" t="n"/>
      <c r="C32" s="19" t="n">
        <v>1617.8</v>
      </c>
      <c r="D32" s="20" t="n">
        <v>1617.8</v>
      </c>
      <c r="E32" s="20" t="n">
        <v>1617.8</v>
      </c>
      <c r="F32" s="20" t="n">
        <v>1617.8</v>
      </c>
      <c r="G32" s="20" t="n">
        <v>1617.8</v>
      </c>
      <c r="H32" s="19" t="n">
        <v>1617.8</v>
      </c>
      <c r="I32" s="20" t="n">
        <v>1617.8</v>
      </c>
      <c r="J32" s="20" t="n">
        <v>1617.8</v>
      </c>
      <c r="K32" s="20" t="n">
        <v>1617.8</v>
      </c>
      <c r="L32" s="20" t="n">
        <v>1617.8</v>
      </c>
    </row>
    <row r="33">
      <c r="A33" s="18" t="inlineStr">
        <is>
          <t>이익잉여금</t>
        </is>
      </c>
      <c r="B33" s="10" t="n"/>
      <c r="C33" s="19" t="n">
        <v>17692.531</v>
      </c>
      <c r="D33" s="20" t="n">
        <v>17941.846</v>
      </c>
      <c r="E33" s="20" t="n">
        <v>18429.838</v>
      </c>
      <c r="F33" s="20" t="n">
        <v>18410.899</v>
      </c>
      <c r="G33" s="20" t="n">
        <v>18714.111</v>
      </c>
      <c r="H33" s="19" t="n">
        <v>16179.707</v>
      </c>
      <c r="I33" s="20" t="n">
        <v>16635.132</v>
      </c>
      <c r="J33" s="20" t="n">
        <v>16992.515</v>
      </c>
      <c r="K33" s="20" t="n">
        <v>15785.719</v>
      </c>
      <c r="L33" s="20" t="n">
        <v>18429.838</v>
      </c>
    </row>
    <row r="34">
      <c r="A34" s="18" t="inlineStr">
        <is>
          <t>비지배지분</t>
        </is>
      </c>
      <c r="B34" s="10" t="n"/>
      <c r="C34" s="19" t="n">
        <v>770.296</v>
      </c>
      <c r="D34" s="20" t="n">
        <v>808.936</v>
      </c>
      <c r="E34" s="20" t="n">
        <v>873.482</v>
      </c>
      <c r="F34" s="20" t="n">
        <v>898.682</v>
      </c>
      <c r="G34" s="20" t="n">
        <v>929.624</v>
      </c>
      <c r="H34" s="19" t="n">
        <v>473.088</v>
      </c>
      <c r="I34" s="20" t="n">
        <v>590.731</v>
      </c>
      <c r="J34" s="20" t="n">
        <v>665.792</v>
      </c>
      <c r="K34" s="20" t="n">
        <v>805.183</v>
      </c>
      <c r="L34" s="20" t="n">
        <v>873.482</v>
      </c>
    </row>
    <row r="35">
      <c r="A35" s="9" t="inlineStr">
        <is>
          <t>자본총계</t>
        </is>
      </c>
      <c r="B35" s="10" t="n"/>
      <c r="C35" s="11" t="n">
        <v>22159.367</v>
      </c>
      <c r="D35" s="12" t="n">
        <v>22482.627</v>
      </c>
      <c r="E35" s="12" t="n">
        <v>23143.865</v>
      </c>
      <c r="F35" s="12" t="n">
        <v>23189.672</v>
      </c>
      <c r="G35" s="12" t="n">
        <v>23558.597</v>
      </c>
      <c r="H35" s="11" t="n">
        <v>20978.441</v>
      </c>
      <c r="I35" s="12" t="n">
        <v>21349.173</v>
      </c>
      <c r="J35" s="12" t="n">
        <v>21867.726</v>
      </c>
      <c r="K35" s="12" t="n">
        <v>19257.031</v>
      </c>
      <c r="L35" s="12" t="n">
        <v>23143.865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>
        <v>4325.203</v>
      </c>
      <c r="F37" s="12" t="n"/>
      <c r="G37" s="12" t="n"/>
      <c r="H37" s="11" t="n">
        <v>1177.811</v>
      </c>
      <c r="I37" s="12" t="n">
        <v>234.067</v>
      </c>
      <c r="J37" s="12" t="n">
        <v>1921.804</v>
      </c>
      <c r="K37" s="12" t="n">
        <v>1023.944</v>
      </c>
      <c r="L37" s="12" t="n">
        <v>4325.203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>
        <v>1206.386</v>
      </c>
      <c r="F38" s="20" t="n"/>
      <c r="G38" s="20" t="n"/>
      <c r="H38" s="19" t="n">
        <v>691.98</v>
      </c>
      <c r="I38" s="20" t="n">
        <v>756.727</v>
      </c>
      <c r="J38" s="20" t="n">
        <v>998.127</v>
      </c>
      <c r="K38" s="20" t="n">
        <v>1062.8</v>
      </c>
      <c r="L38" s="20" t="n">
        <v>1206.386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>
        <v>486.788</v>
      </c>
      <c r="F40" s="20" t="n"/>
      <c r="G40" s="20" t="n"/>
      <c r="H40" s="19" t="n">
        <v>387.305</v>
      </c>
      <c r="I40" s="20" t="n">
        <v>387.251</v>
      </c>
      <c r="J40" s="20" t="n">
        <v>686.011</v>
      </c>
      <c r="K40" s="20" t="n">
        <v>494.353</v>
      </c>
      <c r="L40" s="20" t="n">
        <v>486.788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5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5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5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5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5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5" t="inlineStr">
        <is>
          <t>이자보상배율</t>
        </is>
      </c>
      <c r="B48" s="10" t="inlineStr">
        <is>
          <t>5x↑ (금융원가 기준)</t>
        </is>
      </c>
      <c r="C48" s="30">
        <f>IFERROR((IF(COUNT('연간'!G31:J31)&lt;4,"",SUM('연간'!G31:J31)))/(IF(COUNT('연간'!G53:J53)&lt;4,"",SUM('연간'!G53:J53))),"")</f>
        <v/>
      </c>
      <c r="D48" s="31">
        <f>IFERROR((IF(COUNT('연간'!H31:K31)&lt;4,"",SUM('연간'!H31:K31)))/(IF(COUNT('연간'!H53:K53)&lt;4,"",SUM('연간'!H53:K53))),"")</f>
        <v/>
      </c>
      <c r="E48" s="31">
        <f>IFERROR((IF(COUNT('연간'!I31:L31)&lt;4,"",SUM('연간'!I31:L31)))/(IF(COUNT('연간'!I53:L53)&lt;4,"",SUM('연간'!I53:L53))),"")</f>
        <v/>
      </c>
      <c r="F48" s="31">
        <f>IFERROR((IF(COUNT('연간'!J31:M31)&lt;4,"",SUM('연간'!J31:M31)))/(IF(COUNT('연간'!J53:M53)&lt;4,"",SUM('연간'!J53:M53))),"")</f>
        <v/>
      </c>
      <c r="G48" s="31">
        <f>IFERROR((IF(COUNT('연간'!K31:N31)&lt;4,"",SUM('연간'!K31:N31)))/(IF(COUNT('연간'!K53:N53)&lt;4,"",SUM('연간'!K53:N53))),"")</f>
        <v/>
      </c>
      <c r="H48" s="30">
        <f>IFERROR(('연간'!T31)/('연간'!T53),"")</f>
        <v/>
      </c>
      <c r="I48" s="31">
        <f>IFERROR(('연간'!U31)/('연간'!U53),"")</f>
        <v/>
      </c>
      <c r="J48" s="31">
        <f>IFERROR(('연간'!V31)/('연간'!V53),"")</f>
        <v/>
      </c>
      <c r="K48" s="31">
        <f>IFERROR(('연간'!W31)/('연간'!W53),"")</f>
        <v/>
      </c>
      <c r="L48" s="31">
        <f>IFERROR(('연간'!X31)/('연간'!X53),"")</f>
        <v/>
      </c>
    </row>
    <row r="49">
      <c r="A49" s="45" t="inlineStr">
        <is>
          <t>차입금 상환연수</t>
        </is>
      </c>
      <c r="B49" s="10" t="inlineStr">
        <is>
          <t>4년↓ (버핏)</t>
        </is>
      </c>
      <c r="C49" s="46">
        <f>IFERROR(IF((IF(COUNT('연간'!G61:J61)&lt;4,"",SUM('연간'!G61:J61)))&lt;=0,"적자",C28/(IF(COUNT('연간'!G61:J61)&lt;4,"",SUM('연간'!G61:J61)))),"")</f>
        <v/>
      </c>
      <c r="D49" s="47">
        <f>IFERROR(IF((IF(COUNT('연간'!H61:K61)&lt;4,"",SUM('연간'!H61:K61)))&lt;=0,"적자",D28/(IF(COUNT('연간'!H61:K61)&lt;4,"",SUM('연간'!H61:K61)))),"")</f>
        <v/>
      </c>
      <c r="E49" s="47">
        <f>IFERROR(IF((IF(COUNT('연간'!I61:L61)&lt;4,"",SUM('연간'!I61:L61)))&lt;=0,"적자",E28/(IF(COUNT('연간'!I61:L61)&lt;4,"",SUM('연간'!I61:L61)))),"")</f>
        <v/>
      </c>
      <c r="F49" s="47">
        <f>IFERROR(IF((IF(COUNT('연간'!J61:M61)&lt;4,"",SUM('연간'!J61:M61)))&lt;=0,"적자",F28/(IF(COUNT('연간'!J61:M61)&lt;4,"",SUM('연간'!J61:M61)))),"")</f>
        <v/>
      </c>
      <c r="G49" s="47">
        <f>IFERROR(IF((IF(COUNT('연간'!K61:N61)&lt;4,"",SUM('연간'!K61:N61)))&lt;=0,"적자",G28/(IF(COUNT('연간'!K61:N61)&lt;4,"",SUM('연간'!K61:N61)))),"")</f>
        <v/>
      </c>
      <c r="H49" s="46">
        <f>IFERROR(IF(('연간'!T61)&lt;=0,"적자",H28/('연간'!T61)),"")</f>
        <v/>
      </c>
      <c r="I49" s="47">
        <f>IFERROR(IF(('연간'!U61)&lt;=0,"적자",I28/('연간'!U61)),"")</f>
        <v/>
      </c>
      <c r="J49" s="47">
        <f>IFERROR(IF(('연간'!V61)&lt;=0,"적자",J28/('연간'!V61)),"")</f>
        <v/>
      </c>
      <c r="K49" s="47">
        <f>IFERROR(IF(('연간'!W61)&lt;=0,"적자",K28/('연간'!W61)),"")</f>
        <v/>
      </c>
      <c r="L49" s="47">
        <f>IFERROR(IF(('연간'!X61)&lt;=0,"적자",L28/('연간'!X61)),"")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5" t="inlineStr">
        <is>
          <t>ROE</t>
        </is>
      </c>
      <c r="B51" s="10" t="inlineStr">
        <is>
          <t>15%↑ (버핏)</t>
        </is>
      </c>
      <c r="C51" s="35">
        <f>IFERROR((IF(COUNT('연간'!G61:J61)&lt;4,"",SUM('연간'!G61:J61)))/C31,"")</f>
        <v/>
      </c>
      <c r="D51" s="36">
        <f>IFERROR((IF(COUNT('연간'!H61:K61)&lt;4,"",SUM('연간'!H61:K61)))/D31,"")</f>
        <v/>
      </c>
      <c r="E51" s="36">
        <f>IFERROR((IF(COUNT('연간'!I61:L61)&lt;4,"",SUM('연간'!I61:L61)))/E31,"")</f>
        <v/>
      </c>
      <c r="F51" s="36">
        <f>IFERROR((IF(COUNT('연간'!J61:M61)&lt;4,"",SUM('연간'!J61:M61)))/F31,"")</f>
        <v/>
      </c>
      <c r="G51" s="36">
        <f>IFERROR((IF(COUNT('연간'!K61:N61)&lt;4,"",SUM('연간'!K61:N61)))/G31,"")</f>
        <v/>
      </c>
      <c r="H51" s="35">
        <f>IFERROR(('연간'!T61)/H31,"")</f>
        <v/>
      </c>
      <c r="I51" s="36">
        <f>IFERROR(('연간'!U61)/I31,"")</f>
        <v/>
      </c>
      <c r="J51" s="36">
        <f>IFERROR(('연간'!V61)/J31,"")</f>
        <v/>
      </c>
      <c r="K51" s="36">
        <f>IFERROR(('연간'!W61)/K31,"")</f>
        <v/>
      </c>
      <c r="L51" s="36">
        <f>IFERROR(('연간'!X61)/L31,"")</f>
        <v/>
      </c>
    </row>
    <row r="52">
      <c r="A52" s="45" t="inlineStr">
        <is>
          <t>ROA</t>
        </is>
      </c>
      <c r="B52" s="10" t="inlineStr">
        <is>
          <t>5%↑</t>
        </is>
      </c>
      <c r="C52" s="35">
        <f>IFERROR((IF(COUNT('연간'!G59:J59)&lt;4,"",SUM('연간'!G59:J59)))/C16,"")</f>
        <v/>
      </c>
      <c r="D52" s="36">
        <f>IFERROR((IF(COUNT('연간'!H59:K59)&lt;4,"",SUM('연간'!H59:K59)))/D16,"")</f>
        <v/>
      </c>
      <c r="E52" s="36">
        <f>IFERROR((IF(COUNT('연간'!I59:L59)&lt;4,"",SUM('연간'!I59:L59)))/E16,"")</f>
        <v/>
      </c>
      <c r="F52" s="36">
        <f>IFERROR((IF(COUNT('연간'!J59:M59)&lt;4,"",SUM('연간'!J59:M59)))/F16,"")</f>
        <v/>
      </c>
      <c r="G52" s="36">
        <f>IFERROR((IF(COUNT('연간'!K59:N59)&lt;4,"",SUM('연간'!K59:N59)))/G16,"")</f>
        <v/>
      </c>
      <c r="H52" s="35">
        <f>IFERROR(('연간'!T59)/H16,"")</f>
        <v/>
      </c>
      <c r="I52" s="36">
        <f>IFERROR(('연간'!U59)/I16,"")</f>
        <v/>
      </c>
      <c r="J52" s="36">
        <f>IFERROR(('연간'!V59)/J16,"")</f>
        <v/>
      </c>
      <c r="K52" s="36">
        <f>IFERROR(('연간'!W59)/K16,"")</f>
        <v/>
      </c>
      <c r="L52" s="36">
        <f>IFERROR(('연간'!X59)/L16,"")</f>
        <v/>
      </c>
    </row>
    <row r="53">
      <c r="A53" s="45" t="inlineStr">
        <is>
          <t>ROIC</t>
        </is>
      </c>
      <c r="B53" s="10" t="inlineStr">
        <is>
          <t>10%↑ (세후영업이익 기준)</t>
        </is>
      </c>
      <c r="C53" s="35">
        <f>IFERROR((IF(COUNT('연간'!G31:J31)&lt;4,"",SUM('연간'!G31:J31)))*(1-0.3)/(C35+C29),"")</f>
        <v/>
      </c>
      <c r="D53" s="36">
        <f>IFERROR((IF(COUNT('연간'!H31:K31)&lt;4,"",SUM('연간'!H31:K31)))*(1-0.3)/(D35+D29),"")</f>
        <v/>
      </c>
      <c r="E53" s="36">
        <f>IFERROR((IF(COUNT('연간'!I31:L31)&lt;4,"",SUM('연간'!I31:L31)))*(1-0.3)/(E35+E29),"")</f>
        <v/>
      </c>
      <c r="F53" s="36">
        <f>IFERROR((IF(COUNT('연간'!J31:M31)&lt;4,"",SUM('연간'!J31:M31)))*(1-0.3)/(F35+F29),"")</f>
        <v/>
      </c>
      <c r="G53" s="36">
        <f>IFERROR((IF(COUNT('연간'!K31:N31)&lt;4,"",SUM('연간'!K31:N31)))*(1-0.3)/(G35+G29),"")</f>
        <v/>
      </c>
      <c r="H53" s="35">
        <f>IFERROR(('연간'!T31)*(1-0.3)/(H35+H29),"")</f>
        <v/>
      </c>
      <c r="I53" s="36">
        <f>IFERROR(('연간'!U31)*(1-0.3)/(I35+I29),"")</f>
        <v/>
      </c>
      <c r="J53" s="36">
        <f>IFERROR(('연간'!V31)*(1-0.3)/(J35+J29),"")</f>
        <v/>
      </c>
      <c r="K53" s="36">
        <f>IFERROR(('연간'!W31)*(1-0.3)/(K35+K29),"")</f>
        <v/>
      </c>
      <c r="L53" s="36">
        <f>IFERROR(('연간'!X31)*(1-0.3)/(L35+L29),"")</f>
        <v/>
      </c>
    </row>
    <row r="54">
      <c r="A54" s="45" t="inlineStr">
        <is>
          <t>매출총이익률 (GPM)</t>
        </is>
      </c>
      <c r="B54" s="10" t="inlineStr">
        <is>
          <t>40%↑ (해자 신호)</t>
        </is>
      </c>
      <c r="C54" s="35">
        <f>IFERROR((IF(COUNT('연간'!G25:J25)&lt;4,"",SUM('연간'!G25:J25)))/(IF(COUNT('연간'!G4:J4)&lt;4,"",SUM('연간'!G4:J4))),"")</f>
        <v/>
      </c>
      <c r="D54" s="36">
        <f>IFERROR((IF(COUNT('연간'!H25:K25)&lt;4,"",SUM('연간'!H25:K25)))/(IF(COUNT('연간'!H4:K4)&lt;4,"",SUM('연간'!H4:K4))),"")</f>
        <v/>
      </c>
      <c r="E54" s="36">
        <f>IFERROR((IF(COUNT('연간'!I25:L25)&lt;4,"",SUM('연간'!I25:L25)))/(IF(COUNT('연간'!I4:L4)&lt;4,"",SUM('연간'!I4:L4))),"")</f>
        <v/>
      </c>
      <c r="F54" s="36">
        <f>IFERROR((IF(COUNT('연간'!J25:M25)&lt;4,"",SUM('연간'!J25:M25)))/(IF(COUNT('연간'!J4:M4)&lt;4,"",SUM('연간'!J4:M4))),"")</f>
        <v/>
      </c>
      <c r="G54" s="36">
        <f>IFERROR((IF(COUNT('연간'!K25:N25)&lt;4,"",SUM('연간'!K25:N25)))/(IF(COUNT('연간'!K4:N4)&lt;4,"",SUM('연간'!K4:N4))),"")</f>
        <v/>
      </c>
      <c r="H54" s="35">
        <f>IFERROR(('연간'!T25)/('연간'!T4),"")</f>
        <v/>
      </c>
      <c r="I54" s="36">
        <f>IFERROR(('연간'!U25)/('연간'!U4),"")</f>
        <v/>
      </c>
      <c r="J54" s="36">
        <f>IFERROR(('연간'!V25)/('연간'!V4),"")</f>
        <v/>
      </c>
      <c r="K54" s="36">
        <f>IFERROR(('연간'!W25)/('연간'!W4),"")</f>
        <v/>
      </c>
      <c r="L54" s="36">
        <f>IFERROR(('연간'!X25)/('연간'!X4),"")</f>
        <v/>
      </c>
    </row>
    <row r="55">
      <c r="A55" s="45" t="inlineStr">
        <is>
          <t>영업이익률 (OPM)</t>
        </is>
      </c>
      <c r="B55" s="10" t="inlineStr">
        <is>
          <t>15%↑</t>
        </is>
      </c>
      <c r="C55" s="35">
        <f>IFERROR((IF(COUNT('연간'!G31:J31)&lt;4,"",SUM('연간'!G31:J31)))/(IF(COUNT('연간'!G4:J4)&lt;4,"",SUM('연간'!G4:J4))),"")</f>
        <v/>
      </c>
      <c r="D55" s="36">
        <f>IFERROR((IF(COUNT('연간'!H31:K31)&lt;4,"",SUM('연간'!H31:K31)))/(IF(COUNT('연간'!H4:K4)&lt;4,"",SUM('연간'!H4:K4))),"")</f>
        <v/>
      </c>
      <c r="E55" s="36">
        <f>IFERROR((IF(COUNT('연간'!I31:L31)&lt;4,"",SUM('연간'!I31:L31)))/(IF(COUNT('연간'!I4:L4)&lt;4,"",SUM('연간'!I4:L4))),"")</f>
        <v/>
      </c>
      <c r="F55" s="36">
        <f>IFERROR((IF(COUNT('연간'!J31:M31)&lt;4,"",SUM('연간'!J31:M31)))/(IF(COUNT('연간'!J4:M4)&lt;4,"",SUM('연간'!J4:M4))),"")</f>
        <v/>
      </c>
      <c r="G55" s="36">
        <f>IFERROR((IF(COUNT('연간'!K31:N31)&lt;4,"",SUM('연간'!K31:N31)))/(IF(COUNT('연간'!K4:N4)&lt;4,"",SUM('연간'!K4:N4))),"")</f>
        <v/>
      </c>
      <c r="H55" s="35">
        <f>IFERROR(('연간'!T31)/('연간'!T4),"")</f>
        <v/>
      </c>
      <c r="I55" s="36">
        <f>IFERROR(('연간'!U31)/('연간'!U4),"")</f>
        <v/>
      </c>
      <c r="J55" s="36">
        <f>IFERROR(('연간'!V31)/('연간'!V4),"")</f>
        <v/>
      </c>
      <c r="K55" s="36">
        <f>IFERROR(('연간'!W31)/('연간'!W4),"")</f>
        <v/>
      </c>
      <c r="L55" s="36">
        <f>IFERROR(('연간'!X31)/('연간'!X4),"")</f>
        <v/>
      </c>
    </row>
    <row r="56">
      <c r="A56" s="45" t="inlineStr">
        <is>
          <t>순이익률</t>
        </is>
      </c>
      <c r="B56" s="10" t="inlineStr">
        <is>
          <t>10%↑</t>
        </is>
      </c>
      <c r="C56" s="35">
        <f>IFERROR((IF(COUNT('연간'!G59:J59)&lt;4,"",SUM('연간'!G59:J59)))/(IF(COUNT('연간'!G4:J4)&lt;4,"",SUM('연간'!G4:J4))),"")</f>
        <v/>
      </c>
      <c r="D56" s="36">
        <f>IFERROR((IF(COUNT('연간'!H59:K59)&lt;4,"",SUM('연간'!H59:K59)))/(IF(COUNT('연간'!H4:K4)&lt;4,"",SUM('연간'!H4:K4))),"")</f>
        <v/>
      </c>
      <c r="E56" s="36">
        <f>IFERROR((IF(COUNT('연간'!I59:L59)&lt;4,"",SUM('연간'!I59:L59)))/(IF(COUNT('연간'!I4:L4)&lt;4,"",SUM('연간'!I4:L4))),"")</f>
        <v/>
      </c>
      <c r="F56" s="36">
        <f>IFERROR((IF(COUNT('연간'!J59:M59)&lt;4,"",SUM('연간'!J59:M59)))/(IF(COUNT('연간'!J4:M4)&lt;4,"",SUM('연간'!J4:M4))),"")</f>
        <v/>
      </c>
      <c r="G56" s="36">
        <f>IFERROR((IF(COUNT('연간'!K59:N59)&lt;4,"",SUM('연간'!K59:N59)))/(IF(COUNT('연간'!K4:N4)&lt;4,"",SUM('연간'!K4:N4))),"")</f>
        <v/>
      </c>
      <c r="H56" s="35">
        <f>IFERROR(('연간'!T59)/('연간'!T4),"")</f>
        <v/>
      </c>
      <c r="I56" s="36">
        <f>IFERROR(('연간'!U59)/('연간'!U4),"")</f>
        <v/>
      </c>
      <c r="J56" s="36">
        <f>IFERROR(('연간'!V59)/('연간'!V4),"")</f>
        <v/>
      </c>
      <c r="K56" s="36">
        <f>IFERROR(('연간'!W59)/('연간'!W4),"")</f>
        <v/>
      </c>
      <c r="L56" s="36">
        <f>IFERROR(('연간'!X59)/('연간'!X4),"")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5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5" t="inlineStr">
        <is>
          <t>매출채권회전일수</t>
        </is>
      </c>
      <c r="B59" s="10" t="inlineStr">
        <is>
          <t>짧을수록↑</t>
        </is>
      </c>
      <c r="C59" s="48">
        <f>IFERROR(C8/(IF(COUNT('연간'!G4:J4)&lt;4,"",SUM('연간'!G4:J4)))*365,"")</f>
        <v/>
      </c>
      <c r="D59" s="49">
        <f>IFERROR(D8/(IF(COUNT('연간'!H4:K4)&lt;4,"",SUM('연간'!H4:K4)))*365,"")</f>
        <v/>
      </c>
      <c r="E59" s="49">
        <f>IFERROR(E8/(IF(COUNT('연간'!I4:L4)&lt;4,"",SUM('연간'!I4:L4)))*365,"")</f>
        <v/>
      </c>
      <c r="F59" s="49">
        <f>IFERROR(F8/(IF(COUNT('연간'!J4:M4)&lt;4,"",SUM('연간'!J4:M4)))*365,"")</f>
        <v/>
      </c>
      <c r="G59" s="49">
        <f>IFERROR(G8/(IF(COUNT('연간'!K4:N4)&lt;4,"",SUM('연간'!K4:N4)))*365,"")</f>
        <v/>
      </c>
      <c r="H59" s="48">
        <f>IFERROR(H8/('연간'!T4)*365,"")</f>
        <v/>
      </c>
      <c r="I59" s="49">
        <f>IFERROR(I8/('연간'!U4)*365,"")</f>
        <v/>
      </c>
      <c r="J59" s="49">
        <f>IFERROR(J8/('연간'!V4)*365,"")</f>
        <v/>
      </c>
      <c r="K59" s="49">
        <f>IFERROR(K8/('연간'!W4)*365,"")</f>
        <v/>
      </c>
      <c r="L59" s="49">
        <f>IFERROR(L8/('연간'!X4)*365,"")</f>
        <v/>
      </c>
    </row>
    <row r="60">
      <c r="A60" s="45" t="inlineStr">
        <is>
          <t>재고자산회전일수</t>
        </is>
      </c>
      <c r="B60" s="10" t="inlineStr">
        <is>
          <t>짧을수록↑</t>
        </is>
      </c>
      <c r="C60" s="48">
        <f>IFERROR(C9/(IF(COUNT('연간'!G23:J23)&lt;4,"",SUM('연간'!G23:J23)))*365,"")</f>
        <v/>
      </c>
      <c r="D60" s="49">
        <f>IFERROR(D9/(IF(COUNT('연간'!H23:K23)&lt;4,"",SUM('연간'!H23:K23)))*365,"")</f>
        <v/>
      </c>
      <c r="E60" s="49">
        <f>IFERROR(E9/(IF(COUNT('연간'!I23:L23)&lt;4,"",SUM('연간'!I23:L23)))*365,"")</f>
        <v/>
      </c>
      <c r="F60" s="49">
        <f>IFERROR(F9/(IF(COUNT('연간'!J23:M23)&lt;4,"",SUM('연간'!J23:M23)))*365,"")</f>
        <v/>
      </c>
      <c r="G60" s="49">
        <f>IFERROR(G9/(IF(COUNT('연간'!K23:N23)&lt;4,"",SUM('연간'!K23:N23)))*365,"")</f>
        <v/>
      </c>
      <c r="H60" s="48">
        <f>IFERROR(H9/('연간'!T23)*365,"")</f>
        <v/>
      </c>
      <c r="I60" s="49">
        <f>IFERROR(I9/('연간'!U23)*365,"")</f>
        <v/>
      </c>
      <c r="J60" s="49">
        <f>IFERROR(J9/('연간'!V23)*365,"")</f>
        <v/>
      </c>
      <c r="K60" s="49">
        <f>IFERROR(K9/('연간'!W23)*365,"")</f>
        <v/>
      </c>
      <c r="L60" s="49">
        <f>IFERROR(L9/('연간'!X23)*365,"")</f>
        <v/>
      </c>
    </row>
    <row r="61">
      <c r="A61" s="45" t="inlineStr">
        <is>
          <t>매입채무회전일수</t>
        </is>
      </c>
      <c r="B61" s="10" t="inlineStr">
        <is>
          <t>길수록 유리</t>
        </is>
      </c>
      <c r="C61" s="48">
        <f>IFERROR(C19/(IF(COUNT('연간'!G23:J23)&lt;4,"",SUM('연간'!G23:J23)))*365,"")</f>
        <v/>
      </c>
      <c r="D61" s="49">
        <f>IFERROR(D19/(IF(COUNT('연간'!H23:K23)&lt;4,"",SUM('연간'!H23:K23)))*365,"")</f>
        <v/>
      </c>
      <c r="E61" s="49">
        <f>IFERROR(E19/(IF(COUNT('연간'!I23:L23)&lt;4,"",SUM('연간'!I23:L23)))*365,"")</f>
        <v/>
      </c>
      <c r="F61" s="49">
        <f>IFERROR(F19/(IF(COUNT('연간'!J23:M23)&lt;4,"",SUM('연간'!J23:M23)))*365,"")</f>
        <v/>
      </c>
      <c r="G61" s="49">
        <f>IFERROR(G19/(IF(COUNT('연간'!K23:N23)&lt;4,"",SUM('연간'!K23:N23)))*365,"")</f>
        <v/>
      </c>
      <c r="H61" s="48">
        <f>IFERROR(H19/('연간'!T23)*365,"")</f>
        <v/>
      </c>
      <c r="I61" s="49">
        <f>IFERROR(I19/('연간'!U23)*365,"")</f>
        <v/>
      </c>
      <c r="J61" s="49">
        <f>IFERROR(J19/('연간'!V23)*365,"")</f>
        <v/>
      </c>
      <c r="K61" s="49">
        <f>IFERROR(K19/('연간'!W23)*365,"")</f>
        <v/>
      </c>
      <c r="L61" s="49">
        <f>IFERROR(L19/('연간'!X23)*365,"")</f>
        <v/>
      </c>
    </row>
    <row r="62">
      <c r="A62" s="45" t="inlineStr">
        <is>
          <t>현금전환주기 (CCC)</t>
        </is>
      </c>
      <c r="B62" s="10" t="inlineStr">
        <is>
          <t>짧을수록↑</t>
        </is>
      </c>
      <c r="C62" s="48">
        <f>IF(OR(C59="",C60="",C61=""),"",IFERROR(C59+C60-C61,""))</f>
        <v/>
      </c>
      <c r="D62" s="49">
        <f>IF(OR(D59="",D60="",D61=""),"",IFERROR(D59+D60-D61,""))</f>
        <v/>
      </c>
      <c r="E62" s="49">
        <f>IF(OR(E59="",E60="",E61=""),"",IFERROR(E59+E60-E61,""))</f>
        <v/>
      </c>
      <c r="F62" s="49">
        <f>IF(OR(F59="",F60="",F61=""),"",IFERROR(F59+F60-F61,""))</f>
        <v/>
      </c>
      <c r="G62" s="49">
        <f>IF(OR(G59="",G60="",G61=""),"",IFERROR(G59+G60-G61,""))</f>
        <v/>
      </c>
      <c r="H62" s="48">
        <f>IF(OR(H59="",H60="",H61=""),"",IFERROR(H59+H60-H61,""))</f>
        <v/>
      </c>
      <c r="I62" s="49">
        <f>IF(OR(I59="",I60="",I61=""),"",IFERROR(I59+I60-I61,""))</f>
        <v/>
      </c>
      <c r="J62" s="49">
        <f>IF(OR(J59="",J60="",J61=""),"",IFERROR(J59+J60-J61,""))</f>
        <v/>
      </c>
      <c r="K62" s="49">
        <f>IF(OR(K59="",K60="",K61=""),"",IFERROR(K59+K60-K61,""))</f>
        <v/>
      </c>
      <c r="L62" s="49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5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IF(C37="","",IFERROR(C37/(IF(COUNT('연간'!G59:J59)&lt;4,"",SUM('연간'!G59:J59))),""))</f>
        <v/>
      </c>
      <c r="D64" s="31">
        <f>IF(D37="","",IFERROR(D37/(IF(COUNT('연간'!H59:K59)&lt;4,"",SUM('연간'!H59:K59))),""))</f>
        <v/>
      </c>
      <c r="E64" s="31">
        <f>IF(E37="","",IFERROR(E37/(IF(COUNT('연간'!I59:L59)&lt;4,"",SUM('연간'!I59:L59))),""))</f>
        <v/>
      </c>
      <c r="F64" s="31">
        <f>IF(F37="","",IFERROR(F37/(IF(COUNT('연간'!J59:M59)&lt;4,"",SUM('연간'!J59:M59))),""))</f>
        <v/>
      </c>
      <c r="G64" s="31">
        <f>IF(G37="","",IFERROR(G37/(IF(COUNT('연간'!K59:N59)&lt;4,"",SUM('연간'!K59:N59))),""))</f>
        <v/>
      </c>
      <c r="H64" s="30">
        <f>IF(H37="","",IFERROR(H37/('연간'!T59),""))</f>
        <v/>
      </c>
      <c r="I64" s="31">
        <f>IF(I37="","",IFERROR(I37/('연간'!U59),""))</f>
        <v/>
      </c>
      <c r="J64" s="31">
        <f>IF(J37="","",IFERROR(J37/('연간'!V59),""))</f>
        <v/>
      </c>
      <c r="K64" s="31">
        <f>IF(K37="","",IFERROR(K37/('연간'!W59),""))</f>
        <v/>
      </c>
      <c r="L64" s="31">
        <f>IF(L37="","",IFERROR(L37/('연간'!X59),""))</f>
        <v/>
      </c>
    </row>
    <row r="65">
      <c r="A65" s="45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5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5" t="inlineStr">
        <is>
          <t>배당성향</t>
        </is>
      </c>
      <c r="B67" s="10" t="inlineStr">
        <is>
          <t>참고</t>
        </is>
      </c>
      <c r="C67" s="35">
        <f>IF(C40="","",IFERROR(C40/(IF(COUNT('연간'!G61:J61)&lt;4,"",SUM('연간'!G61:J61))),""))</f>
        <v/>
      </c>
      <c r="D67" s="36">
        <f>IF(D40="","",IFERROR(D40/(IF(COUNT('연간'!H61:K61)&lt;4,"",SUM('연간'!H61:K61))),""))</f>
        <v/>
      </c>
      <c r="E67" s="36">
        <f>IF(E40="","",IFERROR(E40/(IF(COUNT('연간'!I61:L61)&lt;4,"",SUM('연간'!I61:L61))),""))</f>
        <v/>
      </c>
      <c r="F67" s="36">
        <f>IF(F40="","",IFERROR(F40/(IF(COUNT('연간'!J61:M61)&lt;4,"",SUM('연간'!J61:M61))),""))</f>
        <v/>
      </c>
      <c r="G67" s="36">
        <f>IF(G40="","",IFERROR(G40/(IF(COUNT('연간'!K61:N61)&lt;4,"",SUM('연간'!K61:N61))),""))</f>
        <v/>
      </c>
      <c r="H67" s="35">
        <f>IF(H40="","",IFERROR(H40/('연간'!T61),""))</f>
        <v/>
      </c>
      <c r="I67" s="36">
        <f>IF(I40="","",IFERROR(I40/('연간'!U61),""))</f>
        <v/>
      </c>
      <c r="J67" s="36">
        <f>IF(J40="","",IFERROR(J40/('연간'!V61),""))</f>
        <v/>
      </c>
      <c r="K67" s="36">
        <f>IF(K40="","",IFERROR(K40/('연간'!W61),""))</f>
        <v/>
      </c>
      <c r="L67" s="36">
        <f>IF(L40="","",IFERROR(L40/('연간'!X61),""))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2026.2Q</t>
        </is>
      </c>
      <c r="D70" s="5" t="inlineStr">
        <is>
          <t>2026.3Q</t>
        </is>
      </c>
      <c r="E70" s="5" t="inlineStr">
        <is>
          <t>2026.4Q</t>
        </is>
      </c>
      <c r="F70" s="5" t="inlineStr">
        <is>
          <t>2027.1Q</t>
        </is>
      </c>
      <c r="G70" s="5" t="inlineStr">
        <is>
          <t>2027.2Q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9185.025</v>
      </c>
      <c r="D71" s="20" t="n">
        <v>7614.044</v>
      </c>
      <c r="E71" s="20" t="n">
        <v>9573.429</v>
      </c>
      <c r="F71" s="20" t="n">
        <v>9304.768</v>
      </c>
      <c r="G71" s="20" t="n">
        <v>8374.746999999999</v>
      </c>
      <c r="H71" s="20" t="n">
        <v>8065.909</v>
      </c>
      <c r="I71" s="20" t="n">
        <v>7542.31</v>
      </c>
      <c r="J71" s="20" t="n">
        <v>8641.246999999999</v>
      </c>
      <c r="K71" s="20" t="n">
        <v>4929.727</v>
      </c>
      <c r="L71" s="20" t="n">
        <v>9573.429</v>
      </c>
    </row>
    <row r="72">
      <c r="A72" s="18" t="inlineStr">
        <is>
          <t>받을어음·매출채권</t>
        </is>
      </c>
      <c r="C72" s="20" t="n">
        <v>4074.147</v>
      </c>
      <c r="D72" s="20" t="n">
        <v>4925.117</v>
      </c>
      <c r="H72" s="20" t="n">
        <v>4416.885</v>
      </c>
      <c r="I72" s="20" t="n">
        <v>4501.078</v>
      </c>
      <c r="J72" s="20" t="n">
        <v>4515.369</v>
      </c>
      <c r="K72" s="20" t="n">
        <v>4198.856</v>
      </c>
    </row>
    <row r="73">
      <c r="A73" s="18" t="inlineStr">
        <is>
          <t>받을어음</t>
        </is>
      </c>
      <c r="E73" s="20" t="n">
        <v>13.855</v>
      </c>
      <c r="F73" s="20" t="n">
        <v>4.675</v>
      </c>
      <c r="G73" s="20" t="n">
        <v>0</v>
      </c>
      <c r="H73" s="20" t="n">
        <v>1089.103</v>
      </c>
      <c r="I73" s="20" t="n">
        <v>1150.864</v>
      </c>
      <c r="J73" s="20" t="n">
        <v>847.4109999999999</v>
      </c>
      <c r="K73" s="20" t="n">
        <v>355.666</v>
      </c>
      <c r="L73" s="20" t="n">
        <v>13.855</v>
      </c>
    </row>
    <row r="74">
      <c r="A74" s="18" t="inlineStr">
        <is>
          <t>전자기록채권</t>
        </is>
      </c>
      <c r="E74" s="20" t="n">
        <v>1469.211</v>
      </c>
      <c r="F74" s="20" t="n">
        <v>1475.108</v>
      </c>
      <c r="G74" s="20" t="n">
        <v>1274.748</v>
      </c>
      <c r="H74" s="20" t="n">
        <v>562.9109999999999</v>
      </c>
      <c r="I74" s="20" t="n">
        <v>628.052</v>
      </c>
      <c r="J74" s="20" t="n">
        <v>892.829</v>
      </c>
      <c r="K74" s="20" t="n">
        <v>1080.197</v>
      </c>
      <c r="L74" s="20" t="n">
        <v>1469.211</v>
      </c>
    </row>
    <row r="75">
      <c r="A75" s="18" t="inlineStr">
        <is>
          <t>매출채권</t>
        </is>
      </c>
      <c r="E75" s="20" t="n">
        <v>2759.481</v>
      </c>
      <c r="F75" s="20" t="n">
        <v>2571.263</v>
      </c>
      <c r="G75" s="20" t="n">
        <v>2736.393</v>
      </c>
      <c r="H75" s="20" t="n">
        <v>2574.977</v>
      </c>
      <c r="I75" s="20" t="n">
        <v>2474.551</v>
      </c>
      <c r="J75" s="20" t="n">
        <v>2525.196</v>
      </c>
      <c r="K75" s="20" t="n">
        <v>2552.777</v>
      </c>
      <c r="L75" s="20" t="n">
        <v>2759.481</v>
      </c>
    </row>
    <row r="76">
      <c r="A76" s="18" t="inlineStr">
        <is>
          <t>유가증권</t>
        </is>
      </c>
      <c r="C76" s="20" t="n">
        <v>441.505</v>
      </c>
      <c r="D76" s="20" t="n">
        <v>465.132</v>
      </c>
      <c r="E76" s="20" t="n">
        <v>475.771</v>
      </c>
      <c r="F76" s="20" t="n">
        <v>484.011</v>
      </c>
      <c r="G76" s="20" t="n">
        <v>0</v>
      </c>
      <c r="H76" s="20" t="n">
        <v>2002.652</v>
      </c>
      <c r="I76" s="20" t="n">
        <v>748.2670000000001</v>
      </c>
      <c r="J76" s="20" t="n">
        <v>0</v>
      </c>
      <c r="K76" s="20" t="n">
        <v>0</v>
      </c>
      <c r="L76" s="20" t="n">
        <v>475.771</v>
      </c>
    </row>
    <row r="77">
      <c r="A77" s="18" t="inlineStr">
        <is>
          <t>상품·제품</t>
        </is>
      </c>
      <c r="C77" s="20" t="n">
        <v>799.206</v>
      </c>
      <c r="D77" s="20" t="n">
        <v>761.486</v>
      </c>
      <c r="E77" s="20" t="n">
        <v>696.04</v>
      </c>
      <c r="F77" s="20" t="n">
        <v>715.599</v>
      </c>
      <c r="G77" s="20" t="n">
        <v>704.875</v>
      </c>
      <c r="H77" s="20" t="n">
        <v>443.697</v>
      </c>
      <c r="I77" s="20" t="n">
        <v>688.357</v>
      </c>
      <c r="J77" s="20" t="n">
        <v>643.397</v>
      </c>
      <c r="K77" s="20" t="n">
        <v>692.7190000000001</v>
      </c>
      <c r="L77" s="20" t="n">
        <v>696.04</v>
      </c>
    </row>
    <row r="78">
      <c r="A78" s="18" t="inlineStr">
        <is>
          <t>재공품</t>
        </is>
      </c>
      <c r="C78" s="20" t="n">
        <v>585.854</v>
      </c>
      <c r="D78" s="20" t="n">
        <v>583.942</v>
      </c>
      <c r="E78" s="20" t="n">
        <v>558.79</v>
      </c>
      <c r="F78" s="20" t="n">
        <v>654.826</v>
      </c>
      <c r="G78" s="20" t="n">
        <v>719.527</v>
      </c>
      <c r="H78" s="20" t="n">
        <v>377.573</v>
      </c>
      <c r="I78" s="20" t="n">
        <v>488.403</v>
      </c>
      <c r="J78" s="20" t="n">
        <v>581.647</v>
      </c>
      <c r="K78" s="20" t="n">
        <v>413.111</v>
      </c>
      <c r="L78" s="20" t="n">
        <v>558.79</v>
      </c>
    </row>
    <row r="79">
      <c r="A79" s="18" t="inlineStr">
        <is>
          <t>원재료·저장품</t>
        </is>
      </c>
      <c r="C79" s="20" t="n">
        <v>2746.368</v>
      </c>
      <c r="D79" s="20" t="n">
        <v>2184.521</v>
      </c>
      <c r="E79" s="20" t="n">
        <v>1668.877</v>
      </c>
      <c r="F79" s="20" t="n">
        <v>1678.4</v>
      </c>
      <c r="G79" s="20" t="n">
        <v>2474.11</v>
      </c>
      <c r="H79" s="20" t="n">
        <v>1363.574</v>
      </c>
      <c r="I79" s="20" t="n">
        <v>2249.402</v>
      </c>
      <c r="J79" s="20" t="n">
        <v>2402.463</v>
      </c>
      <c r="K79" s="20" t="n">
        <v>3381.469</v>
      </c>
      <c r="L79" s="20" t="n">
        <v>1668.877</v>
      </c>
    </row>
    <row r="80">
      <c r="A80" s="18" t="inlineStr">
        <is>
          <t>선급비용</t>
        </is>
      </c>
      <c r="E80" s="20" t="n">
        <v>33.084</v>
      </c>
      <c r="H80" s="20" t="n">
        <v>13.037</v>
      </c>
      <c r="I80" s="20" t="n">
        <v>21.819</v>
      </c>
      <c r="J80" s="20" t="n">
        <v>15.214</v>
      </c>
      <c r="K80" s="20" t="n">
        <v>20.281</v>
      </c>
      <c r="L80" s="20" t="n">
        <v>33.084</v>
      </c>
    </row>
    <row r="81">
      <c r="A81" s="18" t="inlineStr">
        <is>
          <t>단기대여금</t>
        </is>
      </c>
      <c r="D81" s="20" t="n">
        <v>1647.968</v>
      </c>
      <c r="E81" s="20" t="n">
        <v>1750.742</v>
      </c>
      <c r="F81" s="20" t="n">
        <v>1804.755</v>
      </c>
      <c r="G81" s="20" t="n">
        <v>1849.63</v>
      </c>
      <c r="K81" s="20" t="n">
        <v>0</v>
      </c>
      <c r="L81" s="20" t="n">
        <v>1750.742</v>
      </c>
    </row>
    <row r="82">
      <c r="A82" s="18" t="inlineStr">
        <is>
          <t>기타</t>
        </is>
      </c>
      <c r="C82" s="20" t="n">
        <v>98.337</v>
      </c>
      <c r="D82" s="20" t="n">
        <v>81.07899999999999</v>
      </c>
      <c r="E82" s="20" t="n">
        <v>59.421</v>
      </c>
      <c r="F82" s="20" t="n">
        <v>95.364</v>
      </c>
      <c r="G82" s="20" t="n">
        <v>221.877</v>
      </c>
      <c r="H82" s="20" t="n">
        <v>110.75</v>
      </c>
      <c r="I82" s="20" t="n">
        <v>192.355</v>
      </c>
      <c r="J82" s="20" t="n">
        <v>37.77</v>
      </c>
      <c r="K82" s="20" t="n">
        <v>180.09</v>
      </c>
      <c r="L82" s="20" t="n">
        <v>59.421</v>
      </c>
    </row>
    <row r="83">
      <c r="A83" s="18" t="inlineStr">
        <is>
          <t>대손충당금</t>
        </is>
      </c>
      <c r="C83" s="20" t="n">
        <v>-0.04</v>
      </c>
      <c r="D83" s="20" t="n">
        <v>-0.139</v>
      </c>
      <c r="E83" s="20" t="n">
        <v>-0.08599999999999999</v>
      </c>
      <c r="F83" s="20" t="n">
        <v>-0.157</v>
      </c>
      <c r="G83" s="20" t="n">
        <v>-0.044</v>
      </c>
      <c r="H83" s="20" t="n">
        <v>0</v>
      </c>
      <c r="I83" s="20" t="n">
        <v>-0.059</v>
      </c>
      <c r="J83" s="20" t="n">
        <v>-0.196</v>
      </c>
      <c r="K83" s="20" t="n">
        <v>-1.083</v>
      </c>
      <c r="L83" s="20" t="n">
        <v>-0.08599999999999999</v>
      </c>
    </row>
    <row r="84">
      <c r="A84" s="9" t="inlineStr">
        <is>
          <t>유동자산 합계</t>
        </is>
      </c>
      <c r="C84" s="12" t="n">
        <v>17930.404</v>
      </c>
      <c r="D84" s="12" t="n">
        <v>18263.153</v>
      </c>
      <c r="E84" s="12" t="n">
        <v>19025.534</v>
      </c>
      <c r="F84" s="12" t="n">
        <v>18788.614</v>
      </c>
      <c r="G84" s="12" t="n">
        <v>18355.867</v>
      </c>
      <c r="H84" s="12" t="n">
        <v>16781.043</v>
      </c>
      <c r="I84" s="12" t="n">
        <v>16410.115</v>
      </c>
      <c r="J84" s="12" t="n">
        <v>16821.7</v>
      </c>
      <c r="K84" s="12" t="n">
        <v>13604.958</v>
      </c>
      <c r="L84" s="12" t="n">
        <v>19025.534</v>
      </c>
    </row>
    <row r="85">
      <c r="A85" s="18" t="inlineStr">
        <is>
          <t>건물·구축물</t>
        </is>
      </c>
      <c r="E85" s="20" t="n">
        <v>7619.973</v>
      </c>
      <c r="H85" s="20" t="n">
        <v>7187.088</v>
      </c>
      <c r="I85" s="20" t="n">
        <v>7251.528</v>
      </c>
      <c r="J85" s="20" t="n">
        <v>7319.271</v>
      </c>
      <c r="K85" s="20" t="n">
        <v>7438.526</v>
      </c>
      <c r="L85" s="20" t="n">
        <v>7619.973</v>
      </c>
    </row>
    <row r="86">
      <c r="A86" s="18" t="inlineStr">
        <is>
          <t>감가상각누계액</t>
        </is>
      </c>
      <c r="E86" s="20" t="n">
        <v>-5716.747</v>
      </c>
      <c r="H86" s="20" t="n">
        <v>-5248.011</v>
      </c>
      <c r="I86" s="20" t="n">
        <v>-5372.556</v>
      </c>
      <c r="J86" s="20" t="n">
        <v>-5489.204</v>
      </c>
      <c r="K86" s="20" t="n">
        <v>-5630.275</v>
      </c>
      <c r="L86" s="20" t="n">
        <v>-5716.747</v>
      </c>
    </row>
    <row r="87">
      <c r="A87" s="18" t="inlineStr">
        <is>
          <t>손상차손누계액</t>
        </is>
      </c>
      <c r="E87" s="20" t="n">
        <v>-0.518</v>
      </c>
      <c r="H87" s="20" t="n">
        <v>-0.518</v>
      </c>
      <c r="I87" s="20" t="n">
        <v>-0.518</v>
      </c>
      <c r="J87" s="20" t="n">
        <v>-0.518</v>
      </c>
      <c r="K87" s="20" t="n">
        <v>-0.518</v>
      </c>
      <c r="L87" s="20" t="n">
        <v>-0.518</v>
      </c>
    </row>
    <row r="88">
      <c r="A88" s="18" t="inlineStr">
        <is>
          <t>건물</t>
        </is>
      </c>
      <c r="E88" s="20" t="n">
        <v>1397.509</v>
      </c>
      <c r="H88" s="20" t="n">
        <v>1415.206</v>
      </c>
      <c r="I88" s="20" t="n">
        <v>1362.825</v>
      </c>
      <c r="J88" s="20" t="n">
        <v>1329.408</v>
      </c>
      <c r="K88" s="20" t="n">
        <v>1284.804</v>
      </c>
      <c r="L88" s="20" t="n">
        <v>1397.509</v>
      </c>
    </row>
    <row r="89">
      <c r="A89" s="18" t="inlineStr">
        <is>
          <t>구축물</t>
        </is>
      </c>
      <c r="E89" s="20" t="n">
        <v>222.668</v>
      </c>
      <c r="H89" s="20" t="n">
        <v>167.443</v>
      </c>
      <c r="I89" s="20" t="n">
        <v>155.137</v>
      </c>
      <c r="J89" s="20" t="n">
        <v>167.953</v>
      </c>
      <c r="K89" s="20" t="n">
        <v>211.403</v>
      </c>
      <c r="L89" s="20" t="n">
        <v>222.668</v>
      </c>
    </row>
    <row r="90">
      <c r="A90" s="18" t="inlineStr">
        <is>
          <t>기계장치</t>
        </is>
      </c>
      <c r="E90" s="20" t="n">
        <v>1340.738</v>
      </c>
      <c r="H90" s="20" t="n">
        <v>1574.979</v>
      </c>
      <c r="I90" s="20" t="n">
        <v>1504.608</v>
      </c>
      <c r="J90" s="20" t="n">
        <v>1584.469</v>
      </c>
      <c r="K90" s="20" t="n">
        <v>1343.288</v>
      </c>
      <c r="L90" s="20" t="n">
        <v>1340.738</v>
      </c>
    </row>
    <row r="91">
      <c r="A91" s="18" t="inlineStr">
        <is>
          <t>차량운반구</t>
        </is>
      </c>
      <c r="E91" s="20" t="n">
        <v>27.634</v>
      </c>
      <c r="H91" s="20" t="n">
        <v>6.053</v>
      </c>
      <c r="I91" s="20" t="n">
        <v>5.357</v>
      </c>
      <c r="J91" s="20" t="n">
        <v>10.854</v>
      </c>
      <c r="K91" s="20" t="n">
        <v>10.983</v>
      </c>
      <c r="L91" s="20" t="n">
        <v>27.634</v>
      </c>
    </row>
    <row r="92">
      <c r="A92" s="18" t="inlineStr">
        <is>
          <t>공구·기구·비품</t>
        </is>
      </c>
      <c r="E92" s="20" t="n">
        <v>126.303</v>
      </c>
      <c r="H92" s="20" t="n">
        <v>71.614</v>
      </c>
      <c r="I92" s="20" t="n">
        <v>119.787</v>
      </c>
      <c r="J92" s="20" t="n">
        <v>109.428</v>
      </c>
      <c r="K92" s="20" t="n">
        <v>111.372</v>
      </c>
      <c r="L92" s="20" t="n">
        <v>126.303</v>
      </c>
    </row>
    <row r="93">
      <c r="A93" s="18" t="inlineStr">
        <is>
          <t>건물·구축물(순액)</t>
        </is>
      </c>
      <c r="C93" s="20" t="n">
        <v>1905.278</v>
      </c>
      <c r="D93" s="20" t="n">
        <v>1942.975</v>
      </c>
      <c r="E93" s="20" t="n">
        <v>1902.707</v>
      </c>
      <c r="F93" s="20" t="n">
        <v>1898.269</v>
      </c>
      <c r="G93" s="20" t="n">
        <v>1926.614</v>
      </c>
      <c r="H93" s="20" t="n">
        <v>1938.558</v>
      </c>
      <c r="I93" s="20" t="n">
        <v>1878.454</v>
      </c>
      <c r="J93" s="20" t="n">
        <v>1829.548</v>
      </c>
      <c r="K93" s="20" t="n">
        <v>1807.733</v>
      </c>
      <c r="L93" s="20" t="n">
        <v>1902.707</v>
      </c>
    </row>
    <row r="94">
      <c r="A94" s="18" t="inlineStr">
        <is>
          <t>기계장치·운반구</t>
        </is>
      </c>
      <c r="E94" s="20" t="n">
        <v>15027.477</v>
      </c>
      <c r="H94" s="20" t="n">
        <v>13496.986</v>
      </c>
      <c r="I94" s="20" t="n">
        <v>13853.507</v>
      </c>
      <c r="J94" s="20" t="n">
        <v>14431.178</v>
      </c>
      <c r="K94" s="20" t="n">
        <v>14550.747</v>
      </c>
      <c r="L94" s="20" t="n">
        <v>15027.477</v>
      </c>
    </row>
    <row r="95">
      <c r="A95" s="18" t="inlineStr">
        <is>
          <t>감가상각누계액</t>
        </is>
      </c>
      <c r="E95" s="20" t="n">
        <v>-13515.629</v>
      </c>
      <c r="H95" s="20" t="n">
        <v>-11648.373</v>
      </c>
      <c r="I95" s="20" t="n">
        <v>-12112.257</v>
      </c>
      <c r="J95" s="20" t="n">
        <v>-12614.895</v>
      </c>
      <c r="K95" s="20" t="n">
        <v>-13028.681</v>
      </c>
      <c r="L95" s="20" t="n">
        <v>-13515.629</v>
      </c>
    </row>
    <row r="96">
      <c r="A96" s="18" t="inlineStr">
        <is>
          <t>손상차손누계액</t>
        </is>
      </c>
      <c r="E96" s="20" t="n">
        <v>-20.683</v>
      </c>
      <c r="H96" s="20" t="n">
        <v>-20.683</v>
      </c>
      <c r="I96" s="20" t="n">
        <v>-20.683</v>
      </c>
      <c r="J96" s="20" t="n">
        <v>-20.683</v>
      </c>
      <c r="K96" s="20" t="n">
        <v>-20.683</v>
      </c>
      <c r="L96" s="20" t="n">
        <v>-20.683</v>
      </c>
    </row>
    <row r="97">
      <c r="A97" s="18" t="inlineStr">
        <is>
          <t>기계장치·운반구(순액)</t>
        </is>
      </c>
      <c r="C97" s="20" t="n">
        <v>1470.905</v>
      </c>
      <c r="D97" s="20" t="n">
        <v>1485</v>
      </c>
      <c r="E97" s="20" t="n">
        <v>1491.164</v>
      </c>
      <c r="F97" s="20" t="n">
        <v>1424.563</v>
      </c>
      <c r="G97" s="20" t="n">
        <v>1773.221</v>
      </c>
      <c r="H97" s="20" t="n">
        <v>1827.93</v>
      </c>
      <c r="I97" s="20" t="n">
        <v>1720.566</v>
      </c>
      <c r="J97" s="20" t="n">
        <v>1795.599</v>
      </c>
      <c r="K97" s="20" t="n">
        <v>1501.382</v>
      </c>
      <c r="L97" s="20" t="n">
        <v>1491.164</v>
      </c>
    </row>
    <row r="98">
      <c r="A98" s="18" t="inlineStr">
        <is>
          <t>토지</t>
        </is>
      </c>
      <c r="C98" s="20" t="n">
        <v>1874.876</v>
      </c>
      <c r="D98" s="20" t="n">
        <v>1874.876</v>
      </c>
      <c r="E98" s="20" t="n">
        <v>1874.876</v>
      </c>
      <c r="F98" s="20" t="n">
        <v>1874.876</v>
      </c>
      <c r="G98" s="20" t="n">
        <v>1875.091</v>
      </c>
      <c r="H98" s="20" t="n">
        <v>1778.514</v>
      </c>
      <c r="I98" s="20" t="n">
        <v>1874.629</v>
      </c>
      <c r="J98" s="20" t="n">
        <v>1875.419</v>
      </c>
      <c r="K98" s="20" t="n">
        <v>1687.599</v>
      </c>
      <c r="L98" s="20" t="n">
        <v>1874.876</v>
      </c>
    </row>
    <row r="99">
      <c r="A99" s="18" t="inlineStr">
        <is>
          <t>리스자산</t>
        </is>
      </c>
      <c r="E99" s="20" t="n">
        <v>290.218</v>
      </c>
      <c r="H99" s="20" t="n">
        <v>363.57</v>
      </c>
      <c r="I99" s="20" t="n">
        <v>363.186</v>
      </c>
      <c r="J99" s="20" t="n">
        <v>357.653</v>
      </c>
      <c r="K99" s="20" t="n">
        <v>355.96</v>
      </c>
      <c r="L99" s="20" t="n">
        <v>290.218</v>
      </c>
    </row>
    <row r="100">
      <c r="A100" s="18" t="inlineStr">
        <is>
          <t>감가상각누계액</t>
        </is>
      </c>
      <c r="E100" s="20" t="n">
        <v>-259.833</v>
      </c>
      <c r="H100" s="20" t="n">
        <v>-260.162</v>
      </c>
      <c r="I100" s="20" t="n">
        <v>-275.47</v>
      </c>
      <c r="J100" s="20" t="n">
        <v>-292.905</v>
      </c>
      <c r="K100" s="20" t="n">
        <v>-308.079</v>
      </c>
      <c r="L100" s="20" t="n">
        <v>-259.833</v>
      </c>
    </row>
    <row r="101">
      <c r="A101" s="18" t="inlineStr">
        <is>
          <t>리스자산(순액)</t>
        </is>
      </c>
      <c r="C101" s="20" t="n">
        <v>34.005</v>
      </c>
      <c r="D101" s="20" t="n">
        <v>33.827</v>
      </c>
      <c r="E101" s="20" t="n">
        <v>30.384</v>
      </c>
      <c r="F101" s="20" t="n">
        <v>55.098</v>
      </c>
      <c r="G101" s="20" t="n">
        <v>55.149</v>
      </c>
      <c r="H101" s="20" t="n">
        <v>103.407</v>
      </c>
      <c r="I101" s="20" t="n">
        <v>87.715</v>
      </c>
      <c r="J101" s="20" t="n">
        <v>64.748</v>
      </c>
      <c r="K101" s="20" t="n">
        <v>22.167</v>
      </c>
      <c r="L101" s="20" t="n">
        <v>30.384</v>
      </c>
    </row>
    <row r="102">
      <c r="A102" s="18" t="inlineStr">
        <is>
          <t>건설중인자산</t>
        </is>
      </c>
      <c r="C102" s="20" t="n">
        <v>161.781</v>
      </c>
      <c r="D102" s="20" t="n">
        <v>380.77</v>
      </c>
      <c r="E102" s="20" t="n">
        <v>405.176</v>
      </c>
      <c r="F102" s="20" t="n">
        <v>540.228</v>
      </c>
      <c r="G102" s="20" t="n">
        <v>434.3</v>
      </c>
      <c r="H102" s="20" t="n">
        <v>130.633</v>
      </c>
      <c r="I102" s="20" t="n">
        <v>158.983</v>
      </c>
      <c r="J102" s="20" t="n">
        <v>71.97199999999999</v>
      </c>
      <c r="K102" s="20" t="n">
        <v>83.79300000000001</v>
      </c>
      <c r="L102" s="20" t="n">
        <v>405.176</v>
      </c>
    </row>
    <row r="103">
      <c r="A103" s="18" t="inlineStr">
        <is>
          <t>기타</t>
        </is>
      </c>
      <c r="E103" s="20" t="n">
        <v>854.107</v>
      </c>
      <c r="H103" s="20" t="n">
        <v>707.8579999999999</v>
      </c>
      <c r="I103" s="20" t="n">
        <v>768.46</v>
      </c>
      <c r="J103" s="20" t="n">
        <v>799.7809999999999</v>
      </c>
      <c r="K103" s="20" t="n">
        <v>841.229</v>
      </c>
      <c r="L103" s="20" t="n">
        <v>854.107</v>
      </c>
    </row>
    <row r="104">
      <c r="A104" s="18" t="inlineStr">
        <is>
          <t>감가상각누계액</t>
        </is>
      </c>
      <c r="E104" s="20" t="n">
        <v>-721.176</v>
      </c>
      <c r="H104" s="20" t="n">
        <v>-631.034</v>
      </c>
      <c r="I104" s="20" t="n">
        <v>-639.4930000000001</v>
      </c>
      <c r="J104" s="20" t="n">
        <v>-678.0170000000001</v>
      </c>
      <c r="K104" s="20" t="n">
        <v>-721.103</v>
      </c>
      <c r="L104" s="20" t="n">
        <v>-721.176</v>
      </c>
    </row>
    <row r="105">
      <c r="A105" s="18" t="inlineStr">
        <is>
          <t>기타(순액)</t>
        </is>
      </c>
      <c r="C105" s="20" t="n">
        <v>155.046</v>
      </c>
      <c r="D105" s="20" t="n">
        <v>145.89</v>
      </c>
      <c r="E105" s="20" t="n">
        <v>132.93</v>
      </c>
      <c r="F105" s="20" t="n">
        <v>148.599</v>
      </c>
      <c r="G105" s="20" t="n">
        <v>153.975</v>
      </c>
      <c r="H105" s="20" t="n">
        <v>76.82299999999999</v>
      </c>
      <c r="I105" s="20" t="n">
        <v>128.967</v>
      </c>
      <c r="J105" s="20" t="n">
        <v>121.764</v>
      </c>
      <c r="K105" s="20" t="n">
        <v>120.125</v>
      </c>
      <c r="L105" s="20" t="n">
        <v>132.93</v>
      </c>
    </row>
    <row r="106">
      <c r="A106" s="18" t="inlineStr">
        <is>
          <t>유형자산 합계</t>
        </is>
      </c>
      <c r="C106" s="20" t="n">
        <v>5601.893</v>
      </c>
      <c r="D106" s="20" t="n">
        <v>5863.342</v>
      </c>
      <c r="E106" s="20" t="n">
        <v>5837.239</v>
      </c>
      <c r="F106" s="20" t="n">
        <v>5941.635</v>
      </c>
      <c r="G106" s="20" t="n">
        <v>6218.353</v>
      </c>
      <c r="H106" s="20" t="n">
        <v>5855.867</v>
      </c>
      <c r="I106" s="20" t="n">
        <v>5849.317</v>
      </c>
      <c r="J106" s="20" t="n">
        <v>5759.053</v>
      </c>
      <c r="K106" s="20" t="n">
        <v>4755.412</v>
      </c>
      <c r="L106" s="20" t="n">
        <v>5837.239</v>
      </c>
    </row>
    <row r="107">
      <c r="A107" s="18" t="inlineStr">
        <is>
          <t>무형자산</t>
        </is>
      </c>
      <c r="C107" s="20" t="n">
        <v>707.364</v>
      </c>
      <c r="D107" s="20" t="n">
        <v>668.88</v>
      </c>
      <c r="E107" s="20" t="n">
        <v>632.8680000000001</v>
      </c>
      <c r="F107" s="20" t="n">
        <v>605.569</v>
      </c>
      <c r="G107" s="20" t="n">
        <v>568.614</v>
      </c>
      <c r="H107" s="20" t="n">
        <v>78.562</v>
      </c>
      <c r="I107" s="20" t="n">
        <v>80.092</v>
      </c>
      <c r="J107" s="20" t="n">
        <v>263.262</v>
      </c>
      <c r="K107" s="20" t="n">
        <v>772.217</v>
      </c>
      <c r="L107" s="20" t="n">
        <v>632.8680000000001</v>
      </c>
    </row>
    <row r="108">
      <c r="A108" s="18" t="inlineStr">
        <is>
          <t>투자 및 기타자산</t>
        </is>
      </c>
      <c r="C108" s="20" t="n">
        <v>1300.04</v>
      </c>
      <c r="D108" s="20" t="n">
        <v>1278.302</v>
      </c>
      <c r="J108" s="20" t="n">
        <v>2386.186</v>
      </c>
      <c r="K108" s="20" t="n">
        <v>2182.333</v>
      </c>
    </row>
    <row r="109">
      <c r="A109" s="18" t="inlineStr">
        <is>
          <t>투자유가증권</t>
        </is>
      </c>
      <c r="E109" s="20" t="n">
        <v>413.724</v>
      </c>
      <c r="H109" s="20" t="n">
        <v>1577.586</v>
      </c>
      <c r="I109" s="20" t="n">
        <v>1704.976</v>
      </c>
      <c r="J109" s="20" t="n">
        <v>1887.27</v>
      </c>
      <c r="K109" s="20" t="n">
        <v>1244.172</v>
      </c>
      <c r="L109" s="20" t="n">
        <v>413.724</v>
      </c>
    </row>
    <row r="110">
      <c r="A110" s="18" t="inlineStr">
        <is>
          <t>관계회사 주식</t>
        </is>
      </c>
      <c r="E110" s="20" t="n">
        <v>739.194</v>
      </c>
      <c r="H110" s="20" t="n">
        <v>751.292</v>
      </c>
      <c r="I110" s="20" t="n">
        <v>751.292</v>
      </c>
      <c r="J110" s="20" t="n">
        <v>751.292</v>
      </c>
      <c r="K110" s="20" t="n">
        <v>751.292</v>
      </c>
      <c r="L110" s="20" t="n">
        <v>739.194</v>
      </c>
    </row>
    <row r="111">
      <c r="A111" s="18" t="inlineStr">
        <is>
          <t>장기대여금</t>
        </is>
      </c>
      <c r="E111" s="20" t="n">
        <v>230.83</v>
      </c>
      <c r="H111" s="20" t="n">
        <v>201.989</v>
      </c>
      <c r="I111" s="20" t="n">
        <v>329.983</v>
      </c>
      <c r="J111" s="20" t="n">
        <v>237.979</v>
      </c>
      <c r="K111" s="20" t="n">
        <v>344.83</v>
      </c>
      <c r="L111" s="20" t="n">
        <v>230.83</v>
      </c>
    </row>
    <row r="112">
      <c r="A112" s="18" t="inlineStr">
        <is>
          <t>장기선급비용</t>
        </is>
      </c>
      <c r="E112" s="20" t="n">
        <v>26.393</v>
      </c>
      <c r="H112" s="20" t="n">
        <v>0</v>
      </c>
      <c r="I112" s="20" t="n">
        <v>32.262</v>
      </c>
      <c r="J112" s="20" t="n">
        <v>31.957</v>
      </c>
      <c r="K112" s="20" t="n">
        <v>29.167</v>
      </c>
      <c r="L112" s="20" t="n">
        <v>26.393</v>
      </c>
    </row>
    <row r="113">
      <c r="A113" s="18" t="inlineStr">
        <is>
          <t>이연법인세자산</t>
        </is>
      </c>
      <c r="E113" s="20" t="n">
        <v>108.26</v>
      </c>
      <c r="H113" s="20" t="n">
        <v>70.015</v>
      </c>
      <c r="I113" s="20" t="n">
        <v>63.339</v>
      </c>
      <c r="J113" s="20" t="n">
        <v>46.598</v>
      </c>
      <c r="K113" s="20" t="n">
        <v>81.675</v>
      </c>
      <c r="L113" s="20" t="n">
        <v>108.26</v>
      </c>
    </row>
    <row r="114">
      <c r="A114" s="18" t="inlineStr">
        <is>
          <t>보험적립금</t>
        </is>
      </c>
      <c r="E114" s="20" t="n">
        <v>179.768</v>
      </c>
      <c r="H114" s="20" t="n">
        <v>199.733</v>
      </c>
      <c r="I114" s="20" t="n">
        <v>199.764</v>
      </c>
      <c r="J114" s="20" t="n">
        <v>207.443</v>
      </c>
      <c r="K114" s="20" t="n">
        <v>207.098</v>
      </c>
      <c r="L114" s="20" t="n">
        <v>179.768</v>
      </c>
    </row>
    <row r="115">
      <c r="A115" s="18" t="inlineStr">
        <is>
          <t>임차보증금·보증금</t>
        </is>
      </c>
      <c r="E115" s="20" t="n">
        <v>26.936</v>
      </c>
      <c r="H115" s="20" t="n">
        <v>27.807</v>
      </c>
      <c r="I115" s="20" t="n">
        <v>27.293</v>
      </c>
      <c r="J115" s="20" t="n">
        <v>26.845</v>
      </c>
      <c r="K115" s="20" t="n">
        <v>26.432</v>
      </c>
      <c r="L115" s="20" t="n">
        <v>26.936</v>
      </c>
    </row>
    <row r="116">
      <c r="A116" s="18" t="inlineStr">
        <is>
          <t>기타</t>
        </is>
      </c>
      <c r="E116" s="20" t="n">
        <v>44.045</v>
      </c>
      <c r="H116" s="20" t="n">
        <v>485.98</v>
      </c>
      <c r="I116" s="20" t="n">
        <v>452.308</v>
      </c>
      <c r="J116" s="20" t="n">
        <v>452.318</v>
      </c>
      <c r="K116" s="20" t="n">
        <v>44.045</v>
      </c>
      <c r="L116" s="20" t="n">
        <v>44.045</v>
      </c>
    </row>
    <row r="117">
      <c r="A117" s="18" t="inlineStr">
        <is>
          <t>대손충당금</t>
        </is>
      </c>
      <c r="C117" s="20" t="n">
        <v>-1.584</v>
      </c>
      <c r="D117" s="20" t="n">
        <v>-1.584</v>
      </c>
      <c r="E117" s="20" t="n">
        <v>0</v>
      </c>
      <c r="H117" s="20" t="n">
        <v>-0.08599999999999999</v>
      </c>
      <c r="I117" s="20" t="n">
        <v>0</v>
      </c>
      <c r="J117" s="20" t="n">
        <v>-1.584</v>
      </c>
      <c r="K117" s="20" t="n">
        <v>-1.584</v>
      </c>
      <c r="L117" s="20" t="n">
        <v>0</v>
      </c>
    </row>
    <row r="118">
      <c r="A118" s="18" t="inlineStr">
        <is>
          <t>투자 및 기타자산</t>
        </is>
      </c>
      <c r="C118" s="20" t="n">
        <v>1298.456</v>
      </c>
      <c r="D118" s="20" t="n">
        <v>1276.718</v>
      </c>
      <c r="E118" s="20" t="n">
        <v>1348.942</v>
      </c>
      <c r="F118" s="20" t="n">
        <v>1256.951</v>
      </c>
      <c r="G118" s="20" t="n">
        <v>1761.702</v>
      </c>
      <c r="H118" s="20" t="n">
        <v>2133.495</v>
      </c>
      <c r="I118" s="20" t="n">
        <v>2220.623</v>
      </c>
      <c r="J118" s="20" t="n">
        <v>2384.602</v>
      </c>
      <c r="K118" s="20" t="n">
        <v>2728.714</v>
      </c>
      <c r="L118" s="20" t="n">
        <v>1348.942</v>
      </c>
    </row>
    <row r="119">
      <c r="A119" s="9" t="inlineStr">
        <is>
          <t>비유동자산 합계</t>
        </is>
      </c>
      <c r="C119" s="12" t="n">
        <v>7607.715</v>
      </c>
      <c r="D119" s="12" t="n">
        <v>7808.941</v>
      </c>
      <c r="E119" s="12" t="n">
        <v>7819.05</v>
      </c>
      <c r="F119" s="12" t="n">
        <v>7804.157</v>
      </c>
      <c r="G119" s="12" t="n">
        <v>8548.67</v>
      </c>
      <c r="H119" s="12" t="n">
        <v>8067.925</v>
      </c>
      <c r="I119" s="12" t="n">
        <v>8150.034</v>
      </c>
      <c r="J119" s="12" t="n">
        <v>8406.918</v>
      </c>
      <c r="K119" s="12" t="n">
        <v>8256.343999999999</v>
      </c>
      <c r="L119" s="12" t="n">
        <v>7819.05</v>
      </c>
    </row>
    <row r="120">
      <c r="A120" s="9" t="inlineStr">
        <is>
          <t>자산 합계</t>
        </is>
      </c>
      <c r="C120" s="12" t="n">
        <v>25538.12</v>
      </c>
      <c r="D120" s="12" t="n">
        <v>26072.095</v>
      </c>
      <c r="E120" s="12" t="n">
        <v>26844.585</v>
      </c>
      <c r="F120" s="12" t="n">
        <v>26592.771</v>
      </c>
      <c r="G120" s="12" t="n">
        <v>26904.537</v>
      </c>
      <c r="H120" s="12" t="n">
        <v>24848.968</v>
      </c>
      <c r="I120" s="12" t="n">
        <v>24560.149</v>
      </c>
      <c r="J120" s="12" t="n">
        <v>25228.619</v>
      </c>
      <c r="K120" s="12" t="n">
        <v>21861.302</v>
      </c>
      <c r="L120" s="12" t="n">
        <v>26844.585</v>
      </c>
    </row>
    <row r="121">
      <c r="A121" s="18" t="inlineStr">
        <is>
          <t>매입채무</t>
        </is>
      </c>
      <c r="C121" s="20" t="n">
        <v>913.229</v>
      </c>
      <c r="D121" s="20" t="n">
        <v>1019.787</v>
      </c>
      <c r="E121" s="20" t="n">
        <v>862.449</v>
      </c>
      <c r="F121" s="20" t="n">
        <v>1283.001</v>
      </c>
      <c r="G121" s="20" t="n">
        <v>1017.315</v>
      </c>
      <c r="H121" s="20" t="n">
        <v>680.289</v>
      </c>
      <c r="I121" s="20" t="n">
        <v>894.401</v>
      </c>
      <c r="J121" s="20" t="n">
        <v>762.172</v>
      </c>
      <c r="K121" s="20" t="n">
        <v>933.937</v>
      </c>
      <c r="L121" s="20" t="n">
        <v>862.449</v>
      </c>
    </row>
    <row r="122">
      <c r="A122" s="18" t="inlineStr">
        <is>
          <t>1년 내 상환 장기차입금</t>
        </is>
      </c>
      <c r="H122" s="20" t="n">
        <v>100</v>
      </c>
      <c r="I122" s="20" t="n">
        <v>0</v>
      </c>
    </row>
    <row r="123">
      <c r="A123" s="18" t="inlineStr">
        <is>
          <t>리스부채</t>
        </is>
      </c>
      <c r="E123" s="20" t="n">
        <v>9.23</v>
      </c>
      <c r="H123" s="20" t="n">
        <v>31.668</v>
      </c>
      <c r="I123" s="20" t="n">
        <v>32.747</v>
      </c>
      <c r="J123" s="20" t="n">
        <v>30.135</v>
      </c>
      <c r="K123" s="20" t="n">
        <v>9.032</v>
      </c>
      <c r="L123" s="20" t="n">
        <v>9.23</v>
      </c>
    </row>
    <row r="124">
      <c r="A124" s="18" t="inlineStr">
        <is>
          <t>미지급금</t>
        </is>
      </c>
      <c r="C124" s="20" t="n">
        <v>747.005</v>
      </c>
      <c r="D124" s="20" t="n">
        <v>950.298</v>
      </c>
      <c r="E124" s="20" t="n">
        <v>976.658</v>
      </c>
      <c r="G124" s="20" t="n">
        <v>833.649</v>
      </c>
      <c r="H124" s="20" t="n">
        <v>639.593</v>
      </c>
      <c r="I124" s="20" t="n">
        <v>569.629</v>
      </c>
      <c r="J124" s="20" t="n">
        <v>788.771</v>
      </c>
      <c r="K124" s="20" t="n">
        <v>509.47</v>
      </c>
      <c r="L124" s="20" t="n">
        <v>976.658</v>
      </c>
    </row>
    <row r="125">
      <c r="A125" s="18" t="inlineStr">
        <is>
          <t>미지급비용</t>
        </is>
      </c>
      <c r="E125" s="20" t="n">
        <v>43.165</v>
      </c>
      <c r="H125" s="20" t="n">
        <v>41.132</v>
      </c>
      <c r="I125" s="20" t="n">
        <v>62.43</v>
      </c>
      <c r="J125" s="20" t="n">
        <v>44.03</v>
      </c>
      <c r="K125" s="20" t="n">
        <v>40.466</v>
      </c>
      <c r="L125" s="20" t="n">
        <v>43.165</v>
      </c>
    </row>
    <row r="126">
      <c r="A126" s="18" t="inlineStr">
        <is>
          <t>미지급법인세</t>
        </is>
      </c>
      <c r="C126" s="20" t="n">
        <v>203.287</v>
      </c>
      <c r="D126" s="20" t="n">
        <v>138.623</v>
      </c>
      <c r="E126" s="20" t="n">
        <v>360.936</v>
      </c>
      <c r="F126" s="20" t="n">
        <v>44.217</v>
      </c>
      <c r="G126" s="20" t="n">
        <v>176.698</v>
      </c>
      <c r="H126" s="20" t="n">
        <v>362.754</v>
      </c>
      <c r="I126" s="20" t="n">
        <v>307.235</v>
      </c>
      <c r="J126" s="20" t="n">
        <v>292.873</v>
      </c>
      <c r="K126" s="20" t="n">
        <v>398.1</v>
      </c>
      <c r="L126" s="20" t="n">
        <v>360.936</v>
      </c>
    </row>
    <row r="127">
      <c r="A127" s="18" t="inlineStr">
        <is>
          <t>미지급 소비세</t>
        </is>
      </c>
      <c r="E127" s="20" t="n">
        <v>255.827</v>
      </c>
      <c r="H127" s="20" t="n">
        <v>0</v>
      </c>
      <c r="I127" s="20" t="n">
        <v>0</v>
      </c>
      <c r="J127" s="20" t="n">
        <v>146.341</v>
      </c>
      <c r="K127" s="20" t="n">
        <v>0</v>
      </c>
      <c r="L127" s="20" t="n">
        <v>255.827</v>
      </c>
    </row>
    <row r="128">
      <c r="A128" s="18" t="inlineStr">
        <is>
          <t>예수금</t>
        </is>
      </c>
      <c r="E128" s="20" t="n">
        <v>19.622</v>
      </c>
      <c r="H128" s="20" t="n">
        <v>17.319</v>
      </c>
      <c r="I128" s="20" t="n">
        <v>18.456</v>
      </c>
      <c r="J128" s="20" t="n">
        <v>18.284</v>
      </c>
      <c r="K128" s="20" t="n">
        <v>36.312</v>
      </c>
      <c r="L128" s="20" t="n">
        <v>19.622</v>
      </c>
    </row>
    <row r="129">
      <c r="A129" s="18" t="inlineStr">
        <is>
          <t>상여충당금</t>
        </is>
      </c>
      <c r="C129" s="20" t="n">
        <v>165.164</v>
      </c>
      <c r="D129" s="20" t="n">
        <v>92.143</v>
      </c>
      <c r="E129" s="20" t="n">
        <v>164.743</v>
      </c>
      <c r="F129" s="20" t="n">
        <v>92.572</v>
      </c>
      <c r="G129" s="20" t="n">
        <v>179.219</v>
      </c>
      <c r="H129" s="20" t="n">
        <v>150.004</v>
      </c>
      <c r="I129" s="20" t="n">
        <v>148.166</v>
      </c>
      <c r="J129" s="20" t="n">
        <v>165.005</v>
      </c>
      <c r="K129" s="20" t="n">
        <v>138.529</v>
      </c>
      <c r="L129" s="20" t="n">
        <v>164.743</v>
      </c>
    </row>
    <row r="130">
      <c r="A130" s="18" t="inlineStr">
        <is>
          <t>기타</t>
        </is>
      </c>
      <c r="C130" s="20" t="n">
        <v>119.886</v>
      </c>
      <c r="D130" s="20" t="n">
        <v>155.686</v>
      </c>
      <c r="E130" s="20" t="n">
        <v>100.812</v>
      </c>
      <c r="F130" s="20" t="n">
        <v>926.909</v>
      </c>
      <c r="G130" s="20" t="n">
        <v>103.66</v>
      </c>
      <c r="H130" s="20" t="n">
        <v>72.345</v>
      </c>
      <c r="I130" s="20" t="n">
        <v>97.17</v>
      </c>
      <c r="J130" s="20" t="n">
        <v>79.871</v>
      </c>
      <c r="K130" s="20" t="n">
        <v>93.14</v>
      </c>
      <c r="L130" s="20" t="n">
        <v>100.812</v>
      </c>
    </row>
    <row r="131">
      <c r="A131" s="9" t="inlineStr">
        <is>
          <t>유동부채 합계</t>
        </is>
      </c>
      <c r="C131" s="12" t="n">
        <v>2148.571</v>
      </c>
      <c r="D131" s="12" t="n">
        <v>2356.54</v>
      </c>
      <c r="E131" s="12" t="n">
        <v>2465.599</v>
      </c>
      <c r="F131" s="12" t="n">
        <v>2346.701</v>
      </c>
      <c r="G131" s="12" t="n">
        <v>2310.544</v>
      </c>
      <c r="H131" s="12" t="n">
        <v>2036.656</v>
      </c>
      <c r="I131" s="12" t="n">
        <v>2049.349</v>
      </c>
      <c r="J131" s="12" t="n">
        <v>2118.83</v>
      </c>
      <c r="K131" s="12" t="n">
        <v>2065.848</v>
      </c>
      <c r="L131" s="12" t="n">
        <v>2465.599</v>
      </c>
    </row>
    <row r="132">
      <c r="A132" s="18" t="inlineStr">
        <is>
          <t>장기차입금</t>
        </is>
      </c>
      <c r="H132" s="20" t="n">
        <v>825</v>
      </c>
      <c r="I132" s="20" t="n">
        <v>0</v>
      </c>
    </row>
    <row r="133">
      <c r="A133" s="18" t="inlineStr">
        <is>
          <t>리스부채</t>
        </is>
      </c>
      <c r="C133" s="20" t="n">
        <v>17.334</v>
      </c>
      <c r="E133" s="20" t="n">
        <v>14.54</v>
      </c>
      <c r="G133" s="20" t="n">
        <v>45.502</v>
      </c>
      <c r="H133" s="20" t="n">
        <v>82.122</v>
      </c>
      <c r="I133" s="20" t="n">
        <v>63.641</v>
      </c>
      <c r="J133" s="20" t="n">
        <v>43.835</v>
      </c>
      <c r="K133" s="20" t="n">
        <v>15.614</v>
      </c>
      <c r="L133" s="20" t="n">
        <v>14.54</v>
      </c>
    </row>
    <row r="134">
      <c r="A134" s="18" t="inlineStr">
        <is>
          <t>이연법인세부채</t>
        </is>
      </c>
      <c r="C134" s="20" t="n">
        <v>15.322</v>
      </c>
      <c r="E134" s="20" t="n">
        <v>17.932</v>
      </c>
      <c r="H134" s="20" t="n">
        <v>6.154</v>
      </c>
      <c r="I134" s="20" t="n">
        <v>10.85</v>
      </c>
      <c r="J134" s="20" t="n">
        <v>11.494</v>
      </c>
      <c r="K134" s="20" t="n">
        <v>17.551</v>
      </c>
      <c r="L134" s="20" t="n">
        <v>17.932</v>
      </c>
    </row>
    <row r="135">
      <c r="A135" s="18" t="inlineStr">
        <is>
          <t>퇴직급여부채</t>
        </is>
      </c>
      <c r="C135" s="20" t="n">
        <v>19.37</v>
      </c>
      <c r="D135" s="20" t="n">
        <v>20.046</v>
      </c>
      <c r="E135" s="20" t="n">
        <v>20.166</v>
      </c>
      <c r="F135" s="20" t="n">
        <v>20.419</v>
      </c>
      <c r="G135" s="20" t="n">
        <v>20.986</v>
      </c>
      <c r="H135" s="20" t="n">
        <v>13.353</v>
      </c>
      <c r="I135" s="20" t="n">
        <v>14.547</v>
      </c>
      <c r="J135" s="20" t="n">
        <v>15.969</v>
      </c>
      <c r="K135" s="20" t="n">
        <v>18.317</v>
      </c>
      <c r="L135" s="20" t="n">
        <v>20.166</v>
      </c>
    </row>
    <row r="136">
      <c r="A136" s="18" t="inlineStr">
        <is>
          <t>폐광 비용 충당금</t>
        </is>
      </c>
      <c r="C136" s="20" t="n">
        <v>646.173</v>
      </c>
      <c r="D136" s="20" t="n">
        <v>651.139</v>
      </c>
      <c r="E136" s="20" t="n">
        <v>656.1130000000001</v>
      </c>
      <c r="F136" s="20" t="n">
        <v>662.1319999999999</v>
      </c>
      <c r="G136" s="20" t="n">
        <v>668.098</v>
      </c>
      <c r="H136" s="20" t="n">
        <v>581.718</v>
      </c>
      <c r="I136" s="20" t="n">
        <v>601.452</v>
      </c>
      <c r="J136" s="20" t="n">
        <v>620.6849999999999</v>
      </c>
      <c r="K136" s="20" t="n">
        <v>91.36799999999999</v>
      </c>
      <c r="L136" s="20" t="n">
        <v>656.1130000000001</v>
      </c>
    </row>
    <row r="137">
      <c r="A137" s="18" t="inlineStr">
        <is>
          <t>자산복구부채</t>
        </is>
      </c>
      <c r="C137" s="20" t="n">
        <v>23.494</v>
      </c>
      <c r="D137" s="20" t="n">
        <v>23.494</v>
      </c>
      <c r="E137" s="20" t="n">
        <v>23.494</v>
      </c>
      <c r="F137" s="20" t="n">
        <v>23.494</v>
      </c>
      <c r="G137" s="20" t="n">
        <v>23.494</v>
      </c>
      <c r="H137" s="20" t="n">
        <v>23.494</v>
      </c>
      <c r="I137" s="20" t="n">
        <v>23.494</v>
      </c>
      <c r="J137" s="20" t="n">
        <v>23.494</v>
      </c>
      <c r="K137" s="20" t="n">
        <v>23.494</v>
      </c>
      <c r="L137" s="20" t="n">
        <v>23.494</v>
      </c>
    </row>
    <row r="138">
      <c r="A138" s="18" t="inlineStr">
        <is>
          <t>장기 예수보증금</t>
        </is>
      </c>
      <c r="E138" s="20" t="n">
        <v>58.94</v>
      </c>
      <c r="H138" s="20" t="n">
        <v>33.775</v>
      </c>
      <c r="I138" s="20" t="n">
        <v>33.775</v>
      </c>
      <c r="J138" s="20" t="n">
        <v>33.782</v>
      </c>
      <c r="K138" s="20" t="n">
        <v>32.846</v>
      </c>
      <c r="L138" s="20" t="n">
        <v>58.94</v>
      </c>
    </row>
    <row r="139">
      <c r="A139" s="18" t="inlineStr">
        <is>
          <t>장기미지급금</t>
        </is>
      </c>
      <c r="E139" s="20" t="n">
        <v>237.568</v>
      </c>
      <c r="H139" s="20" t="n">
        <v>240.01</v>
      </c>
      <c r="I139" s="20" t="n">
        <v>237.568</v>
      </c>
      <c r="J139" s="20" t="n">
        <v>237.568</v>
      </c>
      <c r="K139" s="20" t="n">
        <v>237.568</v>
      </c>
      <c r="L139" s="20" t="n">
        <v>237.568</v>
      </c>
    </row>
    <row r="140">
      <c r="A140" s="18" t="inlineStr">
        <is>
          <t>장기 설비 관련 미지급금</t>
        </is>
      </c>
      <c r="E140" s="20" t="n">
        <v>126.025</v>
      </c>
      <c r="H140" s="20" t="n">
        <v>0</v>
      </c>
      <c r="I140" s="20" t="n">
        <v>148.051</v>
      </c>
      <c r="J140" s="20" t="n">
        <v>149.035</v>
      </c>
      <c r="K140" s="20" t="n">
        <v>137.53</v>
      </c>
      <c r="L140" s="20" t="n">
        <v>126.025</v>
      </c>
    </row>
    <row r="141">
      <c r="A141" s="18" t="inlineStr">
        <is>
          <t>기타</t>
        </is>
      </c>
      <c r="C141" s="20" t="n">
        <v>508.485</v>
      </c>
      <c r="D141" s="20" t="n">
        <v>538.245</v>
      </c>
      <c r="E141" s="20" t="n">
        <v>520.8049999999999</v>
      </c>
      <c r="F141" s="20" t="n">
        <v>350.35</v>
      </c>
      <c r="G141" s="20" t="n">
        <v>277.314</v>
      </c>
      <c r="H141" s="20" t="n">
        <v>302.027</v>
      </c>
      <c r="I141" s="20" t="n">
        <v>447.638</v>
      </c>
      <c r="J141" s="20" t="n">
        <v>526.581</v>
      </c>
      <c r="K141" s="20" t="n">
        <v>514.188</v>
      </c>
      <c r="L141" s="20" t="n">
        <v>520.8049999999999</v>
      </c>
    </row>
    <row r="142">
      <c r="A142" s="9" t="inlineStr">
        <is>
          <t>비유동부채 합계</t>
        </is>
      </c>
      <c r="C142" s="12" t="n">
        <v>1230.181</v>
      </c>
      <c r="D142" s="12" t="n">
        <v>1232.926</v>
      </c>
      <c r="E142" s="12" t="n">
        <v>1235.12</v>
      </c>
      <c r="F142" s="12" t="n">
        <v>1056.397</v>
      </c>
      <c r="G142" s="12" t="n">
        <v>1035.396</v>
      </c>
      <c r="H142" s="12" t="n">
        <v>1833.871</v>
      </c>
      <c r="I142" s="12" t="n">
        <v>1161.625</v>
      </c>
      <c r="J142" s="12" t="n">
        <v>1242.062</v>
      </c>
      <c r="K142" s="12" t="n">
        <v>538.422</v>
      </c>
      <c r="L142" s="12" t="n">
        <v>1235.12</v>
      </c>
    </row>
    <row r="143">
      <c r="A143" s="9" t="inlineStr">
        <is>
          <t>부채 합계</t>
        </is>
      </c>
      <c r="C143" s="12" t="n">
        <v>3378.753</v>
      </c>
      <c r="D143" s="12" t="n">
        <v>3589.467</v>
      </c>
      <c r="E143" s="12" t="n">
        <v>3700.719</v>
      </c>
      <c r="F143" s="12" t="n">
        <v>3403.099</v>
      </c>
      <c r="G143" s="12" t="n">
        <v>3345.94</v>
      </c>
      <c r="H143" s="12" t="n">
        <v>3870.527</v>
      </c>
      <c r="I143" s="12" t="n">
        <v>3210.975</v>
      </c>
      <c r="J143" s="12" t="n">
        <v>3360.892</v>
      </c>
      <c r="K143" s="12" t="n">
        <v>2604.271</v>
      </c>
      <c r="L143" s="12" t="n">
        <v>3700.719</v>
      </c>
    </row>
    <row r="144">
      <c r="A144" s="18" t="inlineStr">
        <is>
          <t>자본금</t>
        </is>
      </c>
      <c r="C144" s="20" t="n">
        <v>1617.8</v>
      </c>
      <c r="D144" s="20" t="n">
        <v>1617.8</v>
      </c>
      <c r="E144" s="20" t="n">
        <v>1617.8</v>
      </c>
      <c r="F144" s="20" t="n">
        <v>1617.8</v>
      </c>
      <c r="G144" s="20" t="n">
        <v>1617.8</v>
      </c>
      <c r="H144" s="20" t="n">
        <v>1617.8</v>
      </c>
      <c r="I144" s="20" t="n">
        <v>1617.8</v>
      </c>
      <c r="J144" s="20" t="n">
        <v>1617.8</v>
      </c>
      <c r="K144" s="20" t="n">
        <v>1617.8</v>
      </c>
      <c r="L144" s="20" t="n">
        <v>1617.8</v>
      </c>
    </row>
    <row r="145">
      <c r="A145" s="18" t="inlineStr">
        <is>
          <t>자본준비금</t>
        </is>
      </c>
      <c r="E145" s="20" t="n">
        <v>2217.11</v>
      </c>
      <c r="H145" s="20" t="n">
        <v>2217.11</v>
      </c>
      <c r="I145" s="20" t="n">
        <v>2217.11</v>
      </c>
      <c r="J145" s="20" t="n">
        <v>2217.11</v>
      </c>
      <c r="K145" s="20" t="n">
        <v>2217.11</v>
      </c>
      <c r="L145" s="20" t="n">
        <v>2217.11</v>
      </c>
    </row>
    <row r="146">
      <c r="A146" s="18" t="inlineStr">
        <is>
          <t>기타자본잉여금</t>
        </is>
      </c>
      <c r="E146" s="20" t="n">
        <v>1455.823</v>
      </c>
      <c r="H146" s="20" t="n">
        <v>1455.823</v>
      </c>
      <c r="I146" s="20" t="n">
        <v>1455.823</v>
      </c>
      <c r="J146" s="20" t="n">
        <v>1455.823</v>
      </c>
      <c r="K146" s="20" t="n">
        <v>1455.823</v>
      </c>
      <c r="L146" s="20" t="n">
        <v>1455.823</v>
      </c>
    </row>
    <row r="147">
      <c r="A147" s="18" t="inlineStr">
        <is>
          <t>자본잉여금</t>
        </is>
      </c>
      <c r="C147" s="20" t="n">
        <v>3672.201</v>
      </c>
      <c r="D147" s="20" t="n">
        <v>3672.201</v>
      </c>
      <c r="E147" s="20" t="n">
        <v>3672.201</v>
      </c>
      <c r="F147" s="20" t="n">
        <v>3672.201</v>
      </c>
      <c r="G147" s="20" t="n">
        <v>3672.201</v>
      </c>
      <c r="H147" s="20" t="n">
        <v>3672.201</v>
      </c>
      <c r="I147" s="20" t="n">
        <v>3672.201</v>
      </c>
      <c r="J147" s="20" t="n">
        <v>3672.201</v>
      </c>
      <c r="K147" s="20" t="n">
        <v>3672.933</v>
      </c>
      <c r="L147" s="20" t="n">
        <v>3672.201</v>
      </c>
    </row>
    <row r="148">
      <c r="A148" s="18" t="inlineStr">
        <is>
          <t>이익준비금</t>
        </is>
      </c>
      <c r="E148" s="20" t="n">
        <v>404.45</v>
      </c>
      <c r="H148" s="20" t="n">
        <v>404.45</v>
      </c>
      <c r="I148" s="20" t="n">
        <v>404.45</v>
      </c>
      <c r="J148" s="20" t="n">
        <v>404.45</v>
      </c>
      <c r="K148" s="20" t="n">
        <v>404.45</v>
      </c>
      <c r="L148" s="20" t="n">
        <v>404.45</v>
      </c>
    </row>
    <row r="149">
      <c r="A149" s="18" t="inlineStr">
        <is>
          <t>배당 준비 적립금</t>
        </is>
      </c>
      <c r="E149" s="20" t="n">
        <v>370</v>
      </c>
      <c r="H149" s="20" t="n">
        <v>370</v>
      </c>
      <c r="I149" s="20" t="n">
        <v>370</v>
      </c>
      <c r="J149" s="20" t="n">
        <v>370</v>
      </c>
      <c r="K149" s="20" t="n">
        <v>370</v>
      </c>
      <c r="L149" s="20" t="n">
        <v>370</v>
      </c>
    </row>
    <row r="150">
      <c r="A150" s="18" t="inlineStr">
        <is>
          <t>연구개발 적립금</t>
        </is>
      </c>
      <c r="E150" s="20" t="n">
        <v>420</v>
      </c>
      <c r="H150" s="20" t="n">
        <v>420</v>
      </c>
      <c r="I150" s="20" t="n">
        <v>420</v>
      </c>
      <c r="J150" s="20" t="n">
        <v>420</v>
      </c>
      <c r="K150" s="20" t="n">
        <v>420</v>
      </c>
      <c r="L150" s="20" t="n">
        <v>420</v>
      </c>
    </row>
    <row r="151">
      <c r="A151" s="18" t="inlineStr">
        <is>
          <t>자원개발 적립금</t>
        </is>
      </c>
      <c r="E151" s="20" t="n">
        <v>150</v>
      </c>
      <c r="H151" s="20" t="n">
        <v>150</v>
      </c>
      <c r="I151" s="20" t="n">
        <v>150</v>
      </c>
      <c r="J151" s="20" t="n">
        <v>150</v>
      </c>
      <c r="K151" s="20" t="n">
        <v>150</v>
      </c>
      <c r="L151" s="20" t="n">
        <v>150</v>
      </c>
    </row>
    <row r="152">
      <c r="A152" s="18" t="inlineStr">
        <is>
          <t>별도적립금</t>
        </is>
      </c>
      <c r="E152" s="20" t="n">
        <v>2718</v>
      </c>
      <c r="H152" s="20" t="n">
        <v>2718</v>
      </c>
      <c r="I152" s="20" t="n">
        <v>2718</v>
      </c>
      <c r="J152" s="20" t="n">
        <v>2718</v>
      </c>
      <c r="K152" s="20" t="n">
        <v>2718</v>
      </c>
      <c r="L152" s="20" t="n">
        <v>2718</v>
      </c>
    </row>
    <row r="153">
      <c r="A153" s="18" t="inlineStr">
        <is>
          <t>이월이익잉여금</t>
        </is>
      </c>
      <c r="E153" s="20" t="n">
        <v>12566.447</v>
      </c>
      <c r="H153" s="20" t="n">
        <v>10214.785</v>
      </c>
      <c r="I153" s="20" t="n">
        <v>10796.102</v>
      </c>
      <c r="J153" s="20" t="n">
        <v>11192.569</v>
      </c>
      <c r="K153" s="20" t="n">
        <v>11723.269</v>
      </c>
      <c r="L153" s="20" t="n">
        <v>12566.447</v>
      </c>
    </row>
    <row r="154">
      <c r="A154" s="18" t="inlineStr">
        <is>
          <t>이익잉여금</t>
        </is>
      </c>
      <c r="C154" s="20" t="n">
        <v>17692.531</v>
      </c>
      <c r="D154" s="20" t="n">
        <v>17941.846</v>
      </c>
      <c r="E154" s="20" t="n">
        <v>18429.838</v>
      </c>
      <c r="F154" s="20" t="n">
        <v>18410.899</v>
      </c>
      <c r="G154" s="20" t="n">
        <v>18714.111</v>
      </c>
      <c r="H154" s="20" t="n">
        <v>16179.707</v>
      </c>
      <c r="I154" s="20" t="n">
        <v>16635.132</v>
      </c>
      <c r="J154" s="20" t="n">
        <v>16992.515</v>
      </c>
      <c r="K154" s="20" t="n">
        <v>15785.719</v>
      </c>
      <c r="L154" s="20" t="n">
        <v>18429.838</v>
      </c>
    </row>
    <row r="155">
      <c r="A155" s="18" t="inlineStr">
        <is>
          <t>자기주식</t>
        </is>
      </c>
      <c r="C155" s="20" t="n">
        <v>-2091.857</v>
      </c>
      <c r="D155" s="20" t="n">
        <v>-2091.928</v>
      </c>
      <c r="E155" s="20" t="n">
        <v>-2091.928</v>
      </c>
      <c r="F155" s="20" t="n">
        <v>-2091.94</v>
      </c>
      <c r="G155" s="20" t="n">
        <v>-2091.94</v>
      </c>
      <c r="H155" s="20" t="n">
        <v>-1375.558</v>
      </c>
      <c r="I155" s="20" t="n">
        <v>-1752.478</v>
      </c>
      <c r="J155" s="20" t="n">
        <v>-1758.775</v>
      </c>
      <c r="K155" s="20" t="n">
        <v>-2091.751</v>
      </c>
      <c r="L155" s="20" t="n">
        <v>-2091.928</v>
      </c>
    </row>
    <row r="156">
      <c r="A156" s="9" t="inlineStr">
        <is>
          <t>주주자본 합계</t>
        </is>
      </c>
      <c r="C156" s="12" t="n">
        <v>20890.675</v>
      </c>
      <c r="D156" s="12" t="n">
        <v>21139.918</v>
      </c>
      <c r="E156" s="12" t="n">
        <v>21627.91</v>
      </c>
      <c r="F156" s="12" t="n">
        <v>21608.96</v>
      </c>
      <c r="G156" s="12" t="n">
        <v>21912.172</v>
      </c>
      <c r="H156" s="12" t="n">
        <v>20094.149</v>
      </c>
      <c r="I156" s="12" t="n">
        <v>20172.655</v>
      </c>
      <c r="J156" s="12" t="n">
        <v>20523.74</v>
      </c>
      <c r="K156" s="12" t="n">
        <v>18984.701</v>
      </c>
      <c r="L156" s="12" t="n">
        <v>21627.91</v>
      </c>
    </row>
    <row r="157">
      <c r="A157" s="18" t="inlineStr">
        <is>
          <t>기타유가증권 평가차액</t>
        </is>
      </c>
      <c r="C157" s="20" t="n">
        <v>147.217</v>
      </c>
      <c r="D157" s="20" t="n">
        <v>133.314</v>
      </c>
      <c r="E157" s="20" t="n">
        <v>146.214</v>
      </c>
      <c r="F157" s="20" t="n">
        <v>152.655</v>
      </c>
      <c r="G157" s="20" t="n">
        <v>157.839</v>
      </c>
      <c r="H157" s="20" t="n">
        <v>335.997</v>
      </c>
      <c r="I157" s="20" t="n">
        <v>357.908</v>
      </c>
      <c r="J157" s="20" t="n">
        <v>358.151</v>
      </c>
      <c r="K157" s="20" t="n">
        <v>272.329</v>
      </c>
      <c r="L157" s="20" t="n">
        <v>146.214</v>
      </c>
    </row>
    <row r="158">
      <c r="A158" s="18" t="inlineStr">
        <is>
          <t>이연헤지손익</t>
        </is>
      </c>
      <c r="H158" s="20" t="n">
        <v>5.709</v>
      </c>
      <c r="I158" s="20" t="n">
        <v>0</v>
      </c>
      <c r="J158" s="20" t="n">
        <v>0</v>
      </c>
    </row>
    <row r="159">
      <c r="A159" s="18" t="inlineStr">
        <is>
          <t>해외사업환산조정</t>
        </is>
      </c>
      <c r="C159" s="20" t="n">
        <v>351.177</v>
      </c>
      <c r="D159" s="20" t="n">
        <v>400.459</v>
      </c>
      <c r="E159" s="20" t="n">
        <v>496.258</v>
      </c>
      <c r="F159" s="20" t="n">
        <v>529.373</v>
      </c>
      <c r="G159" s="20" t="n">
        <v>558.96</v>
      </c>
      <c r="H159" s="20" t="n">
        <v>69.496</v>
      </c>
      <c r="I159" s="20" t="n">
        <v>227.878</v>
      </c>
      <c r="J159" s="20" t="n">
        <v>320.041</v>
      </c>
      <c r="K159" s="20" t="n">
        <v>495.002</v>
      </c>
      <c r="L159" s="20" t="n">
        <v>496.258</v>
      </c>
    </row>
    <row r="160">
      <c r="A160" s="18" t="inlineStr">
        <is>
          <t>기타포괄손익누계액 합계</t>
        </is>
      </c>
      <c r="C160" s="20" t="n">
        <v>498.394</v>
      </c>
      <c r="D160" s="20" t="n">
        <v>533.773</v>
      </c>
      <c r="E160" s="20" t="n">
        <v>642.472</v>
      </c>
      <c r="F160" s="20" t="n">
        <v>682.028</v>
      </c>
      <c r="G160" s="20" t="n">
        <v>716.8</v>
      </c>
      <c r="H160" s="20" t="n">
        <v>411.203</v>
      </c>
      <c r="I160" s="20" t="n">
        <v>585.787</v>
      </c>
      <c r="J160" s="20" t="n">
        <v>678.193</v>
      </c>
      <c r="K160" s="20" t="n">
        <v>272.329</v>
      </c>
      <c r="L160" s="20" t="n">
        <v>642.472</v>
      </c>
    </row>
    <row r="161">
      <c r="A161" s="18" t="inlineStr">
        <is>
          <t>비지배지분</t>
        </is>
      </c>
      <c r="C161" s="20" t="n">
        <v>770.296</v>
      </c>
      <c r="D161" s="20" t="n">
        <v>808.936</v>
      </c>
      <c r="E161" s="20" t="n">
        <v>873.482</v>
      </c>
      <c r="F161" s="20" t="n">
        <v>898.682</v>
      </c>
      <c r="G161" s="20" t="n">
        <v>929.624</v>
      </c>
      <c r="H161" s="20" t="n">
        <v>473.088</v>
      </c>
      <c r="I161" s="20" t="n">
        <v>590.731</v>
      </c>
      <c r="J161" s="20" t="n">
        <v>665.792</v>
      </c>
      <c r="K161" s="20" t="n">
        <v>805.183</v>
      </c>
      <c r="L161" s="20" t="n">
        <v>873.482</v>
      </c>
    </row>
    <row r="162">
      <c r="A162" s="9" t="inlineStr">
        <is>
          <t>순자산 합계</t>
        </is>
      </c>
      <c r="C162" s="12" t="n">
        <v>22159.367</v>
      </c>
      <c r="D162" s="12" t="n">
        <v>22482.627</v>
      </c>
      <c r="E162" s="12" t="n">
        <v>23143.865</v>
      </c>
      <c r="F162" s="12" t="n">
        <v>23189.672</v>
      </c>
      <c r="G162" s="12" t="n">
        <v>23558.597</v>
      </c>
      <c r="H162" s="12" t="n">
        <v>20978.441</v>
      </c>
      <c r="I162" s="12" t="n">
        <v>21349.173</v>
      </c>
      <c r="J162" s="12" t="n">
        <v>21867.726</v>
      </c>
      <c r="K162" s="12" t="n">
        <v>19257.031</v>
      </c>
      <c r="L162" s="12" t="n">
        <v>23143.865</v>
      </c>
    </row>
    <row r="163">
      <c r="A163" s="9" t="inlineStr">
        <is>
          <t>부채·순자산 합계</t>
        </is>
      </c>
      <c r="C163" s="12" t="n">
        <v>25538.12</v>
      </c>
      <c r="D163" s="12" t="n">
        <v>26072.095</v>
      </c>
      <c r="E163" s="12" t="n">
        <v>26844.585</v>
      </c>
      <c r="F163" s="12" t="n">
        <v>26592.771</v>
      </c>
      <c r="G163" s="12" t="n">
        <v>26904.537</v>
      </c>
      <c r="H163" s="12" t="n">
        <v>24848.968</v>
      </c>
      <c r="I163" s="12" t="n">
        <v>24560.149</v>
      </c>
      <c r="J163" s="12" t="n">
        <v>25228.619</v>
      </c>
      <c r="K163" s="12" t="n">
        <v>21861.302</v>
      </c>
      <c r="L163" s="12" t="n">
        <v>26844.585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6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44" customWidth="1" min="14" max="14"/>
  </cols>
  <sheetData>
    <row r="1">
      <c r="A1" s="50" t="inlineStr">
        <is>
          <t>5388 섹터·사업 데이터</t>
        </is>
      </c>
    </row>
    <row r="2">
      <c r="A2" s="51" t="inlineStr">
        <is>
          <t>2단계 보고서를 만들 때 모은 자료 · 월차 · 출처는 맨 오른쪽</t>
        </is>
      </c>
    </row>
    <row r="4">
      <c r="A4" s="52" t="inlineStr">
        <is>
          <t>this filing</t>
        </is>
      </c>
      <c r="B4" s="52" t="n"/>
      <c r="C4" s="52" t="n"/>
      <c r="D4" s="52" t="n"/>
      <c r="E4" s="52" t="n"/>
      <c r="F4" s="52" t="n"/>
      <c r="G4" s="52" t="n"/>
      <c r="H4" s="52" t="n"/>
      <c r="I4" s="52" t="n"/>
      <c r="J4" s="52" t="n"/>
      <c r="K4" s="52" t="n"/>
      <c r="L4" s="52" t="n"/>
      <c r="M4" s="52" t="n"/>
      <c r="N4" s="52" t="n"/>
    </row>
    <row r="5">
      <c r="A5" s="53" t="inlineStr">
        <is>
          <t>항목</t>
        </is>
      </c>
      <c r="B5" s="53" t="inlineStr">
        <is>
          <t>값</t>
        </is>
      </c>
      <c r="N5" s="53" t="inlineStr">
        <is>
          <t>출처</t>
        </is>
      </c>
    </row>
    <row r="6">
      <c r="A6" s="54" t="inlineStr">
        <is>
          <t>depreciation 상반기</t>
        </is>
      </c>
      <c r="B6" s="55" t="n">
        <v>4.29</v>
      </c>
      <c r="N6" s="56" t="inlineStr">
        <is>
          <t>2단계 보고서 자료(회사 설명회 자료·공시)</t>
        </is>
      </c>
    </row>
    <row r="7">
      <c r="A7" s="54" t="inlineStr">
        <is>
          <t>depreciation 상반기 ly</t>
        </is>
      </c>
      <c r="B7" s="55" t="n">
        <v>4.08</v>
      </c>
    </row>
    <row r="9">
      <c r="A9" s="52" t="inlineStr">
        <is>
          <t>this filing · 상반기</t>
        </is>
      </c>
      <c r="B9" s="52" t="n"/>
      <c r="C9" s="52" t="n"/>
      <c r="D9" s="52" t="n"/>
      <c r="E9" s="52" t="n"/>
      <c r="F9" s="52" t="n"/>
      <c r="G9" s="52" t="n"/>
      <c r="H9" s="52" t="n"/>
      <c r="I9" s="52" t="n"/>
      <c r="J9" s="52" t="n"/>
      <c r="K9" s="52" t="n"/>
      <c r="L9" s="52" t="n"/>
      <c r="M9" s="52" t="n"/>
      <c r="N9" s="52" t="n"/>
    </row>
    <row r="10">
      <c r="A10" s="53" t="inlineStr">
        <is>
          <t>항목</t>
        </is>
      </c>
      <c r="B10" s="53" t="inlineStr">
        <is>
          <t>값</t>
        </is>
      </c>
      <c r="N10" s="53" t="inlineStr">
        <is>
          <t>출처</t>
        </is>
      </c>
    </row>
    <row r="11">
      <c r="A11" s="54" t="inlineStr">
        <is>
          <t>매출</t>
        </is>
      </c>
      <c r="B11" s="55" t="n">
        <v>86.03</v>
      </c>
      <c r="N11" s="56" t="inlineStr">
        <is>
          <t>2단계 보고서 자료(회사 설명회 자료·공시)</t>
        </is>
      </c>
    </row>
    <row r="12">
      <c r="A12" s="54" t="inlineStr">
        <is>
          <t>매출 YoY</t>
        </is>
      </c>
      <c r="B12" s="55" t="n">
        <v>11.5</v>
      </c>
    </row>
    <row r="13">
      <c r="A13" s="54" t="inlineStr">
        <is>
          <t>gp</t>
        </is>
      </c>
      <c r="B13" s="55" t="n">
        <v>25.32</v>
      </c>
    </row>
    <row r="14">
      <c r="A14" s="54" t="inlineStr">
        <is>
          <t>sga</t>
        </is>
      </c>
      <c r="B14" s="55" t="n">
        <v>17.63</v>
      </c>
    </row>
    <row r="15">
      <c r="A15" s="54" t="inlineStr">
        <is>
          <t>영업이익</t>
        </is>
      </c>
      <c r="B15" s="55" t="n">
        <v>7.69</v>
      </c>
    </row>
    <row r="16">
      <c r="A16" s="54" t="inlineStr">
        <is>
          <t>영업이익 YoY</t>
        </is>
      </c>
      <c r="B16" s="55" t="n">
        <v>66.8</v>
      </c>
    </row>
    <row r="17">
      <c r="A17" s="54" t="inlineStr">
        <is>
          <t>ordinary</t>
        </is>
      </c>
      <c r="B17" s="55" t="n">
        <v>9.1</v>
      </c>
    </row>
    <row r="18">
      <c r="A18" s="54" t="inlineStr">
        <is>
          <t>ordinary YoY</t>
        </is>
      </c>
      <c r="B18" s="55" t="n">
        <v>56.5</v>
      </c>
    </row>
    <row r="19">
      <c r="A19" s="54" t="inlineStr">
        <is>
          <t>순이익</t>
        </is>
      </c>
      <c r="B19" s="55" t="n">
        <v>5.89</v>
      </c>
    </row>
    <row r="20">
      <c r="A20" s="54" t="inlineStr">
        <is>
          <t>순이익 YoY</t>
        </is>
      </c>
      <c r="B20" s="55" t="n">
        <v>39.9</v>
      </c>
    </row>
    <row r="21">
      <c r="A21" s="54" t="inlineStr">
        <is>
          <t>EPS</t>
        </is>
      </c>
      <c r="B21" s="55" t="n">
        <v>48.34</v>
      </c>
    </row>
    <row r="23">
      <c r="A23" s="52" t="inlineStr">
        <is>
          <t>this filing · 상반기 ly</t>
        </is>
      </c>
      <c r="B23" s="52" t="n"/>
      <c r="C23" s="52" t="n"/>
      <c r="D23" s="52" t="n"/>
      <c r="E23" s="52" t="n"/>
      <c r="F23" s="52" t="n"/>
      <c r="G23" s="52" t="n"/>
      <c r="H23" s="52" t="n"/>
      <c r="I23" s="52" t="n"/>
      <c r="J23" s="52" t="n"/>
      <c r="K23" s="52" t="n"/>
      <c r="L23" s="52" t="n"/>
      <c r="M23" s="52" t="n"/>
      <c r="N23" s="52" t="n"/>
    </row>
    <row r="24">
      <c r="A24" s="53" t="inlineStr">
        <is>
          <t>항목</t>
        </is>
      </c>
      <c r="B24" s="53" t="inlineStr">
        <is>
          <t>값</t>
        </is>
      </c>
      <c r="N24" s="53" t="inlineStr">
        <is>
          <t>출처</t>
        </is>
      </c>
    </row>
    <row r="25">
      <c r="A25" s="54" t="inlineStr">
        <is>
          <t>매출</t>
        </is>
      </c>
      <c r="B25" s="55" t="n">
        <v>77.13</v>
      </c>
      <c r="N25" s="56" t="inlineStr">
        <is>
          <t>2단계 보고서 자료(회사 설명회 자료·공시)</t>
        </is>
      </c>
    </row>
    <row r="26">
      <c r="A26" s="54" t="inlineStr">
        <is>
          <t>gp</t>
        </is>
      </c>
      <c r="B26" s="55" t="n">
        <v>21.42</v>
      </c>
    </row>
    <row r="27">
      <c r="A27" s="54" t="inlineStr">
        <is>
          <t>sga</t>
        </is>
      </c>
      <c r="B27" s="55" t="n">
        <v>16.81</v>
      </c>
    </row>
    <row r="28">
      <c r="A28" s="54" t="inlineStr">
        <is>
          <t>영업이익</t>
        </is>
      </c>
      <c r="B28" s="55" t="n">
        <v>4.61</v>
      </c>
    </row>
    <row r="29">
      <c r="A29" s="54" t="inlineStr">
        <is>
          <t>ordinary</t>
        </is>
      </c>
      <c r="B29" s="55" t="n">
        <v>5.81</v>
      </c>
    </row>
    <row r="30">
      <c r="A30" s="54" t="inlineStr">
        <is>
          <t>순이익</t>
        </is>
      </c>
      <c r="B30" s="55" t="n">
        <v>4.21</v>
      </c>
    </row>
    <row r="31">
      <c r="A31" s="54" t="inlineStr">
        <is>
          <t>EPS</t>
        </is>
      </c>
      <c r="B31" s="55" t="n">
        <v>34.56</v>
      </c>
    </row>
    <row r="33">
      <c r="A33" s="52" t="inlineStr">
        <is>
          <t>this filing · 2Q standalone</t>
        </is>
      </c>
      <c r="B33" s="52" t="n"/>
      <c r="C33" s="52" t="n"/>
      <c r="D33" s="52" t="n"/>
      <c r="E33" s="52" t="n"/>
      <c r="F33" s="52" t="n"/>
      <c r="G33" s="52" t="n"/>
      <c r="H33" s="52" t="n"/>
      <c r="I33" s="52" t="n"/>
      <c r="J33" s="52" t="n"/>
      <c r="K33" s="52" t="n"/>
      <c r="L33" s="52" t="n"/>
      <c r="M33" s="52" t="n"/>
      <c r="N33" s="52" t="n"/>
    </row>
    <row r="34">
      <c r="A34" s="53" t="inlineStr">
        <is>
          <t>항목</t>
        </is>
      </c>
      <c r="B34" s="53" t="inlineStr">
        <is>
          <t>값</t>
        </is>
      </c>
      <c r="N34" s="53" t="inlineStr">
        <is>
          <t>출처</t>
        </is>
      </c>
    </row>
    <row r="35">
      <c r="A35" s="54" t="inlineStr">
        <is>
          <t>매출</t>
        </is>
      </c>
      <c r="B35" s="55" t="n">
        <v>44.19</v>
      </c>
      <c r="N35" s="56" t="inlineStr">
        <is>
          <t>2단계 보고서 자료(회사 설명회 자료·공시)</t>
        </is>
      </c>
    </row>
    <row r="36">
      <c r="A36" s="54" t="inlineStr">
        <is>
          <t>매출 ly</t>
        </is>
      </c>
      <c r="B36" s="55" t="n">
        <v>39.93</v>
      </c>
    </row>
    <row r="37">
      <c r="A37" s="54" t="inlineStr">
        <is>
          <t>gp</t>
        </is>
      </c>
      <c r="B37" s="55" t="n">
        <v>13</v>
      </c>
    </row>
    <row r="38">
      <c r="A38" s="54" t="inlineStr">
        <is>
          <t>영업이익</t>
        </is>
      </c>
      <c r="B38" s="55" t="n">
        <v>4.09</v>
      </c>
    </row>
    <row r="39">
      <c r="A39" s="54" t="inlineStr">
        <is>
          <t>영업이익 ly</t>
        </is>
      </c>
      <c r="B39" s="55" t="n">
        <v>2.28</v>
      </c>
    </row>
    <row r="40">
      <c r="A40" s="54" t="inlineStr">
        <is>
          <t>ordinary</t>
        </is>
      </c>
      <c r="B40" s="55" t="n">
        <v>4.46</v>
      </c>
    </row>
    <row r="41">
      <c r="A41" s="54" t="inlineStr">
        <is>
          <t>ordinary ly</t>
        </is>
      </c>
      <c r="B41" s="55" t="n">
        <v>2.99</v>
      </c>
    </row>
    <row r="42">
      <c r="A42" s="54" t="inlineStr">
        <is>
          <t>순이익</t>
        </is>
      </c>
      <c r="B42" s="55" t="n">
        <v>3.03</v>
      </c>
    </row>
    <row r="43">
      <c r="A43" s="54" t="inlineStr">
        <is>
          <t>순이익 ly</t>
        </is>
      </c>
      <c r="B43" s="55" t="n">
        <v>2.3</v>
      </c>
    </row>
    <row r="45">
      <c r="A45" s="52" t="inlineStr">
        <is>
          <t>this filing · nonop 상반기</t>
        </is>
      </c>
      <c r="B45" s="52" t="n"/>
      <c r="C45" s="52" t="n"/>
      <c r="D45" s="52" t="n"/>
      <c r="E45" s="52" t="n"/>
      <c r="F45" s="52" t="n"/>
      <c r="G45" s="52" t="n"/>
      <c r="H45" s="52" t="n"/>
      <c r="I45" s="52" t="n"/>
      <c r="J45" s="52" t="n"/>
      <c r="K45" s="52" t="n"/>
      <c r="L45" s="52" t="n"/>
      <c r="M45" s="52" t="n"/>
      <c r="N45" s="52" t="n"/>
    </row>
    <row r="46">
      <c r="A46" s="53" t="inlineStr">
        <is>
          <t>항목</t>
        </is>
      </c>
      <c r="B46" s="53" t="inlineStr">
        <is>
          <t>값</t>
        </is>
      </c>
      <c r="N46" s="53" t="inlineStr">
        <is>
          <t>출처</t>
        </is>
      </c>
    </row>
    <row r="47">
      <c r="A47" s="54" t="inlineStr">
        <is>
          <t>영업외수익</t>
        </is>
      </c>
      <c r="B47" s="55" t="n">
        <v>1.57</v>
      </c>
      <c r="N47" s="56" t="inlineStr">
        <is>
          <t>2단계 보고서 자료(회사 설명회 자료·공시)</t>
        </is>
      </c>
    </row>
    <row r="48">
      <c r="A48" s="54" t="inlineStr">
        <is>
          <t>이자수익</t>
        </is>
      </c>
      <c r="B48" s="55" t="n">
        <v>0.51</v>
      </c>
    </row>
    <row r="49">
      <c r="A49" s="54" t="inlineStr">
        <is>
          <t>배당수익</t>
        </is>
      </c>
      <c r="B49" s="55" t="n">
        <v>0.93</v>
      </c>
    </row>
    <row r="50">
      <c r="A50" s="54" t="inlineStr">
        <is>
          <t>기타수익</t>
        </is>
      </c>
      <c r="B50" s="55" t="n">
        <v>0.13</v>
      </c>
    </row>
    <row r="51">
      <c r="A51" s="54" t="inlineStr">
        <is>
          <t>영업외비용</t>
        </is>
      </c>
      <c r="B51" s="55" t="n">
        <v>0.16</v>
      </c>
    </row>
    <row r="52">
      <c r="A52" s="54" t="inlineStr">
        <is>
          <t>이자비용</t>
        </is>
      </c>
      <c r="B52" s="55" t="n">
        <v>0.02</v>
      </c>
    </row>
    <row r="53">
      <c r="A53" s="54" t="inlineStr">
        <is>
          <t>환차손</t>
        </is>
      </c>
      <c r="B53" s="55" t="n">
        <v>0.06</v>
      </c>
    </row>
    <row r="54">
      <c r="A54" s="54" t="inlineStr">
        <is>
          <t>해결금</t>
        </is>
      </c>
      <c r="B54" s="55" t="n">
        <v>0.04</v>
      </c>
    </row>
    <row r="55">
      <c r="A55" s="54" t="inlineStr">
        <is>
          <t>기타비용</t>
        </is>
      </c>
      <c r="B55" s="55" t="n">
        <v>0.04</v>
      </c>
    </row>
    <row r="56">
      <c r="A56" s="54" t="inlineStr">
        <is>
          <t>경상이익</t>
        </is>
      </c>
      <c r="B56" s="55" t="n">
        <v>9.1</v>
      </c>
    </row>
    <row r="57">
      <c r="A57" s="54" t="inlineStr">
        <is>
          <t>특별이익</t>
        </is>
      </c>
      <c r="B57" s="55" t="n">
        <v>0</v>
      </c>
    </row>
    <row r="58">
      <c r="A58" s="54" t="inlineStr">
        <is>
          <t>특별손실</t>
        </is>
      </c>
      <c r="B58" s="55" t="n">
        <v>0.2</v>
      </c>
    </row>
    <row r="59">
      <c r="A59" s="54" t="inlineStr">
        <is>
          <t>고정자산 매각·제각손</t>
        </is>
      </c>
      <c r="B59" s="55" t="n">
        <v>0.2</v>
      </c>
    </row>
    <row r="60">
      <c r="A60" s="54" t="inlineStr">
        <is>
          <t>세전이익</t>
        </is>
      </c>
      <c r="B60" s="55" t="n">
        <v>8.9</v>
      </c>
    </row>
    <row r="61">
      <c r="A61" s="54" t="inlineStr">
        <is>
          <t>법인세 등</t>
        </is>
      </c>
      <c r="B61" s="55" t="n">
        <v>2.68</v>
      </c>
    </row>
    <row r="62">
      <c r="A62" s="54" t="inlineStr">
        <is>
          <t>비지배지분 이익</t>
        </is>
      </c>
      <c r="B62" s="55" t="n">
        <v>0.33</v>
      </c>
    </row>
    <row r="64">
      <c r="A64" s="52" t="inlineStr">
        <is>
          <t>this filing · nonop 상반기 ly</t>
        </is>
      </c>
      <c r="B64" s="52" t="n"/>
      <c r="C64" s="52" t="n"/>
      <c r="D64" s="52" t="n"/>
      <c r="E64" s="52" t="n"/>
      <c r="F64" s="52" t="n"/>
      <c r="G64" s="52" t="n"/>
      <c r="H64" s="52" t="n"/>
      <c r="I64" s="52" t="n"/>
      <c r="J64" s="52" t="n"/>
      <c r="K64" s="52" t="n"/>
      <c r="L64" s="52" t="n"/>
      <c r="M64" s="52" t="n"/>
      <c r="N64" s="52" t="n"/>
    </row>
    <row r="65">
      <c r="A65" s="53" t="inlineStr">
        <is>
          <t>항목</t>
        </is>
      </c>
      <c r="B65" s="53" t="inlineStr">
        <is>
          <t>값</t>
        </is>
      </c>
      <c r="N65" s="53" t="inlineStr">
        <is>
          <t>출처</t>
        </is>
      </c>
    </row>
    <row r="66">
      <c r="A66" s="54" t="inlineStr">
        <is>
          <t>영업외수익</t>
        </is>
      </c>
      <c r="B66" s="55" t="n">
        <v>1.32</v>
      </c>
      <c r="N66" s="56" t="inlineStr">
        <is>
          <t>2단계 보고서 자료(회사 설명회 자료·공시)</t>
        </is>
      </c>
    </row>
    <row r="67">
      <c r="A67" s="54" t="inlineStr">
        <is>
          <t>영업외비용</t>
        </is>
      </c>
      <c r="B67" s="55" t="n">
        <v>0.12</v>
      </c>
    </row>
    <row r="68">
      <c r="A68" s="54" t="inlineStr">
        <is>
          <t>경상이익</t>
        </is>
      </c>
      <c r="B68" s="55" t="n">
        <v>5.81</v>
      </c>
    </row>
    <row r="69">
      <c r="A69" s="54" t="inlineStr">
        <is>
          <t>특별이익</t>
        </is>
      </c>
      <c r="B69" s="55" t="n">
        <v>1.83</v>
      </c>
    </row>
    <row r="70">
      <c r="A70" s="54" t="inlineStr">
        <is>
          <t>투자유가증권 매각익</t>
        </is>
      </c>
      <c r="B70" s="55" t="n">
        <v>1.83</v>
      </c>
    </row>
    <row r="71">
      <c r="A71" s="54" t="inlineStr">
        <is>
          <t>특별손실</t>
        </is>
      </c>
      <c r="B71" s="55" t="n">
        <v>0.49</v>
      </c>
    </row>
    <row r="72">
      <c r="A72" s="54" t="inlineStr">
        <is>
          <t>세전이익</t>
        </is>
      </c>
      <c r="B72" s="55" t="n">
        <v>7.16</v>
      </c>
    </row>
    <row r="73">
      <c r="A73" s="54" t="inlineStr">
        <is>
          <t>법인세 등</t>
        </is>
      </c>
      <c r="B73" s="55" t="n">
        <v>2.68</v>
      </c>
    </row>
    <row r="75">
      <c r="A75" s="52" t="inlineStr">
        <is>
          <t>this filing · nonop 1Q</t>
        </is>
      </c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</row>
    <row r="76">
      <c r="A76" s="53" t="inlineStr">
        <is>
          <t>항목</t>
        </is>
      </c>
      <c r="B76" s="53" t="inlineStr">
        <is>
          <t>값</t>
        </is>
      </c>
      <c r="N76" s="53" t="inlineStr">
        <is>
          <t>출처</t>
        </is>
      </c>
    </row>
    <row r="77">
      <c r="A77" s="54" t="inlineStr">
        <is>
          <t>영업외비용</t>
        </is>
      </c>
      <c r="B77" s="55" t="n">
        <v>0.08</v>
      </c>
      <c r="N77" s="56" t="inlineStr">
        <is>
          <t>2단계 보고서 자료(회사 설명회 자료·공시)</t>
        </is>
      </c>
    </row>
    <row r="78">
      <c r="A78" s="54" t="inlineStr">
        <is>
          <t>경상이익</t>
        </is>
      </c>
      <c r="B78" s="55" t="n">
        <v>4.64</v>
      </c>
    </row>
    <row r="79">
      <c r="A79" s="54" t="inlineStr">
        <is>
          <t>특별손실</t>
        </is>
      </c>
      <c r="B79" s="55" t="n">
        <v>0.09</v>
      </c>
    </row>
    <row r="80">
      <c r="A80" s="54" t="inlineStr">
        <is>
          <t>세전이익</t>
        </is>
      </c>
      <c r="B80" s="55" t="n">
        <v>4.55</v>
      </c>
    </row>
    <row r="81">
      <c r="A81" s="54" t="inlineStr">
        <is>
          <t>법인세 등</t>
        </is>
      </c>
      <c r="B81" s="55" t="n">
        <v>1.55</v>
      </c>
    </row>
    <row r="82">
      <c r="A82" s="54" t="inlineStr">
        <is>
          <t>환차익</t>
        </is>
      </c>
      <c r="B82" s="55" t="n">
        <v>0.47</v>
      </c>
    </row>
    <row r="83">
      <c r="A83" s="54" t="inlineStr">
        <is>
          <t>전년1Q 환차손</t>
        </is>
      </c>
      <c r="B83" s="55" t="n">
        <v>0.33</v>
      </c>
    </row>
    <row r="84">
      <c r="A84" s="54" t="inlineStr">
        <is>
          <t>전년1Q 투자유가증권 매각익</t>
        </is>
      </c>
      <c r="B84" s="55" t="n">
        <v>0.89</v>
      </c>
    </row>
    <row r="86">
      <c r="A86" s="52" t="inlineStr">
        <is>
          <t>this filing · bs 상반기</t>
        </is>
      </c>
      <c r="B86" s="52" t="n"/>
      <c r="C86" s="52" t="n"/>
      <c r="D86" s="52" t="n"/>
      <c r="E86" s="52" t="n"/>
      <c r="F86" s="52" t="n"/>
      <c r="G86" s="52" t="n"/>
      <c r="H86" s="52" t="n"/>
      <c r="I86" s="52" t="n"/>
      <c r="J86" s="52" t="n"/>
      <c r="K86" s="52" t="n"/>
      <c r="L86" s="52" t="n"/>
      <c r="M86" s="52" t="n"/>
      <c r="N86" s="52" t="n"/>
    </row>
    <row r="87">
      <c r="A87" s="53" t="inlineStr">
        <is>
          <t>항목</t>
        </is>
      </c>
      <c r="B87" s="53" t="inlineStr">
        <is>
          <t>값</t>
        </is>
      </c>
      <c r="N87" s="53" t="inlineStr">
        <is>
          <t>출처</t>
        </is>
      </c>
    </row>
    <row r="88">
      <c r="A88" s="54" t="inlineStr">
        <is>
          <t>총자산</t>
        </is>
      </c>
      <c r="B88" s="55" t="n">
        <v>269</v>
      </c>
      <c r="N88" s="56" t="inlineStr">
        <is>
          <t>2단계 보고서 자료(회사 설명회 자료·공시)</t>
        </is>
      </c>
    </row>
    <row r="89">
      <c r="A89" s="54" t="inlineStr">
        <is>
          <t>순자산</t>
        </is>
      </c>
      <c r="B89" s="55" t="n">
        <v>235.6</v>
      </c>
    </row>
    <row r="90">
      <c r="A90" s="54" t="inlineStr">
        <is>
          <t>자기자본</t>
        </is>
      </c>
      <c r="B90" s="55" t="n">
        <v>226.3</v>
      </c>
    </row>
    <row r="91">
      <c r="A91" s="54" t="inlineStr">
        <is>
          <t>자기자본비율</t>
        </is>
      </c>
      <c r="B91" s="55" t="n">
        <v>84.09999999999999</v>
      </c>
    </row>
    <row r="92">
      <c r="A92" s="54" t="inlineStr">
        <is>
          <t>현금예금</t>
        </is>
      </c>
      <c r="B92" s="55" t="n">
        <v>83.7</v>
      </c>
    </row>
    <row r="93">
      <c r="A93" s="54" t="inlineStr">
        <is>
          <t>원재료·저장품</t>
        </is>
      </c>
      <c r="B93" s="55" t="n">
        <v>24.7</v>
      </c>
    </row>
    <row r="94">
      <c r="A94" s="54" t="inlineStr">
        <is>
          <t>원재료·저장품_전기말</t>
        </is>
      </c>
      <c r="B94" s="55" t="n">
        <v>16.7</v>
      </c>
    </row>
    <row r="95">
      <c r="A95" s="54" t="inlineStr">
        <is>
          <t>유형자산</t>
        </is>
      </c>
      <c r="B95" s="55" t="n">
        <v>62.2</v>
      </c>
    </row>
    <row r="97">
      <c r="A97" s="52" t="inlineStr">
        <is>
          <t>가이던스 path · 하반기 implied</t>
        </is>
      </c>
      <c r="B97" s="52" t="n"/>
      <c r="C97" s="52" t="n"/>
      <c r="D97" s="52" t="n"/>
      <c r="E97" s="52" t="n"/>
      <c r="F97" s="52" t="n"/>
      <c r="G97" s="52" t="n"/>
      <c r="H97" s="52" t="n"/>
      <c r="I97" s="52" t="n"/>
      <c r="J97" s="52" t="n"/>
      <c r="K97" s="52" t="n"/>
      <c r="L97" s="52" t="n"/>
      <c r="M97" s="52" t="n"/>
      <c r="N97" s="52" t="n"/>
    </row>
    <row r="98">
      <c r="A98" s="53" t="inlineStr">
        <is>
          <t>항목</t>
        </is>
      </c>
      <c r="B98" s="53" t="inlineStr">
        <is>
          <t>값</t>
        </is>
      </c>
      <c r="N98" s="53" t="inlineStr">
        <is>
          <t>출처</t>
        </is>
      </c>
    </row>
    <row r="99">
      <c r="A99" s="54" t="inlineStr">
        <is>
          <t>매출</t>
        </is>
      </c>
      <c r="B99" s="55" t="n">
        <v>93.97</v>
      </c>
      <c r="N99" s="56" t="inlineStr">
        <is>
          <t>2단계 보고서 자료(회사 설명회 자료·공시)</t>
        </is>
      </c>
    </row>
    <row r="100">
      <c r="A100" s="54" t="inlineStr">
        <is>
          <t>매출 ly</t>
        </is>
      </c>
      <c r="B100" s="55" t="n">
        <v>93.62</v>
      </c>
    </row>
    <row r="101">
      <c r="A101" s="54" t="inlineStr">
        <is>
          <t>영업이익</t>
        </is>
      </c>
      <c r="B101" s="55" t="n">
        <v>11.31</v>
      </c>
    </row>
    <row r="102">
      <c r="A102" s="54" t="inlineStr">
        <is>
          <t>영업이익 ly</t>
        </is>
      </c>
      <c r="B102" s="55" t="n">
        <v>11.41</v>
      </c>
    </row>
    <row r="103">
      <c r="A103" s="54" t="inlineStr">
        <is>
          <t>순이익</t>
        </is>
      </c>
      <c r="B103" s="55" t="n">
        <v>8.609999999999999</v>
      </c>
    </row>
    <row r="104">
      <c r="A104" s="54" t="inlineStr">
        <is>
          <t>순이익 ly</t>
        </is>
      </c>
      <c r="B104" s="55" t="n">
        <v>9.199999999999999</v>
      </c>
    </row>
    <row r="106">
      <c r="A106" s="52" t="inlineStr">
        <is>
          <t>bs annual</t>
        </is>
      </c>
      <c r="B106" s="52" t="n"/>
      <c r="C106" s="52" t="n"/>
      <c r="D106" s="52" t="n"/>
      <c r="E106" s="52" t="n"/>
      <c r="F106" s="52" t="n"/>
      <c r="G106" s="52" t="n"/>
      <c r="H106" s="52" t="n"/>
      <c r="I106" s="52" t="n"/>
      <c r="J106" s="52" t="n"/>
      <c r="K106" s="52" t="n"/>
      <c r="L106" s="52" t="n"/>
      <c r="M106" s="52" t="n"/>
      <c r="N106" s="52" t="n"/>
    </row>
    <row r="107">
      <c r="A107" s="53" t="inlineStr">
        <is>
          <t>항목</t>
        </is>
      </c>
      <c r="B107" s="53" t="inlineStr">
        <is>
          <t>2022</t>
        </is>
      </c>
      <c r="C107" s="53" t="inlineStr">
        <is>
          <t>2023</t>
        </is>
      </c>
      <c r="D107" s="53" t="inlineStr">
        <is>
          <t>2024</t>
        </is>
      </c>
      <c r="E107" s="53" t="inlineStr">
        <is>
          <t>2025</t>
        </is>
      </c>
      <c r="F107" s="53" t="inlineStr">
        <is>
          <t>2026</t>
        </is>
      </c>
      <c r="N107" s="53" t="inlineStr">
        <is>
          <t>출처</t>
        </is>
      </c>
    </row>
    <row r="108">
      <c r="A108" s="54" t="inlineStr">
        <is>
          <t>labels</t>
        </is>
      </c>
      <c r="B108" s="57" t="n">
        <v>2022</v>
      </c>
      <c r="C108" s="57" t="n">
        <v>2023</v>
      </c>
      <c r="D108" s="57" t="n">
        <v>2024</v>
      </c>
      <c r="E108" s="57" t="n">
        <v>2025</v>
      </c>
      <c r="F108" s="57" t="n">
        <v>2026</v>
      </c>
      <c r="N108" s="56" t="inlineStr">
        <is>
          <t>2단계 보고서 자료(회사 설명회 자료·공시)</t>
        </is>
      </c>
    </row>
    <row r="109">
      <c r="A109" s="54" t="inlineStr">
        <is>
          <t>current assets</t>
        </is>
      </c>
      <c r="B109" s="55" t="n">
        <v>167.8</v>
      </c>
      <c r="C109" s="55" t="n">
        <v>164.1</v>
      </c>
      <c r="D109" s="55" t="n">
        <v>168.2</v>
      </c>
      <c r="E109" s="55" t="n">
        <v>174</v>
      </c>
      <c r="F109" s="55" t="n">
        <v>190.3</v>
      </c>
    </row>
    <row r="110">
      <c r="A110" s="54" t="inlineStr">
        <is>
          <t>cash</t>
        </is>
      </c>
      <c r="B110" s="55" t="n">
        <v>80.7</v>
      </c>
      <c r="C110" s="55" t="n">
        <v>75.40000000000001</v>
      </c>
      <c r="D110" s="55" t="n">
        <v>86.40000000000001</v>
      </c>
      <c r="E110" s="55" t="n">
        <v>83</v>
      </c>
      <c r="F110" s="55" t="n">
        <v>95.7</v>
      </c>
    </row>
    <row r="111">
      <c r="A111" s="54" t="inlineStr">
        <is>
          <t>st fin</t>
        </is>
      </c>
      <c r="B111" s="55" t="n">
        <v>20</v>
      </c>
      <c r="C111" s="55" t="n">
        <v>7.5</v>
      </c>
      <c r="D111" s="55" t="n">
        <v>0</v>
      </c>
      <c r="E111" s="58" t="n"/>
      <c r="F111" s="55" t="n">
        <v>4.8</v>
      </c>
    </row>
    <row r="112">
      <c r="A112" s="54" t="inlineStr">
        <is>
          <t>receivables</t>
        </is>
      </c>
      <c r="B112" s="55" t="n">
        <v>25.7</v>
      </c>
      <c r="C112" s="55" t="n">
        <v>24.7</v>
      </c>
      <c r="D112" s="55" t="n">
        <v>25.3</v>
      </c>
      <c r="E112" s="58" t="n"/>
      <c r="F112" s="55" t="n">
        <v>27.6</v>
      </c>
    </row>
    <row r="113">
      <c r="A113" s="54" t="inlineStr">
        <is>
          <t>inventory</t>
        </is>
      </c>
      <c r="B113" s="55" t="n">
        <v>21.8</v>
      </c>
      <c r="C113" s="55" t="n">
        <v>34.3</v>
      </c>
      <c r="D113" s="55" t="n">
        <v>36.3</v>
      </c>
      <c r="E113" s="58" t="n"/>
      <c r="F113" s="55" t="n">
        <v>29.2</v>
      </c>
    </row>
    <row r="114">
      <c r="A114" s="54" t="inlineStr">
        <is>
          <t>noncurrent assets</t>
        </is>
      </c>
      <c r="B114" s="55" t="n">
        <v>80.7</v>
      </c>
      <c r="C114" s="55" t="n">
        <v>81.5</v>
      </c>
      <c r="D114" s="55" t="n">
        <v>84.09999999999999</v>
      </c>
      <c r="E114" s="55" t="n">
        <v>84.40000000000001</v>
      </c>
      <c r="F114" s="55" t="n">
        <v>78.2</v>
      </c>
    </row>
    <row r="115">
      <c r="A115" s="54" t="inlineStr">
        <is>
          <t>ppe</t>
        </is>
      </c>
      <c r="B115" s="55" t="n">
        <v>58.6</v>
      </c>
      <c r="C115" s="55" t="n">
        <v>58.5</v>
      </c>
      <c r="D115" s="55" t="n">
        <v>57.6</v>
      </c>
      <c r="E115" s="55" t="n">
        <v>54.7</v>
      </c>
      <c r="F115" s="55" t="n">
        <v>58.4</v>
      </c>
    </row>
    <row r="116">
      <c r="A116" s="54" t="inlineStr">
        <is>
          <t>intangibles</t>
        </is>
      </c>
      <c r="B116" s="55" t="n">
        <v>0.8</v>
      </c>
      <c r="C116" s="55" t="n">
        <v>0.8</v>
      </c>
      <c r="D116" s="55" t="n">
        <v>2.6</v>
      </c>
      <c r="E116" s="58" t="n"/>
      <c r="F116" s="55" t="n">
        <v>6.3</v>
      </c>
    </row>
    <row r="117">
      <c r="A117" s="54" t="inlineStr">
        <is>
          <t>inv property</t>
        </is>
      </c>
      <c r="B117" s="58" t="n"/>
      <c r="C117" s="58" t="n"/>
      <c r="D117" s="58" t="n"/>
      <c r="E117" s="58" t="n"/>
      <c r="F117" s="58" t="n"/>
    </row>
    <row r="118">
      <c r="A118" s="54" t="inlineStr">
        <is>
          <t>합계 assets</t>
        </is>
      </c>
      <c r="B118" s="55" t="n">
        <v>248.5</v>
      </c>
      <c r="C118" s="55" t="n">
        <v>245.6</v>
      </c>
      <c r="D118" s="55" t="n">
        <v>252.3</v>
      </c>
      <c r="E118" s="55" t="n">
        <v>258.4</v>
      </c>
      <c r="F118" s="55" t="n">
        <v>268.4</v>
      </c>
    </row>
    <row r="119">
      <c r="A119" s="54" t="inlineStr">
        <is>
          <t>current liab</t>
        </is>
      </c>
      <c r="B119" s="55" t="n">
        <v>20.4</v>
      </c>
      <c r="C119" s="55" t="n">
        <v>20.5</v>
      </c>
      <c r="D119" s="55" t="n">
        <v>21.2</v>
      </c>
      <c r="E119" s="58" t="n"/>
      <c r="F119" s="55" t="n">
        <v>24.7</v>
      </c>
    </row>
    <row r="120">
      <c r="A120" s="54" t="inlineStr">
        <is>
          <t>payables</t>
        </is>
      </c>
      <c r="B120" s="55" t="n">
        <v>6.8</v>
      </c>
      <c r="C120" s="55" t="n">
        <v>8.9</v>
      </c>
      <c r="D120" s="55" t="n">
        <v>7.6</v>
      </c>
      <c r="E120" s="58" t="n"/>
      <c r="F120" s="55" t="n">
        <v>8.6</v>
      </c>
    </row>
    <row r="121">
      <c r="A121" s="54" t="inlineStr">
        <is>
          <t>st debt</t>
        </is>
      </c>
      <c r="B121" s="58" t="n"/>
      <c r="C121" s="58" t="n"/>
      <c r="D121" s="58" t="n"/>
      <c r="E121" s="58" t="n"/>
      <c r="F121" s="58" t="n"/>
    </row>
    <row r="122">
      <c r="A122" s="54" t="inlineStr">
        <is>
          <t>noncurrent liab</t>
        </is>
      </c>
      <c r="B122" s="55" t="n">
        <v>18.3</v>
      </c>
      <c r="C122" s="55" t="n">
        <v>11.6</v>
      </c>
      <c r="D122" s="55" t="n">
        <v>12.4</v>
      </c>
      <c r="E122" s="58" t="n"/>
      <c r="F122" s="55" t="n">
        <v>12.4</v>
      </c>
    </row>
    <row r="123">
      <c r="A123" s="54" t="inlineStr">
        <is>
          <t>lt debt</t>
        </is>
      </c>
      <c r="B123" s="55" t="n">
        <v>8.199999999999999</v>
      </c>
      <c r="C123" s="55" t="n">
        <v>0</v>
      </c>
      <c r="D123" s="58" t="n"/>
      <c r="E123" s="58" t="n"/>
      <c r="F123" s="58" t="n"/>
    </row>
    <row r="124">
      <c r="A124" s="54" t="inlineStr">
        <is>
          <t>bonds</t>
        </is>
      </c>
      <c r="B124" s="58" t="n"/>
      <c r="C124" s="58" t="n"/>
      <c r="D124" s="58" t="n"/>
      <c r="E124" s="58" t="n"/>
      <c r="F124" s="58" t="n"/>
    </row>
    <row r="125">
      <c r="A125" s="54" t="inlineStr">
        <is>
          <t>합계 liab</t>
        </is>
      </c>
      <c r="B125" s="55" t="n">
        <v>38.7</v>
      </c>
      <c r="C125" s="55" t="n">
        <v>32.1</v>
      </c>
      <c r="D125" s="55" t="n">
        <v>33.6</v>
      </c>
      <c r="E125" s="58" t="n"/>
      <c r="F125" s="55" t="n">
        <v>37</v>
      </c>
    </row>
    <row r="126">
      <c r="A126" s="54" t="inlineStr">
        <is>
          <t>capital stock</t>
        </is>
      </c>
      <c r="B126" s="55" t="n">
        <v>16.2</v>
      </c>
      <c r="C126" s="55" t="n">
        <v>16.2</v>
      </c>
      <c r="D126" s="55" t="n">
        <v>16.2</v>
      </c>
      <c r="E126" s="55" t="n">
        <v>16.2</v>
      </c>
      <c r="F126" s="55" t="n">
        <v>16.2</v>
      </c>
    </row>
    <row r="127">
      <c r="A127" s="54" t="inlineStr">
        <is>
          <t>retained</t>
        </is>
      </c>
      <c r="B127" s="55" t="n">
        <v>161.8</v>
      </c>
      <c r="C127" s="55" t="n">
        <v>166.4</v>
      </c>
      <c r="D127" s="55" t="n">
        <v>169.9</v>
      </c>
      <c r="E127" s="58" t="n"/>
      <c r="F127" s="55" t="n">
        <v>184.3</v>
      </c>
    </row>
    <row r="128">
      <c r="A128" s="54" t="inlineStr">
        <is>
          <t>nci</t>
        </is>
      </c>
      <c r="B128" s="55" t="n">
        <v>4.7</v>
      </c>
      <c r="C128" s="55" t="n">
        <v>5.9</v>
      </c>
      <c r="D128" s="55" t="n">
        <v>6.7</v>
      </c>
      <c r="E128" s="58" t="n"/>
      <c r="F128" s="55" t="n">
        <v>8.699999999999999</v>
      </c>
    </row>
    <row r="129">
      <c r="A129" s="54" t="inlineStr">
        <is>
          <t>합계 equity</t>
        </is>
      </c>
      <c r="B129" s="55" t="n">
        <v>209.8</v>
      </c>
      <c r="C129" s="55" t="n">
        <v>213.5</v>
      </c>
      <c r="D129" s="55" t="n">
        <v>218.7</v>
      </c>
      <c r="E129" s="55" t="n">
        <v>223.5</v>
      </c>
      <c r="F129" s="55" t="n">
        <v>231.4</v>
      </c>
    </row>
    <row r="130">
      <c r="A130" s="54" t="inlineStr">
        <is>
          <t>current ltd</t>
        </is>
      </c>
      <c r="B130" s="55" t="n">
        <v>1</v>
      </c>
      <c r="C130" s="55" t="n">
        <v>0</v>
      </c>
      <c r="D130" s="58" t="n"/>
      <c r="E130" s="58" t="n"/>
      <c r="F130" s="58" t="n"/>
    </row>
    <row r="131">
      <c r="A131" s="54" t="inlineStr">
        <is>
          <t>equity owner</t>
        </is>
      </c>
      <c r="B131" s="55" t="n">
        <v>205.1</v>
      </c>
      <c r="C131" s="55" t="n">
        <v>207.6</v>
      </c>
      <c r="D131" s="55" t="n">
        <v>212</v>
      </c>
      <c r="E131" s="58" t="n"/>
      <c r="F131" s="55" t="n">
        <v>222.7</v>
      </c>
    </row>
    <row r="133">
      <c r="A133" s="52" t="inlineStr">
        <is>
          <t>cf annual</t>
        </is>
      </c>
      <c r="B133" s="52" t="n"/>
      <c r="C133" s="52" t="n"/>
      <c r="D133" s="52" t="n"/>
      <c r="E133" s="52" t="n"/>
      <c r="F133" s="52" t="n"/>
      <c r="G133" s="52" t="n"/>
      <c r="H133" s="52" t="n"/>
      <c r="I133" s="52" t="n"/>
      <c r="J133" s="52" t="n"/>
      <c r="K133" s="52" t="n"/>
      <c r="L133" s="52" t="n"/>
      <c r="M133" s="52" t="n"/>
      <c r="N133" s="52" t="n"/>
    </row>
    <row r="134">
      <c r="A134" s="53" t="inlineStr">
        <is>
          <t>항목</t>
        </is>
      </c>
      <c r="B134" s="53" t="inlineStr">
        <is>
          <t>2022</t>
        </is>
      </c>
      <c r="C134" s="53" t="inlineStr">
        <is>
          <t>2023</t>
        </is>
      </c>
      <c r="D134" s="53" t="inlineStr">
        <is>
          <t>2024</t>
        </is>
      </c>
      <c r="E134" s="53" t="inlineStr">
        <is>
          <t>2025</t>
        </is>
      </c>
      <c r="F134" s="53" t="inlineStr">
        <is>
          <t>2026</t>
        </is>
      </c>
      <c r="N134" s="53" t="inlineStr">
        <is>
          <t>출처</t>
        </is>
      </c>
    </row>
    <row r="135">
      <c r="A135" s="54" t="inlineStr">
        <is>
          <t>labels</t>
        </is>
      </c>
      <c r="B135" s="57" t="n">
        <v>2022</v>
      </c>
      <c r="C135" s="57" t="n">
        <v>2023</v>
      </c>
      <c r="D135" s="57" t="n">
        <v>2024</v>
      </c>
      <c r="E135" s="57" t="n">
        <v>2025</v>
      </c>
      <c r="F135" s="57" t="n">
        <v>2026</v>
      </c>
      <c r="N135" s="56" t="inlineStr">
        <is>
          <t>2단계 보고서 자료(회사 설명회 자료·공시)</t>
        </is>
      </c>
    </row>
    <row r="136">
      <c r="A136" s="54" t="inlineStr">
        <is>
          <t>ocf</t>
        </is>
      </c>
      <c r="B136" s="55" t="n">
        <v>11.8</v>
      </c>
      <c r="C136" s="55" t="n">
        <v>2.3</v>
      </c>
      <c r="D136" s="55" t="n">
        <v>19.2</v>
      </c>
      <c r="E136" s="55" t="n">
        <v>10.2</v>
      </c>
      <c r="F136" s="55" t="n">
        <v>43.3</v>
      </c>
    </row>
    <row r="137">
      <c r="A137" s="54" t="inlineStr">
        <is>
          <t>설비투자</t>
        </is>
      </c>
      <c r="B137" s="55" t="n">
        <v>6.9</v>
      </c>
      <c r="C137" s="55" t="n">
        <v>7.6</v>
      </c>
      <c r="D137" s="55" t="n">
        <v>10</v>
      </c>
      <c r="E137" s="55" t="n">
        <v>10.6</v>
      </c>
      <c r="F137" s="55" t="n">
        <v>12.1</v>
      </c>
    </row>
    <row r="138">
      <c r="A138" s="54" t="inlineStr">
        <is>
          <t>dividends</t>
        </is>
      </c>
      <c r="B138" s="55" t="n">
        <v>3.9</v>
      </c>
      <c r="C138" s="55" t="n">
        <v>3.9</v>
      </c>
      <c r="D138" s="55" t="n">
        <v>6.9</v>
      </c>
      <c r="E138" s="55" t="n">
        <v>4.9</v>
      </c>
      <c r="F138" s="55" t="n">
        <v>4.9</v>
      </c>
    </row>
    <row r="140">
      <c r="A140" s="52" t="inlineStr">
        <is>
          <t>부문별 annual ext 매출</t>
        </is>
      </c>
      <c r="B140" s="52" t="n"/>
      <c r="C140" s="52" t="n"/>
      <c r="D140" s="52" t="n"/>
      <c r="E140" s="52" t="n"/>
      <c r="F140" s="52" t="n"/>
      <c r="G140" s="52" t="n"/>
      <c r="H140" s="52" t="n"/>
      <c r="I140" s="52" t="n"/>
      <c r="J140" s="52" t="n"/>
      <c r="K140" s="52" t="n"/>
      <c r="L140" s="52" t="n"/>
      <c r="M140" s="52" t="n"/>
      <c r="N140" s="52" t="n"/>
    </row>
    <row r="141">
      <c r="A141" s="53" t="inlineStr">
        <is>
          <t>항목</t>
        </is>
      </c>
      <c r="B141" s="53" t="inlineStr">
        <is>
          <t>2024</t>
        </is>
      </c>
      <c r="C141" s="53" t="inlineStr">
        <is>
          <t>2025</t>
        </is>
      </c>
      <c r="D141" s="53" t="inlineStr">
        <is>
          <t>2026</t>
        </is>
      </c>
      <c r="N141" s="53" t="inlineStr">
        <is>
          <t>출처</t>
        </is>
      </c>
    </row>
    <row r="142">
      <c r="A142" s="54" t="inlineStr">
        <is>
          <t>labels</t>
        </is>
      </c>
      <c r="B142" s="57" t="n">
        <v>2024</v>
      </c>
      <c r="C142" s="57" t="n">
        <v>2025</v>
      </c>
      <c r="D142" s="57" t="n">
        <v>2026</v>
      </c>
      <c r="N142" s="56" t="inlineStr">
        <is>
          <t>FY3/2024 당시 공시는 벤토나이트 / 클레이사이언스(파인케미컬·애그리비즈니스·라이프사이언스) 구분이었음 — 위 3부문 숫자는 이후 공시의 재분류 값(prep). 부문 이익 연간은 결산단신 세그먼트 주석으로 확인.</t>
        </is>
      </c>
    </row>
    <row r="143">
      <c r="A143" s="54" t="inlineStr">
        <is>
          <t>벤토나이트</t>
        </is>
      </c>
      <c r="B143" s="55" t="n">
        <v>113.3</v>
      </c>
      <c r="C143" s="55" t="n">
        <v>110.9</v>
      </c>
      <c r="D143" s="55" t="n">
        <v>118.4</v>
      </c>
    </row>
    <row r="144">
      <c r="A144" s="54" t="inlineStr">
        <is>
          <t>클레이사이언스</t>
        </is>
      </c>
      <c r="B144" s="55" t="n">
        <v>16.4</v>
      </c>
      <c r="C144" s="55" t="n">
        <v>18.1</v>
      </c>
      <c r="D144" s="55" t="n">
        <v>17.9</v>
      </c>
    </row>
    <row r="145">
      <c r="A145" s="54" t="inlineStr">
        <is>
          <t>애그리</t>
        </is>
      </c>
      <c r="B145" s="55" t="n">
        <v>27</v>
      </c>
      <c r="C145" s="55" t="n">
        <v>28</v>
      </c>
      <c r="D145" s="55" t="n">
        <v>34.4</v>
      </c>
    </row>
    <row r="147">
      <c r="A147" s="52" t="inlineStr">
        <is>
          <t>부문별 quarterly ext 매출</t>
        </is>
      </c>
      <c r="B147" s="52" t="n"/>
      <c r="C147" s="52" t="n"/>
      <c r="D147" s="52" t="n"/>
      <c r="E147" s="52" t="n"/>
      <c r="F147" s="52" t="n"/>
      <c r="G147" s="52" t="n"/>
      <c r="H147" s="52" t="n"/>
      <c r="I147" s="52" t="n"/>
      <c r="J147" s="52" t="n"/>
      <c r="K147" s="52" t="n"/>
      <c r="L147" s="52" t="n"/>
      <c r="M147" s="52" t="n"/>
      <c r="N147" s="52" t="n"/>
    </row>
    <row r="148">
      <c r="A148" s="53" t="inlineStr">
        <is>
          <t>항목</t>
        </is>
      </c>
      <c r="B148" s="53" t="inlineStr">
        <is>
          <t>2024.3Q</t>
        </is>
      </c>
      <c r="C148" s="53" t="inlineStr">
        <is>
          <t>2024.4Q</t>
        </is>
      </c>
      <c r="D148" s="53" t="inlineStr">
        <is>
          <t>2025.1Q</t>
        </is>
      </c>
      <c r="E148" s="53" t="inlineStr">
        <is>
          <t>2025.2Q</t>
        </is>
      </c>
      <c r="F148" s="53" t="inlineStr">
        <is>
          <t>2025.3Q</t>
        </is>
      </c>
      <c r="G148" s="53" t="inlineStr">
        <is>
          <t>2025.4Q</t>
        </is>
      </c>
      <c r="H148" s="53" t="inlineStr">
        <is>
          <t>2026.1Q</t>
        </is>
      </c>
      <c r="I148" s="53" t="inlineStr">
        <is>
          <t>2026.2Q</t>
        </is>
      </c>
      <c r="J148" s="53" t="inlineStr">
        <is>
          <t>2026.3Q</t>
        </is>
      </c>
      <c r="K148" s="53" t="inlineStr">
        <is>
          <t>2026.4Q</t>
        </is>
      </c>
      <c r="L148" s="53" t="inlineStr">
        <is>
          <t>2027.1Q</t>
        </is>
      </c>
      <c r="M148" s="53" t="inlineStr">
        <is>
          <t>2027.2Q</t>
        </is>
      </c>
      <c r="N148" s="53" t="inlineStr">
        <is>
          <t>출처</t>
        </is>
      </c>
    </row>
    <row r="149">
      <c r="A149" s="54" t="inlineStr">
        <is>
          <t>벤토나이트</t>
        </is>
      </c>
      <c r="B149" s="55" t="n">
        <v>29.7</v>
      </c>
      <c r="C149" s="55" t="n">
        <v>25.7</v>
      </c>
      <c r="D149" s="55" t="n">
        <v>27.5</v>
      </c>
      <c r="E149" s="55" t="n">
        <v>26.7</v>
      </c>
      <c r="F149" s="55" t="n">
        <v>28.5</v>
      </c>
      <c r="G149" s="55" t="n">
        <v>28.3</v>
      </c>
      <c r="H149" s="55" t="n">
        <v>28.1</v>
      </c>
      <c r="I149" s="55" t="n">
        <v>29.2</v>
      </c>
      <c r="J149" s="55" t="n">
        <v>31.2</v>
      </c>
      <c r="K149" s="55" t="n">
        <v>29.9</v>
      </c>
      <c r="L149" s="55" t="n">
        <v>30.8</v>
      </c>
      <c r="M149" s="55" t="n">
        <v>30</v>
      </c>
      <c r="N149" s="56" t="inlineStr">
        <is>
          <t>prep 값(누계 차분). 클레이사이언스 빈칸은 매출합계 − 나머지로 계산 가능(근사). 2026.2Q 4.6·2027.2Q 5.1은 결산단신 원문으로 계산.</t>
        </is>
      </c>
    </row>
    <row r="150">
      <c r="A150" s="54" t="inlineStr">
        <is>
          <t>애그리</t>
        </is>
      </c>
      <c r="B150" s="55" t="n">
        <v>9.1</v>
      </c>
      <c r="C150" s="55" t="n">
        <v>9.5</v>
      </c>
      <c r="D150" s="55" t="n">
        <v>4.1</v>
      </c>
      <c r="E150" s="55" t="n">
        <v>5.3</v>
      </c>
      <c r="F150" s="55" t="n">
        <v>8.5</v>
      </c>
      <c r="G150" s="55" t="n">
        <v>10.2</v>
      </c>
      <c r="H150" s="55" t="n">
        <v>4.9</v>
      </c>
      <c r="I150" s="55" t="n">
        <v>6.1</v>
      </c>
      <c r="J150" s="55" t="n">
        <v>11.1</v>
      </c>
      <c r="K150" s="55" t="n">
        <v>12.4</v>
      </c>
      <c r="L150" s="55" t="n">
        <v>6.1</v>
      </c>
      <c r="M150" s="55" t="n">
        <v>9.1</v>
      </c>
    </row>
    <row r="151">
      <c r="A151" s="54" t="inlineStr">
        <is>
          <t>클레이사이언스</t>
        </is>
      </c>
      <c r="B151" s="58" t="n"/>
      <c r="C151" s="55" t="n">
        <v>4.8</v>
      </c>
      <c r="D151" s="55" t="n">
        <v>5</v>
      </c>
      <c r="E151" s="58" t="n"/>
      <c r="F151" s="58" t="n"/>
      <c r="G151" s="55" t="n">
        <v>3.6</v>
      </c>
      <c r="H151" s="55" t="n">
        <v>4.2</v>
      </c>
      <c r="I151" s="55" t="n">
        <v>4.6</v>
      </c>
      <c r="J151" s="58" t="n"/>
      <c r="K151" s="55" t="n">
        <v>4.5</v>
      </c>
      <c r="L151" s="55" t="n">
        <v>4.9</v>
      </c>
      <c r="M151" s="55" t="n">
        <v>5.1</v>
      </c>
    </row>
    <row r="153">
      <c r="A153" s="52" t="inlineStr">
        <is>
          <t>reactions_발표다음날등락</t>
        </is>
      </c>
      <c r="B153" s="52" t="n"/>
      <c r="C153" s="52" t="n"/>
      <c r="D153" s="52" t="n"/>
      <c r="E153" s="52" t="n"/>
      <c r="F153" s="52" t="n"/>
      <c r="G153" s="52" t="n"/>
      <c r="H153" s="52" t="n"/>
      <c r="I153" s="52" t="n"/>
      <c r="J153" s="52" t="n"/>
      <c r="K153" s="52" t="n"/>
      <c r="L153" s="52" t="n"/>
      <c r="M153" s="52" t="n"/>
      <c r="N153" s="52" t="n"/>
    </row>
    <row r="154">
      <c r="A154" s="53" t="inlineStr">
        <is>
          <t>항목</t>
        </is>
      </c>
      <c r="B154" s="53" t="inlineStr">
        <is>
          <t>기준일</t>
        </is>
      </c>
      <c r="C154" s="53" t="inlineStr">
        <is>
          <t>다음날</t>
        </is>
      </c>
      <c r="D154" s="53" t="inlineStr">
        <is>
          <t>등락%</t>
        </is>
      </c>
      <c r="N154" s="53" t="inlineStr">
        <is>
          <t>출처</t>
        </is>
      </c>
    </row>
    <row r="155">
      <c r="A155" s="54" t="inlineStr">
        <is>
          <t>2025-08-08</t>
        </is>
      </c>
      <c r="B155" s="58" t="inlineStr">
        <is>
          <t>2025-08-08</t>
        </is>
      </c>
      <c r="C155" s="58" t="inlineStr">
        <is>
          <t>2025-08-12</t>
        </is>
      </c>
      <c r="D155" s="55" t="n">
        <v>0.2</v>
      </c>
      <c r="N155" s="56" t="inlineStr">
        <is>
          <t>2단계 보고서 자료(회사 설명회 자료·공시)</t>
        </is>
      </c>
    </row>
    <row r="156">
      <c r="A156" s="54" t="inlineStr">
        <is>
          <t>2025-10-31</t>
        </is>
      </c>
      <c r="B156" s="58" t="inlineStr">
        <is>
          <t>2025-10-31</t>
        </is>
      </c>
      <c r="C156" s="58" t="inlineStr">
        <is>
          <t>2025-11-04</t>
        </is>
      </c>
      <c r="D156" s="55" t="n">
        <v>-1.9</v>
      </c>
    </row>
    <row r="157">
      <c r="A157" s="54" t="inlineStr">
        <is>
          <t>2026-01-30</t>
        </is>
      </c>
      <c r="B157" s="58" t="inlineStr">
        <is>
          <t>2026-01-30</t>
        </is>
      </c>
      <c r="C157" s="58" t="inlineStr">
        <is>
          <t>2026-02-02</t>
        </is>
      </c>
      <c r="D157" s="55" t="n">
        <v>0.6</v>
      </c>
    </row>
    <row r="158">
      <c r="A158" s="54" t="inlineStr">
        <is>
          <t>2026-02-06</t>
        </is>
      </c>
      <c r="B158" s="58" t="inlineStr">
        <is>
          <t>2026-02-06</t>
        </is>
      </c>
      <c r="C158" s="58" t="inlineStr">
        <is>
          <t>2026-02-09</t>
        </is>
      </c>
      <c r="D158" s="55" t="n">
        <v>1.9</v>
      </c>
    </row>
    <row r="159">
      <c r="A159" s="54" t="inlineStr">
        <is>
          <t>2026-05-08</t>
        </is>
      </c>
      <c r="B159" s="58" t="inlineStr">
        <is>
          <t>2026-05-08</t>
        </is>
      </c>
      <c r="C159" s="58" t="inlineStr">
        <is>
          <t>2026-05-11</t>
        </is>
      </c>
      <c r="D159" s="55" t="n">
        <v>-2.5</v>
      </c>
    </row>
    <row r="160">
      <c r="A160" s="54" t="inlineStr">
        <is>
          <t>2026-07-31</t>
        </is>
      </c>
      <c r="B160" s="58" t="inlineStr">
        <is>
          <t>2026-07-31</t>
        </is>
      </c>
      <c r="C160" s="58" t="inlineStr">
        <is>
          <t>2026-08-03</t>
        </is>
      </c>
      <c r="D160" s="55" t="n">
        <v>-0.8</v>
      </c>
    </row>
    <row r="161">
      <c r="A161" s="54" t="inlineStr">
        <is>
          <t>2026-08-07</t>
        </is>
      </c>
      <c r="B161" s="58" t="inlineStr">
        <is>
          <t>2026-08-07</t>
        </is>
      </c>
      <c r="C161" s="58" t="inlineStr">
        <is>
          <t>2026-08-10</t>
        </is>
      </c>
      <c r="D161" s="55" t="n">
        <v>0.8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50" t="inlineStr">
        <is>
          <t>출처 · 쓴 결산단신</t>
        </is>
      </c>
    </row>
    <row r="3">
      <c r="A3" s="59" t="inlineStr">
        <is>
          <t>공시일</t>
        </is>
      </c>
      <c r="B3" s="59" t="inlineStr">
        <is>
          <t>문서</t>
        </is>
      </c>
      <c r="C3" s="59" t="inlineStr">
        <is>
          <t>PDF</t>
        </is>
      </c>
    </row>
    <row r="4">
      <c r="A4" t="inlineStr">
        <is>
          <t>2026-10-30</t>
        </is>
      </c>
      <c r="B4" t="inlineStr">
        <is>
          <t>2027년 3월 결산기 2분기 결산단신</t>
        </is>
      </c>
      <c r="C4" t="inlineStr">
        <is>
          <t>https://www2.jpx.co.jp/disc/53880/140120261029559553.pdf</t>
        </is>
      </c>
    </row>
    <row r="5">
      <c r="A5" t="inlineStr">
        <is>
          <t>2026-08-07</t>
        </is>
      </c>
      <c r="B5" t="inlineStr">
        <is>
          <t>2027년 3월 결산기 1분기 결산단신</t>
        </is>
      </c>
      <c r="C5" t="inlineStr">
        <is>
          <t>https://www2.jpx.co.jp/disc/53880/140120260806512504.pdf</t>
        </is>
      </c>
    </row>
    <row r="6">
      <c r="A6" t="inlineStr">
        <is>
          <t>2026-07-31</t>
        </is>
      </c>
      <c r="B6" t="inlineStr">
        <is>
          <t>2027년 3월 결산기 １분기 결산단신</t>
        </is>
      </c>
      <c r="C6" t="inlineStr">
        <is>
          <t>https://www2.jpx.co.jp/disc/53880/140120260730503292.pdf</t>
        </is>
      </c>
    </row>
    <row r="7">
      <c r="A7" t="inlineStr">
        <is>
          <t>2026-05-08</t>
        </is>
      </c>
      <c r="B7" t="inlineStr">
        <is>
          <t>2026년 3월 결산기 연간 결산단신</t>
        </is>
      </c>
      <c r="C7" t="inlineStr">
        <is>
          <t>https://www2.jpx.co.jp/disc/53880/140120260507517414.pdf</t>
        </is>
      </c>
    </row>
    <row r="8">
      <c r="A8" t="inlineStr">
        <is>
          <t>2026-02-06</t>
        </is>
      </c>
      <c r="B8" t="inlineStr">
        <is>
          <t>2026년 3월 결산기 3분기 결산단신</t>
        </is>
      </c>
      <c r="C8" t="inlineStr">
        <is>
          <t>https://www2.jpx.co.jp/disc/53880/140120260205548217.pdf</t>
        </is>
      </c>
    </row>
    <row r="9">
      <c r="A9" t="inlineStr">
        <is>
          <t>2026-01-30</t>
        </is>
      </c>
      <c r="B9" t="inlineStr">
        <is>
          <t>2026년 3월 결산기 3분기 결산단신</t>
        </is>
      </c>
      <c r="C9" t="inlineStr">
        <is>
          <t>https://www2.jpx.co.jp/disc/53880/140120260129541349.pdf</t>
        </is>
      </c>
    </row>
    <row r="10">
      <c r="A10" t="inlineStr">
        <is>
          <t>2025-10-31</t>
        </is>
      </c>
      <c r="B10" t="inlineStr">
        <is>
          <t>2026년 3월 결산기 2분기 결산단신</t>
        </is>
      </c>
      <c r="C10" t="inlineStr">
        <is>
          <t>https://www2.jpx.co.jp/disc/53880/140120251029581982.pdf</t>
        </is>
      </c>
    </row>
    <row r="11">
      <c r="A11" t="inlineStr">
        <is>
          <t>2025-08-08</t>
        </is>
      </c>
      <c r="B11" t="inlineStr">
        <is>
          <t>2026년 3월 결산기 1분기 결산단신</t>
        </is>
      </c>
      <c r="C11" t="inlineStr">
        <is>
          <t>https://www2.jpx.co.jp/disc/53880/140120250808535955.pdf</t>
        </is>
      </c>
    </row>
    <row r="12">
      <c r="A12" t="inlineStr">
        <is>
          <t>2025-07-31</t>
        </is>
      </c>
      <c r="B12" t="inlineStr">
        <is>
          <t>2026년 3월 결산기 1분기 결산단신</t>
        </is>
      </c>
      <c r="C12" t="inlineStr">
        <is>
          <t>https://www2.jpx.co.jp/disc/53880/140120250730523729.pdf</t>
        </is>
      </c>
    </row>
    <row r="13">
      <c r="A13" t="inlineStr">
        <is>
          <t>2025-05-09</t>
        </is>
      </c>
      <c r="B13" t="inlineStr">
        <is>
          <t>2025년 3월 결산기 연간 결산단신</t>
        </is>
      </c>
      <c r="C13" t="inlineStr">
        <is>
          <t>https://www2.jpx.co.jp/disc/53880/140120250507531472.pdf</t>
        </is>
      </c>
    </row>
    <row r="14">
      <c r="A14" t="inlineStr">
        <is>
          <t>2025-02-07</t>
        </is>
      </c>
      <c r="B14" t="inlineStr">
        <is>
          <t>2025년 3월 결산기 3분기 결산단신</t>
        </is>
      </c>
      <c r="C14" t="inlineStr">
        <is>
          <t>https://www2.jpx.co.jp/disc/53880/140120250206564747.pdf</t>
        </is>
      </c>
    </row>
    <row r="15">
      <c r="A15" t="inlineStr">
        <is>
          <t>2025-01-31</t>
        </is>
      </c>
      <c r="B15" t="inlineStr">
        <is>
          <t>2025년 3월 결산기 3분기 결산단신</t>
        </is>
      </c>
      <c r="C15" t="inlineStr">
        <is>
          <t>https://www2.jpx.co.jp/disc/53880/140120250130559005.pdf</t>
        </is>
      </c>
    </row>
    <row r="16">
      <c r="A16" t="inlineStr">
        <is>
          <t>2024-10-31</t>
        </is>
      </c>
      <c r="B16" t="inlineStr">
        <is>
          <t>2025년 3월 결산기 2분기 결산단신</t>
        </is>
      </c>
      <c r="C16" t="inlineStr">
        <is>
          <t>https://www2.jpx.co.jp/disc/53880/140120241030505764.pdf</t>
        </is>
      </c>
    </row>
    <row r="17">
      <c r="A17" t="inlineStr">
        <is>
          <t>2024-08-02</t>
        </is>
      </c>
      <c r="B17" t="inlineStr">
        <is>
          <t>2025년 3월 결산기 1분기 결산단신</t>
        </is>
      </c>
      <c r="C17" t="inlineStr">
        <is>
          <t>https://www2.jpx.co.jp/disc/53880/140120240802561427.pdf</t>
        </is>
      </c>
    </row>
    <row r="18">
      <c r="A18" t="inlineStr">
        <is>
          <t>2024-07-31</t>
        </is>
      </c>
      <c r="B18" t="inlineStr">
        <is>
          <t>2025년 3월 결산기 1분기 결산단신</t>
        </is>
      </c>
      <c r="C18" t="inlineStr">
        <is>
          <t>https://www2.jpx.co.jp/disc/53880/140120240730557278.pdf</t>
        </is>
      </c>
    </row>
    <row r="19">
      <c r="A19" t="inlineStr">
        <is>
          <t>2024-05-10</t>
        </is>
      </c>
      <c r="B19" t="inlineStr">
        <is>
          <t>2024년 3월 결산기 연간 결산단신</t>
        </is>
      </c>
      <c r="C19" t="inlineStr">
        <is>
          <t>https://www2.jpx.co.jp/disc/53880/140120240509586288.pdf</t>
        </is>
      </c>
    </row>
    <row r="20">
      <c r="A20" t="inlineStr">
        <is>
          <t>2023-05-12</t>
        </is>
      </c>
      <c r="B20" t="inlineStr">
        <is>
          <t>2023년 3월 결산기 연간 결산단신</t>
        </is>
      </c>
      <c r="C20" t="inlineStr">
        <is>
          <t>https://www2.jpx.co.jp/disc/53880/140120230511567314.pdf</t>
        </is>
      </c>
    </row>
    <row r="21">
      <c r="A21" t="inlineStr">
        <is>
          <t>2022-05-06</t>
        </is>
      </c>
      <c r="B21" t="inlineStr">
        <is>
          <t>2022년 3월 결산기 연간 결산단신</t>
        </is>
      </c>
      <c r="C21" t="inlineStr">
        <is>
          <t>https://www2.jpx.co.jp/disc/53880/140120220502532733.pdf</t>
        </is>
      </c>
    </row>
    <row r="22">
      <c r="A22" t="inlineStr">
        <is>
          <t>2021-05-07</t>
        </is>
      </c>
      <c r="B22" t="inlineStr">
        <is>
          <t>2021년 3월 결산기 연간 결산단신</t>
        </is>
      </c>
      <c r="C22" t="inlineStr">
        <is>
          <t>https://www2.jpx.co.jp/disc/53880/140120210426400306.pdf</t>
        </is>
      </c>
    </row>
    <row r="23">
      <c r="A23" t="inlineStr">
        <is>
          <t>2020-05-08</t>
        </is>
      </c>
      <c r="B23" t="inlineStr">
        <is>
          <t>2020년 3월 결산기 연간 결산단신</t>
        </is>
      </c>
      <c r="C23" t="inlineStr">
        <is>
          <t>https://www2.jpx.co.jp/disc/53880/140120200429402097.pdf</t>
        </is>
      </c>
    </row>
    <row r="24">
      <c r="A24" t="inlineStr">
        <is>
          <t>2019-05-10</t>
        </is>
      </c>
      <c r="B24" t="inlineStr">
        <is>
          <t>2019년 3월 결산기 연간 결산단신</t>
        </is>
      </c>
      <c r="C24" t="inlineStr">
        <is>
          <t>https://www2.jpx.co.jp/disc/53880/140120190425411811.pdf</t>
        </is>
      </c>
    </row>
    <row r="25">
      <c r="A25" t="inlineStr">
        <is>
          <t>2018-05-11</t>
        </is>
      </c>
      <c r="B25" t="inlineStr">
        <is>
          <t>연간 결산단신</t>
        </is>
      </c>
      <c r="C25" t="inlineStr">
        <is>
          <t>https://www2.jpx.co.jp/disc/53880/140120180409407538.pdf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2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.5" customWidth="1" min="2" max="2"/>
    <col width="7.5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  <col width="7.5" customWidth="1" min="19" max="19"/>
    <col width="7.5" customWidth="1" min="20" max="20"/>
    <col width="7.5" customWidth="1" min="21" max="21"/>
    <col width="7.5" customWidth="1" min="22" max="22"/>
    <col width="7.5" customWidth="1" min="23" max="23"/>
    <col width="7.5" customWidth="1" min="24" max="24"/>
    <col width="7.5" customWidth="1" min="25" max="25"/>
    <col width="7.5" customWidth="1" min="26" max="26"/>
    <col width="7.5" customWidth="1" min="27" max="27"/>
    <col width="7.5" customWidth="1" min="28" max="28"/>
    <col width="7.5" customWidth="1" min="29" max="29"/>
    <col width="7.5" customWidth="1" min="30" max="30"/>
    <col width="7.5" customWidth="1" min="31" max="31"/>
    <col width="7.5" customWidth="1" min="32" max="32"/>
    <col width="7.5" customWidth="1" min="33" max="33"/>
    <col width="7.5" customWidth="1" min="34" max="34"/>
    <col width="7.5" customWidth="1" min="35" max="35"/>
    <col width="7.5" customWidth="1" min="36" max="36"/>
    <col width="7.5" customWidth="1" min="37" max="37"/>
    <col width="7.5" customWidth="1" min="38" max="38"/>
    <col width="7.5" customWidth="1" min="39" max="39"/>
    <col width="7.5" customWidth="1" min="40" max="40"/>
    <col width="7.5" customWidth="1" min="41" max="41"/>
  </cols>
  <sheetData>
    <row r="1">
      <c r="A1" s="60" t="inlineStr">
        <is>
          <t>5388 재무제표 한눈에 보기 — 최근 40개 분기(달력 분기, 3Q26 = 26.7~9) · 단위 억 엔</t>
        </is>
      </c>
    </row>
    <row r="2">
      <c r="A2" s="61" t="inlineStr">
        <is>
          <t>출처: 매출·영업이익 결산단신 XBRL · 재무상태표 등 결산단신 XBRL 36건(2019-05-10~2026-10-30). 부문·지역·수주·수출은 있을 때만(출처는 줄 끝). 총 차입금 = 이자 붙는 부채 전부(단기·장기 차입금, CP, 사채·전환사채, 리스부채)</t>
        </is>
      </c>
    </row>
    <row r="4">
      <c r="A4" s="62" t="inlineStr">
        <is>
          <t>항목</t>
        </is>
      </c>
      <c r="B4" s="63" t="inlineStr">
        <is>
          <t>4Q16</t>
        </is>
      </c>
      <c r="C4" s="63" t="inlineStr">
        <is>
          <t>1Q17</t>
        </is>
      </c>
      <c r="D4" s="63" t="inlineStr">
        <is>
          <t>2Q17</t>
        </is>
      </c>
      <c r="E4" s="63" t="inlineStr">
        <is>
          <t>3Q17</t>
        </is>
      </c>
      <c r="F4" s="63" t="inlineStr">
        <is>
          <t>4Q17</t>
        </is>
      </c>
      <c r="G4" s="63" t="inlineStr">
        <is>
          <t>1Q18</t>
        </is>
      </c>
      <c r="H4" s="63" t="inlineStr">
        <is>
          <t>2Q18</t>
        </is>
      </c>
      <c r="I4" s="63" t="inlineStr">
        <is>
          <t>3Q18</t>
        </is>
      </c>
      <c r="J4" s="63" t="inlineStr">
        <is>
          <t>4Q18</t>
        </is>
      </c>
      <c r="K4" s="63" t="inlineStr">
        <is>
          <t>1Q19</t>
        </is>
      </c>
      <c r="L4" s="63" t="inlineStr">
        <is>
          <t>2Q19</t>
        </is>
      </c>
      <c r="M4" s="63" t="inlineStr">
        <is>
          <t>3Q19</t>
        </is>
      </c>
      <c r="N4" s="63" t="inlineStr">
        <is>
          <t>4Q19</t>
        </is>
      </c>
      <c r="O4" s="63" t="inlineStr">
        <is>
          <t>1Q20</t>
        </is>
      </c>
      <c r="P4" s="63" t="inlineStr">
        <is>
          <t>2Q20</t>
        </is>
      </c>
      <c r="Q4" s="63" t="inlineStr">
        <is>
          <t>3Q20</t>
        </is>
      </c>
      <c r="R4" s="63" t="inlineStr">
        <is>
          <t>4Q20</t>
        </is>
      </c>
      <c r="S4" s="63" t="inlineStr">
        <is>
          <t>1Q21</t>
        </is>
      </c>
      <c r="T4" s="63" t="inlineStr">
        <is>
          <t>2Q21</t>
        </is>
      </c>
      <c r="U4" s="63" t="inlineStr">
        <is>
          <t>3Q21</t>
        </is>
      </c>
      <c r="V4" s="63" t="inlineStr">
        <is>
          <t>4Q21</t>
        </is>
      </c>
      <c r="W4" s="63" t="inlineStr">
        <is>
          <t>1Q22</t>
        </is>
      </c>
      <c r="X4" s="63" t="inlineStr">
        <is>
          <t>2Q22</t>
        </is>
      </c>
      <c r="Y4" s="63" t="inlineStr">
        <is>
          <t>3Q22</t>
        </is>
      </c>
      <c r="Z4" s="63" t="inlineStr">
        <is>
          <t>4Q22</t>
        </is>
      </c>
      <c r="AA4" s="63" t="inlineStr">
        <is>
          <t>1Q23</t>
        </is>
      </c>
      <c r="AB4" s="63" t="inlineStr">
        <is>
          <t>2Q23</t>
        </is>
      </c>
      <c r="AC4" s="63" t="inlineStr">
        <is>
          <t>3Q23</t>
        </is>
      </c>
      <c r="AD4" s="63" t="inlineStr">
        <is>
          <t>4Q23</t>
        </is>
      </c>
      <c r="AE4" s="63" t="inlineStr">
        <is>
          <t>1Q24</t>
        </is>
      </c>
      <c r="AF4" s="63" t="inlineStr">
        <is>
          <t>2Q24</t>
        </is>
      </c>
      <c r="AG4" s="63" t="inlineStr">
        <is>
          <t>3Q24</t>
        </is>
      </c>
      <c r="AH4" s="63" t="inlineStr">
        <is>
          <t>4Q24</t>
        </is>
      </c>
      <c r="AI4" s="63" t="inlineStr">
        <is>
          <t>1Q25</t>
        </is>
      </c>
      <c r="AJ4" s="63" t="inlineStr">
        <is>
          <t>2Q25</t>
        </is>
      </c>
      <c r="AK4" s="63" t="inlineStr">
        <is>
          <t>3Q25</t>
        </is>
      </c>
      <c r="AL4" s="63" t="inlineStr">
        <is>
          <t>4Q25</t>
        </is>
      </c>
      <c r="AM4" s="63" t="inlineStr">
        <is>
          <t>1Q26</t>
        </is>
      </c>
      <c r="AN4" s="63" t="inlineStr">
        <is>
          <t>2Q26</t>
        </is>
      </c>
      <c r="AO4" s="63" t="inlineStr">
        <is>
          <t>3Q26</t>
        </is>
      </c>
      <c r="AP4" s="62" t="inlineStr">
        <is>
          <t>출처</t>
        </is>
      </c>
    </row>
    <row r="5">
      <c r="A5" s="64" t="inlineStr">
        <is>
          <t>매출액</t>
        </is>
      </c>
      <c r="B5" s="65" t="n"/>
      <c r="C5" s="65" t="n"/>
      <c r="D5" s="65" t="n"/>
      <c r="E5" s="65" t="n"/>
      <c r="F5" s="65" t="n"/>
      <c r="G5" s="65" t="n"/>
      <c r="H5" s="65" t="n">
        <v>32.3</v>
      </c>
      <c r="I5" s="65" t="n">
        <v>31.7</v>
      </c>
      <c r="J5" s="65" t="n">
        <v>40.7</v>
      </c>
      <c r="K5" s="65" t="n">
        <v>30</v>
      </c>
      <c r="L5" s="65" t="n">
        <v>35.3</v>
      </c>
      <c r="M5" s="65" t="n">
        <v>36.5</v>
      </c>
      <c r="N5" s="65" t="n">
        <v>41.5</v>
      </c>
      <c r="O5" s="65" t="n">
        <v>41</v>
      </c>
      <c r="P5" s="65" t="n">
        <v>31.2</v>
      </c>
      <c r="Q5" s="65" t="n">
        <v>31.6</v>
      </c>
      <c r="R5" s="65" t="n">
        <v>43.1</v>
      </c>
      <c r="S5" s="65" t="n">
        <v>40</v>
      </c>
      <c r="T5" s="65" t="n">
        <v>35.8</v>
      </c>
      <c r="U5" s="65" t="n">
        <v>35.7</v>
      </c>
      <c r="V5" s="65" t="n">
        <v>41.6</v>
      </c>
      <c r="W5" s="65" t="n">
        <v>39.5</v>
      </c>
      <c r="X5" s="65" t="n">
        <v>33.1</v>
      </c>
      <c r="Y5" s="65" t="n">
        <v>37.2</v>
      </c>
      <c r="Z5" s="65" t="n">
        <v>43.3</v>
      </c>
      <c r="AA5" s="65" t="n">
        <v>28.1</v>
      </c>
      <c r="AB5" s="65" t="n">
        <v>36.7</v>
      </c>
      <c r="AC5" s="65" t="n">
        <v>37.3</v>
      </c>
      <c r="AD5" s="65" t="n">
        <v>42.7</v>
      </c>
      <c r="AE5" s="65" t="n">
        <v>28.3</v>
      </c>
      <c r="AF5" s="65" t="n">
        <v>36.5</v>
      </c>
      <c r="AG5" s="65" t="n">
        <v>37.1</v>
      </c>
      <c r="AH5" s="65" t="n">
        <v>41.3</v>
      </c>
      <c r="AI5" s="65" t="n">
        <v>42.1</v>
      </c>
      <c r="AJ5" s="65" t="n">
        <v>37.2</v>
      </c>
      <c r="AK5" s="65" t="n">
        <v>39.9</v>
      </c>
      <c r="AL5" s="65" t="n">
        <v>46.9</v>
      </c>
      <c r="AM5" s="65" t="n">
        <v>46.8</v>
      </c>
      <c r="AN5" s="65" t="n">
        <v>41.8</v>
      </c>
      <c r="AO5" s="65" t="n">
        <v>44.2</v>
      </c>
    </row>
    <row r="6">
      <c r="A6" s="64" t="inlineStr">
        <is>
          <t>매출액 YoY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>
        <v>9.300000000000001</v>
      </c>
      <c r="M6" s="66" t="n">
        <v>15.1</v>
      </c>
      <c r="N6" s="66" t="n">
        <v>2</v>
      </c>
      <c r="O6" s="66" t="n">
        <v>36.7</v>
      </c>
      <c r="P6" s="66" t="n">
        <v>-11.6</v>
      </c>
      <c r="Q6" s="66" t="n">
        <v>-13.4</v>
      </c>
      <c r="R6" s="66" t="n">
        <v>3.9</v>
      </c>
      <c r="S6" s="66" t="n">
        <v>-2.4</v>
      </c>
      <c r="T6" s="66" t="n">
        <v>14.7</v>
      </c>
      <c r="U6" s="66" t="n">
        <v>13</v>
      </c>
      <c r="V6" s="66" t="n">
        <v>-3.5</v>
      </c>
      <c r="W6" s="66" t="n">
        <v>-1.2</v>
      </c>
      <c r="X6" s="66" t="n">
        <v>-7.5</v>
      </c>
      <c r="Y6" s="66" t="n">
        <v>4.2</v>
      </c>
      <c r="Z6" s="66" t="n">
        <v>4.1</v>
      </c>
      <c r="AA6" s="66" t="n">
        <v>-28.9</v>
      </c>
      <c r="AB6" s="66" t="n">
        <v>10.9</v>
      </c>
      <c r="AC6" s="66" t="n">
        <v>0.3</v>
      </c>
      <c r="AD6" s="66" t="n">
        <v>-1.4</v>
      </c>
      <c r="AE6" s="66" t="n">
        <v>0.7</v>
      </c>
      <c r="AF6" s="66" t="n">
        <v>-0.5</v>
      </c>
      <c r="AG6" s="66" t="n">
        <v>-0.5</v>
      </c>
      <c r="AH6" s="66" t="n">
        <v>-3.3</v>
      </c>
      <c r="AI6" s="66" t="n">
        <v>48.8</v>
      </c>
      <c r="AJ6" s="66" t="n">
        <v>1.9</v>
      </c>
      <c r="AK6" s="66" t="n">
        <v>7.5</v>
      </c>
      <c r="AL6" s="66" t="n">
        <v>13.6</v>
      </c>
      <c r="AM6" s="66" t="n">
        <v>11.2</v>
      </c>
      <c r="AN6" s="66" t="n">
        <v>12.4</v>
      </c>
      <c r="AO6" s="66" t="n">
        <v>10.8</v>
      </c>
    </row>
    <row r="7">
      <c r="A7" s="64" t="inlineStr">
        <is>
          <t>영업이익</t>
        </is>
      </c>
      <c r="B7" s="65" t="n"/>
      <c r="C7" s="65" t="n"/>
      <c r="D7" s="65" t="n"/>
      <c r="E7" s="65" t="n"/>
      <c r="F7" s="65" t="n"/>
      <c r="G7" s="65" t="n"/>
      <c r="H7" s="65" t="n">
        <v>2.5</v>
      </c>
      <c r="I7" s="65" t="n">
        <v>3</v>
      </c>
      <c r="J7" s="65" t="n">
        <v>6.3</v>
      </c>
      <c r="K7" s="65" t="n">
        <v>3.8</v>
      </c>
      <c r="L7" s="65" t="n">
        <v>3.2</v>
      </c>
      <c r="M7" s="65" t="n">
        <v>3.5</v>
      </c>
      <c r="N7" s="65" t="n">
        <v>6.6</v>
      </c>
      <c r="O7" s="65" t="n">
        <v>6</v>
      </c>
      <c r="P7" s="65" t="n">
        <v>3</v>
      </c>
      <c r="Q7" s="65" t="n">
        <v>4.1</v>
      </c>
      <c r="R7" s="65" t="n">
        <v>8.9</v>
      </c>
      <c r="S7" s="65" t="n">
        <v>6.4</v>
      </c>
      <c r="T7" s="65" t="n">
        <v>3.4</v>
      </c>
      <c r="U7" s="65" t="n">
        <v>3.8</v>
      </c>
      <c r="V7" s="65" t="n">
        <v>6.3</v>
      </c>
      <c r="W7" s="65" t="n">
        <v>3.1</v>
      </c>
      <c r="X7" s="65" t="n">
        <v>-0.1</v>
      </c>
      <c r="Y7" s="65" t="n">
        <v>1.6</v>
      </c>
      <c r="Z7" s="65" t="n">
        <v>3.5</v>
      </c>
      <c r="AA7" s="65" t="n">
        <v>4.9</v>
      </c>
      <c r="AB7" s="65" t="n">
        <v>1.5</v>
      </c>
      <c r="AC7" s="65" t="n">
        <v>2.6</v>
      </c>
      <c r="AD7" s="65" t="n">
        <v>4.3</v>
      </c>
      <c r="AE7" s="65" t="n">
        <v>3.6</v>
      </c>
      <c r="AF7" s="65" t="n">
        <v>2</v>
      </c>
      <c r="AG7" s="65" t="n">
        <v>2.7</v>
      </c>
      <c r="AH7" s="65" t="n">
        <v>3.9</v>
      </c>
      <c r="AI7" s="65" t="n">
        <v>4.3</v>
      </c>
      <c r="AJ7" s="65" t="n">
        <v>2.3</v>
      </c>
      <c r="AK7" s="65" t="n">
        <v>2.3</v>
      </c>
      <c r="AL7" s="65" t="n">
        <v>5.5</v>
      </c>
      <c r="AM7" s="65" t="n">
        <v>5.9</v>
      </c>
      <c r="AN7" s="65" t="n">
        <v>3.6</v>
      </c>
      <c r="AO7" s="65" t="n">
        <v>4.1</v>
      </c>
    </row>
    <row r="8">
      <c r="A8" s="64" t="inlineStr">
        <is>
          <t>영업이익률</t>
        </is>
      </c>
      <c r="B8" s="66" t="n"/>
      <c r="C8" s="66" t="n"/>
      <c r="D8" s="66" t="n"/>
      <c r="E8" s="66" t="n"/>
      <c r="F8" s="66" t="n"/>
      <c r="G8" s="66" t="n"/>
      <c r="H8" s="66" t="n">
        <v>7.7</v>
      </c>
      <c r="I8" s="66" t="n">
        <v>9.5</v>
      </c>
      <c r="J8" s="66" t="n">
        <v>15.5</v>
      </c>
      <c r="K8" s="66" t="n">
        <v>12.7</v>
      </c>
      <c r="L8" s="66" t="n">
        <v>9.1</v>
      </c>
      <c r="M8" s="66" t="n">
        <v>9.6</v>
      </c>
      <c r="N8" s="66" t="n">
        <v>15.9</v>
      </c>
      <c r="O8" s="66" t="n">
        <v>14.6</v>
      </c>
      <c r="P8" s="66" t="n">
        <v>9.6</v>
      </c>
      <c r="Q8" s="66" t="n">
        <v>13</v>
      </c>
      <c r="R8" s="66" t="n">
        <v>20.6</v>
      </c>
      <c r="S8" s="66" t="n">
        <v>16</v>
      </c>
      <c r="T8" s="66" t="n">
        <v>9.5</v>
      </c>
      <c r="U8" s="66" t="n">
        <v>10.6</v>
      </c>
      <c r="V8" s="66" t="n">
        <v>15.1</v>
      </c>
      <c r="W8" s="66" t="n">
        <v>7.8</v>
      </c>
      <c r="X8" s="66" t="n">
        <v>-0.3</v>
      </c>
      <c r="Y8" s="66" t="n">
        <v>4.3</v>
      </c>
      <c r="Z8" s="66" t="n">
        <v>8.1</v>
      </c>
      <c r="AA8" s="66" t="n">
        <v>17.4</v>
      </c>
      <c r="AB8" s="66" t="n">
        <v>4.1</v>
      </c>
      <c r="AC8" s="66" t="n">
        <v>7</v>
      </c>
      <c r="AD8" s="66" t="n">
        <v>10.1</v>
      </c>
      <c r="AE8" s="66" t="n">
        <v>12.7</v>
      </c>
      <c r="AF8" s="66" t="n">
        <v>5.5</v>
      </c>
      <c r="AG8" s="66" t="n">
        <v>7.3</v>
      </c>
      <c r="AH8" s="66" t="n">
        <v>9.4</v>
      </c>
      <c r="AI8" s="66" t="n">
        <v>10.2</v>
      </c>
      <c r="AJ8" s="66" t="n">
        <v>6.2</v>
      </c>
      <c r="AK8" s="66" t="n">
        <v>5.8</v>
      </c>
      <c r="AL8" s="66" t="n">
        <v>11.7</v>
      </c>
      <c r="AM8" s="66" t="n">
        <v>12.6</v>
      </c>
      <c r="AN8" s="66" t="n">
        <v>8.6</v>
      </c>
      <c r="AO8" s="66" t="n">
        <v>9.300000000000001</v>
      </c>
    </row>
    <row r="9">
      <c r="A9" s="64" t="inlineStr">
        <is>
          <t>영업이익 YoY</t>
        </is>
      </c>
      <c r="B9" s="66" t="n"/>
      <c r="C9" s="66" t="n"/>
      <c r="D9" s="66" t="n"/>
      <c r="E9" s="66" t="n"/>
      <c r="F9" s="66" t="n"/>
      <c r="G9" s="66" t="n"/>
      <c r="H9" s="66" t="n"/>
      <c r="I9" s="66" t="n"/>
      <c r="J9" s="66" t="n"/>
      <c r="K9" s="66" t="n"/>
      <c r="L9" s="66" t="n">
        <v>28</v>
      </c>
      <c r="M9" s="66" t="n">
        <v>16.7</v>
      </c>
      <c r="N9" s="66" t="n">
        <v>4.8</v>
      </c>
      <c r="O9" s="66" t="n">
        <v>57.9</v>
      </c>
      <c r="P9" s="66" t="n">
        <v>-6.2</v>
      </c>
      <c r="Q9" s="66" t="n">
        <v>17.1</v>
      </c>
      <c r="R9" s="66" t="n">
        <v>34.8</v>
      </c>
      <c r="S9" s="66" t="n">
        <v>6.7</v>
      </c>
      <c r="T9" s="66" t="n">
        <v>13.3</v>
      </c>
      <c r="U9" s="66" t="n">
        <v>-7.3</v>
      </c>
      <c r="V9" s="66" t="n">
        <v>-29.2</v>
      </c>
      <c r="W9" s="66" t="n">
        <v>-51.6</v>
      </c>
      <c r="X9" s="66" t="n">
        <v>-102.9</v>
      </c>
      <c r="Y9" s="66" t="n">
        <v>-57.9</v>
      </c>
      <c r="Z9" s="66" t="n">
        <v>-44.4</v>
      </c>
      <c r="AA9" s="66" t="n">
        <v>58.1</v>
      </c>
      <c r="AB9" s="66" t="n"/>
      <c r="AC9" s="66" t="n">
        <v>62.5</v>
      </c>
      <c r="AD9" s="66" t="n">
        <v>22.9</v>
      </c>
      <c r="AE9" s="66" t="n">
        <v>-26.5</v>
      </c>
      <c r="AF9" s="66" t="n">
        <v>33.3</v>
      </c>
      <c r="AG9" s="66" t="n">
        <v>3.8</v>
      </c>
      <c r="AH9" s="66" t="n">
        <v>-9.300000000000001</v>
      </c>
      <c r="AI9" s="66" t="n">
        <v>19.4</v>
      </c>
      <c r="AJ9" s="66" t="n">
        <v>15</v>
      </c>
      <c r="AK9" s="66" t="n">
        <v>-14.8</v>
      </c>
      <c r="AL9" s="66" t="n">
        <v>41</v>
      </c>
      <c r="AM9" s="66" t="n">
        <v>37.2</v>
      </c>
      <c r="AN9" s="66" t="n">
        <v>56.5</v>
      </c>
      <c r="AO9" s="66" t="n">
        <v>78.3</v>
      </c>
    </row>
    <row r="10">
      <c r="A10" s="64" t="inlineStr">
        <is>
          <t>유동자산</t>
        </is>
      </c>
      <c r="B10" s="65" t="n"/>
      <c r="C10" s="65" t="n"/>
      <c r="D10" s="65" t="n"/>
      <c r="E10" s="65" t="n"/>
      <c r="F10" s="65" t="n"/>
      <c r="G10" s="65" t="n">
        <v>118.3</v>
      </c>
      <c r="H10" s="65" t="n"/>
      <c r="I10" s="65" t="n"/>
      <c r="J10" s="65" t="n"/>
      <c r="K10" s="65" t="n">
        <v>135.1</v>
      </c>
      <c r="L10" s="65" t="n">
        <v>133.6</v>
      </c>
      <c r="M10" s="65" t="n">
        <v>123.5</v>
      </c>
      <c r="N10" s="65" t="n">
        <v>129</v>
      </c>
      <c r="O10" s="65" t="n">
        <v>140.7</v>
      </c>
      <c r="P10" s="65" t="n">
        <v>144.1</v>
      </c>
      <c r="Q10" s="65" t="n">
        <v>146.1</v>
      </c>
      <c r="R10" s="65" t="n">
        <v>154.6</v>
      </c>
      <c r="S10" s="65" t="n">
        <v>164.5</v>
      </c>
      <c r="T10" s="65" t="n">
        <v>157.2</v>
      </c>
      <c r="U10" s="65" t="n">
        <v>162.4</v>
      </c>
      <c r="V10" s="65" t="n">
        <v>169.5</v>
      </c>
      <c r="W10" s="65" t="n">
        <v>167.8</v>
      </c>
      <c r="X10" s="65" t="n">
        <v>162.7</v>
      </c>
      <c r="Y10" s="65" t="n">
        <v>159.6</v>
      </c>
      <c r="Z10" s="65" t="n">
        <v>161.3</v>
      </c>
      <c r="AA10" s="65" t="n">
        <v>164.1</v>
      </c>
      <c r="AB10" s="65" t="n">
        <v>159.6</v>
      </c>
      <c r="AC10" s="65" t="n">
        <v>165.2</v>
      </c>
      <c r="AD10" s="65" t="n">
        <v>165</v>
      </c>
      <c r="AE10" s="65" t="n">
        <v>168.2</v>
      </c>
      <c r="AF10" s="65" t="n">
        <v>162.7</v>
      </c>
      <c r="AG10" s="65" t="n">
        <v>165.5</v>
      </c>
      <c r="AH10" s="65" t="n">
        <v>166.1</v>
      </c>
      <c r="AI10" s="65" t="n">
        <v>136</v>
      </c>
      <c r="AJ10" s="65" t="n">
        <v>170.1</v>
      </c>
      <c r="AK10" s="65" t="n">
        <v>179.3</v>
      </c>
      <c r="AL10" s="65" t="n">
        <v>182.6</v>
      </c>
      <c r="AM10" s="65" t="n">
        <v>190.3</v>
      </c>
      <c r="AN10" s="65" t="n">
        <v>187.9</v>
      </c>
      <c r="AO10" s="65" t="n">
        <v>183.6</v>
      </c>
    </row>
    <row r="11">
      <c r="A11" s="64" t="inlineStr">
        <is>
          <t>유동부채</t>
        </is>
      </c>
      <c r="B11" s="65" t="n"/>
      <c r="C11" s="65" t="n"/>
      <c r="D11" s="65" t="n"/>
      <c r="E11" s="65" t="n"/>
      <c r="F11" s="65" t="n"/>
      <c r="G11" s="65" t="n">
        <v>18.7</v>
      </c>
      <c r="H11" s="65" t="n"/>
      <c r="I11" s="65" t="n"/>
      <c r="J11" s="65" t="n"/>
      <c r="K11" s="65" t="n">
        <v>19.9</v>
      </c>
      <c r="L11" s="65" t="n">
        <v>19.5</v>
      </c>
      <c r="M11" s="65" t="n">
        <v>20.9</v>
      </c>
      <c r="N11" s="65" t="n">
        <v>18.7</v>
      </c>
      <c r="O11" s="65" t="n">
        <v>25.2</v>
      </c>
      <c r="P11" s="65" t="n">
        <v>19.2</v>
      </c>
      <c r="Q11" s="65" t="n">
        <v>18.4</v>
      </c>
      <c r="R11" s="65" t="n">
        <v>20.1</v>
      </c>
      <c r="S11" s="65" t="n">
        <v>26.1</v>
      </c>
      <c r="T11" s="65" t="n">
        <v>18.8</v>
      </c>
      <c r="U11" s="65" t="n">
        <v>20.7</v>
      </c>
      <c r="V11" s="65" t="n">
        <v>22.4</v>
      </c>
      <c r="W11" s="65" t="n">
        <v>20.4</v>
      </c>
      <c r="X11" s="65" t="n">
        <v>16.9</v>
      </c>
      <c r="Y11" s="65" t="n">
        <v>19</v>
      </c>
      <c r="Z11" s="65" t="n">
        <v>19.3</v>
      </c>
      <c r="AA11" s="65" t="n">
        <v>20.5</v>
      </c>
      <c r="AB11" s="65" t="n">
        <v>18.9</v>
      </c>
      <c r="AC11" s="65" t="n">
        <v>21.5</v>
      </c>
      <c r="AD11" s="65" t="n">
        <v>20.2</v>
      </c>
      <c r="AE11" s="65" t="n">
        <v>21.2</v>
      </c>
      <c r="AF11" s="65" t="n">
        <v>19.1</v>
      </c>
      <c r="AG11" s="65" t="n">
        <v>20.3</v>
      </c>
      <c r="AH11" s="65" t="n">
        <v>20.6</v>
      </c>
      <c r="AI11" s="65" t="n">
        <v>20.7</v>
      </c>
      <c r="AJ11" s="65" t="n">
        <v>19</v>
      </c>
      <c r="AK11" s="65" t="n">
        <v>21.5</v>
      </c>
      <c r="AL11" s="65" t="n">
        <v>23.6</v>
      </c>
      <c r="AM11" s="65" t="n">
        <v>24.7</v>
      </c>
      <c r="AN11" s="65" t="n">
        <v>23.5</v>
      </c>
      <c r="AO11" s="65" t="n">
        <v>23.1</v>
      </c>
    </row>
    <row r="12">
      <c r="A12" s="64" t="inlineStr">
        <is>
          <t>부채총계</t>
        </is>
      </c>
      <c r="B12" s="65" t="n"/>
      <c r="C12" s="65" t="n"/>
      <c r="D12" s="65" t="n"/>
      <c r="E12" s="65" t="n"/>
      <c r="F12" s="65" t="n"/>
      <c r="G12" s="65" t="n">
        <v>23.2</v>
      </c>
      <c r="H12" s="65" t="n"/>
      <c r="I12" s="65" t="n"/>
      <c r="J12" s="65" t="n"/>
      <c r="K12" s="65" t="n">
        <v>29.3</v>
      </c>
      <c r="L12" s="65" t="n">
        <v>29.1</v>
      </c>
      <c r="M12" s="65" t="n">
        <v>30.2</v>
      </c>
      <c r="N12" s="65" t="n">
        <v>28.1</v>
      </c>
      <c r="O12" s="65" t="n">
        <v>34.5</v>
      </c>
      <c r="P12" s="65" t="n">
        <v>38.9</v>
      </c>
      <c r="Q12" s="65" t="n">
        <v>38.1</v>
      </c>
      <c r="R12" s="65" t="n">
        <v>39.4</v>
      </c>
      <c r="S12" s="65" t="n">
        <v>45.1</v>
      </c>
      <c r="T12" s="65" t="n">
        <v>37.7</v>
      </c>
      <c r="U12" s="65" t="n">
        <v>39.4</v>
      </c>
      <c r="V12" s="65" t="n">
        <v>40.9</v>
      </c>
      <c r="W12" s="65" t="n">
        <v>38.7</v>
      </c>
      <c r="X12" s="65" t="n">
        <v>35.9</v>
      </c>
      <c r="Y12" s="65" t="n">
        <v>29.7</v>
      </c>
      <c r="Z12" s="65" t="n">
        <v>29.5</v>
      </c>
      <c r="AA12" s="65" t="n">
        <v>32.1</v>
      </c>
      <c r="AB12" s="65" t="n">
        <v>30.9</v>
      </c>
      <c r="AC12" s="65" t="n">
        <v>33.3</v>
      </c>
      <c r="AD12" s="65" t="n">
        <v>32</v>
      </c>
      <c r="AE12" s="65" t="n">
        <v>33.6</v>
      </c>
      <c r="AF12" s="65" t="n">
        <v>31.5</v>
      </c>
      <c r="AG12" s="65" t="n">
        <v>32.7</v>
      </c>
      <c r="AH12" s="65" t="n">
        <v>33.2</v>
      </c>
      <c r="AI12" s="65" t="n">
        <v>26</v>
      </c>
      <c r="AJ12" s="65" t="n">
        <v>31.4</v>
      </c>
      <c r="AK12" s="65" t="n">
        <v>33.8</v>
      </c>
      <c r="AL12" s="65" t="n">
        <v>35.9</v>
      </c>
      <c r="AM12" s="65" t="n">
        <v>37</v>
      </c>
      <c r="AN12" s="65" t="n">
        <v>34</v>
      </c>
      <c r="AO12" s="65" t="n">
        <v>33.5</v>
      </c>
    </row>
    <row r="13">
      <c r="A13" s="64" t="inlineStr">
        <is>
          <t>자기자본</t>
        </is>
      </c>
      <c r="B13" s="66" t="n"/>
      <c r="C13" s="66" t="n"/>
      <c r="D13" s="66" t="n"/>
      <c r="E13" s="66" t="n"/>
      <c r="F13" s="66" t="n"/>
      <c r="G13" s="66" t="n">
        <v>162.7</v>
      </c>
      <c r="H13" s="66" t="n"/>
      <c r="I13" s="66" t="n"/>
      <c r="J13" s="66" t="n"/>
      <c r="K13" s="66" t="n">
        <v>188.1</v>
      </c>
      <c r="L13" s="66" t="n">
        <v>186.2</v>
      </c>
      <c r="M13" s="66" t="n">
        <v>175.5</v>
      </c>
      <c r="N13" s="66" t="n">
        <v>181.3</v>
      </c>
      <c r="O13" s="66" t="n">
        <v>184.7</v>
      </c>
      <c r="P13" s="66" t="n">
        <v>183.5</v>
      </c>
      <c r="Q13" s="66" t="n">
        <v>185.8</v>
      </c>
      <c r="R13" s="66" t="n">
        <v>192.1</v>
      </c>
      <c r="S13" s="66" t="n">
        <v>198</v>
      </c>
      <c r="T13" s="66" t="n">
        <v>197.4</v>
      </c>
      <c r="U13" s="66" t="n">
        <v>200.9</v>
      </c>
      <c r="V13" s="66" t="n">
        <v>205.7</v>
      </c>
      <c r="W13" s="66" t="n">
        <v>209.8</v>
      </c>
      <c r="X13" s="66" t="n">
        <v>207.7</v>
      </c>
      <c r="Y13" s="66" t="n">
        <v>212.1</v>
      </c>
      <c r="Z13" s="66" t="n">
        <v>213.1</v>
      </c>
      <c r="AA13" s="66" t="n">
        <v>213.5</v>
      </c>
      <c r="AB13" s="66" t="n">
        <v>211.3</v>
      </c>
      <c r="AC13" s="66" t="n">
        <v>215.6</v>
      </c>
      <c r="AD13" s="66" t="n">
        <v>217</v>
      </c>
      <c r="AE13" s="66" t="n">
        <v>218.7</v>
      </c>
      <c r="AF13" s="66" t="n">
        <v>216.1</v>
      </c>
      <c r="AG13" s="66" t="n">
        <v>218.1</v>
      </c>
      <c r="AH13" s="66" t="n">
        <v>218.1</v>
      </c>
      <c r="AI13" s="66" t="n">
        <v>192.6</v>
      </c>
      <c r="AJ13" s="66" t="n">
        <v>220.3</v>
      </c>
      <c r="AK13" s="66" t="n">
        <v>221.6</v>
      </c>
      <c r="AL13" s="66" t="n">
        <v>224.8</v>
      </c>
      <c r="AM13" s="66" t="n">
        <v>231.4</v>
      </c>
      <c r="AN13" s="66" t="n">
        <v>231.9</v>
      </c>
      <c r="AO13" s="66" t="n">
        <v>235.6</v>
      </c>
    </row>
    <row r="14">
      <c r="A14" s="64" t="inlineStr">
        <is>
          <t>유동비율</t>
        </is>
      </c>
      <c r="B14" s="66" t="n"/>
      <c r="C14" s="66" t="n"/>
      <c r="D14" s="66" t="n"/>
      <c r="E14" s="66" t="n"/>
      <c r="F14" s="66" t="n"/>
      <c r="G14" s="66" t="n">
        <v>632.6</v>
      </c>
      <c r="H14" s="66" t="n"/>
      <c r="I14" s="66" t="n"/>
      <c r="J14" s="66" t="n"/>
      <c r="K14" s="66" t="n">
        <v>678.9</v>
      </c>
      <c r="L14" s="66" t="n">
        <v>685.1</v>
      </c>
      <c r="M14" s="66" t="n">
        <v>590.9</v>
      </c>
      <c r="N14" s="66" t="n">
        <v>689.8</v>
      </c>
      <c r="O14" s="66" t="n">
        <v>558.3</v>
      </c>
      <c r="P14" s="66" t="n">
        <v>750.5</v>
      </c>
      <c r="Q14" s="66" t="n">
        <v>794</v>
      </c>
      <c r="R14" s="66" t="n">
        <v>769.2</v>
      </c>
      <c r="S14" s="66" t="n">
        <v>630.3</v>
      </c>
      <c r="T14" s="66" t="n">
        <v>836.2</v>
      </c>
      <c r="U14" s="66" t="n">
        <v>784.5</v>
      </c>
      <c r="V14" s="66" t="n">
        <v>756.7</v>
      </c>
      <c r="W14" s="66" t="n">
        <v>822.5</v>
      </c>
      <c r="X14" s="66" t="n">
        <v>962.7</v>
      </c>
      <c r="Y14" s="66" t="n">
        <v>840</v>
      </c>
      <c r="Z14" s="66" t="n">
        <v>835.8</v>
      </c>
      <c r="AA14" s="66" t="n">
        <v>800.5</v>
      </c>
      <c r="AB14" s="66" t="n">
        <v>844.4</v>
      </c>
      <c r="AC14" s="66" t="n">
        <v>768.4</v>
      </c>
      <c r="AD14" s="66" t="n">
        <v>816.8</v>
      </c>
      <c r="AE14" s="66" t="n">
        <v>793.4</v>
      </c>
      <c r="AF14" s="66" t="n">
        <v>851.8</v>
      </c>
      <c r="AG14" s="66" t="n">
        <v>815.3</v>
      </c>
      <c r="AH14" s="66" t="n">
        <v>806.3</v>
      </c>
      <c r="AI14" s="66" t="n">
        <v>657</v>
      </c>
      <c r="AJ14" s="66" t="n">
        <v>895.3</v>
      </c>
      <c r="AK14" s="66" t="n">
        <v>834</v>
      </c>
      <c r="AL14" s="66" t="n">
        <v>773.7</v>
      </c>
      <c r="AM14" s="66" t="n">
        <v>770.4</v>
      </c>
      <c r="AN14" s="66" t="n">
        <v>799.6</v>
      </c>
      <c r="AO14" s="66" t="n">
        <v>794.8</v>
      </c>
    </row>
    <row r="15">
      <c r="A15" s="64" t="inlineStr">
        <is>
          <t>부채비율</t>
        </is>
      </c>
      <c r="B15" s="66" t="n"/>
      <c r="C15" s="66" t="n"/>
      <c r="D15" s="66" t="n"/>
      <c r="E15" s="66" t="n"/>
      <c r="F15" s="66" t="n"/>
      <c r="G15" s="66" t="n">
        <v>14.3</v>
      </c>
      <c r="H15" s="66" t="n"/>
      <c r="I15" s="66" t="n"/>
      <c r="J15" s="66" t="n"/>
      <c r="K15" s="66" t="n">
        <v>15.6</v>
      </c>
      <c r="L15" s="66" t="n">
        <v>15.6</v>
      </c>
      <c r="M15" s="66" t="n">
        <v>17.2</v>
      </c>
      <c r="N15" s="66" t="n">
        <v>15.5</v>
      </c>
      <c r="O15" s="66" t="n">
        <v>18.7</v>
      </c>
      <c r="P15" s="66" t="n">
        <v>21.2</v>
      </c>
      <c r="Q15" s="66" t="n">
        <v>20.5</v>
      </c>
      <c r="R15" s="66" t="n">
        <v>20.5</v>
      </c>
      <c r="S15" s="66" t="n">
        <v>22.8</v>
      </c>
      <c r="T15" s="66" t="n">
        <v>19.1</v>
      </c>
      <c r="U15" s="66" t="n">
        <v>19.6</v>
      </c>
      <c r="V15" s="66" t="n">
        <v>19.9</v>
      </c>
      <c r="W15" s="66" t="n">
        <v>18.4</v>
      </c>
      <c r="X15" s="66" t="n">
        <v>17.3</v>
      </c>
      <c r="Y15" s="66" t="n">
        <v>14</v>
      </c>
      <c r="Z15" s="66" t="n">
        <v>13.8</v>
      </c>
      <c r="AA15" s="66" t="n">
        <v>15</v>
      </c>
      <c r="AB15" s="66" t="n">
        <v>14.6</v>
      </c>
      <c r="AC15" s="66" t="n">
        <v>15.4</v>
      </c>
      <c r="AD15" s="66" t="n">
        <v>14.7</v>
      </c>
      <c r="AE15" s="66" t="n">
        <v>15.4</v>
      </c>
      <c r="AF15" s="66" t="n">
        <v>14.6</v>
      </c>
      <c r="AG15" s="66" t="n">
        <v>15</v>
      </c>
      <c r="AH15" s="66" t="n">
        <v>15.2</v>
      </c>
      <c r="AI15" s="66" t="n">
        <v>13.5</v>
      </c>
      <c r="AJ15" s="66" t="n">
        <v>14.3</v>
      </c>
      <c r="AK15" s="66" t="n">
        <v>15.3</v>
      </c>
      <c r="AL15" s="66" t="n">
        <v>16</v>
      </c>
      <c r="AM15" s="66" t="n">
        <v>16</v>
      </c>
      <c r="AN15" s="66" t="n">
        <v>14.7</v>
      </c>
      <c r="AO15" s="66" t="n">
        <v>14.2</v>
      </c>
    </row>
    <row r="16">
      <c r="A16" s="64" t="inlineStr">
        <is>
          <t>순차입금/자기자본</t>
        </is>
      </c>
      <c r="B16" s="66" t="n"/>
      <c r="C16" s="66" t="n"/>
      <c r="D16" s="66" t="n"/>
      <c r="E16" s="66" t="n"/>
      <c r="F16" s="66" t="n"/>
      <c r="G16" s="66" t="n">
        <v>-26.6</v>
      </c>
      <c r="H16" s="66" t="n"/>
      <c r="I16" s="66" t="n"/>
      <c r="J16" s="66" t="n"/>
      <c r="K16" s="66" t="n">
        <v>-32.2</v>
      </c>
      <c r="L16" s="66" t="n">
        <v>-31.1</v>
      </c>
      <c r="M16" s="66" t="n">
        <v>-29.1</v>
      </c>
      <c r="N16" s="66" t="n">
        <v>-24.3</v>
      </c>
      <c r="O16" s="66" t="n">
        <v>-33.3</v>
      </c>
      <c r="P16" s="66" t="n">
        <v>-33.9</v>
      </c>
      <c r="Q16" s="66" t="n">
        <v>-35.7</v>
      </c>
      <c r="R16" s="66" t="n">
        <v>-35.1</v>
      </c>
      <c r="S16" s="66" t="n">
        <v>-41.8</v>
      </c>
      <c r="T16" s="66" t="n">
        <v>-39.1</v>
      </c>
      <c r="U16" s="66" t="n">
        <v>-40.2</v>
      </c>
      <c r="V16" s="66" t="n">
        <v>-38</v>
      </c>
      <c r="W16" s="66" t="n">
        <v>-33.6</v>
      </c>
      <c r="X16" s="66" t="n">
        <v>-30.7</v>
      </c>
      <c r="Y16" s="66" t="n">
        <v>-32.9</v>
      </c>
      <c r="Z16" s="66" t="n">
        <v>-30.7</v>
      </c>
      <c r="AA16" s="66" t="n">
        <v>-34.9</v>
      </c>
      <c r="AB16" s="66" t="n">
        <v>-35.9</v>
      </c>
      <c r="AC16" s="66" t="n">
        <v>-36</v>
      </c>
      <c r="AD16" s="66" t="n">
        <v>-35.5</v>
      </c>
      <c r="AE16" s="66" t="n">
        <v>-39.2</v>
      </c>
      <c r="AF16" s="66" t="n">
        <v>-37.4</v>
      </c>
      <c r="AG16" s="66" t="n">
        <v>-39.9</v>
      </c>
      <c r="AH16" s="66" t="n">
        <v>-36.3</v>
      </c>
      <c r="AI16" s="66" t="n">
        <v>-25.4</v>
      </c>
      <c r="AJ16" s="66" t="n">
        <v>-38.4</v>
      </c>
      <c r="AK16" s="66" t="n">
        <v>-41.4</v>
      </c>
      <c r="AL16" s="66" t="n">
        <v>-33.9</v>
      </c>
      <c r="AM16" s="66" t="n">
        <v>-41.3</v>
      </c>
      <c r="AN16" s="66" t="n">
        <v>-40.1</v>
      </c>
      <c r="AO16" s="66" t="n">
        <v>-35.3</v>
      </c>
    </row>
    <row r="17">
      <c r="A17" s="64" t="inlineStr">
        <is>
          <t>재고자산</t>
        </is>
      </c>
      <c r="B17" s="65" t="n"/>
      <c r="C17" s="65" t="n"/>
      <c r="D17" s="65" t="n"/>
      <c r="E17" s="65" t="n"/>
      <c r="F17" s="65" t="n"/>
      <c r="G17" s="65" t="n">
        <v>17.5</v>
      </c>
      <c r="H17" s="65" t="n"/>
      <c r="I17" s="65" t="n"/>
      <c r="J17" s="65" t="n"/>
      <c r="K17" s="65" t="n">
        <v>18.9</v>
      </c>
      <c r="L17" s="65" t="n">
        <v>23</v>
      </c>
      <c r="M17" s="65" t="n">
        <v>20.4</v>
      </c>
      <c r="N17" s="65" t="n">
        <v>20.4</v>
      </c>
      <c r="O17" s="65" t="n">
        <v>23</v>
      </c>
      <c r="P17" s="65" t="n">
        <v>24.1</v>
      </c>
      <c r="Q17" s="65" t="n">
        <v>22.8</v>
      </c>
      <c r="R17" s="65" t="n">
        <v>20.2</v>
      </c>
      <c r="S17" s="65" t="n">
        <v>19.4</v>
      </c>
      <c r="T17" s="65" t="n">
        <v>20.4</v>
      </c>
      <c r="U17" s="65" t="n">
        <v>21.2</v>
      </c>
      <c r="V17" s="65" t="n">
        <v>22.5</v>
      </c>
      <c r="W17" s="65" t="n">
        <v>21.8</v>
      </c>
      <c r="X17" s="65" t="n">
        <v>27.1</v>
      </c>
      <c r="Y17" s="65" t="n">
        <v>30.4</v>
      </c>
      <c r="Z17" s="65" t="n">
        <v>37.6</v>
      </c>
      <c r="AA17" s="65" t="n">
        <v>34.3</v>
      </c>
      <c r="AB17" s="65" t="n">
        <v>36.5</v>
      </c>
      <c r="AC17" s="65" t="n">
        <v>38.6</v>
      </c>
      <c r="AD17" s="65" t="n">
        <v>38.6</v>
      </c>
      <c r="AE17" s="65" t="n">
        <v>36.2</v>
      </c>
      <c r="AF17" s="65" t="n">
        <v>39.8</v>
      </c>
      <c r="AG17" s="65" t="n">
        <v>36.8</v>
      </c>
      <c r="AH17" s="65" t="n">
        <v>41.6</v>
      </c>
      <c r="AI17" s="65" t="n">
        <v>44.8</v>
      </c>
      <c r="AJ17" s="65" t="n">
        <v>45.6</v>
      </c>
      <c r="AK17" s="65" t="n">
        <v>41.4</v>
      </c>
      <c r="AL17" s="65" t="n">
        <v>35.2</v>
      </c>
      <c r="AM17" s="65" t="n">
        <v>29.3</v>
      </c>
      <c r="AN17" s="65" t="n">
        <v>30.5</v>
      </c>
      <c r="AO17" s="65" t="n">
        <v>38.9</v>
      </c>
    </row>
    <row r="18">
      <c r="A18" s="64" t="inlineStr">
        <is>
          <t>재고자산 회전일수</t>
        </is>
      </c>
      <c r="B18" s="65" t="n"/>
      <c r="C18" s="65" t="n"/>
      <c r="D18" s="65" t="n"/>
      <c r="E18" s="65" t="n"/>
      <c r="F18" s="65" t="n"/>
      <c r="G18" s="65" t="n"/>
      <c r="H18" s="65" t="n"/>
      <c r="I18" s="65" t="n"/>
      <c r="J18" s="65" t="n"/>
      <c r="K18" s="65" t="n">
        <v>74</v>
      </c>
      <c r="L18" s="65" t="n">
        <v>85</v>
      </c>
      <c r="M18" s="65" t="n">
        <v>73</v>
      </c>
      <c r="N18" s="65" t="n">
        <v>69</v>
      </c>
      <c r="O18" s="65" t="n">
        <v>77</v>
      </c>
      <c r="P18" s="65" t="n">
        <v>104</v>
      </c>
      <c r="Q18" s="65" t="n">
        <v>101</v>
      </c>
      <c r="R18" s="65" t="n">
        <v>70</v>
      </c>
      <c r="S18" s="65" t="n">
        <v>68</v>
      </c>
      <c r="T18" s="65" t="n">
        <v>76</v>
      </c>
      <c r="U18" s="65" t="n">
        <v>79</v>
      </c>
      <c r="V18" s="65" t="n">
        <v>74</v>
      </c>
      <c r="W18" s="65" t="n">
        <v>69</v>
      </c>
      <c r="X18" s="65" t="n">
        <v>96</v>
      </c>
      <c r="Y18" s="65" t="n">
        <v>98</v>
      </c>
      <c r="Z18" s="65" t="n">
        <v>108</v>
      </c>
      <c r="AA18" s="65" t="n">
        <v>154</v>
      </c>
      <c r="AB18" s="65" t="n">
        <v>123</v>
      </c>
      <c r="AC18" s="65" t="n">
        <v>132</v>
      </c>
      <c r="AD18" s="65" t="n">
        <v>117</v>
      </c>
      <c r="AE18" s="65" t="n">
        <v>148</v>
      </c>
      <c r="AF18" s="65" t="n">
        <v>137</v>
      </c>
      <c r="AG18" s="65" t="n">
        <v>124</v>
      </c>
      <c r="AH18" s="65" t="n">
        <v>129</v>
      </c>
      <c r="AI18" s="65" t="n">
        <v>136</v>
      </c>
      <c r="AJ18" s="65" t="n">
        <v>155</v>
      </c>
      <c r="AK18" s="65" t="n">
        <v>130</v>
      </c>
      <c r="AL18" s="65" t="n">
        <v>99</v>
      </c>
      <c r="AM18" s="65" t="n">
        <v>82</v>
      </c>
      <c r="AN18" s="65" t="n">
        <v>94</v>
      </c>
      <c r="AO18" s="65" t="n">
        <v>113</v>
      </c>
    </row>
    <row r="19">
      <c r="A19" s="64" t="inlineStr">
        <is>
          <t>매출채권 회전일수</t>
        </is>
      </c>
      <c r="B19" s="65" t="n"/>
      <c r="C19" s="65" t="n"/>
      <c r="D19" s="65" t="n"/>
      <c r="E19" s="65" t="n"/>
      <c r="F19" s="65" t="n"/>
      <c r="G19" s="65" t="n"/>
      <c r="H19" s="65" t="n"/>
      <c r="I19" s="65" t="n"/>
      <c r="J19" s="65" t="n"/>
      <c r="K19" s="65" t="n">
        <v>77</v>
      </c>
      <c r="L19" s="65" t="n">
        <v>117</v>
      </c>
      <c r="M19" s="65" t="n">
        <v>112</v>
      </c>
      <c r="N19" s="65" t="n">
        <v>112</v>
      </c>
      <c r="O19" s="65" t="n">
        <v>64</v>
      </c>
      <c r="P19" s="65" t="n">
        <v>118</v>
      </c>
      <c r="Q19" s="65" t="n">
        <v>115</v>
      </c>
      <c r="R19" s="65" t="n">
        <v>105</v>
      </c>
      <c r="S19" s="65" t="n">
        <v>62</v>
      </c>
      <c r="T19" s="65" t="n">
        <v>108</v>
      </c>
      <c r="U19" s="65" t="n">
        <v>107</v>
      </c>
      <c r="V19" s="65" t="n"/>
      <c r="W19" s="65" t="n">
        <v>59</v>
      </c>
      <c r="X19" s="65" t="n"/>
      <c r="Y19" s="65" t="n"/>
      <c r="Z19" s="65" t="n"/>
      <c r="AA19" s="65" t="n">
        <v>80</v>
      </c>
      <c r="AB19" s="65" t="n">
        <v>106</v>
      </c>
      <c r="AC19" s="65" t="n">
        <v>111</v>
      </c>
      <c r="AD19" s="65" t="n">
        <v>103</v>
      </c>
      <c r="AE19" s="65" t="n">
        <v>81</v>
      </c>
      <c r="AF19" s="65" t="n">
        <v>103</v>
      </c>
      <c r="AG19" s="65" t="n">
        <v>99</v>
      </c>
      <c r="AH19" s="65" t="n">
        <v>97</v>
      </c>
      <c r="AI19" s="65" t="n">
        <v>55</v>
      </c>
      <c r="AJ19" s="65" t="n">
        <v>96</v>
      </c>
      <c r="AK19" s="65" t="n">
        <v>93</v>
      </c>
      <c r="AL19" s="65" t="n">
        <v>96</v>
      </c>
      <c r="AM19" s="65" t="n">
        <v>54</v>
      </c>
      <c r="AN19" s="65" t="n">
        <v>56</v>
      </c>
      <c r="AO19" s="65" t="n">
        <v>56</v>
      </c>
    </row>
    <row r="20">
      <c r="A20" s="64" t="inlineStr">
        <is>
          <t>매입채무 회전일수</t>
        </is>
      </c>
      <c r="B20" s="65" t="n"/>
      <c r="C20" s="65" t="n"/>
      <c r="D20" s="65" t="n"/>
      <c r="E20" s="65" t="n"/>
      <c r="F20" s="65" t="n"/>
      <c r="G20" s="65" t="n"/>
      <c r="H20" s="65" t="n"/>
      <c r="I20" s="65" t="n"/>
      <c r="J20" s="65" t="n"/>
      <c r="K20" s="65" t="n">
        <v>30</v>
      </c>
      <c r="L20" s="65" t="n">
        <v>38</v>
      </c>
      <c r="M20" s="65" t="n">
        <v>36</v>
      </c>
      <c r="N20" s="65" t="n">
        <v>28</v>
      </c>
      <c r="O20" s="65" t="n">
        <v>42</v>
      </c>
      <c r="P20" s="65" t="n">
        <v>43</v>
      </c>
      <c r="Q20" s="65" t="n">
        <v>37</v>
      </c>
      <c r="R20" s="65" t="n">
        <v>27</v>
      </c>
      <c r="S20" s="65" t="n">
        <v>31</v>
      </c>
      <c r="T20" s="65" t="n">
        <v>28</v>
      </c>
      <c r="U20" s="65" t="n">
        <v>33</v>
      </c>
      <c r="V20" s="65" t="n">
        <v>35</v>
      </c>
      <c r="W20" s="65" t="n">
        <v>21</v>
      </c>
      <c r="X20" s="65" t="n">
        <v>27</v>
      </c>
      <c r="Y20" s="65" t="n">
        <v>31</v>
      </c>
      <c r="Z20" s="65" t="n">
        <v>28</v>
      </c>
      <c r="AA20" s="65" t="n">
        <v>40</v>
      </c>
      <c r="AB20" s="65" t="n">
        <v>29</v>
      </c>
      <c r="AC20" s="65" t="n">
        <v>36</v>
      </c>
      <c r="AD20" s="65" t="n">
        <v>27</v>
      </c>
      <c r="AE20" s="65" t="n">
        <v>31</v>
      </c>
      <c r="AF20" s="65" t="n">
        <v>29</v>
      </c>
      <c r="AG20" s="65" t="n">
        <v>32</v>
      </c>
      <c r="AH20" s="65" t="n">
        <v>29</v>
      </c>
      <c r="AI20" s="65" t="n">
        <v>28</v>
      </c>
      <c r="AJ20" s="65" t="n">
        <v>27</v>
      </c>
      <c r="AK20" s="65" t="n">
        <v>29</v>
      </c>
      <c r="AL20" s="65" t="n">
        <v>29</v>
      </c>
      <c r="AM20" s="65" t="n">
        <v>24</v>
      </c>
      <c r="AN20" s="65" t="n">
        <v>39</v>
      </c>
      <c r="AO20" s="65" t="n">
        <v>30</v>
      </c>
    </row>
    <row r="21">
      <c r="A21" s="64" t="inlineStr">
        <is>
          <t>현금전환주기(CCC)</t>
        </is>
      </c>
      <c r="B21" s="65" t="n"/>
      <c r="C21" s="65" t="n"/>
      <c r="D21" s="65" t="n"/>
      <c r="E21" s="65" t="n"/>
      <c r="F21" s="65" t="n"/>
      <c r="G21" s="65" t="n"/>
      <c r="H21" s="65" t="n"/>
      <c r="I21" s="65" t="n"/>
      <c r="J21" s="65" t="n"/>
      <c r="K21" s="65" t="n">
        <v>121</v>
      </c>
      <c r="L21" s="65" t="n">
        <v>164</v>
      </c>
      <c r="M21" s="65" t="n">
        <v>149</v>
      </c>
      <c r="N21" s="65" t="n">
        <v>153</v>
      </c>
      <c r="O21" s="65" t="n">
        <v>99</v>
      </c>
      <c r="P21" s="65" t="n">
        <v>179</v>
      </c>
      <c r="Q21" s="65" t="n">
        <v>179</v>
      </c>
      <c r="R21" s="65" t="n">
        <v>148</v>
      </c>
      <c r="S21" s="65" t="n">
        <v>99</v>
      </c>
      <c r="T21" s="65" t="n">
        <v>156</v>
      </c>
      <c r="U21" s="65" t="n">
        <v>153</v>
      </c>
      <c r="V21" s="65" t="n"/>
      <c r="W21" s="65" t="n">
        <v>107</v>
      </c>
      <c r="X21" s="65" t="n"/>
      <c r="Y21" s="65" t="n"/>
      <c r="Z21" s="65" t="n"/>
      <c r="AA21" s="65" t="n">
        <v>194</v>
      </c>
      <c r="AB21" s="65" t="n">
        <v>200</v>
      </c>
      <c r="AC21" s="65" t="n">
        <v>207</v>
      </c>
      <c r="AD21" s="65" t="n">
        <v>193</v>
      </c>
      <c r="AE21" s="65" t="n">
        <v>198</v>
      </c>
      <c r="AF21" s="65" t="n">
        <v>211</v>
      </c>
      <c r="AG21" s="65" t="n">
        <v>191</v>
      </c>
      <c r="AH21" s="65" t="n">
        <v>197</v>
      </c>
      <c r="AI21" s="65" t="n">
        <v>163</v>
      </c>
      <c r="AJ21" s="65" t="n">
        <v>224</v>
      </c>
      <c r="AK21" s="65" t="n">
        <v>194</v>
      </c>
      <c r="AL21" s="65" t="n">
        <v>166</v>
      </c>
      <c r="AM21" s="65" t="n">
        <v>112</v>
      </c>
      <c r="AN21" s="65" t="n">
        <v>111</v>
      </c>
      <c r="AO21" s="65" t="n">
        <v>139</v>
      </c>
    </row>
    <row r="22">
      <c r="A22" s="64" t="inlineStr">
        <is>
          <t>총 차입금</t>
        </is>
      </c>
      <c r="B22" s="65" t="n"/>
      <c r="C22" s="65" t="n"/>
      <c r="D22" s="65" t="n"/>
      <c r="E22" s="65" t="n"/>
      <c r="F22" s="65" t="n"/>
      <c r="G22" s="65" t="n">
        <v>0.2</v>
      </c>
      <c r="H22" s="65" t="n"/>
      <c r="I22" s="65" t="n"/>
      <c r="J22" s="65" t="n"/>
      <c r="K22" s="65" t="n">
        <v>0.7</v>
      </c>
      <c r="L22" s="65" t="n">
        <v>0</v>
      </c>
      <c r="M22" s="65" t="n">
        <v>0</v>
      </c>
      <c r="N22" s="65" t="n">
        <v>0</v>
      </c>
      <c r="O22" s="65" t="n">
        <v>0.6000000000000001</v>
      </c>
      <c r="P22" s="65" t="n">
        <v>10</v>
      </c>
      <c r="Q22" s="65" t="n">
        <v>10</v>
      </c>
      <c r="R22" s="65" t="n">
        <v>10</v>
      </c>
      <c r="S22" s="65" t="n">
        <v>11</v>
      </c>
      <c r="T22" s="65" t="n">
        <v>10</v>
      </c>
      <c r="U22" s="65" t="n">
        <v>9.800000000000001</v>
      </c>
      <c r="V22" s="65" t="n">
        <v>9.5</v>
      </c>
      <c r="W22" s="65" t="n">
        <v>10.3</v>
      </c>
      <c r="X22" s="65" t="n">
        <v>9</v>
      </c>
      <c r="Y22" s="65" t="n">
        <v>0.7</v>
      </c>
      <c r="Z22" s="65" t="n">
        <v>1</v>
      </c>
      <c r="AA22" s="65" t="n">
        <v>0.8999999999999999</v>
      </c>
      <c r="AB22" s="65" t="n">
        <v>0</v>
      </c>
      <c r="AC22" s="65" t="n">
        <v>0.6</v>
      </c>
      <c r="AD22" s="65" t="n">
        <v>0.8</v>
      </c>
      <c r="AE22" s="65" t="n">
        <v>0.7</v>
      </c>
      <c r="AF22" s="65" t="n">
        <v>0</v>
      </c>
      <c r="AG22" s="65" t="n">
        <v>0.3</v>
      </c>
      <c r="AH22" s="65" t="n">
        <v>0.7</v>
      </c>
      <c r="AI22" s="65" t="n">
        <v>0.3</v>
      </c>
      <c r="AJ22" s="65" t="n">
        <v>0</v>
      </c>
      <c r="AK22" s="65" t="n">
        <v>0.2</v>
      </c>
      <c r="AL22" s="65" t="n">
        <v>0</v>
      </c>
      <c r="AM22" s="65" t="n">
        <v>0.2</v>
      </c>
      <c r="AN22" s="65" t="n">
        <v>0</v>
      </c>
      <c r="AO22" s="65" t="n">
        <v>0.5</v>
      </c>
    </row>
    <row r="23">
      <c r="A23" s="64" t="inlineStr">
        <is>
          <t>현금</t>
        </is>
      </c>
      <c r="B23" s="65" t="n"/>
      <c r="C23" s="65" t="n"/>
      <c r="D23" s="65" t="n"/>
      <c r="E23" s="65" t="n"/>
      <c r="F23" s="65" t="n"/>
      <c r="G23" s="65" t="n">
        <v>43.5</v>
      </c>
      <c r="H23" s="65" t="n"/>
      <c r="I23" s="65" t="n"/>
      <c r="J23" s="65" t="n"/>
      <c r="K23" s="65" t="n">
        <v>61.2</v>
      </c>
      <c r="L23" s="65" t="n">
        <v>57.9</v>
      </c>
      <c r="M23" s="65" t="n">
        <v>51</v>
      </c>
      <c r="N23" s="65" t="n">
        <v>44.1</v>
      </c>
      <c r="O23" s="65" t="n">
        <v>62.1</v>
      </c>
      <c r="P23" s="65" t="n">
        <v>72.2</v>
      </c>
      <c r="Q23" s="65" t="n">
        <v>76.40000000000001</v>
      </c>
      <c r="R23" s="65" t="n">
        <v>77.5</v>
      </c>
      <c r="S23" s="65" t="n">
        <v>93.8</v>
      </c>
      <c r="T23" s="65" t="n">
        <v>87.09999999999999</v>
      </c>
      <c r="U23" s="65" t="n">
        <v>90.59999999999999</v>
      </c>
      <c r="V23" s="65" t="n">
        <v>87.7</v>
      </c>
      <c r="W23" s="65" t="n">
        <v>80.7</v>
      </c>
      <c r="X23" s="65" t="n">
        <v>72.8</v>
      </c>
      <c r="Y23" s="65" t="n">
        <v>70.5</v>
      </c>
      <c r="Z23" s="65" t="n">
        <v>66.5</v>
      </c>
      <c r="AA23" s="65" t="n">
        <v>75.40000000000001</v>
      </c>
      <c r="AB23" s="65" t="n">
        <v>75.8</v>
      </c>
      <c r="AC23" s="65" t="n">
        <v>78.2</v>
      </c>
      <c r="AD23" s="65" t="n">
        <v>77.90000000000001</v>
      </c>
      <c r="AE23" s="65" t="n">
        <v>86.40000000000001</v>
      </c>
      <c r="AF23" s="65" t="n">
        <v>80.90000000000001</v>
      </c>
      <c r="AG23" s="65" t="n">
        <v>87.40000000000001</v>
      </c>
      <c r="AH23" s="65" t="n">
        <v>79.90000000000001</v>
      </c>
      <c r="AI23" s="65" t="n">
        <v>49.3</v>
      </c>
      <c r="AJ23" s="65" t="n">
        <v>84.7</v>
      </c>
      <c r="AK23" s="65" t="n">
        <v>91.90000000000001</v>
      </c>
      <c r="AL23" s="65" t="n">
        <v>76.09999999999999</v>
      </c>
      <c r="AM23" s="65" t="n">
        <v>95.7</v>
      </c>
      <c r="AN23" s="65" t="n">
        <v>93</v>
      </c>
      <c r="AO23" s="65" t="n">
        <v>83.7</v>
      </c>
    </row>
    <row r="24">
      <c r="A24" s="64" t="inlineStr">
        <is>
          <t>부문별 매출 · BentoniteDivisionReportableSegmentMember</t>
        </is>
      </c>
      <c r="B24" s="65" t="n"/>
      <c r="C24" s="65" t="n"/>
      <c r="D24" s="65" t="n"/>
      <c r="E24" s="65" t="n"/>
      <c r="F24" s="65" t="n"/>
      <c r="G24" s="65" t="n"/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  <c r="Q24" s="65" t="n"/>
      <c r="R24" s="65" t="n"/>
      <c r="S24" s="65" t="n"/>
      <c r="T24" s="65" t="n"/>
      <c r="U24" s="65" t="n"/>
      <c r="V24" s="65" t="n"/>
      <c r="W24" s="65" t="n"/>
      <c r="X24" s="65" t="n"/>
      <c r="Y24" s="65" t="n"/>
      <c r="Z24" s="65" t="n"/>
      <c r="AA24" s="65" t="n"/>
      <c r="AB24" s="65" t="n">
        <v>29</v>
      </c>
      <c r="AC24" s="65" t="n">
        <v>28.9</v>
      </c>
      <c r="AD24" s="65" t="n">
        <v>29.7</v>
      </c>
      <c r="AE24" s="65" t="n">
        <v>25.7</v>
      </c>
      <c r="AF24" s="65" t="n">
        <v>27.5</v>
      </c>
      <c r="AG24" s="65" t="n">
        <v>26.7</v>
      </c>
      <c r="AH24" s="65" t="n">
        <v>28.5</v>
      </c>
      <c r="AI24" s="65" t="n">
        <v>28.3</v>
      </c>
      <c r="AJ24" s="65" t="n">
        <v>28.1</v>
      </c>
      <c r="AK24" s="65" t="n">
        <v>29.2</v>
      </c>
      <c r="AL24" s="65" t="n">
        <v>31.2</v>
      </c>
      <c r="AM24" s="65" t="n">
        <v>29.9</v>
      </c>
      <c r="AN24" s="65" t="n">
        <v>30.8</v>
      </c>
      <c r="AO24" s="65" t="n">
        <v>30</v>
      </c>
      <c r="AP24" s="61" t="inlineStr">
        <is>
          <t>결산단신 부문 정보(외부 고객 매출)</t>
        </is>
      </c>
    </row>
    <row r="25">
      <c r="A25" s="64" t="inlineStr">
        <is>
          <t>부문별 매출 · ClayscienceDivisionReportableSegmentMember</t>
        </is>
      </c>
      <c r="B25" s="65" t="n"/>
      <c r="C25" s="65" t="n"/>
      <c r="D25" s="65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  <c r="Q25" s="65" t="n"/>
      <c r="R25" s="65" t="n"/>
      <c r="S25" s="65" t="n"/>
      <c r="T25" s="65" t="n"/>
      <c r="U25" s="65" t="n"/>
      <c r="V25" s="65" t="n"/>
      <c r="W25" s="65" t="n"/>
      <c r="X25" s="65" t="n"/>
      <c r="Y25" s="65" t="n"/>
      <c r="Z25" s="65" t="n"/>
      <c r="AA25" s="65" t="n"/>
      <c r="AB25" s="65" t="n">
        <v>3.5</v>
      </c>
      <c r="AC25" s="65" t="n"/>
      <c r="AD25" s="65" t="n"/>
      <c r="AE25" s="65" t="n">
        <v>4.8</v>
      </c>
      <c r="AF25" s="65" t="n">
        <v>5</v>
      </c>
      <c r="AG25" s="65" t="n"/>
      <c r="AH25" s="65" t="n"/>
      <c r="AI25" s="65" t="n">
        <v>3.6</v>
      </c>
      <c r="AJ25" s="65" t="n">
        <v>4.2</v>
      </c>
      <c r="AK25" s="65" t="n"/>
      <c r="AL25" s="65" t="n"/>
      <c r="AM25" s="65" t="n">
        <v>4.5</v>
      </c>
      <c r="AN25" s="65" t="n">
        <v>4.9</v>
      </c>
      <c r="AO25" s="65" t="n"/>
      <c r="AP25" s="61" t="inlineStr">
        <is>
          <t>결산단신 부문 정보(외부 고객 매출)</t>
        </is>
      </c>
    </row>
    <row r="26">
      <c r="A26" s="64" t="inlineStr">
        <is>
          <t>부문별 매출 · AgricultureDivisionReportableSegmentMember</t>
        </is>
      </c>
      <c r="B26" s="65" t="n"/>
      <c r="C26" s="65" t="n"/>
      <c r="D26" s="65" t="n"/>
      <c r="E26" s="65" t="n"/>
      <c r="F26" s="65" t="n"/>
      <c r="G26" s="65" t="n"/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  <c r="Q26" s="65" t="n"/>
      <c r="R26" s="65" t="n"/>
      <c r="S26" s="65" t="n"/>
      <c r="T26" s="65" t="n"/>
      <c r="U26" s="65" t="n"/>
      <c r="V26" s="65" t="n"/>
      <c r="W26" s="65" t="n"/>
      <c r="X26" s="65" t="n"/>
      <c r="Y26" s="65" t="n"/>
      <c r="Z26" s="65" t="n"/>
      <c r="AA26" s="65" t="n"/>
      <c r="AB26" s="65" t="n">
        <v>4.2</v>
      </c>
      <c r="AC26" s="65" t="n">
        <v>4.2</v>
      </c>
      <c r="AD26" s="65" t="n">
        <v>9.1</v>
      </c>
      <c r="AE26" s="65" t="n">
        <v>9.5</v>
      </c>
      <c r="AF26" s="65" t="n">
        <v>4.1</v>
      </c>
      <c r="AG26" s="65" t="n">
        <v>5.3</v>
      </c>
      <c r="AH26" s="65" t="n">
        <v>8.5</v>
      </c>
      <c r="AI26" s="65" t="n">
        <v>10.2</v>
      </c>
      <c r="AJ26" s="65" t="n">
        <v>4.9</v>
      </c>
      <c r="AK26" s="65" t="n">
        <v>6.1</v>
      </c>
      <c r="AL26" s="65" t="n">
        <v>11.1</v>
      </c>
      <c r="AM26" s="65" t="n">
        <v>12.4</v>
      </c>
      <c r="AN26" s="65" t="n">
        <v>6.1</v>
      </c>
      <c r="AO26" s="65" t="n">
        <v>9.1</v>
      </c>
      <c r="AP26" s="61" t="inlineStr">
        <is>
          <t>결산단신 부문 정보(외부 고객 매출)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2026-10-30T11:46:38Z</dcterms:created>
  <dcterms:modified xmlns:dcterms="http://purl.org/dc/terms/" xmlns:xsi="http://www.w3.org/2001/XMLSchema-instance" xsi:type="dcterms:W3CDTF">2026-10-30T11:46:58Z</dcterms:modified>
</cp:coreProperties>
</file>