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4212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14170</v>
      </c>
      <c r="D4" s="12" t="n">
        <v>15397</v>
      </c>
      <c r="E4" s="12" t="n">
        <v>19507</v>
      </c>
      <c r="F4" s="12" t="n">
        <v>15542</v>
      </c>
      <c r="G4" s="12" t="n">
        <v>17511</v>
      </c>
      <c r="H4" s="12" t="n">
        <v>18659</v>
      </c>
      <c r="I4" s="12" t="n">
        <v>22519</v>
      </c>
      <c r="J4" s="12" t="n">
        <v>16545</v>
      </c>
      <c r="K4" s="12" t="n">
        <v>18447</v>
      </c>
      <c r="L4" s="12" t="n">
        <v>19590</v>
      </c>
      <c r="M4" s="12" t="n">
        <v>23581</v>
      </c>
      <c r="N4" s="12" t="n">
        <v>18301</v>
      </c>
      <c r="O4" s="11" t="n">
        <v>67826</v>
      </c>
      <c r="P4" s="12" t="n">
        <v>68840</v>
      </c>
      <c r="Q4" s="12" t="n">
        <v>67043</v>
      </c>
      <c r="R4" s="12" t="n">
        <v>67727</v>
      </c>
      <c r="S4" s="12" t="n">
        <v>64735</v>
      </c>
      <c r="T4" s="12" t="n">
        <v>65903</v>
      </c>
      <c r="U4" s="12" t="n">
        <v>65897</v>
      </c>
      <c r="V4" s="12" t="n">
        <v>62790</v>
      </c>
      <c r="W4" s="12" t="n">
        <v>74231</v>
      </c>
      <c r="X4" s="12" t="n">
        <v>78163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Public Sector Business</t>
        </is>
      </c>
      <c r="B7" s="10" t="n"/>
      <c r="C7" s="19" t="n">
        <v>6017</v>
      </c>
      <c r="D7" s="20" t="n">
        <v>7068</v>
      </c>
      <c r="E7" s="20" t="n">
        <v>10060</v>
      </c>
      <c r="F7" s="20" t="n">
        <v>7175</v>
      </c>
      <c r="G7" s="20" t="n">
        <v>8987</v>
      </c>
      <c r="H7" s="20" t="n">
        <v>9941</v>
      </c>
      <c r="I7" s="20" t="n">
        <v>12712</v>
      </c>
      <c r="J7" s="20" t="n">
        <v>8096</v>
      </c>
      <c r="K7" s="20" t="n">
        <v>9443</v>
      </c>
      <c r="L7" s="20" t="n">
        <v>10615</v>
      </c>
      <c r="M7" s="20" t="n">
        <v>13435</v>
      </c>
      <c r="N7" s="20" t="n">
        <v>8562</v>
      </c>
      <c r="O7" s="19" t="n"/>
      <c r="P7" s="20" t="n"/>
      <c r="Q7" s="20" t="n"/>
      <c r="R7" s="20" t="n"/>
      <c r="S7" s="20" t="n"/>
      <c r="T7" s="20" t="n"/>
      <c r="U7" s="20" t="n"/>
      <c r="V7" s="20" t="n">
        <v>28729</v>
      </c>
      <c r="W7" s="20" t="n">
        <v>38815</v>
      </c>
      <c r="X7" s="20" t="n">
        <v>41589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Private Sector Business</t>
        </is>
      </c>
      <c r="B10" s="10" t="n"/>
      <c r="C10" s="19" t="n">
        <v>8153</v>
      </c>
      <c r="D10" s="20" t="n">
        <v>8328</v>
      </c>
      <c r="E10" s="20" t="n">
        <v>9447</v>
      </c>
      <c r="F10" s="20" t="n">
        <v>8366</v>
      </c>
      <c r="G10" s="20" t="n">
        <v>8525</v>
      </c>
      <c r="H10" s="20" t="n">
        <v>8717</v>
      </c>
      <c r="I10" s="20" t="n">
        <v>9808</v>
      </c>
      <c r="J10" s="20" t="n">
        <v>8448</v>
      </c>
      <c r="K10" s="20" t="n">
        <v>9005</v>
      </c>
      <c r="L10" s="20" t="n">
        <v>8974</v>
      </c>
      <c r="M10" s="20" t="n">
        <v>10146</v>
      </c>
      <c r="N10" s="20" t="n">
        <v>9739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34060</v>
      </c>
      <c r="W10" s="20" t="n">
        <v>35416</v>
      </c>
      <c r="X10" s="20" t="n">
        <v>36573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9870</v>
      </c>
      <c r="D14" s="20" t="n">
        <v>10543</v>
      </c>
      <c r="E14" s="20" t="n">
        <v>13657</v>
      </c>
      <c r="F14" s="20" t="n">
        <v>11031</v>
      </c>
      <c r="G14" s="20" t="n">
        <v>12280</v>
      </c>
      <c r="H14" s="20" t="n">
        <v>12870</v>
      </c>
      <c r="I14" s="20" t="n">
        <v>15737</v>
      </c>
      <c r="J14" s="20" t="n">
        <v>11539</v>
      </c>
      <c r="K14" s="20" t="n">
        <v>12782</v>
      </c>
      <c r="L14" s="20" t="n">
        <v>13286</v>
      </c>
      <c r="M14" s="20" t="n">
        <v>16216</v>
      </c>
      <c r="N14" s="20" t="n">
        <v>12564</v>
      </c>
      <c r="O14" s="19" t="n">
        <v>46426</v>
      </c>
      <c r="P14" s="20" t="n">
        <v>46951</v>
      </c>
      <c r="Q14" s="20" t="n">
        <v>45474</v>
      </c>
      <c r="R14" s="20" t="n">
        <v>45709</v>
      </c>
      <c r="S14" s="20" t="n">
        <v>43109</v>
      </c>
      <c r="T14" s="20" t="n">
        <v>44364</v>
      </c>
      <c r="U14" s="20" t="n">
        <v>45844</v>
      </c>
      <c r="V14" s="20" t="n">
        <v>43656</v>
      </c>
      <c r="W14" s="20" t="n">
        <v>51918</v>
      </c>
      <c r="X14" s="20" t="n">
        <v>53823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2986</v>
      </c>
      <c r="D18" s="20" t="n">
        <v>3468</v>
      </c>
      <c r="E18" s="20" t="n">
        <v>3465</v>
      </c>
      <c r="F18" s="20" t="n">
        <v>4091</v>
      </c>
      <c r="G18" s="20" t="n">
        <v>4278</v>
      </c>
      <c r="H18" s="20" t="n">
        <v>4446</v>
      </c>
      <c r="I18" s="20" t="n">
        <v>4487</v>
      </c>
      <c r="J18" s="20" t="n">
        <v>4403</v>
      </c>
      <c r="K18" s="20" t="n">
        <v>4532</v>
      </c>
      <c r="L18" s="20" t="n">
        <v>4789</v>
      </c>
      <c r="M18" s="20" t="n">
        <v>4930</v>
      </c>
      <c r="N18" s="20" t="n">
        <v>4748</v>
      </c>
      <c r="O18" s="19" t="n">
        <v>11493</v>
      </c>
      <c r="P18" s="20" t="n">
        <v>11543</v>
      </c>
      <c r="Q18" s="20" t="n">
        <v>11486</v>
      </c>
      <c r="R18" s="20" t="n">
        <v>11664</v>
      </c>
      <c r="S18" s="20" t="n">
        <v>10956</v>
      </c>
      <c r="T18" s="20" t="n">
        <v>10656</v>
      </c>
      <c r="U18" s="20" t="n">
        <v>11045</v>
      </c>
      <c r="V18" s="20" t="n">
        <v>12834</v>
      </c>
      <c r="W18" s="20" t="n">
        <v>17302</v>
      </c>
      <c r="X18" s="20" t="n">
        <v>18654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1315</v>
      </c>
      <c r="D19" s="12" t="n">
        <v>1384</v>
      </c>
      <c r="E19" s="12" t="n">
        <v>2385</v>
      </c>
      <c r="F19" s="12" t="n">
        <v>419</v>
      </c>
      <c r="G19" s="12" t="n">
        <v>954</v>
      </c>
      <c r="H19" s="12" t="n">
        <v>1342</v>
      </c>
      <c r="I19" s="12" t="n">
        <v>2296</v>
      </c>
      <c r="J19" s="12" t="n">
        <v>602</v>
      </c>
      <c r="K19" s="12" t="n">
        <v>1133</v>
      </c>
      <c r="L19" s="12" t="n">
        <v>1515</v>
      </c>
      <c r="M19" s="12" t="n">
        <v>2435</v>
      </c>
      <c r="N19" s="12" t="n">
        <v>989</v>
      </c>
      <c r="O19" s="11" t="n">
        <v>9906</v>
      </c>
      <c r="P19" s="12" t="n">
        <v>10345</v>
      </c>
      <c r="Q19" s="12" t="n">
        <v>10082</v>
      </c>
      <c r="R19" s="12" t="n">
        <v>10353</v>
      </c>
      <c r="S19" s="12" t="n">
        <v>10669</v>
      </c>
      <c r="T19" s="12" t="n">
        <v>10883</v>
      </c>
      <c r="U19" s="12" t="n">
        <v>9007</v>
      </c>
      <c r="V19" s="12" t="n">
        <v>6298</v>
      </c>
      <c r="W19" s="12" t="n">
        <v>5011</v>
      </c>
      <c r="X19" s="12" t="n">
        <v>5685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/>
      <c r="D35" s="20" t="n">
        <v>83</v>
      </c>
      <c r="E35" s="20" t="n">
        <v>108</v>
      </c>
      <c r="F35" s="20" t="n"/>
      <c r="G35" s="20" t="n"/>
      <c r="H35" s="20" t="n">
        <v>0</v>
      </c>
      <c r="I35" s="20" t="n">
        <v>340</v>
      </c>
      <c r="J35" s="20" t="n">
        <v>0</v>
      </c>
      <c r="K35" s="20" t="n">
        <v>106</v>
      </c>
      <c r="L35" s="20" t="n">
        <v>258</v>
      </c>
      <c r="M35" s="20" t="n">
        <v>0</v>
      </c>
      <c r="N35" s="20" t="n">
        <v>601</v>
      </c>
      <c r="O35" s="19" t="n">
        <v>208</v>
      </c>
      <c r="P35" s="20" t="n">
        <v>74</v>
      </c>
      <c r="Q35" s="20" t="n">
        <v>0</v>
      </c>
      <c r="R35" s="20" t="n">
        <v>92</v>
      </c>
      <c r="S35" s="20" t="n">
        <v>120</v>
      </c>
      <c r="T35" s="20" t="n">
        <v>303</v>
      </c>
      <c r="U35" s="20" t="n">
        <v>899</v>
      </c>
      <c r="V35" s="20" t="n">
        <v>407</v>
      </c>
      <c r="W35" s="20" t="n">
        <v>340</v>
      </c>
      <c r="X35" s="20" t="n">
        <v>364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14</v>
      </c>
      <c r="D37" s="20" t="n">
        <v>15</v>
      </c>
      <c r="E37" s="20" t="n">
        <v>158</v>
      </c>
      <c r="F37" s="20" t="n">
        <v>61</v>
      </c>
      <c r="G37" s="20" t="n">
        <v>55</v>
      </c>
      <c r="H37" s="20" t="n">
        <v>252</v>
      </c>
      <c r="I37" s="20" t="n">
        <v>46</v>
      </c>
      <c r="J37" s="20" t="n">
        <v>54</v>
      </c>
      <c r="K37" s="20" t="n">
        <v>27</v>
      </c>
      <c r="L37" s="20" t="n">
        <v>12</v>
      </c>
      <c r="M37" s="20" t="n"/>
      <c r="N37" s="20" t="n">
        <v>55</v>
      </c>
      <c r="O37" s="19" t="n">
        <v>465</v>
      </c>
      <c r="P37" s="20" t="n">
        <v>211</v>
      </c>
      <c r="Q37" s="20" t="n">
        <v>256</v>
      </c>
      <c r="R37" s="20" t="n">
        <v>424</v>
      </c>
      <c r="S37" s="20" t="n">
        <v>170</v>
      </c>
      <c r="T37" s="20" t="n">
        <v>353</v>
      </c>
      <c r="U37" s="20" t="n">
        <v>538</v>
      </c>
      <c r="V37" s="20" t="n">
        <v>207</v>
      </c>
      <c r="W37" s="20" t="n">
        <v>414</v>
      </c>
      <c r="X37" s="20" t="n"/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146</v>
      </c>
      <c r="D39" s="20" t="n">
        <v>124</v>
      </c>
      <c r="E39" s="20" t="n">
        <v>383</v>
      </c>
      <c r="F39" s="20" t="n">
        <v>259</v>
      </c>
      <c r="G39" s="20" t="n">
        <v>226</v>
      </c>
      <c r="H39" s="20" t="n">
        <v>262</v>
      </c>
      <c r="I39" s="20" t="n">
        <v>159</v>
      </c>
      <c r="J39" s="20" t="n">
        <v>282</v>
      </c>
      <c r="K39" s="20" t="n">
        <v>201</v>
      </c>
      <c r="L39" s="20" t="n">
        <v>279</v>
      </c>
      <c r="M39" s="20" t="n">
        <v>258</v>
      </c>
      <c r="N39" s="20" t="n">
        <v>328</v>
      </c>
      <c r="O39" s="19" t="n">
        <v>531</v>
      </c>
      <c r="P39" s="20" t="n">
        <v>620</v>
      </c>
      <c r="Q39" s="20" t="n">
        <v>692</v>
      </c>
      <c r="R39" s="20" t="n">
        <v>675</v>
      </c>
      <c r="S39" s="20" t="n">
        <v>716</v>
      </c>
      <c r="T39" s="20" t="n">
        <v>647</v>
      </c>
      <c r="U39" s="20" t="n">
        <v>647</v>
      </c>
      <c r="V39" s="20" t="n">
        <v>899</v>
      </c>
      <c r="W39" s="20" t="n">
        <v>906</v>
      </c>
      <c r="X39" s="20" t="n">
        <v>1020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35</v>
      </c>
      <c r="D41" s="20" t="n">
        <v>79</v>
      </c>
      <c r="E41" s="20" t="n">
        <v>66</v>
      </c>
      <c r="F41" s="20" t="n">
        <v>75</v>
      </c>
      <c r="G41" s="20" t="n">
        <v>195</v>
      </c>
      <c r="H41" s="20" t="n">
        <v>112</v>
      </c>
      <c r="I41" s="20" t="n">
        <v>88</v>
      </c>
      <c r="J41" s="20" t="n">
        <v>124</v>
      </c>
      <c r="K41" s="20" t="n">
        <v>89</v>
      </c>
      <c r="L41" s="20" t="n">
        <v>100</v>
      </c>
      <c r="M41" s="20" t="n">
        <v>131</v>
      </c>
      <c r="N41" s="20" t="n">
        <v>87</v>
      </c>
      <c r="O41" s="19" t="n">
        <v>239</v>
      </c>
      <c r="P41" s="20" t="n">
        <v>178</v>
      </c>
      <c r="Q41" s="20" t="n">
        <v>127</v>
      </c>
      <c r="R41" s="20" t="n">
        <v>168</v>
      </c>
      <c r="S41" s="20" t="n">
        <v>125</v>
      </c>
      <c r="T41" s="20" t="n">
        <v>133</v>
      </c>
      <c r="U41" s="20" t="n">
        <v>153</v>
      </c>
      <c r="V41" s="20" t="n">
        <v>228</v>
      </c>
      <c r="W41" s="20" t="n">
        <v>470</v>
      </c>
      <c r="X41" s="20" t="n">
        <v>444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1627</v>
      </c>
      <c r="D43" s="12" t="n">
        <v>1497</v>
      </c>
      <c r="E43" s="12" t="n">
        <v>2653</v>
      </c>
      <c r="F43" s="12" t="n">
        <v>542</v>
      </c>
      <c r="G43" s="12" t="n">
        <v>930</v>
      </c>
      <c r="H43" s="12" t="n">
        <v>1240</v>
      </c>
      <c r="I43" s="12" t="n">
        <v>2661</v>
      </c>
      <c r="J43" s="12" t="n">
        <v>706</v>
      </c>
      <c r="K43" s="12" t="n">
        <v>1324</v>
      </c>
      <c r="L43" s="12" t="n">
        <v>1940</v>
      </c>
      <c r="M43" s="12" t="n">
        <v>2425</v>
      </c>
      <c r="N43" s="12" t="n">
        <v>1775</v>
      </c>
      <c r="O43" s="11" t="n">
        <v>9940</v>
      </c>
      <c r="P43" s="12" t="n">
        <v>10649</v>
      </c>
      <c r="Q43" s="12" t="n">
        <v>10390</v>
      </c>
      <c r="R43" s="12" t="n">
        <v>10528</v>
      </c>
      <c r="S43" s="12" t="n">
        <v>11209</v>
      </c>
      <c r="T43" s="12" t="n">
        <v>11347</v>
      </c>
      <c r="U43" s="12" t="n">
        <v>9862</v>
      </c>
      <c r="V43" s="12" t="n">
        <v>7169</v>
      </c>
      <c r="W43" s="12" t="n">
        <v>5373</v>
      </c>
      <c r="X43" s="12" t="n">
        <v>6395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508</v>
      </c>
      <c r="D44" s="20" t="n">
        <v>515</v>
      </c>
      <c r="E44" s="20" t="n">
        <v>823</v>
      </c>
      <c r="F44" s="20" t="n">
        <v>313</v>
      </c>
      <c r="G44" s="20" t="n">
        <v>339</v>
      </c>
      <c r="H44" s="20" t="n">
        <v>400</v>
      </c>
      <c r="I44" s="20" t="n">
        <v>639</v>
      </c>
      <c r="J44" s="20" t="n">
        <v>437</v>
      </c>
      <c r="K44" s="20" t="n">
        <v>456</v>
      </c>
      <c r="L44" s="20" t="n">
        <v>641</v>
      </c>
      <c r="M44" s="20" t="n">
        <v>774</v>
      </c>
      <c r="N44" s="20" t="n">
        <v>740</v>
      </c>
      <c r="O44" s="19" t="n">
        <v>3171</v>
      </c>
      <c r="P44" s="20" t="n">
        <v>3303</v>
      </c>
      <c r="Q44" s="20" t="n">
        <v>3218</v>
      </c>
      <c r="R44" s="20" t="n">
        <v>3231</v>
      </c>
      <c r="S44" s="20" t="n">
        <v>3503</v>
      </c>
      <c r="T44" s="20" t="n">
        <v>3509</v>
      </c>
      <c r="U44" s="20" t="n">
        <v>3037</v>
      </c>
      <c r="V44" s="20" t="n">
        <v>2373</v>
      </c>
      <c r="W44" s="20" t="n">
        <v>1691</v>
      </c>
      <c r="X44" s="20" t="n">
        <v>2308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1120</v>
      </c>
      <c r="D46" s="12" t="n">
        <v>981</v>
      </c>
      <c r="E46" s="12" t="n">
        <v>1830</v>
      </c>
      <c r="F46" s="12" t="n">
        <v>228</v>
      </c>
      <c r="G46" s="12" t="n">
        <v>591</v>
      </c>
      <c r="H46" s="12" t="n">
        <v>840</v>
      </c>
      <c r="I46" s="12" t="n">
        <v>2022</v>
      </c>
      <c r="J46" s="12" t="n">
        <v>269</v>
      </c>
      <c r="K46" s="12" t="n">
        <v>867</v>
      </c>
      <c r="L46" s="12" t="n">
        <v>1300</v>
      </c>
      <c r="M46" s="12" t="n">
        <v>1651</v>
      </c>
      <c r="N46" s="12" t="n">
        <v>1034</v>
      </c>
      <c r="O46" s="11" t="n">
        <v>6769</v>
      </c>
      <c r="P46" s="12" t="n">
        <v>7345</v>
      </c>
      <c r="Q46" s="12" t="n">
        <v>7172</v>
      </c>
      <c r="R46" s="12" t="n">
        <v>7297</v>
      </c>
      <c r="S46" s="12" t="n">
        <v>7706</v>
      </c>
      <c r="T46" s="12" t="n">
        <v>7838</v>
      </c>
      <c r="U46" s="12" t="n">
        <v>6825</v>
      </c>
      <c r="V46" s="12" t="n">
        <v>4795</v>
      </c>
      <c r="W46" s="12" t="n">
        <v>3681</v>
      </c>
      <c r="X46" s="12" t="n">
        <v>4087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1101</v>
      </c>
      <c r="D47" s="12" t="n">
        <v>958</v>
      </c>
      <c r="E47" s="12" t="n">
        <v>1769</v>
      </c>
      <c r="F47" s="12" t="n">
        <v>231</v>
      </c>
      <c r="G47" s="12" t="n">
        <v>572</v>
      </c>
      <c r="H47" s="12" t="n">
        <v>803</v>
      </c>
      <c r="I47" s="12" t="n">
        <v>1938</v>
      </c>
      <c r="J47" s="12" t="n">
        <v>262</v>
      </c>
      <c r="K47" s="12" t="n">
        <v>856</v>
      </c>
      <c r="L47" s="12" t="n">
        <v>1275</v>
      </c>
      <c r="M47" s="12" t="n">
        <v>1582</v>
      </c>
      <c r="N47" s="12" t="n">
        <v>1029</v>
      </c>
      <c r="O47" s="11" t="n">
        <v>6576</v>
      </c>
      <c r="P47" s="12" t="n">
        <v>7217</v>
      </c>
      <c r="Q47" s="12" t="n">
        <v>7055</v>
      </c>
      <c r="R47" s="12" t="n">
        <v>7167</v>
      </c>
      <c r="S47" s="12" t="n">
        <v>7546</v>
      </c>
      <c r="T47" s="12" t="n">
        <v>7662</v>
      </c>
      <c r="U47" s="12" t="n">
        <v>6653</v>
      </c>
      <c r="V47" s="12" t="n">
        <v>4671</v>
      </c>
      <c r="W47" s="12" t="n">
        <v>3544</v>
      </c>
      <c r="X47" s="12" t="n">
        <v>3975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(2026.10.26)</t>
        </is>
      </c>
      <c r="B50" s="27" t="n">
        <v>3050</v>
      </c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>
        <v>31813598</v>
      </c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 2026.10.26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14170</v>
      </c>
      <c r="D81" s="12" t="n">
        <v>15397</v>
      </c>
      <c r="E81" s="12" t="n">
        <v>19507</v>
      </c>
      <c r="F81" s="12" t="n">
        <v>15542</v>
      </c>
      <c r="G81" s="12" t="n">
        <v>17511</v>
      </c>
      <c r="H81" s="12" t="n">
        <v>18659</v>
      </c>
      <c r="I81" s="12" t="n">
        <v>22519</v>
      </c>
      <c r="J81" s="12" t="n">
        <v>16545</v>
      </c>
      <c r="K81" s="12" t="n">
        <v>18447</v>
      </c>
      <c r="L81" s="12" t="n">
        <v>19590</v>
      </c>
      <c r="M81" s="12" t="n">
        <v>23581</v>
      </c>
      <c r="N81" s="12" t="n">
        <v>18301</v>
      </c>
      <c r="T81" s="12" t="n">
        <v>20285</v>
      </c>
      <c r="U81" s="12" t="n">
        <v>20682</v>
      </c>
      <c r="V81" s="12" t="n">
        <v>19507</v>
      </c>
      <c r="W81" s="12" t="n">
        <v>22519</v>
      </c>
      <c r="X81" s="12" t="n">
        <v>23581</v>
      </c>
    </row>
    <row r="82">
      <c r="A82" s="43" t="inlineStr">
        <is>
          <t>YoY</t>
        </is>
      </c>
      <c r="B82" s="3" t="inlineStr">
        <is>
          <t>전년 같은 분기·전년 대비</t>
        </is>
      </c>
      <c r="G82" s="15">
        <f>IF(OR(G81="",C81=""),"",IF(C81&lt;=0,"",IFERROR(G81/C81-1,"")))</f>
        <v/>
      </c>
      <c r="H82" s="15">
        <f>IF(OR(H81="",D81=""),"",IF(D81&lt;=0,"",IFERROR(H81/D81-1,"")))</f>
        <v/>
      </c>
      <c r="I82" s="15">
        <f>IF(OR(I81="",E81=""),"",IF(E81&lt;=0,"",IFERROR(I81/E81-1,"")))</f>
        <v/>
      </c>
      <c r="J82" s="15">
        <f>IF(OR(J81="",F81=""),"",IF(F81&lt;=0,"",IFERROR(J81/F81-1,"")))</f>
        <v/>
      </c>
      <c r="K82" s="15">
        <f>IF(OR(K81="",G81=""),"",IF(G81&lt;=0,"",IFERROR(K81/G81-1,"")))</f>
        <v/>
      </c>
      <c r="L82" s="15">
        <f>IF(OR(L81="",H81=""),"",IF(H81&lt;=0,"",IFERROR(L81/H81-1,"")))</f>
        <v/>
      </c>
      <c r="M82" s="15">
        <f>IF(OR(M81="",I81=""),"",IF(I81&lt;=0,"",IFERROR(M81/I81-1,"")))</f>
        <v/>
      </c>
      <c r="N82" s="15">
        <f>IF(OR(N81="",J81=""),"",IF(J81&lt;=0,"",IFERROR(N81/J81-1,"")))</f>
        <v/>
      </c>
      <c r="T82" s="15">
        <f>IF(OR(T81="",S81=""),"",IF(S81&lt;=0,"",IFERROR(T81/S81-1,"")))</f>
        <v/>
      </c>
      <c r="U82" s="15">
        <f>IF(OR(U81="",T81=""),"",IF(T81&lt;=0,"",IFERROR(U81/T81-1,"")))</f>
        <v/>
      </c>
      <c r="V82" s="15">
        <f>IF(OR(V81="",U81=""),"",IF(U81&lt;=0,"",IFERROR(V81/U81-1,"")))</f>
        <v/>
      </c>
      <c r="W82" s="15">
        <f>IF(OR(W81="",V81=""),"",IF(V81&lt;=0,"",IFERROR(W81/V81-1,"")))</f>
        <v/>
      </c>
      <c r="X82" s="15">
        <f>IF(OR(X81="",W81=""),"",IF(W81&lt;=0,"",IFERROR(X81/W81-1,"")))</f>
        <v/>
      </c>
    </row>
    <row r="83">
      <c r="A83" s="18" t="inlineStr">
        <is>
          <t>매출원가</t>
        </is>
      </c>
      <c r="C83" s="20" t="n">
        <v>9870</v>
      </c>
      <c r="D83" s="20" t="n">
        <v>10543</v>
      </c>
      <c r="E83" s="20" t="n">
        <v>13657</v>
      </c>
      <c r="F83" s="20" t="n">
        <v>11031</v>
      </c>
      <c r="G83" s="20" t="n">
        <v>12280</v>
      </c>
      <c r="H83" s="20" t="n">
        <v>12870</v>
      </c>
      <c r="I83" s="20" t="n">
        <v>15737</v>
      </c>
      <c r="J83" s="20" t="n">
        <v>11539</v>
      </c>
      <c r="K83" s="20" t="n">
        <v>12782</v>
      </c>
      <c r="L83" s="20" t="n">
        <v>13286</v>
      </c>
      <c r="M83" s="20" t="n">
        <v>16216</v>
      </c>
      <c r="N83" s="20" t="n">
        <v>12564</v>
      </c>
      <c r="T83" s="20" t="n">
        <v>13662</v>
      </c>
      <c r="U83" s="20" t="n">
        <v>14375</v>
      </c>
      <c r="V83" s="20" t="n">
        <v>13657</v>
      </c>
      <c r="W83" s="20" t="n">
        <v>15737</v>
      </c>
      <c r="X83" s="20" t="n">
        <v>16216</v>
      </c>
    </row>
    <row r="84">
      <c r="A84" s="9" t="inlineStr">
        <is>
          <t>매출총이익</t>
        </is>
      </c>
      <c r="C84" s="12" t="n">
        <v>4300</v>
      </c>
      <c r="D84" s="12" t="n">
        <v>4853</v>
      </c>
      <c r="E84" s="12" t="n">
        <v>5850</v>
      </c>
      <c r="F84" s="12" t="n">
        <v>4510</v>
      </c>
      <c r="G84" s="12" t="n">
        <v>5232</v>
      </c>
      <c r="H84" s="12" t="n">
        <v>5788</v>
      </c>
      <c r="I84" s="12" t="n">
        <v>6783</v>
      </c>
      <c r="J84" s="12" t="n">
        <v>5006</v>
      </c>
      <c r="K84" s="12" t="n">
        <v>5665</v>
      </c>
      <c r="L84" s="12" t="n">
        <v>6303</v>
      </c>
      <c r="M84" s="12" t="n">
        <v>7365</v>
      </c>
      <c r="N84" s="12" t="n">
        <v>5737</v>
      </c>
      <c r="T84" s="12" t="n">
        <v>6623</v>
      </c>
      <c r="U84" s="12" t="n">
        <v>6308</v>
      </c>
      <c r="V84" s="12" t="n">
        <v>5850</v>
      </c>
      <c r="W84" s="12" t="n">
        <v>6783</v>
      </c>
      <c r="X84" s="12" t="n">
        <v>7365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판매비와 관리비</t>
        </is>
      </c>
      <c r="C86" s="20" t="n">
        <v>2986</v>
      </c>
      <c r="D86" s="20" t="n">
        <v>3468</v>
      </c>
      <c r="E86" s="20" t="n">
        <v>3465</v>
      </c>
      <c r="F86" s="20" t="n">
        <v>4091</v>
      </c>
      <c r="G86" s="20" t="n">
        <v>4278</v>
      </c>
      <c r="H86" s="20" t="n">
        <v>4446</v>
      </c>
      <c r="I86" s="20" t="n">
        <v>4487</v>
      </c>
      <c r="J86" s="20" t="n">
        <v>4403</v>
      </c>
      <c r="K86" s="20" t="n">
        <v>4532</v>
      </c>
      <c r="L86" s="20" t="n">
        <v>4789</v>
      </c>
      <c r="M86" s="20" t="n">
        <v>4930</v>
      </c>
      <c r="N86" s="20" t="n">
        <v>4748</v>
      </c>
      <c r="T86" s="20" t="n">
        <v>2777</v>
      </c>
      <c r="U86" s="20" t="n">
        <v>3018</v>
      </c>
      <c r="V86" s="20" t="n">
        <v>3465</v>
      </c>
      <c r="W86" s="20" t="n">
        <v>4487</v>
      </c>
      <c r="X86" s="20" t="n">
        <v>4930</v>
      </c>
    </row>
    <row r="87">
      <c r="A87" s="9" t="inlineStr">
        <is>
          <t>영업이익</t>
        </is>
      </c>
      <c r="C87" s="12" t="n">
        <v>1315</v>
      </c>
      <c r="D87" s="12" t="n">
        <v>1384</v>
      </c>
      <c r="E87" s="12" t="n">
        <v>2385</v>
      </c>
      <c r="F87" s="12" t="n">
        <v>419</v>
      </c>
      <c r="G87" s="12" t="n">
        <v>954</v>
      </c>
      <c r="H87" s="12" t="n">
        <v>1342</v>
      </c>
      <c r="I87" s="12" t="n">
        <v>2296</v>
      </c>
      <c r="J87" s="12" t="n">
        <v>602</v>
      </c>
      <c r="K87" s="12" t="n">
        <v>1133</v>
      </c>
      <c r="L87" s="12" t="n">
        <v>1515</v>
      </c>
      <c r="M87" s="12" t="n">
        <v>2435</v>
      </c>
      <c r="N87" s="12" t="n">
        <v>989</v>
      </c>
      <c r="T87" s="12" t="n">
        <v>3846</v>
      </c>
      <c r="U87" s="12" t="n">
        <v>3289</v>
      </c>
      <c r="V87" s="12" t="n">
        <v>2385</v>
      </c>
      <c r="W87" s="12" t="n">
        <v>2296</v>
      </c>
      <c r="X87" s="12" t="n">
        <v>2435</v>
      </c>
    </row>
    <row r="88">
      <c r="A88" s="43" t="inlineStr">
        <is>
          <t>OPM</t>
        </is>
      </c>
      <c r="B88" s="3" t="inlineStr">
        <is>
          <t>영업이익 ÷ 매출</t>
        </is>
      </c>
      <c r="C88" s="15">
        <f>IF(OR(C87="",C81=""),"",IF(C81&lt;=0,"",IFERROR(C87/C81,"")))</f>
        <v/>
      </c>
      <c r="D88" s="15">
        <f>IF(OR(D87="",D81=""),"",IF(D81&lt;=0,"",IFERROR(D87/D81,"")))</f>
        <v/>
      </c>
      <c r="E88" s="15">
        <f>IF(OR(E87="",E81=""),"",IF(E81&lt;=0,"",IFERROR(E87/E81,"")))</f>
        <v/>
      </c>
      <c r="F88" s="15">
        <f>IF(OR(F87="",F81=""),"",IF(F81&lt;=0,"",IFERROR(F87/F81,"")))</f>
        <v/>
      </c>
      <c r="G88" s="15">
        <f>IF(OR(G87="",G81=""),"",IF(G81&lt;=0,"",IFERROR(G87/G81,"")))</f>
        <v/>
      </c>
      <c r="H88" s="15">
        <f>IF(OR(H87="",H81=""),"",IF(H81&lt;=0,"",IFERROR(H87/H81,"")))</f>
        <v/>
      </c>
      <c r="I88" s="15">
        <f>IF(OR(I87="",I81=""),"",IF(I81&lt;=0,"",IFERROR(I87/I81,"")))</f>
        <v/>
      </c>
      <c r="J88" s="15">
        <f>IF(OR(J87="",J81=""),"",IF(J81&lt;=0,"",IFERROR(J87/J81,"")))</f>
        <v/>
      </c>
      <c r="K88" s="15">
        <f>IF(OR(K87="",K81=""),"",IF(K81&lt;=0,"",IFERROR(K87/K81,"")))</f>
        <v/>
      </c>
      <c r="L88" s="15">
        <f>IF(OR(L87="",L81=""),"",IF(L81&lt;=0,"",IFERROR(L87/L81,"")))</f>
        <v/>
      </c>
      <c r="M88" s="15">
        <f>IF(OR(M87="",M81=""),"",IF(M81&lt;=0,"",IFERROR(M87/M81,"")))</f>
        <v/>
      </c>
      <c r="N88" s="15">
        <f>IF(OR(N87="",N81=""),"",IF(N81&lt;=0,"",IFERROR(N87/N81,"")))</f>
        <v/>
      </c>
      <c r="T88" s="15">
        <f>IF(OR(T87="",T81=""),"",IF(T81&lt;=0,"",IFERROR(T87/T81,"")))</f>
        <v/>
      </c>
      <c r="U88" s="15">
        <f>IF(OR(U87="",U81=""),"",IF(U81&lt;=0,"",IFERROR(U87/U81,"")))</f>
        <v/>
      </c>
      <c r="V88" s="15">
        <f>IF(OR(V87="",V81=""),"",IF(V81&lt;=0,"",IFERROR(V87/V81,"")))</f>
        <v/>
      </c>
      <c r="W88" s="15">
        <f>IF(OR(W87="",W81=""),"",IF(W81&lt;=0,"",IFERROR(W87/W81,"")))</f>
        <v/>
      </c>
      <c r="X88" s="15">
        <f>IF(OR(X87="",X81=""),"",IF(X81&lt;=0,"",IFERROR(X87/X81,"")))</f>
        <v/>
      </c>
    </row>
    <row r="89">
      <c r="A89" s="43" t="inlineStr">
        <is>
          <t>YoY</t>
        </is>
      </c>
      <c r="B89" s="3" t="inlineStr">
        <is>
          <t>전년 같은 분기·전년 대비</t>
        </is>
      </c>
      <c r="G89" s="15">
        <f>IF(OR(G87="",C87=""),"",IF(C87&lt;=0,"",IFERROR(G87/C87-1,"")))</f>
        <v/>
      </c>
      <c r="H89" s="15">
        <f>IF(OR(H87="",D87=""),"",IF(D87&lt;=0,"",IFERROR(H87/D87-1,"")))</f>
        <v/>
      </c>
      <c r="I89" s="15">
        <f>IF(OR(I87="",E87=""),"",IF(E87&lt;=0,"",IFERROR(I87/E87-1,"")))</f>
        <v/>
      </c>
      <c r="J89" s="15">
        <f>IF(OR(J87="",F87=""),"",IF(F87&lt;=0,"",IFERROR(J87/F87-1,"")))</f>
        <v/>
      </c>
      <c r="K89" s="15">
        <f>IF(OR(K87="",G87=""),"",IF(G87&lt;=0,"",IFERROR(K87/G87-1,"")))</f>
        <v/>
      </c>
      <c r="L89" s="15">
        <f>IF(OR(L87="",H87=""),"",IF(H87&lt;=0,"",IFERROR(L87/H87-1,"")))</f>
        <v/>
      </c>
      <c r="M89" s="15">
        <f>IF(OR(M87="",I87=""),"",IF(I87&lt;=0,"",IFERROR(M87/I87-1,"")))</f>
        <v/>
      </c>
      <c r="N89" s="15">
        <f>IF(OR(N87="",J87=""),"",IF(J87&lt;=0,"",IFERROR(N87/J87-1,"")))</f>
        <v/>
      </c>
      <c r="T89" s="15">
        <f>IF(OR(T87="",S87=""),"",IF(S87&lt;=0,"",IFERROR(T87/S87-1,"")))</f>
        <v/>
      </c>
      <c r="U89" s="15">
        <f>IF(OR(U87="",T87=""),"",IF(T87&lt;=0,"",IFERROR(U87/T87-1,"")))</f>
        <v/>
      </c>
      <c r="V89" s="15">
        <f>IF(OR(V87="",U87=""),"",IF(U87&lt;=0,"",IFERROR(V87/U87-1,"")))</f>
        <v/>
      </c>
      <c r="W89" s="15">
        <f>IF(OR(W87="",V87=""),"",IF(V87&lt;=0,"",IFERROR(W87/V87-1,"")))</f>
        <v/>
      </c>
      <c r="X89" s="15">
        <f>IF(OR(X87="",W87=""),"",IF(W87&lt;=0,"",IFERROR(X87/W87-1,"")))</f>
        <v/>
      </c>
    </row>
    <row r="90">
      <c r="A90" s="18" t="inlineStr">
        <is>
          <t>배당금수익</t>
        </is>
      </c>
      <c r="C90" s="20" t="n">
        <v>42</v>
      </c>
      <c r="D90" s="20" t="n">
        <v>62</v>
      </c>
      <c r="E90" s="20" t="n">
        <v>24</v>
      </c>
      <c r="F90" s="20" t="n">
        <v>163</v>
      </c>
      <c r="G90" s="20" t="n">
        <v>53</v>
      </c>
      <c r="H90" s="20" t="n">
        <v>62</v>
      </c>
      <c r="I90" s="20" t="n">
        <v>32</v>
      </c>
      <c r="J90" s="20" t="n">
        <v>190</v>
      </c>
      <c r="K90" s="20" t="n">
        <v>56</v>
      </c>
      <c r="L90" s="20" t="n">
        <v>58</v>
      </c>
      <c r="M90" s="20" t="n">
        <v>32</v>
      </c>
      <c r="N90" s="20" t="n">
        <v>203</v>
      </c>
      <c r="T90" s="20" t="n">
        <v>11</v>
      </c>
      <c r="U90" s="20" t="n">
        <v>22</v>
      </c>
      <c r="V90" s="20" t="n">
        <v>24</v>
      </c>
      <c r="W90" s="20" t="n">
        <v>32</v>
      </c>
      <c r="X90" s="20" t="n">
        <v>32</v>
      </c>
    </row>
    <row r="91">
      <c r="A91" s="18" t="inlineStr">
        <is>
          <t>기타</t>
        </is>
      </c>
      <c r="C91" s="20" t="n">
        <v>104</v>
      </c>
      <c r="D91" s="20" t="n">
        <v>62</v>
      </c>
      <c r="E91" s="20" t="n">
        <v>137</v>
      </c>
      <c r="F91" s="20" t="n">
        <v>95</v>
      </c>
      <c r="G91" s="20" t="n">
        <v>174</v>
      </c>
      <c r="H91" s="20" t="n">
        <v>199</v>
      </c>
      <c r="I91" s="20" t="n">
        <v>-162</v>
      </c>
      <c r="J91" s="20" t="n">
        <v>91</v>
      </c>
      <c r="K91" s="20" t="n">
        <v>145</v>
      </c>
      <c r="L91" s="20" t="n">
        <v>222</v>
      </c>
      <c r="M91" s="20" t="n">
        <v>-149</v>
      </c>
      <c r="N91" s="20" t="n">
        <v>124</v>
      </c>
      <c r="T91" s="20" t="n">
        <v>-43</v>
      </c>
      <c r="U91" s="20" t="n">
        <v>-159</v>
      </c>
      <c r="V91" s="20" t="n">
        <v>137</v>
      </c>
      <c r="W91" s="20" t="n">
        <v>-162</v>
      </c>
      <c r="X91" s="20" t="n">
        <v>-149</v>
      </c>
    </row>
    <row r="92">
      <c r="A92" s="18" t="inlineStr">
        <is>
          <t>영업외수익 합계</t>
        </is>
      </c>
      <c r="C92" s="20" t="n">
        <v>146</v>
      </c>
      <c r="D92" s="20" t="n">
        <v>124</v>
      </c>
      <c r="E92" s="20" t="n">
        <v>383</v>
      </c>
      <c r="F92" s="20" t="n">
        <v>259</v>
      </c>
      <c r="G92" s="20" t="n">
        <v>226</v>
      </c>
      <c r="H92" s="20" t="n">
        <v>262</v>
      </c>
      <c r="I92" s="20" t="n">
        <v>159</v>
      </c>
      <c r="J92" s="20" t="n">
        <v>282</v>
      </c>
      <c r="K92" s="20" t="n">
        <v>201</v>
      </c>
      <c r="L92" s="20" t="n">
        <v>279</v>
      </c>
      <c r="M92" s="20" t="n">
        <v>258</v>
      </c>
      <c r="N92" s="20" t="n">
        <v>328</v>
      </c>
      <c r="T92" s="20" t="n">
        <v>165</v>
      </c>
      <c r="U92" s="20" t="n">
        <v>125</v>
      </c>
      <c r="V92" s="20" t="n">
        <v>383</v>
      </c>
      <c r="W92" s="20" t="n">
        <v>159</v>
      </c>
      <c r="X92" s="20" t="n">
        <v>258</v>
      </c>
    </row>
    <row r="93">
      <c r="A93" s="18" t="inlineStr">
        <is>
          <t>대손충당금 전입</t>
        </is>
      </c>
      <c r="C93" s="20" t="n">
        <v>8</v>
      </c>
      <c r="D93" s="20" t="n">
        <v>3</v>
      </c>
      <c r="E93" s="20" t="n">
        <v>22</v>
      </c>
      <c r="T93" s="20" t="n">
        <v>-4</v>
      </c>
      <c r="U93" s="20" t="n">
        <v>14</v>
      </c>
      <c r="V93" s="20" t="n">
        <v>22</v>
      </c>
    </row>
    <row r="94">
      <c r="A94" s="18" t="inlineStr">
        <is>
          <t>이자비용</t>
        </is>
      </c>
      <c r="C94" s="20" t="n">
        <v>2</v>
      </c>
      <c r="D94" s="20" t="n">
        <v>1</v>
      </c>
      <c r="E94" s="20" t="n">
        <v>60</v>
      </c>
      <c r="F94" s="20" t="n">
        <v>28</v>
      </c>
      <c r="G94" s="20" t="n">
        <v>81</v>
      </c>
      <c r="H94" s="20" t="n">
        <v>72</v>
      </c>
      <c r="I94" s="20" t="n">
        <v>66</v>
      </c>
      <c r="J94" s="20" t="n">
        <v>56</v>
      </c>
      <c r="K94" s="20" t="n">
        <v>37</v>
      </c>
      <c r="L94" s="20" t="n">
        <v>67</v>
      </c>
      <c r="M94" s="20" t="n">
        <v>73</v>
      </c>
      <c r="N94" s="20" t="n">
        <v>57</v>
      </c>
      <c r="T94" s="20" t="n">
        <v>12</v>
      </c>
      <c r="V94" s="20" t="n">
        <v>60</v>
      </c>
      <c r="W94" s="20" t="n">
        <v>66</v>
      </c>
      <c r="X94" s="20" t="n">
        <v>73</v>
      </c>
    </row>
    <row r="95">
      <c r="A95" s="18" t="inlineStr">
        <is>
          <t>자기주식 취득비용</t>
        </is>
      </c>
      <c r="D95" s="20" t="n">
        <v>0</v>
      </c>
      <c r="E95" s="20" t="n">
        <v>0</v>
      </c>
      <c r="H95" s="20" t="n">
        <v>1</v>
      </c>
      <c r="I95" s="20" t="n">
        <v>0</v>
      </c>
      <c r="V95" s="20" t="n">
        <v>0</v>
      </c>
      <c r="W95" s="20" t="n">
        <v>0</v>
      </c>
    </row>
    <row r="96">
      <c r="A96" s="18" t="inlineStr">
        <is>
          <t>사채발행비</t>
        </is>
      </c>
      <c r="F96" s="20" t="n">
        <v>0</v>
      </c>
      <c r="J96" s="20" t="n">
        <v>37</v>
      </c>
      <c r="N96" s="20" t="n">
        <v>0</v>
      </c>
    </row>
    <row r="97">
      <c r="A97" s="18" t="inlineStr">
        <is>
          <t>기타</t>
        </is>
      </c>
      <c r="C97" s="20" t="n">
        <v>34</v>
      </c>
      <c r="D97" s="20" t="n">
        <v>77</v>
      </c>
      <c r="E97" s="20" t="n">
        <v>6</v>
      </c>
      <c r="F97" s="20" t="n">
        <v>46</v>
      </c>
      <c r="G97" s="20" t="n">
        <v>114</v>
      </c>
      <c r="H97" s="20" t="n">
        <v>41</v>
      </c>
      <c r="I97" s="20" t="n">
        <v>22</v>
      </c>
      <c r="J97" s="20" t="n">
        <v>29</v>
      </c>
      <c r="K97" s="20" t="n">
        <v>90</v>
      </c>
      <c r="L97" s="20" t="n">
        <v>33</v>
      </c>
      <c r="M97" s="20" t="n">
        <v>58</v>
      </c>
      <c r="N97" s="20" t="n">
        <v>30</v>
      </c>
      <c r="T97" s="20" t="n">
        <v>74</v>
      </c>
      <c r="U97" s="20" t="n">
        <v>-4</v>
      </c>
      <c r="V97" s="20" t="n">
        <v>6</v>
      </c>
      <c r="W97" s="20" t="n">
        <v>22</v>
      </c>
      <c r="X97" s="20" t="n">
        <v>58</v>
      </c>
    </row>
    <row r="98">
      <c r="A98" s="18" t="inlineStr">
        <is>
          <t>영업외비용 합계</t>
        </is>
      </c>
      <c r="C98" s="20" t="n">
        <v>35</v>
      </c>
      <c r="D98" s="20" t="n">
        <v>79</v>
      </c>
      <c r="E98" s="20" t="n">
        <v>66</v>
      </c>
      <c r="F98" s="20" t="n">
        <v>75</v>
      </c>
      <c r="G98" s="20" t="n">
        <v>195</v>
      </c>
      <c r="H98" s="20" t="n">
        <v>112</v>
      </c>
      <c r="I98" s="20" t="n">
        <v>88</v>
      </c>
      <c r="J98" s="20" t="n">
        <v>124</v>
      </c>
      <c r="K98" s="20" t="n">
        <v>89</v>
      </c>
      <c r="L98" s="20" t="n">
        <v>100</v>
      </c>
      <c r="M98" s="20" t="n">
        <v>131</v>
      </c>
      <c r="N98" s="20" t="n">
        <v>87</v>
      </c>
      <c r="T98" s="20" t="n">
        <v>43</v>
      </c>
      <c r="U98" s="20" t="n">
        <v>46</v>
      </c>
      <c r="V98" s="20" t="n">
        <v>66</v>
      </c>
      <c r="W98" s="20" t="n">
        <v>88</v>
      </c>
      <c r="X98" s="20" t="n">
        <v>131</v>
      </c>
    </row>
    <row r="99">
      <c r="A99" s="9" t="inlineStr">
        <is>
          <t>경상이익</t>
        </is>
      </c>
      <c r="C99" s="12" t="n">
        <v>1424</v>
      </c>
      <c r="D99" s="12" t="n">
        <v>1430</v>
      </c>
      <c r="E99" s="12" t="n">
        <v>2702</v>
      </c>
      <c r="F99" s="12" t="n">
        <v>603</v>
      </c>
      <c r="G99" s="12" t="n">
        <v>985</v>
      </c>
      <c r="H99" s="12" t="n">
        <v>1492</v>
      </c>
      <c r="I99" s="12" t="n">
        <v>2367</v>
      </c>
      <c r="J99" s="12" t="n">
        <v>761</v>
      </c>
      <c r="K99" s="12" t="n">
        <v>1244</v>
      </c>
      <c r="L99" s="12" t="n">
        <v>1695</v>
      </c>
      <c r="M99" s="12" t="n">
        <v>2561</v>
      </c>
      <c r="N99" s="12" t="n">
        <v>1229</v>
      </c>
      <c r="T99" s="12" t="n">
        <v>3968</v>
      </c>
      <c r="U99" s="12" t="n">
        <v>3368</v>
      </c>
      <c r="V99" s="12" t="n">
        <v>2702</v>
      </c>
      <c r="W99" s="12" t="n">
        <v>2367</v>
      </c>
      <c r="X99" s="12" t="n">
        <v>2561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투자유가증권 매각이익</t>
        </is>
      </c>
      <c r="D101" s="20" t="n">
        <v>83</v>
      </c>
      <c r="E101" s="20" t="n">
        <v>108</v>
      </c>
      <c r="H101" s="20" t="n">
        <v>0</v>
      </c>
      <c r="I101" s="20" t="n">
        <v>340</v>
      </c>
      <c r="J101" s="20" t="n">
        <v>0</v>
      </c>
      <c r="K101" s="20" t="n">
        <v>106</v>
      </c>
      <c r="L101" s="20" t="n">
        <v>258</v>
      </c>
      <c r="M101" s="20" t="n">
        <v>0</v>
      </c>
      <c r="N101" s="20" t="n">
        <v>601</v>
      </c>
      <c r="T101" s="20" t="n">
        <v>180</v>
      </c>
      <c r="U101" s="20" t="n">
        <v>824</v>
      </c>
      <c r="V101" s="20" t="n">
        <v>108</v>
      </c>
      <c r="W101" s="20" t="n">
        <v>340</v>
      </c>
      <c r="X101" s="20" t="n">
        <v>0</v>
      </c>
    </row>
    <row r="102">
      <c r="A102" s="18" t="inlineStr">
        <is>
          <t>특별이익 합계</t>
        </is>
      </c>
      <c r="D102" s="20" t="n">
        <v>83</v>
      </c>
      <c r="E102" s="20" t="n">
        <v>108</v>
      </c>
      <c r="H102" s="20" t="n">
        <v>0</v>
      </c>
      <c r="I102" s="20" t="n">
        <v>340</v>
      </c>
      <c r="J102" s="20" t="n">
        <v>0</v>
      </c>
      <c r="K102" s="20" t="n">
        <v>106</v>
      </c>
      <c r="L102" s="20" t="n">
        <v>258</v>
      </c>
      <c r="M102" s="20" t="n">
        <v>0</v>
      </c>
      <c r="N102" s="20" t="n">
        <v>601</v>
      </c>
      <c r="T102" s="20" t="n">
        <v>180</v>
      </c>
      <c r="U102" s="20" t="n">
        <v>899</v>
      </c>
      <c r="V102" s="20" t="n">
        <v>108</v>
      </c>
      <c r="W102" s="20" t="n">
        <v>340</v>
      </c>
      <c r="X102" s="20" t="n">
        <v>0</v>
      </c>
    </row>
    <row r="103">
      <c r="A103" s="18" t="inlineStr">
        <is>
          <t>Provision Of Allowance For Doubtful Accounts For Subsidiaries And Affiliates EL</t>
        </is>
      </c>
      <c r="T103" s="20" t="n">
        <v>41</v>
      </c>
      <c r="U103" s="20" t="n">
        <v>0</v>
      </c>
    </row>
    <row r="104">
      <c r="A104" s="18" t="inlineStr">
        <is>
          <t>Seventieth Anniversary Expense EL</t>
        </is>
      </c>
      <c r="C104" s="20" t="n">
        <v>0</v>
      </c>
      <c r="D104" s="20" t="n">
        <v>0</v>
      </c>
      <c r="E104" s="20" t="n">
        <v>0</v>
      </c>
      <c r="F104" s="20" t="n">
        <v>45</v>
      </c>
      <c r="G104" s="20" t="n">
        <v>34</v>
      </c>
      <c r="H104" s="20" t="n">
        <v>175</v>
      </c>
      <c r="I104" s="20" t="n">
        <v>32</v>
      </c>
      <c r="J104" s="20" t="n">
        <v>0</v>
      </c>
      <c r="K104" s="20" t="n">
        <v>0</v>
      </c>
      <c r="L104" s="20" t="n">
        <v>0</v>
      </c>
      <c r="M104" s="20" t="n">
        <v>0</v>
      </c>
      <c r="V104" s="20" t="n">
        <v>0</v>
      </c>
      <c r="W104" s="20" t="n">
        <v>32</v>
      </c>
      <c r="X104" s="20" t="n">
        <v>0</v>
      </c>
    </row>
    <row r="105">
      <c r="A105" s="18" t="inlineStr">
        <is>
          <t>고정자산 제각·매각손실</t>
        </is>
      </c>
      <c r="C105" s="20" t="n">
        <v>14</v>
      </c>
      <c r="D105" s="20" t="n">
        <v>15</v>
      </c>
      <c r="F105" s="20" t="n">
        <v>16</v>
      </c>
      <c r="G105" s="20" t="n">
        <v>20</v>
      </c>
      <c r="H105" s="20" t="n">
        <v>77</v>
      </c>
      <c r="J105" s="20" t="n">
        <v>54</v>
      </c>
      <c r="K105" s="20" t="n">
        <v>27</v>
      </c>
      <c r="L105" s="20" t="n">
        <v>12</v>
      </c>
      <c r="N105" s="20" t="n">
        <v>55</v>
      </c>
    </row>
    <row r="106">
      <c r="A106" s="18" t="inlineStr">
        <is>
          <t>특별손실 합계</t>
        </is>
      </c>
      <c r="C106" s="20" t="n">
        <v>14</v>
      </c>
      <c r="D106" s="20" t="n">
        <v>15</v>
      </c>
      <c r="E106" s="20" t="n">
        <v>158</v>
      </c>
      <c r="F106" s="20" t="n">
        <v>61</v>
      </c>
      <c r="G106" s="20" t="n">
        <v>55</v>
      </c>
      <c r="H106" s="20" t="n">
        <v>252</v>
      </c>
      <c r="I106" s="20" t="n">
        <v>46</v>
      </c>
      <c r="J106" s="20" t="n">
        <v>54</v>
      </c>
      <c r="K106" s="20" t="n">
        <v>27</v>
      </c>
      <c r="L106" s="20" t="n">
        <v>12</v>
      </c>
      <c r="N106" s="20" t="n">
        <v>55</v>
      </c>
      <c r="T106" s="20" t="n">
        <v>214</v>
      </c>
      <c r="U106" s="20" t="n">
        <v>478</v>
      </c>
      <c r="V106" s="20" t="n">
        <v>158</v>
      </c>
      <c r="W106" s="20" t="n">
        <v>46</v>
      </c>
    </row>
    <row r="107">
      <c r="A107" s="9" t="inlineStr">
        <is>
          <t>법인세차감전 순이익</t>
        </is>
      </c>
      <c r="C107" s="12" t="n">
        <v>1627</v>
      </c>
      <c r="D107" s="12" t="n">
        <v>1497</v>
      </c>
      <c r="E107" s="12" t="n">
        <v>2653</v>
      </c>
      <c r="F107" s="12" t="n">
        <v>542</v>
      </c>
      <c r="G107" s="12" t="n">
        <v>930</v>
      </c>
      <c r="H107" s="12" t="n">
        <v>1240</v>
      </c>
      <c r="I107" s="12" t="n">
        <v>2661</v>
      </c>
      <c r="J107" s="12" t="n">
        <v>706</v>
      </c>
      <c r="K107" s="12" t="n">
        <v>1324</v>
      </c>
      <c r="L107" s="12" t="n">
        <v>1940</v>
      </c>
      <c r="M107" s="12" t="n">
        <v>2425</v>
      </c>
      <c r="N107" s="12" t="n">
        <v>1775</v>
      </c>
      <c r="T107" s="12" t="n">
        <v>3933</v>
      </c>
      <c r="U107" s="12" t="n">
        <v>3790</v>
      </c>
      <c r="V107" s="12" t="n">
        <v>2653</v>
      </c>
      <c r="W107" s="12" t="n">
        <v>2661</v>
      </c>
      <c r="X107" s="12" t="n">
        <v>2425</v>
      </c>
    </row>
    <row r="108">
      <c r="A108" s="18" t="inlineStr">
        <is>
          <t>법인세 등</t>
        </is>
      </c>
      <c r="C108" s="20" t="n">
        <v>508</v>
      </c>
      <c r="D108" s="20" t="n">
        <v>515</v>
      </c>
      <c r="E108" s="20" t="n">
        <v>823</v>
      </c>
      <c r="F108" s="20" t="n">
        <v>313</v>
      </c>
      <c r="G108" s="20" t="n">
        <v>339</v>
      </c>
      <c r="H108" s="20" t="n">
        <v>400</v>
      </c>
      <c r="I108" s="20" t="n">
        <v>639</v>
      </c>
      <c r="J108" s="20" t="n">
        <v>437</v>
      </c>
      <c r="K108" s="20" t="n">
        <v>456</v>
      </c>
      <c r="L108" s="20" t="n">
        <v>641</v>
      </c>
      <c r="M108" s="20" t="n">
        <v>774</v>
      </c>
      <c r="N108" s="20" t="n">
        <v>740</v>
      </c>
      <c r="T108" s="20" t="n">
        <v>1211</v>
      </c>
      <c r="U108" s="20" t="n">
        <v>1120</v>
      </c>
      <c r="V108" s="20" t="n">
        <v>823</v>
      </c>
      <c r="W108" s="20" t="n">
        <v>639</v>
      </c>
      <c r="X108" s="20" t="n">
        <v>774</v>
      </c>
    </row>
    <row r="109">
      <c r="A109" s="9" t="inlineStr">
        <is>
          <t>순이익</t>
        </is>
      </c>
      <c r="C109" s="12" t="n">
        <v>1120</v>
      </c>
      <c r="D109" s="12" t="n">
        <v>981</v>
      </c>
      <c r="E109" s="12" t="n">
        <v>1830</v>
      </c>
      <c r="F109" s="12" t="n">
        <v>228</v>
      </c>
      <c r="G109" s="12" t="n">
        <v>591</v>
      </c>
      <c r="H109" s="12" t="n">
        <v>840</v>
      </c>
      <c r="I109" s="12" t="n">
        <v>2022</v>
      </c>
      <c r="J109" s="12" t="n">
        <v>269</v>
      </c>
      <c r="K109" s="12" t="n">
        <v>867</v>
      </c>
      <c r="L109" s="12" t="n">
        <v>1300</v>
      </c>
      <c r="M109" s="12" t="n">
        <v>1651</v>
      </c>
      <c r="N109" s="12" t="n">
        <v>1034</v>
      </c>
      <c r="T109" s="12" t="n">
        <v>2723</v>
      </c>
      <c r="U109" s="12" t="n">
        <v>2670</v>
      </c>
      <c r="V109" s="12" t="n">
        <v>1830</v>
      </c>
      <c r="W109" s="12" t="n">
        <v>2022</v>
      </c>
      <c r="X109" s="12" t="n">
        <v>1651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9" t="inlineStr">
        <is>
          <t>비지배주주 순이익</t>
        </is>
      </c>
      <c r="C111" s="12" t="n">
        <v>18</v>
      </c>
      <c r="D111" s="12" t="n">
        <v>24</v>
      </c>
      <c r="E111" s="12" t="n">
        <v>60</v>
      </c>
      <c r="F111" s="12" t="n">
        <v>-2</v>
      </c>
      <c r="G111" s="12" t="n">
        <v>18</v>
      </c>
      <c r="H111" s="12" t="n">
        <v>37</v>
      </c>
      <c r="I111" s="12" t="n">
        <v>84</v>
      </c>
      <c r="J111" s="12" t="n">
        <v>6</v>
      </c>
      <c r="K111" s="12" t="n">
        <v>12</v>
      </c>
      <c r="L111" s="12" t="n">
        <v>25</v>
      </c>
      <c r="M111" s="12" t="n">
        <v>68</v>
      </c>
      <c r="N111" s="12" t="n">
        <v>4</v>
      </c>
      <c r="T111" s="12" t="n">
        <v>74</v>
      </c>
      <c r="U111" s="12" t="n">
        <v>82</v>
      </c>
      <c r="V111" s="12" t="n">
        <v>60</v>
      </c>
      <c r="W111" s="12" t="n">
        <v>84</v>
      </c>
      <c r="X111" s="12" t="n">
        <v>68</v>
      </c>
    </row>
    <row r="112">
      <c r="A112" s="9" t="inlineStr">
        <is>
          <t>지배주주 순이익</t>
        </is>
      </c>
      <c r="C112" s="12" t="n">
        <v>1101</v>
      </c>
      <c r="D112" s="12" t="n">
        <v>958</v>
      </c>
      <c r="E112" s="12" t="n">
        <v>1769</v>
      </c>
      <c r="F112" s="12" t="n">
        <v>231</v>
      </c>
      <c r="G112" s="12" t="n">
        <v>572</v>
      </c>
      <c r="H112" s="12" t="n">
        <v>803</v>
      </c>
      <c r="I112" s="12" t="n">
        <v>1938</v>
      </c>
      <c r="J112" s="12" t="n">
        <v>262</v>
      </c>
      <c r="K112" s="12" t="n">
        <v>856</v>
      </c>
      <c r="L112" s="12" t="n">
        <v>1275</v>
      </c>
      <c r="M112" s="12" t="n">
        <v>1582</v>
      </c>
      <c r="N112" s="12" t="n">
        <v>1029</v>
      </c>
      <c r="T112" s="12" t="n">
        <v>2650</v>
      </c>
      <c r="U112" s="12" t="n">
        <v>2588</v>
      </c>
      <c r="V112" s="12" t="n">
        <v>1769</v>
      </c>
      <c r="W112" s="12" t="n">
        <v>1938</v>
      </c>
      <c r="X112" s="12" t="n">
        <v>1582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IF(OR(G112="",C112=""),"",IF(C112&lt;=0,"",IFERROR(G112/C112-1,"")))</f>
        <v/>
      </c>
      <c r="H113" s="15">
        <f>IF(OR(H112="",D112=""),"",IF(D112&lt;=0,"",IFERROR(H112/D112-1,"")))</f>
        <v/>
      </c>
      <c r="I113" s="15">
        <f>IF(OR(I112="",E112=""),"",IF(E112&lt;=0,"",IFERROR(I112/E112-1,"")))</f>
        <v/>
      </c>
      <c r="J113" s="15">
        <f>IF(OR(J112="",F112=""),"",IF(F112&lt;=0,"",IFERROR(J112/F112-1,"")))</f>
        <v/>
      </c>
      <c r="K113" s="15">
        <f>IF(OR(K112="",G112=""),"",IF(G112&lt;=0,"",IFERROR(K112/G112-1,"")))</f>
        <v/>
      </c>
      <c r="L113" s="15">
        <f>IF(OR(L112="",H112=""),"",IF(H112&lt;=0,"",IFERROR(L112/H112-1,"")))</f>
        <v/>
      </c>
      <c r="M113" s="15">
        <f>IF(OR(M112="",I112=""),"",IF(I112&lt;=0,"",IFERROR(M112/I112-1,"")))</f>
        <v/>
      </c>
      <c r="N113" s="15">
        <f>IF(OR(N112="",J112=""),"",IF(J112&lt;=0,"",IFERROR(N112/J112-1,"")))</f>
        <v/>
      </c>
      <c r="T113" s="15">
        <f>IF(OR(T112="",S112=""),"",IF(S112&lt;=0,"",IFERROR(T112/S112-1,"")))</f>
        <v/>
      </c>
      <c r="U113" s="15">
        <f>IF(OR(U112="",T112=""),"",IF(T112&lt;=0,"",IFERROR(U112/T112-1,"")))</f>
        <v/>
      </c>
      <c r="V113" s="15">
        <f>IF(OR(V112="",U112=""),"",IF(U112&lt;=0,"",IFERROR(V112/U112-1,"")))</f>
        <v/>
      </c>
      <c r="W113" s="15">
        <f>IF(OR(W112="",V112=""),"",IF(V112&lt;=0,"",IFERROR(W112/V112-1,"")))</f>
        <v/>
      </c>
      <c r="X113" s="15">
        <f>IF(OR(X112="",W112=""),"",IF(W112&lt;=0,"",IFERROR(X112/W112-1,"")))</f>
        <v/>
      </c>
    </row>
    <row r="115">
      <c r="A115" s="16" t="inlineStr">
        <is>
          <t>포괄손익 · 전 항목</t>
        </is>
      </c>
      <c r="B115" s="42" t="inlineStr">
        <is>
          <t>분기 = 3개월 단독</t>
        </is>
      </c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</row>
    <row r="116">
      <c r="A116" s="5" t="inlineStr">
        <is>
          <t>항목</t>
        </is>
      </c>
      <c r="B116" s="5" t="inlineStr">
        <is>
          <t>참고</t>
        </is>
      </c>
      <c r="C116" s="5" t="inlineStr">
        <is>
          <t>2024.2Q</t>
        </is>
      </c>
      <c r="D116" s="5" t="inlineStr">
        <is>
          <t>2024.3Q</t>
        </is>
      </c>
      <c r="E116" s="5" t="inlineStr">
        <is>
          <t>2024.4Q</t>
        </is>
      </c>
      <c r="F116" s="5" t="inlineStr">
        <is>
          <t>2025.1Q</t>
        </is>
      </c>
      <c r="G116" s="5" t="inlineStr">
        <is>
          <t>2025.2Q</t>
        </is>
      </c>
      <c r="H116" s="5" t="inlineStr">
        <is>
          <t>2025.3Q</t>
        </is>
      </c>
      <c r="I116" s="5" t="inlineStr">
        <is>
          <t>2025.4Q</t>
        </is>
      </c>
      <c r="J116" s="5" t="inlineStr">
        <is>
          <t>2026.1Q</t>
        </is>
      </c>
      <c r="K116" s="5" t="inlineStr">
        <is>
          <t>2026.2Q</t>
        </is>
      </c>
      <c r="L116" s="5" t="inlineStr">
        <is>
          <t>2026.3Q</t>
        </is>
      </c>
      <c r="M116" s="5" t="inlineStr">
        <is>
          <t>2026.4Q</t>
        </is>
      </c>
      <c r="N116" s="5" t="inlineStr">
        <is>
          <t>2027.1Q</t>
        </is>
      </c>
      <c r="O116" s="5" t="inlineStr">
        <is>
          <t>2017</t>
        </is>
      </c>
      <c r="P116" s="5" t="inlineStr">
        <is>
          <t>2018</t>
        </is>
      </c>
      <c r="Q116" s="5" t="inlineStr">
        <is>
          <t>2019</t>
        </is>
      </c>
      <c r="R116" s="5" t="inlineStr">
        <is>
          <t>2020</t>
        </is>
      </c>
      <c r="S116" s="5" t="inlineStr">
        <is>
          <t>2021</t>
        </is>
      </c>
      <c r="T116" s="5" t="inlineStr">
        <is>
          <t>2022</t>
        </is>
      </c>
      <c r="U116" s="5" t="inlineStr">
        <is>
          <t>2023</t>
        </is>
      </c>
      <c r="V116" s="5" t="inlineStr">
        <is>
          <t>2024</t>
        </is>
      </c>
      <c r="W116" s="5" t="inlineStr">
        <is>
          <t>2025</t>
        </is>
      </c>
      <c r="X116" s="5" t="inlineStr">
        <is>
          <t>2026</t>
        </is>
      </c>
      <c r="Y116" s="5" t="inlineStr">
        <is>
          <t>2027(MW)</t>
        </is>
      </c>
      <c r="Z116" s="5" t="inlineStr">
        <is>
          <t>2028(MW)</t>
        </is>
      </c>
      <c r="AA116" s="5" t="inlineStr">
        <is>
          <t>2029(MW)</t>
        </is>
      </c>
      <c r="AB116" s="5" t="inlineStr">
        <is>
          <t>2030(MW)</t>
        </is>
      </c>
      <c r="AC116" s="5" t="inlineStr">
        <is>
          <t>2031(MW)</t>
        </is>
      </c>
    </row>
    <row r="117">
      <c r="A117" s="9" t="inlineStr">
        <is>
          <t>순이익</t>
        </is>
      </c>
      <c r="C117" s="12" t="n">
        <v>1120</v>
      </c>
      <c r="D117" s="12" t="n">
        <v>981</v>
      </c>
      <c r="E117" s="12" t="n">
        <v>1830</v>
      </c>
      <c r="F117" s="12" t="n">
        <v>228</v>
      </c>
      <c r="G117" s="12" t="n">
        <v>591</v>
      </c>
      <c r="H117" s="12" t="n">
        <v>840</v>
      </c>
      <c r="I117" s="12" t="n">
        <v>2022</v>
      </c>
      <c r="J117" s="12" t="n">
        <v>269</v>
      </c>
      <c r="K117" s="12" t="n">
        <v>867</v>
      </c>
      <c r="L117" s="12" t="n">
        <v>1300</v>
      </c>
      <c r="M117" s="12" t="n">
        <v>1651</v>
      </c>
      <c r="N117" s="12" t="n">
        <v>1034</v>
      </c>
      <c r="T117" s="12" t="n">
        <v>2723</v>
      </c>
      <c r="U117" s="12" t="n">
        <v>2670</v>
      </c>
      <c r="V117" s="12" t="n">
        <v>1830</v>
      </c>
      <c r="W117" s="12" t="n">
        <v>2022</v>
      </c>
      <c r="X117" s="12" t="n">
        <v>1651</v>
      </c>
    </row>
    <row r="118">
      <c r="A118" s="18" t="inlineStr">
        <is>
          <t>기타유가증권 평가차액</t>
        </is>
      </c>
      <c r="C118" s="20" t="n">
        <v>-164</v>
      </c>
      <c r="D118" s="20" t="n">
        <v>278</v>
      </c>
      <c r="E118" s="20" t="n">
        <v>273</v>
      </c>
      <c r="F118" s="20" t="n">
        <v>267</v>
      </c>
      <c r="G118" s="20" t="n">
        <v>-255</v>
      </c>
      <c r="H118" s="20" t="n">
        <v>0</v>
      </c>
      <c r="I118" s="20" t="n">
        <v>-443</v>
      </c>
      <c r="J118" s="20" t="n">
        <v>242</v>
      </c>
      <c r="K118" s="20" t="n">
        <v>227</v>
      </c>
      <c r="L118" s="20" t="n">
        <v>131</v>
      </c>
      <c r="M118" s="20" t="n">
        <v>721</v>
      </c>
      <c r="N118" s="20" t="n">
        <v>975</v>
      </c>
      <c r="T118" s="20" t="n">
        <v>-498</v>
      </c>
      <c r="U118" s="20" t="n">
        <v>494</v>
      </c>
      <c r="V118" s="20" t="n">
        <v>273</v>
      </c>
      <c r="W118" s="20" t="n">
        <v>-443</v>
      </c>
      <c r="X118" s="20" t="n">
        <v>721</v>
      </c>
    </row>
    <row r="119">
      <c r="A119" s="18" t="inlineStr">
        <is>
          <t>이연헤지손익</t>
        </is>
      </c>
      <c r="C119" s="20" t="n">
        <v>0</v>
      </c>
      <c r="D119" s="20" t="n">
        <v>0</v>
      </c>
      <c r="E119" s="20" t="n">
        <v>0</v>
      </c>
      <c r="F119" s="20" t="n">
        <v>0</v>
      </c>
      <c r="G119" s="20" t="n">
        <v>0</v>
      </c>
      <c r="H119" s="20" t="n">
        <v>0</v>
      </c>
      <c r="I119" s="20" t="n">
        <v>0</v>
      </c>
      <c r="J119" s="20" t="n">
        <v>-0</v>
      </c>
      <c r="K119" s="20" t="n">
        <v>0</v>
      </c>
      <c r="L119" s="20" t="n">
        <v>0</v>
      </c>
      <c r="M119" s="20" t="n">
        <v>0</v>
      </c>
      <c r="N119" s="20" t="n">
        <v>-0</v>
      </c>
      <c r="T119" s="20" t="n">
        <v>12</v>
      </c>
      <c r="U119" s="20" t="n">
        <v>0</v>
      </c>
      <c r="V119" s="20" t="n">
        <v>0</v>
      </c>
      <c r="W119" s="20" t="n">
        <v>0</v>
      </c>
      <c r="X119" s="20" t="n">
        <v>0</v>
      </c>
    </row>
    <row r="120">
      <c r="A120" s="18" t="inlineStr">
        <is>
          <t>해외사업환산조정</t>
        </is>
      </c>
      <c r="C120" s="20" t="n">
        <v>425</v>
      </c>
      <c r="D120" s="20" t="n">
        <v>65</v>
      </c>
      <c r="E120" s="20" t="n">
        <v>143</v>
      </c>
      <c r="F120" s="20" t="n">
        <v>840</v>
      </c>
      <c r="G120" s="20" t="n">
        <v>1346</v>
      </c>
      <c r="H120" s="20" t="n">
        <v>-1721</v>
      </c>
      <c r="I120" s="20" t="n">
        <v>925</v>
      </c>
      <c r="J120" s="20" t="n">
        <v>-444</v>
      </c>
      <c r="K120" s="20" t="n">
        <v>768</v>
      </c>
      <c r="L120" s="20" t="n">
        <v>733</v>
      </c>
      <c r="M120" s="20" t="n">
        <v>1455</v>
      </c>
      <c r="N120" s="20" t="n">
        <v>-119</v>
      </c>
      <c r="T120" s="20" t="n">
        <v>116</v>
      </c>
      <c r="U120" s="20" t="n">
        <v>-141</v>
      </c>
      <c r="V120" s="20" t="n">
        <v>143</v>
      </c>
      <c r="W120" s="20" t="n">
        <v>925</v>
      </c>
      <c r="X120" s="20" t="n">
        <v>1455</v>
      </c>
    </row>
    <row r="121">
      <c r="A121" s="18" t="inlineStr">
        <is>
          <t>퇴직급여 조정액</t>
        </is>
      </c>
      <c r="C121" s="20" t="n">
        <v>2</v>
      </c>
      <c r="D121" s="20" t="n">
        <v>2</v>
      </c>
      <c r="E121" s="20" t="n">
        <v>-17</v>
      </c>
      <c r="F121" s="20" t="n">
        <v>5</v>
      </c>
      <c r="G121" s="20" t="n">
        <v>5</v>
      </c>
      <c r="H121" s="20" t="n">
        <v>5</v>
      </c>
      <c r="I121" s="20" t="n">
        <v>296</v>
      </c>
      <c r="J121" s="20" t="n">
        <v>10</v>
      </c>
      <c r="K121" s="20" t="n">
        <v>10</v>
      </c>
      <c r="L121" s="20" t="n">
        <v>11</v>
      </c>
      <c r="M121" s="20" t="n">
        <v>-68</v>
      </c>
      <c r="N121" s="20" t="n">
        <v>-8</v>
      </c>
      <c r="T121" s="20" t="n">
        <v>-67</v>
      </c>
      <c r="U121" s="20" t="n">
        <v>-36</v>
      </c>
      <c r="V121" s="20" t="n">
        <v>-17</v>
      </c>
      <c r="W121" s="20" t="n">
        <v>296</v>
      </c>
      <c r="X121" s="20" t="n">
        <v>-68</v>
      </c>
    </row>
    <row r="122">
      <c r="A122" s="18" t="inlineStr">
        <is>
          <t>지분법 적용회사 지분 해당액</t>
        </is>
      </c>
      <c r="C122" s="20" t="n">
        <v>8</v>
      </c>
      <c r="D122" s="20" t="n">
        <v>-3</v>
      </c>
      <c r="E122" s="20" t="n">
        <v>28</v>
      </c>
      <c r="F122" s="20" t="n">
        <v>6</v>
      </c>
      <c r="G122" s="20" t="n">
        <v>-4</v>
      </c>
      <c r="H122" s="20" t="n">
        <v>2</v>
      </c>
      <c r="I122" s="20" t="n">
        <v>-2</v>
      </c>
      <c r="J122" s="20" t="n">
        <v>-3</v>
      </c>
      <c r="K122" s="20" t="n">
        <v>12</v>
      </c>
      <c r="L122" s="20" t="n">
        <v>9</v>
      </c>
      <c r="M122" s="20" t="n">
        <v>38</v>
      </c>
      <c r="N122" s="20" t="n">
        <v>13</v>
      </c>
      <c r="T122" s="20" t="n">
        <v>1</v>
      </c>
      <c r="U122" s="20" t="n">
        <v>-5</v>
      </c>
      <c r="V122" s="20" t="n">
        <v>28</v>
      </c>
      <c r="W122" s="20" t="n">
        <v>-2</v>
      </c>
      <c r="X122" s="20" t="n">
        <v>38</v>
      </c>
    </row>
    <row r="123">
      <c r="A123" s="18" t="inlineStr">
        <is>
          <t>기타포괄손익 합계</t>
        </is>
      </c>
      <c r="C123" s="20" t="n">
        <v>270</v>
      </c>
      <c r="D123" s="20" t="n">
        <v>342</v>
      </c>
      <c r="E123" s="20" t="n">
        <v>426</v>
      </c>
      <c r="F123" s="20" t="n">
        <v>1119</v>
      </c>
      <c r="G123" s="20" t="n">
        <v>1093</v>
      </c>
      <c r="H123" s="20" t="n">
        <v>-1714</v>
      </c>
      <c r="I123" s="20" t="n">
        <v>774</v>
      </c>
      <c r="J123" s="20" t="n">
        <v>-196</v>
      </c>
      <c r="K123" s="20" t="n">
        <v>1021</v>
      </c>
      <c r="L123" s="20" t="n">
        <v>882</v>
      </c>
      <c r="M123" s="20" t="n">
        <v>2145</v>
      </c>
      <c r="N123" s="20" t="n">
        <v>861</v>
      </c>
      <c r="T123" s="20" t="n">
        <v>-435</v>
      </c>
      <c r="U123" s="20" t="n">
        <v>309</v>
      </c>
      <c r="V123" s="20" t="n">
        <v>426</v>
      </c>
      <c r="W123" s="20" t="n">
        <v>774</v>
      </c>
      <c r="X123" s="20" t="n">
        <v>2145</v>
      </c>
    </row>
    <row r="124">
      <c r="A124" s="9" t="inlineStr">
        <is>
          <t>포괄이익</t>
        </is>
      </c>
      <c r="C124" s="12" t="n">
        <v>1390</v>
      </c>
      <c r="D124" s="12" t="n">
        <v>1323</v>
      </c>
      <c r="E124" s="12" t="n">
        <v>2256</v>
      </c>
      <c r="F124" s="12" t="n">
        <v>1348</v>
      </c>
      <c r="G124" s="12" t="n">
        <v>1684</v>
      </c>
      <c r="H124" s="12" t="n">
        <v>-874</v>
      </c>
      <c r="I124" s="12" t="n">
        <v>2796</v>
      </c>
      <c r="J124" s="12" t="n">
        <v>73</v>
      </c>
      <c r="K124" s="12" t="n">
        <v>1889</v>
      </c>
      <c r="L124" s="12" t="n">
        <v>2182</v>
      </c>
      <c r="M124" s="12" t="n">
        <v>3796</v>
      </c>
      <c r="N124" s="12" t="n">
        <v>1896</v>
      </c>
      <c r="T124" s="12" t="n">
        <v>2289</v>
      </c>
      <c r="U124" s="12" t="n">
        <v>2979</v>
      </c>
      <c r="V124" s="12" t="n">
        <v>2256</v>
      </c>
      <c r="W124" s="12" t="n">
        <v>2796</v>
      </c>
      <c r="X124" s="12" t="n">
        <v>3796</v>
      </c>
    </row>
    <row r="125">
      <c r="A125" s="9" t="inlineStr">
        <is>
          <t>지배주주 포괄이익</t>
        </is>
      </c>
      <c r="C125" s="12" t="n">
        <v>1368</v>
      </c>
      <c r="D125" s="12" t="n">
        <v>1298</v>
      </c>
      <c r="E125" s="12" t="n">
        <v>2195</v>
      </c>
      <c r="F125" s="12" t="n">
        <v>1350</v>
      </c>
      <c r="G125" s="12" t="n">
        <v>1660</v>
      </c>
      <c r="H125" s="12" t="n">
        <v>-913</v>
      </c>
      <c r="I125" s="12" t="n">
        <v>2707</v>
      </c>
      <c r="J125" s="12" t="n">
        <v>72</v>
      </c>
      <c r="K125" s="12" t="n">
        <v>1876</v>
      </c>
      <c r="L125" s="12" t="n">
        <v>2153</v>
      </c>
      <c r="M125" s="12" t="n">
        <v>3718</v>
      </c>
      <c r="N125" s="12" t="n">
        <v>1894</v>
      </c>
      <c r="T125" s="12" t="n">
        <v>2209</v>
      </c>
      <c r="U125" s="12" t="n">
        <v>2906</v>
      </c>
      <c r="V125" s="12" t="n">
        <v>2195</v>
      </c>
      <c r="W125" s="12" t="n">
        <v>2707</v>
      </c>
      <c r="X125" s="12" t="n">
        <v>3718</v>
      </c>
    </row>
    <row r="126">
      <c r="A126" s="9" t="inlineStr">
        <is>
          <t>비지배주주 포괄이익</t>
        </is>
      </c>
      <c r="C126" s="12" t="n">
        <v>23</v>
      </c>
      <c r="D126" s="12" t="n">
        <v>24</v>
      </c>
      <c r="E126" s="12" t="n">
        <v>61</v>
      </c>
      <c r="F126" s="12" t="n">
        <v>-1</v>
      </c>
      <c r="G126" s="12" t="n">
        <v>23</v>
      </c>
      <c r="H126" s="12" t="n">
        <v>38</v>
      </c>
      <c r="I126" s="12" t="n">
        <v>90</v>
      </c>
      <c r="J126" s="12" t="n">
        <v>0</v>
      </c>
      <c r="K126" s="12" t="n">
        <v>13</v>
      </c>
      <c r="L126" s="12" t="n">
        <v>29</v>
      </c>
      <c r="M126" s="12" t="n">
        <v>78</v>
      </c>
      <c r="N126" s="12" t="n">
        <v>1</v>
      </c>
      <c r="T126" s="12" t="n">
        <v>80</v>
      </c>
      <c r="U126" s="12" t="n">
        <v>73</v>
      </c>
      <c r="V126" s="12" t="n">
        <v>61</v>
      </c>
      <c r="W126" s="12" t="n">
        <v>90</v>
      </c>
      <c r="X126" s="12" t="n">
        <v>78</v>
      </c>
    </row>
    <row r="128">
      <c r="A128" s="16" t="inlineStr">
        <is>
          <t>부문 · 전 항목</t>
        </is>
      </c>
      <c r="B128" s="42" t="inlineStr">
        <is>
          <t>부문 · 항목</t>
        </is>
      </c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2024.2Q</t>
        </is>
      </c>
      <c r="D129" s="5" t="inlineStr">
        <is>
          <t>2024.3Q</t>
        </is>
      </c>
      <c r="E129" s="5" t="inlineStr">
        <is>
          <t>2024.4Q</t>
        </is>
      </c>
      <c r="F129" s="5" t="inlineStr">
        <is>
          <t>2025.1Q</t>
        </is>
      </c>
      <c r="G129" s="5" t="inlineStr">
        <is>
          <t>2025.2Q</t>
        </is>
      </c>
      <c r="H129" s="5" t="inlineStr">
        <is>
          <t>2025.3Q</t>
        </is>
      </c>
      <c r="I129" s="5" t="inlineStr">
        <is>
          <t>2025.4Q</t>
        </is>
      </c>
      <c r="J129" s="5" t="inlineStr">
        <is>
          <t>2026.1Q</t>
        </is>
      </c>
      <c r="K129" s="5" t="inlineStr">
        <is>
          <t>2026.2Q</t>
        </is>
      </c>
      <c r="L129" s="5" t="inlineStr">
        <is>
          <t>2026.3Q</t>
        </is>
      </c>
      <c r="M129" s="5" t="inlineStr">
        <is>
          <t>2026.4Q</t>
        </is>
      </c>
      <c r="N129" s="5" t="inlineStr">
        <is>
          <t>2027.1Q</t>
        </is>
      </c>
      <c r="O129" s="5" t="inlineStr">
        <is>
          <t>2017</t>
        </is>
      </c>
      <c r="P129" s="5" t="inlineStr">
        <is>
          <t>2018</t>
        </is>
      </c>
      <c r="Q129" s="5" t="inlineStr">
        <is>
          <t>2019</t>
        </is>
      </c>
      <c r="R129" s="5" t="inlineStr">
        <is>
          <t>2020</t>
        </is>
      </c>
      <c r="S129" s="5" t="inlineStr">
        <is>
          <t>2021</t>
        </is>
      </c>
      <c r="T129" s="5" t="inlineStr">
        <is>
          <t>2022</t>
        </is>
      </c>
      <c r="U129" s="5" t="inlineStr">
        <is>
          <t>2023</t>
        </is>
      </c>
      <c r="V129" s="5" t="inlineStr">
        <is>
          <t>2024</t>
        </is>
      </c>
      <c r="W129" s="5" t="inlineStr">
        <is>
          <t>2025</t>
        </is>
      </c>
      <c r="X129" s="5" t="inlineStr">
        <is>
          <t>2026</t>
        </is>
      </c>
      <c r="Y129" s="5" t="inlineStr">
        <is>
          <t>2027(MW)</t>
        </is>
      </c>
      <c r="Z129" s="5" t="inlineStr">
        <is>
          <t>2028(MW)</t>
        </is>
      </c>
      <c r="AA129" s="5" t="inlineStr">
        <is>
          <t>2029(MW)</t>
        </is>
      </c>
      <c r="AB129" s="5" t="inlineStr">
        <is>
          <t>2030(MW)</t>
        </is>
      </c>
      <c r="AC129" s="5" t="inlineStr">
        <is>
          <t>2031(MW)</t>
        </is>
      </c>
    </row>
    <row r="130">
      <c r="A130" s="18" t="inlineStr">
        <is>
          <t>부문 · 외부 고객 매출</t>
        </is>
      </c>
      <c r="C130" s="20" t="n">
        <v>6017</v>
      </c>
      <c r="D130" s="20" t="n">
        <v>7068</v>
      </c>
      <c r="E130" s="20" t="n">
        <v>10060</v>
      </c>
      <c r="F130" s="20" t="n">
        <v>7175</v>
      </c>
      <c r="G130" s="20" t="n">
        <v>8987</v>
      </c>
      <c r="H130" s="20" t="n">
        <v>9941</v>
      </c>
      <c r="I130" s="20" t="n">
        <v>12712</v>
      </c>
      <c r="J130" s="20" t="n">
        <v>8096</v>
      </c>
      <c r="K130" s="20" t="n">
        <v>9443</v>
      </c>
      <c r="L130" s="20" t="n">
        <v>10615</v>
      </c>
      <c r="M130" s="20" t="n">
        <v>13435</v>
      </c>
      <c r="N130" s="20" t="n">
        <v>8562</v>
      </c>
      <c r="V130" s="20" t="n">
        <v>10060</v>
      </c>
      <c r="W130" s="20" t="n">
        <v>12712</v>
      </c>
      <c r="X130" s="20" t="n">
        <v>13435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부문 · 외부 고객 매출</t>
        </is>
      </c>
      <c r="C132" s="20" t="n">
        <v>8153</v>
      </c>
      <c r="D132" s="20" t="n">
        <v>8328</v>
      </c>
      <c r="E132" s="20" t="n">
        <v>9447</v>
      </c>
      <c r="F132" s="20" t="n">
        <v>8366</v>
      </c>
      <c r="G132" s="20" t="n">
        <v>8525</v>
      </c>
      <c r="H132" s="20" t="n">
        <v>8717</v>
      </c>
      <c r="I132" s="20" t="n">
        <v>9808</v>
      </c>
      <c r="J132" s="20" t="n">
        <v>8448</v>
      </c>
      <c r="K132" s="20" t="n">
        <v>9005</v>
      </c>
      <c r="L132" s="20" t="n">
        <v>8974</v>
      </c>
      <c r="M132" s="20" t="n">
        <v>10146</v>
      </c>
      <c r="N132" s="20" t="n">
        <v>9739</v>
      </c>
      <c r="V132" s="20" t="n">
        <v>9447</v>
      </c>
      <c r="W132" s="20" t="n">
        <v>9808</v>
      </c>
      <c r="X132" s="20" t="n">
        <v>10146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18" t="inlineStr">
        <is>
          <t>합계 · 외부 고객 매출</t>
        </is>
      </c>
      <c r="D134" s="20" t="n">
        <v>15397</v>
      </c>
      <c r="E134" s="20" t="n">
        <v>19507</v>
      </c>
      <c r="H134" s="20" t="n">
        <v>18659</v>
      </c>
      <c r="I134" s="20" t="n">
        <v>22519</v>
      </c>
      <c r="L134" s="20" t="n">
        <v>19590</v>
      </c>
      <c r="M134" s="20" t="n">
        <v>23581</v>
      </c>
      <c r="V134" s="20" t="n">
        <v>19507</v>
      </c>
      <c r="W134" s="20" t="n">
        <v>22519</v>
      </c>
      <c r="X134" s="20" t="n">
        <v>23581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보고부문 합계 · 외부 고객 매출</t>
        </is>
      </c>
      <c r="F136" s="20" t="n">
        <v>15542</v>
      </c>
      <c r="J136" s="20" t="n">
        <v>16545</v>
      </c>
      <c r="N136" s="20" t="n">
        <v>18301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J137" s="15">
        <f>IF(OR(J136="",F136=""),"",IF(F136&lt;=0,"",IFERROR(J136/F136-1,"")))</f>
        <v/>
      </c>
      <c r="N137" s="15">
        <f>IF(OR(N136="",J136=""),"",IF(J136&lt;=0,"",IFERROR(N136/J136-1,"")))</f>
        <v/>
      </c>
    </row>
    <row r="138">
      <c r="A138" s="18" t="inlineStr">
        <is>
          <t>부문 · 부문 간 내부매출·대체</t>
        </is>
      </c>
      <c r="C138" s="20" t="n">
        <v>4</v>
      </c>
      <c r="D138" s="20" t="n">
        <v>2</v>
      </c>
      <c r="E138" s="20" t="n">
        <v>0</v>
      </c>
      <c r="F138" s="20" t="n">
        <v>0</v>
      </c>
      <c r="G138" s="20" t="n">
        <v>0</v>
      </c>
      <c r="H138" s="20" t="n">
        <v>34</v>
      </c>
      <c r="I138" s="20" t="n">
        <v>1</v>
      </c>
      <c r="J138" s="20" t="n">
        <v>0</v>
      </c>
      <c r="K138" s="20" t="n">
        <v>0</v>
      </c>
      <c r="L138" s="20" t="n">
        <v>29</v>
      </c>
      <c r="M138" s="20" t="n">
        <v>13</v>
      </c>
      <c r="N138" s="20" t="n">
        <v>17</v>
      </c>
      <c r="V138" s="20" t="n">
        <v>0</v>
      </c>
      <c r="W138" s="20" t="n">
        <v>1</v>
      </c>
      <c r="X138" s="20" t="n">
        <v>13</v>
      </c>
    </row>
    <row r="139">
      <c r="A139" s="18" t="inlineStr">
        <is>
          <t>부문 · 부문 간 내부매출·대체</t>
        </is>
      </c>
      <c r="C139" s="20" t="n">
        <v>32</v>
      </c>
      <c r="D139" s="20" t="n">
        <v>32</v>
      </c>
      <c r="E139" s="20" t="n">
        <v>20</v>
      </c>
      <c r="F139" s="20" t="n">
        <v>36</v>
      </c>
      <c r="G139" s="20" t="n">
        <v>35</v>
      </c>
      <c r="H139" s="20" t="n">
        <v>34</v>
      </c>
      <c r="I139" s="20" t="n">
        <v>17</v>
      </c>
      <c r="J139" s="20" t="n">
        <v>12</v>
      </c>
      <c r="K139" s="20" t="n">
        <v>2</v>
      </c>
      <c r="L139" s="20" t="n">
        <v>7</v>
      </c>
      <c r="M139" s="20" t="n">
        <v>7</v>
      </c>
      <c r="N139" s="20" t="n">
        <v>5</v>
      </c>
      <c r="V139" s="20" t="n">
        <v>20</v>
      </c>
      <c r="W139" s="20" t="n">
        <v>17</v>
      </c>
      <c r="X139" s="20" t="n">
        <v>7</v>
      </c>
    </row>
    <row r="140">
      <c r="A140" s="18" t="inlineStr">
        <is>
          <t>합계 · 부문 간 내부매출·대체</t>
        </is>
      </c>
      <c r="D140" s="20" t="n">
        <v>34</v>
      </c>
      <c r="E140" s="20" t="n">
        <v>21</v>
      </c>
      <c r="H140" s="20" t="n">
        <v>69</v>
      </c>
      <c r="I140" s="20" t="n">
        <v>18</v>
      </c>
      <c r="L140" s="20" t="n">
        <v>35</v>
      </c>
      <c r="M140" s="20" t="n">
        <v>20</v>
      </c>
      <c r="V140" s="20" t="n">
        <v>21</v>
      </c>
      <c r="W140" s="20" t="n">
        <v>18</v>
      </c>
      <c r="X140" s="20" t="n">
        <v>20</v>
      </c>
    </row>
    <row r="141">
      <c r="A141" s="18" t="inlineStr">
        <is>
          <t>보고부문 합계 · 부문 간 내부매출·대체</t>
        </is>
      </c>
      <c r="F141" s="20" t="n">
        <v>36</v>
      </c>
      <c r="J141" s="20" t="n">
        <v>12</v>
      </c>
      <c r="N141" s="20" t="n">
        <v>23</v>
      </c>
    </row>
    <row r="142">
      <c r="A142" s="18" t="inlineStr">
        <is>
          <t>부문 · 계</t>
        </is>
      </c>
      <c r="C142" s="20" t="n">
        <v>6021</v>
      </c>
      <c r="D142" s="20" t="n">
        <v>7070</v>
      </c>
      <c r="E142" s="20" t="n">
        <v>10061</v>
      </c>
      <c r="F142" s="20" t="n">
        <v>7175</v>
      </c>
      <c r="G142" s="20" t="n">
        <v>8987</v>
      </c>
      <c r="H142" s="20" t="n">
        <v>9975</v>
      </c>
      <c r="I142" s="20" t="n">
        <v>12714</v>
      </c>
      <c r="J142" s="20" t="n">
        <v>8096</v>
      </c>
      <c r="K142" s="20" t="n">
        <v>9443</v>
      </c>
      <c r="L142" s="20" t="n">
        <v>10645</v>
      </c>
      <c r="M142" s="20" t="n">
        <v>13448</v>
      </c>
      <c r="N142" s="20" t="n">
        <v>8580</v>
      </c>
      <c r="V142" s="20" t="n">
        <v>10061</v>
      </c>
      <c r="W142" s="20" t="n">
        <v>12714</v>
      </c>
      <c r="X142" s="20" t="n">
        <v>13448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부문 · 계</t>
        </is>
      </c>
      <c r="C144" s="20" t="n">
        <v>8185</v>
      </c>
      <c r="D144" s="20" t="n">
        <v>8360</v>
      </c>
      <c r="E144" s="20" t="n">
        <v>9468</v>
      </c>
      <c r="F144" s="20" t="n">
        <v>8403</v>
      </c>
      <c r="G144" s="20" t="n">
        <v>8560</v>
      </c>
      <c r="H144" s="20" t="n">
        <v>8751</v>
      </c>
      <c r="I144" s="20" t="n">
        <v>9824</v>
      </c>
      <c r="J144" s="20" t="n">
        <v>8461</v>
      </c>
      <c r="K144" s="20" t="n">
        <v>9007</v>
      </c>
      <c r="L144" s="20" t="n">
        <v>8980</v>
      </c>
      <c r="M144" s="20" t="n">
        <v>10153</v>
      </c>
      <c r="N144" s="20" t="n">
        <v>9744</v>
      </c>
      <c r="V144" s="20" t="n">
        <v>9468</v>
      </c>
      <c r="W144" s="20" t="n">
        <v>9824</v>
      </c>
      <c r="X144" s="20" t="n">
        <v>10153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합계 · 계</t>
        </is>
      </c>
      <c r="D146" s="20" t="n">
        <v>15430</v>
      </c>
      <c r="E146" s="20" t="n">
        <v>19528</v>
      </c>
      <c r="H146" s="20" t="n">
        <v>18727</v>
      </c>
      <c r="I146" s="20" t="n">
        <v>22537</v>
      </c>
      <c r="L146" s="20" t="n">
        <v>19624</v>
      </c>
      <c r="M146" s="20" t="n">
        <v>23601</v>
      </c>
      <c r="V146" s="20" t="n">
        <v>19528</v>
      </c>
      <c r="W146" s="20" t="n">
        <v>22537</v>
      </c>
      <c r="X146" s="20" t="n">
        <v>23601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보고부문 합계 · 계</t>
        </is>
      </c>
      <c r="F148" s="20" t="n">
        <v>15578</v>
      </c>
      <c r="J148" s="20" t="n">
        <v>16557</v>
      </c>
      <c r="N148" s="20" t="n">
        <v>18325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J149" s="15">
        <f>IF(OR(J148="",F148=""),"",IF(F148&lt;=0,"",IFERROR(J148/F148-1,"")))</f>
        <v/>
      </c>
      <c r="N149" s="15">
        <f>IF(OR(N148="",J148=""),"",IF(J148&lt;=0,"",IFERROR(N148/J148-1,"")))</f>
        <v/>
      </c>
    </row>
    <row r="150">
      <c r="A150" s="18" t="inlineStr">
        <is>
          <t>부문 · 부문 이익(손실)</t>
        </is>
      </c>
      <c r="C150" s="20" t="n">
        <v>416</v>
      </c>
      <c r="D150" s="20" t="n">
        <v>552</v>
      </c>
      <c r="E150" s="20" t="n">
        <v>1317</v>
      </c>
      <c r="F150" s="20" t="n">
        <v>-276</v>
      </c>
      <c r="G150" s="20" t="n">
        <v>396</v>
      </c>
      <c r="H150" s="20" t="n">
        <v>623</v>
      </c>
      <c r="I150" s="20" t="n">
        <v>1115</v>
      </c>
      <c r="J150" s="20" t="n">
        <v>-5</v>
      </c>
      <c r="K150" s="20" t="n">
        <v>326</v>
      </c>
      <c r="L150" s="20" t="n">
        <v>927</v>
      </c>
      <c r="M150" s="20" t="n">
        <v>1480</v>
      </c>
      <c r="N150" s="20" t="n">
        <v>43</v>
      </c>
      <c r="V150" s="20" t="n">
        <v>1317</v>
      </c>
      <c r="W150" s="20" t="n">
        <v>1115</v>
      </c>
      <c r="X150" s="20" t="n">
        <v>1480</v>
      </c>
    </row>
    <row r="151">
      <c r="A151" s="43" t="inlineStr">
        <is>
          <t>OPM</t>
        </is>
      </c>
      <c r="B151" s="3" t="inlineStr">
        <is>
          <t>영업이익 ÷ 매출</t>
        </is>
      </c>
      <c r="C151" s="15">
        <f>IF(OR(C150="",C142=""),"",IF(C142&lt;=0,"",IFERROR(C150/C142,"")))</f>
        <v/>
      </c>
      <c r="D151" s="15">
        <f>IF(OR(D150="",D142=""),"",IF(D142&lt;=0,"",IFERROR(D150/D142,"")))</f>
        <v/>
      </c>
      <c r="E151" s="15">
        <f>IF(OR(E150="",E142=""),"",IF(E142&lt;=0,"",IFERROR(E150/E142,"")))</f>
        <v/>
      </c>
      <c r="F151" s="15">
        <f>IF(OR(F150="",F142=""),"",IF(F142&lt;=0,"",IFERROR(F150/F142,"")))</f>
        <v/>
      </c>
      <c r="G151" s="15">
        <f>IF(OR(G150="",G142=""),"",IF(G142&lt;=0,"",IFERROR(G150/G142,"")))</f>
        <v/>
      </c>
      <c r="H151" s="15">
        <f>IF(OR(H150="",H142=""),"",IF(H142&lt;=0,"",IFERROR(H150/H142,"")))</f>
        <v/>
      </c>
      <c r="I151" s="15">
        <f>IF(OR(I150="",I142=""),"",IF(I142&lt;=0,"",IFERROR(I150/I142,"")))</f>
        <v/>
      </c>
      <c r="J151" s="15">
        <f>IF(OR(J150="",J142=""),"",IF(J142&lt;=0,"",IFERROR(J150/J142,"")))</f>
        <v/>
      </c>
      <c r="K151" s="15">
        <f>IF(OR(K150="",K142=""),"",IF(K142&lt;=0,"",IFERROR(K150/K142,"")))</f>
        <v/>
      </c>
      <c r="L151" s="15">
        <f>IF(OR(L150="",L142=""),"",IF(L142&lt;=0,"",IFERROR(L150/L142,"")))</f>
        <v/>
      </c>
      <c r="M151" s="15">
        <f>IF(OR(M150="",M142=""),"",IF(M142&lt;=0,"",IFERROR(M150/M142,"")))</f>
        <v/>
      </c>
      <c r="N151" s="15">
        <f>IF(OR(N150="",N142=""),"",IF(N142&lt;=0,"",IFERROR(N150/N142,"")))</f>
        <v/>
      </c>
      <c r="V151" s="15">
        <f>IF(OR(V150="",V142=""),"",IF(V142&lt;=0,"",IFERROR(V150/V142,"")))</f>
        <v/>
      </c>
      <c r="W151" s="15">
        <f>IF(OR(W150="",W142=""),"",IF(W142&lt;=0,"",IFERROR(W150/W142,"")))</f>
        <v/>
      </c>
      <c r="X151" s="15">
        <f>IF(OR(X150="",X142=""),"",IF(X142&lt;=0,"",IFERROR(X150/X142,"")))</f>
        <v/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IF(OR(G150="",C150=""),"",IF(C150&lt;=0,"",IFERROR(G150/C150-1,"")))</f>
        <v/>
      </c>
      <c r="H152" s="15">
        <f>IF(OR(H150="",D150=""),"",IF(D150&lt;=0,"",IFERROR(H150/D150-1,"")))</f>
        <v/>
      </c>
      <c r="I152" s="15">
        <f>IF(OR(I150="",E150=""),"",IF(E150&lt;=0,"",IFERROR(I150/E150-1,"")))</f>
        <v/>
      </c>
      <c r="J152" s="15">
        <f>IF(OR(J150="",F150=""),"",IF(F150&lt;=0,"",IFERROR(J150/F150-1,"")))</f>
        <v/>
      </c>
      <c r="K152" s="15">
        <f>IF(OR(K150="",G150=""),"",IF(G150&lt;=0,"",IFERROR(K150/G150-1,"")))</f>
        <v/>
      </c>
      <c r="L152" s="15">
        <f>IF(OR(L150="",H150=""),"",IF(H150&lt;=0,"",IFERROR(L150/H150-1,"")))</f>
        <v/>
      </c>
      <c r="M152" s="15">
        <f>IF(OR(M150="",I150=""),"",IF(I150&lt;=0,"",IFERROR(M150/I150-1,"")))</f>
        <v/>
      </c>
      <c r="N152" s="15">
        <f>IF(OR(N150="",J150=""),"",IF(J150&lt;=0,"",IFERROR(N150/J150-1,"")))</f>
        <v/>
      </c>
      <c r="V152" s="15">
        <f>IF(OR(V150="",U150=""),"",IF(U150&lt;=0,"",IFERROR(V150/U150-1,"")))</f>
        <v/>
      </c>
      <c r="W152" s="15">
        <f>IF(OR(W150="",V150=""),"",IF(V150&lt;=0,"",IFERROR(W150/V150-1,"")))</f>
        <v/>
      </c>
      <c r="X152" s="15">
        <f>IF(OR(X150="",W150=""),"",IF(W150&lt;=0,"",IFERROR(X150/W150-1,"")))</f>
        <v/>
      </c>
    </row>
    <row r="153">
      <c r="A153" s="18" t="inlineStr">
        <is>
          <t>부문 · 부문 이익(손실)</t>
        </is>
      </c>
      <c r="C153" s="20" t="n">
        <v>1080</v>
      </c>
      <c r="D153" s="20" t="n">
        <v>1034</v>
      </c>
      <c r="E153" s="20" t="n">
        <v>1398</v>
      </c>
      <c r="F153" s="20" t="n">
        <v>910</v>
      </c>
      <c r="G153" s="20" t="n">
        <v>774</v>
      </c>
      <c r="H153" s="20" t="n">
        <v>991</v>
      </c>
      <c r="I153" s="20" t="n">
        <v>1387</v>
      </c>
      <c r="J153" s="20" t="n">
        <v>812</v>
      </c>
      <c r="K153" s="20" t="n">
        <v>1030</v>
      </c>
      <c r="L153" s="20" t="n">
        <v>810</v>
      </c>
      <c r="M153" s="20" t="n">
        <v>1231</v>
      </c>
      <c r="N153" s="20" t="n">
        <v>1150</v>
      </c>
      <c r="V153" s="20" t="n">
        <v>1398</v>
      </c>
      <c r="W153" s="20" t="n">
        <v>1387</v>
      </c>
      <c r="X153" s="20" t="n">
        <v>1231</v>
      </c>
    </row>
    <row r="154">
      <c r="A154" s="43" t="inlineStr">
        <is>
          <t>OPM</t>
        </is>
      </c>
      <c r="B154" s="3" t="inlineStr">
        <is>
          <t>영업이익 ÷ 매출</t>
        </is>
      </c>
      <c r="C154" s="15">
        <f>IF(OR(C153="",C144=""),"",IF(C144&lt;=0,"",IFERROR(C153/C144,"")))</f>
        <v/>
      </c>
      <c r="D154" s="15">
        <f>IF(OR(D153="",D144=""),"",IF(D144&lt;=0,"",IFERROR(D153/D144,"")))</f>
        <v/>
      </c>
      <c r="E154" s="15">
        <f>IF(OR(E153="",E144=""),"",IF(E144&lt;=0,"",IFERROR(E153/E144,"")))</f>
        <v/>
      </c>
      <c r="F154" s="15">
        <f>IF(OR(F153="",F144=""),"",IF(F144&lt;=0,"",IFERROR(F153/F144,"")))</f>
        <v/>
      </c>
      <c r="G154" s="15">
        <f>IF(OR(G153="",G144=""),"",IF(G144&lt;=0,"",IFERROR(G153/G144,"")))</f>
        <v/>
      </c>
      <c r="H154" s="15">
        <f>IF(OR(H153="",H144=""),"",IF(H144&lt;=0,"",IFERROR(H153/H144,"")))</f>
        <v/>
      </c>
      <c r="I154" s="15">
        <f>IF(OR(I153="",I144=""),"",IF(I144&lt;=0,"",IFERROR(I153/I144,"")))</f>
        <v/>
      </c>
      <c r="J154" s="15">
        <f>IF(OR(J153="",J144=""),"",IF(J144&lt;=0,"",IFERROR(J153/J144,"")))</f>
        <v/>
      </c>
      <c r="K154" s="15">
        <f>IF(OR(K153="",K144=""),"",IF(K144&lt;=0,"",IFERROR(K153/K144,"")))</f>
        <v/>
      </c>
      <c r="L154" s="15">
        <f>IF(OR(L153="",L144=""),"",IF(L144&lt;=0,"",IFERROR(L153/L144,"")))</f>
        <v/>
      </c>
      <c r="M154" s="15">
        <f>IF(OR(M153="",M144=""),"",IF(M144&lt;=0,"",IFERROR(M153/M144,"")))</f>
        <v/>
      </c>
      <c r="N154" s="15">
        <f>IF(OR(N153="",N144=""),"",IF(N144&lt;=0,"",IFERROR(N153/N144,"")))</f>
        <v/>
      </c>
      <c r="V154" s="15">
        <f>IF(OR(V153="",V144=""),"",IF(V144&lt;=0,"",IFERROR(V153/V144,"")))</f>
        <v/>
      </c>
      <c r="W154" s="15">
        <f>IF(OR(W153="",W144=""),"",IF(W144&lt;=0,"",IFERROR(W153/W144,"")))</f>
        <v/>
      </c>
      <c r="X154" s="15">
        <f>IF(OR(X153="",X144=""),"",IF(X144&lt;=0,"",IFERROR(X153/X144,"")))</f>
        <v/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IF(OR(G153="",C153=""),"",IF(C153&lt;=0,"",IFERROR(G153/C153-1,"")))</f>
        <v/>
      </c>
      <c r="H155" s="15">
        <f>IF(OR(H153="",D153=""),"",IF(D153&lt;=0,"",IFERROR(H153/D153-1,"")))</f>
        <v/>
      </c>
      <c r="I155" s="15">
        <f>IF(OR(I153="",E153=""),"",IF(E153&lt;=0,"",IFERROR(I153/E153-1,"")))</f>
        <v/>
      </c>
      <c r="J155" s="15">
        <f>IF(OR(J153="",F153=""),"",IF(F153&lt;=0,"",IFERROR(J153/F153-1,"")))</f>
        <v/>
      </c>
      <c r="K155" s="15">
        <f>IF(OR(K153="",G153=""),"",IF(G153&lt;=0,"",IFERROR(K153/G153-1,"")))</f>
        <v/>
      </c>
      <c r="L155" s="15">
        <f>IF(OR(L153="",H153=""),"",IF(H153&lt;=0,"",IFERROR(L153/H153-1,"")))</f>
        <v/>
      </c>
      <c r="M155" s="15">
        <f>IF(OR(M153="",I153=""),"",IF(I153&lt;=0,"",IFERROR(M153/I153-1,"")))</f>
        <v/>
      </c>
      <c r="N155" s="15">
        <f>IF(OR(N153="",J153=""),"",IF(J153&lt;=0,"",IFERROR(N153/J153-1,"")))</f>
        <v/>
      </c>
      <c r="V155" s="15">
        <f>IF(OR(V153="",U153=""),"",IF(U153&lt;=0,"",IFERROR(V153/U153-1,"")))</f>
        <v/>
      </c>
      <c r="W155" s="15">
        <f>IF(OR(W153="",V153=""),"",IF(V153&lt;=0,"",IFERROR(W153/V153-1,"")))</f>
        <v/>
      </c>
      <c r="X155" s="15">
        <f>IF(OR(X153="",W153=""),"",IF(W153&lt;=0,"",IFERROR(X153/W153-1,"")))</f>
        <v/>
      </c>
    </row>
    <row r="156">
      <c r="A156" s="18" t="inlineStr">
        <is>
          <t>합계 · 부문 이익</t>
        </is>
      </c>
      <c r="D156" s="20" t="n">
        <v>1587</v>
      </c>
      <c r="E156" s="20" t="n">
        <v>2714</v>
      </c>
      <c r="H156" s="20" t="n">
        <v>1615</v>
      </c>
      <c r="I156" s="20" t="n">
        <v>2502</v>
      </c>
      <c r="L156" s="20" t="n">
        <v>1737</v>
      </c>
      <c r="M156" s="20" t="n">
        <v>2710</v>
      </c>
      <c r="V156" s="20" t="n">
        <v>2714</v>
      </c>
      <c r="W156" s="20" t="n">
        <v>2502</v>
      </c>
      <c r="X156" s="20" t="n">
        <v>2710</v>
      </c>
    </row>
    <row r="157">
      <c r="A157" s="43" t="inlineStr">
        <is>
          <t>OPM</t>
        </is>
      </c>
      <c r="B157" s="3" t="inlineStr">
        <is>
          <t>영업이익 ÷ 매출</t>
        </is>
      </c>
      <c r="D157" s="15">
        <f>IF(OR(D156="",D146=""),"",IF(D146&lt;=0,"",IFERROR(D156/D146,"")))</f>
        <v/>
      </c>
      <c r="E157" s="15">
        <f>IF(OR(E156="",E146=""),"",IF(E146&lt;=0,"",IFERROR(E156/E146,"")))</f>
        <v/>
      </c>
      <c r="H157" s="15">
        <f>IF(OR(H156="",H146=""),"",IF(H146&lt;=0,"",IFERROR(H156/H146,"")))</f>
        <v/>
      </c>
      <c r="I157" s="15">
        <f>IF(OR(I156="",I146=""),"",IF(I146&lt;=0,"",IFERROR(I156/I146,"")))</f>
        <v/>
      </c>
      <c r="L157" s="15">
        <f>IF(OR(L156="",L146=""),"",IF(L146&lt;=0,"",IFERROR(L156/L146,"")))</f>
        <v/>
      </c>
      <c r="M157" s="15">
        <f>IF(OR(M156="",M146=""),"",IF(M146&lt;=0,"",IFERROR(M156/M146,"")))</f>
        <v/>
      </c>
      <c r="V157" s="15">
        <f>IF(OR(V156="",V146=""),"",IF(V146&lt;=0,"",IFERROR(V156/V146,"")))</f>
        <v/>
      </c>
      <c r="W157" s="15">
        <f>IF(OR(W156="",W146=""),"",IF(W146&lt;=0,"",IFERROR(W156/W146,"")))</f>
        <v/>
      </c>
      <c r="X157" s="15">
        <f>IF(OR(X156="",X146=""),"",IF(X146&lt;=0,"",IFERROR(X156/X146,"")))</f>
        <v/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H158" s="15">
        <f>IF(OR(H156="",D156=""),"",IF(D156&lt;=0,"",IFERROR(H156/D156-1,"")))</f>
        <v/>
      </c>
      <c r="I158" s="15">
        <f>IF(OR(I156="",E156=""),"",IF(E156&lt;=0,"",IFERROR(I156/E156-1,"")))</f>
        <v/>
      </c>
      <c r="L158" s="15">
        <f>IF(OR(L156="",H156=""),"",IF(H156&lt;=0,"",IFERROR(L156/H156-1,"")))</f>
        <v/>
      </c>
      <c r="M158" s="15">
        <f>IF(OR(M156="",I156=""),"",IF(I156&lt;=0,"",IFERROR(M156/I156-1,"")))</f>
        <v/>
      </c>
      <c r="V158" s="15">
        <f>IF(OR(V156="",U156=""),"",IF(U156&lt;=0,"",IFERROR(V156/U156-1,"")))</f>
        <v/>
      </c>
      <c r="W158" s="15">
        <f>IF(OR(W156="",V156=""),"",IF(V156&lt;=0,"",IFERROR(W156/V156-1,"")))</f>
        <v/>
      </c>
      <c r="X158" s="15">
        <f>IF(OR(X156="",W156=""),"",IF(W156&lt;=0,"",IFERROR(X156/W156-1,"")))</f>
        <v/>
      </c>
    </row>
    <row r="159">
      <c r="A159" s="18" t="inlineStr">
        <is>
          <t>보고부문 합계 · 부문 이익(손실)</t>
        </is>
      </c>
      <c r="F159" s="20" t="n">
        <v>633</v>
      </c>
      <c r="J159" s="20" t="n">
        <v>807</v>
      </c>
      <c r="N159" s="20" t="n">
        <v>1193</v>
      </c>
    </row>
    <row r="160">
      <c r="A160" s="43" t="inlineStr">
        <is>
          <t>OPM</t>
        </is>
      </c>
      <c r="B160" s="3" t="inlineStr">
        <is>
          <t>영업이익 ÷ 매출</t>
        </is>
      </c>
      <c r="F160" s="15">
        <f>IF(OR(F159="",F148=""),"",IF(F148&lt;=0,"",IFERROR(F159/F148,"")))</f>
        <v/>
      </c>
      <c r="J160" s="15">
        <f>IF(OR(J159="",J148=""),"",IF(J148&lt;=0,"",IFERROR(J159/J148,"")))</f>
        <v/>
      </c>
      <c r="N160" s="15">
        <f>IF(OR(N159="",N148=""),"",IF(N148&lt;=0,"",IFERROR(N159/N148,"")))</f>
        <v/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J161" s="15">
        <f>IF(OR(J159="",F159=""),"",IF(F159&lt;=0,"",IFERROR(J159/F159-1,"")))</f>
        <v/>
      </c>
      <c r="N161" s="15">
        <f>IF(OR(N159="",J159=""),"",IF(J159&lt;=0,"",IFERROR(N159/J159-1,"")))</f>
        <v/>
      </c>
    </row>
    <row r="163">
      <c r="A163" s="16" t="inlineStr">
        <is>
          <t>현금흐름표 · 전 항목</t>
        </is>
      </c>
      <c r="B163" s="42" t="inlineStr">
        <is>
          <t>분기 = 결산기 첫날부터 누계(공시 그대로)</t>
        </is>
      </c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</row>
    <row r="164">
      <c r="A164" s="5" t="inlineStr">
        <is>
          <t>항목</t>
        </is>
      </c>
      <c r="B164" s="5" t="inlineStr">
        <is>
          <t>참고</t>
        </is>
      </c>
      <c r="C164" s="5" t="inlineStr">
        <is>
          <t>2024.2Q</t>
        </is>
      </c>
      <c r="D164" s="5" t="inlineStr">
        <is>
          <t>2024.3Q</t>
        </is>
      </c>
      <c r="E164" s="5" t="inlineStr">
        <is>
          <t>2024.4Q</t>
        </is>
      </c>
      <c r="F164" s="5" t="inlineStr">
        <is>
          <t>2025.1Q</t>
        </is>
      </c>
      <c r="G164" s="5" t="inlineStr">
        <is>
          <t>2025.2Q</t>
        </is>
      </c>
      <c r="H164" s="5" t="inlineStr">
        <is>
          <t>2025.3Q</t>
        </is>
      </c>
      <c r="I164" s="5" t="inlineStr">
        <is>
          <t>2025.4Q</t>
        </is>
      </c>
      <c r="J164" s="5" t="inlineStr">
        <is>
          <t>2026.1Q</t>
        </is>
      </c>
      <c r="K164" s="5" t="inlineStr">
        <is>
          <t>2026.2Q</t>
        </is>
      </c>
      <c r="L164" s="5" t="inlineStr">
        <is>
          <t>2026.3Q</t>
        </is>
      </c>
      <c r="M164" s="5" t="inlineStr">
        <is>
          <t>2026.4Q</t>
        </is>
      </c>
      <c r="N164" s="5" t="inlineStr">
        <is>
          <t>2027.1Q</t>
        </is>
      </c>
      <c r="O164" s="5" t="inlineStr">
        <is>
          <t>2017</t>
        </is>
      </c>
      <c r="P164" s="5" t="inlineStr">
        <is>
          <t>2018</t>
        </is>
      </c>
      <c r="Q164" s="5" t="inlineStr">
        <is>
          <t>2019</t>
        </is>
      </c>
      <c r="R164" s="5" t="inlineStr">
        <is>
          <t>2020</t>
        </is>
      </c>
      <c r="S164" s="5" t="inlineStr">
        <is>
          <t>2021</t>
        </is>
      </c>
      <c r="T164" s="5" t="inlineStr">
        <is>
          <t>2022</t>
        </is>
      </c>
      <c r="U164" s="5" t="inlineStr">
        <is>
          <t>2023</t>
        </is>
      </c>
      <c r="V164" s="5" t="inlineStr">
        <is>
          <t>2024</t>
        </is>
      </c>
      <c r="W164" s="5" t="inlineStr">
        <is>
          <t>2025</t>
        </is>
      </c>
      <c r="X164" s="5" t="inlineStr">
        <is>
          <t>2026</t>
        </is>
      </c>
      <c r="Y164" s="5" t="inlineStr">
        <is>
          <t>2027(MW)</t>
        </is>
      </c>
      <c r="Z164" s="5" t="inlineStr">
        <is>
          <t>2028(MW)</t>
        </is>
      </c>
      <c r="AA164" s="5" t="inlineStr">
        <is>
          <t>2029(MW)</t>
        </is>
      </c>
      <c r="AB164" s="5" t="inlineStr">
        <is>
          <t>2030(MW)</t>
        </is>
      </c>
      <c r="AC164" s="5" t="inlineStr">
        <is>
          <t>2031(MW)</t>
        </is>
      </c>
    </row>
    <row r="165">
      <c r="A165" s="9" t="inlineStr">
        <is>
          <t>법인세차감전 순이익</t>
        </is>
      </c>
      <c r="C165" s="12" t="n">
        <v>3019</v>
      </c>
      <c r="D165" s="12" t="n">
        <v>4516</v>
      </c>
      <c r="E165" s="12" t="n">
        <v>7169</v>
      </c>
      <c r="F165" s="12" t="n">
        <v>542</v>
      </c>
      <c r="G165" s="12" t="n">
        <v>1472</v>
      </c>
      <c r="H165" s="12" t="n">
        <v>2712</v>
      </c>
      <c r="I165" s="12" t="n">
        <v>5373</v>
      </c>
      <c r="J165" s="12" t="n">
        <v>706</v>
      </c>
      <c r="K165" s="12" t="n">
        <v>2030</v>
      </c>
      <c r="L165" s="12" t="n">
        <v>3970</v>
      </c>
      <c r="M165" s="12" t="n">
        <v>6395</v>
      </c>
      <c r="N165" s="12" t="n">
        <v>1775</v>
      </c>
      <c r="O165" s="12" t="n">
        <v>9940</v>
      </c>
      <c r="P165" s="12" t="n">
        <v>10649</v>
      </c>
      <c r="Q165" s="12" t="n">
        <v>10390</v>
      </c>
      <c r="R165" s="12" t="n">
        <v>10528</v>
      </c>
      <c r="S165" s="12" t="n">
        <v>11209</v>
      </c>
      <c r="T165" s="12" t="n">
        <v>11347</v>
      </c>
      <c r="U165" s="12" t="n">
        <v>9862</v>
      </c>
      <c r="V165" s="12" t="n">
        <v>7169</v>
      </c>
      <c r="W165" s="12" t="n">
        <v>5373</v>
      </c>
      <c r="X165" s="12" t="n">
        <v>6395</v>
      </c>
    </row>
    <row r="166">
      <c r="A166" s="18" t="inlineStr">
        <is>
          <t>감가상각비</t>
        </is>
      </c>
      <c r="C166" s="20" t="n">
        <v>584</v>
      </c>
      <c r="D166" s="20" t="n">
        <v>910</v>
      </c>
      <c r="E166" s="20" t="n">
        <v>1252</v>
      </c>
      <c r="F166" s="20" t="n">
        <v>490</v>
      </c>
      <c r="G166" s="20" t="n">
        <v>1028</v>
      </c>
      <c r="H166" s="20" t="n">
        <v>1567</v>
      </c>
      <c r="I166" s="20" t="n">
        <v>2163</v>
      </c>
      <c r="J166" s="20" t="n">
        <v>567</v>
      </c>
      <c r="K166" s="20" t="n">
        <v>1143</v>
      </c>
      <c r="L166" s="20" t="n">
        <v>1864</v>
      </c>
      <c r="M166" s="20" t="n">
        <v>2545</v>
      </c>
      <c r="N166" s="20" t="n">
        <v>718</v>
      </c>
      <c r="O166" s="20" t="n">
        <v>1188</v>
      </c>
      <c r="P166" s="20" t="n">
        <v>1034</v>
      </c>
      <c r="Q166" s="20" t="n">
        <v>1042</v>
      </c>
      <c r="R166" s="20" t="n">
        <v>1130</v>
      </c>
      <c r="S166" s="20" t="n">
        <v>1139</v>
      </c>
      <c r="T166" s="20" t="n">
        <v>1121</v>
      </c>
      <c r="U166" s="20" t="n">
        <v>1197</v>
      </c>
      <c r="V166" s="20" t="n">
        <v>1252</v>
      </c>
      <c r="W166" s="20" t="n">
        <v>2163</v>
      </c>
      <c r="X166" s="20" t="n">
        <v>2545</v>
      </c>
    </row>
    <row r="167">
      <c r="A167" s="18" t="inlineStr">
        <is>
          <t>영업권 상각</t>
        </is>
      </c>
      <c r="F167" s="20" t="n">
        <v>442</v>
      </c>
    </row>
    <row r="168">
      <c r="A168" s="18" t="inlineStr">
        <is>
          <t>영업권 상각</t>
        </is>
      </c>
      <c r="C168" s="20" t="n">
        <v>0</v>
      </c>
      <c r="D168" s="20" t="n">
        <v>0</v>
      </c>
      <c r="E168" s="20" t="n">
        <v>0</v>
      </c>
      <c r="F168" s="20" t="n">
        <v>339</v>
      </c>
      <c r="G168" s="20" t="n">
        <v>691</v>
      </c>
      <c r="H168" s="20" t="n">
        <v>1036</v>
      </c>
      <c r="I168" s="20" t="n">
        <v>1377</v>
      </c>
      <c r="J168" s="20" t="n">
        <v>355</v>
      </c>
      <c r="K168" s="20" t="n">
        <v>739</v>
      </c>
      <c r="L168" s="20" t="n">
        <v>1095</v>
      </c>
      <c r="M168" s="20" t="n">
        <v>1487</v>
      </c>
      <c r="N168" s="20" t="n">
        <v>399</v>
      </c>
      <c r="V168" s="20" t="n">
        <v>0</v>
      </c>
      <c r="W168" s="20" t="n">
        <v>1377</v>
      </c>
      <c r="X168" s="20" t="n">
        <v>1487</v>
      </c>
    </row>
    <row r="169">
      <c r="A169" s="18" t="inlineStr">
        <is>
          <t>손상차손</t>
        </is>
      </c>
      <c r="E169" s="20" t="n">
        <v>105</v>
      </c>
      <c r="I169" s="20" t="n">
        <v>0</v>
      </c>
      <c r="O169" s="20" t="n">
        <v>175</v>
      </c>
      <c r="P169" s="20" t="n">
        <v>67</v>
      </c>
      <c r="Q169" s="20" t="n">
        <v>49</v>
      </c>
      <c r="R169" s="20" t="n">
        <v>0</v>
      </c>
      <c r="S169" s="20" t="n">
        <v>5</v>
      </c>
      <c r="T169" s="20" t="n">
        <v>161</v>
      </c>
      <c r="U169" s="20" t="n">
        <v>75</v>
      </c>
      <c r="V169" s="20" t="n">
        <v>105</v>
      </c>
      <c r="W169" s="20" t="n">
        <v>0</v>
      </c>
    </row>
    <row r="170">
      <c r="A170" s="18" t="inlineStr">
        <is>
          <t>상여충당금 증감</t>
        </is>
      </c>
      <c r="C170" s="20" t="n">
        <v>-13</v>
      </c>
      <c r="D170" s="20" t="n">
        <v>-312</v>
      </c>
      <c r="E170" s="20" t="n">
        <v>76</v>
      </c>
      <c r="F170" s="20" t="n">
        <v>-420</v>
      </c>
      <c r="G170" s="20" t="n">
        <v>-90</v>
      </c>
      <c r="H170" s="20" t="n">
        <v>-413</v>
      </c>
      <c r="I170" s="20" t="n">
        <v>15</v>
      </c>
      <c r="J170" s="20" t="n">
        <v>-449</v>
      </c>
      <c r="K170" s="20" t="n">
        <v>16</v>
      </c>
      <c r="L170" s="20" t="n">
        <v>-359</v>
      </c>
      <c r="M170" s="20" t="n">
        <v>47</v>
      </c>
      <c r="N170" s="20" t="n">
        <v>-480</v>
      </c>
      <c r="O170" s="20" t="n">
        <v>88</v>
      </c>
      <c r="P170" s="20" t="n">
        <v>-33</v>
      </c>
      <c r="Q170" s="20" t="n">
        <v>-11</v>
      </c>
      <c r="R170" s="20" t="n">
        <v>30</v>
      </c>
      <c r="S170" s="20" t="n">
        <v>-0</v>
      </c>
      <c r="T170" s="20" t="n">
        <v>-61</v>
      </c>
      <c r="U170" s="20" t="n">
        <v>13</v>
      </c>
      <c r="V170" s="20" t="n">
        <v>76</v>
      </c>
      <c r="W170" s="20" t="n">
        <v>15</v>
      </c>
      <c r="X170" s="20" t="n">
        <v>47</v>
      </c>
    </row>
    <row r="171">
      <c r="A171" s="18" t="inlineStr">
        <is>
          <t>임원 상여충당금 증감</t>
        </is>
      </c>
      <c r="E171" s="20" t="n">
        <v>17</v>
      </c>
      <c r="I171" s="20" t="n">
        <v>2</v>
      </c>
      <c r="M171" s="20" t="n">
        <v>-12</v>
      </c>
      <c r="O171" s="20" t="n">
        <v>24</v>
      </c>
      <c r="P171" s="20" t="n">
        <v>19</v>
      </c>
      <c r="Q171" s="20" t="n">
        <v>-0</v>
      </c>
      <c r="R171" s="20" t="n">
        <v>8</v>
      </c>
      <c r="S171" s="20" t="n">
        <v>-7</v>
      </c>
      <c r="T171" s="20" t="n">
        <v>-10</v>
      </c>
      <c r="U171" s="20" t="n">
        <v>-13</v>
      </c>
      <c r="V171" s="20" t="n">
        <v>17</v>
      </c>
      <c r="W171" s="20" t="n">
        <v>2</v>
      </c>
      <c r="X171" s="20" t="n">
        <v>-12</v>
      </c>
    </row>
    <row r="172">
      <c r="A172" s="18" t="inlineStr">
        <is>
          <t>임원 퇴직위로 충당금 증감</t>
        </is>
      </c>
      <c r="E172" s="20" t="n">
        <v>5</v>
      </c>
      <c r="I172" s="20" t="n">
        <v>4</v>
      </c>
      <c r="M172" s="20" t="n">
        <v>-21</v>
      </c>
      <c r="O172" s="20" t="n">
        <v>8</v>
      </c>
      <c r="P172" s="20" t="n">
        <v>12</v>
      </c>
      <c r="Q172" s="20" t="n">
        <v>4</v>
      </c>
      <c r="R172" s="20" t="n">
        <v>-42</v>
      </c>
      <c r="S172" s="20" t="n">
        <v>-9</v>
      </c>
      <c r="T172" s="20" t="n">
        <v>26</v>
      </c>
      <c r="U172" s="20" t="n">
        <v>1</v>
      </c>
      <c r="V172" s="20" t="n">
        <v>5</v>
      </c>
      <c r="W172" s="20" t="n">
        <v>4</v>
      </c>
      <c r="X172" s="20" t="n">
        <v>-21</v>
      </c>
    </row>
    <row r="173">
      <c r="A173" s="18" t="inlineStr">
        <is>
          <t>대손충당금 증감</t>
        </is>
      </c>
      <c r="E173" s="20" t="n">
        <v>64</v>
      </c>
      <c r="I173" s="20" t="n">
        <v>30</v>
      </c>
      <c r="M173" s="20" t="n">
        <v>-1</v>
      </c>
      <c r="O173" s="20" t="n">
        <v>-24</v>
      </c>
      <c r="P173" s="20" t="n">
        <v>-12</v>
      </c>
      <c r="Q173" s="20" t="n">
        <v>-7</v>
      </c>
      <c r="R173" s="20" t="n">
        <v>125</v>
      </c>
      <c r="S173" s="20" t="n">
        <v>127</v>
      </c>
      <c r="T173" s="20" t="n">
        <v>171</v>
      </c>
      <c r="U173" s="20" t="n">
        <v>39</v>
      </c>
      <c r="V173" s="20" t="n">
        <v>64</v>
      </c>
      <c r="W173" s="20" t="n">
        <v>30</v>
      </c>
      <c r="X173" s="20" t="n">
        <v>-1</v>
      </c>
    </row>
    <row r="174">
      <c r="A174" s="18" t="inlineStr">
        <is>
          <t>퇴직급여부채 증감</t>
        </is>
      </c>
      <c r="E174" s="20" t="n">
        <v>55</v>
      </c>
      <c r="I174" s="20" t="n">
        <v>104</v>
      </c>
      <c r="M174" s="20" t="n">
        <v>126</v>
      </c>
      <c r="O174" s="20" t="n">
        <v>-83</v>
      </c>
      <c r="P174" s="20" t="n">
        <v>-22</v>
      </c>
      <c r="Q174" s="20" t="n">
        <v>-3</v>
      </c>
      <c r="R174" s="20" t="n">
        <v>-15</v>
      </c>
      <c r="S174" s="20" t="n">
        <v>29</v>
      </c>
      <c r="T174" s="20" t="n">
        <v>-575</v>
      </c>
      <c r="U174" s="20" t="n">
        <v>-18</v>
      </c>
      <c r="V174" s="20" t="n">
        <v>55</v>
      </c>
      <c r="W174" s="20" t="n">
        <v>104</v>
      </c>
      <c r="X174" s="20" t="n">
        <v>126</v>
      </c>
    </row>
    <row r="175">
      <c r="A175" s="18" t="inlineStr">
        <is>
          <t>퇴직급여자산 증감</t>
        </is>
      </c>
      <c r="E175" s="20" t="n">
        <v>-104</v>
      </c>
      <c r="I175" s="20" t="n">
        <v>-83</v>
      </c>
      <c r="M175" s="20" t="n">
        <v>-21</v>
      </c>
      <c r="P175" s="20" t="n">
        <v>0</v>
      </c>
      <c r="Q175" s="20" t="n">
        <v>-191</v>
      </c>
      <c r="R175" s="20" t="n">
        <v>-167</v>
      </c>
      <c r="S175" s="20" t="n">
        <v>-159</v>
      </c>
      <c r="T175" s="20" t="n">
        <v>-223</v>
      </c>
      <c r="U175" s="20" t="n">
        <v>-126</v>
      </c>
      <c r="V175" s="20" t="n">
        <v>-104</v>
      </c>
      <c r="W175" s="20" t="n">
        <v>-83</v>
      </c>
      <c r="X175" s="20" t="n">
        <v>-21</v>
      </c>
    </row>
    <row r="176">
      <c r="A176" s="18" t="inlineStr">
        <is>
          <t>이자·배당금 수익</t>
        </is>
      </c>
      <c r="E176" s="20" t="n">
        <v>-392</v>
      </c>
      <c r="I176" s="20" t="n">
        <v>-454</v>
      </c>
      <c r="M176" s="20" t="n">
        <v>-491</v>
      </c>
      <c r="O176" s="20" t="n">
        <v>-303</v>
      </c>
      <c r="P176" s="20" t="n">
        <v>-309</v>
      </c>
      <c r="Q176" s="20" t="n">
        <v>-335</v>
      </c>
      <c r="R176" s="20" t="n">
        <v>-370</v>
      </c>
      <c r="S176" s="20" t="n">
        <v>-364</v>
      </c>
      <c r="T176" s="20" t="n">
        <v>-352</v>
      </c>
      <c r="U176" s="20" t="n">
        <v>-390</v>
      </c>
      <c r="V176" s="20" t="n">
        <v>-392</v>
      </c>
      <c r="W176" s="20" t="n">
        <v>-454</v>
      </c>
      <c r="X176" s="20" t="n">
        <v>-491</v>
      </c>
    </row>
    <row r="177">
      <c r="A177" s="18" t="inlineStr">
        <is>
          <t>지분법손익</t>
        </is>
      </c>
      <c r="E177" s="20" t="n">
        <v>-100</v>
      </c>
      <c r="I177" s="20" t="n">
        <v>-145</v>
      </c>
      <c r="M177" s="20" t="n">
        <v>-219</v>
      </c>
      <c r="O177" s="20" t="n">
        <v>-91</v>
      </c>
      <c r="P177" s="20" t="n">
        <v>-140</v>
      </c>
      <c r="Q177" s="20" t="n">
        <v>-179</v>
      </c>
      <c r="R177" s="20" t="n">
        <v>-133</v>
      </c>
      <c r="S177" s="20" t="n">
        <v>-195</v>
      </c>
      <c r="T177" s="20" t="n">
        <v>-140</v>
      </c>
      <c r="U177" s="20" t="n">
        <v>-128</v>
      </c>
      <c r="V177" s="20" t="n">
        <v>-100</v>
      </c>
      <c r="W177" s="20" t="n">
        <v>-145</v>
      </c>
      <c r="X177" s="20" t="n">
        <v>-219</v>
      </c>
    </row>
    <row r="178">
      <c r="A178" s="18" t="inlineStr">
        <is>
          <t>이자비용</t>
        </is>
      </c>
      <c r="E178" s="20" t="n">
        <v>10</v>
      </c>
      <c r="I178" s="20" t="n">
        <v>247</v>
      </c>
      <c r="M178" s="20" t="n">
        <v>233</v>
      </c>
      <c r="O178" s="20" t="n">
        <v>91</v>
      </c>
      <c r="P178" s="20" t="n">
        <v>54</v>
      </c>
      <c r="Q178" s="20" t="n">
        <v>53</v>
      </c>
      <c r="R178" s="20" t="n">
        <v>50</v>
      </c>
      <c r="S178" s="20" t="n">
        <v>33</v>
      </c>
      <c r="T178" s="20" t="n">
        <v>39</v>
      </c>
      <c r="V178" s="20" t="n">
        <v>10</v>
      </c>
      <c r="W178" s="20" t="n">
        <v>247</v>
      </c>
      <c r="X178" s="20" t="n">
        <v>233</v>
      </c>
    </row>
    <row r="179">
      <c r="A179" s="18" t="inlineStr">
        <is>
          <t>외환차손익</t>
        </is>
      </c>
      <c r="E179" s="20" t="n">
        <v>-49</v>
      </c>
      <c r="I179" s="20" t="n">
        <v>-0</v>
      </c>
      <c r="O179" s="20" t="n">
        <v>0</v>
      </c>
      <c r="P179" s="20" t="n">
        <v>9</v>
      </c>
      <c r="Q179" s="20" t="n">
        <v>-12</v>
      </c>
      <c r="R179" s="20" t="n">
        <v>21</v>
      </c>
      <c r="S179" s="20" t="n">
        <v>-24</v>
      </c>
      <c r="T179" s="20" t="n">
        <v>-29</v>
      </c>
      <c r="U179" s="20" t="n">
        <v>-39</v>
      </c>
      <c r="V179" s="20" t="n">
        <v>-49</v>
      </c>
      <c r="W179" s="20" t="n">
        <v>-0</v>
      </c>
    </row>
    <row r="180">
      <c r="A180" s="18" t="inlineStr">
        <is>
          <t>관계회사 청산손익</t>
        </is>
      </c>
      <c r="O180" s="20" t="n">
        <v>-43</v>
      </c>
      <c r="P180" s="20" t="n">
        <v>-74</v>
      </c>
      <c r="Q180" s="20" t="n">
        <v>0</v>
      </c>
    </row>
    <row r="181">
      <c r="A181" s="18" t="inlineStr">
        <is>
          <t>투자유가증권 매각손익</t>
        </is>
      </c>
      <c r="E181" s="20" t="n">
        <v>-407</v>
      </c>
      <c r="I181" s="20" t="n">
        <v>-340</v>
      </c>
      <c r="M181" s="20" t="n">
        <v>-364</v>
      </c>
      <c r="O181" s="20" t="n">
        <v>-165</v>
      </c>
      <c r="P181" s="20" t="n">
        <v>0</v>
      </c>
      <c r="R181" s="20" t="n">
        <v>-22</v>
      </c>
      <c r="S181" s="20" t="n">
        <v>-120</v>
      </c>
      <c r="T181" s="20" t="n">
        <v>-303</v>
      </c>
      <c r="U181" s="20" t="n">
        <v>-824</v>
      </c>
      <c r="V181" s="20" t="n">
        <v>-407</v>
      </c>
      <c r="W181" s="20" t="n">
        <v>-340</v>
      </c>
      <c r="X181" s="20" t="n">
        <v>-364</v>
      </c>
    </row>
    <row r="182">
      <c r="A182" s="18" t="inlineStr">
        <is>
          <t>관계회사 주식 매각손익</t>
        </is>
      </c>
      <c r="E182" s="20" t="n">
        <v>0</v>
      </c>
      <c r="T182" s="20" t="n">
        <v>0</v>
      </c>
      <c r="U182" s="20" t="n">
        <v>-74</v>
      </c>
      <c r="V182" s="20" t="n">
        <v>0</v>
      </c>
    </row>
    <row r="183">
      <c r="A183" s="18" t="inlineStr">
        <is>
          <t>투자유가증권 평가손익</t>
        </is>
      </c>
      <c r="E183" s="20" t="n">
        <v>0</v>
      </c>
      <c r="Q183" s="20" t="n">
        <v>0</v>
      </c>
      <c r="R183" s="20" t="n">
        <v>119</v>
      </c>
      <c r="S183" s="20" t="n">
        <v>0</v>
      </c>
      <c r="T183" s="20" t="n">
        <v>0</v>
      </c>
      <c r="U183" s="20" t="n">
        <v>390</v>
      </c>
      <c r="V183" s="20" t="n">
        <v>0</v>
      </c>
    </row>
    <row r="184">
      <c r="A184" s="18" t="inlineStr">
        <is>
          <t>관계회사 주식 평가손실</t>
        </is>
      </c>
      <c r="O184" s="20" t="n">
        <v>239</v>
      </c>
      <c r="P184" s="20" t="n">
        <v>93</v>
      </c>
      <c r="Q184" s="20" t="n">
        <v>156</v>
      </c>
      <c r="R184" s="20" t="n">
        <v>122</v>
      </c>
      <c r="S184" s="20" t="n">
        <v>0</v>
      </c>
    </row>
    <row r="185">
      <c r="A185" s="18" t="inlineStr">
        <is>
          <t>고정자산 매각이익</t>
        </is>
      </c>
      <c r="E185" s="20" t="n">
        <v>-25</v>
      </c>
      <c r="I185" s="20" t="n">
        <v>-5</v>
      </c>
      <c r="M185" s="20" t="n">
        <v>-5</v>
      </c>
      <c r="Q185" s="20" t="n">
        <v>-2</v>
      </c>
      <c r="R185" s="20" t="n">
        <v>-92</v>
      </c>
      <c r="S185" s="20" t="n">
        <v>-1</v>
      </c>
      <c r="T185" s="20" t="n">
        <v>-4</v>
      </c>
      <c r="U185" s="20" t="n">
        <v>-1</v>
      </c>
      <c r="V185" s="20" t="n">
        <v>-25</v>
      </c>
      <c r="W185" s="20" t="n">
        <v>-5</v>
      </c>
      <c r="X185" s="20" t="n">
        <v>-5</v>
      </c>
    </row>
    <row r="186">
      <c r="A186" s="18" t="inlineStr">
        <is>
          <t>On Sales And Retirement Of Non Current Assets Ope CF</t>
        </is>
      </c>
      <c r="E186" s="20" t="n">
        <v>101</v>
      </c>
      <c r="I186" s="20" t="n">
        <v>128</v>
      </c>
      <c r="M186" s="20" t="n">
        <v>230</v>
      </c>
      <c r="O186" s="20" t="n">
        <v>51</v>
      </c>
      <c r="P186" s="20" t="n">
        <v>49</v>
      </c>
      <c r="Q186" s="20" t="n">
        <v>50</v>
      </c>
      <c r="R186" s="20" t="n">
        <v>49</v>
      </c>
      <c r="S186" s="20" t="n">
        <v>46</v>
      </c>
      <c r="T186" s="20" t="n">
        <v>26</v>
      </c>
      <c r="U186" s="20" t="n">
        <v>72</v>
      </c>
      <c r="V186" s="20" t="n">
        <v>101</v>
      </c>
      <c r="W186" s="20" t="n">
        <v>128</v>
      </c>
      <c r="X186" s="20" t="n">
        <v>230</v>
      </c>
    </row>
    <row r="187">
      <c r="A187" s="18" t="inlineStr">
        <is>
          <t>매출채권 증감</t>
        </is>
      </c>
      <c r="C187" s="20" t="n">
        <v>5248</v>
      </c>
      <c r="D187" s="20" t="n">
        <v>3907</v>
      </c>
      <c r="E187" s="20" t="n">
        <v>-245</v>
      </c>
      <c r="F187" s="20" t="n">
        <v>3274</v>
      </c>
      <c r="G187" s="20" t="n">
        <v>6013</v>
      </c>
      <c r="H187" s="20" t="n">
        <v>3609</v>
      </c>
      <c r="I187" s="20" t="n">
        <v>1268</v>
      </c>
      <c r="J187" s="20" t="n">
        <v>4907</v>
      </c>
      <c r="K187" s="20" t="n">
        <v>5490</v>
      </c>
      <c r="L187" s="20" t="n">
        <v>2898</v>
      </c>
      <c r="M187" s="20" t="n">
        <v>1016</v>
      </c>
      <c r="N187" s="20" t="n">
        <v>3939</v>
      </c>
      <c r="O187" s="20" t="n">
        <v>-739</v>
      </c>
      <c r="P187" s="20" t="n">
        <v>-1111</v>
      </c>
      <c r="Q187" s="20" t="n">
        <v>319</v>
      </c>
      <c r="R187" s="20" t="n">
        <v>1895</v>
      </c>
      <c r="S187" s="20" t="n">
        <v>-124</v>
      </c>
      <c r="T187" s="20" t="n">
        <v>2502</v>
      </c>
      <c r="U187" s="20" t="n">
        <v>-1192</v>
      </c>
      <c r="V187" s="20" t="n">
        <v>-245</v>
      </c>
      <c r="W187" s="20" t="n">
        <v>1268</v>
      </c>
      <c r="X187" s="20" t="n">
        <v>1016</v>
      </c>
    </row>
    <row r="188">
      <c r="A188" s="18" t="inlineStr">
        <is>
          <t>재고자산 증감</t>
        </is>
      </c>
      <c r="C188" s="20" t="n">
        <v>-461</v>
      </c>
      <c r="D188" s="20" t="n">
        <v>-1365</v>
      </c>
      <c r="E188" s="20" t="n">
        <v>-83</v>
      </c>
      <c r="F188" s="20" t="n">
        <v>-392</v>
      </c>
      <c r="G188" s="20" t="n">
        <v>-547</v>
      </c>
      <c r="H188" s="20" t="n">
        <v>-1980</v>
      </c>
      <c r="I188" s="20" t="n">
        <v>-1107</v>
      </c>
      <c r="J188" s="20" t="n">
        <v>-343</v>
      </c>
      <c r="K188" s="20" t="n">
        <v>-497</v>
      </c>
      <c r="L188" s="20" t="n">
        <v>-1633</v>
      </c>
      <c r="M188" s="20" t="n">
        <v>-623</v>
      </c>
      <c r="N188" s="20" t="n">
        <v>-1328</v>
      </c>
      <c r="O188" s="20" t="n">
        <v>-555</v>
      </c>
      <c r="P188" s="20" t="n">
        <v>492</v>
      </c>
      <c r="Q188" s="20" t="n">
        <v>-444</v>
      </c>
      <c r="R188" s="20" t="n">
        <v>461</v>
      </c>
      <c r="S188" s="20" t="n">
        <v>55</v>
      </c>
      <c r="T188" s="20" t="n">
        <v>-619</v>
      </c>
      <c r="U188" s="20" t="n">
        <v>-1657</v>
      </c>
      <c r="V188" s="20" t="n">
        <v>-83</v>
      </c>
      <c r="W188" s="20" t="n">
        <v>-1107</v>
      </c>
      <c r="X188" s="20" t="n">
        <v>-623</v>
      </c>
    </row>
    <row r="189">
      <c r="A189" s="18" t="inlineStr">
        <is>
          <t>매입채무 증감</t>
        </is>
      </c>
      <c r="C189" s="20" t="n">
        <v>-2442</v>
      </c>
      <c r="D189" s="20" t="n">
        <v>-3755</v>
      </c>
      <c r="E189" s="20" t="n">
        <v>-4368</v>
      </c>
      <c r="F189" s="20" t="n">
        <v>-1194</v>
      </c>
      <c r="G189" s="20" t="n">
        <v>-1891</v>
      </c>
      <c r="H189" s="20" t="n">
        <v>-355</v>
      </c>
      <c r="I189" s="20" t="n">
        <v>-209</v>
      </c>
      <c r="J189" s="20" t="n">
        <v>-1956</v>
      </c>
      <c r="K189" s="20" t="n">
        <v>-2056</v>
      </c>
      <c r="L189" s="20" t="n">
        <v>-707</v>
      </c>
      <c r="M189" s="20" t="n">
        <v>-1199</v>
      </c>
      <c r="N189" s="20" t="n">
        <v>-769</v>
      </c>
      <c r="O189" s="20" t="n">
        <v>541</v>
      </c>
      <c r="P189" s="20" t="n">
        <v>276</v>
      </c>
      <c r="Q189" s="20" t="n">
        <v>259</v>
      </c>
      <c r="R189" s="20" t="n">
        <v>-1525</v>
      </c>
      <c r="S189" s="20" t="n">
        <v>8</v>
      </c>
      <c r="T189" s="20" t="n">
        <v>-695</v>
      </c>
      <c r="U189" s="20" t="n">
        <v>1213</v>
      </c>
      <c r="V189" s="20" t="n">
        <v>-4368</v>
      </c>
      <c r="W189" s="20" t="n">
        <v>-209</v>
      </c>
      <c r="X189" s="20" t="n">
        <v>-1199</v>
      </c>
    </row>
    <row r="190">
      <c r="A190" s="18" t="inlineStr">
        <is>
          <t>Increase Decrease In Assets Liabilities Ope CF</t>
        </is>
      </c>
      <c r="O190" s="20" t="n">
        <v>407</v>
      </c>
      <c r="P190" s="20" t="n">
        <v>-141</v>
      </c>
      <c r="Q190" s="20" t="n">
        <v>145</v>
      </c>
      <c r="R190" s="20" t="n">
        <v>-12</v>
      </c>
      <c r="S190" s="20" t="n">
        <v>832</v>
      </c>
      <c r="T190" s="20" t="n">
        <v>-56</v>
      </c>
    </row>
    <row r="191">
      <c r="A191" s="18" t="inlineStr">
        <is>
          <t>기타</t>
        </is>
      </c>
      <c r="C191" s="20" t="n">
        <v>-1011</v>
      </c>
      <c r="D191" s="20" t="n">
        <v>-1084</v>
      </c>
      <c r="E191" s="20" t="n">
        <v>107</v>
      </c>
      <c r="F191" s="20" t="n">
        <v>-1351</v>
      </c>
      <c r="G191" s="20" t="n">
        <v>-837</v>
      </c>
      <c r="H191" s="20" t="n">
        <v>-1234</v>
      </c>
      <c r="I191" s="20" t="n">
        <v>-373</v>
      </c>
      <c r="J191" s="20" t="n">
        <v>-748</v>
      </c>
      <c r="K191" s="20" t="n">
        <v>-614</v>
      </c>
      <c r="L191" s="20" t="n">
        <v>-660</v>
      </c>
      <c r="M191" s="20" t="n">
        <v>48</v>
      </c>
      <c r="N191" s="20" t="n">
        <v>-1296</v>
      </c>
      <c r="O191" s="20" t="n">
        <v>96</v>
      </c>
      <c r="P191" s="20" t="n">
        <v>-59</v>
      </c>
      <c r="Q191" s="20" t="n">
        <v>-234</v>
      </c>
      <c r="R191" s="20" t="n">
        <v>104</v>
      </c>
      <c r="S191" s="20" t="n">
        <v>-265</v>
      </c>
      <c r="T191" s="20" t="n">
        <v>-219</v>
      </c>
      <c r="U191" s="20" t="n">
        <v>-787</v>
      </c>
      <c r="V191" s="20" t="n">
        <v>107</v>
      </c>
      <c r="W191" s="20" t="n">
        <v>-373</v>
      </c>
      <c r="X191" s="20" t="n">
        <v>48</v>
      </c>
    </row>
    <row r="192">
      <c r="A192" s="18" t="inlineStr">
        <is>
          <t>소계</t>
        </is>
      </c>
      <c r="C192" s="20" t="n">
        <v>4924</v>
      </c>
      <c r="D192" s="20" t="n">
        <v>2816</v>
      </c>
      <c r="E192" s="20" t="n">
        <v>3190</v>
      </c>
      <c r="F192" s="20" t="n">
        <v>1288</v>
      </c>
      <c r="G192" s="20" t="n">
        <v>5838</v>
      </c>
      <c r="H192" s="20" t="n">
        <v>4942</v>
      </c>
      <c r="I192" s="20" t="n">
        <v>7995</v>
      </c>
      <c r="J192" s="20" t="n">
        <v>3038</v>
      </c>
      <c r="K192" s="20" t="n">
        <v>6251</v>
      </c>
      <c r="L192" s="20" t="n">
        <v>6467</v>
      </c>
      <c r="M192" s="20" t="n">
        <v>9171</v>
      </c>
      <c r="N192" s="20" t="n">
        <v>2957</v>
      </c>
      <c r="O192" s="20" t="n">
        <v>10849</v>
      </c>
      <c r="P192" s="20" t="n">
        <v>10857</v>
      </c>
      <c r="Q192" s="20" t="n">
        <v>11049</v>
      </c>
      <c r="R192" s="20" t="n">
        <v>12264</v>
      </c>
      <c r="S192" s="20" t="n">
        <v>12215</v>
      </c>
      <c r="T192" s="20" t="n">
        <v>12122</v>
      </c>
      <c r="U192" s="20" t="n">
        <v>7612</v>
      </c>
      <c r="V192" s="20" t="n">
        <v>3190</v>
      </c>
      <c r="W192" s="20" t="n">
        <v>7995</v>
      </c>
      <c r="X192" s="20" t="n">
        <v>9171</v>
      </c>
    </row>
    <row r="193">
      <c r="A193" s="18" t="inlineStr">
        <is>
          <t>이자·배당금 수취</t>
        </is>
      </c>
      <c r="C193" s="20" t="n">
        <v>260</v>
      </c>
      <c r="D193" s="20" t="n">
        <v>338</v>
      </c>
      <c r="E193" s="20" t="n">
        <v>412</v>
      </c>
      <c r="F193" s="20" t="n">
        <v>199</v>
      </c>
      <c r="G193" s="20" t="n">
        <v>300</v>
      </c>
      <c r="H193" s="20" t="n">
        <v>382</v>
      </c>
      <c r="I193" s="20" t="n">
        <v>468</v>
      </c>
      <c r="J193" s="20" t="n">
        <v>249</v>
      </c>
      <c r="K193" s="20" t="n">
        <v>330</v>
      </c>
      <c r="L193" s="20" t="n">
        <v>408</v>
      </c>
      <c r="M193" s="20" t="n">
        <v>530</v>
      </c>
      <c r="N193" s="20" t="n">
        <v>267</v>
      </c>
      <c r="O193" s="20" t="n">
        <v>303</v>
      </c>
      <c r="P193" s="20" t="n">
        <v>306</v>
      </c>
      <c r="Q193" s="20" t="n">
        <v>337</v>
      </c>
      <c r="R193" s="20" t="n">
        <v>386</v>
      </c>
      <c r="S193" s="20" t="n">
        <v>384</v>
      </c>
      <c r="T193" s="20" t="n">
        <v>374</v>
      </c>
      <c r="U193" s="20" t="n">
        <v>408</v>
      </c>
      <c r="V193" s="20" t="n">
        <v>412</v>
      </c>
      <c r="W193" s="20" t="n">
        <v>468</v>
      </c>
      <c r="X193" s="20" t="n">
        <v>530</v>
      </c>
    </row>
    <row r="194">
      <c r="A194" s="18" t="inlineStr">
        <is>
          <t>이자 지급</t>
        </is>
      </c>
      <c r="C194" s="20" t="n">
        <v>-4</v>
      </c>
      <c r="D194" s="20" t="n">
        <v>-5</v>
      </c>
      <c r="E194" s="20" t="n">
        <v>-10</v>
      </c>
      <c r="F194" s="20" t="n">
        <v>-27</v>
      </c>
      <c r="G194" s="20" t="n">
        <v>-107</v>
      </c>
      <c r="H194" s="20" t="n">
        <v>-177</v>
      </c>
      <c r="I194" s="20" t="n">
        <v>-243</v>
      </c>
      <c r="J194" s="20" t="n">
        <v>-57</v>
      </c>
      <c r="K194" s="20" t="n">
        <v>-77</v>
      </c>
      <c r="L194" s="20" t="n">
        <v>-159</v>
      </c>
      <c r="M194" s="20" t="n">
        <v>-216</v>
      </c>
      <c r="N194" s="20" t="n">
        <v>-76</v>
      </c>
      <c r="O194" s="20" t="n">
        <v>-87</v>
      </c>
      <c r="P194" s="20" t="n">
        <v>-50</v>
      </c>
      <c r="Q194" s="20" t="n">
        <v>-53</v>
      </c>
      <c r="R194" s="20" t="n">
        <v>-51</v>
      </c>
      <c r="S194" s="20" t="n">
        <v>-34</v>
      </c>
      <c r="T194" s="20" t="n">
        <v>-39</v>
      </c>
      <c r="U194" s="20" t="n">
        <v>-6</v>
      </c>
      <c r="V194" s="20" t="n">
        <v>-10</v>
      </c>
      <c r="W194" s="20" t="n">
        <v>-243</v>
      </c>
      <c r="X194" s="20" t="n">
        <v>-216</v>
      </c>
    </row>
    <row r="195">
      <c r="A195" s="18" t="inlineStr">
        <is>
          <t>법인세 납부</t>
        </is>
      </c>
      <c r="C195" s="20" t="n">
        <v>-1177</v>
      </c>
      <c r="D195" s="20" t="n">
        <v>-2419</v>
      </c>
      <c r="E195" s="20" t="n">
        <v>-2487</v>
      </c>
      <c r="F195" s="20" t="n">
        <v>-757</v>
      </c>
      <c r="G195" s="20" t="n">
        <v>-761</v>
      </c>
      <c r="H195" s="20" t="n">
        <v>-1844</v>
      </c>
      <c r="I195" s="20" t="n">
        <v>-2009</v>
      </c>
      <c r="J195" s="20" t="n">
        <v>-663</v>
      </c>
      <c r="K195" s="20" t="n">
        <v>-823</v>
      </c>
      <c r="L195" s="20" t="n">
        <v>-1336</v>
      </c>
      <c r="M195" s="20" t="n">
        <v>-1492</v>
      </c>
      <c r="N195" s="20" t="n">
        <v>-1400</v>
      </c>
      <c r="O195" s="20" t="n">
        <v>-2866</v>
      </c>
      <c r="P195" s="20" t="n">
        <v>-3300</v>
      </c>
      <c r="Q195" s="20" t="n">
        <v>-2884</v>
      </c>
      <c r="R195" s="20" t="n">
        <v>-2976</v>
      </c>
      <c r="S195" s="20" t="n">
        <v>-3278</v>
      </c>
      <c r="T195" s="20" t="n">
        <v>-3664</v>
      </c>
      <c r="U195" s="20" t="n">
        <v>-3067</v>
      </c>
      <c r="V195" s="20" t="n">
        <v>-2487</v>
      </c>
      <c r="W195" s="20" t="n">
        <v>-2009</v>
      </c>
      <c r="X195" s="20" t="n">
        <v>-1492</v>
      </c>
    </row>
    <row r="196">
      <c r="A196" s="9" t="inlineStr">
        <is>
          <t>영업활동 현금흐름</t>
        </is>
      </c>
      <c r="C196" s="12" t="n">
        <v>4002</v>
      </c>
      <c r="D196" s="12" t="n">
        <v>730</v>
      </c>
      <c r="E196" s="12" t="n">
        <v>1104</v>
      </c>
      <c r="F196" s="12" t="n">
        <v>702</v>
      </c>
      <c r="G196" s="12" t="n">
        <v>5269</v>
      </c>
      <c r="H196" s="12" t="n">
        <v>3303</v>
      </c>
      <c r="I196" s="12" t="n">
        <v>6211</v>
      </c>
      <c r="J196" s="12" t="n">
        <v>2567</v>
      </c>
      <c r="K196" s="12" t="n">
        <v>5680</v>
      </c>
      <c r="L196" s="12" t="n">
        <v>5380</v>
      </c>
      <c r="M196" s="12" t="n">
        <v>7994</v>
      </c>
      <c r="N196" s="12" t="n">
        <v>1747</v>
      </c>
      <c r="O196" s="12" t="n">
        <v>8198</v>
      </c>
      <c r="P196" s="12" t="n">
        <v>7813</v>
      </c>
      <c r="Q196" s="12" t="n">
        <v>8448</v>
      </c>
      <c r="R196" s="12" t="n">
        <v>9622</v>
      </c>
      <c r="S196" s="12" t="n">
        <v>9286</v>
      </c>
      <c r="T196" s="12" t="n">
        <v>8792</v>
      </c>
      <c r="U196" s="12" t="n">
        <v>4946</v>
      </c>
      <c r="V196" s="12" t="n">
        <v>1104</v>
      </c>
      <c r="W196" s="12" t="n">
        <v>6211</v>
      </c>
      <c r="X196" s="12" t="n">
        <v>7994</v>
      </c>
    </row>
    <row r="197">
      <c r="A197" s="18" t="inlineStr">
        <is>
          <t>유가증권 상환 수입</t>
        </is>
      </c>
      <c r="C197" s="20" t="n">
        <v>700</v>
      </c>
      <c r="D197" s="20" t="n">
        <v>700</v>
      </c>
      <c r="E197" s="20" t="n">
        <v>700</v>
      </c>
      <c r="G197" s="20" t="n">
        <v>0</v>
      </c>
      <c r="H197" s="20" t="n">
        <v>0</v>
      </c>
      <c r="I197" s="20" t="n">
        <v>0</v>
      </c>
      <c r="O197" s="20" t="n">
        <v>300</v>
      </c>
      <c r="P197" s="20" t="n">
        <v>0</v>
      </c>
      <c r="S197" s="20" t="n">
        <v>0</v>
      </c>
      <c r="T197" s="20" t="n">
        <v>400</v>
      </c>
      <c r="U197" s="20" t="n">
        <v>0</v>
      </c>
      <c r="V197" s="20" t="n">
        <v>700</v>
      </c>
      <c r="W197" s="20" t="n">
        <v>0</v>
      </c>
    </row>
    <row r="198">
      <c r="A198" s="18" t="inlineStr">
        <is>
          <t>유형자산 취득(설비투자)</t>
        </is>
      </c>
      <c r="C198" s="20" t="n">
        <v>-800</v>
      </c>
      <c r="D198" s="20" t="n">
        <v>-1135</v>
      </c>
      <c r="E198" s="20" t="n">
        <v>-1788</v>
      </c>
      <c r="F198" s="20" t="n">
        <v>-546</v>
      </c>
      <c r="G198" s="20" t="n">
        <v>-810</v>
      </c>
      <c r="H198" s="20" t="n">
        <v>-1261</v>
      </c>
      <c r="I198" s="20" t="n">
        <v>-2589</v>
      </c>
      <c r="J198" s="20" t="n">
        <v>-1695</v>
      </c>
      <c r="K198" s="20" t="n">
        <v>-3161</v>
      </c>
      <c r="L198" s="20" t="n">
        <v>-3412</v>
      </c>
      <c r="M198" s="20" t="n">
        <v>-4269</v>
      </c>
      <c r="N198" s="20" t="n">
        <v>-189</v>
      </c>
      <c r="O198" s="20" t="n">
        <v>-531</v>
      </c>
      <c r="P198" s="20" t="n">
        <v>-682</v>
      </c>
      <c r="Q198" s="20" t="n">
        <v>-1097</v>
      </c>
      <c r="R198" s="20" t="n">
        <v>-1007</v>
      </c>
      <c r="S198" s="20" t="n">
        <v>-640</v>
      </c>
      <c r="T198" s="20" t="n">
        <v>-1008</v>
      </c>
      <c r="U198" s="20" t="n">
        <v>-1140</v>
      </c>
      <c r="V198" s="20" t="n">
        <v>-1788</v>
      </c>
      <c r="W198" s="20" t="n">
        <v>-2589</v>
      </c>
      <c r="X198" s="20" t="n">
        <v>-4269</v>
      </c>
    </row>
    <row r="199">
      <c r="A199" s="18" t="inlineStr">
        <is>
          <t>유형자산 매각</t>
        </is>
      </c>
      <c r="E199" s="20" t="n">
        <v>38</v>
      </c>
      <c r="I199" s="20" t="n">
        <v>34</v>
      </c>
      <c r="M199" s="20" t="n">
        <v>13</v>
      </c>
      <c r="O199" s="20" t="n">
        <v>13</v>
      </c>
      <c r="P199" s="20" t="n">
        <v>3</v>
      </c>
      <c r="Q199" s="20" t="n">
        <v>9</v>
      </c>
      <c r="R199" s="20" t="n">
        <v>192</v>
      </c>
      <c r="S199" s="20" t="n">
        <v>2</v>
      </c>
      <c r="T199" s="20" t="n">
        <v>4</v>
      </c>
      <c r="U199" s="20" t="n">
        <v>7</v>
      </c>
      <c r="V199" s="20" t="n">
        <v>38</v>
      </c>
      <c r="W199" s="20" t="n">
        <v>34</v>
      </c>
      <c r="X199" s="20" t="n">
        <v>13</v>
      </c>
    </row>
    <row r="200">
      <c r="A200" s="18" t="inlineStr">
        <is>
          <t>무형자산 취득</t>
        </is>
      </c>
      <c r="E200" s="20" t="n">
        <v>-90</v>
      </c>
      <c r="I200" s="20" t="n">
        <v>-657</v>
      </c>
      <c r="O200" s="20" t="n">
        <v>-7</v>
      </c>
      <c r="P200" s="20" t="n">
        <v>-14</v>
      </c>
      <c r="Q200" s="20" t="n">
        <v>-24</v>
      </c>
      <c r="R200" s="20" t="n">
        <v>-99</v>
      </c>
      <c r="S200" s="20" t="n">
        <v>-101</v>
      </c>
      <c r="T200" s="20" t="n">
        <v>-70</v>
      </c>
      <c r="U200" s="20" t="n">
        <v>-82</v>
      </c>
      <c r="V200" s="20" t="n">
        <v>-90</v>
      </c>
      <c r="W200" s="20" t="n">
        <v>-657</v>
      </c>
    </row>
    <row r="201">
      <c r="A201" s="18" t="inlineStr">
        <is>
          <t>Purchase Of Intangible Assets And Long Term Prepaid Expenses Inv CF</t>
        </is>
      </c>
      <c r="I201" s="20" t="n">
        <v>-657</v>
      </c>
      <c r="M201" s="20" t="n">
        <v>-1032</v>
      </c>
      <c r="W201" s="20" t="n">
        <v>-657</v>
      </c>
      <c r="X201" s="20" t="n">
        <v>-1032</v>
      </c>
    </row>
    <row r="202">
      <c r="A202" s="18" t="inlineStr">
        <is>
          <t>투자유가증권 취득</t>
        </is>
      </c>
      <c r="C202" s="20" t="n">
        <v>-341</v>
      </c>
      <c r="D202" s="20" t="n">
        <v>-341</v>
      </c>
      <c r="E202" s="20" t="n">
        <v>-341</v>
      </c>
      <c r="F202" s="20" t="n">
        <v>0</v>
      </c>
      <c r="G202" s="20" t="n">
        <v>0</v>
      </c>
      <c r="H202" s="20" t="n">
        <v>0</v>
      </c>
      <c r="I202" s="20" t="n">
        <v>0</v>
      </c>
      <c r="K202" s="20" t="n">
        <v>-100</v>
      </c>
      <c r="L202" s="20" t="n">
        <v>-129</v>
      </c>
      <c r="M202" s="20" t="n">
        <v>-129</v>
      </c>
      <c r="O202" s="20" t="n">
        <v>-1301</v>
      </c>
      <c r="P202" s="20" t="n">
        <v>-4</v>
      </c>
      <c r="Q202" s="20" t="n">
        <v>0</v>
      </c>
      <c r="R202" s="20" t="n">
        <v>-2212</v>
      </c>
      <c r="S202" s="20" t="n">
        <v>-990</v>
      </c>
      <c r="T202" s="20" t="n">
        <v>-100</v>
      </c>
      <c r="U202" s="20" t="n">
        <v>-200</v>
      </c>
      <c r="V202" s="20" t="n">
        <v>-341</v>
      </c>
      <c r="W202" s="20" t="n">
        <v>0</v>
      </c>
      <c r="X202" s="20" t="n">
        <v>-129</v>
      </c>
    </row>
    <row r="203">
      <c r="A203" s="18" t="inlineStr">
        <is>
          <t>투자유가증권 매각</t>
        </is>
      </c>
      <c r="C203" s="20" t="n">
        <v>359</v>
      </c>
      <c r="D203" s="20" t="n">
        <v>565</v>
      </c>
      <c r="E203" s="20" t="n">
        <v>801</v>
      </c>
      <c r="G203" s="20" t="n">
        <v>80</v>
      </c>
      <c r="H203" s="20" t="n">
        <v>80</v>
      </c>
      <c r="I203" s="20" t="n">
        <v>390</v>
      </c>
      <c r="J203" s="20" t="n">
        <v>4</v>
      </c>
      <c r="K203" s="20" t="n">
        <v>155</v>
      </c>
      <c r="L203" s="20" t="n">
        <v>445</v>
      </c>
      <c r="M203" s="20" t="n">
        <v>445</v>
      </c>
      <c r="N203" s="20" t="n">
        <v>691</v>
      </c>
      <c r="O203" s="20" t="n">
        <v>256</v>
      </c>
      <c r="P203" s="20" t="n">
        <v>42</v>
      </c>
      <c r="Q203" s="20" t="n">
        <v>67</v>
      </c>
      <c r="R203" s="20" t="n">
        <v>27</v>
      </c>
      <c r="S203" s="20" t="n">
        <v>152</v>
      </c>
      <c r="T203" s="20" t="n">
        <v>432</v>
      </c>
      <c r="U203" s="20" t="n">
        <v>1102</v>
      </c>
      <c r="V203" s="20" t="n">
        <v>801</v>
      </c>
      <c r="W203" s="20" t="n">
        <v>390</v>
      </c>
      <c r="X203" s="20" t="n">
        <v>445</v>
      </c>
    </row>
    <row r="204">
      <c r="A204" s="18" t="inlineStr">
        <is>
          <t>Decrease Increase In Short Term Loans Receivable Inv CF</t>
        </is>
      </c>
      <c r="E204" s="20" t="n">
        <v>50</v>
      </c>
      <c r="I204" s="20" t="n">
        <v>6</v>
      </c>
      <c r="M204" s="20" t="n">
        <v>0</v>
      </c>
      <c r="O204" s="20" t="n">
        <v>273</v>
      </c>
      <c r="P204" s="20" t="n">
        <v>-249</v>
      </c>
      <c r="Q204" s="20" t="n">
        <v>-83</v>
      </c>
      <c r="R204" s="20" t="n">
        <v>241</v>
      </c>
      <c r="S204" s="20" t="n">
        <v>1</v>
      </c>
      <c r="T204" s="20" t="n">
        <v>0</v>
      </c>
      <c r="U204" s="20" t="n">
        <v>1</v>
      </c>
      <c r="V204" s="20" t="n">
        <v>50</v>
      </c>
      <c r="W204" s="20" t="n">
        <v>6</v>
      </c>
      <c r="X204" s="20" t="n">
        <v>0</v>
      </c>
    </row>
    <row r="205">
      <c r="A205" s="18" t="inlineStr">
        <is>
          <t>장기대여</t>
        </is>
      </c>
      <c r="E205" s="20" t="n">
        <v>-19</v>
      </c>
      <c r="I205" s="20" t="n">
        <v>-8</v>
      </c>
      <c r="M205" s="20" t="n">
        <v>-14</v>
      </c>
      <c r="O205" s="20" t="n">
        <v>-13</v>
      </c>
      <c r="P205" s="20" t="n">
        <v>-11</v>
      </c>
      <c r="Q205" s="20" t="n">
        <v>-12</v>
      </c>
      <c r="R205" s="20" t="n">
        <v>-14</v>
      </c>
      <c r="S205" s="20" t="n">
        <v>-2</v>
      </c>
      <c r="T205" s="20" t="n">
        <v>-12</v>
      </c>
      <c r="U205" s="20" t="n">
        <v>-10</v>
      </c>
      <c r="V205" s="20" t="n">
        <v>-19</v>
      </c>
      <c r="W205" s="20" t="n">
        <v>-8</v>
      </c>
      <c r="X205" s="20" t="n">
        <v>-14</v>
      </c>
    </row>
    <row r="206">
      <c r="A206" s="18" t="inlineStr">
        <is>
          <t>장기대여금 회수</t>
        </is>
      </c>
      <c r="E206" s="20" t="n">
        <v>7</v>
      </c>
      <c r="I206" s="20" t="n">
        <v>0</v>
      </c>
      <c r="M206" s="20" t="n">
        <v>7</v>
      </c>
      <c r="O206" s="20" t="n">
        <v>17</v>
      </c>
      <c r="P206" s="20" t="n">
        <v>9</v>
      </c>
      <c r="Q206" s="20" t="n">
        <v>10</v>
      </c>
      <c r="R206" s="20" t="n">
        <v>12</v>
      </c>
      <c r="S206" s="20" t="n">
        <v>41</v>
      </c>
      <c r="T206" s="20" t="n">
        <v>32</v>
      </c>
      <c r="U206" s="20" t="n">
        <v>12</v>
      </c>
      <c r="V206" s="20" t="n">
        <v>7</v>
      </c>
      <c r="W206" s="20" t="n">
        <v>0</v>
      </c>
      <c r="X206" s="20" t="n">
        <v>7</v>
      </c>
    </row>
    <row r="207">
      <c r="A207" s="18" t="inlineStr">
        <is>
          <t>Payments Into Increase In Long Term Deposits Inv CF</t>
        </is>
      </c>
      <c r="C207" s="20" t="n">
        <v>0</v>
      </c>
      <c r="D207" s="20" t="n">
        <v>0</v>
      </c>
      <c r="E207" s="20" t="n">
        <v>0</v>
      </c>
      <c r="T207" s="20" t="n">
        <v>-7000</v>
      </c>
      <c r="U207" s="20" t="n">
        <v>-3000</v>
      </c>
      <c r="V207" s="20" t="n">
        <v>0</v>
      </c>
    </row>
    <row r="208">
      <c r="A208" s="18" t="inlineStr">
        <is>
          <t>Proceeds For Long Term Deposits Inv CF</t>
        </is>
      </c>
      <c r="T208" s="20" t="n">
        <v>5000</v>
      </c>
      <c r="U208" s="20" t="n">
        <v>0</v>
      </c>
    </row>
    <row r="209">
      <c r="A209" s="18" t="inlineStr">
        <is>
          <t>Proceeds From Long Term Deposits Inv CF</t>
        </is>
      </c>
      <c r="I209" s="20" t="n">
        <v>0</v>
      </c>
      <c r="M209" s="20" t="n">
        <v>-338</v>
      </c>
      <c r="W209" s="20" t="n">
        <v>0</v>
      </c>
      <c r="X209" s="20" t="n">
        <v>-338</v>
      </c>
    </row>
    <row r="210">
      <c r="A210" s="18" t="inlineStr">
        <is>
          <t>투자유가증권 상환</t>
        </is>
      </c>
      <c r="E210" s="20" t="n">
        <v>0</v>
      </c>
      <c r="I210" s="20" t="n">
        <v>1000</v>
      </c>
      <c r="J210" s="20" t="n">
        <v>0</v>
      </c>
      <c r="M210" s="20" t="n">
        <v>990</v>
      </c>
      <c r="N210" s="20" t="n">
        <v>100</v>
      </c>
      <c r="V210" s="20" t="n">
        <v>0</v>
      </c>
      <c r="W210" s="20" t="n">
        <v>1000</v>
      </c>
      <c r="X210" s="20" t="n">
        <v>990</v>
      </c>
    </row>
    <row r="211">
      <c r="A211" s="18" t="inlineStr">
        <is>
          <t>연결범위 변경 자회사 주식 취득</t>
        </is>
      </c>
      <c r="D211" s="20" t="n">
        <v>-1026</v>
      </c>
      <c r="E211" s="20" t="n">
        <v>-6279</v>
      </c>
      <c r="H211" s="20" t="n">
        <v>-1571</v>
      </c>
      <c r="I211" s="20" t="n">
        <v>-1571</v>
      </c>
      <c r="L211" s="20" t="n">
        <v>0</v>
      </c>
      <c r="M211" s="20" t="n">
        <v>0</v>
      </c>
      <c r="U211" s="20" t="n">
        <v>0</v>
      </c>
      <c r="V211" s="20" t="n">
        <v>-6279</v>
      </c>
      <c r="W211" s="20" t="n">
        <v>-1571</v>
      </c>
      <c r="X211" s="20" t="n">
        <v>0</v>
      </c>
    </row>
    <row r="212">
      <c r="A212" s="18" t="inlineStr">
        <is>
          <t>연결범위 변경 자회사 주식 매각</t>
        </is>
      </c>
      <c r="E212" s="20" t="n">
        <v>0</v>
      </c>
      <c r="T212" s="20" t="n">
        <v>0</v>
      </c>
      <c r="U212" s="20" t="n">
        <v>134</v>
      </c>
      <c r="V212" s="20" t="n">
        <v>0</v>
      </c>
    </row>
    <row r="213">
      <c r="A213" s="18" t="inlineStr">
        <is>
          <t>기타</t>
        </is>
      </c>
      <c r="C213" s="20" t="n">
        <v>1</v>
      </c>
      <c r="D213" s="20" t="n">
        <v>-45</v>
      </c>
      <c r="E213" s="20" t="n">
        <v>-10</v>
      </c>
      <c r="F213" s="20" t="n">
        <v>-103</v>
      </c>
      <c r="G213" s="20" t="n">
        <v>-151</v>
      </c>
      <c r="H213" s="20" t="n">
        <v>-365</v>
      </c>
      <c r="I213" s="20" t="n">
        <v>-2</v>
      </c>
      <c r="J213" s="20" t="n">
        <v>-124</v>
      </c>
      <c r="K213" s="20" t="n">
        <v>-248</v>
      </c>
      <c r="L213" s="20" t="n">
        <v>-696</v>
      </c>
      <c r="M213" s="20" t="n">
        <v>0</v>
      </c>
      <c r="N213" s="20" t="n">
        <v>-288</v>
      </c>
      <c r="O213" s="20" t="n">
        <v>1019</v>
      </c>
      <c r="P213" s="20" t="n">
        <v>33</v>
      </c>
      <c r="Q213" s="20" t="n">
        <v>-1999</v>
      </c>
      <c r="R213" s="20" t="n">
        <v>-1017</v>
      </c>
      <c r="S213" s="20" t="n">
        <v>1000</v>
      </c>
      <c r="T213" s="20" t="n">
        <v>0</v>
      </c>
      <c r="U213" s="20" t="n">
        <v>4</v>
      </c>
      <c r="V213" s="20" t="n">
        <v>-10</v>
      </c>
      <c r="W213" s="20" t="n">
        <v>-2</v>
      </c>
      <c r="X213" s="20" t="n">
        <v>0</v>
      </c>
    </row>
    <row r="214">
      <c r="A214" s="9" t="inlineStr">
        <is>
          <t>투자활동 현금흐름</t>
        </is>
      </c>
      <c r="C214" s="12" t="n">
        <v>-81</v>
      </c>
      <c r="D214" s="12" t="n">
        <v>-1283</v>
      </c>
      <c r="E214" s="12" t="n">
        <v>-6934</v>
      </c>
      <c r="F214" s="12" t="n">
        <v>-650</v>
      </c>
      <c r="G214" s="12" t="n">
        <v>-881</v>
      </c>
      <c r="H214" s="12" t="n">
        <v>-3117</v>
      </c>
      <c r="I214" s="12" t="n">
        <v>-3397</v>
      </c>
      <c r="J214" s="12" t="n">
        <v>-1815</v>
      </c>
      <c r="K214" s="12" t="n">
        <v>-3354</v>
      </c>
      <c r="L214" s="12" t="n">
        <v>-3793</v>
      </c>
      <c r="M214" s="12" t="n">
        <v>-4326</v>
      </c>
      <c r="N214" s="12" t="n">
        <v>312</v>
      </c>
      <c r="O214" s="12" t="n">
        <v>25</v>
      </c>
      <c r="P214" s="12" t="n">
        <v>-873</v>
      </c>
      <c r="Q214" s="12" t="n">
        <v>-3130</v>
      </c>
      <c r="R214" s="12" t="n">
        <v>-3878</v>
      </c>
      <c r="S214" s="12" t="n">
        <v>-538</v>
      </c>
      <c r="T214" s="12" t="n">
        <v>-2322</v>
      </c>
      <c r="U214" s="12" t="n">
        <v>-3170</v>
      </c>
      <c r="V214" s="12" t="n">
        <v>-6934</v>
      </c>
      <c r="W214" s="12" t="n">
        <v>-3397</v>
      </c>
      <c r="X214" s="12" t="n">
        <v>-4326</v>
      </c>
    </row>
    <row r="215">
      <c r="A215" s="18" t="inlineStr">
        <is>
          <t>단기차입금 순증감</t>
        </is>
      </c>
      <c r="C215" s="20" t="n">
        <v>0</v>
      </c>
      <c r="D215" s="20" t="n">
        <v>0</v>
      </c>
      <c r="E215" s="20" t="n">
        <v>9025</v>
      </c>
      <c r="F215" s="20" t="n">
        <v>50</v>
      </c>
      <c r="G215" s="20" t="n">
        <v>-531</v>
      </c>
      <c r="H215" s="20" t="n">
        <v>2557</v>
      </c>
      <c r="I215" s="20" t="n">
        <v>2327</v>
      </c>
      <c r="J215" s="20" t="n">
        <v>-4323</v>
      </c>
      <c r="K215" s="20" t="n">
        <v>-5698</v>
      </c>
      <c r="L215" s="20" t="n">
        <v>-4191</v>
      </c>
      <c r="M215" s="20" t="n">
        <v>-6422</v>
      </c>
      <c r="N215" s="20" t="n">
        <v>-1400</v>
      </c>
      <c r="O215" s="20" t="n">
        <v>-150</v>
      </c>
      <c r="P215" s="20" t="n">
        <v>-300</v>
      </c>
      <c r="Q215" s="20" t="n">
        <v>-150</v>
      </c>
      <c r="R215" s="20" t="n">
        <v>0</v>
      </c>
      <c r="S215" s="20" t="n">
        <v>-300</v>
      </c>
      <c r="T215" s="20" t="n">
        <v>0</v>
      </c>
      <c r="U215" s="20" t="n">
        <v>10</v>
      </c>
      <c r="V215" s="20" t="n">
        <v>9025</v>
      </c>
      <c r="W215" s="20" t="n">
        <v>2327</v>
      </c>
      <c r="X215" s="20" t="n">
        <v>-6422</v>
      </c>
    </row>
    <row r="216">
      <c r="A216" s="18" t="inlineStr">
        <is>
          <t>장기차입</t>
        </is>
      </c>
      <c r="E216" s="20" t="n">
        <v>0</v>
      </c>
      <c r="H216" s="20" t="n">
        <v>0</v>
      </c>
      <c r="I216" s="20" t="n">
        <v>1804</v>
      </c>
      <c r="L216" s="20" t="n">
        <v>2000</v>
      </c>
      <c r="M216" s="20" t="n">
        <v>2000</v>
      </c>
      <c r="V216" s="20" t="n">
        <v>0</v>
      </c>
      <c r="W216" s="20" t="n">
        <v>1804</v>
      </c>
      <c r="X216" s="20" t="n">
        <v>2000</v>
      </c>
    </row>
    <row r="217">
      <c r="A217" s="18" t="inlineStr">
        <is>
          <t>장기차입금 상환</t>
        </is>
      </c>
      <c r="E217" s="20" t="n">
        <v>-14255</v>
      </c>
      <c r="F217" s="20" t="n">
        <v>-9</v>
      </c>
      <c r="G217" s="20" t="n">
        <v>0</v>
      </c>
      <c r="H217" s="20" t="n">
        <v>0</v>
      </c>
      <c r="I217" s="20" t="n">
        <v>0</v>
      </c>
      <c r="K217" s="20" t="n">
        <v>-2</v>
      </c>
      <c r="L217" s="20" t="n">
        <v>-209</v>
      </c>
      <c r="M217" s="20" t="n">
        <v>-211</v>
      </c>
      <c r="U217" s="20" t="n">
        <v>0</v>
      </c>
      <c r="V217" s="20" t="n">
        <v>-14255</v>
      </c>
      <c r="W217" s="20" t="n">
        <v>0</v>
      </c>
      <c r="X217" s="20" t="n">
        <v>-211</v>
      </c>
    </row>
    <row r="218">
      <c r="A218" s="18" t="inlineStr">
        <is>
          <t>Repayments Of Current Portion Of Long Term Borrowings Fin CF</t>
        </is>
      </c>
      <c r="C218" s="20" t="n">
        <v>0</v>
      </c>
      <c r="D218" s="20" t="n">
        <v>0</v>
      </c>
      <c r="E218" s="20" t="n">
        <v>0</v>
      </c>
      <c r="F218" s="20" t="n">
        <v>-9</v>
      </c>
      <c r="G218" s="20" t="n">
        <v>-18</v>
      </c>
      <c r="H218" s="20" t="n">
        <v>-30</v>
      </c>
      <c r="I218" s="20" t="n">
        <v>-37</v>
      </c>
      <c r="J218" s="20" t="n">
        <v>-49</v>
      </c>
      <c r="K218" s="20" t="n">
        <v>-262</v>
      </c>
      <c r="L218" s="20" t="n">
        <v>-220</v>
      </c>
      <c r="M218" s="20" t="n">
        <v>-266</v>
      </c>
      <c r="N218" s="20" t="n">
        <v>-45</v>
      </c>
      <c r="V218" s="20" t="n">
        <v>0</v>
      </c>
      <c r="W218" s="20" t="n">
        <v>-37</v>
      </c>
      <c r="X218" s="20" t="n">
        <v>-266</v>
      </c>
    </row>
    <row r="219">
      <c r="A219" s="18" t="inlineStr">
        <is>
          <t>사채 발행</t>
        </is>
      </c>
      <c r="F219" s="20" t="n">
        <v>0</v>
      </c>
      <c r="G219" s="20" t="n">
        <v>0</v>
      </c>
      <c r="H219" s="20" t="n">
        <v>0</v>
      </c>
      <c r="I219" s="20" t="n">
        <v>0</v>
      </c>
      <c r="J219" s="20" t="n">
        <v>4662</v>
      </c>
      <c r="K219" s="20" t="n">
        <v>4662</v>
      </c>
      <c r="L219" s="20" t="n">
        <v>4662</v>
      </c>
      <c r="M219" s="20" t="n">
        <v>4662</v>
      </c>
      <c r="N219" s="20" t="n">
        <v>0</v>
      </c>
      <c r="W219" s="20" t="n">
        <v>0</v>
      </c>
      <c r="X219" s="20" t="n">
        <v>4662</v>
      </c>
    </row>
    <row r="220">
      <c r="A220" s="18" t="inlineStr">
        <is>
          <t>자기주식 취득</t>
        </is>
      </c>
      <c r="C220" s="20" t="n">
        <v>-16740</v>
      </c>
      <c r="D220" s="20" t="n">
        <v>-16741</v>
      </c>
      <c r="E220" s="20" t="n">
        <v>-16741</v>
      </c>
      <c r="F220" s="20" t="n">
        <v>-1371</v>
      </c>
      <c r="G220" s="20" t="n">
        <v>-3581</v>
      </c>
      <c r="H220" s="20" t="n">
        <v>-3872</v>
      </c>
      <c r="I220" s="20" t="n">
        <v>-4208</v>
      </c>
      <c r="J220" s="20" t="n">
        <v>-259</v>
      </c>
      <c r="K220" s="20" t="n">
        <v>-912</v>
      </c>
      <c r="L220" s="20" t="n">
        <v>-2001</v>
      </c>
      <c r="M220" s="20" t="n">
        <v>-2091</v>
      </c>
      <c r="N220" s="20" t="n">
        <v>0</v>
      </c>
      <c r="O220" s="20" t="n">
        <v>-0</v>
      </c>
      <c r="P220" s="20" t="n">
        <v>-1</v>
      </c>
      <c r="Q220" s="20" t="n">
        <v>-1</v>
      </c>
      <c r="R220" s="20" t="n">
        <v>-2415</v>
      </c>
      <c r="S220" s="20" t="n">
        <v>-802</v>
      </c>
      <c r="T220" s="20" t="n">
        <v>-4307</v>
      </c>
      <c r="U220" s="20" t="n">
        <v>-1409</v>
      </c>
      <c r="V220" s="20" t="n">
        <v>-16741</v>
      </c>
      <c r="W220" s="20" t="n">
        <v>-4208</v>
      </c>
      <c r="X220" s="20" t="n">
        <v>-2091</v>
      </c>
    </row>
    <row r="221">
      <c r="A221" s="18" t="inlineStr">
        <is>
          <t>연결범위 변경 없는 자회사 주식 취득</t>
        </is>
      </c>
      <c r="E221" s="20" t="n">
        <v>0</v>
      </c>
      <c r="O221" s="20" t="n">
        <v>-418</v>
      </c>
      <c r="P221" s="20" t="n">
        <v>0</v>
      </c>
      <c r="Q221" s="20" t="n">
        <v>-0</v>
      </c>
      <c r="R221" s="20" t="n">
        <v>0</v>
      </c>
      <c r="T221" s="20" t="n">
        <v>0</v>
      </c>
      <c r="U221" s="20" t="n">
        <v>-92</v>
      </c>
      <c r="V221" s="20" t="n">
        <v>0</v>
      </c>
    </row>
    <row r="222">
      <c r="A222" s="18" t="inlineStr">
        <is>
          <t>배당금 지급</t>
        </is>
      </c>
      <c r="C222" s="20" t="n">
        <v>-1287</v>
      </c>
      <c r="D222" s="20" t="n">
        <v>-2370</v>
      </c>
      <c r="E222" s="20" t="n">
        <v>-2367</v>
      </c>
      <c r="F222" s="20" t="n">
        <v>-1051</v>
      </c>
      <c r="G222" s="20" t="n">
        <v>-1046</v>
      </c>
      <c r="H222" s="20" t="n">
        <v>-2144</v>
      </c>
      <c r="I222" s="20" t="n">
        <v>-2140</v>
      </c>
      <c r="J222" s="20" t="n">
        <v>-1086</v>
      </c>
      <c r="K222" s="20" t="n">
        <v>-1082</v>
      </c>
      <c r="L222" s="20" t="n">
        <v>-2185</v>
      </c>
      <c r="M222" s="20" t="n">
        <v>-2185</v>
      </c>
      <c r="N222" s="20" t="n">
        <v>-1084</v>
      </c>
      <c r="O222" s="20" t="n">
        <v>-1643</v>
      </c>
      <c r="P222" s="20" t="n">
        <v>-1819</v>
      </c>
      <c r="Q222" s="20" t="n">
        <v>-1998</v>
      </c>
      <c r="R222" s="20" t="n">
        <v>-2223</v>
      </c>
      <c r="S222" s="20" t="n">
        <v>-2211</v>
      </c>
      <c r="T222" s="20" t="n">
        <v>-2481</v>
      </c>
      <c r="U222" s="20" t="n">
        <v>-2646</v>
      </c>
      <c r="V222" s="20" t="n">
        <v>-2367</v>
      </c>
      <c r="W222" s="20" t="n">
        <v>-2140</v>
      </c>
      <c r="X222" s="20" t="n">
        <v>-2185</v>
      </c>
    </row>
    <row r="223">
      <c r="A223" s="18" t="inlineStr">
        <is>
          <t>기타</t>
        </is>
      </c>
      <c r="C223" s="20" t="n">
        <v>-71</v>
      </c>
      <c r="D223" s="20" t="n">
        <v>-74</v>
      </c>
      <c r="E223" s="20" t="n">
        <v>-72</v>
      </c>
      <c r="F223" s="20" t="n">
        <v>-57</v>
      </c>
      <c r="G223" s="20" t="n">
        <v>-81</v>
      </c>
      <c r="H223" s="20" t="n">
        <v>-104</v>
      </c>
      <c r="I223" s="20" t="n">
        <v>-128</v>
      </c>
      <c r="J223" s="20" t="n">
        <v>-49</v>
      </c>
      <c r="K223" s="20" t="n">
        <v>-80</v>
      </c>
      <c r="L223" s="20" t="n">
        <v>-96</v>
      </c>
      <c r="M223" s="20" t="n">
        <v>-119</v>
      </c>
      <c r="N223" s="20" t="n">
        <v>-46</v>
      </c>
      <c r="O223" s="20" t="n">
        <v>-48</v>
      </c>
      <c r="P223" s="20" t="n">
        <v>-42</v>
      </c>
      <c r="Q223" s="20" t="n">
        <v>-45</v>
      </c>
      <c r="R223" s="20" t="n">
        <v>-56</v>
      </c>
      <c r="S223" s="20" t="n">
        <v>-62</v>
      </c>
      <c r="T223" s="20" t="n">
        <v>-82</v>
      </c>
      <c r="U223" s="20" t="n">
        <v>-94</v>
      </c>
      <c r="V223" s="20" t="n">
        <v>-72</v>
      </c>
      <c r="W223" s="20" t="n">
        <v>-128</v>
      </c>
      <c r="X223" s="20" t="n">
        <v>-119</v>
      </c>
    </row>
    <row r="224">
      <c r="A224" s="9" t="inlineStr">
        <is>
          <t>재무활동 현금흐름</t>
        </is>
      </c>
      <c r="C224" s="12" t="n">
        <v>-18098</v>
      </c>
      <c r="D224" s="12" t="n">
        <v>-19186</v>
      </c>
      <c r="E224" s="12" t="n">
        <v>-24409</v>
      </c>
      <c r="F224" s="12" t="n">
        <v>-2439</v>
      </c>
      <c r="G224" s="12" t="n">
        <v>-5260</v>
      </c>
      <c r="H224" s="12" t="n">
        <v>-3594</v>
      </c>
      <c r="I224" s="12" t="n">
        <v>-2382</v>
      </c>
      <c r="J224" s="12" t="n">
        <v>-1106</v>
      </c>
      <c r="K224" s="12" t="n">
        <v>-3376</v>
      </c>
      <c r="L224" s="12" t="n">
        <v>-2240</v>
      </c>
      <c r="M224" s="12" t="n">
        <v>-4634</v>
      </c>
      <c r="N224" s="12" t="n">
        <v>-2576</v>
      </c>
      <c r="O224" s="12" t="n">
        <v>-2260</v>
      </c>
      <c r="P224" s="12" t="n">
        <v>-2164</v>
      </c>
      <c r="Q224" s="12" t="n">
        <v>-2195</v>
      </c>
      <c r="R224" s="12" t="n">
        <v>-4695</v>
      </c>
      <c r="S224" s="12" t="n">
        <v>-3377</v>
      </c>
      <c r="T224" s="12" t="n">
        <v>-6870</v>
      </c>
      <c r="U224" s="12" t="n">
        <v>-4233</v>
      </c>
      <c r="V224" s="12" t="n">
        <v>-24409</v>
      </c>
      <c r="W224" s="12" t="n">
        <v>-2382</v>
      </c>
      <c r="X224" s="12" t="n">
        <v>-4634</v>
      </c>
    </row>
    <row r="225">
      <c r="A225" s="18" t="inlineStr">
        <is>
          <t>현금성자산 환산차이</t>
        </is>
      </c>
      <c r="C225" s="20" t="n">
        <v>386</v>
      </c>
      <c r="D225" s="20" t="n">
        <v>430</v>
      </c>
      <c r="E225" s="20" t="n">
        <v>501</v>
      </c>
      <c r="F225" s="20" t="n">
        <v>36</v>
      </c>
      <c r="G225" s="20" t="n">
        <v>340</v>
      </c>
      <c r="H225" s="20" t="n">
        <v>-41</v>
      </c>
      <c r="I225" s="20" t="n">
        <v>244</v>
      </c>
      <c r="J225" s="20" t="n">
        <v>-212</v>
      </c>
      <c r="K225" s="20" t="n">
        <v>-125</v>
      </c>
      <c r="L225" s="20" t="n">
        <v>82</v>
      </c>
      <c r="M225" s="20" t="n">
        <v>426</v>
      </c>
      <c r="N225" s="20" t="n">
        <v>-20</v>
      </c>
      <c r="O225" s="20" t="n">
        <v>-109</v>
      </c>
      <c r="P225" s="20" t="n">
        <v>107</v>
      </c>
      <c r="Q225" s="20" t="n">
        <v>-90</v>
      </c>
      <c r="R225" s="20" t="n">
        <v>-21</v>
      </c>
      <c r="S225" s="20" t="n">
        <v>9</v>
      </c>
      <c r="T225" s="20" t="n">
        <v>145</v>
      </c>
      <c r="U225" s="20" t="n">
        <v>330</v>
      </c>
      <c r="V225" s="20" t="n">
        <v>501</v>
      </c>
      <c r="W225" s="20" t="n">
        <v>244</v>
      </c>
      <c r="X225" s="20" t="n">
        <v>426</v>
      </c>
    </row>
    <row r="226">
      <c r="A226" s="18" t="inlineStr">
        <is>
          <t>현금성자산 증감</t>
        </is>
      </c>
      <c r="C226" s="20" t="n">
        <v>-13791</v>
      </c>
      <c r="D226" s="20" t="n">
        <v>-19309</v>
      </c>
      <c r="E226" s="20" t="n">
        <v>-29737</v>
      </c>
      <c r="F226" s="20" t="n">
        <v>-2350</v>
      </c>
      <c r="G226" s="20" t="n">
        <v>-532</v>
      </c>
      <c r="H226" s="20" t="n">
        <v>-3450</v>
      </c>
      <c r="I226" s="20" t="n">
        <v>675</v>
      </c>
      <c r="J226" s="20" t="n">
        <v>-566</v>
      </c>
      <c r="K226" s="20" t="n">
        <v>-1176</v>
      </c>
      <c r="L226" s="20" t="n">
        <v>-571</v>
      </c>
      <c r="M226" s="20" t="n">
        <v>-540</v>
      </c>
      <c r="N226" s="20" t="n">
        <v>-536</v>
      </c>
      <c r="O226" s="20" t="n">
        <v>5853</v>
      </c>
      <c r="P226" s="20" t="n">
        <v>4882</v>
      </c>
      <c r="Q226" s="20" t="n">
        <v>3032</v>
      </c>
      <c r="R226" s="20" t="n">
        <v>1027</v>
      </c>
      <c r="S226" s="20" t="n">
        <v>5379</v>
      </c>
      <c r="T226" s="20" t="n">
        <v>-254</v>
      </c>
      <c r="U226" s="20" t="n">
        <v>-2126</v>
      </c>
      <c r="V226" s="20" t="n">
        <v>-29737</v>
      </c>
      <c r="W226" s="20" t="n">
        <v>675</v>
      </c>
      <c r="X226" s="20" t="n">
        <v>-540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4212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50043</v>
      </c>
      <c r="D5" s="12" t="n">
        <v>49196</v>
      </c>
      <c r="E5" s="12" t="n">
        <v>53881</v>
      </c>
      <c r="F5" s="12" t="n">
        <v>57479</v>
      </c>
      <c r="G5" s="12" t="n">
        <v>54635</v>
      </c>
      <c r="H5" s="11" t="n">
        <v>79540</v>
      </c>
      <c r="I5" s="12" t="n">
        <v>81062</v>
      </c>
      <c r="J5" s="12" t="n">
        <v>53371</v>
      </c>
      <c r="K5" s="12" t="n">
        <v>54941</v>
      </c>
      <c r="L5" s="12" t="n">
        <v>57479</v>
      </c>
    </row>
    <row r="6">
      <c r="A6" s="18" t="inlineStr">
        <is>
          <t>현금및현금성자산</t>
        </is>
      </c>
      <c r="B6" s="10" t="n"/>
      <c r="C6" s="19" t="n">
        <v>15275</v>
      </c>
      <c r="D6" s="20" t="n">
        <v>14666</v>
      </c>
      <c r="E6" s="20" t="n">
        <v>15270</v>
      </c>
      <c r="F6" s="20" t="n">
        <v>18302</v>
      </c>
      <c r="G6" s="20" t="n">
        <v>17765</v>
      </c>
      <c r="H6" s="19" t="n">
        <v>47031</v>
      </c>
      <c r="I6" s="20" t="n">
        <v>44905</v>
      </c>
      <c r="J6" s="20" t="n">
        <v>15167</v>
      </c>
      <c r="K6" s="20" t="n">
        <v>15842</v>
      </c>
      <c r="L6" s="20" t="n">
        <v>18302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>
        <v>699</v>
      </c>
      <c r="J7" s="20" t="n">
        <v>0</v>
      </c>
      <c r="K7" s="20" t="n"/>
      <c r="L7" s="20" t="n"/>
    </row>
    <row r="8">
      <c r="A8" s="18" t="inlineStr">
        <is>
          <t>매출채권</t>
        </is>
      </c>
      <c r="B8" s="10" t="n"/>
      <c r="C8" s="19" t="n">
        <v>12254</v>
      </c>
      <c r="D8" s="20" t="n">
        <v>12224</v>
      </c>
      <c r="E8" s="20" t="n">
        <v>12390</v>
      </c>
      <c r="F8" s="20" t="n">
        <v>14722</v>
      </c>
      <c r="G8" s="20" t="n">
        <v>11332</v>
      </c>
      <c r="H8" s="19" t="n">
        <v>17000</v>
      </c>
      <c r="I8" s="20" t="n">
        <v>16901</v>
      </c>
      <c r="J8" s="20" t="n">
        <v>16044</v>
      </c>
      <c r="K8" s="20" t="n">
        <v>16971</v>
      </c>
      <c r="L8" s="20" t="n">
        <v>14722</v>
      </c>
    </row>
    <row r="9">
      <c r="A9" s="18" t="inlineStr">
        <is>
          <t>재고자산</t>
        </is>
      </c>
      <c r="B9" s="10" t="n"/>
      <c r="C9" s="19" t="n">
        <v>12486</v>
      </c>
      <c r="D9" s="20" t="n">
        <v>12731</v>
      </c>
      <c r="E9" s="20" t="n">
        <v>13941</v>
      </c>
      <c r="F9" s="20" t="n">
        <v>13103</v>
      </c>
      <c r="G9" s="20" t="n">
        <v>14416</v>
      </c>
      <c r="H9" s="19" t="n">
        <v>7266</v>
      </c>
      <c r="I9" s="20" t="n">
        <v>8905</v>
      </c>
      <c r="J9" s="20" t="n">
        <v>10922</v>
      </c>
      <c r="K9" s="20" t="n">
        <v>12199</v>
      </c>
      <c r="L9" s="20" t="n">
        <v>13103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84393</v>
      </c>
      <c r="D11" s="12" t="n">
        <v>86243</v>
      </c>
      <c r="E11" s="12" t="n">
        <v>87196</v>
      </c>
      <c r="F11" s="12" t="n">
        <v>85089</v>
      </c>
      <c r="G11" s="12" t="n">
        <v>86724</v>
      </c>
      <c r="H11" s="11" t="n">
        <v>56066</v>
      </c>
      <c r="I11" s="12" t="n">
        <v>58303</v>
      </c>
      <c r="J11" s="12" t="n">
        <v>81647</v>
      </c>
      <c r="K11" s="12" t="n">
        <v>84642</v>
      </c>
      <c r="L11" s="12" t="n">
        <v>85089</v>
      </c>
    </row>
    <row r="12">
      <c r="A12" s="18" t="inlineStr">
        <is>
          <t>유형자산</t>
        </is>
      </c>
      <c r="B12" s="10" t="n"/>
      <c r="C12" s="19" t="n">
        <v>21678</v>
      </c>
      <c r="D12" s="20" t="n">
        <v>22612</v>
      </c>
      <c r="E12" s="20" t="n">
        <v>22615</v>
      </c>
      <c r="F12" s="20" t="n">
        <v>22455</v>
      </c>
      <c r="G12" s="20" t="n">
        <v>23103</v>
      </c>
      <c r="H12" s="19" t="n">
        <v>14094</v>
      </c>
      <c r="I12" s="20" t="n">
        <v>14271</v>
      </c>
      <c r="J12" s="20" t="n">
        <v>18651</v>
      </c>
      <c r="K12" s="20" t="n">
        <v>21430</v>
      </c>
      <c r="L12" s="20" t="n">
        <v>22455</v>
      </c>
    </row>
    <row r="13">
      <c r="A13" s="18" t="inlineStr">
        <is>
          <t>무형자산</t>
        </is>
      </c>
      <c r="B13" s="10" t="n"/>
      <c r="C13" s="19" t="n">
        <v>18131</v>
      </c>
      <c r="D13" s="20" t="n">
        <v>18494</v>
      </c>
      <c r="E13" s="20" t="n">
        <v>19149</v>
      </c>
      <c r="F13" s="20" t="n">
        <v>19759</v>
      </c>
      <c r="G13" s="20" t="n">
        <v>19419</v>
      </c>
      <c r="H13" s="19" t="n">
        <v>249</v>
      </c>
      <c r="I13" s="20" t="n">
        <v>254</v>
      </c>
      <c r="J13" s="20" t="n">
        <v>17916</v>
      </c>
      <c r="K13" s="20" t="n">
        <v>19019</v>
      </c>
      <c r="L13" s="20" t="n">
        <v>19759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134436</v>
      </c>
      <c r="D16" s="12" t="n">
        <v>135439</v>
      </c>
      <c r="E16" s="12" t="n">
        <v>141077</v>
      </c>
      <c r="F16" s="12" t="n">
        <v>142568</v>
      </c>
      <c r="G16" s="12" t="n">
        <v>141359</v>
      </c>
      <c r="H16" s="11" t="n">
        <v>135606</v>
      </c>
      <c r="I16" s="12" t="n">
        <v>139366</v>
      </c>
      <c r="J16" s="12" t="n">
        <v>135018</v>
      </c>
      <c r="K16" s="12" t="n">
        <v>139583</v>
      </c>
      <c r="L16" s="12" t="n">
        <v>142568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25897</v>
      </c>
      <c r="D18" s="12" t="n">
        <v>25439</v>
      </c>
      <c r="E18" s="12" t="n">
        <v>28818</v>
      </c>
      <c r="F18" s="12" t="n">
        <v>26240</v>
      </c>
      <c r="G18" s="12" t="n">
        <v>24018</v>
      </c>
      <c r="H18" s="11" t="n">
        <v>23139</v>
      </c>
      <c r="I18" s="12" t="n">
        <v>24038</v>
      </c>
      <c r="J18" s="12" t="n">
        <v>30061</v>
      </c>
      <c r="K18" s="12" t="n">
        <v>34035</v>
      </c>
      <c r="L18" s="12" t="n">
        <v>26240</v>
      </c>
    </row>
    <row r="19">
      <c r="A19" s="18" t="inlineStr">
        <is>
          <t>매입채무</t>
        </is>
      </c>
      <c r="B19" s="10" t="n"/>
      <c r="C19" s="19" t="n">
        <v>6948</v>
      </c>
      <c r="D19" s="20" t="n">
        <v>6681</v>
      </c>
      <c r="E19" s="20" t="n">
        <v>7723</v>
      </c>
      <c r="F19" s="20" t="n">
        <v>7875</v>
      </c>
      <c r="G19" s="20" t="n">
        <v>7330</v>
      </c>
      <c r="H19" s="19" t="n">
        <v>8234</v>
      </c>
      <c r="I19" s="20" t="n">
        <v>8592</v>
      </c>
      <c r="J19" s="20" t="n">
        <v>7924</v>
      </c>
      <c r="K19" s="20" t="n">
        <v>8703</v>
      </c>
      <c r="L19" s="20" t="n">
        <v>7875</v>
      </c>
    </row>
    <row r="20">
      <c r="A20" s="18" t="inlineStr">
        <is>
          <t>단기차입금</t>
        </is>
      </c>
      <c r="B20" s="10" t="n"/>
      <c r="C20" s="19" t="n">
        <v>7924</v>
      </c>
      <c r="D20" s="20" t="n">
        <v>6569</v>
      </c>
      <c r="E20" s="20" t="n">
        <v>8100</v>
      </c>
      <c r="F20" s="20" t="n">
        <v>5900</v>
      </c>
      <c r="G20" s="20" t="n">
        <v>4500</v>
      </c>
      <c r="H20" s="19" t="n">
        <v>1000</v>
      </c>
      <c r="I20" s="20" t="n">
        <v>900</v>
      </c>
      <c r="J20" s="20" t="n">
        <v>9963</v>
      </c>
      <c r="K20" s="20" t="n">
        <v>12284</v>
      </c>
      <c r="L20" s="20" t="n">
        <v>5900</v>
      </c>
    </row>
    <row r="21">
      <c r="A21" s="18" t="inlineStr">
        <is>
          <t>유동성장기부채</t>
        </is>
      </c>
      <c r="B21" s="10" t="n"/>
      <c r="C21" s="19" t="n">
        <v>216</v>
      </c>
      <c r="D21" s="20" t="n">
        <v>224</v>
      </c>
      <c r="E21" s="20" t="n">
        <v>191</v>
      </c>
      <c r="F21" s="20" t="n">
        <v>184</v>
      </c>
      <c r="G21" s="20" t="n">
        <v>183</v>
      </c>
      <c r="H21" s="19" t="n"/>
      <c r="I21" s="20" t="n"/>
      <c r="J21" s="20" t="n">
        <v>37</v>
      </c>
      <c r="K21" s="20" t="n">
        <v>219</v>
      </c>
      <c r="L21" s="20" t="n">
        <v>184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12406</v>
      </c>
      <c r="D23" s="12" t="n">
        <v>12596</v>
      </c>
      <c r="E23" s="12" t="n">
        <v>14863</v>
      </c>
      <c r="F23" s="12" t="n">
        <v>15224</v>
      </c>
      <c r="G23" s="12" t="n">
        <v>15452</v>
      </c>
      <c r="H23" s="11" t="n">
        <v>4079</v>
      </c>
      <c r="I23" s="12" t="n">
        <v>3738</v>
      </c>
      <c r="J23" s="12" t="n">
        <v>6127</v>
      </c>
      <c r="K23" s="12" t="n">
        <v>8106</v>
      </c>
      <c r="L23" s="12" t="n">
        <v>15224</v>
      </c>
    </row>
    <row r="24">
      <c r="A24" s="18" t="inlineStr">
        <is>
          <t>장기차입금</t>
        </is>
      </c>
      <c r="B24" s="10" t="n"/>
      <c r="C24" s="19" t="n">
        <v>1653</v>
      </c>
      <c r="D24" s="20" t="n">
        <v>1505</v>
      </c>
      <c r="E24" s="20" t="n">
        <v>3421</v>
      </c>
      <c r="F24" s="20" t="n">
        <v>3474</v>
      </c>
      <c r="G24" s="20" t="n">
        <v>3421</v>
      </c>
      <c r="H24" s="19" t="n"/>
      <c r="I24" s="20" t="n">
        <v>0</v>
      </c>
      <c r="J24" s="20" t="n">
        <v>139</v>
      </c>
      <c r="K24" s="20" t="n">
        <v>1734</v>
      </c>
      <c r="L24" s="20" t="n">
        <v>3474</v>
      </c>
    </row>
    <row r="25">
      <c r="A25" s="18" t="inlineStr">
        <is>
          <t>사채</t>
        </is>
      </c>
      <c r="B25" s="10" t="n"/>
      <c r="C25" s="19" t="n">
        <v>4700</v>
      </c>
      <c r="D25" s="20" t="n">
        <v>4700</v>
      </c>
      <c r="E25" s="20" t="n">
        <v>4700</v>
      </c>
      <c r="F25" s="20" t="n">
        <v>4700</v>
      </c>
      <c r="G25" s="20" t="n">
        <v>4700</v>
      </c>
      <c r="H25" s="19" t="n"/>
      <c r="I25" s="20" t="n"/>
      <c r="J25" s="20" t="n"/>
      <c r="K25" s="20" t="n">
        <v>0</v>
      </c>
      <c r="L25" s="20" t="n">
        <v>4700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38304</v>
      </c>
      <c r="D27" s="12" t="n">
        <v>38035</v>
      </c>
      <c r="E27" s="12" t="n">
        <v>43682</v>
      </c>
      <c r="F27" s="12" t="n">
        <v>41464</v>
      </c>
      <c r="G27" s="12" t="n">
        <v>39471</v>
      </c>
      <c r="H27" s="11" t="n">
        <v>27218</v>
      </c>
      <c r="I27" s="12" t="n">
        <v>27776</v>
      </c>
      <c r="J27" s="12" t="n">
        <v>36189</v>
      </c>
      <c r="K27" s="12" t="n">
        <v>42141</v>
      </c>
      <c r="L27" s="12" t="n">
        <v>41464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94395</v>
      </c>
      <c r="D31" s="12" t="n">
        <v>95655</v>
      </c>
      <c r="E31" s="12" t="n">
        <v>95617</v>
      </c>
      <c r="F31" s="12" t="n">
        <v>99247</v>
      </c>
      <c r="G31" s="12" t="n">
        <v>100059</v>
      </c>
      <c r="H31" s="11" t="n">
        <v>106818</v>
      </c>
      <c r="I31" s="12" t="n">
        <v>110009</v>
      </c>
      <c r="J31" s="12" t="n">
        <v>97172</v>
      </c>
      <c r="K31" s="12" t="n">
        <v>95670</v>
      </c>
      <c r="L31" s="12" t="n">
        <v>99247</v>
      </c>
    </row>
    <row r="32">
      <c r="A32" s="18" t="inlineStr">
        <is>
          <t>자본금</t>
        </is>
      </c>
      <c r="B32" s="10" t="n"/>
      <c r="C32" s="19" t="n">
        <v>12334</v>
      </c>
      <c r="D32" s="20" t="n">
        <v>12334</v>
      </c>
      <c r="E32" s="20" t="n">
        <v>12334</v>
      </c>
      <c r="F32" s="20" t="n">
        <v>12334</v>
      </c>
      <c r="G32" s="20" t="n">
        <v>12334</v>
      </c>
      <c r="H32" s="19" t="n">
        <v>12334</v>
      </c>
      <c r="I32" s="20" t="n">
        <v>12334</v>
      </c>
      <c r="J32" s="20" t="n">
        <v>12334</v>
      </c>
      <c r="K32" s="20" t="n">
        <v>12334</v>
      </c>
      <c r="L32" s="20" t="n">
        <v>12334</v>
      </c>
    </row>
    <row r="33">
      <c r="A33" s="18" t="inlineStr">
        <is>
          <t>이익잉여금</t>
        </is>
      </c>
      <c r="B33" s="10" t="n"/>
      <c r="C33" s="19" t="n">
        <v>63542</v>
      </c>
      <c r="D33" s="20" t="n">
        <v>64394</v>
      </c>
      <c r="E33" s="20" t="n">
        <v>64567</v>
      </c>
      <c r="F33" s="20" t="n">
        <v>66149</v>
      </c>
      <c r="G33" s="20" t="n">
        <v>66097</v>
      </c>
      <c r="H33" s="19" t="n">
        <v>81741</v>
      </c>
      <c r="I33" s="20" t="n">
        <v>85738</v>
      </c>
      <c r="J33" s="20" t="n">
        <v>66481</v>
      </c>
      <c r="K33" s="20" t="n">
        <v>64366</v>
      </c>
      <c r="L33" s="20" t="n">
        <v>66149</v>
      </c>
    </row>
    <row r="34">
      <c r="A34" s="18" t="inlineStr">
        <is>
          <t>비지배지분</t>
        </is>
      </c>
      <c r="B34" s="10" t="n"/>
      <c r="C34" s="19" t="n">
        <v>1737</v>
      </c>
      <c r="D34" s="20" t="n">
        <v>1749</v>
      </c>
      <c r="E34" s="20" t="n">
        <v>1778</v>
      </c>
      <c r="F34" s="20" t="n">
        <v>1856</v>
      </c>
      <c r="G34" s="20" t="n">
        <v>1829</v>
      </c>
      <c r="H34" s="19" t="n">
        <v>1569</v>
      </c>
      <c r="I34" s="20" t="n">
        <v>1580</v>
      </c>
      <c r="J34" s="20" t="n">
        <v>1657</v>
      </c>
      <c r="K34" s="20" t="n">
        <v>1771</v>
      </c>
      <c r="L34" s="20" t="n">
        <v>1856</v>
      </c>
    </row>
    <row r="35">
      <c r="A35" s="9" t="inlineStr">
        <is>
          <t>자본총계</t>
        </is>
      </c>
      <c r="B35" s="10" t="n"/>
      <c r="C35" s="11" t="n">
        <v>96132</v>
      </c>
      <c r="D35" s="12" t="n">
        <v>97404</v>
      </c>
      <c r="E35" s="12" t="n">
        <v>97395</v>
      </c>
      <c r="F35" s="12" t="n">
        <v>101103</v>
      </c>
      <c r="G35" s="12" t="n">
        <v>101888</v>
      </c>
      <c r="H35" s="11" t="n">
        <v>108387</v>
      </c>
      <c r="I35" s="12" t="n">
        <v>111589</v>
      </c>
      <c r="J35" s="12" t="n">
        <v>98829</v>
      </c>
      <c r="K35" s="12" t="n">
        <v>97441</v>
      </c>
      <c r="L35" s="12" t="n">
        <v>101103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8076</v>
      </c>
      <c r="D37" s="12" t="n">
        <v>6622</v>
      </c>
      <c r="E37" s="12" t="n">
        <v>8288</v>
      </c>
      <c r="F37" s="12" t="n">
        <v>7994</v>
      </c>
      <c r="G37" s="12" t="n">
        <v>7174</v>
      </c>
      <c r="H37" s="11" t="n">
        <v>8792</v>
      </c>
      <c r="I37" s="12" t="n">
        <v>4946</v>
      </c>
      <c r="J37" s="12" t="n">
        <v>1104</v>
      </c>
      <c r="K37" s="12" t="n">
        <v>6211</v>
      </c>
      <c r="L37" s="12" t="n">
        <v>7994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3738</v>
      </c>
      <c r="D38" s="20" t="n">
        <v>4940</v>
      </c>
      <c r="E38" s="20" t="n">
        <v>4740</v>
      </c>
      <c r="F38" s="20" t="n">
        <v>4269</v>
      </c>
      <c r="G38" s="20" t="n">
        <v>2763</v>
      </c>
      <c r="H38" s="19" t="n">
        <v>1078</v>
      </c>
      <c r="I38" s="20" t="n">
        <v>1222</v>
      </c>
      <c r="J38" s="20" t="n">
        <v>1878</v>
      </c>
      <c r="K38" s="20" t="n">
        <v>3246</v>
      </c>
      <c r="L38" s="20" t="n">
        <v>4269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2175</v>
      </c>
      <c r="D40" s="20" t="n">
        <v>2176</v>
      </c>
      <c r="E40" s="20" t="n">
        <v>2181</v>
      </c>
      <c r="F40" s="20" t="n">
        <v>2185</v>
      </c>
      <c r="G40" s="20" t="n">
        <v>2183</v>
      </c>
      <c r="H40" s="19" t="n">
        <v>2481</v>
      </c>
      <c r="I40" s="20" t="n">
        <v>2646</v>
      </c>
      <c r="J40" s="20" t="n">
        <v>2367</v>
      </c>
      <c r="K40" s="20" t="n">
        <v>2140</v>
      </c>
      <c r="L40" s="20" t="n">
        <v>2185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IFERROR(IF((IF(COUNT('연간'!G47:J47)&lt;4,"",SUM('연간'!G47:J47)))&lt;=0,"적자",C28/(IF(COUNT('연간'!G47:J47)&lt;4,"",SUM('연간'!G47:J47)))),"")</f>
        <v/>
      </c>
      <c r="D49" s="47">
        <f>IFERROR(IF((IF(COUNT('연간'!H47:K47)&lt;4,"",SUM('연간'!H47:K47)))&lt;=0,"적자",D28/(IF(COUNT('연간'!H47:K47)&lt;4,"",SUM('연간'!H47:K47)))),"")</f>
        <v/>
      </c>
      <c r="E49" s="47">
        <f>IFERROR(IF((IF(COUNT('연간'!I47:L47)&lt;4,"",SUM('연간'!I47:L47)))&lt;=0,"적자",E28/(IF(COUNT('연간'!I47:L47)&lt;4,"",SUM('연간'!I47:L47)))),"")</f>
        <v/>
      </c>
      <c r="F49" s="47">
        <f>IFERROR(IF((IF(COUNT('연간'!J47:M47)&lt;4,"",SUM('연간'!J47:M47)))&lt;=0,"적자",F28/(IF(COUNT('연간'!J47:M47)&lt;4,"",SUM('연간'!J47:M47)))),"")</f>
        <v/>
      </c>
      <c r="G49" s="47">
        <f>IFERROR(IF((IF(COUNT('연간'!K47:N47)&lt;4,"",SUM('연간'!K47:N47)))&lt;=0,"적자",G28/(IF(COUNT('연간'!K47:N47)&lt;4,"",SUM('연간'!K47:N47)))),"")</f>
        <v/>
      </c>
      <c r="H49" s="46">
        <f>IFERROR(IF(('연간'!T47)&lt;=0,"적자",H28/('연간'!T47)),"")</f>
        <v/>
      </c>
      <c r="I49" s="47">
        <f>IFERROR(IF(('연간'!U47)&lt;=0,"적자",I28/('연간'!U47)),"")</f>
        <v/>
      </c>
      <c r="J49" s="47">
        <f>IFERROR(IF(('연간'!V47)&lt;=0,"적자",J28/('연간'!V47)),"")</f>
        <v/>
      </c>
      <c r="K49" s="47">
        <f>IFERROR(IF(('연간'!W47)&lt;=0,"적자",K28/('연간'!W47)),"")</f>
        <v/>
      </c>
      <c r="L49" s="47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15275</v>
      </c>
      <c r="D71" s="20" t="n">
        <v>14666</v>
      </c>
      <c r="E71" s="20" t="n">
        <v>15270</v>
      </c>
      <c r="F71" s="20" t="n">
        <v>18302</v>
      </c>
      <c r="G71" s="20" t="n">
        <v>17765</v>
      </c>
      <c r="H71" s="20" t="n">
        <v>47031</v>
      </c>
      <c r="I71" s="20" t="n">
        <v>44905</v>
      </c>
      <c r="J71" s="20" t="n">
        <v>15167</v>
      </c>
      <c r="K71" s="20" t="n">
        <v>15842</v>
      </c>
      <c r="L71" s="20" t="n">
        <v>18302</v>
      </c>
    </row>
    <row r="72">
      <c r="A72" s="18" t="inlineStr">
        <is>
          <t>받을어음</t>
        </is>
      </c>
      <c r="F72" s="20" t="n">
        <v>1123</v>
      </c>
      <c r="H72" s="20" t="n">
        <v>4355</v>
      </c>
      <c r="I72" s="20" t="n">
        <v>3751</v>
      </c>
      <c r="J72" s="20" t="n">
        <v>3165</v>
      </c>
      <c r="K72" s="20" t="n">
        <v>2967</v>
      </c>
      <c r="L72" s="20" t="n">
        <v>1123</v>
      </c>
    </row>
    <row r="73">
      <c r="A73" s="18" t="inlineStr">
        <is>
          <t>매출채권</t>
        </is>
      </c>
      <c r="F73" s="20" t="n">
        <v>13598</v>
      </c>
      <c r="H73" s="20" t="n">
        <v>12645</v>
      </c>
      <c r="I73" s="20" t="n">
        <v>13150</v>
      </c>
      <c r="J73" s="20" t="n">
        <v>12879</v>
      </c>
      <c r="K73" s="20" t="n">
        <v>14004</v>
      </c>
      <c r="L73" s="20" t="n">
        <v>13598</v>
      </c>
    </row>
    <row r="74">
      <c r="A74" s="18" t="inlineStr">
        <is>
          <t>받을어음·매출채권</t>
        </is>
      </c>
      <c r="C74" s="20" t="n">
        <v>12254</v>
      </c>
      <c r="D74" s="20" t="n">
        <v>12224</v>
      </c>
      <c r="E74" s="20" t="n">
        <v>12390</v>
      </c>
      <c r="F74" s="20" t="n">
        <v>14722</v>
      </c>
      <c r="G74" s="20" t="n">
        <v>11332</v>
      </c>
      <c r="H74" s="20" t="n">
        <v>17000</v>
      </c>
      <c r="I74" s="20" t="n">
        <v>16901</v>
      </c>
      <c r="J74" s="20" t="n">
        <v>16044</v>
      </c>
      <c r="K74" s="20" t="n">
        <v>16971</v>
      </c>
      <c r="L74" s="20" t="n">
        <v>14722</v>
      </c>
    </row>
    <row r="75">
      <c r="A75" s="18" t="inlineStr">
        <is>
          <t>전자기록채권</t>
        </is>
      </c>
      <c r="C75" s="20" t="n">
        <v>8315</v>
      </c>
      <c r="D75" s="20" t="n">
        <v>7821</v>
      </c>
      <c r="E75" s="20" t="n">
        <v>10279</v>
      </c>
      <c r="F75" s="20" t="n">
        <v>9864</v>
      </c>
      <c r="G75" s="20" t="n">
        <v>9305</v>
      </c>
      <c r="H75" s="20" t="n">
        <v>7012</v>
      </c>
      <c r="I75" s="20" t="n">
        <v>8220</v>
      </c>
      <c r="J75" s="20" t="n">
        <v>9783</v>
      </c>
      <c r="K75" s="20" t="n">
        <v>8532</v>
      </c>
      <c r="L75" s="20" t="n">
        <v>9864</v>
      </c>
    </row>
    <row r="76">
      <c r="A76" s="18" t="inlineStr">
        <is>
          <t>유가증권</t>
        </is>
      </c>
      <c r="H76" s="20" t="n">
        <v>0</v>
      </c>
      <c r="I76" s="20" t="n">
        <v>699</v>
      </c>
      <c r="J76" s="20" t="n">
        <v>0</v>
      </c>
    </row>
    <row r="77">
      <c r="A77" s="18" t="inlineStr">
        <is>
          <t>상품·제품</t>
        </is>
      </c>
      <c r="C77" s="20" t="n">
        <v>4958</v>
      </c>
      <c r="D77" s="20" t="n">
        <v>4664</v>
      </c>
      <c r="E77" s="20" t="n">
        <v>5083</v>
      </c>
      <c r="F77" s="20" t="n">
        <v>5031</v>
      </c>
      <c r="G77" s="20" t="n">
        <v>5437</v>
      </c>
      <c r="H77" s="20" t="n">
        <v>2513</v>
      </c>
      <c r="I77" s="20" t="n">
        <v>3210</v>
      </c>
      <c r="J77" s="20" t="n">
        <v>4394</v>
      </c>
      <c r="K77" s="20" t="n">
        <v>4435</v>
      </c>
      <c r="L77" s="20" t="n">
        <v>5031</v>
      </c>
    </row>
    <row r="78">
      <c r="A78" s="18" t="inlineStr">
        <is>
          <t>재공품</t>
        </is>
      </c>
      <c r="C78" s="20" t="n">
        <v>2152</v>
      </c>
      <c r="D78" s="20" t="n">
        <v>2425</v>
      </c>
      <c r="E78" s="20" t="n">
        <v>2877</v>
      </c>
      <c r="F78" s="20" t="n">
        <v>2284</v>
      </c>
      <c r="G78" s="20" t="n">
        <v>2605</v>
      </c>
      <c r="H78" s="20" t="n">
        <v>1096</v>
      </c>
      <c r="I78" s="20" t="n">
        <v>1382</v>
      </c>
      <c r="J78" s="20" t="n">
        <v>1557</v>
      </c>
      <c r="K78" s="20" t="n">
        <v>2159</v>
      </c>
      <c r="L78" s="20" t="n">
        <v>2284</v>
      </c>
    </row>
    <row r="79">
      <c r="A79" s="18" t="inlineStr">
        <is>
          <t>원재료·저장품</t>
        </is>
      </c>
      <c r="C79" s="20" t="n">
        <v>5376</v>
      </c>
      <c r="D79" s="20" t="n">
        <v>5642</v>
      </c>
      <c r="E79" s="20" t="n">
        <v>5981</v>
      </c>
      <c r="F79" s="20" t="n">
        <v>5788</v>
      </c>
      <c r="G79" s="20" t="n">
        <v>6374</v>
      </c>
      <c r="H79" s="20" t="n">
        <v>3657</v>
      </c>
      <c r="I79" s="20" t="n">
        <v>4313</v>
      </c>
      <c r="J79" s="20" t="n">
        <v>4971</v>
      </c>
      <c r="K79" s="20" t="n">
        <v>5605</v>
      </c>
      <c r="L79" s="20" t="n">
        <v>5788</v>
      </c>
    </row>
    <row r="80">
      <c r="A80" s="18" t="inlineStr">
        <is>
          <t>기타</t>
        </is>
      </c>
      <c r="C80" s="20" t="n">
        <v>1735</v>
      </c>
      <c r="D80" s="20" t="n">
        <v>1775</v>
      </c>
      <c r="E80" s="20" t="n">
        <v>2027</v>
      </c>
      <c r="F80" s="20" t="n">
        <v>1523</v>
      </c>
      <c r="G80" s="20" t="n">
        <v>1838</v>
      </c>
      <c r="H80" s="20" t="n">
        <v>1251</v>
      </c>
      <c r="I80" s="20" t="n">
        <v>1453</v>
      </c>
      <c r="J80" s="20" t="n">
        <v>1477</v>
      </c>
      <c r="K80" s="20" t="n">
        <v>1431</v>
      </c>
      <c r="L80" s="20" t="n">
        <v>1523</v>
      </c>
    </row>
    <row r="81">
      <c r="A81" s="18" t="inlineStr">
        <is>
          <t>대손충당금</t>
        </is>
      </c>
      <c r="C81" s="20" t="n">
        <v>-25</v>
      </c>
      <c r="D81" s="20" t="n">
        <v>-24</v>
      </c>
      <c r="E81" s="20" t="n">
        <v>-28</v>
      </c>
      <c r="F81" s="20" t="n">
        <v>-36</v>
      </c>
      <c r="G81" s="20" t="n">
        <v>-24</v>
      </c>
      <c r="H81" s="20" t="n">
        <v>-24</v>
      </c>
      <c r="I81" s="20" t="n">
        <v>-25</v>
      </c>
      <c r="J81" s="20" t="n">
        <v>-26</v>
      </c>
      <c r="K81" s="20" t="n">
        <v>-36</v>
      </c>
      <c r="L81" s="20" t="n">
        <v>-36</v>
      </c>
    </row>
    <row r="82">
      <c r="A82" s="9" t="inlineStr">
        <is>
          <t>유동자산 합계</t>
        </is>
      </c>
      <c r="C82" s="12" t="n">
        <v>50043</v>
      </c>
      <c r="D82" s="12" t="n">
        <v>49196</v>
      </c>
      <c r="E82" s="12" t="n">
        <v>53881</v>
      </c>
      <c r="F82" s="12" t="n">
        <v>57479</v>
      </c>
      <c r="G82" s="12" t="n">
        <v>54635</v>
      </c>
      <c r="H82" s="12" t="n">
        <v>79540</v>
      </c>
      <c r="I82" s="12" t="n">
        <v>81062</v>
      </c>
      <c r="J82" s="12" t="n">
        <v>53371</v>
      </c>
      <c r="K82" s="12" t="n">
        <v>54941</v>
      </c>
      <c r="L82" s="12" t="n">
        <v>57479</v>
      </c>
    </row>
    <row r="83">
      <c r="A83" s="18" t="inlineStr">
        <is>
          <t>건물·구축물(순액)</t>
        </is>
      </c>
      <c r="F83" s="20" t="n">
        <v>7696</v>
      </c>
      <c r="H83" s="20" t="n">
        <v>3802</v>
      </c>
      <c r="I83" s="20" t="n">
        <v>3737</v>
      </c>
      <c r="J83" s="20" t="n">
        <v>5196</v>
      </c>
      <c r="K83" s="20" t="n">
        <v>6145</v>
      </c>
      <c r="L83" s="20" t="n">
        <v>7696</v>
      </c>
    </row>
    <row r="84">
      <c r="A84" s="18" t="inlineStr">
        <is>
          <t>기계장치·운반구(순액)</t>
        </is>
      </c>
      <c r="F84" s="20" t="n">
        <v>5280</v>
      </c>
      <c r="H84" s="20" t="n">
        <v>2654</v>
      </c>
      <c r="I84" s="20" t="n">
        <v>2920</v>
      </c>
      <c r="J84" s="20" t="n">
        <v>4362</v>
      </c>
      <c r="K84" s="20" t="n">
        <v>5034</v>
      </c>
      <c r="L84" s="20" t="n">
        <v>5280</v>
      </c>
    </row>
    <row r="85">
      <c r="A85" s="18" t="inlineStr">
        <is>
          <t>토지</t>
        </is>
      </c>
      <c r="F85" s="20" t="n">
        <v>8415</v>
      </c>
      <c r="H85" s="20" t="n">
        <v>7273</v>
      </c>
      <c r="I85" s="20" t="n">
        <v>7262</v>
      </c>
      <c r="J85" s="20" t="n">
        <v>8158</v>
      </c>
      <c r="K85" s="20" t="n">
        <v>8284</v>
      </c>
      <c r="L85" s="20" t="n">
        <v>8415</v>
      </c>
    </row>
    <row r="86">
      <c r="A86" s="18" t="inlineStr">
        <is>
          <t>기타(순액)</t>
        </is>
      </c>
      <c r="F86" s="20" t="n">
        <v>1062</v>
      </c>
      <c r="H86" s="20" t="n">
        <v>364</v>
      </c>
      <c r="I86" s="20" t="n">
        <v>351</v>
      </c>
      <c r="J86" s="20" t="n">
        <v>933</v>
      </c>
      <c r="K86" s="20" t="n">
        <v>1965</v>
      </c>
      <c r="L86" s="20" t="n">
        <v>1062</v>
      </c>
    </row>
    <row r="87">
      <c r="A87" s="18" t="inlineStr">
        <is>
          <t>유형자산</t>
        </is>
      </c>
      <c r="C87" s="20" t="n">
        <v>21678</v>
      </c>
      <c r="D87" s="20" t="n">
        <v>22612</v>
      </c>
      <c r="E87" s="20" t="n">
        <v>22615</v>
      </c>
      <c r="F87" s="20" t="n">
        <v>22455</v>
      </c>
      <c r="G87" s="20" t="n">
        <v>23103</v>
      </c>
      <c r="H87" s="20" t="n">
        <v>14094</v>
      </c>
      <c r="I87" s="20" t="n">
        <v>14271</v>
      </c>
      <c r="J87" s="20" t="n">
        <v>18651</v>
      </c>
      <c r="K87" s="20" t="n">
        <v>21430</v>
      </c>
      <c r="L87" s="20" t="n">
        <v>22455</v>
      </c>
    </row>
    <row r="88">
      <c r="A88" s="18" t="inlineStr">
        <is>
          <t>영업권</t>
        </is>
      </c>
      <c r="C88" s="20" t="n">
        <v>12447</v>
      </c>
      <c r="D88" s="20" t="n">
        <v>12571</v>
      </c>
      <c r="E88" s="20" t="n">
        <v>12068</v>
      </c>
      <c r="F88" s="20" t="n">
        <v>12290</v>
      </c>
      <c r="G88" s="20" t="n">
        <v>11835</v>
      </c>
      <c r="I88" s="20" t="n">
        <v>0</v>
      </c>
      <c r="J88" s="20" t="n">
        <v>12641</v>
      </c>
      <c r="K88" s="20" t="n">
        <v>12556</v>
      </c>
      <c r="L88" s="20" t="n">
        <v>12290</v>
      </c>
    </row>
    <row r="89">
      <c r="A89" s="18" t="inlineStr">
        <is>
          <t>고객관계자산</t>
        </is>
      </c>
      <c r="C89" s="20" t="n">
        <v>4690</v>
      </c>
      <c r="D89" s="20" t="n">
        <v>4813</v>
      </c>
      <c r="E89" s="20" t="n">
        <v>5494</v>
      </c>
      <c r="F89" s="20" t="n">
        <v>5646</v>
      </c>
      <c r="G89" s="20" t="n">
        <v>5500</v>
      </c>
      <c r="J89" s="20" t="n">
        <v>4992</v>
      </c>
      <c r="K89" s="20" t="n">
        <v>5562</v>
      </c>
      <c r="L89" s="20" t="n">
        <v>5646</v>
      </c>
    </row>
    <row r="90">
      <c r="A90" s="18" t="inlineStr">
        <is>
          <t>기타</t>
        </is>
      </c>
      <c r="C90" s="20" t="n">
        <v>993</v>
      </c>
      <c r="D90" s="20" t="n">
        <v>1108</v>
      </c>
      <c r="E90" s="20" t="n">
        <v>1585</v>
      </c>
      <c r="F90" s="20" t="n">
        <v>1822</v>
      </c>
      <c r="G90" s="20" t="n">
        <v>2083</v>
      </c>
      <c r="I90" s="20" t="n">
        <v>254</v>
      </c>
      <c r="J90" s="20" t="n">
        <v>281</v>
      </c>
      <c r="K90" s="20" t="n">
        <v>901</v>
      </c>
      <c r="L90" s="20" t="n">
        <v>1822</v>
      </c>
    </row>
    <row r="91">
      <c r="A91" s="18" t="inlineStr">
        <is>
          <t>무형자산 합계</t>
        </is>
      </c>
      <c r="C91" s="20" t="n">
        <v>18131</v>
      </c>
      <c r="D91" s="20" t="n">
        <v>18494</v>
      </c>
      <c r="E91" s="20" t="n">
        <v>19149</v>
      </c>
      <c r="F91" s="20" t="n">
        <v>19759</v>
      </c>
      <c r="G91" s="20" t="n">
        <v>19419</v>
      </c>
      <c r="H91" s="20" t="n">
        <v>249</v>
      </c>
      <c r="I91" s="20" t="n">
        <v>254</v>
      </c>
      <c r="J91" s="20" t="n">
        <v>17916</v>
      </c>
      <c r="K91" s="20" t="n">
        <v>19019</v>
      </c>
      <c r="L91" s="20" t="n">
        <v>19759</v>
      </c>
    </row>
    <row r="92">
      <c r="A92" s="18" t="inlineStr">
        <is>
          <t>투자유가증권</t>
        </is>
      </c>
      <c r="C92" s="20" t="n">
        <v>16399</v>
      </c>
      <c r="D92" s="20" t="n">
        <v>16892</v>
      </c>
      <c r="E92" s="20" t="n">
        <v>17170</v>
      </c>
      <c r="F92" s="20" t="n">
        <v>17290</v>
      </c>
      <c r="G92" s="20" t="n">
        <v>18523</v>
      </c>
      <c r="H92" s="20" t="n">
        <v>17276</v>
      </c>
      <c r="I92" s="20" t="n">
        <v>16375</v>
      </c>
      <c r="J92" s="20" t="n">
        <v>17528</v>
      </c>
      <c r="K92" s="20" t="n">
        <v>16062</v>
      </c>
      <c r="L92" s="20" t="n">
        <v>17290</v>
      </c>
    </row>
    <row r="93">
      <c r="A93" s="18" t="inlineStr">
        <is>
          <t>Long Term Time Deposits IOA</t>
        </is>
      </c>
      <c r="C93" s="20" t="n">
        <v>25500</v>
      </c>
      <c r="D93" s="20" t="n">
        <v>25500</v>
      </c>
      <c r="F93" s="20" t="n">
        <v>22868</v>
      </c>
      <c r="G93" s="20" t="n">
        <v>22866</v>
      </c>
      <c r="H93" s="20" t="n">
        <v>22500</v>
      </c>
      <c r="I93" s="20" t="n">
        <v>25500</v>
      </c>
      <c r="J93" s="20" t="n">
        <v>25500</v>
      </c>
      <c r="K93" s="20" t="n">
        <v>25500</v>
      </c>
      <c r="L93" s="20" t="n">
        <v>22868</v>
      </c>
    </row>
    <row r="94">
      <c r="A94" s="18" t="inlineStr">
        <is>
          <t>이연법인세자산</t>
        </is>
      </c>
      <c r="H94" s="20" t="n">
        <v>480</v>
      </c>
      <c r="I94" s="20" t="n">
        <v>407</v>
      </c>
      <c r="J94" s="20" t="n">
        <v>532</v>
      </c>
      <c r="K94" s="20" t="n">
        <v>490</v>
      </c>
    </row>
    <row r="95">
      <c r="A95" s="18" t="inlineStr">
        <is>
          <t>퇴직급여자산</t>
        </is>
      </c>
      <c r="C95" s="20" t="n">
        <v>1476</v>
      </c>
      <c r="D95" s="20" t="n">
        <v>1493</v>
      </c>
      <c r="E95" s="20" t="n">
        <v>1510</v>
      </c>
      <c r="F95" s="20" t="n">
        <v>1543</v>
      </c>
      <c r="G95" s="20" t="n">
        <v>1560</v>
      </c>
      <c r="H95" s="20" t="n">
        <v>824</v>
      </c>
      <c r="I95" s="20" t="n">
        <v>902</v>
      </c>
      <c r="J95" s="20" t="n">
        <v>1065</v>
      </c>
      <c r="K95" s="20" t="n">
        <v>1459</v>
      </c>
      <c r="L95" s="20" t="n">
        <v>1543</v>
      </c>
    </row>
    <row r="96">
      <c r="A96" s="18" t="inlineStr">
        <is>
          <t>Longtermtimedeposits IOA</t>
        </is>
      </c>
      <c r="E96" s="20" t="n">
        <v>25500</v>
      </c>
      <c r="H96" s="20" t="n">
        <v>22500</v>
      </c>
      <c r="I96" s="20" t="n">
        <v>25500</v>
      </c>
      <c r="J96" s="20" t="n">
        <v>25500</v>
      </c>
      <c r="K96" s="20" t="n">
        <v>25500</v>
      </c>
    </row>
    <row r="97">
      <c r="A97" s="18" t="inlineStr">
        <is>
          <t>기타</t>
        </is>
      </c>
      <c r="C97" s="20" t="n">
        <v>1385</v>
      </c>
      <c r="D97" s="20" t="n">
        <v>1432</v>
      </c>
      <c r="E97" s="20" t="n">
        <v>1442</v>
      </c>
      <c r="F97" s="20" t="n">
        <v>1371</v>
      </c>
      <c r="G97" s="20" t="n">
        <v>1453</v>
      </c>
      <c r="H97" s="20" t="n">
        <v>1209</v>
      </c>
      <c r="I97" s="20" t="n">
        <v>1194</v>
      </c>
      <c r="J97" s="20" t="n">
        <v>1118</v>
      </c>
      <c r="K97" s="20" t="n">
        <v>1365</v>
      </c>
      <c r="L97" s="20" t="n">
        <v>1371</v>
      </c>
    </row>
    <row r="98">
      <c r="A98" s="18" t="inlineStr">
        <is>
          <t>대손충당금</t>
        </is>
      </c>
      <c r="C98" s="20" t="n">
        <v>-178</v>
      </c>
      <c r="D98" s="20" t="n">
        <v>-183</v>
      </c>
      <c r="E98" s="20" t="n">
        <v>-192</v>
      </c>
      <c r="F98" s="20" t="n">
        <v>-199</v>
      </c>
      <c r="G98" s="20" t="n">
        <v>-202</v>
      </c>
      <c r="H98" s="20" t="n">
        <v>-568</v>
      </c>
      <c r="I98" s="20" t="n">
        <v>-601</v>
      </c>
      <c r="J98" s="20" t="n">
        <v>-665</v>
      </c>
      <c r="K98" s="20" t="n">
        <v>-195</v>
      </c>
      <c r="L98" s="20" t="n">
        <v>-199</v>
      </c>
    </row>
    <row r="99">
      <c r="A99" s="18" t="inlineStr">
        <is>
          <t>투자 및 기타자산 합계</t>
        </is>
      </c>
      <c r="C99" s="20" t="n">
        <v>44583</v>
      </c>
      <c r="D99" s="20" t="n">
        <v>45135</v>
      </c>
      <c r="E99" s="20" t="n">
        <v>45431</v>
      </c>
      <c r="F99" s="20" t="n">
        <v>42873</v>
      </c>
      <c r="G99" s="20" t="n">
        <v>44201</v>
      </c>
      <c r="H99" s="20" t="n">
        <v>41722</v>
      </c>
      <c r="I99" s="20" t="n">
        <v>43778</v>
      </c>
      <c r="J99" s="20" t="n">
        <v>45079</v>
      </c>
      <c r="K99" s="20" t="n">
        <v>44192</v>
      </c>
      <c r="L99" s="20" t="n">
        <v>42873</v>
      </c>
    </row>
    <row r="100">
      <c r="A100" s="9" t="inlineStr">
        <is>
          <t>비유동자산 합계</t>
        </is>
      </c>
      <c r="C100" s="12" t="n">
        <v>84393</v>
      </c>
      <c r="D100" s="12" t="n">
        <v>86243</v>
      </c>
      <c r="E100" s="12" t="n">
        <v>87196</v>
      </c>
      <c r="F100" s="12" t="n">
        <v>85089</v>
      </c>
      <c r="G100" s="12" t="n">
        <v>86724</v>
      </c>
      <c r="H100" s="12" t="n">
        <v>56066</v>
      </c>
      <c r="I100" s="12" t="n">
        <v>58303</v>
      </c>
      <c r="J100" s="12" t="n">
        <v>81647</v>
      </c>
      <c r="K100" s="12" t="n">
        <v>84642</v>
      </c>
      <c r="L100" s="12" t="n">
        <v>85089</v>
      </c>
    </row>
    <row r="101">
      <c r="A101" s="9" t="inlineStr">
        <is>
          <t>자산 합계</t>
        </is>
      </c>
      <c r="C101" s="12" t="n">
        <v>134436</v>
      </c>
      <c r="D101" s="12" t="n">
        <v>135439</v>
      </c>
      <c r="E101" s="12" t="n">
        <v>141077</v>
      </c>
      <c r="F101" s="12" t="n">
        <v>142568</v>
      </c>
      <c r="G101" s="12" t="n">
        <v>141359</v>
      </c>
      <c r="H101" s="12" t="n">
        <v>135606</v>
      </c>
      <c r="I101" s="12" t="n">
        <v>139366</v>
      </c>
      <c r="J101" s="12" t="n">
        <v>135018</v>
      </c>
      <c r="K101" s="12" t="n">
        <v>139583</v>
      </c>
      <c r="L101" s="12" t="n">
        <v>142568</v>
      </c>
    </row>
    <row r="102">
      <c r="A102" s="18" t="inlineStr">
        <is>
          <t>지급어음·매입채무</t>
        </is>
      </c>
      <c r="C102" s="20" t="n">
        <v>6948</v>
      </c>
      <c r="D102" s="20" t="n">
        <v>6681</v>
      </c>
      <c r="E102" s="20" t="n">
        <v>7723</v>
      </c>
      <c r="F102" s="20" t="n">
        <v>7875</v>
      </c>
      <c r="G102" s="20" t="n">
        <v>7330</v>
      </c>
      <c r="H102" s="20" t="n">
        <v>8234</v>
      </c>
      <c r="I102" s="20" t="n">
        <v>8592</v>
      </c>
      <c r="J102" s="20" t="n">
        <v>7924</v>
      </c>
      <c r="K102" s="20" t="n">
        <v>8703</v>
      </c>
      <c r="L102" s="20" t="n">
        <v>7875</v>
      </c>
    </row>
    <row r="103">
      <c r="A103" s="18" t="inlineStr">
        <is>
          <t>전자기록채무</t>
        </is>
      </c>
      <c r="C103" s="20" t="n">
        <v>3045</v>
      </c>
      <c r="D103" s="20" t="n">
        <v>2628</v>
      </c>
      <c r="E103" s="20" t="n">
        <v>3509</v>
      </c>
      <c r="F103" s="20" t="n">
        <v>2351</v>
      </c>
      <c r="G103" s="20" t="n">
        <v>2793</v>
      </c>
      <c r="H103" s="20" t="n">
        <v>5532</v>
      </c>
      <c r="I103" s="20" t="n">
        <v>6532</v>
      </c>
      <c r="J103" s="20" t="n">
        <v>3022</v>
      </c>
      <c r="K103" s="20" t="n">
        <v>3398</v>
      </c>
      <c r="L103" s="20" t="n">
        <v>2351</v>
      </c>
    </row>
    <row r="104">
      <c r="A104" s="18" t="inlineStr">
        <is>
          <t>단기차입금</t>
        </is>
      </c>
      <c r="C104" s="20" t="n">
        <v>7924</v>
      </c>
      <c r="D104" s="20" t="n">
        <v>6569</v>
      </c>
      <c r="E104" s="20" t="n">
        <v>8100</v>
      </c>
      <c r="F104" s="20" t="n">
        <v>5900</v>
      </c>
      <c r="G104" s="20" t="n">
        <v>4500</v>
      </c>
      <c r="H104" s="20" t="n">
        <v>1000</v>
      </c>
      <c r="I104" s="20" t="n">
        <v>900</v>
      </c>
      <c r="J104" s="20" t="n">
        <v>9963</v>
      </c>
      <c r="K104" s="20" t="n">
        <v>12284</v>
      </c>
      <c r="L104" s="20" t="n">
        <v>5900</v>
      </c>
    </row>
    <row r="105">
      <c r="A105" s="18" t="inlineStr">
        <is>
          <t>1년 내 상환 장기차입금</t>
        </is>
      </c>
      <c r="C105" s="20" t="n">
        <v>216</v>
      </c>
      <c r="D105" s="20" t="n">
        <v>224</v>
      </c>
      <c r="E105" s="20" t="n">
        <v>191</v>
      </c>
      <c r="F105" s="20" t="n">
        <v>184</v>
      </c>
      <c r="G105" s="20" t="n">
        <v>183</v>
      </c>
      <c r="J105" s="20" t="n">
        <v>37</v>
      </c>
      <c r="K105" s="20" t="n">
        <v>219</v>
      </c>
      <c r="L105" s="20" t="n">
        <v>184</v>
      </c>
    </row>
    <row r="106">
      <c r="A106" s="18" t="inlineStr">
        <is>
          <t>미지급금</t>
        </is>
      </c>
      <c r="F106" s="20" t="n">
        <v>1271</v>
      </c>
      <c r="H106" s="20" t="n">
        <v>1602</v>
      </c>
      <c r="I106" s="20" t="n">
        <v>1347</v>
      </c>
      <c r="J106" s="20" t="n">
        <v>1601</v>
      </c>
      <c r="K106" s="20" t="n">
        <v>2004</v>
      </c>
      <c r="L106" s="20" t="n">
        <v>1271</v>
      </c>
    </row>
    <row r="107">
      <c r="A107" s="18" t="inlineStr">
        <is>
          <t>미지급법인세</t>
        </is>
      </c>
      <c r="F107" s="20" t="n">
        <v>1946</v>
      </c>
      <c r="H107" s="20" t="n">
        <v>1582</v>
      </c>
      <c r="I107" s="20" t="n">
        <v>1334</v>
      </c>
      <c r="J107" s="20" t="n">
        <v>1027</v>
      </c>
      <c r="K107" s="20" t="n">
        <v>951</v>
      </c>
      <c r="L107" s="20" t="n">
        <v>1946</v>
      </c>
    </row>
    <row r="108">
      <c r="A108" s="18" t="inlineStr">
        <is>
          <t>상여충당금</t>
        </is>
      </c>
      <c r="F108" s="20" t="n">
        <v>1103</v>
      </c>
      <c r="H108" s="20" t="n">
        <v>788</v>
      </c>
      <c r="I108" s="20" t="n">
        <v>797</v>
      </c>
      <c r="J108" s="20" t="n">
        <v>1022</v>
      </c>
      <c r="K108" s="20" t="n">
        <v>1044</v>
      </c>
      <c r="L108" s="20" t="n">
        <v>1103</v>
      </c>
    </row>
    <row r="109">
      <c r="A109" s="18" t="inlineStr">
        <is>
          <t>임원 상여충당금</t>
        </is>
      </c>
      <c r="F109" s="20" t="n">
        <v>112</v>
      </c>
      <c r="H109" s="20" t="n">
        <v>119</v>
      </c>
      <c r="I109" s="20" t="n">
        <v>105</v>
      </c>
      <c r="J109" s="20" t="n">
        <v>122</v>
      </c>
      <c r="K109" s="20" t="n">
        <v>125</v>
      </c>
      <c r="L109" s="20" t="n">
        <v>112</v>
      </c>
    </row>
    <row r="110">
      <c r="A110" s="18" t="inlineStr">
        <is>
          <t>충당금</t>
        </is>
      </c>
      <c r="C110" s="20" t="n">
        <v>604</v>
      </c>
      <c r="D110" s="20" t="n">
        <v>1090</v>
      </c>
      <c r="E110" s="20" t="n">
        <v>741</v>
      </c>
      <c r="F110" s="20" t="n">
        <v>1216</v>
      </c>
      <c r="G110" s="20" t="n">
        <v>639</v>
      </c>
      <c r="H110" s="20" t="n">
        <v>907</v>
      </c>
      <c r="I110" s="20" t="n">
        <v>903</v>
      </c>
      <c r="J110" s="20" t="n">
        <v>1145</v>
      </c>
      <c r="K110" s="20" t="n">
        <v>1169</v>
      </c>
      <c r="L110" s="20" t="n">
        <v>1216</v>
      </c>
    </row>
    <row r="111">
      <c r="A111" s="18" t="inlineStr">
        <is>
          <t>기타</t>
        </is>
      </c>
      <c r="C111" s="20" t="n">
        <v>7159</v>
      </c>
      <c r="D111" s="20" t="n">
        <v>8243</v>
      </c>
      <c r="E111" s="20" t="n">
        <v>8552</v>
      </c>
      <c r="F111" s="20" t="n">
        <v>8712</v>
      </c>
      <c r="G111" s="20" t="n">
        <v>8571</v>
      </c>
      <c r="H111" s="20" t="n">
        <v>4280</v>
      </c>
      <c r="I111" s="20" t="n">
        <v>4428</v>
      </c>
      <c r="J111" s="20" t="n">
        <v>5340</v>
      </c>
      <c r="K111" s="20" t="n">
        <v>5303</v>
      </c>
      <c r="L111" s="20" t="n">
        <v>8712</v>
      </c>
    </row>
    <row r="112">
      <c r="A112" s="9" t="inlineStr">
        <is>
          <t>유동부채 합계</t>
        </is>
      </c>
      <c r="C112" s="12" t="n">
        <v>25897</v>
      </c>
      <c r="D112" s="12" t="n">
        <v>25439</v>
      </c>
      <c r="E112" s="12" t="n">
        <v>28818</v>
      </c>
      <c r="F112" s="12" t="n">
        <v>26240</v>
      </c>
      <c r="G112" s="12" t="n">
        <v>24018</v>
      </c>
      <c r="H112" s="12" t="n">
        <v>23139</v>
      </c>
      <c r="I112" s="12" t="n">
        <v>24038</v>
      </c>
      <c r="J112" s="12" t="n">
        <v>30061</v>
      </c>
      <c r="K112" s="12" t="n">
        <v>34035</v>
      </c>
      <c r="L112" s="12" t="n">
        <v>26240</v>
      </c>
    </row>
    <row r="113">
      <c r="A113" s="18" t="inlineStr">
        <is>
          <t>사채</t>
        </is>
      </c>
      <c r="C113" s="20" t="n">
        <v>4700</v>
      </c>
      <c r="D113" s="20" t="n">
        <v>4700</v>
      </c>
      <c r="E113" s="20" t="n">
        <v>4700</v>
      </c>
      <c r="F113" s="20" t="n">
        <v>4700</v>
      </c>
      <c r="G113" s="20" t="n">
        <v>4700</v>
      </c>
      <c r="K113" s="20" t="n">
        <v>0</v>
      </c>
      <c r="L113" s="20" t="n">
        <v>4700</v>
      </c>
    </row>
    <row r="114">
      <c r="A114" s="18" t="inlineStr">
        <is>
          <t>장기차입금</t>
        </is>
      </c>
      <c r="C114" s="20" t="n">
        <v>1653</v>
      </c>
      <c r="D114" s="20" t="n">
        <v>1505</v>
      </c>
      <c r="E114" s="20" t="n">
        <v>3421</v>
      </c>
      <c r="F114" s="20" t="n">
        <v>3474</v>
      </c>
      <c r="G114" s="20" t="n">
        <v>3421</v>
      </c>
      <c r="I114" s="20" t="n">
        <v>0</v>
      </c>
      <c r="J114" s="20" t="n">
        <v>139</v>
      </c>
      <c r="K114" s="20" t="n">
        <v>1734</v>
      </c>
      <c r="L114" s="20" t="n">
        <v>3474</v>
      </c>
    </row>
    <row r="115">
      <c r="A115" s="18" t="inlineStr">
        <is>
          <t>임원 퇴직위로 충당금</t>
        </is>
      </c>
      <c r="C115" s="20" t="n">
        <v>70</v>
      </c>
      <c r="D115" s="20" t="n">
        <v>73</v>
      </c>
      <c r="E115" s="20" t="n">
        <v>76</v>
      </c>
      <c r="F115" s="20" t="n">
        <v>77</v>
      </c>
      <c r="G115" s="20" t="n">
        <v>28</v>
      </c>
      <c r="H115" s="20" t="n">
        <v>86</v>
      </c>
      <c r="I115" s="20" t="n">
        <v>88</v>
      </c>
      <c r="J115" s="20" t="n">
        <v>94</v>
      </c>
      <c r="K115" s="20" t="n">
        <v>98</v>
      </c>
      <c r="L115" s="20" t="n">
        <v>77</v>
      </c>
    </row>
    <row r="116">
      <c r="A116" s="18" t="inlineStr">
        <is>
          <t>퇴직급여부채</t>
        </is>
      </c>
      <c r="C116" s="20" t="n">
        <v>2182</v>
      </c>
      <c r="D116" s="20" t="n">
        <v>2211</v>
      </c>
      <c r="E116" s="20" t="n">
        <v>2255</v>
      </c>
      <c r="F116" s="20" t="n">
        <v>2405</v>
      </c>
      <c r="G116" s="20" t="n">
        <v>2426</v>
      </c>
      <c r="H116" s="20" t="n">
        <v>2024</v>
      </c>
      <c r="I116" s="20" t="n">
        <v>2013</v>
      </c>
      <c r="J116" s="20" t="n">
        <v>2176</v>
      </c>
      <c r="K116" s="20" t="n">
        <v>2161</v>
      </c>
      <c r="L116" s="20" t="n">
        <v>2405</v>
      </c>
    </row>
    <row r="117">
      <c r="A117" s="18" t="inlineStr">
        <is>
          <t>이연법인세부채</t>
        </is>
      </c>
      <c r="C117" s="20" t="n">
        <v>3324</v>
      </c>
      <c r="D117" s="20" t="n">
        <v>3646</v>
      </c>
      <c r="E117" s="20" t="n">
        <v>3961</v>
      </c>
      <c r="F117" s="20" t="n">
        <v>4118</v>
      </c>
      <c r="G117" s="20" t="n">
        <v>4507</v>
      </c>
      <c r="H117" s="20" t="n">
        <v>1489</v>
      </c>
      <c r="I117" s="20" t="n">
        <v>1471</v>
      </c>
      <c r="J117" s="20" t="n">
        <v>3666</v>
      </c>
      <c r="K117" s="20" t="n">
        <v>3632</v>
      </c>
      <c r="L117" s="20" t="n">
        <v>4118</v>
      </c>
    </row>
    <row r="118">
      <c r="A118" s="18" t="inlineStr">
        <is>
          <t>기타</t>
        </is>
      </c>
      <c r="C118" s="20" t="n">
        <v>474</v>
      </c>
      <c r="D118" s="20" t="n">
        <v>459</v>
      </c>
      <c r="E118" s="20" t="n">
        <v>448</v>
      </c>
      <c r="F118" s="20" t="n">
        <v>448</v>
      </c>
      <c r="G118" s="20" t="n">
        <v>368</v>
      </c>
      <c r="H118" s="20" t="n">
        <v>477</v>
      </c>
      <c r="I118" s="20" t="n">
        <v>165</v>
      </c>
      <c r="J118" s="20" t="n">
        <v>51</v>
      </c>
      <c r="K118" s="20" t="n">
        <v>480</v>
      </c>
      <c r="L118" s="20" t="n">
        <v>448</v>
      </c>
    </row>
    <row r="119">
      <c r="A119" s="9" t="inlineStr">
        <is>
          <t>비유동부채 합계</t>
        </is>
      </c>
      <c r="C119" s="12" t="n">
        <v>12406</v>
      </c>
      <c r="D119" s="12" t="n">
        <v>12596</v>
      </c>
      <c r="E119" s="12" t="n">
        <v>14863</v>
      </c>
      <c r="F119" s="12" t="n">
        <v>15224</v>
      </c>
      <c r="G119" s="12" t="n">
        <v>15452</v>
      </c>
      <c r="H119" s="12" t="n">
        <v>4079</v>
      </c>
      <c r="I119" s="12" t="n">
        <v>3738</v>
      </c>
      <c r="J119" s="12" t="n">
        <v>6127</v>
      </c>
      <c r="K119" s="12" t="n">
        <v>8106</v>
      </c>
      <c r="L119" s="12" t="n">
        <v>15224</v>
      </c>
    </row>
    <row r="120">
      <c r="A120" s="9" t="inlineStr">
        <is>
          <t>부채 합계</t>
        </is>
      </c>
      <c r="C120" s="12" t="n">
        <v>38304</v>
      </c>
      <c r="D120" s="12" t="n">
        <v>38035</v>
      </c>
      <c r="E120" s="12" t="n">
        <v>43682</v>
      </c>
      <c r="F120" s="12" t="n">
        <v>41464</v>
      </c>
      <c r="G120" s="12" t="n">
        <v>39471</v>
      </c>
      <c r="H120" s="12" t="n">
        <v>27218</v>
      </c>
      <c r="I120" s="12" t="n">
        <v>27776</v>
      </c>
      <c r="J120" s="12" t="n">
        <v>36189</v>
      </c>
      <c r="K120" s="12" t="n">
        <v>42141</v>
      </c>
      <c r="L120" s="12" t="n">
        <v>41464</v>
      </c>
    </row>
    <row r="121">
      <c r="A121" s="18" t="inlineStr">
        <is>
          <t>자본금</t>
        </is>
      </c>
      <c r="C121" s="20" t="n">
        <v>12334</v>
      </c>
      <c r="D121" s="20" t="n">
        <v>12334</v>
      </c>
      <c r="E121" s="20" t="n">
        <v>12334</v>
      </c>
      <c r="F121" s="20" t="n">
        <v>12334</v>
      </c>
      <c r="G121" s="20" t="n">
        <v>12334</v>
      </c>
      <c r="H121" s="20" t="n">
        <v>12334</v>
      </c>
      <c r="I121" s="20" t="n">
        <v>12334</v>
      </c>
      <c r="J121" s="20" t="n">
        <v>12334</v>
      </c>
      <c r="K121" s="20" t="n">
        <v>12334</v>
      </c>
      <c r="L121" s="20" t="n">
        <v>12334</v>
      </c>
    </row>
    <row r="122">
      <c r="A122" s="18" t="inlineStr">
        <is>
          <t>자본잉여금</t>
        </is>
      </c>
      <c r="C122" s="20" t="n">
        <v>13152</v>
      </c>
      <c r="D122" s="20" t="n">
        <v>13152</v>
      </c>
      <c r="E122" s="20" t="n">
        <v>13152</v>
      </c>
      <c r="F122" s="20" t="n">
        <v>13152</v>
      </c>
      <c r="G122" s="20" t="n">
        <v>13152</v>
      </c>
      <c r="H122" s="20" t="n">
        <v>13154</v>
      </c>
      <c r="I122" s="20" t="n">
        <v>13152</v>
      </c>
      <c r="J122" s="20" t="n">
        <v>13152</v>
      </c>
      <c r="K122" s="20" t="n">
        <v>13152</v>
      </c>
      <c r="L122" s="20" t="n">
        <v>13152</v>
      </c>
    </row>
    <row r="123">
      <c r="A123" s="18" t="inlineStr">
        <is>
          <t>이익잉여금</t>
        </is>
      </c>
      <c r="C123" s="20" t="n">
        <v>63542</v>
      </c>
      <c r="D123" s="20" t="n">
        <v>64394</v>
      </c>
      <c r="E123" s="20" t="n">
        <v>64567</v>
      </c>
      <c r="F123" s="20" t="n">
        <v>66149</v>
      </c>
      <c r="G123" s="20" t="n">
        <v>66097</v>
      </c>
      <c r="H123" s="20" t="n">
        <v>81741</v>
      </c>
      <c r="I123" s="20" t="n">
        <v>85738</v>
      </c>
      <c r="J123" s="20" t="n">
        <v>66481</v>
      </c>
      <c r="K123" s="20" t="n">
        <v>64366</v>
      </c>
      <c r="L123" s="20" t="n">
        <v>66149</v>
      </c>
    </row>
    <row r="124">
      <c r="A124" s="18" t="inlineStr">
        <is>
          <t>자기주식</t>
        </is>
      </c>
      <c r="C124" s="20" t="n">
        <v>-2057</v>
      </c>
      <c r="D124" s="20" t="n">
        <v>-2669</v>
      </c>
      <c r="E124" s="20" t="n">
        <v>-3758</v>
      </c>
      <c r="F124" s="20" t="n">
        <v>-3845</v>
      </c>
      <c r="G124" s="20" t="n">
        <v>-3847</v>
      </c>
      <c r="H124" s="20" t="n">
        <v>-4619</v>
      </c>
      <c r="I124" s="20" t="n">
        <v>-6011</v>
      </c>
      <c r="J124" s="20" t="n">
        <v>-1149</v>
      </c>
      <c r="K124" s="20" t="n">
        <v>-1796</v>
      </c>
      <c r="L124" s="20" t="n">
        <v>-3845</v>
      </c>
    </row>
    <row r="125">
      <c r="A125" s="9" t="inlineStr">
        <is>
          <t>주주자본 합계</t>
        </is>
      </c>
      <c r="C125" s="12" t="n">
        <v>86972</v>
      </c>
      <c r="D125" s="12" t="n">
        <v>87211</v>
      </c>
      <c r="E125" s="12" t="n">
        <v>86295</v>
      </c>
      <c r="F125" s="12" t="n">
        <v>87790</v>
      </c>
      <c r="G125" s="12" t="n">
        <v>87737</v>
      </c>
      <c r="H125" s="12" t="n">
        <v>102610</v>
      </c>
      <c r="I125" s="12" t="n">
        <v>105213</v>
      </c>
      <c r="J125" s="12" t="n">
        <v>90818</v>
      </c>
      <c r="K125" s="12" t="n">
        <v>88057</v>
      </c>
      <c r="L125" s="12" t="n">
        <v>87790</v>
      </c>
    </row>
    <row r="126">
      <c r="A126" s="18" t="inlineStr">
        <is>
          <t>기타유가증권 평가차액</t>
        </is>
      </c>
      <c r="C126" s="20" t="n">
        <v>4732</v>
      </c>
      <c r="D126" s="20" t="n">
        <v>4974</v>
      </c>
      <c r="E126" s="20" t="n">
        <v>5115</v>
      </c>
      <c r="F126" s="20" t="n">
        <v>5844</v>
      </c>
      <c r="G126" s="20" t="n">
        <v>6835</v>
      </c>
      <c r="H126" s="20" t="n">
        <v>4014</v>
      </c>
      <c r="I126" s="20" t="n">
        <v>4135</v>
      </c>
      <c r="J126" s="20" t="n">
        <v>4908</v>
      </c>
      <c r="K126" s="20" t="n">
        <v>4493</v>
      </c>
      <c r="L126" s="20" t="n">
        <v>5844</v>
      </c>
    </row>
    <row r="127">
      <c r="A127" s="18" t="inlineStr">
        <is>
          <t>이연헤지손익</t>
        </is>
      </c>
      <c r="C127" s="20" t="n">
        <v>-0</v>
      </c>
      <c r="D127" s="20" t="n">
        <v>-0</v>
      </c>
      <c r="E127" s="20" t="n">
        <v>-0</v>
      </c>
      <c r="F127" s="20" t="n">
        <v>0</v>
      </c>
      <c r="G127" s="20" t="n">
        <v>0</v>
      </c>
      <c r="H127" s="20" t="n">
        <v>13</v>
      </c>
      <c r="I127" s="20" t="n">
        <v>0</v>
      </c>
      <c r="J127" s="20" t="n">
        <v>-0</v>
      </c>
      <c r="K127" s="20" t="n">
        <v>0</v>
      </c>
      <c r="L127" s="20" t="n">
        <v>0</v>
      </c>
    </row>
    <row r="128">
      <c r="A128" s="18" t="inlineStr">
        <is>
          <t>해외사업환산조정</t>
        </is>
      </c>
      <c r="C128" s="20" t="n">
        <v>2431</v>
      </c>
      <c r="D128" s="20" t="n">
        <v>3200</v>
      </c>
      <c r="E128" s="20" t="n">
        <v>3928</v>
      </c>
      <c r="F128" s="20" t="n">
        <v>5374</v>
      </c>
      <c r="G128" s="20" t="n">
        <v>5258</v>
      </c>
      <c r="H128" s="20" t="n">
        <v>194</v>
      </c>
      <c r="I128" s="20" t="n">
        <v>717</v>
      </c>
      <c r="J128" s="20" t="n">
        <v>1493</v>
      </c>
      <c r="K128" s="20" t="n">
        <v>2870</v>
      </c>
      <c r="L128" s="20" t="n">
        <v>5374</v>
      </c>
    </row>
    <row r="129">
      <c r="A129" s="18" t="inlineStr">
        <is>
          <t>퇴직급여 조정누계액</t>
        </is>
      </c>
      <c r="C129" s="20" t="n">
        <v>258</v>
      </c>
      <c r="D129" s="20" t="n">
        <v>268</v>
      </c>
      <c r="E129" s="20" t="n">
        <v>278</v>
      </c>
      <c r="F129" s="20" t="n">
        <v>238</v>
      </c>
      <c r="G129" s="20" t="n">
        <v>227</v>
      </c>
      <c r="H129" s="20" t="n">
        <v>-14</v>
      </c>
      <c r="I129" s="20" t="n">
        <v>-57</v>
      </c>
      <c r="J129" s="20" t="n">
        <v>-48</v>
      </c>
      <c r="K129" s="20" t="n">
        <v>248</v>
      </c>
      <c r="L129" s="20" t="n">
        <v>238</v>
      </c>
    </row>
    <row r="130">
      <c r="A130" s="18" t="inlineStr">
        <is>
          <t>기타포괄손익누계액 합계</t>
        </is>
      </c>
      <c r="C130" s="20" t="n">
        <v>7422</v>
      </c>
      <c r="D130" s="20" t="n">
        <v>8443</v>
      </c>
      <c r="E130" s="20" t="n">
        <v>9321</v>
      </c>
      <c r="F130" s="20" t="n">
        <v>11457</v>
      </c>
      <c r="G130" s="20" t="n">
        <v>12321</v>
      </c>
      <c r="H130" s="20" t="n">
        <v>4207</v>
      </c>
      <c r="I130" s="20" t="n">
        <v>4795</v>
      </c>
      <c r="J130" s="20" t="n">
        <v>6353</v>
      </c>
      <c r="K130" s="20" t="n">
        <v>7612</v>
      </c>
      <c r="L130" s="20" t="n">
        <v>11457</v>
      </c>
    </row>
    <row r="131">
      <c r="A131" s="18" t="inlineStr">
        <is>
          <t>비지배지분</t>
        </is>
      </c>
      <c r="C131" s="20" t="n">
        <v>1737</v>
      </c>
      <c r="D131" s="20" t="n">
        <v>1749</v>
      </c>
      <c r="E131" s="20" t="n">
        <v>1778</v>
      </c>
      <c r="F131" s="20" t="n">
        <v>1856</v>
      </c>
      <c r="G131" s="20" t="n">
        <v>1829</v>
      </c>
      <c r="H131" s="20" t="n">
        <v>1569</v>
      </c>
      <c r="I131" s="20" t="n">
        <v>1580</v>
      </c>
      <c r="J131" s="20" t="n">
        <v>1657</v>
      </c>
      <c r="K131" s="20" t="n">
        <v>1771</v>
      </c>
      <c r="L131" s="20" t="n">
        <v>1856</v>
      </c>
    </row>
    <row r="132">
      <c r="A132" s="9" t="inlineStr">
        <is>
          <t>순자산 합계</t>
        </is>
      </c>
      <c r="C132" s="12" t="n">
        <v>96132</v>
      </c>
      <c r="D132" s="12" t="n">
        <v>97404</v>
      </c>
      <c r="E132" s="12" t="n">
        <v>97395</v>
      </c>
      <c r="F132" s="12" t="n">
        <v>101103</v>
      </c>
      <c r="G132" s="12" t="n">
        <v>101888</v>
      </c>
      <c r="H132" s="12" t="n">
        <v>108387</v>
      </c>
      <c r="I132" s="12" t="n">
        <v>111589</v>
      </c>
      <c r="J132" s="12" t="n">
        <v>98829</v>
      </c>
      <c r="K132" s="12" t="n">
        <v>97441</v>
      </c>
      <c r="L132" s="12" t="n">
        <v>101103</v>
      </c>
    </row>
    <row r="133">
      <c r="A133" s="9" t="inlineStr">
        <is>
          <t>부채·순자산 합계</t>
        </is>
      </c>
      <c r="C133" s="12" t="n">
        <v>134436</v>
      </c>
      <c r="D133" s="12" t="n">
        <v>135439</v>
      </c>
      <c r="E133" s="12" t="n">
        <v>141077</v>
      </c>
      <c r="F133" s="12" t="n">
        <v>142568</v>
      </c>
      <c r="G133" s="12" t="n">
        <v>141359</v>
      </c>
      <c r="H133" s="12" t="n">
        <v>135606</v>
      </c>
      <c r="I133" s="12" t="n">
        <v>139366</v>
      </c>
      <c r="J133" s="12" t="n">
        <v>135018</v>
      </c>
      <c r="K133" s="12" t="n">
        <v>139583</v>
      </c>
      <c r="L133" s="12" t="n">
        <v>142568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https://www2.jpx.co.jp/disc/42120/140120260730502994.pdf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https://www2.jpx.co.jp/disc/42120/140120260511522558.pdf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https://www2.jpx.co.jp/disc/42120/140120260128540501.pdf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https://www2.jpx.co.jp/disc/42120/140120251030582175.pdf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https://www2.jpx.co.jp/disc/42120/140120250731525015.pdf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https://www2.jpx.co.jp/disc/42120/140120250513543915.pdf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https://www2.jpx.co.jp/disc/42120/140120250130557934.pdf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https://www2.jpx.co.jp/disc/42120/140120241029504499.pdf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https://www2.jpx.co.jp/disc/42120/140120240729556603.pdf</t>
        </is>
      </c>
    </row>
    <row r="13">
      <c r="A13" t="inlineStr">
        <is>
          <t>2024-05-13</t>
        </is>
      </c>
      <c r="B13" t="inlineStr">
        <is>
          <t>2024년 3월 결산기 연간 결산단신</t>
        </is>
      </c>
      <c r="C13" t="inlineStr">
        <is>
          <t>https://www2.jpx.co.jp/disc/42120/140120240513592399.pdf</t>
        </is>
      </c>
    </row>
    <row r="14">
      <c r="A14" t="inlineStr">
        <is>
          <t>2024-01-29</t>
        </is>
      </c>
      <c r="B14" t="inlineStr">
        <is>
          <t>2024년 3월 결산기 ３분기 결산단신</t>
        </is>
      </c>
      <c r="C14" t="inlineStr">
        <is>
          <t>https://www2.jpx.co.jp/disc/42120/140120240125519587.pdf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https://www2.jpx.co.jp/disc/42120/140120231031575494.pdf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https://www2.jpx.co.jp/disc/42120/140120230728528757.pdf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https://www2.jpx.co.jp/disc/42120/140120230419549793.pdf</t>
        </is>
      </c>
    </row>
    <row r="18">
      <c r="A18" t="inlineStr">
        <is>
          <t>2023-01-26</t>
        </is>
      </c>
      <c r="B18" t="inlineStr">
        <is>
          <t>2023년 3월 결산기 ３분기 결산단신</t>
        </is>
      </c>
      <c r="C18" t="inlineStr">
        <is>
          <t>https://www2.jpx.co.jp/disc/42120/140120230123592112.pdf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https://www2.jpx.co.jp/disc/42120/140120221020547009.pdf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https://www2.jpx.co.jp/disc/42120/140120220425526631.pdf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https://www2.jpx.co.jp/disc/42120/140120210422498522.pdf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https://www2.jpx.co.jp/disc/42120/140120200427400688.pdf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https://www2.jpx.co.jp/disc/42120/140120190315491339.pdf</t>
        </is>
      </c>
    </row>
    <row r="24">
      <c r="A24" t="inlineStr">
        <is>
          <t>2018-04-24</t>
        </is>
      </c>
      <c r="B24" t="inlineStr">
        <is>
          <t>연간 결산단신</t>
        </is>
      </c>
      <c r="C24" t="inlineStr">
        <is>
          <t>https://www2.jpx.co.jp/disc/42120/140120180405405364.pdf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2026-10-26T10:54:06Z</dcterms:created>
  <dcterms:modified xmlns:dcterms="http://purl.org/dc/terms/" xmlns:xsi="http://www.w3.org/2001/XMLSchema-instance" xsi:type="dcterms:W3CDTF">2026-10-26T10:54:07Z</dcterms:modified>
</cp:coreProperties>
</file>