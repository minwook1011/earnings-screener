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4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4212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14170</v>
      </c>
      <c r="D4" s="12" t="n">
        <v>15397</v>
      </c>
      <c r="E4" s="12" t="n">
        <v>19507</v>
      </c>
      <c r="F4" s="12" t="n">
        <v>15542</v>
      </c>
      <c r="G4" s="12" t="n">
        <v>17511</v>
      </c>
      <c r="H4" s="12" t="n">
        <v>18659</v>
      </c>
      <c r="I4" s="12" t="n">
        <v>22519</v>
      </c>
      <c r="J4" s="12" t="n">
        <v>16545</v>
      </c>
      <c r="K4" s="12" t="n">
        <v>18447</v>
      </c>
      <c r="L4" s="12" t="n">
        <v>19590</v>
      </c>
      <c r="M4" s="12" t="n">
        <v>23581</v>
      </c>
      <c r="N4" s="12" t="n">
        <v>18301</v>
      </c>
      <c r="O4" s="11" t="n">
        <v>67826</v>
      </c>
      <c r="P4" s="12" t="n">
        <v>68840</v>
      </c>
      <c r="Q4" s="12" t="n">
        <v>67043</v>
      </c>
      <c r="R4" s="12" t="n">
        <v>67727</v>
      </c>
      <c r="S4" s="12" t="n">
        <v>64735</v>
      </c>
      <c r="T4" s="12" t="n">
        <v>65903</v>
      </c>
      <c r="U4" s="12" t="n">
        <v>65897</v>
      </c>
      <c r="V4" s="12" t="n">
        <v>62790</v>
      </c>
      <c r="W4" s="12" t="n">
        <v>74231</v>
      </c>
      <c r="X4" s="12" t="n">
        <v>78163</v>
      </c>
      <c r="Y4" s="11">
        <f>IF(COUNT(Y7,Y10)=0,"",SUM(Y7,Y10))</f>
        <v/>
      </c>
      <c r="Z4" s="12">
        <f>IF(COUNT(Z7,Z10)=0,"",SUM(Z7,Z10))</f>
        <v/>
      </c>
      <c r="AA4" s="12">
        <f>IF(COUNT(AA7,AA10)=0,"",SUM(AA7,AA10))</f>
        <v/>
      </c>
      <c r="AB4" s="12">
        <f>IF(COUNT(AB7,AB10)=0,"",SUM(AB7,AB10))</f>
        <v/>
      </c>
      <c r="AC4" s="12">
        <f>IF(COUNT(AC7,AC10)=0,"",SUM(AC7,AC10))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Public Sector Business</t>
        </is>
      </c>
      <c r="B7" s="10" t="n"/>
      <c r="C7" s="19" t="n">
        <v>6017</v>
      </c>
      <c r="D7" s="20" t="n">
        <v>7068</v>
      </c>
      <c r="E7" s="20" t="n">
        <v>10060</v>
      </c>
      <c r="F7" s="20" t="n">
        <v>7175</v>
      </c>
      <c r="G7" s="20" t="n">
        <v>8987</v>
      </c>
      <c r="H7" s="20" t="n">
        <v>9941</v>
      </c>
      <c r="I7" s="20" t="n">
        <v>12712</v>
      </c>
      <c r="J7" s="20" t="n">
        <v>8096</v>
      </c>
      <c r="K7" s="20" t="n">
        <v>9443</v>
      </c>
      <c r="L7" s="20" t="n">
        <v>10615</v>
      </c>
      <c r="M7" s="20" t="n">
        <v>13435</v>
      </c>
      <c r="N7" s="20" t="n">
        <v>8562</v>
      </c>
      <c r="O7" s="19" t="n"/>
      <c r="P7" s="20" t="n"/>
      <c r="Q7" s="20" t="n"/>
      <c r="R7" s="20" t="n"/>
      <c r="S7" s="20" t="n"/>
      <c r="T7" s="20" t="n"/>
      <c r="U7" s="20" t="n"/>
      <c r="V7" s="20" t="n">
        <v>28729</v>
      </c>
      <c r="W7" s="20" t="n">
        <v>38815</v>
      </c>
      <c r="X7" s="20" t="n">
        <v>41589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Private Sector Business</t>
        </is>
      </c>
      <c r="B10" s="10" t="n"/>
      <c r="C10" s="19" t="n">
        <v>8153</v>
      </c>
      <c r="D10" s="20" t="n">
        <v>8328</v>
      </c>
      <c r="E10" s="20" t="n">
        <v>9447</v>
      </c>
      <c r="F10" s="20" t="n">
        <v>8366</v>
      </c>
      <c r="G10" s="20" t="n">
        <v>8525</v>
      </c>
      <c r="H10" s="20" t="n">
        <v>8717</v>
      </c>
      <c r="I10" s="20" t="n">
        <v>9808</v>
      </c>
      <c r="J10" s="20" t="n">
        <v>8448</v>
      </c>
      <c r="K10" s="20" t="n">
        <v>9005</v>
      </c>
      <c r="L10" s="20" t="n">
        <v>8974</v>
      </c>
      <c r="M10" s="20" t="n">
        <v>10146</v>
      </c>
      <c r="N10" s="20" t="n">
        <v>9739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34060</v>
      </c>
      <c r="W10" s="20" t="n">
        <v>35416</v>
      </c>
      <c r="X10" s="20" t="n">
        <v>36573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6" t="inlineStr">
        <is>
          <t>매출원가</t>
        </is>
      </c>
      <c r="B13" s="16" t="n"/>
      <c r="C13" s="17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7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7" t="n"/>
      <c r="Z13" s="16" t="n"/>
      <c r="AA13" s="16" t="n"/>
      <c r="AB13" s="16" t="n"/>
      <c r="AC13" s="16" t="n"/>
    </row>
    <row r="14">
      <c r="A14" s="18" t="inlineStr">
        <is>
          <t>전체 매출원가</t>
        </is>
      </c>
      <c r="B14" s="10" t="n"/>
      <c r="C14" s="19" t="n">
        <v>9870</v>
      </c>
      <c r="D14" s="20" t="n">
        <v>10543</v>
      </c>
      <c r="E14" s="20" t="n">
        <v>13657</v>
      </c>
      <c r="F14" s="20" t="n">
        <v>11031</v>
      </c>
      <c r="G14" s="20" t="n">
        <v>12280</v>
      </c>
      <c r="H14" s="20" t="n">
        <v>12870</v>
      </c>
      <c r="I14" s="20" t="n">
        <v>15737</v>
      </c>
      <c r="J14" s="20" t="n">
        <v>11539</v>
      </c>
      <c r="K14" s="20" t="n">
        <v>12782</v>
      </c>
      <c r="L14" s="20" t="n">
        <v>13286</v>
      </c>
      <c r="M14" s="20" t="n">
        <v>16216</v>
      </c>
      <c r="N14" s="20" t="n">
        <v>12564</v>
      </c>
      <c r="O14" s="19" t="n">
        <v>46426</v>
      </c>
      <c r="P14" s="20" t="n">
        <v>46951</v>
      </c>
      <c r="Q14" s="20" t="n">
        <v>45474</v>
      </c>
      <c r="R14" s="20" t="n">
        <v>45709</v>
      </c>
      <c r="S14" s="20" t="n">
        <v>43109</v>
      </c>
      <c r="T14" s="20" t="n">
        <v>44364</v>
      </c>
      <c r="U14" s="20" t="n">
        <v>45844</v>
      </c>
      <c r="V14" s="20" t="n">
        <v>43656</v>
      </c>
      <c r="W14" s="20" t="n">
        <v>51918</v>
      </c>
      <c r="X14" s="20" t="n">
        <v>53823</v>
      </c>
      <c r="Y14" s="19" t="n"/>
      <c r="Z14" s="20" t="n"/>
      <c r="AA14" s="20" t="n"/>
      <c r="AB14" s="20" t="n"/>
      <c r="AC14" s="20" t="n"/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IF(OR(G14="",C14=""),"",IF(C14&lt;=0,"",IFERROR(G14/C14-1,"")))</f>
        <v/>
      </c>
      <c r="H15" s="15">
        <f>IF(OR(H14="",D14=""),"",IF(D14&lt;=0,"",IFERROR(H14/D14-1,"")))</f>
        <v/>
      </c>
      <c r="I15" s="15">
        <f>IF(OR(I14="",E14=""),"",IF(E14&lt;=0,"",IFERROR(I14/E14-1,"")))</f>
        <v/>
      </c>
      <c r="J15" s="15">
        <f>IF(OR(J14="",F14=""),"",IF(F14&lt;=0,"",IFERROR(J14/F14-1,"")))</f>
        <v/>
      </c>
      <c r="K15" s="15">
        <f>IF(OR(K14="",G14=""),"",IF(G14&lt;=0,"",IFERROR(K14/G14-1,"")))</f>
        <v/>
      </c>
      <c r="L15" s="15">
        <f>IF(OR(L14="",H14=""),"",IF(H14&lt;=0,"",IFERROR(L14/H14-1,"")))</f>
        <v/>
      </c>
      <c r="M15" s="15">
        <f>IF(OR(M14="",I14=""),"",IF(I14&lt;=0,"",IFERROR(M14/I14-1,"")))</f>
        <v/>
      </c>
      <c r="N15" s="15">
        <f>IF(OR(N14="",J14=""),"",IF(J14&lt;=0,"",IFERROR(N14/J14-1,"")))</f>
        <v/>
      </c>
      <c r="O15" s="14" t="n"/>
      <c r="P15" s="15">
        <f>IF(OR(P14="",O14=""),"",IF(O14&lt;=0,"",IFERROR(P14/O14-1,"")))</f>
        <v/>
      </c>
      <c r="Q15" s="15">
        <f>IF(OR(Q14="",P14=""),"",IF(P14&lt;=0,"",IFERROR(Q14/P14-1,"")))</f>
        <v/>
      </c>
      <c r="R15" s="15">
        <f>IF(OR(R14="",Q14=""),"",IF(Q14&lt;=0,"",IFERROR(R14/Q14-1,"")))</f>
        <v/>
      </c>
      <c r="S15" s="15">
        <f>IF(OR(S14="",R14=""),"",IF(R14&lt;=0,"",IFERROR(S14/R14-1,"")))</f>
        <v/>
      </c>
      <c r="T15" s="15">
        <f>IF(OR(T14="",S14=""),"",IF(S14&lt;=0,"",IFERROR(T14/S14-1,"")))</f>
        <v/>
      </c>
      <c r="U15" s="15">
        <f>IF(OR(U14="",T14=""),"",IF(T14&lt;=0,"",IFERROR(U14/T14-1,"")))</f>
        <v/>
      </c>
      <c r="V15" s="15">
        <f>IF(OR(V14="",U14=""),"",IF(U14&lt;=0,"",IFERROR(V14/U14-1,"")))</f>
        <v/>
      </c>
      <c r="W15" s="15">
        <f>IF(OR(W14="",V14=""),"",IF(V14&lt;=0,"",IFERROR(W14/V14-1,"")))</f>
        <v/>
      </c>
      <c r="X15" s="15">
        <f>IF(OR(X14="",W14=""),"",IF(W14&lt;=0,"",IFERROR(X14/W14-1,"")))</f>
        <v/>
      </c>
      <c r="Y15" s="14">
        <f>IF(OR(Y14="",X14=""),"",IF(X14&lt;=0,"",IFERROR(Y14/X14-1,"")))</f>
        <v/>
      </c>
      <c r="Z15" s="15">
        <f>IF(OR(Z14="",Y14=""),"",IF(Y14&lt;=0,"",IFERROR(Z14/Y14-1,"")))</f>
        <v/>
      </c>
      <c r="AA15" s="15">
        <f>IF(OR(AA14="",Z14=""),"",IF(Z14&lt;=0,"",IFERROR(AA14/Z14-1,"")))</f>
        <v/>
      </c>
      <c r="AB15" s="15">
        <f>IF(OR(AB14="",AA14=""),"",IF(AA14&lt;=0,"",IFERROR(AB14/AA14-1,"")))</f>
        <v/>
      </c>
      <c r="AC15" s="15">
        <f>IF(OR(AC14="",AB14=""),"",IF(AB14&lt;=0,"",IFERROR(AC14/AB14-1,"")))</f>
        <v/>
      </c>
    </row>
    <row r="16">
      <c r="A16" s="18" t="inlineStr">
        <is>
          <t>매출총이익</t>
        </is>
      </c>
      <c r="B16" s="10" t="n"/>
      <c r="C16" s="19">
        <f>IF(OR(C4="",C14=""),"",IFERROR(C4-C14,""))</f>
        <v/>
      </c>
      <c r="D16" s="20">
        <f>IF(OR(D4="",D14=""),"",IFERROR(D4-D14,""))</f>
        <v/>
      </c>
      <c r="E16" s="20">
        <f>IF(OR(E4="",E14=""),"",IFERROR(E4-E14,""))</f>
        <v/>
      </c>
      <c r="F16" s="20">
        <f>IF(OR(F4="",F14=""),"",IFERROR(F4-F14,""))</f>
        <v/>
      </c>
      <c r="G16" s="20">
        <f>IF(OR(G4="",G14=""),"",IFERROR(G4-G14,""))</f>
        <v/>
      </c>
      <c r="H16" s="20">
        <f>IF(OR(H4="",H14=""),"",IFERROR(H4-H14,""))</f>
        <v/>
      </c>
      <c r="I16" s="20">
        <f>IF(OR(I4="",I14=""),"",IFERROR(I4-I14,""))</f>
        <v/>
      </c>
      <c r="J16" s="20">
        <f>IF(OR(J4="",J14=""),"",IFERROR(J4-J14,""))</f>
        <v/>
      </c>
      <c r="K16" s="20">
        <f>IF(OR(K4="",K14=""),"",IFERROR(K4-K14,""))</f>
        <v/>
      </c>
      <c r="L16" s="20">
        <f>IF(OR(L4="",L14=""),"",IFERROR(L4-L14,""))</f>
        <v/>
      </c>
      <c r="M16" s="20">
        <f>IF(OR(M4="",M14=""),"",IFERROR(M4-M14,""))</f>
        <v/>
      </c>
      <c r="N16" s="20">
        <f>IF(OR(N4="",N14=""),"",IFERROR(N4-N14,""))</f>
        <v/>
      </c>
      <c r="O16" s="19">
        <f>IF(OR(O4="",O14=""),"",IFERROR(O4-O14,""))</f>
        <v/>
      </c>
      <c r="P16" s="20">
        <f>IF(OR(P4="",P14=""),"",IFERROR(P4-P14,""))</f>
        <v/>
      </c>
      <c r="Q16" s="20">
        <f>IF(OR(Q4="",Q14=""),"",IFERROR(Q4-Q14,""))</f>
        <v/>
      </c>
      <c r="R16" s="20">
        <f>IF(OR(R4="",R14=""),"",IFERROR(R4-R14,""))</f>
        <v/>
      </c>
      <c r="S16" s="20">
        <f>IF(OR(S4="",S14=""),"",IFERROR(S4-S14,""))</f>
        <v/>
      </c>
      <c r="T16" s="20">
        <f>IF(OR(T4="",T14=""),"",IFERROR(T4-T14,""))</f>
        <v/>
      </c>
      <c r="U16" s="20">
        <f>IF(OR(U4="",U14=""),"",IFERROR(U4-U14,""))</f>
        <v/>
      </c>
      <c r="V16" s="20">
        <f>IF(OR(V4="",V14=""),"",IFERROR(V4-V14,""))</f>
        <v/>
      </c>
      <c r="W16" s="20">
        <f>IF(OR(W4="",W14=""),"",IFERROR(W4-W14,""))</f>
        <v/>
      </c>
      <c r="X16" s="20">
        <f>IF(OR(X4="",X14=""),"",IFERROR(X4-X14,""))</f>
        <v/>
      </c>
      <c r="Y16" s="19" t="n"/>
      <c r="Z16" s="20" t="n"/>
      <c r="AA16" s="20" t="n"/>
      <c r="AB16" s="20" t="n"/>
      <c r="AC16" s="20" t="n"/>
    </row>
    <row r="17">
      <c r="A17" s="13" t="inlineStr">
        <is>
          <t>GPM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IF(OR(G16="",C16=""),"",IF(C16&lt;=0,"",IFERROR(G16/C16-1,"")))</f>
        <v/>
      </c>
      <c r="H18" s="15">
        <f>IF(OR(H16="",D16=""),"",IF(D16&lt;=0,"",IFERROR(H16/D16-1,"")))</f>
        <v/>
      </c>
      <c r="I18" s="15">
        <f>IF(OR(I16="",E16=""),"",IF(E16&lt;=0,"",IFERROR(I16/E16-1,"")))</f>
        <v/>
      </c>
      <c r="J18" s="15">
        <f>IF(OR(J16="",F16=""),"",IF(F16&lt;=0,"",IFERROR(J16/F16-1,"")))</f>
        <v/>
      </c>
      <c r="K18" s="15">
        <f>IF(OR(K16="",G16=""),"",IF(G16&lt;=0,"",IFERROR(K16/G16-1,"")))</f>
        <v/>
      </c>
      <c r="L18" s="15">
        <f>IF(OR(L16="",H16=""),"",IF(H16&lt;=0,"",IFERROR(L16/H16-1,"")))</f>
        <v/>
      </c>
      <c r="M18" s="15">
        <f>IF(OR(M16="",I16=""),"",IF(I16&lt;=0,"",IFERROR(M16/I16-1,"")))</f>
        <v/>
      </c>
      <c r="N18" s="15">
        <f>IF(OR(N16="",J16=""),"",IF(J16&lt;=0,"",IFERROR(N16/J16-1,"")))</f>
        <v/>
      </c>
      <c r="O18" s="14" t="n"/>
      <c r="P18" s="15">
        <f>IF(OR(P16="",O16=""),"",IF(O16&lt;=0,"",IFERROR(P16/O16-1,"")))</f>
        <v/>
      </c>
      <c r="Q18" s="15">
        <f>IF(OR(Q16="",P16=""),"",IF(P16&lt;=0,"",IFERROR(Q16/P16-1,"")))</f>
        <v/>
      </c>
      <c r="R18" s="15">
        <f>IF(OR(R16="",Q16=""),"",IF(Q16&lt;=0,"",IFERROR(R16/Q16-1,"")))</f>
        <v/>
      </c>
      <c r="S18" s="15">
        <f>IF(OR(S16="",R16=""),"",IF(R16&lt;=0,"",IFERROR(S16/R16-1,"")))</f>
        <v/>
      </c>
      <c r="T18" s="15">
        <f>IF(OR(T16="",S16=""),"",IF(S16&lt;=0,"",IFERROR(T16/S16-1,"")))</f>
        <v/>
      </c>
      <c r="U18" s="15">
        <f>IF(OR(U16="",T16=""),"",IF(T16&lt;=0,"",IFERROR(U16/T16-1,"")))</f>
        <v/>
      </c>
      <c r="V18" s="15">
        <f>IF(OR(V16="",U16=""),"",IF(U16&lt;=0,"",IFERROR(V16/U16-1,"")))</f>
        <v/>
      </c>
      <c r="W18" s="15">
        <f>IF(OR(W16="",V16=""),"",IF(V16&lt;=0,"",IFERROR(W16/V16-1,"")))</f>
        <v/>
      </c>
      <c r="X18" s="15">
        <f>IF(OR(X16="",W16=""),"",IF(W16&lt;=0,"",IFERROR(X16/W16-1,"")))</f>
        <v/>
      </c>
      <c r="Y18" s="14">
        <f>IF(OR(Y16="",X16=""),"",IF(X16&lt;=0,"",IFERROR(Y16/X16-1,"")))</f>
        <v/>
      </c>
      <c r="Z18" s="15">
        <f>IF(OR(Z16="",Y16=""),"",IF(Y16&lt;=0,"",IFERROR(Z16/Y16-1,"")))</f>
        <v/>
      </c>
      <c r="AA18" s="15">
        <f>IF(OR(AA16="",Z16=""),"",IF(Z16&lt;=0,"",IFERROR(AA16/Z16-1,"")))</f>
        <v/>
      </c>
      <c r="AB18" s="15">
        <f>IF(OR(AB16="",AA16=""),"",IF(AA16&lt;=0,"",IFERROR(AB16/AA16-1,"")))</f>
        <v/>
      </c>
      <c r="AC18" s="15">
        <f>IF(OR(AC16="",AB16=""),"",IF(AB16&lt;=0,"",IFERROR(AC16/AB16-1,"")))</f>
        <v/>
      </c>
    </row>
    <row r="19">
      <c r="A19" s="23" t="inlineStr">
        <is>
          <t>판매관리비</t>
        </is>
      </c>
      <c r="B19" s="23" t="n"/>
      <c r="C19" s="24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4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4" t="n"/>
      <c r="Z19" s="23" t="n"/>
      <c r="AA19" s="23" t="n"/>
      <c r="AB19" s="23" t="n"/>
      <c r="AC19" s="23" t="n"/>
    </row>
    <row r="20">
      <c r="A20" s="18" t="inlineStr">
        <is>
          <t>전체 판관비</t>
        </is>
      </c>
      <c r="B20" s="10" t="n"/>
      <c r="C20" s="19" t="n">
        <v>2986</v>
      </c>
      <c r="D20" s="20" t="n">
        <v>3468</v>
      </c>
      <c r="E20" s="20" t="n">
        <v>3465</v>
      </c>
      <c r="F20" s="20" t="n">
        <v>4091</v>
      </c>
      <c r="G20" s="20" t="n">
        <v>4278</v>
      </c>
      <c r="H20" s="20" t="n">
        <v>4446</v>
      </c>
      <c r="I20" s="20" t="n">
        <v>4487</v>
      </c>
      <c r="J20" s="20" t="n">
        <v>4403</v>
      </c>
      <c r="K20" s="20" t="n">
        <v>4532</v>
      </c>
      <c r="L20" s="20" t="n">
        <v>4789</v>
      </c>
      <c r="M20" s="20" t="n">
        <v>4930</v>
      </c>
      <c r="N20" s="20" t="n">
        <v>4748</v>
      </c>
      <c r="O20" s="19" t="n">
        <v>11493</v>
      </c>
      <c r="P20" s="20" t="n">
        <v>11543</v>
      </c>
      <c r="Q20" s="20" t="n">
        <v>11486</v>
      </c>
      <c r="R20" s="20" t="n">
        <v>11664</v>
      </c>
      <c r="S20" s="20" t="n">
        <v>10956</v>
      </c>
      <c r="T20" s="20" t="n">
        <v>10656</v>
      </c>
      <c r="U20" s="20" t="n">
        <v>11045</v>
      </c>
      <c r="V20" s="20" t="n">
        <v>12834</v>
      </c>
      <c r="W20" s="20" t="n">
        <v>17302</v>
      </c>
      <c r="X20" s="20" t="n">
        <v>18654</v>
      </c>
      <c r="Y20" s="19" t="n"/>
      <c r="Z20" s="20" t="n"/>
      <c r="AA20" s="20" t="n"/>
      <c r="AB20" s="20" t="n"/>
      <c r="AC20" s="20" t="n"/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IF(OR(G20="",C20=""),"",IF(C20&lt;=0,"",IFERROR(G20/C20-1,"")))</f>
        <v/>
      </c>
      <c r="H21" s="15">
        <f>IF(OR(H20="",D20=""),"",IF(D20&lt;=0,"",IFERROR(H20/D20-1,"")))</f>
        <v/>
      </c>
      <c r="I21" s="15">
        <f>IF(OR(I20="",E20=""),"",IF(E20&lt;=0,"",IFERROR(I20/E20-1,"")))</f>
        <v/>
      </c>
      <c r="J21" s="15">
        <f>IF(OR(J20="",F20=""),"",IF(F20&lt;=0,"",IFERROR(J20/F20-1,"")))</f>
        <v/>
      </c>
      <c r="K21" s="15">
        <f>IF(OR(K20="",G20=""),"",IF(G20&lt;=0,"",IFERROR(K20/G20-1,"")))</f>
        <v/>
      </c>
      <c r="L21" s="15">
        <f>IF(OR(L20="",H20=""),"",IF(H20&lt;=0,"",IFERROR(L20/H20-1,"")))</f>
        <v/>
      </c>
      <c r="M21" s="15">
        <f>IF(OR(M20="",I20=""),"",IF(I20&lt;=0,"",IFERROR(M20/I20-1,"")))</f>
        <v/>
      </c>
      <c r="N21" s="15">
        <f>IF(OR(N20="",J20=""),"",IF(J20&lt;=0,"",IFERROR(N20/J20-1,"")))</f>
        <v/>
      </c>
      <c r="O21" s="14" t="n"/>
      <c r="P21" s="15">
        <f>IF(OR(P20="",O20=""),"",IF(O20&lt;=0,"",IFERROR(P20/O20-1,"")))</f>
        <v/>
      </c>
      <c r="Q21" s="15">
        <f>IF(OR(Q20="",P20=""),"",IF(P20&lt;=0,"",IFERROR(Q20/P20-1,"")))</f>
        <v/>
      </c>
      <c r="R21" s="15">
        <f>IF(OR(R20="",Q20=""),"",IF(Q20&lt;=0,"",IFERROR(R20/Q20-1,"")))</f>
        <v/>
      </c>
      <c r="S21" s="15">
        <f>IF(OR(S20="",R20=""),"",IF(R20&lt;=0,"",IFERROR(S20/R20-1,"")))</f>
        <v/>
      </c>
      <c r="T21" s="15">
        <f>IF(OR(T20="",S20=""),"",IF(S20&lt;=0,"",IFERROR(T20/S20-1,"")))</f>
        <v/>
      </c>
      <c r="U21" s="15">
        <f>IF(OR(U20="",T20=""),"",IF(T20&lt;=0,"",IFERROR(U20/T20-1,"")))</f>
        <v/>
      </c>
      <c r="V21" s="15">
        <f>IF(OR(V20="",U20=""),"",IF(U20&lt;=0,"",IFERROR(V20/U20-1,"")))</f>
        <v/>
      </c>
      <c r="W21" s="15">
        <f>IF(OR(W20="",V20=""),"",IF(V20&lt;=0,"",IFERROR(W20/V20-1,"")))</f>
        <v/>
      </c>
      <c r="X21" s="15">
        <f>IF(OR(X20="",W20=""),"",IF(W20&lt;=0,"",IFERROR(X20/W20-1,"")))</f>
        <v/>
      </c>
      <c r="Y21" s="14">
        <f>IF(OR(Y20="",X20=""),"",IF(X20&lt;=0,"",IFERROR(Y20/X20-1,"")))</f>
        <v/>
      </c>
      <c r="Z21" s="15">
        <f>IF(OR(Z20="",Y20=""),"",IF(Y20&lt;=0,"",IFERROR(Z20/Y20-1,"")))</f>
        <v/>
      </c>
      <c r="AA21" s="15">
        <f>IF(OR(AA20="",Z20=""),"",IF(Z20&lt;=0,"",IFERROR(AA20/Z20-1,"")))</f>
        <v/>
      </c>
      <c r="AB21" s="15">
        <f>IF(OR(AB20="",AA20=""),"",IF(AA20&lt;=0,"",IFERROR(AB20/AA20-1,"")))</f>
        <v/>
      </c>
      <c r="AC21" s="15">
        <f>IF(OR(AC20="",AB20=""),"",IF(AB20&lt;=0,"",IFERROR(AC20/AB20-1,"")))</f>
        <v/>
      </c>
    </row>
    <row r="22">
      <c r="A22" s="9" t="inlineStr">
        <is>
          <t>영업이익</t>
        </is>
      </c>
      <c r="B22" s="10" t="inlineStr">
        <is>
          <t>MW = 매출 × OPM</t>
        </is>
      </c>
      <c r="C22" s="11" t="n">
        <v>1315</v>
      </c>
      <c r="D22" s="12" t="n">
        <v>1384</v>
      </c>
      <c r="E22" s="12" t="n">
        <v>2385</v>
      </c>
      <c r="F22" s="12" t="n">
        <v>419</v>
      </c>
      <c r="G22" s="12" t="n">
        <v>954</v>
      </c>
      <c r="H22" s="12" t="n">
        <v>1342</v>
      </c>
      <c r="I22" s="12" t="n">
        <v>2296</v>
      </c>
      <c r="J22" s="12" t="n">
        <v>602</v>
      </c>
      <c r="K22" s="12" t="n">
        <v>1133</v>
      </c>
      <c r="L22" s="12" t="n">
        <v>1515</v>
      </c>
      <c r="M22" s="12" t="n">
        <v>2435</v>
      </c>
      <c r="N22" s="12" t="n">
        <v>989</v>
      </c>
      <c r="O22" s="11" t="n">
        <v>9906</v>
      </c>
      <c r="P22" s="12" t="n">
        <v>10345</v>
      </c>
      <c r="Q22" s="12" t="n">
        <v>10082</v>
      </c>
      <c r="R22" s="12" t="n">
        <v>10353</v>
      </c>
      <c r="S22" s="12" t="n">
        <v>10669</v>
      </c>
      <c r="T22" s="12" t="n">
        <v>10883</v>
      </c>
      <c r="U22" s="12" t="n">
        <v>9007</v>
      </c>
      <c r="V22" s="12" t="n">
        <v>6298</v>
      </c>
      <c r="W22" s="12" t="n">
        <v>5011</v>
      </c>
      <c r="X22" s="12" t="n">
        <v>5685</v>
      </c>
      <c r="Y22" s="11">
        <f>IF(OR(Y4="",Y23=""),"",IFERROR(Y4*Y23,""))</f>
        <v/>
      </c>
      <c r="Z22" s="12">
        <f>IF(OR(Z4="",Z23=""),"",IFERROR(Z4*Z23,""))</f>
        <v/>
      </c>
      <c r="AA22" s="12">
        <f>IF(OR(AA4="",AA23=""),"",IFERROR(AA4*AA23,""))</f>
        <v/>
      </c>
      <c r="AB22" s="12">
        <f>IF(OR(AB4="",AB23=""),"",IFERROR(AB4*AB23,""))</f>
        <v/>
      </c>
      <c r="AC22" s="12">
        <f>IF(OR(AC4="",AC23=""),"",IFERROR(AC4*AC23,""))</f>
        <v/>
      </c>
    </row>
    <row r="23">
      <c r="A23" s="13" t="inlineStr">
        <is>
          <t>OPM</t>
        </is>
      </c>
      <c r="B23" s="10" t="inlineStr">
        <is>
          <t>MW 입력</t>
        </is>
      </c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25" t="n"/>
      <c r="Z23" s="26" t="n"/>
      <c r="AA23" s="26" t="n"/>
      <c r="AB23" s="26" t="n"/>
      <c r="AC23" s="26" t="n"/>
    </row>
    <row r="24">
      <c r="A24" s="13" t="inlineStr">
        <is>
          <t>증가율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비용의 성격별 분류</t>
        </is>
      </c>
      <c r="B25" s="16" t="inlineStr">
        <is>
          <t>참고 데이터</t>
        </is>
      </c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9" t="inlineStr">
        <is>
          <t>총 판관비</t>
        </is>
      </c>
      <c r="B26" s="10" t="n"/>
      <c r="C26" s="11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1">
        <f>IF(O20="","",O20)</f>
        <v/>
      </c>
      <c r="P26" s="12">
        <f>IF(P20="","",P20)</f>
        <v/>
      </c>
      <c r="Q26" s="12">
        <f>IF(Q20="","",Q20)</f>
        <v/>
      </c>
      <c r="R26" s="12">
        <f>IF(R20="","",R20)</f>
        <v/>
      </c>
      <c r="S26" s="12">
        <f>IF(S20="","",S20)</f>
        <v/>
      </c>
      <c r="T26" s="12">
        <f>IF(T20="","",T20)</f>
        <v/>
      </c>
      <c r="U26" s="12">
        <f>IF(U20="","",U20)</f>
        <v/>
      </c>
      <c r="V26" s="12">
        <f>IF(V20="","",V20)</f>
        <v/>
      </c>
      <c r="W26" s="12">
        <f>IF(W20="","",W20)</f>
        <v/>
      </c>
      <c r="X26" s="12">
        <f>IF(X20="","",X20)</f>
        <v/>
      </c>
      <c r="Y26" s="11" t="n"/>
      <c r="Z26" s="12" t="n"/>
      <c r="AA26" s="12" t="n"/>
      <c r="AB26" s="12" t="n"/>
      <c r="AC26" s="12" t="n"/>
    </row>
    <row r="27">
      <c r="A27" s="18" t="inlineStr">
        <is>
          <t>급여</t>
        </is>
      </c>
      <c r="B27" s="10" t="inlineStr">
        <is>
          <t>고정비</t>
        </is>
      </c>
      <c r="C27" s="19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19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19" t="n"/>
      <c r="Z27" s="20" t="n"/>
      <c r="AA27" s="20" t="n"/>
      <c r="AB27" s="20" t="n"/>
      <c r="AC27" s="20" t="n"/>
    </row>
    <row r="28">
      <c r="A28" s="13" t="inlineStr">
        <is>
          <t>% of Sales</t>
        </is>
      </c>
      <c r="B28" s="10" t="n"/>
      <c r="C28" s="14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4">
        <f>IF(OR(O27="",O4=""),"",IFERROR(O27/O4,""))</f>
        <v/>
      </c>
      <c r="P28" s="15">
        <f>IF(OR(P27="",P4=""),"",IFERROR(P27/P4,""))</f>
        <v/>
      </c>
      <c r="Q28" s="15">
        <f>IF(OR(Q27="",Q4=""),"",IFERROR(Q27/Q4,""))</f>
        <v/>
      </c>
      <c r="R28" s="15">
        <f>IF(OR(R27="",R4=""),"",IFERROR(R27/R4,""))</f>
        <v/>
      </c>
      <c r="S28" s="15">
        <f>IF(OR(S27="",S4=""),"",IFERROR(S27/S4,""))</f>
        <v/>
      </c>
      <c r="T28" s="15">
        <f>IF(OR(T27="",T4=""),"",IFERROR(T27/T4,""))</f>
        <v/>
      </c>
      <c r="U28" s="15">
        <f>IF(OR(U27="",U4=""),"",IFERROR(U27/U4,""))</f>
        <v/>
      </c>
      <c r="V28" s="15">
        <f>IF(OR(V27="",V4=""),"",IFERROR(V27/V4,""))</f>
        <v/>
      </c>
      <c r="W28" s="15">
        <f>IF(OR(W27="",W4=""),"",IFERROR(W27/W4,""))</f>
        <v/>
      </c>
      <c r="X28" s="15">
        <f>IF(OR(X27="",X4=""),"",IFERROR(X27/X4,""))</f>
        <v/>
      </c>
      <c r="Y28" s="14" t="n"/>
      <c r="Z28" s="15" t="n"/>
      <c r="AA28" s="15" t="n"/>
      <c r="AB28" s="15" t="n"/>
      <c r="AC28" s="15" t="n"/>
    </row>
    <row r="29">
      <c r="A29" s="18" t="inlineStr">
        <is>
          <t>감가상각비</t>
        </is>
      </c>
      <c r="B29" s="10" t="inlineStr">
        <is>
          <t>고정비</t>
        </is>
      </c>
      <c r="C29" s="19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19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19" t="n"/>
      <c r="Z29" s="20" t="n"/>
      <c r="AA29" s="20" t="n"/>
      <c r="AB29" s="20" t="n"/>
      <c r="AC29" s="20" t="n"/>
    </row>
    <row r="30">
      <c r="A30" s="13" t="inlineStr">
        <is>
          <t>% of Sales</t>
        </is>
      </c>
      <c r="B30" s="10" t="n"/>
      <c r="C30" s="14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4">
        <f>IF(OR(O29="",O4=""),"",IFERROR(O29/O4,""))</f>
        <v/>
      </c>
      <c r="P30" s="15">
        <f>IF(OR(P29="",P4=""),"",IFERROR(P29/P4,""))</f>
        <v/>
      </c>
      <c r="Q30" s="15">
        <f>IF(OR(Q29="",Q4=""),"",IFERROR(Q29/Q4,""))</f>
        <v/>
      </c>
      <c r="R30" s="15">
        <f>IF(OR(R29="",R4=""),"",IFERROR(R29/R4,""))</f>
        <v/>
      </c>
      <c r="S30" s="15">
        <f>IF(OR(S29="",S4=""),"",IFERROR(S29/S4,""))</f>
        <v/>
      </c>
      <c r="T30" s="15">
        <f>IF(OR(T29="",T4=""),"",IFERROR(T29/T4,""))</f>
        <v/>
      </c>
      <c r="U30" s="15">
        <f>IF(OR(U29="",U4=""),"",IFERROR(U29/U4,""))</f>
        <v/>
      </c>
      <c r="V30" s="15">
        <f>IF(OR(V29="",V4=""),"",IFERROR(V29/V4,""))</f>
        <v/>
      </c>
      <c r="W30" s="15">
        <f>IF(OR(W29="",W4=""),"",IFERROR(W29/W4,""))</f>
        <v/>
      </c>
      <c r="X30" s="15">
        <f>IF(OR(X29="",X4=""),"",IFERROR(X29/X4,""))</f>
        <v/>
      </c>
      <c r="Y30" s="14" t="n"/>
      <c r="Z30" s="15" t="n"/>
      <c r="AA30" s="15" t="n"/>
      <c r="AB30" s="15" t="n"/>
      <c r="AC30" s="15" t="n"/>
    </row>
    <row r="31">
      <c r="A31" s="18" t="inlineStr">
        <is>
          <t>지급수수료</t>
        </is>
      </c>
      <c r="B31" s="10" t="inlineStr">
        <is>
          <t>고정비</t>
        </is>
      </c>
      <c r="C31" s="19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19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19" t="n"/>
      <c r="Z31" s="20" t="n"/>
      <c r="AA31" s="20" t="n"/>
      <c r="AB31" s="20" t="n"/>
      <c r="AC31" s="20" t="n"/>
    </row>
    <row r="32">
      <c r="A32" s="13" t="inlineStr">
        <is>
          <t>% of Sales</t>
        </is>
      </c>
      <c r="B32" s="10" t="n"/>
      <c r="C32" s="14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 t="n"/>
      <c r="Z32" s="15" t="n"/>
      <c r="AA32" s="15" t="n"/>
      <c r="AB32" s="15" t="n"/>
      <c r="AC32" s="15" t="n"/>
    </row>
    <row r="33">
      <c r="A33" s="18" t="inlineStr">
        <is>
          <t>연구개발비</t>
        </is>
      </c>
      <c r="B33" s="10" t="inlineStr">
        <is>
          <t>변동비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기타비용</t>
        </is>
      </c>
      <c r="B35" s="10" t="inlineStr">
        <is>
          <t>변동비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>
        <f>IF(OR(O26="",O27="",O29="",O31="",O33=""),"",IFERROR(O26-O27-O29-O31-O33,""))</f>
        <v/>
      </c>
      <c r="P35" s="20">
        <f>IF(OR(P26="",P27="",P29="",P31="",P33=""),"",IFERROR(P26-P27-P29-P31-P33,""))</f>
        <v/>
      </c>
      <c r="Q35" s="20">
        <f>IF(OR(Q26="",Q27="",Q29="",Q31="",Q33=""),"",IFERROR(Q26-Q27-Q29-Q31-Q33,""))</f>
        <v/>
      </c>
      <c r="R35" s="20">
        <f>IF(OR(R26="",R27="",R29="",R31="",R33=""),"",IFERROR(R26-R27-R29-R31-R33,""))</f>
        <v/>
      </c>
      <c r="S35" s="20">
        <f>IF(OR(S26="",S27="",S29="",S31="",S33=""),"",IFERROR(S26-S27-S29-S31-S33,""))</f>
        <v/>
      </c>
      <c r="T35" s="20">
        <f>IF(OR(T26="",T27="",T29="",T31="",T33=""),"",IFERROR(T26-T27-T29-T31-T33,""))</f>
        <v/>
      </c>
      <c r="U35" s="20">
        <f>IF(OR(U26="",U27="",U29="",U31="",U33=""),"",IFERROR(U26-U27-U29-U31-U33,""))</f>
        <v/>
      </c>
      <c r="V35" s="20">
        <f>IF(OR(V26="",V27="",V29="",V31="",V33=""),"",IFERROR(V26-V27-V29-V31-V33,""))</f>
        <v/>
      </c>
      <c r="W35" s="20">
        <f>IF(OR(W26="",W27="",W29="",W31="",W33=""),"",IFERROR(W26-W27-W29-W31-W33,""))</f>
        <v/>
      </c>
      <c r="X35" s="20">
        <f>IF(OR(X26="",X27="",X29="",X31="",X33=""),"",IFERROR(X26-X27-X29-X31-X33,""))</f>
        <v/>
      </c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6" t="inlineStr">
        <is>
          <t>당기순이익 추정</t>
        </is>
      </c>
      <c r="B37" s="16" t="n"/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18" t="inlineStr">
        <is>
          <t>특별이익</t>
        </is>
      </c>
      <c r="B38" s="10" t="n"/>
      <c r="C38" s="19" t="n"/>
      <c r="D38" s="20" t="n">
        <v>83</v>
      </c>
      <c r="E38" s="20" t="n">
        <v>108</v>
      </c>
      <c r="F38" s="20" t="n"/>
      <c r="G38" s="20" t="n"/>
      <c r="H38" s="20" t="n">
        <v>0</v>
      </c>
      <c r="I38" s="20" t="n">
        <v>340</v>
      </c>
      <c r="J38" s="20" t="n">
        <v>0</v>
      </c>
      <c r="K38" s="20" t="n">
        <v>106</v>
      </c>
      <c r="L38" s="20" t="n">
        <v>258</v>
      </c>
      <c r="M38" s="20" t="n">
        <v>0</v>
      </c>
      <c r="N38" s="20" t="n">
        <v>601</v>
      </c>
      <c r="O38" s="19" t="n">
        <v>208</v>
      </c>
      <c r="P38" s="20" t="n">
        <v>74</v>
      </c>
      <c r="Q38" s="20" t="n">
        <v>0</v>
      </c>
      <c r="R38" s="20" t="n">
        <v>92</v>
      </c>
      <c r="S38" s="20" t="n">
        <v>120</v>
      </c>
      <c r="T38" s="20" t="n">
        <v>303</v>
      </c>
      <c r="U38" s="20" t="n">
        <v>899</v>
      </c>
      <c r="V38" s="20" t="n">
        <v>407</v>
      </c>
      <c r="W38" s="20" t="n">
        <v>340</v>
      </c>
      <c r="X38" s="20" t="n">
        <v>364</v>
      </c>
      <c r="Y38" s="19">
        <f>IF(OR(Y4="",Y39=""),"",IFERROR(Y4*Y39,""))</f>
        <v/>
      </c>
      <c r="Z38" s="20">
        <f>IF(OR(Z4="",Z39=""),"",IFERROR(Z4*Z39,""))</f>
        <v/>
      </c>
      <c r="AA38" s="20">
        <f>IF(OR(AA4="",AA39=""),"",IFERROR(AA4*AA39,""))</f>
        <v/>
      </c>
      <c r="AB38" s="20">
        <f>IF(OR(AB4="",AB39=""),"",IFERROR(AB4*AB39,""))</f>
        <v/>
      </c>
      <c r="AC38" s="20">
        <f>IF(OR(AC4="",AC39=""),"",IFERROR(AC4*AC39,""))</f>
        <v/>
      </c>
    </row>
    <row r="39">
      <c r="A39" s="13" t="inlineStr">
        <is>
          <t>% of Sales</t>
        </is>
      </c>
      <c r="B39" s="10" t="inlineStr">
        <is>
          <t>MW = 최근 3년 평균</t>
        </is>
      </c>
      <c r="C39" s="14">
        <f>IF(OR(C38="",C4=""),"",IFERROR(C38/C4,""))</f>
        <v/>
      </c>
      <c r="D39" s="15">
        <f>IF(OR(D38="",D4=""),"",IFERROR(D38/D4,""))</f>
        <v/>
      </c>
      <c r="E39" s="15">
        <f>IF(OR(E38="",E4=""),"",IFERROR(E38/E4,""))</f>
        <v/>
      </c>
      <c r="F39" s="15">
        <f>IF(OR(F38="",F4=""),"",IFERROR(F38/F4,""))</f>
        <v/>
      </c>
      <c r="G39" s="15">
        <f>IF(OR(G38="",G4=""),"",IFERROR(G38/G4,""))</f>
        <v/>
      </c>
      <c r="H39" s="15">
        <f>IF(OR(H38="",H4=""),"",IFERROR(H38/H4,""))</f>
        <v/>
      </c>
      <c r="I39" s="15">
        <f>IF(OR(I38="",I4=""),"",IFERROR(I38/I4,""))</f>
        <v/>
      </c>
      <c r="J39" s="15">
        <f>IF(OR(J38="",J4=""),"",IFERROR(J38/J4,""))</f>
        <v/>
      </c>
      <c r="K39" s="15">
        <f>IF(OR(K38="",K4=""),"",IFERROR(K38/K4,""))</f>
        <v/>
      </c>
      <c r="L39" s="15">
        <f>IF(OR(L38="",L4=""),"",IFERROR(L38/L4,""))</f>
        <v/>
      </c>
      <c r="M39" s="15">
        <f>IF(OR(M38="",M4=""),"",IFERROR(M38/M4,""))</f>
        <v/>
      </c>
      <c r="N39" s="15">
        <f>IF(OR(N38="",N4=""),"",IFERROR(N38/N4,""))</f>
        <v/>
      </c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25">
        <f>IFERROR(AVERAGE(V39,W39,X39),"")</f>
        <v/>
      </c>
      <c r="Z39" s="26">
        <f>Y39</f>
        <v/>
      </c>
      <c r="AA39" s="26">
        <f>Z39</f>
        <v/>
      </c>
      <c r="AB39" s="26">
        <f>AA39</f>
        <v/>
      </c>
      <c r="AC39" s="26">
        <f>AB39</f>
        <v/>
      </c>
    </row>
    <row r="40">
      <c r="A40" s="18" t="inlineStr">
        <is>
          <t>특별손실</t>
        </is>
      </c>
      <c r="B40" s="10" t="n"/>
      <c r="C40" s="19" t="n">
        <v>14</v>
      </c>
      <c r="D40" s="20" t="n">
        <v>15</v>
      </c>
      <c r="E40" s="20" t="n">
        <v>158</v>
      </c>
      <c r="F40" s="20" t="n">
        <v>61</v>
      </c>
      <c r="G40" s="20" t="n">
        <v>55</v>
      </c>
      <c r="H40" s="20" t="n">
        <v>252</v>
      </c>
      <c r="I40" s="20" t="n">
        <v>46</v>
      </c>
      <c r="J40" s="20" t="n">
        <v>54</v>
      </c>
      <c r="K40" s="20" t="n">
        <v>27</v>
      </c>
      <c r="L40" s="20" t="n">
        <v>12</v>
      </c>
      <c r="M40" s="20" t="n"/>
      <c r="N40" s="20" t="n">
        <v>55</v>
      </c>
      <c r="O40" s="19" t="n">
        <v>465</v>
      </c>
      <c r="P40" s="20" t="n">
        <v>211</v>
      </c>
      <c r="Q40" s="20" t="n">
        <v>256</v>
      </c>
      <c r="R40" s="20" t="n">
        <v>424</v>
      </c>
      <c r="S40" s="20" t="n">
        <v>170</v>
      </c>
      <c r="T40" s="20" t="n">
        <v>353</v>
      </c>
      <c r="U40" s="20" t="n">
        <v>538</v>
      </c>
      <c r="V40" s="20" t="n">
        <v>207</v>
      </c>
      <c r="W40" s="20" t="n">
        <v>414</v>
      </c>
      <c r="X40" s="20" t="n"/>
      <c r="Y40" s="19">
        <f>IF(OR(Y4="",Y41=""),"",IFERROR(Y4*Y41,""))</f>
        <v/>
      </c>
      <c r="Z40" s="20">
        <f>IF(OR(Z4="",Z41=""),"",IFERROR(Z4*Z41,""))</f>
        <v/>
      </c>
      <c r="AA40" s="20">
        <f>IF(OR(AA4="",AA41=""),"",IFERROR(AA4*AA41,""))</f>
        <v/>
      </c>
      <c r="AB40" s="20">
        <f>IF(OR(AB4="",AB41=""),"",IFERROR(AB4*AB41,""))</f>
        <v/>
      </c>
      <c r="AC40" s="20">
        <f>IF(OR(AC4="",AC41=""),"",IFERROR(AC4*AC41,""))</f>
        <v/>
      </c>
    </row>
    <row r="41">
      <c r="A41" s="13" t="inlineStr">
        <is>
          <t>% of Sales</t>
        </is>
      </c>
      <c r="B41" s="10" t="n"/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25">
        <f>IFERROR(AVERAGE(V41,W41,X41),"")</f>
        <v/>
      </c>
      <c r="Z41" s="26">
        <f>Y41</f>
        <v/>
      </c>
      <c r="AA41" s="26">
        <f>Z41</f>
        <v/>
      </c>
      <c r="AB41" s="26">
        <f>AA41</f>
        <v/>
      </c>
      <c r="AC41" s="26">
        <f>AB41</f>
        <v/>
      </c>
    </row>
    <row r="42">
      <c r="A42" s="18" t="inlineStr">
        <is>
          <t>영업외수익</t>
        </is>
      </c>
      <c r="B42" s="10" t="n"/>
      <c r="C42" s="19" t="n">
        <v>146</v>
      </c>
      <c r="D42" s="20" t="n">
        <v>124</v>
      </c>
      <c r="E42" s="20" t="n">
        <v>383</v>
      </c>
      <c r="F42" s="20" t="n">
        <v>259</v>
      </c>
      <c r="G42" s="20" t="n">
        <v>226</v>
      </c>
      <c r="H42" s="20" t="n">
        <v>262</v>
      </c>
      <c r="I42" s="20" t="n">
        <v>159</v>
      </c>
      <c r="J42" s="20" t="n">
        <v>282</v>
      </c>
      <c r="K42" s="20" t="n">
        <v>201</v>
      </c>
      <c r="L42" s="20" t="n">
        <v>279</v>
      </c>
      <c r="M42" s="20" t="n">
        <v>258</v>
      </c>
      <c r="N42" s="20" t="n">
        <v>328</v>
      </c>
      <c r="O42" s="19" t="n">
        <v>531</v>
      </c>
      <c r="P42" s="20" t="n">
        <v>620</v>
      </c>
      <c r="Q42" s="20" t="n">
        <v>692</v>
      </c>
      <c r="R42" s="20" t="n">
        <v>675</v>
      </c>
      <c r="S42" s="20" t="n">
        <v>716</v>
      </c>
      <c r="T42" s="20" t="n">
        <v>647</v>
      </c>
      <c r="U42" s="20" t="n">
        <v>647</v>
      </c>
      <c r="V42" s="20" t="n">
        <v>899</v>
      </c>
      <c r="W42" s="20" t="n">
        <v>906</v>
      </c>
      <c r="X42" s="20" t="n">
        <v>1020</v>
      </c>
      <c r="Y42" s="19">
        <f>IF(OR(Y4="",Y43=""),"",IFERROR(Y4*Y43,""))</f>
        <v/>
      </c>
      <c r="Z42" s="20">
        <f>IF(OR(Z4="",Z43=""),"",IFERROR(Z4*Z43,""))</f>
        <v/>
      </c>
      <c r="AA42" s="20">
        <f>IF(OR(AA4="",AA43=""),"",IFERROR(AA4*AA43,""))</f>
        <v/>
      </c>
      <c r="AB42" s="20">
        <f>IF(OR(AB4="",AB43=""),"",IFERROR(AB4*AB43,""))</f>
        <v/>
      </c>
      <c r="AC42" s="20">
        <f>IF(OR(AC4="",AC43=""),"",IFERROR(AC4*AC43,""))</f>
        <v/>
      </c>
    </row>
    <row r="43">
      <c r="A43" s="13" t="inlineStr">
        <is>
          <t>% of Sales</t>
        </is>
      </c>
      <c r="B43" s="10" t="n"/>
      <c r="C43" s="14">
        <f>IF(OR(C42="",C4=""),"",IFERROR(C42/C4,""))</f>
        <v/>
      </c>
      <c r="D43" s="15">
        <f>IF(OR(D42="",D4=""),"",IFERROR(D42/D4,""))</f>
        <v/>
      </c>
      <c r="E43" s="15">
        <f>IF(OR(E42="",E4=""),"",IFERROR(E42/E4,""))</f>
        <v/>
      </c>
      <c r="F43" s="15">
        <f>IF(OR(F42="",F4=""),"",IFERROR(F42/F4,""))</f>
        <v/>
      </c>
      <c r="G43" s="15">
        <f>IF(OR(G42="",G4=""),"",IFERROR(G42/G4,""))</f>
        <v/>
      </c>
      <c r="H43" s="15">
        <f>IF(OR(H42="",H4=""),"",IFERROR(H42/H4,""))</f>
        <v/>
      </c>
      <c r="I43" s="15">
        <f>IF(OR(I42="",I4=""),"",IFERROR(I42/I4,""))</f>
        <v/>
      </c>
      <c r="J43" s="15">
        <f>IF(OR(J42="",J4=""),"",IFERROR(J42/J4,""))</f>
        <v/>
      </c>
      <c r="K43" s="15">
        <f>IF(OR(K42="",K4=""),"",IFERROR(K42/K4,""))</f>
        <v/>
      </c>
      <c r="L43" s="15">
        <f>IF(OR(L42="",L4=""),"",IFERROR(L42/L4,""))</f>
        <v/>
      </c>
      <c r="M43" s="15">
        <f>IF(OR(M42="",M4=""),"",IFERROR(M42/M4,""))</f>
        <v/>
      </c>
      <c r="N43" s="15">
        <f>IF(OR(N42="",N4=""),"",IFERROR(N42/N4,""))</f>
        <v/>
      </c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25">
        <f>IFERROR(AVERAGE(V43,W43,X43),"")</f>
        <v/>
      </c>
      <c r="Z43" s="26">
        <f>Y43</f>
        <v/>
      </c>
      <c r="AA43" s="26">
        <f>Z43</f>
        <v/>
      </c>
      <c r="AB43" s="26">
        <f>AA43</f>
        <v/>
      </c>
      <c r="AC43" s="26">
        <f>AB43</f>
        <v/>
      </c>
    </row>
    <row r="44">
      <c r="A44" s="18" t="inlineStr">
        <is>
          <t>영업외비용</t>
        </is>
      </c>
      <c r="B44" s="10" t="n"/>
      <c r="C44" s="19" t="n">
        <v>35</v>
      </c>
      <c r="D44" s="20" t="n">
        <v>79</v>
      </c>
      <c r="E44" s="20" t="n">
        <v>66</v>
      </c>
      <c r="F44" s="20" t="n">
        <v>75</v>
      </c>
      <c r="G44" s="20" t="n">
        <v>195</v>
      </c>
      <c r="H44" s="20" t="n">
        <v>112</v>
      </c>
      <c r="I44" s="20" t="n">
        <v>88</v>
      </c>
      <c r="J44" s="20" t="n">
        <v>124</v>
      </c>
      <c r="K44" s="20" t="n">
        <v>89</v>
      </c>
      <c r="L44" s="20" t="n">
        <v>100</v>
      </c>
      <c r="M44" s="20" t="n">
        <v>131</v>
      </c>
      <c r="N44" s="20" t="n">
        <v>87</v>
      </c>
      <c r="O44" s="19" t="n">
        <v>239</v>
      </c>
      <c r="P44" s="20" t="n">
        <v>178</v>
      </c>
      <c r="Q44" s="20" t="n">
        <v>127</v>
      </c>
      <c r="R44" s="20" t="n">
        <v>168</v>
      </c>
      <c r="S44" s="20" t="n">
        <v>125</v>
      </c>
      <c r="T44" s="20" t="n">
        <v>133</v>
      </c>
      <c r="U44" s="20" t="n">
        <v>153</v>
      </c>
      <c r="V44" s="20" t="n">
        <v>228</v>
      </c>
      <c r="W44" s="20" t="n">
        <v>470</v>
      </c>
      <c r="X44" s="20" t="n">
        <v>444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n"/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9" t="inlineStr">
        <is>
          <t>법인세비용차감전순이익(손실)</t>
        </is>
      </c>
      <c r="B46" s="10" t="n"/>
      <c r="C46" s="11" t="n">
        <v>1627</v>
      </c>
      <c r="D46" s="12" t="n">
        <v>1497</v>
      </c>
      <c r="E46" s="12" t="n">
        <v>2653</v>
      </c>
      <c r="F46" s="12" t="n">
        <v>542</v>
      </c>
      <c r="G46" s="12" t="n">
        <v>930</v>
      </c>
      <c r="H46" s="12" t="n">
        <v>1240</v>
      </c>
      <c r="I46" s="12" t="n">
        <v>2661</v>
      </c>
      <c r="J46" s="12" t="n">
        <v>706</v>
      </c>
      <c r="K46" s="12" t="n">
        <v>1324</v>
      </c>
      <c r="L46" s="12" t="n">
        <v>1940</v>
      </c>
      <c r="M46" s="12" t="n">
        <v>2425</v>
      </c>
      <c r="N46" s="12" t="n">
        <v>1775</v>
      </c>
      <c r="O46" s="11" t="n">
        <v>9940</v>
      </c>
      <c r="P46" s="12" t="n">
        <v>10649</v>
      </c>
      <c r="Q46" s="12" t="n">
        <v>10390</v>
      </c>
      <c r="R46" s="12" t="n">
        <v>10528</v>
      </c>
      <c r="S46" s="12" t="n">
        <v>11209</v>
      </c>
      <c r="T46" s="12" t="n">
        <v>11347</v>
      </c>
      <c r="U46" s="12" t="n">
        <v>9862</v>
      </c>
      <c r="V46" s="12" t="n">
        <v>7169</v>
      </c>
      <c r="W46" s="12" t="n">
        <v>5373</v>
      </c>
      <c r="X46" s="12" t="n">
        <v>6395</v>
      </c>
      <c r="Y46" s="11">
        <f>IF(OR(Y22=""),"",IFERROR(Y22+N(Y38)-N(Y40)+N(Y42)-N(Y44),""))</f>
        <v/>
      </c>
      <c r="Z46" s="12">
        <f>IF(OR(Z22=""),"",IFERROR(Z22+N(Z38)-N(Z40)+N(Z42)-N(Z44),""))</f>
        <v/>
      </c>
      <c r="AA46" s="12">
        <f>IF(OR(AA22=""),"",IFERROR(AA22+N(AA38)-N(AA40)+N(AA42)-N(AA44),""))</f>
        <v/>
      </c>
      <c r="AB46" s="12">
        <f>IF(OR(AB22=""),"",IFERROR(AB22+N(AB38)-N(AB40)+N(AB42)-N(AB44),""))</f>
        <v/>
      </c>
      <c r="AC46" s="12">
        <f>IF(OR(AC22=""),"",IFERROR(AC22+N(AC38)-N(AC40)+N(AC42)-N(AC44),""))</f>
        <v/>
      </c>
    </row>
    <row r="47">
      <c r="A47" s="13" t="inlineStr">
        <is>
          <t>YoY</t>
        </is>
      </c>
      <c r="B47" s="10" t="n"/>
      <c r="C47" s="14" t="n"/>
      <c r="D47" s="15" t="n"/>
      <c r="E47" s="15" t="n"/>
      <c r="F47" s="15" t="n"/>
      <c r="G47" s="15">
        <f>IF(OR(G46="",C46=""),"",IF(C46&lt;=0,"",IFERROR(G46/C46-1,"")))</f>
        <v/>
      </c>
      <c r="H47" s="15">
        <f>IF(OR(H46="",D46=""),"",IF(D46&lt;=0,"",IFERROR(H46/D46-1,"")))</f>
        <v/>
      </c>
      <c r="I47" s="15">
        <f>IF(OR(I46="",E46=""),"",IF(E46&lt;=0,"",IFERROR(I46/E46-1,"")))</f>
        <v/>
      </c>
      <c r="J47" s="15">
        <f>IF(OR(J46="",F46=""),"",IF(F46&lt;=0,"",IFERROR(J46/F46-1,"")))</f>
        <v/>
      </c>
      <c r="K47" s="15">
        <f>IF(OR(K46="",G46=""),"",IF(G46&lt;=0,"",IFERROR(K46/G46-1,"")))</f>
        <v/>
      </c>
      <c r="L47" s="15">
        <f>IF(OR(L46="",H46=""),"",IF(H46&lt;=0,"",IFERROR(L46/H46-1,"")))</f>
        <v/>
      </c>
      <c r="M47" s="15">
        <f>IF(OR(M46="",I46=""),"",IF(I46&lt;=0,"",IFERROR(M46/I46-1,"")))</f>
        <v/>
      </c>
      <c r="N47" s="15">
        <f>IF(OR(N46="",J46=""),"",IF(J46&lt;=0,"",IFERROR(N46/J46-1,"")))</f>
        <v/>
      </c>
      <c r="O47" s="14" t="n"/>
      <c r="P47" s="15">
        <f>IF(OR(P46="",O46=""),"",IF(O46&lt;=0,"",IFERROR(P46/O46-1,"")))</f>
        <v/>
      </c>
      <c r="Q47" s="15">
        <f>IF(OR(Q46="",P46=""),"",IF(P46&lt;=0,"",IFERROR(Q46/P46-1,"")))</f>
        <v/>
      </c>
      <c r="R47" s="15">
        <f>IF(OR(R46="",Q46=""),"",IF(Q46&lt;=0,"",IFERROR(R46/Q46-1,"")))</f>
        <v/>
      </c>
      <c r="S47" s="15">
        <f>IF(OR(S46="",R46=""),"",IF(R46&lt;=0,"",IFERROR(S46/R46-1,"")))</f>
        <v/>
      </c>
      <c r="T47" s="15">
        <f>IF(OR(T46="",S46=""),"",IF(S46&lt;=0,"",IFERROR(T46/S46-1,"")))</f>
        <v/>
      </c>
      <c r="U47" s="15">
        <f>IF(OR(U46="",T46=""),"",IF(T46&lt;=0,"",IFERROR(U46/T46-1,"")))</f>
        <v/>
      </c>
      <c r="V47" s="15">
        <f>IF(OR(V46="",U46=""),"",IF(U46&lt;=0,"",IFERROR(V46/U46-1,"")))</f>
        <v/>
      </c>
      <c r="W47" s="15">
        <f>IF(OR(W46="",V46=""),"",IF(V46&lt;=0,"",IFERROR(W46/V46-1,"")))</f>
        <v/>
      </c>
      <c r="X47" s="15">
        <f>IF(OR(X46="",W46=""),"",IF(W46&lt;=0,"",IFERROR(X46/W46-1,"")))</f>
        <v/>
      </c>
      <c r="Y47" s="14">
        <f>IF(OR(Y46="",X46=""),"",IF(X46&lt;=0,"",IFERROR(Y46/X46-1,"")))</f>
        <v/>
      </c>
      <c r="Z47" s="15">
        <f>IF(OR(Z46="",Y46=""),"",IF(Y46&lt;=0,"",IFERROR(Z46/Y46-1,"")))</f>
        <v/>
      </c>
      <c r="AA47" s="15">
        <f>IF(OR(AA46="",Z46=""),"",IF(Z46&lt;=0,"",IFERROR(AA46/Z46-1,"")))</f>
        <v/>
      </c>
      <c r="AB47" s="15">
        <f>IF(OR(AB46="",AA46=""),"",IF(AA46&lt;=0,"",IFERROR(AB46/AA46-1,"")))</f>
        <v/>
      </c>
      <c r="AC47" s="15">
        <f>IF(OR(AC46="",AB46=""),"",IF(AB46&lt;=0,"",IFERROR(AC46/AB46-1,"")))</f>
        <v/>
      </c>
    </row>
    <row r="48">
      <c r="A48" s="18" t="inlineStr">
        <is>
          <t>법인세비용(수익)</t>
        </is>
      </c>
      <c r="B48" s="10" t="n"/>
      <c r="C48" s="19" t="n">
        <v>508</v>
      </c>
      <c r="D48" s="20" t="n">
        <v>515</v>
      </c>
      <c r="E48" s="20" t="n">
        <v>823</v>
      </c>
      <c r="F48" s="20" t="n">
        <v>313</v>
      </c>
      <c r="G48" s="20" t="n">
        <v>339</v>
      </c>
      <c r="H48" s="20" t="n">
        <v>400</v>
      </c>
      <c r="I48" s="20" t="n">
        <v>639</v>
      </c>
      <c r="J48" s="20" t="n">
        <v>437</v>
      </c>
      <c r="K48" s="20" t="n">
        <v>456</v>
      </c>
      <c r="L48" s="20" t="n">
        <v>641</v>
      </c>
      <c r="M48" s="20" t="n">
        <v>774</v>
      </c>
      <c r="N48" s="20" t="n">
        <v>740</v>
      </c>
      <c r="O48" s="19" t="n">
        <v>3171</v>
      </c>
      <c r="P48" s="20" t="n">
        <v>3303</v>
      </c>
      <c r="Q48" s="20" t="n">
        <v>3218</v>
      </c>
      <c r="R48" s="20" t="n">
        <v>3231</v>
      </c>
      <c r="S48" s="20" t="n">
        <v>3503</v>
      </c>
      <c r="T48" s="20" t="n">
        <v>3509</v>
      </c>
      <c r="U48" s="20" t="n">
        <v>3037</v>
      </c>
      <c r="V48" s="20" t="n">
        <v>2373</v>
      </c>
      <c r="W48" s="20" t="n">
        <v>1691</v>
      </c>
      <c r="X48" s="20" t="n">
        <v>2308</v>
      </c>
      <c r="Y48" s="19">
        <f>IF(OR(Y46="",Y49=""),"",IFERROR(MAX(Y46,0)*Y49,""))</f>
        <v/>
      </c>
      <c r="Z48" s="20">
        <f>IF(OR(Z46="",Z49=""),"",IFERROR(MAX(Z46,0)*Z49,""))</f>
        <v/>
      </c>
      <c r="AA48" s="20">
        <f>IF(OR(AA46="",AA49=""),"",IFERROR(MAX(AA46,0)*AA49,""))</f>
        <v/>
      </c>
      <c r="AB48" s="20">
        <f>IF(OR(AB46="",AB49=""),"",IFERROR(MAX(AB46,0)*AB49,""))</f>
        <v/>
      </c>
      <c r="AC48" s="20">
        <f>IF(OR(AC46="",AC49=""),"",IFERROR(MAX(AC46,0)*AC49,""))</f>
        <v/>
      </c>
    </row>
    <row r="49">
      <c r="A49" s="13" t="inlineStr">
        <is>
          <t>법인세율</t>
        </is>
      </c>
      <c r="B49" s="10" t="inlineStr">
        <is>
          <t>MW 기본 30%</t>
        </is>
      </c>
      <c r="C49" s="14">
        <f>IF(OR(C48="",C46=""),"",IFERROR(C48/C46,""))</f>
        <v/>
      </c>
      <c r="D49" s="15">
        <f>IF(OR(D48="",D46=""),"",IFERROR(D48/D46,""))</f>
        <v/>
      </c>
      <c r="E49" s="15">
        <f>IF(OR(E48="",E46=""),"",IFERROR(E48/E46,""))</f>
        <v/>
      </c>
      <c r="F49" s="15">
        <f>IF(OR(F48="",F46=""),"",IFERROR(F48/F46,""))</f>
        <v/>
      </c>
      <c r="G49" s="15">
        <f>IF(OR(G48="",G46=""),"",IFERROR(G48/G46,""))</f>
        <v/>
      </c>
      <c r="H49" s="15">
        <f>IF(OR(H48="",H46=""),"",IFERROR(H48/H46,""))</f>
        <v/>
      </c>
      <c r="I49" s="15">
        <f>IF(OR(I48="",I46=""),"",IFERROR(I48/I46,""))</f>
        <v/>
      </c>
      <c r="J49" s="15">
        <f>IF(OR(J48="",J46=""),"",IFERROR(J48/J46,""))</f>
        <v/>
      </c>
      <c r="K49" s="15">
        <f>IF(OR(K48="",K46=""),"",IFERROR(K48/K46,""))</f>
        <v/>
      </c>
      <c r="L49" s="15">
        <f>IF(OR(L48="",L46=""),"",IFERROR(L48/L46,""))</f>
        <v/>
      </c>
      <c r="M49" s="15">
        <f>IF(OR(M48="",M46=""),"",IFERROR(M48/M46,""))</f>
        <v/>
      </c>
      <c r="N49" s="15">
        <f>IF(OR(N48="",N46=""),"",IFERROR(N48/N46,""))</f>
        <v/>
      </c>
      <c r="O49" s="14">
        <f>IF(OR(O48="",O46=""),"",IFERROR(O48/O46,""))</f>
        <v/>
      </c>
      <c r="P49" s="15">
        <f>IF(OR(P48="",P46=""),"",IFERROR(P48/P46,""))</f>
        <v/>
      </c>
      <c r="Q49" s="15">
        <f>IF(OR(Q48="",Q46=""),"",IFERROR(Q48/Q46,""))</f>
        <v/>
      </c>
      <c r="R49" s="15">
        <f>IF(OR(R48="",R46=""),"",IFERROR(R48/R46,""))</f>
        <v/>
      </c>
      <c r="S49" s="15">
        <f>IF(OR(S48="",S46=""),"",IFERROR(S48/S46,""))</f>
        <v/>
      </c>
      <c r="T49" s="15">
        <f>IF(OR(T48="",T46=""),"",IFERROR(T48/T46,""))</f>
        <v/>
      </c>
      <c r="U49" s="15">
        <f>IF(OR(U48="",U46=""),"",IFERROR(U48/U46,""))</f>
        <v/>
      </c>
      <c r="V49" s="15">
        <f>IF(OR(V48="",V46=""),"",IFERROR(V48/V46,""))</f>
        <v/>
      </c>
      <c r="W49" s="15">
        <f>IF(OR(W48="",W46=""),"",IFERROR(W48/W46,""))</f>
        <v/>
      </c>
      <c r="X49" s="15">
        <f>IF(OR(X48="",X46=""),"",IFERROR(X48/X46,""))</f>
        <v/>
      </c>
      <c r="Y49" s="25" t="n">
        <v>0.3</v>
      </c>
      <c r="Z49" s="26" t="n">
        <v>0.3</v>
      </c>
      <c r="AA49" s="26" t="n">
        <v>0.3</v>
      </c>
      <c r="AB49" s="26" t="n">
        <v>0.3</v>
      </c>
      <c r="AC49" s="26" t="n">
        <v>0.3</v>
      </c>
    </row>
    <row r="50">
      <c r="A50" s="9" t="inlineStr">
        <is>
          <t>당기순이익(손실)</t>
        </is>
      </c>
      <c r="B50" s="10" t="n"/>
      <c r="C50" s="11" t="n">
        <v>1120</v>
      </c>
      <c r="D50" s="12" t="n">
        <v>981</v>
      </c>
      <c r="E50" s="12" t="n">
        <v>1830</v>
      </c>
      <c r="F50" s="12" t="n">
        <v>228</v>
      </c>
      <c r="G50" s="12" t="n">
        <v>591</v>
      </c>
      <c r="H50" s="12" t="n">
        <v>840</v>
      </c>
      <c r="I50" s="12" t="n">
        <v>2022</v>
      </c>
      <c r="J50" s="12" t="n">
        <v>269</v>
      </c>
      <c r="K50" s="12" t="n">
        <v>867</v>
      </c>
      <c r="L50" s="12" t="n">
        <v>1300</v>
      </c>
      <c r="M50" s="12" t="n">
        <v>1651</v>
      </c>
      <c r="N50" s="12" t="n">
        <v>1034</v>
      </c>
      <c r="O50" s="11" t="n">
        <v>6769</v>
      </c>
      <c r="P50" s="12" t="n">
        <v>7345</v>
      </c>
      <c r="Q50" s="12" t="n">
        <v>7172</v>
      </c>
      <c r="R50" s="12" t="n">
        <v>7297</v>
      </c>
      <c r="S50" s="12" t="n">
        <v>7706</v>
      </c>
      <c r="T50" s="12" t="n">
        <v>7838</v>
      </c>
      <c r="U50" s="12" t="n">
        <v>6825</v>
      </c>
      <c r="V50" s="12" t="n">
        <v>4795</v>
      </c>
      <c r="W50" s="12" t="n">
        <v>3681</v>
      </c>
      <c r="X50" s="12" t="n">
        <v>4087</v>
      </c>
      <c r="Y50" s="11">
        <f>IF(OR(Y46=""),"",IFERROR(Y46-Y48,""))</f>
        <v/>
      </c>
      <c r="Z50" s="12">
        <f>IF(OR(Z46=""),"",IFERROR(Z46-Z48,""))</f>
        <v/>
      </c>
      <c r="AA50" s="12">
        <f>IF(OR(AA46=""),"",IFERROR(AA46-AA48,""))</f>
        <v/>
      </c>
      <c r="AB50" s="12">
        <f>IF(OR(AB46=""),"",IFERROR(AB46-AB48,""))</f>
        <v/>
      </c>
      <c r="AC50" s="12">
        <f>IF(OR(AC46=""),"",IFERROR(AC46-AC48,""))</f>
        <v/>
      </c>
    </row>
    <row r="51">
      <c r="A51" s="13" t="inlineStr">
        <is>
          <t>YoY</t>
        </is>
      </c>
      <c r="B51" s="10" t="n"/>
      <c r="C51" s="14" t="n"/>
      <c r="D51" s="15" t="n"/>
      <c r="E51" s="15" t="n"/>
      <c r="F51" s="15" t="n"/>
      <c r="G51" s="15">
        <f>IF(OR(G50="",C50=""),"",IF(C50&lt;=0,"",IFERROR(G50/C50-1,"")))</f>
        <v/>
      </c>
      <c r="H51" s="15">
        <f>IF(OR(H50="",D50=""),"",IF(D50&lt;=0,"",IFERROR(H50/D50-1,"")))</f>
        <v/>
      </c>
      <c r="I51" s="15">
        <f>IF(OR(I50="",E50=""),"",IF(E50&lt;=0,"",IFERROR(I50/E50-1,"")))</f>
        <v/>
      </c>
      <c r="J51" s="15">
        <f>IF(OR(J50="",F50=""),"",IF(F50&lt;=0,"",IFERROR(J50/F50-1,"")))</f>
        <v/>
      </c>
      <c r="K51" s="15">
        <f>IF(OR(K50="",G50=""),"",IF(G50&lt;=0,"",IFERROR(K50/G50-1,"")))</f>
        <v/>
      </c>
      <c r="L51" s="15">
        <f>IF(OR(L50="",H50=""),"",IF(H50&lt;=0,"",IFERROR(L50/H50-1,"")))</f>
        <v/>
      </c>
      <c r="M51" s="15">
        <f>IF(OR(M50="",I50=""),"",IF(I50&lt;=0,"",IFERROR(M50/I50-1,"")))</f>
        <v/>
      </c>
      <c r="N51" s="15">
        <f>IF(OR(N50="",J50=""),"",IF(J50&lt;=0,"",IFERROR(N50/J50-1,"")))</f>
        <v/>
      </c>
      <c r="O51" s="14" t="n"/>
      <c r="P51" s="15">
        <f>IF(OR(P50="",O50=""),"",IF(O50&lt;=0,"",IFERROR(P50/O50-1,"")))</f>
        <v/>
      </c>
      <c r="Q51" s="15">
        <f>IF(OR(Q50="",P50=""),"",IF(P50&lt;=0,"",IFERROR(Q50/P50-1,"")))</f>
        <v/>
      </c>
      <c r="R51" s="15">
        <f>IF(OR(R50="",Q50=""),"",IF(Q50&lt;=0,"",IFERROR(R50/Q50-1,"")))</f>
        <v/>
      </c>
      <c r="S51" s="15">
        <f>IF(OR(S50="",R50=""),"",IF(R50&lt;=0,"",IFERROR(S50/R50-1,"")))</f>
        <v/>
      </c>
      <c r="T51" s="15">
        <f>IF(OR(T50="",S50=""),"",IF(S50&lt;=0,"",IFERROR(T50/S50-1,"")))</f>
        <v/>
      </c>
      <c r="U51" s="15">
        <f>IF(OR(U50="",T50=""),"",IF(T50&lt;=0,"",IFERROR(U50/T50-1,"")))</f>
        <v/>
      </c>
      <c r="V51" s="15">
        <f>IF(OR(V50="",U50=""),"",IF(U50&lt;=0,"",IFERROR(V50/U50-1,"")))</f>
        <v/>
      </c>
      <c r="W51" s="15">
        <f>IF(OR(W50="",V50=""),"",IF(V50&lt;=0,"",IFERROR(W50/V50-1,"")))</f>
        <v/>
      </c>
      <c r="X51" s="15">
        <f>IF(OR(X50="",W50=""),"",IF(W50&lt;=0,"",IFERROR(X50/W50-1,"")))</f>
        <v/>
      </c>
      <c r="Y51" s="14">
        <f>IF(OR(Y50="",X50=""),"",IF(X50&lt;=0,"",IFERROR(Y50/X50-1,"")))</f>
        <v/>
      </c>
      <c r="Z51" s="15">
        <f>IF(OR(Z50="",Y50=""),"",IF(Y50&lt;=0,"",IFERROR(Z50/Y50-1,"")))</f>
        <v/>
      </c>
      <c r="AA51" s="15">
        <f>IF(OR(AA50="",Z50=""),"",IF(Z50&lt;=0,"",IFERROR(AA50/Z50-1,"")))</f>
        <v/>
      </c>
      <c r="AB51" s="15">
        <f>IF(OR(AB50="",AA50=""),"",IF(AA50&lt;=0,"",IFERROR(AB50/AA50-1,"")))</f>
        <v/>
      </c>
      <c r="AC51" s="15">
        <f>IF(OR(AC50="",AB50=""),"",IF(AB50&lt;=0,"",IFERROR(AC50/AB50-1,"")))</f>
        <v/>
      </c>
    </row>
    <row r="52">
      <c r="A52" s="9" t="inlineStr">
        <is>
          <t>지배주주 순이익</t>
        </is>
      </c>
      <c r="B52" s="10" t="n"/>
      <c r="C52" s="11" t="n">
        <v>1101</v>
      </c>
      <c r="D52" s="12" t="n">
        <v>958</v>
      </c>
      <c r="E52" s="12" t="n">
        <v>1769</v>
      </c>
      <c r="F52" s="12" t="n">
        <v>231</v>
      </c>
      <c r="G52" s="12" t="n">
        <v>572</v>
      </c>
      <c r="H52" s="12" t="n">
        <v>803</v>
      </c>
      <c r="I52" s="12" t="n">
        <v>1938</v>
      </c>
      <c r="J52" s="12" t="n">
        <v>262</v>
      </c>
      <c r="K52" s="12" t="n">
        <v>856</v>
      </c>
      <c r="L52" s="12" t="n">
        <v>1275</v>
      </c>
      <c r="M52" s="12" t="n">
        <v>1582</v>
      </c>
      <c r="N52" s="12" t="n">
        <v>1029</v>
      </c>
      <c r="O52" s="11" t="n">
        <v>6576</v>
      </c>
      <c r="P52" s="12" t="n">
        <v>7217</v>
      </c>
      <c r="Q52" s="12" t="n">
        <v>7055</v>
      </c>
      <c r="R52" s="12" t="n">
        <v>7167</v>
      </c>
      <c r="S52" s="12" t="n">
        <v>7546</v>
      </c>
      <c r="T52" s="12" t="n">
        <v>7662</v>
      </c>
      <c r="U52" s="12" t="n">
        <v>6653</v>
      </c>
      <c r="V52" s="12" t="n">
        <v>4671</v>
      </c>
      <c r="W52" s="12" t="n">
        <v>3544</v>
      </c>
      <c r="X52" s="12" t="n">
        <v>3975</v>
      </c>
      <c r="Y52" s="11">
        <f>IF(OR(Y50="",Y53=""),"",IFERROR(Y50*Y53,""))</f>
        <v/>
      </c>
      <c r="Z52" s="12">
        <f>IF(OR(Z50="",Z53=""),"",IFERROR(Z50*Z53,""))</f>
        <v/>
      </c>
      <c r="AA52" s="12">
        <f>IF(OR(AA50="",AA53=""),"",IFERROR(AA50*AA53,""))</f>
        <v/>
      </c>
      <c r="AB52" s="12">
        <f>IF(OR(AB50="",AB53=""),"",IFERROR(AB50*AB53,""))</f>
        <v/>
      </c>
      <c r="AC52" s="12">
        <f>IF(OR(AC50="",AC53=""),"",IFERROR(AC50*AC53,""))</f>
        <v/>
      </c>
    </row>
    <row r="53">
      <c r="A53" s="13" t="inlineStr">
        <is>
          <t>지배주주 순이익률</t>
        </is>
      </c>
      <c r="B53" s="10" t="inlineStr">
        <is>
          <t>MW 기본 100%</t>
        </is>
      </c>
      <c r="C53" s="14">
        <f>IF(OR(C52="",C50=""),"",IFERROR(C52/C50,""))</f>
        <v/>
      </c>
      <c r="D53" s="15">
        <f>IF(OR(D52="",D50=""),"",IFERROR(D52/D50,""))</f>
        <v/>
      </c>
      <c r="E53" s="15">
        <f>IF(OR(E52="",E50=""),"",IFERROR(E52/E50,""))</f>
        <v/>
      </c>
      <c r="F53" s="15">
        <f>IF(OR(F52="",F50=""),"",IFERROR(F52/F50,""))</f>
        <v/>
      </c>
      <c r="G53" s="15">
        <f>IF(OR(G52="",G50=""),"",IFERROR(G52/G50,""))</f>
        <v/>
      </c>
      <c r="H53" s="15">
        <f>IF(OR(H52="",H50=""),"",IFERROR(H52/H50,""))</f>
        <v/>
      </c>
      <c r="I53" s="15">
        <f>IF(OR(I52="",I50=""),"",IFERROR(I52/I50,""))</f>
        <v/>
      </c>
      <c r="J53" s="15">
        <f>IF(OR(J52="",J50=""),"",IFERROR(J52/J50,""))</f>
        <v/>
      </c>
      <c r="K53" s="15">
        <f>IF(OR(K52="",K50=""),"",IFERROR(K52/K50,""))</f>
        <v/>
      </c>
      <c r="L53" s="15">
        <f>IF(OR(L52="",L50=""),"",IFERROR(L52/L50,""))</f>
        <v/>
      </c>
      <c r="M53" s="15">
        <f>IF(OR(M52="",M50=""),"",IFERROR(M52/M50,""))</f>
        <v/>
      </c>
      <c r="N53" s="15">
        <f>IF(OR(N52="",N50=""),"",IFERROR(N52/N50,""))</f>
        <v/>
      </c>
      <c r="O53" s="14">
        <f>IF(OR(O52="",O50=""),"",IFERROR(O52/O50,""))</f>
        <v/>
      </c>
      <c r="P53" s="15">
        <f>IF(OR(P52="",P50=""),"",IFERROR(P52/P50,""))</f>
        <v/>
      </c>
      <c r="Q53" s="15">
        <f>IF(OR(Q52="",Q50=""),"",IFERROR(Q52/Q50,""))</f>
        <v/>
      </c>
      <c r="R53" s="15">
        <f>IF(OR(R52="",R50=""),"",IFERROR(R52/R50,""))</f>
        <v/>
      </c>
      <c r="S53" s="15">
        <f>IF(OR(S52="",S50=""),"",IFERROR(S52/S50,""))</f>
        <v/>
      </c>
      <c r="T53" s="15">
        <f>IF(OR(T52="",T50=""),"",IFERROR(T52/T50,""))</f>
        <v/>
      </c>
      <c r="U53" s="15">
        <f>IF(OR(U52="",U50=""),"",IFERROR(U52/U50,""))</f>
        <v/>
      </c>
      <c r="V53" s="15">
        <f>IF(OR(V52="",V50=""),"",IFERROR(V52/V50,""))</f>
        <v/>
      </c>
      <c r="W53" s="15">
        <f>IF(OR(W52="",W50=""),"",IFERROR(W52/W50,""))</f>
        <v/>
      </c>
      <c r="X53" s="15">
        <f>IF(OR(X52="",X50=""),"",IFERROR(X52/X50,""))</f>
        <v/>
      </c>
      <c r="Y53" s="25" t="n">
        <v>1</v>
      </c>
      <c r="Z53" s="26" t="n">
        <v>1</v>
      </c>
      <c r="AA53" s="26" t="n">
        <v>1</v>
      </c>
      <c r="AB53" s="26" t="n">
        <v>1</v>
      </c>
      <c r="AC53" s="26" t="n">
        <v>1</v>
      </c>
    </row>
    <row r="54">
      <c r="A54" s="13" t="inlineStr">
        <is>
          <t>지배주주 순이익 YoY</t>
        </is>
      </c>
      <c r="B54" s="10" t="n"/>
      <c r="C54" s="14" t="n"/>
      <c r="D54" s="15" t="n"/>
      <c r="E54" s="15" t="n"/>
      <c r="F54" s="15" t="n"/>
      <c r="G54" s="15">
        <f>IF(OR(G52="",C52=""),"",IF(C52&lt;=0,"",IFERROR(G52/C52-1,"")))</f>
        <v/>
      </c>
      <c r="H54" s="15">
        <f>IF(OR(H52="",D52=""),"",IF(D52&lt;=0,"",IFERROR(H52/D52-1,"")))</f>
        <v/>
      </c>
      <c r="I54" s="15">
        <f>IF(OR(I52="",E52=""),"",IF(E52&lt;=0,"",IFERROR(I52/E52-1,"")))</f>
        <v/>
      </c>
      <c r="J54" s="15">
        <f>IF(OR(J52="",F52=""),"",IF(F52&lt;=0,"",IFERROR(J52/F52-1,"")))</f>
        <v/>
      </c>
      <c r="K54" s="15">
        <f>IF(OR(K52="",G52=""),"",IF(G52&lt;=0,"",IFERROR(K52/G52-1,"")))</f>
        <v/>
      </c>
      <c r="L54" s="15">
        <f>IF(OR(L52="",H52=""),"",IF(H52&lt;=0,"",IFERROR(L52/H52-1,"")))</f>
        <v/>
      </c>
      <c r="M54" s="15">
        <f>IF(OR(M52="",I52=""),"",IF(I52&lt;=0,"",IFERROR(M52/I52-1,"")))</f>
        <v/>
      </c>
      <c r="N54" s="15">
        <f>IF(OR(N52="",J52=""),"",IF(J52&lt;=0,"",IFERROR(N52/J52-1,"")))</f>
        <v/>
      </c>
      <c r="O54" s="14" t="n"/>
      <c r="P54" s="15">
        <f>IF(OR(P52="",O52=""),"",IF(O52&lt;=0,"",IFERROR(P52/O52-1,"")))</f>
        <v/>
      </c>
      <c r="Q54" s="15">
        <f>IF(OR(Q52="",P52=""),"",IF(P52&lt;=0,"",IFERROR(Q52/P52-1,"")))</f>
        <v/>
      </c>
      <c r="R54" s="15">
        <f>IF(OR(R52="",Q52=""),"",IF(Q52&lt;=0,"",IFERROR(R52/Q52-1,"")))</f>
        <v/>
      </c>
      <c r="S54" s="15">
        <f>IF(OR(S52="",R52=""),"",IF(R52&lt;=0,"",IFERROR(S52/R52-1,"")))</f>
        <v/>
      </c>
      <c r="T54" s="15">
        <f>IF(OR(T52="",S52=""),"",IF(S52&lt;=0,"",IFERROR(T52/S52-1,"")))</f>
        <v/>
      </c>
      <c r="U54" s="15">
        <f>IF(OR(U52="",T52=""),"",IF(T52&lt;=0,"",IFERROR(U52/T52-1,"")))</f>
        <v/>
      </c>
      <c r="V54" s="15">
        <f>IF(OR(V52="",U52=""),"",IF(U52&lt;=0,"",IFERROR(V52/U52-1,"")))</f>
        <v/>
      </c>
      <c r="W54" s="15">
        <f>IF(OR(W52="",V52=""),"",IF(V52&lt;=0,"",IFERROR(W52/V52-1,"")))</f>
        <v/>
      </c>
      <c r="X54" s="15">
        <f>IF(OR(X52="",W52=""),"",IF(W52&lt;=0,"",IFERROR(X52/W52-1,"")))</f>
        <v/>
      </c>
      <c r="Y54" s="14">
        <f>IF(OR(Y52="",X52=""),"",IF(X52&lt;=0,"",IFERROR(Y52/X52-1,"")))</f>
        <v/>
      </c>
      <c r="Z54" s="15">
        <f>IF(OR(Z52="",Y52=""),"",IF(Y52&lt;=0,"",IFERROR(Z52/Y52-1,"")))</f>
        <v/>
      </c>
      <c r="AA54" s="15">
        <f>IF(OR(AA52="",Z52=""),"",IF(Z52&lt;=0,"",IFERROR(AA52/Z52-1,"")))</f>
        <v/>
      </c>
      <c r="AB54" s="15">
        <f>IF(OR(AB52="",AA52=""),"",IF(AA52&lt;=0,"",IFERROR(AB52/AA52-1,"")))</f>
        <v/>
      </c>
      <c r="AC54" s="15">
        <f>IF(OR(AC52="",AB52=""),"",IF(AB52&lt;=0,"",IFERROR(AC52/AB52-1,"")))</f>
        <v/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(2026.10.28)</t>
        </is>
      </c>
      <c r="B56" s="27" t="n">
        <v>3015</v>
      </c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>
        <v>31813598</v>
      </c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IF(O23="","",O23)</f>
        <v/>
      </c>
      <c r="P59" s="15">
        <f>IF(P23="","",P23)</f>
        <v/>
      </c>
      <c r="Q59" s="15">
        <f>IF(Q23="","",Q23)</f>
        <v/>
      </c>
      <c r="R59" s="15">
        <f>IF(R23="","",R23)</f>
        <v/>
      </c>
      <c r="S59" s="15">
        <f>IF(S23="","",S23)</f>
        <v/>
      </c>
      <c r="T59" s="15">
        <f>IF(T23="","",T23)</f>
        <v/>
      </c>
      <c r="U59" s="15">
        <f>IF(U23="","",U23)</f>
        <v/>
      </c>
      <c r="V59" s="15">
        <f>IF(V23="","",V23)</f>
        <v/>
      </c>
      <c r="W59" s="15">
        <f>IF(W23="","",W23)</f>
        <v/>
      </c>
      <c r="X59" s="15">
        <f>IF(X23="","",X23)</f>
        <v/>
      </c>
      <c r="Y59" s="14">
        <f>IF(Y23="","",Y23)</f>
        <v/>
      </c>
      <c r="Z59" s="15">
        <f>IF(Z23="","",Z23)</f>
        <v/>
      </c>
      <c r="AA59" s="15">
        <f>IF(AA23="","",AA23)</f>
        <v/>
      </c>
      <c r="AB59" s="15">
        <f>IF(AB23="","",AB23)</f>
        <v/>
      </c>
      <c r="AC59" s="15">
        <f>IF(AC23="","",AC23)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IF(OR(P52="",O52=""),"",IFERROR(P52/O52-1,""))</f>
        <v/>
      </c>
      <c r="Q60" s="15">
        <f>IF(OR(Q52="",P52=""),"",IFERROR(Q52/P52-1,""))</f>
        <v/>
      </c>
      <c r="R60" s="15">
        <f>IF(OR(R52="",Q52=""),"",IFERROR(R52/Q52-1,""))</f>
        <v/>
      </c>
      <c r="S60" s="15">
        <f>IF(OR(S52="",R52=""),"",IFERROR(S52/R52-1,""))</f>
        <v/>
      </c>
      <c r="T60" s="15">
        <f>IF(OR(T52="",S52=""),"",IFERROR(T52/S52-1,""))</f>
        <v/>
      </c>
      <c r="U60" s="15">
        <f>IF(OR(U52="",T52=""),"",IFERROR(U52/T52-1,""))</f>
        <v/>
      </c>
      <c r="V60" s="15">
        <f>IF(OR(V52="",U52=""),"",IFERROR(V52/U52-1,""))</f>
        <v/>
      </c>
      <c r="W60" s="15">
        <f>IF(OR(W52="",V52=""),"",IFERROR(W52/V52-1,""))</f>
        <v/>
      </c>
      <c r="X60" s="15">
        <f>IF(OR(X52="",W52=""),"",IFERROR(X52/W52-1,""))</f>
        <v/>
      </c>
      <c r="Y60" s="14">
        <f>IF(OR(Y52="",X52=""),"",IFERROR(Y52/X52-1,""))</f>
        <v/>
      </c>
      <c r="Z60" s="15">
        <f>IF(OR(Z52="",Y52=""),"",IFERROR(Z52/Y52-1,""))</f>
        <v/>
      </c>
      <c r="AA60" s="15">
        <f>IF(OR(AA52="",Z52=""),"",IFERROR(AA52/Z52-1,""))</f>
        <v/>
      </c>
      <c r="AB60" s="15">
        <f>IF(OR(AB52="",AA52=""),"",IFERROR(AB52/AA52-1,""))</f>
        <v/>
      </c>
      <c r="AC60" s="15">
        <f>IF(OR(AC52="",AB52=""),"",IFERROR(AC52/AB52-1,""))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IF(OR($B$58="",X52=""),"",IFERROR($B$58/X52,""))</f>
        <v/>
      </c>
      <c r="Y61" s="30">
        <f>IF(OR($B$58="",Y52=""),"",IFERROR($B$58/Y52,""))</f>
        <v/>
      </c>
      <c r="Z61" s="31">
        <f>IF(OR($B$58="",Z52=""),"",IFERROR($B$58/Z52,""))</f>
        <v/>
      </c>
      <c r="AA61" s="31">
        <f>IF(OR($B$58="",AA52=""),"",IFERROR($B$58/AA52,""))</f>
        <v/>
      </c>
      <c r="AB61" s="31">
        <f>IF(OR($B$58="",AB52=""),"",IFERROR($B$58/AB52,""))</f>
        <v/>
      </c>
      <c r="AC61" s="31">
        <f>IF(OR($B$58="",AC52=""),"",IFERROR($B$58/AC52,""))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IF(OR(O52="",$B$57=""),"",IFERROR(O52*1000000.0/$B$57,""))</f>
        <v/>
      </c>
      <c r="P63" s="29">
        <f>IF(OR(P52="",$B$57=""),"",IFERROR(P52*1000000.0/$B$57,""))</f>
        <v/>
      </c>
      <c r="Q63" s="29">
        <f>IF(OR(Q52="",$B$57=""),"",IFERROR(Q52*1000000.0/$B$57,""))</f>
        <v/>
      </c>
      <c r="R63" s="29">
        <f>IF(OR(R52="",$B$57=""),"",IFERROR(R52*1000000.0/$B$57,""))</f>
        <v/>
      </c>
      <c r="S63" s="29">
        <f>IF(OR(S52="",$B$57=""),"",IFERROR(S52*1000000.0/$B$57,""))</f>
        <v/>
      </c>
      <c r="T63" s="29">
        <f>IF(OR(T52="",$B$57=""),"",IFERROR(T52*1000000.0/$B$57,""))</f>
        <v/>
      </c>
      <c r="U63" s="29">
        <f>IF(OR(U52="",$B$57=""),"",IFERROR(U52*1000000.0/$B$57,""))</f>
        <v/>
      </c>
      <c r="V63" s="29">
        <f>IF(OR(V52="",$B$57=""),"",IFERROR(V52*1000000.0/$B$57,""))</f>
        <v/>
      </c>
      <c r="W63" s="29">
        <f>IF(OR(W52="",$B$57=""),"",IFERROR(W52*1000000.0/$B$57,""))</f>
        <v/>
      </c>
      <c r="X63" s="29">
        <f>IF(OR(X52="",$B$57=""),"",IFERROR(X52*1000000.0/$B$57,""))</f>
        <v/>
      </c>
      <c r="Y63" s="28">
        <f>IF(OR(Y52="",$B$57=""),"",IFERROR(Y52*1000000.0/$B$57,""))</f>
        <v/>
      </c>
      <c r="Z63" s="29">
        <f>IF(OR(Z52="",$B$57=""),"",IFERROR(Z52*1000000.0/$B$57,""))</f>
        <v/>
      </c>
      <c r="AA63" s="29">
        <f>IF(OR(AA52="",$B$57=""),"",IFERROR(AA52*1000000.0/$B$57,""))</f>
        <v/>
      </c>
      <c r="AB63" s="29">
        <f>IF(OR(AB52="",$B$57=""),"",IFERROR(AB52*1000000.0/$B$57,""))</f>
        <v/>
      </c>
      <c r="AC63" s="29">
        <f>IF(OR(AC52="",$B$57=""),"",IFERROR(AC52*1000000.0/$B$57,""))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IF(OR(Y52="",Y62=""),"",IFERROR(Y52*Y62,""))</f>
        <v/>
      </c>
      <c r="Z75" s="20">
        <f>IF(OR(Z52="",Z62=""),"",IFERROR(Z52*Z62,""))</f>
        <v/>
      </c>
      <c r="AA75" s="20">
        <f>IF(OR(AA52="",AA62=""),"",IFERROR(AA52*AA62,""))</f>
        <v/>
      </c>
      <c r="AB75" s="20">
        <f>IF(OR(AB52="",AB62=""),"",IFERROR(AB52*AB62,""))</f>
        <v/>
      </c>
      <c r="AC75" s="20">
        <f>IF(OR(AC52="",AC62=""),"",IFERROR(AC52*AC62,""))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 2026.10.28</t>
        </is>
      </c>
      <c r="C83" s="39" t="n"/>
      <c r="O83" s="39" t="n"/>
      <c r="Y83" s="39" t="n"/>
    </row>
    <row r="85">
      <c r="A85" s="16" t="inlineStr">
        <is>
          <t>손익계산서 · 전 항목</t>
        </is>
      </c>
      <c r="B85" s="42" t="inlineStr">
        <is>
          <t>분기 = 3개월 단독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2024.2Q</t>
        </is>
      </c>
      <c r="D86" s="5" t="inlineStr">
        <is>
          <t>2024.3Q</t>
        </is>
      </c>
      <c r="E86" s="5" t="inlineStr">
        <is>
          <t>2024.4Q</t>
        </is>
      </c>
      <c r="F86" s="5" t="inlineStr">
        <is>
          <t>2025.1Q</t>
        </is>
      </c>
      <c r="G86" s="5" t="inlineStr">
        <is>
          <t>2025.2Q</t>
        </is>
      </c>
      <c r="H86" s="5" t="inlineStr">
        <is>
          <t>2025.3Q</t>
        </is>
      </c>
      <c r="I86" s="5" t="inlineStr">
        <is>
          <t>2025.4Q</t>
        </is>
      </c>
      <c r="J86" s="5" t="inlineStr">
        <is>
          <t>2026.1Q</t>
        </is>
      </c>
      <c r="K86" s="5" t="inlineStr">
        <is>
          <t>2026.2Q</t>
        </is>
      </c>
      <c r="L86" s="5" t="inlineStr">
        <is>
          <t>2026.3Q</t>
        </is>
      </c>
      <c r="M86" s="5" t="inlineStr">
        <is>
          <t>2026.4Q</t>
        </is>
      </c>
      <c r="N86" s="5" t="inlineStr">
        <is>
          <t>2027.1Q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매출액</t>
        </is>
      </c>
      <c r="C87" s="12" t="n">
        <v>14170</v>
      </c>
      <c r="D87" s="12" t="n">
        <v>15397</v>
      </c>
      <c r="E87" s="12" t="n">
        <v>19507</v>
      </c>
      <c r="F87" s="12" t="n">
        <v>15542</v>
      </c>
      <c r="G87" s="12" t="n">
        <v>17511</v>
      </c>
      <c r="H87" s="12" t="n">
        <v>18659</v>
      </c>
      <c r="I87" s="12" t="n">
        <v>22519</v>
      </c>
      <c r="J87" s="12" t="n">
        <v>16545</v>
      </c>
      <c r="K87" s="12" t="n">
        <v>18447</v>
      </c>
      <c r="L87" s="12" t="n">
        <v>19590</v>
      </c>
      <c r="M87" s="12" t="n">
        <v>23581</v>
      </c>
      <c r="N87" s="12" t="n">
        <v>18301</v>
      </c>
      <c r="T87" s="12" t="n">
        <v>20285</v>
      </c>
      <c r="U87" s="12" t="n">
        <v>20682</v>
      </c>
      <c r="V87" s="12" t="n">
        <v>19507</v>
      </c>
      <c r="W87" s="12" t="n">
        <v>22519</v>
      </c>
      <c r="X87" s="12" t="n">
        <v>23581</v>
      </c>
    </row>
    <row r="88">
      <c r="A88" s="43" t="inlineStr">
        <is>
          <t>YoY</t>
        </is>
      </c>
      <c r="B88" s="3" t="inlineStr">
        <is>
          <t>전년 같은 분기·전년 대비</t>
        </is>
      </c>
      <c r="G88" s="15">
        <f>IF(OR(G87="",C87=""),"",IF(C87&lt;=0,"",IFERROR(G87/C87-1,"")))</f>
        <v/>
      </c>
      <c r="H88" s="15">
        <f>IF(OR(H87="",D87=""),"",IF(D87&lt;=0,"",IFERROR(H87/D87-1,"")))</f>
        <v/>
      </c>
      <c r="I88" s="15">
        <f>IF(OR(I87="",E87=""),"",IF(E87&lt;=0,"",IFERROR(I87/E87-1,"")))</f>
        <v/>
      </c>
      <c r="J88" s="15">
        <f>IF(OR(J87="",F87=""),"",IF(F87&lt;=0,"",IFERROR(J87/F87-1,"")))</f>
        <v/>
      </c>
      <c r="K88" s="15">
        <f>IF(OR(K87="",G87=""),"",IF(G87&lt;=0,"",IFERROR(K87/G87-1,"")))</f>
        <v/>
      </c>
      <c r="L88" s="15">
        <f>IF(OR(L87="",H87=""),"",IF(H87&lt;=0,"",IFERROR(L87/H87-1,"")))</f>
        <v/>
      </c>
      <c r="M88" s="15">
        <f>IF(OR(M87="",I87=""),"",IF(I87&lt;=0,"",IFERROR(M87/I87-1,"")))</f>
        <v/>
      </c>
      <c r="N88" s="15">
        <f>IF(OR(N87="",J87=""),"",IF(J87&lt;=0,"",IFERROR(N87/J87-1,"")))</f>
        <v/>
      </c>
      <c r="T88" s="15">
        <f>IF(OR(T87="",S87=""),"",IF(S87&lt;=0,"",IFERROR(T87/S87-1,"")))</f>
        <v/>
      </c>
      <c r="U88" s="15">
        <f>IF(OR(U87="",T87=""),"",IF(T87&lt;=0,"",IFERROR(U87/T87-1,"")))</f>
        <v/>
      </c>
      <c r="V88" s="15">
        <f>IF(OR(V87="",U87=""),"",IF(U87&lt;=0,"",IFERROR(V87/U87-1,"")))</f>
        <v/>
      </c>
      <c r="W88" s="15">
        <f>IF(OR(W87="",V87=""),"",IF(V87&lt;=0,"",IFERROR(W87/V87-1,"")))</f>
        <v/>
      </c>
      <c r="X88" s="15">
        <f>IF(OR(X87="",W87=""),"",IF(W87&lt;=0,"",IFERROR(X87/W87-1,"")))</f>
        <v/>
      </c>
    </row>
    <row r="89">
      <c r="A89" s="18" t="inlineStr">
        <is>
          <t>매출원가</t>
        </is>
      </c>
      <c r="C89" s="20" t="n">
        <v>9870</v>
      </c>
      <c r="D89" s="20" t="n">
        <v>10543</v>
      </c>
      <c r="E89" s="20" t="n">
        <v>13657</v>
      </c>
      <c r="F89" s="20" t="n">
        <v>11031</v>
      </c>
      <c r="G89" s="20" t="n">
        <v>12280</v>
      </c>
      <c r="H89" s="20" t="n">
        <v>12870</v>
      </c>
      <c r="I89" s="20" t="n">
        <v>15737</v>
      </c>
      <c r="J89" s="20" t="n">
        <v>11539</v>
      </c>
      <c r="K89" s="20" t="n">
        <v>12782</v>
      </c>
      <c r="L89" s="20" t="n">
        <v>13286</v>
      </c>
      <c r="M89" s="20" t="n">
        <v>16216</v>
      </c>
      <c r="N89" s="20" t="n">
        <v>12564</v>
      </c>
      <c r="T89" s="20" t="n">
        <v>13662</v>
      </c>
      <c r="U89" s="20" t="n">
        <v>14375</v>
      </c>
      <c r="V89" s="20" t="n">
        <v>13657</v>
      </c>
      <c r="W89" s="20" t="n">
        <v>15737</v>
      </c>
      <c r="X89" s="20" t="n">
        <v>16216</v>
      </c>
    </row>
    <row r="90">
      <c r="A90" s="43" t="inlineStr">
        <is>
          <t>YoY</t>
        </is>
      </c>
      <c r="B90" s="3" t="inlineStr">
        <is>
          <t>전년 같은 분기·전년 대비</t>
        </is>
      </c>
      <c r="G90" s="15">
        <f>IF(OR(G89="",C89=""),"",IF(G89*C89&lt;=0,"",IFERROR(G89/C89-1,"")))</f>
        <v/>
      </c>
      <c r="H90" s="15">
        <f>IF(OR(H89="",D89=""),"",IF(H89*D89&lt;=0,"",IFERROR(H89/D89-1,"")))</f>
        <v/>
      </c>
      <c r="I90" s="15">
        <f>IF(OR(I89="",E89=""),"",IF(I89*E89&lt;=0,"",IFERROR(I89/E89-1,"")))</f>
        <v/>
      </c>
      <c r="J90" s="15">
        <f>IF(OR(J89="",F89=""),"",IF(J89*F89&lt;=0,"",IFERROR(J89/F89-1,"")))</f>
        <v/>
      </c>
      <c r="K90" s="15">
        <f>IF(OR(K89="",G89=""),"",IF(K89*G89&lt;=0,"",IFERROR(K89/G89-1,"")))</f>
        <v/>
      </c>
      <c r="L90" s="15">
        <f>IF(OR(L89="",H89=""),"",IF(L89*H89&lt;=0,"",IFERROR(L89/H89-1,"")))</f>
        <v/>
      </c>
      <c r="M90" s="15">
        <f>IF(OR(M89="",I89=""),"",IF(M89*I89&lt;=0,"",IFERROR(M89/I89-1,"")))</f>
        <v/>
      </c>
      <c r="N90" s="15">
        <f>IF(OR(N89="",J89=""),"",IF(N89*J89&lt;=0,"",IFERROR(N89/J89-1,"")))</f>
        <v/>
      </c>
      <c r="T90" s="15">
        <f>IF(OR(T89="",S89=""),"",IF(T89*S89&lt;=0,"",IFERROR(T89/S89-1,"")))</f>
        <v/>
      </c>
      <c r="U90" s="15">
        <f>IF(OR(U89="",T89=""),"",IF(U89*T89&lt;=0,"",IFERROR(U89/T89-1,"")))</f>
        <v/>
      </c>
      <c r="V90" s="15">
        <f>IF(OR(V89="",U89=""),"",IF(V89*U89&lt;=0,"",IFERROR(V89/U89-1,"")))</f>
        <v/>
      </c>
      <c r="W90" s="15">
        <f>IF(OR(W89="",V89=""),"",IF(W89*V89&lt;=0,"",IFERROR(W89/V89-1,"")))</f>
        <v/>
      </c>
      <c r="X90" s="15">
        <f>IF(OR(X89="",W89=""),"",IF(X89*W89&lt;=0,"",IFERROR(X89/W89-1,"")))</f>
        <v/>
      </c>
    </row>
    <row r="91">
      <c r="A91" s="9" t="inlineStr">
        <is>
          <t>매출총이익</t>
        </is>
      </c>
      <c r="C91" s="12" t="n">
        <v>4300</v>
      </c>
      <c r="D91" s="12" t="n">
        <v>4853</v>
      </c>
      <c r="E91" s="12" t="n">
        <v>5850</v>
      </c>
      <c r="F91" s="12" t="n">
        <v>4510</v>
      </c>
      <c r="G91" s="12" t="n">
        <v>5232</v>
      </c>
      <c r="H91" s="12" t="n">
        <v>5788</v>
      </c>
      <c r="I91" s="12" t="n">
        <v>6783</v>
      </c>
      <c r="J91" s="12" t="n">
        <v>5006</v>
      </c>
      <c r="K91" s="12" t="n">
        <v>5665</v>
      </c>
      <c r="L91" s="12" t="n">
        <v>6303</v>
      </c>
      <c r="M91" s="12" t="n">
        <v>7365</v>
      </c>
      <c r="N91" s="12" t="n">
        <v>5737</v>
      </c>
      <c r="T91" s="12" t="n">
        <v>6623</v>
      </c>
      <c r="U91" s="12" t="n">
        <v>6308</v>
      </c>
      <c r="V91" s="12" t="n">
        <v>5850</v>
      </c>
      <c r="W91" s="12" t="n">
        <v>6783</v>
      </c>
      <c r="X91" s="12" t="n">
        <v>7365</v>
      </c>
    </row>
    <row r="92">
      <c r="A92" s="43" t="inlineStr">
        <is>
          <t>YoY</t>
        </is>
      </c>
      <c r="B92" s="3" t="inlineStr">
        <is>
          <t>전년 같은 분기·전년 대비</t>
        </is>
      </c>
      <c r="G92" s="15">
        <f>IF(OR(G91="",C91=""),"",IF(C91&lt;=0,"",IFERROR(G91/C91-1,"")))</f>
        <v/>
      </c>
      <c r="H92" s="15">
        <f>IF(OR(H91="",D91=""),"",IF(D91&lt;=0,"",IFERROR(H91/D91-1,"")))</f>
        <v/>
      </c>
      <c r="I92" s="15">
        <f>IF(OR(I91="",E91=""),"",IF(E91&lt;=0,"",IFERROR(I91/E91-1,"")))</f>
        <v/>
      </c>
      <c r="J92" s="15">
        <f>IF(OR(J91="",F91=""),"",IF(F91&lt;=0,"",IFERROR(J91/F91-1,"")))</f>
        <v/>
      </c>
      <c r="K92" s="15">
        <f>IF(OR(K91="",G91=""),"",IF(G91&lt;=0,"",IFERROR(K91/G91-1,"")))</f>
        <v/>
      </c>
      <c r="L92" s="15">
        <f>IF(OR(L91="",H91=""),"",IF(H91&lt;=0,"",IFERROR(L91/H91-1,"")))</f>
        <v/>
      </c>
      <c r="M92" s="15">
        <f>IF(OR(M91="",I91=""),"",IF(I91&lt;=0,"",IFERROR(M91/I91-1,"")))</f>
        <v/>
      </c>
      <c r="N92" s="15">
        <f>IF(OR(N91="",J91=""),"",IF(J91&lt;=0,"",IFERROR(N91/J91-1,"")))</f>
        <v/>
      </c>
      <c r="T92" s="15">
        <f>IF(OR(T91="",S91=""),"",IF(S91&lt;=0,"",IFERROR(T91/S91-1,"")))</f>
        <v/>
      </c>
      <c r="U92" s="15">
        <f>IF(OR(U91="",T91=""),"",IF(T91&lt;=0,"",IFERROR(U91/T91-1,"")))</f>
        <v/>
      </c>
      <c r="V92" s="15">
        <f>IF(OR(V91="",U91=""),"",IF(U91&lt;=0,"",IFERROR(V91/U91-1,"")))</f>
        <v/>
      </c>
      <c r="W92" s="15">
        <f>IF(OR(W91="",V91=""),"",IF(V91&lt;=0,"",IFERROR(W91/V91-1,"")))</f>
        <v/>
      </c>
      <c r="X92" s="15">
        <f>IF(OR(X91="",W91=""),"",IF(W91&lt;=0,"",IFERROR(X91/W91-1,"")))</f>
        <v/>
      </c>
    </row>
    <row r="93">
      <c r="A93" s="18" t="inlineStr">
        <is>
          <t>판매비와 관리비</t>
        </is>
      </c>
      <c r="C93" s="20" t="n">
        <v>2986</v>
      </c>
      <c r="D93" s="20" t="n">
        <v>3468</v>
      </c>
      <c r="E93" s="20" t="n">
        <v>3465</v>
      </c>
      <c r="F93" s="20" t="n">
        <v>4091</v>
      </c>
      <c r="G93" s="20" t="n">
        <v>4278</v>
      </c>
      <c r="H93" s="20" t="n">
        <v>4446</v>
      </c>
      <c r="I93" s="20" t="n">
        <v>4487</v>
      </c>
      <c r="J93" s="20" t="n">
        <v>4403</v>
      </c>
      <c r="K93" s="20" t="n">
        <v>4532</v>
      </c>
      <c r="L93" s="20" t="n">
        <v>4789</v>
      </c>
      <c r="M93" s="20" t="n">
        <v>4930</v>
      </c>
      <c r="N93" s="20" t="n">
        <v>4748</v>
      </c>
      <c r="T93" s="20" t="n">
        <v>2777</v>
      </c>
      <c r="U93" s="20" t="n">
        <v>3018</v>
      </c>
      <c r="V93" s="20" t="n">
        <v>3465</v>
      </c>
      <c r="W93" s="20" t="n">
        <v>4487</v>
      </c>
      <c r="X93" s="20" t="n">
        <v>4930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IF(OR(G93="",C93=""),"",IF(G93*C93&lt;=0,"",IFERROR(G93/C93-1,"")))</f>
        <v/>
      </c>
      <c r="H94" s="15">
        <f>IF(OR(H93="",D93=""),"",IF(H93*D93&lt;=0,"",IFERROR(H93/D93-1,"")))</f>
        <v/>
      </c>
      <c r="I94" s="15">
        <f>IF(OR(I93="",E93=""),"",IF(I93*E93&lt;=0,"",IFERROR(I93/E93-1,"")))</f>
        <v/>
      </c>
      <c r="J94" s="15">
        <f>IF(OR(J93="",F93=""),"",IF(J93*F93&lt;=0,"",IFERROR(J93/F93-1,"")))</f>
        <v/>
      </c>
      <c r="K94" s="15">
        <f>IF(OR(K93="",G93=""),"",IF(K93*G93&lt;=0,"",IFERROR(K93/G93-1,"")))</f>
        <v/>
      </c>
      <c r="L94" s="15">
        <f>IF(OR(L93="",H93=""),"",IF(L93*H93&lt;=0,"",IFERROR(L93/H93-1,"")))</f>
        <v/>
      </c>
      <c r="M94" s="15">
        <f>IF(OR(M93="",I93=""),"",IF(M93*I93&lt;=0,"",IFERROR(M93/I93-1,"")))</f>
        <v/>
      </c>
      <c r="N94" s="15">
        <f>IF(OR(N93="",J93=""),"",IF(N93*J93&lt;=0,"",IFERROR(N93/J93-1,"")))</f>
        <v/>
      </c>
      <c r="T94" s="15">
        <f>IF(OR(T93="",S93=""),"",IF(T93*S93&lt;=0,"",IFERROR(T93/S93-1,"")))</f>
        <v/>
      </c>
      <c r="U94" s="15">
        <f>IF(OR(U93="",T93=""),"",IF(U93*T93&lt;=0,"",IFERROR(U93/T93-1,"")))</f>
        <v/>
      </c>
      <c r="V94" s="15">
        <f>IF(OR(V93="",U93=""),"",IF(V93*U93&lt;=0,"",IFERROR(V93/U93-1,"")))</f>
        <v/>
      </c>
      <c r="W94" s="15">
        <f>IF(OR(W93="",V93=""),"",IF(W93*V93&lt;=0,"",IFERROR(W93/V93-1,"")))</f>
        <v/>
      </c>
      <c r="X94" s="15">
        <f>IF(OR(X93="",W93=""),"",IF(X93*W93&lt;=0,"",IFERROR(X93/W93-1,"")))</f>
        <v/>
      </c>
    </row>
    <row r="95">
      <c r="A95" s="9" t="inlineStr">
        <is>
          <t>영업이익</t>
        </is>
      </c>
      <c r="C95" s="12" t="n">
        <v>1315</v>
      </c>
      <c r="D95" s="12" t="n">
        <v>1384</v>
      </c>
      <c r="E95" s="12" t="n">
        <v>2385</v>
      </c>
      <c r="F95" s="12" t="n">
        <v>419</v>
      </c>
      <c r="G95" s="12" t="n">
        <v>954</v>
      </c>
      <c r="H95" s="12" t="n">
        <v>1342</v>
      </c>
      <c r="I95" s="12" t="n">
        <v>2296</v>
      </c>
      <c r="J95" s="12" t="n">
        <v>602</v>
      </c>
      <c r="K95" s="12" t="n">
        <v>1133</v>
      </c>
      <c r="L95" s="12" t="n">
        <v>1515</v>
      </c>
      <c r="M95" s="12" t="n">
        <v>2435</v>
      </c>
      <c r="N95" s="12" t="n">
        <v>989</v>
      </c>
      <c r="T95" s="12" t="n">
        <v>3846</v>
      </c>
      <c r="U95" s="12" t="n">
        <v>3289</v>
      </c>
      <c r="V95" s="12" t="n">
        <v>2385</v>
      </c>
      <c r="W95" s="12" t="n">
        <v>2296</v>
      </c>
      <c r="X95" s="12" t="n">
        <v>2435</v>
      </c>
    </row>
    <row r="96">
      <c r="A96" s="43" t="inlineStr">
        <is>
          <t>OPM</t>
        </is>
      </c>
      <c r="B96" s="3" t="inlineStr">
        <is>
          <t>영업이익 ÷ 매출</t>
        </is>
      </c>
      <c r="C96" s="15">
        <f>IF(OR(C95="",C87=""),"",IF(C87&lt;=0,"",IFERROR(C95/C87,"")))</f>
        <v/>
      </c>
      <c r="D96" s="15">
        <f>IF(OR(D95="",D87=""),"",IF(D87&lt;=0,"",IFERROR(D95/D87,"")))</f>
        <v/>
      </c>
      <c r="E96" s="15">
        <f>IF(OR(E95="",E87=""),"",IF(E87&lt;=0,"",IFERROR(E95/E87,"")))</f>
        <v/>
      </c>
      <c r="F96" s="15">
        <f>IF(OR(F95="",F87=""),"",IF(F87&lt;=0,"",IFERROR(F95/F87,"")))</f>
        <v/>
      </c>
      <c r="G96" s="15">
        <f>IF(OR(G95="",G87=""),"",IF(G87&lt;=0,"",IFERROR(G95/G87,"")))</f>
        <v/>
      </c>
      <c r="H96" s="15">
        <f>IF(OR(H95="",H87=""),"",IF(H87&lt;=0,"",IFERROR(H95/H87,"")))</f>
        <v/>
      </c>
      <c r="I96" s="15">
        <f>IF(OR(I95="",I87=""),"",IF(I87&lt;=0,"",IFERROR(I95/I87,"")))</f>
        <v/>
      </c>
      <c r="J96" s="15">
        <f>IF(OR(J95="",J87=""),"",IF(J87&lt;=0,"",IFERROR(J95/J87,"")))</f>
        <v/>
      </c>
      <c r="K96" s="15">
        <f>IF(OR(K95="",K87=""),"",IF(K87&lt;=0,"",IFERROR(K95/K87,"")))</f>
        <v/>
      </c>
      <c r="L96" s="15">
        <f>IF(OR(L95="",L87=""),"",IF(L87&lt;=0,"",IFERROR(L95/L87,"")))</f>
        <v/>
      </c>
      <c r="M96" s="15">
        <f>IF(OR(M95="",M87=""),"",IF(M87&lt;=0,"",IFERROR(M95/M87,"")))</f>
        <v/>
      </c>
      <c r="N96" s="15">
        <f>IF(OR(N95="",N87=""),"",IF(N87&lt;=0,"",IFERROR(N95/N87,"")))</f>
        <v/>
      </c>
      <c r="T96" s="15">
        <f>IF(OR(T95="",T87=""),"",IF(T87&lt;=0,"",IFERROR(T95/T87,"")))</f>
        <v/>
      </c>
      <c r="U96" s="15">
        <f>IF(OR(U95="",U87=""),"",IF(U87&lt;=0,"",IFERROR(U95/U87,"")))</f>
        <v/>
      </c>
      <c r="V96" s="15">
        <f>IF(OR(V95="",V87=""),"",IF(V87&lt;=0,"",IFERROR(V95/V87,"")))</f>
        <v/>
      </c>
      <c r="W96" s="15">
        <f>IF(OR(W95="",W87=""),"",IF(W87&lt;=0,"",IFERROR(W95/W87,"")))</f>
        <v/>
      </c>
      <c r="X96" s="15">
        <f>IF(OR(X95="",X87=""),"",IF(X87&lt;=0,"",IFERROR(X95/X87,"")))</f>
        <v/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IF(OR(G95="",C95=""),"",IF(C95&lt;=0,"",IFERROR(G95/C95-1,"")))</f>
        <v/>
      </c>
      <c r="H97" s="15">
        <f>IF(OR(H95="",D95=""),"",IF(D95&lt;=0,"",IFERROR(H95/D95-1,"")))</f>
        <v/>
      </c>
      <c r="I97" s="15">
        <f>IF(OR(I95="",E95=""),"",IF(E95&lt;=0,"",IFERROR(I95/E95-1,"")))</f>
        <v/>
      </c>
      <c r="J97" s="15">
        <f>IF(OR(J95="",F95=""),"",IF(F95&lt;=0,"",IFERROR(J95/F95-1,"")))</f>
        <v/>
      </c>
      <c r="K97" s="15">
        <f>IF(OR(K95="",G95=""),"",IF(G95&lt;=0,"",IFERROR(K95/G95-1,"")))</f>
        <v/>
      </c>
      <c r="L97" s="15">
        <f>IF(OR(L95="",H95=""),"",IF(H95&lt;=0,"",IFERROR(L95/H95-1,"")))</f>
        <v/>
      </c>
      <c r="M97" s="15">
        <f>IF(OR(M95="",I95=""),"",IF(I95&lt;=0,"",IFERROR(M95/I95-1,"")))</f>
        <v/>
      </c>
      <c r="N97" s="15">
        <f>IF(OR(N95="",J95=""),"",IF(J95&lt;=0,"",IFERROR(N95/J95-1,"")))</f>
        <v/>
      </c>
      <c r="T97" s="15">
        <f>IF(OR(T95="",S95=""),"",IF(S95&lt;=0,"",IFERROR(T95/S95-1,"")))</f>
        <v/>
      </c>
      <c r="U97" s="15">
        <f>IF(OR(U95="",T95=""),"",IF(T95&lt;=0,"",IFERROR(U95/T95-1,"")))</f>
        <v/>
      </c>
      <c r="V97" s="15">
        <f>IF(OR(V95="",U95=""),"",IF(U95&lt;=0,"",IFERROR(V95/U95-1,"")))</f>
        <v/>
      </c>
      <c r="W97" s="15">
        <f>IF(OR(W95="",V95=""),"",IF(V95&lt;=0,"",IFERROR(W95/V95-1,"")))</f>
        <v/>
      </c>
      <c r="X97" s="15">
        <f>IF(OR(X95="",W95=""),"",IF(W95&lt;=0,"",IFERROR(X95/W95-1,"")))</f>
        <v/>
      </c>
    </row>
    <row r="98">
      <c r="A98" s="18" t="inlineStr">
        <is>
          <t>배당금수익</t>
        </is>
      </c>
      <c r="C98" s="20" t="n">
        <v>42</v>
      </c>
      <c r="D98" s="20" t="n">
        <v>62</v>
      </c>
      <c r="E98" s="20" t="n">
        <v>24</v>
      </c>
      <c r="F98" s="20" t="n">
        <v>163</v>
      </c>
      <c r="G98" s="20" t="n">
        <v>53</v>
      </c>
      <c r="H98" s="20" t="n">
        <v>62</v>
      </c>
      <c r="I98" s="20" t="n">
        <v>32</v>
      </c>
      <c r="J98" s="20" t="n">
        <v>190</v>
      </c>
      <c r="K98" s="20" t="n">
        <v>56</v>
      </c>
      <c r="L98" s="20" t="n">
        <v>58</v>
      </c>
      <c r="M98" s="20" t="n">
        <v>32</v>
      </c>
      <c r="N98" s="20" t="n">
        <v>203</v>
      </c>
      <c r="T98" s="20" t="n">
        <v>11</v>
      </c>
      <c r="U98" s="20" t="n">
        <v>22</v>
      </c>
      <c r="V98" s="20" t="n">
        <v>24</v>
      </c>
      <c r="W98" s="20" t="n">
        <v>32</v>
      </c>
      <c r="X98" s="20" t="n">
        <v>32</v>
      </c>
    </row>
    <row r="99">
      <c r="A99" s="18" t="inlineStr">
        <is>
          <t>기타</t>
        </is>
      </c>
      <c r="C99" s="20" t="n">
        <v>104</v>
      </c>
      <c r="D99" s="20" t="n">
        <v>62</v>
      </c>
      <c r="E99" s="20" t="n">
        <v>137</v>
      </c>
      <c r="F99" s="20" t="n">
        <v>95</v>
      </c>
      <c r="G99" s="20" t="n">
        <v>174</v>
      </c>
      <c r="H99" s="20" t="n">
        <v>199</v>
      </c>
      <c r="I99" s="20" t="n">
        <v>-162</v>
      </c>
      <c r="J99" s="20" t="n">
        <v>91</v>
      </c>
      <c r="K99" s="20" t="n">
        <v>145</v>
      </c>
      <c r="L99" s="20" t="n">
        <v>222</v>
      </c>
      <c r="M99" s="20" t="n">
        <v>-149</v>
      </c>
      <c r="N99" s="20" t="n">
        <v>124</v>
      </c>
      <c r="T99" s="20" t="n">
        <v>-43</v>
      </c>
      <c r="U99" s="20" t="n">
        <v>-159</v>
      </c>
      <c r="V99" s="20" t="n">
        <v>137</v>
      </c>
      <c r="W99" s="20" t="n">
        <v>-162</v>
      </c>
      <c r="X99" s="20" t="n">
        <v>-149</v>
      </c>
    </row>
    <row r="100">
      <c r="A100" s="18" t="inlineStr">
        <is>
          <t>영업외수익 합계</t>
        </is>
      </c>
      <c r="C100" s="20" t="n">
        <v>146</v>
      </c>
      <c r="D100" s="20" t="n">
        <v>124</v>
      </c>
      <c r="E100" s="20" t="n">
        <v>383</v>
      </c>
      <c r="F100" s="20" t="n">
        <v>259</v>
      </c>
      <c r="G100" s="20" t="n">
        <v>226</v>
      </c>
      <c r="H100" s="20" t="n">
        <v>262</v>
      </c>
      <c r="I100" s="20" t="n">
        <v>159</v>
      </c>
      <c r="J100" s="20" t="n">
        <v>282</v>
      </c>
      <c r="K100" s="20" t="n">
        <v>201</v>
      </c>
      <c r="L100" s="20" t="n">
        <v>279</v>
      </c>
      <c r="M100" s="20" t="n">
        <v>258</v>
      </c>
      <c r="N100" s="20" t="n">
        <v>328</v>
      </c>
      <c r="T100" s="20" t="n">
        <v>165</v>
      </c>
      <c r="U100" s="20" t="n">
        <v>125</v>
      </c>
      <c r="V100" s="20" t="n">
        <v>383</v>
      </c>
      <c r="W100" s="20" t="n">
        <v>159</v>
      </c>
      <c r="X100" s="20" t="n">
        <v>258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IF(OR(G100="",C100=""),"",IF(G100*C100&lt;=0,"",IFERROR(G100/C100-1,"")))</f>
        <v/>
      </c>
      <c r="H101" s="15">
        <f>IF(OR(H100="",D100=""),"",IF(H100*D100&lt;=0,"",IFERROR(H100/D100-1,"")))</f>
        <v/>
      </c>
      <c r="I101" s="15">
        <f>IF(OR(I100="",E100=""),"",IF(I100*E100&lt;=0,"",IFERROR(I100/E100-1,"")))</f>
        <v/>
      </c>
      <c r="J101" s="15">
        <f>IF(OR(J100="",F100=""),"",IF(J100*F100&lt;=0,"",IFERROR(J100/F100-1,"")))</f>
        <v/>
      </c>
      <c r="K101" s="15">
        <f>IF(OR(K100="",G100=""),"",IF(K100*G100&lt;=0,"",IFERROR(K100/G100-1,"")))</f>
        <v/>
      </c>
      <c r="L101" s="15">
        <f>IF(OR(L100="",H100=""),"",IF(L100*H100&lt;=0,"",IFERROR(L100/H100-1,"")))</f>
        <v/>
      </c>
      <c r="M101" s="15">
        <f>IF(OR(M100="",I100=""),"",IF(M100*I100&lt;=0,"",IFERROR(M100/I100-1,"")))</f>
        <v/>
      </c>
      <c r="N101" s="15">
        <f>IF(OR(N100="",J100=""),"",IF(N100*J100&lt;=0,"",IFERROR(N100/J100-1,"")))</f>
        <v/>
      </c>
      <c r="T101" s="15">
        <f>IF(OR(T100="",S100=""),"",IF(T100*S100&lt;=0,"",IFERROR(T100/S100-1,"")))</f>
        <v/>
      </c>
      <c r="U101" s="15">
        <f>IF(OR(U100="",T100=""),"",IF(U100*T100&lt;=0,"",IFERROR(U100/T100-1,"")))</f>
        <v/>
      </c>
      <c r="V101" s="15">
        <f>IF(OR(V100="",U100=""),"",IF(V100*U100&lt;=0,"",IFERROR(V100/U100-1,"")))</f>
        <v/>
      </c>
      <c r="W101" s="15">
        <f>IF(OR(W100="",V100=""),"",IF(W100*V100&lt;=0,"",IFERROR(W100/V100-1,"")))</f>
        <v/>
      </c>
      <c r="X101" s="15">
        <f>IF(OR(X100="",W100=""),"",IF(X100*W100&lt;=0,"",IFERROR(X100/W100-1,"")))</f>
        <v/>
      </c>
    </row>
    <row r="102">
      <c r="A102" s="18" t="inlineStr">
        <is>
          <t>대손충당금 전입</t>
        </is>
      </c>
      <c r="C102" s="20" t="n">
        <v>8</v>
      </c>
      <c r="D102" s="20" t="n">
        <v>3</v>
      </c>
      <c r="E102" s="20" t="n">
        <v>22</v>
      </c>
      <c r="T102" s="20" t="n">
        <v>-4</v>
      </c>
      <c r="U102" s="20" t="n">
        <v>14</v>
      </c>
      <c r="V102" s="20" t="n">
        <v>22</v>
      </c>
    </row>
    <row r="103">
      <c r="A103" s="18" t="inlineStr">
        <is>
          <t>이자비용</t>
        </is>
      </c>
      <c r="C103" s="20" t="n">
        <v>2</v>
      </c>
      <c r="D103" s="20" t="n">
        <v>1</v>
      </c>
      <c r="E103" s="20" t="n">
        <v>60</v>
      </c>
      <c r="F103" s="20" t="n">
        <v>28</v>
      </c>
      <c r="G103" s="20" t="n">
        <v>81</v>
      </c>
      <c r="H103" s="20" t="n">
        <v>72</v>
      </c>
      <c r="I103" s="20" t="n">
        <v>66</v>
      </c>
      <c r="J103" s="20" t="n">
        <v>56</v>
      </c>
      <c r="K103" s="20" t="n">
        <v>37</v>
      </c>
      <c r="L103" s="20" t="n">
        <v>67</v>
      </c>
      <c r="M103" s="20" t="n">
        <v>73</v>
      </c>
      <c r="N103" s="20" t="n">
        <v>57</v>
      </c>
      <c r="T103" s="20" t="n">
        <v>12</v>
      </c>
      <c r="V103" s="20" t="n">
        <v>60</v>
      </c>
      <c r="W103" s="20" t="n">
        <v>66</v>
      </c>
      <c r="X103" s="20" t="n">
        <v>73</v>
      </c>
    </row>
    <row r="104">
      <c r="A104" s="18" t="inlineStr">
        <is>
          <t>자기주식 취득비용</t>
        </is>
      </c>
      <c r="D104" s="20" t="n">
        <v>0</v>
      </c>
      <c r="E104" s="20" t="n">
        <v>0</v>
      </c>
      <c r="H104" s="20" t="n">
        <v>1</v>
      </c>
      <c r="I104" s="20" t="n">
        <v>0</v>
      </c>
      <c r="V104" s="20" t="n">
        <v>0</v>
      </c>
      <c r="W104" s="20" t="n">
        <v>0</v>
      </c>
    </row>
    <row r="105">
      <c r="A105" s="18" t="inlineStr">
        <is>
          <t>사채발행비</t>
        </is>
      </c>
      <c r="F105" s="20" t="n">
        <v>0</v>
      </c>
      <c r="J105" s="20" t="n">
        <v>37</v>
      </c>
      <c r="N105" s="20" t="n">
        <v>0</v>
      </c>
    </row>
    <row r="106">
      <c r="A106" s="18" t="inlineStr">
        <is>
          <t>기타</t>
        </is>
      </c>
      <c r="C106" s="20" t="n">
        <v>34</v>
      </c>
      <c r="D106" s="20" t="n">
        <v>77</v>
      </c>
      <c r="E106" s="20" t="n">
        <v>6</v>
      </c>
      <c r="F106" s="20" t="n">
        <v>46</v>
      </c>
      <c r="G106" s="20" t="n">
        <v>114</v>
      </c>
      <c r="H106" s="20" t="n">
        <v>41</v>
      </c>
      <c r="I106" s="20" t="n">
        <v>22</v>
      </c>
      <c r="J106" s="20" t="n">
        <v>29</v>
      </c>
      <c r="K106" s="20" t="n">
        <v>90</v>
      </c>
      <c r="L106" s="20" t="n">
        <v>33</v>
      </c>
      <c r="M106" s="20" t="n">
        <v>58</v>
      </c>
      <c r="N106" s="20" t="n">
        <v>30</v>
      </c>
      <c r="T106" s="20" t="n">
        <v>74</v>
      </c>
      <c r="U106" s="20" t="n">
        <v>-4</v>
      </c>
      <c r="V106" s="20" t="n">
        <v>6</v>
      </c>
      <c r="W106" s="20" t="n">
        <v>22</v>
      </c>
      <c r="X106" s="20" t="n">
        <v>58</v>
      </c>
    </row>
    <row r="107">
      <c r="A107" s="18" t="inlineStr">
        <is>
          <t>영업외비용 합계</t>
        </is>
      </c>
      <c r="C107" s="20" t="n">
        <v>35</v>
      </c>
      <c r="D107" s="20" t="n">
        <v>79</v>
      </c>
      <c r="E107" s="20" t="n">
        <v>66</v>
      </c>
      <c r="F107" s="20" t="n">
        <v>75</v>
      </c>
      <c r="G107" s="20" t="n">
        <v>195</v>
      </c>
      <c r="H107" s="20" t="n">
        <v>112</v>
      </c>
      <c r="I107" s="20" t="n">
        <v>88</v>
      </c>
      <c r="J107" s="20" t="n">
        <v>124</v>
      </c>
      <c r="K107" s="20" t="n">
        <v>89</v>
      </c>
      <c r="L107" s="20" t="n">
        <v>100</v>
      </c>
      <c r="M107" s="20" t="n">
        <v>131</v>
      </c>
      <c r="N107" s="20" t="n">
        <v>87</v>
      </c>
      <c r="T107" s="20" t="n">
        <v>43</v>
      </c>
      <c r="U107" s="20" t="n">
        <v>46</v>
      </c>
      <c r="V107" s="20" t="n">
        <v>66</v>
      </c>
      <c r="W107" s="20" t="n">
        <v>88</v>
      </c>
      <c r="X107" s="20" t="n">
        <v>131</v>
      </c>
    </row>
    <row r="108">
      <c r="A108" s="43" t="inlineStr">
        <is>
          <t>YoY</t>
        </is>
      </c>
      <c r="B108" s="3" t="inlineStr">
        <is>
          <t>전년 같은 분기·전년 대비</t>
        </is>
      </c>
      <c r="G108" s="15">
        <f>IF(OR(G107="",C107=""),"",IF(G107*C107&lt;=0,"",IFERROR(G107/C107-1,"")))</f>
        <v/>
      </c>
      <c r="H108" s="15">
        <f>IF(OR(H107="",D107=""),"",IF(H107*D107&lt;=0,"",IFERROR(H107/D107-1,"")))</f>
        <v/>
      </c>
      <c r="I108" s="15">
        <f>IF(OR(I107="",E107=""),"",IF(I107*E107&lt;=0,"",IFERROR(I107/E107-1,"")))</f>
        <v/>
      </c>
      <c r="J108" s="15">
        <f>IF(OR(J107="",F107=""),"",IF(J107*F107&lt;=0,"",IFERROR(J107/F107-1,"")))</f>
        <v/>
      </c>
      <c r="K108" s="15">
        <f>IF(OR(K107="",G107=""),"",IF(K107*G107&lt;=0,"",IFERROR(K107/G107-1,"")))</f>
        <v/>
      </c>
      <c r="L108" s="15">
        <f>IF(OR(L107="",H107=""),"",IF(L107*H107&lt;=0,"",IFERROR(L107/H107-1,"")))</f>
        <v/>
      </c>
      <c r="M108" s="15">
        <f>IF(OR(M107="",I107=""),"",IF(M107*I107&lt;=0,"",IFERROR(M107/I107-1,"")))</f>
        <v/>
      </c>
      <c r="N108" s="15">
        <f>IF(OR(N107="",J107=""),"",IF(N107*J107&lt;=0,"",IFERROR(N107/J107-1,"")))</f>
        <v/>
      </c>
      <c r="T108" s="15">
        <f>IF(OR(T107="",S107=""),"",IF(T107*S107&lt;=0,"",IFERROR(T107/S107-1,"")))</f>
        <v/>
      </c>
      <c r="U108" s="15">
        <f>IF(OR(U107="",T107=""),"",IF(U107*T107&lt;=0,"",IFERROR(U107/T107-1,"")))</f>
        <v/>
      </c>
      <c r="V108" s="15">
        <f>IF(OR(V107="",U107=""),"",IF(V107*U107&lt;=0,"",IFERROR(V107/U107-1,"")))</f>
        <v/>
      </c>
      <c r="W108" s="15">
        <f>IF(OR(W107="",V107=""),"",IF(W107*V107&lt;=0,"",IFERROR(W107/V107-1,"")))</f>
        <v/>
      </c>
      <c r="X108" s="15">
        <f>IF(OR(X107="",W107=""),"",IF(X107*W107&lt;=0,"",IFERROR(X107/W107-1,"")))</f>
        <v/>
      </c>
    </row>
    <row r="109">
      <c r="A109" s="9" t="inlineStr">
        <is>
          <t>경상이익</t>
        </is>
      </c>
      <c r="C109" s="12" t="n">
        <v>1424</v>
      </c>
      <c r="D109" s="12" t="n">
        <v>1430</v>
      </c>
      <c r="E109" s="12" t="n">
        <v>2702</v>
      </c>
      <c r="F109" s="12" t="n">
        <v>603</v>
      </c>
      <c r="G109" s="12" t="n">
        <v>985</v>
      </c>
      <c r="H109" s="12" t="n">
        <v>1492</v>
      </c>
      <c r="I109" s="12" t="n">
        <v>2367</v>
      </c>
      <c r="J109" s="12" t="n">
        <v>761</v>
      </c>
      <c r="K109" s="12" t="n">
        <v>1244</v>
      </c>
      <c r="L109" s="12" t="n">
        <v>1695</v>
      </c>
      <c r="M109" s="12" t="n">
        <v>2561</v>
      </c>
      <c r="N109" s="12" t="n">
        <v>1229</v>
      </c>
      <c r="T109" s="12" t="n">
        <v>3968</v>
      </c>
      <c r="U109" s="12" t="n">
        <v>3368</v>
      </c>
      <c r="V109" s="12" t="n">
        <v>2702</v>
      </c>
      <c r="W109" s="12" t="n">
        <v>2367</v>
      </c>
      <c r="X109" s="12" t="n">
        <v>2561</v>
      </c>
    </row>
    <row r="110">
      <c r="A110" s="43" t="inlineStr">
        <is>
          <t>YoY</t>
        </is>
      </c>
      <c r="B110" s="3" t="inlineStr">
        <is>
          <t>전년 같은 분기·전년 대비</t>
        </is>
      </c>
      <c r="G110" s="15">
        <f>IF(OR(G109="",C109=""),"",IF(C109&lt;=0,"",IFERROR(G109/C109-1,"")))</f>
        <v/>
      </c>
      <c r="H110" s="15">
        <f>IF(OR(H109="",D109=""),"",IF(D109&lt;=0,"",IFERROR(H109/D109-1,"")))</f>
        <v/>
      </c>
      <c r="I110" s="15">
        <f>IF(OR(I109="",E109=""),"",IF(E109&lt;=0,"",IFERROR(I109/E109-1,"")))</f>
        <v/>
      </c>
      <c r="J110" s="15">
        <f>IF(OR(J109="",F109=""),"",IF(F109&lt;=0,"",IFERROR(J109/F109-1,"")))</f>
        <v/>
      </c>
      <c r="K110" s="15">
        <f>IF(OR(K109="",G109=""),"",IF(G109&lt;=0,"",IFERROR(K109/G109-1,"")))</f>
        <v/>
      </c>
      <c r="L110" s="15">
        <f>IF(OR(L109="",H109=""),"",IF(H109&lt;=0,"",IFERROR(L109/H109-1,"")))</f>
        <v/>
      </c>
      <c r="M110" s="15">
        <f>IF(OR(M109="",I109=""),"",IF(I109&lt;=0,"",IFERROR(M109/I109-1,"")))</f>
        <v/>
      </c>
      <c r="N110" s="15">
        <f>IF(OR(N109="",J109=""),"",IF(J109&lt;=0,"",IFERROR(N109/J109-1,"")))</f>
        <v/>
      </c>
      <c r="T110" s="15">
        <f>IF(OR(T109="",S109=""),"",IF(S109&lt;=0,"",IFERROR(T109/S109-1,"")))</f>
        <v/>
      </c>
      <c r="U110" s="15">
        <f>IF(OR(U109="",T109=""),"",IF(T109&lt;=0,"",IFERROR(U109/T109-1,"")))</f>
        <v/>
      </c>
      <c r="V110" s="15">
        <f>IF(OR(V109="",U109=""),"",IF(U109&lt;=0,"",IFERROR(V109/U109-1,"")))</f>
        <v/>
      </c>
      <c r="W110" s="15">
        <f>IF(OR(W109="",V109=""),"",IF(V109&lt;=0,"",IFERROR(W109/V109-1,"")))</f>
        <v/>
      </c>
      <c r="X110" s="15">
        <f>IF(OR(X109="",W109=""),"",IF(W109&lt;=0,"",IFERROR(X109/W109-1,"")))</f>
        <v/>
      </c>
    </row>
    <row r="111">
      <c r="A111" s="18" t="inlineStr">
        <is>
          <t>투자유가증권 매각이익</t>
        </is>
      </c>
      <c r="D111" s="20" t="n">
        <v>83</v>
      </c>
      <c r="E111" s="20" t="n">
        <v>108</v>
      </c>
      <c r="H111" s="20" t="n">
        <v>0</v>
      </c>
      <c r="I111" s="20" t="n">
        <v>340</v>
      </c>
      <c r="J111" s="20" t="n">
        <v>0</v>
      </c>
      <c r="K111" s="20" t="n">
        <v>106</v>
      </c>
      <c r="L111" s="20" t="n">
        <v>258</v>
      </c>
      <c r="M111" s="20" t="n">
        <v>0</v>
      </c>
      <c r="N111" s="20" t="n">
        <v>601</v>
      </c>
      <c r="T111" s="20" t="n">
        <v>180</v>
      </c>
      <c r="U111" s="20" t="n">
        <v>824</v>
      </c>
      <c r="V111" s="20" t="n">
        <v>108</v>
      </c>
      <c r="W111" s="20" t="n">
        <v>340</v>
      </c>
      <c r="X111" s="20" t="n">
        <v>0</v>
      </c>
    </row>
    <row r="112">
      <c r="A112" s="18" t="inlineStr">
        <is>
          <t>특별이익 합계</t>
        </is>
      </c>
      <c r="D112" s="20" t="n">
        <v>83</v>
      </c>
      <c r="E112" s="20" t="n">
        <v>108</v>
      </c>
      <c r="H112" s="20" t="n">
        <v>0</v>
      </c>
      <c r="I112" s="20" t="n">
        <v>340</v>
      </c>
      <c r="J112" s="20" t="n">
        <v>0</v>
      </c>
      <c r="K112" s="20" t="n">
        <v>106</v>
      </c>
      <c r="L112" s="20" t="n">
        <v>258</v>
      </c>
      <c r="M112" s="20" t="n">
        <v>0</v>
      </c>
      <c r="N112" s="20" t="n">
        <v>601</v>
      </c>
      <c r="T112" s="20" t="n">
        <v>180</v>
      </c>
      <c r="U112" s="20" t="n">
        <v>899</v>
      </c>
      <c r="V112" s="20" t="n">
        <v>108</v>
      </c>
      <c r="W112" s="20" t="n">
        <v>340</v>
      </c>
      <c r="X112" s="20" t="n">
        <v>0</v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H113" s="15">
        <f>IF(OR(H112="",D112=""),"",IF(H112*D112&lt;=0,"",IFERROR(H112/D112-1,"")))</f>
        <v/>
      </c>
      <c r="I113" s="15">
        <f>IF(OR(I112="",E112=""),"",IF(I112*E112&lt;=0,"",IFERROR(I112/E112-1,"")))</f>
        <v/>
      </c>
      <c r="J113" s="15">
        <f>IF(OR(J112="",F112=""),"",IF(J112*F112&lt;=0,"",IFERROR(J112/F112-1,"")))</f>
        <v/>
      </c>
      <c r="K113" s="15">
        <f>IF(OR(K112="",G112=""),"",IF(K112*G112&lt;=0,"",IFERROR(K112/G112-1,"")))</f>
        <v/>
      </c>
      <c r="L113" s="15">
        <f>IF(OR(L112="",H112=""),"",IF(L112*H112&lt;=0,"",IFERROR(L112/H112-1,"")))</f>
        <v/>
      </c>
      <c r="M113" s="15">
        <f>IF(OR(M112="",I112=""),"",IF(M112*I112&lt;=0,"",IFERROR(M112/I112-1,"")))</f>
        <v/>
      </c>
      <c r="N113" s="15">
        <f>IF(OR(N112="",J112=""),"",IF(N112*J112&lt;=0,"",IFERROR(N112/J112-1,"")))</f>
        <v/>
      </c>
      <c r="T113" s="15">
        <f>IF(OR(T112="",S112=""),"",IF(T112*S112&lt;=0,"",IFERROR(T112/S112-1,"")))</f>
        <v/>
      </c>
      <c r="U113" s="15">
        <f>IF(OR(U112="",T112=""),"",IF(U112*T112&lt;=0,"",IFERROR(U112/T112-1,"")))</f>
        <v/>
      </c>
      <c r="V113" s="15">
        <f>IF(OR(V112="",U112=""),"",IF(V112*U112&lt;=0,"",IFERROR(V112/U112-1,"")))</f>
        <v/>
      </c>
      <c r="W113" s="15">
        <f>IF(OR(W112="",V112=""),"",IF(W112*V112&lt;=0,"",IFERROR(W112/V112-1,"")))</f>
        <v/>
      </c>
      <c r="X113" s="15">
        <f>IF(OR(X112="",W112=""),"",IF(X112*W112&lt;=0,"",IFERROR(X112/W112-1,"")))</f>
        <v/>
      </c>
    </row>
    <row r="114">
      <c r="A114" s="18" t="inlineStr">
        <is>
          <t>관계회사 대손충당금 전입액</t>
        </is>
      </c>
      <c r="T114" s="20" t="n">
        <v>41</v>
      </c>
      <c r="U114" s="20" t="n">
        <v>0</v>
      </c>
    </row>
    <row r="115">
      <c r="A115" s="18" t="inlineStr">
        <is>
          <t>Seventieth Anniversary Expense EL</t>
        </is>
      </c>
      <c r="C115" s="20" t="n">
        <v>0</v>
      </c>
      <c r="D115" s="20" t="n">
        <v>0</v>
      </c>
      <c r="E115" s="20" t="n">
        <v>0</v>
      </c>
      <c r="F115" s="20" t="n">
        <v>45</v>
      </c>
      <c r="G115" s="20" t="n">
        <v>34</v>
      </c>
      <c r="H115" s="20" t="n">
        <v>175</v>
      </c>
      <c r="I115" s="20" t="n">
        <v>32</v>
      </c>
      <c r="J115" s="20" t="n">
        <v>0</v>
      </c>
      <c r="K115" s="20" t="n">
        <v>0</v>
      </c>
      <c r="L115" s="20" t="n">
        <v>0</v>
      </c>
      <c r="M115" s="20" t="n">
        <v>0</v>
      </c>
      <c r="V115" s="20" t="n">
        <v>0</v>
      </c>
      <c r="W115" s="20" t="n">
        <v>32</v>
      </c>
      <c r="X115" s="20" t="n">
        <v>0</v>
      </c>
    </row>
    <row r="116">
      <c r="A116" s="18" t="inlineStr">
        <is>
          <t>고정자산 제각·매각손실</t>
        </is>
      </c>
      <c r="C116" s="20" t="n">
        <v>14</v>
      </c>
      <c r="D116" s="20" t="n">
        <v>15</v>
      </c>
      <c r="F116" s="20" t="n">
        <v>16</v>
      </c>
      <c r="G116" s="20" t="n">
        <v>20</v>
      </c>
      <c r="H116" s="20" t="n">
        <v>77</v>
      </c>
      <c r="J116" s="20" t="n">
        <v>54</v>
      </c>
      <c r="K116" s="20" t="n">
        <v>27</v>
      </c>
      <c r="L116" s="20" t="n">
        <v>12</v>
      </c>
      <c r="N116" s="20" t="n">
        <v>55</v>
      </c>
    </row>
    <row r="117">
      <c r="A117" s="18" t="inlineStr">
        <is>
          <t>특별손실 합계</t>
        </is>
      </c>
      <c r="C117" s="20" t="n">
        <v>14</v>
      </c>
      <c r="D117" s="20" t="n">
        <v>15</v>
      </c>
      <c r="E117" s="20" t="n">
        <v>158</v>
      </c>
      <c r="F117" s="20" t="n">
        <v>61</v>
      </c>
      <c r="G117" s="20" t="n">
        <v>55</v>
      </c>
      <c r="H117" s="20" t="n">
        <v>252</v>
      </c>
      <c r="I117" s="20" t="n">
        <v>46</v>
      </c>
      <c r="J117" s="20" t="n">
        <v>54</v>
      </c>
      <c r="K117" s="20" t="n">
        <v>27</v>
      </c>
      <c r="L117" s="20" t="n">
        <v>12</v>
      </c>
      <c r="N117" s="20" t="n">
        <v>55</v>
      </c>
      <c r="T117" s="20" t="n">
        <v>214</v>
      </c>
      <c r="U117" s="20" t="n">
        <v>478</v>
      </c>
      <c r="V117" s="20" t="n">
        <v>158</v>
      </c>
      <c r="W117" s="20" t="n">
        <v>46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IF(OR(G117="",C117=""),"",IF(G117*C117&lt;=0,"",IFERROR(G117/C117-1,"")))</f>
        <v/>
      </c>
      <c r="H118" s="15">
        <f>IF(OR(H117="",D117=""),"",IF(H117*D117&lt;=0,"",IFERROR(H117/D117-1,"")))</f>
        <v/>
      </c>
      <c r="I118" s="15">
        <f>IF(OR(I117="",E117=""),"",IF(I117*E117&lt;=0,"",IFERROR(I117/E117-1,"")))</f>
        <v/>
      </c>
      <c r="J118" s="15">
        <f>IF(OR(J117="",F117=""),"",IF(J117*F117&lt;=0,"",IFERROR(J117/F117-1,"")))</f>
        <v/>
      </c>
      <c r="K118" s="15">
        <f>IF(OR(K117="",G117=""),"",IF(K117*G117&lt;=0,"",IFERROR(K117/G117-1,"")))</f>
        <v/>
      </c>
      <c r="L118" s="15">
        <f>IF(OR(L117="",H117=""),"",IF(L117*H117&lt;=0,"",IFERROR(L117/H117-1,"")))</f>
        <v/>
      </c>
      <c r="N118" s="15">
        <f>IF(OR(N117="",J117=""),"",IF(N117*J117&lt;=0,"",IFERROR(N117/J117-1,"")))</f>
        <v/>
      </c>
      <c r="T118" s="15">
        <f>IF(OR(T117="",S117=""),"",IF(T117*S117&lt;=0,"",IFERROR(T117/S117-1,"")))</f>
        <v/>
      </c>
      <c r="U118" s="15">
        <f>IF(OR(U117="",T117=""),"",IF(U117*T117&lt;=0,"",IFERROR(U117/T117-1,"")))</f>
        <v/>
      </c>
      <c r="V118" s="15">
        <f>IF(OR(V117="",U117=""),"",IF(V117*U117&lt;=0,"",IFERROR(V117/U117-1,"")))</f>
        <v/>
      </c>
      <c r="W118" s="15">
        <f>IF(OR(W117="",V117=""),"",IF(W117*V117&lt;=0,"",IFERROR(W117/V117-1,"")))</f>
        <v/>
      </c>
    </row>
    <row r="119">
      <c r="A119" s="9" t="inlineStr">
        <is>
          <t>법인세차감전 순이익</t>
        </is>
      </c>
      <c r="C119" s="12" t="n">
        <v>1627</v>
      </c>
      <c r="D119" s="12" t="n">
        <v>1497</v>
      </c>
      <c r="E119" s="12" t="n">
        <v>2653</v>
      </c>
      <c r="F119" s="12" t="n">
        <v>542</v>
      </c>
      <c r="G119" s="12" t="n">
        <v>930</v>
      </c>
      <c r="H119" s="12" t="n">
        <v>1240</v>
      </c>
      <c r="I119" s="12" t="n">
        <v>2661</v>
      </c>
      <c r="J119" s="12" t="n">
        <v>706</v>
      </c>
      <c r="K119" s="12" t="n">
        <v>1324</v>
      </c>
      <c r="L119" s="12" t="n">
        <v>1940</v>
      </c>
      <c r="M119" s="12" t="n">
        <v>2425</v>
      </c>
      <c r="N119" s="12" t="n">
        <v>1775</v>
      </c>
      <c r="T119" s="12" t="n">
        <v>3933</v>
      </c>
      <c r="U119" s="12" t="n">
        <v>3790</v>
      </c>
      <c r="V119" s="12" t="n">
        <v>2653</v>
      </c>
      <c r="W119" s="12" t="n">
        <v>2661</v>
      </c>
      <c r="X119" s="12" t="n">
        <v>2425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IF(OR(G119="",C119=""),"",IF(C119&lt;=0,"",IFERROR(G119/C119-1,"")))</f>
        <v/>
      </c>
      <c r="H120" s="15">
        <f>IF(OR(H119="",D119=""),"",IF(D119&lt;=0,"",IFERROR(H119/D119-1,"")))</f>
        <v/>
      </c>
      <c r="I120" s="15">
        <f>IF(OR(I119="",E119=""),"",IF(E119&lt;=0,"",IFERROR(I119/E119-1,"")))</f>
        <v/>
      </c>
      <c r="J120" s="15">
        <f>IF(OR(J119="",F119=""),"",IF(F119&lt;=0,"",IFERROR(J119/F119-1,"")))</f>
        <v/>
      </c>
      <c r="K120" s="15">
        <f>IF(OR(K119="",G119=""),"",IF(G119&lt;=0,"",IFERROR(K119/G119-1,"")))</f>
        <v/>
      </c>
      <c r="L120" s="15">
        <f>IF(OR(L119="",H119=""),"",IF(H119&lt;=0,"",IFERROR(L119/H119-1,"")))</f>
        <v/>
      </c>
      <c r="M120" s="15">
        <f>IF(OR(M119="",I119=""),"",IF(I119&lt;=0,"",IFERROR(M119/I119-1,"")))</f>
        <v/>
      </c>
      <c r="N120" s="15">
        <f>IF(OR(N119="",J119=""),"",IF(J119&lt;=0,"",IFERROR(N119/J119-1,"")))</f>
        <v/>
      </c>
      <c r="T120" s="15">
        <f>IF(OR(T119="",S119=""),"",IF(S119&lt;=0,"",IFERROR(T119/S119-1,"")))</f>
        <v/>
      </c>
      <c r="U120" s="15">
        <f>IF(OR(U119="",T119=""),"",IF(T119&lt;=0,"",IFERROR(U119/T119-1,"")))</f>
        <v/>
      </c>
      <c r="V120" s="15">
        <f>IF(OR(V119="",U119=""),"",IF(U119&lt;=0,"",IFERROR(V119/U119-1,"")))</f>
        <v/>
      </c>
      <c r="W120" s="15">
        <f>IF(OR(W119="",V119=""),"",IF(V119&lt;=0,"",IFERROR(W119/V119-1,"")))</f>
        <v/>
      </c>
      <c r="X120" s="15">
        <f>IF(OR(X119="",W119=""),"",IF(W119&lt;=0,"",IFERROR(X119/W119-1,"")))</f>
        <v/>
      </c>
    </row>
    <row r="121">
      <c r="A121" s="18" t="inlineStr">
        <is>
          <t>법인세 등</t>
        </is>
      </c>
      <c r="C121" s="20" t="n">
        <v>508</v>
      </c>
      <c r="D121" s="20" t="n">
        <v>515</v>
      </c>
      <c r="E121" s="20" t="n">
        <v>823</v>
      </c>
      <c r="F121" s="20" t="n">
        <v>313</v>
      </c>
      <c r="G121" s="20" t="n">
        <v>339</v>
      </c>
      <c r="H121" s="20" t="n">
        <v>400</v>
      </c>
      <c r="I121" s="20" t="n">
        <v>639</v>
      </c>
      <c r="J121" s="20" t="n">
        <v>437</v>
      </c>
      <c r="K121" s="20" t="n">
        <v>456</v>
      </c>
      <c r="L121" s="20" t="n">
        <v>641</v>
      </c>
      <c r="M121" s="20" t="n">
        <v>774</v>
      </c>
      <c r="N121" s="20" t="n">
        <v>740</v>
      </c>
      <c r="T121" s="20" t="n">
        <v>1211</v>
      </c>
      <c r="U121" s="20" t="n">
        <v>1120</v>
      </c>
      <c r="V121" s="20" t="n">
        <v>823</v>
      </c>
      <c r="W121" s="20" t="n">
        <v>639</v>
      </c>
      <c r="X121" s="20" t="n">
        <v>774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IF(OR(G121="",C121=""),"",IF(G121*C121&lt;=0,"",IFERROR(G121/C121-1,"")))</f>
        <v/>
      </c>
      <c r="H122" s="15">
        <f>IF(OR(H121="",D121=""),"",IF(H121*D121&lt;=0,"",IFERROR(H121/D121-1,"")))</f>
        <v/>
      </c>
      <c r="I122" s="15">
        <f>IF(OR(I121="",E121=""),"",IF(I121*E121&lt;=0,"",IFERROR(I121/E121-1,"")))</f>
        <v/>
      </c>
      <c r="J122" s="15">
        <f>IF(OR(J121="",F121=""),"",IF(J121*F121&lt;=0,"",IFERROR(J121/F121-1,"")))</f>
        <v/>
      </c>
      <c r="K122" s="15">
        <f>IF(OR(K121="",G121=""),"",IF(K121*G121&lt;=0,"",IFERROR(K121/G121-1,"")))</f>
        <v/>
      </c>
      <c r="L122" s="15">
        <f>IF(OR(L121="",H121=""),"",IF(L121*H121&lt;=0,"",IFERROR(L121/H121-1,"")))</f>
        <v/>
      </c>
      <c r="M122" s="15">
        <f>IF(OR(M121="",I121=""),"",IF(M121*I121&lt;=0,"",IFERROR(M121/I121-1,"")))</f>
        <v/>
      </c>
      <c r="N122" s="15">
        <f>IF(OR(N121="",J121=""),"",IF(N121*J121&lt;=0,"",IFERROR(N121/J121-1,"")))</f>
        <v/>
      </c>
      <c r="T122" s="15">
        <f>IF(OR(T121="",S121=""),"",IF(T121*S121&lt;=0,"",IFERROR(T121/S121-1,"")))</f>
        <v/>
      </c>
      <c r="U122" s="15">
        <f>IF(OR(U121="",T121=""),"",IF(U121*T121&lt;=0,"",IFERROR(U121/T121-1,"")))</f>
        <v/>
      </c>
      <c r="V122" s="15">
        <f>IF(OR(V121="",U121=""),"",IF(V121*U121&lt;=0,"",IFERROR(V121/U121-1,"")))</f>
        <v/>
      </c>
      <c r="W122" s="15">
        <f>IF(OR(W121="",V121=""),"",IF(W121*V121&lt;=0,"",IFERROR(W121/V121-1,"")))</f>
        <v/>
      </c>
      <c r="X122" s="15">
        <f>IF(OR(X121="",W121=""),"",IF(X121*W121&lt;=0,"",IFERROR(X121/W121-1,"")))</f>
        <v/>
      </c>
    </row>
    <row r="123">
      <c r="A123" s="9" t="inlineStr">
        <is>
          <t>순이익</t>
        </is>
      </c>
      <c r="C123" s="12" t="n">
        <v>1120</v>
      </c>
      <c r="D123" s="12" t="n">
        <v>981</v>
      </c>
      <c r="E123" s="12" t="n">
        <v>1830</v>
      </c>
      <c r="F123" s="12" t="n">
        <v>228</v>
      </c>
      <c r="G123" s="12" t="n">
        <v>591</v>
      </c>
      <c r="H123" s="12" t="n">
        <v>840</v>
      </c>
      <c r="I123" s="12" t="n">
        <v>2022</v>
      </c>
      <c r="J123" s="12" t="n">
        <v>269</v>
      </c>
      <c r="K123" s="12" t="n">
        <v>867</v>
      </c>
      <c r="L123" s="12" t="n">
        <v>1300</v>
      </c>
      <c r="M123" s="12" t="n">
        <v>1651</v>
      </c>
      <c r="N123" s="12" t="n">
        <v>1034</v>
      </c>
      <c r="T123" s="12" t="n">
        <v>2723</v>
      </c>
      <c r="U123" s="12" t="n">
        <v>2670</v>
      </c>
      <c r="V123" s="12" t="n">
        <v>1830</v>
      </c>
      <c r="W123" s="12" t="n">
        <v>2022</v>
      </c>
      <c r="X123" s="12" t="n">
        <v>1651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G124" s="15">
        <f>IF(OR(G123="",C123=""),"",IF(C123&lt;=0,"",IFERROR(G123/C123-1,"")))</f>
        <v/>
      </c>
      <c r="H124" s="15">
        <f>IF(OR(H123="",D123=""),"",IF(D123&lt;=0,"",IFERROR(H123/D123-1,"")))</f>
        <v/>
      </c>
      <c r="I124" s="15">
        <f>IF(OR(I123="",E123=""),"",IF(E123&lt;=0,"",IFERROR(I123/E123-1,"")))</f>
        <v/>
      </c>
      <c r="J124" s="15">
        <f>IF(OR(J123="",F123=""),"",IF(F123&lt;=0,"",IFERROR(J123/F123-1,"")))</f>
        <v/>
      </c>
      <c r="K124" s="15">
        <f>IF(OR(K123="",G123=""),"",IF(G123&lt;=0,"",IFERROR(K123/G123-1,"")))</f>
        <v/>
      </c>
      <c r="L124" s="15">
        <f>IF(OR(L123="",H123=""),"",IF(H123&lt;=0,"",IFERROR(L123/H123-1,"")))</f>
        <v/>
      </c>
      <c r="M124" s="15">
        <f>IF(OR(M123="",I123=""),"",IF(I123&lt;=0,"",IFERROR(M123/I123-1,"")))</f>
        <v/>
      </c>
      <c r="N124" s="15">
        <f>IF(OR(N123="",J123=""),"",IF(J123&lt;=0,"",IFERROR(N123/J123-1,"")))</f>
        <v/>
      </c>
      <c r="T124" s="15">
        <f>IF(OR(T123="",S123=""),"",IF(S123&lt;=0,"",IFERROR(T123/S123-1,"")))</f>
        <v/>
      </c>
      <c r="U124" s="15">
        <f>IF(OR(U123="",T123=""),"",IF(T123&lt;=0,"",IFERROR(U123/T123-1,"")))</f>
        <v/>
      </c>
      <c r="V124" s="15">
        <f>IF(OR(V123="",U123=""),"",IF(U123&lt;=0,"",IFERROR(V123/U123-1,"")))</f>
        <v/>
      </c>
      <c r="W124" s="15">
        <f>IF(OR(W123="",V123=""),"",IF(V123&lt;=0,"",IFERROR(W123/V123-1,"")))</f>
        <v/>
      </c>
      <c r="X124" s="15">
        <f>IF(OR(X123="",W123=""),"",IF(W123&lt;=0,"",IFERROR(X123/W123-1,"")))</f>
        <v/>
      </c>
    </row>
    <row r="125">
      <c r="A125" s="9" t="inlineStr">
        <is>
          <t>비지배주주 순이익</t>
        </is>
      </c>
      <c r="C125" s="12" t="n">
        <v>18</v>
      </c>
      <c r="D125" s="12" t="n">
        <v>24</v>
      </c>
      <c r="E125" s="12" t="n">
        <v>60</v>
      </c>
      <c r="F125" s="12" t="n">
        <v>-2</v>
      </c>
      <c r="G125" s="12" t="n">
        <v>18</v>
      </c>
      <c r="H125" s="12" t="n">
        <v>37</v>
      </c>
      <c r="I125" s="12" t="n">
        <v>84</v>
      </c>
      <c r="J125" s="12" t="n">
        <v>6</v>
      </c>
      <c r="K125" s="12" t="n">
        <v>12</v>
      </c>
      <c r="L125" s="12" t="n">
        <v>25</v>
      </c>
      <c r="M125" s="12" t="n">
        <v>68</v>
      </c>
      <c r="N125" s="12" t="n">
        <v>4</v>
      </c>
      <c r="T125" s="12" t="n">
        <v>74</v>
      </c>
      <c r="U125" s="12" t="n">
        <v>82</v>
      </c>
      <c r="V125" s="12" t="n">
        <v>60</v>
      </c>
      <c r="W125" s="12" t="n">
        <v>84</v>
      </c>
      <c r="X125" s="12" t="n">
        <v>68</v>
      </c>
    </row>
    <row r="126">
      <c r="A126" s="9" t="inlineStr">
        <is>
          <t>지배주주 순이익</t>
        </is>
      </c>
      <c r="C126" s="12" t="n">
        <v>1101</v>
      </c>
      <c r="D126" s="12" t="n">
        <v>958</v>
      </c>
      <c r="E126" s="12" t="n">
        <v>1769</v>
      </c>
      <c r="F126" s="12" t="n">
        <v>231</v>
      </c>
      <c r="G126" s="12" t="n">
        <v>572</v>
      </c>
      <c r="H126" s="12" t="n">
        <v>803</v>
      </c>
      <c r="I126" s="12" t="n">
        <v>1938</v>
      </c>
      <c r="J126" s="12" t="n">
        <v>262</v>
      </c>
      <c r="K126" s="12" t="n">
        <v>856</v>
      </c>
      <c r="L126" s="12" t="n">
        <v>1275</v>
      </c>
      <c r="M126" s="12" t="n">
        <v>1582</v>
      </c>
      <c r="N126" s="12" t="n">
        <v>1029</v>
      </c>
      <c r="T126" s="12" t="n">
        <v>2650</v>
      </c>
      <c r="U126" s="12" t="n">
        <v>2588</v>
      </c>
      <c r="V126" s="12" t="n">
        <v>1769</v>
      </c>
      <c r="W126" s="12" t="n">
        <v>1938</v>
      </c>
      <c r="X126" s="12" t="n">
        <v>1582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IF(OR(G126="",C126=""),"",IF(C126&lt;=0,"",IFERROR(G126/C126-1,"")))</f>
        <v/>
      </c>
      <c r="H127" s="15">
        <f>IF(OR(H126="",D126=""),"",IF(D126&lt;=0,"",IFERROR(H126/D126-1,"")))</f>
        <v/>
      </c>
      <c r="I127" s="15">
        <f>IF(OR(I126="",E126=""),"",IF(E126&lt;=0,"",IFERROR(I126/E126-1,"")))</f>
        <v/>
      </c>
      <c r="J127" s="15">
        <f>IF(OR(J126="",F126=""),"",IF(F126&lt;=0,"",IFERROR(J126/F126-1,"")))</f>
        <v/>
      </c>
      <c r="K127" s="15">
        <f>IF(OR(K126="",G126=""),"",IF(G126&lt;=0,"",IFERROR(K126/G126-1,"")))</f>
        <v/>
      </c>
      <c r="L127" s="15">
        <f>IF(OR(L126="",H126=""),"",IF(H126&lt;=0,"",IFERROR(L126/H126-1,"")))</f>
        <v/>
      </c>
      <c r="M127" s="15">
        <f>IF(OR(M126="",I126=""),"",IF(I126&lt;=0,"",IFERROR(M126/I126-1,"")))</f>
        <v/>
      </c>
      <c r="N127" s="15">
        <f>IF(OR(N126="",J126=""),"",IF(J126&lt;=0,"",IFERROR(N126/J126-1,"")))</f>
        <v/>
      </c>
      <c r="T127" s="15">
        <f>IF(OR(T126="",S126=""),"",IF(S126&lt;=0,"",IFERROR(T126/S126-1,"")))</f>
        <v/>
      </c>
      <c r="U127" s="15">
        <f>IF(OR(U126="",T126=""),"",IF(T126&lt;=0,"",IFERROR(U126/T126-1,"")))</f>
        <v/>
      </c>
      <c r="V127" s="15">
        <f>IF(OR(V126="",U126=""),"",IF(U126&lt;=0,"",IFERROR(V126/U126-1,"")))</f>
        <v/>
      </c>
      <c r="W127" s="15">
        <f>IF(OR(W126="",V126=""),"",IF(V126&lt;=0,"",IFERROR(W126/V126-1,"")))</f>
        <v/>
      </c>
      <c r="X127" s="15">
        <f>IF(OR(X126="",W126=""),"",IF(W126&lt;=0,"",IFERROR(X126/W126-1,"")))</f>
        <v/>
      </c>
    </row>
    <row r="129">
      <c r="A129" s="16" t="inlineStr">
        <is>
          <t>포괄손익 · 전 항목</t>
        </is>
      </c>
      <c r="B129" s="42" t="inlineStr">
        <is>
          <t>분기 = 3개월 단독</t>
        </is>
      </c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</row>
    <row r="130">
      <c r="A130" s="5" t="inlineStr">
        <is>
          <t>항목</t>
        </is>
      </c>
      <c r="B130" s="5" t="inlineStr">
        <is>
          <t>참고</t>
        </is>
      </c>
      <c r="C130" s="5" t="inlineStr">
        <is>
          <t>2024.2Q</t>
        </is>
      </c>
      <c r="D130" s="5" t="inlineStr">
        <is>
          <t>2024.3Q</t>
        </is>
      </c>
      <c r="E130" s="5" t="inlineStr">
        <is>
          <t>2024.4Q</t>
        </is>
      </c>
      <c r="F130" s="5" t="inlineStr">
        <is>
          <t>2025.1Q</t>
        </is>
      </c>
      <c r="G130" s="5" t="inlineStr">
        <is>
          <t>2025.2Q</t>
        </is>
      </c>
      <c r="H130" s="5" t="inlineStr">
        <is>
          <t>2025.3Q</t>
        </is>
      </c>
      <c r="I130" s="5" t="inlineStr">
        <is>
          <t>2025.4Q</t>
        </is>
      </c>
      <c r="J130" s="5" t="inlineStr">
        <is>
          <t>2026.1Q</t>
        </is>
      </c>
      <c r="K130" s="5" t="inlineStr">
        <is>
          <t>2026.2Q</t>
        </is>
      </c>
      <c r="L130" s="5" t="inlineStr">
        <is>
          <t>2026.3Q</t>
        </is>
      </c>
      <c r="M130" s="5" t="inlineStr">
        <is>
          <t>2026.4Q</t>
        </is>
      </c>
      <c r="N130" s="5" t="inlineStr">
        <is>
          <t>2027.1Q</t>
        </is>
      </c>
      <c r="O130" s="5" t="inlineStr">
        <is>
          <t>2017</t>
        </is>
      </c>
      <c r="P130" s="5" t="inlineStr">
        <is>
          <t>2018</t>
        </is>
      </c>
      <c r="Q130" s="5" t="inlineStr">
        <is>
          <t>2019</t>
        </is>
      </c>
      <c r="R130" s="5" t="inlineStr">
        <is>
          <t>2020</t>
        </is>
      </c>
      <c r="S130" s="5" t="inlineStr">
        <is>
          <t>2021</t>
        </is>
      </c>
      <c r="T130" s="5" t="inlineStr">
        <is>
          <t>2022</t>
        </is>
      </c>
      <c r="U130" s="5" t="inlineStr">
        <is>
          <t>2023</t>
        </is>
      </c>
      <c r="V130" s="5" t="inlineStr">
        <is>
          <t>2024</t>
        </is>
      </c>
      <c r="W130" s="5" t="inlineStr">
        <is>
          <t>2025</t>
        </is>
      </c>
      <c r="X130" s="5" t="inlineStr">
        <is>
          <t>2026</t>
        </is>
      </c>
      <c r="Y130" s="5" t="inlineStr">
        <is>
          <t>2027(MW)</t>
        </is>
      </c>
      <c r="Z130" s="5" t="inlineStr">
        <is>
          <t>2028(MW)</t>
        </is>
      </c>
      <c r="AA130" s="5" t="inlineStr">
        <is>
          <t>2029(MW)</t>
        </is>
      </c>
      <c r="AB130" s="5" t="inlineStr">
        <is>
          <t>2030(MW)</t>
        </is>
      </c>
      <c r="AC130" s="5" t="inlineStr">
        <is>
          <t>2031(MW)</t>
        </is>
      </c>
    </row>
    <row r="131">
      <c r="A131" s="9" t="inlineStr">
        <is>
          <t>순이익</t>
        </is>
      </c>
      <c r="C131" s="12" t="n">
        <v>1120</v>
      </c>
      <c r="D131" s="12" t="n">
        <v>981</v>
      </c>
      <c r="E131" s="12" t="n">
        <v>1830</v>
      </c>
      <c r="F131" s="12" t="n">
        <v>228</v>
      </c>
      <c r="G131" s="12" t="n">
        <v>591</v>
      </c>
      <c r="H131" s="12" t="n">
        <v>840</v>
      </c>
      <c r="I131" s="12" t="n">
        <v>2022</v>
      </c>
      <c r="J131" s="12" t="n">
        <v>269</v>
      </c>
      <c r="K131" s="12" t="n">
        <v>867</v>
      </c>
      <c r="L131" s="12" t="n">
        <v>1300</v>
      </c>
      <c r="M131" s="12" t="n">
        <v>1651</v>
      </c>
      <c r="N131" s="12" t="n">
        <v>1034</v>
      </c>
      <c r="T131" s="12" t="n">
        <v>2723</v>
      </c>
      <c r="U131" s="12" t="n">
        <v>2670</v>
      </c>
      <c r="V131" s="12" t="n">
        <v>1830</v>
      </c>
      <c r="W131" s="12" t="n">
        <v>2022</v>
      </c>
      <c r="X131" s="12" t="n">
        <v>1651</v>
      </c>
    </row>
    <row r="132">
      <c r="A132" s="18" t="inlineStr">
        <is>
          <t>기타유가증권 평가차액</t>
        </is>
      </c>
      <c r="C132" s="20" t="n">
        <v>-164</v>
      </c>
      <c r="D132" s="20" t="n">
        <v>278</v>
      </c>
      <c r="E132" s="20" t="n">
        <v>273</v>
      </c>
      <c r="F132" s="20" t="n">
        <v>267</v>
      </c>
      <c r="G132" s="20" t="n">
        <v>-255</v>
      </c>
      <c r="H132" s="20" t="n">
        <v>0</v>
      </c>
      <c r="I132" s="20" t="n">
        <v>-443</v>
      </c>
      <c r="J132" s="20" t="n">
        <v>242</v>
      </c>
      <c r="K132" s="20" t="n">
        <v>227</v>
      </c>
      <c r="L132" s="20" t="n">
        <v>131</v>
      </c>
      <c r="M132" s="20" t="n">
        <v>721</v>
      </c>
      <c r="N132" s="20" t="n">
        <v>975</v>
      </c>
      <c r="T132" s="20" t="n">
        <v>-498</v>
      </c>
      <c r="U132" s="20" t="n">
        <v>494</v>
      </c>
      <c r="V132" s="20" t="n">
        <v>273</v>
      </c>
      <c r="W132" s="20" t="n">
        <v>-443</v>
      </c>
      <c r="X132" s="20" t="n">
        <v>721</v>
      </c>
    </row>
    <row r="133">
      <c r="A133" s="18" t="inlineStr">
        <is>
          <t>이연헤지손익</t>
        </is>
      </c>
      <c r="C133" s="20" t="n">
        <v>0</v>
      </c>
      <c r="D133" s="20" t="n">
        <v>0</v>
      </c>
      <c r="E133" s="20" t="n">
        <v>0</v>
      </c>
      <c r="F133" s="20" t="n">
        <v>0</v>
      </c>
      <c r="G133" s="20" t="n">
        <v>0</v>
      </c>
      <c r="H133" s="20" t="n">
        <v>0</v>
      </c>
      <c r="I133" s="20" t="n">
        <v>0</v>
      </c>
      <c r="J133" s="20" t="n">
        <v>-0</v>
      </c>
      <c r="K133" s="20" t="n">
        <v>0</v>
      </c>
      <c r="L133" s="20" t="n">
        <v>0</v>
      </c>
      <c r="M133" s="20" t="n">
        <v>0</v>
      </c>
      <c r="N133" s="20" t="n">
        <v>-0</v>
      </c>
      <c r="T133" s="20" t="n">
        <v>12</v>
      </c>
      <c r="U133" s="20" t="n">
        <v>0</v>
      </c>
      <c r="V133" s="20" t="n">
        <v>0</v>
      </c>
      <c r="W133" s="20" t="n">
        <v>0</v>
      </c>
      <c r="X133" s="20" t="n">
        <v>0</v>
      </c>
    </row>
    <row r="134">
      <c r="A134" s="18" t="inlineStr">
        <is>
          <t>해외사업환산조정</t>
        </is>
      </c>
      <c r="C134" s="20" t="n">
        <v>425</v>
      </c>
      <c r="D134" s="20" t="n">
        <v>65</v>
      </c>
      <c r="E134" s="20" t="n">
        <v>143</v>
      </c>
      <c r="F134" s="20" t="n">
        <v>840</v>
      </c>
      <c r="G134" s="20" t="n">
        <v>1346</v>
      </c>
      <c r="H134" s="20" t="n">
        <v>-1721</v>
      </c>
      <c r="I134" s="20" t="n">
        <v>925</v>
      </c>
      <c r="J134" s="20" t="n">
        <v>-444</v>
      </c>
      <c r="K134" s="20" t="n">
        <v>768</v>
      </c>
      <c r="L134" s="20" t="n">
        <v>733</v>
      </c>
      <c r="M134" s="20" t="n">
        <v>1455</v>
      </c>
      <c r="N134" s="20" t="n">
        <v>-119</v>
      </c>
      <c r="T134" s="20" t="n">
        <v>116</v>
      </c>
      <c r="U134" s="20" t="n">
        <v>-141</v>
      </c>
      <c r="V134" s="20" t="n">
        <v>143</v>
      </c>
      <c r="W134" s="20" t="n">
        <v>925</v>
      </c>
      <c r="X134" s="20" t="n">
        <v>1455</v>
      </c>
    </row>
    <row r="135">
      <c r="A135" s="18" t="inlineStr">
        <is>
          <t>퇴직급여 조정액</t>
        </is>
      </c>
      <c r="C135" s="20" t="n">
        <v>2</v>
      </c>
      <c r="D135" s="20" t="n">
        <v>2</v>
      </c>
      <c r="E135" s="20" t="n">
        <v>-17</v>
      </c>
      <c r="F135" s="20" t="n">
        <v>5</v>
      </c>
      <c r="G135" s="20" t="n">
        <v>5</v>
      </c>
      <c r="H135" s="20" t="n">
        <v>5</v>
      </c>
      <c r="I135" s="20" t="n">
        <v>296</v>
      </c>
      <c r="J135" s="20" t="n">
        <v>10</v>
      </c>
      <c r="K135" s="20" t="n">
        <v>10</v>
      </c>
      <c r="L135" s="20" t="n">
        <v>11</v>
      </c>
      <c r="M135" s="20" t="n">
        <v>-68</v>
      </c>
      <c r="N135" s="20" t="n">
        <v>-8</v>
      </c>
      <c r="T135" s="20" t="n">
        <v>-67</v>
      </c>
      <c r="U135" s="20" t="n">
        <v>-36</v>
      </c>
      <c r="V135" s="20" t="n">
        <v>-17</v>
      </c>
      <c r="W135" s="20" t="n">
        <v>296</v>
      </c>
      <c r="X135" s="20" t="n">
        <v>-68</v>
      </c>
    </row>
    <row r="136">
      <c r="A136" s="18" t="inlineStr">
        <is>
          <t>지분법 적용회사 지분 해당액</t>
        </is>
      </c>
      <c r="C136" s="20" t="n">
        <v>8</v>
      </c>
      <c r="D136" s="20" t="n">
        <v>-3</v>
      </c>
      <c r="E136" s="20" t="n">
        <v>28</v>
      </c>
      <c r="F136" s="20" t="n">
        <v>6</v>
      </c>
      <c r="G136" s="20" t="n">
        <v>-4</v>
      </c>
      <c r="H136" s="20" t="n">
        <v>2</v>
      </c>
      <c r="I136" s="20" t="n">
        <v>-2</v>
      </c>
      <c r="J136" s="20" t="n">
        <v>-3</v>
      </c>
      <c r="K136" s="20" t="n">
        <v>12</v>
      </c>
      <c r="L136" s="20" t="n">
        <v>9</v>
      </c>
      <c r="M136" s="20" t="n">
        <v>38</v>
      </c>
      <c r="N136" s="20" t="n">
        <v>13</v>
      </c>
      <c r="T136" s="20" t="n">
        <v>1</v>
      </c>
      <c r="U136" s="20" t="n">
        <v>-5</v>
      </c>
      <c r="V136" s="20" t="n">
        <v>28</v>
      </c>
      <c r="W136" s="20" t="n">
        <v>-2</v>
      </c>
      <c r="X136" s="20" t="n">
        <v>38</v>
      </c>
    </row>
    <row r="137">
      <c r="A137" s="18" t="inlineStr">
        <is>
          <t>기타포괄손익 합계</t>
        </is>
      </c>
      <c r="C137" s="20" t="n">
        <v>270</v>
      </c>
      <c r="D137" s="20" t="n">
        <v>342</v>
      </c>
      <c r="E137" s="20" t="n">
        <v>426</v>
      </c>
      <c r="F137" s="20" t="n">
        <v>1119</v>
      </c>
      <c r="G137" s="20" t="n">
        <v>1093</v>
      </c>
      <c r="H137" s="20" t="n">
        <v>-1714</v>
      </c>
      <c r="I137" s="20" t="n">
        <v>774</v>
      </c>
      <c r="J137" s="20" t="n">
        <v>-196</v>
      </c>
      <c r="K137" s="20" t="n">
        <v>1021</v>
      </c>
      <c r="L137" s="20" t="n">
        <v>882</v>
      </c>
      <c r="M137" s="20" t="n">
        <v>2145</v>
      </c>
      <c r="N137" s="20" t="n">
        <v>861</v>
      </c>
      <c r="T137" s="20" t="n">
        <v>-435</v>
      </c>
      <c r="U137" s="20" t="n">
        <v>309</v>
      </c>
      <c r="V137" s="20" t="n">
        <v>426</v>
      </c>
      <c r="W137" s="20" t="n">
        <v>774</v>
      </c>
      <c r="X137" s="20" t="n">
        <v>2145</v>
      </c>
    </row>
    <row r="138">
      <c r="A138" s="9" t="inlineStr">
        <is>
          <t>포괄이익</t>
        </is>
      </c>
      <c r="C138" s="12" t="n">
        <v>1390</v>
      </c>
      <c r="D138" s="12" t="n">
        <v>1323</v>
      </c>
      <c r="E138" s="12" t="n">
        <v>2256</v>
      </c>
      <c r="F138" s="12" t="n">
        <v>1348</v>
      </c>
      <c r="G138" s="12" t="n">
        <v>1684</v>
      </c>
      <c r="H138" s="12" t="n">
        <v>-874</v>
      </c>
      <c r="I138" s="12" t="n">
        <v>2796</v>
      </c>
      <c r="J138" s="12" t="n">
        <v>73</v>
      </c>
      <c r="K138" s="12" t="n">
        <v>1889</v>
      </c>
      <c r="L138" s="12" t="n">
        <v>2182</v>
      </c>
      <c r="M138" s="12" t="n">
        <v>3796</v>
      </c>
      <c r="N138" s="12" t="n">
        <v>1896</v>
      </c>
      <c r="T138" s="12" t="n">
        <v>2289</v>
      </c>
      <c r="U138" s="12" t="n">
        <v>2979</v>
      </c>
      <c r="V138" s="12" t="n">
        <v>2256</v>
      </c>
      <c r="W138" s="12" t="n">
        <v>2796</v>
      </c>
      <c r="X138" s="12" t="n">
        <v>3796</v>
      </c>
    </row>
    <row r="139">
      <c r="A139" s="9" t="inlineStr">
        <is>
          <t>지배주주 포괄이익</t>
        </is>
      </c>
      <c r="C139" s="12" t="n">
        <v>1368</v>
      </c>
      <c r="D139" s="12" t="n">
        <v>1298</v>
      </c>
      <c r="E139" s="12" t="n">
        <v>2195</v>
      </c>
      <c r="F139" s="12" t="n">
        <v>1350</v>
      </c>
      <c r="G139" s="12" t="n">
        <v>1660</v>
      </c>
      <c r="H139" s="12" t="n">
        <v>-913</v>
      </c>
      <c r="I139" s="12" t="n">
        <v>2707</v>
      </c>
      <c r="J139" s="12" t="n">
        <v>72</v>
      </c>
      <c r="K139" s="12" t="n">
        <v>1876</v>
      </c>
      <c r="L139" s="12" t="n">
        <v>2153</v>
      </c>
      <c r="M139" s="12" t="n">
        <v>3718</v>
      </c>
      <c r="N139" s="12" t="n">
        <v>1894</v>
      </c>
      <c r="T139" s="12" t="n">
        <v>2209</v>
      </c>
      <c r="U139" s="12" t="n">
        <v>2906</v>
      </c>
      <c r="V139" s="12" t="n">
        <v>2195</v>
      </c>
      <c r="W139" s="12" t="n">
        <v>2707</v>
      </c>
      <c r="X139" s="12" t="n">
        <v>3718</v>
      </c>
    </row>
    <row r="140">
      <c r="A140" s="9" t="inlineStr">
        <is>
          <t>비지배주주 포괄이익</t>
        </is>
      </c>
      <c r="C140" s="12" t="n">
        <v>23</v>
      </c>
      <c r="D140" s="12" t="n">
        <v>24</v>
      </c>
      <c r="E140" s="12" t="n">
        <v>61</v>
      </c>
      <c r="F140" s="12" t="n">
        <v>-1</v>
      </c>
      <c r="G140" s="12" t="n">
        <v>23</v>
      </c>
      <c r="H140" s="12" t="n">
        <v>38</v>
      </c>
      <c r="I140" s="12" t="n">
        <v>90</v>
      </c>
      <c r="J140" s="12" t="n">
        <v>0</v>
      </c>
      <c r="K140" s="12" t="n">
        <v>13</v>
      </c>
      <c r="L140" s="12" t="n">
        <v>29</v>
      </c>
      <c r="M140" s="12" t="n">
        <v>78</v>
      </c>
      <c r="N140" s="12" t="n">
        <v>1</v>
      </c>
      <c r="T140" s="12" t="n">
        <v>80</v>
      </c>
      <c r="U140" s="12" t="n">
        <v>73</v>
      </c>
      <c r="V140" s="12" t="n">
        <v>61</v>
      </c>
      <c r="W140" s="12" t="n">
        <v>90</v>
      </c>
      <c r="X140" s="12" t="n">
        <v>78</v>
      </c>
    </row>
    <row r="142">
      <c r="A142" s="16" t="inlineStr">
        <is>
          <t>부문 · 전 항목</t>
        </is>
      </c>
      <c r="B142" s="42" t="inlineStr">
        <is>
          <t>부문 · 항목</t>
        </is>
      </c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</row>
    <row r="143">
      <c r="A143" s="5" t="inlineStr">
        <is>
          <t>항목</t>
        </is>
      </c>
      <c r="B143" s="5" t="inlineStr">
        <is>
          <t>참고</t>
        </is>
      </c>
      <c r="C143" s="5" t="inlineStr">
        <is>
          <t>2024.2Q</t>
        </is>
      </c>
      <c r="D143" s="5" t="inlineStr">
        <is>
          <t>2024.3Q</t>
        </is>
      </c>
      <c r="E143" s="5" t="inlineStr">
        <is>
          <t>2024.4Q</t>
        </is>
      </c>
      <c r="F143" s="5" t="inlineStr">
        <is>
          <t>2025.1Q</t>
        </is>
      </c>
      <c r="G143" s="5" t="inlineStr">
        <is>
          <t>2025.2Q</t>
        </is>
      </c>
      <c r="H143" s="5" t="inlineStr">
        <is>
          <t>2025.3Q</t>
        </is>
      </c>
      <c r="I143" s="5" t="inlineStr">
        <is>
          <t>2025.4Q</t>
        </is>
      </c>
      <c r="J143" s="5" t="inlineStr">
        <is>
          <t>2026.1Q</t>
        </is>
      </c>
      <c r="K143" s="5" t="inlineStr">
        <is>
          <t>2026.2Q</t>
        </is>
      </c>
      <c r="L143" s="5" t="inlineStr">
        <is>
          <t>2026.3Q</t>
        </is>
      </c>
      <c r="M143" s="5" t="inlineStr">
        <is>
          <t>2026.4Q</t>
        </is>
      </c>
      <c r="N143" s="5" t="inlineStr">
        <is>
          <t>2027.1Q</t>
        </is>
      </c>
      <c r="O143" s="5" t="inlineStr">
        <is>
          <t>2017</t>
        </is>
      </c>
      <c r="P143" s="5" t="inlineStr">
        <is>
          <t>2018</t>
        </is>
      </c>
      <c r="Q143" s="5" t="inlineStr">
        <is>
          <t>2019</t>
        </is>
      </c>
      <c r="R143" s="5" t="inlineStr">
        <is>
          <t>2020</t>
        </is>
      </c>
      <c r="S143" s="5" t="inlineStr">
        <is>
          <t>2021</t>
        </is>
      </c>
      <c r="T143" s="5" t="inlineStr">
        <is>
          <t>2022</t>
        </is>
      </c>
      <c r="U143" s="5" t="inlineStr">
        <is>
          <t>2023</t>
        </is>
      </c>
      <c r="V143" s="5" t="inlineStr">
        <is>
          <t>2024</t>
        </is>
      </c>
      <c r="W143" s="5" t="inlineStr">
        <is>
          <t>2025</t>
        </is>
      </c>
      <c r="X143" s="5" t="inlineStr">
        <is>
          <t>2026</t>
        </is>
      </c>
      <c r="Y143" s="5" t="inlineStr">
        <is>
          <t>2027(MW)</t>
        </is>
      </c>
      <c r="Z143" s="5" t="inlineStr">
        <is>
          <t>2028(MW)</t>
        </is>
      </c>
      <c r="AA143" s="5" t="inlineStr">
        <is>
          <t>2029(MW)</t>
        </is>
      </c>
      <c r="AB143" s="5" t="inlineStr">
        <is>
          <t>2030(MW)</t>
        </is>
      </c>
      <c r="AC143" s="5" t="inlineStr">
        <is>
          <t>2031(MW)</t>
        </is>
      </c>
    </row>
    <row r="144">
      <c r="A144" s="18" t="inlineStr">
        <is>
          <t>부문 · 외부 고객 매출</t>
        </is>
      </c>
      <c r="C144" s="20" t="n">
        <v>6017</v>
      </c>
      <c r="D144" s="20" t="n">
        <v>7068</v>
      </c>
      <c r="E144" s="20" t="n">
        <v>10060</v>
      </c>
      <c r="F144" s="20" t="n">
        <v>7175</v>
      </c>
      <c r="G144" s="20" t="n">
        <v>8987</v>
      </c>
      <c r="H144" s="20" t="n">
        <v>9941</v>
      </c>
      <c r="I144" s="20" t="n">
        <v>12712</v>
      </c>
      <c r="J144" s="20" t="n">
        <v>8096</v>
      </c>
      <c r="K144" s="20" t="n">
        <v>9443</v>
      </c>
      <c r="L144" s="20" t="n">
        <v>10615</v>
      </c>
      <c r="M144" s="20" t="n">
        <v>13435</v>
      </c>
      <c r="N144" s="20" t="n">
        <v>8562</v>
      </c>
      <c r="V144" s="20" t="n">
        <v>10060</v>
      </c>
      <c r="W144" s="20" t="n">
        <v>12712</v>
      </c>
      <c r="X144" s="20" t="n">
        <v>13435</v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G145" s="15">
        <f>IF(OR(G144="",C144=""),"",IF(C144&lt;=0,"",IFERROR(G144/C144-1,"")))</f>
        <v/>
      </c>
      <c r="H145" s="15">
        <f>IF(OR(H144="",D144=""),"",IF(D144&lt;=0,"",IFERROR(H144/D144-1,"")))</f>
        <v/>
      </c>
      <c r="I145" s="15">
        <f>IF(OR(I144="",E144=""),"",IF(E144&lt;=0,"",IFERROR(I144/E144-1,"")))</f>
        <v/>
      </c>
      <c r="J145" s="15">
        <f>IF(OR(J144="",F144=""),"",IF(F144&lt;=0,"",IFERROR(J144/F144-1,"")))</f>
        <v/>
      </c>
      <c r="K145" s="15">
        <f>IF(OR(K144="",G144=""),"",IF(G144&lt;=0,"",IFERROR(K144/G144-1,"")))</f>
        <v/>
      </c>
      <c r="L145" s="15">
        <f>IF(OR(L144="",H144=""),"",IF(H144&lt;=0,"",IFERROR(L144/H144-1,"")))</f>
        <v/>
      </c>
      <c r="M145" s="15">
        <f>IF(OR(M144="",I144=""),"",IF(I144&lt;=0,"",IFERROR(M144/I144-1,"")))</f>
        <v/>
      </c>
      <c r="N145" s="15">
        <f>IF(OR(N144="",J144=""),"",IF(J144&lt;=0,"",IFERROR(N144/J144-1,"")))</f>
        <v/>
      </c>
      <c r="V145" s="15">
        <f>IF(OR(V144="",U144=""),"",IF(U144&lt;=0,"",IFERROR(V144/U144-1,"")))</f>
        <v/>
      </c>
      <c r="W145" s="15">
        <f>IF(OR(W144="",V144=""),"",IF(V144&lt;=0,"",IFERROR(W144/V144-1,"")))</f>
        <v/>
      </c>
      <c r="X145" s="15">
        <f>IF(OR(X144="",W144=""),"",IF(W144&lt;=0,"",IFERROR(X144/W144-1,"")))</f>
        <v/>
      </c>
    </row>
    <row r="146">
      <c r="A146" s="18" t="inlineStr">
        <is>
          <t>부문 · 외부 고객 매출</t>
        </is>
      </c>
      <c r="C146" s="20" t="n">
        <v>8153</v>
      </c>
      <c r="D146" s="20" t="n">
        <v>8328</v>
      </c>
      <c r="E146" s="20" t="n">
        <v>9447</v>
      </c>
      <c r="F146" s="20" t="n">
        <v>8366</v>
      </c>
      <c r="G146" s="20" t="n">
        <v>8525</v>
      </c>
      <c r="H146" s="20" t="n">
        <v>8717</v>
      </c>
      <c r="I146" s="20" t="n">
        <v>9808</v>
      </c>
      <c r="J146" s="20" t="n">
        <v>8448</v>
      </c>
      <c r="K146" s="20" t="n">
        <v>9005</v>
      </c>
      <c r="L146" s="20" t="n">
        <v>8974</v>
      </c>
      <c r="M146" s="20" t="n">
        <v>10146</v>
      </c>
      <c r="N146" s="20" t="n">
        <v>9739</v>
      </c>
      <c r="V146" s="20" t="n">
        <v>9447</v>
      </c>
      <c r="W146" s="20" t="n">
        <v>9808</v>
      </c>
      <c r="X146" s="20" t="n">
        <v>10146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IF(OR(G146="",C146=""),"",IF(C146&lt;=0,"",IFERROR(G146/C146-1,"")))</f>
        <v/>
      </c>
      <c r="H147" s="15">
        <f>IF(OR(H146="",D146=""),"",IF(D146&lt;=0,"",IFERROR(H146/D146-1,"")))</f>
        <v/>
      </c>
      <c r="I147" s="15">
        <f>IF(OR(I146="",E146=""),"",IF(E146&lt;=0,"",IFERROR(I146/E146-1,"")))</f>
        <v/>
      </c>
      <c r="J147" s="15">
        <f>IF(OR(J146="",F146=""),"",IF(F146&lt;=0,"",IFERROR(J146/F146-1,"")))</f>
        <v/>
      </c>
      <c r="K147" s="15">
        <f>IF(OR(K146="",G146=""),"",IF(G146&lt;=0,"",IFERROR(K146/G146-1,"")))</f>
        <v/>
      </c>
      <c r="L147" s="15">
        <f>IF(OR(L146="",H146=""),"",IF(H146&lt;=0,"",IFERROR(L146/H146-1,"")))</f>
        <v/>
      </c>
      <c r="M147" s="15">
        <f>IF(OR(M146="",I146=""),"",IF(I146&lt;=0,"",IFERROR(M146/I146-1,"")))</f>
        <v/>
      </c>
      <c r="N147" s="15">
        <f>IF(OR(N146="",J146=""),"",IF(J146&lt;=0,"",IFERROR(N146/J146-1,"")))</f>
        <v/>
      </c>
      <c r="V147" s="15">
        <f>IF(OR(V146="",U146=""),"",IF(U146&lt;=0,"",IFERROR(V146/U146-1,"")))</f>
        <v/>
      </c>
      <c r="W147" s="15">
        <f>IF(OR(W146="",V146=""),"",IF(V146&lt;=0,"",IFERROR(W146/V146-1,"")))</f>
        <v/>
      </c>
      <c r="X147" s="15">
        <f>IF(OR(X146="",W146=""),"",IF(W146&lt;=0,"",IFERROR(X146/W146-1,"")))</f>
        <v/>
      </c>
    </row>
    <row r="148">
      <c r="A148" s="18" t="inlineStr">
        <is>
          <t>합계 · 외부 고객 매출</t>
        </is>
      </c>
      <c r="D148" s="20" t="n">
        <v>15397</v>
      </c>
      <c r="E148" s="20" t="n">
        <v>19507</v>
      </c>
      <c r="H148" s="20" t="n">
        <v>18659</v>
      </c>
      <c r="I148" s="20" t="n">
        <v>22519</v>
      </c>
      <c r="L148" s="20" t="n">
        <v>19590</v>
      </c>
      <c r="M148" s="20" t="n">
        <v>23581</v>
      </c>
      <c r="V148" s="20" t="n">
        <v>19507</v>
      </c>
      <c r="W148" s="20" t="n">
        <v>22519</v>
      </c>
      <c r="X148" s="20" t="n">
        <v>23581</v>
      </c>
    </row>
    <row r="149">
      <c r="A149" s="43" t="inlineStr">
        <is>
          <t>YoY</t>
        </is>
      </c>
      <c r="B149" s="3" t="inlineStr">
        <is>
          <t>전년 같은 분기·전년 대비</t>
        </is>
      </c>
      <c r="H149" s="15">
        <f>IF(OR(H148="",D148=""),"",IF(D148&lt;=0,"",IFERROR(H148/D148-1,"")))</f>
        <v/>
      </c>
      <c r="I149" s="15">
        <f>IF(OR(I148="",E148=""),"",IF(E148&lt;=0,"",IFERROR(I148/E148-1,"")))</f>
        <v/>
      </c>
      <c r="L149" s="15">
        <f>IF(OR(L148="",H148=""),"",IF(H148&lt;=0,"",IFERROR(L148/H148-1,"")))</f>
        <v/>
      </c>
      <c r="M149" s="15">
        <f>IF(OR(M148="",I148=""),"",IF(I148&lt;=0,"",IFERROR(M148/I148-1,"")))</f>
        <v/>
      </c>
      <c r="V149" s="15">
        <f>IF(OR(V148="",U148=""),"",IF(U148&lt;=0,"",IFERROR(V148/U148-1,"")))</f>
        <v/>
      </c>
      <c r="W149" s="15">
        <f>IF(OR(W148="",V148=""),"",IF(V148&lt;=0,"",IFERROR(W148/V148-1,"")))</f>
        <v/>
      </c>
      <c r="X149" s="15">
        <f>IF(OR(X148="",W148=""),"",IF(W148&lt;=0,"",IFERROR(X148/W148-1,"")))</f>
        <v/>
      </c>
    </row>
    <row r="150">
      <c r="A150" s="18" t="inlineStr">
        <is>
          <t>보고부문 합계 · 외부 고객 매출</t>
        </is>
      </c>
      <c r="F150" s="20" t="n">
        <v>15542</v>
      </c>
      <c r="J150" s="20" t="n">
        <v>16545</v>
      </c>
      <c r="N150" s="20" t="n">
        <v>18301</v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J151" s="15">
        <f>IF(OR(J150="",F150=""),"",IF(F150&lt;=0,"",IFERROR(J150/F150-1,"")))</f>
        <v/>
      </c>
      <c r="N151" s="15">
        <f>IF(OR(N150="",J150=""),"",IF(J150&lt;=0,"",IFERROR(N150/J150-1,"")))</f>
        <v/>
      </c>
    </row>
    <row r="152">
      <c r="A152" s="18" t="inlineStr">
        <is>
          <t>부문 · 부문 간 내부매출·대체</t>
        </is>
      </c>
      <c r="C152" s="20" t="n">
        <v>4</v>
      </c>
      <c r="D152" s="20" t="n">
        <v>2</v>
      </c>
      <c r="E152" s="20" t="n">
        <v>0</v>
      </c>
      <c r="F152" s="20" t="n">
        <v>0</v>
      </c>
      <c r="G152" s="20" t="n">
        <v>0</v>
      </c>
      <c r="H152" s="20" t="n">
        <v>34</v>
      </c>
      <c r="I152" s="20" t="n">
        <v>1</v>
      </c>
      <c r="J152" s="20" t="n">
        <v>0</v>
      </c>
      <c r="K152" s="20" t="n">
        <v>0</v>
      </c>
      <c r="L152" s="20" t="n">
        <v>29</v>
      </c>
      <c r="M152" s="20" t="n">
        <v>13</v>
      </c>
      <c r="N152" s="20" t="n">
        <v>17</v>
      </c>
      <c r="V152" s="20" t="n">
        <v>0</v>
      </c>
      <c r="W152" s="20" t="n">
        <v>1</v>
      </c>
      <c r="X152" s="20" t="n">
        <v>13</v>
      </c>
    </row>
    <row r="153">
      <c r="A153" s="18" t="inlineStr">
        <is>
          <t>부문 · 부문 간 내부매출·대체</t>
        </is>
      </c>
      <c r="C153" s="20" t="n">
        <v>32</v>
      </c>
      <c r="D153" s="20" t="n">
        <v>32</v>
      </c>
      <c r="E153" s="20" t="n">
        <v>20</v>
      </c>
      <c r="F153" s="20" t="n">
        <v>36</v>
      </c>
      <c r="G153" s="20" t="n">
        <v>35</v>
      </c>
      <c r="H153" s="20" t="n">
        <v>34</v>
      </c>
      <c r="I153" s="20" t="n">
        <v>17</v>
      </c>
      <c r="J153" s="20" t="n">
        <v>12</v>
      </c>
      <c r="K153" s="20" t="n">
        <v>2</v>
      </c>
      <c r="L153" s="20" t="n">
        <v>7</v>
      </c>
      <c r="M153" s="20" t="n">
        <v>7</v>
      </c>
      <c r="N153" s="20" t="n">
        <v>5</v>
      </c>
      <c r="V153" s="20" t="n">
        <v>20</v>
      </c>
      <c r="W153" s="20" t="n">
        <v>17</v>
      </c>
      <c r="X153" s="20" t="n">
        <v>7</v>
      </c>
    </row>
    <row r="154">
      <c r="A154" s="18" t="inlineStr">
        <is>
          <t>합계 · 부문 간 내부매출·대체</t>
        </is>
      </c>
      <c r="D154" s="20" t="n">
        <v>34</v>
      </c>
      <c r="E154" s="20" t="n">
        <v>21</v>
      </c>
      <c r="H154" s="20" t="n">
        <v>69</v>
      </c>
      <c r="I154" s="20" t="n">
        <v>18</v>
      </c>
      <c r="L154" s="20" t="n">
        <v>35</v>
      </c>
      <c r="M154" s="20" t="n">
        <v>20</v>
      </c>
      <c r="V154" s="20" t="n">
        <v>21</v>
      </c>
      <c r="W154" s="20" t="n">
        <v>18</v>
      </c>
      <c r="X154" s="20" t="n">
        <v>20</v>
      </c>
    </row>
    <row r="155">
      <c r="A155" s="18" t="inlineStr">
        <is>
          <t>보고부문 합계 · 부문 간 내부매출·대체</t>
        </is>
      </c>
      <c r="F155" s="20" t="n">
        <v>36</v>
      </c>
      <c r="J155" s="20" t="n">
        <v>12</v>
      </c>
      <c r="N155" s="20" t="n">
        <v>23</v>
      </c>
    </row>
    <row r="156">
      <c r="A156" s="18" t="inlineStr">
        <is>
          <t>부문 · 계</t>
        </is>
      </c>
      <c r="C156" s="20" t="n">
        <v>6021</v>
      </c>
      <c r="D156" s="20" t="n">
        <v>7070</v>
      </c>
      <c r="E156" s="20" t="n">
        <v>10061</v>
      </c>
      <c r="F156" s="20" t="n">
        <v>7175</v>
      </c>
      <c r="G156" s="20" t="n">
        <v>8987</v>
      </c>
      <c r="H156" s="20" t="n">
        <v>9975</v>
      </c>
      <c r="I156" s="20" t="n">
        <v>12714</v>
      </c>
      <c r="J156" s="20" t="n">
        <v>8096</v>
      </c>
      <c r="K156" s="20" t="n">
        <v>9443</v>
      </c>
      <c r="L156" s="20" t="n">
        <v>10645</v>
      </c>
      <c r="M156" s="20" t="n">
        <v>13448</v>
      </c>
      <c r="N156" s="20" t="n">
        <v>8580</v>
      </c>
      <c r="V156" s="20" t="n">
        <v>10061</v>
      </c>
      <c r="W156" s="20" t="n">
        <v>12714</v>
      </c>
      <c r="X156" s="20" t="n">
        <v>13448</v>
      </c>
    </row>
    <row r="157">
      <c r="A157" s="43" t="inlineStr">
        <is>
          <t>YoY</t>
        </is>
      </c>
      <c r="B157" s="3" t="inlineStr">
        <is>
          <t>전년 같은 분기·전년 대비</t>
        </is>
      </c>
      <c r="G157" s="15">
        <f>IF(OR(G156="",C156=""),"",IF(C156&lt;=0,"",IFERROR(G156/C156-1,"")))</f>
        <v/>
      </c>
      <c r="H157" s="15">
        <f>IF(OR(H156="",D156=""),"",IF(D156&lt;=0,"",IFERROR(H156/D156-1,"")))</f>
        <v/>
      </c>
      <c r="I157" s="15">
        <f>IF(OR(I156="",E156=""),"",IF(E156&lt;=0,"",IFERROR(I156/E156-1,"")))</f>
        <v/>
      </c>
      <c r="J157" s="15">
        <f>IF(OR(J156="",F156=""),"",IF(F156&lt;=0,"",IFERROR(J156/F156-1,"")))</f>
        <v/>
      </c>
      <c r="K157" s="15">
        <f>IF(OR(K156="",G156=""),"",IF(G156&lt;=0,"",IFERROR(K156/G156-1,"")))</f>
        <v/>
      </c>
      <c r="L157" s="15">
        <f>IF(OR(L156="",H156=""),"",IF(H156&lt;=0,"",IFERROR(L156/H156-1,"")))</f>
        <v/>
      </c>
      <c r="M157" s="15">
        <f>IF(OR(M156="",I156=""),"",IF(I156&lt;=0,"",IFERROR(M156/I156-1,"")))</f>
        <v/>
      </c>
      <c r="N157" s="15">
        <f>IF(OR(N156="",J156=""),"",IF(J156&lt;=0,"",IFERROR(N156/J156-1,"")))</f>
        <v/>
      </c>
      <c r="V157" s="15">
        <f>IF(OR(V156="",U156=""),"",IF(U156&lt;=0,"",IFERROR(V156/U156-1,"")))</f>
        <v/>
      </c>
      <c r="W157" s="15">
        <f>IF(OR(W156="",V156=""),"",IF(V156&lt;=0,"",IFERROR(W156/V156-1,"")))</f>
        <v/>
      </c>
      <c r="X157" s="15">
        <f>IF(OR(X156="",W156=""),"",IF(W156&lt;=0,"",IFERROR(X156/W156-1,"")))</f>
        <v/>
      </c>
    </row>
    <row r="158">
      <c r="A158" s="18" t="inlineStr">
        <is>
          <t>부문 · 계</t>
        </is>
      </c>
      <c r="C158" s="20" t="n">
        <v>8185</v>
      </c>
      <c r="D158" s="20" t="n">
        <v>8360</v>
      </c>
      <c r="E158" s="20" t="n">
        <v>9468</v>
      </c>
      <c r="F158" s="20" t="n">
        <v>8403</v>
      </c>
      <c r="G158" s="20" t="n">
        <v>8560</v>
      </c>
      <c r="H158" s="20" t="n">
        <v>8751</v>
      </c>
      <c r="I158" s="20" t="n">
        <v>9824</v>
      </c>
      <c r="J158" s="20" t="n">
        <v>8461</v>
      </c>
      <c r="K158" s="20" t="n">
        <v>9007</v>
      </c>
      <c r="L158" s="20" t="n">
        <v>8980</v>
      </c>
      <c r="M158" s="20" t="n">
        <v>10153</v>
      </c>
      <c r="N158" s="20" t="n">
        <v>9744</v>
      </c>
      <c r="V158" s="20" t="n">
        <v>9468</v>
      </c>
      <c r="W158" s="20" t="n">
        <v>9824</v>
      </c>
      <c r="X158" s="20" t="n">
        <v>10153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G159" s="15">
        <f>IF(OR(G158="",C158=""),"",IF(C158&lt;=0,"",IFERROR(G158/C158-1,"")))</f>
        <v/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J159" s="15">
        <f>IF(OR(J158="",F158=""),"",IF(F158&lt;=0,"",IFERROR(J158/F158-1,"")))</f>
        <v/>
      </c>
      <c r="K159" s="15">
        <f>IF(OR(K158="",G158=""),"",IF(G158&lt;=0,"",IFERROR(K158/G158-1,"")))</f>
        <v/>
      </c>
      <c r="L159" s="15">
        <f>IF(OR(L158="",H158=""),"",IF(H158&lt;=0,"",IFERROR(L158/H158-1,"")))</f>
        <v/>
      </c>
      <c r="M159" s="15">
        <f>IF(OR(M158="",I158=""),"",IF(I158&lt;=0,"",IFERROR(M158/I158-1,"")))</f>
        <v/>
      </c>
      <c r="N159" s="15">
        <f>IF(OR(N158="",J158=""),"",IF(J158&lt;=0,"",IFERROR(N158/J158-1,"")))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  <c r="X159" s="15">
        <f>IF(OR(X158="",W158=""),"",IF(W158&lt;=0,"",IFERROR(X158/W158-1,"")))</f>
        <v/>
      </c>
    </row>
    <row r="160">
      <c r="A160" s="18" t="inlineStr">
        <is>
          <t>합계 · 계</t>
        </is>
      </c>
      <c r="D160" s="20" t="n">
        <v>15430</v>
      </c>
      <c r="E160" s="20" t="n">
        <v>19528</v>
      </c>
      <c r="H160" s="20" t="n">
        <v>18727</v>
      </c>
      <c r="I160" s="20" t="n">
        <v>22537</v>
      </c>
      <c r="L160" s="20" t="n">
        <v>19624</v>
      </c>
      <c r="M160" s="20" t="n">
        <v>23601</v>
      </c>
      <c r="V160" s="20" t="n">
        <v>19528</v>
      </c>
      <c r="W160" s="20" t="n">
        <v>22537</v>
      </c>
      <c r="X160" s="20" t="n">
        <v>23601</v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H161" s="15">
        <f>IF(OR(H160="",D160=""),"",IF(D160&lt;=0,"",IFERROR(H160/D160-1,"")))</f>
        <v/>
      </c>
      <c r="I161" s="15">
        <f>IF(OR(I160="",E160=""),"",IF(E160&lt;=0,"",IFERROR(I160/E160-1,"")))</f>
        <v/>
      </c>
      <c r="L161" s="15">
        <f>IF(OR(L160="",H160=""),"",IF(H160&lt;=0,"",IFERROR(L160/H160-1,"")))</f>
        <v/>
      </c>
      <c r="M161" s="15">
        <f>IF(OR(M160="",I160=""),"",IF(I160&lt;=0,"",IFERROR(M160/I160-1,"")))</f>
        <v/>
      </c>
      <c r="V161" s="15">
        <f>IF(OR(V160="",U160=""),"",IF(U160&lt;=0,"",IFERROR(V160/U160-1,"")))</f>
        <v/>
      </c>
      <c r="W161" s="15">
        <f>IF(OR(W160="",V160=""),"",IF(V160&lt;=0,"",IFERROR(W160/V160-1,"")))</f>
        <v/>
      </c>
      <c r="X161" s="15">
        <f>IF(OR(X160="",W160=""),"",IF(W160&lt;=0,"",IFERROR(X160/W160-1,"")))</f>
        <v/>
      </c>
    </row>
    <row r="162">
      <c r="A162" s="18" t="inlineStr">
        <is>
          <t>보고부문 합계 · 계</t>
        </is>
      </c>
      <c r="F162" s="20" t="n">
        <v>15578</v>
      </c>
      <c r="J162" s="20" t="n">
        <v>16557</v>
      </c>
      <c r="N162" s="20" t="n">
        <v>18325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J163" s="15">
        <f>IF(OR(J162="",F162=""),"",IF(F162&lt;=0,"",IFERROR(J162/F162-1,"")))</f>
        <v/>
      </c>
      <c r="N163" s="15">
        <f>IF(OR(N162="",J162=""),"",IF(J162&lt;=0,"",IFERROR(N162/J162-1,"")))</f>
        <v/>
      </c>
    </row>
    <row r="164">
      <c r="A164" s="18" t="inlineStr">
        <is>
          <t>부문 · 부문 이익(손실)</t>
        </is>
      </c>
      <c r="C164" s="20" t="n">
        <v>416</v>
      </c>
      <c r="D164" s="20" t="n">
        <v>552</v>
      </c>
      <c r="E164" s="20" t="n">
        <v>1317</v>
      </c>
      <c r="F164" s="20" t="n">
        <v>-276</v>
      </c>
      <c r="G164" s="20" t="n">
        <v>396</v>
      </c>
      <c r="H164" s="20" t="n">
        <v>623</v>
      </c>
      <c r="I164" s="20" t="n">
        <v>1115</v>
      </c>
      <c r="J164" s="20" t="n">
        <v>-5</v>
      </c>
      <c r="K164" s="20" t="n">
        <v>326</v>
      </c>
      <c r="L164" s="20" t="n">
        <v>927</v>
      </c>
      <c r="M164" s="20" t="n">
        <v>1480</v>
      </c>
      <c r="N164" s="20" t="n">
        <v>43</v>
      </c>
      <c r="V164" s="20" t="n">
        <v>1317</v>
      </c>
      <c r="W164" s="20" t="n">
        <v>1115</v>
      </c>
      <c r="X164" s="20" t="n">
        <v>1480</v>
      </c>
    </row>
    <row r="165">
      <c r="A165" s="43" t="inlineStr">
        <is>
          <t>OPM</t>
        </is>
      </c>
      <c r="B165" s="3" t="inlineStr">
        <is>
          <t>영업이익 ÷ 매출</t>
        </is>
      </c>
      <c r="C165" s="15">
        <f>IF(OR(C164="",C156=""),"",IF(C156&lt;=0,"",IFERROR(C164/C156,"")))</f>
        <v/>
      </c>
      <c r="D165" s="15">
        <f>IF(OR(D164="",D156=""),"",IF(D156&lt;=0,"",IFERROR(D164/D156,"")))</f>
        <v/>
      </c>
      <c r="E165" s="15">
        <f>IF(OR(E164="",E156=""),"",IF(E156&lt;=0,"",IFERROR(E164/E156,"")))</f>
        <v/>
      </c>
      <c r="F165" s="15">
        <f>IF(OR(F164="",F156=""),"",IF(F156&lt;=0,"",IFERROR(F164/F156,"")))</f>
        <v/>
      </c>
      <c r="G165" s="15">
        <f>IF(OR(G164="",G156=""),"",IF(G156&lt;=0,"",IFERROR(G164/G156,"")))</f>
        <v/>
      </c>
      <c r="H165" s="15">
        <f>IF(OR(H164="",H156=""),"",IF(H156&lt;=0,"",IFERROR(H164/H156,"")))</f>
        <v/>
      </c>
      <c r="I165" s="15">
        <f>IF(OR(I164="",I156=""),"",IF(I156&lt;=0,"",IFERROR(I164/I156,"")))</f>
        <v/>
      </c>
      <c r="J165" s="15">
        <f>IF(OR(J164="",J156=""),"",IF(J156&lt;=0,"",IFERROR(J164/J156,"")))</f>
        <v/>
      </c>
      <c r="K165" s="15">
        <f>IF(OR(K164="",K156=""),"",IF(K156&lt;=0,"",IFERROR(K164/K156,"")))</f>
        <v/>
      </c>
      <c r="L165" s="15">
        <f>IF(OR(L164="",L156=""),"",IF(L156&lt;=0,"",IFERROR(L164/L156,"")))</f>
        <v/>
      </c>
      <c r="M165" s="15">
        <f>IF(OR(M164="",M156=""),"",IF(M156&lt;=0,"",IFERROR(M164/M156,"")))</f>
        <v/>
      </c>
      <c r="N165" s="15">
        <f>IF(OR(N164="",N156=""),"",IF(N156&lt;=0,"",IFERROR(N164/N156,"")))</f>
        <v/>
      </c>
      <c r="V165" s="15">
        <f>IF(OR(V164="",V156=""),"",IF(V156&lt;=0,"",IFERROR(V164/V156,"")))</f>
        <v/>
      </c>
      <c r="W165" s="15">
        <f>IF(OR(W164="",W156=""),"",IF(W156&lt;=0,"",IFERROR(W164/W156,"")))</f>
        <v/>
      </c>
      <c r="X165" s="15">
        <f>IF(OR(X164="",X156=""),"",IF(X156&lt;=0,"",IFERROR(X164/X156,"")))</f>
        <v/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IF(OR(G164="",C164=""),"",IF(C164&lt;=0,"",IFERROR(G164/C164-1,"")))</f>
        <v/>
      </c>
      <c r="H166" s="15">
        <f>IF(OR(H164="",D164=""),"",IF(D164&lt;=0,"",IFERROR(H164/D164-1,"")))</f>
        <v/>
      </c>
      <c r="I166" s="15">
        <f>IF(OR(I164="",E164=""),"",IF(E164&lt;=0,"",IFERROR(I164/E164-1,"")))</f>
        <v/>
      </c>
      <c r="J166" s="15">
        <f>IF(OR(J164="",F164=""),"",IF(F164&lt;=0,"",IFERROR(J164/F164-1,"")))</f>
        <v/>
      </c>
      <c r="K166" s="15">
        <f>IF(OR(K164="",G164=""),"",IF(G164&lt;=0,"",IFERROR(K164/G164-1,"")))</f>
        <v/>
      </c>
      <c r="L166" s="15">
        <f>IF(OR(L164="",H164=""),"",IF(H164&lt;=0,"",IFERROR(L164/H164-1,"")))</f>
        <v/>
      </c>
      <c r="M166" s="15">
        <f>IF(OR(M164="",I164=""),"",IF(I164&lt;=0,"",IFERROR(M164/I164-1,"")))</f>
        <v/>
      </c>
      <c r="N166" s="15">
        <f>IF(OR(N164="",J164=""),"",IF(J164&lt;=0,"",IFERROR(N164/J164-1,"")))</f>
        <v/>
      </c>
      <c r="V166" s="15">
        <f>IF(OR(V164="",U164=""),"",IF(U164&lt;=0,"",IFERROR(V164/U164-1,"")))</f>
        <v/>
      </c>
      <c r="W166" s="15">
        <f>IF(OR(W164="",V164=""),"",IF(V164&lt;=0,"",IFERROR(W164/V164-1,"")))</f>
        <v/>
      </c>
      <c r="X166" s="15">
        <f>IF(OR(X164="",W164=""),"",IF(W164&lt;=0,"",IFERROR(X164/W164-1,"")))</f>
        <v/>
      </c>
    </row>
    <row r="167">
      <c r="A167" s="18" t="inlineStr">
        <is>
          <t>부문 · 부문 이익(손실)</t>
        </is>
      </c>
      <c r="C167" s="20" t="n">
        <v>1080</v>
      </c>
      <c r="D167" s="20" t="n">
        <v>1034</v>
      </c>
      <c r="E167" s="20" t="n">
        <v>1398</v>
      </c>
      <c r="F167" s="20" t="n">
        <v>910</v>
      </c>
      <c r="G167" s="20" t="n">
        <v>774</v>
      </c>
      <c r="H167" s="20" t="n">
        <v>991</v>
      </c>
      <c r="I167" s="20" t="n">
        <v>1387</v>
      </c>
      <c r="J167" s="20" t="n">
        <v>812</v>
      </c>
      <c r="K167" s="20" t="n">
        <v>1030</v>
      </c>
      <c r="L167" s="20" t="n">
        <v>810</v>
      </c>
      <c r="M167" s="20" t="n">
        <v>1231</v>
      </c>
      <c r="N167" s="20" t="n">
        <v>1150</v>
      </c>
      <c r="V167" s="20" t="n">
        <v>1398</v>
      </c>
      <c r="W167" s="20" t="n">
        <v>1387</v>
      </c>
      <c r="X167" s="20" t="n">
        <v>1231</v>
      </c>
    </row>
    <row r="168">
      <c r="A168" s="43" t="inlineStr">
        <is>
          <t>OPM</t>
        </is>
      </c>
      <c r="B168" s="3" t="inlineStr">
        <is>
          <t>영업이익 ÷ 매출</t>
        </is>
      </c>
      <c r="C168" s="15">
        <f>IF(OR(C167="",C158=""),"",IF(C158&lt;=0,"",IFERROR(C167/C158,"")))</f>
        <v/>
      </c>
      <c r="D168" s="15">
        <f>IF(OR(D167="",D158=""),"",IF(D158&lt;=0,"",IFERROR(D167/D158,"")))</f>
        <v/>
      </c>
      <c r="E168" s="15">
        <f>IF(OR(E167="",E158=""),"",IF(E158&lt;=0,"",IFERROR(E167/E158,"")))</f>
        <v/>
      </c>
      <c r="F168" s="15">
        <f>IF(OR(F167="",F158=""),"",IF(F158&lt;=0,"",IFERROR(F167/F158,"")))</f>
        <v/>
      </c>
      <c r="G168" s="15">
        <f>IF(OR(G167="",G158=""),"",IF(G158&lt;=0,"",IFERROR(G167/G158,"")))</f>
        <v/>
      </c>
      <c r="H168" s="15">
        <f>IF(OR(H167="",H158=""),"",IF(H158&lt;=0,"",IFERROR(H167/H158,"")))</f>
        <v/>
      </c>
      <c r="I168" s="15">
        <f>IF(OR(I167="",I158=""),"",IF(I158&lt;=0,"",IFERROR(I167/I158,"")))</f>
        <v/>
      </c>
      <c r="J168" s="15">
        <f>IF(OR(J167="",J158=""),"",IF(J158&lt;=0,"",IFERROR(J167/J158,"")))</f>
        <v/>
      </c>
      <c r="K168" s="15">
        <f>IF(OR(K167="",K158=""),"",IF(K158&lt;=0,"",IFERROR(K167/K158,"")))</f>
        <v/>
      </c>
      <c r="L168" s="15">
        <f>IF(OR(L167="",L158=""),"",IF(L158&lt;=0,"",IFERROR(L167/L158,"")))</f>
        <v/>
      </c>
      <c r="M168" s="15">
        <f>IF(OR(M167="",M158=""),"",IF(M158&lt;=0,"",IFERROR(M167/M158,"")))</f>
        <v/>
      </c>
      <c r="N168" s="15">
        <f>IF(OR(N167="",N158=""),"",IF(N158&lt;=0,"",IFERROR(N167/N158,"")))</f>
        <v/>
      </c>
      <c r="V168" s="15">
        <f>IF(OR(V167="",V158=""),"",IF(V158&lt;=0,"",IFERROR(V167/V158,"")))</f>
        <v/>
      </c>
      <c r="W168" s="15">
        <f>IF(OR(W167="",W158=""),"",IF(W158&lt;=0,"",IFERROR(W167/W158,"")))</f>
        <v/>
      </c>
      <c r="X168" s="15">
        <f>IF(OR(X167="",X158=""),"",IF(X158&lt;=0,"",IFERROR(X167/X158,"")))</f>
        <v/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IF(OR(G167="",C167=""),"",IF(C167&lt;=0,"",IFERROR(G167/C167-1,"")))</f>
        <v/>
      </c>
      <c r="H169" s="15">
        <f>IF(OR(H167="",D167=""),"",IF(D167&lt;=0,"",IFERROR(H167/D167-1,"")))</f>
        <v/>
      </c>
      <c r="I169" s="15">
        <f>IF(OR(I167="",E167=""),"",IF(E167&lt;=0,"",IFERROR(I167/E167-1,"")))</f>
        <v/>
      </c>
      <c r="J169" s="15">
        <f>IF(OR(J167="",F167=""),"",IF(F167&lt;=0,"",IFERROR(J167/F167-1,"")))</f>
        <v/>
      </c>
      <c r="K169" s="15">
        <f>IF(OR(K167="",G167=""),"",IF(G167&lt;=0,"",IFERROR(K167/G167-1,"")))</f>
        <v/>
      </c>
      <c r="L169" s="15">
        <f>IF(OR(L167="",H167=""),"",IF(H167&lt;=0,"",IFERROR(L167/H167-1,"")))</f>
        <v/>
      </c>
      <c r="M169" s="15">
        <f>IF(OR(M167="",I167=""),"",IF(I167&lt;=0,"",IFERROR(M167/I167-1,"")))</f>
        <v/>
      </c>
      <c r="N169" s="15">
        <f>IF(OR(N167="",J167=""),"",IF(J167&lt;=0,"",IFERROR(N167/J167-1,"")))</f>
        <v/>
      </c>
      <c r="V169" s="15">
        <f>IF(OR(V167="",U167=""),"",IF(U167&lt;=0,"",IFERROR(V167/U167-1,"")))</f>
        <v/>
      </c>
      <c r="W169" s="15">
        <f>IF(OR(W167="",V167=""),"",IF(V167&lt;=0,"",IFERROR(W167/V167-1,"")))</f>
        <v/>
      </c>
      <c r="X169" s="15">
        <f>IF(OR(X167="",W167=""),"",IF(W167&lt;=0,"",IFERROR(X167/W167-1,"")))</f>
        <v/>
      </c>
    </row>
    <row r="170">
      <c r="A170" s="18" t="inlineStr">
        <is>
          <t>합계 · 부문 이익</t>
        </is>
      </c>
      <c r="D170" s="20" t="n">
        <v>1587</v>
      </c>
      <c r="E170" s="20" t="n">
        <v>2714</v>
      </c>
      <c r="H170" s="20" t="n">
        <v>1615</v>
      </c>
      <c r="I170" s="20" t="n">
        <v>2502</v>
      </c>
      <c r="L170" s="20" t="n">
        <v>1737</v>
      </c>
      <c r="M170" s="20" t="n">
        <v>2710</v>
      </c>
      <c r="V170" s="20" t="n">
        <v>2714</v>
      </c>
      <c r="W170" s="20" t="n">
        <v>2502</v>
      </c>
      <c r="X170" s="20" t="n">
        <v>2710</v>
      </c>
    </row>
    <row r="171">
      <c r="A171" s="43" t="inlineStr">
        <is>
          <t>OPM</t>
        </is>
      </c>
      <c r="B171" s="3" t="inlineStr">
        <is>
          <t>영업이익 ÷ 매출</t>
        </is>
      </c>
      <c r="D171" s="15">
        <f>IF(OR(D170="",D160=""),"",IF(D160&lt;=0,"",IFERROR(D170/D160,"")))</f>
        <v/>
      </c>
      <c r="E171" s="15">
        <f>IF(OR(E170="",E160=""),"",IF(E160&lt;=0,"",IFERROR(E170/E160,"")))</f>
        <v/>
      </c>
      <c r="H171" s="15">
        <f>IF(OR(H170="",H160=""),"",IF(H160&lt;=0,"",IFERROR(H170/H160,"")))</f>
        <v/>
      </c>
      <c r="I171" s="15">
        <f>IF(OR(I170="",I160=""),"",IF(I160&lt;=0,"",IFERROR(I170/I160,"")))</f>
        <v/>
      </c>
      <c r="L171" s="15">
        <f>IF(OR(L170="",L160=""),"",IF(L160&lt;=0,"",IFERROR(L170/L160,"")))</f>
        <v/>
      </c>
      <c r="M171" s="15">
        <f>IF(OR(M170="",M160=""),"",IF(M160&lt;=0,"",IFERROR(M170/M160,"")))</f>
        <v/>
      </c>
      <c r="V171" s="15">
        <f>IF(OR(V170="",V160=""),"",IF(V160&lt;=0,"",IFERROR(V170/V160,"")))</f>
        <v/>
      </c>
      <c r="W171" s="15">
        <f>IF(OR(W170="",W160=""),"",IF(W160&lt;=0,"",IFERROR(W170/W160,"")))</f>
        <v/>
      </c>
      <c r="X171" s="15">
        <f>IF(OR(X170="",X160=""),"",IF(X160&lt;=0,"",IFERROR(X170/X160,"")))</f>
        <v/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H172" s="15">
        <f>IF(OR(H170="",D170=""),"",IF(D170&lt;=0,"",IFERROR(H170/D170-1,"")))</f>
        <v/>
      </c>
      <c r="I172" s="15">
        <f>IF(OR(I170="",E170=""),"",IF(E170&lt;=0,"",IFERROR(I170/E170-1,"")))</f>
        <v/>
      </c>
      <c r="L172" s="15">
        <f>IF(OR(L170="",H170=""),"",IF(H170&lt;=0,"",IFERROR(L170/H170-1,"")))</f>
        <v/>
      </c>
      <c r="M172" s="15">
        <f>IF(OR(M170="",I170=""),"",IF(I170&lt;=0,"",IFERROR(M170/I170-1,"")))</f>
        <v/>
      </c>
      <c r="V172" s="15">
        <f>IF(OR(V170="",U170=""),"",IF(U170&lt;=0,"",IFERROR(V170/U170-1,"")))</f>
        <v/>
      </c>
      <c r="W172" s="15">
        <f>IF(OR(W170="",V170=""),"",IF(V170&lt;=0,"",IFERROR(W170/V170-1,"")))</f>
        <v/>
      </c>
      <c r="X172" s="15">
        <f>IF(OR(X170="",W170=""),"",IF(W170&lt;=0,"",IFERROR(X170/W170-1,"")))</f>
        <v/>
      </c>
    </row>
    <row r="173">
      <c r="A173" s="18" t="inlineStr">
        <is>
          <t>보고부문 합계 · 부문 이익(손실)</t>
        </is>
      </c>
      <c r="F173" s="20" t="n">
        <v>633</v>
      </c>
      <c r="J173" s="20" t="n">
        <v>807</v>
      </c>
      <c r="N173" s="20" t="n">
        <v>1193</v>
      </c>
    </row>
    <row r="174">
      <c r="A174" s="43" t="inlineStr">
        <is>
          <t>OPM</t>
        </is>
      </c>
      <c r="B174" s="3" t="inlineStr">
        <is>
          <t>영업이익 ÷ 매출</t>
        </is>
      </c>
      <c r="F174" s="15">
        <f>IF(OR(F173="",F162=""),"",IF(F162&lt;=0,"",IFERROR(F173/F162,"")))</f>
        <v/>
      </c>
      <c r="J174" s="15">
        <f>IF(OR(J173="",J162=""),"",IF(J162&lt;=0,"",IFERROR(J173/J162,"")))</f>
        <v/>
      </c>
      <c r="N174" s="15">
        <f>IF(OR(N173="",N162=""),"",IF(N162&lt;=0,"",IFERROR(N173/N162,"")))</f>
        <v/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J175" s="15">
        <f>IF(OR(J173="",F173=""),"",IF(F173&lt;=0,"",IFERROR(J173/F173-1,"")))</f>
        <v/>
      </c>
      <c r="N175" s="15">
        <f>IF(OR(N173="",J173=""),"",IF(J173&lt;=0,"",IFERROR(N173/J173-1,"")))</f>
        <v/>
      </c>
    </row>
    <row r="177">
      <c r="A177" s="16" t="inlineStr">
        <is>
          <t>현금흐름표 · 전 항목</t>
        </is>
      </c>
      <c r="B177" s="42" t="inlineStr">
        <is>
          <t>분기 = 결산기 첫날부터 누계(공시 그대로)</t>
        </is>
      </c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</row>
    <row r="178">
      <c r="A178" s="5" t="inlineStr">
        <is>
          <t>항목</t>
        </is>
      </c>
      <c r="B178" s="5" t="inlineStr">
        <is>
          <t>참고</t>
        </is>
      </c>
      <c r="C178" s="5" t="inlineStr">
        <is>
          <t>2024.2Q</t>
        </is>
      </c>
      <c r="D178" s="5" t="inlineStr">
        <is>
          <t>2024.3Q</t>
        </is>
      </c>
      <c r="E178" s="5" t="inlineStr">
        <is>
          <t>2024.4Q</t>
        </is>
      </c>
      <c r="F178" s="5" t="inlineStr">
        <is>
          <t>2025.1Q</t>
        </is>
      </c>
      <c r="G178" s="5" t="inlineStr">
        <is>
          <t>2025.2Q</t>
        </is>
      </c>
      <c r="H178" s="5" t="inlineStr">
        <is>
          <t>2025.3Q</t>
        </is>
      </c>
      <c r="I178" s="5" t="inlineStr">
        <is>
          <t>2025.4Q</t>
        </is>
      </c>
      <c r="J178" s="5" t="inlineStr">
        <is>
          <t>2026.1Q</t>
        </is>
      </c>
      <c r="K178" s="5" t="inlineStr">
        <is>
          <t>2026.2Q</t>
        </is>
      </c>
      <c r="L178" s="5" t="inlineStr">
        <is>
          <t>2026.3Q</t>
        </is>
      </c>
      <c r="M178" s="5" t="inlineStr">
        <is>
          <t>2026.4Q</t>
        </is>
      </c>
      <c r="N178" s="5" t="inlineStr">
        <is>
          <t>2027.1Q</t>
        </is>
      </c>
      <c r="O178" s="5" t="inlineStr">
        <is>
          <t>2017</t>
        </is>
      </c>
      <c r="P178" s="5" t="inlineStr">
        <is>
          <t>2018</t>
        </is>
      </c>
      <c r="Q178" s="5" t="inlineStr">
        <is>
          <t>2019</t>
        </is>
      </c>
      <c r="R178" s="5" t="inlineStr">
        <is>
          <t>2020</t>
        </is>
      </c>
      <c r="S178" s="5" t="inlineStr">
        <is>
          <t>2021</t>
        </is>
      </c>
      <c r="T178" s="5" t="inlineStr">
        <is>
          <t>2022</t>
        </is>
      </c>
      <c r="U178" s="5" t="inlineStr">
        <is>
          <t>2023</t>
        </is>
      </c>
      <c r="V178" s="5" t="inlineStr">
        <is>
          <t>2024</t>
        </is>
      </c>
      <c r="W178" s="5" t="inlineStr">
        <is>
          <t>2025</t>
        </is>
      </c>
      <c r="X178" s="5" t="inlineStr">
        <is>
          <t>2026</t>
        </is>
      </c>
      <c r="Y178" s="5" t="inlineStr">
        <is>
          <t>2027(MW)</t>
        </is>
      </c>
      <c r="Z178" s="5" t="inlineStr">
        <is>
          <t>2028(MW)</t>
        </is>
      </c>
      <c r="AA178" s="5" t="inlineStr">
        <is>
          <t>2029(MW)</t>
        </is>
      </c>
      <c r="AB178" s="5" t="inlineStr">
        <is>
          <t>2030(MW)</t>
        </is>
      </c>
      <c r="AC178" s="5" t="inlineStr">
        <is>
          <t>2031(MW)</t>
        </is>
      </c>
    </row>
    <row r="179">
      <c r="A179" s="9" t="inlineStr">
        <is>
          <t>법인세차감전 순이익</t>
        </is>
      </c>
      <c r="C179" s="12" t="n">
        <v>3019</v>
      </c>
      <c r="D179" s="12" t="n">
        <v>4516</v>
      </c>
      <c r="E179" s="12" t="n">
        <v>7169</v>
      </c>
      <c r="F179" s="12" t="n">
        <v>542</v>
      </c>
      <c r="G179" s="12" t="n">
        <v>1472</v>
      </c>
      <c r="H179" s="12" t="n">
        <v>2712</v>
      </c>
      <c r="I179" s="12" t="n">
        <v>5373</v>
      </c>
      <c r="J179" s="12" t="n">
        <v>706</v>
      </c>
      <c r="K179" s="12" t="n">
        <v>2030</v>
      </c>
      <c r="L179" s="12" t="n">
        <v>3970</v>
      </c>
      <c r="M179" s="12" t="n">
        <v>6395</v>
      </c>
      <c r="N179" s="12" t="n">
        <v>1775</v>
      </c>
      <c r="O179" s="12" t="n">
        <v>9940</v>
      </c>
      <c r="P179" s="12" t="n">
        <v>10649</v>
      </c>
      <c r="Q179" s="12" t="n">
        <v>10390</v>
      </c>
      <c r="R179" s="12" t="n">
        <v>10528</v>
      </c>
      <c r="S179" s="12" t="n">
        <v>11209</v>
      </c>
      <c r="T179" s="12" t="n">
        <v>11347</v>
      </c>
      <c r="U179" s="12" t="n">
        <v>9862</v>
      </c>
      <c r="V179" s="12" t="n">
        <v>7169</v>
      </c>
      <c r="W179" s="12" t="n">
        <v>5373</v>
      </c>
      <c r="X179" s="12" t="n">
        <v>6395</v>
      </c>
    </row>
    <row r="180">
      <c r="A180" s="18" t="inlineStr">
        <is>
          <t>감가상각비</t>
        </is>
      </c>
      <c r="C180" s="20" t="n">
        <v>584</v>
      </c>
      <c r="D180" s="20" t="n">
        <v>910</v>
      </c>
      <c r="E180" s="20" t="n">
        <v>1252</v>
      </c>
      <c r="F180" s="20" t="n">
        <v>490</v>
      </c>
      <c r="G180" s="20" t="n">
        <v>1028</v>
      </c>
      <c r="H180" s="20" t="n">
        <v>1567</v>
      </c>
      <c r="I180" s="20" t="n">
        <v>2163</v>
      </c>
      <c r="J180" s="20" t="n">
        <v>567</v>
      </c>
      <c r="K180" s="20" t="n">
        <v>1143</v>
      </c>
      <c r="L180" s="20" t="n">
        <v>1864</v>
      </c>
      <c r="M180" s="20" t="n">
        <v>2545</v>
      </c>
      <c r="N180" s="20" t="n">
        <v>718</v>
      </c>
      <c r="O180" s="20" t="n">
        <v>1188</v>
      </c>
      <c r="P180" s="20" t="n">
        <v>1034</v>
      </c>
      <c r="Q180" s="20" t="n">
        <v>1042</v>
      </c>
      <c r="R180" s="20" t="n">
        <v>1130</v>
      </c>
      <c r="S180" s="20" t="n">
        <v>1139</v>
      </c>
      <c r="T180" s="20" t="n">
        <v>1121</v>
      </c>
      <c r="U180" s="20" t="n">
        <v>1197</v>
      </c>
      <c r="V180" s="20" t="n">
        <v>1252</v>
      </c>
      <c r="W180" s="20" t="n">
        <v>2163</v>
      </c>
      <c r="X180" s="20" t="n">
        <v>2545</v>
      </c>
    </row>
    <row r="181">
      <c r="A181" s="18" t="inlineStr">
        <is>
          <t>영업권 상각</t>
        </is>
      </c>
      <c r="F181" s="20" t="n">
        <v>442</v>
      </c>
    </row>
    <row r="182">
      <c r="A182" s="18" t="inlineStr">
        <is>
          <t>영업권 상각</t>
        </is>
      </c>
      <c r="C182" s="20" t="n">
        <v>0</v>
      </c>
      <c r="D182" s="20" t="n">
        <v>0</v>
      </c>
      <c r="E182" s="20" t="n">
        <v>0</v>
      </c>
      <c r="F182" s="20" t="n">
        <v>339</v>
      </c>
      <c r="G182" s="20" t="n">
        <v>691</v>
      </c>
      <c r="H182" s="20" t="n">
        <v>1036</v>
      </c>
      <c r="I182" s="20" t="n">
        <v>1377</v>
      </c>
      <c r="J182" s="20" t="n">
        <v>355</v>
      </c>
      <c r="K182" s="20" t="n">
        <v>739</v>
      </c>
      <c r="L182" s="20" t="n">
        <v>1095</v>
      </c>
      <c r="M182" s="20" t="n">
        <v>1487</v>
      </c>
      <c r="N182" s="20" t="n">
        <v>399</v>
      </c>
      <c r="V182" s="20" t="n">
        <v>0</v>
      </c>
      <c r="W182" s="20" t="n">
        <v>1377</v>
      </c>
      <c r="X182" s="20" t="n">
        <v>1487</v>
      </c>
    </row>
    <row r="183">
      <c r="A183" s="18" t="inlineStr">
        <is>
          <t>손상차손</t>
        </is>
      </c>
      <c r="E183" s="20" t="n">
        <v>105</v>
      </c>
      <c r="I183" s="20" t="n">
        <v>0</v>
      </c>
      <c r="O183" s="20" t="n">
        <v>175</v>
      </c>
      <c r="P183" s="20" t="n">
        <v>67</v>
      </c>
      <c r="Q183" s="20" t="n">
        <v>49</v>
      </c>
      <c r="R183" s="20" t="n">
        <v>0</v>
      </c>
      <c r="S183" s="20" t="n">
        <v>5</v>
      </c>
      <c r="T183" s="20" t="n">
        <v>161</v>
      </c>
      <c r="U183" s="20" t="n">
        <v>75</v>
      </c>
      <c r="V183" s="20" t="n">
        <v>105</v>
      </c>
      <c r="W183" s="20" t="n">
        <v>0</v>
      </c>
    </row>
    <row r="184">
      <c r="A184" s="18" t="inlineStr">
        <is>
          <t>상여충당금 증감</t>
        </is>
      </c>
      <c r="C184" s="20" t="n">
        <v>-13</v>
      </c>
      <c r="D184" s="20" t="n">
        <v>-312</v>
      </c>
      <c r="E184" s="20" t="n">
        <v>76</v>
      </c>
      <c r="F184" s="20" t="n">
        <v>-420</v>
      </c>
      <c r="G184" s="20" t="n">
        <v>-90</v>
      </c>
      <c r="H184" s="20" t="n">
        <v>-413</v>
      </c>
      <c r="I184" s="20" t="n">
        <v>15</v>
      </c>
      <c r="J184" s="20" t="n">
        <v>-449</v>
      </c>
      <c r="K184" s="20" t="n">
        <v>16</v>
      </c>
      <c r="L184" s="20" t="n">
        <v>-359</v>
      </c>
      <c r="M184" s="20" t="n">
        <v>47</v>
      </c>
      <c r="N184" s="20" t="n">
        <v>-480</v>
      </c>
      <c r="O184" s="20" t="n">
        <v>88</v>
      </c>
      <c r="P184" s="20" t="n">
        <v>-33</v>
      </c>
      <c r="Q184" s="20" t="n">
        <v>-11</v>
      </c>
      <c r="R184" s="20" t="n">
        <v>30</v>
      </c>
      <c r="S184" s="20" t="n">
        <v>-0</v>
      </c>
      <c r="T184" s="20" t="n">
        <v>-61</v>
      </c>
      <c r="U184" s="20" t="n">
        <v>13</v>
      </c>
      <c r="V184" s="20" t="n">
        <v>76</v>
      </c>
      <c r="W184" s="20" t="n">
        <v>15</v>
      </c>
      <c r="X184" s="20" t="n">
        <v>47</v>
      </c>
    </row>
    <row r="185">
      <c r="A185" s="18" t="inlineStr">
        <is>
          <t>임원 상여충당금 증감</t>
        </is>
      </c>
      <c r="E185" s="20" t="n">
        <v>17</v>
      </c>
      <c r="I185" s="20" t="n">
        <v>2</v>
      </c>
      <c r="M185" s="20" t="n">
        <v>-12</v>
      </c>
      <c r="O185" s="20" t="n">
        <v>24</v>
      </c>
      <c r="P185" s="20" t="n">
        <v>19</v>
      </c>
      <c r="Q185" s="20" t="n">
        <v>-0</v>
      </c>
      <c r="R185" s="20" t="n">
        <v>8</v>
      </c>
      <c r="S185" s="20" t="n">
        <v>-7</v>
      </c>
      <c r="T185" s="20" t="n">
        <v>-10</v>
      </c>
      <c r="U185" s="20" t="n">
        <v>-13</v>
      </c>
      <c r="V185" s="20" t="n">
        <v>17</v>
      </c>
      <c r="W185" s="20" t="n">
        <v>2</v>
      </c>
      <c r="X185" s="20" t="n">
        <v>-12</v>
      </c>
    </row>
    <row r="186">
      <c r="A186" s="18" t="inlineStr">
        <is>
          <t>임원 퇴직위로 충당금 증감</t>
        </is>
      </c>
      <c r="E186" s="20" t="n">
        <v>5</v>
      </c>
      <c r="I186" s="20" t="n">
        <v>4</v>
      </c>
      <c r="M186" s="20" t="n">
        <v>-21</v>
      </c>
      <c r="O186" s="20" t="n">
        <v>8</v>
      </c>
      <c r="P186" s="20" t="n">
        <v>12</v>
      </c>
      <c r="Q186" s="20" t="n">
        <v>4</v>
      </c>
      <c r="R186" s="20" t="n">
        <v>-42</v>
      </c>
      <c r="S186" s="20" t="n">
        <v>-9</v>
      </c>
      <c r="T186" s="20" t="n">
        <v>26</v>
      </c>
      <c r="U186" s="20" t="n">
        <v>1</v>
      </c>
      <c r="V186" s="20" t="n">
        <v>5</v>
      </c>
      <c r="W186" s="20" t="n">
        <v>4</v>
      </c>
      <c r="X186" s="20" t="n">
        <v>-21</v>
      </c>
    </row>
    <row r="187">
      <c r="A187" s="18" t="inlineStr">
        <is>
          <t>대손충당금 증감</t>
        </is>
      </c>
      <c r="E187" s="20" t="n">
        <v>64</v>
      </c>
      <c r="I187" s="20" t="n">
        <v>30</v>
      </c>
      <c r="M187" s="20" t="n">
        <v>-1</v>
      </c>
      <c r="O187" s="20" t="n">
        <v>-24</v>
      </c>
      <c r="P187" s="20" t="n">
        <v>-12</v>
      </c>
      <c r="Q187" s="20" t="n">
        <v>-7</v>
      </c>
      <c r="R187" s="20" t="n">
        <v>125</v>
      </c>
      <c r="S187" s="20" t="n">
        <v>127</v>
      </c>
      <c r="T187" s="20" t="n">
        <v>171</v>
      </c>
      <c r="U187" s="20" t="n">
        <v>39</v>
      </c>
      <c r="V187" s="20" t="n">
        <v>64</v>
      </c>
      <c r="W187" s="20" t="n">
        <v>30</v>
      </c>
      <c r="X187" s="20" t="n">
        <v>-1</v>
      </c>
    </row>
    <row r="188">
      <c r="A188" s="18" t="inlineStr">
        <is>
          <t>퇴직급여부채 증감</t>
        </is>
      </c>
      <c r="E188" s="20" t="n">
        <v>55</v>
      </c>
      <c r="I188" s="20" t="n">
        <v>104</v>
      </c>
      <c r="M188" s="20" t="n">
        <v>126</v>
      </c>
      <c r="O188" s="20" t="n">
        <v>-83</v>
      </c>
      <c r="P188" s="20" t="n">
        <v>-22</v>
      </c>
      <c r="Q188" s="20" t="n">
        <v>-3</v>
      </c>
      <c r="R188" s="20" t="n">
        <v>-15</v>
      </c>
      <c r="S188" s="20" t="n">
        <v>29</v>
      </c>
      <c r="T188" s="20" t="n">
        <v>-575</v>
      </c>
      <c r="U188" s="20" t="n">
        <v>-18</v>
      </c>
      <c r="V188" s="20" t="n">
        <v>55</v>
      </c>
      <c r="W188" s="20" t="n">
        <v>104</v>
      </c>
      <c r="X188" s="20" t="n">
        <v>126</v>
      </c>
    </row>
    <row r="189">
      <c r="A189" s="18" t="inlineStr">
        <is>
          <t>퇴직급여자산 증감</t>
        </is>
      </c>
      <c r="E189" s="20" t="n">
        <v>-104</v>
      </c>
      <c r="I189" s="20" t="n">
        <v>-83</v>
      </c>
      <c r="M189" s="20" t="n">
        <v>-21</v>
      </c>
      <c r="P189" s="20" t="n">
        <v>0</v>
      </c>
      <c r="Q189" s="20" t="n">
        <v>-191</v>
      </c>
      <c r="R189" s="20" t="n">
        <v>-167</v>
      </c>
      <c r="S189" s="20" t="n">
        <v>-159</v>
      </c>
      <c r="T189" s="20" t="n">
        <v>-223</v>
      </c>
      <c r="U189" s="20" t="n">
        <v>-126</v>
      </c>
      <c r="V189" s="20" t="n">
        <v>-104</v>
      </c>
      <c r="W189" s="20" t="n">
        <v>-83</v>
      </c>
      <c r="X189" s="20" t="n">
        <v>-21</v>
      </c>
    </row>
    <row r="190">
      <c r="A190" s="18" t="inlineStr">
        <is>
          <t>이자·배당금 수익</t>
        </is>
      </c>
      <c r="E190" s="20" t="n">
        <v>-392</v>
      </c>
      <c r="I190" s="20" t="n">
        <v>-454</v>
      </c>
      <c r="M190" s="20" t="n">
        <v>-491</v>
      </c>
      <c r="O190" s="20" t="n">
        <v>-303</v>
      </c>
      <c r="P190" s="20" t="n">
        <v>-309</v>
      </c>
      <c r="Q190" s="20" t="n">
        <v>-335</v>
      </c>
      <c r="R190" s="20" t="n">
        <v>-370</v>
      </c>
      <c r="S190" s="20" t="n">
        <v>-364</v>
      </c>
      <c r="T190" s="20" t="n">
        <v>-352</v>
      </c>
      <c r="U190" s="20" t="n">
        <v>-390</v>
      </c>
      <c r="V190" s="20" t="n">
        <v>-392</v>
      </c>
      <c r="W190" s="20" t="n">
        <v>-454</v>
      </c>
      <c r="X190" s="20" t="n">
        <v>-491</v>
      </c>
    </row>
    <row r="191">
      <c r="A191" s="18" t="inlineStr">
        <is>
          <t>지분법손익</t>
        </is>
      </c>
      <c r="E191" s="20" t="n">
        <v>-100</v>
      </c>
      <c r="I191" s="20" t="n">
        <v>-145</v>
      </c>
      <c r="M191" s="20" t="n">
        <v>-219</v>
      </c>
      <c r="O191" s="20" t="n">
        <v>-91</v>
      </c>
      <c r="P191" s="20" t="n">
        <v>-140</v>
      </c>
      <c r="Q191" s="20" t="n">
        <v>-179</v>
      </c>
      <c r="R191" s="20" t="n">
        <v>-133</v>
      </c>
      <c r="S191" s="20" t="n">
        <v>-195</v>
      </c>
      <c r="T191" s="20" t="n">
        <v>-140</v>
      </c>
      <c r="U191" s="20" t="n">
        <v>-128</v>
      </c>
      <c r="V191" s="20" t="n">
        <v>-100</v>
      </c>
      <c r="W191" s="20" t="n">
        <v>-145</v>
      </c>
      <c r="X191" s="20" t="n">
        <v>-219</v>
      </c>
    </row>
    <row r="192">
      <c r="A192" s="18" t="inlineStr">
        <is>
          <t>이자비용</t>
        </is>
      </c>
      <c r="E192" s="20" t="n">
        <v>10</v>
      </c>
      <c r="I192" s="20" t="n">
        <v>247</v>
      </c>
      <c r="M192" s="20" t="n">
        <v>233</v>
      </c>
      <c r="O192" s="20" t="n">
        <v>91</v>
      </c>
      <c r="P192" s="20" t="n">
        <v>54</v>
      </c>
      <c r="Q192" s="20" t="n">
        <v>53</v>
      </c>
      <c r="R192" s="20" t="n">
        <v>50</v>
      </c>
      <c r="S192" s="20" t="n">
        <v>33</v>
      </c>
      <c r="T192" s="20" t="n">
        <v>39</v>
      </c>
      <c r="V192" s="20" t="n">
        <v>10</v>
      </c>
      <c r="W192" s="20" t="n">
        <v>247</v>
      </c>
      <c r="X192" s="20" t="n">
        <v>233</v>
      </c>
    </row>
    <row r="193">
      <c r="A193" s="18" t="inlineStr">
        <is>
          <t>외환차손익</t>
        </is>
      </c>
      <c r="E193" s="20" t="n">
        <v>-49</v>
      </c>
      <c r="I193" s="20" t="n">
        <v>-0</v>
      </c>
      <c r="O193" s="20" t="n">
        <v>0</v>
      </c>
      <c r="P193" s="20" t="n">
        <v>9</v>
      </c>
      <c r="Q193" s="20" t="n">
        <v>-12</v>
      </c>
      <c r="R193" s="20" t="n">
        <v>21</v>
      </c>
      <c r="S193" s="20" t="n">
        <v>-24</v>
      </c>
      <c r="T193" s="20" t="n">
        <v>-29</v>
      </c>
      <c r="U193" s="20" t="n">
        <v>-39</v>
      </c>
      <c r="V193" s="20" t="n">
        <v>-49</v>
      </c>
      <c r="W193" s="20" t="n">
        <v>-0</v>
      </c>
    </row>
    <row r="194">
      <c r="A194" s="18" t="inlineStr">
        <is>
          <t>관계회사 청산손익</t>
        </is>
      </c>
      <c r="O194" s="20" t="n">
        <v>-43</v>
      </c>
      <c r="P194" s="20" t="n">
        <v>-74</v>
      </c>
      <c r="Q194" s="20" t="n">
        <v>0</v>
      </c>
    </row>
    <row r="195">
      <c r="A195" s="18" t="inlineStr">
        <is>
          <t>투자유가증권 매각손익</t>
        </is>
      </c>
      <c r="E195" s="20" t="n">
        <v>-407</v>
      </c>
      <c r="I195" s="20" t="n">
        <v>-340</v>
      </c>
      <c r="M195" s="20" t="n">
        <v>-364</v>
      </c>
      <c r="O195" s="20" t="n">
        <v>-165</v>
      </c>
      <c r="P195" s="20" t="n">
        <v>0</v>
      </c>
      <c r="R195" s="20" t="n">
        <v>-22</v>
      </c>
      <c r="S195" s="20" t="n">
        <v>-120</v>
      </c>
      <c r="T195" s="20" t="n">
        <v>-303</v>
      </c>
      <c r="U195" s="20" t="n">
        <v>-824</v>
      </c>
      <c r="V195" s="20" t="n">
        <v>-407</v>
      </c>
      <c r="W195" s="20" t="n">
        <v>-340</v>
      </c>
      <c r="X195" s="20" t="n">
        <v>-364</v>
      </c>
    </row>
    <row r="196">
      <c r="A196" s="18" t="inlineStr">
        <is>
          <t>관계회사 주식 매각손익</t>
        </is>
      </c>
      <c r="E196" s="20" t="n">
        <v>0</v>
      </c>
      <c r="T196" s="20" t="n">
        <v>0</v>
      </c>
      <c r="U196" s="20" t="n">
        <v>-74</v>
      </c>
      <c r="V196" s="20" t="n">
        <v>0</v>
      </c>
    </row>
    <row r="197">
      <c r="A197" s="18" t="inlineStr">
        <is>
          <t>투자유가증권 평가손익</t>
        </is>
      </c>
      <c r="E197" s="20" t="n">
        <v>0</v>
      </c>
      <c r="Q197" s="20" t="n">
        <v>0</v>
      </c>
      <c r="R197" s="20" t="n">
        <v>119</v>
      </c>
      <c r="S197" s="20" t="n">
        <v>0</v>
      </c>
      <c r="T197" s="20" t="n">
        <v>0</v>
      </c>
      <c r="U197" s="20" t="n">
        <v>390</v>
      </c>
      <c r="V197" s="20" t="n">
        <v>0</v>
      </c>
    </row>
    <row r="198">
      <c r="A198" s="18" t="inlineStr">
        <is>
          <t>관계회사 주식 평가손실</t>
        </is>
      </c>
      <c r="O198" s="20" t="n">
        <v>239</v>
      </c>
      <c r="P198" s="20" t="n">
        <v>93</v>
      </c>
      <c r="Q198" s="20" t="n">
        <v>156</v>
      </c>
      <c r="R198" s="20" t="n">
        <v>122</v>
      </c>
      <c r="S198" s="20" t="n">
        <v>0</v>
      </c>
    </row>
    <row r="199">
      <c r="A199" s="18" t="inlineStr">
        <is>
          <t>고정자산 매각이익</t>
        </is>
      </c>
      <c r="E199" s="20" t="n">
        <v>-25</v>
      </c>
      <c r="I199" s="20" t="n">
        <v>-5</v>
      </c>
      <c r="M199" s="20" t="n">
        <v>-5</v>
      </c>
      <c r="Q199" s="20" t="n">
        <v>-2</v>
      </c>
      <c r="R199" s="20" t="n">
        <v>-92</v>
      </c>
      <c r="S199" s="20" t="n">
        <v>-1</v>
      </c>
      <c r="T199" s="20" t="n">
        <v>-4</v>
      </c>
      <c r="U199" s="20" t="n">
        <v>-1</v>
      </c>
      <c r="V199" s="20" t="n">
        <v>-25</v>
      </c>
      <c r="W199" s="20" t="n">
        <v>-5</v>
      </c>
      <c r="X199" s="20" t="n">
        <v>-5</v>
      </c>
    </row>
    <row r="200">
      <c r="A200" s="18" t="inlineStr">
        <is>
          <t>On Sales And Retirement Of Non Current Assets Ope CF</t>
        </is>
      </c>
      <c r="E200" s="20" t="n">
        <v>101</v>
      </c>
      <c r="I200" s="20" t="n">
        <v>128</v>
      </c>
      <c r="M200" s="20" t="n">
        <v>230</v>
      </c>
      <c r="O200" s="20" t="n">
        <v>51</v>
      </c>
      <c r="P200" s="20" t="n">
        <v>49</v>
      </c>
      <c r="Q200" s="20" t="n">
        <v>50</v>
      </c>
      <c r="R200" s="20" t="n">
        <v>49</v>
      </c>
      <c r="S200" s="20" t="n">
        <v>46</v>
      </c>
      <c r="T200" s="20" t="n">
        <v>26</v>
      </c>
      <c r="U200" s="20" t="n">
        <v>72</v>
      </c>
      <c r="V200" s="20" t="n">
        <v>101</v>
      </c>
      <c r="W200" s="20" t="n">
        <v>128</v>
      </c>
      <c r="X200" s="20" t="n">
        <v>230</v>
      </c>
    </row>
    <row r="201">
      <c r="A201" s="18" t="inlineStr">
        <is>
          <t>매출채권 증감</t>
        </is>
      </c>
      <c r="C201" s="20" t="n">
        <v>5248</v>
      </c>
      <c r="D201" s="20" t="n">
        <v>3907</v>
      </c>
      <c r="E201" s="20" t="n">
        <v>-245</v>
      </c>
      <c r="F201" s="20" t="n">
        <v>3274</v>
      </c>
      <c r="G201" s="20" t="n">
        <v>6013</v>
      </c>
      <c r="H201" s="20" t="n">
        <v>3609</v>
      </c>
      <c r="I201" s="20" t="n">
        <v>1268</v>
      </c>
      <c r="J201" s="20" t="n">
        <v>4907</v>
      </c>
      <c r="K201" s="20" t="n">
        <v>5490</v>
      </c>
      <c r="L201" s="20" t="n">
        <v>2898</v>
      </c>
      <c r="M201" s="20" t="n">
        <v>1016</v>
      </c>
      <c r="N201" s="20" t="n">
        <v>3939</v>
      </c>
      <c r="O201" s="20" t="n">
        <v>-739</v>
      </c>
      <c r="P201" s="20" t="n">
        <v>-1111</v>
      </c>
      <c r="Q201" s="20" t="n">
        <v>319</v>
      </c>
      <c r="R201" s="20" t="n">
        <v>1895</v>
      </c>
      <c r="S201" s="20" t="n">
        <v>-124</v>
      </c>
      <c r="T201" s="20" t="n">
        <v>2502</v>
      </c>
      <c r="U201" s="20" t="n">
        <v>-1192</v>
      </c>
      <c r="V201" s="20" t="n">
        <v>-245</v>
      </c>
      <c r="W201" s="20" t="n">
        <v>1268</v>
      </c>
      <c r="X201" s="20" t="n">
        <v>1016</v>
      </c>
    </row>
    <row r="202">
      <c r="A202" s="18" t="inlineStr">
        <is>
          <t>재고자산 증감</t>
        </is>
      </c>
      <c r="C202" s="20" t="n">
        <v>-461</v>
      </c>
      <c r="D202" s="20" t="n">
        <v>-1365</v>
      </c>
      <c r="E202" s="20" t="n">
        <v>-83</v>
      </c>
      <c r="F202" s="20" t="n">
        <v>-392</v>
      </c>
      <c r="G202" s="20" t="n">
        <v>-547</v>
      </c>
      <c r="H202" s="20" t="n">
        <v>-1980</v>
      </c>
      <c r="I202" s="20" t="n">
        <v>-1107</v>
      </c>
      <c r="J202" s="20" t="n">
        <v>-343</v>
      </c>
      <c r="K202" s="20" t="n">
        <v>-497</v>
      </c>
      <c r="L202" s="20" t="n">
        <v>-1633</v>
      </c>
      <c r="M202" s="20" t="n">
        <v>-623</v>
      </c>
      <c r="N202" s="20" t="n">
        <v>-1328</v>
      </c>
      <c r="O202" s="20" t="n">
        <v>-555</v>
      </c>
      <c r="P202" s="20" t="n">
        <v>492</v>
      </c>
      <c r="Q202" s="20" t="n">
        <v>-444</v>
      </c>
      <c r="R202" s="20" t="n">
        <v>461</v>
      </c>
      <c r="S202" s="20" t="n">
        <v>55</v>
      </c>
      <c r="T202" s="20" t="n">
        <v>-619</v>
      </c>
      <c r="U202" s="20" t="n">
        <v>-1657</v>
      </c>
      <c r="V202" s="20" t="n">
        <v>-83</v>
      </c>
      <c r="W202" s="20" t="n">
        <v>-1107</v>
      </c>
      <c r="X202" s="20" t="n">
        <v>-623</v>
      </c>
    </row>
    <row r="203">
      <c r="A203" s="18" t="inlineStr">
        <is>
          <t>매입채무 증감</t>
        </is>
      </c>
      <c r="C203" s="20" t="n">
        <v>-2442</v>
      </c>
      <c r="D203" s="20" t="n">
        <v>-3755</v>
      </c>
      <c r="E203" s="20" t="n">
        <v>-4368</v>
      </c>
      <c r="F203" s="20" t="n">
        <v>-1194</v>
      </c>
      <c r="G203" s="20" t="n">
        <v>-1891</v>
      </c>
      <c r="H203" s="20" t="n">
        <v>-355</v>
      </c>
      <c r="I203" s="20" t="n">
        <v>-209</v>
      </c>
      <c r="J203" s="20" t="n">
        <v>-1956</v>
      </c>
      <c r="K203" s="20" t="n">
        <v>-2056</v>
      </c>
      <c r="L203" s="20" t="n">
        <v>-707</v>
      </c>
      <c r="M203" s="20" t="n">
        <v>-1199</v>
      </c>
      <c r="N203" s="20" t="n">
        <v>-769</v>
      </c>
      <c r="O203" s="20" t="n">
        <v>541</v>
      </c>
      <c r="P203" s="20" t="n">
        <v>276</v>
      </c>
      <c r="Q203" s="20" t="n">
        <v>259</v>
      </c>
      <c r="R203" s="20" t="n">
        <v>-1525</v>
      </c>
      <c r="S203" s="20" t="n">
        <v>8</v>
      </c>
      <c r="T203" s="20" t="n">
        <v>-695</v>
      </c>
      <c r="U203" s="20" t="n">
        <v>1213</v>
      </c>
      <c r="V203" s="20" t="n">
        <v>-4368</v>
      </c>
      <c r="W203" s="20" t="n">
        <v>-209</v>
      </c>
      <c r="X203" s="20" t="n">
        <v>-1199</v>
      </c>
    </row>
    <row r="204">
      <c r="A204" s="18" t="inlineStr">
        <is>
          <t>Increase Decrease In Assets Liabilities Ope CF</t>
        </is>
      </c>
      <c r="O204" s="20" t="n">
        <v>407</v>
      </c>
      <c r="P204" s="20" t="n">
        <v>-141</v>
      </c>
      <c r="Q204" s="20" t="n">
        <v>145</v>
      </c>
      <c r="R204" s="20" t="n">
        <v>-12</v>
      </c>
      <c r="S204" s="20" t="n">
        <v>832</v>
      </c>
      <c r="T204" s="20" t="n">
        <v>-56</v>
      </c>
    </row>
    <row r="205">
      <c r="A205" s="18" t="inlineStr">
        <is>
          <t>기타</t>
        </is>
      </c>
      <c r="C205" s="20" t="n">
        <v>-1011</v>
      </c>
      <c r="D205" s="20" t="n">
        <v>-1084</v>
      </c>
      <c r="E205" s="20" t="n">
        <v>107</v>
      </c>
      <c r="F205" s="20" t="n">
        <v>-1351</v>
      </c>
      <c r="G205" s="20" t="n">
        <v>-837</v>
      </c>
      <c r="H205" s="20" t="n">
        <v>-1234</v>
      </c>
      <c r="I205" s="20" t="n">
        <v>-373</v>
      </c>
      <c r="J205" s="20" t="n">
        <v>-748</v>
      </c>
      <c r="K205" s="20" t="n">
        <v>-614</v>
      </c>
      <c r="L205" s="20" t="n">
        <v>-660</v>
      </c>
      <c r="M205" s="20" t="n">
        <v>48</v>
      </c>
      <c r="N205" s="20" t="n">
        <v>-1296</v>
      </c>
      <c r="O205" s="20" t="n">
        <v>96</v>
      </c>
      <c r="P205" s="20" t="n">
        <v>-59</v>
      </c>
      <c r="Q205" s="20" t="n">
        <v>-234</v>
      </c>
      <c r="R205" s="20" t="n">
        <v>104</v>
      </c>
      <c r="S205" s="20" t="n">
        <v>-265</v>
      </c>
      <c r="T205" s="20" t="n">
        <v>-219</v>
      </c>
      <c r="U205" s="20" t="n">
        <v>-787</v>
      </c>
      <c r="V205" s="20" t="n">
        <v>107</v>
      </c>
      <c r="W205" s="20" t="n">
        <v>-373</v>
      </c>
      <c r="X205" s="20" t="n">
        <v>48</v>
      </c>
    </row>
    <row r="206">
      <c r="A206" s="18" t="inlineStr">
        <is>
          <t>소계</t>
        </is>
      </c>
      <c r="C206" s="20" t="n">
        <v>4924</v>
      </c>
      <c r="D206" s="20" t="n">
        <v>2816</v>
      </c>
      <c r="E206" s="20" t="n">
        <v>3190</v>
      </c>
      <c r="F206" s="20" t="n">
        <v>1288</v>
      </c>
      <c r="G206" s="20" t="n">
        <v>5838</v>
      </c>
      <c r="H206" s="20" t="n">
        <v>4942</v>
      </c>
      <c r="I206" s="20" t="n">
        <v>7995</v>
      </c>
      <c r="J206" s="20" t="n">
        <v>3038</v>
      </c>
      <c r="K206" s="20" t="n">
        <v>6251</v>
      </c>
      <c r="L206" s="20" t="n">
        <v>6467</v>
      </c>
      <c r="M206" s="20" t="n">
        <v>9171</v>
      </c>
      <c r="N206" s="20" t="n">
        <v>2957</v>
      </c>
      <c r="O206" s="20" t="n">
        <v>10849</v>
      </c>
      <c r="P206" s="20" t="n">
        <v>10857</v>
      </c>
      <c r="Q206" s="20" t="n">
        <v>11049</v>
      </c>
      <c r="R206" s="20" t="n">
        <v>12264</v>
      </c>
      <c r="S206" s="20" t="n">
        <v>12215</v>
      </c>
      <c r="T206" s="20" t="n">
        <v>12122</v>
      </c>
      <c r="U206" s="20" t="n">
        <v>7612</v>
      </c>
      <c r="V206" s="20" t="n">
        <v>3190</v>
      </c>
      <c r="W206" s="20" t="n">
        <v>7995</v>
      </c>
      <c r="X206" s="20" t="n">
        <v>9171</v>
      </c>
    </row>
    <row r="207">
      <c r="A207" s="18" t="inlineStr">
        <is>
          <t>이자·배당금 수취</t>
        </is>
      </c>
      <c r="C207" s="20" t="n">
        <v>260</v>
      </c>
      <c r="D207" s="20" t="n">
        <v>338</v>
      </c>
      <c r="E207" s="20" t="n">
        <v>412</v>
      </c>
      <c r="F207" s="20" t="n">
        <v>199</v>
      </c>
      <c r="G207" s="20" t="n">
        <v>300</v>
      </c>
      <c r="H207" s="20" t="n">
        <v>382</v>
      </c>
      <c r="I207" s="20" t="n">
        <v>468</v>
      </c>
      <c r="J207" s="20" t="n">
        <v>249</v>
      </c>
      <c r="K207" s="20" t="n">
        <v>330</v>
      </c>
      <c r="L207" s="20" t="n">
        <v>408</v>
      </c>
      <c r="M207" s="20" t="n">
        <v>530</v>
      </c>
      <c r="N207" s="20" t="n">
        <v>267</v>
      </c>
      <c r="O207" s="20" t="n">
        <v>303</v>
      </c>
      <c r="P207" s="20" t="n">
        <v>306</v>
      </c>
      <c r="Q207" s="20" t="n">
        <v>337</v>
      </c>
      <c r="R207" s="20" t="n">
        <v>386</v>
      </c>
      <c r="S207" s="20" t="n">
        <v>384</v>
      </c>
      <c r="T207" s="20" t="n">
        <v>374</v>
      </c>
      <c r="U207" s="20" t="n">
        <v>408</v>
      </c>
      <c r="V207" s="20" t="n">
        <v>412</v>
      </c>
      <c r="W207" s="20" t="n">
        <v>468</v>
      </c>
      <c r="X207" s="20" t="n">
        <v>530</v>
      </c>
    </row>
    <row r="208">
      <c r="A208" s="18" t="inlineStr">
        <is>
          <t>이자 지급</t>
        </is>
      </c>
      <c r="C208" s="20" t="n">
        <v>-4</v>
      </c>
      <c r="D208" s="20" t="n">
        <v>-5</v>
      </c>
      <c r="E208" s="20" t="n">
        <v>-10</v>
      </c>
      <c r="F208" s="20" t="n">
        <v>-27</v>
      </c>
      <c r="G208" s="20" t="n">
        <v>-107</v>
      </c>
      <c r="H208" s="20" t="n">
        <v>-177</v>
      </c>
      <c r="I208" s="20" t="n">
        <v>-243</v>
      </c>
      <c r="J208" s="20" t="n">
        <v>-57</v>
      </c>
      <c r="K208" s="20" t="n">
        <v>-77</v>
      </c>
      <c r="L208" s="20" t="n">
        <v>-159</v>
      </c>
      <c r="M208" s="20" t="n">
        <v>-216</v>
      </c>
      <c r="N208" s="20" t="n">
        <v>-76</v>
      </c>
      <c r="O208" s="20" t="n">
        <v>-87</v>
      </c>
      <c r="P208" s="20" t="n">
        <v>-50</v>
      </c>
      <c r="Q208" s="20" t="n">
        <v>-53</v>
      </c>
      <c r="R208" s="20" t="n">
        <v>-51</v>
      </c>
      <c r="S208" s="20" t="n">
        <v>-34</v>
      </c>
      <c r="T208" s="20" t="n">
        <v>-39</v>
      </c>
      <c r="U208" s="20" t="n">
        <v>-6</v>
      </c>
      <c r="V208" s="20" t="n">
        <v>-10</v>
      </c>
      <c r="W208" s="20" t="n">
        <v>-243</v>
      </c>
      <c r="X208" s="20" t="n">
        <v>-216</v>
      </c>
    </row>
    <row r="209">
      <c r="A209" s="18" t="inlineStr">
        <is>
          <t>법인세 납부</t>
        </is>
      </c>
      <c r="C209" s="20" t="n">
        <v>-1177</v>
      </c>
      <c r="D209" s="20" t="n">
        <v>-2419</v>
      </c>
      <c r="E209" s="20" t="n">
        <v>-2487</v>
      </c>
      <c r="F209" s="20" t="n">
        <v>-757</v>
      </c>
      <c r="G209" s="20" t="n">
        <v>-761</v>
      </c>
      <c r="H209" s="20" t="n">
        <v>-1844</v>
      </c>
      <c r="I209" s="20" t="n">
        <v>-2009</v>
      </c>
      <c r="J209" s="20" t="n">
        <v>-663</v>
      </c>
      <c r="K209" s="20" t="n">
        <v>-823</v>
      </c>
      <c r="L209" s="20" t="n">
        <v>-1336</v>
      </c>
      <c r="M209" s="20" t="n">
        <v>-1492</v>
      </c>
      <c r="N209" s="20" t="n">
        <v>-1400</v>
      </c>
      <c r="O209" s="20" t="n">
        <v>-2866</v>
      </c>
      <c r="P209" s="20" t="n">
        <v>-3300</v>
      </c>
      <c r="Q209" s="20" t="n">
        <v>-2884</v>
      </c>
      <c r="R209" s="20" t="n">
        <v>-2976</v>
      </c>
      <c r="S209" s="20" t="n">
        <v>-3278</v>
      </c>
      <c r="T209" s="20" t="n">
        <v>-3664</v>
      </c>
      <c r="U209" s="20" t="n">
        <v>-3067</v>
      </c>
      <c r="V209" s="20" t="n">
        <v>-2487</v>
      </c>
      <c r="W209" s="20" t="n">
        <v>-2009</v>
      </c>
      <c r="X209" s="20" t="n">
        <v>-1492</v>
      </c>
    </row>
    <row r="210">
      <c r="A210" s="9" t="inlineStr">
        <is>
          <t>영업활동 현금흐름</t>
        </is>
      </c>
      <c r="C210" s="12" t="n">
        <v>4002</v>
      </c>
      <c r="D210" s="12" t="n">
        <v>730</v>
      </c>
      <c r="E210" s="12" t="n">
        <v>1104</v>
      </c>
      <c r="F210" s="12" t="n">
        <v>702</v>
      </c>
      <c r="G210" s="12" t="n">
        <v>5269</v>
      </c>
      <c r="H210" s="12" t="n">
        <v>3303</v>
      </c>
      <c r="I210" s="12" t="n">
        <v>6211</v>
      </c>
      <c r="J210" s="12" t="n">
        <v>2567</v>
      </c>
      <c r="K210" s="12" t="n">
        <v>5680</v>
      </c>
      <c r="L210" s="12" t="n">
        <v>5380</v>
      </c>
      <c r="M210" s="12" t="n">
        <v>7994</v>
      </c>
      <c r="N210" s="12" t="n">
        <v>1747</v>
      </c>
      <c r="O210" s="12" t="n">
        <v>8198</v>
      </c>
      <c r="P210" s="12" t="n">
        <v>7813</v>
      </c>
      <c r="Q210" s="12" t="n">
        <v>8448</v>
      </c>
      <c r="R210" s="12" t="n">
        <v>9622</v>
      </c>
      <c r="S210" s="12" t="n">
        <v>9286</v>
      </c>
      <c r="T210" s="12" t="n">
        <v>8792</v>
      </c>
      <c r="U210" s="12" t="n">
        <v>4946</v>
      </c>
      <c r="V210" s="12" t="n">
        <v>1104</v>
      </c>
      <c r="W210" s="12" t="n">
        <v>6211</v>
      </c>
      <c r="X210" s="12" t="n">
        <v>7994</v>
      </c>
    </row>
    <row r="211">
      <c r="A211" s="18" t="inlineStr">
        <is>
          <t>유가증권 상환 수입</t>
        </is>
      </c>
      <c r="C211" s="20" t="n">
        <v>700</v>
      </c>
      <c r="D211" s="20" t="n">
        <v>700</v>
      </c>
      <c r="E211" s="20" t="n">
        <v>700</v>
      </c>
      <c r="G211" s="20" t="n">
        <v>0</v>
      </c>
      <c r="H211" s="20" t="n">
        <v>0</v>
      </c>
      <c r="I211" s="20" t="n">
        <v>0</v>
      </c>
      <c r="O211" s="20" t="n">
        <v>300</v>
      </c>
      <c r="P211" s="20" t="n">
        <v>0</v>
      </c>
      <c r="S211" s="20" t="n">
        <v>0</v>
      </c>
      <c r="T211" s="20" t="n">
        <v>400</v>
      </c>
      <c r="U211" s="20" t="n">
        <v>0</v>
      </c>
      <c r="V211" s="20" t="n">
        <v>700</v>
      </c>
      <c r="W211" s="20" t="n">
        <v>0</v>
      </c>
    </row>
    <row r="212">
      <c r="A212" s="18" t="inlineStr">
        <is>
          <t>유형자산 취득(설비투자)</t>
        </is>
      </c>
      <c r="C212" s="20" t="n">
        <v>-800</v>
      </c>
      <c r="D212" s="20" t="n">
        <v>-1135</v>
      </c>
      <c r="E212" s="20" t="n">
        <v>-1788</v>
      </c>
      <c r="F212" s="20" t="n">
        <v>-546</v>
      </c>
      <c r="G212" s="20" t="n">
        <v>-810</v>
      </c>
      <c r="H212" s="20" t="n">
        <v>-1261</v>
      </c>
      <c r="I212" s="20" t="n">
        <v>-2589</v>
      </c>
      <c r="J212" s="20" t="n">
        <v>-1695</v>
      </c>
      <c r="K212" s="20" t="n">
        <v>-3161</v>
      </c>
      <c r="L212" s="20" t="n">
        <v>-3412</v>
      </c>
      <c r="M212" s="20" t="n">
        <v>-4269</v>
      </c>
      <c r="N212" s="20" t="n">
        <v>-189</v>
      </c>
      <c r="O212" s="20" t="n">
        <v>-531</v>
      </c>
      <c r="P212" s="20" t="n">
        <v>-682</v>
      </c>
      <c r="Q212" s="20" t="n">
        <v>-1097</v>
      </c>
      <c r="R212" s="20" t="n">
        <v>-1007</v>
      </c>
      <c r="S212" s="20" t="n">
        <v>-640</v>
      </c>
      <c r="T212" s="20" t="n">
        <v>-1008</v>
      </c>
      <c r="U212" s="20" t="n">
        <v>-1140</v>
      </c>
      <c r="V212" s="20" t="n">
        <v>-1788</v>
      </c>
      <c r="W212" s="20" t="n">
        <v>-2589</v>
      </c>
      <c r="X212" s="20" t="n">
        <v>-4269</v>
      </c>
    </row>
    <row r="213">
      <c r="A213" s="18" t="inlineStr">
        <is>
          <t>유형자산 매각</t>
        </is>
      </c>
      <c r="E213" s="20" t="n">
        <v>38</v>
      </c>
      <c r="I213" s="20" t="n">
        <v>34</v>
      </c>
      <c r="M213" s="20" t="n">
        <v>13</v>
      </c>
      <c r="O213" s="20" t="n">
        <v>13</v>
      </c>
      <c r="P213" s="20" t="n">
        <v>3</v>
      </c>
      <c r="Q213" s="20" t="n">
        <v>9</v>
      </c>
      <c r="R213" s="20" t="n">
        <v>192</v>
      </c>
      <c r="S213" s="20" t="n">
        <v>2</v>
      </c>
      <c r="T213" s="20" t="n">
        <v>4</v>
      </c>
      <c r="U213" s="20" t="n">
        <v>7</v>
      </c>
      <c r="V213" s="20" t="n">
        <v>38</v>
      </c>
      <c r="W213" s="20" t="n">
        <v>34</v>
      </c>
      <c r="X213" s="20" t="n">
        <v>13</v>
      </c>
    </row>
    <row r="214">
      <c r="A214" s="18" t="inlineStr">
        <is>
          <t>무형자산 취득</t>
        </is>
      </c>
      <c r="E214" s="20" t="n">
        <v>-90</v>
      </c>
      <c r="I214" s="20" t="n">
        <v>-657</v>
      </c>
      <c r="O214" s="20" t="n">
        <v>-7</v>
      </c>
      <c r="P214" s="20" t="n">
        <v>-14</v>
      </c>
      <c r="Q214" s="20" t="n">
        <v>-24</v>
      </c>
      <c r="R214" s="20" t="n">
        <v>-99</v>
      </c>
      <c r="S214" s="20" t="n">
        <v>-101</v>
      </c>
      <c r="T214" s="20" t="n">
        <v>-70</v>
      </c>
      <c r="U214" s="20" t="n">
        <v>-82</v>
      </c>
      <c r="V214" s="20" t="n">
        <v>-90</v>
      </c>
      <c r="W214" s="20" t="n">
        <v>-657</v>
      </c>
    </row>
    <row r="215">
      <c r="A215" s="18" t="inlineStr">
        <is>
          <t>Purchase Of Intangible Assets And Long Term Prepaid Expenses Inv CF</t>
        </is>
      </c>
      <c r="I215" s="20" t="n">
        <v>-657</v>
      </c>
      <c r="M215" s="20" t="n">
        <v>-1032</v>
      </c>
      <c r="W215" s="20" t="n">
        <v>-657</v>
      </c>
      <c r="X215" s="20" t="n">
        <v>-1032</v>
      </c>
    </row>
    <row r="216">
      <c r="A216" s="18" t="inlineStr">
        <is>
          <t>투자유가증권 취득</t>
        </is>
      </c>
      <c r="C216" s="20" t="n">
        <v>-341</v>
      </c>
      <c r="D216" s="20" t="n">
        <v>-341</v>
      </c>
      <c r="E216" s="20" t="n">
        <v>-341</v>
      </c>
      <c r="F216" s="20" t="n">
        <v>0</v>
      </c>
      <c r="G216" s="20" t="n">
        <v>0</v>
      </c>
      <c r="H216" s="20" t="n">
        <v>0</v>
      </c>
      <c r="I216" s="20" t="n">
        <v>0</v>
      </c>
      <c r="K216" s="20" t="n">
        <v>-100</v>
      </c>
      <c r="L216" s="20" t="n">
        <v>-129</v>
      </c>
      <c r="M216" s="20" t="n">
        <v>-129</v>
      </c>
      <c r="O216" s="20" t="n">
        <v>-1301</v>
      </c>
      <c r="P216" s="20" t="n">
        <v>-4</v>
      </c>
      <c r="Q216" s="20" t="n">
        <v>0</v>
      </c>
      <c r="R216" s="20" t="n">
        <v>-2212</v>
      </c>
      <c r="S216" s="20" t="n">
        <v>-990</v>
      </c>
      <c r="T216" s="20" t="n">
        <v>-100</v>
      </c>
      <c r="U216" s="20" t="n">
        <v>-200</v>
      </c>
      <c r="V216" s="20" t="n">
        <v>-341</v>
      </c>
      <c r="W216" s="20" t="n">
        <v>0</v>
      </c>
      <c r="X216" s="20" t="n">
        <v>-129</v>
      </c>
    </row>
    <row r="217">
      <c r="A217" s="18" t="inlineStr">
        <is>
          <t>투자유가증권 매각</t>
        </is>
      </c>
      <c r="C217" s="20" t="n">
        <v>359</v>
      </c>
      <c r="D217" s="20" t="n">
        <v>565</v>
      </c>
      <c r="E217" s="20" t="n">
        <v>801</v>
      </c>
      <c r="G217" s="20" t="n">
        <v>80</v>
      </c>
      <c r="H217" s="20" t="n">
        <v>80</v>
      </c>
      <c r="I217" s="20" t="n">
        <v>390</v>
      </c>
      <c r="J217" s="20" t="n">
        <v>4</v>
      </c>
      <c r="K217" s="20" t="n">
        <v>155</v>
      </c>
      <c r="L217" s="20" t="n">
        <v>445</v>
      </c>
      <c r="M217" s="20" t="n">
        <v>445</v>
      </c>
      <c r="N217" s="20" t="n">
        <v>691</v>
      </c>
      <c r="O217" s="20" t="n">
        <v>256</v>
      </c>
      <c r="P217" s="20" t="n">
        <v>42</v>
      </c>
      <c r="Q217" s="20" t="n">
        <v>67</v>
      </c>
      <c r="R217" s="20" t="n">
        <v>27</v>
      </c>
      <c r="S217" s="20" t="n">
        <v>152</v>
      </c>
      <c r="T217" s="20" t="n">
        <v>432</v>
      </c>
      <c r="U217" s="20" t="n">
        <v>1102</v>
      </c>
      <c r="V217" s="20" t="n">
        <v>801</v>
      </c>
      <c r="W217" s="20" t="n">
        <v>390</v>
      </c>
      <c r="X217" s="20" t="n">
        <v>445</v>
      </c>
    </row>
    <row r="218">
      <c r="A218" s="18" t="inlineStr">
        <is>
          <t>Decrease Increase In Short Term Loans Receivable Inv CF</t>
        </is>
      </c>
      <c r="E218" s="20" t="n">
        <v>50</v>
      </c>
      <c r="I218" s="20" t="n">
        <v>6</v>
      </c>
      <c r="M218" s="20" t="n">
        <v>0</v>
      </c>
      <c r="O218" s="20" t="n">
        <v>273</v>
      </c>
      <c r="P218" s="20" t="n">
        <v>-249</v>
      </c>
      <c r="Q218" s="20" t="n">
        <v>-83</v>
      </c>
      <c r="R218" s="20" t="n">
        <v>241</v>
      </c>
      <c r="S218" s="20" t="n">
        <v>1</v>
      </c>
      <c r="T218" s="20" t="n">
        <v>0</v>
      </c>
      <c r="U218" s="20" t="n">
        <v>1</v>
      </c>
      <c r="V218" s="20" t="n">
        <v>50</v>
      </c>
      <c r="W218" s="20" t="n">
        <v>6</v>
      </c>
      <c r="X218" s="20" t="n">
        <v>0</v>
      </c>
    </row>
    <row r="219">
      <c r="A219" s="18" t="inlineStr">
        <is>
          <t>장기대여</t>
        </is>
      </c>
      <c r="E219" s="20" t="n">
        <v>-19</v>
      </c>
      <c r="I219" s="20" t="n">
        <v>-8</v>
      </c>
      <c r="M219" s="20" t="n">
        <v>-14</v>
      </c>
      <c r="O219" s="20" t="n">
        <v>-13</v>
      </c>
      <c r="P219" s="20" t="n">
        <v>-11</v>
      </c>
      <c r="Q219" s="20" t="n">
        <v>-12</v>
      </c>
      <c r="R219" s="20" t="n">
        <v>-14</v>
      </c>
      <c r="S219" s="20" t="n">
        <v>-2</v>
      </c>
      <c r="T219" s="20" t="n">
        <v>-12</v>
      </c>
      <c r="U219" s="20" t="n">
        <v>-10</v>
      </c>
      <c r="V219" s="20" t="n">
        <v>-19</v>
      </c>
      <c r="W219" s="20" t="n">
        <v>-8</v>
      </c>
      <c r="X219" s="20" t="n">
        <v>-14</v>
      </c>
    </row>
    <row r="220">
      <c r="A220" s="18" t="inlineStr">
        <is>
          <t>장기대여금 회수</t>
        </is>
      </c>
      <c r="E220" s="20" t="n">
        <v>7</v>
      </c>
      <c r="I220" s="20" t="n">
        <v>0</v>
      </c>
      <c r="M220" s="20" t="n">
        <v>7</v>
      </c>
      <c r="O220" s="20" t="n">
        <v>17</v>
      </c>
      <c r="P220" s="20" t="n">
        <v>9</v>
      </c>
      <c r="Q220" s="20" t="n">
        <v>10</v>
      </c>
      <c r="R220" s="20" t="n">
        <v>12</v>
      </c>
      <c r="S220" s="20" t="n">
        <v>41</v>
      </c>
      <c r="T220" s="20" t="n">
        <v>32</v>
      </c>
      <c r="U220" s="20" t="n">
        <v>12</v>
      </c>
      <c r="V220" s="20" t="n">
        <v>7</v>
      </c>
      <c r="W220" s="20" t="n">
        <v>0</v>
      </c>
      <c r="X220" s="20" t="n">
        <v>7</v>
      </c>
    </row>
    <row r="221">
      <c r="A221" s="18" t="inlineStr">
        <is>
          <t>Payments Into Increase In Long Term Deposits Inv CF</t>
        </is>
      </c>
      <c r="C221" s="20" t="n">
        <v>0</v>
      </c>
      <c r="D221" s="20" t="n">
        <v>0</v>
      </c>
      <c r="E221" s="20" t="n">
        <v>0</v>
      </c>
      <c r="T221" s="20" t="n">
        <v>-7000</v>
      </c>
      <c r="U221" s="20" t="n">
        <v>-3000</v>
      </c>
      <c r="V221" s="20" t="n">
        <v>0</v>
      </c>
    </row>
    <row r="222">
      <c r="A222" s="18" t="inlineStr">
        <is>
          <t>Proceeds For Long Term Deposits Inv CF</t>
        </is>
      </c>
      <c r="T222" s="20" t="n">
        <v>5000</v>
      </c>
      <c r="U222" s="20" t="n">
        <v>0</v>
      </c>
    </row>
    <row r="223">
      <c r="A223" s="18" t="inlineStr">
        <is>
          <t>Proceeds From Long Term Deposits Inv CF</t>
        </is>
      </c>
      <c r="I223" s="20" t="n">
        <v>0</v>
      </c>
      <c r="M223" s="20" t="n">
        <v>-338</v>
      </c>
      <c r="W223" s="20" t="n">
        <v>0</v>
      </c>
      <c r="X223" s="20" t="n">
        <v>-338</v>
      </c>
    </row>
    <row r="224">
      <c r="A224" s="18" t="inlineStr">
        <is>
          <t>투자유가증권 상환</t>
        </is>
      </c>
      <c r="E224" s="20" t="n">
        <v>0</v>
      </c>
      <c r="I224" s="20" t="n">
        <v>1000</v>
      </c>
      <c r="J224" s="20" t="n">
        <v>0</v>
      </c>
      <c r="M224" s="20" t="n">
        <v>990</v>
      </c>
      <c r="N224" s="20" t="n">
        <v>100</v>
      </c>
      <c r="V224" s="20" t="n">
        <v>0</v>
      </c>
      <c r="W224" s="20" t="n">
        <v>1000</v>
      </c>
      <c r="X224" s="20" t="n">
        <v>990</v>
      </c>
    </row>
    <row r="225">
      <c r="A225" s="18" t="inlineStr">
        <is>
          <t>연결범위 변경 자회사 주식 취득</t>
        </is>
      </c>
      <c r="D225" s="20" t="n">
        <v>-1026</v>
      </c>
      <c r="E225" s="20" t="n">
        <v>-6279</v>
      </c>
      <c r="H225" s="20" t="n">
        <v>-1571</v>
      </c>
      <c r="I225" s="20" t="n">
        <v>-1571</v>
      </c>
      <c r="L225" s="20" t="n">
        <v>0</v>
      </c>
      <c r="M225" s="20" t="n">
        <v>0</v>
      </c>
      <c r="U225" s="20" t="n">
        <v>0</v>
      </c>
      <c r="V225" s="20" t="n">
        <v>-6279</v>
      </c>
      <c r="W225" s="20" t="n">
        <v>-1571</v>
      </c>
      <c r="X225" s="20" t="n">
        <v>0</v>
      </c>
    </row>
    <row r="226">
      <c r="A226" s="18" t="inlineStr">
        <is>
          <t>연결범위 변경 자회사 주식 매각</t>
        </is>
      </c>
      <c r="E226" s="20" t="n">
        <v>0</v>
      </c>
      <c r="T226" s="20" t="n">
        <v>0</v>
      </c>
      <c r="U226" s="20" t="n">
        <v>134</v>
      </c>
      <c r="V226" s="20" t="n">
        <v>0</v>
      </c>
    </row>
    <row r="227">
      <c r="A227" s="18" t="inlineStr">
        <is>
          <t>기타</t>
        </is>
      </c>
      <c r="C227" s="20" t="n">
        <v>1</v>
      </c>
      <c r="D227" s="20" t="n">
        <v>-45</v>
      </c>
      <c r="E227" s="20" t="n">
        <v>-10</v>
      </c>
      <c r="F227" s="20" t="n">
        <v>-103</v>
      </c>
      <c r="G227" s="20" t="n">
        <v>-151</v>
      </c>
      <c r="H227" s="20" t="n">
        <v>-365</v>
      </c>
      <c r="I227" s="20" t="n">
        <v>-2</v>
      </c>
      <c r="J227" s="20" t="n">
        <v>-124</v>
      </c>
      <c r="K227" s="20" t="n">
        <v>-248</v>
      </c>
      <c r="L227" s="20" t="n">
        <v>-696</v>
      </c>
      <c r="M227" s="20" t="n">
        <v>0</v>
      </c>
      <c r="N227" s="20" t="n">
        <v>-288</v>
      </c>
      <c r="O227" s="20" t="n">
        <v>1019</v>
      </c>
      <c r="P227" s="20" t="n">
        <v>33</v>
      </c>
      <c r="Q227" s="20" t="n">
        <v>-1999</v>
      </c>
      <c r="R227" s="20" t="n">
        <v>-1017</v>
      </c>
      <c r="S227" s="20" t="n">
        <v>1000</v>
      </c>
      <c r="T227" s="20" t="n">
        <v>0</v>
      </c>
      <c r="U227" s="20" t="n">
        <v>4</v>
      </c>
      <c r="V227" s="20" t="n">
        <v>-10</v>
      </c>
      <c r="W227" s="20" t="n">
        <v>-2</v>
      </c>
      <c r="X227" s="20" t="n">
        <v>0</v>
      </c>
    </row>
    <row r="228">
      <c r="A228" s="9" t="inlineStr">
        <is>
          <t>투자활동 현금흐름</t>
        </is>
      </c>
      <c r="C228" s="12" t="n">
        <v>-81</v>
      </c>
      <c r="D228" s="12" t="n">
        <v>-1283</v>
      </c>
      <c r="E228" s="12" t="n">
        <v>-6934</v>
      </c>
      <c r="F228" s="12" t="n">
        <v>-650</v>
      </c>
      <c r="G228" s="12" t="n">
        <v>-881</v>
      </c>
      <c r="H228" s="12" t="n">
        <v>-3117</v>
      </c>
      <c r="I228" s="12" t="n">
        <v>-3397</v>
      </c>
      <c r="J228" s="12" t="n">
        <v>-1815</v>
      </c>
      <c r="K228" s="12" t="n">
        <v>-3354</v>
      </c>
      <c r="L228" s="12" t="n">
        <v>-3793</v>
      </c>
      <c r="M228" s="12" t="n">
        <v>-4326</v>
      </c>
      <c r="N228" s="12" t="n">
        <v>312</v>
      </c>
      <c r="O228" s="12" t="n">
        <v>25</v>
      </c>
      <c r="P228" s="12" t="n">
        <v>-873</v>
      </c>
      <c r="Q228" s="12" t="n">
        <v>-3130</v>
      </c>
      <c r="R228" s="12" t="n">
        <v>-3878</v>
      </c>
      <c r="S228" s="12" t="n">
        <v>-538</v>
      </c>
      <c r="T228" s="12" t="n">
        <v>-2322</v>
      </c>
      <c r="U228" s="12" t="n">
        <v>-3170</v>
      </c>
      <c r="V228" s="12" t="n">
        <v>-6934</v>
      </c>
      <c r="W228" s="12" t="n">
        <v>-3397</v>
      </c>
      <c r="X228" s="12" t="n">
        <v>-4326</v>
      </c>
    </row>
    <row r="229">
      <c r="A229" s="18" t="inlineStr">
        <is>
          <t>단기차입금 순증감</t>
        </is>
      </c>
      <c r="C229" s="20" t="n">
        <v>0</v>
      </c>
      <c r="D229" s="20" t="n">
        <v>0</v>
      </c>
      <c r="E229" s="20" t="n">
        <v>9025</v>
      </c>
      <c r="F229" s="20" t="n">
        <v>50</v>
      </c>
      <c r="G229" s="20" t="n">
        <v>-531</v>
      </c>
      <c r="H229" s="20" t="n">
        <v>2557</v>
      </c>
      <c r="I229" s="20" t="n">
        <v>2327</v>
      </c>
      <c r="J229" s="20" t="n">
        <v>-4323</v>
      </c>
      <c r="K229" s="20" t="n">
        <v>-5698</v>
      </c>
      <c r="L229" s="20" t="n">
        <v>-4191</v>
      </c>
      <c r="M229" s="20" t="n">
        <v>-6422</v>
      </c>
      <c r="N229" s="20" t="n">
        <v>-1400</v>
      </c>
      <c r="O229" s="20" t="n">
        <v>-150</v>
      </c>
      <c r="P229" s="20" t="n">
        <v>-300</v>
      </c>
      <c r="Q229" s="20" t="n">
        <v>-150</v>
      </c>
      <c r="R229" s="20" t="n">
        <v>0</v>
      </c>
      <c r="S229" s="20" t="n">
        <v>-300</v>
      </c>
      <c r="T229" s="20" t="n">
        <v>0</v>
      </c>
      <c r="U229" s="20" t="n">
        <v>10</v>
      </c>
      <c r="V229" s="20" t="n">
        <v>9025</v>
      </c>
      <c r="W229" s="20" t="n">
        <v>2327</v>
      </c>
      <c r="X229" s="20" t="n">
        <v>-6422</v>
      </c>
    </row>
    <row r="230">
      <c r="A230" s="18" t="inlineStr">
        <is>
          <t>장기차입</t>
        </is>
      </c>
      <c r="E230" s="20" t="n">
        <v>0</v>
      </c>
      <c r="H230" s="20" t="n">
        <v>0</v>
      </c>
      <c r="I230" s="20" t="n">
        <v>1804</v>
      </c>
      <c r="L230" s="20" t="n">
        <v>2000</v>
      </c>
      <c r="M230" s="20" t="n">
        <v>2000</v>
      </c>
      <c r="V230" s="20" t="n">
        <v>0</v>
      </c>
      <c r="W230" s="20" t="n">
        <v>1804</v>
      </c>
      <c r="X230" s="20" t="n">
        <v>2000</v>
      </c>
    </row>
    <row r="231">
      <c r="A231" s="18" t="inlineStr">
        <is>
          <t>장기차입금 상환</t>
        </is>
      </c>
      <c r="E231" s="20" t="n">
        <v>-14255</v>
      </c>
      <c r="F231" s="20" t="n">
        <v>-9</v>
      </c>
      <c r="G231" s="20" t="n">
        <v>0</v>
      </c>
      <c r="H231" s="20" t="n">
        <v>0</v>
      </c>
      <c r="I231" s="20" t="n">
        <v>0</v>
      </c>
      <c r="K231" s="20" t="n">
        <v>-2</v>
      </c>
      <c r="L231" s="20" t="n">
        <v>-209</v>
      </c>
      <c r="M231" s="20" t="n">
        <v>-211</v>
      </c>
      <c r="U231" s="20" t="n">
        <v>0</v>
      </c>
      <c r="V231" s="20" t="n">
        <v>-14255</v>
      </c>
      <c r="W231" s="20" t="n">
        <v>0</v>
      </c>
      <c r="X231" s="20" t="n">
        <v>-211</v>
      </c>
    </row>
    <row r="232">
      <c r="A232" s="18" t="inlineStr">
        <is>
          <t>Repayments Of Current Portion Of Long Term Borrowings Fin CF</t>
        </is>
      </c>
      <c r="C232" s="20" t="n">
        <v>0</v>
      </c>
      <c r="D232" s="20" t="n">
        <v>0</v>
      </c>
      <c r="E232" s="20" t="n">
        <v>0</v>
      </c>
      <c r="F232" s="20" t="n">
        <v>-9</v>
      </c>
      <c r="G232" s="20" t="n">
        <v>-18</v>
      </c>
      <c r="H232" s="20" t="n">
        <v>-30</v>
      </c>
      <c r="I232" s="20" t="n">
        <v>-37</v>
      </c>
      <c r="J232" s="20" t="n">
        <v>-49</v>
      </c>
      <c r="K232" s="20" t="n">
        <v>-262</v>
      </c>
      <c r="L232" s="20" t="n">
        <v>-220</v>
      </c>
      <c r="M232" s="20" t="n">
        <v>-266</v>
      </c>
      <c r="N232" s="20" t="n">
        <v>-45</v>
      </c>
      <c r="V232" s="20" t="n">
        <v>0</v>
      </c>
      <c r="W232" s="20" t="n">
        <v>-37</v>
      </c>
      <c r="X232" s="20" t="n">
        <v>-266</v>
      </c>
    </row>
    <row r="233">
      <c r="A233" s="18" t="inlineStr">
        <is>
          <t>사채 발행</t>
        </is>
      </c>
      <c r="F233" s="20" t="n">
        <v>0</v>
      </c>
      <c r="G233" s="20" t="n">
        <v>0</v>
      </c>
      <c r="H233" s="20" t="n">
        <v>0</v>
      </c>
      <c r="I233" s="20" t="n">
        <v>0</v>
      </c>
      <c r="J233" s="20" t="n">
        <v>4662</v>
      </c>
      <c r="K233" s="20" t="n">
        <v>4662</v>
      </c>
      <c r="L233" s="20" t="n">
        <v>4662</v>
      </c>
      <c r="M233" s="20" t="n">
        <v>4662</v>
      </c>
      <c r="N233" s="20" t="n">
        <v>0</v>
      </c>
      <c r="W233" s="20" t="n">
        <v>0</v>
      </c>
      <c r="X233" s="20" t="n">
        <v>4662</v>
      </c>
    </row>
    <row r="234">
      <c r="A234" s="18" t="inlineStr">
        <is>
          <t>자기주식 취득</t>
        </is>
      </c>
      <c r="C234" s="20" t="n">
        <v>-16740</v>
      </c>
      <c r="D234" s="20" t="n">
        <v>-16741</v>
      </c>
      <c r="E234" s="20" t="n">
        <v>-16741</v>
      </c>
      <c r="F234" s="20" t="n">
        <v>-1371</v>
      </c>
      <c r="G234" s="20" t="n">
        <v>-3581</v>
      </c>
      <c r="H234" s="20" t="n">
        <v>-3872</v>
      </c>
      <c r="I234" s="20" t="n">
        <v>-4208</v>
      </c>
      <c r="J234" s="20" t="n">
        <v>-259</v>
      </c>
      <c r="K234" s="20" t="n">
        <v>-912</v>
      </c>
      <c r="L234" s="20" t="n">
        <v>-2001</v>
      </c>
      <c r="M234" s="20" t="n">
        <v>-2091</v>
      </c>
      <c r="N234" s="20" t="n">
        <v>0</v>
      </c>
      <c r="O234" s="20" t="n">
        <v>-0</v>
      </c>
      <c r="P234" s="20" t="n">
        <v>-1</v>
      </c>
      <c r="Q234" s="20" t="n">
        <v>-1</v>
      </c>
      <c r="R234" s="20" t="n">
        <v>-2415</v>
      </c>
      <c r="S234" s="20" t="n">
        <v>-802</v>
      </c>
      <c r="T234" s="20" t="n">
        <v>-4307</v>
      </c>
      <c r="U234" s="20" t="n">
        <v>-1409</v>
      </c>
      <c r="V234" s="20" t="n">
        <v>-16741</v>
      </c>
      <c r="W234" s="20" t="n">
        <v>-4208</v>
      </c>
      <c r="X234" s="20" t="n">
        <v>-2091</v>
      </c>
    </row>
    <row r="235">
      <c r="A235" s="18" t="inlineStr">
        <is>
          <t>연결범위 변경 없는 자회사 주식 취득</t>
        </is>
      </c>
      <c r="E235" s="20" t="n">
        <v>0</v>
      </c>
      <c r="O235" s="20" t="n">
        <v>-418</v>
      </c>
      <c r="P235" s="20" t="n">
        <v>0</v>
      </c>
      <c r="Q235" s="20" t="n">
        <v>-0</v>
      </c>
      <c r="R235" s="20" t="n">
        <v>0</v>
      </c>
      <c r="T235" s="20" t="n">
        <v>0</v>
      </c>
      <c r="U235" s="20" t="n">
        <v>-92</v>
      </c>
      <c r="V235" s="20" t="n">
        <v>0</v>
      </c>
    </row>
    <row r="236">
      <c r="A236" s="18" t="inlineStr">
        <is>
          <t>배당금 지급</t>
        </is>
      </c>
      <c r="C236" s="20" t="n">
        <v>-1287</v>
      </c>
      <c r="D236" s="20" t="n">
        <v>-2370</v>
      </c>
      <c r="E236" s="20" t="n">
        <v>-2367</v>
      </c>
      <c r="F236" s="20" t="n">
        <v>-1051</v>
      </c>
      <c r="G236" s="20" t="n">
        <v>-1046</v>
      </c>
      <c r="H236" s="20" t="n">
        <v>-2144</v>
      </c>
      <c r="I236" s="20" t="n">
        <v>-2140</v>
      </c>
      <c r="J236" s="20" t="n">
        <v>-1086</v>
      </c>
      <c r="K236" s="20" t="n">
        <v>-1082</v>
      </c>
      <c r="L236" s="20" t="n">
        <v>-2185</v>
      </c>
      <c r="M236" s="20" t="n">
        <v>-2185</v>
      </c>
      <c r="N236" s="20" t="n">
        <v>-1084</v>
      </c>
      <c r="O236" s="20" t="n">
        <v>-1643</v>
      </c>
      <c r="P236" s="20" t="n">
        <v>-1819</v>
      </c>
      <c r="Q236" s="20" t="n">
        <v>-1998</v>
      </c>
      <c r="R236" s="20" t="n">
        <v>-2223</v>
      </c>
      <c r="S236" s="20" t="n">
        <v>-2211</v>
      </c>
      <c r="T236" s="20" t="n">
        <v>-2481</v>
      </c>
      <c r="U236" s="20" t="n">
        <v>-2646</v>
      </c>
      <c r="V236" s="20" t="n">
        <v>-2367</v>
      </c>
      <c r="W236" s="20" t="n">
        <v>-2140</v>
      </c>
      <c r="X236" s="20" t="n">
        <v>-2185</v>
      </c>
    </row>
    <row r="237">
      <c r="A237" s="18" t="inlineStr">
        <is>
          <t>기타</t>
        </is>
      </c>
      <c r="C237" s="20" t="n">
        <v>-71</v>
      </c>
      <c r="D237" s="20" t="n">
        <v>-74</v>
      </c>
      <c r="E237" s="20" t="n">
        <v>-72</v>
      </c>
      <c r="F237" s="20" t="n">
        <v>-57</v>
      </c>
      <c r="G237" s="20" t="n">
        <v>-81</v>
      </c>
      <c r="H237" s="20" t="n">
        <v>-104</v>
      </c>
      <c r="I237" s="20" t="n">
        <v>-128</v>
      </c>
      <c r="J237" s="20" t="n">
        <v>-49</v>
      </c>
      <c r="K237" s="20" t="n">
        <v>-80</v>
      </c>
      <c r="L237" s="20" t="n">
        <v>-96</v>
      </c>
      <c r="M237" s="20" t="n">
        <v>-119</v>
      </c>
      <c r="N237" s="20" t="n">
        <v>-46</v>
      </c>
      <c r="O237" s="20" t="n">
        <v>-48</v>
      </c>
      <c r="P237" s="20" t="n">
        <v>-42</v>
      </c>
      <c r="Q237" s="20" t="n">
        <v>-45</v>
      </c>
      <c r="R237" s="20" t="n">
        <v>-56</v>
      </c>
      <c r="S237" s="20" t="n">
        <v>-62</v>
      </c>
      <c r="T237" s="20" t="n">
        <v>-82</v>
      </c>
      <c r="U237" s="20" t="n">
        <v>-94</v>
      </c>
      <c r="V237" s="20" t="n">
        <v>-72</v>
      </c>
      <c r="W237" s="20" t="n">
        <v>-128</v>
      </c>
      <c r="X237" s="20" t="n">
        <v>-119</v>
      </c>
    </row>
    <row r="238">
      <c r="A238" s="9" t="inlineStr">
        <is>
          <t>재무활동 현금흐름</t>
        </is>
      </c>
      <c r="C238" s="12" t="n">
        <v>-18098</v>
      </c>
      <c r="D238" s="12" t="n">
        <v>-19186</v>
      </c>
      <c r="E238" s="12" t="n">
        <v>-24409</v>
      </c>
      <c r="F238" s="12" t="n">
        <v>-2439</v>
      </c>
      <c r="G238" s="12" t="n">
        <v>-5260</v>
      </c>
      <c r="H238" s="12" t="n">
        <v>-3594</v>
      </c>
      <c r="I238" s="12" t="n">
        <v>-2382</v>
      </c>
      <c r="J238" s="12" t="n">
        <v>-1106</v>
      </c>
      <c r="K238" s="12" t="n">
        <v>-3376</v>
      </c>
      <c r="L238" s="12" t="n">
        <v>-2240</v>
      </c>
      <c r="M238" s="12" t="n">
        <v>-4634</v>
      </c>
      <c r="N238" s="12" t="n">
        <v>-2576</v>
      </c>
      <c r="O238" s="12" t="n">
        <v>-2260</v>
      </c>
      <c r="P238" s="12" t="n">
        <v>-2164</v>
      </c>
      <c r="Q238" s="12" t="n">
        <v>-2195</v>
      </c>
      <c r="R238" s="12" t="n">
        <v>-4695</v>
      </c>
      <c r="S238" s="12" t="n">
        <v>-3377</v>
      </c>
      <c r="T238" s="12" t="n">
        <v>-6870</v>
      </c>
      <c r="U238" s="12" t="n">
        <v>-4233</v>
      </c>
      <c r="V238" s="12" t="n">
        <v>-24409</v>
      </c>
      <c r="W238" s="12" t="n">
        <v>-2382</v>
      </c>
      <c r="X238" s="12" t="n">
        <v>-4634</v>
      </c>
    </row>
    <row r="239">
      <c r="A239" s="18" t="inlineStr">
        <is>
          <t>현금성자산 환산차이</t>
        </is>
      </c>
      <c r="C239" s="20" t="n">
        <v>386</v>
      </c>
      <c r="D239" s="20" t="n">
        <v>430</v>
      </c>
      <c r="E239" s="20" t="n">
        <v>501</v>
      </c>
      <c r="F239" s="20" t="n">
        <v>36</v>
      </c>
      <c r="G239" s="20" t="n">
        <v>340</v>
      </c>
      <c r="H239" s="20" t="n">
        <v>-41</v>
      </c>
      <c r="I239" s="20" t="n">
        <v>244</v>
      </c>
      <c r="J239" s="20" t="n">
        <v>-212</v>
      </c>
      <c r="K239" s="20" t="n">
        <v>-125</v>
      </c>
      <c r="L239" s="20" t="n">
        <v>82</v>
      </c>
      <c r="M239" s="20" t="n">
        <v>426</v>
      </c>
      <c r="N239" s="20" t="n">
        <v>-20</v>
      </c>
      <c r="O239" s="20" t="n">
        <v>-109</v>
      </c>
      <c r="P239" s="20" t="n">
        <v>107</v>
      </c>
      <c r="Q239" s="20" t="n">
        <v>-90</v>
      </c>
      <c r="R239" s="20" t="n">
        <v>-21</v>
      </c>
      <c r="S239" s="20" t="n">
        <v>9</v>
      </c>
      <c r="T239" s="20" t="n">
        <v>145</v>
      </c>
      <c r="U239" s="20" t="n">
        <v>330</v>
      </c>
      <c r="V239" s="20" t="n">
        <v>501</v>
      </c>
      <c r="W239" s="20" t="n">
        <v>244</v>
      </c>
      <c r="X239" s="20" t="n">
        <v>426</v>
      </c>
    </row>
    <row r="240">
      <c r="A240" s="18" t="inlineStr">
        <is>
          <t>현금성자산 증감</t>
        </is>
      </c>
      <c r="C240" s="20" t="n">
        <v>-13791</v>
      </c>
      <c r="D240" s="20" t="n">
        <v>-19309</v>
      </c>
      <c r="E240" s="20" t="n">
        <v>-29737</v>
      </c>
      <c r="F240" s="20" t="n">
        <v>-2350</v>
      </c>
      <c r="G240" s="20" t="n">
        <v>-532</v>
      </c>
      <c r="H240" s="20" t="n">
        <v>-3450</v>
      </c>
      <c r="I240" s="20" t="n">
        <v>675</v>
      </c>
      <c r="J240" s="20" t="n">
        <v>-566</v>
      </c>
      <c r="K240" s="20" t="n">
        <v>-1176</v>
      </c>
      <c r="L240" s="20" t="n">
        <v>-571</v>
      </c>
      <c r="M240" s="20" t="n">
        <v>-540</v>
      </c>
      <c r="N240" s="20" t="n">
        <v>-536</v>
      </c>
      <c r="O240" s="20" t="n">
        <v>5853</v>
      </c>
      <c r="P240" s="20" t="n">
        <v>4882</v>
      </c>
      <c r="Q240" s="20" t="n">
        <v>3032</v>
      </c>
      <c r="R240" s="20" t="n">
        <v>1027</v>
      </c>
      <c r="S240" s="20" t="n">
        <v>5379</v>
      </c>
      <c r="T240" s="20" t="n">
        <v>-254</v>
      </c>
      <c r="U240" s="20" t="n">
        <v>-2126</v>
      </c>
      <c r="V240" s="20" t="n">
        <v>-29737</v>
      </c>
      <c r="W240" s="20" t="n">
        <v>675</v>
      </c>
      <c r="X240" s="20" t="n">
        <v>-540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4212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50043</v>
      </c>
      <c r="D5" s="12" t="n">
        <v>49196</v>
      </c>
      <c r="E5" s="12" t="n">
        <v>53881</v>
      </c>
      <c r="F5" s="12" t="n">
        <v>57479</v>
      </c>
      <c r="G5" s="12" t="n">
        <v>54635</v>
      </c>
      <c r="H5" s="11" t="n">
        <v>79540</v>
      </c>
      <c r="I5" s="12" t="n">
        <v>81062</v>
      </c>
      <c r="J5" s="12" t="n">
        <v>53371</v>
      </c>
      <c r="K5" s="12" t="n">
        <v>54941</v>
      </c>
      <c r="L5" s="12" t="n">
        <v>57479</v>
      </c>
    </row>
    <row r="6">
      <c r="A6" s="18" t="inlineStr">
        <is>
          <t>현금및현금성자산</t>
        </is>
      </c>
      <c r="B6" s="10" t="n"/>
      <c r="C6" s="19" t="n">
        <v>15275</v>
      </c>
      <c r="D6" s="20" t="n">
        <v>14666</v>
      </c>
      <c r="E6" s="20" t="n">
        <v>15270</v>
      </c>
      <c r="F6" s="20" t="n">
        <v>18302</v>
      </c>
      <c r="G6" s="20" t="n">
        <v>17765</v>
      </c>
      <c r="H6" s="19" t="n">
        <v>47031</v>
      </c>
      <c r="I6" s="20" t="n">
        <v>44905</v>
      </c>
      <c r="J6" s="20" t="n">
        <v>15167</v>
      </c>
      <c r="K6" s="20" t="n">
        <v>15842</v>
      </c>
      <c r="L6" s="20" t="n">
        <v>18302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>
        <v>0</v>
      </c>
      <c r="I7" s="20" t="n">
        <v>699</v>
      </c>
      <c r="J7" s="20" t="n">
        <v>0</v>
      </c>
      <c r="K7" s="20" t="n"/>
      <c r="L7" s="20" t="n"/>
    </row>
    <row r="8">
      <c r="A8" s="18" t="inlineStr">
        <is>
          <t>매출채권</t>
        </is>
      </c>
      <c r="B8" s="10" t="n"/>
      <c r="C8" s="19" t="n">
        <v>12254</v>
      </c>
      <c r="D8" s="20" t="n">
        <v>12224</v>
      </c>
      <c r="E8" s="20" t="n">
        <v>12390</v>
      </c>
      <c r="F8" s="20" t="n">
        <v>14722</v>
      </c>
      <c r="G8" s="20" t="n">
        <v>11332</v>
      </c>
      <c r="H8" s="19" t="n">
        <v>17000</v>
      </c>
      <c r="I8" s="20" t="n">
        <v>16901</v>
      </c>
      <c r="J8" s="20" t="n">
        <v>16044</v>
      </c>
      <c r="K8" s="20" t="n">
        <v>16971</v>
      </c>
      <c r="L8" s="20" t="n">
        <v>14722</v>
      </c>
    </row>
    <row r="9">
      <c r="A9" s="18" t="inlineStr">
        <is>
          <t>재고자산</t>
        </is>
      </c>
      <c r="B9" s="10" t="n"/>
      <c r="C9" s="19" t="n">
        <v>12486</v>
      </c>
      <c r="D9" s="20" t="n">
        <v>12731</v>
      </c>
      <c r="E9" s="20" t="n">
        <v>13941</v>
      </c>
      <c r="F9" s="20" t="n">
        <v>13103</v>
      </c>
      <c r="G9" s="20" t="n">
        <v>14416</v>
      </c>
      <c r="H9" s="19" t="n">
        <v>7266</v>
      </c>
      <c r="I9" s="20" t="n">
        <v>8905</v>
      </c>
      <c r="J9" s="20" t="n">
        <v>10922</v>
      </c>
      <c r="K9" s="20" t="n">
        <v>12199</v>
      </c>
      <c r="L9" s="20" t="n">
        <v>13103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84393</v>
      </c>
      <c r="D11" s="12" t="n">
        <v>86243</v>
      </c>
      <c r="E11" s="12" t="n">
        <v>87196</v>
      </c>
      <c r="F11" s="12" t="n">
        <v>85089</v>
      </c>
      <c r="G11" s="12" t="n">
        <v>86724</v>
      </c>
      <c r="H11" s="11" t="n">
        <v>56066</v>
      </c>
      <c r="I11" s="12" t="n">
        <v>58303</v>
      </c>
      <c r="J11" s="12" t="n">
        <v>81647</v>
      </c>
      <c r="K11" s="12" t="n">
        <v>84642</v>
      </c>
      <c r="L11" s="12" t="n">
        <v>85089</v>
      </c>
    </row>
    <row r="12">
      <c r="A12" s="18" t="inlineStr">
        <is>
          <t>유형자산</t>
        </is>
      </c>
      <c r="B12" s="10" t="n"/>
      <c r="C12" s="19" t="n">
        <v>21678</v>
      </c>
      <c r="D12" s="20" t="n">
        <v>22612</v>
      </c>
      <c r="E12" s="20" t="n">
        <v>22615</v>
      </c>
      <c r="F12" s="20" t="n">
        <v>22455</v>
      </c>
      <c r="G12" s="20" t="n">
        <v>23103</v>
      </c>
      <c r="H12" s="19" t="n">
        <v>14094</v>
      </c>
      <c r="I12" s="20" t="n">
        <v>14271</v>
      </c>
      <c r="J12" s="20" t="n">
        <v>18651</v>
      </c>
      <c r="K12" s="20" t="n">
        <v>21430</v>
      </c>
      <c r="L12" s="20" t="n">
        <v>22455</v>
      </c>
    </row>
    <row r="13">
      <c r="A13" s="18" t="inlineStr">
        <is>
          <t>무형자산</t>
        </is>
      </c>
      <c r="B13" s="10" t="n"/>
      <c r="C13" s="19" t="n">
        <v>18131</v>
      </c>
      <c r="D13" s="20" t="n">
        <v>18494</v>
      </c>
      <c r="E13" s="20" t="n">
        <v>19149</v>
      </c>
      <c r="F13" s="20" t="n">
        <v>19759</v>
      </c>
      <c r="G13" s="20" t="n">
        <v>19419</v>
      </c>
      <c r="H13" s="19" t="n">
        <v>249</v>
      </c>
      <c r="I13" s="20" t="n">
        <v>254</v>
      </c>
      <c r="J13" s="20" t="n">
        <v>17916</v>
      </c>
      <c r="K13" s="20" t="n">
        <v>19019</v>
      </c>
      <c r="L13" s="20" t="n">
        <v>19759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134436</v>
      </c>
      <c r="D16" s="12" t="n">
        <v>135439</v>
      </c>
      <c r="E16" s="12" t="n">
        <v>141077</v>
      </c>
      <c r="F16" s="12" t="n">
        <v>142568</v>
      </c>
      <c r="G16" s="12" t="n">
        <v>141359</v>
      </c>
      <c r="H16" s="11" t="n">
        <v>135606</v>
      </c>
      <c r="I16" s="12" t="n">
        <v>139366</v>
      </c>
      <c r="J16" s="12" t="n">
        <v>135018</v>
      </c>
      <c r="K16" s="12" t="n">
        <v>139583</v>
      </c>
      <c r="L16" s="12" t="n">
        <v>142568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25897</v>
      </c>
      <c r="D18" s="12" t="n">
        <v>25439</v>
      </c>
      <c r="E18" s="12" t="n">
        <v>28818</v>
      </c>
      <c r="F18" s="12" t="n">
        <v>26240</v>
      </c>
      <c r="G18" s="12" t="n">
        <v>24018</v>
      </c>
      <c r="H18" s="11" t="n">
        <v>23139</v>
      </c>
      <c r="I18" s="12" t="n">
        <v>24038</v>
      </c>
      <c r="J18" s="12" t="n">
        <v>30061</v>
      </c>
      <c r="K18" s="12" t="n">
        <v>34035</v>
      </c>
      <c r="L18" s="12" t="n">
        <v>26240</v>
      </c>
    </row>
    <row r="19">
      <c r="A19" s="18" t="inlineStr">
        <is>
          <t>매입채무</t>
        </is>
      </c>
      <c r="B19" s="10" t="n"/>
      <c r="C19" s="19" t="n">
        <v>6948</v>
      </c>
      <c r="D19" s="20" t="n">
        <v>6681</v>
      </c>
      <c r="E19" s="20" t="n">
        <v>7723</v>
      </c>
      <c r="F19" s="20" t="n">
        <v>7875</v>
      </c>
      <c r="G19" s="20" t="n">
        <v>7330</v>
      </c>
      <c r="H19" s="19" t="n">
        <v>8234</v>
      </c>
      <c r="I19" s="20" t="n">
        <v>8592</v>
      </c>
      <c r="J19" s="20" t="n">
        <v>7924</v>
      </c>
      <c r="K19" s="20" t="n">
        <v>8703</v>
      </c>
      <c r="L19" s="20" t="n">
        <v>7875</v>
      </c>
    </row>
    <row r="20">
      <c r="A20" s="18" t="inlineStr">
        <is>
          <t>단기차입금</t>
        </is>
      </c>
      <c r="B20" s="10" t="n"/>
      <c r="C20" s="19" t="n">
        <v>7924</v>
      </c>
      <c r="D20" s="20" t="n">
        <v>6569</v>
      </c>
      <c r="E20" s="20" t="n">
        <v>8100</v>
      </c>
      <c r="F20" s="20" t="n">
        <v>5900</v>
      </c>
      <c r="G20" s="20" t="n">
        <v>4500</v>
      </c>
      <c r="H20" s="19" t="n">
        <v>1000</v>
      </c>
      <c r="I20" s="20" t="n">
        <v>900</v>
      </c>
      <c r="J20" s="20" t="n">
        <v>9963</v>
      </c>
      <c r="K20" s="20" t="n">
        <v>12284</v>
      </c>
      <c r="L20" s="20" t="n">
        <v>5900</v>
      </c>
    </row>
    <row r="21">
      <c r="A21" s="18" t="inlineStr">
        <is>
          <t>유동성장기부채</t>
        </is>
      </c>
      <c r="B21" s="10" t="n"/>
      <c r="C21" s="19" t="n">
        <v>216</v>
      </c>
      <c r="D21" s="20" t="n">
        <v>224</v>
      </c>
      <c r="E21" s="20" t="n">
        <v>191</v>
      </c>
      <c r="F21" s="20" t="n">
        <v>184</v>
      </c>
      <c r="G21" s="20" t="n">
        <v>183</v>
      </c>
      <c r="H21" s="19" t="n"/>
      <c r="I21" s="20" t="n"/>
      <c r="J21" s="20" t="n">
        <v>37</v>
      </c>
      <c r="K21" s="20" t="n">
        <v>219</v>
      </c>
      <c r="L21" s="20" t="n">
        <v>184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12406</v>
      </c>
      <c r="D23" s="12" t="n">
        <v>12596</v>
      </c>
      <c r="E23" s="12" t="n">
        <v>14863</v>
      </c>
      <c r="F23" s="12" t="n">
        <v>15224</v>
      </c>
      <c r="G23" s="12" t="n">
        <v>15452</v>
      </c>
      <c r="H23" s="11" t="n">
        <v>4079</v>
      </c>
      <c r="I23" s="12" t="n">
        <v>3738</v>
      </c>
      <c r="J23" s="12" t="n">
        <v>6127</v>
      </c>
      <c r="K23" s="12" t="n">
        <v>8106</v>
      </c>
      <c r="L23" s="12" t="n">
        <v>15224</v>
      </c>
    </row>
    <row r="24">
      <c r="A24" s="18" t="inlineStr">
        <is>
          <t>장기차입금</t>
        </is>
      </c>
      <c r="B24" s="10" t="n"/>
      <c r="C24" s="19" t="n">
        <v>1653</v>
      </c>
      <c r="D24" s="20" t="n">
        <v>1505</v>
      </c>
      <c r="E24" s="20" t="n">
        <v>3421</v>
      </c>
      <c r="F24" s="20" t="n">
        <v>3474</v>
      </c>
      <c r="G24" s="20" t="n">
        <v>3421</v>
      </c>
      <c r="H24" s="19" t="n"/>
      <c r="I24" s="20" t="n">
        <v>0</v>
      </c>
      <c r="J24" s="20" t="n">
        <v>139</v>
      </c>
      <c r="K24" s="20" t="n">
        <v>1734</v>
      </c>
      <c r="L24" s="20" t="n">
        <v>3474</v>
      </c>
    </row>
    <row r="25">
      <c r="A25" s="18" t="inlineStr">
        <is>
          <t>사채</t>
        </is>
      </c>
      <c r="B25" s="10" t="n"/>
      <c r="C25" s="19" t="n">
        <v>4700</v>
      </c>
      <c r="D25" s="20" t="n">
        <v>4700</v>
      </c>
      <c r="E25" s="20" t="n">
        <v>4700</v>
      </c>
      <c r="F25" s="20" t="n">
        <v>4700</v>
      </c>
      <c r="G25" s="20" t="n">
        <v>4700</v>
      </c>
      <c r="H25" s="19" t="n"/>
      <c r="I25" s="20" t="n"/>
      <c r="J25" s="20" t="n"/>
      <c r="K25" s="20" t="n">
        <v>0</v>
      </c>
      <c r="L25" s="20" t="n">
        <v>4700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38304</v>
      </c>
      <c r="D27" s="12" t="n">
        <v>38035</v>
      </c>
      <c r="E27" s="12" t="n">
        <v>43682</v>
      </c>
      <c r="F27" s="12" t="n">
        <v>41464</v>
      </c>
      <c r="G27" s="12" t="n">
        <v>39471</v>
      </c>
      <c r="H27" s="11" t="n">
        <v>27218</v>
      </c>
      <c r="I27" s="12" t="n">
        <v>27776</v>
      </c>
      <c r="J27" s="12" t="n">
        <v>36189</v>
      </c>
      <c r="K27" s="12" t="n">
        <v>42141</v>
      </c>
      <c r="L27" s="12" t="n">
        <v>41464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94395</v>
      </c>
      <c r="D31" s="12" t="n">
        <v>95655</v>
      </c>
      <c r="E31" s="12" t="n">
        <v>95617</v>
      </c>
      <c r="F31" s="12" t="n">
        <v>99247</v>
      </c>
      <c r="G31" s="12" t="n">
        <v>100059</v>
      </c>
      <c r="H31" s="11" t="n">
        <v>106818</v>
      </c>
      <c r="I31" s="12" t="n">
        <v>110009</v>
      </c>
      <c r="J31" s="12" t="n">
        <v>97172</v>
      </c>
      <c r="K31" s="12" t="n">
        <v>95670</v>
      </c>
      <c r="L31" s="12" t="n">
        <v>99247</v>
      </c>
    </row>
    <row r="32">
      <c r="A32" s="18" t="inlineStr">
        <is>
          <t>자본금</t>
        </is>
      </c>
      <c r="B32" s="10" t="n"/>
      <c r="C32" s="19" t="n">
        <v>12334</v>
      </c>
      <c r="D32" s="20" t="n">
        <v>12334</v>
      </c>
      <c r="E32" s="20" t="n">
        <v>12334</v>
      </c>
      <c r="F32" s="20" t="n">
        <v>12334</v>
      </c>
      <c r="G32" s="20" t="n">
        <v>12334</v>
      </c>
      <c r="H32" s="19" t="n">
        <v>12334</v>
      </c>
      <c r="I32" s="20" t="n">
        <v>12334</v>
      </c>
      <c r="J32" s="20" t="n">
        <v>12334</v>
      </c>
      <c r="K32" s="20" t="n">
        <v>12334</v>
      </c>
      <c r="L32" s="20" t="n">
        <v>12334</v>
      </c>
    </row>
    <row r="33">
      <c r="A33" s="18" t="inlineStr">
        <is>
          <t>이익잉여금</t>
        </is>
      </c>
      <c r="B33" s="10" t="n"/>
      <c r="C33" s="19" t="n">
        <v>63542</v>
      </c>
      <c r="D33" s="20" t="n">
        <v>64394</v>
      </c>
      <c r="E33" s="20" t="n">
        <v>64567</v>
      </c>
      <c r="F33" s="20" t="n">
        <v>66149</v>
      </c>
      <c r="G33" s="20" t="n">
        <v>66097</v>
      </c>
      <c r="H33" s="19" t="n">
        <v>81741</v>
      </c>
      <c r="I33" s="20" t="n">
        <v>85738</v>
      </c>
      <c r="J33" s="20" t="n">
        <v>66481</v>
      </c>
      <c r="K33" s="20" t="n">
        <v>64366</v>
      </c>
      <c r="L33" s="20" t="n">
        <v>66149</v>
      </c>
    </row>
    <row r="34">
      <c r="A34" s="18" t="inlineStr">
        <is>
          <t>비지배지분</t>
        </is>
      </c>
      <c r="B34" s="10" t="n"/>
      <c r="C34" s="19" t="n">
        <v>1737</v>
      </c>
      <c r="D34" s="20" t="n">
        <v>1749</v>
      </c>
      <c r="E34" s="20" t="n">
        <v>1778</v>
      </c>
      <c r="F34" s="20" t="n">
        <v>1856</v>
      </c>
      <c r="G34" s="20" t="n">
        <v>1829</v>
      </c>
      <c r="H34" s="19" t="n">
        <v>1569</v>
      </c>
      <c r="I34" s="20" t="n">
        <v>1580</v>
      </c>
      <c r="J34" s="20" t="n">
        <v>1657</v>
      </c>
      <c r="K34" s="20" t="n">
        <v>1771</v>
      </c>
      <c r="L34" s="20" t="n">
        <v>1856</v>
      </c>
    </row>
    <row r="35">
      <c r="A35" s="9" t="inlineStr">
        <is>
          <t>자본총계</t>
        </is>
      </c>
      <c r="B35" s="10" t="n"/>
      <c r="C35" s="11" t="n">
        <v>96132</v>
      </c>
      <c r="D35" s="12" t="n">
        <v>97404</v>
      </c>
      <c r="E35" s="12" t="n">
        <v>97395</v>
      </c>
      <c r="F35" s="12" t="n">
        <v>101103</v>
      </c>
      <c r="G35" s="12" t="n">
        <v>101888</v>
      </c>
      <c r="H35" s="11" t="n">
        <v>108387</v>
      </c>
      <c r="I35" s="12" t="n">
        <v>111589</v>
      </c>
      <c r="J35" s="12" t="n">
        <v>98829</v>
      </c>
      <c r="K35" s="12" t="n">
        <v>97441</v>
      </c>
      <c r="L35" s="12" t="n">
        <v>101103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8076</v>
      </c>
      <c r="D37" s="12" t="n">
        <v>6622</v>
      </c>
      <c r="E37" s="12" t="n">
        <v>8288</v>
      </c>
      <c r="F37" s="12" t="n">
        <v>7994</v>
      </c>
      <c r="G37" s="12" t="n">
        <v>7174</v>
      </c>
      <c r="H37" s="11" t="n">
        <v>8792</v>
      </c>
      <c r="I37" s="12" t="n">
        <v>4946</v>
      </c>
      <c r="J37" s="12" t="n">
        <v>1104</v>
      </c>
      <c r="K37" s="12" t="n">
        <v>6211</v>
      </c>
      <c r="L37" s="12" t="n">
        <v>7994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3738</v>
      </c>
      <c r="D38" s="20" t="n">
        <v>4940</v>
      </c>
      <c r="E38" s="20" t="n">
        <v>4740</v>
      </c>
      <c r="F38" s="20" t="n">
        <v>4269</v>
      </c>
      <c r="G38" s="20" t="n">
        <v>2763</v>
      </c>
      <c r="H38" s="19" t="n">
        <v>1078</v>
      </c>
      <c r="I38" s="20" t="n">
        <v>1222</v>
      </c>
      <c r="J38" s="20" t="n">
        <v>1878</v>
      </c>
      <c r="K38" s="20" t="n">
        <v>3246</v>
      </c>
      <c r="L38" s="20" t="n">
        <v>4269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2175</v>
      </c>
      <c r="D40" s="20" t="n">
        <v>2176</v>
      </c>
      <c r="E40" s="20" t="n">
        <v>2181</v>
      </c>
      <c r="F40" s="20" t="n">
        <v>2185</v>
      </c>
      <c r="G40" s="20" t="n">
        <v>2183</v>
      </c>
      <c r="H40" s="19" t="n">
        <v>2481</v>
      </c>
      <c r="I40" s="20" t="n">
        <v>2646</v>
      </c>
      <c r="J40" s="20" t="n">
        <v>2367</v>
      </c>
      <c r="K40" s="20" t="n">
        <v>2140</v>
      </c>
      <c r="L40" s="20" t="n">
        <v>2185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IFERROR((IF(COUNT('연간'!G22:J22)&lt;4,"",SUM('연간'!G22:J22)))/(IF(COUNT('연간'!G44:J44)&lt;4,"",SUM('연간'!G44:J44))),"")</f>
        <v/>
      </c>
      <c r="D48" s="31">
        <f>IFERROR((IF(COUNT('연간'!H22:K22)&lt;4,"",SUM('연간'!H22:K22)))/(IF(COUNT('연간'!H44:K44)&lt;4,"",SUM('연간'!H44:K44))),"")</f>
        <v/>
      </c>
      <c r="E48" s="31">
        <f>IFERROR((IF(COUNT('연간'!I22:L22)&lt;4,"",SUM('연간'!I22:L22)))/(IF(COUNT('연간'!I44:L44)&lt;4,"",SUM('연간'!I44:L44))),"")</f>
        <v/>
      </c>
      <c r="F48" s="31">
        <f>IFERROR((IF(COUNT('연간'!J22:M22)&lt;4,"",SUM('연간'!J22:M22)))/(IF(COUNT('연간'!J44:M44)&lt;4,"",SUM('연간'!J44:M44))),"")</f>
        <v/>
      </c>
      <c r="G48" s="31">
        <f>IFERROR((IF(COUNT('연간'!K22:N22)&lt;4,"",SUM('연간'!K22:N22)))/(IF(COUNT('연간'!K44:N44)&lt;4,"",SUM('연간'!K44:N44))),"")</f>
        <v/>
      </c>
      <c r="H48" s="30">
        <f>IFERROR(('연간'!T22)/('연간'!T44),"")</f>
        <v/>
      </c>
      <c r="I48" s="31">
        <f>IFERROR(('연간'!U22)/('연간'!U44),"")</f>
        <v/>
      </c>
      <c r="J48" s="31">
        <f>IFERROR(('연간'!V22)/('연간'!V44),"")</f>
        <v/>
      </c>
      <c r="K48" s="31">
        <f>IFERROR(('연간'!W22)/('연간'!W44),"")</f>
        <v/>
      </c>
      <c r="L48" s="31">
        <f>IFERROR(('연간'!X22)/('연간'!X44),"")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IFERROR(IF((IF(COUNT('연간'!G52:J52)&lt;4,"",SUM('연간'!G52:J52)))&lt;=0,"적자",C28/(IF(COUNT('연간'!G52:J52)&lt;4,"",SUM('연간'!G52:J52)))),"")</f>
        <v/>
      </c>
      <c r="D49" s="47">
        <f>IFERROR(IF((IF(COUNT('연간'!H52:K52)&lt;4,"",SUM('연간'!H52:K52)))&lt;=0,"적자",D28/(IF(COUNT('연간'!H52:K52)&lt;4,"",SUM('연간'!H52:K52)))),"")</f>
        <v/>
      </c>
      <c r="E49" s="47">
        <f>IFERROR(IF((IF(COUNT('연간'!I52:L52)&lt;4,"",SUM('연간'!I52:L52)))&lt;=0,"적자",E28/(IF(COUNT('연간'!I52:L52)&lt;4,"",SUM('연간'!I52:L52)))),"")</f>
        <v/>
      </c>
      <c r="F49" s="47">
        <f>IFERROR(IF((IF(COUNT('연간'!J52:M52)&lt;4,"",SUM('연간'!J52:M52)))&lt;=0,"적자",F28/(IF(COUNT('연간'!J52:M52)&lt;4,"",SUM('연간'!J52:M52)))),"")</f>
        <v/>
      </c>
      <c r="G49" s="47">
        <f>IFERROR(IF((IF(COUNT('연간'!K52:N52)&lt;4,"",SUM('연간'!K52:N52)))&lt;=0,"적자",G28/(IF(COUNT('연간'!K52:N52)&lt;4,"",SUM('연간'!K52:N52)))),"")</f>
        <v/>
      </c>
      <c r="H49" s="46">
        <f>IFERROR(IF(('연간'!T52)&lt;=0,"적자",H28/('연간'!T52)),"")</f>
        <v/>
      </c>
      <c r="I49" s="47">
        <f>IFERROR(IF(('연간'!U52)&lt;=0,"적자",I28/('연간'!U52)),"")</f>
        <v/>
      </c>
      <c r="J49" s="47">
        <f>IFERROR(IF(('연간'!V52)&lt;=0,"적자",J28/('연간'!V52)),"")</f>
        <v/>
      </c>
      <c r="K49" s="47">
        <f>IFERROR(IF(('연간'!W52)&lt;=0,"적자",K28/('연간'!W52)),"")</f>
        <v/>
      </c>
      <c r="L49" s="47">
        <f>IFERROR(IF(('연간'!X52)&lt;=0,"적자",L28/('연간'!X52)),"")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IFERROR((IF(COUNT('연간'!G52:J52)&lt;4,"",SUM('연간'!G52:J52)))/C31,"")</f>
        <v/>
      </c>
      <c r="D51" s="36">
        <f>IFERROR((IF(COUNT('연간'!H52:K52)&lt;4,"",SUM('연간'!H52:K52)))/D31,"")</f>
        <v/>
      </c>
      <c r="E51" s="36">
        <f>IFERROR((IF(COUNT('연간'!I52:L52)&lt;4,"",SUM('연간'!I52:L52)))/E31,"")</f>
        <v/>
      </c>
      <c r="F51" s="36">
        <f>IFERROR((IF(COUNT('연간'!J52:M52)&lt;4,"",SUM('연간'!J52:M52)))/F31,"")</f>
        <v/>
      </c>
      <c r="G51" s="36">
        <f>IFERROR((IF(COUNT('연간'!K52:N52)&lt;4,"",SUM('연간'!K52:N52)))/G31,"")</f>
        <v/>
      </c>
      <c r="H51" s="35">
        <f>IFERROR(('연간'!T52)/H31,"")</f>
        <v/>
      </c>
      <c r="I51" s="36">
        <f>IFERROR(('연간'!U52)/I31,"")</f>
        <v/>
      </c>
      <c r="J51" s="36">
        <f>IFERROR(('연간'!V52)/J31,"")</f>
        <v/>
      </c>
      <c r="K51" s="36">
        <f>IFERROR(('연간'!W52)/K31,"")</f>
        <v/>
      </c>
      <c r="L51" s="36">
        <f>IFERROR(('연간'!X52)/L31,"")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IFERROR((IF(COUNT('연간'!G50:J50)&lt;4,"",SUM('연간'!G50:J50)))/C16,"")</f>
        <v/>
      </c>
      <c r="D52" s="36">
        <f>IFERROR((IF(COUNT('연간'!H50:K50)&lt;4,"",SUM('연간'!H50:K50)))/D16,"")</f>
        <v/>
      </c>
      <c r="E52" s="36">
        <f>IFERROR((IF(COUNT('연간'!I50:L50)&lt;4,"",SUM('연간'!I50:L50)))/E16,"")</f>
        <v/>
      </c>
      <c r="F52" s="36">
        <f>IFERROR((IF(COUNT('연간'!J50:M50)&lt;4,"",SUM('연간'!J50:M50)))/F16,"")</f>
        <v/>
      </c>
      <c r="G52" s="36">
        <f>IFERROR((IF(COUNT('연간'!K50:N50)&lt;4,"",SUM('연간'!K50:N50)))/G16,"")</f>
        <v/>
      </c>
      <c r="H52" s="35">
        <f>IFERROR(('연간'!T50)/H16,"")</f>
        <v/>
      </c>
      <c r="I52" s="36">
        <f>IFERROR(('연간'!U50)/I16,"")</f>
        <v/>
      </c>
      <c r="J52" s="36">
        <f>IFERROR(('연간'!V50)/J16,"")</f>
        <v/>
      </c>
      <c r="K52" s="36">
        <f>IFERROR(('연간'!W50)/K16,"")</f>
        <v/>
      </c>
      <c r="L52" s="36">
        <f>IFERROR(('연간'!X50)/L16,"")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IFERROR((IF(COUNT('연간'!G22:J22)&lt;4,"",SUM('연간'!G22:J22)))*(1-0.3)/(C35+C29),"")</f>
        <v/>
      </c>
      <c r="D53" s="36">
        <f>IFERROR((IF(COUNT('연간'!H22:K22)&lt;4,"",SUM('연간'!H22:K22)))*(1-0.3)/(D35+D29),"")</f>
        <v/>
      </c>
      <c r="E53" s="36">
        <f>IFERROR((IF(COUNT('연간'!I22:L22)&lt;4,"",SUM('연간'!I22:L22)))*(1-0.3)/(E35+E29),"")</f>
        <v/>
      </c>
      <c r="F53" s="36">
        <f>IFERROR((IF(COUNT('연간'!J22:M22)&lt;4,"",SUM('연간'!J22:M22)))*(1-0.3)/(F35+F29),"")</f>
        <v/>
      </c>
      <c r="G53" s="36">
        <f>IFERROR((IF(COUNT('연간'!K22:N22)&lt;4,"",SUM('연간'!K22:N22)))*(1-0.3)/(G35+G29),"")</f>
        <v/>
      </c>
      <c r="H53" s="35">
        <f>IFERROR(('연간'!T22)*(1-0.3)/(H35+H29),"")</f>
        <v/>
      </c>
      <c r="I53" s="36">
        <f>IFERROR(('연간'!U22)*(1-0.3)/(I35+I29),"")</f>
        <v/>
      </c>
      <c r="J53" s="36">
        <f>IFERROR(('연간'!V22)*(1-0.3)/(J35+J29),"")</f>
        <v/>
      </c>
      <c r="K53" s="36">
        <f>IFERROR(('연간'!W22)*(1-0.3)/(K35+K29),"")</f>
        <v/>
      </c>
      <c r="L53" s="36">
        <f>IFERROR(('연간'!X22)*(1-0.3)/(L35+L29),"")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IFERROR((IF(COUNT('연간'!G16:J16)&lt;4,"",SUM('연간'!G16:J16)))/(IF(COUNT('연간'!G4:J4)&lt;4,"",SUM('연간'!G4:J4))),"")</f>
        <v/>
      </c>
      <c r="D54" s="36">
        <f>IFERROR((IF(COUNT('연간'!H16:K16)&lt;4,"",SUM('연간'!H16:K16)))/(IF(COUNT('연간'!H4:K4)&lt;4,"",SUM('연간'!H4:K4))),"")</f>
        <v/>
      </c>
      <c r="E54" s="36">
        <f>IFERROR((IF(COUNT('연간'!I16:L16)&lt;4,"",SUM('연간'!I16:L16)))/(IF(COUNT('연간'!I4:L4)&lt;4,"",SUM('연간'!I4:L4))),"")</f>
        <v/>
      </c>
      <c r="F54" s="36">
        <f>IFERROR((IF(COUNT('연간'!J16:M16)&lt;4,"",SUM('연간'!J16:M16)))/(IF(COUNT('연간'!J4:M4)&lt;4,"",SUM('연간'!J4:M4))),"")</f>
        <v/>
      </c>
      <c r="G54" s="36">
        <f>IFERROR((IF(COUNT('연간'!K16:N16)&lt;4,"",SUM('연간'!K16:N16)))/(IF(COUNT('연간'!K4:N4)&lt;4,"",SUM('연간'!K4:N4))),"")</f>
        <v/>
      </c>
      <c r="H54" s="35">
        <f>IFERROR(('연간'!T16)/('연간'!T4),"")</f>
        <v/>
      </c>
      <c r="I54" s="36">
        <f>IFERROR(('연간'!U16)/('연간'!U4),"")</f>
        <v/>
      </c>
      <c r="J54" s="36">
        <f>IFERROR(('연간'!V16)/('연간'!V4),"")</f>
        <v/>
      </c>
      <c r="K54" s="36">
        <f>IFERROR(('연간'!W16)/('연간'!W4),"")</f>
        <v/>
      </c>
      <c r="L54" s="36">
        <f>IFERROR(('연간'!X16)/('연간'!X4),"")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IFERROR((IF(COUNT('연간'!G22:J22)&lt;4,"",SUM('연간'!G22:J22)))/(IF(COUNT('연간'!G4:J4)&lt;4,"",SUM('연간'!G4:J4))),"")</f>
        <v/>
      </c>
      <c r="D55" s="36">
        <f>IFERROR((IF(COUNT('연간'!H22:K22)&lt;4,"",SUM('연간'!H22:K22)))/(IF(COUNT('연간'!H4:K4)&lt;4,"",SUM('연간'!H4:K4))),"")</f>
        <v/>
      </c>
      <c r="E55" s="36">
        <f>IFERROR((IF(COUNT('연간'!I22:L22)&lt;4,"",SUM('연간'!I22:L22)))/(IF(COUNT('연간'!I4:L4)&lt;4,"",SUM('연간'!I4:L4))),"")</f>
        <v/>
      </c>
      <c r="F55" s="36">
        <f>IFERROR((IF(COUNT('연간'!J22:M22)&lt;4,"",SUM('연간'!J22:M22)))/(IF(COUNT('연간'!J4:M4)&lt;4,"",SUM('연간'!J4:M4))),"")</f>
        <v/>
      </c>
      <c r="G55" s="36">
        <f>IFERROR((IF(COUNT('연간'!K22:N22)&lt;4,"",SUM('연간'!K22:N22)))/(IF(COUNT('연간'!K4:N4)&lt;4,"",SUM('연간'!K4:N4))),"")</f>
        <v/>
      </c>
      <c r="H55" s="35">
        <f>IFERROR(('연간'!T22)/('연간'!T4),"")</f>
        <v/>
      </c>
      <c r="I55" s="36">
        <f>IFERROR(('연간'!U22)/('연간'!U4),"")</f>
        <v/>
      </c>
      <c r="J55" s="36">
        <f>IFERROR(('연간'!V22)/('연간'!V4),"")</f>
        <v/>
      </c>
      <c r="K55" s="36">
        <f>IFERROR(('연간'!W22)/('연간'!W4),"")</f>
        <v/>
      </c>
      <c r="L55" s="36">
        <f>IFERROR(('연간'!X22)/('연간'!X4),"")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IFERROR((IF(COUNT('연간'!G50:J50)&lt;4,"",SUM('연간'!G50:J50)))/(IF(COUNT('연간'!G4:J4)&lt;4,"",SUM('연간'!G4:J4))),"")</f>
        <v/>
      </c>
      <c r="D56" s="36">
        <f>IFERROR((IF(COUNT('연간'!H50:K50)&lt;4,"",SUM('연간'!H50:K50)))/(IF(COUNT('연간'!H4:K4)&lt;4,"",SUM('연간'!H4:K4))),"")</f>
        <v/>
      </c>
      <c r="E56" s="36">
        <f>IFERROR((IF(COUNT('연간'!I50:L50)&lt;4,"",SUM('연간'!I50:L50)))/(IF(COUNT('연간'!I4:L4)&lt;4,"",SUM('연간'!I4:L4))),"")</f>
        <v/>
      </c>
      <c r="F56" s="36">
        <f>IFERROR((IF(COUNT('연간'!J50:M50)&lt;4,"",SUM('연간'!J50:M50)))/(IF(COUNT('연간'!J4:M4)&lt;4,"",SUM('연간'!J4:M4))),"")</f>
        <v/>
      </c>
      <c r="G56" s="36">
        <f>IFERROR((IF(COUNT('연간'!K50:N50)&lt;4,"",SUM('연간'!K50:N50)))/(IF(COUNT('연간'!K4:N4)&lt;4,"",SUM('연간'!K4:N4))),"")</f>
        <v/>
      </c>
      <c r="H56" s="35">
        <f>IFERROR(('연간'!T50)/('연간'!T4),"")</f>
        <v/>
      </c>
      <c r="I56" s="36">
        <f>IFERROR(('연간'!U50)/('연간'!U4),"")</f>
        <v/>
      </c>
      <c r="J56" s="36">
        <f>IFERROR(('연간'!V50)/('연간'!V4),"")</f>
        <v/>
      </c>
      <c r="K56" s="36">
        <f>IFERROR(('연간'!W50)/('연간'!W4),"")</f>
        <v/>
      </c>
      <c r="L56" s="36">
        <f>IFERROR(('연간'!X50)/('연간'!X4),"")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IFERROR(C9/(IF(COUNT('연간'!G14:J14)&lt;4,"",SUM('연간'!G14:J14)))*365,"")</f>
        <v/>
      </c>
      <c r="D60" s="49">
        <f>IFERROR(D9/(IF(COUNT('연간'!H14:K14)&lt;4,"",SUM('연간'!H14:K14)))*365,"")</f>
        <v/>
      </c>
      <c r="E60" s="49">
        <f>IFERROR(E9/(IF(COUNT('연간'!I14:L14)&lt;4,"",SUM('연간'!I14:L14)))*365,"")</f>
        <v/>
      </c>
      <c r="F60" s="49">
        <f>IFERROR(F9/(IF(COUNT('연간'!J14:M14)&lt;4,"",SUM('연간'!J14:M14)))*365,"")</f>
        <v/>
      </c>
      <c r="G60" s="49">
        <f>IFERROR(G9/(IF(COUNT('연간'!K14:N14)&lt;4,"",SUM('연간'!K14:N14)))*365,"")</f>
        <v/>
      </c>
      <c r="H60" s="48">
        <f>IFERROR(H9/('연간'!T14)*365,"")</f>
        <v/>
      </c>
      <c r="I60" s="49">
        <f>IFERROR(I9/('연간'!U14)*365,"")</f>
        <v/>
      </c>
      <c r="J60" s="49">
        <f>IFERROR(J9/('연간'!V14)*365,"")</f>
        <v/>
      </c>
      <c r="K60" s="49">
        <f>IFERROR(K9/('연간'!W14)*365,"")</f>
        <v/>
      </c>
      <c r="L60" s="49">
        <f>IFERROR(L9/('연간'!X14)*365,"")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IFERROR(C19/(IF(COUNT('연간'!G14:J14)&lt;4,"",SUM('연간'!G14:J14)))*365,"")</f>
        <v/>
      </c>
      <c r="D61" s="49">
        <f>IFERROR(D19/(IF(COUNT('연간'!H14:K14)&lt;4,"",SUM('연간'!H14:K14)))*365,"")</f>
        <v/>
      </c>
      <c r="E61" s="49">
        <f>IFERROR(E19/(IF(COUNT('연간'!I14:L14)&lt;4,"",SUM('연간'!I14:L14)))*365,"")</f>
        <v/>
      </c>
      <c r="F61" s="49">
        <f>IFERROR(F19/(IF(COUNT('연간'!J14:M14)&lt;4,"",SUM('연간'!J14:M14)))*365,"")</f>
        <v/>
      </c>
      <c r="G61" s="49">
        <f>IFERROR(G19/(IF(COUNT('연간'!K14:N14)&lt;4,"",SUM('연간'!K14:N14)))*365,"")</f>
        <v/>
      </c>
      <c r="H61" s="48">
        <f>IFERROR(H19/('연간'!T14)*365,"")</f>
        <v/>
      </c>
      <c r="I61" s="49">
        <f>IFERROR(I19/('연간'!U14)*365,"")</f>
        <v/>
      </c>
      <c r="J61" s="49">
        <f>IFERROR(J19/('연간'!V14)*365,"")</f>
        <v/>
      </c>
      <c r="K61" s="49">
        <f>IFERROR(K19/('연간'!W14)*365,"")</f>
        <v/>
      </c>
      <c r="L61" s="49">
        <f>IFERROR(L19/('연간'!X14)*365,"")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IF(C37="","",IFERROR(C37/(IF(COUNT('연간'!G50:J50)&lt;4,"",SUM('연간'!G50:J50))),""))</f>
        <v/>
      </c>
      <c r="D64" s="31">
        <f>IF(D37="","",IFERROR(D37/(IF(COUNT('연간'!H50:K50)&lt;4,"",SUM('연간'!H50:K50))),""))</f>
        <v/>
      </c>
      <c r="E64" s="31">
        <f>IF(E37="","",IFERROR(E37/(IF(COUNT('연간'!I50:L50)&lt;4,"",SUM('연간'!I50:L50))),""))</f>
        <v/>
      </c>
      <c r="F64" s="31">
        <f>IF(F37="","",IFERROR(F37/(IF(COUNT('연간'!J50:M50)&lt;4,"",SUM('연간'!J50:M50))),""))</f>
        <v/>
      </c>
      <c r="G64" s="31">
        <f>IF(G37="","",IFERROR(G37/(IF(COUNT('연간'!K50:N50)&lt;4,"",SUM('연간'!K50:N50))),""))</f>
        <v/>
      </c>
      <c r="H64" s="30">
        <f>IF(H37="","",IFERROR(H37/('연간'!T50),""))</f>
        <v/>
      </c>
      <c r="I64" s="31">
        <f>IF(I37="","",IFERROR(I37/('연간'!U50),""))</f>
        <v/>
      </c>
      <c r="J64" s="31">
        <f>IF(J37="","",IFERROR(J37/('연간'!V50),""))</f>
        <v/>
      </c>
      <c r="K64" s="31">
        <f>IF(K37="","",IFERROR(K37/('연간'!W50),""))</f>
        <v/>
      </c>
      <c r="L64" s="31">
        <f>IF(L37="","",IFERROR(L37/('연간'!X50),""))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IF(C40="","",IFERROR(C40/(IF(COUNT('연간'!G52:J52)&lt;4,"",SUM('연간'!G52:J52))),""))</f>
        <v/>
      </c>
      <c r="D67" s="36">
        <f>IF(D40="","",IFERROR(D40/(IF(COUNT('연간'!H52:K52)&lt;4,"",SUM('연간'!H52:K52))),""))</f>
        <v/>
      </c>
      <c r="E67" s="36">
        <f>IF(E40="","",IFERROR(E40/(IF(COUNT('연간'!I52:L52)&lt;4,"",SUM('연간'!I52:L52))),""))</f>
        <v/>
      </c>
      <c r="F67" s="36">
        <f>IF(F40="","",IFERROR(F40/(IF(COUNT('연간'!J52:M52)&lt;4,"",SUM('연간'!J52:M52))),""))</f>
        <v/>
      </c>
      <c r="G67" s="36">
        <f>IF(G40="","",IFERROR(G40/(IF(COUNT('연간'!K52:N52)&lt;4,"",SUM('연간'!K52:N52))),""))</f>
        <v/>
      </c>
      <c r="H67" s="35">
        <f>IF(H40="","",IFERROR(H40/('연간'!T52),""))</f>
        <v/>
      </c>
      <c r="I67" s="36">
        <f>IF(I40="","",IFERROR(I40/('연간'!U52),""))</f>
        <v/>
      </c>
      <c r="J67" s="36">
        <f>IF(J40="","",IFERROR(J40/('연간'!V52),""))</f>
        <v/>
      </c>
      <c r="K67" s="36">
        <f>IF(K40="","",IFERROR(K40/('연간'!W52),""))</f>
        <v/>
      </c>
      <c r="L67" s="36">
        <f>IF(L40="","",IFERROR(L40/('연간'!X52),""))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15275</v>
      </c>
      <c r="D71" s="20" t="n">
        <v>14666</v>
      </c>
      <c r="E71" s="20" t="n">
        <v>15270</v>
      </c>
      <c r="F71" s="20" t="n">
        <v>18302</v>
      </c>
      <c r="G71" s="20" t="n">
        <v>17765</v>
      </c>
      <c r="H71" s="20" t="n">
        <v>47031</v>
      </c>
      <c r="I71" s="20" t="n">
        <v>44905</v>
      </c>
      <c r="J71" s="20" t="n">
        <v>15167</v>
      </c>
      <c r="K71" s="20" t="n">
        <v>15842</v>
      </c>
      <c r="L71" s="20" t="n">
        <v>18302</v>
      </c>
    </row>
    <row r="72">
      <c r="A72" s="18" t="inlineStr">
        <is>
          <t>받을어음</t>
        </is>
      </c>
      <c r="F72" s="20" t="n">
        <v>1123</v>
      </c>
      <c r="H72" s="20" t="n">
        <v>4355</v>
      </c>
      <c r="I72" s="20" t="n">
        <v>3751</v>
      </c>
      <c r="J72" s="20" t="n">
        <v>3165</v>
      </c>
      <c r="K72" s="20" t="n">
        <v>2967</v>
      </c>
      <c r="L72" s="20" t="n">
        <v>1123</v>
      </c>
    </row>
    <row r="73">
      <c r="A73" s="18" t="inlineStr">
        <is>
          <t>매출채권</t>
        </is>
      </c>
      <c r="F73" s="20" t="n">
        <v>13598</v>
      </c>
      <c r="H73" s="20" t="n">
        <v>12645</v>
      </c>
      <c r="I73" s="20" t="n">
        <v>13150</v>
      </c>
      <c r="J73" s="20" t="n">
        <v>12879</v>
      </c>
      <c r="K73" s="20" t="n">
        <v>14004</v>
      </c>
      <c r="L73" s="20" t="n">
        <v>13598</v>
      </c>
    </row>
    <row r="74">
      <c r="A74" s="18" t="inlineStr">
        <is>
          <t>받을어음·매출채권</t>
        </is>
      </c>
      <c r="C74" s="20" t="n">
        <v>12254</v>
      </c>
      <c r="D74" s="20" t="n">
        <v>12224</v>
      </c>
      <c r="E74" s="20" t="n">
        <v>12390</v>
      </c>
      <c r="F74" s="20" t="n">
        <v>14722</v>
      </c>
      <c r="G74" s="20" t="n">
        <v>11332</v>
      </c>
      <c r="H74" s="20" t="n">
        <v>17000</v>
      </c>
      <c r="I74" s="20" t="n">
        <v>16901</v>
      </c>
      <c r="J74" s="20" t="n">
        <v>16044</v>
      </c>
      <c r="K74" s="20" t="n">
        <v>16971</v>
      </c>
      <c r="L74" s="20" t="n">
        <v>14722</v>
      </c>
    </row>
    <row r="75">
      <c r="A75" s="18" t="inlineStr">
        <is>
          <t>전자기록채권</t>
        </is>
      </c>
      <c r="C75" s="20" t="n">
        <v>8315</v>
      </c>
      <c r="D75" s="20" t="n">
        <v>7821</v>
      </c>
      <c r="E75" s="20" t="n">
        <v>10279</v>
      </c>
      <c r="F75" s="20" t="n">
        <v>9864</v>
      </c>
      <c r="G75" s="20" t="n">
        <v>9305</v>
      </c>
      <c r="H75" s="20" t="n">
        <v>7012</v>
      </c>
      <c r="I75" s="20" t="n">
        <v>8220</v>
      </c>
      <c r="J75" s="20" t="n">
        <v>9783</v>
      </c>
      <c r="K75" s="20" t="n">
        <v>8532</v>
      </c>
      <c r="L75" s="20" t="n">
        <v>9864</v>
      </c>
    </row>
    <row r="76">
      <c r="A76" s="18" t="inlineStr">
        <is>
          <t>유가증권</t>
        </is>
      </c>
      <c r="H76" s="20" t="n">
        <v>0</v>
      </c>
      <c r="I76" s="20" t="n">
        <v>699</v>
      </c>
      <c r="J76" s="20" t="n">
        <v>0</v>
      </c>
    </row>
    <row r="77">
      <c r="A77" s="18" t="inlineStr">
        <is>
          <t>상품·제품</t>
        </is>
      </c>
      <c r="C77" s="20" t="n">
        <v>4958</v>
      </c>
      <c r="D77" s="20" t="n">
        <v>4664</v>
      </c>
      <c r="E77" s="20" t="n">
        <v>5083</v>
      </c>
      <c r="F77" s="20" t="n">
        <v>5031</v>
      </c>
      <c r="G77" s="20" t="n">
        <v>5437</v>
      </c>
      <c r="H77" s="20" t="n">
        <v>2513</v>
      </c>
      <c r="I77" s="20" t="n">
        <v>3210</v>
      </c>
      <c r="J77" s="20" t="n">
        <v>4394</v>
      </c>
      <c r="K77" s="20" t="n">
        <v>4435</v>
      </c>
      <c r="L77" s="20" t="n">
        <v>5031</v>
      </c>
    </row>
    <row r="78">
      <c r="A78" s="18" t="inlineStr">
        <is>
          <t>재공품</t>
        </is>
      </c>
      <c r="C78" s="20" t="n">
        <v>2152</v>
      </c>
      <c r="D78" s="20" t="n">
        <v>2425</v>
      </c>
      <c r="E78" s="20" t="n">
        <v>2877</v>
      </c>
      <c r="F78" s="20" t="n">
        <v>2284</v>
      </c>
      <c r="G78" s="20" t="n">
        <v>2605</v>
      </c>
      <c r="H78" s="20" t="n">
        <v>1096</v>
      </c>
      <c r="I78" s="20" t="n">
        <v>1382</v>
      </c>
      <c r="J78" s="20" t="n">
        <v>1557</v>
      </c>
      <c r="K78" s="20" t="n">
        <v>2159</v>
      </c>
      <c r="L78" s="20" t="n">
        <v>2284</v>
      </c>
    </row>
    <row r="79">
      <c r="A79" s="18" t="inlineStr">
        <is>
          <t>원재료·저장품</t>
        </is>
      </c>
      <c r="C79" s="20" t="n">
        <v>5376</v>
      </c>
      <c r="D79" s="20" t="n">
        <v>5642</v>
      </c>
      <c r="E79" s="20" t="n">
        <v>5981</v>
      </c>
      <c r="F79" s="20" t="n">
        <v>5788</v>
      </c>
      <c r="G79" s="20" t="n">
        <v>6374</v>
      </c>
      <c r="H79" s="20" t="n">
        <v>3657</v>
      </c>
      <c r="I79" s="20" t="n">
        <v>4313</v>
      </c>
      <c r="J79" s="20" t="n">
        <v>4971</v>
      </c>
      <c r="K79" s="20" t="n">
        <v>5605</v>
      </c>
      <c r="L79" s="20" t="n">
        <v>5788</v>
      </c>
    </row>
    <row r="80">
      <c r="A80" s="18" t="inlineStr">
        <is>
          <t>기타</t>
        </is>
      </c>
      <c r="C80" s="20" t="n">
        <v>1735</v>
      </c>
      <c r="D80" s="20" t="n">
        <v>1775</v>
      </c>
      <c r="E80" s="20" t="n">
        <v>2027</v>
      </c>
      <c r="F80" s="20" t="n">
        <v>1523</v>
      </c>
      <c r="G80" s="20" t="n">
        <v>1838</v>
      </c>
      <c r="H80" s="20" t="n">
        <v>1251</v>
      </c>
      <c r="I80" s="20" t="n">
        <v>1453</v>
      </c>
      <c r="J80" s="20" t="n">
        <v>1477</v>
      </c>
      <c r="K80" s="20" t="n">
        <v>1431</v>
      </c>
      <c r="L80" s="20" t="n">
        <v>1523</v>
      </c>
    </row>
    <row r="81">
      <c r="A81" s="18" t="inlineStr">
        <is>
          <t>대손충당금</t>
        </is>
      </c>
      <c r="C81" s="20" t="n">
        <v>-25</v>
      </c>
      <c r="D81" s="20" t="n">
        <v>-24</v>
      </c>
      <c r="E81" s="20" t="n">
        <v>-28</v>
      </c>
      <c r="F81" s="20" t="n">
        <v>-36</v>
      </c>
      <c r="G81" s="20" t="n">
        <v>-24</v>
      </c>
      <c r="H81" s="20" t="n">
        <v>-24</v>
      </c>
      <c r="I81" s="20" t="n">
        <v>-25</v>
      </c>
      <c r="J81" s="20" t="n">
        <v>-26</v>
      </c>
      <c r="K81" s="20" t="n">
        <v>-36</v>
      </c>
      <c r="L81" s="20" t="n">
        <v>-36</v>
      </c>
    </row>
    <row r="82">
      <c r="A82" s="9" t="inlineStr">
        <is>
          <t>유동자산 합계</t>
        </is>
      </c>
      <c r="C82" s="12" t="n">
        <v>50043</v>
      </c>
      <c r="D82" s="12" t="n">
        <v>49196</v>
      </c>
      <c r="E82" s="12" t="n">
        <v>53881</v>
      </c>
      <c r="F82" s="12" t="n">
        <v>57479</v>
      </c>
      <c r="G82" s="12" t="n">
        <v>54635</v>
      </c>
      <c r="H82" s="12" t="n">
        <v>79540</v>
      </c>
      <c r="I82" s="12" t="n">
        <v>81062</v>
      </c>
      <c r="J82" s="12" t="n">
        <v>53371</v>
      </c>
      <c r="K82" s="12" t="n">
        <v>54941</v>
      </c>
      <c r="L82" s="12" t="n">
        <v>57479</v>
      </c>
    </row>
    <row r="83">
      <c r="A83" s="18" t="inlineStr">
        <is>
          <t>건물·구축물(순액)</t>
        </is>
      </c>
      <c r="F83" s="20" t="n">
        <v>7696</v>
      </c>
      <c r="H83" s="20" t="n">
        <v>3802</v>
      </c>
      <c r="I83" s="20" t="n">
        <v>3737</v>
      </c>
      <c r="J83" s="20" t="n">
        <v>5196</v>
      </c>
      <c r="K83" s="20" t="n">
        <v>6145</v>
      </c>
      <c r="L83" s="20" t="n">
        <v>7696</v>
      </c>
    </row>
    <row r="84">
      <c r="A84" s="18" t="inlineStr">
        <is>
          <t>기계장치·운반구(순액)</t>
        </is>
      </c>
      <c r="F84" s="20" t="n">
        <v>5280</v>
      </c>
      <c r="H84" s="20" t="n">
        <v>2654</v>
      </c>
      <c r="I84" s="20" t="n">
        <v>2920</v>
      </c>
      <c r="J84" s="20" t="n">
        <v>4362</v>
      </c>
      <c r="K84" s="20" t="n">
        <v>5034</v>
      </c>
      <c r="L84" s="20" t="n">
        <v>5280</v>
      </c>
    </row>
    <row r="85">
      <c r="A85" s="18" t="inlineStr">
        <is>
          <t>토지</t>
        </is>
      </c>
      <c r="F85" s="20" t="n">
        <v>8415</v>
      </c>
      <c r="H85" s="20" t="n">
        <v>7273</v>
      </c>
      <c r="I85" s="20" t="n">
        <v>7262</v>
      </c>
      <c r="J85" s="20" t="n">
        <v>8158</v>
      </c>
      <c r="K85" s="20" t="n">
        <v>8284</v>
      </c>
      <c r="L85" s="20" t="n">
        <v>8415</v>
      </c>
    </row>
    <row r="86">
      <c r="A86" s="18" t="inlineStr">
        <is>
          <t>기타(순액)</t>
        </is>
      </c>
      <c r="F86" s="20" t="n">
        <v>1062</v>
      </c>
      <c r="H86" s="20" t="n">
        <v>364</v>
      </c>
      <c r="I86" s="20" t="n">
        <v>351</v>
      </c>
      <c r="J86" s="20" t="n">
        <v>933</v>
      </c>
      <c r="K86" s="20" t="n">
        <v>1965</v>
      </c>
      <c r="L86" s="20" t="n">
        <v>1062</v>
      </c>
    </row>
    <row r="87">
      <c r="A87" s="18" t="inlineStr">
        <is>
          <t>유형자산</t>
        </is>
      </c>
      <c r="C87" s="20" t="n">
        <v>21678</v>
      </c>
      <c r="D87" s="20" t="n">
        <v>22612</v>
      </c>
      <c r="E87" s="20" t="n">
        <v>22615</v>
      </c>
      <c r="F87" s="20" t="n">
        <v>22455</v>
      </c>
      <c r="G87" s="20" t="n">
        <v>23103</v>
      </c>
      <c r="H87" s="20" t="n">
        <v>14094</v>
      </c>
      <c r="I87" s="20" t="n">
        <v>14271</v>
      </c>
      <c r="J87" s="20" t="n">
        <v>18651</v>
      </c>
      <c r="K87" s="20" t="n">
        <v>21430</v>
      </c>
      <c r="L87" s="20" t="n">
        <v>22455</v>
      </c>
    </row>
    <row r="88">
      <c r="A88" s="18" t="inlineStr">
        <is>
          <t>영업권</t>
        </is>
      </c>
      <c r="C88" s="20" t="n">
        <v>12447</v>
      </c>
      <c r="D88" s="20" t="n">
        <v>12571</v>
      </c>
      <c r="E88" s="20" t="n">
        <v>12068</v>
      </c>
      <c r="F88" s="20" t="n">
        <v>12290</v>
      </c>
      <c r="G88" s="20" t="n">
        <v>11835</v>
      </c>
      <c r="I88" s="20" t="n">
        <v>0</v>
      </c>
      <c r="J88" s="20" t="n">
        <v>12641</v>
      </c>
      <c r="K88" s="20" t="n">
        <v>12556</v>
      </c>
      <c r="L88" s="20" t="n">
        <v>12290</v>
      </c>
    </row>
    <row r="89">
      <c r="A89" s="18" t="inlineStr">
        <is>
          <t>고객관계자산</t>
        </is>
      </c>
      <c r="C89" s="20" t="n">
        <v>4690</v>
      </c>
      <c r="D89" s="20" t="n">
        <v>4813</v>
      </c>
      <c r="E89" s="20" t="n">
        <v>5494</v>
      </c>
      <c r="F89" s="20" t="n">
        <v>5646</v>
      </c>
      <c r="G89" s="20" t="n">
        <v>5500</v>
      </c>
      <c r="J89" s="20" t="n">
        <v>4992</v>
      </c>
      <c r="K89" s="20" t="n">
        <v>5562</v>
      </c>
      <c r="L89" s="20" t="n">
        <v>5646</v>
      </c>
    </row>
    <row r="90">
      <c r="A90" s="18" t="inlineStr">
        <is>
          <t>기타</t>
        </is>
      </c>
      <c r="C90" s="20" t="n">
        <v>993</v>
      </c>
      <c r="D90" s="20" t="n">
        <v>1108</v>
      </c>
      <c r="E90" s="20" t="n">
        <v>1585</v>
      </c>
      <c r="F90" s="20" t="n">
        <v>1822</v>
      </c>
      <c r="G90" s="20" t="n">
        <v>2083</v>
      </c>
      <c r="I90" s="20" t="n">
        <v>254</v>
      </c>
      <c r="J90" s="20" t="n">
        <v>281</v>
      </c>
      <c r="K90" s="20" t="n">
        <v>901</v>
      </c>
      <c r="L90" s="20" t="n">
        <v>1822</v>
      </c>
    </row>
    <row r="91">
      <c r="A91" s="18" t="inlineStr">
        <is>
          <t>무형자산 합계</t>
        </is>
      </c>
      <c r="C91" s="20" t="n">
        <v>18131</v>
      </c>
      <c r="D91" s="20" t="n">
        <v>18494</v>
      </c>
      <c r="E91" s="20" t="n">
        <v>19149</v>
      </c>
      <c r="F91" s="20" t="n">
        <v>19759</v>
      </c>
      <c r="G91" s="20" t="n">
        <v>19419</v>
      </c>
      <c r="H91" s="20" t="n">
        <v>249</v>
      </c>
      <c r="I91" s="20" t="n">
        <v>254</v>
      </c>
      <c r="J91" s="20" t="n">
        <v>17916</v>
      </c>
      <c r="K91" s="20" t="n">
        <v>19019</v>
      </c>
      <c r="L91" s="20" t="n">
        <v>19759</v>
      </c>
    </row>
    <row r="92">
      <c r="A92" s="18" t="inlineStr">
        <is>
          <t>투자유가증권</t>
        </is>
      </c>
      <c r="C92" s="20" t="n">
        <v>16399</v>
      </c>
      <c r="D92" s="20" t="n">
        <v>16892</v>
      </c>
      <c r="E92" s="20" t="n">
        <v>17170</v>
      </c>
      <c r="F92" s="20" t="n">
        <v>17290</v>
      </c>
      <c r="G92" s="20" t="n">
        <v>18523</v>
      </c>
      <c r="H92" s="20" t="n">
        <v>17276</v>
      </c>
      <c r="I92" s="20" t="n">
        <v>16375</v>
      </c>
      <c r="J92" s="20" t="n">
        <v>17528</v>
      </c>
      <c r="K92" s="20" t="n">
        <v>16062</v>
      </c>
      <c r="L92" s="20" t="n">
        <v>17290</v>
      </c>
    </row>
    <row r="93">
      <c r="A93" s="18" t="inlineStr">
        <is>
          <t>Long Term Time Deposits IOA</t>
        </is>
      </c>
      <c r="C93" s="20" t="n">
        <v>25500</v>
      </c>
      <c r="D93" s="20" t="n">
        <v>25500</v>
      </c>
      <c r="F93" s="20" t="n">
        <v>22868</v>
      </c>
      <c r="G93" s="20" t="n">
        <v>22866</v>
      </c>
      <c r="H93" s="20" t="n">
        <v>22500</v>
      </c>
      <c r="I93" s="20" t="n">
        <v>25500</v>
      </c>
      <c r="J93" s="20" t="n">
        <v>25500</v>
      </c>
      <c r="K93" s="20" t="n">
        <v>25500</v>
      </c>
      <c r="L93" s="20" t="n">
        <v>22868</v>
      </c>
    </row>
    <row r="94">
      <c r="A94" s="18" t="inlineStr">
        <is>
          <t>이연법인세자산</t>
        </is>
      </c>
      <c r="H94" s="20" t="n">
        <v>480</v>
      </c>
      <c r="I94" s="20" t="n">
        <v>407</v>
      </c>
      <c r="J94" s="20" t="n">
        <v>532</v>
      </c>
      <c r="K94" s="20" t="n">
        <v>490</v>
      </c>
    </row>
    <row r="95">
      <c r="A95" s="18" t="inlineStr">
        <is>
          <t>퇴직급여자산</t>
        </is>
      </c>
      <c r="C95" s="20" t="n">
        <v>1476</v>
      </c>
      <c r="D95" s="20" t="n">
        <v>1493</v>
      </c>
      <c r="E95" s="20" t="n">
        <v>1510</v>
      </c>
      <c r="F95" s="20" t="n">
        <v>1543</v>
      </c>
      <c r="G95" s="20" t="n">
        <v>1560</v>
      </c>
      <c r="H95" s="20" t="n">
        <v>824</v>
      </c>
      <c r="I95" s="20" t="n">
        <v>902</v>
      </c>
      <c r="J95" s="20" t="n">
        <v>1065</v>
      </c>
      <c r="K95" s="20" t="n">
        <v>1459</v>
      </c>
      <c r="L95" s="20" t="n">
        <v>1543</v>
      </c>
    </row>
    <row r="96">
      <c r="A96" s="18" t="inlineStr">
        <is>
          <t>Longtermtimedeposits IOA</t>
        </is>
      </c>
      <c r="E96" s="20" t="n">
        <v>25500</v>
      </c>
      <c r="H96" s="20" t="n">
        <v>22500</v>
      </c>
      <c r="I96" s="20" t="n">
        <v>25500</v>
      </c>
      <c r="J96" s="20" t="n">
        <v>25500</v>
      </c>
      <c r="K96" s="20" t="n">
        <v>25500</v>
      </c>
    </row>
    <row r="97">
      <c r="A97" s="18" t="inlineStr">
        <is>
          <t>기타</t>
        </is>
      </c>
      <c r="C97" s="20" t="n">
        <v>1385</v>
      </c>
      <c r="D97" s="20" t="n">
        <v>1432</v>
      </c>
      <c r="E97" s="20" t="n">
        <v>1442</v>
      </c>
      <c r="F97" s="20" t="n">
        <v>1371</v>
      </c>
      <c r="G97" s="20" t="n">
        <v>1453</v>
      </c>
      <c r="H97" s="20" t="n">
        <v>1209</v>
      </c>
      <c r="I97" s="20" t="n">
        <v>1194</v>
      </c>
      <c r="J97" s="20" t="n">
        <v>1118</v>
      </c>
      <c r="K97" s="20" t="n">
        <v>1365</v>
      </c>
      <c r="L97" s="20" t="n">
        <v>1371</v>
      </c>
    </row>
    <row r="98">
      <c r="A98" s="18" t="inlineStr">
        <is>
          <t>대손충당금</t>
        </is>
      </c>
      <c r="C98" s="20" t="n">
        <v>-178</v>
      </c>
      <c r="D98" s="20" t="n">
        <v>-183</v>
      </c>
      <c r="E98" s="20" t="n">
        <v>-192</v>
      </c>
      <c r="F98" s="20" t="n">
        <v>-199</v>
      </c>
      <c r="G98" s="20" t="n">
        <v>-202</v>
      </c>
      <c r="H98" s="20" t="n">
        <v>-568</v>
      </c>
      <c r="I98" s="20" t="n">
        <v>-601</v>
      </c>
      <c r="J98" s="20" t="n">
        <v>-665</v>
      </c>
      <c r="K98" s="20" t="n">
        <v>-195</v>
      </c>
      <c r="L98" s="20" t="n">
        <v>-199</v>
      </c>
    </row>
    <row r="99">
      <c r="A99" s="18" t="inlineStr">
        <is>
          <t>투자 및 기타자산 합계</t>
        </is>
      </c>
      <c r="C99" s="20" t="n">
        <v>44583</v>
      </c>
      <c r="D99" s="20" t="n">
        <v>45135</v>
      </c>
      <c r="E99" s="20" t="n">
        <v>45431</v>
      </c>
      <c r="F99" s="20" t="n">
        <v>42873</v>
      </c>
      <c r="G99" s="20" t="n">
        <v>44201</v>
      </c>
      <c r="H99" s="20" t="n">
        <v>41722</v>
      </c>
      <c r="I99" s="20" t="n">
        <v>43778</v>
      </c>
      <c r="J99" s="20" t="n">
        <v>45079</v>
      </c>
      <c r="K99" s="20" t="n">
        <v>44192</v>
      </c>
      <c r="L99" s="20" t="n">
        <v>42873</v>
      </c>
    </row>
    <row r="100">
      <c r="A100" s="9" t="inlineStr">
        <is>
          <t>비유동자산 합계</t>
        </is>
      </c>
      <c r="C100" s="12" t="n">
        <v>84393</v>
      </c>
      <c r="D100" s="12" t="n">
        <v>86243</v>
      </c>
      <c r="E100" s="12" t="n">
        <v>87196</v>
      </c>
      <c r="F100" s="12" t="n">
        <v>85089</v>
      </c>
      <c r="G100" s="12" t="n">
        <v>86724</v>
      </c>
      <c r="H100" s="12" t="n">
        <v>56066</v>
      </c>
      <c r="I100" s="12" t="n">
        <v>58303</v>
      </c>
      <c r="J100" s="12" t="n">
        <v>81647</v>
      </c>
      <c r="K100" s="12" t="n">
        <v>84642</v>
      </c>
      <c r="L100" s="12" t="n">
        <v>85089</v>
      </c>
    </row>
    <row r="101">
      <c r="A101" s="9" t="inlineStr">
        <is>
          <t>자산 합계</t>
        </is>
      </c>
      <c r="C101" s="12" t="n">
        <v>134436</v>
      </c>
      <c r="D101" s="12" t="n">
        <v>135439</v>
      </c>
      <c r="E101" s="12" t="n">
        <v>141077</v>
      </c>
      <c r="F101" s="12" t="n">
        <v>142568</v>
      </c>
      <c r="G101" s="12" t="n">
        <v>141359</v>
      </c>
      <c r="H101" s="12" t="n">
        <v>135606</v>
      </c>
      <c r="I101" s="12" t="n">
        <v>139366</v>
      </c>
      <c r="J101" s="12" t="n">
        <v>135018</v>
      </c>
      <c r="K101" s="12" t="n">
        <v>139583</v>
      </c>
      <c r="L101" s="12" t="n">
        <v>142568</v>
      </c>
    </row>
    <row r="102">
      <c r="A102" s="18" t="inlineStr">
        <is>
          <t>지급어음·매입채무</t>
        </is>
      </c>
      <c r="C102" s="20" t="n">
        <v>6948</v>
      </c>
      <c r="D102" s="20" t="n">
        <v>6681</v>
      </c>
      <c r="E102" s="20" t="n">
        <v>7723</v>
      </c>
      <c r="F102" s="20" t="n">
        <v>7875</v>
      </c>
      <c r="G102" s="20" t="n">
        <v>7330</v>
      </c>
      <c r="H102" s="20" t="n">
        <v>8234</v>
      </c>
      <c r="I102" s="20" t="n">
        <v>8592</v>
      </c>
      <c r="J102" s="20" t="n">
        <v>7924</v>
      </c>
      <c r="K102" s="20" t="n">
        <v>8703</v>
      </c>
      <c r="L102" s="20" t="n">
        <v>7875</v>
      </c>
    </row>
    <row r="103">
      <c r="A103" s="18" t="inlineStr">
        <is>
          <t>전자기록채무</t>
        </is>
      </c>
      <c r="C103" s="20" t="n">
        <v>3045</v>
      </c>
      <c r="D103" s="20" t="n">
        <v>2628</v>
      </c>
      <c r="E103" s="20" t="n">
        <v>3509</v>
      </c>
      <c r="F103" s="20" t="n">
        <v>2351</v>
      </c>
      <c r="G103" s="20" t="n">
        <v>2793</v>
      </c>
      <c r="H103" s="20" t="n">
        <v>5532</v>
      </c>
      <c r="I103" s="20" t="n">
        <v>6532</v>
      </c>
      <c r="J103" s="20" t="n">
        <v>3022</v>
      </c>
      <c r="K103" s="20" t="n">
        <v>3398</v>
      </c>
      <c r="L103" s="20" t="n">
        <v>2351</v>
      </c>
    </row>
    <row r="104">
      <c r="A104" s="18" t="inlineStr">
        <is>
          <t>단기차입금</t>
        </is>
      </c>
      <c r="C104" s="20" t="n">
        <v>7924</v>
      </c>
      <c r="D104" s="20" t="n">
        <v>6569</v>
      </c>
      <c r="E104" s="20" t="n">
        <v>8100</v>
      </c>
      <c r="F104" s="20" t="n">
        <v>5900</v>
      </c>
      <c r="G104" s="20" t="n">
        <v>4500</v>
      </c>
      <c r="H104" s="20" t="n">
        <v>1000</v>
      </c>
      <c r="I104" s="20" t="n">
        <v>900</v>
      </c>
      <c r="J104" s="20" t="n">
        <v>9963</v>
      </c>
      <c r="K104" s="20" t="n">
        <v>12284</v>
      </c>
      <c r="L104" s="20" t="n">
        <v>5900</v>
      </c>
    </row>
    <row r="105">
      <c r="A105" s="18" t="inlineStr">
        <is>
          <t>1년 내 상환 장기차입금</t>
        </is>
      </c>
      <c r="C105" s="20" t="n">
        <v>216</v>
      </c>
      <c r="D105" s="20" t="n">
        <v>224</v>
      </c>
      <c r="E105" s="20" t="n">
        <v>191</v>
      </c>
      <c r="F105" s="20" t="n">
        <v>184</v>
      </c>
      <c r="G105" s="20" t="n">
        <v>183</v>
      </c>
      <c r="J105" s="20" t="n">
        <v>37</v>
      </c>
      <c r="K105" s="20" t="n">
        <v>219</v>
      </c>
      <c r="L105" s="20" t="n">
        <v>184</v>
      </c>
    </row>
    <row r="106">
      <c r="A106" s="18" t="inlineStr">
        <is>
          <t>미지급금</t>
        </is>
      </c>
      <c r="F106" s="20" t="n">
        <v>1271</v>
      </c>
      <c r="H106" s="20" t="n">
        <v>1602</v>
      </c>
      <c r="I106" s="20" t="n">
        <v>1347</v>
      </c>
      <c r="J106" s="20" t="n">
        <v>1601</v>
      </c>
      <c r="K106" s="20" t="n">
        <v>2004</v>
      </c>
      <c r="L106" s="20" t="n">
        <v>1271</v>
      </c>
    </row>
    <row r="107">
      <c r="A107" s="18" t="inlineStr">
        <is>
          <t>미지급법인세</t>
        </is>
      </c>
      <c r="F107" s="20" t="n">
        <v>1946</v>
      </c>
      <c r="H107" s="20" t="n">
        <v>1582</v>
      </c>
      <c r="I107" s="20" t="n">
        <v>1334</v>
      </c>
      <c r="J107" s="20" t="n">
        <v>1027</v>
      </c>
      <c r="K107" s="20" t="n">
        <v>951</v>
      </c>
      <c r="L107" s="20" t="n">
        <v>1946</v>
      </c>
    </row>
    <row r="108">
      <c r="A108" s="18" t="inlineStr">
        <is>
          <t>상여충당금</t>
        </is>
      </c>
      <c r="F108" s="20" t="n">
        <v>1103</v>
      </c>
      <c r="H108" s="20" t="n">
        <v>788</v>
      </c>
      <c r="I108" s="20" t="n">
        <v>797</v>
      </c>
      <c r="J108" s="20" t="n">
        <v>1022</v>
      </c>
      <c r="K108" s="20" t="n">
        <v>1044</v>
      </c>
      <c r="L108" s="20" t="n">
        <v>1103</v>
      </c>
    </row>
    <row r="109">
      <c r="A109" s="18" t="inlineStr">
        <is>
          <t>임원 상여충당금</t>
        </is>
      </c>
      <c r="F109" s="20" t="n">
        <v>112</v>
      </c>
      <c r="H109" s="20" t="n">
        <v>119</v>
      </c>
      <c r="I109" s="20" t="n">
        <v>105</v>
      </c>
      <c r="J109" s="20" t="n">
        <v>122</v>
      </c>
      <c r="K109" s="20" t="n">
        <v>125</v>
      </c>
      <c r="L109" s="20" t="n">
        <v>112</v>
      </c>
    </row>
    <row r="110">
      <c r="A110" s="18" t="inlineStr">
        <is>
          <t>충당금</t>
        </is>
      </c>
      <c r="C110" s="20" t="n">
        <v>604</v>
      </c>
      <c r="D110" s="20" t="n">
        <v>1090</v>
      </c>
      <c r="E110" s="20" t="n">
        <v>741</v>
      </c>
      <c r="F110" s="20" t="n">
        <v>1216</v>
      </c>
      <c r="G110" s="20" t="n">
        <v>639</v>
      </c>
      <c r="H110" s="20" t="n">
        <v>907</v>
      </c>
      <c r="I110" s="20" t="n">
        <v>903</v>
      </c>
      <c r="J110" s="20" t="n">
        <v>1145</v>
      </c>
      <c r="K110" s="20" t="n">
        <v>1169</v>
      </c>
      <c r="L110" s="20" t="n">
        <v>1216</v>
      </c>
    </row>
    <row r="111">
      <c r="A111" s="18" t="inlineStr">
        <is>
          <t>기타</t>
        </is>
      </c>
      <c r="C111" s="20" t="n">
        <v>7159</v>
      </c>
      <c r="D111" s="20" t="n">
        <v>8243</v>
      </c>
      <c r="E111" s="20" t="n">
        <v>8552</v>
      </c>
      <c r="F111" s="20" t="n">
        <v>8712</v>
      </c>
      <c r="G111" s="20" t="n">
        <v>8571</v>
      </c>
      <c r="H111" s="20" t="n">
        <v>4280</v>
      </c>
      <c r="I111" s="20" t="n">
        <v>4428</v>
      </c>
      <c r="J111" s="20" t="n">
        <v>5340</v>
      </c>
      <c r="K111" s="20" t="n">
        <v>5303</v>
      </c>
      <c r="L111" s="20" t="n">
        <v>8712</v>
      </c>
    </row>
    <row r="112">
      <c r="A112" s="9" t="inlineStr">
        <is>
          <t>유동부채 합계</t>
        </is>
      </c>
      <c r="C112" s="12" t="n">
        <v>25897</v>
      </c>
      <c r="D112" s="12" t="n">
        <v>25439</v>
      </c>
      <c r="E112" s="12" t="n">
        <v>28818</v>
      </c>
      <c r="F112" s="12" t="n">
        <v>26240</v>
      </c>
      <c r="G112" s="12" t="n">
        <v>24018</v>
      </c>
      <c r="H112" s="12" t="n">
        <v>23139</v>
      </c>
      <c r="I112" s="12" t="n">
        <v>24038</v>
      </c>
      <c r="J112" s="12" t="n">
        <v>30061</v>
      </c>
      <c r="K112" s="12" t="n">
        <v>34035</v>
      </c>
      <c r="L112" s="12" t="n">
        <v>26240</v>
      </c>
    </row>
    <row r="113">
      <c r="A113" s="18" t="inlineStr">
        <is>
          <t>사채</t>
        </is>
      </c>
      <c r="C113" s="20" t="n">
        <v>4700</v>
      </c>
      <c r="D113" s="20" t="n">
        <v>4700</v>
      </c>
      <c r="E113" s="20" t="n">
        <v>4700</v>
      </c>
      <c r="F113" s="20" t="n">
        <v>4700</v>
      </c>
      <c r="G113" s="20" t="n">
        <v>4700</v>
      </c>
      <c r="K113" s="20" t="n">
        <v>0</v>
      </c>
      <c r="L113" s="20" t="n">
        <v>4700</v>
      </c>
    </row>
    <row r="114">
      <c r="A114" s="18" t="inlineStr">
        <is>
          <t>장기차입금</t>
        </is>
      </c>
      <c r="C114" s="20" t="n">
        <v>1653</v>
      </c>
      <c r="D114" s="20" t="n">
        <v>1505</v>
      </c>
      <c r="E114" s="20" t="n">
        <v>3421</v>
      </c>
      <c r="F114" s="20" t="n">
        <v>3474</v>
      </c>
      <c r="G114" s="20" t="n">
        <v>3421</v>
      </c>
      <c r="I114" s="20" t="n">
        <v>0</v>
      </c>
      <c r="J114" s="20" t="n">
        <v>139</v>
      </c>
      <c r="K114" s="20" t="n">
        <v>1734</v>
      </c>
      <c r="L114" s="20" t="n">
        <v>3474</v>
      </c>
    </row>
    <row r="115">
      <c r="A115" s="18" t="inlineStr">
        <is>
          <t>임원 퇴직위로 충당금</t>
        </is>
      </c>
      <c r="C115" s="20" t="n">
        <v>70</v>
      </c>
      <c r="D115" s="20" t="n">
        <v>73</v>
      </c>
      <c r="E115" s="20" t="n">
        <v>76</v>
      </c>
      <c r="F115" s="20" t="n">
        <v>77</v>
      </c>
      <c r="G115" s="20" t="n">
        <v>28</v>
      </c>
      <c r="H115" s="20" t="n">
        <v>86</v>
      </c>
      <c r="I115" s="20" t="n">
        <v>88</v>
      </c>
      <c r="J115" s="20" t="n">
        <v>94</v>
      </c>
      <c r="K115" s="20" t="n">
        <v>98</v>
      </c>
      <c r="L115" s="20" t="n">
        <v>77</v>
      </c>
    </row>
    <row r="116">
      <c r="A116" s="18" t="inlineStr">
        <is>
          <t>퇴직급여부채</t>
        </is>
      </c>
      <c r="C116" s="20" t="n">
        <v>2182</v>
      </c>
      <c r="D116" s="20" t="n">
        <v>2211</v>
      </c>
      <c r="E116" s="20" t="n">
        <v>2255</v>
      </c>
      <c r="F116" s="20" t="n">
        <v>2405</v>
      </c>
      <c r="G116" s="20" t="n">
        <v>2426</v>
      </c>
      <c r="H116" s="20" t="n">
        <v>2024</v>
      </c>
      <c r="I116" s="20" t="n">
        <v>2013</v>
      </c>
      <c r="J116" s="20" t="n">
        <v>2176</v>
      </c>
      <c r="K116" s="20" t="n">
        <v>2161</v>
      </c>
      <c r="L116" s="20" t="n">
        <v>2405</v>
      </c>
    </row>
    <row r="117">
      <c r="A117" s="18" t="inlineStr">
        <is>
          <t>이연법인세부채</t>
        </is>
      </c>
      <c r="C117" s="20" t="n">
        <v>3324</v>
      </c>
      <c r="D117" s="20" t="n">
        <v>3646</v>
      </c>
      <c r="E117" s="20" t="n">
        <v>3961</v>
      </c>
      <c r="F117" s="20" t="n">
        <v>4118</v>
      </c>
      <c r="G117" s="20" t="n">
        <v>4507</v>
      </c>
      <c r="H117" s="20" t="n">
        <v>1489</v>
      </c>
      <c r="I117" s="20" t="n">
        <v>1471</v>
      </c>
      <c r="J117" s="20" t="n">
        <v>3666</v>
      </c>
      <c r="K117" s="20" t="n">
        <v>3632</v>
      </c>
      <c r="L117" s="20" t="n">
        <v>4118</v>
      </c>
    </row>
    <row r="118">
      <c r="A118" s="18" t="inlineStr">
        <is>
          <t>기타</t>
        </is>
      </c>
      <c r="C118" s="20" t="n">
        <v>474</v>
      </c>
      <c r="D118" s="20" t="n">
        <v>459</v>
      </c>
      <c r="E118" s="20" t="n">
        <v>448</v>
      </c>
      <c r="F118" s="20" t="n">
        <v>448</v>
      </c>
      <c r="G118" s="20" t="n">
        <v>368</v>
      </c>
      <c r="H118" s="20" t="n">
        <v>477</v>
      </c>
      <c r="I118" s="20" t="n">
        <v>165</v>
      </c>
      <c r="J118" s="20" t="n">
        <v>51</v>
      </c>
      <c r="K118" s="20" t="n">
        <v>480</v>
      </c>
      <c r="L118" s="20" t="n">
        <v>448</v>
      </c>
    </row>
    <row r="119">
      <c r="A119" s="9" t="inlineStr">
        <is>
          <t>비유동부채 합계</t>
        </is>
      </c>
      <c r="C119" s="12" t="n">
        <v>12406</v>
      </c>
      <c r="D119" s="12" t="n">
        <v>12596</v>
      </c>
      <c r="E119" s="12" t="n">
        <v>14863</v>
      </c>
      <c r="F119" s="12" t="n">
        <v>15224</v>
      </c>
      <c r="G119" s="12" t="n">
        <v>15452</v>
      </c>
      <c r="H119" s="12" t="n">
        <v>4079</v>
      </c>
      <c r="I119" s="12" t="n">
        <v>3738</v>
      </c>
      <c r="J119" s="12" t="n">
        <v>6127</v>
      </c>
      <c r="K119" s="12" t="n">
        <v>8106</v>
      </c>
      <c r="L119" s="12" t="n">
        <v>15224</v>
      </c>
    </row>
    <row r="120">
      <c r="A120" s="9" t="inlineStr">
        <is>
          <t>부채 합계</t>
        </is>
      </c>
      <c r="C120" s="12" t="n">
        <v>38304</v>
      </c>
      <c r="D120" s="12" t="n">
        <v>38035</v>
      </c>
      <c r="E120" s="12" t="n">
        <v>43682</v>
      </c>
      <c r="F120" s="12" t="n">
        <v>41464</v>
      </c>
      <c r="G120" s="12" t="n">
        <v>39471</v>
      </c>
      <c r="H120" s="12" t="n">
        <v>27218</v>
      </c>
      <c r="I120" s="12" t="n">
        <v>27776</v>
      </c>
      <c r="J120" s="12" t="n">
        <v>36189</v>
      </c>
      <c r="K120" s="12" t="n">
        <v>42141</v>
      </c>
      <c r="L120" s="12" t="n">
        <v>41464</v>
      </c>
    </row>
    <row r="121">
      <c r="A121" s="18" t="inlineStr">
        <is>
          <t>자본금</t>
        </is>
      </c>
      <c r="C121" s="20" t="n">
        <v>12334</v>
      </c>
      <c r="D121" s="20" t="n">
        <v>12334</v>
      </c>
      <c r="E121" s="20" t="n">
        <v>12334</v>
      </c>
      <c r="F121" s="20" t="n">
        <v>12334</v>
      </c>
      <c r="G121" s="20" t="n">
        <v>12334</v>
      </c>
      <c r="H121" s="20" t="n">
        <v>12334</v>
      </c>
      <c r="I121" s="20" t="n">
        <v>12334</v>
      </c>
      <c r="J121" s="20" t="n">
        <v>12334</v>
      </c>
      <c r="K121" s="20" t="n">
        <v>12334</v>
      </c>
      <c r="L121" s="20" t="n">
        <v>12334</v>
      </c>
    </row>
    <row r="122">
      <c r="A122" s="18" t="inlineStr">
        <is>
          <t>자본잉여금</t>
        </is>
      </c>
      <c r="C122" s="20" t="n">
        <v>13152</v>
      </c>
      <c r="D122" s="20" t="n">
        <v>13152</v>
      </c>
      <c r="E122" s="20" t="n">
        <v>13152</v>
      </c>
      <c r="F122" s="20" t="n">
        <v>13152</v>
      </c>
      <c r="G122" s="20" t="n">
        <v>13152</v>
      </c>
      <c r="H122" s="20" t="n">
        <v>13154</v>
      </c>
      <c r="I122" s="20" t="n">
        <v>13152</v>
      </c>
      <c r="J122" s="20" t="n">
        <v>13152</v>
      </c>
      <c r="K122" s="20" t="n">
        <v>13152</v>
      </c>
      <c r="L122" s="20" t="n">
        <v>13152</v>
      </c>
    </row>
    <row r="123">
      <c r="A123" s="18" t="inlineStr">
        <is>
          <t>이익잉여금</t>
        </is>
      </c>
      <c r="C123" s="20" t="n">
        <v>63542</v>
      </c>
      <c r="D123" s="20" t="n">
        <v>64394</v>
      </c>
      <c r="E123" s="20" t="n">
        <v>64567</v>
      </c>
      <c r="F123" s="20" t="n">
        <v>66149</v>
      </c>
      <c r="G123" s="20" t="n">
        <v>66097</v>
      </c>
      <c r="H123" s="20" t="n">
        <v>81741</v>
      </c>
      <c r="I123" s="20" t="n">
        <v>85738</v>
      </c>
      <c r="J123" s="20" t="n">
        <v>66481</v>
      </c>
      <c r="K123" s="20" t="n">
        <v>64366</v>
      </c>
      <c r="L123" s="20" t="n">
        <v>66149</v>
      </c>
    </row>
    <row r="124">
      <c r="A124" s="18" t="inlineStr">
        <is>
          <t>자기주식</t>
        </is>
      </c>
      <c r="C124" s="20" t="n">
        <v>-2057</v>
      </c>
      <c r="D124" s="20" t="n">
        <v>-2669</v>
      </c>
      <c r="E124" s="20" t="n">
        <v>-3758</v>
      </c>
      <c r="F124" s="20" t="n">
        <v>-3845</v>
      </c>
      <c r="G124" s="20" t="n">
        <v>-3847</v>
      </c>
      <c r="H124" s="20" t="n">
        <v>-4619</v>
      </c>
      <c r="I124" s="20" t="n">
        <v>-6011</v>
      </c>
      <c r="J124" s="20" t="n">
        <v>-1149</v>
      </c>
      <c r="K124" s="20" t="n">
        <v>-1796</v>
      </c>
      <c r="L124" s="20" t="n">
        <v>-3845</v>
      </c>
    </row>
    <row r="125">
      <c r="A125" s="9" t="inlineStr">
        <is>
          <t>주주자본 합계</t>
        </is>
      </c>
      <c r="C125" s="12" t="n">
        <v>86972</v>
      </c>
      <c r="D125" s="12" t="n">
        <v>87211</v>
      </c>
      <c r="E125" s="12" t="n">
        <v>86295</v>
      </c>
      <c r="F125" s="12" t="n">
        <v>87790</v>
      </c>
      <c r="G125" s="12" t="n">
        <v>87737</v>
      </c>
      <c r="H125" s="12" t="n">
        <v>102610</v>
      </c>
      <c r="I125" s="12" t="n">
        <v>105213</v>
      </c>
      <c r="J125" s="12" t="n">
        <v>90818</v>
      </c>
      <c r="K125" s="12" t="n">
        <v>88057</v>
      </c>
      <c r="L125" s="12" t="n">
        <v>87790</v>
      </c>
    </row>
    <row r="126">
      <c r="A126" s="18" t="inlineStr">
        <is>
          <t>기타유가증권 평가차액</t>
        </is>
      </c>
      <c r="C126" s="20" t="n">
        <v>4732</v>
      </c>
      <c r="D126" s="20" t="n">
        <v>4974</v>
      </c>
      <c r="E126" s="20" t="n">
        <v>5115</v>
      </c>
      <c r="F126" s="20" t="n">
        <v>5844</v>
      </c>
      <c r="G126" s="20" t="n">
        <v>6835</v>
      </c>
      <c r="H126" s="20" t="n">
        <v>4014</v>
      </c>
      <c r="I126" s="20" t="n">
        <v>4135</v>
      </c>
      <c r="J126" s="20" t="n">
        <v>4908</v>
      </c>
      <c r="K126" s="20" t="n">
        <v>4493</v>
      </c>
      <c r="L126" s="20" t="n">
        <v>5844</v>
      </c>
    </row>
    <row r="127">
      <c r="A127" s="18" t="inlineStr">
        <is>
          <t>이연헤지손익</t>
        </is>
      </c>
      <c r="C127" s="20" t="n">
        <v>-0</v>
      </c>
      <c r="D127" s="20" t="n">
        <v>-0</v>
      </c>
      <c r="E127" s="20" t="n">
        <v>-0</v>
      </c>
      <c r="F127" s="20" t="n">
        <v>0</v>
      </c>
      <c r="G127" s="20" t="n">
        <v>0</v>
      </c>
      <c r="H127" s="20" t="n">
        <v>13</v>
      </c>
      <c r="I127" s="20" t="n">
        <v>0</v>
      </c>
      <c r="J127" s="20" t="n">
        <v>-0</v>
      </c>
      <c r="K127" s="20" t="n">
        <v>0</v>
      </c>
      <c r="L127" s="20" t="n">
        <v>0</v>
      </c>
    </row>
    <row r="128">
      <c r="A128" s="18" t="inlineStr">
        <is>
          <t>해외사업환산조정</t>
        </is>
      </c>
      <c r="C128" s="20" t="n">
        <v>2431</v>
      </c>
      <c r="D128" s="20" t="n">
        <v>3200</v>
      </c>
      <c r="E128" s="20" t="n">
        <v>3928</v>
      </c>
      <c r="F128" s="20" t="n">
        <v>5374</v>
      </c>
      <c r="G128" s="20" t="n">
        <v>5258</v>
      </c>
      <c r="H128" s="20" t="n">
        <v>194</v>
      </c>
      <c r="I128" s="20" t="n">
        <v>717</v>
      </c>
      <c r="J128" s="20" t="n">
        <v>1493</v>
      </c>
      <c r="K128" s="20" t="n">
        <v>2870</v>
      </c>
      <c r="L128" s="20" t="n">
        <v>5374</v>
      </c>
    </row>
    <row r="129">
      <c r="A129" s="18" t="inlineStr">
        <is>
          <t>퇴직급여 조정누계액</t>
        </is>
      </c>
      <c r="C129" s="20" t="n">
        <v>258</v>
      </c>
      <c r="D129" s="20" t="n">
        <v>268</v>
      </c>
      <c r="E129" s="20" t="n">
        <v>278</v>
      </c>
      <c r="F129" s="20" t="n">
        <v>238</v>
      </c>
      <c r="G129" s="20" t="n">
        <v>227</v>
      </c>
      <c r="H129" s="20" t="n">
        <v>-14</v>
      </c>
      <c r="I129" s="20" t="n">
        <v>-57</v>
      </c>
      <c r="J129" s="20" t="n">
        <v>-48</v>
      </c>
      <c r="K129" s="20" t="n">
        <v>248</v>
      </c>
      <c r="L129" s="20" t="n">
        <v>238</v>
      </c>
    </row>
    <row r="130">
      <c r="A130" s="18" t="inlineStr">
        <is>
          <t>기타포괄손익누계액 합계</t>
        </is>
      </c>
      <c r="C130" s="20" t="n">
        <v>7422</v>
      </c>
      <c r="D130" s="20" t="n">
        <v>8443</v>
      </c>
      <c r="E130" s="20" t="n">
        <v>9321</v>
      </c>
      <c r="F130" s="20" t="n">
        <v>11457</v>
      </c>
      <c r="G130" s="20" t="n">
        <v>12321</v>
      </c>
      <c r="H130" s="20" t="n">
        <v>4207</v>
      </c>
      <c r="I130" s="20" t="n">
        <v>4795</v>
      </c>
      <c r="J130" s="20" t="n">
        <v>6353</v>
      </c>
      <c r="K130" s="20" t="n">
        <v>7612</v>
      </c>
      <c r="L130" s="20" t="n">
        <v>11457</v>
      </c>
    </row>
    <row r="131">
      <c r="A131" s="18" t="inlineStr">
        <is>
          <t>비지배지분</t>
        </is>
      </c>
      <c r="C131" s="20" t="n">
        <v>1737</v>
      </c>
      <c r="D131" s="20" t="n">
        <v>1749</v>
      </c>
      <c r="E131" s="20" t="n">
        <v>1778</v>
      </c>
      <c r="F131" s="20" t="n">
        <v>1856</v>
      </c>
      <c r="G131" s="20" t="n">
        <v>1829</v>
      </c>
      <c r="H131" s="20" t="n">
        <v>1569</v>
      </c>
      <c r="I131" s="20" t="n">
        <v>1580</v>
      </c>
      <c r="J131" s="20" t="n">
        <v>1657</v>
      </c>
      <c r="K131" s="20" t="n">
        <v>1771</v>
      </c>
      <c r="L131" s="20" t="n">
        <v>1856</v>
      </c>
    </row>
    <row r="132">
      <c r="A132" s="9" t="inlineStr">
        <is>
          <t>순자산 합계</t>
        </is>
      </c>
      <c r="C132" s="12" t="n">
        <v>96132</v>
      </c>
      <c r="D132" s="12" t="n">
        <v>97404</v>
      </c>
      <c r="E132" s="12" t="n">
        <v>97395</v>
      </c>
      <c r="F132" s="12" t="n">
        <v>101103</v>
      </c>
      <c r="G132" s="12" t="n">
        <v>101888</v>
      </c>
      <c r="H132" s="12" t="n">
        <v>108387</v>
      </c>
      <c r="I132" s="12" t="n">
        <v>111589</v>
      </c>
      <c r="J132" s="12" t="n">
        <v>98829</v>
      </c>
      <c r="K132" s="12" t="n">
        <v>97441</v>
      </c>
      <c r="L132" s="12" t="n">
        <v>101103</v>
      </c>
    </row>
    <row r="133">
      <c r="A133" s="9" t="inlineStr">
        <is>
          <t>부채·순자산 합계</t>
        </is>
      </c>
      <c r="C133" s="12" t="n">
        <v>134436</v>
      </c>
      <c r="D133" s="12" t="n">
        <v>135439</v>
      </c>
      <c r="E133" s="12" t="n">
        <v>141077</v>
      </c>
      <c r="F133" s="12" t="n">
        <v>142568</v>
      </c>
      <c r="G133" s="12" t="n">
        <v>141359</v>
      </c>
      <c r="H133" s="12" t="n">
        <v>135606</v>
      </c>
      <c r="I133" s="12" t="n">
        <v>139366</v>
      </c>
      <c r="J133" s="12" t="n">
        <v>135018</v>
      </c>
      <c r="K133" s="12" t="n">
        <v>139583</v>
      </c>
      <c r="L133" s="12" t="n">
        <v>142568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2026-07-30</t>
        </is>
      </c>
      <c r="B4" t="inlineStr">
        <is>
          <t>2027년 3월 결산기 １분기 결산단신</t>
        </is>
      </c>
      <c r="C4" t="inlineStr">
        <is>
          <t>https://www2.jpx.co.jp/disc/42120/140120260730502994.pdf</t>
        </is>
      </c>
    </row>
    <row r="5">
      <c r="A5" t="inlineStr">
        <is>
          <t>2026-05-13</t>
        </is>
      </c>
      <c r="B5" t="inlineStr">
        <is>
          <t>2026년 3월 결산기 연간 결산단신</t>
        </is>
      </c>
      <c r="C5" t="inlineStr">
        <is>
          <t>https://www2.jpx.co.jp/disc/42120/140120260511522558.pdf</t>
        </is>
      </c>
    </row>
    <row r="6">
      <c r="A6" t="inlineStr">
        <is>
          <t>2026-01-30</t>
        </is>
      </c>
      <c r="B6" t="inlineStr">
        <is>
          <t>2026년 3월 결산기 ３분기 결산단신</t>
        </is>
      </c>
      <c r="C6" t="inlineStr">
        <is>
          <t>https://www2.jpx.co.jp/disc/42120/140120260128540501.pdf</t>
        </is>
      </c>
    </row>
    <row r="7">
      <c r="A7" t="inlineStr">
        <is>
          <t>2025-10-30</t>
        </is>
      </c>
      <c r="B7" t="inlineStr">
        <is>
          <t>2026년 3월 결산기 ２분기 결산단신</t>
        </is>
      </c>
      <c r="C7" t="inlineStr">
        <is>
          <t>https://www2.jpx.co.jp/disc/42120/140120251030582175.pdf</t>
        </is>
      </c>
    </row>
    <row r="8">
      <c r="A8" t="inlineStr">
        <is>
          <t>2025-07-31</t>
        </is>
      </c>
      <c r="B8" t="inlineStr">
        <is>
          <t>2026년 3월 결산기 １분기 결산단신</t>
        </is>
      </c>
      <c r="C8" t="inlineStr">
        <is>
          <t>https://www2.jpx.co.jp/disc/42120/140120250731525015.pdf</t>
        </is>
      </c>
    </row>
    <row r="9">
      <c r="A9" t="inlineStr">
        <is>
          <t>2025-05-13</t>
        </is>
      </c>
      <c r="B9" t="inlineStr">
        <is>
          <t>2025년 3월 결산기 연간 결산단신</t>
        </is>
      </c>
      <c r="C9" t="inlineStr">
        <is>
          <t>https://www2.jpx.co.jp/disc/42120/140120250513543915.pdf</t>
        </is>
      </c>
    </row>
    <row r="10">
      <c r="A10" t="inlineStr">
        <is>
          <t>2025-01-30</t>
        </is>
      </c>
      <c r="B10" t="inlineStr">
        <is>
          <t>2025년 3월 결산기 ３분기 결산단신</t>
        </is>
      </c>
      <c r="C10" t="inlineStr">
        <is>
          <t>https://www2.jpx.co.jp/disc/42120/140120250130557934.pdf</t>
        </is>
      </c>
    </row>
    <row r="11">
      <c r="A11" t="inlineStr">
        <is>
          <t>2024-10-29</t>
        </is>
      </c>
      <c r="B11" t="inlineStr">
        <is>
          <t>2025년 3월 결산기 ２분기 결산단신</t>
        </is>
      </c>
      <c r="C11" t="inlineStr">
        <is>
          <t>https://www2.jpx.co.jp/disc/42120/140120241029504499.pdf</t>
        </is>
      </c>
    </row>
    <row r="12">
      <c r="A12" t="inlineStr">
        <is>
          <t>2024-07-29</t>
        </is>
      </c>
      <c r="B12" t="inlineStr">
        <is>
          <t>2025년 3월 결산기 １분기 결산단신</t>
        </is>
      </c>
      <c r="C12" t="inlineStr">
        <is>
          <t>https://www2.jpx.co.jp/disc/42120/140120240729556603.pdf</t>
        </is>
      </c>
    </row>
    <row r="13">
      <c r="A13" t="inlineStr">
        <is>
          <t>2024-05-13</t>
        </is>
      </c>
      <c r="B13" t="inlineStr">
        <is>
          <t>2024년 3월 결산기 연간 결산단신</t>
        </is>
      </c>
      <c r="C13" t="inlineStr">
        <is>
          <t>https://www2.jpx.co.jp/disc/42120/140120240513592399.pdf</t>
        </is>
      </c>
    </row>
    <row r="14">
      <c r="A14" t="inlineStr">
        <is>
          <t>2024-01-29</t>
        </is>
      </c>
      <c r="B14" t="inlineStr">
        <is>
          <t>2024년 3월 결산기 ３분기 결산단신</t>
        </is>
      </c>
      <c r="C14" t="inlineStr">
        <is>
          <t>https://www2.jpx.co.jp/disc/42120/140120240125519587.pdf</t>
        </is>
      </c>
    </row>
    <row r="15">
      <c r="A15" t="inlineStr">
        <is>
          <t>2023-10-31</t>
        </is>
      </c>
      <c r="B15" t="inlineStr">
        <is>
          <t>2024년 3월 결산기 ２분기 결산단신</t>
        </is>
      </c>
      <c r="C15" t="inlineStr">
        <is>
          <t>https://www2.jpx.co.jp/disc/42120/140120231031575494.pdf</t>
        </is>
      </c>
    </row>
    <row r="16">
      <c r="A16" t="inlineStr">
        <is>
          <t>2023-07-31</t>
        </is>
      </c>
      <c r="B16" t="inlineStr">
        <is>
          <t>2024년 3월 결산기 １분기 결산단신</t>
        </is>
      </c>
      <c r="C16" t="inlineStr">
        <is>
          <t>https://www2.jpx.co.jp/disc/42120/140120230728528757.pdf</t>
        </is>
      </c>
    </row>
    <row r="17">
      <c r="A17" t="inlineStr">
        <is>
          <t>2023-04-27</t>
        </is>
      </c>
      <c r="B17" t="inlineStr">
        <is>
          <t>2023년 3월 결산기 연간 결산단신</t>
        </is>
      </c>
      <c r="C17" t="inlineStr">
        <is>
          <t>https://www2.jpx.co.jp/disc/42120/140120230419549793.pdf</t>
        </is>
      </c>
    </row>
    <row r="18">
      <c r="A18" t="inlineStr">
        <is>
          <t>2023-01-26</t>
        </is>
      </c>
      <c r="B18" t="inlineStr">
        <is>
          <t>2023년 3월 결산기 ３분기 결산단신</t>
        </is>
      </c>
      <c r="C18" t="inlineStr">
        <is>
          <t>https://www2.jpx.co.jp/disc/42120/140120230123592112.pdf</t>
        </is>
      </c>
    </row>
    <row r="19">
      <c r="A19" t="inlineStr">
        <is>
          <t>2022-10-27</t>
        </is>
      </c>
      <c r="B19" t="inlineStr">
        <is>
          <t>2023년 3월 결산기 ２분기 결산단신</t>
        </is>
      </c>
      <c r="C19" t="inlineStr">
        <is>
          <t>https://www2.jpx.co.jp/disc/42120/140120221020547009.pdf</t>
        </is>
      </c>
    </row>
    <row r="20">
      <c r="A20" t="inlineStr">
        <is>
          <t>2022-04-28</t>
        </is>
      </c>
      <c r="B20" t="inlineStr">
        <is>
          <t>2022년 3월 결산기 연간 결산단신</t>
        </is>
      </c>
      <c r="C20" t="inlineStr">
        <is>
          <t>https://www2.jpx.co.jp/disc/42120/140120220425526631.pdf</t>
        </is>
      </c>
    </row>
    <row r="21">
      <c r="A21" t="inlineStr">
        <is>
          <t>2021-04-28</t>
        </is>
      </c>
      <c r="B21" t="inlineStr">
        <is>
          <t>2021년 3월 결산기 연간 결산단신</t>
        </is>
      </c>
      <c r="C21" t="inlineStr">
        <is>
          <t>https://www2.jpx.co.jp/disc/42120/140120210422498522.pdf</t>
        </is>
      </c>
    </row>
    <row r="22">
      <c r="A22" t="inlineStr">
        <is>
          <t>2020-04-30</t>
        </is>
      </c>
      <c r="B22" t="inlineStr">
        <is>
          <t>2020년 3월 결산기 연간 결산단신</t>
        </is>
      </c>
      <c r="C22" t="inlineStr">
        <is>
          <t>https://www2.jpx.co.jp/disc/42120/140120200427400688.pdf</t>
        </is>
      </c>
    </row>
    <row r="23">
      <c r="A23" t="inlineStr">
        <is>
          <t>2019-04-24</t>
        </is>
      </c>
      <c r="B23" t="inlineStr">
        <is>
          <t>2019년 3월 결산기 연간 결산단신</t>
        </is>
      </c>
      <c r="C23" t="inlineStr">
        <is>
          <t>https://www2.jpx.co.jp/disc/42120/140120190315491339.pdf</t>
        </is>
      </c>
    </row>
    <row r="24">
      <c r="A24" t="inlineStr">
        <is>
          <t>2018-04-24</t>
        </is>
      </c>
      <c r="B24" t="inlineStr">
        <is>
          <t>연간 결산단신</t>
        </is>
      </c>
      <c r="C24" t="inlineStr">
        <is>
          <t>https://www2.jpx.co.jp/disc/42120/140120180405405364.pdf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2026-10-28T07:02:50Z</dcterms:created>
  <dcterms:modified xmlns:dcterms="http://purl.org/dc/terms/" xmlns:xsi="http://www.w3.org/2001/XMLSchema-instance" xsi:type="dcterms:W3CDTF">2026-10-28T07:02:51Z</dcterms:modified>
</cp:coreProperties>
</file>