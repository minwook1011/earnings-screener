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페이클라우드홀딩스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1039.371</v>
      </c>
      <c r="D4" s="12" t="n">
        <v>951.221</v>
      </c>
      <c r="E4" s="12" t="n">
        <v>2824.775</v>
      </c>
      <c r="F4" s="12" t="n">
        <v>2038.045</v>
      </c>
      <c r="G4" s="12" t="n">
        <v>2342.53</v>
      </c>
      <c r="H4" s="12" t="n">
        <v>2495.718</v>
      </c>
      <c r="I4" s="12" t="n">
        <v>2807.318</v>
      </c>
      <c r="J4" s="12" t="n">
        <v>2588.467</v>
      </c>
      <c r="K4" s="12" t="n">
        <v>2399.247</v>
      </c>
      <c r="L4" s="12" t="n">
        <v>2324.563</v>
      </c>
      <c r="M4" s="12" t="n">
        <v>3333.985</v>
      </c>
      <c r="N4" s="12" t="n">
        <v>3084.51</v>
      </c>
      <c r="O4" s="11" t="n"/>
      <c r="P4" s="12" t="n"/>
      <c r="Q4" s="12" t="n"/>
      <c r="R4" s="12" t="n">
        <v>1201.078</v>
      </c>
      <c r="S4" s="12" t="n">
        <v>1461.352</v>
      </c>
      <c r="T4" s="12" t="n">
        <v>1165.474</v>
      </c>
      <c r="U4" s="12" t="n">
        <v>4476.307</v>
      </c>
      <c r="V4" s="12" t="n">
        <v>6853.412</v>
      </c>
      <c r="W4" s="12" t="n">
        <v>10234.033</v>
      </c>
      <c r="X4" s="12" t="n">
        <v>11142.305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CashlessServiceReportableSegmentMember</t>
        </is>
      </c>
      <c r="B7" s="10" t="n"/>
      <c r="C7" s="19" t="n">
        <v>872.003</v>
      </c>
      <c r="D7" s="20" t="n">
        <v>761.165</v>
      </c>
      <c r="E7" s="20" t="n">
        <v>892.3150000000001</v>
      </c>
      <c r="F7" s="20" t="n">
        <v>850.558</v>
      </c>
      <c r="G7" s="20" t="n">
        <v>917.61</v>
      </c>
      <c r="H7" s="20" t="n">
        <v>967.029</v>
      </c>
      <c r="I7" s="20" t="n">
        <v>900.264</v>
      </c>
      <c r="J7" s="20" t="n">
        <v>983.631</v>
      </c>
      <c r="K7" s="20" t="n">
        <v>949.0359999999999</v>
      </c>
      <c r="L7" s="20" t="n">
        <v>976.072</v>
      </c>
      <c r="M7" s="20" t="n">
        <v>1006.56</v>
      </c>
      <c r="N7" s="20" t="n">
        <v>930.5599999999999</v>
      </c>
      <c r="O7" s="19" t="n"/>
      <c r="P7" s="20" t="n"/>
      <c r="Q7" s="20" t="n"/>
      <c r="R7" s="20" t="n"/>
      <c r="S7" s="20" t="n"/>
      <c r="T7" s="20" t="n"/>
      <c r="U7" s="20" t="n">
        <v>3792.315</v>
      </c>
      <c r="V7" s="20" t="n">
        <v>3376.041</v>
      </c>
      <c r="W7" s="20" t="n">
        <v>3768.534</v>
      </c>
      <c r="X7" s="20" t="n">
        <v>3862.228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DigitalSignageRelatedReportableSegmentMember</t>
        </is>
      </c>
      <c r="B10" s="10" t="n"/>
      <c r="C10" s="19" t="n">
        <v>0</v>
      </c>
      <c r="D10" s="20" t="n">
        <v>0</v>
      </c>
      <c r="E10" s="20" t="n">
        <v>1748.183</v>
      </c>
      <c r="F10" s="20" t="n">
        <v>1000.113</v>
      </c>
      <c r="G10" s="20" t="n">
        <v>1234.279</v>
      </c>
      <c r="H10" s="20" t="n">
        <v>1334.42</v>
      </c>
      <c r="I10" s="20" t="n">
        <v>1719.257</v>
      </c>
      <c r="J10" s="20" t="n">
        <v>1402.17</v>
      </c>
      <c r="K10" s="20" t="n">
        <v>1259.082</v>
      </c>
      <c r="L10" s="20" t="n">
        <v>1154.435</v>
      </c>
      <c r="M10" s="20" t="n">
        <v>2125.085</v>
      </c>
      <c r="N10" s="20" t="n">
        <v>1711.067</v>
      </c>
      <c r="O10" s="19" t="n"/>
      <c r="P10" s="20" t="n"/>
      <c r="Q10" s="20" t="n"/>
      <c r="R10" s="20" t="n"/>
      <c r="S10" s="20" t="n"/>
      <c r="T10" s="20" t="n"/>
      <c r="U10" s="20" t="n">
        <v>0</v>
      </c>
      <c r="V10" s="20" t="n">
        <v>2748.296</v>
      </c>
      <c r="W10" s="20" t="n">
        <v>5690.126</v>
      </c>
      <c r="X10" s="20" t="n">
        <v>6249.669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SolutionReportableSegmentMember</t>
        </is>
      </c>
      <c r="B13" s="10" t="n"/>
      <c r="C13" s="19" t="n">
        <v>167.368</v>
      </c>
      <c r="D13" s="20" t="n">
        <v>190.056</v>
      </c>
      <c r="E13" s="20" t="n">
        <v>184.277</v>
      </c>
      <c r="F13" s="20" t="n">
        <v>186.353</v>
      </c>
      <c r="G13" s="20" t="n">
        <v>189.11</v>
      </c>
      <c r="H13" s="20" t="n">
        <v>193.689</v>
      </c>
      <c r="I13" s="20" t="n">
        <v>185.407</v>
      </c>
      <c r="J13" s="20" t="n">
        <v>193.315</v>
      </c>
      <c r="K13" s="20" t="n">
        <v>190.128</v>
      </c>
      <c r="L13" s="20" t="n">
        <v>193.92</v>
      </c>
      <c r="M13" s="20" t="n">
        <v>194.18</v>
      </c>
      <c r="N13" s="20" t="n">
        <v>204.857</v>
      </c>
      <c r="O13" s="19" t="n"/>
      <c r="P13" s="20" t="n"/>
      <c r="Q13" s="20" t="n"/>
      <c r="R13" s="20" t="n"/>
      <c r="S13" s="20" t="n"/>
      <c r="T13" s="20" t="n"/>
      <c r="U13" s="20" t="n">
        <v>683.991</v>
      </c>
      <c r="V13" s="20" t="n">
        <v>728.054</v>
      </c>
      <c r="W13" s="20" t="n">
        <v>761.521</v>
      </c>
      <c r="X13" s="20" t="n">
        <v>783.085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OtherReportableSegmentsMember</t>
        </is>
      </c>
      <c r="B16" s="10" t="n"/>
      <c r="C16" s="19" t="n">
        <v>0</v>
      </c>
      <c r="D16" s="20" t="n">
        <v>0</v>
      </c>
      <c r="E16" s="20" t="n">
        <v>0</v>
      </c>
      <c r="F16" s="20" t="n">
        <v>1.02</v>
      </c>
      <c r="G16" s="20" t="n">
        <v>1.53</v>
      </c>
      <c r="H16" s="20" t="n">
        <v>0.58</v>
      </c>
      <c r="I16" s="20" t="n">
        <v>2.39</v>
      </c>
      <c r="J16" s="20" t="n"/>
      <c r="K16" s="20" t="n">
        <v>1</v>
      </c>
      <c r="L16" s="20" t="n">
        <v>0.135</v>
      </c>
      <c r="M16" s="20" t="n">
        <v>8.161</v>
      </c>
      <c r="N16" s="20" t="n"/>
      <c r="O16" s="19" t="n"/>
      <c r="P16" s="20" t="n"/>
      <c r="Q16" s="20" t="n"/>
      <c r="R16" s="20" t="n"/>
      <c r="S16" s="20" t="n"/>
      <c r="T16" s="20" t="n"/>
      <c r="U16" s="20" t="n">
        <v>0</v>
      </c>
      <c r="V16" s="20" t="n">
        <v>1.02</v>
      </c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OtherServicesReportableSegmentMember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1.02</v>
      </c>
      <c r="W19" s="20" t="n">
        <v>13.851</v>
      </c>
      <c r="X19" s="20" t="n">
        <v>247.321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>
        <v>2342.53</v>
      </c>
      <c r="H22" s="20" t="n"/>
      <c r="I22" s="20" t="n"/>
      <c r="J22" s="20" t="n"/>
      <c r="K22" s="20" t="n">
        <v>2399.247</v>
      </c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492.058</v>
      </c>
      <c r="D26" s="20" t="n">
        <v>366.051</v>
      </c>
      <c r="E26" s="20" t="n">
        <v>1764.48</v>
      </c>
      <c r="F26" s="20" t="n">
        <v>1222.383</v>
      </c>
      <c r="G26" s="20" t="n">
        <v>1403.998</v>
      </c>
      <c r="H26" s="20" t="n">
        <v>1460.804</v>
      </c>
      <c r="I26" s="20" t="n">
        <v>1771.7</v>
      </c>
      <c r="J26" s="20" t="n">
        <v>1592.627</v>
      </c>
      <c r="K26" s="20" t="n">
        <v>1423.978</v>
      </c>
      <c r="L26" s="20" t="n">
        <v>1289.073</v>
      </c>
      <c r="M26" s="20" t="n">
        <v>2144.559</v>
      </c>
      <c r="N26" s="20" t="n">
        <v>1963.986</v>
      </c>
      <c r="O26" s="19" t="n"/>
      <c r="P26" s="20" t="n"/>
      <c r="Q26" s="20" t="n"/>
      <c r="R26" s="20" t="n">
        <v>427.624</v>
      </c>
      <c r="S26" s="20" t="n">
        <v>434.708</v>
      </c>
      <c r="T26" s="20" t="n">
        <v>417.95</v>
      </c>
      <c r="U26" s="20" t="n">
        <v>2179.605</v>
      </c>
      <c r="V26" s="20" t="n">
        <v>3844.972</v>
      </c>
      <c r="W26" s="20" t="n">
        <v>6229.129</v>
      </c>
      <c r="X26" s="20" t="n">
        <v>6821.596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>
        <v>496.982</v>
      </c>
      <c r="D30" s="20" t="n">
        <v>549.424</v>
      </c>
      <c r="E30" s="20" t="n">
        <v>792.501</v>
      </c>
      <c r="F30" s="20" t="n">
        <v>831.588</v>
      </c>
      <c r="G30" s="20" t="n">
        <v>786.75</v>
      </c>
      <c r="H30" s="20" t="n">
        <v>781.898</v>
      </c>
      <c r="I30" s="20" t="n">
        <v>817.524</v>
      </c>
      <c r="J30" s="20" t="n">
        <v>887.301</v>
      </c>
      <c r="K30" s="20" t="n">
        <v>834.867</v>
      </c>
      <c r="L30" s="20" t="n">
        <v>848.365</v>
      </c>
      <c r="M30" s="20" t="n">
        <v>855.323</v>
      </c>
      <c r="N30" s="20" t="n">
        <v>953.6849999999999</v>
      </c>
      <c r="O30" s="19" t="n"/>
      <c r="P30" s="20" t="n"/>
      <c r="Q30" s="20" t="n"/>
      <c r="R30" s="20" t="n">
        <v>636.561</v>
      </c>
      <c r="S30" s="20" t="n">
        <v>721.038</v>
      </c>
      <c r="T30" s="20" t="n">
        <v>908.144</v>
      </c>
      <c r="U30" s="20" t="n">
        <v>2133.098</v>
      </c>
      <c r="V30" s="20" t="n">
        <v>2670.495</v>
      </c>
      <c r="W30" s="20" t="n">
        <v>3273.473</v>
      </c>
      <c r="X30" s="20" t="n">
        <v>3492.24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50.33</v>
      </c>
      <c r="D31" s="12" t="n">
        <v>35.747</v>
      </c>
      <c r="E31" s="12" t="n">
        <v>267.793</v>
      </c>
      <c r="F31" s="12" t="n">
        <v>-15.925</v>
      </c>
      <c r="G31" s="12" t="n">
        <v>151.78</v>
      </c>
      <c r="H31" s="12" t="n">
        <v>253.018</v>
      </c>
      <c r="I31" s="12" t="n">
        <v>218.093</v>
      </c>
      <c r="J31" s="12" t="n">
        <v>108.539</v>
      </c>
      <c r="K31" s="12" t="n">
        <v>140.4</v>
      </c>
      <c r="L31" s="12" t="n">
        <v>187.126</v>
      </c>
      <c r="M31" s="12" t="n">
        <v>334.103</v>
      </c>
      <c r="N31" s="12" t="n">
        <v>166.839</v>
      </c>
      <c r="O31" s="11" t="n"/>
      <c r="P31" s="12" t="n"/>
      <c r="Q31" s="12" t="n"/>
      <c r="R31" s="12" t="n">
        <v>136.893</v>
      </c>
      <c r="S31" s="12" t="n">
        <v>305.605</v>
      </c>
      <c r="T31" s="12" t="n">
        <v>-160.62</v>
      </c>
      <c r="U31" s="12" t="n">
        <v>163.604</v>
      </c>
      <c r="V31" s="12" t="n">
        <v>337.945</v>
      </c>
      <c r="W31" s="12" t="n">
        <v>731.4299999999999</v>
      </c>
      <c r="X31" s="12" t="n">
        <v>828.468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0.004</v>
      </c>
      <c r="E47" s="20" t="n">
        <v>2.885</v>
      </c>
      <c r="F47" s="20" t="n">
        <v>0</v>
      </c>
      <c r="G47" s="20" t="n">
        <v>6.87</v>
      </c>
      <c r="H47" s="20" t="n">
        <v>1.371</v>
      </c>
      <c r="I47" s="20" t="n">
        <v>24.032</v>
      </c>
      <c r="J47" s="20" t="n">
        <v>6.872</v>
      </c>
      <c r="K47" s="20" t="n">
        <v>3.573</v>
      </c>
      <c r="L47" s="20" t="n">
        <v>0</v>
      </c>
      <c r="M47" s="20" t="n">
        <v>0.093</v>
      </c>
      <c r="N47" s="20" t="n">
        <v>2.094</v>
      </c>
      <c r="O47" s="19" t="n"/>
      <c r="P47" s="20" t="n"/>
      <c r="Q47" s="20" t="n"/>
      <c r="R47" s="20" t="n">
        <v>0.678</v>
      </c>
      <c r="S47" s="20" t="n">
        <v>0</v>
      </c>
      <c r="T47" s="20" t="n">
        <v>9.786</v>
      </c>
      <c r="U47" s="20" t="n">
        <v>14.383</v>
      </c>
      <c r="V47" s="20" t="n">
        <v>2.889</v>
      </c>
      <c r="W47" s="20" t="n">
        <v>39.145</v>
      </c>
      <c r="X47" s="20" t="n">
        <v>5.76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</v>
      </c>
      <c r="D49" s="20" t="n">
        <v>0</v>
      </c>
      <c r="E49" s="20" t="n">
        <v>0</v>
      </c>
      <c r="F49" s="20" t="n">
        <v>0.66</v>
      </c>
      <c r="G49" s="20" t="n"/>
      <c r="H49" s="20" t="n"/>
      <c r="I49" s="20" t="n"/>
      <c r="J49" s="20" t="n">
        <v>354.949</v>
      </c>
      <c r="K49" s="20" t="n"/>
      <c r="L49" s="20" t="n"/>
      <c r="M49" s="20" t="n"/>
      <c r="N49" s="20" t="n">
        <v>0</v>
      </c>
      <c r="O49" s="19" t="n"/>
      <c r="P49" s="20" t="n"/>
      <c r="Q49" s="20" t="n"/>
      <c r="R49" s="20" t="n">
        <v>0.984</v>
      </c>
      <c r="S49" s="20" t="n">
        <v>0.588</v>
      </c>
      <c r="T49" s="20" t="n">
        <v>304.895</v>
      </c>
      <c r="U49" s="20" t="n">
        <v>12.034</v>
      </c>
      <c r="V49" s="20" t="n">
        <v>0.66</v>
      </c>
      <c r="W49" s="20" t="n">
        <v>360.001</v>
      </c>
      <c r="X49" s="20" t="n">
        <v>0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1.372</v>
      </c>
      <c r="D51" s="20" t="n">
        <v>0.865</v>
      </c>
      <c r="E51" s="20" t="n">
        <v>4.904</v>
      </c>
      <c r="F51" s="20" t="n">
        <v>-0.626</v>
      </c>
      <c r="G51" s="20" t="n">
        <v>5.165</v>
      </c>
      <c r="H51" s="20" t="n">
        <v>1.865</v>
      </c>
      <c r="I51" s="20" t="n">
        <v>1.668</v>
      </c>
      <c r="J51" s="20" t="n">
        <v>6.299</v>
      </c>
      <c r="K51" s="20" t="n">
        <v>7.896</v>
      </c>
      <c r="L51" s="20" t="n">
        <v>7.268</v>
      </c>
      <c r="M51" s="20" t="n">
        <v>-1.371</v>
      </c>
      <c r="N51" s="20" t="n">
        <v>5.82</v>
      </c>
      <c r="O51" s="19" t="n"/>
      <c r="P51" s="20" t="n"/>
      <c r="Q51" s="20" t="n"/>
      <c r="R51" s="20" t="n">
        <v>8.648</v>
      </c>
      <c r="S51" s="20" t="n">
        <v>10.054</v>
      </c>
      <c r="T51" s="20" t="n">
        <v>0.209</v>
      </c>
      <c r="U51" s="20" t="n">
        <v>13.694</v>
      </c>
      <c r="V51" s="20" t="n">
        <v>6.515</v>
      </c>
      <c r="W51" s="20" t="n">
        <v>14.997</v>
      </c>
      <c r="X51" s="20" t="n">
        <v>19.613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5.32</v>
      </c>
      <c r="D53" s="20" t="n">
        <v>5.621</v>
      </c>
      <c r="E53" s="20" t="n">
        <v>6.691</v>
      </c>
      <c r="F53" s="20" t="n">
        <v>6.742</v>
      </c>
      <c r="G53" s="20" t="n">
        <v>7.162</v>
      </c>
      <c r="H53" s="20" t="n">
        <v>7.396</v>
      </c>
      <c r="I53" s="20" t="n">
        <v>8.505000000000001</v>
      </c>
      <c r="J53" s="20" t="n">
        <v>9.122999999999999</v>
      </c>
      <c r="K53" s="20" t="n">
        <v>8.032</v>
      </c>
      <c r="L53" s="20" t="n">
        <v>8.593</v>
      </c>
      <c r="M53" s="20" t="n">
        <v>9.34</v>
      </c>
      <c r="N53" s="20" t="n">
        <v>9.994999999999999</v>
      </c>
      <c r="O53" s="19" t="n"/>
      <c r="P53" s="20" t="n"/>
      <c r="Q53" s="20" t="n"/>
      <c r="R53" s="20" t="n">
        <v>3.402</v>
      </c>
      <c r="S53" s="20" t="n">
        <v>35.603</v>
      </c>
      <c r="T53" s="20" t="n">
        <v>1345.651</v>
      </c>
      <c r="U53" s="20" t="n">
        <v>43.913</v>
      </c>
      <c r="V53" s="20" t="n">
        <v>24.374</v>
      </c>
      <c r="W53" s="20" t="n">
        <v>32.186</v>
      </c>
      <c r="X53" s="20" t="n">
        <v>35.96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46.381</v>
      </c>
      <c r="D55" s="12" t="n">
        <v>30.995</v>
      </c>
      <c r="E55" s="12" t="n">
        <v>268.893</v>
      </c>
      <c r="F55" s="12" t="n">
        <v>-23.954</v>
      </c>
      <c r="G55" s="12" t="n">
        <v>156.654</v>
      </c>
      <c r="H55" s="12" t="n">
        <v>248.857</v>
      </c>
      <c r="I55" s="12" t="n">
        <v>230.236</v>
      </c>
      <c r="J55" s="12" t="n">
        <v>-242.361</v>
      </c>
      <c r="K55" s="12" t="n">
        <v>143.837</v>
      </c>
      <c r="L55" s="12" t="n">
        <v>185.801</v>
      </c>
      <c r="M55" s="12" t="n">
        <v>323.486</v>
      </c>
      <c r="N55" s="12" t="n">
        <v>164.756</v>
      </c>
      <c r="O55" s="11" t="n"/>
      <c r="P55" s="12" t="n"/>
      <c r="Q55" s="12" t="n"/>
      <c r="R55" s="12" t="n">
        <v>141.832</v>
      </c>
      <c r="S55" s="12" t="n">
        <v>279.467</v>
      </c>
      <c r="T55" s="12" t="n">
        <v>-1801.17</v>
      </c>
      <c r="U55" s="12" t="n">
        <v>135.734</v>
      </c>
      <c r="V55" s="12" t="n">
        <v>322.315</v>
      </c>
      <c r="W55" s="12" t="n">
        <v>393.386</v>
      </c>
      <c r="X55" s="12" t="n">
        <v>817.88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>
        <v>48.22</v>
      </c>
      <c r="D56" s="20" t="n">
        <v>43.388</v>
      </c>
      <c r="E56" s="20" t="n">
        <v>116.596</v>
      </c>
      <c r="F56" s="20" t="n">
        <v>39.961</v>
      </c>
      <c r="G56" s="20" t="n">
        <v>91.456</v>
      </c>
      <c r="H56" s="20" t="n">
        <v>100.542</v>
      </c>
      <c r="I56" s="20" t="n">
        <v>109.386</v>
      </c>
      <c r="J56" s="20" t="n">
        <v>-51.754</v>
      </c>
      <c r="K56" s="20" t="n">
        <v>89.053</v>
      </c>
      <c r="L56" s="20" t="n">
        <v>102.782</v>
      </c>
      <c r="M56" s="20" t="n">
        <v>136.862</v>
      </c>
      <c r="N56" s="20" t="n">
        <v>70.28400000000001</v>
      </c>
      <c r="O56" s="19" t="n"/>
      <c r="P56" s="20" t="n"/>
      <c r="Q56" s="20" t="n"/>
      <c r="R56" s="20" t="n">
        <v>-2.129</v>
      </c>
      <c r="S56" s="20" t="n">
        <v>50.256</v>
      </c>
      <c r="T56" s="20" t="n">
        <v>33.048</v>
      </c>
      <c r="U56" s="20" t="n">
        <v>21.607</v>
      </c>
      <c r="V56" s="20" t="n">
        <v>248.165</v>
      </c>
      <c r="W56" s="20" t="n">
        <v>249.63</v>
      </c>
      <c r="X56" s="20" t="n">
        <v>398.981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>
        <v>-1.838</v>
      </c>
      <c r="D58" s="12" t="n">
        <v>-12.394</v>
      </c>
      <c r="E58" s="12" t="n">
        <v>152.297</v>
      </c>
      <c r="F58" s="12" t="n">
        <v>-63.916</v>
      </c>
      <c r="G58" s="12" t="n">
        <v>65.197</v>
      </c>
      <c r="H58" s="12" t="n">
        <v>148.316</v>
      </c>
      <c r="I58" s="12" t="n">
        <v>120.849</v>
      </c>
      <c r="J58" s="12" t="n">
        <v>-190.607</v>
      </c>
      <c r="K58" s="12" t="n">
        <v>54.784</v>
      </c>
      <c r="L58" s="12" t="n">
        <v>83.01900000000001</v>
      </c>
      <c r="M58" s="12" t="n">
        <v>186.623</v>
      </c>
      <c r="N58" s="12" t="n">
        <v>94.47199999999999</v>
      </c>
      <c r="O58" s="11" t="n"/>
      <c r="P58" s="12" t="n"/>
      <c r="Q58" s="12" t="n"/>
      <c r="R58" s="12" t="n">
        <v>143.962</v>
      </c>
      <c r="S58" s="12" t="n">
        <v>229.211</v>
      </c>
      <c r="T58" s="12" t="n">
        <v>-1834.218</v>
      </c>
      <c r="U58" s="12" t="n">
        <v>114.126</v>
      </c>
      <c r="V58" s="12" t="n">
        <v>74.149</v>
      </c>
      <c r="W58" s="12" t="n">
        <v>143.755</v>
      </c>
      <c r="X58" s="12" t="n">
        <v>418.898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>
        <v>-1.838</v>
      </c>
      <c r="D59" s="12" t="n">
        <v>-12.394</v>
      </c>
      <c r="E59" s="12" t="n">
        <v>152.297</v>
      </c>
      <c r="F59" s="12" t="n">
        <v>-63.916</v>
      </c>
      <c r="G59" s="12" t="n">
        <v>65.197</v>
      </c>
      <c r="H59" s="12" t="n">
        <v>148.316</v>
      </c>
      <c r="I59" s="12" t="n">
        <v>120.849</v>
      </c>
      <c r="J59" s="12" t="n">
        <v>-190.607</v>
      </c>
      <c r="K59" s="12" t="n">
        <v>54.784</v>
      </c>
      <c r="L59" s="12" t="n">
        <v>83.01900000000001</v>
      </c>
      <c r="M59" s="12" t="n">
        <v>186.623</v>
      </c>
      <c r="N59" s="12" t="n">
        <v>94.47199999999999</v>
      </c>
      <c r="O59" s="11" t="n"/>
      <c r="P59" s="12" t="n"/>
      <c r="Q59" s="12" t="n"/>
      <c r="R59" s="12" t="n"/>
      <c r="S59" s="12" t="n"/>
      <c r="T59" s="12" t="n">
        <v>-1834.218</v>
      </c>
      <c r="U59" s="12" t="n">
        <v>114.126</v>
      </c>
      <c r="V59" s="12" t="n">
        <v>74.149</v>
      </c>
      <c r="W59" s="12" t="n">
        <v>143.755</v>
      </c>
      <c r="X59" s="12" t="n">
        <v>418.898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(2026.10.26)</t>
        </is>
      </c>
      <c r="B62" s="27" t="n">
        <v>530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16022148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2026.10.26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2024.1Q</t>
        </is>
      </c>
      <c r="D92" s="5" t="inlineStr">
        <is>
          <t>2024.2Q</t>
        </is>
      </c>
      <c r="E92" s="5" t="inlineStr">
        <is>
          <t>2024.3Q</t>
        </is>
      </c>
      <c r="F92" s="5" t="inlineStr">
        <is>
          <t>2024.4Q</t>
        </is>
      </c>
      <c r="G92" s="5" t="inlineStr">
        <is>
          <t>2025.1Q</t>
        </is>
      </c>
      <c r="H92" s="5" t="inlineStr">
        <is>
          <t>2025.2Q</t>
        </is>
      </c>
      <c r="I92" s="5" t="inlineStr">
        <is>
          <t>2025.3Q</t>
        </is>
      </c>
      <c r="J92" s="5" t="inlineStr">
        <is>
          <t>2025.4Q</t>
        </is>
      </c>
      <c r="K92" s="5" t="inlineStr">
        <is>
          <t>2026.1Q</t>
        </is>
      </c>
      <c r="L92" s="5" t="inlineStr">
        <is>
          <t>2026.2Q</t>
        </is>
      </c>
      <c r="M92" s="5" t="inlineStr">
        <is>
          <t>2026.3Q</t>
        </is>
      </c>
      <c r="N92" s="5" t="inlineStr">
        <is>
          <t>2026.4Q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1039.371</v>
      </c>
      <c r="D93" s="12" t="n">
        <v>951.221</v>
      </c>
      <c r="E93" s="12" t="n">
        <v>2824.775</v>
      </c>
      <c r="F93" s="12" t="n">
        <v>2038.045</v>
      </c>
      <c r="G93" s="12" t="n">
        <v>2342.53</v>
      </c>
      <c r="H93" s="12" t="n">
        <v>2495.718</v>
      </c>
      <c r="I93" s="12" t="n">
        <v>2807.318</v>
      </c>
      <c r="J93" s="12" t="n">
        <v>2588.467</v>
      </c>
      <c r="K93" s="12" t="n">
        <v>2399.247</v>
      </c>
      <c r="L93" s="12" t="n">
        <v>2324.563</v>
      </c>
      <c r="M93" s="12" t="n">
        <v>3333.985</v>
      </c>
      <c r="N93" s="12" t="n">
        <v>3084.51</v>
      </c>
      <c r="U93" s="12" t="n">
        <v>1155.252</v>
      </c>
      <c r="V93" s="12" t="n">
        <v>2038.045</v>
      </c>
      <c r="W93" s="12" t="n">
        <v>2588.467</v>
      </c>
      <c r="X93" s="12" t="n">
        <v>3084.51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492.058</v>
      </c>
      <c r="D95" s="20" t="n">
        <v>366.051</v>
      </c>
      <c r="E95" s="20" t="n">
        <v>1764.48</v>
      </c>
      <c r="F95" s="20" t="n">
        <v>1222.383</v>
      </c>
      <c r="G95" s="20" t="n">
        <v>1403.998</v>
      </c>
      <c r="H95" s="20" t="n">
        <v>1460.804</v>
      </c>
      <c r="I95" s="20" t="n">
        <v>1771.7</v>
      </c>
      <c r="J95" s="20" t="n">
        <v>1592.627</v>
      </c>
      <c r="K95" s="20" t="n">
        <v>1423.978</v>
      </c>
      <c r="L95" s="20" t="n">
        <v>1289.073</v>
      </c>
      <c r="M95" s="20" t="n">
        <v>2144.559</v>
      </c>
      <c r="N95" s="20" t="n">
        <v>1963.986</v>
      </c>
      <c r="U95" s="20" t="n">
        <v>582.789</v>
      </c>
      <c r="V95" s="20" t="n">
        <v>1222.383</v>
      </c>
      <c r="W95" s="20" t="n">
        <v>1592.627</v>
      </c>
      <c r="X95" s="20" t="n">
        <v>1963.986</v>
      </c>
    </row>
    <row r="96">
      <c r="A96" s="9" t="inlineStr">
        <is>
          <t>매출총이익</t>
        </is>
      </c>
      <c r="C96" s="12" t="n">
        <v>547.313</v>
      </c>
      <c r="D96" s="12" t="n">
        <v>585.17</v>
      </c>
      <c r="E96" s="12" t="n">
        <v>1060.295</v>
      </c>
      <c r="F96" s="12" t="n">
        <v>815.662</v>
      </c>
      <c r="G96" s="12" t="n">
        <v>938.5309999999999</v>
      </c>
      <c r="H96" s="12" t="n">
        <v>1034.915</v>
      </c>
      <c r="I96" s="12" t="n">
        <v>1035.618</v>
      </c>
      <c r="J96" s="12" t="n">
        <v>995.84</v>
      </c>
      <c r="K96" s="12" t="n">
        <v>975.268</v>
      </c>
      <c r="L96" s="12" t="n">
        <v>1035.49</v>
      </c>
      <c r="M96" s="12" t="n">
        <v>1189.427</v>
      </c>
      <c r="N96" s="12" t="n">
        <v>1120.523</v>
      </c>
      <c r="U96" s="12" t="n">
        <v>572.463</v>
      </c>
      <c r="V96" s="12" t="n">
        <v>815.662</v>
      </c>
      <c r="W96" s="12" t="n">
        <v>995.84</v>
      </c>
      <c r="X96" s="12" t="n">
        <v>1120.523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판매비와 관리비</t>
        </is>
      </c>
      <c r="C98" s="20" t="n">
        <v>496.982</v>
      </c>
      <c r="D98" s="20" t="n">
        <v>549.424</v>
      </c>
      <c r="E98" s="20" t="n">
        <v>792.501</v>
      </c>
      <c r="F98" s="20" t="n">
        <v>831.588</v>
      </c>
      <c r="G98" s="20" t="n">
        <v>786.75</v>
      </c>
      <c r="H98" s="20" t="n">
        <v>781.898</v>
      </c>
      <c r="I98" s="20" t="n">
        <v>817.524</v>
      </c>
      <c r="J98" s="20" t="n">
        <v>887.301</v>
      </c>
      <c r="K98" s="20" t="n">
        <v>834.867</v>
      </c>
      <c r="L98" s="20" t="n">
        <v>848.365</v>
      </c>
      <c r="M98" s="20" t="n">
        <v>855.323</v>
      </c>
      <c r="N98" s="20" t="n">
        <v>953.6849999999999</v>
      </c>
      <c r="U98" s="20" t="n">
        <v>516.271</v>
      </c>
      <c r="V98" s="20" t="n">
        <v>831.588</v>
      </c>
      <c r="W98" s="20" t="n">
        <v>887.301</v>
      </c>
      <c r="X98" s="20" t="n">
        <v>953.6849999999999</v>
      </c>
    </row>
    <row r="99">
      <c r="A99" s="9" t="inlineStr">
        <is>
          <t>영업이익</t>
        </is>
      </c>
      <c r="C99" s="12" t="n">
        <v>50.33</v>
      </c>
      <c r="D99" s="12" t="n">
        <v>35.747</v>
      </c>
      <c r="E99" s="12" t="n">
        <v>267.793</v>
      </c>
      <c r="F99" s="12" t="n">
        <v>-15.925</v>
      </c>
      <c r="G99" s="12" t="n">
        <v>151.78</v>
      </c>
      <c r="H99" s="12" t="n">
        <v>253.018</v>
      </c>
      <c r="I99" s="12" t="n">
        <v>218.093</v>
      </c>
      <c r="J99" s="12" t="n">
        <v>108.539</v>
      </c>
      <c r="K99" s="12" t="n">
        <v>140.4</v>
      </c>
      <c r="L99" s="12" t="n">
        <v>187.126</v>
      </c>
      <c r="M99" s="12" t="n">
        <v>334.103</v>
      </c>
      <c r="N99" s="12" t="n">
        <v>166.839</v>
      </c>
      <c r="U99" s="12" t="n">
        <v>56.193</v>
      </c>
      <c r="V99" s="12" t="n">
        <v>-15.925</v>
      </c>
      <c r="W99" s="12" t="n">
        <v>108.539</v>
      </c>
      <c r="X99" s="12" t="n">
        <v>166.839</v>
      </c>
    </row>
    <row r="100">
      <c r="A100" s="43" t="inlineStr">
        <is>
          <t>OPM</t>
        </is>
      </c>
      <c r="B100" s="3" t="inlineStr">
        <is>
          <t>영업이익 ÷ 매출</t>
        </is>
      </c>
      <c r="C100" s="15">
        <f>IF(OR(C99="",C93=""),"",IF(C93&lt;=0,"",IFERROR(C99/C93,"")))</f>
        <v/>
      </c>
      <c r="D100" s="15">
        <f>IF(OR(D99="",D93=""),"",IF(D93&lt;=0,"",IFERROR(D99/D93,"")))</f>
        <v/>
      </c>
      <c r="E100" s="15">
        <f>IF(OR(E99="",E93=""),"",IF(E93&lt;=0,"",IFERROR(E99/E93,"")))</f>
        <v/>
      </c>
      <c r="F100" s="15">
        <f>IF(OR(F99="",F93=""),"",IF(F93&lt;=0,"",IFERROR(F99/F93,"")))</f>
        <v/>
      </c>
      <c r="G100" s="15">
        <f>IF(OR(G99="",G93=""),"",IF(G93&lt;=0,"",IFERROR(G99/G93,"")))</f>
        <v/>
      </c>
      <c r="H100" s="15">
        <f>IF(OR(H99="",H93=""),"",IF(H93&lt;=0,"",IFERROR(H99/H93,"")))</f>
        <v/>
      </c>
      <c r="I100" s="15">
        <f>IF(OR(I99="",I93=""),"",IF(I93&lt;=0,"",IFERROR(I99/I93,"")))</f>
        <v/>
      </c>
      <c r="J100" s="15">
        <f>IF(OR(J99="",J93=""),"",IF(J93&lt;=0,"",IFERROR(J99/J93,"")))</f>
        <v/>
      </c>
      <c r="K100" s="15">
        <f>IF(OR(K99="",K93=""),"",IF(K93&lt;=0,"",IFERROR(K99/K93,"")))</f>
        <v/>
      </c>
      <c r="L100" s="15">
        <f>IF(OR(L99="",L93=""),"",IF(L93&lt;=0,"",IFERROR(L99/L93,"")))</f>
        <v/>
      </c>
      <c r="M100" s="15">
        <f>IF(OR(M99="",M93=""),"",IF(M93&lt;=0,"",IFERROR(M99/M93,"")))</f>
        <v/>
      </c>
      <c r="N100" s="15">
        <f>IF(OR(N99="",N93=""),"",IF(N93&lt;=0,"",IFERROR(N99/N93,"")))</f>
        <v/>
      </c>
      <c r="U100" s="15">
        <f>IF(OR(U99="",U93=""),"",IF(U93&lt;=0,"",IFERROR(U99/U93,"")))</f>
        <v/>
      </c>
      <c r="V100" s="15">
        <f>IF(OR(V99="",V93=""),"",IF(V93&lt;=0,"",IFERROR(V99/V93,"")))</f>
        <v/>
      </c>
      <c r="W100" s="15">
        <f>IF(OR(W99="",W93=""),"",IF(W93&lt;=0,"",IFERROR(W99/W93,"")))</f>
        <v/>
      </c>
      <c r="X100" s="15">
        <f>IF(OR(X99="",X93=""),"",IF(X93&lt;=0,"",IFERROR(X99/X93,"")))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U101" s="15">
        <f>IF(OR(U99="",T99=""),"",IF(T99&lt;=0,"",IFERROR(U99/T99-1,"")))</f>
        <v/>
      </c>
      <c r="V101" s="15">
        <f>IF(OR(V99="",U99=""),"",IF(U99&lt;=0,"",IFERROR(V99/U99-1,"")))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이자수익</t>
        </is>
      </c>
      <c r="C102" s="20" t="n">
        <v>0.336</v>
      </c>
      <c r="D102" s="20" t="n">
        <v>0.136</v>
      </c>
      <c r="E102" s="20" t="n">
        <v>1.022</v>
      </c>
      <c r="F102" s="20" t="n">
        <v>1.296</v>
      </c>
      <c r="G102" s="20" t="n">
        <v>0.861</v>
      </c>
      <c r="H102" s="20" t="n">
        <v>2.169</v>
      </c>
      <c r="I102" s="20" t="n">
        <v>1.017</v>
      </c>
      <c r="J102" s="20" t="n">
        <v>3.481</v>
      </c>
      <c r="K102" s="20" t="n">
        <v>0.327</v>
      </c>
      <c r="L102" s="20" t="n">
        <v>4.866</v>
      </c>
      <c r="M102" s="20" t="n">
        <v>0.781</v>
      </c>
      <c r="N102" s="20" t="n">
        <v>6.055</v>
      </c>
      <c r="U102" s="20" t="n">
        <v>0.257</v>
      </c>
      <c r="V102" s="20" t="n">
        <v>1.296</v>
      </c>
      <c r="W102" s="20" t="n">
        <v>3.481</v>
      </c>
      <c r="X102" s="20" t="n">
        <v>6.055</v>
      </c>
    </row>
    <row r="103">
      <c r="A103" s="18" t="inlineStr">
        <is>
          <t>배당금수익</t>
        </is>
      </c>
      <c r="C103" s="20" t="n">
        <v>0</v>
      </c>
      <c r="D103" s="20" t="n">
        <v>0</v>
      </c>
      <c r="E103" s="20" t="n">
        <v>0</v>
      </c>
      <c r="F103" s="20" t="n">
        <v>0</v>
      </c>
      <c r="G103" s="20" t="n">
        <v>0.15</v>
      </c>
      <c r="H103" s="20" t="n">
        <v>0</v>
      </c>
      <c r="I103" s="20" t="n">
        <v>0.175</v>
      </c>
      <c r="J103" s="20" t="n">
        <v>0</v>
      </c>
      <c r="K103" s="20" t="n">
        <v>0</v>
      </c>
      <c r="L103" s="20" t="n">
        <v>0</v>
      </c>
      <c r="M103" s="20" t="n">
        <v>0.19</v>
      </c>
      <c r="N103" s="20" t="n">
        <v>0</v>
      </c>
      <c r="V103" s="20" t="n">
        <v>0</v>
      </c>
      <c r="W103" s="20" t="n">
        <v>0</v>
      </c>
      <c r="X103" s="20" t="n">
        <v>0</v>
      </c>
    </row>
    <row r="104">
      <c r="A104" s="18" t="inlineStr">
        <is>
          <t>외환차익</t>
        </is>
      </c>
      <c r="C104" s="20" t="n">
        <v>0.8139999999999999</v>
      </c>
      <c r="D104" s="20" t="n">
        <v>0.487</v>
      </c>
      <c r="E104" s="20" t="n">
        <v>3.682</v>
      </c>
      <c r="F104" s="20" t="n">
        <v>-3.061</v>
      </c>
      <c r="G104" s="20" t="n">
        <v>1.802</v>
      </c>
      <c r="H104" s="20" t="n">
        <v>-1.164</v>
      </c>
      <c r="I104" s="20" t="n">
        <v>-0.034</v>
      </c>
      <c r="J104" s="20" t="n">
        <v>2.069</v>
      </c>
      <c r="K104" s="20" t="n">
        <v>7.192</v>
      </c>
      <c r="L104" s="20" t="n">
        <v>1.921</v>
      </c>
      <c r="M104" s="20" t="n">
        <v>-2.873</v>
      </c>
      <c r="N104" s="20" t="n">
        <v>-0.895</v>
      </c>
      <c r="U104" s="20" t="n">
        <v>4.779</v>
      </c>
      <c r="V104" s="20" t="n">
        <v>-3.061</v>
      </c>
      <c r="W104" s="20" t="n">
        <v>2.069</v>
      </c>
      <c r="X104" s="20" t="n">
        <v>-0.895</v>
      </c>
    </row>
    <row r="105">
      <c r="A105" s="18" t="inlineStr">
        <is>
          <t>지분법이익</t>
        </is>
      </c>
      <c r="C105" s="20" t="n">
        <v>0</v>
      </c>
      <c r="D105" s="20" t="n">
        <v>0</v>
      </c>
      <c r="E105" s="20" t="n">
        <v>0</v>
      </c>
      <c r="F105" s="20" t="n">
        <v>0</v>
      </c>
      <c r="U105" s="20" t="n">
        <v>0</v>
      </c>
      <c r="V105" s="20" t="n">
        <v>0</v>
      </c>
    </row>
    <row r="106">
      <c r="A106" s="18" t="inlineStr">
        <is>
          <t>보험금 수익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G106" s="20" t="n">
        <v>1.93</v>
      </c>
      <c r="H106" s="20" t="n">
        <v>0</v>
      </c>
      <c r="I106" s="20" t="n">
        <v>0</v>
      </c>
      <c r="J106" s="20" t="n">
        <v>0.408</v>
      </c>
      <c r="K106" s="20" t="n">
        <v>0</v>
      </c>
      <c r="L106" s="20" t="n">
        <v>0</v>
      </c>
      <c r="M106" s="20" t="n">
        <v>0</v>
      </c>
      <c r="N106" s="20" t="n">
        <v>0</v>
      </c>
      <c r="V106" s="20" t="n">
        <v>0</v>
      </c>
      <c r="W106" s="20" t="n">
        <v>0.408</v>
      </c>
      <c r="X106" s="20" t="n">
        <v>0</v>
      </c>
    </row>
    <row r="107">
      <c r="A107" s="18" t="inlineStr">
        <is>
          <t>기타</t>
        </is>
      </c>
      <c r="C107" s="20" t="n">
        <v>0.22</v>
      </c>
      <c r="D107" s="20" t="n">
        <v>0.243</v>
      </c>
      <c r="E107" s="20" t="n">
        <v>0.2</v>
      </c>
      <c r="F107" s="20" t="n">
        <v>1.139</v>
      </c>
      <c r="G107" s="20" t="n">
        <v>0.422</v>
      </c>
      <c r="H107" s="20" t="n">
        <v>0.859</v>
      </c>
      <c r="I107" s="20" t="n">
        <v>0.51</v>
      </c>
      <c r="J107" s="20" t="n">
        <v>0.34</v>
      </c>
      <c r="K107" s="20" t="n">
        <v>0.376</v>
      </c>
      <c r="L107" s="20" t="n">
        <v>0.481</v>
      </c>
      <c r="M107" s="20" t="n">
        <v>0.532</v>
      </c>
      <c r="N107" s="20" t="n">
        <v>0.658</v>
      </c>
      <c r="U107" s="20" t="n">
        <v>0.214</v>
      </c>
      <c r="V107" s="20" t="n">
        <v>1.139</v>
      </c>
      <c r="W107" s="20" t="n">
        <v>0.34</v>
      </c>
      <c r="X107" s="20" t="n">
        <v>0.658</v>
      </c>
    </row>
    <row r="108">
      <c r="A108" s="18" t="inlineStr">
        <is>
          <t>영업외수익 합계</t>
        </is>
      </c>
      <c r="C108" s="20" t="n">
        <v>1.372</v>
      </c>
      <c r="D108" s="20" t="n">
        <v>0.865</v>
      </c>
      <c r="E108" s="20" t="n">
        <v>4.904</v>
      </c>
      <c r="F108" s="20" t="n">
        <v>-0.626</v>
      </c>
      <c r="G108" s="20" t="n">
        <v>5.165</v>
      </c>
      <c r="H108" s="20" t="n">
        <v>1.865</v>
      </c>
      <c r="I108" s="20" t="n">
        <v>1.668</v>
      </c>
      <c r="J108" s="20" t="n">
        <v>6.299</v>
      </c>
      <c r="K108" s="20" t="n">
        <v>7.896</v>
      </c>
      <c r="L108" s="20" t="n">
        <v>7.268</v>
      </c>
      <c r="M108" s="20" t="n">
        <v>-1.371</v>
      </c>
      <c r="N108" s="20" t="n">
        <v>5.82</v>
      </c>
      <c r="U108" s="20" t="n">
        <v>5.249</v>
      </c>
      <c r="V108" s="20" t="n">
        <v>-0.626</v>
      </c>
      <c r="W108" s="20" t="n">
        <v>6.299</v>
      </c>
      <c r="X108" s="20" t="n">
        <v>5.82</v>
      </c>
    </row>
    <row r="109">
      <c r="A109" s="18" t="inlineStr">
        <is>
          <t>이자비용</t>
        </is>
      </c>
      <c r="C109" s="20" t="n">
        <v>4.95</v>
      </c>
      <c r="D109" s="20" t="n">
        <v>5.29</v>
      </c>
      <c r="E109" s="20" t="n">
        <v>6.346</v>
      </c>
      <c r="F109" s="20" t="n">
        <v>6.392</v>
      </c>
      <c r="G109" s="20" t="n">
        <v>6.839</v>
      </c>
      <c r="H109" s="20" t="n">
        <v>7.114</v>
      </c>
      <c r="I109" s="20" t="n">
        <v>8.186</v>
      </c>
      <c r="J109" s="20" t="n">
        <v>8.114000000000001</v>
      </c>
      <c r="K109" s="20" t="n">
        <v>7.782</v>
      </c>
      <c r="L109" s="20" t="n">
        <v>8.342000000000001</v>
      </c>
      <c r="M109" s="20" t="n">
        <v>8.512</v>
      </c>
      <c r="N109" s="20" t="n">
        <v>9</v>
      </c>
      <c r="U109" s="20" t="n">
        <v>6.105</v>
      </c>
      <c r="V109" s="20" t="n">
        <v>6.392</v>
      </c>
      <c r="W109" s="20" t="n">
        <v>8.114000000000001</v>
      </c>
      <c r="X109" s="20" t="n">
        <v>9</v>
      </c>
    </row>
    <row r="110">
      <c r="A110" s="18" t="inlineStr">
        <is>
          <t>외환차손</t>
        </is>
      </c>
      <c r="C110" s="20" t="n">
        <v>0</v>
      </c>
      <c r="D110" s="20" t="n">
        <v>0</v>
      </c>
    </row>
    <row r="111">
      <c r="A111" s="18" t="inlineStr">
        <is>
          <t>주식교부비</t>
        </is>
      </c>
      <c r="F111" s="20" t="n">
        <v>0</v>
      </c>
      <c r="U111" s="20" t="n">
        <v>0</v>
      </c>
      <c r="V111" s="20" t="n">
        <v>0</v>
      </c>
    </row>
    <row r="112">
      <c r="A112" s="18" t="inlineStr">
        <is>
          <t>기타</t>
        </is>
      </c>
      <c r="C112" s="20" t="n">
        <v>0.37</v>
      </c>
      <c r="D112" s="20" t="n">
        <v>0.33</v>
      </c>
      <c r="E112" s="20" t="n">
        <v>0.346</v>
      </c>
      <c r="F112" s="20" t="n">
        <v>-0.6820000000000001</v>
      </c>
      <c r="G112" s="20" t="n">
        <v>0.323</v>
      </c>
      <c r="H112" s="20" t="n">
        <v>0.281</v>
      </c>
      <c r="I112" s="20" t="n">
        <v>0.32</v>
      </c>
      <c r="J112" s="20" t="n">
        <v>-0.028</v>
      </c>
      <c r="K112" s="20" t="n">
        <v>0.249</v>
      </c>
      <c r="L112" s="20" t="n">
        <v>0.252</v>
      </c>
      <c r="M112" s="20" t="n">
        <v>0.828</v>
      </c>
      <c r="N112" s="20" t="n">
        <v>-1.327</v>
      </c>
      <c r="U112" s="20" t="n">
        <v>0.133</v>
      </c>
      <c r="V112" s="20" t="n">
        <v>-0.6820000000000001</v>
      </c>
      <c r="W112" s="20" t="n">
        <v>-0.028</v>
      </c>
      <c r="X112" s="20" t="n">
        <v>-1.327</v>
      </c>
    </row>
    <row r="113">
      <c r="A113" s="18" t="inlineStr">
        <is>
          <t>영업외비용 합계</t>
        </is>
      </c>
      <c r="C113" s="20" t="n">
        <v>5.32</v>
      </c>
      <c r="D113" s="20" t="n">
        <v>5.621</v>
      </c>
      <c r="E113" s="20" t="n">
        <v>6.691</v>
      </c>
      <c r="F113" s="20" t="n">
        <v>6.742</v>
      </c>
      <c r="G113" s="20" t="n">
        <v>7.162</v>
      </c>
      <c r="H113" s="20" t="n">
        <v>7.396</v>
      </c>
      <c r="I113" s="20" t="n">
        <v>8.505000000000001</v>
      </c>
      <c r="J113" s="20" t="n">
        <v>9.122999999999999</v>
      </c>
      <c r="K113" s="20" t="n">
        <v>8.032</v>
      </c>
      <c r="L113" s="20" t="n">
        <v>8.593</v>
      </c>
      <c r="M113" s="20" t="n">
        <v>9.34</v>
      </c>
      <c r="N113" s="20" t="n">
        <v>9.994999999999999</v>
      </c>
      <c r="U113" s="20" t="n">
        <v>21.916</v>
      </c>
      <c r="V113" s="20" t="n">
        <v>6.742</v>
      </c>
      <c r="W113" s="20" t="n">
        <v>9.122999999999999</v>
      </c>
      <c r="X113" s="20" t="n">
        <v>9.994999999999999</v>
      </c>
    </row>
    <row r="114">
      <c r="A114" s="9" t="inlineStr">
        <is>
          <t>경상이익</t>
        </is>
      </c>
      <c r="C114" s="12" t="n">
        <v>46.381</v>
      </c>
      <c r="D114" s="12" t="n">
        <v>30.991</v>
      </c>
      <c r="E114" s="12" t="n">
        <v>266.008</v>
      </c>
      <c r="F114" s="12" t="n">
        <v>-23.294</v>
      </c>
      <c r="G114" s="12" t="n">
        <v>149.784</v>
      </c>
      <c r="H114" s="12" t="n">
        <v>247.486</v>
      </c>
      <c r="I114" s="12" t="n">
        <v>211.256</v>
      </c>
      <c r="J114" s="12" t="n">
        <v>105.715</v>
      </c>
      <c r="K114" s="12" t="n">
        <v>140.264</v>
      </c>
      <c r="L114" s="12" t="n">
        <v>185.801</v>
      </c>
      <c r="M114" s="12" t="n">
        <v>323.393</v>
      </c>
      <c r="N114" s="12" t="n">
        <v>162.662</v>
      </c>
      <c r="U114" s="12" t="n">
        <v>39.526</v>
      </c>
      <c r="V114" s="12" t="n">
        <v>-23.294</v>
      </c>
      <c r="W114" s="12" t="n">
        <v>105.715</v>
      </c>
      <c r="X114" s="12" t="n">
        <v>162.662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IF(OR(G114="",C114=""),"",IF(C114&lt;=0,"",IFERROR(G114/C114-1,"")))</f>
        <v/>
      </c>
      <c r="H115" s="15">
        <f>IF(OR(H114="",D114=""),"",IF(D114&lt;=0,"",IFERROR(H114/D114-1,"")))</f>
        <v/>
      </c>
      <c r="I115" s="15">
        <f>IF(OR(I114="",E114=""),"",IF(E114&lt;=0,"",IFERROR(I114/E114-1,"")))</f>
        <v/>
      </c>
      <c r="J115" s="15">
        <f>IF(OR(J114="",F114=""),"",IF(F114&lt;=0,"",IFERROR(J114/F114-1,"")))</f>
        <v/>
      </c>
      <c r="K115" s="15">
        <f>IF(OR(K114="",G114=""),"",IF(G114&lt;=0,"",IFERROR(K114/G114-1,"")))</f>
        <v/>
      </c>
      <c r="L115" s="15">
        <f>IF(OR(L114="",H114=""),"",IF(H114&lt;=0,"",IFERROR(L114/H114-1,"")))</f>
        <v/>
      </c>
      <c r="M115" s="15">
        <f>IF(OR(M114="",I114=""),"",IF(I114&lt;=0,"",IFERROR(M114/I114-1,"")))</f>
        <v/>
      </c>
      <c r="N115" s="15">
        <f>IF(OR(N114="",J114=""),"",IF(J114&lt;=0,"",IFERROR(N114/J114-1,"")))</f>
        <v/>
      </c>
      <c r="U115" s="15">
        <f>IF(OR(U114="",T114=""),"",IF(T114&lt;=0,"",IFERROR(U114/T114-1,"")))</f>
        <v/>
      </c>
      <c r="V115" s="15">
        <f>IF(OR(V114="",U114=""),"",IF(U114&lt;=0,"",IFERROR(V114/U114-1,"")))</f>
        <v/>
      </c>
      <c r="W115" s="15">
        <f>IF(OR(W114="",V114=""),"",IF(V114&lt;=0,"",IFERROR(W114/V114-1,"")))</f>
        <v/>
      </c>
      <c r="X115" s="15">
        <f>IF(OR(X114="",W114=""),"",IF(W114&lt;=0,"",IFERROR(X114/W114-1,"")))</f>
        <v/>
      </c>
    </row>
    <row r="116">
      <c r="A116" s="18" t="inlineStr">
        <is>
          <t>투자유가증권 매각이익</t>
        </is>
      </c>
      <c r="F116" s="20" t="n">
        <v>0</v>
      </c>
      <c r="J116" s="20" t="n">
        <v>4.32</v>
      </c>
      <c r="N116" s="20" t="n">
        <v>0</v>
      </c>
      <c r="U116" s="20" t="n">
        <v>0</v>
      </c>
      <c r="V116" s="20" t="n">
        <v>0</v>
      </c>
      <c r="W116" s="20" t="n">
        <v>4.32</v>
      </c>
      <c r="X116" s="20" t="n">
        <v>0</v>
      </c>
    </row>
    <row r="117">
      <c r="A117" s="18" t="inlineStr">
        <is>
          <t>신주예약권 환입이익</t>
        </is>
      </c>
      <c r="C117" s="20" t="n">
        <v>0</v>
      </c>
      <c r="D117" s="20" t="n">
        <v>0.004</v>
      </c>
      <c r="E117" s="20" t="n">
        <v>0.38</v>
      </c>
      <c r="F117" s="20" t="n">
        <v>0</v>
      </c>
      <c r="G117" s="20" t="n">
        <v>6.87</v>
      </c>
      <c r="H117" s="20" t="n">
        <v>1.371</v>
      </c>
      <c r="I117" s="20" t="n">
        <v>0.357</v>
      </c>
      <c r="J117" s="20" t="n">
        <v>0.191</v>
      </c>
      <c r="K117" s="20" t="n">
        <v>3.573</v>
      </c>
      <c r="L117" s="20" t="n">
        <v>0</v>
      </c>
      <c r="M117" s="20" t="n">
        <v>0.093</v>
      </c>
      <c r="N117" s="20" t="n">
        <v>2.094</v>
      </c>
      <c r="U117" s="20" t="n">
        <v>0</v>
      </c>
      <c r="V117" s="20" t="n">
        <v>0</v>
      </c>
      <c r="W117" s="20" t="n">
        <v>0.191</v>
      </c>
      <c r="X117" s="20" t="n">
        <v>2.094</v>
      </c>
    </row>
    <row r="118">
      <c r="A118" s="18" t="inlineStr">
        <is>
          <t>단기매매차익 수증이익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U118" s="20" t="n">
        <v>0</v>
      </c>
      <c r="V118" s="20" t="n">
        <v>0</v>
      </c>
    </row>
    <row r="119">
      <c r="A119" s="18" t="inlineStr">
        <is>
          <t>특별이익 합계</t>
        </is>
      </c>
      <c r="C119" s="20" t="n">
        <v>0</v>
      </c>
      <c r="D119" s="20" t="n">
        <v>0.004</v>
      </c>
      <c r="E119" s="20" t="n">
        <v>2.885</v>
      </c>
      <c r="F119" s="20" t="n">
        <v>0</v>
      </c>
      <c r="G119" s="20" t="n">
        <v>6.87</v>
      </c>
      <c r="H119" s="20" t="n">
        <v>1.371</v>
      </c>
      <c r="I119" s="20" t="n">
        <v>24.032</v>
      </c>
      <c r="J119" s="20" t="n">
        <v>6.872</v>
      </c>
      <c r="K119" s="20" t="n">
        <v>3.573</v>
      </c>
      <c r="L119" s="20" t="n">
        <v>0</v>
      </c>
      <c r="M119" s="20" t="n">
        <v>0.093</v>
      </c>
      <c r="N119" s="20" t="n">
        <v>2.094</v>
      </c>
      <c r="U119" s="20" t="n">
        <v>0</v>
      </c>
      <c r="V119" s="20" t="n">
        <v>0</v>
      </c>
      <c r="W119" s="20" t="n">
        <v>6.872</v>
      </c>
      <c r="X119" s="20" t="n">
        <v>2.094</v>
      </c>
    </row>
    <row r="120">
      <c r="A120" s="18" t="inlineStr">
        <is>
          <t>고정자산 제각손실</t>
        </is>
      </c>
      <c r="E120" s="20" t="n">
        <v>0</v>
      </c>
      <c r="F120" s="20" t="n">
        <v>0</v>
      </c>
      <c r="U120" s="20" t="n">
        <v>0</v>
      </c>
      <c r="V120" s="20" t="n">
        <v>0</v>
      </c>
    </row>
    <row r="121">
      <c r="A121" s="18" t="inlineStr">
        <is>
          <t>관계회사 주식 매각손실</t>
        </is>
      </c>
      <c r="F121" s="20" t="n">
        <v>0</v>
      </c>
      <c r="U121" s="20" t="n">
        <v>0</v>
      </c>
      <c r="V121" s="20" t="n">
        <v>0</v>
      </c>
    </row>
    <row r="122">
      <c r="A122" s="18" t="inlineStr">
        <is>
          <t>해외 자회사 청산 환산조정 환입손실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J122" s="20" t="n">
        <v>0</v>
      </c>
      <c r="N122" s="20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특별손실 합계</t>
        </is>
      </c>
      <c r="C123" s="20" t="n">
        <v>0</v>
      </c>
      <c r="D123" s="20" t="n">
        <v>0</v>
      </c>
      <c r="E123" s="20" t="n">
        <v>0</v>
      </c>
      <c r="F123" s="20" t="n">
        <v>0.66</v>
      </c>
      <c r="J123" s="20" t="n">
        <v>354.949</v>
      </c>
      <c r="N123" s="20" t="n">
        <v>0</v>
      </c>
      <c r="U123" s="20" t="n">
        <v>0</v>
      </c>
      <c r="V123" s="20" t="n">
        <v>0.66</v>
      </c>
      <c r="W123" s="20" t="n">
        <v>354.949</v>
      </c>
      <c r="X123" s="20" t="n">
        <v>0</v>
      </c>
    </row>
    <row r="124">
      <c r="A124" s="9" t="inlineStr">
        <is>
          <t>법인세차감전 순이익</t>
        </is>
      </c>
      <c r="C124" s="12" t="n">
        <v>46.381</v>
      </c>
      <c r="D124" s="12" t="n">
        <v>30.995</v>
      </c>
      <c r="E124" s="12" t="n">
        <v>268.893</v>
      </c>
      <c r="F124" s="12" t="n">
        <v>-23.954</v>
      </c>
      <c r="G124" s="12" t="n">
        <v>156.654</v>
      </c>
      <c r="H124" s="12" t="n">
        <v>248.857</v>
      </c>
      <c r="I124" s="12" t="n">
        <v>230.236</v>
      </c>
      <c r="J124" s="12" t="n">
        <v>-242.361</v>
      </c>
      <c r="K124" s="12" t="n">
        <v>143.837</v>
      </c>
      <c r="L124" s="12" t="n">
        <v>185.801</v>
      </c>
      <c r="M124" s="12" t="n">
        <v>323.486</v>
      </c>
      <c r="N124" s="12" t="n">
        <v>164.756</v>
      </c>
      <c r="U124" s="12" t="n">
        <v>39.526</v>
      </c>
      <c r="V124" s="12" t="n">
        <v>-23.954</v>
      </c>
      <c r="W124" s="12" t="n">
        <v>-242.361</v>
      </c>
      <c r="X124" s="12" t="n">
        <v>164.756</v>
      </c>
    </row>
    <row r="125">
      <c r="A125" s="18" t="inlineStr">
        <is>
          <t>법인세·주민세·사업세</t>
        </is>
      </c>
      <c r="C125" s="20" t="n">
        <v>28.889</v>
      </c>
      <c r="D125" s="20" t="n">
        <v>51.494</v>
      </c>
      <c r="E125" s="20" t="n">
        <v>124.624</v>
      </c>
      <c r="F125" s="20" t="n">
        <v>51.721</v>
      </c>
      <c r="G125" s="20" t="n">
        <v>87.678</v>
      </c>
      <c r="H125" s="20" t="n">
        <v>131.255</v>
      </c>
      <c r="I125" s="20" t="n">
        <v>103.29</v>
      </c>
      <c r="J125" s="20" t="n">
        <v>75.86799999999999</v>
      </c>
      <c r="K125" s="20" t="n">
        <v>62.153</v>
      </c>
      <c r="L125" s="20" t="n">
        <v>118.925</v>
      </c>
      <c r="M125" s="20" t="n">
        <v>131.468</v>
      </c>
      <c r="N125" s="20" t="n">
        <v>80.527</v>
      </c>
      <c r="U125" s="20" t="n">
        <v>32.099</v>
      </c>
      <c r="V125" s="20" t="n">
        <v>51.721</v>
      </c>
      <c r="W125" s="20" t="n">
        <v>75.86799999999999</v>
      </c>
      <c r="X125" s="20" t="n">
        <v>80.527</v>
      </c>
    </row>
    <row r="126">
      <c r="A126" s="18" t="inlineStr">
        <is>
          <t>법인세 조정액</t>
        </is>
      </c>
      <c r="C126" s="20" t="n">
        <v>19.33</v>
      </c>
      <c r="D126" s="20" t="n">
        <v>-8.106</v>
      </c>
      <c r="E126" s="20" t="n">
        <v>-8.028</v>
      </c>
      <c r="F126" s="20" t="n">
        <v>-11.758</v>
      </c>
      <c r="G126" s="20" t="n">
        <v>3.777</v>
      </c>
      <c r="H126" s="20" t="n">
        <v>-30.711</v>
      </c>
      <c r="I126" s="20" t="n">
        <v>6.095</v>
      </c>
      <c r="J126" s="20" t="n">
        <v>-127.621</v>
      </c>
      <c r="K126" s="20" t="n">
        <v>26.899</v>
      </c>
      <c r="L126" s="20" t="n">
        <v>-16.142</v>
      </c>
      <c r="M126" s="20" t="n">
        <v>5.394</v>
      </c>
      <c r="N126" s="20" t="n">
        <v>-10.243</v>
      </c>
      <c r="U126" s="20" t="n">
        <v>-34.57</v>
      </c>
      <c r="V126" s="20" t="n">
        <v>-11.758</v>
      </c>
      <c r="W126" s="20" t="n">
        <v>-127.621</v>
      </c>
      <c r="X126" s="20" t="n">
        <v>-10.243</v>
      </c>
    </row>
    <row r="127">
      <c r="A127" s="18" t="inlineStr">
        <is>
          <t>법인세 등 합계</t>
        </is>
      </c>
      <c r="C127" s="20" t="n">
        <v>48.22</v>
      </c>
      <c r="D127" s="20" t="n">
        <v>43.388</v>
      </c>
      <c r="E127" s="20" t="n">
        <v>116.596</v>
      </c>
      <c r="F127" s="20" t="n">
        <v>39.961</v>
      </c>
      <c r="G127" s="20" t="n">
        <v>91.456</v>
      </c>
      <c r="H127" s="20" t="n">
        <v>100.542</v>
      </c>
      <c r="I127" s="20" t="n">
        <v>109.386</v>
      </c>
      <c r="J127" s="20" t="n">
        <v>-51.754</v>
      </c>
      <c r="K127" s="20" t="n">
        <v>89.053</v>
      </c>
      <c r="L127" s="20" t="n">
        <v>102.782</v>
      </c>
      <c r="M127" s="20" t="n">
        <v>136.862</v>
      </c>
      <c r="N127" s="20" t="n">
        <v>70.28400000000001</v>
      </c>
      <c r="U127" s="20" t="n">
        <v>-2.471</v>
      </c>
      <c r="V127" s="20" t="n">
        <v>39.961</v>
      </c>
      <c r="W127" s="20" t="n">
        <v>-51.754</v>
      </c>
      <c r="X127" s="20" t="n">
        <v>70.28400000000001</v>
      </c>
    </row>
    <row r="128">
      <c r="A128" s="9" t="inlineStr">
        <is>
          <t>순이익</t>
        </is>
      </c>
      <c r="C128" s="12" t="n">
        <v>-1.838</v>
      </c>
      <c r="D128" s="12" t="n">
        <v>-12.394</v>
      </c>
      <c r="E128" s="12" t="n">
        <v>152.297</v>
      </c>
      <c r="F128" s="12" t="n">
        <v>-63.916</v>
      </c>
      <c r="G128" s="12" t="n">
        <v>65.197</v>
      </c>
      <c r="H128" s="12" t="n">
        <v>148.316</v>
      </c>
      <c r="I128" s="12" t="n">
        <v>120.849</v>
      </c>
      <c r="J128" s="12" t="n">
        <v>-190.607</v>
      </c>
      <c r="K128" s="12" t="n">
        <v>54.784</v>
      </c>
      <c r="L128" s="12" t="n">
        <v>83.01900000000001</v>
      </c>
      <c r="M128" s="12" t="n">
        <v>186.623</v>
      </c>
      <c r="N128" s="12" t="n">
        <v>94.47199999999999</v>
      </c>
      <c r="U128" s="12" t="n">
        <v>41.997</v>
      </c>
      <c r="V128" s="12" t="n">
        <v>-63.916</v>
      </c>
      <c r="W128" s="12" t="n">
        <v>-190.607</v>
      </c>
      <c r="X128" s="12" t="n">
        <v>94.47199999999999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9" t="inlineStr">
        <is>
          <t>비지배주주 순이익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</row>
    <row r="131">
      <c r="A131" s="9" t="inlineStr">
        <is>
          <t>지배주주 순이익</t>
        </is>
      </c>
      <c r="C131" s="12" t="n">
        <v>-1.838</v>
      </c>
      <c r="D131" s="12" t="n">
        <v>-12.394</v>
      </c>
      <c r="E131" s="12" t="n">
        <v>152.297</v>
      </c>
      <c r="F131" s="12" t="n">
        <v>-63.916</v>
      </c>
      <c r="G131" s="12" t="n">
        <v>65.197</v>
      </c>
      <c r="H131" s="12" t="n">
        <v>148.316</v>
      </c>
      <c r="I131" s="12" t="n">
        <v>120.849</v>
      </c>
      <c r="J131" s="12" t="n">
        <v>-190.607</v>
      </c>
      <c r="K131" s="12" t="n">
        <v>54.784</v>
      </c>
      <c r="L131" s="12" t="n">
        <v>83.01900000000001</v>
      </c>
      <c r="M131" s="12" t="n">
        <v>186.623</v>
      </c>
      <c r="N131" s="12" t="n">
        <v>94.47199999999999</v>
      </c>
      <c r="U131" s="12" t="n">
        <v>41.997</v>
      </c>
      <c r="V131" s="12" t="n">
        <v>-63.916</v>
      </c>
      <c r="W131" s="12" t="n">
        <v>-190.607</v>
      </c>
      <c r="X131" s="12" t="n">
        <v>94.47199999999999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4">
      <c r="A134" s="16" t="inlineStr">
        <is>
          <t>포괄손익 · 전 항목</t>
        </is>
      </c>
      <c r="B134" s="42" t="inlineStr">
        <is>
          <t>분기 = 3개월 단독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2024.1Q</t>
        </is>
      </c>
      <c r="D135" s="5" t="inlineStr">
        <is>
          <t>2024.2Q</t>
        </is>
      </c>
      <c r="E135" s="5" t="inlineStr">
        <is>
          <t>2024.3Q</t>
        </is>
      </c>
      <c r="F135" s="5" t="inlineStr">
        <is>
          <t>2024.4Q</t>
        </is>
      </c>
      <c r="G135" s="5" t="inlineStr">
        <is>
          <t>2025.1Q</t>
        </is>
      </c>
      <c r="H135" s="5" t="inlineStr">
        <is>
          <t>2025.2Q</t>
        </is>
      </c>
      <c r="I135" s="5" t="inlineStr">
        <is>
          <t>2025.3Q</t>
        </is>
      </c>
      <c r="J135" s="5" t="inlineStr">
        <is>
          <t>2025.4Q</t>
        </is>
      </c>
      <c r="K135" s="5" t="inlineStr">
        <is>
          <t>2026.1Q</t>
        </is>
      </c>
      <c r="L135" s="5" t="inlineStr">
        <is>
          <t>2026.2Q</t>
        </is>
      </c>
      <c r="M135" s="5" t="inlineStr">
        <is>
          <t>2026.3Q</t>
        </is>
      </c>
      <c r="N135" s="5" t="inlineStr">
        <is>
          <t>2026.4Q</t>
        </is>
      </c>
      <c r="O135" s="5" t="inlineStr">
        <is>
          <t>2017</t>
        </is>
      </c>
      <c r="P135" s="5" t="inlineStr">
        <is>
          <t>2018</t>
        </is>
      </c>
      <c r="Q135" s="5" t="inlineStr">
        <is>
          <t>2019</t>
        </is>
      </c>
      <c r="R135" s="5" t="inlineStr">
        <is>
          <t>2020</t>
        </is>
      </c>
      <c r="S135" s="5" t="inlineStr">
        <is>
          <t>2021</t>
        </is>
      </c>
      <c r="T135" s="5" t="inlineStr">
        <is>
          <t>2022</t>
        </is>
      </c>
      <c r="U135" s="5" t="inlineStr">
        <is>
          <t>2023</t>
        </is>
      </c>
      <c r="V135" s="5" t="inlineStr">
        <is>
          <t>2024</t>
        </is>
      </c>
      <c r="W135" s="5" t="inlineStr">
        <is>
          <t>2025</t>
        </is>
      </c>
      <c r="X135" s="5" t="inlineStr">
        <is>
          <t>2026</t>
        </is>
      </c>
      <c r="Y135" s="5" t="inlineStr">
        <is>
          <t>2027(MW)</t>
        </is>
      </c>
      <c r="Z135" s="5" t="inlineStr">
        <is>
          <t>2028(MW)</t>
        </is>
      </c>
      <c r="AA135" s="5" t="inlineStr">
        <is>
          <t>2029(MW)</t>
        </is>
      </c>
      <c r="AB135" s="5" t="inlineStr">
        <is>
          <t>2030(MW)</t>
        </is>
      </c>
      <c r="AC135" s="5" t="inlineStr">
        <is>
          <t>2031(MW)</t>
        </is>
      </c>
    </row>
    <row r="136">
      <c r="A136" s="9" t="inlineStr">
        <is>
          <t>순이익</t>
        </is>
      </c>
      <c r="C136" s="12" t="n">
        <v>-1.838</v>
      </c>
      <c r="D136" s="12" t="n">
        <v>-12.394</v>
      </c>
      <c r="E136" s="12" t="n">
        <v>152.297</v>
      </c>
      <c r="F136" s="12" t="n">
        <v>-63.916</v>
      </c>
      <c r="G136" s="12" t="n">
        <v>65.197</v>
      </c>
      <c r="H136" s="12" t="n">
        <v>148.316</v>
      </c>
      <c r="I136" s="12" t="n">
        <v>120.849</v>
      </c>
      <c r="J136" s="12" t="n">
        <v>-190.607</v>
      </c>
      <c r="K136" s="12" t="n">
        <v>54.784</v>
      </c>
      <c r="L136" s="12" t="n">
        <v>83.01900000000001</v>
      </c>
      <c r="M136" s="12" t="n">
        <v>186.623</v>
      </c>
      <c r="N136" s="12" t="n">
        <v>94.47199999999999</v>
      </c>
      <c r="U136" s="12" t="n">
        <v>41.997</v>
      </c>
      <c r="V136" s="12" t="n">
        <v>-63.916</v>
      </c>
      <c r="W136" s="12" t="n">
        <v>-190.607</v>
      </c>
      <c r="X136" s="12" t="n">
        <v>94.47199999999999</v>
      </c>
    </row>
    <row r="137">
      <c r="A137" s="18" t="inlineStr">
        <is>
          <t>기타유가증권 평가차액</t>
        </is>
      </c>
      <c r="C137" s="20" t="n">
        <v>0</v>
      </c>
      <c r="D137" s="20" t="n">
        <v>0</v>
      </c>
      <c r="E137" s="20" t="n">
        <v>-2.102</v>
      </c>
      <c r="F137" s="20" t="n">
        <v>-1.11</v>
      </c>
      <c r="G137" s="20" t="n">
        <v>-1.711</v>
      </c>
      <c r="H137" s="20" t="n">
        <v>-2.556</v>
      </c>
      <c r="I137" s="20" t="n">
        <v>2.016</v>
      </c>
      <c r="J137" s="20" t="n">
        <v>0.205</v>
      </c>
      <c r="K137" s="20" t="n">
        <v>-0.455</v>
      </c>
      <c r="L137" s="20" t="n">
        <v>0.318</v>
      </c>
      <c r="M137" s="20" t="n">
        <v>-0.861</v>
      </c>
      <c r="N137" s="20" t="n">
        <v>0.456</v>
      </c>
      <c r="U137" s="20" t="n">
        <v>0</v>
      </c>
      <c r="V137" s="20" t="n">
        <v>-1.11</v>
      </c>
      <c r="W137" s="20" t="n">
        <v>0.205</v>
      </c>
      <c r="X137" s="20" t="n">
        <v>0.456</v>
      </c>
    </row>
    <row r="138">
      <c r="A138" s="18" t="inlineStr">
        <is>
          <t>해외사업환산조정</t>
        </is>
      </c>
      <c r="C138" s="20" t="n">
        <v>-1.362</v>
      </c>
      <c r="D138" s="20" t="n">
        <v>0.349</v>
      </c>
      <c r="E138" s="20" t="n">
        <v>-1.941</v>
      </c>
      <c r="F138" s="20" t="n">
        <v>0.212</v>
      </c>
      <c r="G138" s="20" t="n">
        <v>-0.842</v>
      </c>
      <c r="H138" s="20" t="n">
        <v>0.302</v>
      </c>
      <c r="I138" s="20" t="n">
        <v>4.371</v>
      </c>
      <c r="J138" s="20" t="n">
        <v>-2.14</v>
      </c>
      <c r="K138" s="20" t="n">
        <v>-3.829</v>
      </c>
      <c r="L138" s="20" t="n">
        <v>-2.279</v>
      </c>
      <c r="M138" s="20" t="n">
        <v>-0.058</v>
      </c>
      <c r="N138" s="20" t="n">
        <v>0.908</v>
      </c>
      <c r="U138" s="20" t="n">
        <v>-1.954</v>
      </c>
      <c r="V138" s="20" t="n">
        <v>0.212</v>
      </c>
      <c r="W138" s="20" t="n">
        <v>-2.14</v>
      </c>
      <c r="X138" s="20" t="n">
        <v>0.908</v>
      </c>
    </row>
    <row r="139">
      <c r="A139" s="18" t="inlineStr">
        <is>
          <t>기타포괄손익 합계</t>
        </is>
      </c>
      <c r="C139" s="20" t="n">
        <v>-1.362</v>
      </c>
      <c r="D139" s="20" t="n">
        <v>0.349</v>
      </c>
      <c r="E139" s="20" t="n">
        <v>-4.043</v>
      </c>
      <c r="F139" s="20" t="n">
        <v>-0.898</v>
      </c>
      <c r="G139" s="20" t="n">
        <v>-2.554</v>
      </c>
      <c r="H139" s="20" t="n">
        <v>-2.254</v>
      </c>
      <c r="I139" s="20" t="n">
        <v>6.387</v>
      </c>
      <c r="J139" s="20" t="n">
        <v>-1.934</v>
      </c>
      <c r="K139" s="20" t="n">
        <v>-4.285</v>
      </c>
      <c r="L139" s="20" t="n">
        <v>-1.96</v>
      </c>
      <c r="M139" s="20" t="n">
        <v>-0.92</v>
      </c>
      <c r="N139" s="20" t="n">
        <v>1.365</v>
      </c>
      <c r="U139" s="20" t="n">
        <v>-1.954</v>
      </c>
      <c r="V139" s="20" t="n">
        <v>-0.898</v>
      </c>
      <c r="W139" s="20" t="n">
        <v>-1.934</v>
      </c>
      <c r="X139" s="20" t="n">
        <v>1.365</v>
      </c>
    </row>
    <row r="140">
      <c r="A140" s="9" t="inlineStr">
        <is>
          <t>포괄이익</t>
        </is>
      </c>
      <c r="C140" s="12" t="n">
        <v>-3.201</v>
      </c>
      <c r="D140" s="12" t="n">
        <v>-12.044</v>
      </c>
      <c r="E140" s="12" t="n">
        <v>148.254</v>
      </c>
      <c r="F140" s="12" t="n">
        <v>-64.81399999999999</v>
      </c>
      <c r="G140" s="12" t="n">
        <v>62.643</v>
      </c>
      <c r="H140" s="12" t="n">
        <v>146.061</v>
      </c>
      <c r="I140" s="12" t="n">
        <v>127.238</v>
      </c>
      <c r="J140" s="12" t="n">
        <v>-192.543</v>
      </c>
      <c r="K140" s="12" t="n">
        <v>50.499</v>
      </c>
      <c r="L140" s="12" t="n">
        <v>81.05800000000001</v>
      </c>
      <c r="M140" s="12" t="n">
        <v>185.704</v>
      </c>
      <c r="N140" s="12" t="n">
        <v>95.837</v>
      </c>
      <c r="U140" s="12" t="n">
        <v>40.042</v>
      </c>
      <c r="V140" s="12" t="n">
        <v>-64.81399999999999</v>
      </c>
      <c r="W140" s="12" t="n">
        <v>-192.543</v>
      </c>
      <c r="X140" s="12" t="n">
        <v>95.837</v>
      </c>
    </row>
    <row r="141">
      <c r="A141" s="9" t="inlineStr">
        <is>
          <t>지배주주 포괄이익</t>
        </is>
      </c>
      <c r="C141" s="12" t="n">
        <v>-3.201</v>
      </c>
      <c r="D141" s="12" t="n">
        <v>-12.044</v>
      </c>
      <c r="E141" s="12" t="n">
        <v>148.254</v>
      </c>
      <c r="F141" s="12" t="n">
        <v>-64.81399999999999</v>
      </c>
      <c r="G141" s="12" t="n">
        <v>62.643</v>
      </c>
      <c r="H141" s="12" t="n">
        <v>146.061</v>
      </c>
      <c r="I141" s="12" t="n">
        <v>127.238</v>
      </c>
      <c r="J141" s="12" t="n">
        <v>-192.543</v>
      </c>
      <c r="K141" s="12" t="n">
        <v>50.499</v>
      </c>
      <c r="L141" s="12" t="n">
        <v>81.05800000000001</v>
      </c>
      <c r="M141" s="12" t="n">
        <v>185.704</v>
      </c>
      <c r="N141" s="12" t="n">
        <v>95.837</v>
      </c>
      <c r="U141" s="12" t="n">
        <v>40.042</v>
      </c>
      <c r="V141" s="12" t="n">
        <v>-64.81399999999999</v>
      </c>
      <c r="W141" s="12" t="n">
        <v>-192.543</v>
      </c>
      <c r="X141" s="12" t="n">
        <v>95.837</v>
      </c>
    </row>
    <row r="142">
      <c r="A142" s="9" t="inlineStr">
        <is>
          <t>비지배주주 포괄이익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</row>
    <row r="144">
      <c r="A144" s="16" t="inlineStr">
        <is>
          <t>부문 · 전 항목</t>
        </is>
      </c>
      <c r="B144" s="42" t="inlineStr">
        <is>
          <t>부문 · 항목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2024.1Q</t>
        </is>
      </c>
      <c r="D145" s="5" t="inlineStr">
        <is>
          <t>2024.2Q</t>
        </is>
      </c>
      <c r="E145" s="5" t="inlineStr">
        <is>
          <t>2024.3Q</t>
        </is>
      </c>
      <c r="F145" s="5" t="inlineStr">
        <is>
          <t>2024.4Q</t>
        </is>
      </c>
      <c r="G145" s="5" t="inlineStr">
        <is>
          <t>2025.1Q</t>
        </is>
      </c>
      <c r="H145" s="5" t="inlineStr">
        <is>
          <t>2025.2Q</t>
        </is>
      </c>
      <c r="I145" s="5" t="inlineStr">
        <is>
          <t>2025.3Q</t>
        </is>
      </c>
      <c r="J145" s="5" t="inlineStr">
        <is>
          <t>2025.4Q</t>
        </is>
      </c>
      <c r="K145" s="5" t="inlineStr">
        <is>
          <t>2026.1Q</t>
        </is>
      </c>
      <c r="L145" s="5" t="inlineStr">
        <is>
          <t>2026.2Q</t>
        </is>
      </c>
      <c r="M145" s="5" t="inlineStr">
        <is>
          <t>2026.3Q</t>
        </is>
      </c>
      <c r="N145" s="5" t="inlineStr">
        <is>
          <t>2026.4Q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18" t="inlineStr">
        <is>
          <t>CashlessServiceReportableSegmentMember · 외부 고객 매출</t>
        </is>
      </c>
      <c r="C146" s="20" t="n">
        <v>872.003</v>
      </c>
      <c r="D146" s="20" t="n">
        <v>761.165</v>
      </c>
      <c r="E146" s="20" t="n">
        <v>892.3150000000001</v>
      </c>
      <c r="F146" s="20" t="n">
        <v>850.558</v>
      </c>
      <c r="G146" s="20" t="n">
        <v>917.61</v>
      </c>
      <c r="H146" s="20" t="n">
        <v>967.029</v>
      </c>
      <c r="I146" s="20" t="n">
        <v>900.264</v>
      </c>
      <c r="J146" s="20" t="n">
        <v>983.631</v>
      </c>
      <c r="K146" s="20" t="n">
        <v>949.0359999999999</v>
      </c>
      <c r="L146" s="20" t="n">
        <v>976.072</v>
      </c>
      <c r="M146" s="20" t="n">
        <v>1006.56</v>
      </c>
      <c r="N146" s="20" t="n">
        <v>930.5599999999999</v>
      </c>
      <c r="V146" s="20" t="n">
        <v>850.558</v>
      </c>
      <c r="W146" s="20" t="n">
        <v>983.631</v>
      </c>
      <c r="X146" s="20" t="n">
        <v>930.5599999999999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DigitalSignageRelatedReportableSegmentMember · 외부 고객 매출</t>
        </is>
      </c>
      <c r="C148" s="20" t="n">
        <v>0</v>
      </c>
      <c r="D148" s="20" t="n">
        <v>0</v>
      </c>
      <c r="E148" s="20" t="n">
        <v>1748.183</v>
      </c>
      <c r="F148" s="20" t="n">
        <v>1000.113</v>
      </c>
      <c r="G148" s="20" t="n">
        <v>1234.279</v>
      </c>
      <c r="H148" s="20" t="n">
        <v>1334.42</v>
      </c>
      <c r="I148" s="20" t="n">
        <v>1719.257</v>
      </c>
      <c r="J148" s="20" t="n">
        <v>1402.17</v>
      </c>
      <c r="K148" s="20" t="n">
        <v>1259.082</v>
      </c>
      <c r="L148" s="20" t="n">
        <v>1154.435</v>
      </c>
      <c r="M148" s="20" t="n">
        <v>2125.085</v>
      </c>
      <c r="N148" s="20" t="n">
        <v>1711.067</v>
      </c>
      <c r="V148" s="20" t="n">
        <v>1000.113</v>
      </c>
      <c r="W148" s="20" t="n">
        <v>1402.17</v>
      </c>
      <c r="X148" s="20" t="n">
        <v>1711.067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SolutionReportableSegmentMember · 외부 고객 매출</t>
        </is>
      </c>
      <c r="C150" s="20" t="n">
        <v>167.368</v>
      </c>
      <c r="D150" s="20" t="n">
        <v>190.056</v>
      </c>
      <c r="E150" s="20" t="n">
        <v>184.277</v>
      </c>
      <c r="F150" s="20" t="n">
        <v>186.353</v>
      </c>
      <c r="G150" s="20" t="n">
        <v>189.11</v>
      </c>
      <c r="H150" s="20" t="n">
        <v>193.689</v>
      </c>
      <c r="I150" s="20" t="n">
        <v>185.407</v>
      </c>
      <c r="J150" s="20" t="n">
        <v>193.315</v>
      </c>
      <c r="K150" s="20" t="n">
        <v>190.128</v>
      </c>
      <c r="L150" s="20" t="n">
        <v>193.92</v>
      </c>
      <c r="M150" s="20" t="n">
        <v>194.18</v>
      </c>
      <c r="N150" s="20" t="n">
        <v>204.857</v>
      </c>
      <c r="V150" s="20" t="n">
        <v>186.353</v>
      </c>
      <c r="W150" s="20" t="n">
        <v>193.315</v>
      </c>
      <c r="X150" s="20" t="n">
        <v>204.857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OtherReportableSegmentsMember · 외부 고객 매출</t>
        </is>
      </c>
      <c r="C152" s="20" t="n">
        <v>0</v>
      </c>
      <c r="D152" s="20" t="n">
        <v>0</v>
      </c>
      <c r="E152" s="20" t="n">
        <v>0</v>
      </c>
      <c r="F152" s="20" t="n">
        <v>1.02</v>
      </c>
      <c r="G152" s="20" t="n">
        <v>1.53</v>
      </c>
      <c r="H152" s="20" t="n">
        <v>0.58</v>
      </c>
      <c r="I152" s="20" t="n">
        <v>2.39</v>
      </c>
      <c r="K152" s="20" t="n">
        <v>1</v>
      </c>
      <c r="L152" s="20" t="n">
        <v>0.135</v>
      </c>
      <c r="M152" s="20" t="n">
        <v>8.161</v>
      </c>
      <c r="V152" s="20" t="n">
        <v>1.02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V153" s="15">
        <f>IF(OR(V152="",U152=""),"",IF(U152&lt;=0,"",IFERROR(V152/U152-1,"")))</f>
        <v/>
      </c>
    </row>
    <row r="154">
      <c r="A154" s="18" t="inlineStr">
        <is>
          <t>보고부문 합계 · 외부 고객 매출</t>
        </is>
      </c>
      <c r="C154" s="20" t="n">
        <v>1039.371</v>
      </c>
      <c r="D154" s="20" t="n">
        <v>951.221</v>
      </c>
      <c r="E154" s="20" t="n">
        <v>2824.775</v>
      </c>
      <c r="F154" s="20" t="n">
        <v>2038.045</v>
      </c>
      <c r="G154" s="20" t="n">
        <v>2342.53</v>
      </c>
      <c r="H154" s="20" t="n">
        <v>2495.718</v>
      </c>
      <c r="I154" s="20" t="n">
        <v>2807.318</v>
      </c>
      <c r="J154" s="20" t="n">
        <v>2588.467</v>
      </c>
      <c r="K154" s="20" t="n">
        <v>2399.247</v>
      </c>
      <c r="L154" s="20" t="n">
        <v>2324.563</v>
      </c>
      <c r="M154" s="20" t="n">
        <v>3333.985</v>
      </c>
      <c r="N154" s="20" t="n">
        <v>3084.51</v>
      </c>
      <c r="V154" s="20" t="n">
        <v>2038.045</v>
      </c>
      <c r="W154" s="20" t="n">
        <v>2588.467</v>
      </c>
      <c r="X154" s="20" t="n">
        <v>3084.51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조정액 · 외부 고객 매출</t>
        </is>
      </c>
      <c r="C156" s="20" t="n">
        <v>0</v>
      </c>
      <c r="D156" s="20" t="n">
        <v>0</v>
      </c>
      <c r="E156" s="20" t="n">
        <v>0</v>
      </c>
      <c r="F156" s="20" t="n">
        <v>0</v>
      </c>
      <c r="G156" s="20" t="n">
        <v>0</v>
      </c>
      <c r="H156" s="20" t="n">
        <v>0</v>
      </c>
      <c r="I156" s="20" t="n">
        <v>0</v>
      </c>
      <c r="J156" s="20" t="n">
        <v>0</v>
      </c>
      <c r="K156" s="20" t="n">
        <v>0</v>
      </c>
      <c r="L156" s="20" t="n">
        <v>0</v>
      </c>
      <c r="M156" s="20" t="n">
        <v>0</v>
      </c>
      <c r="N156" s="20" t="n">
        <v>0</v>
      </c>
      <c r="V156" s="20" t="n">
        <v>0</v>
      </c>
      <c r="W156" s="20" t="n">
        <v>0</v>
      </c>
      <c r="X156" s="20" t="n">
        <v>0</v>
      </c>
    </row>
    <row r="157">
      <c r="A157" s="18" t="inlineStr">
        <is>
          <t>EntityTotalMember · 외부 고객 매출</t>
        </is>
      </c>
      <c r="G157" s="20" t="n">
        <v>2342.53</v>
      </c>
      <c r="K157" s="20" t="n">
        <v>2399.247</v>
      </c>
    </row>
    <row r="158">
      <c r="A158" s="9" t="inlineStr">
        <is>
          <t>외부 고객 매출</t>
        </is>
      </c>
      <c r="C158" s="12" t="n">
        <v>1039.371</v>
      </c>
      <c r="D158" s="12" t="n">
        <v>951.221</v>
      </c>
      <c r="E158" s="12" t="n">
        <v>2824.775</v>
      </c>
      <c r="F158" s="12" t="n">
        <v>2038.045</v>
      </c>
      <c r="G158" s="12" t="n">
        <v>2342.53</v>
      </c>
      <c r="H158" s="12" t="n">
        <v>2495.718</v>
      </c>
      <c r="I158" s="12" t="n">
        <v>2807.318</v>
      </c>
      <c r="J158" s="12" t="n">
        <v>2588.467</v>
      </c>
      <c r="V158" s="12" t="n">
        <v>2038.045</v>
      </c>
      <c r="W158" s="12" t="n">
        <v>2588.467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CashlessServiceReportableSegmentMember · 부문 간 내부매출·대체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0.07099999999999999</v>
      </c>
      <c r="H160" s="20" t="n">
        <v>0.15</v>
      </c>
      <c r="I160" s="20" t="n">
        <v>0</v>
      </c>
      <c r="J160" s="20" t="n">
        <v>0.15</v>
      </c>
      <c r="K160" s="20" t="n">
        <v>0</v>
      </c>
      <c r="L160" s="20" t="n">
        <v>0</v>
      </c>
      <c r="M160" s="20" t="n">
        <v>0</v>
      </c>
      <c r="N160" s="20" t="n">
        <v>0</v>
      </c>
      <c r="V160" s="20" t="n">
        <v>0</v>
      </c>
      <c r="W160" s="20" t="n">
        <v>0.15</v>
      </c>
      <c r="X160" s="20" t="n">
        <v>0</v>
      </c>
    </row>
    <row r="161">
      <c r="A161" s="18" t="inlineStr">
        <is>
          <t>DigitalSignageRelatedReportableSegmentMember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SolutionReportableSegmentMember · 부문 간 내부매출·대체</t>
        </is>
      </c>
      <c r="C162" s="20" t="n">
        <v>2.107</v>
      </c>
      <c r="D162" s="20" t="n">
        <v>2.095</v>
      </c>
      <c r="E162" s="20" t="n">
        <v>2.079</v>
      </c>
      <c r="F162" s="20" t="n">
        <v>2.079</v>
      </c>
      <c r="G162" s="20" t="n">
        <v>2.079</v>
      </c>
      <c r="H162" s="20" t="n">
        <v>2.138</v>
      </c>
      <c r="I162" s="20" t="n">
        <v>2.168</v>
      </c>
      <c r="J162" s="20" t="n">
        <v>2.169</v>
      </c>
      <c r="K162" s="20" t="n">
        <v>2.168</v>
      </c>
      <c r="L162" s="20" t="n">
        <v>2.238</v>
      </c>
      <c r="M162" s="20" t="n">
        <v>2.273</v>
      </c>
      <c r="N162" s="20" t="n">
        <v>2.274</v>
      </c>
      <c r="V162" s="20" t="n">
        <v>2.079</v>
      </c>
      <c r="W162" s="20" t="n">
        <v>2.169</v>
      </c>
      <c r="X162" s="20" t="n">
        <v>2.274</v>
      </c>
    </row>
    <row r="163">
      <c r="A163" s="18" t="inlineStr">
        <is>
          <t>OtherReportableSegmentsMember · 부문 간 내부매출·대체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K163" s="20" t="n">
        <v>0</v>
      </c>
      <c r="L163" s="20" t="n">
        <v>0</v>
      </c>
      <c r="M163" s="20" t="n">
        <v>0</v>
      </c>
      <c r="V163" s="20" t="n">
        <v>0</v>
      </c>
    </row>
    <row r="164">
      <c r="A164" s="18" t="inlineStr">
        <is>
          <t>보고부문 합계 · 부문 간 내부매출·대체</t>
        </is>
      </c>
      <c r="C164" s="20" t="n">
        <v>2.107</v>
      </c>
      <c r="D164" s="20" t="n">
        <v>2.095</v>
      </c>
      <c r="E164" s="20" t="n">
        <v>2.079</v>
      </c>
      <c r="F164" s="20" t="n">
        <v>2.079</v>
      </c>
      <c r="G164" s="20" t="n">
        <v>2.15</v>
      </c>
      <c r="H164" s="20" t="n">
        <v>2.288</v>
      </c>
      <c r="I164" s="20" t="n">
        <v>2.168</v>
      </c>
      <c r="J164" s="20" t="n">
        <v>2.319</v>
      </c>
      <c r="K164" s="20" t="n">
        <v>2.168</v>
      </c>
      <c r="L164" s="20" t="n">
        <v>2.238</v>
      </c>
      <c r="M164" s="20" t="n">
        <v>2.273</v>
      </c>
      <c r="N164" s="20" t="n">
        <v>2.274</v>
      </c>
      <c r="V164" s="20" t="n">
        <v>2.079</v>
      </c>
      <c r="W164" s="20" t="n">
        <v>2.319</v>
      </c>
      <c r="X164" s="20" t="n">
        <v>2.274</v>
      </c>
    </row>
    <row r="165">
      <c r="A165" s="18" t="inlineStr">
        <is>
          <t>조정액 · 부문 간 내부매출·대체</t>
        </is>
      </c>
      <c r="C165" s="20" t="n">
        <v>-2.107</v>
      </c>
      <c r="D165" s="20" t="n">
        <v>-2.095</v>
      </c>
      <c r="E165" s="20" t="n">
        <v>-2.079</v>
      </c>
      <c r="F165" s="20" t="n">
        <v>-2.079</v>
      </c>
      <c r="G165" s="20" t="n">
        <v>-2.15</v>
      </c>
      <c r="H165" s="20" t="n">
        <v>-2.288</v>
      </c>
      <c r="I165" s="20" t="n">
        <v>-2.168</v>
      </c>
      <c r="J165" s="20" t="n">
        <v>-2.319</v>
      </c>
      <c r="K165" s="20" t="n">
        <v>-2.168</v>
      </c>
      <c r="L165" s="20" t="n">
        <v>-2.238</v>
      </c>
      <c r="M165" s="20" t="n">
        <v>-2.273</v>
      </c>
      <c r="N165" s="20" t="n">
        <v>-2.274</v>
      </c>
      <c r="V165" s="20" t="n">
        <v>-2.079</v>
      </c>
      <c r="W165" s="20" t="n">
        <v>-2.319</v>
      </c>
      <c r="X165" s="20" t="n">
        <v>-2.274</v>
      </c>
    </row>
    <row r="166">
      <c r="A166" s="18" t="inlineStr">
        <is>
          <t>EntityTotalMember · 부문 간 내부매출·대체</t>
        </is>
      </c>
      <c r="G166" s="20" t="n">
        <v>0</v>
      </c>
      <c r="K166" s="20" t="n">
        <v>0</v>
      </c>
    </row>
    <row r="167">
      <c r="A167" s="18" t="inlineStr">
        <is>
          <t>부문 간 내부매출·대체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V167" s="20" t="n">
        <v>0</v>
      </c>
      <c r="W167" s="20" t="n">
        <v>0</v>
      </c>
    </row>
    <row r="168">
      <c r="A168" s="18" t="inlineStr">
        <is>
          <t>CashlessServiceReportableSegmentMember · 계</t>
        </is>
      </c>
      <c r="C168" s="20" t="n">
        <v>872.003</v>
      </c>
      <c r="D168" s="20" t="n">
        <v>761.165</v>
      </c>
      <c r="E168" s="20" t="n">
        <v>892.3150000000001</v>
      </c>
      <c r="F168" s="20" t="n">
        <v>850.558</v>
      </c>
      <c r="G168" s="20" t="n">
        <v>917.681</v>
      </c>
      <c r="H168" s="20" t="n">
        <v>967.179</v>
      </c>
      <c r="I168" s="20" t="n">
        <v>900.264</v>
      </c>
      <c r="J168" s="20" t="n">
        <v>983.7809999999999</v>
      </c>
      <c r="K168" s="20" t="n">
        <v>949.0359999999999</v>
      </c>
      <c r="L168" s="20" t="n">
        <v>976.072</v>
      </c>
      <c r="M168" s="20" t="n">
        <v>1006.56</v>
      </c>
      <c r="N168" s="20" t="n">
        <v>930.5599999999999</v>
      </c>
      <c r="V168" s="20" t="n">
        <v>850.558</v>
      </c>
      <c r="W168" s="20" t="n">
        <v>983.7809999999999</v>
      </c>
      <c r="X168" s="20" t="n">
        <v>930.5599999999999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DigitalSignageRelatedReportableSegmentMember · 계</t>
        </is>
      </c>
      <c r="C170" s="20" t="n">
        <v>0</v>
      </c>
      <c r="D170" s="20" t="n">
        <v>0</v>
      </c>
      <c r="E170" s="20" t="n">
        <v>1748.183</v>
      </c>
      <c r="F170" s="20" t="n">
        <v>1000.113</v>
      </c>
      <c r="G170" s="20" t="n">
        <v>1234.279</v>
      </c>
      <c r="H170" s="20" t="n">
        <v>1334.42</v>
      </c>
      <c r="I170" s="20" t="n">
        <v>1719.257</v>
      </c>
      <c r="J170" s="20" t="n">
        <v>1402.17</v>
      </c>
      <c r="K170" s="20" t="n">
        <v>1259.082</v>
      </c>
      <c r="L170" s="20" t="n">
        <v>1154.435</v>
      </c>
      <c r="M170" s="20" t="n">
        <v>2125.085</v>
      </c>
      <c r="N170" s="20" t="n">
        <v>1711.067</v>
      </c>
      <c r="V170" s="20" t="n">
        <v>1000.113</v>
      </c>
      <c r="W170" s="20" t="n">
        <v>1402.17</v>
      </c>
      <c r="X170" s="20" t="n">
        <v>1711.067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SolutionReportableSegmentMember · 계</t>
        </is>
      </c>
      <c r="C172" s="20" t="n">
        <v>169.476</v>
      </c>
      <c r="D172" s="20" t="n">
        <v>192.15</v>
      </c>
      <c r="E172" s="20" t="n">
        <v>186.356</v>
      </c>
      <c r="F172" s="20" t="n">
        <v>188.432</v>
      </c>
      <c r="G172" s="20" t="n">
        <v>191.189</v>
      </c>
      <c r="H172" s="20" t="n">
        <v>195.828</v>
      </c>
      <c r="I172" s="20" t="n">
        <v>187.575</v>
      </c>
      <c r="J172" s="20" t="n">
        <v>195.483</v>
      </c>
      <c r="K172" s="20" t="n">
        <v>192.296</v>
      </c>
      <c r="L172" s="20" t="n">
        <v>196.159</v>
      </c>
      <c r="M172" s="20" t="n">
        <v>196.452</v>
      </c>
      <c r="N172" s="20" t="n">
        <v>207.131</v>
      </c>
      <c r="V172" s="20" t="n">
        <v>188.432</v>
      </c>
      <c r="W172" s="20" t="n">
        <v>195.483</v>
      </c>
      <c r="X172" s="20" t="n">
        <v>207.131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OtherReportableSegmentsMember · 계</t>
        </is>
      </c>
      <c r="C174" s="20" t="n">
        <v>0</v>
      </c>
      <c r="D174" s="20" t="n">
        <v>0</v>
      </c>
      <c r="E174" s="20" t="n">
        <v>0</v>
      </c>
      <c r="F174" s="20" t="n">
        <v>1.02</v>
      </c>
      <c r="G174" s="20" t="n">
        <v>1.53</v>
      </c>
      <c r="H174" s="20" t="n">
        <v>0.58</v>
      </c>
      <c r="I174" s="20" t="n">
        <v>2.39</v>
      </c>
      <c r="K174" s="20" t="n">
        <v>1</v>
      </c>
      <c r="L174" s="20" t="n">
        <v>0.135</v>
      </c>
      <c r="M174" s="20" t="n">
        <v>8.161</v>
      </c>
      <c r="V174" s="20" t="n">
        <v>1.02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V175" s="15">
        <f>IF(OR(V174="",U174=""),"",IF(U174&lt;=0,"",IFERROR(V174/U174-1,"")))</f>
        <v/>
      </c>
    </row>
    <row r="176">
      <c r="A176" s="18" t="inlineStr">
        <is>
          <t>보고부문 합계 · 계</t>
        </is>
      </c>
      <c r="C176" s="20" t="n">
        <v>1041.479</v>
      </c>
      <c r="D176" s="20" t="n">
        <v>953.316</v>
      </c>
      <c r="E176" s="20" t="n">
        <v>2826.854</v>
      </c>
      <c r="F176" s="20" t="n">
        <v>2040.123</v>
      </c>
      <c r="G176" s="20" t="n">
        <v>2344.68</v>
      </c>
      <c r="H176" s="20" t="n">
        <v>2498.007</v>
      </c>
      <c r="I176" s="20" t="n">
        <v>2809.486</v>
      </c>
      <c r="J176" s="20" t="n">
        <v>2590.785</v>
      </c>
      <c r="K176" s="20" t="n">
        <v>2401.415</v>
      </c>
      <c r="L176" s="20" t="n">
        <v>2326.801</v>
      </c>
      <c r="M176" s="20" t="n">
        <v>3336.259</v>
      </c>
      <c r="N176" s="20" t="n">
        <v>3086.783</v>
      </c>
      <c r="V176" s="20" t="n">
        <v>2040.123</v>
      </c>
      <c r="W176" s="20" t="n">
        <v>2590.785</v>
      </c>
      <c r="X176" s="20" t="n">
        <v>3086.783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조정액 · 계</t>
        </is>
      </c>
      <c r="C178" s="20" t="n">
        <v>-2.107</v>
      </c>
      <c r="D178" s="20" t="n">
        <v>-2.095</v>
      </c>
      <c r="E178" s="20" t="n">
        <v>-2.079</v>
      </c>
      <c r="F178" s="20" t="n">
        <v>-2.079</v>
      </c>
      <c r="G178" s="20" t="n">
        <v>-2.15</v>
      </c>
      <c r="H178" s="20" t="n">
        <v>-2.288</v>
      </c>
      <c r="I178" s="20" t="n">
        <v>-2.168</v>
      </c>
      <c r="J178" s="20" t="n">
        <v>-2.319</v>
      </c>
      <c r="K178" s="20" t="n">
        <v>-2.168</v>
      </c>
      <c r="L178" s="20" t="n">
        <v>-2.238</v>
      </c>
      <c r="M178" s="20" t="n">
        <v>-2.273</v>
      </c>
      <c r="N178" s="20" t="n">
        <v>-2.274</v>
      </c>
      <c r="V178" s="20" t="n">
        <v>-2.079</v>
      </c>
      <c r="W178" s="20" t="n">
        <v>-2.319</v>
      </c>
      <c r="X178" s="20" t="n">
        <v>-2.274</v>
      </c>
    </row>
    <row r="179">
      <c r="A179" s="18" t="inlineStr">
        <is>
          <t>EntityTotalMember · 계</t>
        </is>
      </c>
      <c r="G179" s="20" t="n">
        <v>2342.53</v>
      </c>
      <c r="K179" s="20" t="n">
        <v>2399.247</v>
      </c>
    </row>
    <row r="180">
      <c r="A180" s="9" t="inlineStr">
        <is>
          <t>계</t>
        </is>
      </c>
      <c r="C180" s="12" t="n">
        <v>1039.371</v>
      </c>
      <c r="D180" s="12" t="n">
        <v>951.221</v>
      </c>
      <c r="E180" s="12" t="n">
        <v>2824.775</v>
      </c>
      <c r="F180" s="12" t="n">
        <v>2038.045</v>
      </c>
      <c r="G180" s="12" t="n">
        <v>2342.53</v>
      </c>
      <c r="H180" s="12" t="n">
        <v>2495.718</v>
      </c>
      <c r="I180" s="12" t="n">
        <v>2807.318</v>
      </c>
      <c r="J180" s="12" t="n">
        <v>2588.467</v>
      </c>
      <c r="V180" s="12" t="n">
        <v>2038.045</v>
      </c>
      <c r="W180" s="12" t="n">
        <v>2588.467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</row>
    <row r="182">
      <c r="A182" s="18" t="inlineStr">
        <is>
          <t>CashlessServiceReportableSegmentMember · 부문 이익(손실)</t>
        </is>
      </c>
      <c r="C182" s="20" t="n">
        <v>161.708</v>
      </c>
      <c r="D182" s="20" t="n">
        <v>161.215</v>
      </c>
      <c r="E182" s="20" t="n">
        <v>149.736</v>
      </c>
      <c r="F182" s="20" t="n">
        <v>144.222</v>
      </c>
      <c r="G182" s="20" t="n">
        <v>174.291</v>
      </c>
      <c r="H182" s="20" t="n">
        <v>241.048</v>
      </c>
      <c r="I182" s="20" t="n">
        <v>163.403</v>
      </c>
      <c r="J182" s="20" t="n">
        <v>223.41</v>
      </c>
      <c r="K182" s="20" t="n">
        <v>201.777</v>
      </c>
      <c r="L182" s="20" t="n">
        <v>261.783</v>
      </c>
      <c r="M182" s="20" t="n">
        <v>230.528</v>
      </c>
      <c r="N182" s="20" t="n">
        <v>128.13</v>
      </c>
      <c r="V182" s="20" t="n">
        <v>144.222</v>
      </c>
      <c r="W182" s="20" t="n">
        <v>223.41</v>
      </c>
      <c r="X182" s="20" t="n">
        <v>128.13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IF(OR(C182="",C168=""),"",IF(C168&lt;=0,"",IFERROR(C182/C168,"")))</f>
        <v/>
      </c>
      <c r="D183" s="15">
        <f>IF(OR(D182="",D168=""),"",IF(D168&lt;=0,"",IFERROR(D182/D168,"")))</f>
        <v/>
      </c>
      <c r="E183" s="15">
        <f>IF(OR(E182="",E168=""),"",IF(E168&lt;=0,"",IFERROR(E182/E168,"")))</f>
        <v/>
      </c>
      <c r="F183" s="15">
        <f>IF(OR(F182="",F168=""),"",IF(F168&lt;=0,"",IFERROR(F182/F168,"")))</f>
        <v/>
      </c>
      <c r="G183" s="15">
        <f>IF(OR(G182="",G168=""),"",IF(G168&lt;=0,"",IFERROR(G182/G168,"")))</f>
        <v/>
      </c>
      <c r="H183" s="15">
        <f>IF(OR(H182="",H168=""),"",IF(H168&lt;=0,"",IFERROR(H182/H168,"")))</f>
        <v/>
      </c>
      <c r="I183" s="15">
        <f>IF(OR(I182="",I168=""),"",IF(I168&lt;=0,"",IFERROR(I182/I168,"")))</f>
        <v/>
      </c>
      <c r="J183" s="15">
        <f>IF(OR(J182="",J168=""),"",IF(J168&lt;=0,"",IFERROR(J182/J168,"")))</f>
        <v/>
      </c>
      <c r="K183" s="15">
        <f>IF(OR(K182="",K168=""),"",IF(K168&lt;=0,"",IFERROR(K182/K168,"")))</f>
        <v/>
      </c>
      <c r="L183" s="15">
        <f>IF(OR(L182="",L168=""),"",IF(L168&lt;=0,"",IFERROR(L182/L168,"")))</f>
        <v/>
      </c>
      <c r="M183" s="15">
        <f>IF(OR(M182="",M168=""),"",IF(M168&lt;=0,"",IFERROR(M182/M168,"")))</f>
        <v/>
      </c>
      <c r="N183" s="15">
        <f>IF(OR(N182="",N168=""),"",IF(N168&lt;=0,"",IFERROR(N182/N168,"")))</f>
        <v/>
      </c>
      <c r="V183" s="15">
        <f>IF(OR(V182="",V168=""),"",IF(V168&lt;=0,"",IFERROR(V182/V168,"")))</f>
        <v/>
      </c>
      <c r="W183" s="15">
        <f>IF(OR(W182="",W168=""),"",IF(W168&lt;=0,"",IFERROR(W182/W168,"")))</f>
        <v/>
      </c>
      <c r="X183" s="15">
        <f>IF(OR(X182="",X168=""),"",IF(X168&lt;=0,"",IFERROR(X182/X168,"")))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N184" s="15">
        <f>IF(OR(N182="",J182=""),"",IF(J182&lt;=0,"",IFERROR(N182/J182-1,"")))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DigitalSignageRelatedReportableSegmentMember · 부문 이익(손실)</t>
        </is>
      </c>
      <c r="C185" s="20" t="n">
        <v>0</v>
      </c>
      <c r="D185" s="20" t="n">
        <v>0</v>
      </c>
      <c r="E185" s="20" t="n">
        <v>328.481</v>
      </c>
      <c r="F185" s="20" t="n">
        <v>64.03100000000001</v>
      </c>
      <c r="G185" s="20" t="n">
        <v>189.233</v>
      </c>
      <c r="H185" s="20" t="n">
        <v>190.071</v>
      </c>
      <c r="I185" s="20" t="n">
        <v>274.726</v>
      </c>
      <c r="J185" s="20" t="n">
        <v>151.918</v>
      </c>
      <c r="K185" s="20" t="n">
        <v>164.882</v>
      </c>
      <c r="L185" s="20" t="n">
        <v>166.04</v>
      </c>
      <c r="M185" s="20" t="n">
        <v>332.857</v>
      </c>
      <c r="N185" s="20" t="n">
        <v>196.812</v>
      </c>
      <c r="V185" s="20" t="n">
        <v>64.03100000000001</v>
      </c>
      <c r="W185" s="20" t="n">
        <v>151.918</v>
      </c>
      <c r="X185" s="20" t="n">
        <v>196.812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IF(OR(C185="",C170=""),"",IF(C170&lt;=0,"",IFERROR(C185/C170,"")))</f>
        <v/>
      </c>
      <c r="D186" s="15">
        <f>IF(OR(D185="",D170=""),"",IF(D170&lt;=0,"",IFERROR(D185/D170,"")))</f>
        <v/>
      </c>
      <c r="E186" s="15">
        <f>IF(OR(E185="",E170=""),"",IF(E170&lt;=0,"",IFERROR(E185/E170,"")))</f>
        <v/>
      </c>
      <c r="F186" s="15">
        <f>IF(OR(F185="",F170=""),"",IF(F170&lt;=0,"",IFERROR(F185/F170,"")))</f>
        <v/>
      </c>
      <c r="G186" s="15">
        <f>IF(OR(G185="",G170=""),"",IF(G170&lt;=0,"",IFERROR(G185/G170,"")))</f>
        <v/>
      </c>
      <c r="H186" s="15">
        <f>IF(OR(H185="",H170=""),"",IF(H170&lt;=0,"",IFERROR(H185/H170,"")))</f>
        <v/>
      </c>
      <c r="I186" s="15">
        <f>IF(OR(I185="",I170=""),"",IF(I170&lt;=0,"",IFERROR(I185/I170,"")))</f>
        <v/>
      </c>
      <c r="J186" s="15">
        <f>IF(OR(J185="",J170=""),"",IF(J170&lt;=0,"",IFERROR(J185/J170,"")))</f>
        <v/>
      </c>
      <c r="K186" s="15">
        <f>IF(OR(K185="",K170=""),"",IF(K170&lt;=0,"",IFERROR(K185/K170,"")))</f>
        <v/>
      </c>
      <c r="L186" s="15">
        <f>IF(OR(L185="",L170=""),"",IF(L170&lt;=0,"",IFERROR(L185/L170,"")))</f>
        <v/>
      </c>
      <c r="M186" s="15">
        <f>IF(OR(M185="",M170=""),"",IF(M170&lt;=0,"",IFERROR(M185/M170,"")))</f>
        <v/>
      </c>
      <c r="N186" s="15">
        <f>IF(OR(N185="",N170=""),"",IF(N170&lt;=0,"",IFERROR(N185/N170,"")))</f>
        <v/>
      </c>
      <c r="V186" s="15">
        <f>IF(OR(V185="",V170=""),"",IF(V170&lt;=0,"",IFERROR(V185/V170,"")))</f>
        <v/>
      </c>
      <c r="W186" s="15">
        <f>IF(OR(W185="",W170=""),"",IF(W170&lt;=0,"",IFERROR(W185/W170,"")))</f>
        <v/>
      </c>
      <c r="X186" s="15">
        <f>IF(OR(X185="",X170=""),"",IF(X170&lt;=0,"",IFERROR(X185/X170,"")))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SolutionReportableSegmentMember · 부문 이익(손실)</t>
        </is>
      </c>
      <c r="C188" s="20" t="n">
        <v>51.943</v>
      </c>
      <c r="D188" s="20" t="n">
        <v>70.82599999999999</v>
      </c>
      <c r="E188" s="20" t="n">
        <v>32.976</v>
      </c>
      <c r="F188" s="20" t="n">
        <v>69.678</v>
      </c>
      <c r="G188" s="20" t="n">
        <v>74.84699999999999</v>
      </c>
      <c r="H188" s="20" t="n">
        <v>84.624</v>
      </c>
      <c r="I188" s="20" t="n">
        <v>63.89</v>
      </c>
      <c r="J188" s="20" t="n">
        <v>74.955</v>
      </c>
      <c r="K188" s="20" t="n">
        <v>74.36799999999999</v>
      </c>
      <c r="L188" s="20" t="n">
        <v>74.941</v>
      </c>
      <c r="M188" s="20" t="n">
        <v>63.251</v>
      </c>
      <c r="N188" s="20" t="n">
        <v>64.04000000000001</v>
      </c>
      <c r="V188" s="20" t="n">
        <v>69.678</v>
      </c>
      <c r="W188" s="20" t="n">
        <v>74.955</v>
      </c>
      <c r="X188" s="20" t="n">
        <v>64.04000000000001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IF(OR(C188="",C172=""),"",IF(C172&lt;=0,"",IFERROR(C188/C172,"")))</f>
        <v/>
      </c>
      <c r="D189" s="15">
        <f>IF(OR(D188="",D172=""),"",IF(D172&lt;=0,"",IFERROR(D188/D172,"")))</f>
        <v/>
      </c>
      <c r="E189" s="15">
        <f>IF(OR(E188="",E172=""),"",IF(E172&lt;=0,"",IFERROR(E188/E172,"")))</f>
        <v/>
      </c>
      <c r="F189" s="15">
        <f>IF(OR(F188="",F172=""),"",IF(F172&lt;=0,"",IFERROR(F188/F172,"")))</f>
        <v/>
      </c>
      <c r="G189" s="15">
        <f>IF(OR(G188="",G172=""),"",IF(G172&lt;=0,"",IFERROR(G188/G172,"")))</f>
        <v/>
      </c>
      <c r="H189" s="15">
        <f>IF(OR(H188="",H172=""),"",IF(H172&lt;=0,"",IFERROR(H188/H172,"")))</f>
        <v/>
      </c>
      <c r="I189" s="15">
        <f>IF(OR(I188="",I172=""),"",IF(I172&lt;=0,"",IFERROR(I188/I172,"")))</f>
        <v/>
      </c>
      <c r="J189" s="15">
        <f>IF(OR(J188="",J172=""),"",IF(J172&lt;=0,"",IFERROR(J188/J172,"")))</f>
        <v/>
      </c>
      <c r="K189" s="15">
        <f>IF(OR(K188="",K172=""),"",IF(K172&lt;=0,"",IFERROR(K188/K172,"")))</f>
        <v/>
      </c>
      <c r="L189" s="15">
        <f>IF(OR(L188="",L172=""),"",IF(L172&lt;=0,"",IFERROR(L188/L172,"")))</f>
        <v/>
      </c>
      <c r="M189" s="15">
        <f>IF(OR(M188="",M172=""),"",IF(M172&lt;=0,"",IFERROR(M188/M172,"")))</f>
        <v/>
      </c>
      <c r="N189" s="15">
        <f>IF(OR(N188="",N172=""),"",IF(N172&lt;=0,"",IFERROR(N188/N172,"")))</f>
        <v/>
      </c>
      <c r="V189" s="15">
        <f>IF(OR(V188="",V172=""),"",IF(V172&lt;=0,"",IFERROR(V188/V172,"")))</f>
        <v/>
      </c>
      <c r="W189" s="15">
        <f>IF(OR(W188="",W172=""),"",IF(W172&lt;=0,"",IFERROR(W188/W172,"")))</f>
        <v/>
      </c>
      <c r="X189" s="15">
        <f>IF(OR(X188="",X172=""),"",IF(X172&lt;=0,"",IFERROR(X188/X172,"")))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OtherReportableSegmentsMember · 부문 이익(손실)</t>
        </is>
      </c>
      <c r="C191" s="20" t="n">
        <v>-14.404</v>
      </c>
      <c r="D191" s="20" t="n">
        <v>-17.32</v>
      </c>
      <c r="E191" s="20" t="n">
        <v>-21.783</v>
      </c>
      <c r="F191" s="20" t="n">
        <v>-18.667</v>
      </c>
      <c r="G191" s="20" t="n">
        <v>-22.647</v>
      </c>
      <c r="H191" s="20" t="n">
        <v>-16.834</v>
      </c>
      <c r="I191" s="20" t="n">
        <v>-15.816</v>
      </c>
      <c r="K191" s="20" t="n">
        <v>-12.09</v>
      </c>
      <c r="L191" s="20" t="n">
        <v>-15.707</v>
      </c>
      <c r="M191" s="20" t="n">
        <v>-22.458</v>
      </c>
      <c r="V191" s="20" t="n">
        <v>-18.667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IF(OR(C191="",C174=""),"",IF(C174&lt;=0,"",IFERROR(C191/C174,"")))</f>
        <v/>
      </c>
      <c r="D192" s="15">
        <f>IF(OR(D191="",D174=""),"",IF(D174&lt;=0,"",IFERROR(D191/D174,"")))</f>
        <v/>
      </c>
      <c r="E192" s="15">
        <f>IF(OR(E191="",E174=""),"",IF(E174&lt;=0,"",IFERROR(E191/E174,"")))</f>
        <v/>
      </c>
      <c r="F192" s="15">
        <f>IF(OR(F191="",F174=""),"",IF(F174&lt;=0,"",IFERROR(F191/F174,"")))</f>
        <v/>
      </c>
      <c r="G192" s="15">
        <f>IF(OR(G191="",G174=""),"",IF(G174&lt;=0,"",IFERROR(G191/G174,"")))</f>
        <v/>
      </c>
      <c r="H192" s="15">
        <f>IF(OR(H191="",H174=""),"",IF(H174&lt;=0,"",IFERROR(H191/H174,"")))</f>
        <v/>
      </c>
      <c r="I192" s="15">
        <f>IF(OR(I191="",I174=""),"",IF(I174&lt;=0,"",IFERROR(I191/I174,"")))</f>
        <v/>
      </c>
      <c r="K192" s="15">
        <f>IF(OR(K191="",K174=""),"",IF(K174&lt;=0,"",IFERROR(K191/K174,"")))</f>
        <v/>
      </c>
      <c r="L192" s="15">
        <f>IF(OR(L191="",L174=""),"",IF(L174&lt;=0,"",IFERROR(L191/L174,"")))</f>
        <v/>
      </c>
      <c r="M192" s="15">
        <f>IF(OR(M191="",M174=""),"",IF(M174&lt;=0,"",IFERROR(M191/M174,"")))</f>
        <v/>
      </c>
      <c r="V192" s="15">
        <f>IF(OR(V191="",V174=""),"",IF(V174&lt;=0,"",IFERROR(V191/V174,"")))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V193" s="15">
        <f>IF(OR(V191="",U191=""),"",IF(U191&lt;=0,"",IFERROR(V191/U191-1,"")))</f>
        <v/>
      </c>
    </row>
    <row r="194">
      <c r="A194" s="18" t="inlineStr">
        <is>
          <t>보고부문 합계 · 부문 이익(손실)</t>
        </is>
      </c>
      <c r="C194" s="20" t="n">
        <v>199.246</v>
      </c>
      <c r="D194" s="20" t="n">
        <v>214.721</v>
      </c>
      <c r="E194" s="20" t="n">
        <v>489.412</v>
      </c>
      <c r="F194" s="20" t="n">
        <v>259.263</v>
      </c>
      <c r="G194" s="20" t="n">
        <v>415.725</v>
      </c>
      <c r="H194" s="20" t="n">
        <v>498.908</v>
      </c>
      <c r="I194" s="20" t="n">
        <v>486.203</v>
      </c>
      <c r="J194" s="20" t="n">
        <v>438.803</v>
      </c>
      <c r="K194" s="20" t="n">
        <v>428.937</v>
      </c>
      <c r="L194" s="20" t="n">
        <v>487.057</v>
      </c>
      <c r="M194" s="20" t="n">
        <v>604.1799999999999</v>
      </c>
      <c r="N194" s="20" t="n">
        <v>438.732</v>
      </c>
      <c r="V194" s="20" t="n">
        <v>259.263</v>
      </c>
      <c r="W194" s="20" t="n">
        <v>438.803</v>
      </c>
      <c r="X194" s="20" t="n">
        <v>438.732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IF(OR(C194="",C176=""),"",IF(C176&lt;=0,"",IFERROR(C194/C176,"")))</f>
        <v/>
      </c>
      <c r="D195" s="15">
        <f>IF(OR(D194="",D176=""),"",IF(D176&lt;=0,"",IFERROR(D194/D176,"")))</f>
        <v/>
      </c>
      <c r="E195" s="15">
        <f>IF(OR(E194="",E176=""),"",IF(E176&lt;=0,"",IFERROR(E194/E176,"")))</f>
        <v/>
      </c>
      <c r="F195" s="15">
        <f>IF(OR(F194="",F176=""),"",IF(F176&lt;=0,"",IFERROR(F194/F176,"")))</f>
        <v/>
      </c>
      <c r="G195" s="15">
        <f>IF(OR(G194="",G176=""),"",IF(G176&lt;=0,"",IFERROR(G194/G176,"")))</f>
        <v/>
      </c>
      <c r="H195" s="15">
        <f>IF(OR(H194="",H176=""),"",IF(H176&lt;=0,"",IFERROR(H194/H176,"")))</f>
        <v/>
      </c>
      <c r="I195" s="15">
        <f>IF(OR(I194="",I176=""),"",IF(I176&lt;=0,"",IFERROR(I194/I176,"")))</f>
        <v/>
      </c>
      <c r="J195" s="15">
        <f>IF(OR(J194="",J176=""),"",IF(J176&lt;=0,"",IFERROR(J194/J176,"")))</f>
        <v/>
      </c>
      <c r="K195" s="15">
        <f>IF(OR(K194="",K176=""),"",IF(K176&lt;=0,"",IFERROR(K194/K176,"")))</f>
        <v/>
      </c>
      <c r="L195" s="15">
        <f>IF(OR(L194="",L176=""),"",IF(L176&lt;=0,"",IFERROR(L194/L176,"")))</f>
        <v/>
      </c>
      <c r="M195" s="15">
        <f>IF(OR(M194="",M176=""),"",IF(M176&lt;=0,"",IFERROR(M194/M176,"")))</f>
        <v/>
      </c>
      <c r="N195" s="15">
        <f>IF(OR(N194="",N176=""),"",IF(N176&lt;=0,"",IFERROR(N194/N176,"")))</f>
        <v/>
      </c>
      <c r="V195" s="15">
        <f>IF(OR(V194="",V176=""),"",IF(V176&lt;=0,"",IFERROR(V194/V176,"")))</f>
        <v/>
      </c>
      <c r="W195" s="15">
        <f>IF(OR(W194="",W176=""),"",IF(W176&lt;=0,"",IFERROR(W194/W176,"")))</f>
        <v/>
      </c>
      <c r="X195" s="15">
        <f>IF(OR(X194="",X176=""),"",IF(X176&lt;=0,"",IFERROR(X194/X176,"")))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조정액 · 부문 이익(손실)</t>
        </is>
      </c>
      <c r="C197" s="20" t="n">
        <v>-148.916</v>
      </c>
      <c r="D197" s="20" t="n">
        <v>-178.974</v>
      </c>
      <c r="E197" s="20" t="n">
        <v>-221.618</v>
      </c>
      <c r="F197" s="20" t="n">
        <v>-275.189</v>
      </c>
      <c r="G197" s="20" t="n">
        <v>-263.944</v>
      </c>
      <c r="H197" s="20" t="n">
        <v>-245.891</v>
      </c>
      <c r="I197" s="20" t="n">
        <v>-268.109</v>
      </c>
      <c r="J197" s="20" t="n">
        <v>-330.264</v>
      </c>
      <c r="K197" s="20" t="n">
        <v>-288.536</v>
      </c>
      <c r="L197" s="20" t="n">
        <v>-299.931</v>
      </c>
      <c r="M197" s="20" t="n">
        <v>-270.077</v>
      </c>
      <c r="N197" s="20" t="n">
        <v>-271.894</v>
      </c>
      <c r="V197" s="20" t="n">
        <v>-275.189</v>
      </c>
      <c r="W197" s="20" t="n">
        <v>-330.264</v>
      </c>
      <c r="X197" s="20" t="n">
        <v>-271.894</v>
      </c>
    </row>
    <row r="198">
      <c r="A198" s="18" t="inlineStr">
        <is>
          <t>EntityTotalMember · 부문 이익(손실)</t>
        </is>
      </c>
      <c r="G198" s="20" t="n">
        <v>151.78</v>
      </c>
      <c r="K198" s="20" t="n">
        <v>140.4</v>
      </c>
    </row>
    <row r="199">
      <c r="A199" s="9" t="inlineStr">
        <is>
          <t>부문 이익(손실)</t>
        </is>
      </c>
      <c r="C199" s="12" t="n">
        <v>50.33</v>
      </c>
      <c r="D199" s="12" t="n">
        <v>35.747</v>
      </c>
      <c r="E199" s="12" t="n">
        <v>267.793</v>
      </c>
      <c r="F199" s="12" t="n">
        <v>-15.925</v>
      </c>
      <c r="G199" s="12" t="n">
        <v>151.78</v>
      </c>
      <c r="H199" s="12" t="n">
        <v>253.018</v>
      </c>
      <c r="I199" s="12" t="n">
        <v>218.093</v>
      </c>
      <c r="J199" s="12" t="n">
        <v>108.539</v>
      </c>
      <c r="V199" s="12" t="n">
        <v>-15.925</v>
      </c>
      <c r="W199" s="12" t="n">
        <v>108.539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IF(OR(C199="",C158=""),"",IF(C158&lt;=0,"",IFERROR(C199/C158,"")))</f>
        <v/>
      </c>
      <c r="D200" s="15">
        <f>IF(OR(D199="",D158=""),"",IF(D158&lt;=0,"",IFERROR(D199/D158,"")))</f>
        <v/>
      </c>
      <c r="E200" s="15">
        <f>IF(OR(E199="",E158=""),"",IF(E158&lt;=0,"",IFERROR(E199/E158,"")))</f>
        <v/>
      </c>
      <c r="F200" s="15">
        <f>IF(OR(F199="",F158=""),"",IF(F158&lt;=0,"",IFERROR(F199/F158,"")))</f>
        <v/>
      </c>
      <c r="G200" s="15">
        <f>IF(OR(G199="",G158=""),"",IF(G158&lt;=0,"",IFERROR(G199/G158,"")))</f>
        <v/>
      </c>
      <c r="H200" s="15">
        <f>IF(OR(H199="",H158=""),"",IF(H158&lt;=0,"",IFERROR(H199/H158,"")))</f>
        <v/>
      </c>
      <c r="I200" s="15">
        <f>IF(OR(I199="",I158=""),"",IF(I158&lt;=0,"",IFERROR(I199/I158,"")))</f>
        <v/>
      </c>
      <c r="J200" s="15">
        <f>IF(OR(J199="",J158=""),"",IF(J158&lt;=0,"",IFERROR(J199/J158,"")))</f>
        <v/>
      </c>
      <c r="V200" s="15">
        <f>IF(OR(V199="",V158=""),"",IF(V158&lt;=0,"",IFERROR(V199/V158,"")))</f>
        <v/>
      </c>
      <c r="W200" s="15">
        <f>IF(OR(W199="",W158=""),"",IF(W158&lt;=0,"",IFERROR(W199/W158,"")))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V201" s="15">
        <f>IF(OR(V199="",U199=""),"",IF(U199&lt;=0,"",IFERROR(V199/U199-1,"")))</f>
        <v/>
      </c>
      <c r="W201" s="15">
        <f>IF(OR(W199="",V199=""),"",IF(V199&lt;=0,"",IFERROR(W199/V199-1,"")))</f>
        <v/>
      </c>
    </row>
    <row r="203">
      <c r="A203" s="16" t="inlineStr">
        <is>
          <t>현금흐름표 · 전 항목</t>
        </is>
      </c>
      <c r="B203" s="42" t="inlineStr">
        <is>
          <t>분기 = 결산기 첫날부터 누계(공시 그대로)</t>
        </is>
      </c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</row>
    <row r="204">
      <c r="A204" s="5" t="inlineStr">
        <is>
          <t>항목</t>
        </is>
      </c>
      <c r="B204" s="5" t="inlineStr">
        <is>
          <t>참고</t>
        </is>
      </c>
      <c r="C204" s="5" t="inlineStr">
        <is>
          <t>2024.1Q</t>
        </is>
      </c>
      <c r="D204" s="5" t="inlineStr">
        <is>
          <t>2024.2Q</t>
        </is>
      </c>
      <c r="E204" s="5" t="inlineStr">
        <is>
          <t>2024.3Q</t>
        </is>
      </c>
      <c r="F204" s="5" t="inlineStr">
        <is>
          <t>2024.4Q</t>
        </is>
      </c>
      <c r="G204" s="5" t="inlineStr">
        <is>
          <t>2025.1Q</t>
        </is>
      </c>
      <c r="H204" s="5" t="inlineStr">
        <is>
          <t>2025.2Q</t>
        </is>
      </c>
      <c r="I204" s="5" t="inlineStr">
        <is>
          <t>2025.3Q</t>
        </is>
      </c>
      <c r="J204" s="5" t="inlineStr">
        <is>
          <t>2025.4Q</t>
        </is>
      </c>
      <c r="K204" s="5" t="inlineStr">
        <is>
          <t>2026.1Q</t>
        </is>
      </c>
      <c r="L204" s="5" t="inlineStr">
        <is>
          <t>2026.2Q</t>
        </is>
      </c>
      <c r="M204" s="5" t="inlineStr">
        <is>
          <t>2026.3Q</t>
        </is>
      </c>
      <c r="N204" s="5" t="inlineStr">
        <is>
          <t>2026.4Q</t>
        </is>
      </c>
      <c r="O204" s="5" t="inlineStr">
        <is>
          <t>2017</t>
        </is>
      </c>
      <c r="P204" s="5" t="inlineStr">
        <is>
          <t>2018</t>
        </is>
      </c>
      <c r="Q204" s="5" t="inlineStr">
        <is>
          <t>2019</t>
        </is>
      </c>
      <c r="R204" s="5" t="inlineStr">
        <is>
          <t>2020</t>
        </is>
      </c>
      <c r="S204" s="5" t="inlineStr">
        <is>
          <t>2021</t>
        </is>
      </c>
      <c r="T204" s="5" t="inlineStr">
        <is>
          <t>2022</t>
        </is>
      </c>
      <c r="U204" s="5" t="inlineStr">
        <is>
          <t>2023</t>
        </is>
      </c>
      <c r="V204" s="5" t="inlineStr">
        <is>
          <t>2024</t>
        </is>
      </c>
      <c r="W204" s="5" t="inlineStr">
        <is>
          <t>2025</t>
        </is>
      </c>
      <c r="X204" s="5" t="inlineStr">
        <is>
          <t>2026</t>
        </is>
      </c>
      <c r="Y204" s="5" t="inlineStr">
        <is>
          <t>2027(MW)</t>
        </is>
      </c>
      <c r="Z204" s="5" t="inlineStr">
        <is>
          <t>2028(MW)</t>
        </is>
      </c>
      <c r="AA204" s="5" t="inlineStr">
        <is>
          <t>2029(MW)</t>
        </is>
      </c>
      <c r="AB204" s="5" t="inlineStr">
        <is>
          <t>2030(MW)</t>
        </is>
      </c>
      <c r="AC204" s="5" t="inlineStr">
        <is>
          <t>2031(MW)</t>
        </is>
      </c>
    </row>
    <row r="205">
      <c r="A205" s="9" t="inlineStr">
        <is>
          <t>법인세차감전 순이익</t>
        </is>
      </c>
      <c r="D205" s="12" t="n">
        <v>77.376</v>
      </c>
      <c r="F205" s="12" t="n">
        <v>322.315</v>
      </c>
      <c r="H205" s="12" t="n">
        <v>405.511</v>
      </c>
      <c r="J205" s="12" t="n">
        <v>393.386</v>
      </c>
      <c r="L205" s="12" t="n">
        <v>329.638</v>
      </c>
      <c r="N205" s="12" t="n">
        <v>817.88</v>
      </c>
      <c r="R205" s="12" t="n">
        <v>141.832</v>
      </c>
      <c r="S205" s="12" t="n">
        <v>279.467</v>
      </c>
      <c r="T205" s="12" t="n">
        <v>-1801.17</v>
      </c>
      <c r="U205" s="12" t="n">
        <v>135.734</v>
      </c>
      <c r="V205" s="12" t="n">
        <v>322.315</v>
      </c>
      <c r="W205" s="12" t="n">
        <v>393.386</v>
      </c>
      <c r="X205" s="12" t="n">
        <v>817.88</v>
      </c>
    </row>
    <row r="206">
      <c r="A206" s="18" t="inlineStr">
        <is>
          <t>감가상각비</t>
        </is>
      </c>
      <c r="D206" s="20" t="n">
        <v>79.577</v>
      </c>
      <c r="F206" s="20" t="n">
        <v>169.907</v>
      </c>
      <c r="H206" s="20" t="n">
        <v>94.86</v>
      </c>
      <c r="J206" s="20" t="n">
        <v>197.164</v>
      </c>
      <c r="L206" s="20" t="n">
        <v>104.293</v>
      </c>
      <c r="N206" s="20" t="n">
        <v>222.214</v>
      </c>
      <c r="R206" s="20" t="n">
        <v>27.989</v>
      </c>
      <c r="S206" s="20" t="n">
        <v>32.93</v>
      </c>
      <c r="T206" s="20" t="n">
        <v>37.394</v>
      </c>
      <c r="U206" s="20" t="n">
        <v>196.065</v>
      </c>
      <c r="V206" s="20" t="n">
        <v>169.907</v>
      </c>
      <c r="W206" s="20" t="n">
        <v>197.164</v>
      </c>
      <c r="X206" s="20" t="n">
        <v>222.214</v>
      </c>
    </row>
    <row r="207">
      <c r="A207" s="18" t="inlineStr">
        <is>
          <t>손상차손</t>
        </is>
      </c>
      <c r="F207" s="20" t="n">
        <v>0</v>
      </c>
      <c r="J207" s="20" t="n">
        <v>54.924</v>
      </c>
      <c r="N207" s="20" t="n">
        <v>0</v>
      </c>
      <c r="T207" s="20" t="n">
        <v>225.582</v>
      </c>
      <c r="U207" s="20" t="n">
        <v>0</v>
      </c>
      <c r="V207" s="20" t="n">
        <v>0</v>
      </c>
      <c r="W207" s="20" t="n">
        <v>54.924</v>
      </c>
      <c r="X207" s="20" t="n">
        <v>0</v>
      </c>
    </row>
    <row r="208">
      <c r="A208" s="18" t="inlineStr">
        <is>
          <t>영업권 상각</t>
        </is>
      </c>
      <c r="D208" s="20" t="n">
        <v>59.127</v>
      </c>
      <c r="F208" s="20" t="n">
        <v>188.411</v>
      </c>
      <c r="H208" s="20" t="n">
        <v>129.283</v>
      </c>
      <c r="J208" s="20" t="n">
        <v>258.567</v>
      </c>
      <c r="L208" s="20" t="n">
        <v>129.283</v>
      </c>
      <c r="N208" s="20" t="n">
        <v>258.567</v>
      </c>
      <c r="T208" s="20" t="n">
        <v>0</v>
      </c>
      <c r="U208" s="20" t="n">
        <v>137.965</v>
      </c>
      <c r="V208" s="20" t="n">
        <v>188.411</v>
      </c>
      <c r="W208" s="20" t="n">
        <v>258.567</v>
      </c>
      <c r="X208" s="20" t="n">
        <v>258.567</v>
      </c>
    </row>
    <row r="209">
      <c r="A209" s="18" t="inlineStr">
        <is>
          <t>외환차손익</t>
        </is>
      </c>
      <c r="D209" s="20" t="n">
        <v>-1.402</v>
      </c>
      <c r="F209" s="20" t="n">
        <v>-1.661</v>
      </c>
      <c r="H209" s="20" t="n">
        <v>-0.864</v>
      </c>
      <c r="J209" s="20" t="n">
        <v>-2.951</v>
      </c>
      <c r="L209" s="20" t="n">
        <v>-8.667</v>
      </c>
      <c r="N209" s="20" t="n">
        <v>-4.969</v>
      </c>
      <c r="T209" s="20" t="n">
        <v>0</v>
      </c>
      <c r="U209" s="20" t="n">
        <v>-6.636</v>
      </c>
      <c r="V209" s="20" t="n">
        <v>-1.661</v>
      </c>
      <c r="W209" s="20" t="n">
        <v>-2.951</v>
      </c>
      <c r="X209" s="20" t="n">
        <v>-4.969</v>
      </c>
    </row>
    <row r="210">
      <c r="A210" s="18" t="inlineStr">
        <is>
          <t>주식보상비용</t>
        </is>
      </c>
      <c r="D210" s="20" t="n">
        <v>1.8</v>
      </c>
      <c r="F210" s="20" t="n">
        <v>25.128</v>
      </c>
      <c r="H210" s="20" t="n">
        <v>50.681</v>
      </c>
      <c r="J210" s="20" t="n">
        <v>102.133</v>
      </c>
      <c r="L210" s="20" t="n">
        <v>32.013</v>
      </c>
      <c r="N210" s="20" t="n">
        <v>48.647</v>
      </c>
      <c r="T210" s="20" t="n">
        <v>2.817</v>
      </c>
      <c r="U210" s="20" t="n">
        <v>3.914</v>
      </c>
      <c r="V210" s="20" t="n">
        <v>25.128</v>
      </c>
      <c r="W210" s="20" t="n">
        <v>102.133</v>
      </c>
      <c r="X210" s="20" t="n">
        <v>48.647</v>
      </c>
    </row>
    <row r="211">
      <c r="A211" s="18" t="inlineStr">
        <is>
          <t>주식교부비</t>
        </is>
      </c>
      <c r="F211" s="20" t="n">
        <v>0</v>
      </c>
      <c r="T211" s="20" t="n">
        <v>0</v>
      </c>
      <c r="U211" s="20" t="n">
        <v>3.972</v>
      </c>
      <c r="V211" s="20" t="n">
        <v>0</v>
      </c>
    </row>
    <row r="212">
      <c r="A212" s="18" t="inlineStr">
        <is>
          <t>지급수수료</t>
        </is>
      </c>
      <c r="D212" s="20" t="n">
        <v>0.515</v>
      </c>
      <c r="F212" s="20" t="n">
        <v>1.032</v>
      </c>
      <c r="H212" s="20" t="n">
        <v>0.515</v>
      </c>
      <c r="J212" s="20" t="n">
        <v>1.036</v>
      </c>
      <c r="L212" s="20" t="n">
        <v>0.499</v>
      </c>
      <c r="N212" s="20" t="n">
        <v>2.322</v>
      </c>
      <c r="R212" s="20" t="n">
        <v>0</v>
      </c>
      <c r="S212" s="20" t="n">
        <v>17</v>
      </c>
      <c r="T212" s="20" t="n">
        <v>0</v>
      </c>
      <c r="U212" s="20" t="n">
        <v>15.677</v>
      </c>
      <c r="V212" s="20" t="n">
        <v>1.032</v>
      </c>
      <c r="W212" s="20" t="n">
        <v>1.036</v>
      </c>
      <c r="X212" s="20" t="n">
        <v>2.322</v>
      </c>
    </row>
    <row r="213">
      <c r="A213" s="18" t="inlineStr">
        <is>
          <t>지분법손익</t>
        </is>
      </c>
      <c r="D213" s="20" t="n">
        <v>0</v>
      </c>
      <c r="F213" s="20" t="n">
        <v>0</v>
      </c>
      <c r="T213" s="20" t="n">
        <v>1324.734</v>
      </c>
      <c r="U213" s="20" t="n">
        <v>-5.328</v>
      </c>
      <c r="V213" s="20" t="n">
        <v>0</v>
      </c>
    </row>
    <row r="214">
      <c r="A214" s="18" t="inlineStr">
        <is>
          <t>단계적 취득 차손익</t>
        </is>
      </c>
      <c r="T214" s="20" t="n">
        <v>79.18000000000001</v>
      </c>
      <c r="U214" s="20" t="n">
        <v>0</v>
      </c>
    </row>
    <row r="215">
      <c r="A215" s="18" t="inlineStr">
        <is>
          <t>신주예약권 환입이익</t>
        </is>
      </c>
      <c r="D215" s="20" t="n">
        <v>-0.004</v>
      </c>
      <c r="F215" s="20" t="n">
        <v>-0.384</v>
      </c>
      <c r="H215" s="20" t="n">
        <v>-8.241</v>
      </c>
      <c r="J215" s="20" t="n">
        <v>-8.789</v>
      </c>
      <c r="L215" s="20" t="n">
        <v>-3.573</v>
      </c>
      <c r="N215" s="20" t="n">
        <v>-5.76</v>
      </c>
      <c r="T215" s="20" t="n">
        <v>-9.786</v>
      </c>
      <c r="U215" s="20" t="n">
        <v>-0.228</v>
      </c>
      <c r="V215" s="20" t="n">
        <v>-0.384</v>
      </c>
      <c r="W215" s="20" t="n">
        <v>-8.789</v>
      </c>
      <c r="X215" s="20" t="n">
        <v>-5.76</v>
      </c>
    </row>
    <row r="216">
      <c r="A216" s="18" t="inlineStr">
        <is>
          <t>대손충당금 증감</t>
        </is>
      </c>
      <c r="D216" s="20" t="n">
        <v>-0.781</v>
      </c>
      <c r="F216" s="20" t="n">
        <v>-0.5570000000000001</v>
      </c>
      <c r="H216" s="20" t="n">
        <v>0.256</v>
      </c>
      <c r="J216" s="20" t="n">
        <v>0.699</v>
      </c>
      <c r="L216" s="20" t="n">
        <v>0.242</v>
      </c>
      <c r="N216" s="20" t="n">
        <v>1.03</v>
      </c>
      <c r="R216" s="20" t="n">
        <v>-5.829</v>
      </c>
      <c r="S216" s="20" t="n">
        <v>-2.792</v>
      </c>
      <c r="T216" s="20" t="n">
        <v>-0.024</v>
      </c>
      <c r="U216" s="20" t="n">
        <v>-0.885</v>
      </c>
      <c r="V216" s="20" t="n">
        <v>-0.5570000000000001</v>
      </c>
      <c r="W216" s="20" t="n">
        <v>0.699</v>
      </c>
      <c r="X216" s="20" t="n">
        <v>1.03</v>
      </c>
    </row>
    <row r="217">
      <c r="A217" s="18" t="inlineStr">
        <is>
          <t>이자수익</t>
        </is>
      </c>
      <c r="R217" s="20" t="n">
        <v>-0.07099999999999999</v>
      </c>
      <c r="S217" s="20" t="n">
        <v>-0.023</v>
      </c>
    </row>
    <row r="218">
      <c r="A218" s="18" t="inlineStr">
        <is>
          <t>이자·배당금 수익</t>
        </is>
      </c>
      <c r="D218" s="20" t="n">
        <v>-0.472</v>
      </c>
      <c r="F218" s="20" t="n">
        <v>-2.79</v>
      </c>
      <c r="H218" s="20" t="n">
        <v>-3.18</v>
      </c>
      <c r="J218" s="20" t="n">
        <v>-7.853</v>
      </c>
      <c r="L218" s="20" t="n">
        <v>-5.193</v>
      </c>
      <c r="N218" s="20" t="n">
        <v>-12.219</v>
      </c>
      <c r="T218" s="20" t="n">
        <v>-0.004</v>
      </c>
      <c r="U218" s="20" t="n">
        <v>-0.965</v>
      </c>
      <c r="V218" s="20" t="n">
        <v>-2.79</v>
      </c>
      <c r="W218" s="20" t="n">
        <v>-7.853</v>
      </c>
      <c r="X218" s="20" t="n">
        <v>-12.219</v>
      </c>
    </row>
    <row r="219">
      <c r="A219" s="18" t="inlineStr">
        <is>
          <t>이자비용</t>
        </is>
      </c>
      <c r="D219" s="20" t="n">
        <v>10.24</v>
      </c>
      <c r="F219" s="20" t="n">
        <v>22.978</v>
      </c>
      <c r="H219" s="20" t="n">
        <v>13.953</v>
      </c>
      <c r="J219" s="20" t="n">
        <v>30.253</v>
      </c>
      <c r="L219" s="20" t="n">
        <v>16.124</v>
      </c>
      <c r="N219" s="20" t="n">
        <v>33.636</v>
      </c>
      <c r="R219" s="20" t="n">
        <v>1.143</v>
      </c>
      <c r="S219" s="20" t="n">
        <v>1.628</v>
      </c>
      <c r="T219" s="20" t="n">
        <v>19.266</v>
      </c>
      <c r="U219" s="20" t="n">
        <v>23.617</v>
      </c>
      <c r="V219" s="20" t="n">
        <v>22.978</v>
      </c>
      <c r="W219" s="20" t="n">
        <v>30.253</v>
      </c>
      <c r="X219" s="20" t="n">
        <v>33.636</v>
      </c>
    </row>
    <row r="220">
      <c r="A220" s="18" t="inlineStr">
        <is>
          <t>단기매매차익 수증이익</t>
        </is>
      </c>
      <c r="D220" s="20" t="n">
        <v>0</v>
      </c>
      <c r="F220" s="20" t="n">
        <v>0</v>
      </c>
      <c r="T220" s="20" t="n">
        <v>0</v>
      </c>
      <c r="U220" s="20" t="n">
        <v>-14.155</v>
      </c>
      <c r="V220" s="20" t="n">
        <v>0</v>
      </c>
    </row>
    <row r="221">
      <c r="A221" s="18" t="inlineStr">
        <is>
          <t>해외 자회사 청산 환산조정 환입손익</t>
        </is>
      </c>
      <c r="D221" s="20" t="n">
        <v>0</v>
      </c>
      <c r="F221" s="20" t="n">
        <v>0</v>
      </c>
      <c r="J221" s="20" t="n">
        <v>5.052</v>
      </c>
      <c r="N221" s="20" t="n">
        <v>0</v>
      </c>
      <c r="T221" s="20" t="n">
        <v>0</v>
      </c>
      <c r="U221" s="20" t="n">
        <v>3.249</v>
      </c>
      <c r="V221" s="20" t="n">
        <v>0</v>
      </c>
      <c r="W221" s="20" t="n">
        <v>5.052</v>
      </c>
      <c r="X221" s="20" t="n">
        <v>0</v>
      </c>
    </row>
    <row r="222">
      <c r="A222" s="18" t="inlineStr">
        <is>
          <t>관계회사 주식 매각손익</t>
        </is>
      </c>
      <c r="F222" s="20" t="n">
        <v>0</v>
      </c>
      <c r="T222" s="20" t="n">
        <v>0</v>
      </c>
      <c r="U222" s="20" t="n">
        <v>7.674</v>
      </c>
      <c r="V222" s="20" t="n">
        <v>0</v>
      </c>
    </row>
    <row r="223">
      <c r="A223" s="18" t="inlineStr">
        <is>
          <t>매출채권 증감</t>
        </is>
      </c>
      <c r="D223" s="20" t="n">
        <v>287.718</v>
      </c>
      <c r="F223" s="20" t="n">
        <v>185.999</v>
      </c>
      <c r="H223" s="20" t="n">
        <v>-105.168</v>
      </c>
      <c r="J223" s="20" t="n">
        <v>-36.717</v>
      </c>
      <c r="L223" s="20" t="n">
        <v>-14.282</v>
      </c>
      <c r="N223" s="20" t="n">
        <v>-384.516</v>
      </c>
      <c r="R223" s="20" t="n">
        <v>-16.468</v>
      </c>
      <c r="S223" s="20" t="n">
        <v>-0.957</v>
      </c>
      <c r="T223" s="20" t="n">
        <v>-9.922000000000001</v>
      </c>
      <c r="U223" s="20" t="n">
        <v>-255.926</v>
      </c>
      <c r="V223" s="20" t="n">
        <v>185.999</v>
      </c>
      <c r="W223" s="20" t="n">
        <v>-36.717</v>
      </c>
      <c r="X223" s="20" t="n">
        <v>-384.516</v>
      </c>
    </row>
    <row r="224">
      <c r="A224" s="18" t="inlineStr">
        <is>
          <t>재고자산 증감</t>
        </is>
      </c>
      <c r="D224" s="20" t="n">
        <v>57.027</v>
      </c>
      <c r="F224" s="20" t="n">
        <v>3.449</v>
      </c>
      <c r="H224" s="20" t="n">
        <v>-81.568</v>
      </c>
      <c r="J224" s="20" t="n">
        <v>-50.978</v>
      </c>
      <c r="L224" s="20" t="n">
        <v>-159.215</v>
      </c>
      <c r="N224" s="20" t="n">
        <v>-116.808</v>
      </c>
      <c r="R224" s="20" t="n">
        <v>3.877</v>
      </c>
      <c r="S224" s="20" t="n">
        <v>0.678</v>
      </c>
      <c r="T224" s="20" t="n">
        <v>0.02</v>
      </c>
      <c r="U224" s="20" t="n">
        <v>61.597</v>
      </c>
      <c r="V224" s="20" t="n">
        <v>3.449</v>
      </c>
      <c r="W224" s="20" t="n">
        <v>-50.978</v>
      </c>
      <c r="X224" s="20" t="n">
        <v>-116.808</v>
      </c>
    </row>
    <row r="225">
      <c r="A225" s="18" t="inlineStr">
        <is>
          <t>매입채무 증감</t>
        </is>
      </c>
      <c r="D225" s="20" t="n">
        <v>-227.881</v>
      </c>
      <c r="F225" s="20" t="n">
        <v>-384.174</v>
      </c>
      <c r="H225" s="20" t="n">
        <v>202.839</v>
      </c>
      <c r="J225" s="20" t="n">
        <v>255.269</v>
      </c>
      <c r="L225" s="20" t="n">
        <v>36.78</v>
      </c>
      <c r="N225" s="20" t="n">
        <v>237.641</v>
      </c>
      <c r="R225" s="20" t="n">
        <v>-8.766</v>
      </c>
      <c r="S225" s="20" t="n">
        <v>30.671</v>
      </c>
      <c r="T225" s="20" t="n">
        <v>-18.395</v>
      </c>
      <c r="U225" s="20" t="n">
        <v>212.65</v>
      </c>
      <c r="V225" s="20" t="n">
        <v>-384.174</v>
      </c>
      <c r="W225" s="20" t="n">
        <v>255.269</v>
      </c>
      <c r="X225" s="20" t="n">
        <v>237.641</v>
      </c>
    </row>
    <row r="226">
      <c r="A226" s="18" t="inlineStr">
        <is>
          <t>투자유가증권 매각손익</t>
        </is>
      </c>
      <c r="F226" s="20" t="n">
        <v>-2.505</v>
      </c>
      <c r="J226" s="20" t="n">
        <v>-27.994</v>
      </c>
      <c r="N226" s="20" t="n">
        <v>0</v>
      </c>
      <c r="R226" s="20" t="n">
        <v>0.306</v>
      </c>
      <c r="S226" s="20" t="n">
        <v>0</v>
      </c>
      <c r="U226" s="20" t="n">
        <v>0</v>
      </c>
      <c r="V226" s="20" t="n">
        <v>-2.505</v>
      </c>
      <c r="W226" s="20" t="n">
        <v>-27.994</v>
      </c>
      <c r="X226" s="20" t="n">
        <v>0</v>
      </c>
    </row>
    <row r="227">
      <c r="A227" s="18" t="inlineStr">
        <is>
          <t>보조금 수입</t>
        </is>
      </c>
      <c r="R227" s="20" t="n">
        <v>0</v>
      </c>
      <c r="S227" s="20" t="n">
        <v>-6.445</v>
      </c>
    </row>
    <row r="228">
      <c r="A228" s="18" t="inlineStr">
        <is>
          <t>유형자산 제각손실</t>
        </is>
      </c>
      <c r="R228" s="20" t="n">
        <v>0</v>
      </c>
      <c r="S228" s="20" t="n">
        <v>0.588</v>
      </c>
    </row>
    <row r="229">
      <c r="A229" s="18" t="inlineStr">
        <is>
          <t>상장 관련 비용</t>
        </is>
      </c>
      <c r="R229" s="20" t="n">
        <v>0</v>
      </c>
      <c r="S229" s="20" t="n">
        <v>16.842</v>
      </c>
    </row>
    <row r="230">
      <c r="A230" s="18" t="inlineStr">
        <is>
          <t>상여충당금 증감</t>
        </is>
      </c>
      <c r="D230" s="20" t="n">
        <v>0</v>
      </c>
      <c r="F230" s="20" t="n">
        <v>0</v>
      </c>
      <c r="H230" s="20" t="n">
        <v>22.142</v>
      </c>
      <c r="J230" s="20" t="n">
        <v>8.31</v>
      </c>
      <c r="L230" s="20" t="n">
        <v>1.893</v>
      </c>
      <c r="N230" s="20" t="n">
        <v>0.642</v>
      </c>
      <c r="V230" s="20" t="n">
        <v>0</v>
      </c>
      <c r="W230" s="20" t="n">
        <v>8.31</v>
      </c>
      <c r="X230" s="20" t="n">
        <v>0.642</v>
      </c>
    </row>
    <row r="231">
      <c r="A231" s="18" t="inlineStr">
        <is>
          <t>계약손실 충당금 증감</t>
        </is>
      </c>
      <c r="F231" s="20" t="n">
        <v>0</v>
      </c>
      <c r="H231" s="20" t="n">
        <v>0</v>
      </c>
      <c r="J231" s="20" t="n">
        <v>298.4</v>
      </c>
      <c r="L231" s="20" t="n">
        <v>-26</v>
      </c>
      <c r="N231" s="20" t="n">
        <v>-62</v>
      </c>
      <c r="V231" s="20" t="n">
        <v>0</v>
      </c>
      <c r="W231" s="20" t="n">
        <v>298.4</v>
      </c>
      <c r="X231" s="20" t="n">
        <v>-62</v>
      </c>
    </row>
    <row r="232">
      <c r="A232" s="18" t="inlineStr">
        <is>
          <t>투자유가증권 평가손익</t>
        </is>
      </c>
      <c r="F232" s="20" t="n">
        <v>0.66</v>
      </c>
      <c r="J232" s="20" t="n">
        <v>0</v>
      </c>
      <c r="U232" s="20" t="n">
        <v>0</v>
      </c>
      <c r="V232" s="20" t="n">
        <v>0.66</v>
      </c>
      <c r="W232" s="20" t="n">
        <v>0</v>
      </c>
    </row>
    <row r="233">
      <c r="A233" s="18" t="inlineStr">
        <is>
          <t>미지급금 증감</t>
        </is>
      </c>
      <c r="D233" s="20" t="n">
        <v>22.061</v>
      </c>
      <c r="F233" s="20" t="n">
        <v>105.707</v>
      </c>
      <c r="H233" s="20" t="n">
        <v>-89.654</v>
      </c>
      <c r="J233" s="20" t="n">
        <v>-33.141</v>
      </c>
      <c r="L233" s="20" t="n">
        <v>19.166</v>
      </c>
      <c r="N233" s="20" t="n">
        <v>19.908</v>
      </c>
      <c r="R233" s="20" t="n">
        <v>-13.029</v>
      </c>
      <c r="S233" s="20" t="n">
        <v>7.623</v>
      </c>
      <c r="T233" s="20" t="n">
        <v>12.169</v>
      </c>
      <c r="U233" s="20" t="n">
        <v>-34.52</v>
      </c>
      <c r="V233" s="20" t="n">
        <v>105.707</v>
      </c>
      <c r="W233" s="20" t="n">
        <v>-33.141</v>
      </c>
      <c r="X233" s="20" t="n">
        <v>19.908</v>
      </c>
    </row>
    <row r="234">
      <c r="A234" s="18" t="inlineStr">
        <is>
          <t>미지급비용 증감</t>
        </is>
      </c>
      <c r="D234" s="20" t="n">
        <v>-58.506</v>
      </c>
      <c r="F234" s="20" t="n">
        <v>-22.835</v>
      </c>
      <c r="H234" s="20" t="n">
        <v>-22.323</v>
      </c>
      <c r="J234" s="20" t="n">
        <v>18.398</v>
      </c>
      <c r="L234" s="20" t="n">
        <v>-32.212</v>
      </c>
      <c r="N234" s="20" t="n">
        <v>27.562</v>
      </c>
      <c r="T234" s="20" t="n">
        <v>-3.538</v>
      </c>
      <c r="U234" s="20" t="n">
        <v>55.598</v>
      </c>
      <c r="V234" s="20" t="n">
        <v>-22.835</v>
      </c>
      <c r="W234" s="20" t="n">
        <v>18.398</v>
      </c>
      <c r="X234" s="20" t="n">
        <v>27.562</v>
      </c>
    </row>
    <row r="235">
      <c r="A235" s="18" t="inlineStr">
        <is>
          <t>미지급 소비세 증감</t>
        </is>
      </c>
      <c r="D235" s="20" t="n">
        <v>-21.09</v>
      </c>
      <c r="F235" s="20" t="n">
        <v>2.733</v>
      </c>
      <c r="H235" s="20" t="n">
        <v>-5.722</v>
      </c>
      <c r="J235" s="20" t="n">
        <v>21.734</v>
      </c>
      <c r="L235" s="20" t="n">
        <v>-51.762</v>
      </c>
      <c r="N235" s="20" t="n">
        <v>-14.013</v>
      </c>
      <c r="R235" s="20" t="n">
        <v>20.473</v>
      </c>
      <c r="S235" s="20" t="n">
        <v>-7.799</v>
      </c>
      <c r="T235" s="20" t="n">
        <v>-25.479</v>
      </c>
      <c r="U235" s="20" t="n">
        <v>52.254</v>
      </c>
      <c r="V235" s="20" t="n">
        <v>2.733</v>
      </c>
      <c r="W235" s="20" t="n">
        <v>21.734</v>
      </c>
      <c r="X235" s="20" t="n">
        <v>-14.013</v>
      </c>
    </row>
    <row r="236">
      <c r="A236" s="18" t="inlineStr">
        <is>
          <t>파산갱생채권 증감</t>
        </is>
      </c>
      <c r="R236" s="20" t="n">
        <v>-0.124</v>
      </c>
      <c r="S236" s="20" t="n">
        <v>-0.404</v>
      </c>
    </row>
    <row r="237">
      <c r="A237" s="18" t="inlineStr">
        <is>
          <t>선수금 증감</t>
        </is>
      </c>
      <c r="D237" s="20" t="n">
        <v>-31.426</v>
      </c>
      <c r="F237" s="20" t="n">
        <v>69.78100000000001</v>
      </c>
      <c r="H237" s="20" t="n">
        <v>-42.752</v>
      </c>
      <c r="J237" s="20" t="n">
        <v>-94.863</v>
      </c>
      <c r="L237" s="20" t="n">
        <v>-3.366</v>
      </c>
      <c r="N237" s="20" t="n">
        <v>35.98</v>
      </c>
      <c r="R237" s="20" t="n">
        <v>6.998</v>
      </c>
      <c r="S237" s="20" t="n">
        <v>-12.879</v>
      </c>
      <c r="T237" s="20" t="n">
        <v>4.781</v>
      </c>
      <c r="U237" s="20" t="n">
        <v>36.447</v>
      </c>
      <c r="V237" s="20" t="n">
        <v>69.78100000000001</v>
      </c>
      <c r="W237" s="20" t="n">
        <v>-94.863</v>
      </c>
      <c r="X237" s="20" t="n">
        <v>35.98</v>
      </c>
    </row>
    <row r="238">
      <c r="A238" s="18" t="inlineStr">
        <is>
          <t>예수금 증감</t>
        </is>
      </c>
      <c r="D238" s="20" t="n">
        <v>71.633</v>
      </c>
      <c r="F238" s="20" t="n">
        <v>628.671</v>
      </c>
      <c r="H238" s="20" t="n">
        <v>-282.602</v>
      </c>
      <c r="J238" s="20" t="n">
        <v>494.064</v>
      </c>
      <c r="L238" s="20" t="n">
        <v>-579.655</v>
      </c>
      <c r="N238" s="20" t="n">
        <v>-390.816</v>
      </c>
      <c r="U238" s="20" t="n">
        <v>-5.289</v>
      </c>
      <c r="V238" s="20" t="n">
        <v>628.671</v>
      </c>
      <c r="W238" s="20" t="n">
        <v>494.064</v>
      </c>
      <c r="X238" s="20" t="n">
        <v>-390.816</v>
      </c>
    </row>
    <row r="239">
      <c r="A239" s="18" t="inlineStr">
        <is>
          <t>기타</t>
        </is>
      </c>
      <c r="D239" s="20" t="n">
        <v>-1.981</v>
      </c>
      <c r="F239" s="20" t="n">
        <v>0.913</v>
      </c>
      <c r="H239" s="20" t="n">
        <v>9.239000000000001</v>
      </c>
      <c r="J239" s="20" t="n">
        <v>-115.19</v>
      </c>
      <c r="L239" s="20" t="n">
        <v>-36.184</v>
      </c>
      <c r="N239" s="20" t="n">
        <v>1.512</v>
      </c>
      <c r="R239" s="20" t="n">
        <v>278.7</v>
      </c>
      <c r="S239" s="20" t="n">
        <v>-299.764</v>
      </c>
      <c r="T239" s="20" t="n">
        <v>-6.176</v>
      </c>
      <c r="U239" s="20" t="n">
        <v>0.251</v>
      </c>
      <c r="V239" s="20" t="n">
        <v>0.913</v>
      </c>
      <c r="W239" s="20" t="n">
        <v>-115.19</v>
      </c>
      <c r="X239" s="20" t="n">
        <v>1.512</v>
      </c>
    </row>
    <row r="240">
      <c r="A240" s="18" t="inlineStr">
        <is>
          <t>소계</t>
        </is>
      </c>
      <c r="D240" s="20" t="n">
        <v>323.534</v>
      </c>
      <c r="F240" s="20" t="n">
        <v>1312.78</v>
      </c>
      <c r="H240" s="20" t="n">
        <v>287.204</v>
      </c>
      <c r="J240" s="20" t="n">
        <v>1760.917</v>
      </c>
      <c r="L240" s="20" t="n">
        <v>-250.179</v>
      </c>
      <c r="N240" s="20" t="n">
        <v>716.443</v>
      </c>
      <c r="R240" s="20" t="n">
        <v>437.033</v>
      </c>
      <c r="S240" s="20" t="n">
        <v>56.364</v>
      </c>
      <c r="T240" s="20" t="n">
        <v>-168.552</v>
      </c>
      <c r="U240" s="20" t="n">
        <v>622.7329999999999</v>
      </c>
      <c r="V240" s="20" t="n">
        <v>1312.78</v>
      </c>
      <c r="W240" s="20" t="n">
        <v>1760.917</v>
      </c>
      <c r="X240" s="20" t="n">
        <v>716.443</v>
      </c>
    </row>
    <row r="241">
      <c r="A241" s="18" t="inlineStr">
        <is>
          <t>이자 수취</t>
        </is>
      </c>
      <c r="R241" s="20" t="n">
        <v>0.07099999999999999</v>
      </c>
      <c r="S241" s="20" t="n">
        <v>0.023</v>
      </c>
    </row>
    <row r="242">
      <c r="A242" s="18" t="inlineStr">
        <is>
          <t>이자·배당금 수취</t>
        </is>
      </c>
      <c r="D242" s="20" t="n">
        <v>0.472</v>
      </c>
      <c r="F242" s="20" t="n">
        <v>2.79</v>
      </c>
      <c r="H242" s="20" t="n">
        <v>3.18</v>
      </c>
      <c r="J242" s="20" t="n">
        <v>7.853</v>
      </c>
      <c r="L242" s="20" t="n">
        <v>5.193</v>
      </c>
      <c r="N242" s="20" t="n">
        <v>12.219</v>
      </c>
      <c r="T242" s="20" t="n">
        <v>0.004</v>
      </c>
      <c r="U242" s="20" t="n">
        <v>0.965</v>
      </c>
      <c r="V242" s="20" t="n">
        <v>2.79</v>
      </c>
      <c r="W242" s="20" t="n">
        <v>7.853</v>
      </c>
      <c r="X242" s="20" t="n">
        <v>12.219</v>
      </c>
    </row>
    <row r="243">
      <c r="A243" s="18" t="inlineStr">
        <is>
          <t>이자 지급</t>
        </is>
      </c>
      <c r="D243" s="20" t="n">
        <v>-10.186</v>
      </c>
      <c r="F243" s="20" t="n">
        <v>-22.779</v>
      </c>
      <c r="H243" s="20" t="n">
        <v>-13.856</v>
      </c>
      <c r="J243" s="20" t="n">
        <v>-29.799</v>
      </c>
      <c r="L243" s="20" t="n">
        <v>-15.991</v>
      </c>
      <c r="N243" s="20" t="n">
        <v>-33.239</v>
      </c>
      <c r="R243" s="20" t="n">
        <v>-0.768</v>
      </c>
      <c r="S243" s="20" t="n">
        <v>-1.305</v>
      </c>
      <c r="T243" s="20" t="n">
        <v>-19.197</v>
      </c>
      <c r="U243" s="20" t="n">
        <v>-24.002</v>
      </c>
      <c r="V243" s="20" t="n">
        <v>-22.779</v>
      </c>
      <c r="W243" s="20" t="n">
        <v>-29.799</v>
      </c>
      <c r="X243" s="20" t="n">
        <v>-33.239</v>
      </c>
    </row>
    <row r="244">
      <c r="A244" s="18" t="inlineStr">
        <is>
          <t>단기매매차익 수취</t>
        </is>
      </c>
      <c r="D244" s="20" t="n">
        <v>0</v>
      </c>
      <c r="F244" s="20" t="n">
        <v>0</v>
      </c>
      <c r="T244" s="20" t="n">
        <v>0</v>
      </c>
      <c r="U244" s="20" t="n">
        <v>14.155</v>
      </c>
      <c r="V244" s="20" t="n">
        <v>0</v>
      </c>
    </row>
    <row r="245">
      <c r="A245" s="18" t="inlineStr">
        <is>
          <t>법인세 납부·환급</t>
        </is>
      </c>
      <c r="D245" s="20" t="n">
        <v>-16.303</v>
      </c>
    </row>
    <row r="246">
      <c r="A246" s="18" t="inlineStr">
        <is>
          <t>법인세 납부</t>
        </is>
      </c>
      <c r="D246" s="20" t="n">
        <v>-16.303</v>
      </c>
      <c r="F246" s="20" t="n">
        <v>-128.783</v>
      </c>
      <c r="H246" s="20" t="n">
        <v>-192.74</v>
      </c>
      <c r="J246" s="20" t="n">
        <v>-330.33</v>
      </c>
      <c r="L246" s="20" t="n">
        <v>-263.037</v>
      </c>
      <c r="N246" s="20" t="n">
        <v>-467.552</v>
      </c>
      <c r="R246" s="20" t="n">
        <v>-19.566</v>
      </c>
      <c r="S246" s="20" t="n">
        <v>-14.932</v>
      </c>
      <c r="T246" s="20" t="n">
        <v>-30.476</v>
      </c>
      <c r="U246" s="20" t="n">
        <v>-51.989</v>
      </c>
      <c r="V246" s="20" t="n">
        <v>-128.783</v>
      </c>
      <c r="W246" s="20" t="n">
        <v>-330.33</v>
      </c>
      <c r="X246" s="20" t="n">
        <v>-467.552</v>
      </c>
    </row>
    <row r="247">
      <c r="A247" s="18" t="inlineStr">
        <is>
          <t>보조금 수취</t>
        </is>
      </c>
      <c r="R247" s="20" t="n">
        <v>0</v>
      </c>
      <c r="S247" s="20" t="n">
        <v>6.445</v>
      </c>
    </row>
    <row r="248">
      <c r="A248" s="9" t="inlineStr">
        <is>
          <t>영업활동 현금흐름</t>
        </is>
      </c>
      <c r="D248" s="12" t="n">
        <v>297.516</v>
      </c>
      <c r="F248" s="12" t="n">
        <v>1164.007</v>
      </c>
      <c r="H248" s="12" t="n">
        <v>83.788</v>
      </c>
      <c r="J248" s="12" t="n">
        <v>1408.641</v>
      </c>
      <c r="L248" s="12" t="n">
        <v>-524.014</v>
      </c>
      <c r="N248" s="12" t="n">
        <v>227.871</v>
      </c>
      <c r="R248" s="12" t="n">
        <v>416.77</v>
      </c>
      <c r="S248" s="12" t="n">
        <v>46.595</v>
      </c>
      <c r="T248" s="12" t="n">
        <v>-218.221</v>
      </c>
      <c r="U248" s="12" t="n">
        <v>561.862</v>
      </c>
      <c r="V248" s="12" t="n">
        <v>1164.007</v>
      </c>
      <c r="W248" s="12" t="n">
        <v>1408.641</v>
      </c>
      <c r="X248" s="12" t="n">
        <v>227.871</v>
      </c>
    </row>
    <row r="249">
      <c r="A249" s="18" t="inlineStr">
        <is>
          <t>유형자산 취득(설비투자)</t>
        </is>
      </c>
      <c r="D249" s="20" t="n">
        <v>-1.299</v>
      </c>
      <c r="F249" s="20" t="n">
        <v>-7.836</v>
      </c>
      <c r="H249" s="20" t="n">
        <v>-6.201</v>
      </c>
      <c r="J249" s="20" t="n">
        <v>-22.182</v>
      </c>
      <c r="L249" s="20" t="n">
        <v>-11.69</v>
      </c>
      <c r="N249" s="20" t="n">
        <v>-32.558</v>
      </c>
      <c r="R249" s="20" t="n">
        <v>-4.115</v>
      </c>
      <c r="S249" s="20" t="n">
        <v>-9.032999999999999</v>
      </c>
      <c r="T249" s="20" t="n">
        <v>-8.742000000000001</v>
      </c>
      <c r="U249" s="20" t="n">
        <v>-19.857</v>
      </c>
      <c r="V249" s="20" t="n">
        <v>-7.836</v>
      </c>
      <c r="W249" s="20" t="n">
        <v>-22.182</v>
      </c>
      <c r="X249" s="20" t="n">
        <v>-32.558</v>
      </c>
    </row>
    <row r="250">
      <c r="A250" s="18" t="inlineStr">
        <is>
          <t>투자유가증권 취득</t>
        </is>
      </c>
      <c r="F250" s="20" t="n">
        <v>0</v>
      </c>
      <c r="J250" s="20" t="n">
        <v>-3</v>
      </c>
      <c r="N250" s="20" t="n">
        <v>0</v>
      </c>
      <c r="V250" s="20" t="n">
        <v>0</v>
      </c>
      <c r="W250" s="20" t="n">
        <v>-3</v>
      </c>
      <c r="X250" s="20" t="n">
        <v>0</v>
      </c>
    </row>
    <row r="251">
      <c r="A251" s="18" t="inlineStr">
        <is>
          <t>투자유가증권 매각</t>
        </is>
      </c>
      <c r="F251" s="20" t="n">
        <v>158.012</v>
      </c>
      <c r="J251" s="20" t="n">
        <v>29.68</v>
      </c>
      <c r="N251" s="20" t="n">
        <v>0</v>
      </c>
      <c r="R251" s="20" t="n">
        <v>1.618</v>
      </c>
      <c r="S251" s="20" t="n">
        <v>0</v>
      </c>
      <c r="U251" s="20" t="n">
        <v>0</v>
      </c>
      <c r="V251" s="20" t="n">
        <v>158.012</v>
      </c>
      <c r="W251" s="20" t="n">
        <v>29.68</v>
      </c>
      <c r="X251" s="20" t="n">
        <v>0</v>
      </c>
    </row>
    <row r="252">
      <c r="A252" s="18" t="inlineStr">
        <is>
          <t>관계회사 주식 취득</t>
        </is>
      </c>
      <c r="R252" s="20" t="n">
        <v>0</v>
      </c>
      <c r="S252" s="20" t="n">
        <v>-2333.164</v>
      </c>
    </row>
    <row r="253">
      <c r="A253" s="18" t="inlineStr">
        <is>
          <t>무형자산 취득</t>
        </is>
      </c>
      <c r="D253" s="20" t="n">
        <v>-85.32299999999999</v>
      </c>
      <c r="F253" s="20" t="n">
        <v>-166.239</v>
      </c>
      <c r="H253" s="20" t="n">
        <v>-115.945</v>
      </c>
      <c r="J253" s="20" t="n">
        <v>-271.175</v>
      </c>
      <c r="L253" s="20" t="n">
        <v>-104.753</v>
      </c>
      <c r="N253" s="20" t="n">
        <v>-274.564</v>
      </c>
      <c r="R253" s="20" t="n">
        <v>-44.347</v>
      </c>
      <c r="S253" s="20" t="n">
        <v>-170.196</v>
      </c>
      <c r="T253" s="20" t="n">
        <v>-180.604</v>
      </c>
      <c r="U253" s="20" t="n">
        <v>-111.068</v>
      </c>
      <c r="V253" s="20" t="n">
        <v>-166.239</v>
      </c>
      <c r="W253" s="20" t="n">
        <v>-271.175</v>
      </c>
      <c r="X253" s="20" t="n">
        <v>-274.564</v>
      </c>
    </row>
    <row r="254">
      <c r="A254" s="18" t="inlineStr">
        <is>
          <t>대여금 회수</t>
        </is>
      </c>
      <c r="R254" s="20" t="n">
        <v>6</v>
      </c>
      <c r="S254" s="20" t="n">
        <v>3.4</v>
      </c>
    </row>
    <row r="255">
      <c r="A255" s="18" t="inlineStr">
        <is>
          <t>기타 지출</t>
        </is>
      </c>
      <c r="R255" s="20" t="n">
        <v>-1.964</v>
      </c>
      <c r="S255" s="20" t="n">
        <v>-1.921</v>
      </c>
    </row>
    <row r="256">
      <c r="A256" s="18" t="inlineStr">
        <is>
          <t>고정자산 매각</t>
        </is>
      </c>
      <c r="F256" s="20" t="n">
        <v>0</v>
      </c>
      <c r="J256" s="20" t="n">
        <v>3</v>
      </c>
      <c r="N256" s="20" t="n">
        <v>0</v>
      </c>
      <c r="V256" s="20" t="n">
        <v>0</v>
      </c>
      <c r="W256" s="20" t="n">
        <v>3</v>
      </c>
      <c r="X256" s="20" t="n">
        <v>0</v>
      </c>
    </row>
    <row r="257">
      <c r="A257" s="18" t="inlineStr">
        <is>
          <t>임차보증금·보증금 납입</t>
        </is>
      </c>
      <c r="D257" s="20" t="n">
        <v>0</v>
      </c>
      <c r="F257" s="20" t="n">
        <v>-0.67</v>
      </c>
      <c r="H257" s="20" t="n">
        <v>-18.11</v>
      </c>
      <c r="J257" s="20" t="n">
        <v>-24.607</v>
      </c>
      <c r="L257" s="20" t="n">
        <v>-0.851</v>
      </c>
      <c r="N257" s="20" t="n">
        <v>-145.784</v>
      </c>
      <c r="T257" s="20" t="n">
        <v>-2.822</v>
      </c>
      <c r="U257" s="20" t="n">
        <v>-11.144</v>
      </c>
      <c r="V257" s="20" t="n">
        <v>-0.67</v>
      </c>
      <c r="W257" s="20" t="n">
        <v>-24.607</v>
      </c>
      <c r="X257" s="20" t="n">
        <v>-145.784</v>
      </c>
    </row>
    <row r="258">
      <c r="A258" s="18" t="inlineStr">
        <is>
          <t>임차보증금·보증금 회수</t>
        </is>
      </c>
      <c r="D258" s="20" t="n">
        <v>0</v>
      </c>
      <c r="F258" s="20" t="n">
        <v>0</v>
      </c>
      <c r="H258" s="20" t="n">
        <v>0</v>
      </c>
      <c r="J258" s="20" t="n">
        <v>3.727</v>
      </c>
      <c r="L258" s="20" t="n">
        <v>0.785</v>
      </c>
      <c r="N258" s="20" t="n">
        <v>0.889</v>
      </c>
      <c r="T258" s="20" t="n">
        <v>0</v>
      </c>
      <c r="U258" s="20" t="n">
        <v>47.65</v>
      </c>
      <c r="V258" s="20" t="n">
        <v>0</v>
      </c>
      <c r="W258" s="20" t="n">
        <v>3.727</v>
      </c>
      <c r="X258" s="20" t="n">
        <v>0.889</v>
      </c>
    </row>
    <row r="259">
      <c r="A259" s="18" t="inlineStr">
        <is>
          <t>관계회사 주식 매각</t>
        </is>
      </c>
      <c r="F259" s="20" t="n">
        <v>0</v>
      </c>
      <c r="T259" s="20" t="n">
        <v>0</v>
      </c>
      <c r="U259" s="20" t="n">
        <v>4.9</v>
      </c>
      <c r="V259" s="20" t="n">
        <v>0</v>
      </c>
    </row>
    <row r="260">
      <c r="A260" s="18" t="inlineStr">
        <is>
          <t>기타</t>
        </is>
      </c>
      <c r="D260" s="20" t="n">
        <v>-3.041</v>
      </c>
      <c r="F260" s="20" t="n">
        <v>-3.032</v>
      </c>
      <c r="H260" s="20" t="n">
        <v>11.82</v>
      </c>
      <c r="J260" s="20" t="n">
        <v>11.754</v>
      </c>
      <c r="L260" s="20" t="n">
        <v>0</v>
      </c>
      <c r="T260" s="20" t="n">
        <v>-1.925</v>
      </c>
      <c r="U260" s="20" t="n">
        <v>1.883</v>
      </c>
      <c r="V260" s="20" t="n">
        <v>-3.032</v>
      </c>
      <c r="W260" s="20" t="n">
        <v>11.754</v>
      </c>
    </row>
    <row r="261">
      <c r="A261" s="18" t="inlineStr">
        <is>
          <t>기타 수입</t>
        </is>
      </c>
      <c r="J261" s="20" t="n">
        <v>11.754</v>
      </c>
      <c r="N261" s="20" t="n">
        <v>0</v>
      </c>
      <c r="R261" s="20" t="n">
        <v>0</v>
      </c>
      <c r="S261" s="20" t="n">
        <v>0.229</v>
      </c>
      <c r="W261" s="20" t="n">
        <v>11.754</v>
      </c>
      <c r="X261" s="20" t="n">
        <v>0</v>
      </c>
    </row>
    <row r="262">
      <c r="A262" s="9" t="inlineStr">
        <is>
          <t>투자활동 현금흐름</t>
        </is>
      </c>
      <c r="D262" s="12" t="n">
        <v>-89.664</v>
      </c>
      <c r="F262" s="12" t="n">
        <v>-19.766</v>
      </c>
      <c r="H262" s="12" t="n">
        <v>-128.437</v>
      </c>
      <c r="J262" s="12" t="n">
        <v>-272.802</v>
      </c>
      <c r="L262" s="12" t="n">
        <v>-116.51</v>
      </c>
      <c r="N262" s="12" t="n">
        <v>-452.017</v>
      </c>
      <c r="R262" s="12" t="n">
        <v>-42.808</v>
      </c>
      <c r="S262" s="12" t="n">
        <v>-2510.686</v>
      </c>
      <c r="T262" s="12" t="n">
        <v>-194.094</v>
      </c>
      <c r="U262" s="12" t="n">
        <v>-87.636</v>
      </c>
      <c r="V262" s="12" t="n">
        <v>-19.766</v>
      </c>
      <c r="W262" s="12" t="n">
        <v>-272.802</v>
      </c>
      <c r="X262" s="12" t="n">
        <v>-452.017</v>
      </c>
    </row>
    <row r="263">
      <c r="A263" s="18" t="inlineStr">
        <is>
          <t>단기차입금 순증감</t>
        </is>
      </c>
      <c r="D263" s="20" t="n">
        <v>341.66</v>
      </c>
      <c r="F263" s="20" t="n">
        <v>316.64</v>
      </c>
      <c r="H263" s="20" t="n">
        <v>233.36</v>
      </c>
      <c r="J263" s="20" t="n">
        <v>358.36</v>
      </c>
      <c r="L263" s="20" t="n">
        <v>-75</v>
      </c>
      <c r="N263" s="20" t="n">
        <v>-125</v>
      </c>
      <c r="R263" s="20" t="n">
        <v>100</v>
      </c>
      <c r="S263" s="20" t="n">
        <v>0</v>
      </c>
      <c r="T263" s="20" t="n">
        <v>-50</v>
      </c>
      <c r="U263" s="20" t="n">
        <v>-50</v>
      </c>
      <c r="V263" s="20" t="n">
        <v>316.64</v>
      </c>
      <c r="W263" s="20" t="n">
        <v>358.36</v>
      </c>
      <c r="X263" s="20" t="n">
        <v>-125</v>
      </c>
    </row>
    <row r="264">
      <c r="A264" s="18" t="inlineStr">
        <is>
          <t>장기차입</t>
        </is>
      </c>
      <c r="F264" s="20" t="n">
        <v>100</v>
      </c>
      <c r="H264" s="20" t="n">
        <v>0</v>
      </c>
      <c r="J264" s="20" t="n">
        <v>0</v>
      </c>
      <c r="L264" s="20" t="n">
        <v>300</v>
      </c>
      <c r="N264" s="20" t="n">
        <v>450</v>
      </c>
      <c r="R264" s="20" t="n">
        <v>0</v>
      </c>
      <c r="S264" s="20" t="n">
        <v>1683</v>
      </c>
      <c r="T264" s="20" t="n">
        <v>0</v>
      </c>
      <c r="U264" s="20" t="n">
        <v>984.322</v>
      </c>
      <c r="V264" s="20" t="n">
        <v>100</v>
      </c>
      <c r="W264" s="20" t="n">
        <v>0</v>
      </c>
      <c r="X264" s="20" t="n">
        <v>450</v>
      </c>
    </row>
    <row r="265">
      <c r="A265" s="18" t="inlineStr">
        <is>
          <t>장기차입금 상환</t>
        </is>
      </c>
      <c r="D265" s="20" t="n">
        <v>-140.002</v>
      </c>
      <c r="F265" s="20" t="n">
        <v>-280.004</v>
      </c>
      <c r="H265" s="20" t="n">
        <v>-200.533</v>
      </c>
      <c r="J265" s="20" t="n">
        <v>-386.898</v>
      </c>
      <c r="L265" s="20" t="n">
        <v>-198.032</v>
      </c>
      <c r="N265" s="20" t="n">
        <v>-387.053</v>
      </c>
      <c r="R265" s="20" t="n">
        <v>-25.747</v>
      </c>
      <c r="S265" s="20" t="n">
        <v>0</v>
      </c>
      <c r="T265" s="20" t="n">
        <v>-200</v>
      </c>
      <c r="U265" s="20" t="n">
        <v>-1593.338</v>
      </c>
      <c r="V265" s="20" t="n">
        <v>-280.004</v>
      </c>
      <c r="W265" s="20" t="n">
        <v>-386.898</v>
      </c>
      <c r="X265" s="20" t="n">
        <v>-387.053</v>
      </c>
    </row>
    <row r="266">
      <c r="A266" s="18" t="inlineStr">
        <is>
          <t>사채 발행</t>
        </is>
      </c>
      <c r="T266" s="20" t="n">
        <v>100</v>
      </c>
      <c r="U266" s="20" t="n">
        <v>0</v>
      </c>
    </row>
    <row r="267">
      <c r="A267" s="18" t="inlineStr">
        <is>
          <t>사채 상환</t>
        </is>
      </c>
      <c r="D267" s="20" t="n">
        <v>-16</v>
      </c>
      <c r="F267" s="20" t="n">
        <v>-45</v>
      </c>
      <c r="H267" s="20" t="n">
        <v>-16</v>
      </c>
      <c r="J267" s="20" t="n">
        <v>-36</v>
      </c>
      <c r="L267" s="20" t="n">
        <v>0</v>
      </c>
      <c r="N267" s="20" t="n">
        <v>0</v>
      </c>
      <c r="T267" s="20" t="n">
        <v>0</v>
      </c>
      <c r="U267" s="20" t="n">
        <v>-32</v>
      </c>
      <c r="V267" s="20" t="n">
        <v>-45</v>
      </c>
      <c r="W267" s="20" t="n">
        <v>-36</v>
      </c>
      <c r="X267" s="20" t="n">
        <v>0</v>
      </c>
    </row>
    <row r="268">
      <c r="A268" s="18" t="inlineStr">
        <is>
          <t>리스부채 상환</t>
        </is>
      </c>
      <c r="D268" s="20" t="n">
        <v>-2.336</v>
      </c>
      <c r="F268" s="20" t="n">
        <v>-7.168</v>
      </c>
      <c r="H268" s="20" t="n">
        <v>-2.688</v>
      </c>
      <c r="J268" s="20" t="n">
        <v>-4.699</v>
      </c>
      <c r="L268" s="20" t="n">
        <v>-0.522</v>
      </c>
      <c r="N268" s="20" t="n">
        <v>-0.522</v>
      </c>
      <c r="T268" s="20" t="n">
        <v>-0.384</v>
      </c>
      <c r="U268" s="20" t="n">
        <v>-4.15</v>
      </c>
      <c r="V268" s="20" t="n">
        <v>-7.168</v>
      </c>
      <c r="W268" s="20" t="n">
        <v>-4.699</v>
      </c>
      <c r="X268" s="20" t="n">
        <v>-0.522</v>
      </c>
    </row>
    <row r="269">
      <c r="A269" s="18" t="inlineStr">
        <is>
          <t>주식 발행</t>
        </is>
      </c>
      <c r="F269" s="20" t="n">
        <v>0</v>
      </c>
      <c r="R269" s="20" t="n">
        <v>0</v>
      </c>
      <c r="S269" s="20" t="n">
        <v>660.329</v>
      </c>
      <c r="T269" s="20" t="n">
        <v>0</v>
      </c>
      <c r="U269" s="20" t="n">
        <v>299.993</v>
      </c>
      <c r="V269" s="20" t="n">
        <v>0</v>
      </c>
    </row>
    <row r="270">
      <c r="A270" s="18" t="inlineStr">
        <is>
          <t>상장 관련 비용 지출</t>
        </is>
      </c>
      <c r="R270" s="20" t="n">
        <v>0</v>
      </c>
      <c r="S270" s="20" t="n">
        <v>-18.842</v>
      </c>
    </row>
    <row r="271">
      <c r="A271" s="18" t="inlineStr">
        <is>
          <t>기타</t>
        </is>
      </c>
      <c r="R271" s="20" t="n">
        <v>0</v>
      </c>
      <c r="S271" s="20" t="n">
        <v>-0.049</v>
      </c>
    </row>
    <row r="272">
      <c r="A272" s="18" t="inlineStr">
        <is>
          <t>신주예약권 발행</t>
        </is>
      </c>
      <c r="F272" s="20" t="n">
        <v>0</v>
      </c>
      <c r="T272" s="20" t="n">
        <v>0</v>
      </c>
      <c r="U272" s="20" t="n">
        <v>1.237</v>
      </c>
      <c r="V272" s="20" t="n">
        <v>0</v>
      </c>
    </row>
    <row r="273">
      <c r="A273" s="18" t="inlineStr">
        <is>
          <t>자기주식 매각</t>
        </is>
      </c>
      <c r="F273" s="20" t="n">
        <v>0</v>
      </c>
      <c r="J273" s="20" t="n">
        <v>19.647</v>
      </c>
      <c r="N273" s="20" t="n">
        <v>0</v>
      </c>
      <c r="V273" s="20" t="n">
        <v>0</v>
      </c>
      <c r="W273" s="20" t="n">
        <v>19.647</v>
      </c>
      <c r="X273" s="20" t="n">
        <v>0</v>
      </c>
    </row>
    <row r="274">
      <c r="A274" s="18" t="inlineStr">
        <is>
          <t>자기주식 취득</t>
        </is>
      </c>
      <c r="D274" s="20" t="n">
        <v>-0.08500000000000001</v>
      </c>
      <c r="F274" s="20" t="n">
        <v>-0.23</v>
      </c>
      <c r="H274" s="20" t="n">
        <v>-0.01</v>
      </c>
      <c r="J274" s="20" t="n">
        <v>-0.027</v>
      </c>
      <c r="L274" s="20" t="n">
        <v>0</v>
      </c>
      <c r="N274" s="20" t="n">
        <v>-292.682</v>
      </c>
      <c r="T274" s="20" t="n">
        <v>-0.008</v>
      </c>
      <c r="U274" s="20" t="n">
        <v>-0.131</v>
      </c>
      <c r="V274" s="20" t="n">
        <v>-0.23</v>
      </c>
      <c r="W274" s="20" t="n">
        <v>-0.027</v>
      </c>
      <c r="X274" s="20" t="n">
        <v>-292.682</v>
      </c>
    </row>
    <row r="275">
      <c r="A275" s="18" t="inlineStr">
        <is>
          <t>신주예약권 행사에 따른 주식 발행</t>
        </is>
      </c>
      <c r="D275" s="20" t="n">
        <v>34.434</v>
      </c>
      <c r="F275" s="20" t="n">
        <v>36.833</v>
      </c>
      <c r="H275" s="20" t="n">
        <v>56.123</v>
      </c>
      <c r="J275" s="20" t="n">
        <v>60.607</v>
      </c>
      <c r="L275" s="20" t="n">
        <v>21.134</v>
      </c>
      <c r="N275" s="20" t="n">
        <v>42.574</v>
      </c>
      <c r="T275" s="20" t="n">
        <v>53.672</v>
      </c>
      <c r="U275" s="20" t="n">
        <v>313.338</v>
      </c>
      <c r="V275" s="20" t="n">
        <v>36.833</v>
      </c>
      <c r="W275" s="20" t="n">
        <v>60.607</v>
      </c>
      <c r="X275" s="20" t="n">
        <v>42.574</v>
      </c>
    </row>
    <row r="276">
      <c r="A276" s="9" t="inlineStr">
        <is>
          <t>재무활동 현금흐름</t>
        </is>
      </c>
      <c r="D276" s="12" t="n">
        <v>217.669</v>
      </c>
      <c r="F276" s="12" t="n">
        <v>121.069</v>
      </c>
      <c r="H276" s="12" t="n">
        <v>70.25</v>
      </c>
      <c r="J276" s="12" t="n">
        <v>10.988</v>
      </c>
      <c r="L276" s="12" t="n">
        <v>47.578</v>
      </c>
      <c r="N276" s="12" t="n">
        <v>-312.684</v>
      </c>
      <c r="R276" s="12" t="n">
        <v>74.253</v>
      </c>
      <c r="S276" s="12" t="n">
        <v>2324.436</v>
      </c>
      <c r="T276" s="12" t="n">
        <v>-96.721</v>
      </c>
      <c r="U276" s="12" t="n">
        <v>-80.727</v>
      </c>
      <c r="V276" s="12" t="n">
        <v>121.069</v>
      </c>
      <c r="W276" s="12" t="n">
        <v>10.988</v>
      </c>
      <c r="X276" s="12" t="n">
        <v>-312.684</v>
      </c>
    </row>
    <row r="277">
      <c r="A277" s="18" t="inlineStr">
        <is>
          <t>현금성자산 환산차이</t>
        </is>
      </c>
      <c r="D277" s="20" t="n">
        <v>2.535</v>
      </c>
      <c r="F277" s="20" t="n">
        <v>-1.493</v>
      </c>
      <c r="H277" s="20" t="n">
        <v>-0.354</v>
      </c>
      <c r="J277" s="20" t="n">
        <v>-1.453</v>
      </c>
      <c r="L277" s="20" t="n">
        <v>2.421</v>
      </c>
      <c r="N277" s="20" t="n">
        <v>-2.463</v>
      </c>
      <c r="T277" s="20" t="n">
        <v>0</v>
      </c>
      <c r="U277" s="20" t="n">
        <v>3.114</v>
      </c>
      <c r="V277" s="20" t="n">
        <v>-1.493</v>
      </c>
      <c r="W277" s="20" t="n">
        <v>-1.453</v>
      </c>
      <c r="X277" s="20" t="n">
        <v>-2.463</v>
      </c>
    </row>
    <row r="278">
      <c r="A278" s="18" t="inlineStr">
        <is>
          <t>현금성자산 증감</t>
        </is>
      </c>
      <c r="D278" s="20" t="n">
        <v>428.057</v>
      </c>
      <c r="F278" s="20" t="n">
        <v>1263.817</v>
      </c>
      <c r="H278" s="20" t="n">
        <v>25.247</v>
      </c>
      <c r="J278" s="20" t="n">
        <v>1145.374</v>
      </c>
      <c r="L278" s="20" t="n">
        <v>-590.525</v>
      </c>
      <c r="N278" s="20" t="n">
        <v>-539.293</v>
      </c>
      <c r="R278" s="20" t="n">
        <v>448.214</v>
      </c>
      <c r="S278" s="20" t="n">
        <v>-139.654</v>
      </c>
      <c r="T278" s="20" t="n">
        <v>-509.037</v>
      </c>
      <c r="U278" s="20" t="n">
        <v>396.613</v>
      </c>
      <c r="V278" s="20" t="n">
        <v>1263.817</v>
      </c>
      <c r="W278" s="20" t="n">
        <v>1145.374</v>
      </c>
      <c r="X278" s="20" t="n">
        <v>-539.293</v>
      </c>
    </row>
    <row r="279">
      <c r="A279" s="18" t="inlineStr">
        <is>
          <t>주식교환 현금성자산 증가</t>
        </is>
      </c>
      <c r="F279" s="20" t="n">
        <v>473.505</v>
      </c>
      <c r="J279" s="20" t="n">
        <v>0</v>
      </c>
      <c r="T279" s="20" t="n">
        <v>1042.677</v>
      </c>
      <c r="U279" s="20" t="n">
        <v>0</v>
      </c>
      <c r="V279" s="20" t="n">
        <v>473.505</v>
      </c>
      <c r="W279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페이클라우드홀딩스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6143.599</v>
      </c>
      <c r="D5" s="12" t="n">
        <v>6315.783</v>
      </c>
      <c r="E5" s="12" t="n">
        <v>5771.956</v>
      </c>
      <c r="F5" s="12" t="n">
        <v>6725.731</v>
      </c>
      <c r="G5" s="12" t="n">
        <v>6082.319</v>
      </c>
      <c r="H5" s="11" t="n">
        <v>1776.604</v>
      </c>
      <c r="I5" s="12" t="n">
        <v>2349.653</v>
      </c>
      <c r="J5" s="12" t="n">
        <v>4834.062</v>
      </c>
      <c r="K5" s="12" t="n">
        <v>6143.599</v>
      </c>
      <c r="L5" s="12" t="n">
        <v>6082.319</v>
      </c>
    </row>
    <row r="6">
      <c r="A6" s="18" t="inlineStr">
        <is>
          <t>현금및현금성자산</t>
        </is>
      </c>
      <c r="B6" s="10" t="n"/>
      <c r="C6" s="19" t="n">
        <v>4373.643</v>
      </c>
      <c r="D6" s="20" t="n">
        <v>4554.536</v>
      </c>
      <c r="E6" s="20" t="n">
        <v>3783.118</v>
      </c>
      <c r="F6" s="20" t="n">
        <v>4506.425</v>
      </c>
      <c r="G6" s="20" t="n">
        <v>3834.35</v>
      </c>
      <c r="H6" s="19" t="n">
        <v>1094.332</v>
      </c>
      <c r="I6" s="20" t="n">
        <v>1490.946</v>
      </c>
      <c r="J6" s="20" t="n">
        <v>3228.269</v>
      </c>
      <c r="K6" s="20" t="n">
        <v>4373.643</v>
      </c>
      <c r="L6" s="20" t="n">
        <v>3834.35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1127.384</v>
      </c>
      <c r="D8" s="20" t="n">
        <v>1059.399</v>
      </c>
      <c r="E8" s="20" t="n">
        <v>1142.596</v>
      </c>
      <c r="F8" s="20" t="n">
        <v>1258.138</v>
      </c>
      <c r="G8" s="20" t="n">
        <v>1512.081</v>
      </c>
      <c r="H8" s="19" t="n">
        <v>441.33</v>
      </c>
      <c r="I8" s="20" t="n">
        <v>698.683</v>
      </c>
      <c r="J8" s="20" t="n">
        <v>1090.445</v>
      </c>
      <c r="K8" s="20" t="n">
        <v>1127.384</v>
      </c>
      <c r="L8" s="20" t="n">
        <v>1512.081</v>
      </c>
    </row>
    <row r="9">
      <c r="A9" s="18" t="inlineStr">
        <is>
          <t>재고자산</t>
        </is>
      </c>
      <c r="B9" s="10" t="n"/>
      <c r="C9" s="19" t="n">
        <v>426.358</v>
      </c>
      <c r="D9" s="20" t="n">
        <v>466.568</v>
      </c>
      <c r="E9" s="20" t="n">
        <v>585.574</v>
      </c>
      <c r="F9" s="20" t="n">
        <v>538.1079999999999</v>
      </c>
      <c r="G9" s="20" t="n">
        <v>542.554</v>
      </c>
      <c r="H9" s="19" t="n">
        <v>150.01</v>
      </c>
      <c r="I9" s="20" t="n">
        <v>88.41200000000001</v>
      </c>
      <c r="J9" s="20" t="n">
        <v>375.379</v>
      </c>
      <c r="K9" s="20" t="n">
        <v>426.358</v>
      </c>
      <c r="L9" s="20" t="n">
        <v>542.554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3266.089</v>
      </c>
      <c r="D11" s="12" t="n">
        <v>3188.397</v>
      </c>
      <c r="E11" s="12" t="n">
        <v>3126.198</v>
      </c>
      <c r="F11" s="12" t="n">
        <v>3308.291</v>
      </c>
      <c r="G11" s="12" t="n">
        <v>3243.87</v>
      </c>
      <c r="H11" s="11" t="n">
        <v>2264.411</v>
      </c>
      <c r="I11" s="12" t="n">
        <v>2052.004</v>
      </c>
      <c r="J11" s="12" t="n">
        <v>3428.739</v>
      </c>
      <c r="K11" s="12" t="n">
        <v>3266.089</v>
      </c>
      <c r="L11" s="12" t="n">
        <v>3243.87</v>
      </c>
    </row>
    <row r="12">
      <c r="A12" s="18" t="inlineStr">
        <is>
          <t>유형자산</t>
        </is>
      </c>
      <c r="B12" s="10" t="n"/>
      <c r="C12" s="19" t="n">
        <v>58.754</v>
      </c>
      <c r="D12" s="20" t="n">
        <v>53.477</v>
      </c>
      <c r="E12" s="20" t="n">
        <v>61.182</v>
      </c>
      <c r="F12" s="20" t="n">
        <v>71.151</v>
      </c>
      <c r="G12" s="20" t="n">
        <v>64.767</v>
      </c>
      <c r="H12" s="19" t="n">
        <v>91.926</v>
      </c>
      <c r="I12" s="20" t="n">
        <v>67.56399999999999</v>
      </c>
      <c r="J12" s="20" t="n">
        <v>62.21</v>
      </c>
      <c r="K12" s="20" t="n">
        <v>58.754</v>
      </c>
      <c r="L12" s="20" t="n">
        <v>64.767</v>
      </c>
    </row>
    <row r="13">
      <c r="A13" s="18" t="inlineStr">
        <is>
          <t>무형자산</t>
        </is>
      </c>
      <c r="B13" s="10" t="n"/>
      <c r="C13" s="19" t="n">
        <v>2956.4</v>
      </c>
      <c r="D13" s="20" t="n">
        <v>2912.266</v>
      </c>
      <c r="E13" s="20" t="n">
        <v>2827.746</v>
      </c>
      <c r="F13" s="20" t="n">
        <v>2814.316</v>
      </c>
      <c r="G13" s="20" t="n">
        <v>2749.819</v>
      </c>
      <c r="H13" s="19" t="n">
        <v>2062.384</v>
      </c>
      <c r="I13" s="20" t="n">
        <v>1897.067</v>
      </c>
      <c r="J13" s="20" t="n">
        <v>3159.419</v>
      </c>
      <c r="K13" s="20" t="n">
        <v>2956.4</v>
      </c>
      <c r="L13" s="20" t="n">
        <v>2749.819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9409.689</v>
      </c>
      <c r="D16" s="12" t="n">
        <v>9504.181</v>
      </c>
      <c r="E16" s="12" t="n">
        <v>8898.155000000001</v>
      </c>
      <c r="F16" s="12" t="n">
        <v>10034.023</v>
      </c>
      <c r="G16" s="12" t="n">
        <v>9326.190000000001</v>
      </c>
      <c r="H16" s="11" t="n">
        <v>4041.016</v>
      </c>
      <c r="I16" s="12" t="n">
        <v>4401.658</v>
      </c>
      <c r="J16" s="12" t="n">
        <v>8262.802</v>
      </c>
      <c r="K16" s="12" t="n">
        <v>9409.689</v>
      </c>
      <c r="L16" s="12" t="n">
        <v>9326.190000000001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3873.686</v>
      </c>
      <c r="D18" s="12" t="n">
        <v>3703.623</v>
      </c>
      <c r="E18" s="12" t="n">
        <v>3142.973</v>
      </c>
      <c r="F18" s="12" t="n">
        <v>4258.853</v>
      </c>
      <c r="G18" s="12" t="n">
        <v>3680.405</v>
      </c>
      <c r="H18" s="11" t="n">
        <v>2161.668</v>
      </c>
      <c r="I18" s="12" t="n">
        <v>1134.607</v>
      </c>
      <c r="J18" s="12" t="n">
        <v>2803.426</v>
      </c>
      <c r="K18" s="12" t="n">
        <v>3873.686</v>
      </c>
      <c r="L18" s="12" t="n">
        <v>3680.405</v>
      </c>
    </row>
    <row r="19">
      <c r="A19" s="18" t="inlineStr">
        <is>
          <t>매입채무</t>
        </is>
      </c>
      <c r="B19" s="10" t="n"/>
      <c r="C19" s="19" t="n">
        <v>630.563</v>
      </c>
      <c r="D19" s="20" t="n">
        <v>502.865</v>
      </c>
      <c r="E19" s="20" t="n">
        <v>671.141</v>
      </c>
      <c r="F19" s="20" t="n">
        <v>647.788</v>
      </c>
      <c r="G19" s="20" t="n">
        <v>867.4880000000001</v>
      </c>
      <c r="H19" s="19" t="n">
        <v>134.004</v>
      </c>
      <c r="I19" s="20" t="n">
        <v>349.136</v>
      </c>
      <c r="J19" s="20" t="n">
        <v>378.438</v>
      </c>
      <c r="K19" s="20" t="n">
        <v>630.563</v>
      </c>
      <c r="L19" s="20" t="n">
        <v>867.4880000000001</v>
      </c>
    </row>
    <row r="20">
      <c r="A20" s="18" t="inlineStr">
        <is>
          <t>단기차입금</t>
        </is>
      </c>
      <c r="B20" s="10" t="n"/>
      <c r="C20" s="19" t="n">
        <v>675</v>
      </c>
      <c r="D20" s="20" t="n">
        <v>637.5</v>
      </c>
      <c r="E20" s="20" t="n">
        <v>600</v>
      </c>
      <c r="F20" s="20" t="n">
        <v>562.5</v>
      </c>
      <c r="G20" s="20" t="n">
        <v>550</v>
      </c>
      <c r="H20" s="19" t="n">
        <v>50</v>
      </c>
      <c r="I20" s="20" t="n">
        <v>0</v>
      </c>
      <c r="J20" s="20" t="n">
        <v>316.64</v>
      </c>
      <c r="K20" s="20" t="n">
        <v>675</v>
      </c>
      <c r="L20" s="20" t="n">
        <v>550</v>
      </c>
    </row>
    <row r="21">
      <c r="A21" s="18" t="inlineStr">
        <is>
          <t>유동성장기부채</t>
        </is>
      </c>
      <c r="B21" s="10" t="n"/>
      <c r="C21" s="19" t="n">
        <v>331.09</v>
      </c>
      <c r="D21" s="20" t="n">
        <v>372.907</v>
      </c>
      <c r="E21" s="20" t="n">
        <v>357.907</v>
      </c>
      <c r="F21" s="20" t="n">
        <v>357.907</v>
      </c>
      <c r="G21" s="20" t="n">
        <v>408.315</v>
      </c>
      <c r="H21" s="19" t="n">
        <v>1612.004</v>
      </c>
      <c r="I21" s="20" t="n">
        <v>312.004</v>
      </c>
      <c r="J21" s="20" t="n">
        <v>423.731</v>
      </c>
      <c r="K21" s="20" t="n">
        <v>331.09</v>
      </c>
      <c r="L21" s="20" t="n">
        <v>408.315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1005.702</v>
      </c>
      <c r="D23" s="12" t="n">
        <v>1202.653</v>
      </c>
      <c r="E23" s="12" t="n">
        <v>1043.75</v>
      </c>
      <c r="F23" s="12" t="n">
        <v>981.914</v>
      </c>
      <c r="G23" s="12" t="n">
        <v>909.607</v>
      </c>
      <c r="H23" s="11" t="n">
        <v>447.967</v>
      </c>
      <c r="I23" s="12" t="n">
        <v>1103.885</v>
      </c>
      <c r="J23" s="12" t="n">
        <v>1243.915</v>
      </c>
      <c r="K23" s="12" t="n">
        <v>1005.702</v>
      </c>
      <c r="L23" s="12" t="n">
        <v>909.607</v>
      </c>
    </row>
    <row r="24">
      <c r="A24" s="18" t="inlineStr">
        <is>
          <t>장기차입금</t>
        </is>
      </c>
      <c r="B24" s="10" t="n"/>
      <c r="C24" s="19" t="n">
        <v>765.878</v>
      </c>
      <c r="D24" s="20" t="n">
        <v>980.505</v>
      </c>
      <c r="E24" s="20" t="n">
        <v>841.028</v>
      </c>
      <c r="F24" s="20" t="n">
        <v>801.551</v>
      </c>
      <c r="G24" s="20" t="n">
        <v>751.599</v>
      </c>
      <c r="H24" s="19" t="n">
        <v>191.653</v>
      </c>
      <c r="I24" s="20" t="n">
        <v>898.3150000000001</v>
      </c>
      <c r="J24" s="20" t="n">
        <v>1096.135</v>
      </c>
      <c r="K24" s="20" t="n">
        <v>765.878</v>
      </c>
      <c r="L24" s="20" t="n">
        <v>751.599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68</v>
      </c>
      <c r="I25" s="20" t="n">
        <v>36</v>
      </c>
      <c r="J25" s="20" t="n">
        <v>0</v>
      </c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4879.389</v>
      </c>
      <c r="D27" s="12" t="n">
        <v>4906.277</v>
      </c>
      <c r="E27" s="12" t="n">
        <v>4186.723</v>
      </c>
      <c r="F27" s="12" t="n">
        <v>5240.768</v>
      </c>
      <c r="G27" s="12" t="n">
        <v>4590.013</v>
      </c>
      <c r="H27" s="11" t="n">
        <v>2609.636</v>
      </c>
      <c r="I27" s="12" t="n">
        <v>2238.492</v>
      </c>
      <c r="J27" s="12" t="n">
        <v>4047.342</v>
      </c>
      <c r="K27" s="12" t="n">
        <v>4879.389</v>
      </c>
      <c r="L27" s="12" t="n">
        <v>4590.013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4374.063</v>
      </c>
      <c r="D31" s="12" t="n">
        <v>4424.563</v>
      </c>
      <c r="E31" s="12" t="n">
        <v>4527.773</v>
      </c>
      <c r="F31" s="12" t="n">
        <v>4608.275</v>
      </c>
      <c r="G31" s="12" t="n">
        <v>4548.164</v>
      </c>
      <c r="H31" s="11" t="n">
        <v>1405.9</v>
      </c>
      <c r="I31" s="12" t="n">
        <v>2133.585</v>
      </c>
      <c r="J31" s="12" t="n">
        <v>4147.996</v>
      </c>
      <c r="K31" s="12" t="n">
        <v>4374.063</v>
      </c>
      <c r="L31" s="12" t="n">
        <v>4548.164</v>
      </c>
    </row>
    <row r="32">
      <c r="A32" s="18" t="inlineStr">
        <is>
          <t>자본금</t>
        </is>
      </c>
      <c r="B32" s="10" t="n"/>
      <c r="C32" s="19" t="n">
        <v>1054.369</v>
      </c>
      <c r="D32" s="20" t="n">
        <v>1054.369</v>
      </c>
      <c r="E32" s="20" t="n">
        <v>1065.446</v>
      </c>
      <c r="F32" s="20" t="n">
        <v>1080.134</v>
      </c>
      <c r="G32" s="20" t="n">
        <v>1081.212</v>
      </c>
      <c r="H32" s="19" t="n">
        <v>694.6950000000001</v>
      </c>
      <c r="I32" s="20" t="n">
        <v>1001.772</v>
      </c>
      <c r="J32" s="20" t="n">
        <v>1021.779</v>
      </c>
      <c r="K32" s="20" t="n">
        <v>1054.369</v>
      </c>
      <c r="L32" s="20" t="n">
        <v>1081.212</v>
      </c>
    </row>
    <row r="33">
      <c r="A33" s="18" t="inlineStr">
        <is>
          <t>이익잉여금</t>
        </is>
      </c>
      <c r="B33" s="10" t="n"/>
      <c r="C33" s="19" t="n">
        <v>303.153</v>
      </c>
      <c r="D33" s="20" t="n">
        <v>357.938</v>
      </c>
      <c r="E33" s="20" t="n">
        <v>440.956</v>
      </c>
      <c r="F33" s="20" t="n">
        <v>627.58</v>
      </c>
      <c r="G33" s="20" t="n">
        <v>722.052</v>
      </c>
      <c r="H33" s="19" t="n">
        <v>-1847.578</v>
      </c>
      <c r="I33" s="20" t="n">
        <v>-1733.452</v>
      </c>
      <c r="J33" s="20" t="n">
        <v>-1659.302</v>
      </c>
      <c r="K33" s="20" t="n">
        <v>303.153</v>
      </c>
      <c r="L33" s="20" t="n">
        <v>722.052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4530.3</v>
      </c>
      <c r="D35" s="12" t="n">
        <v>4597.904</v>
      </c>
      <c r="E35" s="12" t="n">
        <v>4711.431</v>
      </c>
      <c r="F35" s="12" t="n">
        <v>4793.254</v>
      </c>
      <c r="G35" s="12" t="n">
        <v>4736.177</v>
      </c>
      <c r="H35" s="11" t="n">
        <v>1431.379</v>
      </c>
      <c r="I35" s="12" t="n">
        <v>2163.165</v>
      </c>
      <c r="J35" s="12" t="n">
        <v>4215.46</v>
      </c>
      <c r="K35" s="12" t="n">
        <v>4530.3</v>
      </c>
      <c r="L35" s="12" t="n">
        <v>4736.177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1408.641</v>
      </c>
      <c r="D37" s="12" t="n"/>
      <c r="E37" s="12" t="n">
        <v>800.8390000000001</v>
      </c>
      <c r="F37" s="12" t="n"/>
      <c r="G37" s="12" t="n">
        <v>227.871</v>
      </c>
      <c r="H37" s="11" t="n">
        <v>-218.221</v>
      </c>
      <c r="I37" s="12" t="n">
        <v>561.862</v>
      </c>
      <c r="J37" s="12" t="n">
        <v>1164.007</v>
      </c>
      <c r="K37" s="12" t="n">
        <v>1408.641</v>
      </c>
      <c r="L37" s="12" t="n">
        <v>227.871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293.357</v>
      </c>
      <c r="D38" s="20" t="n"/>
      <c r="E38" s="20" t="n">
        <v>287.654</v>
      </c>
      <c r="F38" s="20" t="n"/>
      <c r="G38" s="20" t="n">
        <v>307.122</v>
      </c>
      <c r="H38" s="19" t="n">
        <v>189.346</v>
      </c>
      <c r="I38" s="20" t="n">
        <v>130.925</v>
      </c>
      <c r="J38" s="20" t="n">
        <v>174.075</v>
      </c>
      <c r="K38" s="20" t="n">
        <v>293.357</v>
      </c>
      <c r="L38" s="20" t="n">
        <v>307.122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IFERROR(IF((IF(COUNT('연간'!G59:J59)&lt;4,"",SUM('연간'!G59:J59)))&lt;=0,"적자",C28/(IF(COUNT('연간'!G59:J59)&lt;4,"",SUM('연간'!G59:J59)))),"")</f>
        <v/>
      </c>
      <c r="D49" s="47">
        <f>IFERROR(IF((IF(COUNT('연간'!H59:K59)&lt;4,"",SUM('연간'!H59:K59)))&lt;=0,"적자",D28/(IF(COUNT('연간'!H59:K59)&lt;4,"",SUM('연간'!H59:K59)))),"")</f>
        <v/>
      </c>
      <c r="E49" s="47">
        <f>IFERROR(IF((IF(COUNT('연간'!I59:L59)&lt;4,"",SUM('연간'!I59:L59)))&lt;=0,"적자",E28/(IF(COUNT('연간'!I59:L59)&lt;4,"",SUM('연간'!I59:L59)))),"")</f>
        <v/>
      </c>
      <c r="F49" s="47">
        <f>IFERROR(IF((IF(COUNT('연간'!J59:M59)&lt;4,"",SUM('연간'!J59:M59)))&lt;=0,"적자",F28/(IF(COUNT('연간'!J59:M59)&lt;4,"",SUM('연간'!J59:M59)))),"")</f>
        <v/>
      </c>
      <c r="G49" s="47">
        <f>IFERROR(IF((IF(COUNT('연간'!K59:N59)&lt;4,"",SUM('연간'!K59:N59)))&lt;=0,"적자",G28/(IF(COUNT('연간'!K59:N59)&lt;4,"",SUM('연간'!K59:N59)))),"")</f>
        <v/>
      </c>
      <c r="H49" s="46">
        <f>IFERROR(IF(('연간'!T59)&lt;=0,"적자",H28/('연간'!T59)),"")</f>
        <v/>
      </c>
      <c r="I49" s="47">
        <f>IFERROR(IF(('연간'!U59)&lt;=0,"적자",I28/('연간'!U59)),"")</f>
        <v/>
      </c>
      <c r="J49" s="47">
        <f>IFERROR(IF(('연간'!V59)&lt;=0,"적자",J28/('연간'!V59)),"")</f>
        <v/>
      </c>
      <c r="K49" s="47">
        <f>IFERROR(IF(('연간'!W59)&lt;=0,"적자",K28/('연간'!W59)),"")</f>
        <v/>
      </c>
      <c r="L49" s="47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4373.643</v>
      </c>
      <c r="D71" s="20" t="n">
        <v>4554.536</v>
      </c>
      <c r="E71" s="20" t="n">
        <v>3783.118</v>
      </c>
      <c r="F71" s="20" t="n">
        <v>4506.425</v>
      </c>
      <c r="G71" s="20" t="n">
        <v>3834.35</v>
      </c>
      <c r="H71" s="20" t="n">
        <v>1094.332</v>
      </c>
      <c r="I71" s="20" t="n">
        <v>1490.946</v>
      </c>
      <c r="J71" s="20" t="n">
        <v>3228.269</v>
      </c>
      <c r="K71" s="20" t="n">
        <v>4373.643</v>
      </c>
      <c r="L71" s="20" t="n">
        <v>3834.35</v>
      </c>
    </row>
    <row r="72">
      <c r="A72" s="18" t="inlineStr">
        <is>
          <t>받을어음·매출채권·계약자산</t>
        </is>
      </c>
      <c r="C72" s="20" t="n">
        <v>1127.384</v>
      </c>
      <c r="D72" s="20" t="n">
        <v>1059.399</v>
      </c>
      <c r="E72" s="20" t="n">
        <v>1142.596</v>
      </c>
      <c r="F72" s="20" t="n">
        <v>1258.138</v>
      </c>
      <c r="G72" s="20" t="n">
        <v>1512.081</v>
      </c>
      <c r="H72" s="20" t="n">
        <v>441.33</v>
      </c>
      <c r="I72" s="20" t="n">
        <v>698.683</v>
      </c>
      <c r="J72" s="20" t="n">
        <v>1090.445</v>
      </c>
      <c r="K72" s="20" t="n">
        <v>1127.384</v>
      </c>
      <c r="L72" s="20" t="n">
        <v>1512.081</v>
      </c>
    </row>
    <row r="73">
      <c r="A73" s="18" t="inlineStr">
        <is>
          <t>재고자산</t>
        </is>
      </c>
      <c r="C73" s="20" t="n">
        <v>426.358</v>
      </c>
      <c r="D73" s="20" t="n">
        <v>466.568</v>
      </c>
      <c r="E73" s="20" t="n">
        <v>585.574</v>
      </c>
      <c r="F73" s="20" t="n">
        <v>538.1079999999999</v>
      </c>
      <c r="G73" s="20" t="n">
        <v>542.554</v>
      </c>
      <c r="H73" s="20" t="n">
        <v>150.01</v>
      </c>
      <c r="I73" s="20" t="n">
        <v>88.41200000000001</v>
      </c>
      <c r="J73" s="20" t="n">
        <v>375.379</v>
      </c>
      <c r="K73" s="20" t="n">
        <v>426.358</v>
      </c>
      <c r="L73" s="20" t="n">
        <v>542.554</v>
      </c>
    </row>
    <row r="74">
      <c r="A74" s="18" t="inlineStr">
        <is>
          <t>기타</t>
        </is>
      </c>
      <c r="C74" s="20" t="n">
        <v>217.033</v>
      </c>
      <c r="D74" s="20" t="n">
        <v>236.155</v>
      </c>
      <c r="E74" s="20" t="n">
        <v>261.735</v>
      </c>
      <c r="F74" s="20" t="n">
        <v>424.157</v>
      </c>
      <c r="G74" s="20" t="n">
        <v>194.896</v>
      </c>
      <c r="H74" s="20" t="n">
        <v>92.29600000000001</v>
      </c>
      <c r="I74" s="20" t="n">
        <v>72.07299999999999</v>
      </c>
      <c r="J74" s="20" t="n">
        <v>140.397</v>
      </c>
      <c r="K74" s="20" t="n">
        <v>217.033</v>
      </c>
      <c r="L74" s="20" t="n">
        <v>194.896</v>
      </c>
    </row>
    <row r="75">
      <c r="A75" s="18" t="inlineStr">
        <is>
          <t>대손충당금</t>
        </is>
      </c>
      <c r="C75" s="20" t="n">
        <v>-0.82</v>
      </c>
      <c r="D75" s="20" t="n">
        <v>-0.876</v>
      </c>
      <c r="E75" s="20" t="n">
        <v>-1.066</v>
      </c>
      <c r="F75" s="20" t="n">
        <v>-1.097</v>
      </c>
      <c r="G75" s="20" t="n">
        <v>-1.562</v>
      </c>
      <c r="H75" s="20" t="n">
        <v>-1.365</v>
      </c>
      <c r="I75" s="20" t="n">
        <v>-0.463</v>
      </c>
      <c r="J75" s="20" t="n">
        <v>-0.43</v>
      </c>
      <c r="K75" s="20" t="n">
        <v>-0.82</v>
      </c>
      <c r="L75" s="20" t="n">
        <v>-1.562</v>
      </c>
    </row>
    <row r="76">
      <c r="A76" s="9" t="inlineStr">
        <is>
          <t>유동자산 합계</t>
        </is>
      </c>
      <c r="C76" s="12" t="n">
        <v>6143.599</v>
      </c>
      <c r="D76" s="12" t="n">
        <v>6315.783</v>
      </c>
      <c r="E76" s="12" t="n">
        <v>5771.956</v>
      </c>
      <c r="F76" s="12" t="n">
        <v>6725.731</v>
      </c>
      <c r="G76" s="12" t="n">
        <v>6082.319</v>
      </c>
      <c r="H76" s="12" t="n">
        <v>1776.604</v>
      </c>
      <c r="I76" s="12" t="n">
        <v>2349.653</v>
      </c>
      <c r="J76" s="12" t="n">
        <v>4834.062</v>
      </c>
      <c r="K76" s="12" t="n">
        <v>6143.599</v>
      </c>
      <c r="L76" s="12" t="n">
        <v>6082.319</v>
      </c>
    </row>
    <row r="77">
      <c r="A77" s="18" t="inlineStr">
        <is>
          <t>건물</t>
        </is>
      </c>
      <c r="C77" s="20" t="n">
        <v>85.155</v>
      </c>
      <c r="G77" s="20" t="n">
        <v>85.155</v>
      </c>
      <c r="H77" s="20" t="n">
        <v>90.40300000000001</v>
      </c>
      <c r="I77" s="20" t="n">
        <v>53.242</v>
      </c>
      <c r="J77" s="20" t="n">
        <v>80.593</v>
      </c>
      <c r="K77" s="20" t="n">
        <v>85.155</v>
      </c>
      <c r="L77" s="20" t="n">
        <v>85.155</v>
      </c>
    </row>
    <row r="78">
      <c r="A78" s="18" t="inlineStr">
        <is>
          <t>감가상각누계액</t>
        </is>
      </c>
      <c r="C78" s="20" t="n">
        <v>-71.06399999999999</v>
      </c>
      <c r="G78" s="20" t="n">
        <v>-74.937</v>
      </c>
      <c r="H78" s="20" t="n">
        <v>-66.471</v>
      </c>
      <c r="I78" s="20" t="n">
        <v>-43.803</v>
      </c>
      <c r="J78" s="20" t="n">
        <v>-68.934</v>
      </c>
      <c r="K78" s="20" t="n">
        <v>-71.06399999999999</v>
      </c>
      <c r="L78" s="20" t="n">
        <v>-74.937</v>
      </c>
    </row>
    <row r="79">
      <c r="A79" s="18" t="inlineStr">
        <is>
          <t>건물(순액)</t>
        </is>
      </c>
      <c r="C79" s="20" t="n">
        <v>14.09</v>
      </c>
      <c r="D79" s="20" t="n">
        <v>13.49</v>
      </c>
      <c r="E79" s="20" t="n">
        <v>12.521</v>
      </c>
      <c r="F79" s="20" t="n">
        <v>11.369</v>
      </c>
      <c r="G79" s="20" t="n">
        <v>10.217</v>
      </c>
      <c r="H79" s="20" t="n">
        <v>23.932</v>
      </c>
      <c r="I79" s="20" t="n">
        <v>9.439</v>
      </c>
      <c r="J79" s="20" t="n">
        <v>11.659</v>
      </c>
      <c r="K79" s="20" t="n">
        <v>14.09</v>
      </c>
      <c r="L79" s="20" t="n">
        <v>10.217</v>
      </c>
    </row>
    <row r="80">
      <c r="A80" s="18" t="inlineStr">
        <is>
          <t>공구·기구·비품</t>
        </is>
      </c>
      <c r="C80" s="20" t="n">
        <v>332.07</v>
      </c>
      <c r="G80" s="20" t="n">
        <v>342.388</v>
      </c>
      <c r="H80" s="20" t="n">
        <v>275.901</v>
      </c>
      <c r="I80" s="20" t="n">
        <v>272.544</v>
      </c>
      <c r="J80" s="20" t="n">
        <v>323.105</v>
      </c>
      <c r="K80" s="20" t="n">
        <v>332.07</v>
      </c>
      <c r="L80" s="20" t="n">
        <v>342.388</v>
      </c>
    </row>
    <row r="81">
      <c r="A81" s="18" t="inlineStr">
        <is>
          <t>감가상각누계액</t>
        </is>
      </c>
      <c r="C81" s="20" t="n">
        <v>-292.754</v>
      </c>
      <c r="G81" s="20" t="n">
        <v>-298.907</v>
      </c>
      <c r="H81" s="20" t="n">
        <v>-211.751</v>
      </c>
      <c r="I81" s="20" t="n">
        <v>-223.324</v>
      </c>
      <c r="J81" s="20" t="n">
        <v>-280.049</v>
      </c>
      <c r="K81" s="20" t="n">
        <v>-292.754</v>
      </c>
      <c r="L81" s="20" t="n">
        <v>-298.907</v>
      </c>
    </row>
    <row r="82">
      <c r="A82" s="18" t="inlineStr">
        <is>
          <t>공구·기구·비품(순액)</t>
        </is>
      </c>
      <c r="C82" s="20" t="n">
        <v>39.316</v>
      </c>
      <c r="D82" s="20" t="n">
        <v>39.986</v>
      </c>
      <c r="E82" s="20" t="n">
        <v>48.661</v>
      </c>
      <c r="F82" s="20" t="n">
        <v>43.153</v>
      </c>
      <c r="G82" s="20" t="n">
        <v>43.481</v>
      </c>
      <c r="H82" s="20" t="n">
        <v>64.149</v>
      </c>
      <c r="I82" s="20" t="n">
        <v>49.219</v>
      </c>
      <c r="J82" s="20" t="n">
        <v>43.056</v>
      </c>
      <c r="K82" s="20" t="n">
        <v>39.316</v>
      </c>
      <c r="L82" s="20" t="n">
        <v>43.481</v>
      </c>
    </row>
    <row r="83">
      <c r="A83" s="18" t="inlineStr">
        <is>
          <t>리스자산</t>
        </is>
      </c>
      <c r="C83" s="20" t="n">
        <v>214.42</v>
      </c>
      <c r="G83" s="20" t="n">
        <v>133.803</v>
      </c>
      <c r="H83" s="20" t="n">
        <v>201.058</v>
      </c>
      <c r="I83" s="20" t="n">
        <v>162.326</v>
      </c>
      <c r="J83" s="20" t="n">
        <v>214.42</v>
      </c>
      <c r="K83" s="20" t="n">
        <v>214.42</v>
      </c>
      <c r="L83" s="20" t="n">
        <v>133.803</v>
      </c>
    </row>
    <row r="84">
      <c r="A84" s="18" t="inlineStr">
        <is>
          <t>감가상각누계액</t>
        </is>
      </c>
      <c r="C84" s="20" t="n">
        <v>-213.945</v>
      </c>
      <c r="G84" s="20" t="n">
        <v>-133.803</v>
      </c>
      <c r="H84" s="20" t="n">
        <v>-197.213</v>
      </c>
      <c r="I84" s="20" t="n">
        <v>-153.705</v>
      </c>
      <c r="J84" s="20" t="n">
        <v>-209.661</v>
      </c>
      <c r="K84" s="20" t="n">
        <v>-213.945</v>
      </c>
      <c r="L84" s="20" t="n">
        <v>-133.803</v>
      </c>
    </row>
    <row r="85">
      <c r="A85" s="18" t="inlineStr">
        <is>
          <t>리스자산(순액)</t>
        </is>
      </c>
      <c r="C85" s="20" t="n">
        <v>0.475</v>
      </c>
      <c r="D85" s="20" t="n">
        <v>0</v>
      </c>
      <c r="E85" s="20" t="n">
        <v>0</v>
      </c>
      <c r="F85" s="20" t="n">
        <v>0</v>
      </c>
      <c r="G85" s="20" t="n">
        <v>0</v>
      </c>
      <c r="H85" s="20" t="n">
        <v>3.844</v>
      </c>
      <c r="I85" s="20" t="n">
        <v>8.621</v>
      </c>
      <c r="J85" s="20" t="n">
        <v>4.758</v>
      </c>
      <c r="K85" s="20" t="n">
        <v>0.475</v>
      </c>
      <c r="L85" s="20" t="n">
        <v>0</v>
      </c>
    </row>
    <row r="86">
      <c r="A86" s="18" t="inlineStr">
        <is>
          <t>건설중인자산</t>
        </is>
      </c>
      <c r="C86" s="20" t="n">
        <v>4.873</v>
      </c>
      <c r="D86" s="20" t="n">
        <v>0</v>
      </c>
      <c r="E86" s="20" t="n">
        <v>0</v>
      </c>
      <c r="F86" s="20" t="n">
        <v>16.628</v>
      </c>
      <c r="G86" s="20" t="n">
        <v>11.068</v>
      </c>
      <c r="H86" s="20" t="n">
        <v>0</v>
      </c>
      <c r="I86" s="20" t="n">
        <v>0.284</v>
      </c>
      <c r="J86" s="20" t="n">
        <v>2.736</v>
      </c>
      <c r="K86" s="20" t="n">
        <v>4.873</v>
      </c>
      <c r="L86" s="20" t="n">
        <v>11.068</v>
      </c>
    </row>
    <row r="87">
      <c r="A87" s="18" t="inlineStr">
        <is>
          <t>기타</t>
        </is>
      </c>
      <c r="C87" s="20" t="n">
        <v>38.485</v>
      </c>
      <c r="G87" s="20" t="n">
        <v>38.405</v>
      </c>
      <c r="H87" s="20" t="n">
        <v>39.664</v>
      </c>
      <c r="I87" s="20" t="n">
        <v>39.044</v>
      </c>
      <c r="J87" s="20" t="n">
        <v>38.705</v>
      </c>
      <c r="K87" s="20" t="n">
        <v>38.485</v>
      </c>
      <c r="L87" s="20" t="n">
        <v>38.405</v>
      </c>
    </row>
    <row r="88">
      <c r="A88" s="18" t="inlineStr">
        <is>
          <t>감가상각누계액</t>
        </is>
      </c>
      <c r="C88" s="20" t="n">
        <v>-38.485</v>
      </c>
      <c r="G88" s="20" t="n">
        <v>-38.405</v>
      </c>
      <c r="H88" s="20" t="n">
        <v>-39.664</v>
      </c>
      <c r="I88" s="20" t="n">
        <v>-39.044</v>
      </c>
      <c r="J88" s="20" t="n">
        <v>-38.705</v>
      </c>
      <c r="K88" s="20" t="n">
        <v>-38.485</v>
      </c>
      <c r="L88" s="20" t="n">
        <v>-38.405</v>
      </c>
    </row>
    <row r="89">
      <c r="A89" s="18" t="inlineStr">
        <is>
          <t>기타(순액)</t>
        </is>
      </c>
      <c r="C89" s="20" t="n">
        <v>0</v>
      </c>
      <c r="G89" s="20" t="n">
        <v>0</v>
      </c>
      <c r="H89" s="20" t="n">
        <v>0</v>
      </c>
      <c r="I89" s="20" t="n">
        <v>0</v>
      </c>
      <c r="J89" s="20" t="n">
        <v>0</v>
      </c>
      <c r="K89" s="20" t="n">
        <v>0</v>
      </c>
      <c r="L89" s="20" t="n">
        <v>0</v>
      </c>
    </row>
    <row r="90">
      <c r="A90" s="18" t="inlineStr">
        <is>
          <t>유형자산 합계</t>
        </is>
      </c>
      <c r="C90" s="20" t="n">
        <v>58.754</v>
      </c>
      <c r="D90" s="20" t="n">
        <v>53.477</v>
      </c>
      <c r="E90" s="20" t="n">
        <v>61.182</v>
      </c>
      <c r="F90" s="20" t="n">
        <v>71.151</v>
      </c>
      <c r="G90" s="20" t="n">
        <v>64.767</v>
      </c>
      <c r="H90" s="20" t="n">
        <v>91.926</v>
      </c>
      <c r="I90" s="20" t="n">
        <v>67.56399999999999</v>
      </c>
      <c r="J90" s="20" t="n">
        <v>62.21</v>
      </c>
      <c r="K90" s="20" t="n">
        <v>58.754</v>
      </c>
      <c r="L90" s="20" t="n">
        <v>64.767</v>
      </c>
    </row>
    <row r="91">
      <c r="A91" s="18" t="inlineStr">
        <is>
          <t>영업권</t>
        </is>
      </c>
      <c r="C91" s="20" t="n">
        <v>2000.727</v>
      </c>
      <c r="D91" s="20" t="n">
        <v>1936.086</v>
      </c>
      <c r="E91" s="20" t="n">
        <v>1871.444</v>
      </c>
      <c r="F91" s="20" t="n">
        <v>1806.802</v>
      </c>
      <c r="G91" s="20" t="n">
        <v>1742.16</v>
      </c>
      <c r="H91" s="20" t="n">
        <v>1182.559</v>
      </c>
      <c r="I91" s="20" t="n">
        <v>1044.594</v>
      </c>
      <c r="J91" s="20" t="n">
        <v>2259.295</v>
      </c>
      <c r="K91" s="20" t="n">
        <v>2000.727</v>
      </c>
      <c r="L91" s="20" t="n">
        <v>1742.16</v>
      </c>
    </row>
    <row r="92">
      <c r="A92" s="18" t="inlineStr">
        <is>
          <t>고객관계자산</t>
        </is>
      </c>
      <c r="C92" s="20" t="n">
        <v>412.05</v>
      </c>
      <c r="E92" s="20" t="n">
        <v>381.9</v>
      </c>
      <c r="F92" s="20" t="n">
        <v>366.825</v>
      </c>
      <c r="H92" s="20" t="n">
        <v>603</v>
      </c>
      <c r="I92" s="20" t="n">
        <v>532.65</v>
      </c>
      <c r="J92" s="20" t="n">
        <v>472.35</v>
      </c>
      <c r="K92" s="20" t="n">
        <v>412.05</v>
      </c>
    </row>
    <row r="93">
      <c r="A93" s="18" t="inlineStr">
        <is>
          <t>고객관계자산</t>
        </is>
      </c>
      <c r="C93" s="20" t="n">
        <v>412.05</v>
      </c>
      <c r="D93" s="20" t="n">
        <v>396.975</v>
      </c>
      <c r="G93" s="20" t="n">
        <v>351.75</v>
      </c>
      <c r="H93" s="20" t="n">
        <v>603</v>
      </c>
      <c r="I93" s="20" t="n">
        <v>532.65</v>
      </c>
      <c r="J93" s="20" t="n">
        <v>472.35</v>
      </c>
      <c r="K93" s="20" t="n">
        <v>412.05</v>
      </c>
      <c r="L93" s="20" t="n">
        <v>351.75</v>
      </c>
    </row>
    <row r="94">
      <c r="A94" s="18" t="inlineStr">
        <is>
          <t>소프트웨어</t>
        </is>
      </c>
      <c r="C94" s="20" t="n">
        <v>371.124</v>
      </c>
      <c r="D94" s="20" t="n">
        <v>398.547</v>
      </c>
      <c r="E94" s="20" t="n">
        <v>382.647</v>
      </c>
      <c r="F94" s="20" t="n">
        <v>509.212</v>
      </c>
      <c r="G94" s="20" t="n">
        <v>559.573</v>
      </c>
      <c r="H94" s="20" t="n">
        <v>178.872</v>
      </c>
      <c r="I94" s="20" t="n">
        <v>177.831</v>
      </c>
      <c r="J94" s="20" t="n">
        <v>238.335</v>
      </c>
      <c r="K94" s="20" t="n">
        <v>371.124</v>
      </c>
      <c r="L94" s="20" t="n">
        <v>559.573</v>
      </c>
    </row>
    <row r="95">
      <c r="A95" s="18" t="inlineStr">
        <is>
          <t>개발 중 소프트웨어</t>
        </is>
      </c>
      <c r="C95" s="20" t="n">
        <v>171.84</v>
      </c>
      <c r="D95" s="20" t="n">
        <v>180.022</v>
      </c>
      <c r="E95" s="20" t="n">
        <v>191.14</v>
      </c>
      <c r="F95" s="20" t="n">
        <v>130.883</v>
      </c>
      <c r="G95" s="20" t="n">
        <v>95.762</v>
      </c>
      <c r="H95" s="20" t="n">
        <v>97.858</v>
      </c>
      <c r="I95" s="20" t="n">
        <v>141.918</v>
      </c>
      <c r="J95" s="20" t="n">
        <v>188.712</v>
      </c>
      <c r="K95" s="20" t="n">
        <v>171.84</v>
      </c>
      <c r="L95" s="20" t="n">
        <v>95.762</v>
      </c>
    </row>
    <row r="96">
      <c r="A96" s="18" t="inlineStr">
        <is>
          <t>기타</t>
        </is>
      </c>
      <c r="C96" s="20" t="n">
        <v>0.657</v>
      </c>
      <c r="D96" s="20" t="n">
        <v>0.636</v>
      </c>
      <c r="E96" s="20" t="n">
        <v>0.614</v>
      </c>
      <c r="F96" s="20" t="n">
        <v>0.593</v>
      </c>
      <c r="G96" s="20" t="n">
        <v>0.571</v>
      </c>
      <c r="H96" s="20" t="n">
        <v>0.094</v>
      </c>
      <c r="I96" s="20" t="n">
        <v>0.073</v>
      </c>
      <c r="J96" s="20" t="n">
        <v>0.726</v>
      </c>
      <c r="K96" s="20" t="n">
        <v>0.657</v>
      </c>
      <c r="L96" s="20" t="n">
        <v>0.571</v>
      </c>
    </row>
    <row r="97">
      <c r="A97" s="18" t="inlineStr">
        <is>
          <t>무형자산 합계</t>
        </is>
      </c>
      <c r="C97" s="20" t="n">
        <v>2956.4</v>
      </c>
      <c r="D97" s="20" t="n">
        <v>2912.266</v>
      </c>
      <c r="E97" s="20" t="n">
        <v>2827.746</v>
      </c>
      <c r="F97" s="20" t="n">
        <v>2814.316</v>
      </c>
      <c r="G97" s="20" t="n">
        <v>2749.819</v>
      </c>
      <c r="H97" s="20" t="n">
        <v>2062.384</v>
      </c>
      <c r="I97" s="20" t="n">
        <v>1897.067</v>
      </c>
      <c r="J97" s="20" t="n">
        <v>3159.419</v>
      </c>
      <c r="K97" s="20" t="n">
        <v>2956.4</v>
      </c>
      <c r="L97" s="20" t="n">
        <v>2749.819</v>
      </c>
    </row>
    <row r="98">
      <c r="A98" s="18" t="inlineStr">
        <is>
          <t>투자유가증권</t>
        </is>
      </c>
      <c r="C98" s="20" t="n">
        <v>32.439</v>
      </c>
      <c r="D98" s="20" t="n">
        <v>31.912</v>
      </c>
      <c r="E98" s="20" t="n">
        <v>32.362</v>
      </c>
      <c r="F98" s="20" t="n">
        <v>31.166</v>
      </c>
      <c r="G98" s="20" t="n">
        <v>31.637</v>
      </c>
      <c r="H98" s="20" t="n">
        <v>0.325</v>
      </c>
      <c r="I98" s="20" t="n">
        <v>0.325</v>
      </c>
      <c r="J98" s="20" t="n">
        <v>32.682</v>
      </c>
      <c r="K98" s="20" t="n">
        <v>32.439</v>
      </c>
      <c r="L98" s="20" t="n">
        <v>31.637</v>
      </c>
    </row>
    <row r="99">
      <c r="A99" s="18" t="inlineStr">
        <is>
          <t>관계회사 주식</t>
        </is>
      </c>
      <c r="H99" s="20" t="n">
        <v>7.246</v>
      </c>
      <c r="I99" s="20" t="n">
        <v>0</v>
      </c>
    </row>
    <row r="100">
      <c r="A100" s="18" t="inlineStr">
        <is>
          <t>임차보증금·보증금</t>
        </is>
      </c>
      <c r="C100" s="20" t="n">
        <v>133.952</v>
      </c>
      <c r="D100" s="20" t="n">
        <v>134.664</v>
      </c>
      <c r="E100" s="20" t="n">
        <v>133.728</v>
      </c>
      <c r="F100" s="20" t="n">
        <v>286.266</v>
      </c>
      <c r="G100" s="20" t="n">
        <v>286.06</v>
      </c>
      <c r="H100" s="20" t="n">
        <v>85.56</v>
      </c>
      <c r="I100" s="20" t="n">
        <v>44.871</v>
      </c>
      <c r="J100" s="20" t="n">
        <v>113.951</v>
      </c>
      <c r="K100" s="20" t="n">
        <v>133.952</v>
      </c>
      <c r="L100" s="20" t="n">
        <v>286.06</v>
      </c>
    </row>
    <row r="101">
      <c r="A101" s="18" t="inlineStr">
        <is>
          <t>보험적립금</t>
        </is>
      </c>
      <c r="C101" s="20" t="n">
        <v>0</v>
      </c>
      <c r="H101" s="20" t="n">
        <v>11.46</v>
      </c>
      <c r="I101" s="20" t="n">
        <v>10.182</v>
      </c>
      <c r="J101" s="20" t="n">
        <v>11.781</v>
      </c>
      <c r="K101" s="20" t="n">
        <v>0</v>
      </c>
    </row>
    <row r="102">
      <c r="A102" s="18" t="inlineStr">
        <is>
          <t>이연법인세자산</t>
        </is>
      </c>
      <c r="C102" s="20" t="n">
        <v>43.647</v>
      </c>
      <c r="D102" s="20" t="n">
        <v>16.819</v>
      </c>
      <c r="E102" s="20" t="n">
        <v>32.829</v>
      </c>
      <c r="F102" s="20" t="n">
        <v>27.77</v>
      </c>
      <c r="G102" s="20" t="n">
        <v>37.999</v>
      </c>
      <c r="H102" s="20" t="n">
        <v>0</v>
      </c>
      <c r="I102" s="20" t="n">
        <v>29.953</v>
      </c>
      <c r="J102" s="20" t="n">
        <v>40.309</v>
      </c>
      <c r="K102" s="20" t="n">
        <v>43.647</v>
      </c>
      <c r="L102" s="20" t="n">
        <v>37.999</v>
      </c>
    </row>
    <row r="103">
      <c r="A103" s="18" t="inlineStr">
        <is>
          <t>기타</t>
        </is>
      </c>
      <c r="C103" s="20" t="n">
        <v>41.824</v>
      </c>
      <c r="D103" s="20" t="n">
        <v>40.126</v>
      </c>
      <c r="E103" s="20" t="n">
        <v>39.275</v>
      </c>
      <c r="F103" s="20" t="n">
        <v>78.758</v>
      </c>
      <c r="G103" s="20" t="n">
        <v>74.80500000000001</v>
      </c>
      <c r="H103" s="20" t="n">
        <v>6.636</v>
      </c>
      <c r="I103" s="20" t="n">
        <v>3.184</v>
      </c>
      <c r="J103" s="20" t="n">
        <v>9.004</v>
      </c>
      <c r="K103" s="20" t="n">
        <v>41.824</v>
      </c>
      <c r="L103" s="20" t="n">
        <v>74.80500000000001</v>
      </c>
    </row>
    <row r="104">
      <c r="A104" s="18" t="inlineStr">
        <is>
          <t>대손충당금</t>
        </is>
      </c>
      <c r="C104" s="20" t="n">
        <v>-0.929</v>
      </c>
      <c r="D104" s="20" t="n">
        <v>-0.869</v>
      </c>
      <c r="E104" s="20" t="n">
        <v>-0.926</v>
      </c>
      <c r="F104" s="20" t="n">
        <v>-1.139</v>
      </c>
      <c r="G104" s="20" t="n">
        <v>-1.218</v>
      </c>
      <c r="H104" s="20" t="n">
        <v>-1.128</v>
      </c>
      <c r="I104" s="20" t="n">
        <v>-1.145</v>
      </c>
      <c r="J104" s="20" t="n">
        <v>-0.62</v>
      </c>
      <c r="K104" s="20" t="n">
        <v>-0.929</v>
      </c>
      <c r="L104" s="20" t="n">
        <v>-1.218</v>
      </c>
    </row>
    <row r="105">
      <c r="A105" s="18" t="inlineStr">
        <is>
          <t>투자 및 기타자산 합계</t>
        </is>
      </c>
      <c r="C105" s="20" t="n">
        <v>250.935</v>
      </c>
      <c r="D105" s="20" t="n">
        <v>222.654</v>
      </c>
      <c r="E105" s="20" t="n">
        <v>237.269</v>
      </c>
      <c r="F105" s="20" t="n">
        <v>422.823</v>
      </c>
      <c r="G105" s="20" t="n">
        <v>429.284</v>
      </c>
      <c r="H105" s="20" t="n">
        <v>110.1</v>
      </c>
      <c r="I105" s="20" t="n">
        <v>87.372</v>
      </c>
      <c r="J105" s="20" t="n">
        <v>207.109</v>
      </c>
      <c r="K105" s="20" t="n">
        <v>250.935</v>
      </c>
      <c r="L105" s="20" t="n">
        <v>429.284</v>
      </c>
    </row>
    <row r="106">
      <c r="A106" s="9" t="inlineStr">
        <is>
          <t>비유동자산 합계</t>
        </is>
      </c>
      <c r="C106" s="12" t="n">
        <v>3266.089</v>
      </c>
      <c r="D106" s="12" t="n">
        <v>3188.397</v>
      </c>
      <c r="E106" s="12" t="n">
        <v>3126.198</v>
      </c>
      <c r="F106" s="12" t="n">
        <v>3308.291</v>
      </c>
      <c r="G106" s="12" t="n">
        <v>3243.87</v>
      </c>
      <c r="H106" s="12" t="n">
        <v>2264.411</v>
      </c>
      <c r="I106" s="12" t="n">
        <v>2052.004</v>
      </c>
      <c r="J106" s="12" t="n">
        <v>3428.739</v>
      </c>
      <c r="K106" s="12" t="n">
        <v>3266.089</v>
      </c>
      <c r="L106" s="12" t="n">
        <v>3243.87</v>
      </c>
    </row>
    <row r="107">
      <c r="A107" s="9" t="inlineStr">
        <is>
          <t>자산 합계</t>
        </is>
      </c>
      <c r="C107" s="12" t="n">
        <v>9409.689</v>
      </c>
      <c r="D107" s="12" t="n">
        <v>9504.181</v>
      </c>
      <c r="E107" s="12" t="n">
        <v>8898.155000000001</v>
      </c>
      <c r="F107" s="12" t="n">
        <v>10034.023</v>
      </c>
      <c r="G107" s="12" t="n">
        <v>9326.190000000001</v>
      </c>
      <c r="H107" s="12" t="n">
        <v>4041.016</v>
      </c>
      <c r="I107" s="12" t="n">
        <v>4401.658</v>
      </c>
      <c r="J107" s="12" t="n">
        <v>8262.802</v>
      </c>
      <c r="K107" s="12" t="n">
        <v>9409.689</v>
      </c>
      <c r="L107" s="12" t="n">
        <v>9326.190000000001</v>
      </c>
    </row>
    <row r="108">
      <c r="A108" s="18" t="inlineStr">
        <is>
          <t>매입채무</t>
        </is>
      </c>
      <c r="C108" s="20" t="n">
        <v>630.563</v>
      </c>
      <c r="D108" s="20" t="n">
        <v>502.865</v>
      </c>
      <c r="E108" s="20" t="n">
        <v>671.141</v>
      </c>
      <c r="F108" s="20" t="n">
        <v>647.788</v>
      </c>
      <c r="G108" s="20" t="n">
        <v>867.4880000000001</v>
      </c>
      <c r="H108" s="20" t="n">
        <v>134.004</v>
      </c>
      <c r="I108" s="20" t="n">
        <v>349.136</v>
      </c>
      <c r="J108" s="20" t="n">
        <v>378.438</v>
      </c>
      <c r="K108" s="20" t="n">
        <v>630.563</v>
      </c>
      <c r="L108" s="20" t="n">
        <v>867.4880000000001</v>
      </c>
    </row>
    <row r="109">
      <c r="A109" s="18" t="inlineStr">
        <is>
          <t>단기차입금</t>
        </is>
      </c>
      <c r="C109" s="20" t="n">
        <v>675</v>
      </c>
      <c r="D109" s="20" t="n">
        <v>637.5</v>
      </c>
      <c r="E109" s="20" t="n">
        <v>600</v>
      </c>
      <c r="F109" s="20" t="n">
        <v>562.5</v>
      </c>
      <c r="G109" s="20" t="n">
        <v>550</v>
      </c>
      <c r="H109" s="20" t="n">
        <v>50</v>
      </c>
      <c r="I109" s="20" t="n">
        <v>0</v>
      </c>
      <c r="J109" s="20" t="n">
        <v>316.64</v>
      </c>
      <c r="K109" s="20" t="n">
        <v>675</v>
      </c>
      <c r="L109" s="20" t="n">
        <v>550</v>
      </c>
    </row>
    <row r="110">
      <c r="A110" s="18" t="inlineStr">
        <is>
          <t>1년 내 상환 사채</t>
        </is>
      </c>
      <c r="C110" s="20" t="n">
        <v>0</v>
      </c>
      <c r="H110" s="20" t="n">
        <v>32</v>
      </c>
      <c r="I110" s="20" t="n">
        <v>32</v>
      </c>
      <c r="J110" s="20" t="n">
        <v>36</v>
      </c>
      <c r="K110" s="20" t="n">
        <v>0</v>
      </c>
    </row>
    <row r="111">
      <c r="A111" s="18" t="inlineStr">
        <is>
          <t>1년 내 상환 장기차입금</t>
        </is>
      </c>
      <c r="C111" s="20" t="n">
        <v>331.09</v>
      </c>
      <c r="D111" s="20" t="n">
        <v>372.907</v>
      </c>
      <c r="E111" s="20" t="n">
        <v>357.907</v>
      </c>
      <c r="F111" s="20" t="n">
        <v>357.907</v>
      </c>
      <c r="G111" s="20" t="n">
        <v>408.315</v>
      </c>
      <c r="H111" s="20" t="n">
        <v>1580.004</v>
      </c>
      <c r="I111" s="20" t="n">
        <v>280.004</v>
      </c>
      <c r="J111" s="20" t="n">
        <v>387.731</v>
      </c>
      <c r="K111" s="20" t="n">
        <v>331.09</v>
      </c>
      <c r="L111" s="20" t="n">
        <v>408.315</v>
      </c>
    </row>
    <row r="112">
      <c r="A112" s="18" t="inlineStr">
        <is>
          <t>리스부채</t>
        </is>
      </c>
      <c r="C112" s="20" t="n">
        <v>0.522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1.537</v>
      </c>
      <c r="I112" s="20" t="n">
        <v>4.672</v>
      </c>
      <c r="J112" s="20" t="n">
        <v>4.699</v>
      </c>
      <c r="K112" s="20" t="n">
        <v>0.522</v>
      </c>
      <c r="L112" s="20" t="n">
        <v>0</v>
      </c>
    </row>
    <row r="113">
      <c r="A113" s="18" t="inlineStr">
        <is>
          <t>미지급금</t>
        </is>
      </c>
      <c r="C113" s="20" t="n">
        <v>276.867</v>
      </c>
      <c r="D113" s="20" t="n">
        <v>269.558</v>
      </c>
      <c r="E113" s="20" t="n">
        <v>290.318</v>
      </c>
      <c r="F113" s="20" t="n">
        <v>258.622</v>
      </c>
      <c r="G113" s="20" t="n">
        <v>287.929</v>
      </c>
      <c r="H113" s="20" t="n">
        <v>154.572</v>
      </c>
      <c r="I113" s="20" t="n">
        <v>126.941</v>
      </c>
      <c r="J113" s="20" t="n">
        <v>293.41</v>
      </c>
      <c r="K113" s="20" t="n">
        <v>276.867</v>
      </c>
      <c r="L113" s="20" t="n">
        <v>287.929</v>
      </c>
    </row>
    <row r="114">
      <c r="A114" s="18" t="inlineStr">
        <is>
          <t>미지급법인세</t>
        </is>
      </c>
      <c r="C114" s="20" t="n">
        <v>272.919</v>
      </c>
      <c r="D114" s="20" t="n">
        <v>66.437</v>
      </c>
      <c r="E114" s="20" t="n">
        <v>189.243</v>
      </c>
      <c r="F114" s="20" t="n">
        <v>113.671</v>
      </c>
      <c r="G114" s="20" t="n">
        <v>197.221</v>
      </c>
      <c r="H114" s="20" t="n">
        <v>18.64</v>
      </c>
      <c r="I114" s="20" t="n">
        <v>23.501</v>
      </c>
      <c r="J114" s="20" t="n">
        <v>203.005</v>
      </c>
      <c r="K114" s="20" t="n">
        <v>272.919</v>
      </c>
      <c r="L114" s="20" t="n">
        <v>197.221</v>
      </c>
    </row>
    <row r="115">
      <c r="A115" s="18" t="inlineStr">
        <is>
          <t>선수금</t>
        </is>
      </c>
      <c r="C115" s="20" t="n">
        <v>261.73</v>
      </c>
      <c r="D115" s="20" t="n">
        <v>290.557</v>
      </c>
      <c r="E115" s="20" t="n">
        <v>259.166</v>
      </c>
      <c r="F115" s="20" t="n">
        <v>406.425</v>
      </c>
      <c r="G115" s="20" t="n">
        <v>297.44</v>
      </c>
      <c r="H115" s="20" t="n">
        <v>150.554</v>
      </c>
      <c r="I115" s="20" t="n">
        <v>187.87</v>
      </c>
      <c r="J115" s="20" t="n">
        <v>357.124</v>
      </c>
      <c r="K115" s="20" t="n">
        <v>261.73</v>
      </c>
      <c r="L115" s="20" t="n">
        <v>297.44</v>
      </c>
    </row>
    <row r="116">
      <c r="A116" s="18" t="inlineStr">
        <is>
          <t>상여충당금</t>
        </is>
      </c>
      <c r="C116" s="20" t="n">
        <v>44.216</v>
      </c>
      <c r="D116" s="20" t="n">
        <v>23.577</v>
      </c>
      <c r="E116" s="20" t="n">
        <v>46.109</v>
      </c>
      <c r="F116" s="20" t="n">
        <v>70.614</v>
      </c>
      <c r="G116" s="20" t="n">
        <v>44.858</v>
      </c>
      <c r="I116" s="20" t="n">
        <v>0</v>
      </c>
      <c r="J116" s="20" t="n">
        <v>35.905</v>
      </c>
      <c r="K116" s="20" t="n">
        <v>44.216</v>
      </c>
      <c r="L116" s="20" t="n">
        <v>44.858</v>
      </c>
    </row>
    <row r="117">
      <c r="A117" s="18" t="inlineStr">
        <is>
          <t>예수금</t>
        </is>
      </c>
      <c r="C117" s="20" t="n">
        <v>1142.394</v>
      </c>
      <c r="D117" s="20" t="n">
        <v>1314.795</v>
      </c>
      <c r="E117" s="20" t="n">
        <v>562.817</v>
      </c>
      <c r="F117" s="20" t="n">
        <v>1637.425</v>
      </c>
      <c r="G117" s="20" t="n">
        <v>751.607</v>
      </c>
      <c r="I117" s="20" t="n">
        <v>12.159</v>
      </c>
      <c r="J117" s="20" t="n">
        <v>648.3</v>
      </c>
      <c r="K117" s="20" t="n">
        <v>1142.394</v>
      </c>
      <c r="L117" s="20" t="n">
        <v>751.607</v>
      </c>
    </row>
    <row r="118">
      <c r="A118" s="18" t="inlineStr">
        <is>
          <t>계약손실 충당금</t>
        </is>
      </c>
      <c r="C118" s="20" t="n">
        <v>62</v>
      </c>
      <c r="D118" s="20" t="n">
        <v>68</v>
      </c>
      <c r="E118" s="20" t="n">
        <v>73.5</v>
      </c>
      <c r="F118" s="20" t="n">
        <v>78</v>
      </c>
      <c r="G118" s="20" t="n">
        <v>82.5</v>
      </c>
      <c r="J118" s="20" t="n">
        <v>0</v>
      </c>
      <c r="K118" s="20" t="n">
        <v>62</v>
      </c>
      <c r="L118" s="20" t="n">
        <v>82.5</v>
      </c>
    </row>
    <row r="119">
      <c r="A119" s="18" t="inlineStr">
        <is>
          <t>기타</t>
        </is>
      </c>
      <c r="C119" s="20" t="n">
        <v>176.382</v>
      </c>
      <c r="D119" s="20" t="n">
        <v>157.423</v>
      </c>
      <c r="E119" s="20" t="n">
        <v>92.76900000000001</v>
      </c>
      <c r="F119" s="20" t="n">
        <v>125.898</v>
      </c>
      <c r="G119" s="20" t="n">
        <v>193.043</v>
      </c>
      <c r="H119" s="20" t="n">
        <v>40.354</v>
      </c>
      <c r="I119" s="20" t="n">
        <v>118.32</v>
      </c>
      <c r="J119" s="20" t="n">
        <v>142.169</v>
      </c>
      <c r="K119" s="20" t="n">
        <v>176.382</v>
      </c>
      <c r="L119" s="20" t="n">
        <v>193.043</v>
      </c>
    </row>
    <row r="120">
      <c r="A120" s="9" t="inlineStr">
        <is>
          <t>유동부채 합계</t>
        </is>
      </c>
      <c r="C120" s="12" t="n">
        <v>3873.686</v>
      </c>
      <c r="D120" s="12" t="n">
        <v>3703.623</v>
      </c>
      <c r="E120" s="12" t="n">
        <v>3142.973</v>
      </c>
      <c r="F120" s="12" t="n">
        <v>4258.853</v>
      </c>
      <c r="G120" s="12" t="n">
        <v>3680.405</v>
      </c>
      <c r="H120" s="12" t="n">
        <v>2161.668</v>
      </c>
      <c r="I120" s="12" t="n">
        <v>1134.607</v>
      </c>
      <c r="J120" s="12" t="n">
        <v>2803.426</v>
      </c>
      <c r="K120" s="12" t="n">
        <v>3873.686</v>
      </c>
      <c r="L120" s="12" t="n">
        <v>3680.405</v>
      </c>
    </row>
    <row r="121">
      <c r="A121" s="18" t="inlineStr">
        <is>
          <t>사채</t>
        </is>
      </c>
      <c r="H121" s="20" t="n">
        <v>68</v>
      </c>
      <c r="I121" s="20" t="n">
        <v>36</v>
      </c>
      <c r="J121" s="20" t="n">
        <v>0</v>
      </c>
    </row>
    <row r="122">
      <c r="A122" s="18" t="inlineStr">
        <is>
          <t>장기차입금</t>
        </is>
      </c>
      <c r="C122" s="20" t="n">
        <v>765.878</v>
      </c>
      <c r="D122" s="20" t="n">
        <v>980.505</v>
      </c>
      <c r="E122" s="20" t="n">
        <v>841.028</v>
      </c>
      <c r="F122" s="20" t="n">
        <v>801.551</v>
      </c>
      <c r="G122" s="20" t="n">
        <v>751.599</v>
      </c>
      <c r="H122" s="20" t="n">
        <v>191.653</v>
      </c>
      <c r="I122" s="20" t="n">
        <v>898.3150000000001</v>
      </c>
      <c r="J122" s="20" t="n">
        <v>1096.135</v>
      </c>
      <c r="K122" s="20" t="n">
        <v>765.878</v>
      </c>
      <c r="L122" s="20" t="n">
        <v>751.599</v>
      </c>
    </row>
    <row r="123">
      <c r="A123" s="18" t="inlineStr">
        <is>
          <t>계약손실 충당금</t>
        </is>
      </c>
      <c r="C123" s="20" t="n">
        <v>236.4</v>
      </c>
      <c r="D123" s="20" t="n">
        <v>218.4</v>
      </c>
      <c r="E123" s="20" t="n">
        <v>198.9</v>
      </c>
      <c r="F123" s="20" t="n">
        <v>176.4</v>
      </c>
      <c r="G123" s="20" t="n">
        <v>153.9</v>
      </c>
      <c r="J123" s="20" t="n">
        <v>0</v>
      </c>
      <c r="K123" s="20" t="n">
        <v>236.4</v>
      </c>
      <c r="L123" s="20" t="n">
        <v>153.9</v>
      </c>
    </row>
    <row r="124">
      <c r="A124" s="18" t="inlineStr">
        <is>
          <t>리스부채</t>
        </is>
      </c>
      <c r="C124" s="20" t="n">
        <v>0</v>
      </c>
      <c r="H124" s="20" t="n">
        <v>2.691</v>
      </c>
      <c r="I124" s="20" t="n">
        <v>4.81</v>
      </c>
      <c r="J124" s="20" t="n">
        <v>0.522</v>
      </c>
      <c r="K124" s="20" t="n">
        <v>0</v>
      </c>
    </row>
    <row r="125">
      <c r="A125" s="18" t="inlineStr">
        <is>
          <t>퇴직급여부채</t>
        </is>
      </c>
      <c r="C125" s="20" t="n">
        <v>3.424</v>
      </c>
      <c r="D125" s="20" t="n">
        <v>3.748</v>
      </c>
      <c r="E125" s="20" t="n">
        <v>3.821</v>
      </c>
      <c r="F125" s="20" t="n">
        <v>3.963</v>
      </c>
      <c r="G125" s="20" t="n">
        <v>4.107</v>
      </c>
      <c r="H125" s="20" t="n">
        <v>0.984</v>
      </c>
      <c r="I125" s="20" t="n">
        <v>1.662</v>
      </c>
      <c r="J125" s="20" t="n">
        <v>2.623</v>
      </c>
      <c r="K125" s="20" t="n">
        <v>3.424</v>
      </c>
      <c r="L125" s="20" t="n">
        <v>4.107</v>
      </c>
    </row>
    <row r="126">
      <c r="A126" s="18" t="inlineStr">
        <is>
          <t>이연법인세부채</t>
        </is>
      </c>
      <c r="C126" s="20" t="n">
        <v>0</v>
      </c>
      <c r="H126" s="20" t="n">
        <v>184.638</v>
      </c>
      <c r="I126" s="20" t="n">
        <v>163.097</v>
      </c>
      <c r="J126" s="20" t="n">
        <v>144.633</v>
      </c>
      <c r="K126" s="20" t="n">
        <v>0</v>
      </c>
    </row>
    <row r="127">
      <c r="A127" s="9" t="inlineStr">
        <is>
          <t>비유동부채 합계</t>
        </is>
      </c>
      <c r="C127" s="12" t="n">
        <v>1005.702</v>
      </c>
      <c r="D127" s="12" t="n">
        <v>1202.653</v>
      </c>
      <c r="E127" s="12" t="n">
        <v>1043.75</v>
      </c>
      <c r="F127" s="12" t="n">
        <v>981.914</v>
      </c>
      <c r="G127" s="12" t="n">
        <v>909.607</v>
      </c>
      <c r="H127" s="12" t="n">
        <v>447.967</v>
      </c>
      <c r="I127" s="12" t="n">
        <v>1103.885</v>
      </c>
      <c r="J127" s="12" t="n">
        <v>1243.915</v>
      </c>
      <c r="K127" s="12" t="n">
        <v>1005.702</v>
      </c>
      <c r="L127" s="12" t="n">
        <v>909.607</v>
      </c>
    </row>
    <row r="128">
      <c r="A128" s="9" t="inlineStr">
        <is>
          <t>부채 합계</t>
        </is>
      </c>
      <c r="C128" s="12" t="n">
        <v>4879.389</v>
      </c>
      <c r="D128" s="12" t="n">
        <v>4906.277</v>
      </c>
      <c r="E128" s="12" t="n">
        <v>4186.723</v>
      </c>
      <c r="F128" s="12" t="n">
        <v>5240.768</v>
      </c>
      <c r="G128" s="12" t="n">
        <v>4590.013</v>
      </c>
      <c r="H128" s="12" t="n">
        <v>2609.636</v>
      </c>
      <c r="I128" s="12" t="n">
        <v>2238.492</v>
      </c>
      <c r="J128" s="12" t="n">
        <v>4047.342</v>
      </c>
      <c r="K128" s="12" t="n">
        <v>4879.389</v>
      </c>
      <c r="L128" s="12" t="n">
        <v>4590.013</v>
      </c>
    </row>
    <row r="129">
      <c r="A129" s="18" t="inlineStr">
        <is>
          <t>자본금</t>
        </is>
      </c>
      <c r="C129" s="20" t="n">
        <v>1054.369</v>
      </c>
      <c r="D129" s="20" t="n">
        <v>1054.369</v>
      </c>
      <c r="E129" s="20" t="n">
        <v>1065.446</v>
      </c>
      <c r="F129" s="20" t="n">
        <v>1080.134</v>
      </c>
      <c r="G129" s="20" t="n">
        <v>1081.212</v>
      </c>
      <c r="H129" s="20" t="n">
        <v>694.6950000000001</v>
      </c>
      <c r="I129" s="20" t="n">
        <v>1001.772</v>
      </c>
      <c r="J129" s="20" t="n">
        <v>1021.779</v>
      </c>
      <c r="K129" s="20" t="n">
        <v>1054.369</v>
      </c>
      <c r="L129" s="20" t="n">
        <v>1081.212</v>
      </c>
    </row>
    <row r="130">
      <c r="A130" s="18" t="inlineStr">
        <is>
          <t>자본잉여금</t>
        </is>
      </c>
      <c r="C130" s="20" t="n">
        <v>3023.762</v>
      </c>
      <c r="D130" s="20" t="n">
        <v>3023.762</v>
      </c>
      <c r="E130" s="20" t="n">
        <v>3034.839</v>
      </c>
      <c r="F130" s="20" t="n">
        <v>3049.527</v>
      </c>
      <c r="G130" s="20" t="n">
        <v>3050.605</v>
      </c>
      <c r="H130" s="20" t="n">
        <v>2558.842</v>
      </c>
      <c r="I130" s="20" t="n">
        <v>2865.919</v>
      </c>
      <c r="J130" s="20" t="n">
        <v>4805.133</v>
      </c>
      <c r="K130" s="20" t="n">
        <v>3023.762</v>
      </c>
      <c r="L130" s="20" t="n">
        <v>3050.605</v>
      </c>
    </row>
    <row r="131">
      <c r="A131" s="18" t="inlineStr">
        <is>
          <t>이익잉여금</t>
        </is>
      </c>
      <c r="C131" s="20" t="n">
        <v>303.153</v>
      </c>
      <c r="D131" s="20" t="n">
        <v>357.938</v>
      </c>
      <c r="E131" s="20" t="n">
        <v>440.956</v>
      </c>
      <c r="F131" s="20" t="n">
        <v>627.58</v>
      </c>
      <c r="G131" s="20" t="n">
        <v>722.052</v>
      </c>
      <c r="H131" s="20" t="n">
        <v>-1847.578</v>
      </c>
      <c r="I131" s="20" t="n">
        <v>-1733.452</v>
      </c>
      <c r="J131" s="20" t="n">
        <v>-1659.302</v>
      </c>
      <c r="K131" s="20" t="n">
        <v>303.153</v>
      </c>
      <c r="L131" s="20" t="n">
        <v>722.052</v>
      </c>
    </row>
    <row r="132">
      <c r="A132" s="18" t="inlineStr">
        <is>
          <t>자기주식</t>
        </is>
      </c>
      <c r="C132" s="20" t="n">
        <v>-0.447</v>
      </c>
      <c r="D132" s="20" t="n">
        <v>-0.447</v>
      </c>
      <c r="E132" s="20" t="n">
        <v>-0.447</v>
      </c>
      <c r="F132" s="20" t="n">
        <v>-135.027</v>
      </c>
      <c r="G132" s="20" t="n">
        <v>-293.13</v>
      </c>
      <c r="H132" s="20" t="n">
        <v>-0.058</v>
      </c>
      <c r="I132" s="20" t="n">
        <v>-0.189</v>
      </c>
      <c r="J132" s="20" t="n">
        <v>-13.195</v>
      </c>
      <c r="K132" s="20" t="n">
        <v>-0.447</v>
      </c>
      <c r="L132" s="20" t="n">
        <v>-293.13</v>
      </c>
    </row>
    <row r="133">
      <c r="A133" s="9" t="inlineStr">
        <is>
          <t>주주자본 합계</t>
        </is>
      </c>
      <c r="C133" s="12" t="n">
        <v>4380.838</v>
      </c>
      <c r="D133" s="12" t="n">
        <v>4435.622</v>
      </c>
      <c r="E133" s="12" t="n">
        <v>4540.794</v>
      </c>
      <c r="F133" s="12" t="n">
        <v>4622.214</v>
      </c>
      <c r="G133" s="12" t="n">
        <v>4560.739</v>
      </c>
      <c r="H133" s="12" t="n">
        <v>1405.9</v>
      </c>
      <c r="I133" s="12" t="n">
        <v>2134.05</v>
      </c>
      <c r="J133" s="12" t="n">
        <v>4154.415</v>
      </c>
      <c r="K133" s="12" t="n">
        <v>4380.838</v>
      </c>
      <c r="L133" s="12" t="n">
        <v>4560.739</v>
      </c>
    </row>
    <row r="134">
      <c r="A134" s="18" t="inlineStr">
        <is>
          <t>기타유가증권 평가차액</t>
        </is>
      </c>
      <c r="C134" s="20" t="n">
        <v>-5.259</v>
      </c>
      <c r="D134" s="20" t="n">
        <v>-5.714</v>
      </c>
      <c r="E134" s="20" t="n">
        <v>-5.396</v>
      </c>
      <c r="F134" s="20" t="n">
        <v>-6.257</v>
      </c>
      <c r="G134" s="20" t="n">
        <v>-5.801</v>
      </c>
      <c r="I134" s="20" t="n">
        <v>0</v>
      </c>
      <c r="J134" s="20" t="n">
        <v>-3.212</v>
      </c>
      <c r="K134" s="20" t="n">
        <v>-5.259</v>
      </c>
      <c r="L134" s="20" t="n">
        <v>-5.801</v>
      </c>
    </row>
    <row r="135">
      <c r="A135" s="18" t="inlineStr">
        <is>
          <t>해외사업환산조정</t>
        </is>
      </c>
      <c r="C135" s="20" t="n">
        <v>-1.516</v>
      </c>
      <c r="D135" s="20" t="n">
        <v>-5.346</v>
      </c>
      <c r="E135" s="20" t="n">
        <v>-7.624</v>
      </c>
      <c r="F135" s="20" t="n">
        <v>-7.682</v>
      </c>
      <c r="G135" s="20" t="n">
        <v>-6.774</v>
      </c>
      <c r="H135" s="20" t="n">
        <v>0</v>
      </c>
      <c r="I135" s="20" t="n">
        <v>-0.465</v>
      </c>
      <c r="J135" s="20" t="n">
        <v>-3.207</v>
      </c>
      <c r="K135" s="20" t="n">
        <v>-1.516</v>
      </c>
      <c r="L135" s="20" t="n">
        <v>-6.774</v>
      </c>
    </row>
    <row r="136">
      <c r="A136" s="18" t="inlineStr">
        <is>
          <t>기타포괄손익누계액 합계</t>
        </is>
      </c>
      <c r="C136" s="20" t="n">
        <v>-6.775</v>
      </c>
      <c r="D136" s="20" t="n">
        <v>-11.06</v>
      </c>
      <c r="E136" s="20" t="n">
        <v>-13.02</v>
      </c>
      <c r="F136" s="20" t="n">
        <v>-13.94</v>
      </c>
      <c r="G136" s="20" t="n">
        <v>-12.576</v>
      </c>
      <c r="H136" s="20" t="n">
        <v>0</v>
      </c>
      <c r="I136" s="20" t="n">
        <v>-0.465</v>
      </c>
      <c r="J136" s="20" t="n">
        <v>-6.419</v>
      </c>
      <c r="K136" s="20" t="n">
        <v>-6.775</v>
      </c>
      <c r="L136" s="20" t="n">
        <v>-12.576</v>
      </c>
    </row>
    <row r="137">
      <c r="A137" s="18" t="inlineStr">
        <is>
          <t>신주예약권</t>
        </is>
      </c>
      <c r="C137" s="20" t="n">
        <v>156.237</v>
      </c>
      <c r="D137" s="20" t="n">
        <v>173.341</v>
      </c>
      <c r="E137" s="20" t="n">
        <v>183.658</v>
      </c>
      <c r="F137" s="20" t="n">
        <v>184.979</v>
      </c>
      <c r="G137" s="20" t="n">
        <v>188.013</v>
      </c>
      <c r="H137" s="20" t="n">
        <v>25.479</v>
      </c>
      <c r="I137" s="20" t="n">
        <v>29.58</v>
      </c>
      <c r="J137" s="20" t="n">
        <v>67.464</v>
      </c>
      <c r="K137" s="20" t="n">
        <v>156.237</v>
      </c>
      <c r="L137" s="20" t="n">
        <v>188.013</v>
      </c>
    </row>
    <row r="138">
      <c r="A138" s="9" t="inlineStr">
        <is>
          <t>순자산 합계</t>
        </is>
      </c>
      <c r="C138" s="12" t="n">
        <v>4530.3</v>
      </c>
      <c r="D138" s="12" t="n">
        <v>4597.904</v>
      </c>
      <c r="E138" s="12" t="n">
        <v>4711.431</v>
      </c>
      <c r="F138" s="12" t="n">
        <v>4793.254</v>
      </c>
      <c r="G138" s="12" t="n">
        <v>4736.177</v>
      </c>
      <c r="H138" s="12" t="n">
        <v>1431.379</v>
      </c>
      <c r="I138" s="12" t="n">
        <v>2163.165</v>
      </c>
      <c r="J138" s="12" t="n">
        <v>4215.46</v>
      </c>
      <c r="K138" s="12" t="n">
        <v>4530.3</v>
      </c>
      <c r="L138" s="12" t="n">
        <v>4736.177</v>
      </c>
    </row>
    <row r="139">
      <c r="A139" s="9" t="inlineStr">
        <is>
          <t>부채·순자산 합계</t>
        </is>
      </c>
      <c r="C139" s="12" t="n">
        <v>9409.689</v>
      </c>
      <c r="D139" s="12" t="n">
        <v>9504.181</v>
      </c>
      <c r="E139" s="12" t="n">
        <v>8898.155000000001</v>
      </c>
      <c r="F139" s="12" t="n">
        <v>10034.023</v>
      </c>
      <c r="G139" s="12" t="n">
        <v>9326.190000000001</v>
      </c>
      <c r="H139" s="12" t="n">
        <v>4041.016</v>
      </c>
      <c r="I139" s="12" t="n">
        <v>4401.658</v>
      </c>
      <c r="J139" s="12" t="n">
        <v>8262.802</v>
      </c>
      <c r="K139" s="12" t="n">
        <v>9409.689</v>
      </c>
      <c r="L139" s="12" t="n">
        <v>9326.190000000001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https://www2.jpx.co.jp/disc/40150/140120261015551091.pdf</t>
        </is>
      </c>
    </row>
    <row r="5">
      <c r="A5" t="inlineStr">
        <is>
          <t>2026-07-14</t>
        </is>
      </c>
      <c r="B5" t="inlineStr">
        <is>
          <t>2026년 8월 결산기 ３분기 결산단신</t>
        </is>
      </c>
      <c r="C5" t="inlineStr">
        <is>
          <t>https://www2.jpx.co.jp/disc/40150/140120260714593073.pdf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https://www2.jpx.co.jp/disc/40150/140120260414503377.pdf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https://www2.jpx.co.jp/disc/40150/140120260114533260.pdf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https://www2.jpx.co.jp/disc/40150/140120251015573955.pdf</t>
        </is>
      </c>
    </row>
    <row r="9">
      <c r="A9" t="inlineStr">
        <is>
          <t>2025-07-14</t>
        </is>
      </c>
      <c r="B9" t="inlineStr">
        <is>
          <t>2025년 8월 결산기 ３분기 결산단신</t>
        </is>
      </c>
      <c r="C9" t="inlineStr">
        <is>
          <t>https://www2.jpx.co.jp/disc/40150/140120250711512724.pdf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https://www2.jpx.co.jp/disc/40150/140120250414514525.pdf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https://www2.jpx.co.jp/disc/40150/140120250110549558.pdf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https://www2.jpx.co.jp/disc/40150/140120241011597060.pdf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https://www2.jpx.co.jp/disc/40150/140120240712548511.pdf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https://www2.jpx.co.jp/disc/40150/140120240412569653.pdf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https://www2.jpx.co.jp/disc/40150/140120240112514106.pdf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https://www2.jpx.co.jp/disc/40150/140120231012566213.pdf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https://www2.jpx.co.jp/disc/40150/140120230714522320.pdf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https://www2.jpx.co.jp/disc/40150/140120230411545468.pdf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https://www2.jpx.co.jp/disc/40150/140120230113588976.pdf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https://www2.jpx.co.jp/disc/40150/140120221014544677.pdf</t>
        </is>
      </c>
    </row>
    <row r="21">
      <c r="A21" t="inlineStr">
        <is>
          <t>2021-10-14</t>
        </is>
      </c>
      <c r="B21" t="inlineStr">
        <is>
          <t>2021년 8월 결산기 연간 결산단신</t>
        </is>
      </c>
      <c r="C21" t="inlineStr">
        <is>
          <t>https://www2.jpx.co.jp/disc/40150/140120211014410958.pdf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2026-10-26T10:53:59Z</dcterms:created>
  <dcterms:modified xmlns:dcterms="http://purl.org/dc/terms/" xmlns:xsi="http://www.w3.org/2001/XMLSchema-instance" xsi:type="dcterms:W3CDTF">2026-10-26T10:53:59Z</dcterms:modified>
</cp:coreProperties>
</file>