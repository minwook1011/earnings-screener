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손익계산서" sheetId="1" state="visible" r:id="rId1"/>
    <sheet xmlns:r="http://schemas.openxmlformats.org/officeDocument/2006/relationships" name="포괄손익" sheetId="2" state="visible" r:id="rId2"/>
    <sheet xmlns:r="http://schemas.openxmlformats.org/officeDocument/2006/relationships" name="재무상태표" sheetId="3" state="visible" r:id="rId3"/>
    <sheet xmlns:r="http://schemas.openxmlformats.org/officeDocument/2006/relationships" name="현금흐름표" sheetId="4" state="visible" r:id="rId4"/>
    <sheet xmlns:r="http://schemas.openxmlformats.org/officeDocument/2006/relationships" name="부문" sheetId="5" state="visible" r:id="rId5"/>
    <sheet xmlns:r="http://schemas.openxmlformats.org/officeDocument/2006/relationships" name="출처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\(#,##0.0\);&quot;-&quot;"/>
    <numFmt numFmtId="165" formatCode="0.0%;\-0.0%;&quot;-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color rgb="FFFF0000"/>
      <sz val="9"/>
    </font>
    <font>
      <name val="맑은 고딕"/>
      <color rgb="FF808080"/>
      <sz val="9"/>
    </font>
    <font>
      <name val="맑은 고딕"/>
      <b val="1"/>
      <sz val="10"/>
    </font>
    <font>
      <name val="맑은 고딕"/>
      <b val="1"/>
      <sz val="11"/>
    </font>
    <font>
      <name val="맑은 고딕"/>
      <color rgb="FF808080"/>
      <sz val="11"/>
    </font>
    <font>
      <name val="맑은 고딕"/>
      <sz val="11"/>
    </font>
  </fonts>
  <fills count="3">
    <fill>
      <patternFill/>
    </fill>
    <fill>
      <patternFill patternType="gray125"/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center" vertical="center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40" customWidth="1" min="30" max="30"/>
  </cols>
  <sheetData>
    <row r="1">
      <c r="A1" s="1" t="inlineStr">
        <is>
          <t>페이클라우드홀딩스 손익계산서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FY20</t>
        </is>
      </c>
      <c r="X3" s="4" t="inlineStr">
        <is>
          <t>FY21</t>
        </is>
      </c>
      <c r="Y3" s="4" t="inlineStr">
        <is>
          <t>FY22</t>
        </is>
      </c>
      <c r="Z3" s="4" t="inlineStr">
        <is>
          <t>FY23</t>
        </is>
      </c>
      <c r="AA3" s="4" t="inlineStr">
        <is>
          <t>FY24</t>
        </is>
      </c>
      <c r="AB3" s="4" t="inlineStr">
        <is>
          <t>FY25</t>
        </is>
      </c>
      <c r="AC3" s="4" t="inlineStr">
        <is>
          <t>FY26</t>
        </is>
      </c>
      <c r="AD3" s="4" t="inlineStr">
        <is>
          <t>출처</t>
        </is>
      </c>
    </row>
    <row r="4">
      <c r="A4" s="5" t="inlineStr">
        <is>
          <t>매출액</t>
        </is>
      </c>
      <c r="C4" s="6" t="n">
        <v>2.7777</v>
      </c>
      <c r="D4" s="6" t="n">
        <v>2.7918</v>
      </c>
      <c r="E4" s="6" t="n">
        <v>2.8694</v>
      </c>
      <c r="F4" s="6" t="n">
        <v>3.2158</v>
      </c>
      <c r="G4" s="6" t="n">
        <v>12.4579</v>
      </c>
      <c r="H4" s="6" t="n">
        <v>10.091</v>
      </c>
      <c r="I4" s="6" t="n">
        <v>10.6617</v>
      </c>
      <c r="J4" s="6" t="n">
        <v>11.5525</v>
      </c>
      <c r="K4" s="6" t="n">
        <v>10.3937</v>
      </c>
      <c r="L4" s="6" t="n">
        <v>9.5122</v>
      </c>
      <c r="M4" s="6" t="n">
        <v>28.2477</v>
      </c>
      <c r="N4" s="6" t="n">
        <v>20.3804</v>
      </c>
      <c r="O4" s="6" t="n">
        <v>23.4253</v>
      </c>
      <c r="P4" s="6" t="n">
        <v>24.9572</v>
      </c>
      <c r="Q4" s="6" t="n">
        <v>28.0732</v>
      </c>
      <c r="R4" s="6" t="n">
        <v>25.8847</v>
      </c>
      <c r="S4" s="6" t="n">
        <v>23.9925</v>
      </c>
      <c r="T4" s="6" t="n">
        <v>23.2456</v>
      </c>
      <c r="U4" s="6" t="n">
        <v>33.3398</v>
      </c>
      <c r="V4" s="6" t="n">
        <v>30.8451</v>
      </c>
      <c r="W4" s="6" t="n">
        <v>12.0108</v>
      </c>
      <c r="X4" s="6" t="n">
        <v>14.6135</v>
      </c>
      <c r="Y4" s="6" t="n">
        <v>11.6547</v>
      </c>
      <c r="Z4" s="6" t="n">
        <v>44.7631</v>
      </c>
      <c r="AA4" s="6" t="n">
        <v>68.5341</v>
      </c>
      <c r="AB4" s="6" t="n">
        <v>102.3403</v>
      </c>
      <c r="AC4" s="6" t="n">
        <v>111.4231</v>
      </c>
      <c r="AD4" s="7" t="inlineStr">
        <is>
          <t>결산단신 XBRL(거래소 공시, TDnet·JPX 보관소). 쓴 문서: 2026-10-15, 2026-07-14, 2026-04-14, 2026-01-14 외 20건 — '출처' 시트에 전부</t>
        </is>
      </c>
    </row>
    <row r="5">
      <c r="A5" s="8" t="inlineStr">
        <is>
          <t>YoY</t>
        </is>
      </c>
      <c r="G5" s="9">
        <f>IF(OR(G4="",C4=""),"",IFERROR(G4/C4-1,""))</f>
        <v/>
      </c>
      <c r="H5" s="9">
        <f>IF(OR(H4="",D4=""),"",IFERROR(H4/D4-1,""))</f>
        <v/>
      </c>
      <c r="I5" s="9">
        <f>IF(OR(I4="",E4=""),"",IFERROR(I4/E4-1,""))</f>
        <v/>
      </c>
      <c r="J5" s="9">
        <f>IF(OR(J4="",F4=""),"",IFERROR(J4/F4-1,""))</f>
        <v/>
      </c>
      <c r="K5" s="9">
        <f>IF(OR(K4="",G4=""),"",IFERROR(K4/G4-1,""))</f>
        <v/>
      </c>
      <c r="L5" s="9">
        <f>IF(OR(L4="",H4=""),"",IFERROR(L4/H4-1,""))</f>
        <v/>
      </c>
      <c r="M5" s="9">
        <f>IF(OR(M4="",I4=""),"",IFERROR(M4/I4-1,""))</f>
        <v/>
      </c>
      <c r="N5" s="9">
        <f>IF(OR(N4="",J4=""),"",IFERROR(N4/J4-1,""))</f>
        <v/>
      </c>
      <c r="O5" s="9">
        <f>IF(OR(O4="",K4=""),"",IFERROR(O4/K4-1,""))</f>
        <v/>
      </c>
      <c r="P5" s="9">
        <f>IF(OR(P4="",L4=""),"",IFERROR(P4/L4-1,""))</f>
        <v/>
      </c>
      <c r="Q5" s="9">
        <f>IF(OR(Q4="",M4=""),"",IFERROR(Q4/M4-1,""))</f>
        <v/>
      </c>
      <c r="R5" s="9">
        <f>IF(OR(R4="",N4=""),"",IFERROR(R4/N4-1,""))</f>
        <v/>
      </c>
      <c r="S5" s="9">
        <f>IF(OR(S4="",O4=""),"",IFERROR(S4/O4-1,""))</f>
        <v/>
      </c>
      <c r="T5" s="9">
        <f>IF(OR(T4="",P4=""),"",IFERROR(T4/P4-1,""))</f>
        <v/>
      </c>
      <c r="U5" s="9">
        <f>IF(OR(U4="",Q4=""),"",IFERROR(U4/Q4-1,""))</f>
        <v/>
      </c>
      <c r="V5" s="9">
        <f>IF(OR(V4="",R4=""),"",IFERROR(V4/R4-1,""))</f>
        <v/>
      </c>
      <c r="X5" s="9">
        <f>IF(OR(X4="",W4=""),"",IFERROR(X4/W4-1,""))</f>
        <v/>
      </c>
      <c r="Y5" s="9">
        <f>IF(OR(Y4="",X4=""),"",IFERROR(Y4/X4-1,""))</f>
        <v/>
      </c>
      <c r="Z5" s="9">
        <f>IF(OR(Z4="",Y4=""),"",IFERROR(Z4/Y4-1,""))</f>
        <v/>
      </c>
      <c r="AA5" s="9">
        <f>IF(OR(AA4="",Z4=""),"",IFERROR(AA4/Z4-1,""))</f>
        <v/>
      </c>
      <c r="AB5" s="9">
        <f>IF(OR(AB4="",AA4=""),"",IFERROR(AB4/AA4-1,""))</f>
        <v/>
      </c>
      <c r="AC5" s="9">
        <f>IF(OR(AC4="",AB4=""),"",IFERROR(AC4/AB4-1,""))</f>
        <v/>
      </c>
    </row>
    <row r="6">
      <c r="A6" s="5" t="inlineStr">
        <is>
          <t>매출원가</t>
        </is>
      </c>
      <c r="C6" s="6" t="n">
        <v>0.9637</v>
      </c>
      <c r="D6" s="6" t="n">
        <v>0.9356</v>
      </c>
      <c r="E6" s="6" t="n">
        <v>1.0064</v>
      </c>
      <c r="F6" s="6" t="n">
        <v>1.2739</v>
      </c>
      <c r="G6" s="6" t="n">
        <v>6.1836</v>
      </c>
      <c r="H6" s="6" t="n">
        <v>4.7203</v>
      </c>
      <c r="I6" s="6" t="n">
        <v>5.0643</v>
      </c>
      <c r="J6" s="6" t="n">
        <v>5.8279</v>
      </c>
      <c r="K6" s="6" t="n">
        <v>4.9206</v>
      </c>
      <c r="L6" s="6" t="n">
        <v>3.6605</v>
      </c>
      <c r="M6" s="6" t="n">
        <v>17.6448</v>
      </c>
      <c r="N6" s="6" t="n">
        <v>12.2238</v>
      </c>
      <c r="O6" s="6" t="n">
        <v>14.04</v>
      </c>
      <c r="P6" s="6" t="n">
        <v>14.608</v>
      </c>
      <c r="Q6" s="6" t="n">
        <v>17.717</v>
      </c>
      <c r="R6" s="6" t="n">
        <v>15.9263</v>
      </c>
      <c r="S6" s="6" t="n">
        <v>14.2398</v>
      </c>
      <c r="T6" s="6" t="n">
        <v>12.8907</v>
      </c>
      <c r="U6" s="6" t="n">
        <v>21.4456</v>
      </c>
      <c r="V6" s="6" t="n">
        <v>19.6399</v>
      </c>
      <c r="W6" s="6" t="n">
        <v>4.2762</v>
      </c>
      <c r="X6" s="6" t="n">
        <v>4.3471</v>
      </c>
      <c r="Y6" s="6" t="n">
        <v>4.1795</v>
      </c>
      <c r="Z6" s="6" t="n">
        <v>21.7961</v>
      </c>
      <c r="AA6" s="6" t="n">
        <v>38.4497</v>
      </c>
      <c r="AB6" s="6" t="n">
        <v>62.2913</v>
      </c>
      <c r="AC6" s="6" t="n">
        <v>68.21599999999999</v>
      </c>
    </row>
    <row r="7">
      <c r="A7" s="5" t="inlineStr">
        <is>
          <t>매출총이익</t>
        </is>
      </c>
      <c r="C7" s="6" t="n">
        <v>1.814</v>
      </c>
      <c r="D7" s="6" t="n">
        <v>1.8563</v>
      </c>
      <c r="E7" s="6" t="n">
        <v>1.863</v>
      </c>
      <c r="F7" s="6" t="n">
        <v>1.9419</v>
      </c>
      <c r="G7" s="6" t="n">
        <v>6.2743</v>
      </c>
      <c r="H7" s="6" t="n">
        <v>5.3707</v>
      </c>
      <c r="I7" s="6" t="n">
        <v>5.5974</v>
      </c>
      <c r="J7" s="6" t="n">
        <v>5.7246</v>
      </c>
      <c r="K7" s="6" t="n">
        <v>5.4731</v>
      </c>
      <c r="L7" s="6" t="n">
        <v>5.8517</v>
      </c>
      <c r="M7" s="6" t="n">
        <v>10.6029</v>
      </c>
      <c r="N7" s="6" t="n">
        <v>8.156599999999999</v>
      </c>
      <c r="O7" s="6" t="n">
        <v>9.385300000000001</v>
      </c>
      <c r="P7" s="6" t="n">
        <v>10.3491</v>
      </c>
      <c r="Q7" s="6" t="n">
        <v>10.3562</v>
      </c>
      <c r="R7" s="6" t="n">
        <v>9.958399999999999</v>
      </c>
      <c r="S7" s="6" t="n">
        <v>9.752700000000001</v>
      </c>
      <c r="T7" s="6" t="n">
        <v>10.3549</v>
      </c>
      <c r="U7" s="6" t="n">
        <v>11.8943</v>
      </c>
      <c r="V7" s="6" t="n">
        <v>11.2052</v>
      </c>
      <c r="W7" s="6" t="n">
        <v>7.7345</v>
      </c>
      <c r="X7" s="6" t="n">
        <v>10.2664</v>
      </c>
      <c r="Y7" s="6" t="n">
        <v>7.4752</v>
      </c>
      <c r="Z7" s="6" t="n">
        <v>22.967</v>
      </c>
      <c r="AA7" s="6" t="n">
        <v>30.0844</v>
      </c>
      <c r="AB7" s="6" t="n">
        <v>40.049</v>
      </c>
      <c r="AC7" s="6" t="n">
        <v>43.2071</v>
      </c>
    </row>
    <row r="8">
      <c r="A8" s="8" t="inlineStr">
        <is>
          <t>매출총이익률</t>
        </is>
      </c>
      <c r="C8" s="9">
        <f>IF(OR(C7="",C4=""),"",IFERROR(C7/C4,""))</f>
        <v/>
      </c>
      <c r="D8" s="9">
        <f>IF(OR(D7="",D4=""),"",IFERROR(D7/D4,""))</f>
        <v/>
      </c>
      <c r="E8" s="9">
        <f>IF(OR(E7="",E4=""),"",IFERROR(E7/E4,""))</f>
        <v/>
      </c>
      <c r="F8" s="9">
        <f>IF(OR(F7="",F4=""),"",IFERROR(F7/F4,""))</f>
        <v/>
      </c>
      <c r="G8" s="9">
        <f>IF(OR(G7="",G4=""),"",IFERROR(G7/G4,""))</f>
        <v/>
      </c>
      <c r="H8" s="9">
        <f>IF(OR(H7="",H4=""),"",IFERROR(H7/H4,""))</f>
        <v/>
      </c>
      <c r="I8" s="9">
        <f>IF(OR(I7="",I4=""),"",IFERROR(I7/I4,""))</f>
        <v/>
      </c>
      <c r="J8" s="9">
        <f>IF(OR(J7="",J4=""),"",IFERROR(J7/J4,""))</f>
        <v/>
      </c>
      <c r="K8" s="9">
        <f>IF(OR(K7="",K4=""),"",IFERROR(K7/K4,""))</f>
        <v/>
      </c>
      <c r="L8" s="9">
        <f>IF(OR(L7="",L4=""),"",IFERROR(L7/L4,""))</f>
        <v/>
      </c>
      <c r="M8" s="9">
        <f>IF(OR(M7="",M4=""),"",IFERROR(M7/M4,""))</f>
        <v/>
      </c>
      <c r="N8" s="9">
        <f>IF(OR(N7="",N4=""),"",IFERROR(N7/N4,""))</f>
        <v/>
      </c>
      <c r="O8" s="9">
        <f>IF(OR(O7="",O4=""),"",IFERROR(O7/O4,""))</f>
        <v/>
      </c>
      <c r="P8" s="9">
        <f>IF(OR(P7="",P4=""),"",IFERROR(P7/P4,""))</f>
        <v/>
      </c>
      <c r="Q8" s="9">
        <f>IF(OR(Q7="",Q4=""),"",IFERROR(Q7/Q4,""))</f>
        <v/>
      </c>
      <c r="R8" s="9">
        <f>IF(OR(R7="",R4=""),"",IFERROR(R7/R4,""))</f>
        <v/>
      </c>
      <c r="S8" s="9">
        <f>IF(OR(S7="",S4=""),"",IFERROR(S7/S4,""))</f>
        <v/>
      </c>
      <c r="T8" s="9">
        <f>IF(OR(T7="",T4=""),"",IFERROR(T7/T4,""))</f>
        <v/>
      </c>
      <c r="U8" s="9">
        <f>IF(OR(U7="",U4=""),"",IFERROR(U7/U4,""))</f>
        <v/>
      </c>
      <c r="V8" s="9">
        <f>IF(OR(V7="",V4=""),"",IFERROR(V7/V4,""))</f>
        <v/>
      </c>
      <c r="W8" s="9">
        <f>IF(OR(W7="",W4=""),"",IFERROR(W7/W4,""))</f>
        <v/>
      </c>
      <c r="X8" s="9">
        <f>IF(OR(X7="",X4=""),"",IFERROR(X7/X4,""))</f>
        <v/>
      </c>
      <c r="Y8" s="9">
        <f>IF(OR(Y7="",Y4=""),"",IFERROR(Y7/Y4,""))</f>
        <v/>
      </c>
      <c r="Z8" s="9">
        <f>IF(OR(Z7="",Z4=""),"",IFERROR(Z7/Z4,""))</f>
        <v/>
      </c>
      <c r="AA8" s="9">
        <f>IF(OR(AA7="",AA4=""),"",IFERROR(AA7/AA4,""))</f>
        <v/>
      </c>
      <c r="AB8" s="9">
        <f>IF(OR(AB7="",AB4=""),"",IFERROR(AB7/AB4,""))</f>
        <v/>
      </c>
      <c r="AC8" s="9">
        <f>IF(OR(AC7="",AC4=""),"",IFERROR(AC7/AC4,""))</f>
        <v/>
      </c>
    </row>
    <row r="9">
      <c r="A9" s="10" t="inlineStr">
        <is>
          <t>판매비와 관리비</t>
        </is>
      </c>
      <c r="C9" s="11" t="n">
        <v>2.0581</v>
      </c>
      <c r="D9" s="11" t="n">
        <v>2.2285</v>
      </c>
      <c r="E9" s="11" t="n">
        <v>2.2405</v>
      </c>
      <c r="F9" s="11" t="n">
        <v>2.5543</v>
      </c>
      <c r="G9" s="11" t="n">
        <v>6.671</v>
      </c>
      <c r="H9" s="11" t="n">
        <v>4.7185</v>
      </c>
      <c r="I9" s="11" t="n">
        <v>4.7787</v>
      </c>
      <c r="J9" s="11" t="n">
        <v>5.1627</v>
      </c>
      <c r="K9" s="11" t="n">
        <v>4.9698</v>
      </c>
      <c r="L9" s="11" t="n">
        <v>5.4942</v>
      </c>
      <c r="M9" s="11" t="n">
        <v>7.925</v>
      </c>
      <c r="N9" s="11" t="n">
        <v>8.315899999999999</v>
      </c>
      <c r="O9" s="11" t="n">
        <v>7.8675</v>
      </c>
      <c r="P9" s="11" t="n">
        <v>7.819</v>
      </c>
      <c r="Q9" s="11" t="n">
        <v>8.1752</v>
      </c>
      <c r="R9" s="11" t="n">
        <v>8.872999999999999</v>
      </c>
      <c r="S9" s="11" t="n">
        <v>8.348699999999999</v>
      </c>
      <c r="T9" s="11" t="n">
        <v>8.483700000000001</v>
      </c>
      <c r="U9" s="11" t="n">
        <v>8.5532</v>
      </c>
      <c r="V9" s="11" t="n">
        <v>9.536799999999999</v>
      </c>
      <c r="W9" s="11" t="n">
        <v>6.3656</v>
      </c>
      <c r="X9" s="11" t="n">
        <v>7.2104</v>
      </c>
      <c r="Y9" s="11" t="n">
        <v>9.0814</v>
      </c>
      <c r="Z9" s="11" t="n">
        <v>21.331</v>
      </c>
      <c r="AA9" s="11" t="n">
        <v>26.705</v>
      </c>
      <c r="AB9" s="11" t="n">
        <v>32.7347</v>
      </c>
      <c r="AC9" s="11" t="n">
        <v>34.9224</v>
      </c>
    </row>
    <row r="10">
      <c r="A10" s="5" t="inlineStr">
        <is>
          <t>영업이익</t>
        </is>
      </c>
      <c r="C10" s="6" t="n">
        <v>-0.2441</v>
      </c>
      <c r="D10" s="6" t="n">
        <v>-0.3722</v>
      </c>
      <c r="E10" s="6" t="n">
        <v>-0.3775</v>
      </c>
      <c r="F10" s="6" t="n">
        <v>-0.6124000000000001</v>
      </c>
      <c r="G10" s="6" t="n">
        <v>-0.3967</v>
      </c>
      <c r="H10" s="6" t="n">
        <v>0.6522</v>
      </c>
      <c r="I10" s="6" t="n">
        <v>0.8186</v>
      </c>
      <c r="J10" s="6" t="n">
        <v>0.5619</v>
      </c>
      <c r="K10" s="6" t="n">
        <v>0.5033</v>
      </c>
      <c r="L10" s="6" t="n">
        <v>0.3575</v>
      </c>
      <c r="M10" s="6" t="n">
        <v>2.6779</v>
      </c>
      <c r="N10" s="6" t="n">
        <v>-0.1593</v>
      </c>
      <c r="O10" s="6" t="n">
        <v>1.5178</v>
      </c>
      <c r="P10" s="6" t="n">
        <v>2.5302</v>
      </c>
      <c r="Q10" s="6" t="n">
        <v>2.1809</v>
      </c>
      <c r="R10" s="6" t="n">
        <v>1.0854</v>
      </c>
      <c r="S10" s="6" t="n">
        <v>1.404</v>
      </c>
      <c r="T10" s="6" t="n">
        <v>1.8713</v>
      </c>
      <c r="U10" s="6" t="n">
        <v>3.341</v>
      </c>
      <c r="V10" s="6" t="n">
        <v>1.6684</v>
      </c>
      <c r="W10" s="6" t="n">
        <v>1.3689</v>
      </c>
      <c r="X10" s="6" t="n">
        <v>3.056</v>
      </c>
      <c r="Y10" s="6" t="n">
        <v>-1.6062</v>
      </c>
      <c r="Z10" s="6" t="n">
        <v>1.636</v>
      </c>
      <c r="AA10" s="6" t="n">
        <v>3.3794</v>
      </c>
      <c r="AB10" s="6" t="n">
        <v>7.3143</v>
      </c>
      <c r="AC10" s="6" t="n">
        <v>8.284700000000001</v>
      </c>
    </row>
    <row r="11">
      <c r="A11" s="8" t="inlineStr">
        <is>
          <t>영업이익률</t>
        </is>
      </c>
      <c r="C11" s="9">
        <f>IF(OR(C10="",C4=""),"",IFERROR(C10/C4,""))</f>
        <v/>
      </c>
      <c r="D11" s="9">
        <f>IF(OR(D10="",D4=""),"",IFERROR(D10/D4,""))</f>
        <v/>
      </c>
      <c r="E11" s="9">
        <f>IF(OR(E10="",E4=""),"",IFERROR(E10/E4,""))</f>
        <v/>
      </c>
      <c r="F11" s="9">
        <f>IF(OR(F10="",F4=""),"",IFERROR(F10/F4,""))</f>
        <v/>
      </c>
      <c r="G11" s="9">
        <f>IF(OR(G10="",G4=""),"",IFERROR(G10/G4,""))</f>
        <v/>
      </c>
      <c r="H11" s="9">
        <f>IF(OR(H10="",H4=""),"",IFERROR(H10/H4,""))</f>
        <v/>
      </c>
      <c r="I11" s="9">
        <f>IF(OR(I10="",I4=""),"",IFERROR(I10/I4,""))</f>
        <v/>
      </c>
      <c r="J11" s="9">
        <f>IF(OR(J10="",J4=""),"",IFERROR(J10/J4,""))</f>
        <v/>
      </c>
      <c r="K11" s="9">
        <f>IF(OR(K10="",K4=""),"",IFERROR(K10/K4,""))</f>
        <v/>
      </c>
      <c r="L11" s="9">
        <f>IF(OR(L10="",L4=""),"",IFERROR(L10/L4,""))</f>
        <v/>
      </c>
      <c r="M11" s="9">
        <f>IF(OR(M10="",M4=""),"",IFERROR(M10/M4,""))</f>
        <v/>
      </c>
      <c r="N11" s="9">
        <f>IF(OR(N10="",N4=""),"",IFERROR(N10/N4,""))</f>
        <v/>
      </c>
      <c r="O11" s="9">
        <f>IF(OR(O10="",O4=""),"",IFERROR(O10/O4,""))</f>
        <v/>
      </c>
      <c r="P11" s="9">
        <f>IF(OR(P10="",P4=""),"",IFERROR(P10/P4,""))</f>
        <v/>
      </c>
      <c r="Q11" s="9">
        <f>IF(OR(Q10="",Q4=""),"",IFERROR(Q10/Q4,""))</f>
        <v/>
      </c>
      <c r="R11" s="9">
        <f>IF(OR(R10="",R4=""),"",IFERROR(R10/R4,""))</f>
        <v/>
      </c>
      <c r="S11" s="9">
        <f>IF(OR(S10="",S4=""),"",IFERROR(S10/S4,""))</f>
        <v/>
      </c>
      <c r="T11" s="9">
        <f>IF(OR(T10="",T4=""),"",IFERROR(T10/T4,""))</f>
        <v/>
      </c>
      <c r="U11" s="9">
        <f>IF(OR(U10="",U4=""),"",IFERROR(U10/U4,""))</f>
        <v/>
      </c>
      <c r="V11" s="9">
        <f>IF(OR(V10="",V4=""),"",IFERROR(V10/V4,""))</f>
        <v/>
      </c>
      <c r="W11" s="9">
        <f>IF(OR(W10="",W4=""),"",IFERROR(W10/W4,""))</f>
        <v/>
      </c>
      <c r="X11" s="9">
        <f>IF(OR(X10="",X4=""),"",IFERROR(X10/X4,""))</f>
        <v/>
      </c>
      <c r="Y11" s="9">
        <f>IF(OR(Y10="",Y4=""),"",IFERROR(Y10/Y4,""))</f>
        <v/>
      </c>
      <c r="Z11" s="9">
        <f>IF(OR(Z10="",Z4=""),"",IFERROR(Z10/Z4,""))</f>
        <v/>
      </c>
      <c r="AA11" s="9">
        <f>IF(OR(AA10="",AA4=""),"",IFERROR(AA10/AA4,""))</f>
        <v/>
      </c>
      <c r="AB11" s="9">
        <f>IF(OR(AB10="",AB4=""),"",IFERROR(AB10/AB4,""))</f>
        <v/>
      </c>
      <c r="AC11" s="9">
        <f>IF(OR(AC10="",AC4=""),"",IFERROR(AC10/AC4,""))</f>
        <v/>
      </c>
    </row>
    <row r="12">
      <c r="A12" s="8" t="inlineStr">
        <is>
          <t>YoY</t>
        </is>
      </c>
      <c r="G12" s="9">
        <f>IF(OR(G10="",C10=""),"",IFERROR(G10/C10-1,""))</f>
        <v/>
      </c>
      <c r="H12" s="9">
        <f>IF(OR(H10="",D10=""),"",IFERROR(H10/D10-1,""))</f>
        <v/>
      </c>
      <c r="I12" s="9">
        <f>IF(OR(I10="",E10=""),"",IFERROR(I10/E10-1,""))</f>
        <v/>
      </c>
      <c r="J12" s="9">
        <f>IF(OR(J10="",F10=""),"",IFERROR(J10/F10-1,""))</f>
        <v/>
      </c>
      <c r="K12" s="9">
        <f>IF(OR(K10="",G10=""),"",IFERROR(K10/G10-1,""))</f>
        <v/>
      </c>
      <c r="L12" s="9">
        <f>IF(OR(L10="",H10=""),"",IFERROR(L10/H10-1,""))</f>
        <v/>
      </c>
      <c r="M12" s="9">
        <f>IF(OR(M10="",I10=""),"",IFERROR(M10/I10-1,""))</f>
        <v/>
      </c>
      <c r="N12" s="9">
        <f>IF(OR(N10="",J10=""),"",IFERROR(N10/J10-1,""))</f>
        <v/>
      </c>
      <c r="O12" s="9">
        <f>IF(OR(O10="",K10=""),"",IFERROR(O10/K10-1,""))</f>
        <v/>
      </c>
      <c r="P12" s="9">
        <f>IF(OR(P10="",L10=""),"",IFERROR(P10/L10-1,""))</f>
        <v/>
      </c>
      <c r="Q12" s="9">
        <f>IF(OR(Q10="",M10=""),"",IFERROR(Q10/M10-1,""))</f>
        <v/>
      </c>
      <c r="R12" s="9">
        <f>IF(OR(R10="",N10=""),"",IFERROR(R10/N10-1,""))</f>
        <v/>
      </c>
      <c r="S12" s="9">
        <f>IF(OR(S10="",O10=""),"",IFERROR(S10/O10-1,""))</f>
        <v/>
      </c>
      <c r="T12" s="9">
        <f>IF(OR(T10="",P10=""),"",IFERROR(T10/P10-1,""))</f>
        <v/>
      </c>
      <c r="U12" s="9">
        <f>IF(OR(U10="",Q10=""),"",IFERROR(U10/Q10-1,""))</f>
        <v/>
      </c>
      <c r="V12" s="9">
        <f>IF(OR(V10="",R10=""),"",IFERROR(V10/R10-1,""))</f>
        <v/>
      </c>
      <c r="X12" s="9">
        <f>IF(OR(X10="",W10=""),"",IFERROR(X10/W10-1,""))</f>
        <v/>
      </c>
      <c r="Y12" s="9">
        <f>IF(OR(Y10="",X10=""),"",IFERROR(Y10/X10-1,""))</f>
        <v/>
      </c>
      <c r="Z12" s="9">
        <f>IF(OR(Z10="",Y10=""),"",IFERROR(Z10/Y10-1,""))</f>
        <v/>
      </c>
      <c r="AA12" s="9">
        <f>IF(OR(AA10="",Z10=""),"",IFERROR(AA10/Z10-1,""))</f>
        <v/>
      </c>
      <c r="AB12" s="9">
        <f>IF(OR(AB10="",AA10=""),"",IFERROR(AB10/AA10-1,""))</f>
        <v/>
      </c>
      <c r="AC12" s="9">
        <f>IF(OR(AC10="",AB10=""),"",IFERROR(AC10/AB10-1,""))</f>
        <v/>
      </c>
    </row>
    <row r="13">
      <c r="A13" s="10" t="inlineStr">
        <is>
          <t>이자수익</t>
        </is>
      </c>
      <c r="C13" s="11" t="n">
        <v>0</v>
      </c>
      <c r="D13" s="11" t="n">
        <v>0</v>
      </c>
      <c r="E13" s="11" t="n">
        <v>0</v>
      </c>
      <c r="F13" s="11" t="n">
        <v>0</v>
      </c>
      <c r="G13" s="11" t="n">
        <v>0.0023</v>
      </c>
      <c r="H13" s="11" t="n">
        <v>0.0024</v>
      </c>
      <c r="I13" s="11" t="n">
        <v>0.0024</v>
      </c>
      <c r="J13" s="11" t="n">
        <v>0.0026</v>
      </c>
      <c r="K13" s="11" t="n">
        <v>0.0034</v>
      </c>
      <c r="L13" s="11" t="n">
        <v>0.0014</v>
      </c>
      <c r="M13" s="11" t="n">
        <v>0.0102</v>
      </c>
      <c r="N13" s="11" t="n">
        <v>0.013</v>
      </c>
      <c r="O13" s="11" t="n">
        <v>0.0086</v>
      </c>
      <c r="P13" s="11" t="n">
        <v>0.0217</v>
      </c>
      <c r="Q13" s="11" t="n">
        <v>0.0102</v>
      </c>
      <c r="R13" s="11" t="n">
        <v>0.0348</v>
      </c>
      <c r="S13" s="11" t="n">
        <v>0.0033</v>
      </c>
      <c r="T13" s="11" t="n">
        <v>0.0487</v>
      </c>
      <c r="U13" s="11" t="n">
        <v>0.0078</v>
      </c>
      <c r="V13" s="11" t="n">
        <v>0.0605</v>
      </c>
      <c r="W13" s="11" t="n">
        <v>0.0007</v>
      </c>
      <c r="X13" s="11" t="n">
        <v>0.0002</v>
      </c>
      <c r="Y13" s="11" t="n">
        <v>0</v>
      </c>
      <c r="Z13" s="11" t="n">
        <v>0.0097</v>
      </c>
      <c r="AA13" s="11" t="n">
        <v>0.0279</v>
      </c>
      <c r="AB13" s="11" t="n">
        <v>0.07530000000000001</v>
      </c>
      <c r="AC13" s="11" t="n">
        <v>0.1203</v>
      </c>
    </row>
    <row r="14">
      <c r="A14" s="10" t="inlineStr">
        <is>
          <t>배당금수익</t>
        </is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0.0015</v>
      </c>
      <c r="P14" s="11" t="n">
        <v>0</v>
      </c>
      <c r="Q14" s="11" t="n">
        <v>0.0018</v>
      </c>
      <c r="R14" s="11" t="n">
        <v>0</v>
      </c>
      <c r="S14" s="11" t="n">
        <v>0</v>
      </c>
      <c r="T14" s="11" t="n">
        <v>0</v>
      </c>
      <c r="U14" s="11" t="n">
        <v>0.0019</v>
      </c>
      <c r="V14" s="11" t="n">
        <v>0</v>
      </c>
      <c r="AA14" s="11" t="n">
        <v>0</v>
      </c>
      <c r="AB14" s="11" t="n">
        <v>0.0032</v>
      </c>
      <c r="AC14" s="11" t="n">
        <v>0.0019</v>
      </c>
    </row>
    <row r="15">
      <c r="A15" s="10" t="inlineStr">
        <is>
          <t>외환차익</t>
        </is>
      </c>
      <c r="G15" s="11" t="n">
        <v>0</v>
      </c>
      <c r="H15" s="11" t="n">
        <v>0</v>
      </c>
      <c r="I15" s="11" t="n">
        <v>0.0191</v>
      </c>
      <c r="J15" s="11" t="n">
        <v>0.0478</v>
      </c>
      <c r="K15" s="11" t="n">
        <v>0.0081</v>
      </c>
      <c r="L15" s="11" t="n">
        <v>0.0049</v>
      </c>
      <c r="M15" s="11" t="n">
        <v>0.0368</v>
      </c>
      <c r="N15" s="11" t="n">
        <v>-0.0306</v>
      </c>
      <c r="O15" s="11" t="n">
        <v>0.018</v>
      </c>
      <c r="P15" s="11" t="n">
        <v>-0.0116</v>
      </c>
      <c r="Q15" s="11" t="n">
        <v>-0.0003</v>
      </c>
      <c r="R15" s="11" t="n">
        <v>0.0207</v>
      </c>
      <c r="S15" s="11" t="n">
        <v>0.07190000000000001</v>
      </c>
      <c r="T15" s="11" t="n">
        <v>0.0192</v>
      </c>
      <c r="U15" s="11" t="n">
        <v>-0.0287</v>
      </c>
      <c r="V15" s="11" t="n">
        <v>-0.0089</v>
      </c>
      <c r="Y15" s="11" t="n">
        <v>0</v>
      </c>
      <c r="Z15" s="11" t="n">
        <v>0.0669</v>
      </c>
      <c r="AA15" s="11" t="n">
        <v>0.0192</v>
      </c>
      <c r="AB15" s="11" t="n">
        <v>0.0267</v>
      </c>
      <c r="AC15" s="11" t="n">
        <v>0.0534</v>
      </c>
    </row>
    <row r="16">
      <c r="A16" s="10" t="inlineStr">
        <is>
          <t>지분법이익</t>
        </is>
      </c>
      <c r="G16" s="11" t="n">
        <v>0.0199</v>
      </c>
      <c r="H16" s="11" t="n">
        <v>0.0175</v>
      </c>
      <c r="I16" s="11" t="n">
        <v>0.0159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Y16" s="11" t="n">
        <v>0</v>
      </c>
      <c r="Z16" s="11" t="n">
        <v>0.0533</v>
      </c>
      <c r="AA16" s="11" t="n">
        <v>0</v>
      </c>
    </row>
    <row r="17">
      <c r="A17" s="10" t="inlineStr">
        <is>
          <t>보조금 수입</t>
        </is>
      </c>
      <c r="E17" s="11" t="n">
        <v>0</v>
      </c>
      <c r="F17" s="11" t="n">
        <v>0</v>
      </c>
      <c r="W17" s="11" t="n">
        <v>0</v>
      </c>
      <c r="X17" s="11" t="n">
        <v>0.0644</v>
      </c>
      <c r="Y17" s="11" t="n">
        <v>0.0005</v>
      </c>
      <c r="Z17" s="11" t="n">
        <v>0</v>
      </c>
    </row>
    <row r="18">
      <c r="A18" s="5" t="inlineStr">
        <is>
          <t>임대수입</t>
        </is>
      </c>
      <c r="W18" s="6" t="n">
        <v>0.0216</v>
      </c>
      <c r="X18" s="6" t="n">
        <v>0</v>
      </c>
    </row>
    <row r="19">
      <c r="A19" s="10" t="inlineStr">
        <is>
          <t>대손충당금 환입</t>
        </is>
      </c>
      <c r="C19" s="11" t="n">
        <v>0</v>
      </c>
      <c r="D19" s="11" t="n">
        <v>0</v>
      </c>
      <c r="E19" s="11" t="n">
        <v>0</v>
      </c>
      <c r="W19" s="11" t="n">
        <v>0.06</v>
      </c>
      <c r="X19" s="11" t="n">
        <v>0.034</v>
      </c>
    </row>
    <row r="20">
      <c r="A20" s="10" t="inlineStr">
        <is>
          <t>보험금 수익</t>
        </is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0.0193</v>
      </c>
      <c r="P20" s="11" t="n">
        <v>0</v>
      </c>
      <c r="Q20" s="11" t="n">
        <v>0</v>
      </c>
      <c r="R20" s="11" t="n">
        <v>0.0041</v>
      </c>
      <c r="S20" s="11" t="n">
        <v>0</v>
      </c>
      <c r="T20" s="11" t="n">
        <v>0</v>
      </c>
      <c r="U20" s="11" t="n">
        <v>0</v>
      </c>
      <c r="V20" s="11" t="n">
        <v>0</v>
      </c>
      <c r="AA20" s="11" t="n">
        <v>0</v>
      </c>
      <c r="AB20" s="11" t="n">
        <v>0.0234</v>
      </c>
      <c r="AC20" s="11" t="n">
        <v>0</v>
      </c>
    </row>
    <row r="21">
      <c r="A21" s="10" t="inlineStr">
        <is>
          <t>기타</t>
        </is>
      </c>
      <c r="C21" s="11" t="n">
        <v>0.0011</v>
      </c>
      <c r="D21" s="11" t="n">
        <v>0</v>
      </c>
      <c r="E21" s="11" t="n">
        <v>0.0002</v>
      </c>
      <c r="F21" s="11" t="n">
        <v>0.0002</v>
      </c>
      <c r="G21" s="11" t="n">
        <v>0.0033</v>
      </c>
      <c r="H21" s="11" t="n">
        <v>0.0011</v>
      </c>
      <c r="I21" s="11" t="n">
        <v>0.0005</v>
      </c>
      <c r="J21" s="11" t="n">
        <v>0.0021</v>
      </c>
      <c r="K21" s="11" t="n">
        <v>0.0022</v>
      </c>
      <c r="L21" s="11" t="n">
        <v>0.0024</v>
      </c>
      <c r="M21" s="11" t="n">
        <v>0.002</v>
      </c>
      <c r="N21" s="11" t="n">
        <v>0.0114</v>
      </c>
      <c r="O21" s="11" t="n">
        <v>0.0042</v>
      </c>
      <c r="P21" s="11" t="n">
        <v>0.0086</v>
      </c>
      <c r="Q21" s="11" t="n">
        <v>0.0051</v>
      </c>
      <c r="R21" s="11" t="n">
        <v>0.0034</v>
      </c>
      <c r="S21" s="11" t="n">
        <v>0.0038</v>
      </c>
      <c r="T21" s="11" t="n">
        <v>0.0048</v>
      </c>
      <c r="U21" s="11" t="n">
        <v>0.0053</v>
      </c>
      <c r="V21" s="11" t="n">
        <v>0.0066</v>
      </c>
      <c r="W21" s="11" t="n">
        <v>0.0042</v>
      </c>
      <c r="X21" s="11" t="n">
        <v>0.0019</v>
      </c>
      <c r="Y21" s="11" t="n">
        <v>0.0015</v>
      </c>
      <c r="Z21" s="11" t="n">
        <v>0.0071</v>
      </c>
      <c r="AA21" s="11" t="n">
        <v>0.018</v>
      </c>
      <c r="AB21" s="11" t="n">
        <v>0.0213</v>
      </c>
      <c r="AC21" s="11" t="n">
        <v>0.0205</v>
      </c>
    </row>
    <row r="22">
      <c r="A22" s="5" t="inlineStr">
        <is>
          <t>영업외수익 합계</t>
        </is>
      </c>
      <c r="C22" s="6" t="n">
        <v>0.0011</v>
      </c>
      <c r="D22" s="6" t="n">
        <v>0.0005</v>
      </c>
      <c r="E22" s="6" t="n">
        <v>0.0002</v>
      </c>
      <c r="F22" s="6" t="n">
        <v>0.0002</v>
      </c>
      <c r="G22" s="6" t="n">
        <v>0.0255</v>
      </c>
      <c r="H22" s="6" t="n">
        <v>0.021</v>
      </c>
      <c r="I22" s="6" t="n">
        <v>0.038</v>
      </c>
      <c r="J22" s="6" t="n">
        <v>0.0525</v>
      </c>
      <c r="K22" s="6" t="n">
        <v>0.0137</v>
      </c>
      <c r="L22" s="6" t="n">
        <v>0.0086</v>
      </c>
      <c r="M22" s="6" t="n">
        <v>0.049</v>
      </c>
      <c r="N22" s="6" t="n">
        <v>-0.0063</v>
      </c>
      <c r="O22" s="6" t="n">
        <v>0.0517</v>
      </c>
      <c r="P22" s="6" t="n">
        <v>0.0186</v>
      </c>
      <c r="Q22" s="6" t="n">
        <v>0.0167</v>
      </c>
      <c r="R22" s="6" t="n">
        <v>0.063</v>
      </c>
      <c r="S22" s="6" t="n">
        <v>0.079</v>
      </c>
      <c r="T22" s="6" t="n">
        <v>0.0727</v>
      </c>
      <c r="U22" s="6" t="n">
        <v>-0.0137</v>
      </c>
      <c r="V22" s="6" t="n">
        <v>0.0582</v>
      </c>
      <c r="W22" s="6" t="n">
        <v>0.08649999999999999</v>
      </c>
      <c r="X22" s="6" t="n">
        <v>0.1005</v>
      </c>
      <c r="Y22" s="6" t="n">
        <v>0.0021</v>
      </c>
      <c r="Z22" s="6" t="n">
        <v>0.1369</v>
      </c>
      <c r="AA22" s="6" t="n">
        <v>0.06510000000000001</v>
      </c>
      <c r="AB22" s="6" t="n">
        <v>0.15</v>
      </c>
      <c r="AC22" s="6" t="n">
        <v>0.1961</v>
      </c>
    </row>
    <row r="23">
      <c r="A23" s="10" t="inlineStr">
        <is>
          <t>이자비용</t>
        </is>
      </c>
      <c r="C23" s="11" t="n">
        <v>0.05</v>
      </c>
      <c r="D23" s="11" t="n">
        <v>0.0488</v>
      </c>
      <c r="E23" s="11" t="n">
        <v>0.0461</v>
      </c>
      <c r="F23" s="11" t="n">
        <v>0.0478</v>
      </c>
      <c r="G23" s="11" t="n">
        <v>0.06</v>
      </c>
      <c r="H23" s="11" t="n">
        <v>0.0517</v>
      </c>
      <c r="I23" s="11" t="n">
        <v>0.0634</v>
      </c>
      <c r="J23" s="11" t="n">
        <v>0.0611</v>
      </c>
      <c r="K23" s="11" t="n">
        <v>0.0495</v>
      </c>
      <c r="L23" s="11" t="n">
        <v>0.0529</v>
      </c>
      <c r="M23" s="11" t="n">
        <v>0.0635</v>
      </c>
      <c r="N23" s="11" t="n">
        <v>0.0639</v>
      </c>
      <c r="O23" s="11" t="n">
        <v>0.0684</v>
      </c>
      <c r="P23" s="11" t="n">
        <v>0.0711</v>
      </c>
      <c r="Q23" s="11" t="n">
        <v>0.0819</v>
      </c>
      <c r="R23" s="11" t="n">
        <v>0.08110000000000001</v>
      </c>
      <c r="S23" s="11" t="n">
        <v>0.07779999999999999</v>
      </c>
      <c r="T23" s="11" t="n">
        <v>0.0834</v>
      </c>
      <c r="U23" s="11" t="n">
        <v>0.0851</v>
      </c>
      <c r="V23" s="11" t="n">
        <v>0.09</v>
      </c>
      <c r="W23" s="11" t="n">
        <v>0.0114</v>
      </c>
      <c r="X23" s="11" t="n">
        <v>0.0163</v>
      </c>
      <c r="Y23" s="11" t="n">
        <v>0.1927</v>
      </c>
      <c r="Z23" s="11" t="n">
        <v>0.2362</v>
      </c>
      <c r="AA23" s="11" t="n">
        <v>0.2298</v>
      </c>
      <c r="AB23" s="11" t="n">
        <v>0.3025</v>
      </c>
      <c r="AC23" s="11" t="n">
        <v>0.3364</v>
      </c>
    </row>
    <row r="24">
      <c r="A24" s="10" t="inlineStr">
        <is>
          <t>상장 관련 비용</t>
        </is>
      </c>
      <c r="C24" s="11" t="n">
        <v>0</v>
      </c>
      <c r="D24" s="11" t="n">
        <v>0</v>
      </c>
      <c r="E24" s="11" t="n">
        <v>0</v>
      </c>
      <c r="W24" s="11" t="n">
        <v>0.02</v>
      </c>
      <c r="X24" s="11" t="n">
        <v>0.1684</v>
      </c>
    </row>
    <row r="25">
      <c r="A25" s="10" t="inlineStr">
        <is>
          <t>외환차손</t>
        </is>
      </c>
      <c r="G25" s="11" t="n">
        <v>0.0057</v>
      </c>
      <c r="H25" s="11" t="n">
        <v>0.0097</v>
      </c>
      <c r="K25" s="11" t="n">
        <v>0</v>
      </c>
      <c r="L25" s="11" t="n">
        <v>0</v>
      </c>
    </row>
    <row r="26">
      <c r="A26" s="10" t="inlineStr">
        <is>
          <t>지급수수료</t>
        </is>
      </c>
      <c r="W26" s="11" t="n">
        <v>0</v>
      </c>
      <c r="X26" s="11" t="n">
        <v>0.17</v>
      </c>
      <c r="Y26" s="11" t="n">
        <v>0</v>
      </c>
      <c r="Z26" s="11" t="n">
        <v>0.1568</v>
      </c>
      <c r="AA26" s="11" t="n">
        <v>0.0103</v>
      </c>
      <c r="AB26" s="11" t="n">
        <v>0.0104</v>
      </c>
      <c r="AC26" s="11" t="n">
        <v>0.0232</v>
      </c>
    </row>
    <row r="27">
      <c r="A27" s="10" t="inlineStr">
        <is>
          <t>주식교부비</t>
        </is>
      </c>
      <c r="J27" s="11" t="n">
        <v>0</v>
      </c>
      <c r="N27" s="11" t="n">
        <v>0</v>
      </c>
      <c r="Y27" s="11" t="n">
        <v>0</v>
      </c>
      <c r="Z27" s="11" t="n">
        <v>0.0397</v>
      </c>
      <c r="AA27" s="11" t="n">
        <v>0</v>
      </c>
    </row>
    <row r="28">
      <c r="A28" s="10" t="inlineStr">
        <is>
          <t>지분법손실</t>
        </is>
      </c>
      <c r="Y28" s="11" t="n">
        <v>13.2473</v>
      </c>
      <c r="Z28" s="11" t="n">
        <v>0</v>
      </c>
    </row>
    <row r="29">
      <c r="A29" s="10" t="inlineStr">
        <is>
          <t>기타</t>
        </is>
      </c>
      <c r="C29" s="11" t="n">
        <v>0.0003</v>
      </c>
      <c r="D29" s="11" t="n">
        <v>0.0001</v>
      </c>
      <c r="E29" s="11" t="n">
        <v>0.0143</v>
      </c>
      <c r="F29" s="11" t="n">
        <v>0.0018</v>
      </c>
      <c r="G29" s="11" t="n">
        <v>0.0007</v>
      </c>
      <c r="H29" s="11" t="n">
        <v>0.003</v>
      </c>
      <c r="I29" s="11" t="n">
        <v>0.0014</v>
      </c>
      <c r="J29" s="11" t="n">
        <v>0.0013</v>
      </c>
      <c r="K29" s="11" t="n">
        <v>0.0037</v>
      </c>
      <c r="L29" s="11" t="n">
        <v>0.0033</v>
      </c>
      <c r="M29" s="11" t="n">
        <v>0.0035</v>
      </c>
      <c r="N29" s="11" t="n">
        <v>-0.0068</v>
      </c>
      <c r="O29" s="11" t="n">
        <v>0.0032</v>
      </c>
      <c r="P29" s="11" t="n">
        <v>0.0028</v>
      </c>
      <c r="Q29" s="11" t="n">
        <v>0.0032</v>
      </c>
      <c r="R29" s="11" t="n">
        <v>-0.0003</v>
      </c>
      <c r="S29" s="11" t="n">
        <v>0.0025</v>
      </c>
      <c r="T29" s="11" t="n">
        <v>0.0025</v>
      </c>
      <c r="U29" s="11" t="n">
        <v>0.0083</v>
      </c>
      <c r="V29" s="11" t="n">
        <v>-0.0133</v>
      </c>
      <c r="W29" s="11" t="n">
        <v>0.0026</v>
      </c>
      <c r="X29" s="11" t="n">
        <v>0.0013</v>
      </c>
      <c r="Y29" s="11" t="n">
        <v>0.0165</v>
      </c>
      <c r="Z29" s="11" t="n">
        <v>0.0065</v>
      </c>
      <c r="AA29" s="11" t="n">
        <v>0.0036</v>
      </c>
      <c r="AB29" s="11" t="n">
        <v>0.008999999999999999</v>
      </c>
      <c r="AC29" s="11" t="n">
        <v>0</v>
      </c>
    </row>
    <row r="30">
      <c r="A30" s="10" t="inlineStr">
        <is>
          <t>영업외비용 합계</t>
        </is>
      </c>
      <c r="C30" s="11" t="n">
        <v>0.0502</v>
      </c>
      <c r="D30" s="11" t="n">
        <v>0.0489</v>
      </c>
      <c r="E30" s="11" t="n">
        <v>0.0604</v>
      </c>
      <c r="F30" s="11" t="n">
        <v>13.297</v>
      </c>
      <c r="G30" s="11" t="n">
        <v>0.0664</v>
      </c>
      <c r="H30" s="11" t="n">
        <v>0.0644</v>
      </c>
      <c r="I30" s="11" t="n">
        <v>0.0891</v>
      </c>
      <c r="J30" s="11" t="n">
        <v>0.2192</v>
      </c>
      <c r="K30" s="11" t="n">
        <v>0.0532</v>
      </c>
      <c r="L30" s="11" t="n">
        <v>0.0562</v>
      </c>
      <c r="M30" s="11" t="n">
        <v>0.0669</v>
      </c>
      <c r="N30" s="11" t="n">
        <v>0.0674</v>
      </c>
      <c r="O30" s="11" t="n">
        <v>0.0716</v>
      </c>
      <c r="P30" s="11" t="n">
        <v>0.074</v>
      </c>
      <c r="Q30" s="11" t="n">
        <v>0.0851</v>
      </c>
      <c r="R30" s="11" t="n">
        <v>0.0912</v>
      </c>
      <c r="S30" s="11" t="n">
        <v>0.0803</v>
      </c>
      <c r="T30" s="11" t="n">
        <v>0.0859</v>
      </c>
      <c r="U30" s="11" t="n">
        <v>0.0934</v>
      </c>
      <c r="V30" s="11" t="n">
        <v>0.0999</v>
      </c>
      <c r="W30" s="11" t="n">
        <v>0.034</v>
      </c>
      <c r="X30" s="11" t="n">
        <v>0.356</v>
      </c>
      <c r="Y30" s="11" t="n">
        <v>13.4565</v>
      </c>
      <c r="Z30" s="11" t="n">
        <v>0.4391</v>
      </c>
      <c r="AA30" s="11" t="n">
        <v>0.2437</v>
      </c>
      <c r="AB30" s="11" t="n">
        <v>0.3219</v>
      </c>
      <c r="AC30" s="11" t="n">
        <v>0.3596</v>
      </c>
    </row>
    <row r="31">
      <c r="A31" s="5" t="inlineStr">
        <is>
          <t>경상이익</t>
        </is>
      </c>
      <c r="C31" s="6" t="n">
        <v>-0.2932</v>
      </c>
      <c r="D31" s="6" t="n">
        <v>-0.4206</v>
      </c>
      <c r="E31" s="6" t="n">
        <v>-0.4376</v>
      </c>
      <c r="F31" s="6" t="n">
        <v>-13.9092</v>
      </c>
      <c r="G31" s="6" t="n">
        <v>-0.4376</v>
      </c>
      <c r="H31" s="6" t="n">
        <v>0.6087</v>
      </c>
      <c r="I31" s="6" t="n">
        <v>0.7675</v>
      </c>
      <c r="J31" s="6" t="n">
        <v>0.3953</v>
      </c>
      <c r="K31" s="6" t="n">
        <v>0.4638</v>
      </c>
      <c r="L31" s="6" t="n">
        <v>0.3099</v>
      </c>
      <c r="M31" s="6" t="n">
        <v>2.6601</v>
      </c>
      <c r="N31" s="6" t="n">
        <v>-0.2329</v>
      </c>
      <c r="O31" s="6" t="n">
        <v>1.4978</v>
      </c>
      <c r="P31" s="6" t="n">
        <v>2.4749</v>
      </c>
      <c r="Q31" s="6" t="n">
        <v>2.1126</v>
      </c>
      <c r="R31" s="6" t="n">
        <v>1.0572</v>
      </c>
      <c r="S31" s="6" t="n">
        <v>1.4026</v>
      </c>
      <c r="T31" s="6" t="n">
        <v>1.858</v>
      </c>
      <c r="U31" s="6" t="n">
        <v>3.2339</v>
      </c>
      <c r="V31" s="6" t="n">
        <v>1.6266</v>
      </c>
      <c r="W31" s="6" t="n">
        <v>1.4214</v>
      </c>
      <c r="X31" s="6" t="n">
        <v>2.8006</v>
      </c>
      <c r="Y31" s="6" t="n">
        <v>-15.0606</v>
      </c>
      <c r="Z31" s="6" t="n">
        <v>1.3338</v>
      </c>
      <c r="AA31" s="6" t="n">
        <v>3.2009</v>
      </c>
      <c r="AB31" s="6" t="n">
        <v>7.1424</v>
      </c>
      <c r="AC31" s="6" t="n">
        <v>8.1212</v>
      </c>
    </row>
    <row r="32">
      <c r="A32" s="8" t="inlineStr">
        <is>
          <t>경상이익률</t>
        </is>
      </c>
      <c r="C32" s="9">
        <f>IF(OR(C31="",C4=""),"",IFERROR(C31/C4,""))</f>
        <v/>
      </c>
      <c r="D32" s="9">
        <f>IF(OR(D31="",D4=""),"",IFERROR(D31/D4,""))</f>
        <v/>
      </c>
      <c r="E32" s="9">
        <f>IF(OR(E31="",E4=""),"",IFERROR(E31/E4,""))</f>
        <v/>
      </c>
      <c r="F32" s="9">
        <f>IF(OR(F31="",F4=""),"",IFERROR(F31/F4,""))</f>
        <v/>
      </c>
      <c r="G32" s="9">
        <f>IF(OR(G31="",G4=""),"",IFERROR(G31/G4,""))</f>
        <v/>
      </c>
      <c r="H32" s="9">
        <f>IF(OR(H31="",H4=""),"",IFERROR(H31/H4,""))</f>
        <v/>
      </c>
      <c r="I32" s="9">
        <f>IF(OR(I31="",I4=""),"",IFERROR(I31/I4,""))</f>
        <v/>
      </c>
      <c r="J32" s="9">
        <f>IF(OR(J31="",J4=""),"",IFERROR(J31/J4,""))</f>
        <v/>
      </c>
      <c r="K32" s="9">
        <f>IF(OR(K31="",K4=""),"",IFERROR(K31/K4,""))</f>
        <v/>
      </c>
      <c r="L32" s="9">
        <f>IF(OR(L31="",L4=""),"",IFERROR(L31/L4,""))</f>
        <v/>
      </c>
      <c r="M32" s="9">
        <f>IF(OR(M31="",M4=""),"",IFERROR(M31/M4,""))</f>
        <v/>
      </c>
      <c r="N32" s="9">
        <f>IF(OR(N31="",N4=""),"",IFERROR(N31/N4,""))</f>
        <v/>
      </c>
      <c r="O32" s="9">
        <f>IF(OR(O31="",O4=""),"",IFERROR(O31/O4,""))</f>
        <v/>
      </c>
      <c r="P32" s="9">
        <f>IF(OR(P31="",P4=""),"",IFERROR(P31/P4,""))</f>
        <v/>
      </c>
      <c r="Q32" s="9">
        <f>IF(OR(Q31="",Q4=""),"",IFERROR(Q31/Q4,""))</f>
        <v/>
      </c>
      <c r="R32" s="9">
        <f>IF(OR(R31="",R4=""),"",IFERROR(R31/R4,""))</f>
        <v/>
      </c>
      <c r="S32" s="9">
        <f>IF(OR(S31="",S4=""),"",IFERROR(S31/S4,""))</f>
        <v/>
      </c>
      <c r="T32" s="9">
        <f>IF(OR(T31="",T4=""),"",IFERROR(T31/T4,""))</f>
        <v/>
      </c>
      <c r="U32" s="9">
        <f>IF(OR(U31="",U4=""),"",IFERROR(U31/U4,""))</f>
        <v/>
      </c>
      <c r="V32" s="9">
        <f>IF(OR(V31="",V4=""),"",IFERROR(V31/V4,""))</f>
        <v/>
      </c>
      <c r="W32" s="9">
        <f>IF(OR(W31="",W4=""),"",IFERROR(W31/W4,""))</f>
        <v/>
      </c>
      <c r="X32" s="9">
        <f>IF(OR(X31="",X4=""),"",IFERROR(X31/X4,""))</f>
        <v/>
      </c>
      <c r="Y32" s="9">
        <f>IF(OR(Y31="",Y4=""),"",IFERROR(Y31/Y4,""))</f>
        <v/>
      </c>
      <c r="Z32" s="9">
        <f>IF(OR(Z31="",Z4=""),"",IFERROR(Z31/Z4,""))</f>
        <v/>
      </c>
      <c r="AA32" s="9">
        <f>IF(OR(AA31="",AA4=""),"",IFERROR(AA31/AA4,""))</f>
        <v/>
      </c>
      <c r="AB32" s="9">
        <f>IF(OR(AB31="",AB4=""),"",IFERROR(AB31/AB4,""))</f>
        <v/>
      </c>
      <c r="AC32" s="9">
        <f>IF(OR(AC31="",AC4=""),"",IFERROR(AC31/AC4,""))</f>
        <v/>
      </c>
    </row>
    <row r="33">
      <c r="A33" s="10" t="inlineStr">
        <is>
          <t>고정자산 매각이익</t>
        </is>
      </c>
      <c r="AA33" s="11" t="n">
        <v>0</v>
      </c>
      <c r="AB33" s="11" t="n">
        <v>0.0236</v>
      </c>
      <c r="AC33" s="11" t="n">
        <v>0</v>
      </c>
    </row>
    <row r="34">
      <c r="A34" s="10" t="inlineStr">
        <is>
          <t>투자유가증권 매각이익</t>
        </is>
      </c>
      <c r="J34" s="11" t="n">
        <v>0</v>
      </c>
      <c r="N34" s="11" t="n">
        <v>0</v>
      </c>
      <c r="R34" s="11" t="n">
        <v>0.0432</v>
      </c>
      <c r="V34" s="11" t="n">
        <v>0</v>
      </c>
      <c r="W34" s="11" t="n">
        <v>0.0068</v>
      </c>
      <c r="X34" s="11" t="n">
        <v>0</v>
      </c>
      <c r="Z34" s="11" t="n">
        <v>0</v>
      </c>
      <c r="AA34" s="11" t="n">
        <v>0.025</v>
      </c>
      <c r="AB34" s="11" t="n">
        <v>0.2799</v>
      </c>
      <c r="AC34" s="11" t="n">
        <v>0</v>
      </c>
    </row>
    <row r="35">
      <c r="A35" s="10" t="inlineStr">
        <is>
          <t>신주예약권 환입이익</t>
        </is>
      </c>
      <c r="G35" s="11" t="n">
        <v>0.0023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v>0.0038</v>
      </c>
      <c r="N35" s="11" t="n">
        <v>0</v>
      </c>
      <c r="O35" s="11" t="n">
        <v>0.0687</v>
      </c>
      <c r="P35" s="11" t="n">
        <v>0.0137</v>
      </c>
      <c r="Q35" s="11" t="n">
        <v>0.0036</v>
      </c>
      <c r="R35" s="11" t="n">
        <v>0.0019</v>
      </c>
      <c r="S35" s="11" t="n">
        <v>0.0357</v>
      </c>
      <c r="T35" s="11" t="n">
        <v>0</v>
      </c>
      <c r="U35" s="11" t="n">
        <v>0.0009</v>
      </c>
      <c r="V35" s="11" t="n">
        <v>0.0209</v>
      </c>
      <c r="Y35" s="11" t="n">
        <v>0.0979</v>
      </c>
      <c r="Z35" s="11" t="n">
        <v>0.0023</v>
      </c>
      <c r="AA35" s="11" t="n">
        <v>0.0038</v>
      </c>
      <c r="AB35" s="11" t="n">
        <v>0.08790000000000001</v>
      </c>
      <c r="AC35" s="11" t="n">
        <v>0.0576</v>
      </c>
    </row>
    <row r="36">
      <c r="A36" s="10" t="inlineStr">
        <is>
          <t>단기매매차익 수증이익</t>
        </is>
      </c>
      <c r="G36" s="11" t="n">
        <v>0.1416</v>
      </c>
      <c r="H36" s="11" t="n">
        <v>0</v>
      </c>
      <c r="I36" s="11" t="n">
        <v>0</v>
      </c>
      <c r="K36" s="11" t="n">
        <v>0</v>
      </c>
      <c r="L36" s="11" t="n">
        <v>0</v>
      </c>
      <c r="M36" s="11" t="n">
        <v>0</v>
      </c>
    </row>
    <row r="37">
      <c r="A37" s="10" t="inlineStr">
        <is>
          <t>단기매매차익 수증이익</t>
        </is>
      </c>
      <c r="Y37" s="11" t="n">
        <v>0</v>
      </c>
      <c r="Z37" s="11" t="n">
        <v>0.1416</v>
      </c>
      <c r="AA37" s="11" t="n">
        <v>0</v>
      </c>
    </row>
    <row r="38">
      <c r="A38" s="10" t="inlineStr">
        <is>
          <t>특별이익 합계</t>
        </is>
      </c>
      <c r="G38" s="11" t="n">
        <v>0.1438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0.0289</v>
      </c>
      <c r="N38" s="11" t="n">
        <v>0</v>
      </c>
      <c r="O38" s="11" t="n">
        <v>0.0687</v>
      </c>
      <c r="P38" s="11" t="n">
        <v>0.0137</v>
      </c>
      <c r="Q38" s="11" t="n">
        <v>0.2403</v>
      </c>
      <c r="R38" s="11" t="n">
        <v>0.0687</v>
      </c>
      <c r="S38" s="11" t="n">
        <v>0.0357</v>
      </c>
      <c r="T38" s="11" t="n">
        <v>0</v>
      </c>
      <c r="U38" s="11" t="n">
        <v>0.0009</v>
      </c>
      <c r="V38" s="11" t="n">
        <v>0.0209</v>
      </c>
      <c r="W38" s="11" t="n">
        <v>0.0068</v>
      </c>
      <c r="X38" s="11" t="n">
        <v>0</v>
      </c>
      <c r="Y38" s="11" t="n">
        <v>0.0979</v>
      </c>
      <c r="Z38" s="11" t="n">
        <v>0.1438</v>
      </c>
      <c r="AA38" s="11" t="n">
        <v>0.0289</v>
      </c>
      <c r="AB38" s="11" t="n">
        <v>0.3915</v>
      </c>
      <c r="AC38" s="11" t="n">
        <v>0.0576</v>
      </c>
    </row>
    <row r="39">
      <c r="A39" s="10" t="inlineStr">
        <is>
          <t>해외 자회사 청산 환산조정 환입손실</t>
        </is>
      </c>
      <c r="G39" s="11" t="n">
        <v>0.0325</v>
      </c>
      <c r="H39" s="11" t="n">
        <v>0</v>
      </c>
      <c r="I39" s="11" t="n">
        <v>0</v>
      </c>
      <c r="K39" s="11" t="n">
        <v>0</v>
      </c>
      <c r="L39" s="11" t="n">
        <v>0</v>
      </c>
      <c r="M39" s="11" t="n">
        <v>0</v>
      </c>
    </row>
    <row r="40">
      <c r="A40" s="10" t="inlineStr">
        <is>
          <t>고정자산 제각손실</t>
        </is>
      </c>
      <c r="C40" s="11" t="n">
        <v>0.0003</v>
      </c>
      <c r="D40" s="11" t="n">
        <v>0.001</v>
      </c>
      <c r="E40" s="11" t="n">
        <v>0</v>
      </c>
      <c r="F40" s="11" t="n">
        <v>0</v>
      </c>
      <c r="I40" s="11" t="n">
        <v>0</v>
      </c>
      <c r="J40" s="11" t="n">
        <v>0</v>
      </c>
      <c r="M40" s="11" t="n">
        <v>0</v>
      </c>
      <c r="N40" s="11" t="n">
        <v>0</v>
      </c>
      <c r="W40" s="11" t="n">
        <v>0</v>
      </c>
      <c r="X40" s="11" t="n">
        <v>0.0059</v>
      </c>
      <c r="Y40" s="11" t="n">
        <v>0.0013</v>
      </c>
      <c r="Z40" s="11" t="n">
        <v>0.0111</v>
      </c>
      <c r="AA40" s="11" t="n">
        <v>0</v>
      </c>
      <c r="AB40" s="11" t="n">
        <v>0.0162</v>
      </c>
      <c r="AC40" s="11" t="n">
        <v>0</v>
      </c>
    </row>
    <row r="41">
      <c r="A41" s="10" t="inlineStr">
        <is>
          <t>투자유가증권 매각손실</t>
        </is>
      </c>
      <c r="W41" s="11" t="n">
        <v>0.0098</v>
      </c>
      <c r="X41" s="11" t="n">
        <v>0</v>
      </c>
    </row>
    <row r="42">
      <c r="A42" s="10" t="inlineStr">
        <is>
          <t>관계회사 주식 평가손실</t>
        </is>
      </c>
      <c r="C42" s="11" t="n">
        <v>12.5528</v>
      </c>
      <c r="D42" s="11" t="n">
        <v>0</v>
      </c>
      <c r="E42" s="11" t="n">
        <v>0</v>
      </c>
    </row>
    <row r="43">
      <c r="A43" s="10" t="inlineStr">
        <is>
          <t>손상차손</t>
        </is>
      </c>
      <c r="Y43" s="11" t="n">
        <v>2.2558</v>
      </c>
      <c r="Z43" s="11" t="n">
        <v>0</v>
      </c>
      <c r="AA43" s="11" t="n">
        <v>0</v>
      </c>
      <c r="AB43" s="11" t="n">
        <v>0.5492</v>
      </c>
      <c r="AC43" s="11" t="n">
        <v>0</v>
      </c>
    </row>
    <row r="44">
      <c r="A44" s="10" t="inlineStr">
        <is>
          <t>투자유가증권 평가손실</t>
        </is>
      </c>
      <c r="Z44" s="11" t="n">
        <v>0</v>
      </c>
      <c r="AA44" s="11" t="n">
        <v>0.0066</v>
      </c>
      <c r="AB44" s="11" t="n">
        <v>0</v>
      </c>
    </row>
    <row r="45">
      <c r="A45" s="10" t="inlineStr">
        <is>
          <t>관계회사 주식 매각손실</t>
        </is>
      </c>
      <c r="J45" s="11" t="n">
        <v>0</v>
      </c>
      <c r="N45" s="11" t="n">
        <v>0</v>
      </c>
      <c r="Y45" s="11" t="n">
        <v>0</v>
      </c>
      <c r="Z45" s="11" t="n">
        <v>0.0767</v>
      </c>
      <c r="AA45" s="11" t="n">
        <v>0</v>
      </c>
    </row>
    <row r="46">
      <c r="A46" s="10" t="inlineStr">
        <is>
          <t>단계적 취득 차손</t>
        </is>
      </c>
      <c r="Y46" s="11" t="n">
        <v>0.7917999999999999</v>
      </c>
      <c r="Z46" s="11" t="n">
        <v>0</v>
      </c>
    </row>
    <row r="47">
      <c r="A47" s="10" t="inlineStr">
        <is>
          <t>해외 자회사 청산 환산조정 환입손실</t>
        </is>
      </c>
      <c r="Y47" s="11" t="n">
        <v>0</v>
      </c>
      <c r="Z47" s="11" t="n">
        <v>0.0325</v>
      </c>
      <c r="AA47" s="11" t="n">
        <v>0</v>
      </c>
      <c r="AB47" s="11" t="n">
        <v>0.0505</v>
      </c>
      <c r="AC47" s="11" t="n">
        <v>0</v>
      </c>
    </row>
    <row r="48">
      <c r="A48" s="10" t="inlineStr">
        <is>
          <t>계약손실 충당금 전입</t>
        </is>
      </c>
      <c r="AA48" s="11" t="n">
        <v>0</v>
      </c>
      <c r="AB48" s="11" t="n">
        <v>2.984</v>
      </c>
      <c r="AC48" s="11" t="n">
        <v>0</v>
      </c>
    </row>
    <row r="49">
      <c r="A49" s="10" t="inlineStr">
        <is>
          <t>특별손실 합계</t>
        </is>
      </c>
      <c r="C49" s="11" t="n">
        <v>12.5531</v>
      </c>
      <c r="D49" s="11" t="n">
        <v>0.001</v>
      </c>
      <c r="E49" s="11" t="n">
        <v>0</v>
      </c>
      <c r="F49" s="11" t="n">
        <v>-9.5052</v>
      </c>
      <c r="G49" s="11" t="n">
        <v>0.0325</v>
      </c>
      <c r="H49" s="11" t="n">
        <v>0.0111</v>
      </c>
      <c r="I49" s="11" t="n">
        <v>0.0767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0.0066</v>
      </c>
      <c r="R49" s="11" t="n">
        <v>3.5495</v>
      </c>
      <c r="V49" s="11" t="n">
        <v>0</v>
      </c>
      <c r="W49" s="11" t="n">
        <v>0.0098</v>
      </c>
      <c r="X49" s="11" t="n">
        <v>0.0059</v>
      </c>
      <c r="Y49" s="11" t="n">
        <v>3.049</v>
      </c>
      <c r="Z49" s="11" t="n">
        <v>0.1203</v>
      </c>
      <c r="AA49" s="11" t="n">
        <v>0.0066</v>
      </c>
      <c r="AB49" s="11" t="n">
        <v>3.6</v>
      </c>
      <c r="AC49" s="11" t="n">
        <v>0</v>
      </c>
    </row>
    <row r="50">
      <c r="A50" s="10" t="inlineStr">
        <is>
          <t>법인세차감전 순이익</t>
        </is>
      </c>
      <c r="C50" s="11" t="n">
        <v>-12.8463</v>
      </c>
      <c r="D50" s="11" t="n">
        <v>-0.4216</v>
      </c>
      <c r="E50" s="11" t="n">
        <v>-0.4376</v>
      </c>
      <c r="F50" s="11" t="n">
        <v>-4.3062</v>
      </c>
      <c r="G50" s="11" t="n">
        <v>-0.3263</v>
      </c>
      <c r="H50" s="11" t="n">
        <v>0.5976</v>
      </c>
      <c r="I50" s="11" t="n">
        <v>0.6908</v>
      </c>
      <c r="J50" s="11" t="n">
        <v>0.3953</v>
      </c>
      <c r="K50" s="11" t="n">
        <v>0.4638</v>
      </c>
      <c r="L50" s="11" t="n">
        <v>0.31</v>
      </c>
      <c r="M50" s="11" t="n">
        <v>2.6889</v>
      </c>
      <c r="N50" s="11" t="n">
        <v>-0.2395</v>
      </c>
      <c r="O50" s="11" t="n">
        <v>1.5665</v>
      </c>
      <c r="P50" s="11" t="n">
        <v>2.4886</v>
      </c>
      <c r="Q50" s="11" t="n">
        <v>2.3024</v>
      </c>
      <c r="R50" s="11" t="n">
        <v>-2.4236</v>
      </c>
      <c r="S50" s="11" t="n">
        <v>1.4384</v>
      </c>
      <c r="T50" s="11" t="n">
        <v>1.858</v>
      </c>
      <c r="U50" s="11" t="n">
        <v>3.2349</v>
      </c>
      <c r="V50" s="11" t="n">
        <v>1.6476</v>
      </c>
      <c r="W50" s="11" t="n">
        <v>1.4183</v>
      </c>
      <c r="X50" s="11" t="n">
        <v>2.7947</v>
      </c>
      <c r="Y50" s="11" t="n">
        <v>-18.0117</v>
      </c>
      <c r="Z50" s="11" t="n">
        <v>1.3573</v>
      </c>
      <c r="AA50" s="11" t="n">
        <v>3.2231</v>
      </c>
      <c r="AB50" s="11" t="n">
        <v>3.9339</v>
      </c>
      <c r="AC50" s="11" t="n">
        <v>8.178800000000001</v>
      </c>
    </row>
    <row r="51">
      <c r="A51" s="10" t="inlineStr">
        <is>
          <t>법인세·주민세·사업세</t>
        </is>
      </c>
      <c r="G51" s="11" t="n">
        <v>0.0111</v>
      </c>
      <c r="H51" s="11" t="n">
        <v>0.0569</v>
      </c>
      <c r="I51" s="11" t="n">
        <v>0.3421</v>
      </c>
      <c r="J51" s="11" t="n">
        <v>0.321</v>
      </c>
      <c r="K51" s="11" t="n">
        <v>0.2889</v>
      </c>
      <c r="L51" s="11" t="n">
        <v>0.5149</v>
      </c>
      <c r="M51" s="11" t="n">
        <v>1.2462</v>
      </c>
      <c r="N51" s="11" t="n">
        <v>0.5172</v>
      </c>
      <c r="O51" s="11" t="n">
        <v>0.8768</v>
      </c>
      <c r="P51" s="11" t="n">
        <v>1.3126</v>
      </c>
      <c r="Q51" s="11" t="n">
        <v>1.0329</v>
      </c>
      <c r="R51" s="11" t="n">
        <v>0.7587</v>
      </c>
      <c r="S51" s="11" t="n">
        <v>0.6215000000000001</v>
      </c>
      <c r="T51" s="11" t="n">
        <v>1.1892</v>
      </c>
      <c r="U51" s="11" t="n">
        <v>1.3147</v>
      </c>
      <c r="V51" s="11" t="n">
        <v>0.8053</v>
      </c>
      <c r="W51" s="11" t="n">
        <v>0.1628</v>
      </c>
      <c r="X51" s="11" t="n">
        <v>0.3451</v>
      </c>
      <c r="Y51" s="11" t="n">
        <v>0.0229</v>
      </c>
      <c r="Z51" s="11" t="n">
        <v>0.731</v>
      </c>
      <c r="AA51" s="11" t="n">
        <v>2.5673</v>
      </c>
      <c r="AB51" s="11" t="n">
        <v>3.9809</v>
      </c>
      <c r="AC51" s="11" t="n">
        <v>3.9307</v>
      </c>
    </row>
    <row r="52">
      <c r="A52" s="10" t="inlineStr">
        <is>
          <t>법인세 조정액</t>
        </is>
      </c>
      <c r="G52" s="11" t="n">
        <v>-0.0769</v>
      </c>
      <c r="H52" s="11" t="n">
        <v>-0.0462</v>
      </c>
      <c r="I52" s="11" t="n">
        <v>-0.0462</v>
      </c>
      <c r="J52" s="11" t="n">
        <v>-0.3457</v>
      </c>
      <c r="K52" s="11" t="n">
        <v>0.1933</v>
      </c>
      <c r="L52" s="11" t="n">
        <v>-0.08110000000000001</v>
      </c>
      <c r="M52" s="11" t="n">
        <v>-0.0803</v>
      </c>
      <c r="N52" s="11" t="n">
        <v>-0.1176</v>
      </c>
      <c r="O52" s="11" t="n">
        <v>0.0378</v>
      </c>
      <c r="P52" s="11" t="n">
        <v>-0.3071</v>
      </c>
      <c r="Q52" s="11" t="n">
        <v>0.0609</v>
      </c>
      <c r="R52" s="11" t="n">
        <v>-1.2762</v>
      </c>
      <c r="S52" s="11" t="n">
        <v>0.269</v>
      </c>
      <c r="T52" s="11" t="n">
        <v>-0.1614</v>
      </c>
      <c r="U52" s="11" t="n">
        <v>0.0539</v>
      </c>
      <c r="V52" s="11" t="n">
        <v>-0.1024</v>
      </c>
      <c r="W52" s="11" t="n">
        <v>-0.1841</v>
      </c>
      <c r="X52" s="11" t="n">
        <v>0.1575</v>
      </c>
      <c r="Y52" s="11" t="n">
        <v>0.3076</v>
      </c>
      <c r="Z52" s="11" t="n">
        <v>-0.515</v>
      </c>
      <c r="AA52" s="11" t="n">
        <v>-0.0856</v>
      </c>
      <c r="AB52" s="11" t="n">
        <v>-1.4846</v>
      </c>
      <c r="AC52" s="11" t="n">
        <v>0.0591</v>
      </c>
    </row>
    <row r="53">
      <c r="A53" s="10" t="inlineStr">
        <is>
          <t>법인세 등 합계</t>
        </is>
      </c>
      <c r="C53" s="11" t="n">
        <v>0.0057</v>
      </c>
      <c r="D53" s="11" t="n">
        <v>0.0057</v>
      </c>
      <c r="E53" s="11" t="n">
        <v>0.0057</v>
      </c>
      <c r="F53" s="11" t="n">
        <v>0.3133</v>
      </c>
      <c r="G53" s="11" t="n">
        <v>-0.0659</v>
      </c>
      <c r="H53" s="11" t="n">
        <v>0.0107</v>
      </c>
      <c r="I53" s="11" t="n">
        <v>0.2959</v>
      </c>
      <c r="J53" s="11" t="n">
        <v>-0.0247</v>
      </c>
      <c r="K53" s="11" t="n">
        <v>0.4822</v>
      </c>
      <c r="L53" s="11" t="n">
        <v>0.4339</v>
      </c>
      <c r="M53" s="11" t="n">
        <v>1.166</v>
      </c>
      <c r="N53" s="11" t="n">
        <v>0.3996</v>
      </c>
      <c r="O53" s="11" t="n">
        <v>0.9146</v>
      </c>
      <c r="P53" s="11" t="n">
        <v>1.0054</v>
      </c>
      <c r="Q53" s="11" t="n">
        <v>1.0939</v>
      </c>
      <c r="R53" s="11" t="n">
        <v>-0.5175</v>
      </c>
      <c r="S53" s="11" t="n">
        <v>0.8905</v>
      </c>
      <c r="T53" s="11" t="n">
        <v>1.0278</v>
      </c>
      <c r="U53" s="11" t="n">
        <v>1.3686</v>
      </c>
      <c r="V53" s="11" t="n">
        <v>0.7028</v>
      </c>
      <c r="W53" s="11" t="n">
        <v>-0.0213</v>
      </c>
      <c r="X53" s="11" t="n">
        <v>0.5026</v>
      </c>
      <c r="Y53" s="11" t="n">
        <v>0.3305</v>
      </c>
      <c r="Z53" s="11" t="n">
        <v>0.2161</v>
      </c>
      <c r="AA53" s="11" t="n">
        <v>2.4817</v>
      </c>
      <c r="AB53" s="11" t="n">
        <v>2.4963</v>
      </c>
      <c r="AC53" s="11" t="n">
        <v>3.9898</v>
      </c>
    </row>
    <row r="54">
      <c r="A54" s="5" t="inlineStr">
        <is>
          <t>순이익</t>
        </is>
      </c>
      <c r="C54" s="6" t="n">
        <v>-12.852</v>
      </c>
      <c r="D54" s="6" t="n">
        <v>-0.4273</v>
      </c>
      <c r="E54" s="6" t="n">
        <v>-0.4434</v>
      </c>
      <c r="F54" s="6" t="n">
        <v>-4.6195</v>
      </c>
      <c r="G54" s="6" t="n">
        <v>-0.2604</v>
      </c>
      <c r="H54" s="6" t="n">
        <v>0.5869</v>
      </c>
      <c r="I54" s="6" t="n">
        <v>0.3948</v>
      </c>
      <c r="J54" s="6" t="n">
        <v>0.42</v>
      </c>
      <c r="K54" s="6" t="n">
        <v>-0.0184</v>
      </c>
      <c r="L54" s="6" t="n">
        <v>-0.1239</v>
      </c>
      <c r="M54" s="6" t="n">
        <v>1.523</v>
      </c>
      <c r="N54" s="6" t="n">
        <v>-0.6392</v>
      </c>
      <c r="O54" s="6" t="n">
        <v>0.652</v>
      </c>
      <c r="P54" s="6" t="n">
        <v>1.4832</v>
      </c>
      <c r="Q54" s="6" t="n">
        <v>1.2085</v>
      </c>
      <c r="R54" s="6" t="n">
        <v>-1.9061</v>
      </c>
      <c r="S54" s="6" t="n">
        <v>0.5478</v>
      </c>
      <c r="T54" s="6" t="n">
        <v>0.8302</v>
      </c>
      <c r="U54" s="6" t="n">
        <v>1.8662</v>
      </c>
      <c r="V54" s="6" t="n">
        <v>0.9447</v>
      </c>
      <c r="W54" s="6" t="n">
        <v>1.4396</v>
      </c>
      <c r="X54" s="6" t="n">
        <v>2.2921</v>
      </c>
      <c r="Y54" s="6" t="n">
        <v>-18.3422</v>
      </c>
      <c r="Z54" s="6" t="n">
        <v>1.1413</v>
      </c>
      <c r="AA54" s="6" t="n">
        <v>0.7415</v>
      </c>
      <c r="AB54" s="6" t="n">
        <v>1.4376</v>
      </c>
      <c r="AC54" s="6" t="n">
        <v>4.189</v>
      </c>
    </row>
    <row r="55">
      <c r="A55" s="5" t="inlineStr">
        <is>
          <t>비지배주주 순이익</t>
        </is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s="6" t="n">
        <v>0</v>
      </c>
      <c r="T55" s="6" t="n">
        <v>0</v>
      </c>
      <c r="U55" s="6" t="n">
        <v>0</v>
      </c>
      <c r="V55" s="6" t="n">
        <v>0</v>
      </c>
      <c r="Y55" s="6" t="n">
        <v>0</v>
      </c>
      <c r="Z55" s="6" t="n">
        <v>0</v>
      </c>
      <c r="AA55" s="6" t="n">
        <v>0</v>
      </c>
      <c r="AB55" s="6" t="n">
        <v>0</v>
      </c>
      <c r="AC55" s="6" t="n">
        <v>0</v>
      </c>
    </row>
    <row r="56">
      <c r="A56" s="5" t="inlineStr">
        <is>
          <t>지배주주 순이익</t>
        </is>
      </c>
      <c r="G56" s="6" t="n">
        <v>-0.2604</v>
      </c>
      <c r="H56" s="6" t="n">
        <v>0.5869</v>
      </c>
      <c r="I56" s="6" t="n">
        <v>0.3948</v>
      </c>
      <c r="J56" s="6" t="n">
        <v>0.42</v>
      </c>
      <c r="K56" s="6" t="n">
        <v>-0.0184</v>
      </c>
      <c r="L56" s="6" t="n">
        <v>-0.1239</v>
      </c>
      <c r="M56" s="6" t="n">
        <v>1.523</v>
      </c>
      <c r="N56" s="6" t="n">
        <v>-0.6392</v>
      </c>
      <c r="O56" s="6" t="n">
        <v>0.652</v>
      </c>
      <c r="P56" s="6" t="n">
        <v>1.4832</v>
      </c>
      <c r="Q56" s="6" t="n">
        <v>1.2085</v>
      </c>
      <c r="R56" s="6" t="n">
        <v>-1.9061</v>
      </c>
      <c r="S56" s="6" t="n">
        <v>0.5478</v>
      </c>
      <c r="T56" s="6" t="n">
        <v>0.8302</v>
      </c>
      <c r="U56" s="6" t="n">
        <v>1.8662</v>
      </c>
      <c r="V56" s="6" t="n">
        <v>0.9447</v>
      </c>
      <c r="Y56" s="6" t="n">
        <v>-18.3422</v>
      </c>
      <c r="Z56" s="6" t="n">
        <v>1.1413</v>
      </c>
      <c r="AA56" s="6" t="n">
        <v>0.7415</v>
      </c>
      <c r="AB56" s="6" t="n">
        <v>1.4376</v>
      </c>
      <c r="AC56" s="6" t="n">
        <v>4.189</v>
      </c>
    </row>
    <row r="57">
      <c r="A57" s="8" t="inlineStr">
        <is>
          <t>순이익률</t>
        </is>
      </c>
      <c r="C57" s="9">
        <f>IF(OR(C56="",C4=""),"",IFERROR(C56/C4,""))</f>
        <v/>
      </c>
      <c r="D57" s="9">
        <f>IF(OR(D56="",D4=""),"",IFERROR(D56/D4,""))</f>
        <v/>
      </c>
      <c r="E57" s="9">
        <f>IF(OR(E56="",E4=""),"",IFERROR(E56/E4,""))</f>
        <v/>
      </c>
      <c r="F57" s="9">
        <f>IF(OR(F56="",F4=""),"",IFERROR(F56/F4,""))</f>
        <v/>
      </c>
      <c r="G57" s="9">
        <f>IF(OR(G56="",G4=""),"",IFERROR(G56/G4,""))</f>
        <v/>
      </c>
      <c r="H57" s="9">
        <f>IF(OR(H56="",H4=""),"",IFERROR(H56/H4,""))</f>
        <v/>
      </c>
      <c r="I57" s="9">
        <f>IF(OR(I56="",I4=""),"",IFERROR(I56/I4,""))</f>
        <v/>
      </c>
      <c r="J57" s="9">
        <f>IF(OR(J56="",J4=""),"",IFERROR(J56/J4,""))</f>
        <v/>
      </c>
      <c r="K57" s="9">
        <f>IF(OR(K56="",K4=""),"",IFERROR(K56/K4,""))</f>
        <v/>
      </c>
      <c r="L57" s="9">
        <f>IF(OR(L56="",L4=""),"",IFERROR(L56/L4,""))</f>
        <v/>
      </c>
      <c r="M57" s="9">
        <f>IF(OR(M56="",M4=""),"",IFERROR(M56/M4,""))</f>
        <v/>
      </c>
      <c r="N57" s="9">
        <f>IF(OR(N56="",N4=""),"",IFERROR(N56/N4,""))</f>
        <v/>
      </c>
      <c r="O57" s="9">
        <f>IF(OR(O56="",O4=""),"",IFERROR(O56/O4,""))</f>
        <v/>
      </c>
      <c r="P57" s="9">
        <f>IF(OR(P56="",P4=""),"",IFERROR(P56/P4,""))</f>
        <v/>
      </c>
      <c r="Q57" s="9">
        <f>IF(OR(Q56="",Q4=""),"",IFERROR(Q56/Q4,""))</f>
        <v/>
      </c>
      <c r="R57" s="9">
        <f>IF(OR(R56="",R4=""),"",IFERROR(R56/R4,""))</f>
        <v/>
      </c>
      <c r="S57" s="9">
        <f>IF(OR(S56="",S4=""),"",IFERROR(S56/S4,""))</f>
        <v/>
      </c>
      <c r="T57" s="9">
        <f>IF(OR(T56="",T4=""),"",IFERROR(T56/T4,""))</f>
        <v/>
      </c>
      <c r="U57" s="9">
        <f>IF(OR(U56="",U4=""),"",IFERROR(U56/U4,""))</f>
        <v/>
      </c>
      <c r="V57" s="9">
        <f>IF(OR(V56="",V4=""),"",IFERROR(V56/V4,""))</f>
        <v/>
      </c>
      <c r="W57" s="9">
        <f>IF(OR(W56="",W4=""),"",IFERROR(W56/W4,""))</f>
        <v/>
      </c>
      <c r="X57" s="9">
        <f>IF(OR(X56="",X4=""),"",IFERROR(X56/X4,""))</f>
        <v/>
      </c>
      <c r="Y57" s="9">
        <f>IF(OR(Y56="",Y4=""),"",IFERROR(Y56/Y4,""))</f>
        <v/>
      </c>
      <c r="Z57" s="9">
        <f>IF(OR(Z56="",Z4=""),"",IFERROR(Z56/Z4,""))</f>
        <v/>
      </c>
      <c r="AA57" s="9">
        <f>IF(OR(AA56="",AA4=""),"",IFERROR(AA56/AA4,""))</f>
        <v/>
      </c>
      <c r="AB57" s="9">
        <f>IF(OR(AB56="",AB4=""),"",IFERROR(AB56/AB4,""))</f>
        <v/>
      </c>
      <c r="AC57" s="9">
        <f>IF(OR(AC56="",AC4=""),"",IFERROR(AC56/AC4,""))</f>
        <v/>
      </c>
    </row>
    <row r="58">
      <c r="A58" s="8" t="inlineStr">
        <is>
          <t>YoY</t>
        </is>
      </c>
      <c r="G58" s="9">
        <f>IF(OR(G56="",C56=""),"",IFERROR(G56/C56-1,""))</f>
        <v/>
      </c>
      <c r="H58" s="9">
        <f>IF(OR(H56="",D56=""),"",IFERROR(H56/D56-1,""))</f>
        <v/>
      </c>
      <c r="I58" s="9">
        <f>IF(OR(I56="",E56=""),"",IFERROR(I56/E56-1,""))</f>
        <v/>
      </c>
      <c r="J58" s="9">
        <f>IF(OR(J56="",F56=""),"",IFERROR(J56/F56-1,""))</f>
        <v/>
      </c>
      <c r="K58" s="9">
        <f>IF(OR(K56="",G56=""),"",IFERROR(K56/G56-1,""))</f>
        <v/>
      </c>
      <c r="L58" s="9">
        <f>IF(OR(L56="",H56=""),"",IFERROR(L56/H56-1,""))</f>
        <v/>
      </c>
      <c r="M58" s="9">
        <f>IF(OR(M56="",I56=""),"",IFERROR(M56/I56-1,""))</f>
        <v/>
      </c>
      <c r="N58" s="9">
        <f>IF(OR(N56="",J56=""),"",IFERROR(N56/J56-1,""))</f>
        <v/>
      </c>
      <c r="O58" s="9">
        <f>IF(OR(O56="",K56=""),"",IFERROR(O56/K56-1,""))</f>
        <v/>
      </c>
      <c r="P58" s="9">
        <f>IF(OR(P56="",L56=""),"",IFERROR(P56/L56-1,""))</f>
        <v/>
      </c>
      <c r="Q58" s="9">
        <f>IF(OR(Q56="",M56=""),"",IFERROR(Q56/M56-1,""))</f>
        <v/>
      </c>
      <c r="R58" s="9">
        <f>IF(OR(R56="",N56=""),"",IFERROR(R56/N56-1,""))</f>
        <v/>
      </c>
      <c r="S58" s="9">
        <f>IF(OR(S56="",O56=""),"",IFERROR(S56/O56-1,""))</f>
        <v/>
      </c>
      <c r="T58" s="9">
        <f>IF(OR(T56="",P56=""),"",IFERROR(T56/P56-1,""))</f>
        <v/>
      </c>
      <c r="U58" s="9">
        <f>IF(OR(U56="",Q56=""),"",IFERROR(U56/Q56-1,""))</f>
        <v/>
      </c>
      <c r="V58" s="9">
        <f>IF(OR(V56="",R56=""),"",IFERROR(V56/R56-1,""))</f>
        <v/>
      </c>
      <c r="X58" s="9">
        <f>IF(OR(X56="",W56=""),"",IFERROR(X56/W56-1,""))</f>
        <v/>
      </c>
      <c r="Y58" s="9">
        <f>IF(OR(Y56="",X56=""),"",IFERROR(Y56/X56-1,""))</f>
        <v/>
      </c>
      <c r="Z58" s="9">
        <f>IF(OR(Z56="",Y56=""),"",IFERROR(Z56/Y56-1,""))</f>
        <v/>
      </c>
      <c r="AA58" s="9">
        <f>IF(OR(AA56="",Z56=""),"",IFERROR(AA56/Z56-1,""))</f>
        <v/>
      </c>
      <c r="AB58" s="9">
        <f>IF(OR(AB56="",AA56=""),"",IFERROR(AB56/AA56-1,""))</f>
        <v/>
      </c>
      <c r="AC58" s="9">
        <f>IF(OR(AC56="",AB56=""),"",IFERROR(AC56/AB56-1,""))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40" customWidth="1" min="30" max="30"/>
  </cols>
  <sheetData>
    <row r="1">
      <c r="A1" s="1" t="inlineStr">
        <is>
          <t>페이클라우드홀딩스 포괄손익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FY20</t>
        </is>
      </c>
      <c r="X3" s="4" t="inlineStr">
        <is>
          <t>FY21</t>
        </is>
      </c>
      <c r="Y3" s="4" t="inlineStr">
        <is>
          <t>FY22</t>
        </is>
      </c>
      <c r="Z3" s="4" t="inlineStr">
        <is>
          <t>FY23</t>
        </is>
      </c>
      <c r="AA3" s="4" t="inlineStr">
        <is>
          <t>FY24</t>
        </is>
      </c>
      <c r="AB3" s="4" t="inlineStr">
        <is>
          <t>FY25</t>
        </is>
      </c>
      <c r="AC3" s="4" t="inlineStr">
        <is>
          <t>FY26</t>
        </is>
      </c>
      <c r="AD3" s="4" t="inlineStr">
        <is>
          <t>출처</t>
        </is>
      </c>
    </row>
    <row r="4">
      <c r="A4" s="5" t="inlineStr">
        <is>
          <t>순이익</t>
        </is>
      </c>
      <c r="G4" s="6" t="n">
        <v>-0.2604</v>
      </c>
      <c r="H4" s="6" t="n">
        <v>0.5869</v>
      </c>
      <c r="I4" s="6" t="n">
        <v>0.3948</v>
      </c>
      <c r="J4" s="6" t="n">
        <v>0.42</v>
      </c>
      <c r="K4" s="6" t="n">
        <v>-0.0184</v>
      </c>
      <c r="L4" s="6" t="n">
        <v>-0.1239</v>
      </c>
      <c r="M4" s="6" t="n">
        <v>1.523</v>
      </c>
      <c r="N4" s="6" t="n">
        <v>-0.6392</v>
      </c>
      <c r="O4" s="6" t="n">
        <v>0.652</v>
      </c>
      <c r="P4" s="6" t="n">
        <v>1.4832</v>
      </c>
      <c r="Q4" s="6" t="n">
        <v>1.2085</v>
      </c>
      <c r="R4" s="6" t="n">
        <v>-1.9061</v>
      </c>
      <c r="S4" s="6" t="n">
        <v>0.5478</v>
      </c>
      <c r="T4" s="6" t="n">
        <v>0.8302</v>
      </c>
      <c r="U4" s="6" t="n">
        <v>1.8662</v>
      </c>
      <c r="V4" s="6" t="n">
        <v>0.9447</v>
      </c>
      <c r="Y4" s="6" t="n">
        <v>-18.3422</v>
      </c>
      <c r="Z4" s="6" t="n">
        <v>1.1413</v>
      </c>
      <c r="AA4" s="6" t="n">
        <v>0.7415</v>
      </c>
      <c r="AB4" s="6" t="n">
        <v>1.4376</v>
      </c>
      <c r="AC4" s="6" t="n">
        <v>4.189</v>
      </c>
      <c r="AD4" s="7" t="inlineStr">
        <is>
          <t>결산단신 XBRL(거래소 공시, TDnet·JPX 보관소). 쓴 문서: 2026-10-15, 2026-07-14, 2026-04-14, 2026-01-14 외 20건 — '출처' 시트에 전부</t>
        </is>
      </c>
    </row>
    <row r="5">
      <c r="A5" s="10" t="inlineStr">
        <is>
          <t>기타유가증권 평가차액</t>
        </is>
      </c>
      <c r="J5" s="11" t="n">
        <v>0</v>
      </c>
      <c r="K5" s="11" t="n">
        <v>0</v>
      </c>
      <c r="L5" s="11" t="n">
        <v>0</v>
      </c>
      <c r="M5" s="11" t="n">
        <v>-0.021</v>
      </c>
      <c r="N5" s="11" t="n">
        <v>-0.0111</v>
      </c>
      <c r="O5" s="11" t="n">
        <v>-0.0171</v>
      </c>
      <c r="P5" s="11" t="n">
        <v>-0.0256</v>
      </c>
      <c r="Q5" s="11" t="n">
        <v>0.0202</v>
      </c>
      <c r="R5" s="11" t="n">
        <v>0.0021</v>
      </c>
      <c r="S5" s="11" t="n">
        <v>-0.0046</v>
      </c>
      <c r="T5" s="11" t="n">
        <v>0.0032</v>
      </c>
      <c r="U5" s="11" t="n">
        <v>-0.0086</v>
      </c>
      <c r="V5" s="11" t="n">
        <v>0.0046</v>
      </c>
      <c r="Z5" s="11" t="n">
        <v>0</v>
      </c>
      <c r="AA5" s="11" t="n">
        <v>-0.0321</v>
      </c>
      <c r="AB5" s="11" t="n">
        <v>-0.0205</v>
      </c>
      <c r="AC5" s="11" t="n">
        <v>-0.0054</v>
      </c>
    </row>
    <row r="6">
      <c r="A6" s="10" t="inlineStr">
        <is>
          <t>해외사업환산조정</t>
        </is>
      </c>
      <c r="G6" s="11" t="n">
        <v>0.0273</v>
      </c>
      <c r="H6" s="11" t="n">
        <v>0</v>
      </c>
      <c r="I6" s="11" t="n">
        <v>-0.0124</v>
      </c>
      <c r="J6" s="11" t="n">
        <v>-0.0195</v>
      </c>
      <c r="K6" s="11" t="n">
        <v>-0.0136</v>
      </c>
      <c r="L6" s="11" t="n">
        <v>0.0035</v>
      </c>
      <c r="M6" s="11" t="n">
        <v>-0.0194</v>
      </c>
      <c r="N6" s="11" t="n">
        <v>0.0021</v>
      </c>
      <c r="O6" s="11" t="n">
        <v>-0.008399999999999999</v>
      </c>
      <c r="P6" s="11" t="n">
        <v>0.003</v>
      </c>
      <c r="Q6" s="11" t="n">
        <v>0.0437</v>
      </c>
      <c r="R6" s="11" t="n">
        <v>-0.0214</v>
      </c>
      <c r="S6" s="11" t="n">
        <v>-0.0383</v>
      </c>
      <c r="T6" s="11" t="n">
        <v>-0.0228</v>
      </c>
      <c r="U6" s="11" t="n">
        <v>-0.0005999999999999999</v>
      </c>
      <c r="V6" s="11" t="n">
        <v>0.0091</v>
      </c>
      <c r="Y6" s="11" t="n">
        <v>0</v>
      </c>
      <c r="Z6" s="11" t="n">
        <v>-0.0046</v>
      </c>
      <c r="AA6" s="11" t="n">
        <v>-0.0274</v>
      </c>
      <c r="AB6" s="11" t="n">
        <v>0.0169</v>
      </c>
      <c r="AC6" s="11" t="n">
        <v>-0.0526</v>
      </c>
    </row>
    <row r="7">
      <c r="A7" s="10" t="inlineStr">
        <is>
          <t>기타포괄손익 합계</t>
        </is>
      </c>
      <c r="G7" s="11" t="n">
        <v>0.0273</v>
      </c>
      <c r="H7" s="11" t="n">
        <v>0</v>
      </c>
      <c r="I7" s="11" t="n">
        <v>-0.0124</v>
      </c>
      <c r="J7" s="11" t="n">
        <v>-0.0195</v>
      </c>
      <c r="K7" s="11" t="n">
        <v>-0.0136</v>
      </c>
      <c r="L7" s="11" t="n">
        <v>0.0035</v>
      </c>
      <c r="M7" s="11" t="n">
        <v>-0.0404</v>
      </c>
      <c r="N7" s="11" t="n">
        <v>-0.008999999999999999</v>
      </c>
      <c r="O7" s="11" t="n">
        <v>-0.0255</v>
      </c>
      <c r="P7" s="11" t="n">
        <v>-0.0225</v>
      </c>
      <c r="Q7" s="11" t="n">
        <v>0.0639</v>
      </c>
      <c r="R7" s="11" t="n">
        <v>-0.0193</v>
      </c>
      <c r="S7" s="11" t="n">
        <v>-0.0428</v>
      </c>
      <c r="T7" s="11" t="n">
        <v>-0.0196</v>
      </c>
      <c r="U7" s="11" t="n">
        <v>-0.0092</v>
      </c>
      <c r="V7" s="11" t="n">
        <v>0.0137</v>
      </c>
      <c r="Y7" s="11" t="n">
        <v>0</v>
      </c>
      <c r="Z7" s="11" t="n">
        <v>-0.0046</v>
      </c>
      <c r="AA7" s="11" t="n">
        <v>-0.0595</v>
      </c>
      <c r="AB7" s="11" t="n">
        <v>-0.0036</v>
      </c>
      <c r="AC7" s="11" t="n">
        <v>-0.058</v>
      </c>
    </row>
    <row r="8">
      <c r="A8" s="10" t="inlineStr">
        <is>
          <t>포괄이익</t>
        </is>
      </c>
      <c r="G8" s="11" t="n">
        <v>-0.2331</v>
      </c>
      <c r="H8" s="11" t="n">
        <v>0.5869</v>
      </c>
      <c r="I8" s="11" t="n">
        <v>0.3824</v>
      </c>
      <c r="J8" s="11" t="n">
        <v>0.4004</v>
      </c>
      <c r="K8" s="11" t="n">
        <v>-0.032</v>
      </c>
      <c r="L8" s="11" t="n">
        <v>-0.1204</v>
      </c>
      <c r="M8" s="11" t="n">
        <v>1.4825</v>
      </c>
      <c r="N8" s="11" t="n">
        <v>-0.6481</v>
      </c>
      <c r="O8" s="11" t="n">
        <v>0.6264</v>
      </c>
      <c r="P8" s="11" t="n">
        <v>1.4606</v>
      </c>
      <c r="Q8" s="11" t="n">
        <v>1.2724</v>
      </c>
      <c r="R8" s="11" t="n">
        <v>-1.9254</v>
      </c>
      <c r="S8" s="11" t="n">
        <v>0.505</v>
      </c>
      <c r="T8" s="11" t="n">
        <v>0.8106</v>
      </c>
      <c r="U8" s="11" t="n">
        <v>1.857</v>
      </c>
      <c r="V8" s="11" t="n">
        <v>0.9584</v>
      </c>
      <c r="Y8" s="11" t="n">
        <v>-18.3422</v>
      </c>
      <c r="Z8" s="11" t="n">
        <v>1.1366</v>
      </c>
      <c r="AA8" s="11" t="n">
        <v>0.6819</v>
      </c>
      <c r="AB8" s="11" t="n">
        <v>1.434</v>
      </c>
      <c r="AC8" s="11" t="n">
        <v>4.131</v>
      </c>
    </row>
    <row r="9">
      <c r="A9" s="10" t="inlineStr">
        <is>
          <t>지배주주 포괄이익</t>
        </is>
      </c>
      <c r="G9" s="11" t="n">
        <v>-0.2331</v>
      </c>
      <c r="H9" s="11" t="n">
        <v>0.5869</v>
      </c>
      <c r="I9" s="11" t="n">
        <v>0.3824</v>
      </c>
      <c r="J9" s="11" t="n">
        <v>0.4004</v>
      </c>
      <c r="K9" s="11" t="n">
        <v>-0.032</v>
      </c>
      <c r="L9" s="11" t="n">
        <v>-0.1204</v>
      </c>
      <c r="M9" s="11" t="n">
        <v>1.4825</v>
      </c>
      <c r="N9" s="11" t="n">
        <v>-0.6481</v>
      </c>
      <c r="O9" s="11" t="n">
        <v>0.6264</v>
      </c>
      <c r="P9" s="11" t="n">
        <v>1.4606</v>
      </c>
      <c r="Q9" s="11" t="n">
        <v>1.2724</v>
      </c>
      <c r="R9" s="11" t="n">
        <v>-1.9254</v>
      </c>
      <c r="S9" s="11" t="n">
        <v>0.505</v>
      </c>
      <c r="T9" s="11" t="n">
        <v>0.8106</v>
      </c>
      <c r="U9" s="11" t="n">
        <v>1.857</v>
      </c>
      <c r="V9" s="11" t="n">
        <v>0.9584</v>
      </c>
      <c r="Y9" s="11" t="n">
        <v>-18.3422</v>
      </c>
      <c r="Z9" s="11" t="n">
        <v>1.1366</v>
      </c>
      <c r="AA9" s="11" t="n">
        <v>0.6819</v>
      </c>
      <c r="AB9" s="11" t="n">
        <v>1.434</v>
      </c>
      <c r="AC9" s="11" t="n">
        <v>4.131</v>
      </c>
    </row>
    <row r="10">
      <c r="A10" s="10" t="inlineStr">
        <is>
          <t>비지배주주 포괄이익</t>
        </is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v>0</v>
      </c>
      <c r="U10" s="11" t="n">
        <v>0</v>
      </c>
      <c r="V10" s="11" t="n">
        <v>0</v>
      </c>
      <c r="Y10" s="11" t="n">
        <v>0</v>
      </c>
      <c r="Z10" s="11" t="n">
        <v>0</v>
      </c>
      <c r="AA10" s="11" t="n">
        <v>0</v>
      </c>
      <c r="AB10" s="11" t="n">
        <v>0</v>
      </c>
      <c r="AC10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8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40" customWidth="1" min="30" max="30"/>
  </cols>
  <sheetData>
    <row r="1">
      <c r="A1" s="1" t="inlineStr">
        <is>
          <t>페이클라우드홀딩스 재무상태표</t>
        </is>
      </c>
    </row>
    <row r="2">
      <c r="A2" s="2" t="inlineStr">
        <is>
          <t>결산기 기준(27.2Q = 2027년 결산기 2분기) · 8월 결산 · 연결 · 분기 말 잔액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FY20</t>
        </is>
      </c>
      <c r="X3" s="4" t="inlineStr">
        <is>
          <t>FY21</t>
        </is>
      </c>
      <c r="Y3" s="4" t="inlineStr">
        <is>
          <t>FY22</t>
        </is>
      </c>
      <c r="Z3" s="4" t="inlineStr">
        <is>
          <t>FY23</t>
        </is>
      </c>
      <c r="AA3" s="4" t="inlineStr">
        <is>
          <t>FY24</t>
        </is>
      </c>
      <c r="AB3" s="4" t="inlineStr">
        <is>
          <t>FY25</t>
        </is>
      </c>
      <c r="AC3" s="4" t="inlineStr">
        <is>
          <t>FY26</t>
        </is>
      </c>
      <c r="AD3" s="4" t="inlineStr">
        <is>
          <t>출처</t>
        </is>
      </c>
    </row>
    <row r="4">
      <c r="A4" s="10" t="inlineStr">
        <is>
          <t>현금 및 예금</t>
        </is>
      </c>
      <c r="C4" s="11" t="n">
        <v>3.9543</v>
      </c>
      <c r="D4" s="11" t="n">
        <v>2.0541</v>
      </c>
      <c r="E4" s="11" t="n">
        <v>2.5064</v>
      </c>
      <c r="F4" s="11" t="n">
        <v>10.9433</v>
      </c>
      <c r="G4" s="11" t="n">
        <v>11.3955</v>
      </c>
      <c r="H4" s="11" t="n">
        <v>11.8875</v>
      </c>
      <c r="I4" s="11" t="n">
        <v>18.2909</v>
      </c>
      <c r="J4" s="11" t="n">
        <v>14.9095</v>
      </c>
      <c r="K4" s="11" t="n">
        <v>19.9318</v>
      </c>
      <c r="L4" s="11" t="n">
        <v>19.19</v>
      </c>
      <c r="M4" s="11" t="n">
        <v>27.0303</v>
      </c>
      <c r="N4" s="11" t="n">
        <v>32.2827</v>
      </c>
      <c r="O4" s="11" t="n">
        <v>30.9797</v>
      </c>
      <c r="P4" s="11" t="n">
        <v>32.5352</v>
      </c>
      <c r="Q4" s="11" t="n">
        <v>37.7411</v>
      </c>
      <c r="R4" s="11" t="n">
        <v>43.7364</v>
      </c>
      <c r="S4" s="11" t="n">
        <v>45.5454</v>
      </c>
      <c r="T4" s="11" t="n">
        <v>37.8312</v>
      </c>
      <c r="U4" s="11" t="n">
        <v>45.0643</v>
      </c>
      <c r="V4" s="11" t="n">
        <v>38.3435</v>
      </c>
      <c r="W4" s="11" t="n">
        <v>7.0035</v>
      </c>
      <c r="X4" s="11" t="n">
        <v>5.6069</v>
      </c>
      <c r="Y4" s="11" t="n">
        <v>10.9433</v>
      </c>
      <c r="Z4" s="11" t="n">
        <v>14.9095</v>
      </c>
      <c r="AA4" s="11" t="n">
        <v>32.2827</v>
      </c>
      <c r="AB4" s="11" t="n">
        <v>43.7364</v>
      </c>
      <c r="AC4" s="11" t="n">
        <v>38.3435</v>
      </c>
      <c r="AD4" s="7" t="inlineStr">
        <is>
          <t>결산단신 XBRL(거래소 공시, TDnet·JPX 보관소). 쓴 문서: 2026-10-15, 2026-07-14, 2026-04-14, 2026-01-14 외 20건 — '출처' 시트에 전부</t>
        </is>
      </c>
    </row>
    <row r="5">
      <c r="A5" s="10" t="inlineStr">
        <is>
          <t>매출채권</t>
        </is>
      </c>
      <c r="C5" s="11" t="n">
        <v>1.2117</v>
      </c>
      <c r="D5" s="11" t="n">
        <v>1.1028</v>
      </c>
      <c r="W5" s="11" t="n">
        <v>1.3344</v>
      </c>
      <c r="X5" s="11" t="n">
        <v>1.344</v>
      </c>
    </row>
    <row r="6">
      <c r="A6" s="10" t="inlineStr">
        <is>
          <t>받을어음·매출채권</t>
        </is>
      </c>
      <c r="E6" s="11" t="n">
        <v>1.2729</v>
      </c>
      <c r="X6" s="11" t="n">
        <v>1.344</v>
      </c>
    </row>
    <row r="7">
      <c r="A7" s="10" t="inlineStr">
        <is>
          <t>재공품</t>
        </is>
      </c>
      <c r="C7" s="11" t="n">
        <v>0.0058</v>
      </c>
      <c r="E7" s="11" t="n">
        <v>0.007</v>
      </c>
      <c r="W7" s="11" t="n">
        <v>0.0069</v>
      </c>
      <c r="X7" s="11" t="n">
        <v>0</v>
      </c>
    </row>
    <row r="8">
      <c r="A8" s="10" t="inlineStr">
        <is>
          <t>선급비용</t>
        </is>
      </c>
      <c r="C8" s="11" t="n">
        <v>0.166</v>
      </c>
      <c r="D8" s="11" t="n">
        <v>0.172</v>
      </c>
      <c r="E8" s="11" t="n">
        <v>0.1818</v>
      </c>
      <c r="W8" s="11" t="n">
        <v>0.09719999999999999</v>
      </c>
      <c r="X8" s="11" t="n">
        <v>0.1215</v>
      </c>
    </row>
    <row r="9">
      <c r="A9" s="10" t="inlineStr">
        <is>
          <t>받을어음·매출채권·계약자산</t>
        </is>
      </c>
      <c r="F9" s="11" t="n">
        <v>4.4133</v>
      </c>
      <c r="G9" s="11" t="n">
        <v>4.1923</v>
      </c>
      <c r="H9" s="11" t="n">
        <v>4.5843</v>
      </c>
      <c r="I9" s="11" t="n">
        <v>5.728</v>
      </c>
      <c r="J9" s="11" t="n">
        <v>6.9868</v>
      </c>
      <c r="K9" s="11" t="n">
        <v>3.8926</v>
      </c>
      <c r="L9" s="11" t="n">
        <v>4.1131</v>
      </c>
      <c r="M9" s="11" t="n">
        <v>12.9641</v>
      </c>
      <c r="N9" s="11" t="n">
        <v>10.9045</v>
      </c>
      <c r="O9" s="11" t="n">
        <v>12.8102</v>
      </c>
      <c r="P9" s="11" t="n">
        <v>11.9577</v>
      </c>
      <c r="Q9" s="11" t="n">
        <v>10.8675</v>
      </c>
      <c r="R9" s="11" t="n">
        <v>11.2738</v>
      </c>
      <c r="S9" s="11" t="n">
        <v>10.594</v>
      </c>
      <c r="T9" s="11" t="n">
        <v>11.426</v>
      </c>
      <c r="U9" s="11" t="n">
        <v>12.5814</v>
      </c>
      <c r="V9" s="11" t="n">
        <v>15.1208</v>
      </c>
      <c r="Y9" s="11" t="n">
        <v>4.4133</v>
      </c>
      <c r="Z9" s="11" t="n">
        <v>6.9868</v>
      </c>
      <c r="AA9" s="11" t="n">
        <v>10.9045</v>
      </c>
      <c r="AB9" s="11" t="n">
        <v>11.2738</v>
      </c>
      <c r="AC9" s="11" t="n">
        <v>15.1208</v>
      </c>
    </row>
    <row r="10">
      <c r="A10" s="10" t="inlineStr">
        <is>
          <t>재고자산</t>
        </is>
      </c>
      <c r="F10" s="11" t="n">
        <v>1.5001</v>
      </c>
      <c r="G10" s="11" t="n">
        <v>1.4957</v>
      </c>
      <c r="H10" s="11" t="n">
        <v>1.3477</v>
      </c>
      <c r="I10" s="11" t="n">
        <v>1.1119</v>
      </c>
      <c r="J10" s="11" t="n">
        <v>0.8841</v>
      </c>
      <c r="K10" s="11" t="n">
        <v>0.3664</v>
      </c>
      <c r="L10" s="11" t="n">
        <v>0.3139</v>
      </c>
      <c r="M10" s="11" t="n">
        <v>2.9253</v>
      </c>
      <c r="N10" s="11" t="n">
        <v>3.7538</v>
      </c>
      <c r="O10" s="11" t="n">
        <v>5.1251</v>
      </c>
      <c r="P10" s="11" t="n">
        <v>4.5695</v>
      </c>
      <c r="Q10" s="11" t="n">
        <v>6.0195</v>
      </c>
      <c r="R10" s="11" t="n">
        <v>4.2636</v>
      </c>
      <c r="S10" s="11" t="n">
        <v>4.6657</v>
      </c>
      <c r="T10" s="11" t="n">
        <v>5.8557</v>
      </c>
      <c r="U10" s="11" t="n">
        <v>5.3811</v>
      </c>
      <c r="V10" s="11" t="n">
        <v>5.4255</v>
      </c>
      <c r="Y10" s="11" t="n">
        <v>1.5001</v>
      </c>
      <c r="Z10" s="11" t="n">
        <v>0.8841</v>
      </c>
      <c r="AA10" s="11" t="n">
        <v>3.7538</v>
      </c>
      <c r="AB10" s="11" t="n">
        <v>4.2636</v>
      </c>
      <c r="AC10" s="11" t="n">
        <v>5.4255</v>
      </c>
    </row>
    <row r="11">
      <c r="A11" s="10" t="inlineStr">
        <is>
          <t>기타</t>
        </is>
      </c>
      <c r="C11" s="11" t="n">
        <v>0.0027</v>
      </c>
      <c r="D11" s="11" t="n">
        <v>0.0844</v>
      </c>
      <c r="E11" s="11" t="n">
        <v>0.1355</v>
      </c>
      <c r="F11" s="11" t="n">
        <v>0.923</v>
      </c>
      <c r="G11" s="11" t="n">
        <v>1.0246</v>
      </c>
      <c r="H11" s="11" t="n">
        <v>1.067</v>
      </c>
      <c r="I11" s="11" t="n">
        <v>0.8198</v>
      </c>
      <c r="J11" s="11" t="n">
        <v>0.7207</v>
      </c>
      <c r="K11" s="11" t="n">
        <v>0.7415</v>
      </c>
      <c r="L11" s="11" t="n">
        <v>0.732</v>
      </c>
      <c r="M11" s="11" t="n">
        <v>1.3562</v>
      </c>
      <c r="N11" s="11" t="n">
        <v>1.404</v>
      </c>
      <c r="O11" s="11" t="n">
        <v>1.7599</v>
      </c>
      <c r="P11" s="11" t="n">
        <v>1.2233</v>
      </c>
      <c r="Q11" s="11" t="n">
        <v>1.1499</v>
      </c>
      <c r="R11" s="11" t="n">
        <v>2.1703</v>
      </c>
      <c r="S11" s="11" t="n">
        <v>2.3615</v>
      </c>
      <c r="T11" s="11" t="n">
        <v>2.6174</v>
      </c>
      <c r="U11" s="11" t="n">
        <v>4.2416</v>
      </c>
      <c r="V11" s="11" t="n">
        <v>1.949</v>
      </c>
      <c r="W11" s="11" t="n">
        <v>0.0365</v>
      </c>
      <c r="X11" s="11" t="n">
        <v>0.0027</v>
      </c>
      <c r="Y11" s="11" t="n">
        <v>0.923</v>
      </c>
      <c r="Z11" s="11" t="n">
        <v>0.7207</v>
      </c>
      <c r="AA11" s="11" t="n">
        <v>1.404</v>
      </c>
      <c r="AB11" s="11" t="n">
        <v>2.1703</v>
      </c>
      <c r="AC11" s="11" t="n">
        <v>1.949</v>
      </c>
    </row>
    <row r="12">
      <c r="A12" s="10" t="inlineStr">
        <is>
          <t>대손충당금</t>
        </is>
      </c>
      <c r="C12" s="11" t="n">
        <v>-0.0024</v>
      </c>
      <c r="D12" s="11" t="n">
        <v>-0.0021</v>
      </c>
      <c r="E12" s="11" t="n">
        <v>-0.0025</v>
      </c>
      <c r="F12" s="11" t="n">
        <v>-0.0137</v>
      </c>
      <c r="G12" s="11" t="n">
        <v>-0.0052</v>
      </c>
      <c r="H12" s="11" t="n">
        <v>-0.0043</v>
      </c>
      <c r="I12" s="11" t="n">
        <v>-0.0043</v>
      </c>
      <c r="J12" s="11" t="n">
        <v>-0.0046</v>
      </c>
      <c r="K12" s="11" t="n">
        <v>-0.0032</v>
      </c>
      <c r="L12" s="11" t="n">
        <v>-0.0032</v>
      </c>
      <c r="M12" s="11" t="n">
        <v>-0.0032</v>
      </c>
      <c r="N12" s="11" t="n">
        <v>-0.0043</v>
      </c>
      <c r="O12" s="11" t="n">
        <v>-0.0042</v>
      </c>
      <c r="P12" s="11" t="n">
        <v>-0.0052</v>
      </c>
      <c r="Q12" s="11" t="n">
        <v>-0.006</v>
      </c>
      <c r="R12" s="11" t="n">
        <v>-0.008200000000000001</v>
      </c>
      <c r="S12" s="11" t="n">
        <v>-0.008800000000000001</v>
      </c>
      <c r="T12" s="11" t="n">
        <v>-0.0107</v>
      </c>
      <c r="U12" s="11" t="n">
        <v>-0.011</v>
      </c>
      <c r="V12" s="11" t="n">
        <v>-0.0156</v>
      </c>
      <c r="W12" s="11" t="n">
        <v>-0.0349</v>
      </c>
      <c r="X12" s="11" t="n">
        <v>-0.0029</v>
      </c>
      <c r="Y12" s="11" t="n">
        <v>-0.0137</v>
      </c>
      <c r="Z12" s="11" t="n">
        <v>-0.0046</v>
      </c>
      <c r="AA12" s="11" t="n">
        <v>-0.0043</v>
      </c>
      <c r="AB12" s="11" t="n">
        <v>-0.008200000000000001</v>
      </c>
      <c r="AC12" s="11" t="n">
        <v>-0.0156</v>
      </c>
    </row>
    <row r="13">
      <c r="A13" s="10" t="inlineStr">
        <is>
          <t>유동자산 합계</t>
        </is>
      </c>
      <c r="C13" s="11" t="n">
        <v>5.3381</v>
      </c>
      <c r="D13" s="11" t="n">
        <v>3.4112</v>
      </c>
      <c r="E13" s="11" t="n">
        <v>4.101</v>
      </c>
      <c r="F13" s="11" t="n">
        <v>17.766</v>
      </c>
      <c r="G13" s="11" t="n">
        <v>18.1029</v>
      </c>
      <c r="H13" s="11" t="n">
        <v>18.8822</v>
      </c>
      <c r="I13" s="11" t="n">
        <v>25.9462</v>
      </c>
      <c r="J13" s="11" t="n">
        <v>23.4965</v>
      </c>
      <c r="K13" s="11" t="n">
        <v>24.9292</v>
      </c>
      <c r="L13" s="11" t="n">
        <v>24.3458</v>
      </c>
      <c r="M13" s="11" t="n">
        <v>44.2727</v>
      </c>
      <c r="N13" s="11" t="n">
        <v>48.3406</v>
      </c>
      <c r="O13" s="11" t="n">
        <v>50.6706</v>
      </c>
      <c r="P13" s="11" t="n">
        <v>50.2805</v>
      </c>
      <c r="Q13" s="11" t="n">
        <v>55.7719</v>
      </c>
      <c r="R13" s="11" t="n">
        <v>61.436</v>
      </c>
      <c r="S13" s="11" t="n">
        <v>63.1578</v>
      </c>
      <c r="T13" s="11" t="n">
        <v>57.7196</v>
      </c>
      <c r="U13" s="11" t="n">
        <v>67.2573</v>
      </c>
      <c r="V13" s="11" t="n">
        <v>60.8232</v>
      </c>
      <c r="W13" s="11" t="n">
        <v>8.4436</v>
      </c>
      <c r="X13" s="11" t="n">
        <v>7.0722</v>
      </c>
      <c r="Y13" s="11" t="n">
        <v>17.766</v>
      </c>
      <c r="Z13" s="11" t="n">
        <v>23.4965</v>
      </c>
      <c r="AA13" s="11" t="n">
        <v>48.3406</v>
      </c>
      <c r="AB13" s="11" t="n">
        <v>61.436</v>
      </c>
      <c r="AC13" s="11" t="n">
        <v>60.8232</v>
      </c>
    </row>
    <row r="14">
      <c r="A14" s="10" t="inlineStr">
        <is>
          <t>건물</t>
        </is>
      </c>
      <c r="F14" s="11" t="n">
        <v>0.904</v>
      </c>
      <c r="J14" s="11" t="n">
        <v>0.5324</v>
      </c>
      <c r="N14" s="11" t="n">
        <v>0.8058999999999999</v>
      </c>
      <c r="R14" s="11" t="n">
        <v>0.8516</v>
      </c>
      <c r="V14" s="11" t="n">
        <v>0.8516</v>
      </c>
      <c r="Y14" s="11" t="n">
        <v>0.904</v>
      </c>
      <c r="Z14" s="11" t="n">
        <v>0.5324</v>
      </c>
      <c r="AA14" s="11" t="n">
        <v>0.8058999999999999</v>
      </c>
      <c r="AB14" s="11" t="n">
        <v>0.8516</v>
      </c>
      <c r="AC14" s="11" t="n">
        <v>0.8516</v>
      </c>
    </row>
    <row r="15">
      <c r="A15" s="10" t="inlineStr">
        <is>
          <t>감가상각누계액</t>
        </is>
      </c>
      <c r="F15" s="11" t="n">
        <v>-0.6647</v>
      </c>
      <c r="J15" s="11" t="n">
        <v>-0.438</v>
      </c>
      <c r="N15" s="11" t="n">
        <v>-0.6893</v>
      </c>
      <c r="R15" s="11" t="n">
        <v>-0.7106</v>
      </c>
      <c r="V15" s="11" t="n">
        <v>-0.7494</v>
      </c>
      <c r="Y15" s="11" t="n">
        <v>-0.6647</v>
      </c>
      <c r="Z15" s="11" t="n">
        <v>-0.438</v>
      </c>
      <c r="AA15" s="11" t="n">
        <v>-0.6893</v>
      </c>
      <c r="AB15" s="11" t="n">
        <v>-0.7106</v>
      </c>
      <c r="AC15" s="11" t="n">
        <v>-0.7494</v>
      </c>
    </row>
    <row r="16">
      <c r="A16" s="10" t="inlineStr">
        <is>
          <t>건물(순액)</t>
        </is>
      </c>
      <c r="C16" s="11" t="n">
        <v>0.1459</v>
      </c>
      <c r="D16" s="11" t="n">
        <v>0.1381</v>
      </c>
      <c r="E16" s="11" t="n">
        <v>0.1303</v>
      </c>
      <c r="F16" s="11" t="n">
        <v>0.2393</v>
      </c>
      <c r="G16" s="11" t="n">
        <v>0.1603</v>
      </c>
      <c r="H16" s="11" t="n">
        <v>0.1098</v>
      </c>
      <c r="I16" s="11" t="n">
        <v>0.1021</v>
      </c>
      <c r="J16" s="11" t="n">
        <v>0.0944</v>
      </c>
      <c r="K16" s="11" t="n">
        <v>0.09080000000000001</v>
      </c>
      <c r="L16" s="11" t="n">
        <v>0.0872</v>
      </c>
      <c r="M16" s="11" t="n">
        <v>0.1076</v>
      </c>
      <c r="N16" s="11" t="n">
        <v>0.1166</v>
      </c>
      <c r="O16" s="11" t="n">
        <v>0.1117</v>
      </c>
      <c r="P16" s="11" t="n">
        <v>0.1116</v>
      </c>
      <c r="Q16" s="11" t="n">
        <v>0.1394</v>
      </c>
      <c r="R16" s="11" t="n">
        <v>0.1409</v>
      </c>
      <c r="S16" s="11" t="n">
        <v>0.1349</v>
      </c>
      <c r="T16" s="11" t="n">
        <v>0.1252</v>
      </c>
      <c r="U16" s="11" t="n">
        <v>0.1137</v>
      </c>
      <c r="V16" s="11" t="n">
        <v>0.1022</v>
      </c>
      <c r="W16" s="11" t="n">
        <v>0.1599</v>
      </c>
      <c r="X16" s="11" t="n">
        <v>0.1536</v>
      </c>
      <c r="Y16" s="11" t="n">
        <v>0.2393</v>
      </c>
      <c r="Z16" s="11" t="n">
        <v>0.0944</v>
      </c>
      <c r="AA16" s="11" t="n">
        <v>0.1166</v>
      </c>
      <c r="AB16" s="11" t="n">
        <v>0.1409</v>
      </c>
      <c r="AC16" s="11" t="n">
        <v>0.1022</v>
      </c>
    </row>
    <row r="17">
      <c r="A17" s="10" t="inlineStr">
        <is>
          <t>공구·기구·비품</t>
        </is>
      </c>
      <c r="F17" s="11" t="n">
        <v>2.759</v>
      </c>
      <c r="J17" s="11" t="n">
        <v>2.7254</v>
      </c>
      <c r="N17" s="11" t="n">
        <v>3.2311</v>
      </c>
      <c r="R17" s="11" t="n">
        <v>3.3207</v>
      </c>
      <c r="V17" s="11" t="n">
        <v>3.4239</v>
      </c>
      <c r="Y17" s="11" t="n">
        <v>2.759</v>
      </c>
      <c r="Z17" s="11" t="n">
        <v>2.7254</v>
      </c>
      <c r="AA17" s="11" t="n">
        <v>3.2311</v>
      </c>
      <c r="AB17" s="11" t="n">
        <v>3.3207</v>
      </c>
      <c r="AC17" s="11" t="n">
        <v>3.4239</v>
      </c>
    </row>
    <row r="18">
      <c r="A18" s="10" t="inlineStr">
        <is>
          <t>감가상각누계액</t>
        </is>
      </c>
      <c r="F18" s="11" t="n">
        <v>-2.1175</v>
      </c>
      <c r="J18" s="11" t="n">
        <v>-2.2332</v>
      </c>
      <c r="N18" s="11" t="n">
        <v>-2.8005</v>
      </c>
      <c r="R18" s="11" t="n">
        <v>-2.9275</v>
      </c>
      <c r="V18" s="11" t="n">
        <v>-2.9891</v>
      </c>
      <c r="Y18" s="11" t="n">
        <v>-2.1175</v>
      </c>
      <c r="Z18" s="11" t="n">
        <v>-2.2332</v>
      </c>
      <c r="AA18" s="11" t="n">
        <v>-2.8005</v>
      </c>
      <c r="AB18" s="11" t="n">
        <v>-2.9275</v>
      </c>
      <c r="AC18" s="11" t="n">
        <v>-2.9891</v>
      </c>
    </row>
    <row r="19">
      <c r="A19" s="10" t="inlineStr">
        <is>
          <t>공구·기구·비품(순액)</t>
        </is>
      </c>
      <c r="C19" s="11" t="n">
        <v>0.09760000000000001</v>
      </c>
      <c r="D19" s="11" t="n">
        <v>0.0977</v>
      </c>
      <c r="E19" s="11" t="n">
        <v>0.0968</v>
      </c>
      <c r="F19" s="11" t="n">
        <v>0.6415</v>
      </c>
      <c r="G19" s="11" t="n">
        <v>0.6948</v>
      </c>
      <c r="H19" s="11" t="n">
        <v>0.6138</v>
      </c>
      <c r="I19" s="11" t="n">
        <v>0.5396</v>
      </c>
      <c r="J19" s="11" t="n">
        <v>0.4922</v>
      </c>
      <c r="K19" s="11" t="n">
        <v>0.4529</v>
      </c>
      <c r="L19" s="11" t="n">
        <v>0.415</v>
      </c>
      <c r="M19" s="11" t="n">
        <v>0.4617</v>
      </c>
      <c r="N19" s="11" t="n">
        <v>0.4306</v>
      </c>
      <c r="O19" s="11" t="n">
        <v>0.397</v>
      </c>
      <c r="P19" s="11" t="n">
        <v>0.3704</v>
      </c>
      <c r="Q19" s="11" t="n">
        <v>0.3873</v>
      </c>
      <c r="R19" s="11" t="n">
        <v>0.3932</v>
      </c>
      <c r="S19" s="11" t="n">
        <v>0.3999</v>
      </c>
      <c r="T19" s="11" t="n">
        <v>0.4866</v>
      </c>
      <c r="U19" s="11" t="n">
        <v>0.4315</v>
      </c>
      <c r="V19" s="11" t="n">
        <v>0.4348</v>
      </c>
      <c r="W19" s="11" t="n">
        <v>0.0612</v>
      </c>
      <c r="X19" s="11" t="n">
        <v>0.0999</v>
      </c>
      <c r="Y19" s="11" t="n">
        <v>0.6415</v>
      </c>
      <c r="Z19" s="11" t="n">
        <v>0.4922</v>
      </c>
      <c r="AA19" s="11" t="n">
        <v>0.4306</v>
      </c>
      <c r="AB19" s="11" t="n">
        <v>0.3932</v>
      </c>
      <c r="AC19" s="11" t="n">
        <v>0.4348</v>
      </c>
    </row>
    <row r="20">
      <c r="A20" s="10" t="inlineStr">
        <is>
          <t>리스자산</t>
        </is>
      </c>
      <c r="F20" s="11" t="n">
        <v>2.0106</v>
      </c>
      <c r="J20" s="11" t="n">
        <v>1.6233</v>
      </c>
      <c r="N20" s="11" t="n">
        <v>2.1442</v>
      </c>
      <c r="R20" s="11" t="n">
        <v>2.1442</v>
      </c>
      <c r="V20" s="11" t="n">
        <v>1.338</v>
      </c>
      <c r="Y20" s="11" t="n">
        <v>2.0106</v>
      </c>
      <c r="Z20" s="11" t="n">
        <v>1.6233</v>
      </c>
      <c r="AA20" s="11" t="n">
        <v>2.1442</v>
      </c>
      <c r="AB20" s="11" t="n">
        <v>2.1442</v>
      </c>
      <c r="AC20" s="11" t="n">
        <v>1.338</v>
      </c>
    </row>
    <row r="21">
      <c r="A21" s="10" t="inlineStr">
        <is>
          <t>감가상각누계액</t>
        </is>
      </c>
      <c r="F21" s="11" t="n">
        <v>-1.9721</v>
      </c>
      <c r="J21" s="11" t="n">
        <v>-1.5371</v>
      </c>
      <c r="N21" s="11" t="n">
        <v>-2.0966</v>
      </c>
      <c r="R21" s="11" t="n">
        <v>-2.1395</v>
      </c>
      <c r="V21" s="11" t="n">
        <v>-1.338</v>
      </c>
      <c r="Y21" s="11" t="n">
        <v>-1.9721</v>
      </c>
      <c r="Z21" s="11" t="n">
        <v>-1.5371</v>
      </c>
      <c r="AA21" s="11" t="n">
        <v>-2.0966</v>
      </c>
      <c r="AB21" s="11" t="n">
        <v>-2.1395</v>
      </c>
      <c r="AC21" s="11" t="n">
        <v>-1.338</v>
      </c>
    </row>
    <row r="22">
      <c r="A22" s="10" t="inlineStr">
        <is>
          <t>리스자산(순액)</t>
        </is>
      </c>
      <c r="F22" s="11" t="n">
        <v>0.0384</v>
      </c>
      <c r="G22" s="11" t="n">
        <v>0.1181</v>
      </c>
      <c r="H22" s="11" t="n">
        <v>0.1075</v>
      </c>
      <c r="I22" s="11" t="n">
        <v>0.0968</v>
      </c>
      <c r="J22" s="11" t="n">
        <v>0.0862</v>
      </c>
      <c r="K22" s="11" t="n">
        <v>0.0756</v>
      </c>
      <c r="L22" s="11" t="n">
        <v>0.065</v>
      </c>
      <c r="M22" s="11" t="n">
        <v>0.0643</v>
      </c>
      <c r="N22" s="11" t="n">
        <v>0.0476</v>
      </c>
      <c r="O22" s="11" t="n">
        <v>0.036</v>
      </c>
      <c r="P22" s="11" t="n">
        <v>0.0244</v>
      </c>
      <c r="Q22" s="11" t="n">
        <v>0.0128</v>
      </c>
      <c r="R22" s="11" t="n">
        <v>0.0047</v>
      </c>
      <c r="S22" s="11" t="n">
        <v>0</v>
      </c>
      <c r="T22" s="11" t="n">
        <v>0</v>
      </c>
      <c r="U22" s="11" t="n">
        <v>0</v>
      </c>
      <c r="V22" s="11" t="n">
        <v>0</v>
      </c>
      <c r="Y22" s="11" t="n">
        <v>0.0384</v>
      </c>
      <c r="Z22" s="11" t="n">
        <v>0.0862</v>
      </c>
      <c r="AA22" s="11" t="n">
        <v>0.0476</v>
      </c>
      <c r="AB22" s="11" t="n">
        <v>0.0047</v>
      </c>
      <c r="AC22" s="11" t="n">
        <v>0</v>
      </c>
    </row>
    <row r="23">
      <c r="A23" s="10" t="inlineStr">
        <is>
          <t>건설중인자산</t>
        </is>
      </c>
      <c r="F23" s="11" t="n">
        <v>0</v>
      </c>
      <c r="G23" s="11" t="n">
        <v>0.0133</v>
      </c>
      <c r="J23" s="11" t="n">
        <v>0.0028</v>
      </c>
      <c r="K23" s="11" t="n">
        <v>0.0058</v>
      </c>
      <c r="L23" s="11" t="n">
        <v>0.0058</v>
      </c>
      <c r="M23" s="11" t="n">
        <v>0.011</v>
      </c>
      <c r="N23" s="11" t="n">
        <v>0.0274</v>
      </c>
      <c r="O23" s="11" t="n">
        <v>0.046</v>
      </c>
      <c r="P23" s="11" t="n">
        <v>0.046</v>
      </c>
      <c r="Q23" s="11" t="n">
        <v>0.046</v>
      </c>
      <c r="R23" s="11" t="n">
        <v>0.0487</v>
      </c>
      <c r="S23" s="11" t="n">
        <v>0</v>
      </c>
      <c r="T23" s="11" t="n">
        <v>0</v>
      </c>
      <c r="U23" s="11" t="n">
        <v>0.1663</v>
      </c>
      <c r="V23" s="11" t="n">
        <v>0.1107</v>
      </c>
      <c r="Y23" s="11" t="n">
        <v>0</v>
      </c>
      <c r="Z23" s="11" t="n">
        <v>0.0028</v>
      </c>
      <c r="AA23" s="11" t="n">
        <v>0.0274</v>
      </c>
      <c r="AB23" s="11" t="n">
        <v>0.0487</v>
      </c>
      <c r="AC23" s="11" t="n">
        <v>0.1107</v>
      </c>
    </row>
    <row r="24">
      <c r="A24" s="10" t="inlineStr">
        <is>
          <t>기타</t>
        </is>
      </c>
      <c r="F24" s="11" t="n">
        <v>0.3966</v>
      </c>
      <c r="J24" s="11" t="n">
        <v>0.3904</v>
      </c>
      <c r="N24" s="11" t="n">
        <v>0.3871</v>
      </c>
      <c r="R24" s="11" t="n">
        <v>0.3849</v>
      </c>
      <c r="V24" s="11" t="n">
        <v>0.3841</v>
      </c>
      <c r="Y24" s="11" t="n">
        <v>0.3966</v>
      </c>
      <c r="Z24" s="11" t="n">
        <v>0.3904</v>
      </c>
      <c r="AA24" s="11" t="n">
        <v>0.3871</v>
      </c>
      <c r="AB24" s="11" t="n">
        <v>0.3849</v>
      </c>
      <c r="AC24" s="11" t="n">
        <v>0.3841</v>
      </c>
    </row>
    <row r="25">
      <c r="A25" s="10" t="inlineStr">
        <is>
          <t>감가상각누계액</t>
        </is>
      </c>
      <c r="F25" s="11" t="n">
        <v>-0.3966</v>
      </c>
      <c r="J25" s="11" t="n">
        <v>-0.3904</v>
      </c>
      <c r="N25" s="11" t="n">
        <v>-0.3871</v>
      </c>
      <c r="R25" s="11" t="n">
        <v>-0.3849</v>
      </c>
      <c r="V25" s="11" t="n">
        <v>-0.3841</v>
      </c>
      <c r="Y25" s="11" t="n">
        <v>-0.3966</v>
      </c>
      <c r="Z25" s="11" t="n">
        <v>-0.3904</v>
      </c>
      <c r="AA25" s="11" t="n">
        <v>-0.3871</v>
      </c>
      <c r="AB25" s="11" t="n">
        <v>-0.3849</v>
      </c>
      <c r="AC25" s="11" t="n">
        <v>-0.3841</v>
      </c>
    </row>
    <row r="26">
      <c r="A26" s="10" t="inlineStr">
        <is>
          <t>기타(순액)</t>
        </is>
      </c>
      <c r="F26" s="11" t="n">
        <v>0</v>
      </c>
      <c r="J26" s="11" t="n">
        <v>0</v>
      </c>
      <c r="N26" s="11" t="n">
        <v>0</v>
      </c>
      <c r="R26" s="11" t="n">
        <v>0</v>
      </c>
      <c r="V26" s="11" t="n">
        <v>0</v>
      </c>
      <c r="Y26" s="11" t="n">
        <v>0</v>
      </c>
      <c r="Z26" s="11" t="n">
        <v>0</v>
      </c>
      <c r="AA26" s="11" t="n">
        <v>0</v>
      </c>
      <c r="AB26" s="11" t="n">
        <v>0</v>
      </c>
      <c r="AC26" s="11" t="n">
        <v>0</v>
      </c>
    </row>
    <row r="27">
      <c r="A27" s="10" t="inlineStr">
        <is>
          <t>유형자산 합계</t>
        </is>
      </c>
      <c r="C27" s="11" t="n">
        <v>0.2435</v>
      </c>
      <c r="D27" s="11" t="n">
        <v>0.2358</v>
      </c>
      <c r="E27" s="11" t="n">
        <v>0.2272</v>
      </c>
      <c r="F27" s="11" t="n">
        <v>0.9193</v>
      </c>
      <c r="G27" s="11" t="n">
        <v>0.9865</v>
      </c>
      <c r="H27" s="11" t="n">
        <v>0.831</v>
      </c>
      <c r="I27" s="11" t="n">
        <v>0.7386</v>
      </c>
      <c r="J27" s="11" t="n">
        <v>0.6756</v>
      </c>
      <c r="K27" s="11" t="n">
        <v>0.6251</v>
      </c>
      <c r="L27" s="11" t="n">
        <v>0.573</v>
      </c>
      <c r="M27" s="11" t="n">
        <v>0.6445</v>
      </c>
      <c r="N27" s="11" t="n">
        <v>0.6221</v>
      </c>
      <c r="O27" s="11" t="n">
        <v>0.5907</v>
      </c>
      <c r="P27" s="11" t="n">
        <v>0.5525</v>
      </c>
      <c r="Q27" s="11" t="n">
        <v>0.5856</v>
      </c>
      <c r="R27" s="11" t="n">
        <v>0.5875</v>
      </c>
      <c r="S27" s="11" t="n">
        <v>0.5348000000000001</v>
      </c>
      <c r="T27" s="11" t="n">
        <v>0.6118</v>
      </c>
      <c r="U27" s="11" t="n">
        <v>0.7115</v>
      </c>
      <c r="V27" s="11" t="n">
        <v>0.6477000000000001</v>
      </c>
      <c r="W27" s="11" t="n">
        <v>0.221</v>
      </c>
      <c r="X27" s="11" t="n">
        <v>0.2535</v>
      </c>
      <c r="Y27" s="11" t="n">
        <v>0.9193</v>
      </c>
      <c r="Z27" s="11" t="n">
        <v>0.6756</v>
      </c>
      <c r="AA27" s="11" t="n">
        <v>0.6221</v>
      </c>
      <c r="AB27" s="11" t="n">
        <v>0.5875</v>
      </c>
      <c r="AC27" s="11" t="n">
        <v>0.6477000000000001</v>
      </c>
    </row>
    <row r="28">
      <c r="A28" s="10" t="inlineStr">
        <is>
          <t>영업권</t>
        </is>
      </c>
      <c r="F28" s="11" t="n">
        <v>11.8256</v>
      </c>
      <c r="G28" s="11" t="n">
        <v>15.3422</v>
      </c>
      <c r="H28" s="11" t="n">
        <v>11.0372</v>
      </c>
      <c r="I28" s="11" t="n">
        <v>10.7416</v>
      </c>
      <c r="J28" s="11" t="n">
        <v>10.4459</v>
      </c>
      <c r="K28" s="11" t="n">
        <v>10.1503</v>
      </c>
      <c r="L28" s="11" t="n">
        <v>9.854699999999999</v>
      </c>
      <c r="M28" s="11" t="n">
        <v>23.2394</v>
      </c>
      <c r="N28" s="11" t="n">
        <v>22.5929</v>
      </c>
      <c r="O28" s="11" t="n">
        <v>21.9465</v>
      </c>
      <c r="P28" s="11" t="n">
        <v>21.3001</v>
      </c>
      <c r="Q28" s="11" t="n">
        <v>20.6537</v>
      </c>
      <c r="R28" s="11" t="n">
        <v>20.0073</v>
      </c>
      <c r="S28" s="11" t="n">
        <v>19.3609</v>
      </c>
      <c r="T28" s="11" t="n">
        <v>18.7144</v>
      </c>
      <c r="U28" s="11" t="n">
        <v>18.068</v>
      </c>
      <c r="V28" s="11" t="n">
        <v>17.4216</v>
      </c>
      <c r="Y28" s="11" t="n">
        <v>11.8256</v>
      </c>
      <c r="Z28" s="11" t="n">
        <v>10.4459</v>
      </c>
      <c r="AA28" s="11" t="n">
        <v>22.5929</v>
      </c>
      <c r="AB28" s="11" t="n">
        <v>20.0073</v>
      </c>
      <c r="AC28" s="11" t="n">
        <v>17.4216</v>
      </c>
    </row>
    <row r="29">
      <c r="A29" s="10" t="inlineStr">
        <is>
          <t>고객관계자산</t>
        </is>
      </c>
      <c r="N29" s="11" t="n">
        <v>4.7235</v>
      </c>
      <c r="P29" s="11" t="n">
        <v>4.422</v>
      </c>
      <c r="R29" s="11" t="n">
        <v>4.1205</v>
      </c>
      <c r="T29" s="11" t="n">
        <v>3.819</v>
      </c>
      <c r="AA29" s="11" t="n">
        <v>4.7235</v>
      </c>
      <c r="AB29" s="11" t="n">
        <v>4.1205</v>
      </c>
    </row>
    <row r="30">
      <c r="A30" s="10" t="inlineStr">
        <is>
          <t>고객관계자산</t>
        </is>
      </c>
      <c r="F30" s="11" t="n">
        <v>6.03</v>
      </c>
      <c r="H30" s="11" t="n">
        <v>5.628</v>
      </c>
      <c r="I30" s="11" t="n">
        <v>5.4772</v>
      </c>
      <c r="J30" s="11" t="n">
        <v>5.3265</v>
      </c>
      <c r="L30" s="11" t="n">
        <v>5.025</v>
      </c>
      <c r="M30" s="11" t="n">
        <v>4.8742</v>
      </c>
      <c r="N30" s="11" t="n">
        <v>4.7235</v>
      </c>
      <c r="Q30" s="11" t="n">
        <v>4.2713</v>
      </c>
      <c r="R30" s="11" t="n">
        <v>4.1205</v>
      </c>
      <c r="U30" s="11" t="n">
        <v>3.6683</v>
      </c>
      <c r="Y30" s="11" t="n">
        <v>6.03</v>
      </c>
      <c r="Z30" s="11" t="n">
        <v>5.3265</v>
      </c>
      <c r="AA30" s="11" t="n">
        <v>4.7235</v>
      </c>
      <c r="AB30" s="11" t="n">
        <v>4.1205</v>
      </c>
    </row>
    <row r="31">
      <c r="A31" s="10" t="inlineStr">
        <is>
          <t>고객관계자산</t>
        </is>
      </c>
      <c r="F31" s="11" t="n">
        <v>6.03</v>
      </c>
      <c r="J31" s="11" t="n">
        <v>5.3265</v>
      </c>
      <c r="K31" s="11" t="n">
        <v>5.1757</v>
      </c>
      <c r="N31" s="11" t="n">
        <v>4.7235</v>
      </c>
      <c r="O31" s="11" t="n">
        <v>4.5728</v>
      </c>
      <c r="R31" s="11" t="n">
        <v>4.1205</v>
      </c>
      <c r="S31" s="11" t="n">
        <v>3.9697</v>
      </c>
      <c r="V31" s="11" t="n">
        <v>3.5175</v>
      </c>
      <c r="Y31" s="11" t="n">
        <v>6.03</v>
      </c>
      <c r="Z31" s="11" t="n">
        <v>5.3265</v>
      </c>
      <c r="AA31" s="11" t="n">
        <v>4.7235</v>
      </c>
      <c r="AB31" s="11" t="n">
        <v>4.1205</v>
      </c>
      <c r="AC31" s="11" t="n">
        <v>3.5175</v>
      </c>
    </row>
    <row r="32">
      <c r="A32" s="10" t="inlineStr">
        <is>
          <t>소프트웨어</t>
        </is>
      </c>
      <c r="C32" s="11" t="n">
        <v>3.2969</v>
      </c>
      <c r="D32" s="11" t="n">
        <v>3.7299</v>
      </c>
      <c r="E32" s="11" t="n">
        <v>3.9149</v>
      </c>
      <c r="F32" s="11" t="n">
        <v>1.7887</v>
      </c>
      <c r="G32" s="11" t="n">
        <v>1.8245</v>
      </c>
      <c r="H32" s="11" t="n">
        <v>1.7602</v>
      </c>
      <c r="I32" s="11" t="n">
        <v>1.84</v>
      </c>
      <c r="J32" s="11" t="n">
        <v>1.7783</v>
      </c>
      <c r="K32" s="11" t="n">
        <v>1.8905</v>
      </c>
      <c r="L32" s="11" t="n">
        <v>2.0201</v>
      </c>
      <c r="M32" s="11" t="n">
        <v>2.2013</v>
      </c>
      <c r="N32" s="11" t="n">
        <v>2.3834</v>
      </c>
      <c r="O32" s="11" t="n">
        <v>3.7371</v>
      </c>
      <c r="P32" s="11" t="n">
        <v>3.6481</v>
      </c>
      <c r="Q32" s="11" t="n">
        <v>3.6403</v>
      </c>
      <c r="R32" s="11" t="n">
        <v>3.7112</v>
      </c>
      <c r="S32" s="11" t="n">
        <v>3.9855</v>
      </c>
      <c r="T32" s="11" t="n">
        <v>3.8265</v>
      </c>
      <c r="U32" s="11" t="n">
        <v>5.0921</v>
      </c>
      <c r="V32" s="11" t="n">
        <v>5.5957</v>
      </c>
      <c r="W32" s="11" t="n">
        <v>1.0262</v>
      </c>
      <c r="X32" s="11" t="n">
        <v>2.5017</v>
      </c>
      <c r="Y32" s="11" t="n">
        <v>1.7887</v>
      </c>
      <c r="Z32" s="11" t="n">
        <v>1.7783</v>
      </c>
      <c r="AA32" s="11" t="n">
        <v>2.3834</v>
      </c>
      <c r="AB32" s="11" t="n">
        <v>3.7112</v>
      </c>
      <c r="AC32" s="11" t="n">
        <v>5.5957</v>
      </c>
    </row>
    <row r="33">
      <c r="A33" s="10" t="inlineStr">
        <is>
          <t>개발 중 소프트웨어</t>
        </is>
      </c>
      <c r="F33" s="11" t="n">
        <v>0.9786</v>
      </c>
      <c r="G33" s="11" t="n">
        <v>1.0252</v>
      </c>
      <c r="H33" s="11" t="n">
        <v>1.1357</v>
      </c>
      <c r="I33" s="11" t="n">
        <v>1.3115</v>
      </c>
      <c r="J33" s="11" t="n">
        <v>1.4192</v>
      </c>
      <c r="K33" s="11" t="n">
        <v>1.5465</v>
      </c>
      <c r="L33" s="11" t="n">
        <v>1.6859</v>
      </c>
      <c r="M33" s="11" t="n">
        <v>2.0854</v>
      </c>
      <c r="N33" s="11" t="n">
        <v>1.8871</v>
      </c>
      <c r="O33" s="11" t="n">
        <v>1.1789</v>
      </c>
      <c r="P33" s="11" t="n">
        <v>1.2974</v>
      </c>
      <c r="Q33" s="11" t="n">
        <v>2.1652</v>
      </c>
      <c r="R33" s="11" t="n">
        <v>1.7184</v>
      </c>
      <c r="S33" s="11" t="n">
        <v>1.8002</v>
      </c>
      <c r="T33" s="11" t="n">
        <v>1.9114</v>
      </c>
      <c r="U33" s="11" t="n">
        <v>1.3088</v>
      </c>
      <c r="V33" s="11" t="n">
        <v>0.9576</v>
      </c>
      <c r="Y33" s="11" t="n">
        <v>0.9786</v>
      </c>
      <c r="Z33" s="11" t="n">
        <v>1.4192</v>
      </c>
      <c r="AA33" s="11" t="n">
        <v>1.8871</v>
      </c>
      <c r="AB33" s="11" t="n">
        <v>1.7184</v>
      </c>
      <c r="AC33" s="11" t="n">
        <v>0.9576</v>
      </c>
    </row>
    <row r="34">
      <c r="A34" s="10" t="inlineStr">
        <is>
          <t>기타</t>
        </is>
      </c>
      <c r="C34" s="11" t="n">
        <v>0</v>
      </c>
      <c r="D34" s="11" t="n">
        <v>0</v>
      </c>
      <c r="E34" s="11" t="n">
        <v>0</v>
      </c>
      <c r="F34" s="11" t="n">
        <v>0.0009</v>
      </c>
      <c r="G34" s="11" t="n">
        <v>0.0009</v>
      </c>
      <c r="H34" s="11" t="n">
        <v>0.0008</v>
      </c>
      <c r="I34" s="11" t="n">
        <v>0.0008</v>
      </c>
      <c r="J34" s="11" t="n">
        <v>0.0007</v>
      </c>
      <c r="K34" s="11" t="n">
        <v>0.0007</v>
      </c>
      <c r="L34" s="11" t="n">
        <v>0.0005999999999999999</v>
      </c>
      <c r="M34" s="11" t="n">
        <v>0.0005999999999999999</v>
      </c>
      <c r="N34" s="11" t="n">
        <v>0.0073</v>
      </c>
      <c r="O34" s="11" t="n">
        <v>0.0072</v>
      </c>
      <c r="P34" s="11" t="n">
        <v>0.007</v>
      </c>
      <c r="Q34" s="11" t="n">
        <v>0.0068</v>
      </c>
      <c r="R34" s="11" t="n">
        <v>0.0066</v>
      </c>
      <c r="S34" s="11" t="n">
        <v>0.0064</v>
      </c>
      <c r="T34" s="11" t="n">
        <v>0.0061</v>
      </c>
      <c r="U34" s="11" t="n">
        <v>0.0059</v>
      </c>
      <c r="V34" s="11" t="n">
        <v>0.0057</v>
      </c>
      <c r="W34" s="11" t="n">
        <v>0</v>
      </c>
      <c r="X34" s="11" t="n">
        <v>0</v>
      </c>
      <c r="Y34" s="11" t="n">
        <v>0.0009</v>
      </c>
      <c r="Z34" s="11" t="n">
        <v>0.0007</v>
      </c>
      <c r="AA34" s="11" t="n">
        <v>0.0073</v>
      </c>
      <c r="AB34" s="11" t="n">
        <v>0.0066</v>
      </c>
      <c r="AC34" s="11" t="n">
        <v>0.0057</v>
      </c>
    </row>
    <row r="35">
      <c r="A35" s="10" t="inlineStr">
        <is>
          <t>무형자산 합계</t>
        </is>
      </c>
      <c r="C35" s="11" t="n">
        <v>3.2969</v>
      </c>
      <c r="D35" s="11" t="n">
        <v>3.7299</v>
      </c>
      <c r="E35" s="11" t="n">
        <v>3.9149</v>
      </c>
      <c r="F35" s="11" t="n">
        <v>20.6238</v>
      </c>
      <c r="G35" s="11" t="n">
        <v>18.1928</v>
      </c>
      <c r="H35" s="11" t="n">
        <v>19.562</v>
      </c>
      <c r="I35" s="11" t="n">
        <v>19.3712</v>
      </c>
      <c r="J35" s="11" t="n">
        <v>18.9707</v>
      </c>
      <c r="K35" s="11" t="n">
        <v>18.7637</v>
      </c>
      <c r="L35" s="11" t="n">
        <v>18.5863</v>
      </c>
      <c r="M35" s="11" t="n">
        <v>32.4009</v>
      </c>
      <c r="N35" s="11" t="n">
        <v>31.5942</v>
      </c>
      <c r="O35" s="11" t="n">
        <v>31.4425</v>
      </c>
      <c r="P35" s="11" t="n">
        <v>30.6746</v>
      </c>
      <c r="Q35" s="11" t="n">
        <v>30.7373</v>
      </c>
      <c r="R35" s="11" t="n">
        <v>29.564</v>
      </c>
      <c r="S35" s="11" t="n">
        <v>29.1227</v>
      </c>
      <c r="T35" s="11" t="n">
        <v>28.2775</v>
      </c>
      <c r="U35" s="11" t="n">
        <v>28.1432</v>
      </c>
      <c r="V35" s="11" t="n">
        <v>27.4982</v>
      </c>
      <c r="W35" s="11" t="n">
        <v>1.0262</v>
      </c>
      <c r="X35" s="11" t="n">
        <v>2.5017</v>
      </c>
      <c r="Y35" s="11" t="n">
        <v>20.6238</v>
      </c>
      <c r="Z35" s="11" t="n">
        <v>18.9707</v>
      </c>
      <c r="AA35" s="11" t="n">
        <v>31.5942</v>
      </c>
      <c r="AB35" s="11" t="n">
        <v>29.564</v>
      </c>
      <c r="AC35" s="11" t="n">
        <v>27.4982</v>
      </c>
    </row>
    <row r="36">
      <c r="A36" s="10" t="inlineStr">
        <is>
          <t>투자유가증권</t>
        </is>
      </c>
      <c r="C36" s="11" t="n">
        <v>0.0032</v>
      </c>
      <c r="D36" s="11" t="n">
        <v>0.0032</v>
      </c>
      <c r="E36" s="11" t="n">
        <v>0.0032</v>
      </c>
      <c r="F36" s="11" t="n">
        <v>0.0032</v>
      </c>
      <c r="G36" s="11" t="n">
        <v>0.0032</v>
      </c>
      <c r="H36" s="11" t="n">
        <v>0.0032</v>
      </c>
      <c r="I36" s="11" t="n">
        <v>0.0032</v>
      </c>
      <c r="J36" s="11" t="n">
        <v>0.0032</v>
      </c>
      <c r="K36" s="11" t="n">
        <v>0.0032</v>
      </c>
      <c r="L36" s="11" t="n">
        <v>0.0032</v>
      </c>
      <c r="M36" s="11" t="n">
        <v>0.3446</v>
      </c>
      <c r="N36" s="11" t="n">
        <v>0.3268</v>
      </c>
      <c r="O36" s="11" t="n">
        <v>0.3099</v>
      </c>
      <c r="P36" s="11" t="n">
        <v>0.2846</v>
      </c>
      <c r="Q36" s="11" t="n">
        <v>0.3024</v>
      </c>
      <c r="R36" s="11" t="n">
        <v>0.3244</v>
      </c>
      <c r="S36" s="11" t="n">
        <v>0.3191</v>
      </c>
      <c r="T36" s="11" t="n">
        <v>0.3236</v>
      </c>
      <c r="U36" s="11" t="n">
        <v>0.3117</v>
      </c>
      <c r="V36" s="11" t="n">
        <v>0.3164</v>
      </c>
      <c r="W36" s="11" t="n">
        <v>0.0032</v>
      </c>
      <c r="X36" s="11" t="n">
        <v>0.0032</v>
      </c>
      <c r="Y36" s="11" t="n">
        <v>0.0032</v>
      </c>
      <c r="Z36" s="11" t="n">
        <v>0.0032</v>
      </c>
      <c r="AA36" s="11" t="n">
        <v>0.3268</v>
      </c>
      <c r="AB36" s="11" t="n">
        <v>0.3244</v>
      </c>
      <c r="AC36" s="11" t="n">
        <v>0.3164</v>
      </c>
    </row>
    <row r="37">
      <c r="A37" s="10" t="inlineStr">
        <is>
          <t>관계회사 주식</t>
        </is>
      </c>
      <c r="C37" s="11" t="n">
        <v>10.7788</v>
      </c>
      <c r="D37" s="11" t="n">
        <v>10.7788</v>
      </c>
      <c r="E37" s="11" t="n">
        <v>10.7788</v>
      </c>
      <c r="F37" s="11" t="n">
        <v>0.0725</v>
      </c>
      <c r="G37" s="11" t="n">
        <v>0.09229999999999999</v>
      </c>
      <c r="H37" s="11" t="n">
        <v>0.1098</v>
      </c>
      <c r="I37" s="11" t="n">
        <v>0</v>
      </c>
      <c r="J37" s="11" t="n">
        <v>0</v>
      </c>
      <c r="W37" s="11" t="n">
        <v>0</v>
      </c>
      <c r="X37" s="11" t="n">
        <v>23.3316</v>
      </c>
      <c r="Y37" s="11" t="n">
        <v>0.0725</v>
      </c>
      <c r="Z37" s="11" t="n">
        <v>0</v>
      </c>
    </row>
    <row r="38">
      <c r="A38" s="10" t="inlineStr">
        <is>
          <t>장기대여금</t>
        </is>
      </c>
      <c r="W38" s="11" t="n">
        <v>0.154</v>
      </c>
      <c r="X38" s="11" t="n">
        <v>0</v>
      </c>
    </row>
    <row r="39">
      <c r="A39" s="10" t="inlineStr">
        <is>
          <t>임차보증금</t>
        </is>
      </c>
      <c r="C39" s="11" t="n">
        <v>0.303</v>
      </c>
      <c r="D39" s="11" t="n">
        <v>0.3013</v>
      </c>
      <c r="E39" s="11" t="n">
        <v>0.3279</v>
      </c>
      <c r="W39" s="11" t="n">
        <v>0.3111</v>
      </c>
      <c r="X39" s="11" t="n">
        <v>0.3046</v>
      </c>
    </row>
    <row r="40">
      <c r="A40" s="10" t="inlineStr">
        <is>
          <t>임차보증금·보증금</t>
        </is>
      </c>
      <c r="F40" s="11" t="n">
        <v>0.8556</v>
      </c>
      <c r="G40" s="11" t="n">
        <v>0.8872</v>
      </c>
      <c r="H40" s="11" t="n">
        <v>0.4494</v>
      </c>
      <c r="I40" s="11" t="n">
        <v>0.4364</v>
      </c>
      <c r="J40" s="11" t="n">
        <v>0.4487</v>
      </c>
      <c r="K40" s="11" t="n">
        <v>0.4471</v>
      </c>
      <c r="L40" s="11" t="n">
        <v>0.4455</v>
      </c>
      <c r="M40" s="11" t="n">
        <v>1.1186</v>
      </c>
      <c r="N40" s="11" t="n">
        <v>1.1395</v>
      </c>
      <c r="O40" s="11" t="n">
        <v>1.1374</v>
      </c>
      <c r="P40" s="11" t="n">
        <v>1.3151</v>
      </c>
      <c r="Q40" s="11" t="n">
        <v>1.3758</v>
      </c>
      <c r="R40" s="11" t="n">
        <v>1.3395</v>
      </c>
      <c r="S40" s="11" t="n">
        <v>1.3466</v>
      </c>
      <c r="T40" s="11" t="n">
        <v>1.3373</v>
      </c>
      <c r="U40" s="11" t="n">
        <v>2.8627</v>
      </c>
      <c r="V40" s="11" t="n">
        <v>2.8606</v>
      </c>
      <c r="Y40" s="11" t="n">
        <v>0.8556</v>
      </c>
      <c r="Z40" s="11" t="n">
        <v>0.4487</v>
      </c>
      <c r="AA40" s="11" t="n">
        <v>1.1395</v>
      </c>
      <c r="AB40" s="11" t="n">
        <v>1.3395</v>
      </c>
      <c r="AC40" s="11" t="n">
        <v>2.8606</v>
      </c>
    </row>
    <row r="41">
      <c r="A41" s="10" t="inlineStr">
        <is>
          <t>보험적립금</t>
        </is>
      </c>
      <c r="C41" s="11" t="n">
        <v>0.1005</v>
      </c>
      <c r="D41" s="11" t="n">
        <v>0.1052</v>
      </c>
      <c r="E41" s="11" t="n">
        <v>0.1099</v>
      </c>
      <c r="F41" s="11" t="n">
        <v>0.1146</v>
      </c>
      <c r="G41" s="11" t="n">
        <v>0.1193</v>
      </c>
      <c r="H41" s="11" t="n">
        <v>0.124</v>
      </c>
      <c r="I41" s="11" t="n">
        <v>0.1287</v>
      </c>
      <c r="J41" s="11" t="n">
        <v>0.1018</v>
      </c>
      <c r="K41" s="11" t="n">
        <v>0.1092</v>
      </c>
      <c r="L41" s="11" t="n">
        <v>0.1122</v>
      </c>
      <c r="M41" s="11" t="n">
        <v>0.1158</v>
      </c>
      <c r="N41" s="11" t="n">
        <v>0.1178</v>
      </c>
      <c r="O41" s="11" t="n">
        <v>0</v>
      </c>
      <c r="P41" s="11" t="n">
        <v>0</v>
      </c>
      <c r="Q41" s="11" t="n">
        <v>0</v>
      </c>
      <c r="R41" s="11" t="n">
        <v>0</v>
      </c>
      <c r="W41" s="11" t="n">
        <v>0.0761</v>
      </c>
      <c r="X41" s="11" t="n">
        <v>0.0954</v>
      </c>
      <c r="Y41" s="11" t="n">
        <v>0.1146</v>
      </c>
      <c r="Z41" s="11" t="n">
        <v>0.1018</v>
      </c>
      <c r="AA41" s="11" t="n">
        <v>0.1178</v>
      </c>
      <c r="AB41" s="11" t="n">
        <v>0</v>
      </c>
    </row>
    <row r="42">
      <c r="A42" s="10" t="inlineStr">
        <is>
          <t>이연법인세자산</t>
        </is>
      </c>
      <c r="C42" s="11" t="n">
        <v>0.3076</v>
      </c>
      <c r="D42" s="11" t="n">
        <v>0.3076</v>
      </c>
      <c r="E42" s="11" t="n">
        <v>0.3076</v>
      </c>
      <c r="F42" s="11" t="n">
        <v>0</v>
      </c>
      <c r="J42" s="11" t="n">
        <v>0.2995</v>
      </c>
      <c r="K42" s="11" t="n">
        <v>0.0601</v>
      </c>
      <c r="L42" s="11" t="n">
        <v>0.095</v>
      </c>
      <c r="M42" s="11" t="n">
        <v>0.3316</v>
      </c>
      <c r="N42" s="11" t="n">
        <v>0.4031</v>
      </c>
      <c r="O42" s="11" t="n">
        <v>0.2459</v>
      </c>
      <c r="P42" s="11" t="n">
        <v>0.0844</v>
      </c>
      <c r="Q42" s="11" t="n">
        <v>0.0872</v>
      </c>
      <c r="R42" s="11" t="n">
        <v>0.4365</v>
      </c>
      <c r="S42" s="11" t="n">
        <v>0.1682</v>
      </c>
      <c r="T42" s="11" t="n">
        <v>0.3283</v>
      </c>
      <c r="U42" s="11" t="n">
        <v>0.2777</v>
      </c>
      <c r="V42" s="11" t="n">
        <v>0.38</v>
      </c>
      <c r="W42" s="11" t="n">
        <v>0.4651</v>
      </c>
      <c r="X42" s="11" t="n">
        <v>0.3076</v>
      </c>
      <c r="Y42" s="11" t="n">
        <v>0</v>
      </c>
      <c r="Z42" s="11" t="n">
        <v>0.2995</v>
      </c>
      <c r="AA42" s="11" t="n">
        <v>0.4031</v>
      </c>
      <c r="AB42" s="11" t="n">
        <v>0.4365</v>
      </c>
      <c r="AC42" s="11" t="n">
        <v>0.38</v>
      </c>
    </row>
    <row r="43">
      <c r="A43" s="10" t="inlineStr">
        <is>
          <t>기타</t>
        </is>
      </c>
      <c r="C43" s="11" t="n">
        <v>0.0075</v>
      </c>
      <c r="D43" s="11" t="n">
        <v>0.0072</v>
      </c>
      <c r="E43" s="11" t="n">
        <v>0.0069</v>
      </c>
      <c r="F43" s="11" t="n">
        <v>0.0664</v>
      </c>
      <c r="G43" s="11" t="n">
        <v>0.0497</v>
      </c>
      <c r="H43" s="11" t="n">
        <v>0.0437</v>
      </c>
      <c r="I43" s="11" t="n">
        <v>0.0376</v>
      </c>
      <c r="J43" s="11" t="n">
        <v>0.0318</v>
      </c>
      <c r="K43" s="11" t="n">
        <v>0.0261</v>
      </c>
      <c r="L43" s="11" t="n">
        <v>0.0359</v>
      </c>
      <c r="M43" s="11" t="n">
        <v>0.0896</v>
      </c>
      <c r="N43" s="11" t="n">
        <v>0.09</v>
      </c>
      <c r="O43" s="11" t="n">
        <v>0.0892</v>
      </c>
      <c r="P43" s="11" t="n">
        <v>0.1061</v>
      </c>
      <c r="Q43" s="11" t="n">
        <v>0.1908</v>
      </c>
      <c r="R43" s="11" t="n">
        <v>0.4182</v>
      </c>
      <c r="S43" s="11" t="n">
        <v>0.4013</v>
      </c>
      <c r="T43" s="11" t="n">
        <v>0.3927</v>
      </c>
      <c r="U43" s="11" t="n">
        <v>0.7876</v>
      </c>
      <c r="V43" s="11" t="n">
        <v>0.748</v>
      </c>
      <c r="W43" s="11" t="n">
        <v>0.0048</v>
      </c>
      <c r="X43" s="11" t="n">
        <v>0.0064</v>
      </c>
      <c r="Y43" s="11" t="n">
        <v>0.0664</v>
      </c>
      <c r="Z43" s="11" t="n">
        <v>0.0318</v>
      </c>
      <c r="AA43" s="11" t="n">
        <v>0.09</v>
      </c>
      <c r="AB43" s="11" t="n">
        <v>0.4182</v>
      </c>
      <c r="AC43" s="11" t="n">
        <v>0.748</v>
      </c>
    </row>
    <row r="44">
      <c r="A44" s="10" t="inlineStr">
        <is>
          <t>대손충당금</t>
        </is>
      </c>
      <c r="C44" s="11" t="n">
        <v>-0.0064</v>
      </c>
      <c r="D44" s="11" t="n">
        <v>-0.0064</v>
      </c>
      <c r="E44" s="11" t="n">
        <v>-0.0064</v>
      </c>
      <c r="F44" s="11" t="n">
        <v>-0.0113</v>
      </c>
      <c r="G44" s="11" t="n">
        <v>-0.0115</v>
      </c>
      <c r="H44" s="11" t="n">
        <v>-0.0115</v>
      </c>
      <c r="I44" s="11" t="n">
        <v>-0.0115</v>
      </c>
      <c r="J44" s="11" t="n">
        <v>-0.0115</v>
      </c>
      <c r="K44" s="11" t="n">
        <v>-0.0115</v>
      </c>
      <c r="L44" s="11" t="n">
        <v>-0.0051</v>
      </c>
      <c r="M44" s="11" t="n">
        <v>-0.0051</v>
      </c>
      <c r="N44" s="11" t="n">
        <v>-0.0062</v>
      </c>
      <c r="O44" s="11" t="n">
        <v>-0.006</v>
      </c>
      <c r="P44" s="11" t="n">
        <v>-0.007900000000000001</v>
      </c>
      <c r="Q44" s="11" t="n">
        <v>-0.0117</v>
      </c>
      <c r="R44" s="11" t="n">
        <v>-0.009299999999999999</v>
      </c>
      <c r="S44" s="11" t="n">
        <v>-0.008699999999999999</v>
      </c>
      <c r="T44" s="11" t="n">
        <v>-0.009299999999999999</v>
      </c>
      <c r="U44" s="11" t="n">
        <v>-0.0114</v>
      </c>
      <c r="V44" s="11" t="n">
        <v>-0.0122</v>
      </c>
      <c r="W44" s="11" t="n">
        <v>-0.1563</v>
      </c>
      <c r="X44" s="11" t="n">
        <v>-0.0064</v>
      </c>
      <c r="Y44" s="11" t="n">
        <v>-0.0113</v>
      </c>
      <c r="Z44" s="11" t="n">
        <v>-0.0115</v>
      </c>
      <c r="AA44" s="11" t="n">
        <v>-0.0062</v>
      </c>
      <c r="AB44" s="11" t="n">
        <v>-0.009299999999999999</v>
      </c>
      <c r="AC44" s="11" t="n">
        <v>-0.0122</v>
      </c>
    </row>
    <row r="45">
      <c r="A45" s="10" t="inlineStr">
        <is>
          <t>투자 및 기타자산 합계</t>
        </is>
      </c>
      <c r="C45" s="11" t="n">
        <v>11.4942</v>
      </c>
      <c r="D45" s="11" t="n">
        <v>11.497</v>
      </c>
      <c r="E45" s="11" t="n">
        <v>11.528</v>
      </c>
      <c r="F45" s="11" t="n">
        <v>1.101</v>
      </c>
      <c r="G45" s="11" t="n">
        <v>1.1403</v>
      </c>
      <c r="H45" s="11" t="n">
        <v>0.7187</v>
      </c>
      <c r="I45" s="11" t="n">
        <v>0.5945</v>
      </c>
      <c r="J45" s="11" t="n">
        <v>0.8737</v>
      </c>
      <c r="K45" s="11" t="n">
        <v>0.6343</v>
      </c>
      <c r="L45" s="11" t="n">
        <v>0.6868</v>
      </c>
      <c r="M45" s="11" t="n">
        <v>1.9951</v>
      </c>
      <c r="N45" s="11" t="n">
        <v>2.0711</v>
      </c>
      <c r="O45" s="11" t="n">
        <v>1.7763</v>
      </c>
      <c r="P45" s="11" t="n">
        <v>1.7823</v>
      </c>
      <c r="Q45" s="11" t="n">
        <v>1.9446</v>
      </c>
      <c r="R45" s="11" t="n">
        <v>2.5093</v>
      </c>
      <c r="S45" s="11" t="n">
        <v>2.2265</v>
      </c>
      <c r="T45" s="11" t="n">
        <v>2.3727</v>
      </c>
      <c r="U45" s="11" t="n">
        <v>4.2282</v>
      </c>
      <c r="V45" s="11" t="n">
        <v>4.2928</v>
      </c>
      <c r="W45" s="11" t="n">
        <v>0.858</v>
      </c>
      <c r="X45" s="11" t="n">
        <v>24.0424</v>
      </c>
      <c r="Y45" s="11" t="n">
        <v>1.101</v>
      </c>
      <c r="Z45" s="11" t="n">
        <v>0.8737</v>
      </c>
      <c r="AA45" s="11" t="n">
        <v>2.0711</v>
      </c>
      <c r="AB45" s="11" t="n">
        <v>2.5093</v>
      </c>
      <c r="AC45" s="11" t="n">
        <v>4.2928</v>
      </c>
    </row>
    <row r="46">
      <c r="A46" s="10" t="inlineStr">
        <is>
          <t>비유동자산 합계</t>
        </is>
      </c>
      <c r="C46" s="11" t="n">
        <v>15.0346</v>
      </c>
      <c r="D46" s="11" t="n">
        <v>15.4627</v>
      </c>
      <c r="E46" s="11" t="n">
        <v>15.6701</v>
      </c>
      <c r="F46" s="11" t="n">
        <v>22.6441</v>
      </c>
      <c r="G46" s="11" t="n">
        <v>20.3196</v>
      </c>
      <c r="H46" s="11" t="n">
        <v>21.1117</v>
      </c>
      <c r="I46" s="11" t="n">
        <v>20.7043</v>
      </c>
      <c r="J46" s="11" t="n">
        <v>20.52</v>
      </c>
      <c r="K46" s="11" t="n">
        <v>20.0232</v>
      </c>
      <c r="L46" s="11" t="n">
        <v>19.8461</v>
      </c>
      <c r="M46" s="11" t="n">
        <v>35.0405</v>
      </c>
      <c r="N46" s="11" t="n">
        <v>34.2874</v>
      </c>
      <c r="O46" s="11" t="n">
        <v>33.8095</v>
      </c>
      <c r="P46" s="11" t="n">
        <v>33.0095</v>
      </c>
      <c r="Q46" s="11" t="n">
        <v>33.2674</v>
      </c>
      <c r="R46" s="11" t="n">
        <v>32.6609</v>
      </c>
      <c r="S46" s="11" t="n">
        <v>31.884</v>
      </c>
      <c r="T46" s="11" t="n">
        <v>31.262</v>
      </c>
      <c r="U46" s="11" t="n">
        <v>33.0829</v>
      </c>
      <c r="V46" s="11" t="n">
        <v>32.4387</v>
      </c>
      <c r="W46" s="11" t="n">
        <v>2.1053</v>
      </c>
      <c r="X46" s="11" t="n">
        <v>26.7977</v>
      </c>
      <c r="Y46" s="11" t="n">
        <v>22.6441</v>
      </c>
      <c r="Z46" s="11" t="n">
        <v>20.52</v>
      </c>
      <c r="AA46" s="11" t="n">
        <v>34.2874</v>
      </c>
      <c r="AB46" s="11" t="n">
        <v>32.6609</v>
      </c>
      <c r="AC46" s="11" t="n">
        <v>32.4387</v>
      </c>
    </row>
    <row r="47">
      <c r="A47" s="10" t="inlineStr">
        <is>
          <t>자산 합계</t>
        </is>
      </c>
      <c r="C47" s="11" t="n">
        <v>20.3727</v>
      </c>
      <c r="D47" s="11" t="n">
        <v>18.8739</v>
      </c>
      <c r="E47" s="11" t="n">
        <v>19.7711</v>
      </c>
      <c r="F47" s="11" t="n">
        <v>40.4102</v>
      </c>
      <c r="G47" s="11" t="n">
        <v>38.4225</v>
      </c>
      <c r="H47" s="11" t="n">
        <v>39.9939</v>
      </c>
      <c r="I47" s="11" t="n">
        <v>46.6505</v>
      </c>
      <c r="J47" s="11" t="n">
        <v>44.0166</v>
      </c>
      <c r="K47" s="11" t="n">
        <v>44.9524</v>
      </c>
      <c r="L47" s="11" t="n">
        <v>44.1919</v>
      </c>
      <c r="M47" s="11" t="n">
        <v>79.31319999999999</v>
      </c>
      <c r="N47" s="11" t="n">
        <v>82.628</v>
      </c>
      <c r="O47" s="11" t="n">
        <v>84.4802</v>
      </c>
      <c r="P47" s="11" t="n">
        <v>83.29000000000001</v>
      </c>
      <c r="Q47" s="11" t="n">
        <v>89.0393</v>
      </c>
      <c r="R47" s="11" t="n">
        <v>94.09690000000001</v>
      </c>
      <c r="S47" s="11" t="n">
        <v>95.04179999999999</v>
      </c>
      <c r="T47" s="11" t="n">
        <v>88.9815</v>
      </c>
      <c r="U47" s="11" t="n">
        <v>100.3402</v>
      </c>
      <c r="V47" s="11" t="n">
        <v>93.2619</v>
      </c>
      <c r="W47" s="11" t="n">
        <v>10.5489</v>
      </c>
      <c r="X47" s="11" t="n">
        <v>33.8699</v>
      </c>
      <c r="Y47" s="11" t="n">
        <v>40.4102</v>
      </c>
      <c r="Z47" s="11" t="n">
        <v>44.0166</v>
      </c>
      <c r="AA47" s="11" t="n">
        <v>82.628</v>
      </c>
      <c r="AB47" s="11" t="n">
        <v>94.09690000000001</v>
      </c>
      <c r="AC47" s="11" t="n">
        <v>93.2619</v>
      </c>
    </row>
    <row r="48">
      <c r="A48" s="10" t="inlineStr">
        <is>
          <t>매입채무</t>
        </is>
      </c>
      <c r="C48" s="11" t="n">
        <v>0.4179</v>
      </c>
      <c r="D48" s="11" t="n">
        <v>0.2783</v>
      </c>
      <c r="E48" s="11" t="n">
        <v>0.2918</v>
      </c>
      <c r="F48" s="11" t="n">
        <v>1.34</v>
      </c>
      <c r="G48" s="11" t="n">
        <v>1.7473</v>
      </c>
      <c r="H48" s="11" t="n">
        <v>2.4996</v>
      </c>
      <c r="I48" s="11" t="n">
        <v>3.6539</v>
      </c>
      <c r="J48" s="11" t="n">
        <v>3.4914</v>
      </c>
      <c r="K48" s="11" t="n">
        <v>1.3484</v>
      </c>
      <c r="L48" s="11" t="n">
        <v>1.2897</v>
      </c>
      <c r="M48" s="11" t="n">
        <v>6.3852</v>
      </c>
      <c r="N48" s="11" t="n">
        <v>3.7844</v>
      </c>
      <c r="O48" s="11" t="n">
        <v>6.9419</v>
      </c>
      <c r="P48" s="11" t="n">
        <v>5.8292</v>
      </c>
      <c r="Q48" s="11" t="n">
        <v>7.2008</v>
      </c>
      <c r="R48" s="11" t="n">
        <v>6.3056</v>
      </c>
      <c r="S48" s="11" t="n">
        <v>5.0286</v>
      </c>
      <c r="T48" s="11" t="n">
        <v>6.7114</v>
      </c>
      <c r="U48" s="11" t="n">
        <v>6.4779</v>
      </c>
      <c r="V48" s="11" t="n">
        <v>8.674899999999999</v>
      </c>
      <c r="W48" s="11" t="n">
        <v>0.2148</v>
      </c>
      <c r="X48" s="11" t="n">
        <v>0.5215</v>
      </c>
      <c r="Y48" s="11" t="n">
        <v>1.34</v>
      </c>
      <c r="Z48" s="11" t="n">
        <v>3.4914</v>
      </c>
      <c r="AA48" s="11" t="n">
        <v>3.7844</v>
      </c>
      <c r="AB48" s="11" t="n">
        <v>6.3056</v>
      </c>
      <c r="AC48" s="11" t="n">
        <v>8.674899999999999</v>
      </c>
    </row>
    <row r="49">
      <c r="A49" s="10" t="inlineStr">
        <is>
          <t>단기차입금</t>
        </is>
      </c>
      <c r="C49" s="11" t="n">
        <v>1</v>
      </c>
      <c r="D49" s="11" t="n">
        <v>1</v>
      </c>
      <c r="E49" s="11" t="n">
        <v>1</v>
      </c>
      <c r="F49" s="11" t="n">
        <v>0.5</v>
      </c>
      <c r="G49" s="11" t="n">
        <v>0.5</v>
      </c>
      <c r="H49" s="11" t="n">
        <v>0.5</v>
      </c>
      <c r="I49" s="11" t="n">
        <v>0.5</v>
      </c>
      <c r="J49" s="11" t="n">
        <v>0</v>
      </c>
      <c r="K49" s="11" t="n">
        <v>3</v>
      </c>
      <c r="L49" s="11" t="n">
        <v>3.4166</v>
      </c>
      <c r="M49" s="11" t="n">
        <v>3.2915</v>
      </c>
      <c r="N49" s="11" t="n">
        <v>3.1664</v>
      </c>
      <c r="O49" s="11" t="n">
        <v>5.0413</v>
      </c>
      <c r="P49" s="11" t="n">
        <v>5.5</v>
      </c>
      <c r="Q49" s="11" t="n">
        <v>5.5</v>
      </c>
      <c r="R49" s="11" t="n">
        <v>6.75</v>
      </c>
      <c r="S49" s="11" t="n">
        <v>6.375</v>
      </c>
      <c r="T49" s="11" t="n">
        <v>6</v>
      </c>
      <c r="U49" s="11" t="n">
        <v>5.625</v>
      </c>
      <c r="V49" s="11" t="n">
        <v>5.5</v>
      </c>
      <c r="W49" s="11" t="n">
        <v>1</v>
      </c>
      <c r="X49" s="11" t="n">
        <v>1</v>
      </c>
      <c r="Y49" s="11" t="n">
        <v>0.5</v>
      </c>
      <c r="Z49" s="11" t="n">
        <v>0</v>
      </c>
      <c r="AA49" s="11" t="n">
        <v>3.1664</v>
      </c>
      <c r="AB49" s="11" t="n">
        <v>6.75</v>
      </c>
      <c r="AC49" s="11" t="n">
        <v>5.5</v>
      </c>
    </row>
    <row r="50">
      <c r="A50" s="10" t="inlineStr">
        <is>
          <t>1년 내 상환 사채</t>
        </is>
      </c>
      <c r="E50" s="11" t="n">
        <v>0.32</v>
      </c>
      <c r="F50" s="11" t="n">
        <v>0.32</v>
      </c>
      <c r="G50" s="11" t="n">
        <v>0.32</v>
      </c>
      <c r="H50" s="11" t="n">
        <v>0.32</v>
      </c>
      <c r="I50" s="11" t="n">
        <v>0.32</v>
      </c>
      <c r="J50" s="11" t="n">
        <v>0.32</v>
      </c>
      <c r="K50" s="11" t="n">
        <v>0.32</v>
      </c>
      <c r="L50" s="11" t="n">
        <v>0.32</v>
      </c>
      <c r="M50" s="11" t="n">
        <v>0.49</v>
      </c>
      <c r="N50" s="11" t="n">
        <v>0.36</v>
      </c>
      <c r="O50" s="11" t="n">
        <v>0.2</v>
      </c>
      <c r="P50" s="11" t="n">
        <v>0.2</v>
      </c>
      <c r="Q50" s="11" t="n">
        <v>0</v>
      </c>
      <c r="R50" s="11" t="n">
        <v>0</v>
      </c>
      <c r="X50" s="11" t="n">
        <v>0</v>
      </c>
      <c r="Y50" s="11" t="n">
        <v>0.32</v>
      </c>
      <c r="Z50" s="11" t="n">
        <v>0.32</v>
      </c>
      <c r="AA50" s="11" t="n">
        <v>0.36</v>
      </c>
      <c r="AB50" s="11" t="n">
        <v>0</v>
      </c>
    </row>
    <row r="51">
      <c r="A51" s="10" t="inlineStr">
        <is>
          <t>1년 내 상환 장기차입금</t>
        </is>
      </c>
      <c r="C51" s="11" t="n">
        <v>2</v>
      </c>
      <c r="D51" s="11" t="n">
        <v>2</v>
      </c>
      <c r="E51" s="11" t="n">
        <v>2</v>
      </c>
      <c r="F51" s="11" t="n">
        <v>15.8</v>
      </c>
      <c r="G51" s="11" t="n">
        <v>15.8</v>
      </c>
      <c r="H51" s="11" t="n">
        <v>14.8</v>
      </c>
      <c r="I51" s="11" t="n">
        <v>14.8</v>
      </c>
      <c r="J51" s="11" t="n">
        <v>2.8</v>
      </c>
      <c r="K51" s="11" t="n">
        <v>2.8</v>
      </c>
      <c r="L51" s="11" t="n">
        <v>2.7832</v>
      </c>
      <c r="M51" s="11" t="n">
        <v>3.7858</v>
      </c>
      <c r="N51" s="11" t="n">
        <v>3.8773</v>
      </c>
      <c r="O51" s="11" t="n">
        <v>3.7642</v>
      </c>
      <c r="P51" s="11" t="n">
        <v>3.6854</v>
      </c>
      <c r="Q51" s="11" t="n">
        <v>3.4898</v>
      </c>
      <c r="R51" s="11" t="n">
        <v>3.3109</v>
      </c>
      <c r="S51" s="11" t="n">
        <v>3.7291</v>
      </c>
      <c r="T51" s="11" t="n">
        <v>3.5791</v>
      </c>
      <c r="U51" s="11" t="n">
        <v>3.5791</v>
      </c>
      <c r="V51" s="11" t="n">
        <v>4.0831</v>
      </c>
      <c r="W51" s="11" t="n">
        <v>0</v>
      </c>
      <c r="X51" s="11" t="n">
        <v>2</v>
      </c>
      <c r="Y51" s="11" t="n">
        <v>15.8</v>
      </c>
      <c r="Z51" s="11" t="n">
        <v>2.8</v>
      </c>
      <c r="AA51" s="11" t="n">
        <v>3.8773</v>
      </c>
      <c r="AB51" s="11" t="n">
        <v>3.3109</v>
      </c>
      <c r="AC51" s="11" t="n">
        <v>4.0831</v>
      </c>
    </row>
    <row r="52">
      <c r="A52" s="10" t="inlineStr">
        <is>
          <t>리스부채</t>
        </is>
      </c>
      <c r="F52" s="11" t="n">
        <v>0.0154</v>
      </c>
      <c r="G52" s="11" t="n">
        <v>0.0467</v>
      </c>
      <c r="H52" s="11" t="n">
        <v>0.0467</v>
      </c>
      <c r="I52" s="11" t="n">
        <v>0.0467</v>
      </c>
      <c r="J52" s="11" t="n">
        <v>0.0467</v>
      </c>
      <c r="K52" s="11" t="n">
        <v>0.0467</v>
      </c>
      <c r="L52" s="11" t="n">
        <v>0.0467</v>
      </c>
      <c r="M52" s="11" t="n">
        <v>0.0526</v>
      </c>
      <c r="N52" s="11" t="n">
        <v>0.047</v>
      </c>
      <c r="O52" s="11" t="n">
        <v>0.0388</v>
      </c>
      <c r="P52" s="11" t="n">
        <v>0.0253</v>
      </c>
      <c r="Q52" s="11" t="n">
        <v>0.0131</v>
      </c>
      <c r="R52" s="11" t="n">
        <v>0.0052</v>
      </c>
      <c r="S52" s="11" t="n">
        <v>0</v>
      </c>
      <c r="T52" s="11" t="n">
        <v>0</v>
      </c>
      <c r="U52" s="11" t="n">
        <v>0</v>
      </c>
      <c r="V52" s="11" t="n">
        <v>0</v>
      </c>
      <c r="Y52" s="11" t="n">
        <v>0.0154</v>
      </c>
      <c r="Z52" s="11" t="n">
        <v>0.0467</v>
      </c>
      <c r="AA52" s="11" t="n">
        <v>0.047</v>
      </c>
      <c r="AB52" s="11" t="n">
        <v>0.0052</v>
      </c>
      <c r="AC52" s="11" t="n">
        <v>0</v>
      </c>
    </row>
    <row r="53">
      <c r="A53" s="10" t="inlineStr">
        <is>
          <t>미지급금</t>
        </is>
      </c>
      <c r="C53" s="11" t="n">
        <v>0.2805</v>
      </c>
      <c r="D53" s="11" t="n">
        <v>0.2413</v>
      </c>
      <c r="E53" s="11" t="n">
        <v>0.2701</v>
      </c>
      <c r="F53" s="11" t="n">
        <v>1.5457</v>
      </c>
      <c r="G53" s="11" t="n">
        <v>1.1756</v>
      </c>
      <c r="H53" s="11" t="n">
        <v>1.0635</v>
      </c>
      <c r="I53" s="11" t="n">
        <v>1.079</v>
      </c>
      <c r="J53" s="11" t="n">
        <v>1.2694</v>
      </c>
      <c r="K53" s="11" t="n">
        <v>1.3336</v>
      </c>
      <c r="L53" s="11" t="n">
        <v>1.467</v>
      </c>
      <c r="M53" s="11" t="n">
        <v>1.9806</v>
      </c>
      <c r="N53" s="11" t="n">
        <v>2.9341</v>
      </c>
      <c r="O53" s="11" t="n">
        <v>2.4175</v>
      </c>
      <c r="P53" s="11" t="n">
        <v>2.0601</v>
      </c>
      <c r="Q53" s="11" t="n">
        <v>2.2048</v>
      </c>
      <c r="R53" s="11" t="n">
        <v>2.7687</v>
      </c>
      <c r="S53" s="11" t="n">
        <v>2.6956</v>
      </c>
      <c r="T53" s="11" t="n">
        <v>2.9032</v>
      </c>
      <c r="U53" s="11" t="n">
        <v>2.5862</v>
      </c>
      <c r="V53" s="11" t="n">
        <v>2.8793</v>
      </c>
      <c r="W53" s="11" t="n">
        <v>0.2021</v>
      </c>
      <c r="X53" s="11" t="n">
        <v>0.3027</v>
      </c>
      <c r="Y53" s="11" t="n">
        <v>1.5457</v>
      </c>
      <c r="Z53" s="11" t="n">
        <v>1.2694</v>
      </c>
      <c r="AA53" s="11" t="n">
        <v>2.9341</v>
      </c>
      <c r="AB53" s="11" t="n">
        <v>2.7687</v>
      </c>
      <c r="AC53" s="11" t="n">
        <v>2.8793</v>
      </c>
    </row>
    <row r="54">
      <c r="A54" s="10" t="inlineStr">
        <is>
          <t>미지급비용</t>
        </is>
      </c>
      <c r="C54" s="11" t="n">
        <v>0.1439</v>
      </c>
      <c r="D54" s="11" t="n">
        <v>0.08890000000000001</v>
      </c>
      <c r="E54" s="11" t="n">
        <v>0.141</v>
      </c>
      <c r="W54" s="11" t="n">
        <v>0.233</v>
      </c>
      <c r="X54" s="11" t="n">
        <v>0.1674</v>
      </c>
    </row>
    <row r="55">
      <c r="A55" s="10" t="inlineStr">
        <is>
          <t>미지급법인세</t>
        </is>
      </c>
      <c r="C55" s="11" t="n">
        <v>0.046</v>
      </c>
      <c r="D55" s="11" t="n">
        <v>0.08</v>
      </c>
      <c r="E55" s="11" t="n">
        <v>0.0395</v>
      </c>
      <c r="F55" s="11" t="n">
        <v>0.1864</v>
      </c>
      <c r="G55" s="11" t="n">
        <v>0.0538</v>
      </c>
      <c r="H55" s="11" t="n">
        <v>0.0746</v>
      </c>
      <c r="I55" s="11" t="n">
        <v>0.41</v>
      </c>
      <c r="J55" s="11" t="n">
        <v>0.235</v>
      </c>
      <c r="K55" s="11" t="n">
        <v>0.3045</v>
      </c>
      <c r="L55" s="11" t="n">
        <v>0.8338</v>
      </c>
      <c r="M55" s="11" t="n">
        <v>1.5227</v>
      </c>
      <c r="N55" s="11" t="n">
        <v>2.0301</v>
      </c>
      <c r="O55" s="11" t="n">
        <v>0.9264</v>
      </c>
      <c r="P55" s="11" t="n">
        <v>2.2797</v>
      </c>
      <c r="Q55" s="11" t="n">
        <v>1.8841</v>
      </c>
      <c r="R55" s="11" t="n">
        <v>2.7292</v>
      </c>
      <c r="S55" s="11" t="n">
        <v>0.6644</v>
      </c>
      <c r="T55" s="11" t="n">
        <v>1.8924</v>
      </c>
      <c r="U55" s="11" t="n">
        <v>1.1367</v>
      </c>
      <c r="V55" s="11" t="n">
        <v>1.9722</v>
      </c>
      <c r="W55" s="11" t="n">
        <v>0.1603</v>
      </c>
      <c r="X55" s="11" t="n">
        <v>0.4026</v>
      </c>
      <c r="Y55" s="11" t="n">
        <v>0.1864</v>
      </c>
      <c r="Z55" s="11" t="n">
        <v>0.235</v>
      </c>
      <c r="AA55" s="11" t="n">
        <v>2.0301</v>
      </c>
      <c r="AB55" s="11" t="n">
        <v>2.7292</v>
      </c>
      <c r="AC55" s="11" t="n">
        <v>1.9722</v>
      </c>
    </row>
    <row r="56">
      <c r="A56" s="10" t="inlineStr">
        <is>
          <t>미지급 소비세</t>
        </is>
      </c>
      <c r="C56" s="11" t="n">
        <v>0.07779999999999999</v>
      </c>
      <c r="D56" s="11" t="n">
        <v>0</v>
      </c>
      <c r="E56" s="11" t="n">
        <v>0</v>
      </c>
      <c r="W56" s="11" t="n">
        <v>0.3288</v>
      </c>
      <c r="X56" s="11" t="n">
        <v>0.2508</v>
      </c>
    </row>
    <row r="57">
      <c r="A57" s="10" t="inlineStr">
        <is>
          <t>선수금</t>
        </is>
      </c>
      <c r="C57" s="11" t="n">
        <v>1.0706</v>
      </c>
      <c r="D57" s="11" t="n">
        <v>0.9341</v>
      </c>
      <c r="E57" s="11" t="n">
        <v>1.1662</v>
      </c>
      <c r="F57" s="11" t="n">
        <v>1.5055</v>
      </c>
      <c r="G57" s="11" t="n">
        <v>1.7498</v>
      </c>
      <c r="H57" s="11" t="n">
        <v>1.3454</v>
      </c>
      <c r="I57" s="11" t="n">
        <v>1.7479</v>
      </c>
      <c r="J57" s="11" t="n">
        <v>1.8787</v>
      </c>
      <c r="K57" s="11" t="n">
        <v>1.9169</v>
      </c>
      <c r="L57" s="11" t="n">
        <v>1.571</v>
      </c>
      <c r="M57" s="11" t="n">
        <v>3.2985</v>
      </c>
      <c r="N57" s="11" t="n">
        <v>3.5712</v>
      </c>
      <c r="O57" s="11" t="n">
        <v>2.9723</v>
      </c>
      <c r="P57" s="11" t="n">
        <v>3.1443</v>
      </c>
      <c r="Q57" s="11" t="n">
        <v>1.5186</v>
      </c>
      <c r="R57" s="11" t="n">
        <v>2.6173</v>
      </c>
      <c r="S57" s="11" t="n">
        <v>2.9056</v>
      </c>
      <c r="T57" s="11" t="n">
        <v>2.5917</v>
      </c>
      <c r="U57" s="11" t="n">
        <v>4.0643</v>
      </c>
      <c r="V57" s="11" t="n">
        <v>2.9744</v>
      </c>
      <c r="W57" s="11" t="n">
        <v>1.1848</v>
      </c>
      <c r="X57" s="11" t="n">
        <v>1.056</v>
      </c>
      <c r="Y57" s="11" t="n">
        <v>1.5055</v>
      </c>
      <c r="Z57" s="11" t="n">
        <v>1.8787</v>
      </c>
      <c r="AA57" s="11" t="n">
        <v>3.5712</v>
      </c>
      <c r="AB57" s="11" t="n">
        <v>2.6173</v>
      </c>
      <c r="AC57" s="11" t="n">
        <v>2.9744</v>
      </c>
    </row>
    <row r="58">
      <c r="A58" s="10" t="inlineStr">
        <is>
          <t>상여충당금</t>
        </is>
      </c>
      <c r="J58" s="11" t="n">
        <v>0</v>
      </c>
      <c r="M58" s="11" t="n">
        <v>0.4941</v>
      </c>
      <c r="N58" s="11" t="n">
        <v>0.359</v>
      </c>
      <c r="O58" s="11" t="n">
        <v>0.5356</v>
      </c>
      <c r="P58" s="11" t="n">
        <v>0.5805</v>
      </c>
      <c r="Q58" s="11" t="n">
        <v>0.8972</v>
      </c>
      <c r="R58" s="11" t="n">
        <v>0.4422</v>
      </c>
      <c r="S58" s="11" t="n">
        <v>0.2358</v>
      </c>
      <c r="T58" s="11" t="n">
        <v>0.4611</v>
      </c>
      <c r="U58" s="11" t="n">
        <v>0.7060999999999999</v>
      </c>
      <c r="V58" s="11" t="n">
        <v>0.4486</v>
      </c>
      <c r="Z58" s="11" t="n">
        <v>0</v>
      </c>
      <c r="AA58" s="11" t="n">
        <v>0.359</v>
      </c>
      <c r="AB58" s="11" t="n">
        <v>0.4422</v>
      </c>
      <c r="AC58" s="11" t="n">
        <v>0.4486</v>
      </c>
    </row>
    <row r="59">
      <c r="A59" s="10" t="inlineStr">
        <is>
          <t>예수금</t>
        </is>
      </c>
      <c r="C59" s="11" t="n">
        <v>0.0727</v>
      </c>
      <c r="D59" s="11" t="n">
        <v>0.07389999999999999</v>
      </c>
      <c r="E59" s="11" t="n">
        <v>0.0781</v>
      </c>
      <c r="J59" s="11" t="n">
        <v>0.1216</v>
      </c>
      <c r="N59" s="11" t="n">
        <v>6.483</v>
      </c>
      <c r="O59" s="11" t="n">
        <v>4.968</v>
      </c>
      <c r="P59" s="11" t="n">
        <v>3.657</v>
      </c>
      <c r="Q59" s="11" t="n">
        <v>8.435499999999999</v>
      </c>
      <c r="R59" s="11" t="n">
        <v>11.4239</v>
      </c>
      <c r="S59" s="11" t="n">
        <v>13.1479</v>
      </c>
      <c r="T59" s="11" t="n">
        <v>5.6282</v>
      </c>
      <c r="U59" s="11" t="n">
        <v>16.3742</v>
      </c>
      <c r="V59" s="11" t="n">
        <v>7.5161</v>
      </c>
      <c r="W59" s="11" t="n">
        <v>3.0189</v>
      </c>
      <c r="X59" s="11" t="n">
        <v>0.0679</v>
      </c>
      <c r="Z59" s="11" t="n">
        <v>0.1216</v>
      </c>
      <c r="AA59" s="11" t="n">
        <v>6.483</v>
      </c>
      <c r="AB59" s="11" t="n">
        <v>11.4239</v>
      </c>
      <c r="AC59" s="11" t="n">
        <v>7.5161</v>
      </c>
    </row>
    <row r="60">
      <c r="A60" s="10" t="inlineStr">
        <is>
          <t>계약손실 충당금</t>
        </is>
      </c>
      <c r="R60" s="11" t="n">
        <v>0.62</v>
      </c>
      <c r="T60" s="11" t="n">
        <v>0.735</v>
      </c>
      <c r="AB60" s="11" t="n">
        <v>0.62</v>
      </c>
    </row>
    <row r="61">
      <c r="A61" s="10" t="inlineStr">
        <is>
          <t>계약손실 충당금</t>
        </is>
      </c>
      <c r="R61" s="11" t="n">
        <v>0.62</v>
      </c>
      <c r="S61" s="11" t="n">
        <v>0.68</v>
      </c>
      <c r="U61" s="11" t="n">
        <v>0.78</v>
      </c>
      <c r="AB61" s="11" t="n">
        <v>0.62</v>
      </c>
    </row>
    <row r="62">
      <c r="A62" s="10" t="inlineStr">
        <is>
          <t>계약손실 충당금</t>
        </is>
      </c>
      <c r="N62" s="11" t="n">
        <v>0</v>
      </c>
      <c r="R62" s="11" t="n">
        <v>0.62</v>
      </c>
      <c r="V62" s="11" t="n">
        <v>0.825</v>
      </c>
      <c r="AA62" s="11" t="n">
        <v>0</v>
      </c>
      <c r="AB62" s="11" t="n">
        <v>0.62</v>
      </c>
      <c r="AC62" s="11" t="n">
        <v>0.825</v>
      </c>
    </row>
    <row r="63">
      <c r="A63" s="10" t="inlineStr">
        <is>
          <t>기타</t>
        </is>
      </c>
      <c r="F63" s="11" t="n">
        <v>0.4035</v>
      </c>
      <c r="G63" s="11" t="n">
        <v>0.6773</v>
      </c>
      <c r="H63" s="11" t="n">
        <v>0.8766</v>
      </c>
      <c r="I63" s="11" t="n">
        <v>1.2886</v>
      </c>
      <c r="J63" s="11" t="n">
        <v>1.1832</v>
      </c>
      <c r="K63" s="11" t="n">
        <v>1.4285</v>
      </c>
      <c r="L63" s="11" t="n">
        <v>1.2404</v>
      </c>
      <c r="M63" s="11" t="n">
        <v>2.286</v>
      </c>
      <c r="N63" s="11" t="n">
        <v>1.4217</v>
      </c>
      <c r="O63" s="11" t="n">
        <v>1.2506</v>
      </c>
      <c r="P63" s="11" t="n">
        <v>1.0652</v>
      </c>
      <c r="Q63" s="11" t="n">
        <v>1.2639</v>
      </c>
      <c r="R63" s="11" t="n">
        <v>1.7638</v>
      </c>
      <c r="S63" s="11" t="n">
        <v>1.5742</v>
      </c>
      <c r="T63" s="11" t="n">
        <v>0.9277</v>
      </c>
      <c r="U63" s="11" t="n">
        <v>1.259</v>
      </c>
      <c r="V63" s="11" t="n">
        <v>1.9304</v>
      </c>
      <c r="Y63" s="11" t="n">
        <v>0.4035</v>
      </c>
      <c r="Z63" s="11" t="n">
        <v>1.1832</v>
      </c>
      <c r="AA63" s="11" t="n">
        <v>1.4217</v>
      </c>
      <c r="AB63" s="11" t="n">
        <v>1.7638</v>
      </c>
      <c r="AC63" s="11" t="n">
        <v>1.9304</v>
      </c>
    </row>
    <row r="64">
      <c r="A64" s="10" t="inlineStr">
        <is>
          <t>유동부채 합계</t>
        </is>
      </c>
      <c r="C64" s="11" t="n">
        <v>5.1094</v>
      </c>
      <c r="D64" s="11" t="n">
        <v>4.6966</v>
      </c>
      <c r="E64" s="11" t="n">
        <v>5.3066</v>
      </c>
      <c r="F64" s="11" t="n">
        <v>21.6167</v>
      </c>
      <c r="G64" s="11" t="n">
        <v>22.0706</v>
      </c>
      <c r="H64" s="11" t="n">
        <v>21.5264</v>
      </c>
      <c r="I64" s="11" t="n">
        <v>23.8464</v>
      </c>
      <c r="J64" s="11" t="n">
        <v>11.3461</v>
      </c>
      <c r="K64" s="11" t="n">
        <v>12.4988</v>
      </c>
      <c r="L64" s="11" t="n">
        <v>12.9684</v>
      </c>
      <c r="M64" s="11" t="n">
        <v>23.5871</v>
      </c>
      <c r="N64" s="11" t="n">
        <v>28.0343</v>
      </c>
      <c r="O64" s="11" t="n">
        <v>29.0566</v>
      </c>
      <c r="P64" s="11" t="n">
        <v>28.0267</v>
      </c>
      <c r="Q64" s="11" t="n">
        <v>32.4078</v>
      </c>
      <c r="R64" s="11" t="n">
        <v>38.7369</v>
      </c>
      <c r="S64" s="11" t="n">
        <v>37.0362</v>
      </c>
      <c r="T64" s="11" t="n">
        <v>31.4297</v>
      </c>
      <c r="U64" s="11" t="n">
        <v>42.5885</v>
      </c>
      <c r="V64" s="11" t="n">
        <v>36.804</v>
      </c>
      <c r="W64" s="11" t="n">
        <v>6.3427</v>
      </c>
      <c r="X64" s="11" t="n">
        <v>5.7688</v>
      </c>
      <c r="Y64" s="11" t="n">
        <v>21.6167</v>
      </c>
      <c r="Z64" s="11" t="n">
        <v>11.3461</v>
      </c>
      <c r="AA64" s="11" t="n">
        <v>28.0343</v>
      </c>
      <c r="AB64" s="11" t="n">
        <v>38.7369</v>
      </c>
      <c r="AC64" s="11" t="n">
        <v>36.804</v>
      </c>
    </row>
    <row r="65">
      <c r="A65" s="10" t="inlineStr">
        <is>
          <t>사채</t>
        </is>
      </c>
      <c r="E65" s="11" t="n">
        <v>0.68</v>
      </c>
      <c r="F65" s="11" t="n">
        <v>0.68</v>
      </c>
      <c r="G65" s="11" t="n">
        <v>0.52</v>
      </c>
      <c r="H65" s="11" t="n">
        <v>0.52</v>
      </c>
      <c r="I65" s="11" t="n">
        <v>0.36</v>
      </c>
      <c r="J65" s="11" t="n">
        <v>0.36</v>
      </c>
      <c r="K65" s="11" t="n">
        <v>0.2</v>
      </c>
      <c r="L65" s="11" t="n">
        <v>0.2</v>
      </c>
      <c r="M65" s="11" t="n">
        <v>0</v>
      </c>
      <c r="N65" s="11" t="n">
        <v>0</v>
      </c>
      <c r="X65" s="11" t="n">
        <v>0</v>
      </c>
      <c r="Y65" s="11" t="n">
        <v>0.68</v>
      </c>
      <c r="Z65" s="11" t="n">
        <v>0.36</v>
      </c>
      <c r="AA65" s="11" t="n">
        <v>0</v>
      </c>
    </row>
    <row r="66">
      <c r="A66" s="10" t="inlineStr">
        <is>
          <t>장기차입금</t>
        </is>
      </c>
      <c r="C66" s="11" t="n">
        <v>15</v>
      </c>
      <c r="D66" s="11" t="n">
        <v>14</v>
      </c>
      <c r="E66" s="11" t="n">
        <v>14</v>
      </c>
      <c r="F66" s="11" t="n">
        <v>1.9165</v>
      </c>
      <c r="G66" s="11" t="n">
        <v>1.5832</v>
      </c>
      <c r="H66" s="11" t="n">
        <v>1.3832</v>
      </c>
      <c r="I66" s="11" t="n">
        <v>1.1832</v>
      </c>
      <c r="J66" s="11" t="n">
        <v>8.9832</v>
      </c>
      <c r="K66" s="11" t="n">
        <v>8.783099999999999</v>
      </c>
      <c r="L66" s="11" t="n">
        <v>7.6</v>
      </c>
      <c r="M66" s="11" t="n">
        <v>11.5931</v>
      </c>
      <c r="N66" s="11" t="n">
        <v>10.9613</v>
      </c>
      <c r="O66" s="11" t="n">
        <v>10.5591</v>
      </c>
      <c r="P66" s="11" t="n">
        <v>9.1479</v>
      </c>
      <c r="Q66" s="11" t="n">
        <v>8.92</v>
      </c>
      <c r="R66" s="11" t="n">
        <v>7.6588</v>
      </c>
      <c r="S66" s="11" t="n">
        <v>9.805</v>
      </c>
      <c r="T66" s="11" t="n">
        <v>8.410299999999999</v>
      </c>
      <c r="U66" s="11" t="n">
        <v>8.015499999999999</v>
      </c>
      <c r="V66" s="11" t="n">
        <v>7.516</v>
      </c>
      <c r="W66" s="11" t="n">
        <v>0</v>
      </c>
      <c r="X66" s="11" t="n">
        <v>15</v>
      </c>
      <c r="Y66" s="11" t="n">
        <v>1.9165</v>
      </c>
      <c r="Z66" s="11" t="n">
        <v>8.9832</v>
      </c>
      <c r="AA66" s="11" t="n">
        <v>10.9613</v>
      </c>
      <c r="AB66" s="11" t="n">
        <v>7.6588</v>
      </c>
      <c r="AC66" s="11" t="n">
        <v>7.516</v>
      </c>
    </row>
    <row r="67">
      <c r="A67" s="10" t="inlineStr">
        <is>
          <t>계약손실 충당금</t>
        </is>
      </c>
      <c r="N67" s="11" t="n">
        <v>0</v>
      </c>
      <c r="R67" s="11" t="n">
        <v>2.364</v>
      </c>
      <c r="V67" s="11" t="n">
        <v>1.539</v>
      </c>
      <c r="AA67" s="11" t="n">
        <v>0</v>
      </c>
      <c r="AB67" s="11" t="n">
        <v>2.364</v>
      </c>
      <c r="AC67" s="11" t="n">
        <v>1.539</v>
      </c>
    </row>
    <row r="68">
      <c r="A68" s="10" t="inlineStr">
        <is>
          <t>리스부채</t>
        </is>
      </c>
      <c r="F68" s="11" t="n">
        <v>0.0269</v>
      </c>
      <c r="G68" s="11" t="n">
        <v>0.0858</v>
      </c>
      <c r="H68" s="11" t="n">
        <v>0.07149999999999999</v>
      </c>
      <c r="I68" s="11" t="n">
        <v>0.0598</v>
      </c>
      <c r="J68" s="11" t="n">
        <v>0.0481</v>
      </c>
      <c r="K68" s="11" t="n">
        <v>0.0364</v>
      </c>
      <c r="L68" s="11" t="n">
        <v>0.0247</v>
      </c>
      <c r="M68" s="11" t="n">
        <v>0.0131</v>
      </c>
      <c r="N68" s="11" t="n">
        <v>0.0052</v>
      </c>
      <c r="O68" s="11" t="n">
        <v>0</v>
      </c>
      <c r="P68" s="11" t="n">
        <v>0</v>
      </c>
      <c r="Q68" s="11" t="n">
        <v>0</v>
      </c>
      <c r="R68" s="11" t="n">
        <v>0</v>
      </c>
      <c r="Y68" s="11" t="n">
        <v>0.0269</v>
      </c>
      <c r="Z68" s="11" t="n">
        <v>0.0481</v>
      </c>
      <c r="AA68" s="11" t="n">
        <v>0.0052</v>
      </c>
      <c r="AB68" s="11" t="n">
        <v>0</v>
      </c>
    </row>
    <row r="69">
      <c r="A69" s="10" t="inlineStr">
        <is>
          <t>퇴직급여부채</t>
        </is>
      </c>
      <c r="F69" s="11" t="n">
        <v>0.0098</v>
      </c>
      <c r="G69" s="11" t="n">
        <v>0.011</v>
      </c>
      <c r="H69" s="11" t="n">
        <v>0.0115</v>
      </c>
      <c r="I69" s="11" t="n">
        <v>0.0148</v>
      </c>
      <c r="J69" s="11" t="n">
        <v>0.0166</v>
      </c>
      <c r="K69" s="11" t="n">
        <v>0.0178</v>
      </c>
      <c r="L69" s="11" t="n">
        <v>0.0195</v>
      </c>
      <c r="M69" s="11" t="n">
        <v>0.0266</v>
      </c>
      <c r="N69" s="11" t="n">
        <v>0.0262</v>
      </c>
      <c r="O69" s="11" t="n">
        <v>0.0288</v>
      </c>
      <c r="P69" s="11" t="n">
        <v>0.0294</v>
      </c>
      <c r="Q69" s="11" t="n">
        <v>0.0329</v>
      </c>
      <c r="R69" s="11" t="n">
        <v>0.0342</v>
      </c>
      <c r="S69" s="11" t="n">
        <v>0.0375</v>
      </c>
      <c r="T69" s="11" t="n">
        <v>0.0382</v>
      </c>
      <c r="U69" s="11" t="n">
        <v>0.0396</v>
      </c>
      <c r="V69" s="11" t="n">
        <v>0.0411</v>
      </c>
      <c r="Y69" s="11" t="n">
        <v>0.0098</v>
      </c>
      <c r="Z69" s="11" t="n">
        <v>0.0166</v>
      </c>
      <c r="AA69" s="11" t="n">
        <v>0.0262</v>
      </c>
      <c r="AB69" s="11" t="n">
        <v>0.0342</v>
      </c>
      <c r="AC69" s="11" t="n">
        <v>0.0411</v>
      </c>
    </row>
    <row r="70">
      <c r="A70" s="10" t="inlineStr">
        <is>
          <t>이연법인세부채</t>
        </is>
      </c>
      <c r="F70" s="11" t="n">
        <v>1.8464</v>
      </c>
      <c r="H70" s="11" t="n">
        <v>1.7233</v>
      </c>
      <c r="I70" s="11" t="n">
        <v>1.6771</v>
      </c>
      <c r="J70" s="11" t="n">
        <v>1.631</v>
      </c>
      <c r="K70" s="11" t="n">
        <v>1.5848</v>
      </c>
      <c r="L70" s="11" t="n">
        <v>1.5387</v>
      </c>
      <c r="M70" s="11" t="n">
        <v>1.4925</v>
      </c>
      <c r="N70" s="11" t="n">
        <v>1.4463</v>
      </c>
      <c r="O70" s="11" t="n">
        <v>1.3271</v>
      </c>
      <c r="P70" s="11" t="n">
        <v>0.8587</v>
      </c>
      <c r="Q70" s="11" t="n">
        <v>0.9234</v>
      </c>
      <c r="R70" s="11" t="n">
        <v>0</v>
      </c>
      <c r="Y70" s="11" t="n">
        <v>1.8464</v>
      </c>
      <c r="Z70" s="11" t="n">
        <v>1.631</v>
      </c>
      <c r="AA70" s="11" t="n">
        <v>1.4463</v>
      </c>
      <c r="AB70" s="11" t="n">
        <v>0</v>
      </c>
    </row>
    <row r="71">
      <c r="A71" s="10" t="inlineStr">
        <is>
          <t>계약손실 충당금</t>
        </is>
      </c>
      <c r="R71" s="11" t="n">
        <v>2.364</v>
      </c>
      <c r="T71" s="11" t="n">
        <v>1.989</v>
      </c>
      <c r="AB71" s="11" t="n">
        <v>2.364</v>
      </c>
    </row>
    <row r="72">
      <c r="A72" s="10" t="inlineStr">
        <is>
          <t>계약손실 충당금</t>
        </is>
      </c>
      <c r="R72" s="11" t="n">
        <v>2.364</v>
      </c>
      <c r="S72" s="11" t="n">
        <v>2.184</v>
      </c>
      <c r="U72" s="11" t="n">
        <v>1.764</v>
      </c>
      <c r="AB72" s="11" t="n">
        <v>2.364</v>
      </c>
    </row>
    <row r="73">
      <c r="A73" s="10" t="inlineStr">
        <is>
          <t>비유동부채 합계</t>
        </is>
      </c>
      <c r="C73" s="11" t="n">
        <v>15</v>
      </c>
      <c r="D73" s="11" t="n">
        <v>14</v>
      </c>
      <c r="E73" s="11" t="n">
        <v>14.68</v>
      </c>
      <c r="F73" s="11" t="n">
        <v>4.4797</v>
      </c>
      <c r="G73" s="11" t="n">
        <v>2.1999</v>
      </c>
      <c r="H73" s="11" t="n">
        <v>3.7094</v>
      </c>
      <c r="I73" s="11" t="n">
        <v>3.2948</v>
      </c>
      <c r="J73" s="11" t="n">
        <v>11.0389</v>
      </c>
      <c r="K73" s="11" t="n">
        <v>10.6221</v>
      </c>
      <c r="L73" s="11" t="n">
        <v>9.382899999999999</v>
      </c>
      <c r="M73" s="11" t="n">
        <v>13.1253</v>
      </c>
      <c r="N73" s="11" t="n">
        <v>12.4391</v>
      </c>
      <c r="O73" s="11" t="n">
        <v>11.915</v>
      </c>
      <c r="P73" s="11" t="n">
        <v>10.036</v>
      </c>
      <c r="Q73" s="11" t="n">
        <v>9.876300000000001</v>
      </c>
      <c r="R73" s="11" t="n">
        <v>10.057</v>
      </c>
      <c r="S73" s="11" t="n">
        <v>12.0265</v>
      </c>
      <c r="T73" s="11" t="n">
        <v>10.4375</v>
      </c>
      <c r="U73" s="11" t="n">
        <v>9.819100000000001</v>
      </c>
      <c r="V73" s="11" t="n">
        <v>9.0961</v>
      </c>
      <c r="W73" s="11" t="n">
        <v>0</v>
      </c>
      <c r="X73" s="11" t="n">
        <v>15</v>
      </c>
      <c r="Y73" s="11" t="n">
        <v>4.4797</v>
      </c>
      <c r="Z73" s="11" t="n">
        <v>11.0389</v>
      </c>
      <c r="AA73" s="11" t="n">
        <v>12.4391</v>
      </c>
      <c r="AB73" s="11" t="n">
        <v>10.057</v>
      </c>
      <c r="AC73" s="11" t="n">
        <v>9.0961</v>
      </c>
    </row>
    <row r="74">
      <c r="A74" s="10" t="inlineStr">
        <is>
          <t>부채 합계</t>
        </is>
      </c>
      <c r="C74" s="11" t="n">
        <v>20.1094</v>
      </c>
      <c r="D74" s="11" t="n">
        <v>18.6966</v>
      </c>
      <c r="E74" s="11" t="n">
        <v>19.9866</v>
      </c>
      <c r="F74" s="11" t="n">
        <v>26.0964</v>
      </c>
      <c r="G74" s="11" t="n">
        <v>24.2706</v>
      </c>
      <c r="H74" s="11" t="n">
        <v>25.2358</v>
      </c>
      <c r="I74" s="11" t="n">
        <v>27.1412</v>
      </c>
      <c r="J74" s="11" t="n">
        <v>22.3849</v>
      </c>
      <c r="K74" s="11" t="n">
        <v>23.1209</v>
      </c>
      <c r="L74" s="11" t="n">
        <v>22.3513</v>
      </c>
      <c r="M74" s="11" t="n">
        <v>36.7124</v>
      </c>
      <c r="N74" s="11" t="n">
        <v>40.4734</v>
      </c>
      <c r="O74" s="11" t="n">
        <v>40.9716</v>
      </c>
      <c r="P74" s="11" t="n">
        <v>38.0628</v>
      </c>
      <c r="Q74" s="11" t="n">
        <v>42.2841</v>
      </c>
      <c r="R74" s="11" t="n">
        <v>48.7939</v>
      </c>
      <c r="S74" s="11" t="n">
        <v>49.0628</v>
      </c>
      <c r="T74" s="11" t="n">
        <v>41.8672</v>
      </c>
      <c r="U74" s="11" t="n">
        <v>52.4077</v>
      </c>
      <c r="V74" s="11" t="n">
        <v>45.9001</v>
      </c>
      <c r="W74" s="11" t="n">
        <v>6.3427</v>
      </c>
      <c r="X74" s="11" t="n">
        <v>20.7688</v>
      </c>
      <c r="Y74" s="11" t="n">
        <v>26.0964</v>
      </c>
      <c r="Z74" s="11" t="n">
        <v>22.3849</v>
      </c>
      <c r="AA74" s="11" t="n">
        <v>40.4734</v>
      </c>
      <c r="AB74" s="11" t="n">
        <v>48.7939</v>
      </c>
      <c r="AC74" s="11" t="n">
        <v>45.9001</v>
      </c>
    </row>
    <row r="75">
      <c r="A75" s="10" t="inlineStr">
        <is>
          <t>자본금</t>
        </is>
      </c>
      <c r="C75" s="11" t="n">
        <v>6.6238</v>
      </c>
      <c r="D75" s="11" t="n">
        <v>6.7908</v>
      </c>
      <c r="E75" s="11" t="n">
        <v>6.8107</v>
      </c>
      <c r="F75" s="11" t="n">
        <v>6.947</v>
      </c>
      <c r="G75" s="11" t="n">
        <v>6.9787</v>
      </c>
      <c r="H75" s="11" t="n">
        <v>6.9841</v>
      </c>
      <c r="I75" s="11" t="n">
        <v>9.159000000000001</v>
      </c>
      <c r="J75" s="11" t="n">
        <v>10.0177</v>
      </c>
      <c r="K75" s="11" t="n">
        <v>10.1299</v>
      </c>
      <c r="L75" s="11" t="n">
        <v>10.2044</v>
      </c>
      <c r="M75" s="11" t="n">
        <v>10.2084</v>
      </c>
      <c r="N75" s="11" t="n">
        <v>10.2178</v>
      </c>
      <c r="O75" s="11" t="n">
        <v>10.5093</v>
      </c>
      <c r="P75" s="11" t="n">
        <v>10.5201</v>
      </c>
      <c r="Q75" s="11" t="n">
        <v>10.534</v>
      </c>
      <c r="R75" s="11" t="n">
        <v>10.5437</v>
      </c>
      <c r="S75" s="11" t="n">
        <v>10.5437</v>
      </c>
      <c r="T75" s="11" t="n">
        <v>10.6545</v>
      </c>
      <c r="U75" s="11" t="n">
        <v>10.8013</v>
      </c>
      <c r="V75" s="11" t="n">
        <v>10.8121</v>
      </c>
      <c r="W75" s="11" t="n">
        <v>3.315</v>
      </c>
      <c r="X75" s="11" t="n">
        <v>6.6166</v>
      </c>
      <c r="Y75" s="11" t="n">
        <v>6.947</v>
      </c>
      <c r="Z75" s="11" t="n">
        <v>10.0177</v>
      </c>
      <c r="AA75" s="11" t="n">
        <v>10.2178</v>
      </c>
      <c r="AB75" s="11" t="n">
        <v>10.5437</v>
      </c>
      <c r="AC75" s="11" t="n">
        <v>10.8121</v>
      </c>
    </row>
    <row r="76">
      <c r="A76" s="10" t="inlineStr">
        <is>
          <t>자본준비금</t>
        </is>
      </c>
      <c r="W76" s="11" t="n">
        <v>3.315</v>
      </c>
      <c r="X76" s="11" t="n">
        <v>6.6166</v>
      </c>
    </row>
    <row r="77">
      <c r="A77" s="10" t="inlineStr">
        <is>
          <t>기타자본잉여금</t>
        </is>
      </c>
      <c r="W77" s="11" t="n">
        <v>0.0019</v>
      </c>
      <c r="X77" s="11" t="n">
        <v>0.0019</v>
      </c>
    </row>
    <row r="78">
      <c r="A78" s="10" t="inlineStr">
        <is>
          <t>자본잉여금</t>
        </is>
      </c>
      <c r="C78" s="11" t="n">
        <v>6.6257</v>
      </c>
      <c r="D78" s="11" t="n">
        <v>6.7927</v>
      </c>
      <c r="E78" s="11" t="n">
        <v>6.8127</v>
      </c>
      <c r="F78" s="11" t="n">
        <v>25.5884</v>
      </c>
      <c r="G78" s="11" t="n">
        <v>25.6201</v>
      </c>
      <c r="H78" s="11" t="n">
        <v>25.6256</v>
      </c>
      <c r="I78" s="11" t="n">
        <v>27.8005</v>
      </c>
      <c r="J78" s="11" t="n">
        <v>28.6592</v>
      </c>
      <c r="K78" s="11" t="n">
        <v>28.7714</v>
      </c>
      <c r="L78" s="11" t="n">
        <v>28.8458</v>
      </c>
      <c r="M78" s="11" t="n">
        <v>48.042</v>
      </c>
      <c r="N78" s="11" t="n">
        <v>48.0513</v>
      </c>
      <c r="O78" s="11" t="n">
        <v>48.3428</v>
      </c>
      <c r="P78" s="11" t="n">
        <v>30.1666</v>
      </c>
      <c r="Q78" s="11" t="n">
        <v>30.1805</v>
      </c>
      <c r="R78" s="11" t="n">
        <v>30.2376</v>
      </c>
      <c r="S78" s="11" t="n">
        <v>30.2376</v>
      </c>
      <c r="T78" s="11" t="n">
        <v>30.3484</v>
      </c>
      <c r="U78" s="11" t="n">
        <v>30.4953</v>
      </c>
      <c r="V78" s="11" t="n">
        <v>30.506</v>
      </c>
      <c r="W78" s="11" t="n">
        <v>3.3169</v>
      </c>
      <c r="X78" s="11" t="n">
        <v>6.6186</v>
      </c>
      <c r="Y78" s="11" t="n">
        <v>25.5884</v>
      </c>
      <c r="Z78" s="11" t="n">
        <v>28.6592</v>
      </c>
      <c r="AA78" s="11" t="n">
        <v>48.0513</v>
      </c>
      <c r="AB78" s="11" t="n">
        <v>30.2376</v>
      </c>
      <c r="AC78" s="11" t="n">
        <v>30.506</v>
      </c>
    </row>
    <row r="79">
      <c r="A79" s="10" t="inlineStr">
        <is>
          <t>이월이익잉여금</t>
        </is>
      </c>
      <c r="W79" s="11" t="n">
        <v>-2.4257</v>
      </c>
      <c r="X79" s="11" t="n">
        <v>-0.1336</v>
      </c>
    </row>
    <row r="80">
      <c r="A80" s="10" t="inlineStr">
        <is>
          <t>이익잉여금</t>
        </is>
      </c>
      <c r="C80" s="11" t="n">
        <v>-12.9856</v>
      </c>
      <c r="D80" s="11" t="n">
        <v>-13.4129</v>
      </c>
      <c r="E80" s="11" t="n">
        <v>-13.8563</v>
      </c>
      <c r="F80" s="11" t="n">
        <v>-18.4758</v>
      </c>
      <c r="G80" s="11" t="n">
        <v>-18.7362</v>
      </c>
      <c r="H80" s="11" t="n">
        <v>-18.1493</v>
      </c>
      <c r="I80" s="11" t="n">
        <v>-17.7545</v>
      </c>
      <c r="J80" s="11" t="n">
        <v>-17.3345</v>
      </c>
      <c r="K80" s="11" t="n">
        <v>-17.3529</v>
      </c>
      <c r="L80" s="11" t="n">
        <v>-17.4768</v>
      </c>
      <c r="M80" s="11" t="n">
        <v>-15.9539</v>
      </c>
      <c r="N80" s="11" t="n">
        <v>-16.593</v>
      </c>
      <c r="O80" s="11" t="n">
        <v>-15.941</v>
      </c>
      <c r="P80" s="11" t="n">
        <v>3.7291</v>
      </c>
      <c r="Q80" s="11" t="n">
        <v>4.9376</v>
      </c>
      <c r="R80" s="11" t="n">
        <v>3.0315</v>
      </c>
      <c r="S80" s="11" t="n">
        <v>3.5794</v>
      </c>
      <c r="T80" s="11" t="n">
        <v>4.4096</v>
      </c>
      <c r="U80" s="11" t="n">
        <v>6.2758</v>
      </c>
      <c r="V80" s="11" t="n">
        <v>7.2205</v>
      </c>
      <c r="W80" s="11" t="n">
        <v>-2.4257</v>
      </c>
      <c r="X80" s="11" t="n">
        <v>-0.1336</v>
      </c>
      <c r="Y80" s="11" t="n">
        <v>-18.4758</v>
      </c>
      <c r="Z80" s="11" t="n">
        <v>-17.3345</v>
      </c>
      <c r="AA80" s="11" t="n">
        <v>-16.593</v>
      </c>
      <c r="AB80" s="11" t="n">
        <v>3.0315</v>
      </c>
      <c r="AC80" s="11" t="n">
        <v>7.2205</v>
      </c>
    </row>
    <row r="81">
      <c r="A81" s="10" t="inlineStr">
        <is>
          <t>자기주식</t>
        </is>
      </c>
      <c r="C81" s="11" t="n">
        <v>-0.0005</v>
      </c>
      <c r="D81" s="11" t="n">
        <v>-0.0005</v>
      </c>
      <c r="E81" s="11" t="n">
        <v>-0.0005</v>
      </c>
      <c r="F81" s="11" t="n">
        <v>-0.0005999999999999999</v>
      </c>
      <c r="G81" s="11" t="n">
        <v>-0.001</v>
      </c>
      <c r="H81" s="11" t="n">
        <v>-0.0014</v>
      </c>
      <c r="I81" s="11" t="n">
        <v>-0.0014</v>
      </c>
      <c r="J81" s="11" t="n">
        <v>-0.0019</v>
      </c>
      <c r="K81" s="11" t="n">
        <v>-0.0026</v>
      </c>
      <c r="L81" s="11" t="n">
        <v>-0.0027</v>
      </c>
      <c r="M81" s="11" t="n">
        <v>-0.1308</v>
      </c>
      <c r="N81" s="11" t="n">
        <v>-0.132</v>
      </c>
      <c r="O81" s="11" t="n">
        <v>-0.132</v>
      </c>
      <c r="P81" s="11" t="n">
        <v>-0.1321</v>
      </c>
      <c r="Q81" s="11" t="n">
        <v>-0.1321</v>
      </c>
      <c r="R81" s="11" t="n">
        <v>-0.0045</v>
      </c>
      <c r="S81" s="11" t="n">
        <v>-0.0045</v>
      </c>
      <c r="T81" s="11" t="n">
        <v>-0.0045</v>
      </c>
      <c r="U81" s="11" t="n">
        <v>-1.3503</v>
      </c>
      <c r="V81" s="11" t="n">
        <v>-2.9313</v>
      </c>
      <c r="W81" s="11" t="n">
        <v>0</v>
      </c>
      <c r="X81" s="11" t="n">
        <v>-0.0005</v>
      </c>
      <c r="Y81" s="11" t="n">
        <v>-0.0005999999999999999</v>
      </c>
      <c r="Z81" s="11" t="n">
        <v>-0.0019</v>
      </c>
      <c r="AA81" s="11" t="n">
        <v>-0.132</v>
      </c>
      <c r="AB81" s="11" t="n">
        <v>-0.0045</v>
      </c>
      <c r="AC81" s="11" t="n">
        <v>-2.9313</v>
      </c>
    </row>
    <row r="82">
      <c r="A82" s="10" t="inlineStr">
        <is>
          <t>주주자본 합계</t>
        </is>
      </c>
      <c r="C82" s="11" t="n">
        <v>0.2634</v>
      </c>
      <c r="D82" s="11" t="n">
        <v>0.1701</v>
      </c>
      <c r="E82" s="11" t="n">
        <v>-0.2334</v>
      </c>
      <c r="F82" s="11" t="n">
        <v>14.059</v>
      </c>
      <c r="G82" s="11" t="n">
        <v>13.8616</v>
      </c>
      <c r="H82" s="11" t="n">
        <v>14.4589</v>
      </c>
      <c r="I82" s="11" t="n">
        <v>19.2036</v>
      </c>
      <c r="J82" s="11" t="n">
        <v>21.3405</v>
      </c>
      <c r="K82" s="11" t="n">
        <v>21.5458</v>
      </c>
      <c r="L82" s="11" t="n">
        <v>21.5706</v>
      </c>
      <c r="M82" s="11" t="n">
        <v>42.1657</v>
      </c>
      <c r="N82" s="11" t="n">
        <v>41.5442</v>
      </c>
      <c r="O82" s="11" t="n">
        <v>42.7792</v>
      </c>
      <c r="P82" s="11" t="n">
        <v>44.2838</v>
      </c>
      <c r="Q82" s="11" t="n">
        <v>45.5201</v>
      </c>
      <c r="R82" s="11" t="n">
        <v>43.8084</v>
      </c>
      <c r="S82" s="11" t="n">
        <v>44.3562</v>
      </c>
      <c r="T82" s="11" t="n">
        <v>45.4079</v>
      </c>
      <c r="U82" s="11" t="n">
        <v>46.2221</v>
      </c>
      <c r="V82" s="11" t="n">
        <v>45.6074</v>
      </c>
      <c r="W82" s="11" t="n">
        <v>4.2062</v>
      </c>
      <c r="X82" s="11" t="n">
        <v>13.1011</v>
      </c>
      <c r="Y82" s="11" t="n">
        <v>14.059</v>
      </c>
      <c r="Z82" s="11" t="n">
        <v>21.3405</v>
      </c>
      <c r="AA82" s="11" t="n">
        <v>41.5442</v>
      </c>
      <c r="AB82" s="11" t="n">
        <v>43.8084</v>
      </c>
      <c r="AC82" s="11" t="n">
        <v>45.6074</v>
      </c>
    </row>
    <row r="83">
      <c r="A83" s="10" t="inlineStr">
        <is>
          <t>기타유가증권 평가차액</t>
        </is>
      </c>
      <c r="J83" s="11" t="n">
        <v>0</v>
      </c>
      <c r="M83" s="11" t="n">
        <v>-0.021</v>
      </c>
      <c r="N83" s="11" t="n">
        <v>-0.0321</v>
      </c>
      <c r="O83" s="11" t="n">
        <v>-0.0492</v>
      </c>
      <c r="P83" s="11" t="n">
        <v>-0.07480000000000001</v>
      </c>
      <c r="Q83" s="11" t="n">
        <v>-0.0546</v>
      </c>
      <c r="R83" s="11" t="n">
        <v>-0.0526</v>
      </c>
      <c r="S83" s="11" t="n">
        <v>-0.0571</v>
      </c>
      <c r="T83" s="11" t="n">
        <v>-0.054</v>
      </c>
      <c r="U83" s="11" t="n">
        <v>-0.0626</v>
      </c>
      <c r="V83" s="11" t="n">
        <v>-0.058</v>
      </c>
      <c r="Z83" s="11" t="n">
        <v>0</v>
      </c>
      <c r="AA83" s="11" t="n">
        <v>-0.0321</v>
      </c>
      <c r="AB83" s="11" t="n">
        <v>-0.0526</v>
      </c>
      <c r="AC83" s="11" t="n">
        <v>-0.058</v>
      </c>
    </row>
    <row r="84">
      <c r="A84" s="10" t="inlineStr">
        <is>
          <t>해외사업환산조정</t>
        </is>
      </c>
      <c r="F84" s="11" t="n">
        <v>0</v>
      </c>
      <c r="G84" s="11" t="n">
        <v>0.0273</v>
      </c>
      <c r="H84" s="11" t="n">
        <v>0.0273</v>
      </c>
      <c r="I84" s="11" t="n">
        <v>0.0149</v>
      </c>
      <c r="J84" s="11" t="n">
        <v>-0.0046</v>
      </c>
      <c r="K84" s="11" t="n">
        <v>-0.0183</v>
      </c>
      <c r="L84" s="11" t="n">
        <v>-0.0148</v>
      </c>
      <c r="M84" s="11" t="n">
        <v>-0.0342</v>
      </c>
      <c r="N84" s="11" t="n">
        <v>-0.0321</v>
      </c>
      <c r="O84" s="11" t="n">
        <v>-0.0405</v>
      </c>
      <c r="P84" s="11" t="n">
        <v>-0.0375</v>
      </c>
      <c r="Q84" s="11" t="n">
        <v>0.0062</v>
      </c>
      <c r="R84" s="11" t="n">
        <v>-0.0152</v>
      </c>
      <c r="S84" s="11" t="n">
        <v>-0.0535</v>
      </c>
      <c r="T84" s="11" t="n">
        <v>-0.0762</v>
      </c>
      <c r="U84" s="11" t="n">
        <v>-0.07679999999999999</v>
      </c>
      <c r="V84" s="11" t="n">
        <v>-0.0677</v>
      </c>
      <c r="Y84" s="11" t="n">
        <v>0</v>
      </c>
      <c r="Z84" s="11" t="n">
        <v>-0.0046</v>
      </c>
      <c r="AA84" s="11" t="n">
        <v>-0.0321</v>
      </c>
      <c r="AB84" s="11" t="n">
        <v>-0.0152</v>
      </c>
      <c r="AC84" s="11" t="n">
        <v>-0.0677</v>
      </c>
    </row>
    <row r="85">
      <c r="A85" s="10" t="inlineStr">
        <is>
          <t>기타포괄손익누계액 합계</t>
        </is>
      </c>
      <c r="F85" s="11" t="n">
        <v>0</v>
      </c>
      <c r="G85" s="11" t="n">
        <v>0.0273</v>
      </c>
      <c r="H85" s="11" t="n">
        <v>0.0273</v>
      </c>
      <c r="I85" s="11" t="n">
        <v>0.0149</v>
      </c>
      <c r="J85" s="11" t="n">
        <v>-0.0046</v>
      </c>
      <c r="K85" s="11" t="n">
        <v>-0.0183</v>
      </c>
      <c r="L85" s="11" t="n">
        <v>-0.0148</v>
      </c>
      <c r="M85" s="11" t="n">
        <v>-0.0552</v>
      </c>
      <c r="N85" s="11" t="n">
        <v>-0.06419999999999999</v>
      </c>
      <c r="O85" s="11" t="n">
        <v>-0.0897</v>
      </c>
      <c r="P85" s="11" t="n">
        <v>-0.1123</v>
      </c>
      <c r="Q85" s="11" t="n">
        <v>-0.0484</v>
      </c>
      <c r="R85" s="11" t="n">
        <v>-0.0678</v>
      </c>
      <c r="S85" s="11" t="n">
        <v>-0.1106</v>
      </c>
      <c r="T85" s="11" t="n">
        <v>-0.1302</v>
      </c>
      <c r="U85" s="11" t="n">
        <v>-0.1394</v>
      </c>
      <c r="V85" s="11" t="n">
        <v>-0.1258</v>
      </c>
      <c r="Y85" s="11" t="n">
        <v>0</v>
      </c>
      <c r="Z85" s="11" t="n">
        <v>-0.0046</v>
      </c>
      <c r="AA85" s="11" t="n">
        <v>-0.06419999999999999</v>
      </c>
      <c r="AB85" s="11" t="n">
        <v>-0.0678</v>
      </c>
      <c r="AC85" s="11" t="n">
        <v>-0.1258</v>
      </c>
    </row>
    <row r="86">
      <c r="A86" s="10" t="inlineStr">
        <is>
          <t>신주예약권</t>
        </is>
      </c>
      <c r="D86" s="11" t="n">
        <v>0.0072</v>
      </c>
      <c r="E86" s="11" t="n">
        <v>0.0179</v>
      </c>
      <c r="F86" s="11" t="n">
        <v>0.2548</v>
      </c>
      <c r="G86" s="11" t="n">
        <v>0.2631</v>
      </c>
      <c r="H86" s="11" t="n">
        <v>0.2718</v>
      </c>
      <c r="I86" s="11" t="n">
        <v>0.2908</v>
      </c>
      <c r="J86" s="11" t="n">
        <v>0.2958</v>
      </c>
      <c r="K86" s="11" t="n">
        <v>0.304</v>
      </c>
      <c r="L86" s="11" t="n">
        <v>0.2848</v>
      </c>
      <c r="M86" s="11" t="n">
        <v>0.4904</v>
      </c>
      <c r="N86" s="11" t="n">
        <v>0.6746</v>
      </c>
      <c r="O86" s="11" t="n">
        <v>0.8192</v>
      </c>
      <c r="P86" s="11" t="n">
        <v>1.0556</v>
      </c>
      <c r="Q86" s="11" t="n">
        <v>1.2835</v>
      </c>
      <c r="R86" s="11" t="n">
        <v>1.5624</v>
      </c>
      <c r="S86" s="11" t="n">
        <v>1.7334</v>
      </c>
      <c r="T86" s="11" t="n">
        <v>1.8366</v>
      </c>
      <c r="U86" s="11" t="n">
        <v>1.8498</v>
      </c>
      <c r="V86" s="11" t="n">
        <v>1.8801</v>
      </c>
      <c r="X86" s="11" t="n">
        <v>0</v>
      </c>
      <c r="Y86" s="11" t="n">
        <v>0.2548</v>
      </c>
      <c r="Z86" s="11" t="n">
        <v>0.2958</v>
      </c>
      <c r="AA86" s="11" t="n">
        <v>0.6746</v>
      </c>
      <c r="AB86" s="11" t="n">
        <v>1.5624</v>
      </c>
      <c r="AC86" s="11" t="n">
        <v>1.8801</v>
      </c>
    </row>
    <row r="87">
      <c r="A87" s="10" t="inlineStr">
        <is>
          <t>순자산 합계</t>
        </is>
      </c>
      <c r="C87" s="11" t="n">
        <v>0.2634</v>
      </c>
      <c r="D87" s="11" t="n">
        <v>0.1773</v>
      </c>
      <c r="E87" s="11" t="n">
        <v>-0.2155</v>
      </c>
      <c r="F87" s="11" t="n">
        <v>14.3138</v>
      </c>
      <c r="G87" s="11" t="n">
        <v>14.152</v>
      </c>
      <c r="H87" s="11" t="n">
        <v>14.7581</v>
      </c>
      <c r="I87" s="11" t="n">
        <v>19.5093</v>
      </c>
      <c r="J87" s="11" t="n">
        <v>21.6317</v>
      </c>
      <c r="K87" s="11" t="n">
        <v>21.8314</v>
      </c>
      <c r="L87" s="11" t="n">
        <v>21.8407</v>
      </c>
      <c r="M87" s="11" t="n">
        <v>42.6009</v>
      </c>
      <c r="N87" s="11" t="n">
        <v>42.1546</v>
      </c>
      <c r="O87" s="11" t="n">
        <v>43.5086</v>
      </c>
      <c r="P87" s="11" t="n">
        <v>45.2272</v>
      </c>
      <c r="Q87" s="11" t="n">
        <v>46.7552</v>
      </c>
      <c r="R87" s="11" t="n">
        <v>45.303</v>
      </c>
      <c r="S87" s="11" t="n">
        <v>45.979</v>
      </c>
      <c r="T87" s="11" t="n">
        <v>47.1143</v>
      </c>
      <c r="U87" s="11" t="n">
        <v>47.9325</v>
      </c>
      <c r="V87" s="11" t="n">
        <v>47.3618</v>
      </c>
      <c r="W87" s="11" t="n">
        <v>4.2062</v>
      </c>
      <c r="X87" s="11" t="n">
        <v>13.1011</v>
      </c>
      <c r="Y87" s="11" t="n">
        <v>14.3138</v>
      </c>
      <c r="Z87" s="11" t="n">
        <v>21.6317</v>
      </c>
      <c r="AA87" s="11" t="n">
        <v>42.1546</v>
      </c>
      <c r="AB87" s="11" t="n">
        <v>45.303</v>
      </c>
      <c r="AC87" s="11" t="n">
        <v>47.3618</v>
      </c>
    </row>
    <row r="88">
      <c r="A88" s="10" t="inlineStr">
        <is>
          <t>부채·순자산 합계</t>
        </is>
      </c>
      <c r="C88" s="11" t="n">
        <v>20.3727</v>
      </c>
      <c r="D88" s="11" t="n">
        <v>18.8739</v>
      </c>
      <c r="E88" s="11" t="n">
        <v>19.7711</v>
      </c>
      <c r="F88" s="11" t="n">
        <v>40.4102</v>
      </c>
      <c r="G88" s="11" t="n">
        <v>38.4225</v>
      </c>
      <c r="H88" s="11" t="n">
        <v>39.9939</v>
      </c>
      <c r="I88" s="11" t="n">
        <v>46.6505</v>
      </c>
      <c r="J88" s="11" t="n">
        <v>44.0166</v>
      </c>
      <c r="K88" s="11" t="n">
        <v>44.9524</v>
      </c>
      <c r="L88" s="11" t="n">
        <v>44.1919</v>
      </c>
      <c r="M88" s="11" t="n">
        <v>79.31319999999999</v>
      </c>
      <c r="N88" s="11" t="n">
        <v>82.628</v>
      </c>
      <c r="O88" s="11" t="n">
        <v>84.4802</v>
      </c>
      <c r="P88" s="11" t="n">
        <v>83.29000000000001</v>
      </c>
      <c r="Q88" s="11" t="n">
        <v>89.0393</v>
      </c>
      <c r="R88" s="11" t="n">
        <v>94.09690000000001</v>
      </c>
      <c r="S88" s="11" t="n">
        <v>95.04179999999999</v>
      </c>
      <c r="T88" s="11" t="n">
        <v>88.9815</v>
      </c>
      <c r="U88" s="11" t="n">
        <v>100.3402</v>
      </c>
      <c r="V88" s="11" t="n">
        <v>93.2619</v>
      </c>
      <c r="W88" s="11" t="n">
        <v>10.5489</v>
      </c>
      <c r="X88" s="11" t="n">
        <v>33.8699</v>
      </c>
      <c r="Y88" s="11" t="n">
        <v>40.4102</v>
      </c>
      <c r="Z88" s="11" t="n">
        <v>44.0166</v>
      </c>
      <c r="AA88" s="11" t="n">
        <v>82.628</v>
      </c>
      <c r="AB88" s="11" t="n">
        <v>94.09690000000001</v>
      </c>
      <c r="AC88" s="11" t="n">
        <v>93.2619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8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40" customWidth="1" min="30" max="30"/>
  </cols>
  <sheetData>
    <row r="1">
      <c r="A1" s="1" t="inlineStr">
        <is>
          <t>페이클라우드홀딩스 현금흐름표</t>
        </is>
      </c>
    </row>
    <row r="2">
      <c r="A2" s="2" t="inlineStr">
        <is>
          <t>결산기 기준(27.2Q = 2027년 결산기 2분기) · 8월 결산 · 연결 · 누계(그 분기까지)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FY20</t>
        </is>
      </c>
      <c r="X3" s="4" t="inlineStr">
        <is>
          <t>FY21</t>
        </is>
      </c>
      <c r="Y3" s="4" t="inlineStr">
        <is>
          <t>FY22</t>
        </is>
      </c>
      <c r="Z3" s="4" t="inlineStr">
        <is>
          <t>FY23</t>
        </is>
      </c>
      <c r="AA3" s="4" t="inlineStr">
        <is>
          <t>FY24</t>
        </is>
      </c>
      <c r="AB3" s="4" t="inlineStr">
        <is>
          <t>FY25</t>
        </is>
      </c>
      <c r="AC3" s="4" t="inlineStr">
        <is>
          <t>FY26</t>
        </is>
      </c>
      <c r="AD3" s="4" t="inlineStr">
        <is>
          <t>출처</t>
        </is>
      </c>
    </row>
    <row r="4">
      <c r="A4" s="10" t="inlineStr">
        <is>
          <t>법인세차감전 순이익</t>
        </is>
      </c>
      <c r="D4" s="11" t="n">
        <v>-13.2679</v>
      </c>
      <c r="F4" s="11" t="n">
        <v>-18.0117</v>
      </c>
      <c r="H4" s="11" t="n">
        <v>0.2713</v>
      </c>
      <c r="J4" s="11" t="n">
        <v>1.3573</v>
      </c>
      <c r="L4" s="11" t="n">
        <v>0.7738</v>
      </c>
      <c r="N4" s="11" t="n">
        <v>3.2231</v>
      </c>
      <c r="P4" s="11" t="n">
        <v>4.0551</v>
      </c>
      <c r="R4" s="11" t="n">
        <v>3.9339</v>
      </c>
      <c r="T4" s="11" t="n">
        <v>3.2964</v>
      </c>
      <c r="V4" s="11" t="n">
        <v>8.178800000000001</v>
      </c>
      <c r="W4" s="11" t="n">
        <v>1.4183</v>
      </c>
      <c r="X4" s="11" t="n">
        <v>2.7947</v>
      </c>
      <c r="Y4" s="11" t="n">
        <v>-18.0117</v>
      </c>
      <c r="Z4" s="11" t="n">
        <v>1.3573</v>
      </c>
      <c r="AA4" s="11" t="n">
        <v>3.2231</v>
      </c>
      <c r="AB4" s="11" t="n">
        <v>3.9339</v>
      </c>
      <c r="AC4" s="11" t="n">
        <v>8.178800000000001</v>
      </c>
      <c r="AD4" s="7" t="inlineStr">
        <is>
          <t>결산단신 XBRL(거래소 공시, TDnet·JPX 보관소). 쓴 문서: 2026-10-15, 2026-07-14, 2026-04-14, 2026-01-14 외 20건 — '출처' 시트에 전부</t>
        </is>
      </c>
    </row>
    <row r="5">
      <c r="A5" s="10" t="inlineStr">
        <is>
          <t>감가상각비</t>
        </is>
      </c>
      <c r="D5" s="11" t="n">
        <v>0.1754</v>
      </c>
      <c r="F5" s="11" t="n">
        <v>0.3739</v>
      </c>
      <c r="H5" s="11" t="n">
        <v>1.1515</v>
      </c>
      <c r="J5" s="11" t="n">
        <v>1.9607</v>
      </c>
      <c r="L5" s="11" t="n">
        <v>0.7958</v>
      </c>
      <c r="N5" s="11" t="n">
        <v>1.6991</v>
      </c>
      <c r="P5" s="11" t="n">
        <v>0.9486</v>
      </c>
      <c r="R5" s="11" t="n">
        <v>1.9716</v>
      </c>
      <c r="T5" s="11" t="n">
        <v>1.0429</v>
      </c>
      <c r="V5" s="11" t="n">
        <v>2.2221</v>
      </c>
      <c r="W5" s="11" t="n">
        <v>0.2799</v>
      </c>
      <c r="X5" s="11" t="n">
        <v>0.3293</v>
      </c>
      <c r="Y5" s="11" t="n">
        <v>0.3739</v>
      </c>
      <c r="Z5" s="11" t="n">
        <v>1.9607</v>
      </c>
      <c r="AA5" s="11" t="n">
        <v>1.6991</v>
      </c>
      <c r="AB5" s="11" t="n">
        <v>1.9716</v>
      </c>
      <c r="AC5" s="11" t="n">
        <v>2.2221</v>
      </c>
    </row>
    <row r="6">
      <c r="A6" s="10" t="inlineStr">
        <is>
          <t>손상차손</t>
        </is>
      </c>
      <c r="F6" s="11" t="n">
        <v>2.2558</v>
      </c>
      <c r="J6" s="11" t="n">
        <v>0</v>
      </c>
      <c r="N6" s="11" t="n">
        <v>0</v>
      </c>
      <c r="R6" s="11" t="n">
        <v>0.5492</v>
      </c>
      <c r="V6" s="11" t="n">
        <v>0</v>
      </c>
      <c r="Y6" s="11" t="n">
        <v>2.2558</v>
      </c>
      <c r="Z6" s="11" t="n">
        <v>0</v>
      </c>
      <c r="AA6" s="11" t="n">
        <v>0</v>
      </c>
      <c r="AB6" s="11" t="n">
        <v>0.5492</v>
      </c>
      <c r="AC6" s="11" t="n">
        <v>0</v>
      </c>
    </row>
    <row r="7">
      <c r="A7" s="10" t="inlineStr">
        <is>
          <t>영업권 상각</t>
        </is>
      </c>
      <c r="F7" s="11" t="n">
        <v>0</v>
      </c>
      <c r="H7" s="11" t="n">
        <v>0.7884</v>
      </c>
      <c r="J7" s="11" t="n">
        <v>1.3797</v>
      </c>
      <c r="L7" s="11" t="n">
        <v>0.5913</v>
      </c>
      <c r="N7" s="11" t="n">
        <v>1.8841</v>
      </c>
      <c r="P7" s="11" t="n">
        <v>1.2928</v>
      </c>
      <c r="R7" s="11" t="n">
        <v>2.5857</v>
      </c>
      <c r="T7" s="11" t="n">
        <v>1.2928</v>
      </c>
      <c r="V7" s="11" t="n">
        <v>2.5857</v>
      </c>
      <c r="Y7" s="11" t="n">
        <v>0</v>
      </c>
      <c r="Z7" s="11" t="n">
        <v>1.3797</v>
      </c>
      <c r="AA7" s="11" t="n">
        <v>1.8841</v>
      </c>
      <c r="AB7" s="11" t="n">
        <v>2.5857</v>
      </c>
      <c r="AC7" s="11" t="n">
        <v>2.5857</v>
      </c>
    </row>
    <row r="8">
      <c r="A8" s="10" t="inlineStr">
        <is>
          <t>외환차손익</t>
        </is>
      </c>
      <c r="F8" s="11" t="n">
        <v>0</v>
      </c>
      <c r="H8" s="11" t="n">
        <v>0.0132</v>
      </c>
      <c r="J8" s="11" t="n">
        <v>-0.0664</v>
      </c>
      <c r="L8" s="11" t="n">
        <v>-0.014</v>
      </c>
      <c r="N8" s="11" t="n">
        <v>-0.0166</v>
      </c>
      <c r="P8" s="11" t="n">
        <v>-0.0086</v>
      </c>
      <c r="R8" s="11" t="n">
        <v>-0.0295</v>
      </c>
      <c r="T8" s="11" t="n">
        <v>-0.0867</v>
      </c>
      <c r="V8" s="11" t="n">
        <v>-0.0497</v>
      </c>
      <c r="Y8" s="11" t="n">
        <v>0</v>
      </c>
      <c r="Z8" s="11" t="n">
        <v>-0.0664</v>
      </c>
      <c r="AA8" s="11" t="n">
        <v>-0.0166</v>
      </c>
      <c r="AB8" s="11" t="n">
        <v>-0.0295</v>
      </c>
      <c r="AC8" s="11" t="n">
        <v>-0.0497</v>
      </c>
    </row>
    <row r="9">
      <c r="A9" s="10" t="inlineStr">
        <is>
          <t>주식보상비용</t>
        </is>
      </c>
      <c r="D9" s="11" t="n">
        <v>0.0072</v>
      </c>
      <c r="F9" s="11" t="n">
        <v>0.0282</v>
      </c>
      <c r="H9" s="11" t="n">
        <v>0.0193</v>
      </c>
      <c r="J9" s="11" t="n">
        <v>0.0391</v>
      </c>
      <c r="L9" s="11" t="n">
        <v>0.018</v>
      </c>
      <c r="N9" s="11" t="n">
        <v>0.2513</v>
      </c>
      <c r="P9" s="11" t="n">
        <v>0.5068</v>
      </c>
      <c r="R9" s="11" t="n">
        <v>1.0213</v>
      </c>
      <c r="T9" s="11" t="n">
        <v>0.3201</v>
      </c>
      <c r="V9" s="11" t="n">
        <v>0.4865</v>
      </c>
      <c r="Y9" s="11" t="n">
        <v>0.0282</v>
      </c>
      <c r="Z9" s="11" t="n">
        <v>0.0391</v>
      </c>
      <c r="AA9" s="11" t="n">
        <v>0.2513</v>
      </c>
      <c r="AB9" s="11" t="n">
        <v>1.0213</v>
      </c>
      <c r="AC9" s="11" t="n">
        <v>0.4865</v>
      </c>
    </row>
    <row r="10">
      <c r="A10" s="10" t="inlineStr">
        <is>
          <t>주식교부비</t>
        </is>
      </c>
      <c r="F10" s="11" t="n">
        <v>0</v>
      </c>
      <c r="J10" s="11" t="n">
        <v>0.0397</v>
      </c>
      <c r="N10" s="11" t="n">
        <v>0</v>
      </c>
      <c r="Y10" s="11" t="n">
        <v>0</v>
      </c>
      <c r="Z10" s="11" t="n">
        <v>0.0397</v>
      </c>
      <c r="AA10" s="11" t="n">
        <v>0</v>
      </c>
    </row>
    <row r="11">
      <c r="A11" s="10" t="inlineStr">
        <is>
          <t>지급수수료</t>
        </is>
      </c>
      <c r="F11" s="11" t="n">
        <v>0</v>
      </c>
      <c r="H11" s="11" t="n">
        <v>0</v>
      </c>
      <c r="J11" s="11" t="n">
        <v>0.1568</v>
      </c>
      <c r="L11" s="11" t="n">
        <v>0.0052</v>
      </c>
      <c r="N11" s="11" t="n">
        <v>0.0103</v>
      </c>
      <c r="P11" s="11" t="n">
        <v>0.0052</v>
      </c>
      <c r="R11" s="11" t="n">
        <v>0.0104</v>
      </c>
      <c r="T11" s="11" t="n">
        <v>0.005</v>
      </c>
      <c r="V11" s="11" t="n">
        <v>0.0232</v>
      </c>
      <c r="W11" s="11" t="n">
        <v>0</v>
      </c>
      <c r="X11" s="11" t="n">
        <v>0.17</v>
      </c>
      <c r="Y11" s="11" t="n">
        <v>0</v>
      </c>
      <c r="Z11" s="11" t="n">
        <v>0.1568</v>
      </c>
      <c r="AA11" s="11" t="n">
        <v>0.0103</v>
      </c>
      <c r="AB11" s="11" t="n">
        <v>0.0104</v>
      </c>
      <c r="AC11" s="11" t="n">
        <v>0.0232</v>
      </c>
    </row>
    <row r="12">
      <c r="A12" s="10" t="inlineStr">
        <is>
          <t>지분법손익</t>
        </is>
      </c>
      <c r="F12" s="11" t="n">
        <v>13.2473</v>
      </c>
      <c r="H12" s="11" t="n">
        <v>-0.0373</v>
      </c>
      <c r="J12" s="11" t="n">
        <v>-0.0533</v>
      </c>
      <c r="L12" s="11" t="n">
        <v>0</v>
      </c>
      <c r="N12" s="11" t="n">
        <v>0</v>
      </c>
      <c r="Y12" s="11" t="n">
        <v>13.2473</v>
      </c>
      <c r="Z12" s="11" t="n">
        <v>-0.0533</v>
      </c>
      <c r="AA12" s="11" t="n">
        <v>0</v>
      </c>
    </row>
    <row r="13">
      <c r="A13" s="10" t="inlineStr">
        <is>
          <t>단계적 취득 차손익</t>
        </is>
      </c>
      <c r="F13" s="11" t="n">
        <v>0.7917999999999999</v>
      </c>
      <c r="J13" s="11" t="n">
        <v>0</v>
      </c>
      <c r="Y13" s="11" t="n">
        <v>0.7917999999999999</v>
      </c>
      <c r="Z13" s="11" t="n">
        <v>0</v>
      </c>
    </row>
    <row r="14">
      <c r="A14" s="10" t="inlineStr">
        <is>
          <t>신주예약권 환입이익</t>
        </is>
      </c>
      <c r="F14" s="11" t="n">
        <v>-0.0979</v>
      </c>
      <c r="H14" s="11" t="n">
        <v>-0.0023</v>
      </c>
      <c r="J14" s="11" t="n">
        <v>-0.0023</v>
      </c>
      <c r="L14" s="11" t="n">
        <v>-0</v>
      </c>
      <c r="N14" s="11" t="n">
        <v>-0.0038</v>
      </c>
      <c r="P14" s="11" t="n">
        <v>-0.0824</v>
      </c>
      <c r="R14" s="11" t="n">
        <v>-0.08790000000000001</v>
      </c>
      <c r="T14" s="11" t="n">
        <v>-0.0357</v>
      </c>
      <c r="V14" s="11" t="n">
        <v>-0.0576</v>
      </c>
      <c r="Y14" s="11" t="n">
        <v>-0.0979</v>
      </c>
      <c r="Z14" s="11" t="n">
        <v>-0.0023</v>
      </c>
      <c r="AA14" s="11" t="n">
        <v>-0.0038</v>
      </c>
      <c r="AB14" s="11" t="n">
        <v>-0.08790000000000001</v>
      </c>
      <c r="AC14" s="11" t="n">
        <v>-0.0576</v>
      </c>
    </row>
    <row r="15">
      <c r="A15" s="10" t="inlineStr">
        <is>
          <t>대손충당금 증감</t>
        </is>
      </c>
      <c r="D15" s="11" t="n">
        <v>-0.0008</v>
      </c>
      <c r="F15" s="11" t="n">
        <v>-0.0002</v>
      </c>
      <c r="H15" s="11" t="n">
        <v>-0.0092</v>
      </c>
      <c r="J15" s="11" t="n">
        <v>-0.0089</v>
      </c>
      <c r="L15" s="11" t="n">
        <v>-0.0078</v>
      </c>
      <c r="N15" s="11" t="n">
        <v>-0.0056</v>
      </c>
      <c r="P15" s="11" t="n">
        <v>0.0026</v>
      </c>
      <c r="R15" s="11" t="n">
        <v>0.007</v>
      </c>
      <c r="T15" s="11" t="n">
        <v>0.0024</v>
      </c>
      <c r="V15" s="11" t="n">
        <v>0.0103</v>
      </c>
      <c r="W15" s="11" t="n">
        <v>-0.0583</v>
      </c>
      <c r="X15" s="11" t="n">
        <v>-0.0279</v>
      </c>
      <c r="Y15" s="11" t="n">
        <v>-0.0002</v>
      </c>
      <c r="Z15" s="11" t="n">
        <v>-0.0089</v>
      </c>
      <c r="AA15" s="11" t="n">
        <v>-0.0056</v>
      </c>
      <c r="AB15" s="11" t="n">
        <v>0.007</v>
      </c>
      <c r="AC15" s="11" t="n">
        <v>0.0103</v>
      </c>
    </row>
    <row r="16">
      <c r="A16" s="10" t="inlineStr">
        <is>
          <t>이자수익</t>
        </is>
      </c>
      <c r="D16" s="11" t="n">
        <v>-0</v>
      </c>
      <c r="W16" s="11" t="n">
        <v>-0.0007</v>
      </c>
      <c r="X16" s="11" t="n">
        <v>-0.0002</v>
      </c>
    </row>
    <row r="17">
      <c r="A17" s="10" t="inlineStr">
        <is>
          <t>이자·배당금 수익</t>
        </is>
      </c>
      <c r="F17" s="11" t="n">
        <v>-0</v>
      </c>
      <c r="H17" s="11" t="n">
        <v>-0.0047</v>
      </c>
      <c r="J17" s="11" t="n">
        <v>-0.0097</v>
      </c>
      <c r="L17" s="11" t="n">
        <v>-0.0047</v>
      </c>
      <c r="N17" s="11" t="n">
        <v>-0.0279</v>
      </c>
      <c r="P17" s="11" t="n">
        <v>-0.0318</v>
      </c>
      <c r="R17" s="11" t="n">
        <v>-0.0785</v>
      </c>
      <c r="T17" s="11" t="n">
        <v>-0.0519</v>
      </c>
      <c r="V17" s="11" t="n">
        <v>-0.1222</v>
      </c>
      <c r="Y17" s="11" t="n">
        <v>-0</v>
      </c>
      <c r="Z17" s="11" t="n">
        <v>-0.0097</v>
      </c>
      <c r="AA17" s="11" t="n">
        <v>-0.0279</v>
      </c>
      <c r="AB17" s="11" t="n">
        <v>-0.0785</v>
      </c>
      <c r="AC17" s="11" t="n">
        <v>-0.1222</v>
      </c>
    </row>
    <row r="18">
      <c r="A18" s="10" t="inlineStr">
        <is>
          <t>이자비용</t>
        </is>
      </c>
      <c r="D18" s="11" t="n">
        <v>0.0987</v>
      </c>
      <c r="F18" s="11" t="n">
        <v>0.1927</v>
      </c>
      <c r="H18" s="11" t="n">
        <v>0.1117</v>
      </c>
      <c r="J18" s="11" t="n">
        <v>0.2362</v>
      </c>
      <c r="L18" s="11" t="n">
        <v>0.1024</v>
      </c>
      <c r="N18" s="11" t="n">
        <v>0.2298</v>
      </c>
      <c r="P18" s="11" t="n">
        <v>0.1395</v>
      </c>
      <c r="R18" s="11" t="n">
        <v>0.3025</v>
      </c>
      <c r="T18" s="11" t="n">
        <v>0.1612</v>
      </c>
      <c r="V18" s="11" t="n">
        <v>0.3364</v>
      </c>
      <c r="W18" s="11" t="n">
        <v>0.0114</v>
      </c>
      <c r="X18" s="11" t="n">
        <v>0.0163</v>
      </c>
      <c r="Y18" s="11" t="n">
        <v>0.1927</v>
      </c>
      <c r="Z18" s="11" t="n">
        <v>0.2362</v>
      </c>
      <c r="AA18" s="11" t="n">
        <v>0.2298</v>
      </c>
      <c r="AB18" s="11" t="n">
        <v>0.3025</v>
      </c>
      <c r="AC18" s="11" t="n">
        <v>0.3364</v>
      </c>
    </row>
    <row r="19">
      <c r="A19" s="10" t="inlineStr">
        <is>
          <t>보조금 수입</t>
        </is>
      </c>
      <c r="D19" s="11" t="n">
        <v>-0.0005</v>
      </c>
      <c r="W19" s="11" t="n">
        <v>0</v>
      </c>
      <c r="X19" s="11" t="n">
        <v>-0.0644</v>
      </c>
    </row>
    <row r="20">
      <c r="A20" s="10" t="inlineStr">
        <is>
          <t>유형자산 제각손실</t>
        </is>
      </c>
      <c r="W20" s="11" t="n">
        <v>0</v>
      </c>
      <c r="X20" s="11" t="n">
        <v>0.0059</v>
      </c>
    </row>
    <row r="21">
      <c r="A21" s="10" t="inlineStr">
        <is>
          <t>상장 관련 비용</t>
        </is>
      </c>
      <c r="W21" s="11" t="n">
        <v>0</v>
      </c>
      <c r="X21" s="11" t="n">
        <v>0.1684</v>
      </c>
    </row>
    <row r="22">
      <c r="A22" s="10" t="inlineStr">
        <is>
          <t>관계회사 주식 평가손실</t>
        </is>
      </c>
      <c r="D22" s="11" t="n">
        <v>12.5528</v>
      </c>
    </row>
    <row r="23">
      <c r="A23" s="10" t="inlineStr">
        <is>
          <t>고정자산 제각손실</t>
        </is>
      </c>
      <c r="D23" s="11" t="n">
        <v>0.0013</v>
      </c>
    </row>
    <row r="24">
      <c r="A24" s="10" t="inlineStr">
        <is>
          <t>상장 관련 비용</t>
        </is>
      </c>
      <c r="D24" s="11" t="n">
        <v>0</v>
      </c>
    </row>
    <row r="25">
      <c r="A25" s="10" t="inlineStr">
        <is>
          <t>단기매매차익 수증이익</t>
        </is>
      </c>
      <c r="H25" s="11" t="n">
        <v>-0.1416</v>
      </c>
      <c r="L25" s="11" t="n">
        <v>0</v>
      </c>
    </row>
    <row r="26">
      <c r="A26" s="10" t="inlineStr">
        <is>
          <t>해외 자회사 청산 환산조정 환입손익</t>
        </is>
      </c>
      <c r="H26" s="11" t="n">
        <v>0.0325</v>
      </c>
      <c r="L26" s="11" t="n">
        <v>0</v>
      </c>
    </row>
    <row r="27">
      <c r="A27" s="10" t="inlineStr">
        <is>
          <t>단기매매차익 수증이익</t>
        </is>
      </c>
      <c r="F27" s="11" t="n">
        <v>0</v>
      </c>
      <c r="J27" s="11" t="n">
        <v>-0.1416</v>
      </c>
      <c r="N27" s="11" t="n">
        <v>0</v>
      </c>
      <c r="Y27" s="11" t="n">
        <v>0</v>
      </c>
      <c r="Z27" s="11" t="n">
        <v>-0.1416</v>
      </c>
      <c r="AA27" s="11" t="n">
        <v>0</v>
      </c>
    </row>
    <row r="28">
      <c r="A28" s="10" t="inlineStr">
        <is>
          <t>해외 자회사 청산 환산조정 환입손익</t>
        </is>
      </c>
      <c r="F28" s="11" t="n">
        <v>0</v>
      </c>
      <c r="J28" s="11" t="n">
        <v>0.0325</v>
      </c>
      <c r="N28" s="11" t="n">
        <v>0</v>
      </c>
      <c r="R28" s="11" t="n">
        <v>0.0505</v>
      </c>
      <c r="V28" s="11" t="n">
        <v>0</v>
      </c>
      <c r="Y28" s="11" t="n">
        <v>0</v>
      </c>
      <c r="Z28" s="11" t="n">
        <v>0.0325</v>
      </c>
      <c r="AA28" s="11" t="n">
        <v>0</v>
      </c>
      <c r="AB28" s="11" t="n">
        <v>0.0505</v>
      </c>
      <c r="AC28" s="11" t="n">
        <v>0</v>
      </c>
    </row>
    <row r="29">
      <c r="A29" s="10" t="inlineStr">
        <is>
          <t>관계회사 주식 매각손익</t>
        </is>
      </c>
      <c r="F29" s="11" t="n">
        <v>0</v>
      </c>
      <c r="J29" s="11" t="n">
        <v>0.0767</v>
      </c>
      <c r="N29" s="11" t="n">
        <v>0</v>
      </c>
      <c r="Y29" s="11" t="n">
        <v>0</v>
      </c>
      <c r="Z29" s="11" t="n">
        <v>0.0767</v>
      </c>
      <c r="AA29" s="11" t="n">
        <v>0</v>
      </c>
    </row>
    <row r="30">
      <c r="A30" s="10" t="inlineStr">
        <is>
          <t>매출채권 증감</t>
        </is>
      </c>
      <c r="D30" s="11" t="n">
        <v>0.2412</v>
      </c>
      <c r="F30" s="11" t="n">
        <v>-0.0992</v>
      </c>
      <c r="H30" s="11" t="n">
        <v>-0.1762</v>
      </c>
      <c r="J30" s="11" t="n">
        <v>-2.5593</v>
      </c>
      <c r="L30" s="11" t="n">
        <v>2.8772</v>
      </c>
      <c r="N30" s="11" t="n">
        <v>1.86</v>
      </c>
      <c r="P30" s="11" t="n">
        <v>-1.0517</v>
      </c>
      <c r="R30" s="11" t="n">
        <v>-0.3672</v>
      </c>
      <c r="T30" s="11" t="n">
        <v>-0.1428</v>
      </c>
      <c r="V30" s="11" t="n">
        <v>-3.8452</v>
      </c>
      <c r="W30" s="11" t="n">
        <v>-0.1647</v>
      </c>
      <c r="X30" s="11" t="n">
        <v>-0.009599999999999999</v>
      </c>
      <c r="Y30" s="11" t="n">
        <v>-0.0992</v>
      </c>
      <c r="Z30" s="11" t="n">
        <v>-2.5593</v>
      </c>
      <c r="AA30" s="11" t="n">
        <v>1.86</v>
      </c>
      <c r="AB30" s="11" t="n">
        <v>-0.3672</v>
      </c>
      <c r="AC30" s="11" t="n">
        <v>-3.8452</v>
      </c>
    </row>
    <row r="31">
      <c r="A31" s="10" t="inlineStr">
        <is>
          <t>재고자산 증감</t>
        </is>
      </c>
      <c r="D31" s="11" t="n">
        <v>0.0004</v>
      </c>
      <c r="F31" s="11" t="n">
        <v>0.0002</v>
      </c>
      <c r="H31" s="11" t="n">
        <v>0.1524</v>
      </c>
      <c r="J31" s="11" t="n">
        <v>0.616</v>
      </c>
      <c r="L31" s="11" t="n">
        <v>0.5703</v>
      </c>
      <c r="N31" s="11" t="n">
        <v>0.0345</v>
      </c>
      <c r="P31" s="11" t="n">
        <v>-0.8157</v>
      </c>
      <c r="R31" s="11" t="n">
        <v>-0.5098</v>
      </c>
      <c r="T31" s="11" t="n">
        <v>-1.5921</v>
      </c>
      <c r="V31" s="11" t="n">
        <v>-1.1681</v>
      </c>
      <c r="W31" s="11" t="n">
        <v>0.0388</v>
      </c>
      <c r="X31" s="11" t="n">
        <v>0.0068</v>
      </c>
      <c r="Y31" s="11" t="n">
        <v>0.0002</v>
      </c>
      <c r="Z31" s="11" t="n">
        <v>0.616</v>
      </c>
      <c r="AA31" s="11" t="n">
        <v>0.0345</v>
      </c>
      <c r="AB31" s="11" t="n">
        <v>-0.5098</v>
      </c>
      <c r="AC31" s="11" t="n">
        <v>-1.1681</v>
      </c>
    </row>
    <row r="32">
      <c r="A32" s="10" t="inlineStr">
        <is>
          <t>매입채무 증감</t>
        </is>
      </c>
      <c r="D32" s="11" t="n">
        <v>-0.2432</v>
      </c>
      <c r="F32" s="11" t="n">
        <v>-0.184</v>
      </c>
      <c r="H32" s="11" t="n">
        <v>1.1946</v>
      </c>
      <c r="J32" s="11" t="n">
        <v>2.1265</v>
      </c>
      <c r="L32" s="11" t="n">
        <v>-2.2788</v>
      </c>
      <c r="N32" s="11" t="n">
        <v>-3.8417</v>
      </c>
      <c r="P32" s="11" t="n">
        <v>2.0284</v>
      </c>
      <c r="R32" s="11" t="n">
        <v>2.5527</v>
      </c>
      <c r="T32" s="11" t="n">
        <v>0.3678</v>
      </c>
      <c r="V32" s="11" t="n">
        <v>2.3764</v>
      </c>
      <c r="W32" s="11" t="n">
        <v>-0.0877</v>
      </c>
      <c r="X32" s="11" t="n">
        <v>0.3067</v>
      </c>
      <c r="Y32" s="11" t="n">
        <v>-0.184</v>
      </c>
      <c r="Z32" s="11" t="n">
        <v>2.1265</v>
      </c>
      <c r="AA32" s="11" t="n">
        <v>-3.8417</v>
      </c>
      <c r="AB32" s="11" t="n">
        <v>2.5527</v>
      </c>
      <c r="AC32" s="11" t="n">
        <v>2.3764</v>
      </c>
    </row>
    <row r="33">
      <c r="A33" s="10" t="inlineStr">
        <is>
          <t>투자유가증권 매각손익</t>
        </is>
      </c>
      <c r="J33" s="11" t="n">
        <v>0</v>
      </c>
      <c r="N33" s="11" t="n">
        <v>-0.025</v>
      </c>
      <c r="R33" s="11" t="n">
        <v>-0.2799</v>
      </c>
      <c r="V33" s="11" t="n">
        <v>0</v>
      </c>
      <c r="W33" s="11" t="n">
        <v>0.0031</v>
      </c>
      <c r="X33" s="11" t="n">
        <v>0</v>
      </c>
      <c r="Z33" s="11" t="n">
        <v>0</v>
      </c>
      <c r="AA33" s="11" t="n">
        <v>-0.025</v>
      </c>
      <c r="AB33" s="11" t="n">
        <v>-0.2799</v>
      </c>
      <c r="AC33" s="11" t="n">
        <v>0</v>
      </c>
    </row>
    <row r="34">
      <c r="A34" s="10" t="inlineStr">
        <is>
          <t>상여충당금 증감</t>
        </is>
      </c>
      <c r="L34" s="11" t="n">
        <v>0</v>
      </c>
      <c r="N34" s="11" t="n">
        <v>0</v>
      </c>
      <c r="P34" s="11" t="n">
        <v>0.2214</v>
      </c>
      <c r="R34" s="11" t="n">
        <v>0.08309999999999999</v>
      </c>
      <c r="T34" s="11" t="n">
        <v>0.0189</v>
      </c>
      <c r="V34" s="11" t="n">
        <v>0.0064</v>
      </c>
      <c r="AA34" s="11" t="n">
        <v>0</v>
      </c>
      <c r="AB34" s="11" t="n">
        <v>0.08309999999999999</v>
      </c>
      <c r="AC34" s="11" t="n">
        <v>0.0064</v>
      </c>
    </row>
    <row r="35">
      <c r="A35" s="10" t="inlineStr">
        <is>
          <t>계약손실 충당금 증감</t>
        </is>
      </c>
      <c r="N35" s="11" t="n">
        <v>0</v>
      </c>
      <c r="R35" s="11" t="n">
        <v>2.984</v>
      </c>
      <c r="V35" s="11" t="n">
        <v>-0.62</v>
      </c>
      <c r="AA35" s="11" t="n">
        <v>0</v>
      </c>
      <c r="AB35" s="11" t="n">
        <v>2.984</v>
      </c>
      <c r="AC35" s="11" t="n">
        <v>-0.62</v>
      </c>
    </row>
    <row r="36">
      <c r="A36" s="10" t="inlineStr">
        <is>
          <t>투자유가증권 평가손익</t>
        </is>
      </c>
      <c r="J36" s="11" t="n">
        <v>0</v>
      </c>
      <c r="N36" s="11" t="n">
        <v>0.0066</v>
      </c>
      <c r="R36" s="11" t="n">
        <v>0</v>
      </c>
      <c r="Z36" s="11" t="n">
        <v>0</v>
      </c>
      <c r="AA36" s="11" t="n">
        <v>0.0066</v>
      </c>
      <c r="AB36" s="11" t="n">
        <v>0</v>
      </c>
    </row>
    <row r="37">
      <c r="A37" s="10" t="inlineStr">
        <is>
          <t>미지급금 증감</t>
        </is>
      </c>
      <c r="D37" s="11" t="n">
        <v>-0.017</v>
      </c>
      <c r="F37" s="11" t="n">
        <v>0.1217</v>
      </c>
      <c r="H37" s="11" t="n">
        <v>-0.5084</v>
      </c>
      <c r="J37" s="11" t="n">
        <v>-0.3452</v>
      </c>
      <c r="L37" s="11" t="n">
        <v>0.2206</v>
      </c>
      <c r="N37" s="11" t="n">
        <v>1.0571</v>
      </c>
      <c r="P37" s="11" t="n">
        <v>-0.8965</v>
      </c>
      <c r="R37" s="11" t="n">
        <v>-0.3314</v>
      </c>
      <c r="T37" s="11" t="n">
        <v>0.1917</v>
      </c>
      <c r="V37" s="11" t="n">
        <v>0.1991</v>
      </c>
      <c r="W37" s="11" t="n">
        <v>-0.1303</v>
      </c>
      <c r="X37" s="11" t="n">
        <v>0.0762</v>
      </c>
      <c r="Y37" s="11" t="n">
        <v>0.1217</v>
      </c>
      <c r="Z37" s="11" t="n">
        <v>-0.3452</v>
      </c>
      <c r="AA37" s="11" t="n">
        <v>1.0571</v>
      </c>
      <c r="AB37" s="11" t="n">
        <v>-0.3314</v>
      </c>
      <c r="AC37" s="11" t="n">
        <v>0.1991</v>
      </c>
    </row>
    <row r="38">
      <c r="A38" s="10" t="inlineStr">
        <is>
          <t>미지급비용 증감</t>
        </is>
      </c>
      <c r="F38" s="11" t="n">
        <v>-0.0354</v>
      </c>
      <c r="H38" s="11" t="n">
        <v>0.002</v>
      </c>
      <c r="J38" s="11" t="n">
        <v>0.556</v>
      </c>
      <c r="L38" s="11" t="n">
        <v>-0.5851</v>
      </c>
      <c r="N38" s="11" t="n">
        <v>-0.2283</v>
      </c>
      <c r="P38" s="11" t="n">
        <v>-0.2232</v>
      </c>
      <c r="R38" s="11" t="n">
        <v>0.184</v>
      </c>
      <c r="T38" s="11" t="n">
        <v>-0.3221</v>
      </c>
      <c r="V38" s="11" t="n">
        <v>0.2756</v>
      </c>
      <c r="Y38" s="11" t="n">
        <v>-0.0354</v>
      </c>
      <c r="Z38" s="11" t="n">
        <v>0.556</v>
      </c>
      <c r="AA38" s="11" t="n">
        <v>-0.2283</v>
      </c>
      <c r="AB38" s="11" t="n">
        <v>0.184</v>
      </c>
      <c r="AC38" s="11" t="n">
        <v>0.2756</v>
      </c>
    </row>
    <row r="39">
      <c r="A39" s="10" t="inlineStr">
        <is>
          <t>미지급 소비세 증감</t>
        </is>
      </c>
      <c r="D39" s="11" t="n">
        <v>-0.2508</v>
      </c>
      <c r="F39" s="11" t="n">
        <v>-0.2548</v>
      </c>
      <c r="H39" s="11" t="n">
        <v>0.6818</v>
      </c>
      <c r="J39" s="11" t="n">
        <v>0.5225</v>
      </c>
      <c r="L39" s="11" t="n">
        <v>-0.2109</v>
      </c>
      <c r="N39" s="11" t="n">
        <v>0.0273</v>
      </c>
      <c r="P39" s="11" t="n">
        <v>-0.0572</v>
      </c>
      <c r="R39" s="11" t="n">
        <v>0.2173</v>
      </c>
      <c r="T39" s="11" t="n">
        <v>-0.5175999999999999</v>
      </c>
      <c r="V39" s="11" t="n">
        <v>-0.1401</v>
      </c>
      <c r="W39" s="11" t="n">
        <v>0.2047</v>
      </c>
      <c r="X39" s="11" t="n">
        <v>-0.078</v>
      </c>
      <c r="Y39" s="11" t="n">
        <v>-0.2548</v>
      </c>
      <c r="Z39" s="11" t="n">
        <v>0.5225</v>
      </c>
      <c r="AA39" s="11" t="n">
        <v>0.0273</v>
      </c>
      <c r="AB39" s="11" t="n">
        <v>0.2173</v>
      </c>
      <c r="AC39" s="11" t="n">
        <v>-0.1401</v>
      </c>
    </row>
    <row r="40">
      <c r="A40" s="10" t="inlineStr">
        <is>
          <t>파산갱생채권 증감</t>
        </is>
      </c>
      <c r="D40" s="11" t="n">
        <v>0</v>
      </c>
      <c r="W40" s="11" t="n">
        <v>-0.0012</v>
      </c>
      <c r="X40" s="11" t="n">
        <v>-0.004</v>
      </c>
    </row>
    <row r="41">
      <c r="A41" s="10" t="inlineStr">
        <is>
          <t>선수금 증감</t>
        </is>
      </c>
      <c r="D41" s="11" t="n">
        <v>-0.1219</v>
      </c>
      <c r="F41" s="11" t="n">
        <v>0.0478</v>
      </c>
      <c r="H41" s="11" t="n">
        <v>-0.1481</v>
      </c>
      <c r="J41" s="11" t="n">
        <v>0.3645</v>
      </c>
      <c r="L41" s="11" t="n">
        <v>-0.3143</v>
      </c>
      <c r="N41" s="11" t="n">
        <v>0.6978</v>
      </c>
      <c r="P41" s="11" t="n">
        <v>-0.4275</v>
      </c>
      <c r="R41" s="11" t="n">
        <v>-0.9486</v>
      </c>
      <c r="T41" s="11" t="n">
        <v>-0.0337</v>
      </c>
      <c r="V41" s="11" t="n">
        <v>0.3598</v>
      </c>
      <c r="W41" s="11" t="n">
        <v>0.07000000000000001</v>
      </c>
      <c r="X41" s="11" t="n">
        <v>-0.1288</v>
      </c>
      <c r="Y41" s="11" t="n">
        <v>0.0478</v>
      </c>
      <c r="Z41" s="11" t="n">
        <v>0.3645</v>
      </c>
      <c r="AA41" s="11" t="n">
        <v>0.6978</v>
      </c>
      <c r="AB41" s="11" t="n">
        <v>-0.9486</v>
      </c>
      <c r="AC41" s="11" t="n">
        <v>0.3598</v>
      </c>
    </row>
    <row r="42">
      <c r="A42" s="10" t="inlineStr">
        <is>
          <t>예수금 증감</t>
        </is>
      </c>
      <c r="H42" s="11" t="n">
        <v>0.0111</v>
      </c>
      <c r="J42" s="11" t="n">
        <v>-0.0529</v>
      </c>
      <c r="L42" s="11" t="n">
        <v>0.7163</v>
      </c>
      <c r="N42" s="11" t="n">
        <v>6.2867</v>
      </c>
      <c r="P42" s="11" t="n">
        <v>-2.826</v>
      </c>
      <c r="R42" s="11" t="n">
        <v>4.9406</v>
      </c>
      <c r="T42" s="11" t="n">
        <v>-5.7965</v>
      </c>
      <c r="V42" s="11" t="n">
        <v>-3.9082</v>
      </c>
      <c r="Z42" s="11" t="n">
        <v>-0.0529</v>
      </c>
      <c r="AA42" s="11" t="n">
        <v>6.2867</v>
      </c>
      <c r="AB42" s="11" t="n">
        <v>4.9406</v>
      </c>
      <c r="AC42" s="11" t="n">
        <v>-3.9082</v>
      </c>
    </row>
    <row r="43">
      <c r="A43" s="10" t="inlineStr">
        <is>
          <t>계약손실 충당금 증감</t>
        </is>
      </c>
      <c r="P43" s="11" t="n">
        <v>0</v>
      </c>
      <c r="T43" s="11" t="n">
        <v>-0.26</v>
      </c>
    </row>
    <row r="44">
      <c r="A44" s="10" t="inlineStr">
        <is>
          <t>기타</t>
        </is>
      </c>
      <c r="D44" s="11" t="n">
        <v>-0.2448</v>
      </c>
      <c r="F44" s="11" t="n">
        <v>-0.0618</v>
      </c>
      <c r="H44" s="11" t="n">
        <v>-0.0282</v>
      </c>
      <c r="J44" s="11" t="n">
        <v>0.0025</v>
      </c>
      <c r="L44" s="11" t="n">
        <v>-0.0198</v>
      </c>
      <c r="N44" s="11" t="n">
        <v>0.0091</v>
      </c>
      <c r="P44" s="11" t="n">
        <v>0.0924</v>
      </c>
      <c r="R44" s="11" t="n">
        <v>-1.1519</v>
      </c>
      <c r="T44" s="11" t="n">
        <v>-0.3618</v>
      </c>
      <c r="V44" s="11" t="n">
        <v>0.0151</v>
      </c>
      <c r="W44" s="11" t="n">
        <v>2.787</v>
      </c>
      <c r="X44" s="11" t="n">
        <v>-2.9976</v>
      </c>
      <c r="Y44" s="11" t="n">
        <v>-0.0618</v>
      </c>
      <c r="Z44" s="11" t="n">
        <v>0.0025</v>
      </c>
      <c r="AA44" s="11" t="n">
        <v>0.0091</v>
      </c>
      <c r="AB44" s="11" t="n">
        <v>-1.1519</v>
      </c>
      <c r="AC44" s="11" t="n">
        <v>0.0151</v>
      </c>
    </row>
    <row r="45">
      <c r="A45" s="10" t="inlineStr">
        <is>
          <t>소계</t>
        </is>
      </c>
      <c r="D45" s="11" t="n">
        <v>-1.0699</v>
      </c>
      <c r="F45" s="11" t="n">
        <v>-1.6855</v>
      </c>
      <c r="H45" s="11" t="n">
        <v>3.3737</v>
      </c>
      <c r="J45" s="11" t="n">
        <v>6.2273</v>
      </c>
      <c r="L45" s="11" t="n">
        <v>3.2353</v>
      </c>
      <c r="N45" s="11" t="n">
        <v>13.1278</v>
      </c>
      <c r="P45" s="11" t="n">
        <v>2.872</v>
      </c>
      <c r="R45" s="11" t="n">
        <v>17.6092</v>
      </c>
      <c r="T45" s="11" t="n">
        <v>-2.5018</v>
      </c>
      <c r="V45" s="11" t="n">
        <v>7.1644</v>
      </c>
      <c r="W45" s="11" t="n">
        <v>4.3703</v>
      </c>
      <c r="X45" s="11" t="n">
        <v>0.5636</v>
      </c>
      <c r="Y45" s="11" t="n">
        <v>-1.6855</v>
      </c>
      <c r="Z45" s="11" t="n">
        <v>6.2273</v>
      </c>
      <c r="AA45" s="11" t="n">
        <v>13.1278</v>
      </c>
      <c r="AB45" s="11" t="n">
        <v>17.6092</v>
      </c>
      <c r="AC45" s="11" t="n">
        <v>7.1644</v>
      </c>
    </row>
    <row r="46">
      <c r="A46" s="10" t="inlineStr">
        <is>
          <t>이자 수취</t>
        </is>
      </c>
      <c r="D46" s="11" t="n">
        <v>0</v>
      </c>
      <c r="W46" s="11" t="n">
        <v>0.0007</v>
      </c>
      <c r="X46" s="11" t="n">
        <v>0.0002</v>
      </c>
    </row>
    <row r="47">
      <c r="A47" s="10" t="inlineStr">
        <is>
          <t>이자·배당금 수취</t>
        </is>
      </c>
      <c r="F47" s="11" t="n">
        <v>0</v>
      </c>
      <c r="H47" s="11" t="n">
        <v>0.0047</v>
      </c>
      <c r="J47" s="11" t="n">
        <v>0.0097</v>
      </c>
      <c r="L47" s="11" t="n">
        <v>0.0047</v>
      </c>
      <c r="N47" s="11" t="n">
        <v>0.0279</v>
      </c>
      <c r="P47" s="11" t="n">
        <v>0.0318</v>
      </c>
      <c r="R47" s="11" t="n">
        <v>0.0785</v>
      </c>
      <c r="T47" s="11" t="n">
        <v>0.0519</v>
      </c>
      <c r="V47" s="11" t="n">
        <v>0.1222</v>
      </c>
      <c r="Y47" s="11" t="n">
        <v>0</v>
      </c>
      <c r="Z47" s="11" t="n">
        <v>0.0097</v>
      </c>
      <c r="AA47" s="11" t="n">
        <v>0.0279</v>
      </c>
      <c r="AB47" s="11" t="n">
        <v>0.0785</v>
      </c>
      <c r="AC47" s="11" t="n">
        <v>0.1222</v>
      </c>
    </row>
    <row r="48">
      <c r="A48" s="10" t="inlineStr">
        <is>
          <t>이자 지급</t>
        </is>
      </c>
      <c r="D48" s="11" t="n">
        <v>-0.1004</v>
      </c>
      <c r="F48" s="11" t="n">
        <v>-0.192</v>
      </c>
      <c r="H48" s="11" t="n">
        <v>-0.113</v>
      </c>
      <c r="J48" s="11" t="n">
        <v>-0.24</v>
      </c>
      <c r="L48" s="11" t="n">
        <v>-0.1019</v>
      </c>
      <c r="N48" s="11" t="n">
        <v>-0.2278</v>
      </c>
      <c r="P48" s="11" t="n">
        <v>-0.1386</v>
      </c>
      <c r="R48" s="11" t="n">
        <v>-0.298</v>
      </c>
      <c r="T48" s="11" t="n">
        <v>-0.1599</v>
      </c>
      <c r="V48" s="11" t="n">
        <v>-0.3324</v>
      </c>
      <c r="W48" s="11" t="n">
        <v>-0.0077</v>
      </c>
      <c r="X48" s="11" t="n">
        <v>-0.0131</v>
      </c>
      <c r="Y48" s="11" t="n">
        <v>-0.192</v>
      </c>
      <c r="Z48" s="11" t="n">
        <v>-0.24</v>
      </c>
      <c r="AA48" s="11" t="n">
        <v>-0.2278</v>
      </c>
      <c r="AB48" s="11" t="n">
        <v>-0.298</v>
      </c>
      <c r="AC48" s="11" t="n">
        <v>-0.3324</v>
      </c>
    </row>
    <row r="49">
      <c r="A49" s="10" t="inlineStr">
        <is>
          <t>단기매매차익 수취</t>
        </is>
      </c>
      <c r="H49" s="11" t="n">
        <v>0.1416</v>
      </c>
      <c r="L49" s="11" t="n">
        <v>0</v>
      </c>
    </row>
    <row r="50">
      <c r="A50" s="10" t="inlineStr">
        <is>
          <t>법인세 납부·환급</t>
        </is>
      </c>
      <c r="H50" s="11" t="n">
        <v>-0.0239</v>
      </c>
      <c r="L50" s="11" t="n">
        <v>-0.163</v>
      </c>
    </row>
    <row r="51">
      <c r="A51" s="10" t="inlineStr">
        <is>
          <t>단기매매차익 수취</t>
        </is>
      </c>
      <c r="F51" s="11" t="n">
        <v>0</v>
      </c>
      <c r="J51" s="11" t="n">
        <v>0.1416</v>
      </c>
      <c r="N51" s="11" t="n">
        <v>0</v>
      </c>
      <c r="Y51" s="11" t="n">
        <v>0</v>
      </c>
      <c r="Z51" s="11" t="n">
        <v>0.1416</v>
      </c>
      <c r="AA51" s="11" t="n">
        <v>0</v>
      </c>
    </row>
    <row r="52">
      <c r="A52" s="10" t="inlineStr">
        <is>
          <t>법인세 납부</t>
        </is>
      </c>
      <c r="D52" s="11" t="n">
        <v>-0.2933</v>
      </c>
      <c r="F52" s="11" t="n">
        <v>-0.3048</v>
      </c>
      <c r="J52" s="11" t="n">
        <v>-0.5199</v>
      </c>
      <c r="L52" s="11" t="n">
        <v>-0.163</v>
      </c>
      <c r="N52" s="11" t="n">
        <v>-1.2878</v>
      </c>
      <c r="P52" s="11" t="n">
        <v>-1.9274</v>
      </c>
      <c r="R52" s="11" t="n">
        <v>-3.3033</v>
      </c>
      <c r="T52" s="11" t="n">
        <v>-2.6304</v>
      </c>
      <c r="V52" s="11" t="n">
        <v>-4.6755</v>
      </c>
      <c r="W52" s="11" t="n">
        <v>-0.1957</v>
      </c>
      <c r="X52" s="11" t="n">
        <v>-0.1493</v>
      </c>
      <c r="Y52" s="11" t="n">
        <v>-0.3048</v>
      </c>
      <c r="Z52" s="11" t="n">
        <v>-0.5199</v>
      </c>
      <c r="AA52" s="11" t="n">
        <v>-1.2878</v>
      </c>
      <c r="AB52" s="11" t="n">
        <v>-3.3033</v>
      </c>
      <c r="AC52" s="11" t="n">
        <v>-4.6755</v>
      </c>
    </row>
    <row r="53">
      <c r="A53" s="10" t="inlineStr">
        <is>
          <t>보조금 수취</t>
        </is>
      </c>
      <c r="D53" s="11" t="n">
        <v>0.0005</v>
      </c>
      <c r="W53" s="11" t="n">
        <v>0</v>
      </c>
      <c r="X53" s="11" t="n">
        <v>0.0644</v>
      </c>
    </row>
    <row r="54">
      <c r="A54" s="10" t="inlineStr">
        <is>
          <t>영업활동 현금흐름</t>
        </is>
      </c>
      <c r="D54" s="11" t="n">
        <v>-1.4631</v>
      </c>
      <c r="F54" s="11" t="n">
        <v>-2.1822</v>
      </c>
      <c r="H54" s="11" t="n">
        <v>3.3831</v>
      </c>
      <c r="J54" s="11" t="n">
        <v>5.6186</v>
      </c>
      <c r="L54" s="11" t="n">
        <v>2.9752</v>
      </c>
      <c r="N54" s="11" t="n">
        <v>11.6401</v>
      </c>
      <c r="P54" s="11" t="n">
        <v>0.8379</v>
      </c>
      <c r="R54" s="11" t="n">
        <v>14.0864</v>
      </c>
      <c r="T54" s="11" t="n">
        <v>-5.2401</v>
      </c>
      <c r="V54" s="11" t="n">
        <v>2.2787</v>
      </c>
      <c r="W54" s="11" t="n">
        <v>4.1677</v>
      </c>
      <c r="X54" s="11" t="n">
        <v>0.4659</v>
      </c>
      <c r="Y54" s="11" t="n">
        <v>-2.1822</v>
      </c>
      <c r="Z54" s="11" t="n">
        <v>5.6186</v>
      </c>
      <c r="AA54" s="11" t="n">
        <v>11.6401</v>
      </c>
      <c r="AB54" s="11" t="n">
        <v>14.0864</v>
      </c>
      <c r="AC54" s="11" t="n">
        <v>2.2787</v>
      </c>
    </row>
    <row r="55">
      <c r="A55" s="10" t="inlineStr">
        <is>
          <t>유형자산 취득(설비투자)</t>
        </is>
      </c>
      <c r="D55" s="11" t="n">
        <v>-0.0726</v>
      </c>
      <c r="F55" s="11" t="n">
        <v>-0.08740000000000001</v>
      </c>
      <c r="H55" s="11" t="n">
        <v>-0.1937</v>
      </c>
      <c r="J55" s="11" t="n">
        <v>-0.1986</v>
      </c>
      <c r="L55" s="11" t="n">
        <v>-0.013</v>
      </c>
      <c r="N55" s="11" t="n">
        <v>-0.0784</v>
      </c>
      <c r="P55" s="11" t="n">
        <v>-0.062</v>
      </c>
      <c r="R55" s="11" t="n">
        <v>-0.2218</v>
      </c>
      <c r="T55" s="11" t="n">
        <v>-0.1169</v>
      </c>
      <c r="V55" s="11" t="n">
        <v>-0.3256</v>
      </c>
      <c r="W55" s="11" t="n">
        <v>-0.0411</v>
      </c>
      <c r="X55" s="11" t="n">
        <v>-0.09030000000000001</v>
      </c>
      <c r="Y55" s="11" t="n">
        <v>-0.08740000000000001</v>
      </c>
      <c r="Z55" s="11" t="n">
        <v>-0.1986</v>
      </c>
      <c r="AA55" s="11" t="n">
        <v>-0.0784</v>
      </c>
      <c r="AB55" s="11" t="n">
        <v>-0.2218</v>
      </c>
      <c r="AC55" s="11" t="n">
        <v>-0.3256</v>
      </c>
    </row>
    <row r="56">
      <c r="A56" s="10" t="inlineStr">
        <is>
          <t>투자유가증권 취득</t>
        </is>
      </c>
      <c r="N56" s="11" t="n">
        <v>0</v>
      </c>
      <c r="R56" s="11" t="n">
        <v>-0.03</v>
      </c>
      <c r="V56" s="11" t="n">
        <v>0</v>
      </c>
      <c r="AA56" s="11" t="n">
        <v>0</v>
      </c>
      <c r="AB56" s="11" t="n">
        <v>-0.03</v>
      </c>
      <c r="AC56" s="11" t="n">
        <v>0</v>
      </c>
    </row>
    <row r="57">
      <c r="A57" s="10" t="inlineStr">
        <is>
          <t>투자유가증권 매각</t>
        </is>
      </c>
      <c r="J57" s="11" t="n">
        <v>0</v>
      </c>
      <c r="N57" s="11" t="n">
        <v>1.5801</v>
      </c>
      <c r="R57" s="11" t="n">
        <v>0.2968</v>
      </c>
      <c r="V57" s="11" t="n">
        <v>0</v>
      </c>
      <c r="W57" s="11" t="n">
        <v>0.0162</v>
      </c>
      <c r="X57" s="11" t="n">
        <v>0</v>
      </c>
      <c r="Z57" s="11" t="n">
        <v>0</v>
      </c>
      <c r="AA57" s="11" t="n">
        <v>1.5801</v>
      </c>
      <c r="AB57" s="11" t="n">
        <v>0.2968</v>
      </c>
      <c r="AC57" s="11" t="n">
        <v>0</v>
      </c>
    </row>
    <row r="58">
      <c r="A58" s="10" t="inlineStr">
        <is>
          <t>관계회사 주식 취득</t>
        </is>
      </c>
      <c r="W58" s="11" t="n">
        <v>0</v>
      </c>
      <c r="X58" s="11" t="n">
        <v>-23.3316</v>
      </c>
    </row>
    <row r="59">
      <c r="A59" s="10" t="inlineStr">
        <is>
          <t>무형자산 취득</t>
        </is>
      </c>
      <c r="D59" s="11" t="n">
        <v>-1.3556</v>
      </c>
      <c r="F59" s="11" t="n">
        <v>-1.806</v>
      </c>
      <c r="H59" s="11" t="n">
        <v>-0.4681</v>
      </c>
      <c r="J59" s="11" t="n">
        <v>-1.1107</v>
      </c>
      <c r="L59" s="11" t="n">
        <v>-0.8532</v>
      </c>
      <c r="N59" s="11" t="n">
        <v>-1.6624</v>
      </c>
      <c r="P59" s="11" t="n">
        <v>-1.1595</v>
      </c>
      <c r="R59" s="11" t="n">
        <v>-2.7117</v>
      </c>
      <c r="T59" s="11" t="n">
        <v>-1.0475</v>
      </c>
      <c r="V59" s="11" t="n">
        <v>-2.7456</v>
      </c>
      <c r="W59" s="11" t="n">
        <v>-0.4435</v>
      </c>
      <c r="X59" s="11" t="n">
        <v>-1.702</v>
      </c>
      <c r="Y59" s="11" t="n">
        <v>-1.806</v>
      </c>
      <c r="Z59" s="11" t="n">
        <v>-1.1107</v>
      </c>
      <c r="AA59" s="11" t="n">
        <v>-1.6624</v>
      </c>
      <c r="AB59" s="11" t="n">
        <v>-2.7117</v>
      </c>
      <c r="AC59" s="11" t="n">
        <v>-2.7456</v>
      </c>
    </row>
    <row r="60">
      <c r="A60" s="10" t="inlineStr">
        <is>
          <t>대여금 회수</t>
        </is>
      </c>
      <c r="D60" s="11" t="n">
        <v>0</v>
      </c>
      <c r="W60" s="11" t="n">
        <v>0.06</v>
      </c>
      <c r="X60" s="11" t="n">
        <v>0.034</v>
      </c>
    </row>
    <row r="61">
      <c r="A61" s="10" t="inlineStr">
        <is>
          <t>기타 지출</t>
        </is>
      </c>
      <c r="D61" s="11" t="n">
        <v>-0.0098</v>
      </c>
      <c r="W61" s="11" t="n">
        <v>-0.0196</v>
      </c>
      <c r="X61" s="11" t="n">
        <v>-0.0192</v>
      </c>
    </row>
    <row r="62">
      <c r="A62" s="10" t="inlineStr">
        <is>
          <t>고정자산 매각</t>
        </is>
      </c>
      <c r="N62" s="11" t="n">
        <v>0</v>
      </c>
      <c r="R62" s="11" t="n">
        <v>0.03</v>
      </c>
      <c r="V62" s="11" t="n">
        <v>0</v>
      </c>
      <c r="AA62" s="11" t="n">
        <v>0</v>
      </c>
      <c r="AB62" s="11" t="n">
        <v>0.03</v>
      </c>
      <c r="AC62" s="11" t="n">
        <v>0</v>
      </c>
    </row>
    <row r="63">
      <c r="A63" s="10" t="inlineStr">
        <is>
          <t>임차보증금·보증금 납입</t>
        </is>
      </c>
      <c r="F63" s="11" t="n">
        <v>-0.0282</v>
      </c>
      <c r="H63" s="11" t="n">
        <v>-0.0978</v>
      </c>
      <c r="J63" s="11" t="n">
        <v>-0.1114</v>
      </c>
      <c r="L63" s="11" t="n">
        <v>0</v>
      </c>
      <c r="N63" s="11" t="n">
        <v>-0.0067</v>
      </c>
      <c r="P63" s="11" t="n">
        <v>-0.1811</v>
      </c>
      <c r="R63" s="11" t="n">
        <v>-0.2461</v>
      </c>
      <c r="T63" s="11" t="n">
        <v>-0.008500000000000001</v>
      </c>
      <c r="V63" s="11" t="n">
        <v>-1.4578</v>
      </c>
      <c r="Y63" s="11" t="n">
        <v>-0.0282</v>
      </c>
      <c r="Z63" s="11" t="n">
        <v>-0.1114</v>
      </c>
      <c r="AA63" s="11" t="n">
        <v>-0.0067</v>
      </c>
      <c r="AB63" s="11" t="n">
        <v>-0.2461</v>
      </c>
      <c r="AC63" s="11" t="n">
        <v>-1.4578</v>
      </c>
    </row>
    <row r="64">
      <c r="A64" s="10" t="inlineStr">
        <is>
          <t>임차보증금·보증금 회수</t>
        </is>
      </c>
      <c r="F64" s="11" t="n">
        <v>0</v>
      </c>
      <c r="H64" s="11" t="n">
        <v>0.0016</v>
      </c>
      <c r="J64" s="11" t="n">
        <v>0.4765</v>
      </c>
      <c r="L64" s="11" t="n">
        <v>0</v>
      </c>
      <c r="N64" s="11" t="n">
        <v>0</v>
      </c>
      <c r="P64" s="11" t="n">
        <v>0</v>
      </c>
      <c r="R64" s="11" t="n">
        <v>0.0373</v>
      </c>
      <c r="T64" s="11" t="n">
        <v>0.0078</v>
      </c>
      <c r="V64" s="11" t="n">
        <v>0.0089</v>
      </c>
      <c r="Y64" s="11" t="n">
        <v>0</v>
      </c>
      <c r="Z64" s="11" t="n">
        <v>0.4765</v>
      </c>
      <c r="AA64" s="11" t="n">
        <v>0</v>
      </c>
      <c r="AB64" s="11" t="n">
        <v>0.0373</v>
      </c>
      <c r="AC64" s="11" t="n">
        <v>0.0089</v>
      </c>
    </row>
    <row r="65">
      <c r="A65" s="10" t="inlineStr">
        <is>
          <t>관계회사 주식 매각</t>
        </is>
      </c>
      <c r="F65" s="11" t="n">
        <v>0</v>
      </c>
      <c r="J65" s="11" t="n">
        <v>0.049</v>
      </c>
      <c r="N65" s="11" t="n">
        <v>0</v>
      </c>
      <c r="Y65" s="11" t="n">
        <v>0</v>
      </c>
      <c r="Z65" s="11" t="n">
        <v>0.049</v>
      </c>
      <c r="AA65" s="11" t="n">
        <v>0</v>
      </c>
    </row>
    <row r="66">
      <c r="A66" s="10" t="inlineStr">
        <is>
          <t>기타</t>
        </is>
      </c>
      <c r="F66" s="11" t="n">
        <v>-0.0192</v>
      </c>
      <c r="H66" s="11" t="n">
        <v>-0.0094</v>
      </c>
      <c r="J66" s="11" t="n">
        <v>0.0188</v>
      </c>
      <c r="L66" s="11" t="n">
        <v>-0.0304</v>
      </c>
      <c r="N66" s="11" t="n">
        <v>-0.0303</v>
      </c>
      <c r="P66" s="11" t="n">
        <v>0.1182</v>
      </c>
      <c r="R66" s="11" t="n">
        <v>0.1175</v>
      </c>
      <c r="T66" s="11" t="n">
        <v>0</v>
      </c>
      <c r="Y66" s="11" t="n">
        <v>-0.0192</v>
      </c>
      <c r="Z66" s="11" t="n">
        <v>0.0188</v>
      </c>
      <c r="AA66" s="11" t="n">
        <v>-0.0303</v>
      </c>
      <c r="AB66" s="11" t="n">
        <v>0.1175</v>
      </c>
    </row>
    <row r="67">
      <c r="A67" s="10" t="inlineStr">
        <is>
          <t>기타 수입</t>
        </is>
      </c>
      <c r="R67" s="11" t="n">
        <v>0.1175</v>
      </c>
      <c r="V67" s="11" t="n">
        <v>0</v>
      </c>
      <c r="W67" s="11" t="n">
        <v>0</v>
      </c>
      <c r="X67" s="11" t="n">
        <v>0.0023</v>
      </c>
      <c r="AB67" s="11" t="n">
        <v>0.1175</v>
      </c>
      <c r="AC67" s="11" t="n">
        <v>0</v>
      </c>
    </row>
    <row r="68">
      <c r="A68" s="10" t="inlineStr">
        <is>
          <t>투자활동 현금흐름</t>
        </is>
      </c>
      <c r="D68" s="11" t="n">
        <v>-1.438</v>
      </c>
      <c r="F68" s="11" t="n">
        <v>-1.9409</v>
      </c>
      <c r="H68" s="11" t="n">
        <v>-0.7675</v>
      </c>
      <c r="J68" s="11" t="n">
        <v>-0.8764</v>
      </c>
      <c r="L68" s="11" t="n">
        <v>-0.8966</v>
      </c>
      <c r="N68" s="11" t="n">
        <v>-0.1977</v>
      </c>
      <c r="P68" s="11" t="n">
        <v>-1.2844</v>
      </c>
      <c r="R68" s="11" t="n">
        <v>-2.728</v>
      </c>
      <c r="T68" s="11" t="n">
        <v>-1.1651</v>
      </c>
      <c r="V68" s="11" t="n">
        <v>-4.5202</v>
      </c>
      <c r="W68" s="11" t="n">
        <v>-0.4281</v>
      </c>
      <c r="X68" s="11" t="n">
        <v>-25.1069</v>
      </c>
      <c r="Y68" s="11" t="n">
        <v>-1.9409</v>
      </c>
      <c r="Z68" s="11" t="n">
        <v>-0.8764</v>
      </c>
      <c r="AA68" s="11" t="n">
        <v>-0.1977</v>
      </c>
      <c r="AB68" s="11" t="n">
        <v>-2.728</v>
      </c>
      <c r="AC68" s="11" t="n">
        <v>-4.5202</v>
      </c>
    </row>
    <row r="69">
      <c r="A69" s="10" t="inlineStr">
        <is>
          <t>단기차입금 순증감</t>
        </is>
      </c>
      <c r="F69" s="11" t="n">
        <v>-0.5</v>
      </c>
      <c r="H69" s="11" t="n">
        <v>0</v>
      </c>
      <c r="J69" s="11" t="n">
        <v>-0.5</v>
      </c>
      <c r="L69" s="11" t="n">
        <v>3.4166</v>
      </c>
      <c r="N69" s="11" t="n">
        <v>3.1664</v>
      </c>
      <c r="P69" s="11" t="n">
        <v>2.3336</v>
      </c>
      <c r="R69" s="11" t="n">
        <v>3.5836</v>
      </c>
      <c r="T69" s="11" t="n">
        <v>-0.75</v>
      </c>
      <c r="V69" s="11" t="n">
        <v>-1.25</v>
      </c>
      <c r="W69" s="11" t="n">
        <v>1</v>
      </c>
      <c r="X69" s="11" t="n">
        <v>0</v>
      </c>
      <c r="Y69" s="11" t="n">
        <v>-0.5</v>
      </c>
      <c r="Z69" s="11" t="n">
        <v>-0.5</v>
      </c>
      <c r="AA69" s="11" t="n">
        <v>3.1664</v>
      </c>
      <c r="AB69" s="11" t="n">
        <v>3.5836</v>
      </c>
      <c r="AC69" s="11" t="n">
        <v>-1.25</v>
      </c>
    </row>
    <row r="70">
      <c r="A70" s="10" t="inlineStr">
        <is>
          <t>장기차입</t>
        </is>
      </c>
      <c r="F70" s="11" t="n">
        <v>0</v>
      </c>
      <c r="J70" s="11" t="n">
        <v>9.8432</v>
      </c>
      <c r="N70" s="11" t="n">
        <v>1</v>
      </c>
      <c r="P70" s="11" t="n">
        <v>0</v>
      </c>
      <c r="R70" s="11" t="n">
        <v>0</v>
      </c>
      <c r="T70" s="11" t="n">
        <v>3</v>
      </c>
      <c r="V70" s="11" t="n">
        <v>4.5</v>
      </c>
      <c r="W70" s="11" t="n">
        <v>0</v>
      </c>
      <c r="X70" s="11" t="n">
        <v>16.83</v>
      </c>
      <c r="Y70" s="11" t="n">
        <v>0</v>
      </c>
      <c r="Z70" s="11" t="n">
        <v>9.8432</v>
      </c>
      <c r="AA70" s="11" t="n">
        <v>1</v>
      </c>
      <c r="AB70" s="11" t="n">
        <v>0</v>
      </c>
      <c r="AC70" s="11" t="n">
        <v>4.5</v>
      </c>
    </row>
    <row r="71">
      <c r="A71" s="10" t="inlineStr">
        <is>
          <t>장기차입금 상환</t>
        </is>
      </c>
      <c r="D71" s="11" t="n">
        <v>-1</v>
      </c>
      <c r="F71" s="11" t="n">
        <v>-2</v>
      </c>
      <c r="H71" s="11" t="n">
        <v>-1.5334</v>
      </c>
      <c r="J71" s="11" t="n">
        <v>-15.9334</v>
      </c>
      <c r="L71" s="11" t="n">
        <v>-1.4</v>
      </c>
      <c r="N71" s="11" t="n">
        <v>-2.8</v>
      </c>
      <c r="P71" s="11" t="n">
        <v>-2.0053</v>
      </c>
      <c r="R71" s="11" t="n">
        <v>-3.869</v>
      </c>
      <c r="T71" s="11" t="n">
        <v>-1.9803</v>
      </c>
      <c r="V71" s="11" t="n">
        <v>-3.8705</v>
      </c>
      <c r="W71" s="11" t="n">
        <v>-0.2575</v>
      </c>
      <c r="X71" s="11" t="n">
        <v>0</v>
      </c>
      <c r="Y71" s="11" t="n">
        <v>-2</v>
      </c>
      <c r="Z71" s="11" t="n">
        <v>-15.9334</v>
      </c>
      <c r="AA71" s="11" t="n">
        <v>-2.8</v>
      </c>
      <c r="AB71" s="11" t="n">
        <v>-3.869</v>
      </c>
      <c r="AC71" s="11" t="n">
        <v>-3.8705</v>
      </c>
    </row>
    <row r="72">
      <c r="A72" s="10" t="inlineStr">
        <is>
          <t>사채 발행</t>
        </is>
      </c>
      <c r="F72" s="11" t="n">
        <v>1</v>
      </c>
      <c r="J72" s="11" t="n">
        <v>0</v>
      </c>
      <c r="Y72" s="11" t="n">
        <v>1</v>
      </c>
      <c r="Z72" s="11" t="n">
        <v>0</v>
      </c>
    </row>
    <row r="73">
      <c r="A73" s="10" t="inlineStr">
        <is>
          <t>사채 상환</t>
        </is>
      </c>
      <c r="F73" s="11" t="n">
        <v>0</v>
      </c>
      <c r="H73" s="11" t="n">
        <v>-0.16</v>
      </c>
      <c r="J73" s="11" t="n">
        <v>-0.32</v>
      </c>
      <c r="L73" s="11" t="n">
        <v>-0.16</v>
      </c>
      <c r="N73" s="11" t="n">
        <v>-0.45</v>
      </c>
      <c r="P73" s="11" t="n">
        <v>-0.16</v>
      </c>
      <c r="R73" s="11" t="n">
        <v>-0.36</v>
      </c>
      <c r="T73" s="11" t="n">
        <v>0</v>
      </c>
      <c r="V73" s="11" t="n">
        <v>0</v>
      </c>
      <c r="Y73" s="11" t="n">
        <v>0</v>
      </c>
      <c r="Z73" s="11" t="n">
        <v>-0.32</v>
      </c>
      <c r="AA73" s="11" t="n">
        <v>-0.45</v>
      </c>
      <c r="AB73" s="11" t="n">
        <v>-0.36</v>
      </c>
      <c r="AC73" s="11" t="n">
        <v>0</v>
      </c>
    </row>
    <row r="74">
      <c r="A74" s="10" t="inlineStr">
        <is>
          <t>리스부채 상환</t>
        </is>
      </c>
      <c r="F74" s="11" t="n">
        <v>-0.0038</v>
      </c>
      <c r="H74" s="11" t="n">
        <v>-0.0181</v>
      </c>
      <c r="J74" s="11" t="n">
        <v>-0.0415</v>
      </c>
      <c r="L74" s="11" t="n">
        <v>-0.0234</v>
      </c>
      <c r="N74" s="11" t="n">
        <v>-0.0717</v>
      </c>
      <c r="P74" s="11" t="n">
        <v>-0.0269</v>
      </c>
      <c r="R74" s="11" t="n">
        <v>-0.047</v>
      </c>
      <c r="T74" s="11" t="n">
        <v>-0.0052</v>
      </c>
      <c r="V74" s="11" t="n">
        <v>-0.0052</v>
      </c>
      <c r="Y74" s="11" t="n">
        <v>-0.0038</v>
      </c>
      <c r="Z74" s="11" t="n">
        <v>-0.0415</v>
      </c>
      <c r="AA74" s="11" t="n">
        <v>-0.0717</v>
      </c>
      <c r="AB74" s="11" t="n">
        <v>-0.047</v>
      </c>
      <c r="AC74" s="11" t="n">
        <v>-0.0052</v>
      </c>
    </row>
    <row r="75">
      <c r="A75" s="10" t="inlineStr">
        <is>
          <t>주식 발행</t>
        </is>
      </c>
      <c r="D75" s="11" t="n">
        <v>0.3483</v>
      </c>
      <c r="F75" s="11" t="n">
        <v>0</v>
      </c>
      <c r="J75" s="11" t="n">
        <v>2.9999</v>
      </c>
      <c r="N75" s="11" t="n">
        <v>0</v>
      </c>
      <c r="W75" s="11" t="n">
        <v>0</v>
      </c>
      <c r="X75" s="11" t="n">
        <v>6.6033</v>
      </c>
      <c r="Y75" s="11" t="n">
        <v>0</v>
      </c>
      <c r="Z75" s="11" t="n">
        <v>2.9999</v>
      </c>
      <c r="AA75" s="11" t="n">
        <v>0</v>
      </c>
    </row>
    <row r="76">
      <c r="A76" s="10" t="inlineStr">
        <is>
          <t>상장 관련 비용 지출</t>
        </is>
      </c>
      <c r="W76" s="11" t="n">
        <v>0</v>
      </c>
      <c r="X76" s="11" t="n">
        <v>-0.1884</v>
      </c>
    </row>
    <row r="77">
      <c r="A77" s="10" t="inlineStr">
        <is>
          <t>기타</t>
        </is>
      </c>
      <c r="W77" s="11" t="n">
        <v>0</v>
      </c>
      <c r="X77" s="11" t="n">
        <v>-0.0005</v>
      </c>
    </row>
    <row r="78">
      <c r="A78" s="10" t="inlineStr">
        <is>
          <t>상장 관련 비용 지출</t>
        </is>
      </c>
      <c r="D78" s="11" t="n">
        <v>0</v>
      </c>
    </row>
    <row r="79">
      <c r="A79" s="10" t="inlineStr">
        <is>
          <t>신주예약권 발행</t>
        </is>
      </c>
      <c r="F79" s="11" t="n">
        <v>0</v>
      </c>
      <c r="J79" s="11" t="n">
        <v>0.0124</v>
      </c>
      <c r="N79" s="11" t="n">
        <v>0</v>
      </c>
      <c r="Y79" s="11" t="n">
        <v>0</v>
      </c>
      <c r="Z79" s="11" t="n">
        <v>0.0124</v>
      </c>
      <c r="AA79" s="11" t="n">
        <v>0</v>
      </c>
    </row>
    <row r="80">
      <c r="A80" s="10" t="inlineStr">
        <is>
          <t>자기주식 매각</t>
        </is>
      </c>
      <c r="N80" s="11" t="n">
        <v>0</v>
      </c>
      <c r="R80" s="11" t="n">
        <v>0.1965</v>
      </c>
      <c r="V80" s="11" t="n">
        <v>0</v>
      </c>
      <c r="AA80" s="11" t="n">
        <v>0</v>
      </c>
      <c r="AB80" s="11" t="n">
        <v>0.1965</v>
      </c>
      <c r="AC80" s="11" t="n">
        <v>0</v>
      </c>
    </row>
    <row r="81">
      <c r="A81" s="10" t="inlineStr">
        <is>
          <t>자기주식 취득</t>
        </is>
      </c>
      <c r="F81" s="11" t="n">
        <v>-0.0001</v>
      </c>
      <c r="H81" s="11" t="n">
        <v>-0.0008</v>
      </c>
      <c r="J81" s="11" t="n">
        <v>-0.0013</v>
      </c>
      <c r="L81" s="11" t="n">
        <v>-0.0008</v>
      </c>
      <c r="N81" s="11" t="n">
        <v>-0.0023</v>
      </c>
      <c r="P81" s="11" t="n">
        <v>-0.0001</v>
      </c>
      <c r="R81" s="11" t="n">
        <v>-0.0003</v>
      </c>
      <c r="T81" s="11" t="n">
        <v>0</v>
      </c>
      <c r="V81" s="11" t="n">
        <v>-2.9268</v>
      </c>
      <c r="Y81" s="11" t="n">
        <v>-0.0001</v>
      </c>
      <c r="Z81" s="11" t="n">
        <v>-0.0013</v>
      </c>
      <c r="AA81" s="11" t="n">
        <v>-0.0023</v>
      </c>
      <c r="AB81" s="11" t="n">
        <v>-0.0003</v>
      </c>
      <c r="AC81" s="11" t="n">
        <v>-2.9268</v>
      </c>
    </row>
    <row r="82">
      <c r="A82" s="10" t="inlineStr">
        <is>
          <t>신주예약권 행사에 따른 주식 발행</t>
        </is>
      </c>
      <c r="F82" s="11" t="n">
        <v>0.5367</v>
      </c>
      <c r="H82" s="11" t="n">
        <v>0.0742</v>
      </c>
      <c r="J82" s="11" t="n">
        <v>3.1334</v>
      </c>
      <c r="L82" s="11" t="n">
        <v>0.3443</v>
      </c>
      <c r="N82" s="11" t="n">
        <v>0.3683</v>
      </c>
      <c r="P82" s="11" t="n">
        <v>0.5612</v>
      </c>
      <c r="R82" s="11" t="n">
        <v>0.6061</v>
      </c>
      <c r="T82" s="11" t="n">
        <v>0.2113</v>
      </c>
      <c r="V82" s="11" t="n">
        <v>0.4257</v>
      </c>
      <c r="Y82" s="11" t="n">
        <v>0.5367</v>
      </c>
      <c r="Z82" s="11" t="n">
        <v>3.1334</v>
      </c>
      <c r="AA82" s="11" t="n">
        <v>0.3683</v>
      </c>
      <c r="AB82" s="11" t="n">
        <v>0.6061</v>
      </c>
      <c r="AC82" s="11" t="n">
        <v>0.4257</v>
      </c>
    </row>
    <row r="83">
      <c r="A83" s="10" t="inlineStr">
        <is>
          <t>재무활동 현금흐름</t>
        </is>
      </c>
      <c r="D83" s="11" t="n">
        <v>-0.6516999999999999</v>
      </c>
      <c r="F83" s="11" t="n">
        <v>-0.9671999999999999</v>
      </c>
      <c r="H83" s="11" t="n">
        <v>-1.638</v>
      </c>
      <c r="J83" s="11" t="n">
        <v>-0.8073</v>
      </c>
      <c r="L83" s="11" t="n">
        <v>2.1767</v>
      </c>
      <c r="N83" s="11" t="n">
        <v>1.2107</v>
      </c>
      <c r="P83" s="11" t="n">
        <v>0.7025</v>
      </c>
      <c r="R83" s="11" t="n">
        <v>0.1099</v>
      </c>
      <c r="T83" s="11" t="n">
        <v>0.4758</v>
      </c>
      <c r="V83" s="11" t="n">
        <v>-3.1268</v>
      </c>
      <c r="W83" s="11" t="n">
        <v>0.7425</v>
      </c>
      <c r="X83" s="11" t="n">
        <v>23.2444</v>
      </c>
      <c r="Y83" s="11" t="n">
        <v>-0.9671999999999999</v>
      </c>
      <c r="Z83" s="11" t="n">
        <v>-0.8073</v>
      </c>
      <c r="AA83" s="11" t="n">
        <v>1.2107</v>
      </c>
      <c r="AB83" s="11" t="n">
        <v>0.1099</v>
      </c>
      <c r="AC83" s="11" t="n">
        <v>-3.1268</v>
      </c>
    </row>
    <row r="84">
      <c r="A84" s="10" t="inlineStr">
        <is>
          <t>현금성자산 환산차이</t>
        </is>
      </c>
      <c r="F84" s="11" t="n">
        <v>0</v>
      </c>
      <c r="H84" s="11" t="n">
        <v>-0.0334</v>
      </c>
      <c r="J84" s="11" t="n">
        <v>0.0311</v>
      </c>
      <c r="L84" s="11" t="n">
        <v>0.0254</v>
      </c>
      <c r="N84" s="11" t="n">
        <v>-0.0149</v>
      </c>
      <c r="P84" s="11" t="n">
        <v>-0.0035</v>
      </c>
      <c r="R84" s="11" t="n">
        <v>-0.0145</v>
      </c>
      <c r="T84" s="11" t="n">
        <v>0.0242</v>
      </c>
      <c r="V84" s="11" t="n">
        <v>-0.0246</v>
      </c>
      <c r="Y84" s="11" t="n">
        <v>0</v>
      </c>
      <c r="Z84" s="11" t="n">
        <v>0.0311</v>
      </c>
      <c r="AA84" s="11" t="n">
        <v>-0.0149</v>
      </c>
      <c r="AB84" s="11" t="n">
        <v>-0.0145</v>
      </c>
      <c r="AC84" s="11" t="n">
        <v>-0.0246</v>
      </c>
    </row>
    <row r="85">
      <c r="A85" s="10" t="inlineStr">
        <is>
          <t>현금성자산 증감</t>
        </is>
      </c>
      <c r="D85" s="11" t="n">
        <v>-3.5528</v>
      </c>
      <c r="F85" s="11" t="n">
        <v>-5.0904</v>
      </c>
      <c r="H85" s="11" t="n">
        <v>0.9442</v>
      </c>
      <c r="J85" s="11" t="n">
        <v>3.9661</v>
      </c>
      <c r="L85" s="11" t="n">
        <v>4.2806</v>
      </c>
      <c r="N85" s="11" t="n">
        <v>12.6382</v>
      </c>
      <c r="P85" s="11" t="n">
        <v>0.2525</v>
      </c>
      <c r="R85" s="11" t="n">
        <v>11.4537</v>
      </c>
      <c r="T85" s="11" t="n">
        <v>-5.9052</v>
      </c>
      <c r="V85" s="11" t="n">
        <v>-5.3929</v>
      </c>
      <c r="W85" s="11" t="n">
        <v>4.4821</v>
      </c>
      <c r="X85" s="11" t="n">
        <v>-1.3965</v>
      </c>
      <c r="Y85" s="11" t="n">
        <v>-5.0904</v>
      </c>
      <c r="Z85" s="11" t="n">
        <v>3.9661</v>
      </c>
      <c r="AA85" s="11" t="n">
        <v>12.6382</v>
      </c>
      <c r="AB85" s="11" t="n">
        <v>11.4537</v>
      </c>
      <c r="AC85" s="11" t="n">
        <v>-5.3929</v>
      </c>
    </row>
    <row r="86">
      <c r="A86" s="10" t="inlineStr">
        <is>
          <t>주식교환 현금성자산 증가</t>
        </is>
      </c>
      <c r="F86" s="11" t="n">
        <v>10.4268</v>
      </c>
      <c r="J86" s="11" t="n">
        <v>0</v>
      </c>
      <c r="N86" s="11" t="n">
        <v>4.7351</v>
      </c>
      <c r="R86" s="11" t="n">
        <v>0</v>
      </c>
      <c r="Y86" s="11" t="n">
        <v>10.4268</v>
      </c>
      <c r="Z86" s="11" t="n">
        <v>0</v>
      </c>
      <c r="AA86" s="11" t="n">
        <v>4.7351</v>
      </c>
      <c r="AB86" s="1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D6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40" customWidth="1" min="30" max="30"/>
  </cols>
  <sheetData>
    <row r="1">
      <c r="A1" s="1" t="inlineStr">
        <is>
          <t>페이클라우드홀딩스 부문</t>
        </is>
      </c>
    </row>
    <row r="2">
      <c r="A2" s="2" t="inlineStr">
        <is>
          <t>결산기 기준(27.2Q = 2027년 결산기 2분기) · 8월 결산 · 연결 · 분기 단독(누계 차분) · 오른쪽 FY = 연간</t>
        </is>
      </c>
      <c r="B2" s="3" t="inlineStr">
        <is>
          <t>(단위: 억엔)</t>
        </is>
      </c>
    </row>
    <row r="3">
      <c r="A3" s="4" t="inlineStr">
        <is>
          <t>항목</t>
        </is>
      </c>
      <c r="B3" s="4" t="inlineStr">
        <is>
          <t>참고</t>
        </is>
      </c>
      <c r="C3" s="4" t="inlineStr">
        <is>
          <t>22.1Q</t>
        </is>
      </c>
      <c r="D3" s="4" t="inlineStr">
        <is>
          <t>22.2Q</t>
        </is>
      </c>
      <c r="E3" s="4" t="inlineStr">
        <is>
          <t>22.3Q</t>
        </is>
      </c>
      <c r="F3" s="4" t="inlineStr">
        <is>
          <t>22.4Q</t>
        </is>
      </c>
      <c r="G3" s="4" t="inlineStr">
        <is>
          <t>23.1Q</t>
        </is>
      </c>
      <c r="H3" s="4" t="inlineStr">
        <is>
          <t>23.2Q</t>
        </is>
      </c>
      <c r="I3" s="4" t="inlineStr">
        <is>
          <t>23.3Q</t>
        </is>
      </c>
      <c r="J3" s="4" t="inlineStr">
        <is>
          <t>23.4Q</t>
        </is>
      </c>
      <c r="K3" s="4" t="inlineStr">
        <is>
          <t>24.1Q</t>
        </is>
      </c>
      <c r="L3" s="4" t="inlineStr">
        <is>
          <t>24.2Q</t>
        </is>
      </c>
      <c r="M3" s="4" t="inlineStr">
        <is>
          <t>24.3Q</t>
        </is>
      </c>
      <c r="N3" s="4" t="inlineStr">
        <is>
          <t>24.4Q</t>
        </is>
      </c>
      <c r="O3" s="4" t="inlineStr">
        <is>
          <t>25.1Q</t>
        </is>
      </c>
      <c r="P3" s="4" t="inlineStr">
        <is>
          <t>25.2Q</t>
        </is>
      </c>
      <c r="Q3" s="4" t="inlineStr">
        <is>
          <t>25.3Q</t>
        </is>
      </c>
      <c r="R3" s="4" t="inlineStr">
        <is>
          <t>25.4Q</t>
        </is>
      </c>
      <c r="S3" s="4" t="inlineStr">
        <is>
          <t>26.1Q</t>
        </is>
      </c>
      <c r="T3" s="4" t="inlineStr">
        <is>
          <t>26.2Q</t>
        </is>
      </c>
      <c r="U3" s="4" t="inlineStr">
        <is>
          <t>26.3Q</t>
        </is>
      </c>
      <c r="V3" s="4" t="inlineStr">
        <is>
          <t>26.4Q</t>
        </is>
      </c>
      <c r="W3" s="4" t="inlineStr">
        <is>
          <t>FY20</t>
        </is>
      </c>
      <c r="X3" s="4" t="inlineStr">
        <is>
          <t>FY21</t>
        </is>
      </c>
      <c r="Y3" s="4" t="inlineStr">
        <is>
          <t>FY22</t>
        </is>
      </c>
      <c r="Z3" s="4" t="inlineStr">
        <is>
          <t>FY23</t>
        </is>
      </c>
      <c r="AA3" s="4" t="inlineStr">
        <is>
          <t>FY24</t>
        </is>
      </c>
      <c r="AB3" s="4" t="inlineStr">
        <is>
          <t>FY25</t>
        </is>
      </c>
      <c r="AC3" s="4" t="inlineStr">
        <is>
          <t>FY26</t>
        </is>
      </c>
      <c r="AD3" s="4" t="inlineStr">
        <is>
          <t>출처</t>
        </is>
      </c>
    </row>
    <row r="4">
      <c r="A4" s="10" t="inlineStr">
        <is>
          <t>CashlessServiceReportableSegmentMember · 외부 고객 매출</t>
        </is>
      </c>
      <c r="Z4" s="11" t="n">
        <v>37.9231</v>
      </c>
      <c r="AA4" s="11" t="n">
        <v>33.7604</v>
      </c>
      <c r="AB4" s="11" t="n">
        <v>37.6853</v>
      </c>
      <c r="AC4" s="11" t="n">
        <v>38.6223</v>
      </c>
      <c r="AD4" s="7" t="inlineStr">
        <is>
          <t>결산단신 XBRL(거래소 공시, TDnet·JPX 보관소). 쓴 문서: 2026-10-15, 2026-07-14, 2026-04-14, 2026-01-14 외 20건 — '출처' 시트에 전부</t>
        </is>
      </c>
    </row>
    <row r="5">
      <c r="A5" s="10" t="inlineStr">
        <is>
          <t>DigitalSignageRelatedReportableSegmentMember · 외부 고객 매출</t>
        </is>
      </c>
      <c r="Z5" s="11" t="n">
        <v>0</v>
      </c>
      <c r="AA5" s="11" t="n">
        <v>27.483</v>
      </c>
      <c r="AB5" s="11" t="n">
        <v>56.9013</v>
      </c>
      <c r="AC5" s="11" t="n">
        <v>62.4967</v>
      </c>
    </row>
    <row r="6">
      <c r="A6" s="10" t="inlineStr">
        <is>
          <t>SolutionReportableSegmentMember · 외부 고객 매출</t>
        </is>
      </c>
      <c r="Z6" s="11" t="n">
        <v>6.8399</v>
      </c>
      <c r="AA6" s="11" t="n">
        <v>7.2805</v>
      </c>
      <c r="AB6" s="11" t="n">
        <v>7.6152</v>
      </c>
      <c r="AC6" s="11" t="n">
        <v>7.8308</v>
      </c>
    </row>
    <row r="7">
      <c r="A7" s="10" t="inlineStr">
        <is>
          <t>OtherServicesReportableSegmentMember · 외부 고객 매출</t>
        </is>
      </c>
      <c r="AA7" s="11" t="n">
        <v>0.0102</v>
      </c>
      <c r="AB7" s="11" t="n">
        <v>0.1385</v>
      </c>
      <c r="AC7" s="11" t="n">
        <v>2.4732</v>
      </c>
    </row>
    <row r="8">
      <c r="A8" s="10" t="inlineStr">
        <is>
          <t>ReportableSegmentsMember · 외부 고객 매출</t>
        </is>
      </c>
      <c r="K8" s="11" t="n">
        <v>10.3937</v>
      </c>
      <c r="L8" s="11" t="n">
        <v>9.5122</v>
      </c>
      <c r="M8" s="11" t="n">
        <v>28.2477</v>
      </c>
      <c r="N8" s="11" t="n">
        <v>20.3804</v>
      </c>
      <c r="O8" s="11" t="n">
        <v>23.4253</v>
      </c>
      <c r="P8" s="11" t="n">
        <v>24.9572</v>
      </c>
      <c r="Q8" s="11" t="n">
        <v>28.0732</v>
      </c>
      <c r="R8" s="11" t="n">
        <v>25.8847</v>
      </c>
      <c r="S8" s="11" t="n">
        <v>23.9925</v>
      </c>
      <c r="T8" s="11" t="n">
        <v>23.2456</v>
      </c>
      <c r="U8" s="11" t="n">
        <v>33.3398</v>
      </c>
      <c r="V8" s="11" t="n">
        <v>30.8451</v>
      </c>
      <c r="Z8" s="11" t="n">
        <v>44.7631</v>
      </c>
      <c r="AA8" s="11" t="n">
        <v>68.5341</v>
      </c>
      <c r="AB8" s="11" t="n">
        <v>102.3403</v>
      </c>
      <c r="AC8" s="11" t="n">
        <v>111.4231</v>
      </c>
    </row>
    <row r="9">
      <c r="A9" s="10" t="inlineStr">
        <is>
          <t>ReconcilingItemsMember · 외부 고객 매출</t>
        </is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  <c r="V9" s="11" t="n">
        <v>0</v>
      </c>
      <c r="Z9" s="11" t="n">
        <v>0</v>
      </c>
      <c r="AA9" s="11" t="n">
        <v>0</v>
      </c>
      <c r="AB9" s="11" t="n">
        <v>0</v>
      </c>
      <c r="AC9" s="11" t="n">
        <v>0</v>
      </c>
    </row>
    <row r="10">
      <c r="A10" s="10" t="inlineStr">
        <is>
          <t>EntityTotalMember · 외부 고객 매출</t>
        </is>
      </c>
      <c r="O10" s="11" t="n">
        <v>23.4253</v>
      </c>
      <c r="S10" s="11" t="n">
        <v>23.9925</v>
      </c>
    </row>
    <row r="11">
      <c r="A11" s="10" t="inlineStr">
        <is>
          <t>CashlessServiceReportableSegmentMember · 부문 간 내부매출·대체</t>
        </is>
      </c>
      <c r="K11" s="11" t="n">
        <v>0</v>
      </c>
      <c r="O11" s="11" t="n">
        <v>0.0007</v>
      </c>
      <c r="S11" s="11" t="n">
        <v>0</v>
      </c>
    </row>
    <row r="12">
      <c r="A12" s="10" t="inlineStr">
        <is>
          <t>DigitalSignageRelatedReportableSegmentMember · 부문 간 내부매출·대체</t>
        </is>
      </c>
      <c r="K12" s="11" t="n">
        <v>0</v>
      </c>
      <c r="O12" s="11" t="n">
        <v>0</v>
      </c>
      <c r="S12" s="11" t="n">
        <v>0</v>
      </c>
    </row>
    <row r="13">
      <c r="A13" s="10" t="inlineStr">
        <is>
          <t>SolutionReportableSegmentMember · 부문 간 내부매출·대체</t>
        </is>
      </c>
      <c r="K13" s="11" t="n">
        <v>0.0211</v>
      </c>
      <c r="O13" s="11" t="n">
        <v>0.0208</v>
      </c>
      <c r="S13" s="11" t="n">
        <v>0.0217</v>
      </c>
    </row>
    <row r="14">
      <c r="A14" s="10" t="inlineStr">
        <is>
          <t>OtherReportableSegmentsMember · 부문 간 내부매출·대체</t>
        </is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0</v>
      </c>
      <c r="Q14" s="11" t="n">
        <v>0</v>
      </c>
      <c r="S14" s="11" t="n">
        <v>0</v>
      </c>
      <c r="T14" s="11" t="n">
        <v>0</v>
      </c>
      <c r="U14" s="11" t="n">
        <v>0</v>
      </c>
      <c r="Z14" s="11" t="n">
        <v>0</v>
      </c>
      <c r="AA14" s="11" t="n">
        <v>0</v>
      </c>
    </row>
    <row r="15">
      <c r="A15" s="5" t="inlineStr">
        <is>
          <t>외부 고객 매출</t>
        </is>
      </c>
      <c r="K15" s="6" t="n">
        <v>10.3937</v>
      </c>
      <c r="L15" s="6" t="n">
        <v>9.5122</v>
      </c>
      <c r="M15" s="6" t="n">
        <v>28.2477</v>
      </c>
      <c r="N15" s="6" t="n">
        <v>20.3804</v>
      </c>
      <c r="O15" s="6" t="n">
        <v>23.4253</v>
      </c>
      <c r="P15" s="6" t="n">
        <v>24.9572</v>
      </c>
      <c r="Q15" s="6" t="n">
        <v>28.0732</v>
      </c>
      <c r="R15" s="6" t="n">
        <v>25.8847</v>
      </c>
      <c r="Z15" s="6" t="n">
        <v>44.7631</v>
      </c>
      <c r="AA15" s="6" t="n">
        <v>68.5341</v>
      </c>
      <c r="AB15" s="6" t="n">
        <v>102.3403</v>
      </c>
      <c r="AC15" s="6" t="n">
        <v>111.4231</v>
      </c>
    </row>
    <row r="16">
      <c r="A16" s="10" t="inlineStr">
        <is>
          <t>CashlessServiceReportableSegmentMember · 부문 간 내부매출·대체</t>
        </is>
      </c>
      <c r="Z16" s="11" t="n">
        <v>0</v>
      </c>
      <c r="AA16" s="11" t="n">
        <v>0</v>
      </c>
      <c r="AB16" s="11" t="n">
        <v>0.0037</v>
      </c>
      <c r="AC16" s="11" t="n">
        <v>0</v>
      </c>
    </row>
    <row r="17">
      <c r="A17" s="10" t="inlineStr">
        <is>
          <t>DigitalSignageRelatedReportableSegmentMember · 부문 간 내부매출·대체</t>
        </is>
      </c>
      <c r="Z17" s="11" t="n">
        <v>0</v>
      </c>
      <c r="AA17" s="11" t="n">
        <v>0</v>
      </c>
      <c r="AB17" s="11" t="n">
        <v>0</v>
      </c>
      <c r="AC17" s="11" t="n">
        <v>0</v>
      </c>
    </row>
    <row r="18">
      <c r="A18" s="10" t="inlineStr">
        <is>
          <t>SolutionReportableSegmentMember · 부문 간 내부매출·대체</t>
        </is>
      </c>
      <c r="Z18" s="11" t="n">
        <v>0.0558</v>
      </c>
      <c r="AA18" s="11" t="n">
        <v>0.08359999999999999</v>
      </c>
      <c r="AB18" s="11" t="n">
        <v>0.08550000000000001</v>
      </c>
      <c r="AC18" s="11" t="n">
        <v>0.0895</v>
      </c>
    </row>
    <row r="19">
      <c r="A19" s="10" t="inlineStr">
        <is>
          <t>OtherServicesReportableSegmentMember · 부문 간 내부매출·대체</t>
        </is>
      </c>
      <c r="AA19" s="11" t="n">
        <v>0</v>
      </c>
      <c r="AB19" s="11" t="n">
        <v>0</v>
      </c>
      <c r="AC19" s="11" t="n">
        <v>0</v>
      </c>
    </row>
    <row r="20">
      <c r="A20" s="10" t="inlineStr">
        <is>
          <t>ReportableSegmentsMember · 부문 간 내부매출·대체</t>
        </is>
      </c>
      <c r="K20" s="11" t="n">
        <v>0.0211</v>
      </c>
      <c r="L20" s="11" t="n">
        <v>0.0209</v>
      </c>
      <c r="M20" s="11" t="n">
        <v>0.0208</v>
      </c>
      <c r="N20" s="11" t="n">
        <v>0.0208</v>
      </c>
      <c r="O20" s="11" t="n">
        <v>0.0215</v>
      </c>
      <c r="P20" s="11" t="n">
        <v>0.0229</v>
      </c>
      <c r="Q20" s="11" t="n">
        <v>0.0217</v>
      </c>
      <c r="R20" s="11" t="n">
        <v>0.0232</v>
      </c>
      <c r="S20" s="11" t="n">
        <v>0.0217</v>
      </c>
      <c r="T20" s="11" t="n">
        <v>0.0224</v>
      </c>
      <c r="U20" s="11" t="n">
        <v>0.0227</v>
      </c>
      <c r="V20" s="11" t="n">
        <v>0.0227</v>
      </c>
      <c r="Z20" s="11" t="n">
        <v>0.0558</v>
      </c>
      <c r="AA20" s="11" t="n">
        <v>0.08359999999999999</v>
      </c>
      <c r="AB20" s="11" t="n">
        <v>0.0892</v>
      </c>
      <c r="AC20" s="11" t="n">
        <v>0.0895</v>
      </c>
    </row>
    <row r="21">
      <c r="A21" s="10" t="inlineStr">
        <is>
          <t>ReconcilingItemsMember · 부문 간 내부매출·대체</t>
        </is>
      </c>
      <c r="K21" s="11" t="n">
        <v>-0.0211</v>
      </c>
      <c r="L21" s="11" t="n">
        <v>-0.0209</v>
      </c>
      <c r="M21" s="11" t="n">
        <v>-0.0208</v>
      </c>
      <c r="N21" s="11" t="n">
        <v>-0.0208</v>
      </c>
      <c r="O21" s="11" t="n">
        <v>-0.0215</v>
      </c>
      <c r="P21" s="11" t="n">
        <v>-0.0229</v>
      </c>
      <c r="Q21" s="11" t="n">
        <v>-0.0217</v>
      </c>
      <c r="R21" s="11" t="n">
        <v>-0.0232</v>
      </c>
      <c r="S21" s="11" t="n">
        <v>-0.0217</v>
      </c>
      <c r="T21" s="11" t="n">
        <v>-0.0224</v>
      </c>
      <c r="U21" s="11" t="n">
        <v>-0.0227</v>
      </c>
      <c r="V21" s="11" t="n">
        <v>-0.0227</v>
      </c>
      <c r="Z21" s="11" t="n">
        <v>-0.0558</v>
      </c>
      <c r="AA21" s="11" t="n">
        <v>-0.08359999999999999</v>
      </c>
      <c r="AB21" s="11" t="n">
        <v>-0.0892</v>
      </c>
      <c r="AC21" s="11" t="n">
        <v>-0.0895</v>
      </c>
    </row>
    <row r="22">
      <c r="A22" s="10" t="inlineStr">
        <is>
          <t>EntityTotalMember · 부문 간 내부매출·대체</t>
        </is>
      </c>
      <c r="O22" s="11" t="n">
        <v>0</v>
      </c>
      <c r="S22" s="11" t="n">
        <v>0</v>
      </c>
    </row>
    <row r="23">
      <c r="A23" s="10" t="inlineStr">
        <is>
          <t>CashlessServiceReportableSegmentMember · 계</t>
        </is>
      </c>
      <c r="K23" s="11" t="n">
        <v>8.720000000000001</v>
      </c>
      <c r="O23" s="11" t="n">
        <v>9.1768</v>
      </c>
      <c r="S23" s="11" t="n">
        <v>9.490399999999999</v>
      </c>
    </row>
    <row r="24">
      <c r="A24" s="10" t="inlineStr">
        <is>
          <t>DigitalSignageRelatedReportableSegmentMember · 계</t>
        </is>
      </c>
      <c r="K24" s="11" t="n">
        <v>0</v>
      </c>
      <c r="O24" s="11" t="n">
        <v>12.3428</v>
      </c>
      <c r="S24" s="11" t="n">
        <v>12.5908</v>
      </c>
    </row>
    <row r="25">
      <c r="A25" s="10" t="inlineStr">
        <is>
          <t>SolutionReportableSegmentMember · 계</t>
        </is>
      </c>
      <c r="K25" s="11" t="n">
        <v>1.6948</v>
      </c>
      <c r="O25" s="11" t="n">
        <v>1.9119</v>
      </c>
      <c r="S25" s="11" t="n">
        <v>1.923</v>
      </c>
    </row>
    <row r="26">
      <c r="A26" s="10" t="inlineStr">
        <is>
          <t>OtherReportableSegmentsMember · 계</t>
        </is>
      </c>
      <c r="K26" s="11" t="n">
        <v>0</v>
      </c>
      <c r="L26" s="11" t="n">
        <v>0</v>
      </c>
      <c r="M26" s="11" t="n">
        <v>0</v>
      </c>
      <c r="N26" s="11" t="n">
        <v>0.0102</v>
      </c>
      <c r="O26" s="11" t="n">
        <v>0.0153</v>
      </c>
      <c r="P26" s="11" t="n">
        <v>0.0058</v>
      </c>
      <c r="Q26" s="11" t="n">
        <v>0.0239</v>
      </c>
      <c r="S26" s="11" t="n">
        <v>0.01</v>
      </c>
      <c r="T26" s="11" t="n">
        <v>0.0014</v>
      </c>
      <c r="U26" s="11" t="n">
        <v>0.08160000000000001</v>
      </c>
      <c r="Z26" s="11" t="n">
        <v>0</v>
      </c>
      <c r="AA26" s="11" t="n">
        <v>0.0102</v>
      </c>
    </row>
    <row r="27">
      <c r="A27" s="10" t="inlineStr">
        <is>
          <t>부문 간 내부매출·대체</t>
        </is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Z27" s="11" t="n">
        <v>0</v>
      </c>
      <c r="AA27" s="11" t="n">
        <v>0</v>
      </c>
      <c r="AB27" s="11" t="n">
        <v>0</v>
      </c>
      <c r="AC27" s="11" t="n">
        <v>0</v>
      </c>
    </row>
    <row r="28">
      <c r="A28" s="10" t="inlineStr">
        <is>
          <t>CashlessServiceReportableSegmentMember · 계</t>
        </is>
      </c>
      <c r="Z28" s="11" t="n">
        <v>37.9231</v>
      </c>
      <c r="AA28" s="11" t="n">
        <v>33.7604</v>
      </c>
      <c r="AB28" s="11" t="n">
        <v>37.6891</v>
      </c>
      <c r="AC28" s="11" t="n">
        <v>38.6223</v>
      </c>
    </row>
    <row r="29">
      <c r="A29" s="10" t="inlineStr">
        <is>
          <t>DigitalSignageRelatedReportableSegmentMember · 계</t>
        </is>
      </c>
      <c r="Z29" s="11" t="n">
        <v>0</v>
      </c>
      <c r="AA29" s="11" t="n">
        <v>27.483</v>
      </c>
      <c r="AB29" s="11" t="n">
        <v>56.9013</v>
      </c>
      <c r="AC29" s="11" t="n">
        <v>62.4967</v>
      </c>
    </row>
    <row r="30">
      <c r="A30" s="10" t="inlineStr">
        <is>
          <t>SolutionReportableSegmentMember · 계</t>
        </is>
      </c>
      <c r="Z30" s="11" t="n">
        <v>6.8958</v>
      </c>
      <c r="AA30" s="11" t="n">
        <v>7.3641</v>
      </c>
      <c r="AB30" s="11" t="n">
        <v>7.7008</v>
      </c>
      <c r="AC30" s="11" t="n">
        <v>7.9204</v>
      </c>
    </row>
    <row r="31">
      <c r="A31" s="10" t="inlineStr">
        <is>
          <t>OtherServicesReportableSegmentMember · 계</t>
        </is>
      </c>
      <c r="AA31" s="11" t="n">
        <v>0.0102</v>
      </c>
      <c r="AB31" s="11" t="n">
        <v>0.1385</v>
      </c>
      <c r="AC31" s="11" t="n">
        <v>2.4732</v>
      </c>
    </row>
    <row r="32">
      <c r="A32" s="10" t="inlineStr">
        <is>
          <t>ReportableSegmentsMember · 계</t>
        </is>
      </c>
      <c r="K32" s="11" t="n">
        <v>10.4148</v>
      </c>
      <c r="L32" s="11" t="n">
        <v>9.533200000000001</v>
      </c>
      <c r="M32" s="11" t="n">
        <v>28.2685</v>
      </c>
      <c r="N32" s="11" t="n">
        <v>20.4012</v>
      </c>
      <c r="O32" s="11" t="n">
        <v>23.4468</v>
      </c>
      <c r="P32" s="11" t="n">
        <v>24.9801</v>
      </c>
      <c r="Q32" s="11" t="n">
        <v>28.0949</v>
      </c>
      <c r="R32" s="11" t="n">
        <v>25.9078</v>
      </c>
      <c r="S32" s="11" t="n">
        <v>24.0142</v>
      </c>
      <c r="T32" s="11" t="n">
        <v>23.268</v>
      </c>
      <c r="U32" s="11" t="n">
        <v>33.3626</v>
      </c>
      <c r="V32" s="11" t="n">
        <v>30.8678</v>
      </c>
      <c r="Z32" s="11" t="n">
        <v>44.8189</v>
      </c>
      <c r="AA32" s="11" t="n">
        <v>68.6177</v>
      </c>
      <c r="AB32" s="11" t="n">
        <v>102.4296</v>
      </c>
      <c r="AC32" s="11" t="n">
        <v>111.5126</v>
      </c>
    </row>
    <row r="33">
      <c r="A33" s="10" t="inlineStr">
        <is>
          <t>ReconcilingItemsMember · 계</t>
        </is>
      </c>
      <c r="K33" s="11" t="n">
        <v>-0.0211</v>
      </c>
      <c r="L33" s="11" t="n">
        <v>-0.0209</v>
      </c>
      <c r="M33" s="11" t="n">
        <v>-0.0208</v>
      </c>
      <c r="N33" s="11" t="n">
        <v>-0.0208</v>
      </c>
      <c r="O33" s="11" t="n">
        <v>-0.0215</v>
      </c>
      <c r="P33" s="11" t="n">
        <v>-0.0229</v>
      </c>
      <c r="Q33" s="11" t="n">
        <v>-0.0217</v>
      </c>
      <c r="R33" s="11" t="n">
        <v>-0.0232</v>
      </c>
      <c r="S33" s="11" t="n">
        <v>-0.0217</v>
      </c>
      <c r="T33" s="11" t="n">
        <v>-0.0224</v>
      </c>
      <c r="U33" s="11" t="n">
        <v>-0.0227</v>
      </c>
      <c r="V33" s="11" t="n">
        <v>-0.0227</v>
      </c>
      <c r="Z33" s="11" t="n">
        <v>-0.0558</v>
      </c>
      <c r="AA33" s="11" t="n">
        <v>-0.08359999999999999</v>
      </c>
      <c r="AB33" s="11" t="n">
        <v>-0.0892</v>
      </c>
      <c r="AC33" s="11" t="n">
        <v>-0.0895</v>
      </c>
    </row>
    <row r="34">
      <c r="A34" s="10" t="inlineStr">
        <is>
          <t>EntityTotalMember · 계</t>
        </is>
      </c>
      <c r="O34" s="11" t="n">
        <v>23.4253</v>
      </c>
      <c r="S34" s="11" t="n">
        <v>23.9925</v>
      </c>
    </row>
    <row r="35">
      <c r="A35" s="10" t="inlineStr">
        <is>
          <t>CashlessServiceReportableSegmentMember · 부문 이익(손실)</t>
        </is>
      </c>
      <c r="K35" s="11" t="n">
        <v>1.6171</v>
      </c>
      <c r="O35" s="11" t="n">
        <v>1.7429</v>
      </c>
      <c r="S35" s="11" t="n">
        <v>2.0178</v>
      </c>
    </row>
    <row r="36">
      <c r="A36" s="10" t="inlineStr">
        <is>
          <t>DigitalSignageRelatedReportableSegmentMember · 부문 이익(손실)</t>
        </is>
      </c>
      <c r="K36" s="11" t="n">
        <v>0</v>
      </c>
      <c r="O36" s="11" t="n">
        <v>1.8923</v>
      </c>
      <c r="S36" s="11" t="n">
        <v>1.6488</v>
      </c>
    </row>
    <row r="37">
      <c r="A37" s="10" t="inlineStr">
        <is>
          <t>SolutionReportableSegmentMember · 부문 이익(손실)</t>
        </is>
      </c>
      <c r="K37" s="11" t="n">
        <v>0.5194</v>
      </c>
      <c r="O37" s="11" t="n">
        <v>0.7485000000000001</v>
      </c>
      <c r="S37" s="11" t="n">
        <v>0.7437</v>
      </c>
    </row>
    <row r="38">
      <c r="A38" s="10" t="inlineStr">
        <is>
          <t>OtherReportableSegmentsMember · 부문 이익(손실)</t>
        </is>
      </c>
      <c r="K38" s="11" t="n">
        <v>-0.144</v>
      </c>
      <c r="L38" s="11" t="n">
        <v>-0.1732</v>
      </c>
      <c r="M38" s="11" t="n">
        <v>-0.2178</v>
      </c>
      <c r="N38" s="11" t="n">
        <v>-0.1867</v>
      </c>
      <c r="O38" s="11" t="n">
        <v>-0.2265</v>
      </c>
      <c r="P38" s="11" t="n">
        <v>-0.1683</v>
      </c>
      <c r="Q38" s="11" t="n">
        <v>-0.1582</v>
      </c>
      <c r="S38" s="11" t="n">
        <v>-0.1209</v>
      </c>
      <c r="T38" s="11" t="n">
        <v>-0.1571</v>
      </c>
      <c r="U38" s="11" t="n">
        <v>-0.2246</v>
      </c>
      <c r="Z38" s="11" t="n">
        <v>-0.3675</v>
      </c>
      <c r="AA38" s="11" t="n">
        <v>-0.7217</v>
      </c>
    </row>
    <row r="39">
      <c r="A39" s="5" t="inlineStr">
        <is>
          <t>계</t>
        </is>
      </c>
      <c r="K39" s="6" t="n">
        <v>10.3937</v>
      </c>
      <c r="L39" s="6" t="n">
        <v>9.5122</v>
      </c>
      <c r="M39" s="6" t="n">
        <v>28.2477</v>
      </c>
      <c r="N39" s="6" t="n">
        <v>20.3804</v>
      </c>
      <c r="O39" s="6" t="n">
        <v>23.4253</v>
      </c>
      <c r="P39" s="6" t="n">
        <v>24.9572</v>
      </c>
      <c r="Q39" s="6" t="n">
        <v>28.0732</v>
      </c>
      <c r="R39" s="6" t="n">
        <v>25.8847</v>
      </c>
      <c r="Z39" s="6" t="n">
        <v>44.7631</v>
      </c>
      <c r="AA39" s="6" t="n">
        <v>68.5341</v>
      </c>
      <c r="AB39" s="6" t="n">
        <v>102.3403</v>
      </c>
      <c r="AC39" s="6" t="n">
        <v>111.4231</v>
      </c>
    </row>
    <row r="40">
      <c r="A40" s="10" t="inlineStr">
        <is>
          <t>CashlessServiceReportableSegmentMember · 부문 이익(손실)</t>
        </is>
      </c>
      <c r="Z40" s="11" t="n">
        <v>6.2085</v>
      </c>
      <c r="AA40" s="11" t="n">
        <v>6.1688</v>
      </c>
      <c r="AB40" s="11" t="n">
        <v>8.0215</v>
      </c>
      <c r="AC40" s="11" t="n">
        <v>8.222200000000001</v>
      </c>
    </row>
    <row r="41">
      <c r="A41" s="10" t="inlineStr">
        <is>
          <t>DigitalSignageRelatedReportableSegmentMember · 부문 이익(손실)</t>
        </is>
      </c>
      <c r="Z41" s="11" t="n">
        <v>0</v>
      </c>
      <c r="AA41" s="11" t="n">
        <v>3.9251</v>
      </c>
      <c r="AB41" s="11" t="n">
        <v>8.0595</v>
      </c>
      <c r="AC41" s="11" t="n">
        <v>8.6059</v>
      </c>
    </row>
    <row r="42">
      <c r="A42" s="10" t="inlineStr">
        <is>
          <t>SolutionReportableSegmentMember · 부문 이익(손실)</t>
        </is>
      </c>
      <c r="Z42" s="11" t="n">
        <v>2.2661</v>
      </c>
      <c r="AA42" s="11" t="n">
        <v>2.2542</v>
      </c>
      <c r="AB42" s="11" t="n">
        <v>2.9832</v>
      </c>
      <c r="AC42" s="11" t="n">
        <v>2.766</v>
      </c>
    </row>
    <row r="43">
      <c r="A43" s="10" t="inlineStr">
        <is>
          <t>OtherServicesReportableSegmentMember · 부문 이익(손실)</t>
        </is>
      </c>
      <c r="AA43" s="11" t="n">
        <v>-0.7217</v>
      </c>
      <c r="AB43" s="11" t="n">
        <v>-0.6677999999999999</v>
      </c>
      <c r="AC43" s="11" t="n">
        <v>-0.005</v>
      </c>
    </row>
    <row r="44">
      <c r="A44" s="10" t="inlineStr">
        <is>
          <t>ReportableSegmentsMember · 부문 이익(손실)</t>
        </is>
      </c>
      <c r="K44" s="11" t="n">
        <v>1.9925</v>
      </c>
      <c r="L44" s="11" t="n">
        <v>2.1472</v>
      </c>
      <c r="M44" s="11" t="n">
        <v>4.8941</v>
      </c>
      <c r="N44" s="11" t="n">
        <v>2.5926</v>
      </c>
      <c r="O44" s="11" t="n">
        <v>4.1573</v>
      </c>
      <c r="P44" s="11" t="n">
        <v>4.9891</v>
      </c>
      <c r="Q44" s="11" t="n">
        <v>4.862</v>
      </c>
      <c r="R44" s="11" t="n">
        <v>4.388</v>
      </c>
      <c r="S44" s="11" t="n">
        <v>4.2894</v>
      </c>
      <c r="T44" s="11" t="n">
        <v>4.8706</v>
      </c>
      <c r="U44" s="11" t="n">
        <v>6.0418</v>
      </c>
      <c r="V44" s="11" t="n">
        <v>4.3873</v>
      </c>
      <c r="Z44" s="11" t="n">
        <v>8.107100000000001</v>
      </c>
      <c r="AA44" s="11" t="n">
        <v>11.6264</v>
      </c>
      <c r="AB44" s="11" t="n">
        <v>18.3964</v>
      </c>
      <c r="AC44" s="11" t="n">
        <v>19.5891</v>
      </c>
    </row>
    <row r="45">
      <c r="A45" s="10" t="inlineStr">
        <is>
          <t>ReconcilingItemsMember · 부문 이익(손실)</t>
        </is>
      </c>
      <c r="K45" s="11" t="n">
        <v>-1.4892</v>
      </c>
      <c r="L45" s="11" t="n">
        <v>-1.7897</v>
      </c>
      <c r="M45" s="11" t="n">
        <v>-2.2162</v>
      </c>
      <c r="N45" s="11" t="n">
        <v>-2.7519</v>
      </c>
      <c r="O45" s="11" t="n">
        <v>-2.6394</v>
      </c>
      <c r="P45" s="11" t="n">
        <v>-2.4589</v>
      </c>
      <c r="Q45" s="11" t="n">
        <v>-2.6811</v>
      </c>
      <c r="R45" s="11" t="n">
        <v>-3.3026</v>
      </c>
      <c r="S45" s="11" t="n">
        <v>-2.8854</v>
      </c>
      <c r="T45" s="11" t="n">
        <v>-2.9993</v>
      </c>
      <c r="U45" s="11" t="n">
        <v>-2.7008</v>
      </c>
      <c r="V45" s="11" t="n">
        <v>-2.7189</v>
      </c>
      <c r="Z45" s="11" t="n">
        <v>-6.471</v>
      </c>
      <c r="AA45" s="11" t="n">
        <v>-8.247</v>
      </c>
      <c r="AB45" s="11" t="n">
        <v>-11.0821</v>
      </c>
      <c r="AC45" s="11" t="n">
        <v>-11.3044</v>
      </c>
    </row>
    <row r="46">
      <c r="A46" s="10" t="inlineStr">
        <is>
          <t>EntityTotalMember · 부문 이익(손실)</t>
        </is>
      </c>
      <c r="O46" s="11" t="n">
        <v>1.5178</v>
      </c>
      <c r="S46" s="11" t="n">
        <v>1.404</v>
      </c>
    </row>
    <row r="47">
      <c r="A47" s="5" t="inlineStr">
        <is>
          <t>부문 이익(손실)</t>
        </is>
      </c>
      <c r="K47" s="6" t="n">
        <v>0.5033</v>
      </c>
      <c r="L47" s="6" t="n">
        <v>0.3575</v>
      </c>
      <c r="M47" s="6" t="n">
        <v>2.6779</v>
      </c>
      <c r="N47" s="6" t="n">
        <v>-0.1593</v>
      </c>
      <c r="O47" s="6" t="n">
        <v>1.5178</v>
      </c>
      <c r="P47" s="6" t="n">
        <v>2.5302</v>
      </c>
      <c r="Q47" s="6" t="n">
        <v>2.1809</v>
      </c>
      <c r="R47" s="6" t="n">
        <v>1.0854</v>
      </c>
      <c r="Z47" s="6" t="n">
        <v>1.636</v>
      </c>
      <c r="AA47" s="6" t="n">
        <v>3.3794</v>
      </c>
      <c r="AB47" s="6" t="n">
        <v>7.3143</v>
      </c>
      <c r="AC47" s="6" t="n">
        <v>8.284700000000001</v>
      </c>
    </row>
    <row r="48">
      <c r="A48" s="10" t="inlineStr">
        <is>
          <t>CashlessServiceReportableSegmentMember · 감가상각비</t>
        </is>
      </c>
      <c r="Z48" s="11" t="n">
        <v>1.411</v>
      </c>
      <c r="AA48" s="11" t="n">
        <v>1.2464</v>
      </c>
      <c r="AB48" s="11" t="n">
        <v>1.5363</v>
      </c>
      <c r="AC48" s="11" t="n">
        <v>1.6903</v>
      </c>
    </row>
    <row r="49">
      <c r="A49" s="10" t="inlineStr">
        <is>
          <t>DigitalSignageRelatedReportableSegmentMember · 감가상각비</t>
        </is>
      </c>
      <c r="Z49" s="11" t="n">
        <v>0</v>
      </c>
      <c r="AA49" s="11" t="n">
        <v>0.0765</v>
      </c>
      <c r="AB49" s="11" t="n">
        <v>0.1182</v>
      </c>
      <c r="AC49" s="11" t="n">
        <v>0.2324</v>
      </c>
    </row>
    <row r="50">
      <c r="A50" s="10" t="inlineStr">
        <is>
          <t>SolutionReportableSegmentMember · 감가상각비</t>
        </is>
      </c>
      <c r="Z50" s="11" t="n">
        <v>0.3187</v>
      </c>
      <c r="AA50" s="11" t="n">
        <v>0.2532</v>
      </c>
      <c r="AB50" s="11" t="n">
        <v>0.1897</v>
      </c>
      <c r="AC50" s="11" t="n">
        <v>0.1865</v>
      </c>
    </row>
    <row r="51">
      <c r="A51" s="10" t="inlineStr">
        <is>
          <t>OtherReportableSegmentsMember · 감가상각비</t>
        </is>
      </c>
      <c r="Z51" s="11" t="n">
        <v>0.0005999999999999999</v>
      </c>
      <c r="AA51" s="11" t="n">
        <v>0.0033</v>
      </c>
    </row>
    <row r="52">
      <c r="A52" s="10" t="inlineStr">
        <is>
          <t>OtherServicesReportableSegmentMember · 감가상각비</t>
        </is>
      </c>
      <c r="AA52" s="11" t="n">
        <v>0.0033</v>
      </c>
      <c r="AB52" s="11" t="n">
        <v>0.0039</v>
      </c>
      <c r="AC52" s="11" t="n">
        <v>0.0352</v>
      </c>
    </row>
    <row r="53">
      <c r="A53" s="10" t="inlineStr">
        <is>
          <t>ReportableSegmentsMember · 감가상각비</t>
        </is>
      </c>
      <c r="Z53" s="11" t="n">
        <v>1.7303</v>
      </c>
      <c r="AA53" s="11" t="n">
        <v>1.5794</v>
      </c>
      <c r="AB53" s="11" t="n">
        <v>1.8481</v>
      </c>
      <c r="AC53" s="11" t="n">
        <v>2.1445</v>
      </c>
    </row>
    <row r="54">
      <c r="A54" s="10" t="inlineStr">
        <is>
          <t>ReconcilingItemsMember · 감가상각비</t>
        </is>
      </c>
      <c r="Z54" s="11" t="n">
        <v>0.2304</v>
      </c>
      <c r="AA54" s="11" t="n">
        <v>0.1197</v>
      </c>
      <c r="AB54" s="11" t="n">
        <v>0.1235</v>
      </c>
      <c r="AC54" s="11" t="n">
        <v>0.0776</v>
      </c>
    </row>
    <row r="55">
      <c r="A55" s="10" t="inlineStr">
        <is>
          <t>감가상각비</t>
        </is>
      </c>
      <c r="Z55" s="11" t="n">
        <v>1.9607</v>
      </c>
      <c r="AA55" s="11" t="n">
        <v>1.6991</v>
      </c>
      <c r="AB55" s="11" t="n">
        <v>1.9716</v>
      </c>
      <c r="AC55" s="11" t="n">
        <v>2.2221</v>
      </c>
    </row>
    <row r="56">
      <c r="A56" s="10" t="inlineStr">
        <is>
          <t>CashlessServiceReportableSegmentMember · 상각액</t>
        </is>
      </c>
      <c r="Z56" s="11" t="n">
        <v>1.3797</v>
      </c>
      <c r="AA56" s="11" t="n">
        <v>1.1825</v>
      </c>
      <c r="AB56" s="11" t="n">
        <v>1.1825</v>
      </c>
      <c r="AC56" s="11" t="n">
        <v>1.1825</v>
      </c>
    </row>
    <row r="57">
      <c r="A57" s="10" t="inlineStr">
        <is>
          <t>DigitalSignageRelatedReportableSegmentMember · 상각액</t>
        </is>
      </c>
      <c r="Z57" s="11" t="n">
        <v>0</v>
      </c>
      <c r="AA57" s="11" t="n">
        <v>0.7016</v>
      </c>
      <c r="AB57" s="11" t="n">
        <v>1.4031</v>
      </c>
      <c r="AC57" s="11" t="n">
        <v>1.4031</v>
      </c>
    </row>
    <row r="58">
      <c r="A58" s="10" t="inlineStr">
        <is>
          <t>SolutionReportableSegmentMember · 상각액</t>
        </is>
      </c>
      <c r="Z58" s="11" t="n">
        <v>0</v>
      </c>
      <c r="AA58" s="11" t="n">
        <v>0</v>
      </c>
      <c r="AB58" s="11" t="n">
        <v>0</v>
      </c>
      <c r="AC58" s="11" t="n">
        <v>0</v>
      </c>
    </row>
    <row r="59">
      <c r="A59" s="10" t="inlineStr">
        <is>
          <t>OtherReportableSegmentsMember · 상각액</t>
        </is>
      </c>
      <c r="Z59" s="11" t="n">
        <v>0</v>
      </c>
      <c r="AA59" s="11" t="n">
        <v>0</v>
      </c>
    </row>
    <row r="60">
      <c r="A60" s="10" t="inlineStr">
        <is>
          <t>OtherServicesReportableSegmentMember · 상각액</t>
        </is>
      </c>
      <c r="AA60" s="11" t="n">
        <v>0</v>
      </c>
      <c r="AB60" s="11" t="n">
        <v>0</v>
      </c>
      <c r="AC60" s="11" t="n">
        <v>0</v>
      </c>
    </row>
    <row r="61">
      <c r="A61" s="10" t="inlineStr">
        <is>
          <t>ReportableSegmentsMember · 상각액</t>
        </is>
      </c>
      <c r="Z61" s="11" t="n">
        <v>1.3797</v>
      </c>
      <c r="AA61" s="11" t="n">
        <v>1.8841</v>
      </c>
      <c r="AB61" s="11" t="n">
        <v>2.5857</v>
      </c>
      <c r="AC61" s="11" t="n">
        <v>2.5857</v>
      </c>
    </row>
    <row r="62">
      <c r="A62" s="10" t="inlineStr">
        <is>
          <t>OperatingSegmentsNotIncludedInReportableSegmentsAndOtherRevenueGeneratingBusinessActivitiesMember · 상각액</t>
        </is>
      </c>
      <c r="Z62" s="11" t="n">
        <v>0</v>
      </c>
      <c r="AA62" s="11" t="n">
        <v>0</v>
      </c>
    </row>
    <row r="63">
      <c r="A63" s="10" t="inlineStr">
        <is>
          <t>ReconcilingItemsMember · 상각액</t>
        </is>
      </c>
      <c r="AA63" s="11" t="n">
        <v>0</v>
      </c>
      <c r="AB63" s="11" t="n">
        <v>0</v>
      </c>
      <c r="AC63" s="11" t="n">
        <v>0</v>
      </c>
    </row>
    <row r="64">
      <c r="A64" s="10" t="inlineStr">
        <is>
          <t>상각액</t>
        </is>
      </c>
      <c r="Z64" s="11" t="n">
        <v>1.3797</v>
      </c>
      <c r="AA64" s="11" t="n">
        <v>1.8841</v>
      </c>
      <c r="AB64" s="11" t="n">
        <v>2.5857</v>
      </c>
      <c r="AC64" s="11" t="n">
        <v>2.5857</v>
      </c>
    </row>
    <row r="65">
      <c r="A65" s="10" t="inlineStr">
        <is>
          <t>CashlessServiceReportableSegmentMember · 외부 고객 매출</t>
        </is>
      </c>
      <c r="K65" s="11" t="n">
        <v>8.720000000000001</v>
      </c>
      <c r="O65" s="11" t="n">
        <v>9.1761</v>
      </c>
      <c r="S65" s="11" t="n">
        <v>9.490399999999999</v>
      </c>
    </row>
    <row r="66">
      <c r="A66" s="10" t="inlineStr">
        <is>
          <t>DigitalSignageRelatedReportableSegmentMember · 외부 고객 매출</t>
        </is>
      </c>
      <c r="K66" s="11" t="n">
        <v>0</v>
      </c>
      <c r="O66" s="11" t="n">
        <v>12.3428</v>
      </c>
      <c r="S66" s="11" t="n">
        <v>12.5908</v>
      </c>
    </row>
    <row r="67">
      <c r="A67" s="10" t="inlineStr">
        <is>
          <t>SolutionReportableSegmentMember · 외부 고객 매출</t>
        </is>
      </c>
      <c r="K67" s="11" t="n">
        <v>1.6737</v>
      </c>
      <c r="O67" s="11" t="n">
        <v>1.8911</v>
      </c>
      <c r="S67" s="11" t="n">
        <v>1.9013</v>
      </c>
    </row>
    <row r="68">
      <c r="A68" s="10" t="inlineStr">
        <is>
          <t>OtherReportableSegmentsMember · 외부 고객 매출</t>
        </is>
      </c>
      <c r="K68" s="11" t="n">
        <v>0</v>
      </c>
      <c r="L68" s="11" t="n">
        <v>0</v>
      </c>
      <c r="M68" s="11" t="n">
        <v>0</v>
      </c>
      <c r="N68" s="11" t="n">
        <v>0.0102</v>
      </c>
      <c r="O68" s="11" t="n">
        <v>0.0153</v>
      </c>
      <c r="P68" s="11" t="n">
        <v>0.0058</v>
      </c>
      <c r="Q68" s="11" t="n">
        <v>0.0239</v>
      </c>
      <c r="S68" s="11" t="n">
        <v>0.01</v>
      </c>
      <c r="T68" s="11" t="n">
        <v>0.0014</v>
      </c>
      <c r="U68" s="11" t="n">
        <v>0.08160000000000001</v>
      </c>
      <c r="Z68" s="11" t="n">
        <v>0</v>
      </c>
      <c r="AA68" s="11" t="n">
        <v>0.0102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1" t="inlineStr">
        <is>
          <t>출처 · 쓴 결산단신</t>
        </is>
      </c>
    </row>
    <row r="3">
      <c r="A3" s="12" t="inlineStr">
        <is>
          <t>공시일</t>
        </is>
      </c>
      <c r="B3" s="12" t="inlineStr">
        <is>
          <t>문서</t>
        </is>
      </c>
      <c r="C3" s="12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https://www2.jpx.co.jp/disc/40150/140120261015551091.pdf</t>
        </is>
      </c>
    </row>
    <row r="5">
      <c r="A5" t="inlineStr">
        <is>
          <t>2026-07-14</t>
        </is>
      </c>
      <c r="B5" t="inlineStr">
        <is>
          <t>2026년 8월 결산기 ３분기 결산단신</t>
        </is>
      </c>
      <c r="C5" t="inlineStr">
        <is>
          <t>https://www2.jpx.co.jp/disc/40150/140120260714593073.pdf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https://www2.jpx.co.jp/disc/40150/140120260414503377.pdf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https://www2.jpx.co.jp/disc/40150/140120260114533260.pdf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https://www2.jpx.co.jp/disc/40150/140120251015573955.pdf</t>
        </is>
      </c>
    </row>
    <row r="9">
      <c r="A9" t="inlineStr">
        <is>
          <t>2025-07-14</t>
        </is>
      </c>
      <c r="B9" t="inlineStr">
        <is>
          <t>2025년 8월 결산기 ３분기 결산단신</t>
        </is>
      </c>
      <c r="C9" t="inlineStr">
        <is>
          <t>https://www2.jpx.co.jp/disc/40150/140120250711512724.pdf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https://www2.jpx.co.jp/disc/40150/140120250414514525.pdf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https://www2.jpx.co.jp/disc/40150/140120250110549558.pdf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https://www2.jpx.co.jp/disc/40150/140120241011597060.pdf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https://www2.jpx.co.jp/disc/40150/140120240712548511.pdf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https://www2.jpx.co.jp/disc/40150/140120240412569653.pdf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https://www2.jpx.co.jp/disc/40150/140120240112514106.pdf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https://www2.jpx.co.jp/disc/40150/140120231012566213.pdf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https://www2.jpx.co.jp/disc/40150/140120230714522320.pdf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https://www2.jpx.co.jp/disc/40150/140120230411545468.pdf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https://www2.jpx.co.jp/disc/40150/140120230113588976.pdf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https://www2.jpx.co.jp/disc/40150/140120221014544677.pdf</t>
        </is>
      </c>
    </row>
    <row r="21">
      <c r="A21" t="inlineStr">
        <is>
          <t>2022-07-15</t>
        </is>
      </c>
      <c r="B21" t="inlineStr">
        <is>
          <t>2022년 8월 결산기 ３분기 결산단신</t>
        </is>
      </c>
      <c r="C21" t="inlineStr">
        <is>
          <t>https://www2.jpx.co.jp/disc/40150/140120220714500244.pdf</t>
        </is>
      </c>
    </row>
    <row r="22">
      <c r="A22" t="inlineStr">
        <is>
          <t>2022-04-14</t>
        </is>
      </c>
      <c r="B22" t="inlineStr">
        <is>
          <t>2022년 8월 결산기 ２분기 결산단신</t>
        </is>
      </c>
      <c r="C22" t="inlineStr">
        <is>
          <t>https://www2.jpx.co.jp/disc/40150/140120220413521466.pdf</t>
        </is>
      </c>
    </row>
    <row r="23">
      <c r="A23" t="inlineStr">
        <is>
          <t>2022-01-14</t>
        </is>
      </c>
      <c r="B23" t="inlineStr">
        <is>
          <t>2022년 8월 결산기 １분기 결산단신</t>
        </is>
      </c>
      <c r="C23" t="inlineStr">
        <is>
          <t>https://www2.jpx.co.jp/disc/40150/140120220113567592.pdf</t>
        </is>
      </c>
    </row>
    <row r="24">
      <c r="A24" t="inlineStr">
        <is>
          <t>2021-10-14</t>
        </is>
      </c>
      <c r="B24" t="inlineStr">
        <is>
          <t>2021년 8월 결산기 연간 결산단신</t>
        </is>
      </c>
      <c r="C24" t="inlineStr">
        <is>
          <t>https://www2.jpx.co.jp/disc/40150/140120211014410958.pdf</t>
        </is>
      </c>
    </row>
    <row r="25">
      <c r="A25" t="inlineStr">
        <is>
          <t>2021-07-14</t>
        </is>
      </c>
      <c r="B25" t="inlineStr">
        <is>
          <t>2021년 8월 결산기 ３분기 결산단신</t>
        </is>
      </c>
      <c r="C25" t="inlineStr">
        <is>
          <t>https://www2.jpx.co.jp/disc/40150/140120210714466641.pdf</t>
        </is>
      </c>
    </row>
    <row r="26">
      <c r="A26" t="inlineStr">
        <is>
          <t>2021-04-13</t>
        </is>
      </c>
      <c r="B26" t="inlineStr">
        <is>
          <t>2021년 8월 결산기 ２분기 결산단신</t>
        </is>
      </c>
      <c r="C26" t="inlineStr">
        <is>
          <t>https://www2.jpx.co.jp/disc/40150/140120210413493493.pdf</t>
        </is>
      </c>
    </row>
    <row r="27">
      <c r="A27" t="inlineStr">
        <is>
          <t>2021-01-13</t>
        </is>
      </c>
      <c r="B27" t="inlineStr">
        <is>
          <t>2021년 8월 결산기 1분기 결산단신</t>
        </is>
      </c>
      <c r="C27" t="inlineStr">
        <is>
          <t>https://www2.jpx.co.jp/disc/40150/140120210113443478.pdf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2026-10-25T06:59:48Z</dcterms:created>
  <dcterms:modified xmlns:dcterms="http://purl.org/dc/terms/" xmlns:xsi="http://www.w3.org/2001/XMLSchema-instance" xsi:type="dcterms:W3CDTF">2026-10-25T06:59:48Z</dcterms:modified>
</cp:coreProperties>
</file>