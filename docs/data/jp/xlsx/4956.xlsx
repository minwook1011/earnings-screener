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4956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33473</v>
      </c>
      <c r="D4" s="12" t="n">
        <v>35535</v>
      </c>
      <c r="E4" s="12" t="n">
        <v>32117</v>
      </c>
      <c r="F4" s="12" t="n">
        <v>32223</v>
      </c>
      <c r="G4" s="12" t="n">
        <v>33460</v>
      </c>
      <c r="H4" s="12" t="n">
        <v>36863</v>
      </c>
      <c r="I4" s="12" t="n">
        <v>33144</v>
      </c>
      <c r="J4" s="12" t="n">
        <v>32241</v>
      </c>
      <c r="K4" s="12" t="n">
        <v>33292</v>
      </c>
      <c r="L4" s="12" t="n">
        <v>35445</v>
      </c>
      <c r="M4" s="12" t="n">
        <v>35591</v>
      </c>
      <c r="N4" s="12" t="n">
        <v>36202</v>
      </c>
      <c r="O4" s="11" t="n">
        <v>121349</v>
      </c>
      <c r="P4" s="12" t="n">
        <v>128492</v>
      </c>
      <c r="Q4" s="12" t="n">
        <v>134139</v>
      </c>
      <c r="R4" s="12" t="n">
        <v>135180</v>
      </c>
      <c r="S4" s="12" t="n">
        <v>107750</v>
      </c>
      <c r="T4" s="12" t="n">
        <v>113671</v>
      </c>
      <c r="U4" s="12" t="n">
        <v>123339</v>
      </c>
      <c r="V4" s="12" t="n">
        <v>132969</v>
      </c>
      <c r="W4" s="12" t="n">
        <v>135690</v>
      </c>
      <c r="X4" s="12" t="n">
        <v>136569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17939</v>
      </c>
      <c r="D7" s="20" t="n">
        <v>19503</v>
      </c>
      <c r="E7" s="20" t="n">
        <v>16740</v>
      </c>
      <c r="F7" s="20" t="n">
        <v>17672</v>
      </c>
      <c r="G7" s="20" t="n">
        <v>18740</v>
      </c>
      <c r="H7" s="20" t="n">
        <v>19905</v>
      </c>
      <c r="I7" s="20" t="n">
        <v>17581</v>
      </c>
      <c r="J7" s="20" t="n">
        <v>18029</v>
      </c>
      <c r="K7" s="20" t="n">
        <v>18644</v>
      </c>
      <c r="L7" s="20" t="n">
        <v>19639</v>
      </c>
      <c r="M7" s="20" t="n">
        <v>18003</v>
      </c>
      <c r="N7" s="20" t="n">
        <v>19702</v>
      </c>
      <c r="O7" s="19" t="n"/>
      <c r="P7" s="20" t="n"/>
      <c r="Q7" s="20" t="n"/>
      <c r="R7" s="20" t="n"/>
      <c r="S7" s="20" t="n"/>
      <c r="T7" s="20" t="n"/>
      <c r="U7" s="20" t="n"/>
      <c r="V7" s="20" t="n">
        <v>71627</v>
      </c>
      <c r="W7" s="20" t="n">
        <v>73898</v>
      </c>
      <c r="X7" s="20" t="n">
        <v>74315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10163</v>
      </c>
      <c r="D10" s="20" t="n">
        <v>10340</v>
      </c>
      <c r="E10" s="20" t="n">
        <v>9322</v>
      </c>
      <c r="F10" s="20" t="n">
        <v>9442</v>
      </c>
      <c r="G10" s="20" t="n">
        <v>8859</v>
      </c>
      <c r="H10" s="20" t="n">
        <v>9542</v>
      </c>
      <c r="I10" s="20" t="n">
        <v>9086</v>
      </c>
      <c r="J10" s="20" t="n">
        <v>9320</v>
      </c>
      <c r="K10" s="20" t="n">
        <v>9795</v>
      </c>
      <c r="L10" s="20" t="n">
        <v>10081</v>
      </c>
      <c r="M10" s="20" t="n">
        <v>9998</v>
      </c>
      <c r="N10" s="20" t="n">
        <v>10748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39305</v>
      </c>
      <c r="W10" s="20" t="n">
        <v>36929</v>
      </c>
      <c r="X10" s="20" t="n">
        <v>39194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/>
      <c r="D13" s="20" t="n">
        <v>5649</v>
      </c>
      <c r="E13" s="20" t="n">
        <v>6009</v>
      </c>
      <c r="F13" s="20" t="n"/>
      <c r="G13" s="20" t="n"/>
      <c r="H13" s="20" t="n">
        <v>7416</v>
      </c>
      <c r="I13" s="20" t="n">
        <v>6476</v>
      </c>
      <c r="J13" s="20" t="n"/>
      <c r="K13" s="20" t="n"/>
      <c r="L13" s="20" t="n">
        <v>5725</v>
      </c>
      <c r="M13" s="20" t="n">
        <v>7590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21857</v>
      </c>
      <c r="W13" s="20" t="n">
        <v>24861</v>
      </c>
      <c r="X13" s="20" t="n">
        <v>23059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44</v>
      </c>
      <c r="D16" s="20" t="n">
        <v>45</v>
      </c>
      <c r="E16" s="20" t="n">
        <v>45</v>
      </c>
      <c r="F16" s="20" t="n">
        <v>43</v>
      </c>
      <c r="G16" s="20" t="n">
        <v>47</v>
      </c>
      <c r="H16" s="20" t="n">
        <v>49</v>
      </c>
      <c r="I16" s="20" t="n">
        <v>47</v>
      </c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178</v>
      </c>
      <c r="W16" s="20" t="n">
        <v>186</v>
      </c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부문</t>
        </is>
      </c>
      <c r="B19" s="10" t="n"/>
      <c r="C19" s="19" t="n"/>
      <c r="D19" s="20" t="n"/>
      <c r="E19" s="20" t="n"/>
      <c r="F19" s="20" t="n">
        <v>5108</v>
      </c>
      <c r="G19" s="20" t="n"/>
      <c r="H19" s="20" t="n"/>
      <c r="I19" s="20" t="n"/>
      <c r="J19" s="20" t="n">
        <v>4892</v>
      </c>
      <c r="K19" s="20" t="n"/>
      <c r="L19" s="20" t="n"/>
      <c r="M19" s="20" t="n"/>
      <c r="N19" s="20" t="n">
        <v>5751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26796</v>
      </c>
      <c r="D23" s="20" t="n">
        <v>28157</v>
      </c>
      <c r="E23" s="20" t="n">
        <v>25805</v>
      </c>
      <c r="F23" s="20" t="n">
        <v>26019</v>
      </c>
      <c r="G23" s="20" t="n">
        <v>26656</v>
      </c>
      <c r="H23" s="20" t="n">
        <v>29018</v>
      </c>
      <c r="I23" s="20" t="n">
        <v>26498</v>
      </c>
      <c r="J23" s="20" t="n">
        <v>25777</v>
      </c>
      <c r="K23" s="20" t="n">
        <v>26569</v>
      </c>
      <c r="L23" s="20" t="n">
        <v>27955</v>
      </c>
      <c r="M23" s="20" t="n">
        <v>28227</v>
      </c>
      <c r="N23" s="20" t="n">
        <v>28547</v>
      </c>
      <c r="O23" s="19" t="n">
        <v>100049</v>
      </c>
      <c r="P23" s="20" t="n">
        <v>106188</v>
      </c>
      <c r="Q23" s="20" t="n">
        <v>111669</v>
      </c>
      <c r="R23" s="20" t="n">
        <v>112196</v>
      </c>
      <c r="S23" s="20" t="n">
        <v>85222</v>
      </c>
      <c r="T23" s="20" t="n">
        <v>90665</v>
      </c>
      <c r="U23" s="20" t="n">
        <v>99756</v>
      </c>
      <c r="V23" s="20" t="n">
        <v>106312</v>
      </c>
      <c r="W23" s="20" t="n">
        <v>108191</v>
      </c>
      <c r="X23" s="20" t="n">
        <v>108528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3939</v>
      </c>
      <c r="D27" s="20" t="n">
        <v>4082</v>
      </c>
      <c r="E27" s="20" t="n">
        <v>4262</v>
      </c>
      <c r="F27" s="20" t="n">
        <v>4102</v>
      </c>
      <c r="G27" s="20" t="n">
        <v>4057</v>
      </c>
      <c r="H27" s="20" t="n">
        <v>4277</v>
      </c>
      <c r="I27" s="20" t="n">
        <v>4507</v>
      </c>
      <c r="J27" s="20" t="n">
        <v>4327</v>
      </c>
      <c r="K27" s="20" t="n">
        <v>4238</v>
      </c>
      <c r="L27" s="20" t="n">
        <v>4527</v>
      </c>
      <c r="M27" s="20" t="n">
        <v>4485</v>
      </c>
      <c r="N27" s="20" t="n">
        <v>4398</v>
      </c>
      <c r="O27" s="19" t="n">
        <v>14463</v>
      </c>
      <c r="P27" s="20" t="n">
        <v>15065</v>
      </c>
      <c r="Q27" s="20" t="n">
        <v>15438</v>
      </c>
      <c r="R27" s="20" t="n">
        <v>15868</v>
      </c>
      <c r="S27" s="20" t="n">
        <v>15446</v>
      </c>
      <c r="T27" s="20" t="n">
        <v>15707</v>
      </c>
      <c r="U27" s="20" t="n">
        <v>16161</v>
      </c>
      <c r="V27" s="20" t="n">
        <v>16370</v>
      </c>
      <c r="W27" s="20" t="n">
        <v>16943</v>
      </c>
      <c r="X27" s="20" t="n">
        <v>17577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2737</v>
      </c>
      <c r="D28" s="12" t="n">
        <v>3296</v>
      </c>
      <c r="E28" s="12" t="n">
        <v>2051</v>
      </c>
      <c r="F28" s="12" t="n">
        <v>2101</v>
      </c>
      <c r="G28" s="12" t="n">
        <v>2747</v>
      </c>
      <c r="H28" s="12" t="n">
        <v>3568</v>
      </c>
      <c r="I28" s="12" t="n">
        <v>2139</v>
      </c>
      <c r="J28" s="12" t="n">
        <v>2136</v>
      </c>
      <c r="K28" s="12" t="n">
        <v>2486</v>
      </c>
      <c r="L28" s="12" t="n">
        <v>2962</v>
      </c>
      <c r="M28" s="12" t="n">
        <v>2880</v>
      </c>
      <c r="N28" s="12" t="n">
        <v>3257</v>
      </c>
      <c r="O28" s="11" t="n">
        <v>6836</v>
      </c>
      <c r="P28" s="12" t="n">
        <v>7238</v>
      </c>
      <c r="Q28" s="12" t="n">
        <v>7031</v>
      </c>
      <c r="R28" s="12" t="n">
        <v>7115</v>
      </c>
      <c r="S28" s="12" t="n">
        <v>7082</v>
      </c>
      <c r="T28" s="12" t="n">
        <v>7298</v>
      </c>
      <c r="U28" s="12" t="n">
        <v>7421</v>
      </c>
      <c r="V28" s="12" t="n">
        <v>10286</v>
      </c>
      <c r="W28" s="12" t="n">
        <v>10555</v>
      </c>
      <c r="X28" s="12" t="n">
        <v>10464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110</v>
      </c>
      <c r="D44" s="20" t="n">
        <v>93</v>
      </c>
      <c r="E44" s="20" t="n">
        <v>178</v>
      </c>
      <c r="F44" s="20" t="n">
        <v>1</v>
      </c>
      <c r="G44" s="20" t="n">
        <v>11</v>
      </c>
      <c r="H44" s="20" t="n">
        <v>76</v>
      </c>
      <c r="I44" s="20" t="n">
        <v>401</v>
      </c>
      <c r="J44" s="20" t="n">
        <v>2</v>
      </c>
      <c r="K44" s="20" t="n">
        <v>3</v>
      </c>
      <c r="L44" s="20" t="n">
        <v>878</v>
      </c>
      <c r="M44" s="20" t="n">
        <v>10</v>
      </c>
      <c r="N44" s="20" t="n">
        <v>51</v>
      </c>
      <c r="O44" s="19" t="n">
        <v>5</v>
      </c>
      <c r="P44" s="20" t="n">
        <v>222</v>
      </c>
      <c r="Q44" s="20" t="n">
        <v>36</v>
      </c>
      <c r="R44" s="20" t="n">
        <v>155</v>
      </c>
      <c r="S44" s="20" t="n">
        <v>430</v>
      </c>
      <c r="T44" s="20" t="n">
        <v>197</v>
      </c>
      <c r="U44" s="20" t="n">
        <v>7185</v>
      </c>
      <c r="V44" s="20" t="n">
        <v>381</v>
      </c>
      <c r="W44" s="20" t="n">
        <v>489</v>
      </c>
      <c r="X44" s="20" t="n">
        <v>893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87</v>
      </c>
      <c r="D46" s="20" t="n">
        <v>2</v>
      </c>
      <c r="E46" s="20" t="n">
        <v>33</v>
      </c>
      <c r="F46" s="20" t="n">
        <v>33</v>
      </c>
      <c r="G46" s="20" t="n">
        <v>125</v>
      </c>
      <c r="H46" s="20" t="n">
        <v>16</v>
      </c>
      <c r="I46" s="20" t="n">
        <v>6</v>
      </c>
      <c r="J46" s="20" t="n">
        <v>1</v>
      </c>
      <c r="K46" s="20" t="n">
        <v>0</v>
      </c>
      <c r="L46" s="20" t="n">
        <v>14</v>
      </c>
      <c r="M46" s="20" t="n">
        <v>22</v>
      </c>
      <c r="N46" s="20" t="n">
        <v>5</v>
      </c>
      <c r="O46" s="19" t="n">
        <v>245</v>
      </c>
      <c r="P46" s="20" t="n">
        <v>269</v>
      </c>
      <c r="Q46" s="20" t="n">
        <v>143</v>
      </c>
      <c r="R46" s="20" t="n">
        <v>147</v>
      </c>
      <c r="S46" s="20" t="n">
        <v>33</v>
      </c>
      <c r="T46" s="20" t="n">
        <v>40</v>
      </c>
      <c r="U46" s="20" t="n">
        <v>61</v>
      </c>
      <c r="V46" s="20" t="n">
        <v>147</v>
      </c>
      <c r="W46" s="20" t="n">
        <v>180</v>
      </c>
      <c r="X46" s="20" t="n">
        <v>37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115</v>
      </c>
      <c r="D48" s="20" t="n">
        <v>162</v>
      </c>
      <c r="E48" s="20" t="n">
        <v>149</v>
      </c>
      <c r="F48" s="20" t="n">
        <v>296</v>
      </c>
      <c r="G48" s="20" t="n">
        <v>107</v>
      </c>
      <c r="H48" s="20" t="n">
        <v>268</v>
      </c>
      <c r="I48" s="20" t="n">
        <v>186</v>
      </c>
      <c r="J48" s="20" t="n">
        <v>234</v>
      </c>
      <c r="K48" s="20" t="n">
        <v>158</v>
      </c>
      <c r="L48" s="20" t="n">
        <v>231</v>
      </c>
      <c r="M48" s="20" t="n">
        <v>193</v>
      </c>
      <c r="N48" s="20" t="n">
        <v>267</v>
      </c>
      <c r="O48" s="19" t="n">
        <v>404</v>
      </c>
      <c r="P48" s="20" t="n">
        <v>493</v>
      </c>
      <c r="Q48" s="20" t="n">
        <v>463</v>
      </c>
      <c r="R48" s="20" t="n">
        <v>487</v>
      </c>
      <c r="S48" s="20" t="n">
        <v>452</v>
      </c>
      <c r="T48" s="20" t="n">
        <v>577</v>
      </c>
      <c r="U48" s="20" t="n">
        <v>591</v>
      </c>
      <c r="V48" s="20" t="n">
        <v>661</v>
      </c>
      <c r="W48" s="20" t="n">
        <v>857</v>
      </c>
      <c r="X48" s="20" t="n">
        <v>816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62</v>
      </c>
      <c r="D50" s="20" t="n">
        <v>22</v>
      </c>
      <c r="E50" s="20" t="n">
        <v>37</v>
      </c>
      <c r="F50" s="20" t="n">
        <v>37</v>
      </c>
      <c r="G50" s="20" t="n">
        <v>48</v>
      </c>
      <c r="H50" s="20" t="n">
        <v>91</v>
      </c>
      <c r="I50" s="20" t="n">
        <v>42</v>
      </c>
      <c r="J50" s="20" t="n">
        <v>112</v>
      </c>
      <c r="K50" s="20" t="n">
        <v>37</v>
      </c>
      <c r="L50" s="20" t="n">
        <v>-12</v>
      </c>
      <c r="M50" s="20" t="n">
        <v>44</v>
      </c>
      <c r="N50" s="20" t="n">
        <v>43</v>
      </c>
      <c r="O50" s="19" t="n">
        <v>338</v>
      </c>
      <c r="P50" s="20" t="n">
        <v>400</v>
      </c>
      <c r="Q50" s="20" t="n">
        <v>311</v>
      </c>
      <c r="R50" s="20" t="n">
        <v>354</v>
      </c>
      <c r="S50" s="20" t="n">
        <v>110</v>
      </c>
      <c r="T50" s="20" t="n">
        <v>53</v>
      </c>
      <c r="U50" s="20" t="n">
        <v>85</v>
      </c>
      <c r="V50" s="20" t="n">
        <v>141</v>
      </c>
      <c r="W50" s="20" t="n">
        <v>218</v>
      </c>
      <c r="X50" s="20" t="n">
        <v>181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2815</v>
      </c>
      <c r="D52" s="12" t="n">
        <v>3527</v>
      </c>
      <c r="E52" s="12" t="n">
        <v>2308</v>
      </c>
      <c r="F52" s="12" t="n">
        <v>2328</v>
      </c>
      <c r="G52" s="12" t="n">
        <v>2692</v>
      </c>
      <c r="H52" s="12" t="n">
        <v>3806</v>
      </c>
      <c r="I52" s="12" t="n">
        <v>2677</v>
      </c>
      <c r="J52" s="12" t="n">
        <v>2258</v>
      </c>
      <c r="K52" s="12" t="n">
        <v>2611</v>
      </c>
      <c r="L52" s="12" t="n">
        <v>4069</v>
      </c>
      <c r="M52" s="12" t="n">
        <v>3016</v>
      </c>
      <c r="N52" s="12" t="n">
        <v>3527</v>
      </c>
      <c r="O52" s="11" t="n">
        <v>6662</v>
      </c>
      <c r="P52" s="12" t="n">
        <v>7283</v>
      </c>
      <c r="Q52" s="12" t="n">
        <v>7075</v>
      </c>
      <c r="R52" s="12" t="n">
        <v>7256</v>
      </c>
      <c r="S52" s="12" t="n">
        <v>7821</v>
      </c>
      <c r="T52" s="12" t="n">
        <v>7980</v>
      </c>
      <c r="U52" s="12" t="n">
        <v>15052</v>
      </c>
      <c r="V52" s="12" t="n">
        <v>11041</v>
      </c>
      <c r="W52" s="12" t="n">
        <v>11503</v>
      </c>
      <c r="X52" s="12" t="n">
        <v>11954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907</v>
      </c>
      <c r="D53" s="20" t="n">
        <v>1066</v>
      </c>
      <c r="E53" s="20" t="n">
        <v>609</v>
      </c>
      <c r="F53" s="20" t="n">
        <v>701</v>
      </c>
      <c r="G53" s="20" t="n">
        <v>868</v>
      </c>
      <c r="H53" s="20" t="n">
        <v>1150</v>
      </c>
      <c r="I53" s="20" t="n">
        <v>585</v>
      </c>
      <c r="J53" s="20" t="n">
        <v>710</v>
      </c>
      <c r="K53" s="20" t="n">
        <v>862</v>
      </c>
      <c r="L53" s="20" t="n">
        <v>1282</v>
      </c>
      <c r="M53" s="20" t="n">
        <v>1064</v>
      </c>
      <c r="N53" s="20" t="n">
        <v>1149</v>
      </c>
      <c r="O53" s="19" t="n">
        <v>2019</v>
      </c>
      <c r="P53" s="20" t="n">
        <v>2345</v>
      </c>
      <c r="Q53" s="20" t="n">
        <v>2395</v>
      </c>
      <c r="R53" s="20" t="n">
        <v>2422</v>
      </c>
      <c r="S53" s="20" t="n">
        <v>2605</v>
      </c>
      <c r="T53" s="20" t="n">
        <v>2573</v>
      </c>
      <c r="U53" s="20" t="n">
        <v>4709</v>
      </c>
      <c r="V53" s="20" t="n">
        <v>3295</v>
      </c>
      <c r="W53" s="20" t="n">
        <v>3304</v>
      </c>
      <c r="X53" s="20" t="n">
        <v>3918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1908</v>
      </c>
      <c r="D55" s="12" t="n">
        <v>2461</v>
      </c>
      <c r="E55" s="12" t="n">
        <v>1698</v>
      </c>
      <c r="F55" s="12" t="n">
        <v>1626</v>
      </c>
      <c r="G55" s="12" t="n">
        <v>1824</v>
      </c>
      <c r="H55" s="12" t="n">
        <v>2657</v>
      </c>
      <c r="I55" s="12" t="n">
        <v>2092</v>
      </c>
      <c r="J55" s="12" t="n">
        <v>1547</v>
      </c>
      <c r="K55" s="12" t="n">
        <v>1749</v>
      </c>
      <c r="L55" s="12" t="n">
        <v>2788</v>
      </c>
      <c r="M55" s="12" t="n">
        <v>1952</v>
      </c>
      <c r="N55" s="12" t="n">
        <v>2378</v>
      </c>
      <c r="O55" s="11" t="n">
        <v>4642</v>
      </c>
      <c r="P55" s="12" t="n">
        <v>4938</v>
      </c>
      <c r="Q55" s="12" t="n">
        <v>4679</v>
      </c>
      <c r="R55" s="12" t="n">
        <v>4834</v>
      </c>
      <c r="S55" s="12" t="n">
        <v>5215</v>
      </c>
      <c r="T55" s="12" t="n">
        <v>5406</v>
      </c>
      <c r="U55" s="12" t="n">
        <v>10342</v>
      </c>
      <c r="V55" s="12" t="n">
        <v>7745</v>
      </c>
      <c r="W55" s="12" t="n">
        <v>8199</v>
      </c>
      <c r="X55" s="12" t="n">
        <v>8036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1810</v>
      </c>
      <c r="D56" s="12" t="n">
        <v>2309</v>
      </c>
      <c r="E56" s="12" t="n">
        <v>1639</v>
      </c>
      <c r="F56" s="12" t="n">
        <v>1528</v>
      </c>
      <c r="G56" s="12" t="n">
        <v>1819</v>
      </c>
      <c r="H56" s="12" t="n">
        <v>2653</v>
      </c>
      <c r="I56" s="12" t="n">
        <v>2084</v>
      </c>
      <c r="J56" s="12" t="n">
        <v>1551</v>
      </c>
      <c r="K56" s="12" t="n">
        <v>1748</v>
      </c>
      <c r="L56" s="12" t="n">
        <v>2779</v>
      </c>
      <c r="M56" s="12" t="n">
        <v>1955</v>
      </c>
      <c r="N56" s="12" t="n">
        <v>2374</v>
      </c>
      <c r="O56" s="11" t="n">
        <v>4387</v>
      </c>
      <c r="P56" s="12" t="n">
        <v>4619</v>
      </c>
      <c r="Q56" s="12" t="n">
        <v>4404</v>
      </c>
      <c r="R56" s="12" t="n">
        <v>4585</v>
      </c>
      <c r="S56" s="12" t="n">
        <v>4931</v>
      </c>
      <c r="T56" s="12" t="n">
        <v>5135</v>
      </c>
      <c r="U56" s="12" t="n">
        <v>10032</v>
      </c>
      <c r="V56" s="12" t="n">
        <v>7344</v>
      </c>
      <c r="W56" s="12" t="n">
        <v>8084</v>
      </c>
      <c r="X56" s="12" t="n">
        <v>8033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33473</v>
      </c>
      <c r="D90" s="12" t="n">
        <v>35535</v>
      </c>
      <c r="E90" s="12" t="n">
        <v>32117</v>
      </c>
      <c r="F90" s="12" t="n">
        <v>32223</v>
      </c>
      <c r="G90" s="12" t="n">
        <v>33460</v>
      </c>
      <c r="H90" s="12" t="n">
        <v>36863</v>
      </c>
      <c r="I90" s="12" t="n">
        <v>33144</v>
      </c>
      <c r="J90" s="12" t="n">
        <v>32241</v>
      </c>
      <c r="K90" s="12" t="n">
        <v>33292</v>
      </c>
      <c r="L90" s="12" t="n">
        <v>35445</v>
      </c>
      <c r="M90" s="12" t="n">
        <v>35591</v>
      </c>
      <c r="N90" s="12" t="n">
        <v>36202</v>
      </c>
      <c r="T90" s="12" t="n">
        <v>29906</v>
      </c>
      <c r="U90" s="12" t="n">
        <v>32119</v>
      </c>
      <c r="V90" s="12" t="n">
        <v>32117</v>
      </c>
      <c r="W90" s="12" t="n">
        <v>33144</v>
      </c>
      <c r="X90" s="12" t="n">
        <v>35591</v>
      </c>
    </row>
    <row r="91">
      <c r="A91" s="18" t="inlineStr">
        <is>
          <t>매출원가</t>
        </is>
      </c>
      <c r="C91" s="20" t="n">
        <v>26796</v>
      </c>
      <c r="D91" s="20" t="n">
        <v>28157</v>
      </c>
      <c r="E91" s="20" t="n">
        <v>25805</v>
      </c>
      <c r="F91" s="20" t="n">
        <v>26019</v>
      </c>
      <c r="G91" s="20" t="n">
        <v>26656</v>
      </c>
      <c r="H91" s="20" t="n">
        <v>29018</v>
      </c>
      <c r="I91" s="20" t="n">
        <v>26498</v>
      </c>
      <c r="J91" s="20" t="n">
        <v>25777</v>
      </c>
      <c r="K91" s="20" t="n">
        <v>26569</v>
      </c>
      <c r="L91" s="20" t="n">
        <v>27955</v>
      </c>
      <c r="M91" s="20" t="n">
        <v>28227</v>
      </c>
      <c r="N91" s="20" t="n">
        <v>28547</v>
      </c>
      <c r="T91" s="20" t="n">
        <v>24137</v>
      </c>
      <c r="U91" s="20" t="n">
        <v>25947</v>
      </c>
      <c r="V91" s="20" t="n">
        <v>25805</v>
      </c>
      <c r="W91" s="20" t="n">
        <v>26498</v>
      </c>
      <c r="X91" s="20" t="n">
        <v>28227</v>
      </c>
    </row>
    <row r="92">
      <c r="A92" s="9" t="inlineStr">
        <is>
          <t>매출총이익</t>
        </is>
      </c>
      <c r="C92" s="12" t="n">
        <v>6677</v>
      </c>
      <c r="D92" s="12" t="n">
        <v>7378</v>
      </c>
      <c r="E92" s="12" t="n">
        <v>6313</v>
      </c>
      <c r="F92" s="12" t="n">
        <v>6203</v>
      </c>
      <c r="G92" s="12" t="n">
        <v>6805</v>
      </c>
      <c r="H92" s="12" t="n">
        <v>7845</v>
      </c>
      <c r="I92" s="12" t="n">
        <v>6645</v>
      </c>
      <c r="J92" s="12" t="n">
        <v>6463</v>
      </c>
      <c r="K92" s="12" t="n">
        <v>6724</v>
      </c>
      <c r="L92" s="12" t="n">
        <v>7490</v>
      </c>
      <c r="M92" s="12" t="n">
        <v>7364</v>
      </c>
      <c r="N92" s="12" t="n">
        <v>7655</v>
      </c>
      <c r="T92" s="12" t="n">
        <v>5770</v>
      </c>
      <c r="U92" s="12" t="n">
        <v>6172</v>
      </c>
      <c r="V92" s="12" t="n">
        <v>6313</v>
      </c>
      <c r="W92" s="12" t="n">
        <v>6645</v>
      </c>
      <c r="X92" s="12" t="n">
        <v>7364</v>
      </c>
    </row>
    <row r="93">
      <c r="A93" s="18" t="inlineStr">
        <is>
          <t>판매비와 관리비</t>
        </is>
      </c>
      <c r="C93" s="20" t="n">
        <v>3939</v>
      </c>
      <c r="D93" s="20" t="n">
        <v>4082</v>
      </c>
      <c r="E93" s="20" t="n">
        <v>4262</v>
      </c>
      <c r="F93" s="20" t="n">
        <v>4102</v>
      </c>
      <c r="G93" s="20" t="n">
        <v>4057</v>
      </c>
      <c r="H93" s="20" t="n">
        <v>4277</v>
      </c>
      <c r="I93" s="20" t="n">
        <v>4507</v>
      </c>
      <c r="J93" s="20" t="n">
        <v>4327</v>
      </c>
      <c r="K93" s="20" t="n">
        <v>4238</v>
      </c>
      <c r="L93" s="20" t="n">
        <v>4527</v>
      </c>
      <c r="M93" s="20" t="n">
        <v>4485</v>
      </c>
      <c r="N93" s="20" t="n">
        <v>4398</v>
      </c>
      <c r="T93" s="20" t="n">
        <v>3964</v>
      </c>
      <c r="U93" s="20" t="n">
        <v>3929</v>
      </c>
      <c r="V93" s="20" t="n">
        <v>4262</v>
      </c>
      <c r="W93" s="20" t="n">
        <v>4507</v>
      </c>
      <c r="X93" s="20" t="n">
        <v>4485</v>
      </c>
    </row>
    <row r="94">
      <c r="A94" s="9" t="inlineStr">
        <is>
          <t>영업이익</t>
        </is>
      </c>
      <c r="C94" s="12" t="n">
        <v>2737</v>
      </c>
      <c r="D94" s="12" t="n">
        <v>3296</v>
      </c>
      <c r="E94" s="12" t="n">
        <v>2051</v>
      </c>
      <c r="F94" s="12" t="n">
        <v>2101</v>
      </c>
      <c r="G94" s="12" t="n">
        <v>2747</v>
      </c>
      <c r="H94" s="12" t="n">
        <v>3568</v>
      </c>
      <c r="I94" s="12" t="n">
        <v>2139</v>
      </c>
      <c r="J94" s="12" t="n">
        <v>2136</v>
      </c>
      <c r="K94" s="12" t="n">
        <v>2486</v>
      </c>
      <c r="L94" s="12" t="n">
        <v>2962</v>
      </c>
      <c r="M94" s="12" t="n">
        <v>2880</v>
      </c>
      <c r="N94" s="12" t="n">
        <v>3257</v>
      </c>
      <c r="T94" s="12" t="n">
        <v>1805</v>
      </c>
      <c r="U94" s="12" t="n">
        <v>2243</v>
      </c>
      <c r="V94" s="12" t="n">
        <v>2051</v>
      </c>
      <c r="W94" s="12" t="n">
        <v>2139</v>
      </c>
      <c r="X94" s="12" t="n">
        <v>2880</v>
      </c>
    </row>
    <row r="95">
      <c r="A95" s="18" t="inlineStr">
        <is>
          <t>이자수익</t>
        </is>
      </c>
      <c r="C95" s="20" t="n">
        <v>6</v>
      </c>
      <c r="D95" s="20" t="n">
        <v>3</v>
      </c>
      <c r="E95" s="20" t="n">
        <v>20</v>
      </c>
      <c r="F95" s="20" t="n">
        <v>3</v>
      </c>
      <c r="G95" s="20" t="n">
        <v>10</v>
      </c>
      <c r="H95" s="20" t="n">
        <v>4</v>
      </c>
      <c r="I95" s="20" t="n">
        <v>34</v>
      </c>
      <c r="J95" s="20" t="n">
        <v>6</v>
      </c>
      <c r="K95" s="20" t="n">
        <v>24</v>
      </c>
      <c r="L95" s="20" t="n">
        <v>9</v>
      </c>
      <c r="M95" s="20" t="n">
        <v>39</v>
      </c>
      <c r="N95" s="20" t="n">
        <v>6</v>
      </c>
      <c r="T95" s="20" t="n">
        <v>8</v>
      </c>
      <c r="U95" s="20" t="n">
        <v>11</v>
      </c>
      <c r="V95" s="20" t="n">
        <v>20</v>
      </c>
      <c r="W95" s="20" t="n">
        <v>34</v>
      </c>
      <c r="X95" s="20" t="n">
        <v>39</v>
      </c>
    </row>
    <row r="96">
      <c r="A96" s="18" t="inlineStr">
        <is>
          <t>배당금수익</t>
        </is>
      </c>
      <c r="C96" s="20" t="n">
        <v>22</v>
      </c>
      <c r="D96" s="20" t="n">
        <v>115</v>
      </c>
      <c r="E96" s="20" t="n">
        <v>13</v>
      </c>
      <c r="F96" s="20" t="n">
        <v>130</v>
      </c>
      <c r="G96" s="20" t="n">
        <v>27</v>
      </c>
      <c r="H96" s="20" t="n">
        <v>125</v>
      </c>
      <c r="I96" s="20" t="n">
        <v>13</v>
      </c>
      <c r="J96" s="20" t="n">
        <v>131</v>
      </c>
      <c r="K96" s="20" t="n">
        <v>27</v>
      </c>
      <c r="L96" s="20" t="n">
        <v>132</v>
      </c>
      <c r="M96" s="20" t="n">
        <v>18</v>
      </c>
      <c r="N96" s="20" t="n">
        <v>147</v>
      </c>
      <c r="T96" s="20" t="n">
        <v>7</v>
      </c>
      <c r="U96" s="20" t="n">
        <v>7</v>
      </c>
      <c r="V96" s="20" t="n">
        <v>13</v>
      </c>
      <c r="W96" s="20" t="n">
        <v>13</v>
      </c>
      <c r="X96" s="20" t="n">
        <v>18</v>
      </c>
    </row>
    <row r="97">
      <c r="A97" s="18" t="inlineStr">
        <is>
          <t>Real Estate Rent NOI</t>
        </is>
      </c>
      <c r="F97" s="20" t="n">
        <v>47</v>
      </c>
      <c r="G97" s="20" t="n">
        <v>50</v>
      </c>
      <c r="H97" s="20" t="n">
        <v>52</v>
      </c>
      <c r="I97" s="20" t="n">
        <v>50</v>
      </c>
      <c r="J97" s="20" t="n">
        <v>50</v>
      </c>
      <c r="K97" s="20" t="n">
        <v>50</v>
      </c>
      <c r="L97" s="20" t="n">
        <v>51</v>
      </c>
      <c r="M97" s="20" t="n">
        <v>51</v>
      </c>
      <c r="N97" s="20" t="n">
        <v>50</v>
      </c>
      <c r="W97" s="20" t="n">
        <v>50</v>
      </c>
      <c r="X97" s="20" t="n">
        <v>51</v>
      </c>
    </row>
    <row r="98">
      <c r="A98" s="18" t="inlineStr">
        <is>
          <t>지분법이익</t>
        </is>
      </c>
      <c r="C98" s="20" t="n">
        <v>10</v>
      </c>
      <c r="D98" s="20" t="n">
        <v>9</v>
      </c>
      <c r="E98" s="20" t="n">
        <v>12</v>
      </c>
      <c r="F98" s="20" t="n">
        <v>8</v>
      </c>
      <c r="G98" s="20" t="n">
        <v>8</v>
      </c>
      <c r="H98" s="20" t="n">
        <v>6</v>
      </c>
      <c r="I98" s="20" t="n">
        <v>9</v>
      </c>
      <c r="J98" s="20" t="n">
        <v>8</v>
      </c>
      <c r="K98" s="20" t="n">
        <v>11</v>
      </c>
      <c r="L98" s="20" t="n">
        <v>12</v>
      </c>
      <c r="M98" s="20" t="n">
        <v>22</v>
      </c>
      <c r="N98" s="20" t="n">
        <v>4</v>
      </c>
      <c r="T98" s="20" t="n">
        <v>7</v>
      </c>
      <c r="U98" s="20" t="n">
        <v>12</v>
      </c>
      <c r="V98" s="20" t="n">
        <v>12</v>
      </c>
      <c r="W98" s="20" t="n">
        <v>9</v>
      </c>
      <c r="X98" s="20" t="n">
        <v>22</v>
      </c>
    </row>
    <row r="99">
      <c r="A99" s="18" t="inlineStr">
        <is>
          <t>외환차익</t>
        </is>
      </c>
      <c r="C99" s="20" t="n">
        <v>34</v>
      </c>
      <c r="F99" s="20" t="n">
        <v>63</v>
      </c>
      <c r="G99" s="20" t="n">
        <v>-58</v>
      </c>
      <c r="J99" s="20" t="n">
        <v>0</v>
      </c>
      <c r="K99" s="20" t="n">
        <v>0</v>
      </c>
    </row>
    <row r="100">
      <c r="A100" s="18" t="inlineStr">
        <is>
          <t>기타</t>
        </is>
      </c>
      <c r="C100" s="20" t="n">
        <v>44</v>
      </c>
      <c r="D100" s="20" t="n">
        <v>140</v>
      </c>
      <c r="E100" s="20" t="n">
        <v>105</v>
      </c>
      <c r="F100" s="20" t="n">
        <v>43</v>
      </c>
      <c r="G100" s="20" t="n">
        <v>70</v>
      </c>
      <c r="H100" s="20" t="n">
        <v>87</v>
      </c>
      <c r="I100" s="20" t="n">
        <v>79</v>
      </c>
      <c r="J100" s="20" t="n">
        <v>37</v>
      </c>
      <c r="K100" s="20" t="n">
        <v>47</v>
      </c>
      <c r="L100" s="20" t="n">
        <v>25</v>
      </c>
      <c r="M100" s="20" t="n">
        <v>63</v>
      </c>
      <c r="N100" s="20" t="n">
        <v>59</v>
      </c>
      <c r="T100" s="20" t="n">
        <v>134</v>
      </c>
      <c r="U100" s="20" t="n">
        <v>30</v>
      </c>
      <c r="V100" s="20" t="n">
        <v>105</v>
      </c>
      <c r="W100" s="20" t="n">
        <v>79</v>
      </c>
      <c r="X100" s="20" t="n">
        <v>63</v>
      </c>
    </row>
    <row r="101">
      <c r="A101" s="18" t="inlineStr">
        <is>
          <t>영업외수익 합계</t>
        </is>
      </c>
      <c r="C101" s="20" t="n">
        <v>115</v>
      </c>
      <c r="D101" s="20" t="n">
        <v>162</v>
      </c>
      <c r="E101" s="20" t="n">
        <v>149</v>
      </c>
      <c r="F101" s="20" t="n">
        <v>296</v>
      </c>
      <c r="G101" s="20" t="n">
        <v>107</v>
      </c>
      <c r="H101" s="20" t="n">
        <v>268</v>
      </c>
      <c r="I101" s="20" t="n">
        <v>186</v>
      </c>
      <c r="J101" s="20" t="n">
        <v>234</v>
      </c>
      <c r="K101" s="20" t="n">
        <v>158</v>
      </c>
      <c r="L101" s="20" t="n">
        <v>231</v>
      </c>
      <c r="M101" s="20" t="n">
        <v>193</v>
      </c>
      <c r="N101" s="20" t="n">
        <v>267</v>
      </c>
      <c r="T101" s="20" t="n">
        <v>156</v>
      </c>
      <c r="U101" s="20" t="n">
        <v>112</v>
      </c>
      <c r="V101" s="20" t="n">
        <v>149</v>
      </c>
      <c r="W101" s="20" t="n">
        <v>186</v>
      </c>
      <c r="X101" s="20" t="n">
        <v>193</v>
      </c>
    </row>
    <row r="102">
      <c r="A102" s="18" t="inlineStr">
        <is>
          <t>이자비용</t>
        </is>
      </c>
      <c r="C102" s="20" t="n">
        <v>2</v>
      </c>
      <c r="D102" s="20" t="n">
        <v>4</v>
      </c>
      <c r="E102" s="20" t="n">
        <v>2</v>
      </c>
      <c r="F102" s="20" t="n">
        <v>2</v>
      </c>
      <c r="G102" s="20" t="n">
        <v>3</v>
      </c>
      <c r="H102" s="20" t="n">
        <v>1</v>
      </c>
      <c r="I102" s="20" t="n">
        <v>4</v>
      </c>
      <c r="J102" s="20" t="n">
        <v>5</v>
      </c>
      <c r="K102" s="20" t="n">
        <v>5</v>
      </c>
      <c r="L102" s="20" t="n">
        <v>6</v>
      </c>
      <c r="M102" s="20" t="n">
        <v>4</v>
      </c>
      <c r="N102" s="20" t="n">
        <v>6</v>
      </c>
      <c r="T102" s="20" t="n">
        <v>2</v>
      </c>
      <c r="U102" s="20" t="n">
        <v>3</v>
      </c>
      <c r="V102" s="20" t="n">
        <v>2</v>
      </c>
      <c r="W102" s="20" t="n">
        <v>4</v>
      </c>
      <c r="X102" s="20" t="n">
        <v>4</v>
      </c>
    </row>
    <row r="103">
      <c r="A103" s="18" t="inlineStr">
        <is>
          <t>지급수수료</t>
        </is>
      </c>
      <c r="D103" s="20" t="n">
        <v>0</v>
      </c>
      <c r="E103" s="20" t="n">
        <v>2</v>
      </c>
      <c r="I103" s="20" t="n">
        <v>0</v>
      </c>
      <c r="U103" s="20" t="n">
        <v>0</v>
      </c>
      <c r="V103" s="20" t="n">
        <v>2</v>
      </c>
      <c r="W103" s="20" t="n">
        <v>0</v>
      </c>
    </row>
    <row r="104">
      <c r="A104" s="18" t="inlineStr">
        <is>
          <t>Rent Cost Of Real Estate NOE</t>
        </is>
      </c>
      <c r="F104" s="20" t="n">
        <v>23</v>
      </c>
      <c r="G104" s="20" t="n">
        <v>29</v>
      </c>
      <c r="H104" s="20" t="n">
        <v>17</v>
      </c>
      <c r="I104" s="20" t="n">
        <v>23</v>
      </c>
      <c r="J104" s="20" t="n">
        <v>19</v>
      </c>
      <c r="K104" s="20" t="n">
        <v>22</v>
      </c>
      <c r="L104" s="20" t="n">
        <v>22</v>
      </c>
      <c r="M104" s="20" t="n">
        <v>23</v>
      </c>
      <c r="N104" s="20" t="n">
        <v>20</v>
      </c>
      <c r="W104" s="20" t="n">
        <v>23</v>
      </c>
      <c r="X104" s="20" t="n">
        <v>23</v>
      </c>
    </row>
    <row r="105">
      <c r="A105" s="18" t="inlineStr">
        <is>
          <t>외환차손</t>
        </is>
      </c>
      <c r="F105" s="20" t="n">
        <v>0</v>
      </c>
      <c r="G105" s="20" t="n">
        <v>0</v>
      </c>
      <c r="J105" s="20" t="n">
        <v>68</v>
      </c>
      <c r="K105" s="20" t="n">
        <v>-7</v>
      </c>
      <c r="N105" s="20" t="n">
        <v>0</v>
      </c>
    </row>
    <row r="106">
      <c r="A106" s="18" t="inlineStr">
        <is>
          <t>감가상각비</t>
        </is>
      </c>
      <c r="C106" s="20" t="n">
        <v>13</v>
      </c>
      <c r="D106" s="20" t="n">
        <v>8</v>
      </c>
      <c r="E106" s="20" t="n">
        <v>13</v>
      </c>
      <c r="F106" s="20" t="n">
        <v>6</v>
      </c>
      <c r="G106" s="20" t="n">
        <v>7</v>
      </c>
      <c r="H106" s="20" t="n">
        <v>7</v>
      </c>
      <c r="I106" s="20" t="n">
        <v>10</v>
      </c>
      <c r="J106" s="20" t="n">
        <v>11</v>
      </c>
      <c r="M106" s="20" t="n">
        <v>9</v>
      </c>
      <c r="N106" s="20" t="n">
        <v>9</v>
      </c>
      <c r="T106" s="20" t="n">
        <v>6</v>
      </c>
      <c r="U106" s="20" t="n">
        <v>16</v>
      </c>
      <c r="V106" s="20" t="n">
        <v>13</v>
      </c>
      <c r="W106" s="20" t="n">
        <v>10</v>
      </c>
      <c r="X106" s="20" t="n">
        <v>9</v>
      </c>
    </row>
    <row r="107">
      <c r="A107" s="18" t="inlineStr">
        <is>
          <t>보상비 지급</t>
        </is>
      </c>
      <c r="T107" s="20" t="n">
        <v>5</v>
      </c>
      <c r="U107" s="20" t="n">
        <v>7</v>
      </c>
    </row>
    <row r="108">
      <c r="A108" s="18" t="inlineStr">
        <is>
          <t>기타</t>
        </is>
      </c>
      <c r="C108" s="20" t="n">
        <v>46</v>
      </c>
      <c r="D108" s="20" t="n">
        <v>-1</v>
      </c>
      <c r="E108" s="20" t="n">
        <v>-13</v>
      </c>
      <c r="F108" s="20" t="n">
        <v>5</v>
      </c>
      <c r="G108" s="20" t="n">
        <v>22</v>
      </c>
      <c r="H108" s="20" t="n">
        <v>52</v>
      </c>
      <c r="I108" s="20" t="n">
        <v>7</v>
      </c>
      <c r="J108" s="20" t="n">
        <v>7</v>
      </c>
      <c r="K108" s="20" t="n">
        <v>29</v>
      </c>
      <c r="L108" s="20" t="n">
        <v>-14</v>
      </c>
      <c r="M108" s="20" t="n">
        <v>8</v>
      </c>
      <c r="N108" s="20" t="n">
        <v>7</v>
      </c>
      <c r="T108" s="20" t="n">
        <v>0</v>
      </c>
      <c r="U108" s="20" t="n">
        <v>11</v>
      </c>
      <c r="V108" s="20" t="n">
        <v>-13</v>
      </c>
      <c r="W108" s="20" t="n">
        <v>7</v>
      </c>
      <c r="X108" s="20" t="n">
        <v>8</v>
      </c>
    </row>
    <row r="109">
      <c r="A109" s="18" t="inlineStr">
        <is>
          <t>영업외비용 합계</t>
        </is>
      </c>
      <c r="C109" s="20" t="n">
        <v>62</v>
      </c>
      <c r="D109" s="20" t="n">
        <v>22</v>
      </c>
      <c r="E109" s="20" t="n">
        <v>37</v>
      </c>
      <c r="F109" s="20" t="n">
        <v>37</v>
      </c>
      <c r="G109" s="20" t="n">
        <v>48</v>
      </c>
      <c r="H109" s="20" t="n">
        <v>91</v>
      </c>
      <c r="I109" s="20" t="n">
        <v>42</v>
      </c>
      <c r="J109" s="20" t="n">
        <v>112</v>
      </c>
      <c r="K109" s="20" t="n">
        <v>37</v>
      </c>
      <c r="L109" s="20" t="n">
        <v>-12</v>
      </c>
      <c r="M109" s="20" t="n">
        <v>44</v>
      </c>
      <c r="N109" s="20" t="n">
        <v>43</v>
      </c>
      <c r="T109" s="20" t="n">
        <v>13</v>
      </c>
      <c r="U109" s="20" t="n">
        <v>30</v>
      </c>
      <c r="V109" s="20" t="n">
        <v>37</v>
      </c>
      <c r="W109" s="20" t="n">
        <v>42</v>
      </c>
      <c r="X109" s="20" t="n">
        <v>44</v>
      </c>
    </row>
    <row r="110">
      <c r="A110" s="9" t="inlineStr">
        <is>
          <t>경상이익</t>
        </is>
      </c>
      <c r="C110" s="12" t="n">
        <v>2792</v>
      </c>
      <c r="D110" s="12" t="n">
        <v>3436</v>
      </c>
      <c r="E110" s="12" t="n">
        <v>2162</v>
      </c>
      <c r="F110" s="12" t="n">
        <v>2359</v>
      </c>
      <c r="G110" s="12" t="n">
        <v>2807</v>
      </c>
      <c r="H110" s="12" t="n">
        <v>3745</v>
      </c>
      <c r="I110" s="12" t="n">
        <v>2283</v>
      </c>
      <c r="J110" s="12" t="n">
        <v>2258</v>
      </c>
      <c r="K110" s="12" t="n">
        <v>2607</v>
      </c>
      <c r="L110" s="12" t="n">
        <v>3205</v>
      </c>
      <c r="M110" s="12" t="n">
        <v>3028</v>
      </c>
      <c r="N110" s="12" t="n">
        <v>3481</v>
      </c>
      <c r="T110" s="12" t="n">
        <v>1947</v>
      </c>
      <c r="U110" s="12" t="n">
        <v>2325</v>
      </c>
      <c r="V110" s="12" t="n">
        <v>2162</v>
      </c>
      <c r="W110" s="12" t="n">
        <v>2283</v>
      </c>
      <c r="X110" s="12" t="n">
        <v>3028</v>
      </c>
    </row>
    <row r="111">
      <c r="A111" s="18" t="inlineStr">
        <is>
          <t>투자유가증권 매각이익</t>
        </is>
      </c>
      <c r="D111" s="20" t="n">
        <v>0</v>
      </c>
      <c r="E111" s="20" t="n">
        <v>177</v>
      </c>
      <c r="F111" s="20" t="n">
        <v>0</v>
      </c>
      <c r="G111" s="20" t="n">
        <v>0</v>
      </c>
      <c r="H111" s="20" t="n">
        <v>0</v>
      </c>
      <c r="I111" s="20" t="n">
        <v>397</v>
      </c>
      <c r="J111" s="20" t="n">
        <v>0</v>
      </c>
      <c r="K111" s="20" t="n">
        <v>0</v>
      </c>
      <c r="L111" s="20" t="n">
        <v>875</v>
      </c>
      <c r="M111" s="20" t="n">
        <v>0</v>
      </c>
      <c r="N111" s="20" t="n">
        <v>50</v>
      </c>
      <c r="U111" s="20" t="n">
        <v>0</v>
      </c>
      <c r="V111" s="20" t="n">
        <v>177</v>
      </c>
      <c r="W111" s="20" t="n">
        <v>397</v>
      </c>
      <c r="X111" s="20" t="n">
        <v>0</v>
      </c>
    </row>
    <row r="112">
      <c r="A112" s="18" t="inlineStr">
        <is>
          <t>고정자산 매각이익</t>
        </is>
      </c>
      <c r="C112" s="20" t="n">
        <v>2</v>
      </c>
      <c r="D112" s="20" t="n">
        <v>1</v>
      </c>
      <c r="E112" s="20" t="n">
        <v>0</v>
      </c>
      <c r="F112" s="20" t="n">
        <v>1</v>
      </c>
      <c r="G112" s="20" t="n">
        <v>11</v>
      </c>
      <c r="H112" s="20" t="n">
        <v>76</v>
      </c>
      <c r="I112" s="20" t="n">
        <v>4</v>
      </c>
      <c r="J112" s="20" t="n">
        <v>1</v>
      </c>
      <c r="K112" s="20" t="n">
        <v>4</v>
      </c>
      <c r="L112" s="20" t="n">
        <v>3</v>
      </c>
      <c r="M112" s="20" t="n">
        <v>10</v>
      </c>
      <c r="N112" s="20" t="n">
        <v>1</v>
      </c>
      <c r="T112" s="20" t="n">
        <v>3</v>
      </c>
      <c r="U112" s="20" t="n">
        <v>0</v>
      </c>
      <c r="V112" s="20" t="n">
        <v>0</v>
      </c>
      <c r="W112" s="20" t="n">
        <v>4</v>
      </c>
      <c r="X112" s="20" t="n">
        <v>10</v>
      </c>
    </row>
    <row r="113">
      <c r="A113" s="18" t="inlineStr">
        <is>
          <t>기타</t>
        </is>
      </c>
      <c r="T113" s="20" t="n">
        <v>135</v>
      </c>
      <c r="U113" s="20" t="n">
        <v>0</v>
      </c>
    </row>
    <row r="114">
      <c r="A114" s="18" t="inlineStr">
        <is>
          <t>보험금 수익</t>
        </is>
      </c>
      <c r="E114" s="20" t="n">
        <v>0</v>
      </c>
      <c r="I114" s="20" t="n">
        <v>0</v>
      </c>
      <c r="U114" s="20" t="n">
        <v>0</v>
      </c>
      <c r="V114" s="20" t="n">
        <v>0</v>
      </c>
      <c r="W114" s="20" t="n">
        <v>0</v>
      </c>
    </row>
    <row r="115">
      <c r="A115" s="18" t="inlineStr">
        <is>
          <t>특별이익 합계</t>
        </is>
      </c>
      <c r="C115" s="20" t="n">
        <v>110</v>
      </c>
      <c r="D115" s="20" t="n">
        <v>93</v>
      </c>
      <c r="E115" s="20" t="n">
        <v>178</v>
      </c>
      <c r="F115" s="20" t="n">
        <v>1</v>
      </c>
      <c r="G115" s="20" t="n">
        <v>11</v>
      </c>
      <c r="H115" s="20" t="n">
        <v>76</v>
      </c>
      <c r="I115" s="20" t="n">
        <v>401</v>
      </c>
      <c r="J115" s="20" t="n">
        <v>2</v>
      </c>
      <c r="K115" s="20" t="n">
        <v>3</v>
      </c>
      <c r="L115" s="20" t="n">
        <v>878</v>
      </c>
      <c r="M115" s="20" t="n">
        <v>10</v>
      </c>
      <c r="N115" s="20" t="n">
        <v>51</v>
      </c>
      <c r="T115" s="20" t="n">
        <v>137</v>
      </c>
      <c r="U115" s="20" t="n">
        <v>0</v>
      </c>
      <c r="V115" s="20" t="n">
        <v>178</v>
      </c>
      <c r="W115" s="20" t="n">
        <v>401</v>
      </c>
      <c r="X115" s="20" t="n">
        <v>10</v>
      </c>
    </row>
    <row r="116">
      <c r="A116" s="18" t="inlineStr">
        <is>
          <t>투자유가증권 매각손실</t>
        </is>
      </c>
      <c r="I116" s="20" t="n">
        <v>0</v>
      </c>
      <c r="J116" s="20" t="n">
        <v>0</v>
      </c>
      <c r="M116" s="20" t="n">
        <v>0</v>
      </c>
      <c r="N116" s="20" t="n">
        <v>3</v>
      </c>
      <c r="W116" s="20" t="n">
        <v>0</v>
      </c>
      <c r="X116" s="20" t="n">
        <v>0</v>
      </c>
    </row>
    <row r="117">
      <c r="A117" s="18" t="inlineStr">
        <is>
          <t>고정자산 처분손실</t>
        </is>
      </c>
      <c r="C117" s="20" t="n">
        <v>0</v>
      </c>
      <c r="D117" s="20" t="n">
        <v>3</v>
      </c>
      <c r="E117" s="20" t="n">
        <v>32</v>
      </c>
      <c r="F117" s="20" t="n">
        <v>33</v>
      </c>
      <c r="G117" s="20" t="n">
        <v>125</v>
      </c>
      <c r="H117" s="20" t="n">
        <v>16</v>
      </c>
      <c r="I117" s="20" t="n">
        <v>6</v>
      </c>
      <c r="J117" s="20" t="n">
        <v>1</v>
      </c>
      <c r="K117" s="20" t="n">
        <v>0</v>
      </c>
      <c r="L117" s="20" t="n">
        <v>5</v>
      </c>
      <c r="M117" s="20" t="n">
        <v>2</v>
      </c>
      <c r="N117" s="20" t="n">
        <v>2</v>
      </c>
      <c r="T117" s="20" t="n">
        <v>30</v>
      </c>
      <c r="U117" s="20" t="n">
        <v>20</v>
      </c>
      <c r="V117" s="20" t="n">
        <v>32</v>
      </c>
      <c r="W117" s="20" t="n">
        <v>6</v>
      </c>
      <c r="X117" s="20" t="n">
        <v>2</v>
      </c>
    </row>
    <row r="118">
      <c r="A118" s="18" t="inlineStr">
        <is>
          <t>대손손실</t>
        </is>
      </c>
      <c r="E118" s="20" t="n">
        <v>0</v>
      </c>
      <c r="I118" s="20" t="n">
        <v>0</v>
      </c>
      <c r="U118" s="20" t="n">
        <v>0</v>
      </c>
      <c r="V118" s="20" t="n">
        <v>0</v>
      </c>
      <c r="W118" s="20" t="n">
        <v>0</v>
      </c>
    </row>
    <row r="119">
      <c r="A119" s="18" t="inlineStr">
        <is>
          <t>기타</t>
        </is>
      </c>
      <c r="C119" s="20" t="n">
        <v>1</v>
      </c>
      <c r="D119" s="20" t="n">
        <v>1</v>
      </c>
      <c r="E119" s="20" t="n">
        <v>0</v>
      </c>
      <c r="H119" s="20" t="n">
        <v>0</v>
      </c>
      <c r="I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</row>
    <row r="120">
      <c r="A120" s="18" t="inlineStr">
        <is>
          <t>특별손실 합계</t>
        </is>
      </c>
      <c r="C120" s="20" t="n">
        <v>87</v>
      </c>
      <c r="D120" s="20" t="n">
        <v>2</v>
      </c>
      <c r="E120" s="20" t="n">
        <v>33</v>
      </c>
      <c r="F120" s="20" t="n">
        <v>33</v>
      </c>
      <c r="G120" s="20" t="n">
        <v>125</v>
      </c>
      <c r="H120" s="20" t="n">
        <v>16</v>
      </c>
      <c r="I120" s="20" t="n">
        <v>6</v>
      </c>
      <c r="J120" s="20" t="n">
        <v>1</v>
      </c>
      <c r="K120" s="20" t="n">
        <v>0</v>
      </c>
      <c r="L120" s="20" t="n">
        <v>14</v>
      </c>
      <c r="M120" s="20" t="n">
        <v>22</v>
      </c>
      <c r="N120" s="20" t="n">
        <v>5</v>
      </c>
      <c r="T120" s="20" t="n">
        <v>29</v>
      </c>
      <c r="U120" s="20" t="n">
        <v>21</v>
      </c>
      <c r="V120" s="20" t="n">
        <v>33</v>
      </c>
      <c r="W120" s="20" t="n">
        <v>6</v>
      </c>
      <c r="X120" s="20" t="n">
        <v>22</v>
      </c>
    </row>
    <row r="121">
      <c r="A121" s="9" t="inlineStr">
        <is>
          <t>법인세차감전 순이익</t>
        </is>
      </c>
      <c r="C121" s="12" t="n">
        <v>2815</v>
      </c>
      <c r="D121" s="12" t="n">
        <v>3527</v>
      </c>
      <c r="E121" s="12" t="n">
        <v>2308</v>
      </c>
      <c r="F121" s="12" t="n">
        <v>2328</v>
      </c>
      <c r="G121" s="12" t="n">
        <v>2692</v>
      </c>
      <c r="H121" s="12" t="n">
        <v>3806</v>
      </c>
      <c r="I121" s="12" t="n">
        <v>2677</v>
      </c>
      <c r="J121" s="12" t="n">
        <v>2258</v>
      </c>
      <c r="K121" s="12" t="n">
        <v>2611</v>
      </c>
      <c r="L121" s="12" t="n">
        <v>4069</v>
      </c>
      <c r="M121" s="12" t="n">
        <v>3016</v>
      </c>
      <c r="N121" s="12" t="n">
        <v>3527</v>
      </c>
      <c r="T121" s="12" t="n">
        <v>2056</v>
      </c>
      <c r="U121" s="12" t="n">
        <v>2305</v>
      </c>
      <c r="V121" s="12" t="n">
        <v>2308</v>
      </c>
      <c r="W121" s="12" t="n">
        <v>2677</v>
      </c>
      <c r="X121" s="12" t="n">
        <v>3016</v>
      </c>
    </row>
    <row r="122">
      <c r="A122" s="18" t="inlineStr">
        <is>
          <t>법인세·주민세·사업세</t>
        </is>
      </c>
      <c r="C122" s="20" t="n">
        <v>1193</v>
      </c>
      <c r="D122" s="20" t="n">
        <v>768</v>
      </c>
      <c r="E122" s="20" t="n">
        <v>1028</v>
      </c>
      <c r="F122" s="20" t="n">
        <v>375</v>
      </c>
      <c r="G122" s="20" t="n">
        <v>1142</v>
      </c>
      <c r="H122" s="20" t="n">
        <v>863</v>
      </c>
      <c r="I122" s="20" t="n">
        <v>962</v>
      </c>
      <c r="J122" s="20" t="n">
        <v>329</v>
      </c>
      <c r="K122" s="20" t="n">
        <v>1121</v>
      </c>
      <c r="L122" s="20" t="n">
        <v>994</v>
      </c>
      <c r="M122" s="20" t="n">
        <v>1387</v>
      </c>
      <c r="N122" s="20" t="n">
        <v>810</v>
      </c>
      <c r="T122" s="20" t="n">
        <v>1008</v>
      </c>
      <c r="U122" s="20" t="n">
        <v>868</v>
      </c>
      <c r="V122" s="20" t="n">
        <v>1028</v>
      </c>
      <c r="W122" s="20" t="n">
        <v>962</v>
      </c>
      <c r="X122" s="20" t="n">
        <v>1387</v>
      </c>
    </row>
    <row r="123">
      <c r="A123" s="18" t="inlineStr">
        <is>
          <t>법인세 조정액</t>
        </is>
      </c>
      <c r="C123" s="20" t="n">
        <v>-285</v>
      </c>
      <c r="D123" s="20" t="n">
        <v>297</v>
      </c>
      <c r="E123" s="20" t="n">
        <v>-417</v>
      </c>
      <c r="F123" s="20" t="n">
        <v>325</v>
      </c>
      <c r="G123" s="20" t="n">
        <v>-273</v>
      </c>
      <c r="H123" s="20" t="n">
        <v>286</v>
      </c>
      <c r="I123" s="20" t="n">
        <v>-376</v>
      </c>
      <c r="J123" s="20" t="n">
        <v>381</v>
      </c>
      <c r="K123" s="20" t="n">
        <v>-259</v>
      </c>
      <c r="L123" s="20" t="n">
        <v>288</v>
      </c>
      <c r="M123" s="20" t="n">
        <v>-323</v>
      </c>
      <c r="N123" s="20" t="n">
        <v>338</v>
      </c>
      <c r="T123" s="20" t="n">
        <v>-305</v>
      </c>
      <c r="U123" s="20" t="n">
        <v>-170</v>
      </c>
      <c r="V123" s="20" t="n">
        <v>-417</v>
      </c>
      <c r="W123" s="20" t="n">
        <v>-376</v>
      </c>
      <c r="X123" s="20" t="n">
        <v>-323</v>
      </c>
    </row>
    <row r="124">
      <c r="A124" s="18" t="inlineStr">
        <is>
          <t>법인세 등 합계</t>
        </is>
      </c>
      <c r="C124" s="20" t="n">
        <v>907</v>
      </c>
      <c r="D124" s="20" t="n">
        <v>1066</v>
      </c>
      <c r="E124" s="20" t="n">
        <v>609</v>
      </c>
      <c r="F124" s="20" t="n">
        <v>701</v>
      </c>
      <c r="G124" s="20" t="n">
        <v>868</v>
      </c>
      <c r="H124" s="20" t="n">
        <v>1150</v>
      </c>
      <c r="I124" s="20" t="n">
        <v>585</v>
      </c>
      <c r="J124" s="20" t="n">
        <v>710</v>
      </c>
      <c r="K124" s="20" t="n">
        <v>862</v>
      </c>
      <c r="L124" s="20" t="n">
        <v>1282</v>
      </c>
      <c r="M124" s="20" t="n">
        <v>1064</v>
      </c>
      <c r="N124" s="20" t="n">
        <v>1149</v>
      </c>
      <c r="T124" s="20" t="n">
        <v>702</v>
      </c>
      <c r="U124" s="20" t="n">
        <v>699</v>
      </c>
      <c r="V124" s="20" t="n">
        <v>609</v>
      </c>
      <c r="W124" s="20" t="n">
        <v>585</v>
      </c>
      <c r="X124" s="20" t="n">
        <v>1064</v>
      </c>
    </row>
    <row r="125">
      <c r="A125" s="9" t="inlineStr">
        <is>
          <t>순이익</t>
        </is>
      </c>
      <c r="C125" s="12" t="n">
        <v>1908</v>
      </c>
      <c r="D125" s="12" t="n">
        <v>2461</v>
      </c>
      <c r="E125" s="12" t="n">
        <v>1698</v>
      </c>
      <c r="F125" s="12" t="n">
        <v>1626</v>
      </c>
      <c r="G125" s="12" t="n">
        <v>1824</v>
      </c>
      <c r="H125" s="12" t="n">
        <v>2657</v>
      </c>
      <c r="I125" s="12" t="n">
        <v>2092</v>
      </c>
      <c r="J125" s="12" t="n">
        <v>1547</v>
      </c>
      <c r="K125" s="12" t="n">
        <v>1749</v>
      </c>
      <c r="L125" s="12" t="n">
        <v>2788</v>
      </c>
      <c r="M125" s="12" t="n">
        <v>1952</v>
      </c>
      <c r="N125" s="12" t="n">
        <v>2378</v>
      </c>
      <c r="T125" s="12" t="n">
        <v>1353</v>
      </c>
      <c r="U125" s="12" t="n">
        <v>1606</v>
      </c>
      <c r="V125" s="12" t="n">
        <v>1698</v>
      </c>
      <c r="W125" s="12" t="n">
        <v>2092</v>
      </c>
      <c r="X125" s="12" t="n">
        <v>1952</v>
      </c>
    </row>
    <row r="126">
      <c r="A126" s="9" t="inlineStr">
        <is>
          <t>비지배주주 순손익</t>
        </is>
      </c>
      <c r="C126" s="12" t="n">
        <v>97</v>
      </c>
      <c r="D126" s="12" t="n">
        <v>152</v>
      </c>
      <c r="E126" s="12" t="n">
        <v>60</v>
      </c>
      <c r="F126" s="12" t="n">
        <v>98</v>
      </c>
      <c r="G126" s="12" t="n">
        <v>4</v>
      </c>
      <c r="H126" s="12" t="n">
        <v>4</v>
      </c>
      <c r="I126" s="12" t="n">
        <v>8</v>
      </c>
      <c r="J126" s="12" t="n">
        <v>-3</v>
      </c>
      <c r="K126" s="12" t="n">
        <v>1</v>
      </c>
      <c r="L126" s="12" t="n">
        <v>7</v>
      </c>
      <c r="M126" s="12" t="n">
        <v>-2</v>
      </c>
      <c r="N126" s="12" t="n">
        <v>4</v>
      </c>
      <c r="T126" s="12" t="n">
        <v>57</v>
      </c>
      <c r="U126" s="12" t="n">
        <v>64</v>
      </c>
      <c r="V126" s="12" t="n">
        <v>60</v>
      </c>
      <c r="W126" s="12" t="n">
        <v>8</v>
      </c>
      <c r="X126" s="12" t="n">
        <v>-2</v>
      </c>
    </row>
    <row r="127">
      <c r="A127" s="9" t="inlineStr">
        <is>
          <t>지배주주 순이익</t>
        </is>
      </c>
      <c r="C127" s="12" t="n">
        <v>1810</v>
      </c>
      <c r="D127" s="12" t="n">
        <v>2309</v>
      </c>
      <c r="E127" s="12" t="n">
        <v>1639</v>
      </c>
      <c r="F127" s="12" t="n">
        <v>1528</v>
      </c>
      <c r="G127" s="12" t="n">
        <v>1819</v>
      </c>
      <c r="H127" s="12" t="n">
        <v>2653</v>
      </c>
      <c r="I127" s="12" t="n">
        <v>2084</v>
      </c>
      <c r="J127" s="12" t="n">
        <v>1551</v>
      </c>
      <c r="K127" s="12" t="n">
        <v>1748</v>
      </c>
      <c r="L127" s="12" t="n">
        <v>2779</v>
      </c>
      <c r="M127" s="12" t="n">
        <v>1955</v>
      </c>
      <c r="N127" s="12" t="n">
        <v>2374</v>
      </c>
      <c r="T127" s="12" t="n">
        <v>1297</v>
      </c>
      <c r="U127" s="12" t="n">
        <v>1543</v>
      </c>
      <c r="V127" s="12" t="n">
        <v>1639</v>
      </c>
      <c r="W127" s="12" t="n">
        <v>2084</v>
      </c>
      <c r="X127" s="12" t="n">
        <v>1955</v>
      </c>
    </row>
    <row r="129">
      <c r="A129" s="16" t="inlineStr">
        <is>
          <t>포괄손익 · 전 항목</t>
        </is>
      </c>
      <c r="B129" s="42" t="inlineStr">
        <is>
          <t>분기 = 3개월 단독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2024.2Q</t>
        </is>
      </c>
      <c r="D130" s="5" t="inlineStr">
        <is>
          <t>2024.3Q</t>
        </is>
      </c>
      <c r="E130" s="5" t="inlineStr">
        <is>
          <t>2024.4Q</t>
        </is>
      </c>
      <c r="F130" s="5" t="inlineStr">
        <is>
          <t>2025.1Q</t>
        </is>
      </c>
      <c r="G130" s="5" t="inlineStr">
        <is>
          <t>2025.2Q</t>
        </is>
      </c>
      <c r="H130" s="5" t="inlineStr">
        <is>
          <t>2025.3Q</t>
        </is>
      </c>
      <c r="I130" s="5" t="inlineStr">
        <is>
          <t>2025.4Q</t>
        </is>
      </c>
      <c r="J130" s="5" t="inlineStr">
        <is>
          <t>2026.1Q</t>
        </is>
      </c>
      <c r="K130" s="5" t="inlineStr">
        <is>
          <t>2026.2Q</t>
        </is>
      </c>
      <c r="L130" s="5" t="inlineStr">
        <is>
          <t>2026.3Q</t>
        </is>
      </c>
      <c r="M130" s="5" t="inlineStr">
        <is>
          <t>2026.4Q</t>
        </is>
      </c>
      <c r="N130" s="5" t="inlineStr">
        <is>
          <t>2027.1Q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순이익</t>
        </is>
      </c>
      <c r="C131" s="12" t="n">
        <v>1908</v>
      </c>
      <c r="D131" s="12" t="n">
        <v>2461</v>
      </c>
      <c r="E131" s="12" t="n">
        <v>1698</v>
      </c>
      <c r="F131" s="12" t="n">
        <v>1626</v>
      </c>
      <c r="G131" s="12" t="n">
        <v>1824</v>
      </c>
      <c r="H131" s="12" t="n">
        <v>2657</v>
      </c>
      <c r="I131" s="12" t="n">
        <v>2092</v>
      </c>
      <c r="J131" s="12" t="n">
        <v>1547</v>
      </c>
      <c r="K131" s="12" t="n">
        <v>1749</v>
      </c>
      <c r="L131" s="12" t="n">
        <v>2788</v>
      </c>
      <c r="M131" s="12" t="n">
        <v>1952</v>
      </c>
      <c r="N131" s="12" t="n">
        <v>2378</v>
      </c>
      <c r="T131" s="12" t="n">
        <v>1353</v>
      </c>
      <c r="U131" s="12" t="n">
        <v>1606</v>
      </c>
      <c r="V131" s="12" t="n">
        <v>1698</v>
      </c>
      <c r="W131" s="12" t="n">
        <v>2092</v>
      </c>
      <c r="X131" s="12" t="n">
        <v>1952</v>
      </c>
    </row>
    <row r="132">
      <c r="A132" s="18" t="inlineStr">
        <is>
          <t>기타유가증권 평가차액</t>
        </is>
      </c>
      <c r="C132" s="20" t="n">
        <v>311</v>
      </c>
      <c r="D132" s="20" t="n">
        <v>681</v>
      </c>
      <c r="E132" s="20" t="n">
        <v>485</v>
      </c>
      <c r="F132" s="20" t="n">
        <v>75</v>
      </c>
      <c r="G132" s="20" t="n">
        <v>-448</v>
      </c>
      <c r="H132" s="20" t="n">
        <v>208</v>
      </c>
      <c r="I132" s="20" t="n">
        <v>-824</v>
      </c>
      <c r="J132" s="20" t="n">
        <v>239</v>
      </c>
      <c r="K132" s="20" t="n">
        <v>525</v>
      </c>
      <c r="L132" s="20" t="n">
        <v>-1</v>
      </c>
      <c r="M132" s="20" t="n">
        <v>-318</v>
      </c>
      <c r="N132" s="20" t="n">
        <v>1857</v>
      </c>
      <c r="T132" s="20" t="n">
        <v>-256</v>
      </c>
      <c r="U132" s="20" t="n">
        <v>406</v>
      </c>
      <c r="V132" s="20" t="n">
        <v>485</v>
      </c>
      <c r="W132" s="20" t="n">
        <v>-824</v>
      </c>
      <c r="X132" s="20" t="n">
        <v>-318</v>
      </c>
    </row>
    <row r="133">
      <c r="A133" s="18" t="inlineStr">
        <is>
          <t>이연헤지손익</t>
        </is>
      </c>
      <c r="C133" s="20" t="n">
        <v>-0</v>
      </c>
      <c r="D133" s="20" t="n">
        <v>0</v>
      </c>
      <c r="E133" s="20" t="n">
        <v>0</v>
      </c>
      <c r="F133" s="20" t="n">
        <v>-0</v>
      </c>
      <c r="G133" s="20" t="n">
        <v>0</v>
      </c>
      <c r="H133" s="20" t="n">
        <v>0</v>
      </c>
      <c r="I133" s="20" t="n">
        <v>0</v>
      </c>
      <c r="J133" s="20" t="n">
        <v>0</v>
      </c>
      <c r="N133" s="20" t="n">
        <v>-0</v>
      </c>
      <c r="T133" s="20" t="n">
        <v>0</v>
      </c>
      <c r="U133" s="20" t="n">
        <v>0</v>
      </c>
      <c r="V133" s="20" t="n">
        <v>0</v>
      </c>
      <c r="W133" s="20" t="n">
        <v>0</v>
      </c>
    </row>
    <row r="134">
      <c r="A134" s="18" t="inlineStr">
        <is>
          <t>해외사업환산조정</t>
        </is>
      </c>
      <c r="C134" s="20" t="n">
        <v>208</v>
      </c>
      <c r="D134" s="20" t="n">
        <v>90</v>
      </c>
      <c r="E134" s="20" t="n">
        <v>-175</v>
      </c>
      <c r="F134" s="20" t="n">
        <v>179</v>
      </c>
      <c r="G134" s="20" t="n">
        <v>234</v>
      </c>
      <c r="H134" s="20" t="n">
        <v>-337</v>
      </c>
      <c r="I134" s="20" t="n">
        <v>231</v>
      </c>
      <c r="J134" s="20" t="n">
        <v>-184</v>
      </c>
      <c r="K134" s="20" t="n">
        <v>-101</v>
      </c>
      <c r="L134" s="20" t="n">
        <v>70</v>
      </c>
      <c r="M134" s="20" t="n">
        <v>262</v>
      </c>
      <c r="N134" s="20" t="n">
        <v>83</v>
      </c>
      <c r="T134" s="20" t="n">
        <v>108</v>
      </c>
      <c r="U134" s="20" t="n">
        <v>-326</v>
      </c>
      <c r="V134" s="20" t="n">
        <v>-175</v>
      </c>
      <c r="W134" s="20" t="n">
        <v>231</v>
      </c>
      <c r="X134" s="20" t="n">
        <v>262</v>
      </c>
    </row>
    <row r="135">
      <c r="A135" s="18" t="inlineStr">
        <is>
          <t>퇴직급여 조정액</t>
        </is>
      </c>
      <c r="C135" s="20" t="n">
        <v>-34</v>
      </c>
      <c r="D135" s="20" t="n">
        <v>-33</v>
      </c>
      <c r="E135" s="20" t="n">
        <v>1490</v>
      </c>
      <c r="F135" s="20" t="n">
        <v>-56</v>
      </c>
      <c r="G135" s="20" t="n">
        <v>-56</v>
      </c>
      <c r="H135" s="20" t="n">
        <v>-57</v>
      </c>
      <c r="I135" s="20" t="n">
        <v>73</v>
      </c>
      <c r="J135" s="20" t="n">
        <v>-61</v>
      </c>
      <c r="K135" s="20" t="n">
        <v>-61</v>
      </c>
      <c r="L135" s="20" t="n">
        <v>-61</v>
      </c>
      <c r="M135" s="20" t="n">
        <v>1609</v>
      </c>
      <c r="N135" s="20" t="n">
        <v>-109</v>
      </c>
      <c r="T135" s="20" t="n">
        <v>195</v>
      </c>
      <c r="U135" s="20" t="n">
        <v>60</v>
      </c>
      <c r="V135" s="20" t="n">
        <v>1490</v>
      </c>
      <c r="W135" s="20" t="n">
        <v>73</v>
      </c>
      <c r="X135" s="20" t="n">
        <v>1609</v>
      </c>
    </row>
    <row r="136">
      <c r="A136" s="18" t="inlineStr">
        <is>
          <t>지분법 적용회사 지분 해당액</t>
        </is>
      </c>
      <c r="C136" s="20" t="n">
        <v>7</v>
      </c>
      <c r="D136" s="20" t="n">
        <v>-20</v>
      </c>
      <c r="E136" s="20" t="n">
        <v>25</v>
      </c>
      <c r="F136" s="20" t="n">
        <v>25</v>
      </c>
      <c r="G136" s="20" t="n">
        <v>-54</v>
      </c>
      <c r="H136" s="20" t="n">
        <v>36</v>
      </c>
      <c r="I136" s="20" t="n">
        <v>-24</v>
      </c>
      <c r="J136" s="20" t="n">
        <v>-14</v>
      </c>
      <c r="K136" s="20" t="n">
        <v>-3</v>
      </c>
      <c r="L136" s="20" t="n">
        <v>17</v>
      </c>
      <c r="M136" s="20" t="n">
        <v>-12</v>
      </c>
      <c r="N136" s="20" t="n">
        <v>5</v>
      </c>
      <c r="T136" s="20" t="n">
        <v>16</v>
      </c>
      <c r="U136" s="20" t="n">
        <v>5</v>
      </c>
      <c r="V136" s="20" t="n">
        <v>25</v>
      </c>
      <c r="W136" s="20" t="n">
        <v>-24</v>
      </c>
      <c r="X136" s="20" t="n">
        <v>-12</v>
      </c>
    </row>
    <row r="137">
      <c r="A137" s="18" t="inlineStr">
        <is>
          <t>기타포괄손익 합계</t>
        </is>
      </c>
      <c r="C137" s="20" t="n">
        <v>492</v>
      </c>
      <c r="D137" s="20" t="n">
        <v>717</v>
      </c>
      <c r="E137" s="20" t="n">
        <v>1827</v>
      </c>
      <c r="F137" s="20" t="n">
        <v>223</v>
      </c>
      <c r="G137" s="20" t="n">
        <v>-325</v>
      </c>
      <c r="H137" s="20" t="n">
        <v>-148</v>
      </c>
      <c r="I137" s="20" t="n">
        <v>-545</v>
      </c>
      <c r="J137" s="20" t="n">
        <v>-21</v>
      </c>
      <c r="K137" s="20" t="n">
        <v>359</v>
      </c>
      <c r="L137" s="20" t="n">
        <v>27</v>
      </c>
      <c r="M137" s="20" t="n">
        <v>1542</v>
      </c>
      <c r="N137" s="20" t="n">
        <v>1837</v>
      </c>
      <c r="T137" s="20" t="n">
        <v>63</v>
      </c>
      <c r="U137" s="20" t="n">
        <v>148</v>
      </c>
      <c r="V137" s="20" t="n">
        <v>1827</v>
      </c>
      <c r="W137" s="20" t="n">
        <v>-545</v>
      </c>
      <c r="X137" s="20" t="n">
        <v>1542</v>
      </c>
    </row>
    <row r="138">
      <c r="A138" s="9" t="inlineStr">
        <is>
          <t>포괄이익</t>
        </is>
      </c>
      <c r="C138" s="12" t="n">
        <v>2400</v>
      </c>
      <c r="D138" s="12" t="n">
        <v>3178</v>
      </c>
      <c r="E138" s="12" t="n">
        <v>3526</v>
      </c>
      <c r="F138" s="12" t="n">
        <v>1850</v>
      </c>
      <c r="G138" s="12" t="n">
        <v>1497</v>
      </c>
      <c r="H138" s="12" t="n">
        <v>2509</v>
      </c>
      <c r="I138" s="12" t="n">
        <v>1548</v>
      </c>
      <c r="J138" s="12" t="n">
        <v>1526</v>
      </c>
      <c r="K138" s="12" t="n">
        <v>2109</v>
      </c>
      <c r="L138" s="12" t="n">
        <v>2814</v>
      </c>
      <c r="M138" s="12" t="n">
        <v>3494</v>
      </c>
      <c r="N138" s="12" t="n">
        <v>4215</v>
      </c>
      <c r="T138" s="12" t="n">
        <v>1417</v>
      </c>
      <c r="U138" s="12" t="n">
        <v>1753</v>
      </c>
      <c r="V138" s="12" t="n">
        <v>3526</v>
      </c>
      <c r="W138" s="12" t="n">
        <v>1548</v>
      </c>
      <c r="X138" s="12" t="n">
        <v>3494</v>
      </c>
    </row>
    <row r="139">
      <c r="A139" s="9" t="inlineStr">
        <is>
          <t>지배주주 포괄이익</t>
        </is>
      </c>
      <c r="C139" s="12" t="n">
        <v>2233</v>
      </c>
      <c r="D139" s="12" t="n">
        <v>3033</v>
      </c>
      <c r="E139" s="12" t="n">
        <v>3413</v>
      </c>
      <c r="F139" s="12" t="n">
        <v>1727</v>
      </c>
      <c r="G139" s="12" t="n">
        <v>1482</v>
      </c>
      <c r="H139" s="12" t="n">
        <v>2520</v>
      </c>
      <c r="I139" s="12" t="n">
        <v>1528</v>
      </c>
      <c r="J139" s="12" t="n">
        <v>1557</v>
      </c>
      <c r="K139" s="12" t="n">
        <v>2111</v>
      </c>
      <c r="L139" s="12" t="n">
        <v>2808</v>
      </c>
      <c r="M139" s="12" t="n">
        <v>3480</v>
      </c>
      <c r="N139" s="12" t="n">
        <v>4211</v>
      </c>
      <c r="T139" s="12" t="n">
        <v>1374</v>
      </c>
      <c r="U139" s="12" t="n">
        <v>1670</v>
      </c>
      <c r="V139" s="12" t="n">
        <v>3413</v>
      </c>
      <c r="W139" s="12" t="n">
        <v>1528</v>
      </c>
      <c r="X139" s="12" t="n">
        <v>3480</v>
      </c>
    </row>
    <row r="140">
      <c r="A140" s="9" t="inlineStr">
        <is>
          <t>비지배주주 포괄이익</t>
        </is>
      </c>
      <c r="C140" s="12" t="n">
        <v>166</v>
      </c>
      <c r="D140" s="12" t="n">
        <v>145</v>
      </c>
      <c r="E140" s="12" t="n">
        <v>113</v>
      </c>
      <c r="F140" s="12" t="n">
        <v>122</v>
      </c>
      <c r="G140" s="12" t="n">
        <v>16</v>
      </c>
      <c r="H140" s="12" t="n">
        <v>-11</v>
      </c>
      <c r="I140" s="12" t="n">
        <v>20</v>
      </c>
      <c r="J140" s="12" t="n">
        <v>-31</v>
      </c>
      <c r="K140" s="12" t="n">
        <v>-2</v>
      </c>
      <c r="L140" s="12" t="n">
        <v>7</v>
      </c>
      <c r="M140" s="12" t="n">
        <v>14</v>
      </c>
      <c r="N140" s="12" t="n">
        <v>4</v>
      </c>
      <c r="T140" s="12" t="n">
        <v>44</v>
      </c>
      <c r="U140" s="12" t="n">
        <v>84</v>
      </c>
      <c r="V140" s="12" t="n">
        <v>113</v>
      </c>
      <c r="W140" s="12" t="n">
        <v>20</v>
      </c>
      <c r="X140" s="12" t="n">
        <v>14</v>
      </c>
    </row>
    <row r="142">
      <c r="A142" s="16" t="inlineStr">
        <is>
          <t>부문 · 전 항목</t>
        </is>
      </c>
      <c r="B142" s="42" t="inlineStr">
        <is>
          <t>부문 · 항목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</row>
    <row r="143">
      <c r="A143" s="5" t="inlineStr">
        <is>
          <t>항목</t>
        </is>
      </c>
      <c r="B143" s="5" t="inlineStr">
        <is>
          <t>참고</t>
        </is>
      </c>
      <c r="C143" s="5" t="inlineStr">
        <is>
          <t>2024.2Q</t>
        </is>
      </c>
      <c r="D143" s="5" t="inlineStr">
        <is>
          <t>2024.3Q</t>
        </is>
      </c>
      <c r="E143" s="5" t="inlineStr">
        <is>
          <t>2024.4Q</t>
        </is>
      </c>
      <c r="F143" s="5" t="inlineStr">
        <is>
          <t>2025.1Q</t>
        </is>
      </c>
      <c r="G143" s="5" t="inlineStr">
        <is>
          <t>2025.2Q</t>
        </is>
      </c>
      <c r="H143" s="5" t="inlineStr">
        <is>
          <t>2025.3Q</t>
        </is>
      </c>
      <c r="I143" s="5" t="inlineStr">
        <is>
          <t>2025.4Q</t>
        </is>
      </c>
      <c r="J143" s="5" t="inlineStr">
        <is>
          <t>2026.1Q</t>
        </is>
      </c>
      <c r="K143" s="5" t="inlineStr">
        <is>
          <t>2026.2Q</t>
        </is>
      </c>
      <c r="L143" s="5" t="inlineStr">
        <is>
          <t>2026.3Q</t>
        </is>
      </c>
      <c r="M143" s="5" t="inlineStr">
        <is>
          <t>2026.4Q</t>
        </is>
      </c>
      <c r="N143" s="5" t="inlineStr">
        <is>
          <t>2027.1Q</t>
        </is>
      </c>
      <c r="O143" s="5" t="inlineStr">
        <is>
          <t>2017</t>
        </is>
      </c>
      <c r="P143" s="5" t="inlineStr">
        <is>
          <t>2018</t>
        </is>
      </c>
      <c r="Q143" s="5" t="inlineStr">
        <is>
          <t>2019</t>
        </is>
      </c>
      <c r="R143" s="5" t="inlineStr">
        <is>
          <t>2020</t>
        </is>
      </c>
      <c r="S143" s="5" t="inlineStr">
        <is>
          <t>2021</t>
        </is>
      </c>
      <c r="T143" s="5" t="inlineStr">
        <is>
          <t>2022</t>
        </is>
      </c>
      <c r="U143" s="5" t="inlineStr">
        <is>
          <t>2023</t>
        </is>
      </c>
      <c r="V143" s="5" t="inlineStr">
        <is>
          <t>2024</t>
        </is>
      </c>
      <c r="W143" s="5" t="inlineStr">
        <is>
          <t>2025</t>
        </is>
      </c>
      <c r="X143" s="5" t="inlineStr">
        <is>
          <t>2026</t>
        </is>
      </c>
      <c r="Y143" s="5" t="inlineStr">
        <is>
          <t>2027(MW)</t>
        </is>
      </c>
      <c r="Z143" s="5" t="inlineStr">
        <is>
          <t>2028(MW)</t>
        </is>
      </c>
      <c r="AA143" s="5" t="inlineStr">
        <is>
          <t>2029(MW)</t>
        </is>
      </c>
      <c r="AB143" s="5" t="inlineStr">
        <is>
          <t>2030(MW)</t>
        </is>
      </c>
      <c r="AC143" s="5" t="inlineStr">
        <is>
          <t>2031(MW)</t>
        </is>
      </c>
    </row>
    <row r="144">
      <c r="A144" s="18" t="inlineStr">
        <is>
          <t>부문 · Revenues From External Customers</t>
        </is>
      </c>
      <c r="C144" s="20" t="n">
        <v>17939</v>
      </c>
      <c r="D144" s="20" t="n">
        <v>19503</v>
      </c>
      <c r="E144" s="20" t="n">
        <v>16740</v>
      </c>
      <c r="F144" s="20" t="n">
        <v>17672</v>
      </c>
      <c r="G144" s="20" t="n">
        <v>18740</v>
      </c>
      <c r="H144" s="20" t="n">
        <v>19905</v>
      </c>
      <c r="I144" s="20" t="n">
        <v>17581</v>
      </c>
      <c r="J144" s="20" t="n">
        <v>18029</v>
      </c>
      <c r="K144" s="20" t="n">
        <v>18644</v>
      </c>
      <c r="L144" s="20" t="n">
        <v>19639</v>
      </c>
      <c r="M144" s="20" t="n">
        <v>18003</v>
      </c>
      <c r="N144" s="20" t="n">
        <v>19702</v>
      </c>
      <c r="V144" s="20" t="n">
        <v>16740</v>
      </c>
      <c r="W144" s="20" t="n">
        <v>17581</v>
      </c>
      <c r="X144" s="20" t="n">
        <v>18003</v>
      </c>
    </row>
    <row r="145">
      <c r="A145" s="18" t="inlineStr">
        <is>
          <t>부문 · Revenues From External Customers</t>
        </is>
      </c>
      <c r="C145" s="20" t="n">
        <v>10163</v>
      </c>
      <c r="D145" s="20" t="n">
        <v>10340</v>
      </c>
      <c r="E145" s="20" t="n">
        <v>9322</v>
      </c>
      <c r="F145" s="20" t="n">
        <v>9442</v>
      </c>
      <c r="G145" s="20" t="n">
        <v>8859</v>
      </c>
      <c r="H145" s="20" t="n">
        <v>9542</v>
      </c>
      <c r="I145" s="20" t="n">
        <v>9086</v>
      </c>
      <c r="J145" s="20" t="n">
        <v>9320</v>
      </c>
      <c r="K145" s="20" t="n">
        <v>9795</v>
      </c>
      <c r="L145" s="20" t="n">
        <v>10081</v>
      </c>
      <c r="M145" s="20" t="n">
        <v>9998</v>
      </c>
      <c r="N145" s="20" t="n">
        <v>10748</v>
      </c>
      <c r="V145" s="20" t="n">
        <v>9322</v>
      </c>
      <c r="W145" s="20" t="n">
        <v>9086</v>
      </c>
      <c r="X145" s="20" t="n">
        <v>9998</v>
      </c>
    </row>
    <row r="146">
      <c r="A146" s="18" t="inlineStr">
        <is>
          <t>부문 · 외부 고객 매출</t>
        </is>
      </c>
      <c r="D146" s="20" t="n">
        <v>5649</v>
      </c>
      <c r="E146" s="20" t="n">
        <v>6009</v>
      </c>
      <c r="H146" s="20" t="n">
        <v>7416</v>
      </c>
      <c r="I146" s="20" t="n">
        <v>6476</v>
      </c>
      <c r="L146" s="20" t="n">
        <v>5725</v>
      </c>
      <c r="M146" s="20" t="n">
        <v>7590</v>
      </c>
      <c r="V146" s="20" t="n">
        <v>6009</v>
      </c>
      <c r="W146" s="20" t="n">
        <v>6476</v>
      </c>
      <c r="X146" s="20" t="n">
        <v>7590</v>
      </c>
    </row>
    <row r="147">
      <c r="A147" s="18" t="inlineStr">
        <is>
          <t>보고부문 합계 · 외부 고객 매출</t>
        </is>
      </c>
      <c r="C147" s="20" t="n">
        <v>33429</v>
      </c>
      <c r="D147" s="20" t="n">
        <v>35490</v>
      </c>
      <c r="E147" s="20" t="n">
        <v>32073</v>
      </c>
      <c r="F147" s="20" t="n">
        <v>32223</v>
      </c>
      <c r="G147" s="20" t="n">
        <v>33460</v>
      </c>
      <c r="H147" s="20" t="n">
        <v>36863</v>
      </c>
      <c r="I147" s="20" t="n">
        <v>33144</v>
      </c>
      <c r="V147" s="20" t="n">
        <v>32073</v>
      </c>
      <c r="W147" s="20" t="n">
        <v>33144</v>
      </c>
    </row>
    <row r="148">
      <c r="A148" s="18" t="inlineStr">
        <is>
          <t>기타 · 외부 고객 매출</t>
        </is>
      </c>
      <c r="C148" s="20" t="n">
        <v>44</v>
      </c>
      <c r="D148" s="20" t="n">
        <v>45</v>
      </c>
      <c r="E148" s="20" t="n">
        <v>45</v>
      </c>
      <c r="F148" s="20" t="n">
        <v>43</v>
      </c>
      <c r="G148" s="20" t="n">
        <v>47</v>
      </c>
      <c r="H148" s="20" t="n">
        <v>49</v>
      </c>
      <c r="I148" s="20" t="n">
        <v>47</v>
      </c>
      <c r="V148" s="20" t="n">
        <v>45</v>
      </c>
      <c r="W148" s="20" t="n">
        <v>47</v>
      </c>
    </row>
    <row r="149">
      <c r="A149" s="18" t="inlineStr">
        <is>
          <t>부문 · Revenues From External Customers</t>
        </is>
      </c>
      <c r="F149" s="20" t="n">
        <v>5108</v>
      </c>
      <c r="J149" s="20" t="n">
        <v>4892</v>
      </c>
      <c r="N149" s="20" t="n">
        <v>5751</v>
      </c>
    </row>
    <row r="150">
      <c r="A150" s="18" t="inlineStr">
        <is>
          <t>합계 · Revenues From External Customers</t>
        </is>
      </c>
      <c r="C150" s="20" t="n">
        <v>33473</v>
      </c>
      <c r="D150" s="20" t="n">
        <v>35535</v>
      </c>
      <c r="E150" s="20" t="n">
        <v>32117</v>
      </c>
      <c r="F150" s="20" t="n">
        <v>32223</v>
      </c>
      <c r="G150" s="20" t="n">
        <v>33460</v>
      </c>
      <c r="H150" s="20" t="n">
        <v>36863</v>
      </c>
      <c r="I150" s="20" t="n">
        <v>33144</v>
      </c>
      <c r="J150" s="20" t="n">
        <v>32241</v>
      </c>
      <c r="K150" s="20" t="n">
        <v>33292</v>
      </c>
      <c r="L150" s="20" t="n">
        <v>35445</v>
      </c>
      <c r="M150" s="20" t="n">
        <v>35591</v>
      </c>
      <c r="N150" s="20" t="n">
        <v>36202</v>
      </c>
      <c r="V150" s="20" t="n">
        <v>32117</v>
      </c>
      <c r="W150" s="20" t="n">
        <v>33144</v>
      </c>
      <c r="X150" s="20" t="n">
        <v>35591</v>
      </c>
    </row>
    <row r="151">
      <c r="A151" s="18" t="inlineStr">
        <is>
          <t>조정액 · Revenues From External Customers</t>
        </is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V151" s="20" t="n">
        <v>0</v>
      </c>
      <c r="W151" s="20" t="n">
        <v>0</v>
      </c>
      <c r="X151" s="20" t="n">
        <v>0</v>
      </c>
    </row>
    <row r="152">
      <c r="A152" s="9" t="inlineStr">
        <is>
          <t>Revenues From External Customers</t>
        </is>
      </c>
      <c r="C152" s="12" t="n">
        <v>33473</v>
      </c>
      <c r="D152" s="12" t="n">
        <v>35535</v>
      </c>
      <c r="E152" s="12" t="n">
        <v>32117</v>
      </c>
      <c r="F152" s="12" t="n">
        <v>32223</v>
      </c>
      <c r="G152" s="12" t="n">
        <v>33460</v>
      </c>
      <c r="H152" s="12" t="n">
        <v>36863</v>
      </c>
      <c r="I152" s="12" t="n">
        <v>33144</v>
      </c>
      <c r="J152" s="12" t="n">
        <v>32241</v>
      </c>
      <c r="K152" s="12" t="n">
        <v>33292</v>
      </c>
      <c r="L152" s="12" t="n">
        <v>35445</v>
      </c>
      <c r="M152" s="12" t="n">
        <v>35591</v>
      </c>
      <c r="N152" s="12" t="n">
        <v>36202</v>
      </c>
      <c r="V152" s="12" t="n">
        <v>32117</v>
      </c>
      <c r="W152" s="12" t="n">
        <v>33144</v>
      </c>
      <c r="X152" s="12" t="n">
        <v>35591</v>
      </c>
    </row>
    <row r="153">
      <c r="A153" s="18" t="inlineStr">
        <is>
          <t>부문 · Transactions With Other Segments</t>
        </is>
      </c>
      <c r="C153" s="20" t="n">
        <v>74</v>
      </c>
      <c r="D153" s="20" t="n">
        <v>66</v>
      </c>
      <c r="E153" s="20" t="n">
        <v>51</v>
      </c>
      <c r="F153" s="20" t="n">
        <v>49</v>
      </c>
      <c r="G153" s="20" t="n">
        <v>51</v>
      </c>
      <c r="H153" s="20" t="n">
        <v>85</v>
      </c>
      <c r="I153" s="20" t="n">
        <v>55</v>
      </c>
      <c r="J153" s="20" t="n">
        <v>68</v>
      </c>
      <c r="K153" s="20" t="n">
        <v>91</v>
      </c>
      <c r="L153" s="20" t="n">
        <v>86</v>
      </c>
      <c r="M153" s="20" t="n">
        <v>57</v>
      </c>
      <c r="N153" s="20" t="n">
        <v>50</v>
      </c>
      <c r="V153" s="20" t="n">
        <v>51</v>
      </c>
      <c r="W153" s="20" t="n">
        <v>55</v>
      </c>
      <c r="X153" s="20" t="n">
        <v>57</v>
      </c>
    </row>
    <row r="154">
      <c r="A154" s="18" t="inlineStr">
        <is>
          <t>부문 · Transactions With Other Segments</t>
        </is>
      </c>
      <c r="C154" s="20" t="n">
        <v>89</v>
      </c>
      <c r="D154" s="20" t="n">
        <v>81</v>
      </c>
      <c r="E154" s="20" t="n">
        <v>89</v>
      </c>
      <c r="F154" s="20" t="n">
        <v>67</v>
      </c>
      <c r="G154" s="20" t="n">
        <v>59</v>
      </c>
      <c r="H154" s="20" t="n">
        <v>101</v>
      </c>
      <c r="I154" s="20" t="n">
        <v>91</v>
      </c>
      <c r="J154" s="20" t="n">
        <v>77</v>
      </c>
      <c r="K154" s="20" t="n">
        <v>67</v>
      </c>
      <c r="L154" s="20" t="n">
        <v>76</v>
      </c>
      <c r="M154" s="20" t="n">
        <v>69</v>
      </c>
      <c r="N154" s="20" t="n">
        <v>67</v>
      </c>
      <c r="V154" s="20" t="n">
        <v>89</v>
      </c>
      <c r="W154" s="20" t="n">
        <v>91</v>
      </c>
      <c r="X154" s="20" t="n">
        <v>69</v>
      </c>
    </row>
    <row r="155">
      <c r="A155" s="18" t="inlineStr">
        <is>
          <t>부문 · 부문 간 내부매출·대체</t>
        </is>
      </c>
      <c r="D155" s="20" t="n">
        <v>146</v>
      </c>
      <c r="E155" s="20" t="n">
        <v>165</v>
      </c>
      <c r="H155" s="20" t="n">
        <v>184</v>
      </c>
      <c r="I155" s="20" t="n">
        <v>184</v>
      </c>
      <c r="L155" s="20" t="n">
        <v>61</v>
      </c>
      <c r="M155" s="20" t="n">
        <v>2</v>
      </c>
      <c r="V155" s="20" t="n">
        <v>165</v>
      </c>
      <c r="W155" s="20" t="n">
        <v>184</v>
      </c>
      <c r="X155" s="20" t="n">
        <v>2</v>
      </c>
    </row>
    <row r="156">
      <c r="A156" s="18" t="inlineStr">
        <is>
          <t>보고부문 합계 · 부문 간 내부매출·대체</t>
        </is>
      </c>
      <c r="C156" s="20" t="n">
        <v>167</v>
      </c>
      <c r="D156" s="20" t="n">
        <v>292</v>
      </c>
      <c r="E156" s="20" t="n">
        <v>305</v>
      </c>
      <c r="F156" s="20" t="n">
        <v>232</v>
      </c>
      <c r="G156" s="20" t="n">
        <v>272</v>
      </c>
      <c r="H156" s="20" t="n">
        <v>369</v>
      </c>
      <c r="I156" s="20" t="n">
        <v>331</v>
      </c>
      <c r="V156" s="20" t="n">
        <v>305</v>
      </c>
      <c r="W156" s="20" t="n">
        <v>331</v>
      </c>
    </row>
    <row r="157">
      <c r="A157" s="18" t="inlineStr">
        <is>
          <t>기타 · 부문 간 내부매출·대체</t>
        </is>
      </c>
      <c r="C157" s="20" t="n">
        <v>19</v>
      </c>
      <c r="D157" s="20" t="n">
        <v>19</v>
      </c>
      <c r="E157" s="20" t="n">
        <v>19</v>
      </c>
      <c r="F157" s="20" t="n">
        <v>17</v>
      </c>
      <c r="G157" s="20" t="n">
        <v>18</v>
      </c>
      <c r="H157" s="20" t="n">
        <v>18</v>
      </c>
      <c r="I157" s="20" t="n">
        <v>17</v>
      </c>
      <c r="V157" s="20" t="n">
        <v>19</v>
      </c>
      <c r="W157" s="20" t="n">
        <v>17</v>
      </c>
    </row>
    <row r="158">
      <c r="A158" s="18" t="inlineStr">
        <is>
          <t>부문 · Transactions With Other Segments</t>
        </is>
      </c>
      <c r="F158" s="20" t="n">
        <v>116</v>
      </c>
      <c r="J158" s="20" t="n">
        <v>106</v>
      </c>
      <c r="N158" s="20" t="n">
        <v>0</v>
      </c>
    </row>
    <row r="159">
      <c r="A159" s="18" t="inlineStr">
        <is>
          <t>합계 · Transactions With Other Segments</t>
        </is>
      </c>
      <c r="C159" s="20" t="n">
        <v>186</v>
      </c>
      <c r="D159" s="20" t="n">
        <v>311</v>
      </c>
      <c r="E159" s="20" t="n">
        <v>323</v>
      </c>
      <c r="F159" s="20" t="n">
        <v>232</v>
      </c>
      <c r="G159" s="20" t="n">
        <v>272</v>
      </c>
      <c r="H159" s="20" t="n">
        <v>369</v>
      </c>
      <c r="I159" s="20" t="n">
        <v>331</v>
      </c>
      <c r="J159" s="20" t="n">
        <v>252</v>
      </c>
      <c r="K159" s="20" t="n">
        <v>330</v>
      </c>
      <c r="L159" s="20" t="n">
        <v>222</v>
      </c>
      <c r="M159" s="20" t="n">
        <v>129</v>
      </c>
      <c r="N159" s="20" t="n">
        <v>118</v>
      </c>
      <c r="V159" s="20" t="n">
        <v>323</v>
      </c>
      <c r="W159" s="20" t="n">
        <v>331</v>
      </c>
      <c r="X159" s="20" t="n">
        <v>129</v>
      </c>
    </row>
    <row r="160">
      <c r="A160" s="18" t="inlineStr">
        <is>
          <t>조정액 · Transactions With Other Segments</t>
        </is>
      </c>
      <c r="C160" s="20" t="n">
        <v>-186</v>
      </c>
      <c r="D160" s="20" t="n">
        <v>-311</v>
      </c>
      <c r="E160" s="20" t="n">
        <v>-323</v>
      </c>
      <c r="F160" s="20" t="n">
        <v>-232</v>
      </c>
      <c r="G160" s="20" t="n">
        <v>-272</v>
      </c>
      <c r="H160" s="20" t="n">
        <v>-369</v>
      </c>
      <c r="I160" s="20" t="n">
        <v>-331</v>
      </c>
      <c r="J160" s="20" t="n">
        <v>-252</v>
      </c>
      <c r="K160" s="20" t="n">
        <v>-330</v>
      </c>
      <c r="L160" s="20" t="n">
        <v>-222</v>
      </c>
      <c r="M160" s="20" t="n">
        <v>-129</v>
      </c>
      <c r="N160" s="20" t="n">
        <v>-118</v>
      </c>
      <c r="V160" s="20" t="n">
        <v>-323</v>
      </c>
      <c r="W160" s="20" t="n">
        <v>-331</v>
      </c>
      <c r="X160" s="20" t="n">
        <v>-129</v>
      </c>
    </row>
    <row r="161">
      <c r="A161" s="18" t="inlineStr">
        <is>
          <t>Transactions With Other Segments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부문 · 계</t>
        </is>
      </c>
      <c r="C162" s="20" t="n">
        <v>18014</v>
      </c>
      <c r="D162" s="20" t="n">
        <v>19568</v>
      </c>
      <c r="E162" s="20" t="n">
        <v>16792</v>
      </c>
      <c r="F162" s="20" t="n">
        <v>17721</v>
      </c>
      <c r="G162" s="20" t="n">
        <v>18791</v>
      </c>
      <c r="H162" s="20" t="n">
        <v>19991</v>
      </c>
      <c r="I162" s="20" t="n">
        <v>17636</v>
      </c>
      <c r="J162" s="20" t="n">
        <v>18097</v>
      </c>
      <c r="K162" s="20" t="n">
        <v>18736</v>
      </c>
      <c r="L162" s="20" t="n">
        <v>19725</v>
      </c>
      <c r="M162" s="20" t="n">
        <v>18059</v>
      </c>
      <c r="N162" s="20" t="n">
        <v>19752</v>
      </c>
      <c r="V162" s="20" t="n">
        <v>16792</v>
      </c>
      <c r="W162" s="20" t="n">
        <v>17636</v>
      </c>
      <c r="X162" s="20" t="n">
        <v>18059</v>
      </c>
    </row>
    <row r="163">
      <c r="A163" s="18" t="inlineStr">
        <is>
          <t>부문 · 계</t>
        </is>
      </c>
      <c r="C163" s="20" t="n">
        <v>10252</v>
      </c>
      <c r="D163" s="20" t="n">
        <v>10420</v>
      </c>
      <c r="E163" s="20" t="n">
        <v>9411</v>
      </c>
      <c r="F163" s="20" t="n">
        <v>9509</v>
      </c>
      <c r="G163" s="20" t="n">
        <v>8919</v>
      </c>
      <c r="H163" s="20" t="n">
        <v>9642</v>
      </c>
      <c r="I163" s="20" t="n">
        <v>9178</v>
      </c>
      <c r="J163" s="20" t="n">
        <v>9397</v>
      </c>
      <c r="K163" s="20" t="n">
        <v>9862</v>
      </c>
      <c r="L163" s="20" t="n">
        <v>10158</v>
      </c>
      <c r="M163" s="20" t="n">
        <v>10067</v>
      </c>
      <c r="N163" s="20" t="n">
        <v>10816</v>
      </c>
      <c r="V163" s="20" t="n">
        <v>9411</v>
      </c>
      <c r="W163" s="20" t="n">
        <v>9178</v>
      </c>
      <c r="X163" s="20" t="n">
        <v>10067</v>
      </c>
    </row>
    <row r="164">
      <c r="A164" s="18" t="inlineStr">
        <is>
          <t>부문 · 계</t>
        </is>
      </c>
      <c r="D164" s="20" t="n">
        <v>5794</v>
      </c>
      <c r="E164" s="20" t="n">
        <v>6175</v>
      </c>
      <c r="H164" s="20" t="n">
        <v>7599</v>
      </c>
      <c r="I164" s="20" t="n">
        <v>6660</v>
      </c>
      <c r="L164" s="20" t="n">
        <v>5786</v>
      </c>
      <c r="M164" s="20" t="n">
        <v>7593</v>
      </c>
      <c r="V164" s="20" t="n">
        <v>6175</v>
      </c>
      <c r="W164" s="20" t="n">
        <v>6660</v>
      </c>
      <c r="X164" s="20" t="n">
        <v>7593</v>
      </c>
    </row>
    <row r="165">
      <c r="A165" s="18" t="inlineStr">
        <is>
          <t>보고부문 합계 · 계</t>
        </is>
      </c>
      <c r="C165" s="20" t="n">
        <v>33595</v>
      </c>
      <c r="D165" s="20" t="n">
        <v>35783</v>
      </c>
      <c r="E165" s="20" t="n">
        <v>32377</v>
      </c>
      <c r="F165" s="20" t="n">
        <v>32455</v>
      </c>
      <c r="G165" s="20" t="n">
        <v>33733</v>
      </c>
      <c r="H165" s="20" t="n">
        <v>37232</v>
      </c>
      <c r="I165" s="20" t="n">
        <v>33474</v>
      </c>
      <c r="V165" s="20" t="n">
        <v>32377</v>
      </c>
      <c r="W165" s="20" t="n">
        <v>33474</v>
      </c>
    </row>
    <row r="166">
      <c r="A166" s="18" t="inlineStr">
        <is>
          <t>기타 · 계</t>
        </is>
      </c>
      <c r="C166" s="20" t="n">
        <v>63</v>
      </c>
      <c r="D166" s="20" t="n">
        <v>64</v>
      </c>
      <c r="E166" s="20" t="n">
        <v>63</v>
      </c>
      <c r="F166" s="20" t="n">
        <v>61</v>
      </c>
      <c r="G166" s="20" t="n">
        <v>65</v>
      </c>
      <c r="H166" s="20" t="n">
        <v>66</v>
      </c>
      <c r="I166" s="20" t="n">
        <v>64</v>
      </c>
      <c r="V166" s="20" t="n">
        <v>63</v>
      </c>
      <c r="W166" s="20" t="n">
        <v>64</v>
      </c>
    </row>
    <row r="167">
      <c r="A167" s="18" t="inlineStr">
        <is>
          <t>부문 · 계</t>
        </is>
      </c>
      <c r="F167" s="20" t="n">
        <v>5224</v>
      </c>
      <c r="J167" s="20" t="n">
        <v>4998</v>
      </c>
      <c r="N167" s="20" t="n">
        <v>5751</v>
      </c>
    </row>
    <row r="168">
      <c r="A168" s="18" t="inlineStr">
        <is>
          <t>합계 · 계</t>
        </is>
      </c>
      <c r="C168" s="20" t="n">
        <v>33659</v>
      </c>
      <c r="D168" s="20" t="n">
        <v>35846</v>
      </c>
      <c r="E168" s="20" t="n">
        <v>32441</v>
      </c>
      <c r="F168" s="20" t="n">
        <v>32455</v>
      </c>
      <c r="G168" s="20" t="n">
        <v>33733</v>
      </c>
      <c r="H168" s="20" t="n">
        <v>37232</v>
      </c>
      <c r="I168" s="20" t="n">
        <v>33474</v>
      </c>
      <c r="J168" s="20" t="n">
        <v>32494</v>
      </c>
      <c r="K168" s="20" t="n">
        <v>33621</v>
      </c>
      <c r="L168" s="20" t="n">
        <v>35668</v>
      </c>
      <c r="M168" s="20" t="n">
        <v>35720</v>
      </c>
      <c r="N168" s="20" t="n">
        <v>36320</v>
      </c>
      <c r="V168" s="20" t="n">
        <v>32441</v>
      </c>
      <c r="W168" s="20" t="n">
        <v>33474</v>
      </c>
      <c r="X168" s="20" t="n">
        <v>35720</v>
      </c>
    </row>
    <row r="169">
      <c r="A169" s="18" t="inlineStr">
        <is>
          <t>조정액 · 계</t>
        </is>
      </c>
      <c r="C169" s="20" t="n">
        <v>-186</v>
      </c>
      <c r="D169" s="20" t="n">
        <v>-311</v>
      </c>
      <c r="E169" s="20" t="n">
        <v>-323</v>
      </c>
      <c r="F169" s="20" t="n">
        <v>-232</v>
      </c>
      <c r="G169" s="20" t="n">
        <v>-272</v>
      </c>
      <c r="H169" s="20" t="n">
        <v>-369</v>
      </c>
      <c r="I169" s="20" t="n">
        <v>-331</v>
      </c>
      <c r="J169" s="20" t="n">
        <v>-252</v>
      </c>
      <c r="K169" s="20" t="n">
        <v>-330</v>
      </c>
      <c r="L169" s="20" t="n">
        <v>-222</v>
      </c>
      <c r="M169" s="20" t="n">
        <v>-129</v>
      </c>
      <c r="N169" s="20" t="n">
        <v>-118</v>
      </c>
      <c r="V169" s="20" t="n">
        <v>-323</v>
      </c>
      <c r="W169" s="20" t="n">
        <v>-331</v>
      </c>
      <c r="X169" s="20" t="n">
        <v>-129</v>
      </c>
    </row>
    <row r="170">
      <c r="A170" s="9" t="inlineStr">
        <is>
          <t>계</t>
        </is>
      </c>
      <c r="C170" s="12" t="n">
        <v>33473</v>
      </c>
      <c r="D170" s="12" t="n">
        <v>35535</v>
      </c>
      <c r="E170" s="12" t="n">
        <v>32117</v>
      </c>
      <c r="F170" s="12" t="n">
        <v>32223</v>
      </c>
      <c r="G170" s="12" t="n">
        <v>33460</v>
      </c>
      <c r="H170" s="12" t="n">
        <v>36863</v>
      </c>
      <c r="I170" s="12" t="n">
        <v>33144</v>
      </c>
      <c r="J170" s="12" t="n">
        <v>32241</v>
      </c>
      <c r="K170" s="12" t="n">
        <v>33292</v>
      </c>
      <c r="L170" s="12" t="n">
        <v>35445</v>
      </c>
      <c r="M170" s="12" t="n">
        <v>35591</v>
      </c>
      <c r="N170" s="12" t="n">
        <v>36202</v>
      </c>
      <c r="V170" s="12" t="n">
        <v>32117</v>
      </c>
      <c r="W170" s="12" t="n">
        <v>33144</v>
      </c>
      <c r="X170" s="12" t="n">
        <v>35591</v>
      </c>
    </row>
    <row r="171">
      <c r="A171" s="18" t="inlineStr">
        <is>
          <t>부문 · 부문 이익</t>
        </is>
      </c>
      <c r="C171" s="20" t="n">
        <v>1789</v>
      </c>
      <c r="D171" s="20" t="n">
        <v>2338</v>
      </c>
      <c r="E171" s="20" t="n">
        <v>1034</v>
      </c>
      <c r="F171" s="20" t="n">
        <v>1491</v>
      </c>
      <c r="G171" s="20" t="n">
        <v>1924</v>
      </c>
      <c r="H171" s="20" t="n">
        <v>2255</v>
      </c>
      <c r="I171" s="20" t="n">
        <v>1233</v>
      </c>
      <c r="J171" s="20" t="n">
        <v>1450</v>
      </c>
      <c r="K171" s="20" t="n">
        <v>1737</v>
      </c>
      <c r="L171" s="20" t="n">
        <v>2001</v>
      </c>
      <c r="M171" s="20" t="n">
        <v>1572</v>
      </c>
      <c r="N171" s="20" t="n">
        <v>2458</v>
      </c>
      <c r="V171" s="20" t="n">
        <v>1034</v>
      </c>
      <c r="W171" s="20" t="n">
        <v>1233</v>
      </c>
      <c r="X171" s="20" t="n">
        <v>1572</v>
      </c>
    </row>
    <row r="172">
      <c r="A172" s="18" t="inlineStr">
        <is>
          <t>부문 · 부문 이익</t>
        </is>
      </c>
      <c r="C172" s="20" t="n">
        <v>335</v>
      </c>
      <c r="D172" s="20" t="n">
        <v>373</v>
      </c>
      <c r="E172" s="20" t="n">
        <v>313</v>
      </c>
      <c r="F172" s="20" t="n">
        <v>389</v>
      </c>
      <c r="G172" s="20" t="n">
        <v>318</v>
      </c>
      <c r="H172" s="20" t="n">
        <v>348</v>
      </c>
      <c r="I172" s="20" t="n">
        <v>299</v>
      </c>
      <c r="J172" s="20" t="n">
        <v>298</v>
      </c>
      <c r="K172" s="20" t="n">
        <v>344</v>
      </c>
      <c r="L172" s="20" t="n">
        <v>388</v>
      </c>
      <c r="M172" s="20" t="n">
        <v>397</v>
      </c>
      <c r="N172" s="20" t="n">
        <v>499</v>
      </c>
      <c r="V172" s="20" t="n">
        <v>313</v>
      </c>
      <c r="W172" s="20" t="n">
        <v>299</v>
      </c>
      <c r="X172" s="20" t="n">
        <v>397</v>
      </c>
    </row>
    <row r="173">
      <c r="A173" s="18" t="inlineStr">
        <is>
          <t>부문 · 부문 이익</t>
        </is>
      </c>
      <c r="D173" s="20" t="n">
        <v>551</v>
      </c>
      <c r="E173" s="20" t="n">
        <v>691</v>
      </c>
      <c r="H173" s="20" t="n">
        <v>960</v>
      </c>
      <c r="I173" s="20" t="n">
        <v>605</v>
      </c>
      <c r="L173" s="20" t="n">
        <v>606</v>
      </c>
      <c r="M173" s="20" t="n">
        <v>984</v>
      </c>
      <c r="V173" s="20" t="n">
        <v>691</v>
      </c>
      <c r="W173" s="20" t="n">
        <v>605</v>
      </c>
      <c r="X173" s="20" t="n">
        <v>984</v>
      </c>
    </row>
    <row r="174">
      <c r="A174" s="18" t="inlineStr">
        <is>
          <t>보고부문 합계 · 부문 이익</t>
        </is>
      </c>
      <c r="C174" s="20" t="n">
        <v>2702</v>
      </c>
      <c r="D174" s="20" t="n">
        <v>3262</v>
      </c>
      <c r="E174" s="20" t="n">
        <v>2038</v>
      </c>
      <c r="F174" s="20" t="n">
        <v>2088</v>
      </c>
      <c r="G174" s="20" t="n">
        <v>2739</v>
      </c>
      <c r="H174" s="20" t="n">
        <v>3563</v>
      </c>
      <c r="I174" s="20" t="n">
        <v>2138</v>
      </c>
      <c r="V174" s="20" t="n">
        <v>2038</v>
      </c>
      <c r="W174" s="20" t="n">
        <v>2138</v>
      </c>
    </row>
    <row r="175">
      <c r="A175" s="18" t="inlineStr">
        <is>
          <t>기타 · 부문 이익</t>
        </is>
      </c>
      <c r="C175" s="20" t="n">
        <v>33</v>
      </c>
      <c r="D175" s="20" t="n">
        <v>32</v>
      </c>
      <c r="E175" s="20" t="n">
        <v>34</v>
      </c>
      <c r="F175" s="20" t="n">
        <v>38</v>
      </c>
      <c r="G175" s="20" t="n">
        <v>35</v>
      </c>
      <c r="H175" s="20" t="n">
        <v>49</v>
      </c>
      <c r="I175" s="20" t="n">
        <v>42</v>
      </c>
      <c r="V175" s="20" t="n">
        <v>34</v>
      </c>
      <c r="W175" s="20" t="n">
        <v>42</v>
      </c>
    </row>
    <row r="176">
      <c r="A176" s="18" t="inlineStr">
        <is>
          <t>부문 · 부문 이익</t>
        </is>
      </c>
      <c r="F176" s="20" t="n">
        <v>207</v>
      </c>
      <c r="J176" s="20" t="n">
        <v>374</v>
      </c>
      <c r="N176" s="20" t="n">
        <v>281</v>
      </c>
    </row>
    <row r="177">
      <c r="A177" s="18" t="inlineStr">
        <is>
          <t>합계 · 부문 이익</t>
        </is>
      </c>
      <c r="C177" s="20" t="n">
        <v>2735</v>
      </c>
      <c r="D177" s="20" t="n">
        <v>3294</v>
      </c>
      <c r="E177" s="20" t="n">
        <v>2072</v>
      </c>
      <c r="F177" s="20" t="n">
        <v>2088</v>
      </c>
      <c r="G177" s="20" t="n">
        <v>2739</v>
      </c>
      <c r="H177" s="20" t="n">
        <v>3563</v>
      </c>
      <c r="I177" s="20" t="n">
        <v>2138</v>
      </c>
      <c r="J177" s="20" t="n">
        <v>2123</v>
      </c>
      <c r="K177" s="20" t="n">
        <v>2480</v>
      </c>
      <c r="L177" s="20" t="n">
        <v>2996</v>
      </c>
      <c r="M177" s="20" t="n">
        <v>2952</v>
      </c>
      <c r="N177" s="20" t="n">
        <v>3238</v>
      </c>
      <c r="V177" s="20" t="n">
        <v>2072</v>
      </c>
      <c r="W177" s="20" t="n">
        <v>2138</v>
      </c>
      <c r="X177" s="20" t="n">
        <v>2952</v>
      </c>
    </row>
    <row r="178">
      <c r="A178" s="18" t="inlineStr">
        <is>
          <t>조정액 · 부문 이익</t>
        </is>
      </c>
      <c r="C178" s="20" t="n">
        <v>3</v>
      </c>
      <c r="D178" s="20" t="n">
        <v>2</v>
      </c>
      <c r="E178" s="20" t="n">
        <v>-20</v>
      </c>
      <c r="F178" s="20" t="n">
        <v>13</v>
      </c>
      <c r="G178" s="20" t="n">
        <v>7</v>
      </c>
      <c r="H178" s="20" t="n">
        <v>6</v>
      </c>
      <c r="I178" s="20" t="n">
        <v>1</v>
      </c>
      <c r="J178" s="20" t="n">
        <v>13</v>
      </c>
      <c r="K178" s="20" t="n">
        <v>5</v>
      </c>
      <c r="L178" s="20" t="n">
        <v>-32</v>
      </c>
      <c r="M178" s="20" t="n">
        <v>-73</v>
      </c>
      <c r="N178" s="20" t="n">
        <v>18</v>
      </c>
      <c r="V178" s="20" t="n">
        <v>-20</v>
      </c>
      <c r="W178" s="20" t="n">
        <v>1</v>
      </c>
      <c r="X178" s="20" t="n">
        <v>-73</v>
      </c>
    </row>
    <row r="179">
      <c r="A179" s="9" t="inlineStr">
        <is>
          <t>부문 이익</t>
        </is>
      </c>
      <c r="C179" s="12" t="n">
        <v>2737</v>
      </c>
      <c r="D179" s="12" t="n">
        <v>3296</v>
      </c>
      <c r="E179" s="12" t="n">
        <v>2051</v>
      </c>
      <c r="F179" s="12" t="n">
        <v>2101</v>
      </c>
      <c r="G179" s="12" t="n">
        <v>2747</v>
      </c>
      <c r="H179" s="12" t="n">
        <v>3568</v>
      </c>
      <c r="I179" s="12" t="n">
        <v>2139</v>
      </c>
      <c r="J179" s="12" t="n">
        <v>2136</v>
      </c>
      <c r="K179" s="12" t="n">
        <v>2486</v>
      </c>
      <c r="L179" s="12" t="n">
        <v>2962</v>
      </c>
      <c r="M179" s="12" t="n">
        <v>2880</v>
      </c>
      <c r="N179" s="12" t="n">
        <v>3257</v>
      </c>
      <c r="V179" s="12" t="n">
        <v>2051</v>
      </c>
      <c r="W179" s="12" t="n">
        <v>2139</v>
      </c>
      <c r="X179" s="12" t="n">
        <v>2880</v>
      </c>
    </row>
    <row r="181">
      <c r="A181" s="16" t="inlineStr">
        <is>
          <t>현금흐름표 · 전 항목</t>
        </is>
      </c>
      <c r="B181" s="42" t="inlineStr">
        <is>
          <t>분기 = 결산기 첫날부터 누계(공시 그대로)</t>
        </is>
      </c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</row>
    <row r="182">
      <c r="A182" s="5" t="inlineStr">
        <is>
          <t>항목</t>
        </is>
      </c>
      <c r="B182" s="5" t="inlineStr">
        <is>
          <t>참고</t>
        </is>
      </c>
      <c r="C182" s="5" t="inlineStr">
        <is>
          <t>2024.2Q</t>
        </is>
      </c>
      <c r="D182" s="5" t="inlineStr">
        <is>
          <t>2024.3Q</t>
        </is>
      </c>
      <c r="E182" s="5" t="inlineStr">
        <is>
          <t>2024.4Q</t>
        </is>
      </c>
      <c r="F182" s="5" t="inlineStr">
        <is>
          <t>2025.1Q</t>
        </is>
      </c>
      <c r="G182" s="5" t="inlineStr">
        <is>
          <t>2025.2Q</t>
        </is>
      </c>
      <c r="H182" s="5" t="inlineStr">
        <is>
          <t>2025.3Q</t>
        </is>
      </c>
      <c r="I182" s="5" t="inlineStr">
        <is>
          <t>2025.4Q</t>
        </is>
      </c>
      <c r="J182" s="5" t="inlineStr">
        <is>
          <t>2026.1Q</t>
        </is>
      </c>
      <c r="K182" s="5" t="inlineStr">
        <is>
          <t>2026.2Q</t>
        </is>
      </c>
      <c r="L182" s="5" t="inlineStr">
        <is>
          <t>2026.3Q</t>
        </is>
      </c>
      <c r="M182" s="5" t="inlineStr">
        <is>
          <t>2026.4Q</t>
        </is>
      </c>
      <c r="N182" s="5" t="inlineStr">
        <is>
          <t>2027.1Q</t>
        </is>
      </c>
      <c r="O182" s="5" t="inlineStr">
        <is>
          <t>2017</t>
        </is>
      </c>
      <c r="P182" s="5" t="inlineStr">
        <is>
          <t>2018</t>
        </is>
      </c>
      <c r="Q182" s="5" t="inlineStr">
        <is>
          <t>2019</t>
        </is>
      </c>
      <c r="R182" s="5" t="inlineStr">
        <is>
          <t>2020</t>
        </is>
      </c>
      <c r="S182" s="5" t="inlineStr">
        <is>
          <t>2021</t>
        </is>
      </c>
      <c r="T182" s="5" t="inlineStr">
        <is>
          <t>2022</t>
        </is>
      </c>
      <c r="U182" s="5" t="inlineStr">
        <is>
          <t>2023</t>
        </is>
      </c>
      <c r="V182" s="5" t="inlineStr">
        <is>
          <t>2024</t>
        </is>
      </c>
      <c r="W182" s="5" t="inlineStr">
        <is>
          <t>2025</t>
        </is>
      </c>
      <c r="X182" s="5" t="inlineStr">
        <is>
          <t>2026</t>
        </is>
      </c>
      <c r="Y182" s="5" t="inlineStr">
        <is>
          <t>2027(MW)</t>
        </is>
      </c>
      <c r="Z182" s="5" t="inlineStr">
        <is>
          <t>2028(MW)</t>
        </is>
      </c>
      <c r="AA182" s="5" t="inlineStr">
        <is>
          <t>2029(MW)</t>
        </is>
      </c>
      <c r="AB182" s="5" t="inlineStr">
        <is>
          <t>2030(MW)</t>
        </is>
      </c>
      <c r="AC182" s="5" t="inlineStr">
        <is>
          <t>2031(MW)</t>
        </is>
      </c>
    </row>
    <row r="183">
      <c r="A183" s="9" t="inlineStr">
        <is>
          <t>법인세차감전 순이익</t>
        </is>
      </c>
      <c r="C183" s="12" t="n">
        <v>5206</v>
      </c>
      <c r="E183" s="12" t="n">
        <v>11041</v>
      </c>
      <c r="G183" s="12" t="n">
        <v>5020</v>
      </c>
      <c r="I183" s="12" t="n">
        <v>11503</v>
      </c>
      <c r="K183" s="12" t="n">
        <v>4869</v>
      </c>
      <c r="M183" s="12" t="n">
        <v>11954</v>
      </c>
      <c r="O183" s="12" t="n">
        <v>6662</v>
      </c>
      <c r="P183" s="12" t="n">
        <v>7283</v>
      </c>
      <c r="Q183" s="12" t="n">
        <v>7075</v>
      </c>
      <c r="R183" s="12" t="n">
        <v>7256</v>
      </c>
      <c r="S183" s="12" t="n">
        <v>7821</v>
      </c>
      <c r="T183" s="12" t="n">
        <v>7980</v>
      </c>
      <c r="U183" s="12" t="n">
        <v>15052</v>
      </c>
      <c r="V183" s="12" t="n">
        <v>11041</v>
      </c>
      <c r="W183" s="12" t="n">
        <v>11503</v>
      </c>
      <c r="X183" s="12" t="n">
        <v>11954</v>
      </c>
    </row>
    <row r="184">
      <c r="A184" s="18" t="inlineStr">
        <is>
          <t>감가상각비</t>
        </is>
      </c>
      <c r="C184" s="20" t="n">
        <v>864</v>
      </c>
      <c r="E184" s="20" t="n">
        <v>1819</v>
      </c>
      <c r="G184" s="20" t="n">
        <v>950</v>
      </c>
      <c r="I184" s="20" t="n">
        <v>2082</v>
      </c>
      <c r="K184" s="20" t="n">
        <v>1437</v>
      </c>
      <c r="M184" s="20" t="n">
        <v>2964</v>
      </c>
      <c r="O184" s="20" t="n">
        <v>1873</v>
      </c>
      <c r="P184" s="20" t="n">
        <v>1839</v>
      </c>
      <c r="Q184" s="20" t="n">
        <v>1590</v>
      </c>
      <c r="R184" s="20" t="n">
        <v>1862</v>
      </c>
      <c r="S184" s="20" t="n">
        <v>1810</v>
      </c>
      <c r="T184" s="20" t="n">
        <v>2266</v>
      </c>
      <c r="U184" s="20" t="n">
        <v>2050</v>
      </c>
      <c r="V184" s="20" t="n">
        <v>1819</v>
      </c>
      <c r="W184" s="20" t="n">
        <v>2082</v>
      </c>
      <c r="X184" s="20" t="n">
        <v>2964</v>
      </c>
    </row>
    <row r="185">
      <c r="A185" s="18" t="inlineStr">
        <is>
          <t>영업권 상각</t>
        </is>
      </c>
      <c r="C185" s="20" t="n">
        <v>63</v>
      </c>
      <c r="E185" s="20" t="n">
        <v>127</v>
      </c>
      <c r="G185" s="20" t="n">
        <v>64</v>
      </c>
      <c r="I185" s="20" t="n">
        <v>128</v>
      </c>
      <c r="K185" s="20" t="n">
        <v>63</v>
      </c>
      <c r="M185" s="20" t="n">
        <v>134</v>
      </c>
      <c r="O185" s="20" t="n">
        <v>7</v>
      </c>
      <c r="P185" s="20" t="n">
        <v>144</v>
      </c>
      <c r="Q185" s="20" t="n">
        <v>189</v>
      </c>
      <c r="R185" s="20" t="n">
        <v>189</v>
      </c>
      <c r="S185" s="20" t="n">
        <v>204</v>
      </c>
      <c r="T185" s="20" t="n">
        <v>222</v>
      </c>
      <c r="U185" s="20" t="n">
        <v>106</v>
      </c>
      <c r="V185" s="20" t="n">
        <v>127</v>
      </c>
      <c r="W185" s="20" t="n">
        <v>128</v>
      </c>
      <c r="X185" s="20" t="n">
        <v>134</v>
      </c>
    </row>
    <row r="186">
      <c r="A186" s="18" t="inlineStr">
        <is>
          <t>손상차손</t>
        </is>
      </c>
      <c r="O186" s="20" t="n">
        <v>100</v>
      </c>
      <c r="P186" s="20" t="n">
        <v>0</v>
      </c>
    </row>
    <row r="187">
      <c r="A187" s="18" t="inlineStr">
        <is>
          <t>투자유가증권 매각손익</t>
        </is>
      </c>
      <c r="C187" s="20" t="n">
        <v>-108</v>
      </c>
      <c r="E187" s="20" t="n">
        <v>-285</v>
      </c>
      <c r="G187" s="20" t="n">
        <v>0</v>
      </c>
      <c r="I187" s="20" t="n">
        <v>-397</v>
      </c>
      <c r="K187" s="20" t="n">
        <v>-0</v>
      </c>
      <c r="M187" s="20" t="n">
        <v>-866</v>
      </c>
      <c r="O187" s="20" t="n">
        <v>-4</v>
      </c>
      <c r="P187" s="20" t="n">
        <v>-167</v>
      </c>
      <c r="Q187" s="20" t="n">
        <v>0</v>
      </c>
      <c r="R187" s="20" t="n">
        <v>-113</v>
      </c>
      <c r="S187" s="20" t="n">
        <v>-170</v>
      </c>
      <c r="T187" s="20" t="n">
        <v>-152</v>
      </c>
      <c r="U187" s="20" t="n">
        <v>0</v>
      </c>
      <c r="V187" s="20" t="n">
        <v>-285</v>
      </c>
      <c r="W187" s="20" t="n">
        <v>-397</v>
      </c>
      <c r="X187" s="20" t="n">
        <v>-866</v>
      </c>
    </row>
    <row r="188">
      <c r="A188" s="18" t="inlineStr">
        <is>
          <t>관계회사 주식 매각손익</t>
        </is>
      </c>
      <c r="O188" s="20" t="n">
        <v>14</v>
      </c>
      <c r="P188" s="20" t="n">
        <v>0</v>
      </c>
      <c r="Q188" s="20" t="n">
        <v>61</v>
      </c>
      <c r="R188" s="20" t="n">
        <v>0</v>
      </c>
    </row>
    <row r="189">
      <c r="A189" s="18" t="inlineStr">
        <is>
          <t>Loss Gain On Disposal Of Property Plant And Equipment Ope CF</t>
        </is>
      </c>
      <c r="C189" s="20" t="n">
        <v>4</v>
      </c>
      <c r="E189" s="20" t="n">
        <v>21</v>
      </c>
      <c r="G189" s="20" t="n">
        <v>28</v>
      </c>
      <c r="I189" s="20" t="n">
        <v>30</v>
      </c>
      <c r="K189" s="20" t="n">
        <v>0</v>
      </c>
      <c r="M189" s="20" t="n">
        <v>0</v>
      </c>
      <c r="O189" s="20" t="n">
        <v>46</v>
      </c>
      <c r="P189" s="20" t="n">
        <v>39</v>
      </c>
      <c r="Q189" s="20" t="n">
        <v>25</v>
      </c>
      <c r="R189" s="20" t="n">
        <v>21</v>
      </c>
      <c r="S189" s="20" t="n">
        <v>4</v>
      </c>
      <c r="T189" s="20" t="n">
        <v>5</v>
      </c>
      <c r="U189" s="20" t="n">
        <v>33</v>
      </c>
      <c r="V189" s="20" t="n">
        <v>21</v>
      </c>
      <c r="W189" s="20" t="n">
        <v>30</v>
      </c>
      <c r="X189" s="20" t="n">
        <v>0</v>
      </c>
    </row>
    <row r="190">
      <c r="A190" s="18" t="inlineStr">
        <is>
          <t>유형자산 매각손익</t>
        </is>
      </c>
      <c r="C190" s="20" t="n">
        <v>13</v>
      </c>
      <c r="E190" s="20" t="n">
        <v>11</v>
      </c>
      <c r="G190" s="20" t="n">
        <v>-12</v>
      </c>
      <c r="I190" s="20" t="n">
        <v>-92</v>
      </c>
      <c r="K190" s="20" t="n">
        <v>-5</v>
      </c>
      <c r="M190" s="20" t="n">
        <v>-18</v>
      </c>
      <c r="O190" s="20" t="n">
        <v>-0</v>
      </c>
      <c r="P190" s="20" t="n">
        <v>-33</v>
      </c>
      <c r="Q190" s="20" t="n">
        <v>33</v>
      </c>
      <c r="R190" s="20" t="n">
        <v>-40</v>
      </c>
      <c r="S190" s="20" t="n">
        <v>-250</v>
      </c>
      <c r="T190" s="20" t="n">
        <v>-45</v>
      </c>
      <c r="U190" s="20" t="n">
        <v>-7183</v>
      </c>
      <c r="V190" s="20" t="n">
        <v>11</v>
      </c>
      <c r="W190" s="20" t="n">
        <v>-92</v>
      </c>
      <c r="X190" s="20" t="n">
        <v>-18</v>
      </c>
    </row>
    <row r="191">
      <c r="A191" s="18" t="inlineStr">
        <is>
          <t>대손손실</t>
        </is>
      </c>
      <c r="E191" s="20" t="n">
        <v>84</v>
      </c>
      <c r="I191" s="20" t="n">
        <v>0</v>
      </c>
      <c r="U191" s="20" t="n">
        <v>0</v>
      </c>
      <c r="V191" s="20" t="n">
        <v>84</v>
      </c>
      <c r="W191" s="20" t="n">
        <v>0</v>
      </c>
    </row>
    <row r="192">
      <c r="A192" s="18" t="inlineStr">
        <is>
          <t>대손충당금 증감</t>
        </is>
      </c>
      <c r="C192" s="20" t="n">
        <v>91</v>
      </c>
      <c r="E192" s="20" t="n">
        <v>-3</v>
      </c>
      <c r="G192" s="20" t="n">
        <v>-27</v>
      </c>
      <c r="I192" s="20" t="n">
        <v>-28</v>
      </c>
      <c r="K192" s="20" t="n">
        <v>0</v>
      </c>
      <c r="M192" s="20" t="n">
        <v>4</v>
      </c>
      <c r="O192" s="20" t="n">
        <v>-94</v>
      </c>
      <c r="P192" s="20" t="n">
        <v>-4</v>
      </c>
      <c r="Q192" s="20" t="n">
        <v>0</v>
      </c>
      <c r="R192" s="20" t="n">
        <v>-6</v>
      </c>
      <c r="S192" s="20" t="n">
        <v>4</v>
      </c>
      <c r="T192" s="20" t="n">
        <v>-2</v>
      </c>
      <c r="U192" s="20" t="n">
        <v>6</v>
      </c>
      <c r="V192" s="20" t="n">
        <v>-3</v>
      </c>
      <c r="W192" s="20" t="n">
        <v>-28</v>
      </c>
      <c r="X192" s="20" t="n">
        <v>4</v>
      </c>
    </row>
    <row r="193">
      <c r="A193" s="18" t="inlineStr">
        <is>
          <t>상여충당금 증감</t>
        </is>
      </c>
      <c r="C193" s="20" t="n">
        <v>73</v>
      </c>
      <c r="E193" s="20" t="n">
        <v>258</v>
      </c>
      <c r="G193" s="20" t="n">
        <v>-143</v>
      </c>
      <c r="I193" s="20" t="n">
        <v>107</v>
      </c>
      <c r="K193" s="20" t="n">
        <v>-170</v>
      </c>
      <c r="M193" s="20" t="n">
        <v>-76</v>
      </c>
      <c r="O193" s="20" t="n">
        <v>43</v>
      </c>
      <c r="P193" s="20" t="n">
        <v>26</v>
      </c>
      <c r="Q193" s="20" t="n">
        <v>-12</v>
      </c>
      <c r="R193" s="20" t="n">
        <v>61</v>
      </c>
      <c r="S193" s="20" t="n">
        <v>28</v>
      </c>
      <c r="T193" s="20" t="n">
        <v>17</v>
      </c>
      <c r="U193" s="20" t="n">
        <v>26</v>
      </c>
      <c r="V193" s="20" t="n">
        <v>258</v>
      </c>
      <c r="W193" s="20" t="n">
        <v>107</v>
      </c>
      <c r="X193" s="20" t="n">
        <v>-76</v>
      </c>
    </row>
    <row r="194">
      <c r="A194" s="18" t="inlineStr">
        <is>
          <t>임원 상여충당금 증감</t>
        </is>
      </c>
      <c r="C194" s="20" t="n">
        <v>-77</v>
      </c>
      <c r="E194" s="20" t="n">
        <v>24</v>
      </c>
      <c r="G194" s="20" t="n">
        <v>-91</v>
      </c>
      <c r="I194" s="20" t="n">
        <v>34</v>
      </c>
      <c r="K194" s="20" t="n">
        <v>-138</v>
      </c>
      <c r="M194" s="20" t="n">
        <v>-53</v>
      </c>
      <c r="O194" s="20" t="n">
        <v>-7</v>
      </c>
      <c r="P194" s="20" t="n">
        <v>12</v>
      </c>
      <c r="Q194" s="20" t="n">
        <v>16</v>
      </c>
      <c r="R194" s="20" t="n">
        <v>-16</v>
      </c>
      <c r="S194" s="20" t="n">
        <v>6</v>
      </c>
      <c r="T194" s="20" t="n">
        <v>3</v>
      </c>
      <c r="U194" s="20" t="n">
        <v>14</v>
      </c>
      <c r="V194" s="20" t="n">
        <v>24</v>
      </c>
      <c r="W194" s="20" t="n">
        <v>34</v>
      </c>
      <c r="X194" s="20" t="n">
        <v>-53</v>
      </c>
    </row>
    <row r="195">
      <c r="A195" s="18" t="inlineStr">
        <is>
          <t>퇴직급여자산 증감</t>
        </is>
      </c>
      <c r="C195" s="20" t="n">
        <v>-52</v>
      </c>
      <c r="E195" s="20" t="n">
        <v>-103</v>
      </c>
      <c r="G195" s="20" t="n">
        <v>-76</v>
      </c>
      <c r="I195" s="20" t="n">
        <v>-152</v>
      </c>
      <c r="K195" s="20" t="n">
        <v>-80</v>
      </c>
      <c r="M195" s="20" t="n">
        <v>-160</v>
      </c>
      <c r="O195" s="20" t="n">
        <v>-41</v>
      </c>
      <c r="P195" s="20" t="n">
        <v>-27</v>
      </c>
      <c r="Q195" s="20" t="n">
        <v>-1</v>
      </c>
      <c r="R195" s="20" t="n">
        <v>9</v>
      </c>
      <c r="S195" s="20" t="n">
        <v>61</v>
      </c>
      <c r="T195" s="20" t="n">
        <v>-37</v>
      </c>
      <c r="U195" s="20" t="n">
        <v>-48</v>
      </c>
      <c r="V195" s="20" t="n">
        <v>-103</v>
      </c>
      <c r="W195" s="20" t="n">
        <v>-152</v>
      </c>
      <c r="X195" s="20" t="n">
        <v>-160</v>
      </c>
    </row>
    <row r="196">
      <c r="A196" s="18" t="inlineStr">
        <is>
          <t>퇴직급여부채 증감</t>
        </is>
      </c>
      <c r="C196" s="20" t="n">
        <v>8</v>
      </c>
      <c r="E196" s="20" t="n">
        <v>-43</v>
      </c>
      <c r="G196" s="20" t="n">
        <v>-25</v>
      </c>
      <c r="I196" s="20" t="n">
        <v>-49</v>
      </c>
      <c r="K196" s="20" t="n">
        <v>-97</v>
      </c>
      <c r="M196" s="20" t="n">
        <v>-139</v>
      </c>
      <c r="O196" s="20" t="n">
        <v>123</v>
      </c>
      <c r="P196" s="20" t="n">
        <v>65</v>
      </c>
      <c r="Q196" s="20" t="n">
        <v>135</v>
      </c>
      <c r="R196" s="20" t="n">
        <v>50</v>
      </c>
      <c r="S196" s="20" t="n">
        <v>133</v>
      </c>
      <c r="T196" s="20" t="n">
        <v>115</v>
      </c>
      <c r="U196" s="20" t="n">
        <v>0</v>
      </c>
      <c r="V196" s="20" t="n">
        <v>-43</v>
      </c>
      <c r="W196" s="20" t="n">
        <v>-49</v>
      </c>
      <c r="X196" s="20" t="n">
        <v>-139</v>
      </c>
    </row>
    <row r="197">
      <c r="A197" s="18" t="inlineStr">
        <is>
          <t>제품보상 충당금 증감</t>
        </is>
      </c>
      <c r="O197" s="20" t="n">
        <v>-1</v>
      </c>
      <c r="P197" s="20" t="n">
        <v>-96</v>
      </c>
      <c r="Q197" s="20" t="n">
        <v>0</v>
      </c>
    </row>
    <row r="198">
      <c r="A198" s="18" t="inlineStr">
        <is>
          <t>이자·배당금 수익</t>
        </is>
      </c>
      <c r="C198" s="20" t="n">
        <v>-141</v>
      </c>
      <c r="E198" s="20" t="n">
        <v>-291</v>
      </c>
      <c r="G198" s="20" t="n">
        <v>-170</v>
      </c>
      <c r="I198" s="20" t="n">
        <v>-346</v>
      </c>
      <c r="K198" s="20" t="n">
        <v>-188</v>
      </c>
      <c r="M198" s="20" t="n">
        <v>-387</v>
      </c>
      <c r="O198" s="20" t="n">
        <v>-172</v>
      </c>
      <c r="P198" s="20" t="n">
        <v>-183</v>
      </c>
      <c r="Q198" s="20" t="n">
        <v>-211</v>
      </c>
      <c r="R198" s="20" t="n">
        <v>-218</v>
      </c>
      <c r="S198" s="20" t="n">
        <v>-207</v>
      </c>
      <c r="T198" s="20" t="n">
        <v>-224</v>
      </c>
      <c r="U198" s="20" t="n">
        <v>-270</v>
      </c>
      <c r="V198" s="20" t="n">
        <v>-291</v>
      </c>
      <c r="W198" s="20" t="n">
        <v>-346</v>
      </c>
      <c r="X198" s="20" t="n">
        <v>-387</v>
      </c>
    </row>
    <row r="199">
      <c r="A199" s="18" t="inlineStr">
        <is>
          <t>이자비용</t>
        </is>
      </c>
      <c r="C199" s="20" t="n">
        <v>4</v>
      </c>
      <c r="E199" s="20" t="n">
        <v>10</v>
      </c>
      <c r="G199" s="20" t="n">
        <v>5</v>
      </c>
      <c r="I199" s="20" t="n">
        <v>10</v>
      </c>
      <c r="K199" s="20" t="n">
        <v>10</v>
      </c>
      <c r="M199" s="20" t="n">
        <v>20</v>
      </c>
      <c r="O199" s="20" t="n">
        <v>15</v>
      </c>
      <c r="P199" s="20" t="n">
        <v>21</v>
      </c>
      <c r="Q199" s="20" t="n">
        <v>16</v>
      </c>
      <c r="R199" s="20" t="n">
        <v>14</v>
      </c>
      <c r="S199" s="20" t="n">
        <v>13</v>
      </c>
      <c r="T199" s="20" t="n">
        <v>10</v>
      </c>
      <c r="U199" s="20" t="n">
        <v>10</v>
      </c>
      <c r="V199" s="20" t="n">
        <v>10</v>
      </c>
      <c r="W199" s="20" t="n">
        <v>10</v>
      </c>
      <c r="X199" s="20" t="n">
        <v>20</v>
      </c>
    </row>
    <row r="200">
      <c r="A200" s="18" t="inlineStr">
        <is>
          <t>보험금 수익</t>
        </is>
      </c>
      <c r="E200" s="20" t="n">
        <v>-92</v>
      </c>
      <c r="I200" s="20" t="n">
        <v>0</v>
      </c>
      <c r="U200" s="20" t="n">
        <v>0</v>
      </c>
      <c r="V200" s="20" t="n">
        <v>-92</v>
      </c>
      <c r="W200" s="20" t="n">
        <v>0</v>
      </c>
    </row>
    <row r="201">
      <c r="A201" s="18" t="inlineStr">
        <is>
          <t>지분법손익</t>
        </is>
      </c>
      <c r="C201" s="20" t="n">
        <v>-19</v>
      </c>
      <c r="E201" s="20" t="n">
        <v>-40</v>
      </c>
      <c r="G201" s="20" t="n">
        <v>-16</v>
      </c>
      <c r="I201" s="20" t="n">
        <v>-31</v>
      </c>
      <c r="K201" s="20" t="n">
        <v>-19</v>
      </c>
      <c r="M201" s="20" t="n">
        <v>-53</v>
      </c>
      <c r="P201" s="20" t="n">
        <v>0</v>
      </c>
      <c r="Q201" s="20" t="n">
        <v>-30</v>
      </c>
      <c r="R201" s="20" t="n">
        <v>-19</v>
      </c>
      <c r="S201" s="20" t="n">
        <v>-10</v>
      </c>
      <c r="T201" s="20" t="n">
        <v>-19</v>
      </c>
      <c r="U201" s="20" t="n">
        <v>-31</v>
      </c>
      <c r="V201" s="20" t="n">
        <v>-40</v>
      </c>
      <c r="W201" s="20" t="n">
        <v>-31</v>
      </c>
      <c r="X201" s="20" t="n">
        <v>-53</v>
      </c>
    </row>
    <row r="202">
      <c r="A202" s="18" t="inlineStr">
        <is>
          <t>매출채권 증감</t>
        </is>
      </c>
      <c r="O202" s="20" t="n">
        <v>-1909</v>
      </c>
      <c r="P202" s="20" t="n">
        <v>-2007</v>
      </c>
      <c r="Q202" s="20" t="n">
        <v>-3159</v>
      </c>
      <c r="R202" s="20" t="n">
        <v>2696</v>
      </c>
      <c r="S202" s="20" t="n">
        <v>-2095</v>
      </c>
    </row>
    <row r="203">
      <c r="A203" s="18" t="inlineStr">
        <is>
          <t>매출채권·계약자산 증감</t>
        </is>
      </c>
      <c r="C203" s="20" t="n">
        <v>-1691</v>
      </c>
      <c r="S203" s="20" t="n">
        <v>-2084</v>
      </c>
      <c r="T203" s="20" t="n">
        <v>-2242</v>
      </c>
      <c r="U203" s="20" t="n">
        <v>-2973</v>
      </c>
    </row>
    <row r="204">
      <c r="A204" s="18" t="inlineStr">
        <is>
          <t>매출채권·계약자산 증감</t>
        </is>
      </c>
      <c r="C204" s="20" t="n">
        <v>-1691</v>
      </c>
      <c r="E204" s="20" t="n">
        <v>-3838</v>
      </c>
      <c r="G204" s="20" t="n">
        <v>4350</v>
      </c>
      <c r="I204" s="20" t="n">
        <v>981</v>
      </c>
      <c r="K204" s="20" t="n">
        <v>2674</v>
      </c>
      <c r="M204" s="20" t="n">
        <v>3232</v>
      </c>
      <c r="U204" s="20" t="n">
        <v>-2973</v>
      </c>
      <c r="V204" s="20" t="n">
        <v>-3838</v>
      </c>
      <c r="W204" s="20" t="n">
        <v>981</v>
      </c>
      <c r="X204" s="20" t="n">
        <v>3232</v>
      </c>
    </row>
    <row r="205">
      <c r="A205" s="18" t="inlineStr">
        <is>
          <t>재고자산 증감</t>
        </is>
      </c>
      <c r="C205" s="20" t="n">
        <v>240</v>
      </c>
      <c r="E205" s="20" t="n">
        <v>144</v>
      </c>
      <c r="G205" s="20" t="n">
        <v>805</v>
      </c>
      <c r="I205" s="20" t="n">
        <v>871</v>
      </c>
      <c r="K205" s="20" t="n">
        <v>-545</v>
      </c>
      <c r="M205" s="20" t="n">
        <v>-580</v>
      </c>
      <c r="O205" s="20" t="n">
        <v>-90</v>
      </c>
      <c r="P205" s="20" t="n">
        <v>280</v>
      </c>
      <c r="Q205" s="20" t="n">
        <v>-649</v>
      </c>
      <c r="R205" s="20" t="n">
        <v>-514</v>
      </c>
      <c r="S205" s="20" t="n">
        <v>693</v>
      </c>
      <c r="T205" s="20" t="n">
        <v>-1224</v>
      </c>
      <c r="U205" s="20" t="n">
        <v>-2433</v>
      </c>
      <c r="V205" s="20" t="n">
        <v>144</v>
      </c>
      <c r="W205" s="20" t="n">
        <v>871</v>
      </c>
      <c r="X205" s="20" t="n">
        <v>-580</v>
      </c>
    </row>
    <row r="206">
      <c r="A206" s="18" t="inlineStr">
        <is>
          <t>매입채무 증감</t>
        </is>
      </c>
      <c r="C206" s="20" t="n">
        <v>4153</v>
      </c>
      <c r="E206" s="20" t="n">
        <v>3495</v>
      </c>
      <c r="G206" s="20" t="n">
        <v>-6375</v>
      </c>
      <c r="I206" s="20" t="n">
        <v>-5715</v>
      </c>
      <c r="K206" s="20" t="n">
        <v>-871</v>
      </c>
      <c r="M206" s="20" t="n">
        <v>-430</v>
      </c>
      <c r="O206" s="20" t="n">
        <v>1065</v>
      </c>
      <c r="P206" s="20" t="n">
        <v>4545</v>
      </c>
      <c r="Q206" s="20" t="n">
        <v>2673</v>
      </c>
      <c r="R206" s="20" t="n">
        <v>-3405</v>
      </c>
      <c r="S206" s="20" t="n">
        <v>1137</v>
      </c>
      <c r="T206" s="20" t="n">
        <v>2385</v>
      </c>
      <c r="U206" s="20" t="n">
        <v>2304</v>
      </c>
      <c r="V206" s="20" t="n">
        <v>3495</v>
      </c>
      <c r="W206" s="20" t="n">
        <v>-5715</v>
      </c>
      <c r="X206" s="20" t="n">
        <v>-430</v>
      </c>
    </row>
    <row r="207">
      <c r="A207" s="18" t="inlineStr">
        <is>
          <t>기타 유동부채 증감</t>
        </is>
      </c>
      <c r="C207" s="20" t="n">
        <v>345</v>
      </c>
      <c r="E207" s="20" t="n">
        <v>684</v>
      </c>
      <c r="G207" s="20" t="n">
        <v>-709</v>
      </c>
      <c r="I207" s="20" t="n">
        <v>-882</v>
      </c>
      <c r="K207" s="20" t="n">
        <v>586</v>
      </c>
      <c r="M207" s="20" t="n">
        <v>485</v>
      </c>
      <c r="O207" s="20" t="n">
        <v>90</v>
      </c>
      <c r="P207" s="20" t="n">
        <v>-908</v>
      </c>
      <c r="Q207" s="20" t="n">
        <v>160</v>
      </c>
      <c r="R207" s="20" t="n">
        <v>341</v>
      </c>
      <c r="S207" s="20" t="n">
        <v>-517</v>
      </c>
      <c r="T207" s="20" t="n">
        <v>-127</v>
      </c>
      <c r="U207" s="20" t="n">
        <v>-32</v>
      </c>
      <c r="V207" s="20" t="n">
        <v>684</v>
      </c>
      <c r="W207" s="20" t="n">
        <v>-882</v>
      </c>
      <c r="X207" s="20" t="n">
        <v>485</v>
      </c>
    </row>
    <row r="208">
      <c r="A208" s="18" t="inlineStr">
        <is>
          <t>기타 비유동부채 증감액</t>
        </is>
      </c>
      <c r="C208" s="20" t="n">
        <v>59</v>
      </c>
      <c r="E208" s="20" t="n">
        <v>-134</v>
      </c>
      <c r="G208" s="20" t="n">
        <v>139</v>
      </c>
      <c r="I208" s="20" t="n">
        <v>162</v>
      </c>
      <c r="K208" s="20" t="n">
        <v>-56</v>
      </c>
      <c r="M208" s="20" t="n">
        <v>-18</v>
      </c>
      <c r="O208" s="20" t="n">
        <v>-51</v>
      </c>
      <c r="P208" s="20" t="n">
        <v>14</v>
      </c>
      <c r="Q208" s="20" t="n">
        <v>99</v>
      </c>
      <c r="R208" s="20" t="n">
        <v>-73</v>
      </c>
      <c r="S208" s="20" t="n">
        <v>-8</v>
      </c>
      <c r="T208" s="20" t="n">
        <v>-15</v>
      </c>
      <c r="U208" s="20" t="n">
        <v>30</v>
      </c>
      <c r="V208" s="20" t="n">
        <v>-134</v>
      </c>
      <c r="W208" s="20" t="n">
        <v>162</v>
      </c>
      <c r="X208" s="20" t="n">
        <v>-18</v>
      </c>
    </row>
    <row r="209">
      <c r="A209" s="18" t="inlineStr">
        <is>
          <t>기타</t>
        </is>
      </c>
      <c r="C209" s="20" t="n">
        <v>307</v>
      </c>
      <c r="E209" s="20" t="n">
        <v>215</v>
      </c>
      <c r="G209" s="20" t="n">
        <v>-1660</v>
      </c>
      <c r="I209" s="20" t="n">
        <v>1090</v>
      </c>
      <c r="K209" s="20" t="n">
        <v>679</v>
      </c>
      <c r="M209" s="20" t="n">
        <v>838</v>
      </c>
      <c r="O209" s="20" t="n">
        <v>-65</v>
      </c>
      <c r="P209" s="20" t="n">
        <v>122</v>
      </c>
      <c r="Q209" s="20" t="n">
        <v>-132</v>
      </c>
      <c r="R209" s="20" t="n">
        <v>494</v>
      </c>
      <c r="S209" s="20" t="n">
        <v>243</v>
      </c>
      <c r="T209" s="20" t="n">
        <v>53</v>
      </c>
      <c r="U209" s="20" t="n">
        <v>256</v>
      </c>
      <c r="V209" s="20" t="n">
        <v>215</v>
      </c>
      <c r="W209" s="20" t="n">
        <v>1090</v>
      </c>
      <c r="X209" s="20" t="n">
        <v>838</v>
      </c>
    </row>
    <row r="210">
      <c r="A210" s="18" t="inlineStr">
        <is>
          <t>소계</t>
        </is>
      </c>
      <c r="C210" s="20" t="n">
        <v>9346</v>
      </c>
      <c r="E210" s="20" t="n">
        <v>13108</v>
      </c>
      <c r="G210" s="20" t="n">
        <v>2053</v>
      </c>
      <c r="I210" s="20" t="n">
        <v>9307</v>
      </c>
      <c r="K210" s="20" t="n">
        <v>8148</v>
      </c>
      <c r="M210" s="20" t="n">
        <v>16849</v>
      </c>
      <c r="O210" s="20" t="n">
        <v>7603</v>
      </c>
      <c r="P210" s="20" t="n">
        <v>10966</v>
      </c>
      <c r="Q210" s="20" t="n">
        <v>7880</v>
      </c>
      <c r="R210" s="20" t="n">
        <v>8590</v>
      </c>
      <c r="S210" s="20" t="n">
        <v>8912</v>
      </c>
      <c r="T210" s="20" t="n">
        <v>8971</v>
      </c>
      <c r="U210" s="20" t="n">
        <v>6919</v>
      </c>
      <c r="V210" s="20" t="n">
        <v>13108</v>
      </c>
      <c r="W210" s="20" t="n">
        <v>9307</v>
      </c>
      <c r="X210" s="20" t="n">
        <v>16849</v>
      </c>
    </row>
    <row r="211">
      <c r="A211" s="18" t="inlineStr">
        <is>
          <t>이자·배당금 수취</t>
        </is>
      </c>
      <c r="C211" s="20" t="n">
        <v>141</v>
      </c>
      <c r="E211" s="20" t="n">
        <v>291</v>
      </c>
      <c r="G211" s="20" t="n">
        <v>170</v>
      </c>
      <c r="I211" s="20" t="n">
        <v>346</v>
      </c>
      <c r="K211" s="20" t="n">
        <v>188</v>
      </c>
      <c r="M211" s="20" t="n">
        <v>386</v>
      </c>
      <c r="O211" s="20" t="n">
        <v>172</v>
      </c>
      <c r="P211" s="20" t="n">
        <v>183</v>
      </c>
      <c r="Q211" s="20" t="n">
        <v>210</v>
      </c>
      <c r="R211" s="20" t="n">
        <v>220</v>
      </c>
      <c r="S211" s="20" t="n">
        <v>207</v>
      </c>
      <c r="T211" s="20" t="n">
        <v>224</v>
      </c>
      <c r="U211" s="20" t="n">
        <v>270</v>
      </c>
      <c r="V211" s="20" t="n">
        <v>291</v>
      </c>
      <c r="W211" s="20" t="n">
        <v>346</v>
      </c>
      <c r="X211" s="20" t="n">
        <v>386</v>
      </c>
    </row>
    <row r="212">
      <c r="A212" s="18" t="inlineStr">
        <is>
          <t>Settlement Package Received Ope CF</t>
        </is>
      </c>
      <c r="E212" s="20" t="n">
        <v>150</v>
      </c>
      <c r="I212" s="20" t="n">
        <v>0</v>
      </c>
      <c r="U212" s="20" t="n">
        <v>0</v>
      </c>
      <c r="V212" s="20" t="n">
        <v>150</v>
      </c>
      <c r="W212" s="20" t="n">
        <v>0</v>
      </c>
    </row>
    <row r="213">
      <c r="A213" s="18" t="inlineStr">
        <is>
          <t>보험금 수취</t>
        </is>
      </c>
      <c r="E213" s="20" t="n">
        <v>92</v>
      </c>
      <c r="I213" s="20" t="n">
        <v>0</v>
      </c>
      <c r="U213" s="20" t="n">
        <v>0</v>
      </c>
      <c r="V213" s="20" t="n">
        <v>92</v>
      </c>
      <c r="W213" s="20" t="n">
        <v>0</v>
      </c>
    </row>
    <row r="214">
      <c r="A214" s="18" t="inlineStr">
        <is>
          <t>이자 지급</t>
        </is>
      </c>
      <c r="C214" s="20" t="n">
        <v>-4</v>
      </c>
      <c r="E214" s="20" t="n">
        <v>-10</v>
      </c>
      <c r="G214" s="20" t="n">
        <v>-5</v>
      </c>
      <c r="I214" s="20" t="n">
        <v>-9</v>
      </c>
      <c r="K214" s="20" t="n">
        <v>-10</v>
      </c>
      <c r="M214" s="20" t="n">
        <v>-20</v>
      </c>
      <c r="O214" s="20" t="n">
        <v>-15</v>
      </c>
      <c r="P214" s="20" t="n">
        <v>-21</v>
      </c>
      <c r="Q214" s="20" t="n">
        <v>-16</v>
      </c>
      <c r="R214" s="20" t="n">
        <v>-14</v>
      </c>
      <c r="S214" s="20" t="n">
        <v>-13</v>
      </c>
      <c r="T214" s="20" t="n">
        <v>-10</v>
      </c>
      <c r="U214" s="20" t="n">
        <v>-10</v>
      </c>
      <c r="V214" s="20" t="n">
        <v>-10</v>
      </c>
      <c r="W214" s="20" t="n">
        <v>-9</v>
      </c>
      <c r="X214" s="20" t="n">
        <v>-20</v>
      </c>
    </row>
    <row r="215">
      <c r="A215" s="18" t="inlineStr">
        <is>
          <t>법인세 납부</t>
        </is>
      </c>
      <c r="C215" s="20" t="n">
        <v>-3258</v>
      </c>
      <c r="E215" s="20" t="n">
        <v>-5492</v>
      </c>
      <c r="G215" s="20" t="n">
        <v>-1006</v>
      </c>
      <c r="I215" s="20" t="n">
        <v>-2469</v>
      </c>
      <c r="K215" s="20" t="n">
        <v>-1717</v>
      </c>
      <c r="M215" s="20" t="n">
        <v>-3482</v>
      </c>
      <c r="O215" s="20" t="n">
        <v>-2217</v>
      </c>
      <c r="P215" s="20" t="n">
        <v>-2166</v>
      </c>
      <c r="Q215" s="20" t="n">
        <v>-2566</v>
      </c>
      <c r="R215" s="20" t="n">
        <v>-2511</v>
      </c>
      <c r="S215" s="20" t="n">
        <v>-2341</v>
      </c>
      <c r="T215" s="20" t="n">
        <v>-2987</v>
      </c>
      <c r="U215" s="20" t="n">
        <v>-2573</v>
      </c>
      <c r="V215" s="20" t="n">
        <v>-5492</v>
      </c>
      <c r="W215" s="20" t="n">
        <v>-2469</v>
      </c>
      <c r="X215" s="20" t="n">
        <v>-3482</v>
      </c>
    </row>
    <row r="216">
      <c r="A216" s="9" t="inlineStr">
        <is>
          <t>영업활동 현금흐름</t>
        </is>
      </c>
      <c r="C216" s="12" t="n">
        <v>6225</v>
      </c>
      <c r="E216" s="12" t="n">
        <v>8139</v>
      </c>
      <c r="G216" s="12" t="n">
        <v>1212</v>
      </c>
      <c r="I216" s="12" t="n">
        <v>7174</v>
      </c>
      <c r="K216" s="12" t="n">
        <v>6609</v>
      </c>
      <c r="M216" s="12" t="n">
        <v>13733</v>
      </c>
      <c r="O216" s="12" t="n">
        <v>5542</v>
      </c>
      <c r="P216" s="12" t="n">
        <v>8962</v>
      </c>
      <c r="Q216" s="12" t="n">
        <v>5507</v>
      </c>
      <c r="R216" s="12" t="n">
        <v>6285</v>
      </c>
      <c r="S216" s="12" t="n">
        <v>6765</v>
      </c>
      <c r="T216" s="12" t="n">
        <v>6198</v>
      </c>
      <c r="U216" s="12" t="n">
        <v>4606</v>
      </c>
      <c r="V216" s="12" t="n">
        <v>8139</v>
      </c>
      <c r="W216" s="12" t="n">
        <v>7174</v>
      </c>
      <c r="X216" s="12" t="n">
        <v>13733</v>
      </c>
    </row>
    <row r="217">
      <c r="A217" s="18" t="inlineStr">
        <is>
          <t>정기예금 예입</t>
        </is>
      </c>
      <c r="C217" s="20" t="n">
        <v>-589</v>
      </c>
      <c r="E217" s="20" t="n">
        <v>-1302</v>
      </c>
      <c r="G217" s="20" t="n">
        <v>-672</v>
      </c>
      <c r="I217" s="20" t="n">
        <v>-1763</v>
      </c>
      <c r="K217" s="20" t="n">
        <v>-717</v>
      </c>
      <c r="M217" s="20" t="n">
        <v>-2095</v>
      </c>
      <c r="O217" s="20" t="n">
        <v>-1662</v>
      </c>
      <c r="P217" s="20" t="n">
        <v>-1435</v>
      </c>
      <c r="Q217" s="20" t="n">
        <v>-876</v>
      </c>
      <c r="R217" s="20" t="n">
        <v>-705</v>
      </c>
      <c r="S217" s="20" t="n">
        <v>-1324</v>
      </c>
      <c r="T217" s="20" t="n">
        <v>-1655</v>
      </c>
      <c r="U217" s="20" t="n">
        <v>-1607</v>
      </c>
      <c r="V217" s="20" t="n">
        <v>-1302</v>
      </c>
      <c r="W217" s="20" t="n">
        <v>-1763</v>
      </c>
      <c r="X217" s="20" t="n">
        <v>-2095</v>
      </c>
    </row>
    <row r="218">
      <c r="A218" s="18" t="inlineStr">
        <is>
          <t>정기예금 인출</t>
        </is>
      </c>
      <c r="C218" s="20" t="n">
        <v>1045</v>
      </c>
      <c r="E218" s="20" t="n">
        <v>1764</v>
      </c>
      <c r="G218" s="20" t="n">
        <v>636</v>
      </c>
      <c r="I218" s="20" t="n">
        <v>1684</v>
      </c>
      <c r="K218" s="20" t="n">
        <v>694</v>
      </c>
      <c r="M218" s="20" t="n">
        <v>1773</v>
      </c>
      <c r="O218" s="20" t="n">
        <v>1749</v>
      </c>
      <c r="P218" s="20" t="n">
        <v>1452</v>
      </c>
      <c r="Q218" s="20" t="n">
        <v>1965</v>
      </c>
      <c r="R218" s="20" t="n">
        <v>712</v>
      </c>
      <c r="S218" s="20" t="n">
        <v>1705</v>
      </c>
      <c r="T218" s="20" t="n">
        <v>1155</v>
      </c>
      <c r="U218" s="20" t="n">
        <v>1587</v>
      </c>
      <c r="V218" s="20" t="n">
        <v>1764</v>
      </c>
      <c r="W218" s="20" t="n">
        <v>1684</v>
      </c>
      <c r="X218" s="20" t="n">
        <v>1773</v>
      </c>
    </row>
    <row r="219">
      <c r="A219" s="18" t="inlineStr">
        <is>
          <t>유가증권 취득</t>
        </is>
      </c>
      <c r="O219" s="20" t="n">
        <v>0</v>
      </c>
      <c r="P219" s="20" t="n">
        <v>-165</v>
      </c>
      <c r="Q219" s="20" t="n">
        <v>-166</v>
      </c>
      <c r="R219" s="20" t="n">
        <v>-141</v>
      </c>
      <c r="S219" s="20" t="n">
        <v>0</v>
      </c>
    </row>
    <row r="220">
      <c r="A220" s="18" t="inlineStr">
        <is>
          <t>유가증권 매각·상환 수입</t>
        </is>
      </c>
      <c r="O220" s="20" t="n">
        <v>0</v>
      </c>
      <c r="P220" s="20" t="n">
        <v>165</v>
      </c>
      <c r="Q220" s="20" t="n">
        <v>0</v>
      </c>
      <c r="R220" s="20" t="n">
        <v>0</v>
      </c>
      <c r="S220" s="20" t="n">
        <v>293</v>
      </c>
      <c r="T220" s="20" t="n">
        <v>0</v>
      </c>
    </row>
    <row r="221">
      <c r="A221" s="18" t="inlineStr">
        <is>
          <t>유형자산 취득(설비투자)</t>
        </is>
      </c>
      <c r="C221" s="20" t="n">
        <v>-1710</v>
      </c>
      <c r="E221" s="20" t="n">
        <v>-5101</v>
      </c>
      <c r="G221" s="20" t="n">
        <v>-3346</v>
      </c>
      <c r="I221" s="20" t="n">
        <v>-6956</v>
      </c>
      <c r="K221" s="20" t="n">
        <v>-1896</v>
      </c>
      <c r="M221" s="20" t="n">
        <v>-2847</v>
      </c>
      <c r="O221" s="20" t="n">
        <v>-2366</v>
      </c>
      <c r="P221" s="20" t="n">
        <v>-1476</v>
      </c>
      <c r="Q221" s="20" t="n">
        <v>-7683</v>
      </c>
      <c r="R221" s="20" t="n">
        <v>-4266</v>
      </c>
      <c r="S221" s="20" t="n">
        <v>-3152</v>
      </c>
      <c r="T221" s="20" t="n">
        <v>-2882</v>
      </c>
      <c r="U221" s="20" t="n">
        <v>-1309</v>
      </c>
      <c r="V221" s="20" t="n">
        <v>-5101</v>
      </c>
      <c r="W221" s="20" t="n">
        <v>-6956</v>
      </c>
      <c r="X221" s="20" t="n">
        <v>-2847</v>
      </c>
    </row>
    <row r="222">
      <c r="A222" s="18" t="inlineStr">
        <is>
          <t>유형자산 매각</t>
        </is>
      </c>
      <c r="C222" s="20" t="n">
        <v>88</v>
      </c>
      <c r="E222" s="20" t="n">
        <v>92</v>
      </c>
      <c r="G222" s="20" t="n">
        <v>14</v>
      </c>
      <c r="I222" s="20" t="n">
        <v>129</v>
      </c>
      <c r="K222" s="20" t="n">
        <v>7</v>
      </c>
      <c r="M222" s="20" t="n">
        <v>21</v>
      </c>
      <c r="O222" s="20" t="n">
        <v>77</v>
      </c>
      <c r="P222" s="20" t="n">
        <v>863</v>
      </c>
      <c r="Q222" s="20" t="n">
        <v>266</v>
      </c>
      <c r="R222" s="20" t="n">
        <v>446</v>
      </c>
      <c r="S222" s="20" t="n">
        <v>304</v>
      </c>
      <c r="T222" s="20" t="n">
        <v>764</v>
      </c>
      <c r="U222" s="20" t="n">
        <v>6471</v>
      </c>
      <c r="V222" s="20" t="n">
        <v>92</v>
      </c>
      <c r="W222" s="20" t="n">
        <v>129</v>
      </c>
      <c r="X222" s="20" t="n">
        <v>21</v>
      </c>
    </row>
    <row r="223">
      <c r="A223" s="18" t="inlineStr">
        <is>
          <t>무형자산 취득</t>
        </is>
      </c>
      <c r="C223" s="20" t="n">
        <v>-435</v>
      </c>
      <c r="E223" s="20" t="n">
        <v>-984</v>
      </c>
      <c r="G223" s="20" t="n">
        <v>-659</v>
      </c>
      <c r="I223" s="20" t="n">
        <v>-1064</v>
      </c>
      <c r="K223" s="20" t="n">
        <v>-1040</v>
      </c>
      <c r="M223" s="20" t="n">
        <v>-2454</v>
      </c>
      <c r="O223" s="20" t="n">
        <v>-173</v>
      </c>
      <c r="P223" s="20" t="n">
        <v>-203</v>
      </c>
      <c r="Q223" s="20" t="n">
        <v>-235</v>
      </c>
      <c r="R223" s="20" t="n">
        <v>-166</v>
      </c>
      <c r="S223" s="20" t="n">
        <v>-75</v>
      </c>
      <c r="T223" s="20" t="n">
        <v>-209</v>
      </c>
      <c r="U223" s="20" t="n">
        <v>-92</v>
      </c>
      <c r="V223" s="20" t="n">
        <v>-984</v>
      </c>
      <c r="W223" s="20" t="n">
        <v>-1064</v>
      </c>
      <c r="X223" s="20" t="n">
        <v>-2454</v>
      </c>
    </row>
    <row r="224">
      <c r="A224" s="18" t="inlineStr">
        <is>
          <t>투자유가증권 취득</t>
        </is>
      </c>
      <c r="C224" s="20" t="n">
        <v>-59</v>
      </c>
      <c r="E224" s="20" t="n">
        <v>-97</v>
      </c>
      <c r="G224" s="20" t="n">
        <v>-48</v>
      </c>
      <c r="I224" s="20" t="n">
        <v>-86</v>
      </c>
      <c r="K224" s="20" t="n">
        <v>-47</v>
      </c>
      <c r="M224" s="20" t="n">
        <v>-74</v>
      </c>
      <c r="O224" s="20" t="n">
        <v>-53</v>
      </c>
      <c r="P224" s="20" t="n">
        <v>-60</v>
      </c>
      <c r="Q224" s="20" t="n">
        <v>-62</v>
      </c>
      <c r="R224" s="20" t="n">
        <v>-69</v>
      </c>
      <c r="S224" s="20" t="n">
        <v>-64</v>
      </c>
      <c r="T224" s="20" t="n">
        <v>-66</v>
      </c>
      <c r="U224" s="20" t="n">
        <v>-71</v>
      </c>
      <c r="V224" s="20" t="n">
        <v>-97</v>
      </c>
      <c r="W224" s="20" t="n">
        <v>-86</v>
      </c>
      <c r="X224" s="20" t="n">
        <v>-74</v>
      </c>
    </row>
    <row r="225">
      <c r="A225" s="18" t="inlineStr">
        <is>
          <t>투자유가증권 매각</t>
        </is>
      </c>
      <c r="C225" s="20" t="n">
        <v>153</v>
      </c>
      <c r="E225" s="20" t="n">
        <v>354</v>
      </c>
      <c r="G225" s="20" t="n">
        <v>0</v>
      </c>
      <c r="I225" s="20" t="n">
        <v>721</v>
      </c>
      <c r="K225" s="20" t="n">
        <v>1</v>
      </c>
      <c r="M225" s="20" t="n">
        <v>1039</v>
      </c>
      <c r="O225" s="20" t="n">
        <v>22</v>
      </c>
      <c r="P225" s="20" t="n">
        <v>316</v>
      </c>
      <c r="Q225" s="20" t="n">
        <v>0</v>
      </c>
      <c r="R225" s="20" t="n">
        <v>195</v>
      </c>
      <c r="S225" s="20" t="n">
        <v>337</v>
      </c>
      <c r="T225" s="20" t="n">
        <v>220</v>
      </c>
      <c r="U225" s="20" t="n">
        <v>0</v>
      </c>
      <c r="V225" s="20" t="n">
        <v>354</v>
      </c>
      <c r="W225" s="20" t="n">
        <v>721</v>
      </c>
      <c r="X225" s="20" t="n">
        <v>1039</v>
      </c>
    </row>
    <row r="226">
      <c r="A226" s="18" t="inlineStr">
        <is>
          <t>보험적립금 해약</t>
        </is>
      </c>
      <c r="E226" s="20" t="n">
        <v>49</v>
      </c>
      <c r="G226" s="20" t="n">
        <v>0</v>
      </c>
      <c r="I226" s="20" t="n">
        <v>20</v>
      </c>
      <c r="K226" s="20" t="n">
        <v>25</v>
      </c>
      <c r="M226" s="20" t="n">
        <v>35</v>
      </c>
      <c r="O226" s="20" t="n">
        <v>0</v>
      </c>
      <c r="P226" s="20" t="n">
        <v>1595</v>
      </c>
      <c r="Q226" s="20" t="n">
        <v>231</v>
      </c>
      <c r="R226" s="20" t="n">
        <v>34</v>
      </c>
      <c r="S226" s="20" t="n">
        <v>52</v>
      </c>
      <c r="T226" s="20" t="n">
        <v>8</v>
      </c>
      <c r="U226" s="20" t="n">
        <v>0</v>
      </c>
      <c r="V226" s="20" t="n">
        <v>49</v>
      </c>
      <c r="W226" s="20" t="n">
        <v>20</v>
      </c>
      <c r="X226" s="20" t="n">
        <v>35</v>
      </c>
    </row>
    <row r="227">
      <c r="A227" s="18" t="inlineStr">
        <is>
          <t>연결범위 변경 자회사 주식 취득</t>
        </is>
      </c>
      <c r="E227" s="20" t="n">
        <v>0</v>
      </c>
      <c r="I227" s="20" t="n">
        <v>0</v>
      </c>
      <c r="M227" s="20" t="n">
        <v>-1388</v>
      </c>
      <c r="O227" s="20" t="n">
        <v>0</v>
      </c>
      <c r="P227" s="20" t="n">
        <v>-2828</v>
      </c>
      <c r="Q227" s="20" t="n">
        <v>0</v>
      </c>
      <c r="R227" s="20" t="n">
        <v>0</v>
      </c>
      <c r="S227" s="20" t="n">
        <v>-12</v>
      </c>
      <c r="T227" s="20" t="n">
        <v>0</v>
      </c>
      <c r="U227" s="20" t="n">
        <v>-1475</v>
      </c>
      <c r="V227" s="20" t="n">
        <v>0</v>
      </c>
      <c r="W227" s="20" t="n">
        <v>0</v>
      </c>
      <c r="X227" s="20" t="n">
        <v>-1388</v>
      </c>
    </row>
    <row r="228">
      <c r="A228" s="18" t="inlineStr">
        <is>
          <t>연결범위 변경 자회사 주식 매각</t>
        </is>
      </c>
      <c r="O228" s="20" t="n">
        <v>4</v>
      </c>
      <c r="P228" s="20" t="n">
        <v>0</v>
      </c>
    </row>
    <row r="229">
      <c r="A229" s="18" t="inlineStr">
        <is>
          <t>연결범위 변경 자회사 주식 취득(수입)</t>
        </is>
      </c>
      <c r="Q229" s="20" t="n">
        <v>0</v>
      </c>
      <c r="R229" s="20" t="n">
        <v>29</v>
      </c>
      <c r="S229" s="20" t="n">
        <v>0</v>
      </c>
    </row>
    <row r="230">
      <c r="A230" s="18" t="inlineStr">
        <is>
          <t>연결범위 변경 자회사 주식 매각(지출)</t>
        </is>
      </c>
      <c r="P230" s="20" t="n">
        <v>0</v>
      </c>
      <c r="Q230" s="20" t="n">
        <v>-22</v>
      </c>
      <c r="R230" s="20" t="n">
        <v>0</v>
      </c>
    </row>
    <row r="231">
      <c r="A231" s="18" t="inlineStr">
        <is>
          <t>사업양수 지출</t>
        </is>
      </c>
      <c r="R231" s="20" t="n">
        <v>0</v>
      </c>
      <c r="S231" s="20" t="n">
        <v>-764</v>
      </c>
      <c r="T231" s="20" t="n">
        <v>0</v>
      </c>
    </row>
    <row r="232">
      <c r="A232" s="18" t="inlineStr">
        <is>
          <t>기타</t>
        </is>
      </c>
      <c r="C232" s="20" t="n">
        <v>3</v>
      </c>
      <c r="E232" s="20" t="n">
        <v>-1</v>
      </c>
      <c r="G232" s="20" t="n">
        <v>-2</v>
      </c>
      <c r="I232" s="20" t="n">
        <v>2</v>
      </c>
      <c r="K232" s="20" t="n">
        <v>1</v>
      </c>
      <c r="M232" s="20" t="n">
        <v>3</v>
      </c>
      <c r="O232" s="20" t="n">
        <v>-5</v>
      </c>
      <c r="P232" s="20" t="n">
        <v>42</v>
      </c>
      <c r="Q232" s="20" t="n">
        <v>11</v>
      </c>
      <c r="R232" s="20" t="n">
        <v>5</v>
      </c>
      <c r="S232" s="20" t="n">
        <v>10</v>
      </c>
      <c r="T232" s="20" t="n">
        <v>-8</v>
      </c>
      <c r="U232" s="20" t="n">
        <v>45</v>
      </c>
      <c r="V232" s="20" t="n">
        <v>-1</v>
      </c>
      <c r="W232" s="20" t="n">
        <v>2</v>
      </c>
      <c r="X232" s="20" t="n">
        <v>3</v>
      </c>
    </row>
    <row r="233">
      <c r="A233" s="9" t="inlineStr">
        <is>
          <t>투자활동 현금흐름</t>
        </is>
      </c>
      <c r="C233" s="12" t="n">
        <v>-1503</v>
      </c>
      <c r="E233" s="12" t="n">
        <v>-5225</v>
      </c>
      <c r="G233" s="12" t="n">
        <v>-4078</v>
      </c>
      <c r="I233" s="12" t="n">
        <v>-7310</v>
      </c>
      <c r="K233" s="12" t="n">
        <v>-2972</v>
      </c>
      <c r="M233" s="12" t="n">
        <v>-5987</v>
      </c>
      <c r="O233" s="12" t="n">
        <v>-2409</v>
      </c>
      <c r="P233" s="12" t="n">
        <v>-1734</v>
      </c>
      <c r="Q233" s="12" t="n">
        <v>-6571</v>
      </c>
      <c r="R233" s="12" t="n">
        <v>-3924</v>
      </c>
      <c r="S233" s="12" t="n">
        <v>-2690</v>
      </c>
      <c r="T233" s="12" t="n">
        <v>-2674</v>
      </c>
      <c r="U233" s="12" t="n">
        <v>3549</v>
      </c>
      <c r="V233" s="12" t="n">
        <v>-5225</v>
      </c>
      <c r="W233" s="12" t="n">
        <v>-7310</v>
      </c>
      <c r="X233" s="12" t="n">
        <v>-5987</v>
      </c>
    </row>
    <row r="234">
      <c r="A234" s="18" t="inlineStr">
        <is>
          <t>단기차입금 순증감</t>
        </is>
      </c>
      <c r="C234" s="20" t="n">
        <v>120</v>
      </c>
      <c r="E234" s="20" t="n">
        <v>-2</v>
      </c>
      <c r="G234" s="20" t="n">
        <v>-5</v>
      </c>
      <c r="I234" s="20" t="n">
        <v>-4</v>
      </c>
      <c r="K234" s="20" t="n">
        <v>3</v>
      </c>
      <c r="M234" s="20" t="n">
        <v>-25</v>
      </c>
      <c r="O234" s="20" t="n">
        <v>-79</v>
      </c>
      <c r="P234" s="20" t="n">
        <v>-50</v>
      </c>
      <c r="Q234" s="20" t="n">
        <v>-40</v>
      </c>
      <c r="R234" s="20" t="n">
        <v>-16</v>
      </c>
      <c r="S234" s="20" t="n">
        <v>-471</v>
      </c>
      <c r="T234" s="20" t="n">
        <v>-6</v>
      </c>
      <c r="U234" s="20" t="n">
        <v>-3</v>
      </c>
      <c r="V234" s="20" t="n">
        <v>-2</v>
      </c>
      <c r="W234" s="20" t="n">
        <v>-4</v>
      </c>
      <c r="X234" s="20" t="n">
        <v>-25</v>
      </c>
    </row>
    <row r="235">
      <c r="A235" s="18" t="inlineStr">
        <is>
          <t>장기차입</t>
        </is>
      </c>
      <c r="O235" s="20" t="n">
        <v>270</v>
      </c>
      <c r="P235" s="20" t="n">
        <v>2200</v>
      </c>
      <c r="Q235" s="20" t="n">
        <v>0</v>
      </c>
    </row>
    <row r="236">
      <c r="A236" s="18" t="inlineStr">
        <is>
          <t>리스부채 상환</t>
        </is>
      </c>
      <c r="C236" s="20" t="n">
        <v>-10</v>
      </c>
      <c r="E236" s="20" t="n">
        <v>-20</v>
      </c>
      <c r="G236" s="20" t="n">
        <v>-9</v>
      </c>
      <c r="I236" s="20" t="n">
        <v>-20</v>
      </c>
      <c r="K236" s="20" t="n">
        <v>-10</v>
      </c>
      <c r="M236" s="20" t="n">
        <v>-21</v>
      </c>
      <c r="O236" s="20" t="n">
        <v>-21</v>
      </c>
      <c r="P236" s="20" t="n">
        <v>-22</v>
      </c>
      <c r="Q236" s="20" t="n">
        <v>-22</v>
      </c>
      <c r="R236" s="20" t="n">
        <v>-23</v>
      </c>
      <c r="S236" s="20" t="n">
        <v>-25</v>
      </c>
      <c r="T236" s="20" t="n">
        <v>-23</v>
      </c>
      <c r="U236" s="20" t="n">
        <v>-22</v>
      </c>
      <c r="V236" s="20" t="n">
        <v>-20</v>
      </c>
      <c r="W236" s="20" t="n">
        <v>-20</v>
      </c>
      <c r="X236" s="20" t="n">
        <v>-21</v>
      </c>
    </row>
    <row r="237">
      <c r="A237" s="18" t="inlineStr">
        <is>
          <t>장기차입금 상환</t>
        </is>
      </c>
      <c r="C237" s="20" t="n">
        <v>-33</v>
      </c>
      <c r="E237" s="20" t="n">
        <v>-57</v>
      </c>
      <c r="G237" s="20" t="n">
        <v>-23</v>
      </c>
      <c r="I237" s="20" t="n">
        <v>-42</v>
      </c>
      <c r="K237" s="20" t="n">
        <v>-19</v>
      </c>
      <c r="M237" s="20" t="n">
        <v>-38</v>
      </c>
      <c r="O237" s="20" t="n">
        <v>0</v>
      </c>
      <c r="P237" s="20" t="n">
        <v>-545</v>
      </c>
      <c r="Q237" s="20" t="n">
        <v>-704</v>
      </c>
      <c r="R237" s="20" t="n">
        <v>-708</v>
      </c>
      <c r="S237" s="20" t="n">
        <v>-405</v>
      </c>
      <c r="T237" s="20" t="n">
        <v>-181</v>
      </c>
      <c r="U237" s="20" t="n">
        <v>-184</v>
      </c>
      <c r="V237" s="20" t="n">
        <v>-57</v>
      </c>
      <c r="W237" s="20" t="n">
        <v>-42</v>
      </c>
      <c r="X237" s="20" t="n">
        <v>-38</v>
      </c>
    </row>
    <row r="238">
      <c r="A238" s="18" t="inlineStr">
        <is>
          <t>자기주식 취득</t>
        </is>
      </c>
      <c r="C238" s="20" t="n">
        <v>-5045</v>
      </c>
      <c r="E238" s="20" t="n">
        <v>-6758</v>
      </c>
      <c r="G238" s="20" t="n">
        <v>-1103</v>
      </c>
      <c r="I238" s="20" t="n">
        <v>-3065</v>
      </c>
      <c r="K238" s="20" t="n">
        <v>-3546</v>
      </c>
      <c r="M238" s="20" t="n">
        <v>-5732</v>
      </c>
      <c r="O238" s="20" t="n">
        <v>-0</v>
      </c>
      <c r="P238" s="20" t="n">
        <v>-624</v>
      </c>
      <c r="Q238" s="20" t="n">
        <v>-340</v>
      </c>
      <c r="R238" s="20" t="n">
        <v>-76</v>
      </c>
      <c r="S238" s="20" t="n">
        <v>-971</v>
      </c>
      <c r="T238" s="20" t="n">
        <v>-0</v>
      </c>
      <c r="U238" s="20" t="n">
        <v>-442</v>
      </c>
      <c r="V238" s="20" t="n">
        <v>-6758</v>
      </c>
      <c r="W238" s="20" t="n">
        <v>-3065</v>
      </c>
      <c r="X238" s="20" t="n">
        <v>-5732</v>
      </c>
    </row>
    <row r="239">
      <c r="A239" s="18" t="inlineStr">
        <is>
          <t>배당금 지급</t>
        </is>
      </c>
      <c r="C239" s="20" t="n">
        <v>-780</v>
      </c>
      <c r="E239" s="20" t="n">
        <v>-1676</v>
      </c>
      <c r="G239" s="20" t="n">
        <v>-1269</v>
      </c>
      <c r="I239" s="20" t="n">
        <v>-2388</v>
      </c>
      <c r="K239" s="20" t="n">
        <v>-1403</v>
      </c>
      <c r="M239" s="20" t="n">
        <v>-2594</v>
      </c>
      <c r="O239" s="20" t="n">
        <v>-771</v>
      </c>
      <c r="P239" s="20" t="n">
        <v>-915</v>
      </c>
      <c r="Q239" s="20" t="n">
        <v>-980</v>
      </c>
      <c r="R239" s="20" t="n">
        <v>-942</v>
      </c>
      <c r="S239" s="20" t="n">
        <v>-1477</v>
      </c>
      <c r="T239" s="20" t="n">
        <v>-1564</v>
      </c>
      <c r="U239" s="20" t="n">
        <v>-1748</v>
      </c>
      <c r="V239" s="20" t="n">
        <v>-1676</v>
      </c>
      <c r="W239" s="20" t="n">
        <v>-2388</v>
      </c>
      <c r="X239" s="20" t="n">
        <v>-2594</v>
      </c>
    </row>
    <row r="240">
      <c r="A240" s="18" t="inlineStr">
        <is>
          <t>비지배주주 배당금 지급</t>
        </is>
      </c>
      <c r="C240" s="20" t="n">
        <v>-87</v>
      </c>
      <c r="E240" s="20" t="n">
        <v>-87</v>
      </c>
      <c r="G240" s="20" t="n">
        <v>-101</v>
      </c>
      <c r="I240" s="20" t="n">
        <v>-101</v>
      </c>
      <c r="K240" s="20" t="n">
        <v>-2</v>
      </c>
      <c r="M240" s="20" t="n">
        <v>-2</v>
      </c>
      <c r="O240" s="20" t="n">
        <v>-61</v>
      </c>
      <c r="P240" s="20" t="n">
        <v>-65</v>
      </c>
      <c r="Q240" s="20" t="n">
        <v>-73</v>
      </c>
      <c r="R240" s="20" t="n">
        <v>-65</v>
      </c>
      <c r="S240" s="20" t="n">
        <v>-62</v>
      </c>
      <c r="T240" s="20" t="n">
        <v>-66</v>
      </c>
      <c r="U240" s="20" t="n">
        <v>-72</v>
      </c>
      <c r="V240" s="20" t="n">
        <v>-87</v>
      </c>
      <c r="W240" s="20" t="n">
        <v>-101</v>
      </c>
      <c r="X240" s="20" t="n">
        <v>-2</v>
      </c>
    </row>
    <row r="241">
      <c r="A241" s="18" t="inlineStr">
        <is>
          <t>비지배주주 납입</t>
        </is>
      </c>
      <c r="R241" s="20" t="n">
        <v>0</v>
      </c>
      <c r="S241" s="20" t="n">
        <v>320</v>
      </c>
      <c r="T241" s="20" t="n">
        <v>0</v>
      </c>
    </row>
    <row r="242">
      <c r="A242" s="18" t="inlineStr">
        <is>
          <t>기타</t>
        </is>
      </c>
      <c r="C242" s="20" t="n">
        <v>0</v>
      </c>
      <c r="E242" s="20" t="n">
        <v>0</v>
      </c>
      <c r="O242" s="20" t="n">
        <v>-9</v>
      </c>
      <c r="P242" s="20" t="n">
        <v>30</v>
      </c>
      <c r="Q242" s="20" t="n">
        <v>0</v>
      </c>
      <c r="R242" s="20" t="n">
        <v>-0</v>
      </c>
      <c r="S242" s="20" t="n">
        <v>60</v>
      </c>
      <c r="T242" s="20" t="n">
        <v>20</v>
      </c>
      <c r="U242" s="20" t="n">
        <v>-4</v>
      </c>
      <c r="V242" s="20" t="n">
        <v>0</v>
      </c>
    </row>
    <row r="243">
      <c r="A243" s="9" t="inlineStr">
        <is>
          <t>재무활동 현금흐름</t>
        </is>
      </c>
      <c r="C243" s="12" t="n">
        <v>-5837</v>
      </c>
      <c r="E243" s="12" t="n">
        <v>-8603</v>
      </c>
      <c r="G243" s="12" t="n">
        <v>-2513</v>
      </c>
      <c r="I243" s="12" t="n">
        <v>-5621</v>
      </c>
      <c r="K243" s="12" t="n">
        <v>-4978</v>
      </c>
      <c r="M243" s="12" t="n">
        <v>-8414</v>
      </c>
      <c r="O243" s="12" t="n">
        <v>-673</v>
      </c>
      <c r="P243" s="12" t="n">
        <v>7</v>
      </c>
      <c r="Q243" s="12" t="n">
        <v>-2163</v>
      </c>
      <c r="R243" s="12" t="n">
        <v>-1833</v>
      </c>
      <c r="S243" s="12" t="n">
        <v>-3032</v>
      </c>
      <c r="T243" s="12" t="n">
        <v>-1823</v>
      </c>
      <c r="U243" s="12" t="n">
        <v>-2476</v>
      </c>
      <c r="V243" s="12" t="n">
        <v>-8603</v>
      </c>
      <c r="W243" s="12" t="n">
        <v>-5621</v>
      </c>
      <c r="X243" s="12" t="n">
        <v>-8414</v>
      </c>
    </row>
    <row r="244">
      <c r="A244" s="18" t="inlineStr">
        <is>
          <t>현금성자산 환산차이</t>
        </is>
      </c>
      <c r="C244" s="20" t="n">
        <v>65</v>
      </c>
      <c r="E244" s="20" t="n">
        <v>47</v>
      </c>
      <c r="G244" s="20" t="n">
        <v>189</v>
      </c>
      <c r="I244" s="20" t="n">
        <v>139</v>
      </c>
      <c r="K244" s="20" t="n">
        <v>-84</v>
      </c>
      <c r="M244" s="20" t="n">
        <v>76</v>
      </c>
      <c r="O244" s="20" t="n">
        <v>-30</v>
      </c>
      <c r="P244" s="20" t="n">
        <v>16</v>
      </c>
      <c r="Q244" s="20" t="n">
        <v>-55</v>
      </c>
      <c r="R244" s="20" t="n">
        <v>21</v>
      </c>
      <c r="S244" s="20" t="n">
        <v>-132</v>
      </c>
      <c r="T244" s="20" t="n">
        <v>92</v>
      </c>
      <c r="U244" s="20" t="n">
        <v>75</v>
      </c>
      <c r="V244" s="20" t="n">
        <v>47</v>
      </c>
      <c r="W244" s="20" t="n">
        <v>139</v>
      </c>
      <c r="X244" s="20" t="n">
        <v>76</v>
      </c>
    </row>
    <row r="245">
      <c r="A245" s="18" t="inlineStr">
        <is>
          <t>현금성자산 증감</t>
        </is>
      </c>
      <c r="C245" s="20" t="n">
        <v>-1050</v>
      </c>
      <c r="E245" s="20" t="n">
        <v>-5641</v>
      </c>
      <c r="G245" s="20" t="n">
        <v>-5189</v>
      </c>
      <c r="I245" s="20" t="n">
        <v>-5619</v>
      </c>
      <c r="K245" s="20" t="n">
        <v>-1425</v>
      </c>
      <c r="M245" s="20" t="n">
        <v>-591</v>
      </c>
      <c r="O245" s="20" t="n">
        <v>2429</v>
      </c>
      <c r="P245" s="20" t="n">
        <v>7252</v>
      </c>
      <c r="Q245" s="20" t="n">
        <v>-3282</v>
      </c>
      <c r="R245" s="20" t="n">
        <v>549</v>
      </c>
      <c r="S245" s="20" t="n">
        <v>909</v>
      </c>
      <c r="T245" s="20" t="n">
        <v>1792</v>
      </c>
      <c r="U245" s="20" t="n">
        <v>5754</v>
      </c>
      <c r="V245" s="20" t="n">
        <v>-5641</v>
      </c>
      <c r="W245" s="20" t="n">
        <v>-5619</v>
      </c>
      <c r="X245" s="20" t="n">
        <v>-591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4956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82943</v>
      </c>
      <c r="D5" s="12" t="n">
        <v>81585</v>
      </c>
      <c r="E5" s="12" t="n">
        <v>86048</v>
      </c>
      <c r="F5" s="12" t="n">
        <v>83303</v>
      </c>
      <c r="G5" s="12" t="n">
        <v>85000</v>
      </c>
      <c r="H5" s="11" t="n">
        <v>82266</v>
      </c>
      <c r="I5" s="12" t="n">
        <v>94434</v>
      </c>
      <c r="J5" s="12" t="n">
        <v>92625</v>
      </c>
      <c r="K5" s="12" t="n">
        <v>85769</v>
      </c>
      <c r="L5" s="12" t="n">
        <v>83303</v>
      </c>
    </row>
    <row r="6">
      <c r="A6" s="18" t="inlineStr">
        <is>
          <t>현금및현금성자산</t>
        </is>
      </c>
      <c r="B6" s="10" t="n"/>
      <c r="C6" s="19" t="n">
        <v>20007</v>
      </c>
      <c r="D6" s="20" t="n">
        <v>19696</v>
      </c>
      <c r="E6" s="20" t="n">
        <v>19838</v>
      </c>
      <c r="F6" s="20" t="n">
        <v>21294</v>
      </c>
      <c r="G6" s="20" t="n">
        <v>21922</v>
      </c>
      <c r="H6" s="19" t="n">
        <v>26169</v>
      </c>
      <c r="I6" s="20" t="n">
        <v>32195</v>
      </c>
      <c r="J6" s="20" t="n">
        <v>26651</v>
      </c>
      <c r="K6" s="20" t="n">
        <v>21118</v>
      </c>
      <c r="L6" s="20" t="n">
        <v>21294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33985</v>
      </c>
      <c r="D8" s="20" t="n">
        <v>34778</v>
      </c>
      <c r="E8" s="20" t="n">
        <v>36219</v>
      </c>
      <c r="F8" s="20" t="n">
        <v>34647</v>
      </c>
      <c r="G8" s="20" t="n">
        <v>34829</v>
      </c>
      <c r="H8" s="19" t="n">
        <v>35087</v>
      </c>
      <c r="I8" s="20" t="n">
        <v>34752</v>
      </c>
      <c r="J8" s="20" t="n">
        <v>36390</v>
      </c>
      <c r="K8" s="20" t="n">
        <v>35942</v>
      </c>
      <c r="L8" s="20" t="n">
        <v>34647</v>
      </c>
    </row>
    <row r="9">
      <c r="A9" s="18" t="inlineStr">
        <is>
          <t>재고자산</t>
        </is>
      </c>
      <c r="B9" s="10" t="n"/>
      <c r="C9" s="19" t="n">
        <v>11251</v>
      </c>
      <c r="D9" s="20" t="n">
        <v>10899</v>
      </c>
      <c r="E9" s="20" t="n">
        <v>11337</v>
      </c>
      <c r="F9" s="20" t="n">
        <v>11038</v>
      </c>
      <c r="G9" s="20" t="n">
        <v>11964</v>
      </c>
      <c r="H9" s="19" t="n">
        <v>8838</v>
      </c>
      <c r="I9" s="20" t="n">
        <v>11309</v>
      </c>
      <c r="J9" s="20" t="n">
        <v>11233</v>
      </c>
      <c r="K9" s="20" t="n">
        <v>10442</v>
      </c>
      <c r="L9" s="20" t="n">
        <v>11038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51514</v>
      </c>
      <c r="D11" s="12" t="n">
        <v>52692</v>
      </c>
      <c r="E11" s="12" t="n">
        <v>53126</v>
      </c>
      <c r="F11" s="12" t="n">
        <v>56307</v>
      </c>
      <c r="G11" s="12" t="n">
        <v>59063</v>
      </c>
      <c r="H11" s="11" t="n">
        <v>36882</v>
      </c>
      <c r="I11" s="12" t="n">
        <v>38440</v>
      </c>
      <c r="J11" s="12" t="n">
        <v>48224</v>
      </c>
      <c r="K11" s="12" t="n">
        <v>51032</v>
      </c>
      <c r="L11" s="12" t="n">
        <v>56307</v>
      </c>
    </row>
    <row r="12">
      <c r="A12" s="18" t="inlineStr">
        <is>
          <t>유형자산</t>
        </is>
      </c>
      <c r="B12" s="10" t="n"/>
      <c r="C12" s="19" t="n">
        <v>32786</v>
      </c>
      <c r="D12" s="20" t="n">
        <v>32415</v>
      </c>
      <c r="E12" s="20" t="n">
        <v>32363</v>
      </c>
      <c r="F12" s="20" t="n">
        <v>32514</v>
      </c>
      <c r="G12" s="20" t="n">
        <v>32388</v>
      </c>
      <c r="H12" s="19" t="n">
        <v>25618</v>
      </c>
      <c r="I12" s="20" t="n">
        <v>25746</v>
      </c>
      <c r="J12" s="20" t="n">
        <v>29715</v>
      </c>
      <c r="K12" s="20" t="n">
        <v>32754</v>
      </c>
      <c r="L12" s="20" t="n">
        <v>32514</v>
      </c>
    </row>
    <row r="13">
      <c r="A13" s="18" t="inlineStr">
        <is>
          <t>무형자산</t>
        </is>
      </c>
      <c r="B13" s="10" t="n"/>
      <c r="C13" s="19" t="n">
        <v>3241</v>
      </c>
      <c r="D13" s="20" t="n">
        <v>3859</v>
      </c>
      <c r="E13" s="20" t="n">
        <v>4279</v>
      </c>
      <c r="F13" s="20" t="n">
        <v>4741</v>
      </c>
      <c r="G13" s="20" t="n">
        <v>5089</v>
      </c>
      <c r="H13" s="19" t="n">
        <v>811</v>
      </c>
      <c r="I13" s="20" t="n">
        <v>1188</v>
      </c>
      <c r="J13" s="20" t="n">
        <v>1978</v>
      </c>
      <c r="K13" s="20" t="n">
        <v>3106</v>
      </c>
      <c r="L13" s="20" t="n">
        <v>4741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134458</v>
      </c>
      <c r="D16" s="12" t="n">
        <v>134277</v>
      </c>
      <c r="E16" s="12" t="n">
        <v>139174</v>
      </c>
      <c r="F16" s="12" t="n">
        <v>139610</v>
      </c>
      <c r="G16" s="12" t="n">
        <v>144063</v>
      </c>
      <c r="H16" s="11" t="n">
        <v>119148</v>
      </c>
      <c r="I16" s="12" t="n">
        <v>132874</v>
      </c>
      <c r="J16" s="12" t="n">
        <v>140850</v>
      </c>
      <c r="K16" s="12" t="n">
        <v>136801</v>
      </c>
      <c r="L16" s="12" t="n">
        <v>139610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40464</v>
      </c>
      <c r="D18" s="12" t="n">
        <v>41525</v>
      </c>
      <c r="E18" s="12" t="n">
        <v>44635</v>
      </c>
      <c r="F18" s="12" t="n">
        <v>42730</v>
      </c>
      <c r="G18" s="12" t="n">
        <v>43091</v>
      </c>
      <c r="H18" s="11" t="n">
        <v>41195</v>
      </c>
      <c r="I18" s="12" t="n">
        <v>45856</v>
      </c>
      <c r="J18" s="12" t="n">
        <v>49144</v>
      </c>
      <c r="K18" s="12" t="n">
        <v>43266</v>
      </c>
      <c r="L18" s="12" t="n">
        <v>42730</v>
      </c>
    </row>
    <row r="19">
      <c r="A19" s="18" t="inlineStr">
        <is>
          <t>매입채무</t>
        </is>
      </c>
      <c r="B19" s="10" t="n"/>
      <c r="C19" s="19" t="n">
        <v>32610</v>
      </c>
      <c r="D19" s="20" t="n">
        <v>32321</v>
      </c>
      <c r="E19" s="20" t="n">
        <v>35770</v>
      </c>
      <c r="F19" s="20" t="n">
        <v>32754</v>
      </c>
      <c r="G19" s="20" t="n">
        <v>35180</v>
      </c>
      <c r="H19" s="19" t="n">
        <v>31737</v>
      </c>
      <c r="I19" s="20" t="n">
        <v>33983</v>
      </c>
      <c r="J19" s="20" t="n">
        <v>37218</v>
      </c>
      <c r="K19" s="20" t="n">
        <v>32625</v>
      </c>
      <c r="L19" s="20" t="n">
        <v>32754</v>
      </c>
    </row>
    <row r="20">
      <c r="A20" s="18" t="inlineStr">
        <is>
          <t>단기차입금</t>
        </is>
      </c>
      <c r="B20" s="10" t="n"/>
      <c r="C20" s="19" t="n">
        <v>50</v>
      </c>
      <c r="D20" s="20" t="n">
        <v>50</v>
      </c>
      <c r="E20" s="20" t="n">
        <v>46</v>
      </c>
      <c r="F20" s="20" t="n">
        <v>25</v>
      </c>
      <c r="G20" s="20" t="n">
        <v>25</v>
      </c>
      <c r="H20" s="19" t="n">
        <v>46</v>
      </c>
      <c r="I20" s="20" t="n">
        <v>48</v>
      </c>
      <c r="J20" s="20" t="n">
        <v>50</v>
      </c>
      <c r="K20" s="20" t="n">
        <v>51</v>
      </c>
      <c r="L20" s="20" t="n">
        <v>25</v>
      </c>
    </row>
    <row r="21">
      <c r="A21" s="18" t="inlineStr">
        <is>
          <t>유동성장기부채</t>
        </is>
      </c>
      <c r="B21" s="10" t="n"/>
      <c r="C21" s="19" t="n">
        <v>38</v>
      </c>
      <c r="D21" s="20" t="n">
        <v>38</v>
      </c>
      <c r="E21" s="20" t="n">
        <v>41</v>
      </c>
      <c r="F21" s="20" t="n">
        <v>35</v>
      </c>
      <c r="G21" s="20" t="n">
        <v>29</v>
      </c>
      <c r="H21" s="19" t="n">
        <v>104</v>
      </c>
      <c r="I21" s="20" t="n">
        <v>60</v>
      </c>
      <c r="J21" s="20" t="n">
        <v>42</v>
      </c>
      <c r="K21" s="20" t="n">
        <v>38</v>
      </c>
      <c r="L21" s="20" t="n">
        <v>35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7223</v>
      </c>
      <c r="D23" s="12" t="n">
        <v>7206</v>
      </c>
      <c r="E23" s="12" t="n">
        <v>7388</v>
      </c>
      <c r="F23" s="12" t="n">
        <v>8019</v>
      </c>
      <c r="G23" s="12" t="n">
        <v>9090</v>
      </c>
      <c r="H23" s="11" t="n">
        <v>5055</v>
      </c>
      <c r="I23" s="12" t="n">
        <v>5536</v>
      </c>
      <c r="J23" s="12" t="n">
        <v>7020</v>
      </c>
      <c r="K23" s="12" t="n">
        <v>6862</v>
      </c>
      <c r="L23" s="12" t="n">
        <v>8019</v>
      </c>
    </row>
    <row r="24">
      <c r="A24" s="18" t="inlineStr">
        <is>
          <t>장기차입금</t>
        </is>
      </c>
      <c r="B24" s="10" t="n"/>
      <c r="C24" s="19" t="n">
        <v>29</v>
      </c>
      <c r="D24" s="20" t="n">
        <v>19</v>
      </c>
      <c r="E24" s="20" t="n">
        <v>9</v>
      </c>
      <c r="F24" s="20" t="n">
        <v>3</v>
      </c>
      <c r="G24" s="20" t="n">
        <v>0</v>
      </c>
      <c r="H24" s="19" t="n">
        <v>256</v>
      </c>
      <c r="I24" s="20" t="n">
        <v>116</v>
      </c>
      <c r="J24" s="20" t="n">
        <v>76</v>
      </c>
      <c r="K24" s="20" t="n">
        <v>38</v>
      </c>
      <c r="L24" s="20" t="n">
        <v>3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47687</v>
      </c>
      <c r="D27" s="12" t="n">
        <v>48731</v>
      </c>
      <c r="E27" s="12" t="n">
        <v>52023</v>
      </c>
      <c r="F27" s="12" t="n">
        <v>50750</v>
      </c>
      <c r="G27" s="12" t="n">
        <v>52182</v>
      </c>
      <c r="H27" s="11" t="n">
        <v>46251</v>
      </c>
      <c r="I27" s="12" t="n">
        <v>51392</v>
      </c>
      <c r="J27" s="12" t="n">
        <v>56165</v>
      </c>
      <c r="K27" s="12" t="n">
        <v>50128</v>
      </c>
      <c r="L27" s="12" t="n">
        <v>50750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86385</v>
      </c>
      <c r="D31" s="12" t="n">
        <v>85162</v>
      </c>
      <c r="E31" s="12" t="n">
        <v>86760</v>
      </c>
      <c r="F31" s="12" t="n">
        <v>88456</v>
      </c>
      <c r="G31" s="12" t="n">
        <v>91482</v>
      </c>
      <c r="H31" s="11" t="n">
        <v>68665</v>
      </c>
      <c r="I31" s="12" t="n">
        <v>76975</v>
      </c>
      <c r="J31" s="12" t="n">
        <v>79671</v>
      </c>
      <c r="K31" s="12" t="n">
        <v>86253</v>
      </c>
      <c r="L31" s="12" t="n">
        <v>88456</v>
      </c>
    </row>
    <row r="32">
      <c r="A32" s="18" t="inlineStr">
        <is>
          <t>자본금</t>
        </is>
      </c>
      <c r="B32" s="10" t="n"/>
      <c r="C32" s="19" t="n">
        <v>4603</v>
      </c>
      <c r="D32" s="20" t="n">
        <v>4603</v>
      </c>
      <c r="E32" s="20" t="n">
        <v>4603</v>
      </c>
      <c r="F32" s="20" t="n">
        <v>4603</v>
      </c>
      <c r="G32" s="20" t="n">
        <v>4603</v>
      </c>
      <c r="H32" s="19" t="n">
        <v>4603</v>
      </c>
      <c r="I32" s="20" t="n">
        <v>4603</v>
      </c>
      <c r="J32" s="20" t="n">
        <v>4603</v>
      </c>
      <c r="K32" s="20" t="n">
        <v>4603</v>
      </c>
      <c r="L32" s="20" t="n">
        <v>4603</v>
      </c>
    </row>
    <row r="33">
      <c r="A33" s="18" t="inlineStr">
        <is>
          <t>이익잉여금</t>
        </is>
      </c>
      <c r="B33" s="10" t="n"/>
      <c r="C33" s="19" t="n">
        <v>73134</v>
      </c>
      <c r="D33" s="20" t="n">
        <v>74882</v>
      </c>
      <c r="E33" s="20" t="n">
        <v>76452</v>
      </c>
      <c r="F33" s="20" t="n">
        <v>78406</v>
      </c>
      <c r="G33" s="20" t="n">
        <v>79594</v>
      </c>
      <c r="H33" s="19" t="n">
        <v>61164</v>
      </c>
      <c r="I33" s="20" t="n">
        <v>69450</v>
      </c>
      <c r="J33" s="20" t="n">
        <v>67314</v>
      </c>
      <c r="K33" s="20" t="n">
        <v>73009</v>
      </c>
      <c r="L33" s="20" t="n">
        <v>78406</v>
      </c>
    </row>
    <row r="34">
      <c r="A34" s="18" t="inlineStr">
        <is>
          <t>비지배지분</t>
        </is>
      </c>
      <c r="B34" s="10" t="n"/>
      <c r="C34" s="19" t="n">
        <v>385</v>
      </c>
      <c r="D34" s="20" t="n">
        <v>383</v>
      </c>
      <c r="E34" s="20" t="n">
        <v>390</v>
      </c>
      <c r="F34" s="20" t="n">
        <v>404</v>
      </c>
      <c r="G34" s="20" t="n">
        <v>399</v>
      </c>
      <c r="H34" s="19" t="n">
        <v>4232</v>
      </c>
      <c r="I34" s="20" t="n">
        <v>4507</v>
      </c>
      <c r="J34" s="20" t="n">
        <v>5014</v>
      </c>
      <c r="K34" s="20" t="n">
        <v>419</v>
      </c>
      <c r="L34" s="20" t="n">
        <v>404</v>
      </c>
    </row>
    <row r="35">
      <c r="A35" s="9" t="inlineStr">
        <is>
          <t>자본총계</t>
        </is>
      </c>
      <c r="B35" s="10" t="n"/>
      <c r="C35" s="11" t="n">
        <v>86770</v>
      </c>
      <c r="D35" s="12" t="n">
        <v>85545</v>
      </c>
      <c r="E35" s="12" t="n">
        <v>87150</v>
      </c>
      <c r="F35" s="12" t="n">
        <v>88860</v>
      </c>
      <c r="G35" s="12" t="n">
        <v>91881</v>
      </c>
      <c r="H35" s="11" t="n">
        <v>72897</v>
      </c>
      <c r="I35" s="12" t="n">
        <v>81482</v>
      </c>
      <c r="J35" s="12" t="n">
        <v>84685</v>
      </c>
      <c r="K35" s="12" t="n">
        <v>86672</v>
      </c>
      <c r="L35" s="12" t="n">
        <v>88860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12571</v>
      </c>
      <c r="E37" s="12" t="n"/>
      <c r="F37" s="12" t="n">
        <v>13733</v>
      </c>
      <c r="G37" s="12" t="n"/>
      <c r="H37" s="11" t="n">
        <v>6198</v>
      </c>
      <c r="I37" s="12" t="n">
        <v>4606</v>
      </c>
      <c r="J37" s="12" t="n">
        <v>8139</v>
      </c>
      <c r="K37" s="12" t="n">
        <v>7174</v>
      </c>
      <c r="L37" s="12" t="n">
        <v>13733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6951</v>
      </c>
      <c r="E38" s="20" t="n"/>
      <c r="F38" s="20" t="n">
        <v>5301</v>
      </c>
      <c r="G38" s="20" t="n"/>
      <c r="H38" s="19" t="n">
        <v>3091</v>
      </c>
      <c r="I38" s="20" t="n">
        <v>1401</v>
      </c>
      <c r="J38" s="20" t="n">
        <v>6085</v>
      </c>
      <c r="K38" s="20" t="n">
        <v>8020</v>
      </c>
      <c r="L38" s="20" t="n">
        <v>5301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2522</v>
      </c>
      <c r="E40" s="20" t="n"/>
      <c r="F40" s="20" t="n">
        <v>2594</v>
      </c>
      <c r="G40" s="20" t="n"/>
      <c r="H40" s="19" t="n">
        <v>1564</v>
      </c>
      <c r="I40" s="20" t="n">
        <v>1748</v>
      </c>
      <c r="J40" s="20" t="n">
        <v>1676</v>
      </c>
      <c r="K40" s="20" t="n">
        <v>2388</v>
      </c>
      <c r="L40" s="20" t="n">
        <v>2594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IFERROR(IF((IF(COUNT('연간'!G56:J56)&lt;4,"",SUM('연간'!G56:J56)))&lt;=0,"적자",C28/(IF(COUNT('연간'!G56:J56)&lt;4,"",SUM('연간'!G56:J56)))),"")</f>
        <v/>
      </c>
      <c r="D49" s="46">
        <f>IFERROR(IF((IF(COUNT('연간'!H56:K56)&lt;4,"",SUM('연간'!H56:K56)))&lt;=0,"적자",D28/(IF(COUNT('연간'!H56:K56)&lt;4,"",SUM('연간'!H56:K56)))),"")</f>
        <v/>
      </c>
      <c r="E49" s="46">
        <f>IFERROR(IF((IF(COUNT('연간'!I56:L56)&lt;4,"",SUM('연간'!I56:L56)))&lt;=0,"적자",E28/(IF(COUNT('연간'!I56:L56)&lt;4,"",SUM('연간'!I56:L56)))),"")</f>
        <v/>
      </c>
      <c r="F49" s="46">
        <f>IFERROR(IF((IF(COUNT('연간'!J56:M56)&lt;4,"",SUM('연간'!J56:M56)))&lt;=0,"적자",F28/(IF(COUNT('연간'!J56:M56)&lt;4,"",SUM('연간'!J56:M56)))),"")</f>
        <v/>
      </c>
      <c r="G49" s="46">
        <f>IFERROR(IF((IF(COUNT('연간'!K56:N56)&lt;4,"",SUM('연간'!K56:N56)))&lt;=0,"적자",G28/(IF(COUNT('연간'!K56:N56)&lt;4,"",SUM('연간'!K56:N56)))),"")</f>
        <v/>
      </c>
      <c r="H49" s="45">
        <f>IFERROR(IF(('연간'!T56)&lt;=0,"적자",H28/('연간'!T56)),"")</f>
        <v/>
      </c>
      <c r="I49" s="46">
        <f>IFERROR(IF(('연간'!U56)&lt;=0,"적자",I28/('연간'!U56)),"")</f>
        <v/>
      </c>
      <c r="J49" s="46">
        <f>IFERROR(IF(('연간'!V56)&lt;=0,"적자",J28/('연간'!V56)),"")</f>
        <v/>
      </c>
      <c r="K49" s="46">
        <f>IFERROR(IF(('연간'!W56)&lt;=0,"적자",K28/('연간'!W56)),"")</f>
        <v/>
      </c>
      <c r="L49" s="46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IFERROR(C9/(IF(COUNT('연간'!G23:J23)&lt;4,"",SUM('연간'!G23:J23)))*365,"")</f>
        <v/>
      </c>
      <c r="D60" s="48">
        <f>IFERROR(D9/(IF(COUNT('연간'!H23:K23)&lt;4,"",SUM('연간'!H23:K23)))*365,"")</f>
        <v/>
      </c>
      <c r="E60" s="48">
        <f>IFERROR(E9/(IF(COUNT('연간'!I23:L23)&lt;4,"",SUM('연간'!I23:L23)))*365,"")</f>
        <v/>
      </c>
      <c r="F60" s="48">
        <f>IFERROR(F9/(IF(COUNT('연간'!J23:M23)&lt;4,"",SUM('연간'!J23:M23)))*365,"")</f>
        <v/>
      </c>
      <c r="G60" s="48">
        <f>IFERROR(G9/(IF(COUNT('연간'!K23:N23)&lt;4,"",SUM('연간'!K23:N23)))*365,"")</f>
        <v/>
      </c>
      <c r="H60" s="47">
        <f>IFERROR(H9/('연간'!T23)*365,"")</f>
        <v/>
      </c>
      <c r="I60" s="48">
        <f>IFERROR(I9/('연간'!U23)*365,"")</f>
        <v/>
      </c>
      <c r="J60" s="48">
        <f>IFERROR(J9/('연간'!V23)*365,"")</f>
        <v/>
      </c>
      <c r="K60" s="48">
        <f>IFERROR(K9/('연간'!W23)*365,"")</f>
        <v/>
      </c>
      <c r="L60" s="48">
        <f>IFERROR(L9/('연간'!X23)*365,"")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IFERROR(C19/(IF(COUNT('연간'!G23:J23)&lt;4,"",SUM('연간'!G23:J23)))*365,"")</f>
        <v/>
      </c>
      <c r="D61" s="48">
        <f>IFERROR(D19/(IF(COUNT('연간'!H23:K23)&lt;4,"",SUM('연간'!H23:K23)))*365,"")</f>
        <v/>
      </c>
      <c r="E61" s="48">
        <f>IFERROR(E19/(IF(COUNT('연간'!I23:L23)&lt;4,"",SUM('연간'!I23:L23)))*365,"")</f>
        <v/>
      </c>
      <c r="F61" s="48">
        <f>IFERROR(F19/(IF(COUNT('연간'!J23:M23)&lt;4,"",SUM('연간'!J23:M23)))*365,"")</f>
        <v/>
      </c>
      <c r="G61" s="48">
        <f>IFERROR(G19/(IF(COUNT('연간'!K23:N23)&lt;4,"",SUM('연간'!K23:N23)))*365,"")</f>
        <v/>
      </c>
      <c r="H61" s="47">
        <f>IFERROR(H19/('연간'!T23)*365,"")</f>
        <v/>
      </c>
      <c r="I61" s="48">
        <f>IFERROR(I19/('연간'!U23)*365,"")</f>
        <v/>
      </c>
      <c r="J61" s="48">
        <f>IFERROR(J19/('연간'!V23)*365,"")</f>
        <v/>
      </c>
      <c r="K61" s="48">
        <f>IFERROR(K19/('연간'!W23)*365,"")</f>
        <v/>
      </c>
      <c r="L61" s="48">
        <f>IFERROR(L19/('연간'!X23)*365,"")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20007</v>
      </c>
      <c r="D71" s="20" t="n">
        <v>19696</v>
      </c>
      <c r="E71" s="20" t="n">
        <v>19838</v>
      </c>
      <c r="F71" s="20" t="n">
        <v>21294</v>
      </c>
      <c r="G71" s="20" t="n">
        <v>21922</v>
      </c>
      <c r="H71" s="20" t="n">
        <v>26169</v>
      </c>
      <c r="I71" s="20" t="n">
        <v>32195</v>
      </c>
      <c r="J71" s="20" t="n">
        <v>26651</v>
      </c>
      <c r="K71" s="20" t="n">
        <v>21118</v>
      </c>
      <c r="L71" s="20" t="n">
        <v>21294</v>
      </c>
    </row>
    <row r="72">
      <c r="A72" s="18" t="inlineStr">
        <is>
          <t>받을어음</t>
        </is>
      </c>
      <c r="F72" s="20" t="n">
        <v>1001</v>
      </c>
      <c r="H72" s="20" t="n">
        <v>5977</v>
      </c>
      <c r="I72" s="20" t="n">
        <v>4104</v>
      </c>
      <c r="J72" s="20" t="n">
        <v>3236</v>
      </c>
      <c r="K72" s="20" t="n">
        <v>2262</v>
      </c>
      <c r="L72" s="20" t="n">
        <v>1001</v>
      </c>
    </row>
    <row r="73">
      <c r="A73" s="18" t="inlineStr">
        <is>
          <t>받을어음·매출채권·계약자산</t>
        </is>
      </c>
      <c r="C73" s="20" t="n">
        <v>33985</v>
      </c>
      <c r="D73" s="20" t="n">
        <v>34778</v>
      </c>
      <c r="E73" s="20" t="n">
        <v>36219</v>
      </c>
      <c r="F73" s="20" t="n">
        <v>34647</v>
      </c>
      <c r="G73" s="20" t="n">
        <v>34829</v>
      </c>
      <c r="H73" s="20" t="n">
        <v>35087</v>
      </c>
      <c r="I73" s="20" t="n">
        <v>34752</v>
      </c>
      <c r="J73" s="20" t="n">
        <v>36390</v>
      </c>
      <c r="K73" s="20" t="n">
        <v>35942</v>
      </c>
      <c r="L73" s="20" t="n">
        <v>34647</v>
      </c>
    </row>
    <row r="74">
      <c r="A74" s="18" t="inlineStr">
        <is>
          <t>전자기록채권</t>
        </is>
      </c>
      <c r="C74" s="20" t="n">
        <v>16396</v>
      </c>
      <c r="D74" s="20" t="n">
        <v>14913</v>
      </c>
      <c r="E74" s="20" t="n">
        <v>17328</v>
      </c>
      <c r="F74" s="20" t="n">
        <v>15137</v>
      </c>
      <c r="G74" s="20" t="n">
        <v>15080</v>
      </c>
      <c r="H74" s="20" t="n">
        <v>10637</v>
      </c>
      <c r="I74" s="20" t="n">
        <v>14667</v>
      </c>
      <c r="J74" s="20" t="n">
        <v>16958</v>
      </c>
      <c r="K74" s="20" t="n">
        <v>16522</v>
      </c>
      <c r="L74" s="20" t="n">
        <v>15137</v>
      </c>
    </row>
    <row r="75">
      <c r="A75" s="18" t="inlineStr">
        <is>
          <t>매출채권</t>
        </is>
      </c>
      <c r="F75" s="20" t="n">
        <v>24064</v>
      </c>
      <c r="H75" s="20" t="n">
        <v>23374</v>
      </c>
      <c r="I75" s="20" t="n">
        <v>24898</v>
      </c>
      <c r="J75" s="20" t="n">
        <v>25252</v>
      </c>
      <c r="K75" s="20" t="n">
        <v>23862</v>
      </c>
      <c r="L75" s="20" t="n">
        <v>24064</v>
      </c>
    </row>
    <row r="76">
      <c r="A76" s="18" t="inlineStr">
        <is>
          <t>계약자산</t>
        </is>
      </c>
      <c r="F76" s="20" t="n">
        <v>9580</v>
      </c>
      <c r="H76" s="20" t="n">
        <v>5734</v>
      </c>
      <c r="I76" s="20" t="n">
        <v>5749</v>
      </c>
      <c r="J76" s="20" t="n">
        <v>7902</v>
      </c>
      <c r="K76" s="20" t="n">
        <v>9817</v>
      </c>
      <c r="L76" s="20" t="n">
        <v>9580</v>
      </c>
    </row>
    <row r="77">
      <c r="A77" s="18" t="inlineStr">
        <is>
          <t>상품·제품</t>
        </is>
      </c>
      <c r="C77" s="20" t="n">
        <v>9137</v>
      </c>
      <c r="D77" s="20" t="n">
        <v>9011</v>
      </c>
      <c r="E77" s="20" t="n">
        <v>9239</v>
      </c>
      <c r="F77" s="20" t="n">
        <v>9110</v>
      </c>
      <c r="G77" s="20" t="n">
        <v>9594</v>
      </c>
      <c r="H77" s="20" t="n">
        <v>7280</v>
      </c>
      <c r="I77" s="20" t="n">
        <v>9355</v>
      </c>
      <c r="J77" s="20" t="n">
        <v>9415</v>
      </c>
      <c r="K77" s="20" t="n">
        <v>8534</v>
      </c>
      <c r="L77" s="20" t="n">
        <v>9110</v>
      </c>
    </row>
    <row r="78">
      <c r="A78" s="18" t="inlineStr">
        <is>
          <t>재공품</t>
        </is>
      </c>
      <c r="C78" s="20" t="n">
        <v>382</v>
      </c>
      <c r="D78" s="20" t="n">
        <v>335</v>
      </c>
      <c r="E78" s="20" t="n">
        <v>296</v>
      </c>
      <c r="F78" s="20" t="n">
        <v>288</v>
      </c>
      <c r="G78" s="20" t="n">
        <v>405</v>
      </c>
      <c r="H78" s="20" t="n">
        <v>253</v>
      </c>
      <c r="I78" s="20" t="n">
        <v>314</v>
      </c>
      <c r="J78" s="20" t="n">
        <v>281</v>
      </c>
      <c r="K78" s="20" t="n">
        <v>358</v>
      </c>
      <c r="L78" s="20" t="n">
        <v>288</v>
      </c>
    </row>
    <row r="79">
      <c r="A79" s="18" t="inlineStr">
        <is>
          <t>원재료·저장품</t>
        </is>
      </c>
      <c r="C79" s="20" t="n">
        <v>1732</v>
      </c>
      <c r="D79" s="20" t="n">
        <v>1553</v>
      </c>
      <c r="E79" s="20" t="n">
        <v>1802</v>
      </c>
      <c r="F79" s="20" t="n">
        <v>1640</v>
      </c>
      <c r="G79" s="20" t="n">
        <v>1965</v>
      </c>
      <c r="H79" s="20" t="n">
        <v>1305</v>
      </c>
      <c r="I79" s="20" t="n">
        <v>1640</v>
      </c>
      <c r="J79" s="20" t="n">
        <v>1537</v>
      </c>
      <c r="K79" s="20" t="n">
        <v>1550</v>
      </c>
      <c r="L79" s="20" t="n">
        <v>1640</v>
      </c>
    </row>
    <row r="80">
      <c r="A80" s="18" t="inlineStr">
        <is>
          <t>기타</t>
        </is>
      </c>
      <c r="C80" s="20" t="n">
        <v>1332</v>
      </c>
      <c r="D80" s="20" t="n">
        <v>1324</v>
      </c>
      <c r="E80" s="20" t="n">
        <v>1352</v>
      </c>
      <c r="F80" s="20" t="n">
        <v>1220</v>
      </c>
      <c r="G80" s="20" t="n">
        <v>1239</v>
      </c>
      <c r="H80" s="20" t="n">
        <v>1579</v>
      </c>
      <c r="I80" s="20" t="n">
        <v>1565</v>
      </c>
      <c r="J80" s="20" t="n">
        <v>1445</v>
      </c>
      <c r="K80" s="20" t="n">
        <v>1772</v>
      </c>
      <c r="L80" s="20" t="n">
        <v>1220</v>
      </c>
    </row>
    <row r="81">
      <c r="A81" s="18" t="inlineStr">
        <is>
          <t>대손충당금</t>
        </is>
      </c>
      <c r="C81" s="20" t="n">
        <v>-29</v>
      </c>
      <c r="D81" s="20" t="n">
        <v>-28</v>
      </c>
      <c r="E81" s="20" t="n">
        <v>-29</v>
      </c>
      <c r="F81" s="20" t="n">
        <v>-34</v>
      </c>
      <c r="G81" s="20" t="n">
        <v>-36</v>
      </c>
      <c r="H81" s="20" t="n">
        <v>-47</v>
      </c>
      <c r="I81" s="20" t="n">
        <v>-57</v>
      </c>
      <c r="J81" s="20" t="n">
        <v>-54</v>
      </c>
      <c r="K81" s="20" t="n">
        <v>-30</v>
      </c>
      <c r="L81" s="20" t="n">
        <v>-34</v>
      </c>
    </row>
    <row r="82">
      <c r="A82" s="9" t="inlineStr">
        <is>
          <t>유동자산 합계</t>
        </is>
      </c>
      <c r="C82" s="12" t="n">
        <v>82943</v>
      </c>
      <c r="D82" s="12" t="n">
        <v>81585</v>
      </c>
      <c r="E82" s="12" t="n">
        <v>86048</v>
      </c>
      <c r="F82" s="12" t="n">
        <v>83303</v>
      </c>
      <c r="G82" s="12" t="n">
        <v>85000</v>
      </c>
      <c r="H82" s="12" t="n">
        <v>82266</v>
      </c>
      <c r="I82" s="12" t="n">
        <v>94434</v>
      </c>
      <c r="J82" s="12" t="n">
        <v>92625</v>
      </c>
      <c r="K82" s="12" t="n">
        <v>85769</v>
      </c>
      <c r="L82" s="12" t="n">
        <v>83303</v>
      </c>
    </row>
    <row r="83">
      <c r="A83" s="18" t="inlineStr">
        <is>
          <t>건물·구축물</t>
        </is>
      </c>
      <c r="F83" s="20" t="n">
        <v>33399</v>
      </c>
      <c r="H83" s="20" t="n">
        <v>25328</v>
      </c>
      <c r="I83" s="20" t="n">
        <v>25493</v>
      </c>
      <c r="J83" s="20" t="n">
        <v>27608</v>
      </c>
      <c r="K83" s="20" t="n">
        <v>31717</v>
      </c>
      <c r="L83" s="20" t="n">
        <v>33399</v>
      </c>
    </row>
    <row r="84">
      <c r="A84" s="18" t="inlineStr">
        <is>
          <t>감가상각누계액</t>
        </is>
      </c>
      <c r="F84" s="20" t="n">
        <v>-16097</v>
      </c>
      <c r="H84" s="20" t="n">
        <v>-13361</v>
      </c>
      <c r="I84" s="20" t="n">
        <v>-13857</v>
      </c>
      <c r="J84" s="20" t="n">
        <v>-14440</v>
      </c>
      <c r="K84" s="20" t="n">
        <v>-14861</v>
      </c>
      <c r="L84" s="20" t="n">
        <v>-16097</v>
      </c>
    </row>
    <row r="85">
      <c r="A85" s="18" t="inlineStr">
        <is>
          <t>건물·구축물(순액)</t>
        </is>
      </c>
      <c r="C85" s="20" t="n">
        <v>17447</v>
      </c>
      <c r="D85" s="20" t="n">
        <v>17213</v>
      </c>
      <c r="E85" s="20" t="n">
        <v>17479</v>
      </c>
      <c r="F85" s="20" t="n">
        <v>17301</v>
      </c>
      <c r="G85" s="20" t="n">
        <v>17076</v>
      </c>
      <c r="H85" s="20" t="n">
        <v>11967</v>
      </c>
      <c r="I85" s="20" t="n">
        <v>11635</v>
      </c>
      <c r="J85" s="20" t="n">
        <v>13167</v>
      </c>
      <c r="K85" s="20" t="n">
        <v>16856</v>
      </c>
      <c r="L85" s="20" t="n">
        <v>17301</v>
      </c>
    </row>
    <row r="86">
      <c r="A86" s="18" t="inlineStr">
        <is>
          <t>기계장치·운반구</t>
        </is>
      </c>
      <c r="F86" s="20" t="n">
        <v>21442</v>
      </c>
      <c r="H86" s="20" t="n">
        <v>17489</v>
      </c>
      <c r="I86" s="20" t="n">
        <v>17746</v>
      </c>
      <c r="J86" s="20" t="n">
        <v>18170</v>
      </c>
      <c r="K86" s="20" t="n">
        <v>19966</v>
      </c>
      <c r="L86" s="20" t="n">
        <v>21442</v>
      </c>
    </row>
    <row r="87">
      <c r="A87" s="18" t="inlineStr">
        <is>
          <t>감가상각누계액</t>
        </is>
      </c>
      <c r="F87" s="20" t="n">
        <v>-17694</v>
      </c>
      <c r="H87" s="20" t="n">
        <v>-14628</v>
      </c>
      <c r="I87" s="20" t="n">
        <v>-15438</v>
      </c>
      <c r="J87" s="20" t="n">
        <v>-15943</v>
      </c>
      <c r="K87" s="20" t="n">
        <v>-16320</v>
      </c>
      <c r="L87" s="20" t="n">
        <v>-17694</v>
      </c>
    </row>
    <row r="88">
      <c r="A88" s="18" t="inlineStr">
        <is>
          <t>기계장치·운반구(순액)</t>
        </is>
      </c>
      <c r="F88" s="20" t="n">
        <v>3748</v>
      </c>
      <c r="H88" s="20" t="n">
        <v>2860</v>
      </c>
      <c r="I88" s="20" t="n">
        <v>2307</v>
      </c>
      <c r="J88" s="20" t="n">
        <v>2227</v>
      </c>
      <c r="K88" s="20" t="n">
        <v>3646</v>
      </c>
      <c r="L88" s="20" t="n">
        <v>3748</v>
      </c>
    </row>
    <row r="89">
      <c r="A89" s="18" t="inlineStr">
        <is>
          <t>공구·기구·비품</t>
        </is>
      </c>
      <c r="F89" s="20" t="n">
        <v>4644</v>
      </c>
      <c r="H89" s="20" t="n">
        <v>4340</v>
      </c>
      <c r="I89" s="20" t="n">
        <v>4342</v>
      </c>
      <c r="J89" s="20" t="n">
        <v>4300</v>
      </c>
      <c r="K89" s="20" t="n">
        <v>4463</v>
      </c>
      <c r="L89" s="20" t="n">
        <v>4644</v>
      </c>
    </row>
    <row r="90">
      <c r="A90" s="18" t="inlineStr">
        <is>
          <t>감가상각누계액</t>
        </is>
      </c>
      <c r="F90" s="20" t="n">
        <v>-4146</v>
      </c>
      <c r="H90" s="20" t="n">
        <v>-3839</v>
      </c>
      <c r="I90" s="20" t="n">
        <v>-3824</v>
      </c>
      <c r="J90" s="20" t="n">
        <v>-3779</v>
      </c>
      <c r="K90" s="20" t="n">
        <v>-3904</v>
      </c>
      <c r="L90" s="20" t="n">
        <v>-4146</v>
      </c>
    </row>
    <row r="91">
      <c r="A91" s="18" t="inlineStr">
        <is>
          <t>공구·기구·비품(순액)</t>
        </is>
      </c>
      <c r="F91" s="20" t="n">
        <v>498</v>
      </c>
      <c r="H91" s="20" t="n">
        <v>500</v>
      </c>
      <c r="I91" s="20" t="n">
        <v>518</v>
      </c>
      <c r="J91" s="20" t="n">
        <v>520</v>
      </c>
      <c r="K91" s="20" t="n">
        <v>559</v>
      </c>
      <c r="L91" s="20" t="n">
        <v>498</v>
      </c>
    </row>
    <row r="92">
      <c r="A92" s="18" t="inlineStr">
        <is>
          <t>토지</t>
        </is>
      </c>
      <c r="F92" s="20" t="n">
        <v>10165</v>
      </c>
      <c r="H92" s="20" t="n">
        <v>9818</v>
      </c>
      <c r="I92" s="20" t="n">
        <v>9906</v>
      </c>
      <c r="J92" s="20" t="n">
        <v>9865</v>
      </c>
      <c r="K92" s="20" t="n">
        <v>9855</v>
      </c>
      <c r="L92" s="20" t="n">
        <v>10165</v>
      </c>
    </row>
    <row r="93">
      <c r="A93" s="18" t="inlineStr">
        <is>
          <t>리스자산</t>
        </is>
      </c>
      <c r="F93" s="20" t="n">
        <v>305</v>
      </c>
      <c r="H93" s="20" t="n">
        <v>312</v>
      </c>
      <c r="I93" s="20" t="n">
        <v>309</v>
      </c>
      <c r="J93" s="20" t="n">
        <v>300</v>
      </c>
      <c r="K93" s="20" t="n">
        <v>293</v>
      </c>
      <c r="L93" s="20" t="n">
        <v>305</v>
      </c>
    </row>
    <row r="94">
      <c r="A94" s="18" t="inlineStr">
        <is>
          <t>감가상각누계액</t>
        </is>
      </c>
      <c r="F94" s="20" t="n">
        <v>-225</v>
      </c>
      <c r="H94" s="20" t="n">
        <v>-165</v>
      </c>
      <c r="I94" s="20" t="n">
        <v>-184</v>
      </c>
      <c r="J94" s="20" t="n">
        <v>-196</v>
      </c>
      <c r="K94" s="20" t="n">
        <v>-205</v>
      </c>
      <c r="L94" s="20" t="n">
        <v>-225</v>
      </c>
    </row>
    <row r="95">
      <c r="A95" s="18" t="inlineStr">
        <is>
          <t>리스자산(순액)</t>
        </is>
      </c>
      <c r="F95" s="20" t="n">
        <v>79</v>
      </c>
      <c r="H95" s="20" t="n">
        <v>146</v>
      </c>
      <c r="I95" s="20" t="n">
        <v>125</v>
      </c>
      <c r="J95" s="20" t="n">
        <v>104</v>
      </c>
      <c r="K95" s="20" t="n">
        <v>88</v>
      </c>
      <c r="L95" s="20" t="n">
        <v>79</v>
      </c>
    </row>
    <row r="96">
      <c r="A96" s="18" t="inlineStr">
        <is>
          <t>건설중인자산</t>
        </is>
      </c>
      <c r="F96" s="20" t="n">
        <v>721</v>
      </c>
      <c r="H96" s="20" t="n">
        <v>325</v>
      </c>
      <c r="I96" s="20" t="n">
        <v>1252</v>
      </c>
      <c r="J96" s="20" t="n">
        <v>3829</v>
      </c>
      <c r="K96" s="20" t="n">
        <v>1748</v>
      </c>
      <c r="L96" s="20" t="n">
        <v>721</v>
      </c>
    </row>
    <row r="97">
      <c r="A97" s="18" t="inlineStr">
        <is>
          <t>기타(순액)</t>
        </is>
      </c>
      <c r="C97" s="20" t="n">
        <v>15339</v>
      </c>
      <c r="D97" s="20" t="n">
        <v>15202</v>
      </c>
      <c r="E97" s="20" t="n">
        <v>14883</v>
      </c>
      <c r="F97" s="20" t="n">
        <v>15212</v>
      </c>
      <c r="G97" s="20" t="n">
        <v>15312</v>
      </c>
      <c r="K97" s="20" t="n">
        <v>15897</v>
      </c>
      <c r="L97" s="20" t="n">
        <v>15212</v>
      </c>
    </row>
    <row r="98">
      <c r="A98" s="18" t="inlineStr">
        <is>
          <t>유형자산 합계</t>
        </is>
      </c>
      <c r="C98" s="20" t="n">
        <v>32786</v>
      </c>
      <c r="D98" s="20" t="n">
        <v>32415</v>
      </c>
      <c r="E98" s="20" t="n">
        <v>32363</v>
      </c>
      <c r="F98" s="20" t="n">
        <v>32514</v>
      </c>
      <c r="G98" s="20" t="n">
        <v>32388</v>
      </c>
      <c r="H98" s="20" t="n">
        <v>25618</v>
      </c>
      <c r="I98" s="20" t="n">
        <v>25746</v>
      </c>
      <c r="J98" s="20" t="n">
        <v>29715</v>
      </c>
      <c r="K98" s="20" t="n">
        <v>32754</v>
      </c>
      <c r="L98" s="20" t="n">
        <v>32514</v>
      </c>
    </row>
    <row r="99">
      <c r="A99" s="18" t="inlineStr">
        <is>
          <t>무형자산</t>
        </is>
      </c>
      <c r="C99" s="20" t="n">
        <v>3241</v>
      </c>
      <c r="D99" s="20" t="n">
        <v>3859</v>
      </c>
      <c r="E99" s="20" t="n">
        <v>4279</v>
      </c>
      <c r="F99" s="20" t="n">
        <v>4741</v>
      </c>
      <c r="G99" s="20" t="n">
        <v>5089</v>
      </c>
      <c r="H99" s="20" t="n">
        <v>811</v>
      </c>
      <c r="I99" s="20" t="n">
        <v>1188</v>
      </c>
      <c r="J99" s="20" t="n">
        <v>1978</v>
      </c>
      <c r="K99" s="20" t="n">
        <v>3106</v>
      </c>
      <c r="L99" s="20" t="n">
        <v>4741</v>
      </c>
    </row>
    <row r="100">
      <c r="A100" s="18" t="inlineStr">
        <is>
          <t>투자유가증권</t>
        </is>
      </c>
      <c r="C100" s="20" t="n">
        <v>10209</v>
      </c>
      <c r="D100" s="20" t="n">
        <v>10997</v>
      </c>
      <c r="E100" s="20" t="n">
        <v>10873</v>
      </c>
      <c r="F100" s="20" t="n">
        <v>10849</v>
      </c>
      <c r="G100" s="20" t="n">
        <v>13438</v>
      </c>
      <c r="H100" s="20" t="n">
        <v>7628</v>
      </c>
      <c r="I100" s="20" t="n">
        <v>8084</v>
      </c>
      <c r="J100" s="20" t="n">
        <v>11402</v>
      </c>
      <c r="K100" s="20" t="n">
        <v>9838</v>
      </c>
      <c r="L100" s="20" t="n">
        <v>10849</v>
      </c>
    </row>
    <row r="101">
      <c r="A101" s="18" t="inlineStr">
        <is>
          <t>장기대여금</t>
        </is>
      </c>
      <c r="F101" s="20" t="n">
        <v>2</v>
      </c>
      <c r="H101" s="20" t="n">
        <v>11</v>
      </c>
      <c r="I101" s="20" t="n">
        <v>2</v>
      </c>
      <c r="J101" s="20" t="n">
        <v>4</v>
      </c>
      <c r="K101" s="20" t="n">
        <v>2</v>
      </c>
      <c r="L101" s="20" t="n">
        <v>2</v>
      </c>
    </row>
    <row r="102">
      <c r="A102" s="18" t="inlineStr">
        <is>
          <t>보증금</t>
        </is>
      </c>
      <c r="F102" s="20" t="n">
        <v>318</v>
      </c>
      <c r="H102" s="20" t="n">
        <v>377</v>
      </c>
      <c r="I102" s="20" t="n">
        <v>380</v>
      </c>
      <c r="J102" s="20" t="n">
        <v>372</v>
      </c>
      <c r="K102" s="20" t="n">
        <v>315</v>
      </c>
      <c r="L102" s="20" t="n">
        <v>318</v>
      </c>
    </row>
    <row r="103">
      <c r="A103" s="18" t="inlineStr">
        <is>
          <t>퇴직급여자산</t>
        </is>
      </c>
      <c r="F103" s="20" t="n">
        <v>6639</v>
      </c>
      <c r="H103" s="20" t="n">
        <v>1704</v>
      </c>
      <c r="I103" s="20" t="n">
        <v>1791</v>
      </c>
      <c r="J103" s="20" t="n">
        <v>4007</v>
      </c>
      <c r="K103" s="20" t="n">
        <v>4205</v>
      </c>
      <c r="L103" s="20" t="n">
        <v>6639</v>
      </c>
    </row>
    <row r="104">
      <c r="A104" s="18" t="inlineStr">
        <is>
          <t>이연법인세자산</t>
        </is>
      </c>
      <c r="F104" s="20" t="n">
        <v>328</v>
      </c>
      <c r="H104" s="20" t="n">
        <v>221</v>
      </c>
      <c r="I104" s="20" t="n">
        <v>225</v>
      </c>
      <c r="J104" s="20" t="n">
        <v>319</v>
      </c>
      <c r="K104" s="20" t="n">
        <v>346</v>
      </c>
      <c r="L104" s="20" t="n">
        <v>328</v>
      </c>
    </row>
    <row r="105">
      <c r="A105" s="18" t="inlineStr">
        <is>
          <t>기타</t>
        </is>
      </c>
      <c r="C105" s="20" t="n">
        <v>5291</v>
      </c>
      <c r="D105" s="20" t="n">
        <v>5434</v>
      </c>
      <c r="E105" s="20" t="n">
        <v>5625</v>
      </c>
      <c r="F105" s="20" t="n">
        <v>8216</v>
      </c>
      <c r="G105" s="20" t="n">
        <v>8160</v>
      </c>
      <c r="H105" s="20" t="n">
        <v>527</v>
      </c>
      <c r="I105" s="20" t="n">
        <v>1040</v>
      </c>
      <c r="J105" s="20" t="n">
        <v>441</v>
      </c>
      <c r="K105" s="20" t="n">
        <v>478</v>
      </c>
      <c r="L105" s="20" t="n">
        <v>8216</v>
      </c>
    </row>
    <row r="106">
      <c r="A106" s="18" t="inlineStr">
        <is>
          <t>대손충당금</t>
        </is>
      </c>
      <c r="C106" s="20" t="n">
        <v>-14</v>
      </c>
      <c r="D106" s="20" t="n">
        <v>-14</v>
      </c>
      <c r="E106" s="20" t="n">
        <v>-14</v>
      </c>
      <c r="F106" s="20" t="n">
        <v>-14</v>
      </c>
      <c r="G106" s="20" t="n">
        <v>-14</v>
      </c>
      <c r="H106" s="20" t="n">
        <v>-17</v>
      </c>
      <c r="I106" s="20" t="n">
        <v>-17</v>
      </c>
      <c r="J106" s="20" t="n">
        <v>-17</v>
      </c>
      <c r="K106" s="20" t="n">
        <v>-15</v>
      </c>
      <c r="L106" s="20" t="n">
        <v>-14</v>
      </c>
    </row>
    <row r="107">
      <c r="A107" s="18" t="inlineStr">
        <is>
          <t>투자 및 기타자산 합계</t>
        </is>
      </c>
      <c r="C107" s="20" t="n">
        <v>15486</v>
      </c>
      <c r="D107" s="20" t="n">
        <v>16416</v>
      </c>
      <c r="E107" s="20" t="n">
        <v>16483</v>
      </c>
      <c r="F107" s="20" t="n">
        <v>19051</v>
      </c>
      <c r="G107" s="20" t="n">
        <v>21584</v>
      </c>
      <c r="H107" s="20" t="n">
        <v>10453</v>
      </c>
      <c r="I107" s="20" t="n">
        <v>11506</v>
      </c>
      <c r="J107" s="20" t="n">
        <v>16530</v>
      </c>
      <c r="K107" s="20" t="n">
        <v>15171</v>
      </c>
      <c r="L107" s="20" t="n">
        <v>19051</v>
      </c>
    </row>
    <row r="108">
      <c r="A108" s="9" t="inlineStr">
        <is>
          <t>비유동자산 합계</t>
        </is>
      </c>
      <c r="C108" s="12" t="n">
        <v>51514</v>
      </c>
      <c r="D108" s="12" t="n">
        <v>52692</v>
      </c>
      <c r="E108" s="12" t="n">
        <v>53126</v>
      </c>
      <c r="F108" s="12" t="n">
        <v>56307</v>
      </c>
      <c r="G108" s="12" t="n">
        <v>59063</v>
      </c>
      <c r="H108" s="12" t="n">
        <v>36882</v>
      </c>
      <c r="I108" s="12" t="n">
        <v>38440</v>
      </c>
      <c r="J108" s="12" t="n">
        <v>48224</v>
      </c>
      <c r="K108" s="12" t="n">
        <v>51032</v>
      </c>
      <c r="L108" s="12" t="n">
        <v>56307</v>
      </c>
    </row>
    <row r="109">
      <c r="A109" s="9" t="inlineStr">
        <is>
          <t>자산 합계</t>
        </is>
      </c>
      <c r="C109" s="12" t="n">
        <v>134458</v>
      </c>
      <c r="D109" s="12" t="n">
        <v>134277</v>
      </c>
      <c r="E109" s="12" t="n">
        <v>139174</v>
      </c>
      <c r="F109" s="12" t="n">
        <v>139610</v>
      </c>
      <c r="G109" s="12" t="n">
        <v>144063</v>
      </c>
      <c r="H109" s="12" t="n">
        <v>119148</v>
      </c>
      <c r="I109" s="12" t="n">
        <v>132874</v>
      </c>
      <c r="J109" s="12" t="n">
        <v>140850</v>
      </c>
      <c r="K109" s="12" t="n">
        <v>136801</v>
      </c>
      <c r="L109" s="12" t="n">
        <v>139610</v>
      </c>
    </row>
    <row r="110">
      <c r="A110" s="18" t="inlineStr">
        <is>
          <t>지급어음·매입채무</t>
        </is>
      </c>
      <c r="C110" s="20" t="n">
        <v>32610</v>
      </c>
      <c r="D110" s="20" t="n">
        <v>32321</v>
      </c>
      <c r="E110" s="20" t="n">
        <v>35770</v>
      </c>
      <c r="F110" s="20" t="n">
        <v>32754</v>
      </c>
      <c r="G110" s="20" t="n">
        <v>35180</v>
      </c>
      <c r="H110" s="20" t="n">
        <v>31737</v>
      </c>
      <c r="I110" s="20" t="n">
        <v>33983</v>
      </c>
      <c r="J110" s="20" t="n">
        <v>37218</v>
      </c>
      <c r="K110" s="20" t="n">
        <v>32625</v>
      </c>
      <c r="L110" s="20" t="n">
        <v>32754</v>
      </c>
    </row>
    <row r="111">
      <c r="A111" s="18" t="inlineStr">
        <is>
          <t>전자기록채무</t>
        </is>
      </c>
      <c r="C111" s="20" t="n">
        <v>2538</v>
      </c>
      <c r="D111" s="20" t="n">
        <v>2119</v>
      </c>
      <c r="E111" s="20" t="n">
        <v>2735</v>
      </c>
      <c r="F111" s="20" t="n">
        <v>2420</v>
      </c>
      <c r="G111" s="20" t="n">
        <v>2018</v>
      </c>
      <c r="H111" s="20" t="n">
        <v>3413</v>
      </c>
      <c r="I111" s="20" t="n">
        <v>3728</v>
      </c>
      <c r="J111" s="20" t="n">
        <v>4072</v>
      </c>
      <c r="K111" s="20" t="n">
        <v>2752</v>
      </c>
      <c r="L111" s="20" t="n">
        <v>2420</v>
      </c>
    </row>
    <row r="112">
      <c r="A112" s="18" t="inlineStr">
        <is>
          <t>단기차입금</t>
        </is>
      </c>
      <c r="C112" s="20" t="n">
        <v>50</v>
      </c>
      <c r="D112" s="20" t="n">
        <v>50</v>
      </c>
      <c r="E112" s="20" t="n">
        <v>46</v>
      </c>
      <c r="F112" s="20" t="n">
        <v>25</v>
      </c>
      <c r="G112" s="20" t="n">
        <v>25</v>
      </c>
      <c r="H112" s="20" t="n">
        <v>46</v>
      </c>
      <c r="I112" s="20" t="n">
        <v>48</v>
      </c>
      <c r="J112" s="20" t="n">
        <v>50</v>
      </c>
      <c r="K112" s="20" t="n">
        <v>51</v>
      </c>
      <c r="L112" s="20" t="n">
        <v>25</v>
      </c>
    </row>
    <row r="113">
      <c r="A113" s="18" t="inlineStr">
        <is>
          <t>1년 내 상환 장기차입금</t>
        </is>
      </c>
      <c r="C113" s="20" t="n">
        <v>38</v>
      </c>
      <c r="D113" s="20" t="n">
        <v>38</v>
      </c>
      <c r="E113" s="20" t="n">
        <v>41</v>
      </c>
      <c r="F113" s="20" t="n">
        <v>35</v>
      </c>
      <c r="G113" s="20" t="n">
        <v>29</v>
      </c>
      <c r="H113" s="20" t="n">
        <v>104</v>
      </c>
      <c r="I113" s="20" t="n">
        <v>60</v>
      </c>
      <c r="J113" s="20" t="n">
        <v>42</v>
      </c>
      <c r="K113" s="20" t="n">
        <v>38</v>
      </c>
      <c r="L113" s="20" t="n">
        <v>35</v>
      </c>
    </row>
    <row r="114">
      <c r="A114" s="18" t="inlineStr">
        <is>
          <t>리스부채</t>
        </is>
      </c>
      <c r="F114" s="20" t="n">
        <v>21</v>
      </c>
      <c r="H114" s="20" t="n">
        <v>21</v>
      </c>
      <c r="I114" s="20" t="n">
        <v>20</v>
      </c>
      <c r="J114" s="20" t="n">
        <v>19</v>
      </c>
      <c r="K114" s="20" t="n">
        <v>19</v>
      </c>
      <c r="L114" s="20" t="n">
        <v>21</v>
      </c>
    </row>
    <row r="115">
      <c r="A115" s="18" t="inlineStr">
        <is>
          <t>미지급법인세</t>
        </is>
      </c>
      <c r="C115" s="20" t="n">
        <v>356</v>
      </c>
      <c r="D115" s="20" t="n">
        <v>1519</v>
      </c>
      <c r="E115" s="20" t="n">
        <v>919</v>
      </c>
      <c r="F115" s="20" t="n">
        <v>2196</v>
      </c>
      <c r="G115" s="20" t="n">
        <v>847</v>
      </c>
      <c r="H115" s="20" t="n">
        <v>1238</v>
      </c>
      <c r="I115" s="20" t="n">
        <v>3298</v>
      </c>
      <c r="J115" s="20" t="n">
        <v>1087</v>
      </c>
      <c r="K115" s="20" t="n">
        <v>1861</v>
      </c>
      <c r="L115" s="20" t="n">
        <v>2196</v>
      </c>
    </row>
    <row r="116">
      <c r="A116" s="18" t="inlineStr">
        <is>
          <t>계약부채</t>
        </is>
      </c>
      <c r="F116" s="20" t="n">
        <v>359</v>
      </c>
      <c r="H116" s="20" t="n">
        <v>328</v>
      </c>
      <c r="I116" s="20" t="n">
        <v>360</v>
      </c>
      <c r="J116" s="20" t="n">
        <v>286</v>
      </c>
      <c r="K116" s="20" t="n">
        <v>378</v>
      </c>
      <c r="L116" s="20" t="n">
        <v>359</v>
      </c>
    </row>
    <row r="117">
      <c r="A117" s="18" t="inlineStr">
        <is>
          <t>상여충당금</t>
        </is>
      </c>
      <c r="C117" s="20" t="n">
        <v>684</v>
      </c>
      <c r="D117" s="20" t="n">
        <v>1348</v>
      </c>
      <c r="E117" s="20" t="n">
        <v>748</v>
      </c>
      <c r="F117" s="20" t="n">
        <v>1444</v>
      </c>
      <c r="G117" s="20" t="n">
        <v>726</v>
      </c>
      <c r="H117" s="20" t="n">
        <v>1125</v>
      </c>
      <c r="I117" s="20" t="n">
        <v>1152</v>
      </c>
      <c r="J117" s="20" t="n">
        <v>1411</v>
      </c>
      <c r="K117" s="20" t="n">
        <v>1519</v>
      </c>
      <c r="L117" s="20" t="n">
        <v>1444</v>
      </c>
    </row>
    <row r="118">
      <c r="A118" s="18" t="inlineStr">
        <is>
          <t>임원 상여충당금</t>
        </is>
      </c>
      <c r="C118" s="20" t="n">
        <v>27</v>
      </c>
      <c r="D118" s="20" t="n">
        <v>52</v>
      </c>
      <c r="E118" s="20" t="n">
        <v>71</v>
      </c>
      <c r="F118" s="20" t="n">
        <v>136</v>
      </c>
      <c r="G118" s="20" t="n">
        <v>23</v>
      </c>
      <c r="H118" s="20" t="n">
        <v>116</v>
      </c>
      <c r="I118" s="20" t="n">
        <v>131</v>
      </c>
      <c r="J118" s="20" t="n">
        <v>155</v>
      </c>
      <c r="K118" s="20" t="n">
        <v>190</v>
      </c>
      <c r="L118" s="20" t="n">
        <v>136</v>
      </c>
    </row>
    <row r="119">
      <c r="A119" s="18" t="inlineStr">
        <is>
          <t>기타</t>
        </is>
      </c>
      <c r="C119" s="20" t="n">
        <v>4158</v>
      </c>
      <c r="D119" s="20" t="n">
        <v>4075</v>
      </c>
      <c r="E119" s="20" t="n">
        <v>4302</v>
      </c>
      <c r="F119" s="20" t="n">
        <v>3716</v>
      </c>
      <c r="G119" s="20" t="n">
        <v>4241</v>
      </c>
      <c r="H119" s="20" t="n">
        <v>3063</v>
      </c>
      <c r="I119" s="20" t="n">
        <v>3070</v>
      </c>
      <c r="J119" s="20" t="n">
        <v>4798</v>
      </c>
      <c r="K119" s="20" t="n">
        <v>3828</v>
      </c>
      <c r="L119" s="20" t="n">
        <v>3716</v>
      </c>
    </row>
    <row r="120">
      <c r="A120" s="9" t="inlineStr">
        <is>
          <t>유동부채 합계</t>
        </is>
      </c>
      <c r="C120" s="12" t="n">
        <v>40464</v>
      </c>
      <c r="D120" s="12" t="n">
        <v>41525</v>
      </c>
      <c r="E120" s="12" t="n">
        <v>44635</v>
      </c>
      <c r="F120" s="12" t="n">
        <v>42730</v>
      </c>
      <c r="G120" s="12" t="n">
        <v>43091</v>
      </c>
      <c r="H120" s="12" t="n">
        <v>41195</v>
      </c>
      <c r="I120" s="12" t="n">
        <v>45856</v>
      </c>
      <c r="J120" s="12" t="n">
        <v>49144</v>
      </c>
      <c r="K120" s="12" t="n">
        <v>43266</v>
      </c>
      <c r="L120" s="12" t="n">
        <v>42730</v>
      </c>
    </row>
    <row r="121">
      <c r="A121" s="18" t="inlineStr">
        <is>
          <t>리스부채</t>
        </is>
      </c>
      <c r="F121" s="20" t="n">
        <v>59</v>
      </c>
      <c r="H121" s="20" t="n">
        <v>135</v>
      </c>
      <c r="I121" s="20" t="n">
        <v>110</v>
      </c>
      <c r="J121" s="20" t="n">
        <v>90</v>
      </c>
      <c r="K121" s="20" t="n">
        <v>70</v>
      </c>
      <c r="L121" s="20" t="n">
        <v>59</v>
      </c>
    </row>
    <row r="122">
      <c r="A122" s="18" t="inlineStr">
        <is>
          <t>Long Term Guarantee Deposited</t>
        </is>
      </c>
      <c r="F122" s="20" t="n">
        <v>3358</v>
      </c>
      <c r="H122" s="20" t="n">
        <v>2915</v>
      </c>
      <c r="I122" s="20" t="n">
        <v>3010</v>
      </c>
      <c r="J122" s="20" t="n">
        <v>3130</v>
      </c>
      <c r="K122" s="20" t="n">
        <v>3297</v>
      </c>
      <c r="L122" s="20" t="n">
        <v>3358</v>
      </c>
    </row>
    <row r="123">
      <c r="A123" s="18" t="inlineStr">
        <is>
          <t>장기차입금</t>
        </is>
      </c>
      <c r="C123" s="20" t="n">
        <v>29</v>
      </c>
      <c r="D123" s="20" t="n">
        <v>19</v>
      </c>
      <c r="E123" s="20" t="n">
        <v>9</v>
      </c>
      <c r="F123" s="20" t="n">
        <v>3</v>
      </c>
      <c r="G123" s="20" t="n">
        <v>0</v>
      </c>
      <c r="H123" s="20" t="n">
        <v>256</v>
      </c>
      <c r="I123" s="20" t="n">
        <v>116</v>
      </c>
      <c r="J123" s="20" t="n">
        <v>76</v>
      </c>
      <c r="K123" s="20" t="n">
        <v>38</v>
      </c>
      <c r="L123" s="20" t="n">
        <v>3</v>
      </c>
    </row>
    <row r="124">
      <c r="A124" s="18" t="inlineStr">
        <is>
          <t>이연법인세부채</t>
        </is>
      </c>
      <c r="F124" s="20" t="n">
        <v>3556</v>
      </c>
      <c r="H124" s="20" t="n">
        <v>966</v>
      </c>
      <c r="I124" s="20" t="n">
        <v>1300</v>
      </c>
      <c r="J124" s="20" t="n">
        <v>2909</v>
      </c>
      <c r="K124" s="20" t="n">
        <v>2548</v>
      </c>
      <c r="L124" s="20" t="n">
        <v>3556</v>
      </c>
    </row>
    <row r="125">
      <c r="A125" s="18" t="inlineStr">
        <is>
          <t>퇴직급여부채</t>
        </is>
      </c>
      <c r="C125" s="20" t="n">
        <v>813</v>
      </c>
      <c r="D125" s="20" t="n">
        <v>821</v>
      </c>
      <c r="E125" s="20" t="n">
        <v>839</v>
      </c>
      <c r="F125" s="20" t="n">
        <v>863</v>
      </c>
      <c r="G125" s="20" t="n">
        <v>868</v>
      </c>
      <c r="H125" s="20" t="n">
        <v>612</v>
      </c>
      <c r="I125" s="20" t="n">
        <v>645</v>
      </c>
      <c r="J125" s="20" t="n">
        <v>714</v>
      </c>
      <c r="K125" s="20" t="n">
        <v>808</v>
      </c>
      <c r="L125" s="20" t="n">
        <v>863</v>
      </c>
    </row>
    <row r="126">
      <c r="A126" s="18" t="inlineStr">
        <is>
          <t>기타</t>
        </is>
      </c>
      <c r="C126" s="20" t="n">
        <v>6381</v>
      </c>
      <c r="D126" s="20" t="n">
        <v>6364</v>
      </c>
      <c r="E126" s="20" t="n">
        <v>6539</v>
      </c>
      <c r="F126" s="20" t="n">
        <v>7153</v>
      </c>
      <c r="G126" s="20" t="n">
        <v>8222</v>
      </c>
      <c r="H126" s="20" t="n">
        <v>169</v>
      </c>
      <c r="I126" s="20" t="n">
        <v>353</v>
      </c>
      <c r="J126" s="20" t="n">
        <v>98</v>
      </c>
      <c r="K126" s="20" t="n">
        <v>98</v>
      </c>
      <c r="L126" s="20" t="n">
        <v>7153</v>
      </c>
    </row>
    <row r="127">
      <c r="A127" s="9" t="inlineStr">
        <is>
          <t>비유동부채 합계</t>
        </is>
      </c>
      <c r="C127" s="12" t="n">
        <v>7223</v>
      </c>
      <c r="D127" s="12" t="n">
        <v>7206</v>
      </c>
      <c r="E127" s="12" t="n">
        <v>7388</v>
      </c>
      <c r="F127" s="12" t="n">
        <v>8019</v>
      </c>
      <c r="G127" s="12" t="n">
        <v>9090</v>
      </c>
      <c r="H127" s="12" t="n">
        <v>5055</v>
      </c>
      <c r="I127" s="12" t="n">
        <v>5536</v>
      </c>
      <c r="J127" s="12" t="n">
        <v>7020</v>
      </c>
      <c r="K127" s="12" t="n">
        <v>6862</v>
      </c>
      <c r="L127" s="12" t="n">
        <v>8019</v>
      </c>
    </row>
    <row r="128">
      <c r="A128" s="9" t="inlineStr">
        <is>
          <t>부채 합계</t>
        </is>
      </c>
      <c r="C128" s="12" t="n">
        <v>47687</v>
      </c>
      <c r="D128" s="12" t="n">
        <v>48731</v>
      </c>
      <c r="E128" s="12" t="n">
        <v>52023</v>
      </c>
      <c r="F128" s="12" t="n">
        <v>50750</v>
      </c>
      <c r="G128" s="12" t="n">
        <v>52182</v>
      </c>
      <c r="H128" s="12" t="n">
        <v>46251</v>
      </c>
      <c r="I128" s="12" t="n">
        <v>51392</v>
      </c>
      <c r="J128" s="12" t="n">
        <v>56165</v>
      </c>
      <c r="K128" s="12" t="n">
        <v>50128</v>
      </c>
      <c r="L128" s="12" t="n">
        <v>50750</v>
      </c>
    </row>
    <row r="129">
      <c r="A129" s="18" t="inlineStr">
        <is>
          <t>자본금</t>
        </is>
      </c>
      <c r="C129" s="20" t="n">
        <v>4603</v>
      </c>
      <c r="D129" s="20" t="n">
        <v>4603</v>
      </c>
      <c r="E129" s="20" t="n">
        <v>4603</v>
      </c>
      <c r="F129" s="20" t="n">
        <v>4603</v>
      </c>
      <c r="G129" s="20" t="n">
        <v>4603</v>
      </c>
      <c r="H129" s="20" t="n">
        <v>4603</v>
      </c>
      <c r="I129" s="20" t="n">
        <v>4603</v>
      </c>
      <c r="J129" s="20" t="n">
        <v>4603</v>
      </c>
      <c r="K129" s="20" t="n">
        <v>4603</v>
      </c>
      <c r="L129" s="20" t="n">
        <v>4603</v>
      </c>
    </row>
    <row r="130">
      <c r="A130" s="18" t="inlineStr">
        <is>
          <t>자본잉여금</t>
        </is>
      </c>
      <c r="C130" s="20" t="n">
        <v>6041</v>
      </c>
      <c r="D130" s="20" t="n">
        <v>6040</v>
      </c>
      <c r="E130" s="20" t="n">
        <v>6040</v>
      </c>
      <c r="F130" s="20" t="n">
        <v>6079</v>
      </c>
      <c r="G130" s="20" t="n">
        <v>6079</v>
      </c>
      <c r="H130" s="20" t="n">
        <v>4544</v>
      </c>
      <c r="I130" s="20" t="n">
        <v>4557</v>
      </c>
      <c r="J130" s="20" t="n">
        <v>4422</v>
      </c>
      <c r="K130" s="20" t="n">
        <v>6041</v>
      </c>
      <c r="L130" s="20" t="n">
        <v>6079</v>
      </c>
    </row>
    <row r="131">
      <c r="A131" s="18" t="inlineStr">
        <is>
          <t>이익잉여금</t>
        </is>
      </c>
      <c r="C131" s="20" t="n">
        <v>73134</v>
      </c>
      <c r="D131" s="20" t="n">
        <v>74882</v>
      </c>
      <c r="E131" s="20" t="n">
        <v>76452</v>
      </c>
      <c r="F131" s="20" t="n">
        <v>78406</v>
      </c>
      <c r="G131" s="20" t="n">
        <v>79594</v>
      </c>
      <c r="H131" s="20" t="n">
        <v>61164</v>
      </c>
      <c r="I131" s="20" t="n">
        <v>69450</v>
      </c>
      <c r="J131" s="20" t="n">
        <v>67314</v>
      </c>
      <c r="K131" s="20" t="n">
        <v>73009</v>
      </c>
      <c r="L131" s="20" t="n">
        <v>78406</v>
      </c>
    </row>
    <row r="132">
      <c r="A132" s="18" t="inlineStr">
        <is>
          <t>자기주식</t>
        </is>
      </c>
      <c r="C132" s="20" t="n">
        <v>-4508</v>
      </c>
      <c r="D132" s="20" t="n">
        <v>-7840</v>
      </c>
      <c r="E132" s="20" t="n">
        <v>-7840</v>
      </c>
      <c r="F132" s="20" t="n">
        <v>-9663</v>
      </c>
      <c r="G132" s="20" t="n">
        <v>-9663</v>
      </c>
      <c r="H132" s="20" t="n">
        <v>-5504</v>
      </c>
      <c r="I132" s="20" t="n">
        <v>-5904</v>
      </c>
      <c r="J132" s="20" t="n">
        <v>-4604</v>
      </c>
      <c r="K132" s="20" t="n">
        <v>-4508</v>
      </c>
      <c r="L132" s="20" t="n">
        <v>-9663</v>
      </c>
    </row>
    <row r="133">
      <c r="A133" s="9" t="inlineStr">
        <is>
          <t>주주자본 합계</t>
        </is>
      </c>
      <c r="C133" s="12" t="n">
        <v>79271</v>
      </c>
      <c r="D133" s="12" t="n">
        <v>77685</v>
      </c>
      <c r="E133" s="12" t="n">
        <v>79255</v>
      </c>
      <c r="F133" s="12" t="n">
        <v>79425</v>
      </c>
      <c r="G133" s="12" t="n">
        <v>80614</v>
      </c>
      <c r="H133" s="12" t="n">
        <v>64808</v>
      </c>
      <c r="I133" s="12" t="n">
        <v>72707</v>
      </c>
      <c r="J133" s="12" t="n">
        <v>71735</v>
      </c>
      <c r="K133" s="12" t="n">
        <v>79146</v>
      </c>
      <c r="L133" s="12" t="n">
        <v>79425</v>
      </c>
    </row>
    <row r="134">
      <c r="A134" s="18" t="inlineStr">
        <is>
          <t>기타유가증권 평가차액</t>
        </is>
      </c>
      <c r="C134" s="20" t="n">
        <v>3936</v>
      </c>
      <c r="D134" s="20" t="n">
        <v>4460</v>
      </c>
      <c r="E134" s="20" t="n">
        <v>4460</v>
      </c>
      <c r="F134" s="20" t="n">
        <v>4142</v>
      </c>
      <c r="G134" s="20" t="n">
        <v>5999</v>
      </c>
      <c r="H134" s="20" t="n">
        <v>2383</v>
      </c>
      <c r="I134" s="20" t="n">
        <v>2611</v>
      </c>
      <c r="J134" s="20" t="n">
        <v>4687</v>
      </c>
      <c r="K134" s="20" t="n">
        <v>3696</v>
      </c>
      <c r="L134" s="20" t="n">
        <v>4142</v>
      </c>
    </row>
    <row r="135">
      <c r="A135" s="18" t="inlineStr">
        <is>
          <t>이연헤지손익</t>
        </is>
      </c>
      <c r="F135" s="20" t="n">
        <v>-0</v>
      </c>
      <c r="G135" s="20" t="n">
        <v>-0</v>
      </c>
      <c r="H135" s="20" t="n">
        <v>0</v>
      </c>
      <c r="I135" s="20" t="n">
        <v>-0</v>
      </c>
      <c r="J135" s="20" t="n">
        <v>0</v>
      </c>
      <c r="K135" s="20" t="n">
        <v>0</v>
      </c>
      <c r="L135" s="20" t="n">
        <v>-0</v>
      </c>
    </row>
    <row r="136">
      <c r="A136" s="18" t="inlineStr">
        <is>
          <t>해외사업환산조정</t>
        </is>
      </c>
      <c r="C136" s="20" t="n">
        <v>738</v>
      </c>
      <c r="D136" s="20" t="n">
        <v>638</v>
      </c>
      <c r="E136" s="20" t="n">
        <v>727</v>
      </c>
      <c r="F136" s="20" t="n">
        <v>960</v>
      </c>
      <c r="G136" s="20" t="n">
        <v>1049</v>
      </c>
      <c r="H136" s="20" t="n">
        <v>270</v>
      </c>
      <c r="I136" s="20" t="n">
        <v>450</v>
      </c>
      <c r="J136" s="20" t="n">
        <v>650</v>
      </c>
      <c r="K136" s="20" t="n">
        <v>910</v>
      </c>
      <c r="L136" s="20" t="n">
        <v>960</v>
      </c>
    </row>
    <row r="137">
      <c r="A137" s="18" t="inlineStr">
        <is>
          <t>퇴직급여 조정누계액</t>
        </is>
      </c>
      <c r="C137" s="20" t="n">
        <v>2439</v>
      </c>
      <c r="D137" s="20" t="n">
        <v>2377</v>
      </c>
      <c r="E137" s="20" t="n">
        <v>2316</v>
      </c>
      <c r="F137" s="20" t="n">
        <v>3927</v>
      </c>
      <c r="G137" s="20" t="n">
        <v>3817</v>
      </c>
      <c r="H137" s="20" t="n">
        <v>1201</v>
      </c>
      <c r="I137" s="20" t="n">
        <v>1206</v>
      </c>
      <c r="J137" s="20" t="n">
        <v>2597</v>
      </c>
      <c r="K137" s="20" t="n">
        <v>2500</v>
      </c>
      <c r="L137" s="20" t="n">
        <v>3927</v>
      </c>
    </row>
    <row r="138">
      <c r="A138" s="18" t="inlineStr">
        <is>
          <t>기타포괄손익누계액 합계</t>
        </is>
      </c>
      <c r="C138" s="20" t="n">
        <v>7113</v>
      </c>
      <c r="D138" s="20" t="n">
        <v>7476</v>
      </c>
      <c r="E138" s="20" t="n">
        <v>7504</v>
      </c>
      <c r="F138" s="20" t="n">
        <v>9030</v>
      </c>
      <c r="G138" s="20" t="n">
        <v>10867</v>
      </c>
      <c r="H138" s="20" t="n">
        <v>3856</v>
      </c>
      <c r="I138" s="20" t="n">
        <v>4268</v>
      </c>
      <c r="J138" s="20" t="n">
        <v>7934</v>
      </c>
      <c r="K138" s="20" t="n">
        <v>7107</v>
      </c>
      <c r="L138" s="20" t="n">
        <v>9030</v>
      </c>
    </row>
    <row r="139">
      <c r="A139" s="18" t="inlineStr">
        <is>
          <t>비지배지분</t>
        </is>
      </c>
      <c r="C139" s="20" t="n">
        <v>385</v>
      </c>
      <c r="D139" s="20" t="n">
        <v>383</v>
      </c>
      <c r="E139" s="20" t="n">
        <v>390</v>
      </c>
      <c r="F139" s="20" t="n">
        <v>404</v>
      </c>
      <c r="G139" s="20" t="n">
        <v>399</v>
      </c>
      <c r="H139" s="20" t="n">
        <v>4232</v>
      </c>
      <c r="I139" s="20" t="n">
        <v>4507</v>
      </c>
      <c r="J139" s="20" t="n">
        <v>5014</v>
      </c>
      <c r="K139" s="20" t="n">
        <v>419</v>
      </c>
      <c r="L139" s="20" t="n">
        <v>404</v>
      </c>
    </row>
    <row r="140">
      <c r="A140" s="9" t="inlineStr">
        <is>
          <t>순자산 합계</t>
        </is>
      </c>
      <c r="C140" s="12" t="n">
        <v>86770</v>
      </c>
      <c r="D140" s="12" t="n">
        <v>85545</v>
      </c>
      <c r="E140" s="12" t="n">
        <v>87150</v>
      </c>
      <c r="F140" s="12" t="n">
        <v>88860</v>
      </c>
      <c r="G140" s="12" t="n">
        <v>91881</v>
      </c>
      <c r="H140" s="12" t="n">
        <v>72897</v>
      </c>
      <c r="I140" s="12" t="n">
        <v>81482</v>
      </c>
      <c r="J140" s="12" t="n">
        <v>84685</v>
      </c>
      <c r="K140" s="12" t="n">
        <v>86672</v>
      </c>
      <c r="L140" s="12" t="n">
        <v>88860</v>
      </c>
    </row>
    <row r="141">
      <c r="A141" s="9" t="inlineStr">
        <is>
          <t>부채·순자산 합계</t>
        </is>
      </c>
      <c r="C141" s="12" t="n">
        <v>134458</v>
      </c>
      <c r="D141" s="12" t="n">
        <v>134277</v>
      </c>
      <c r="E141" s="12" t="n">
        <v>139174</v>
      </c>
      <c r="F141" s="12" t="n">
        <v>139610</v>
      </c>
      <c r="G141" s="12" t="n">
        <v>144063</v>
      </c>
      <c r="H141" s="12" t="n">
        <v>119148</v>
      </c>
      <c r="I141" s="12" t="n">
        <v>132874</v>
      </c>
      <c r="J141" s="12" t="n">
        <v>140850</v>
      </c>
      <c r="K141" s="12" t="n">
        <v>136801</v>
      </c>
      <c r="L141" s="12" t="n">
        <v>139610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2026-07-27</t>
        </is>
      </c>
      <c r="B4" t="inlineStr">
        <is>
          <t>2027년 3월 결산기 １분기 결산단신</t>
        </is>
      </c>
      <c r="C4" t="inlineStr">
        <is>
          <t>https://www2.jpx.co.jp/disc/49560/140120260727599823.pdf</t>
        </is>
      </c>
    </row>
    <row r="5">
      <c r="A5" t="inlineStr">
        <is>
          <t>2026-04-24</t>
        </is>
      </c>
      <c r="B5" t="inlineStr">
        <is>
          <t>2026년 3월 결산기 연간 결산단신</t>
        </is>
      </c>
      <c r="C5" t="inlineStr">
        <is>
          <t>https://www2.jpx.co.jp/disc/49560/140120260424509834.pdf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https://www2.jpx.co.jp/disc/49560/140120260129541585.pdf</t>
        </is>
      </c>
    </row>
    <row r="7">
      <c r="A7" t="inlineStr">
        <is>
          <t>2025-10-29</t>
        </is>
      </c>
      <c r="B7" t="inlineStr">
        <is>
          <t>2026년 3월 결산기 ２분기 결산단신</t>
        </is>
      </c>
      <c r="C7" t="inlineStr">
        <is>
          <t>https://www2.jpx.co.jp/disc/49560/140120251028579835.pdf</t>
        </is>
      </c>
    </row>
    <row r="8">
      <c r="A8" t="inlineStr">
        <is>
          <t>2025-07-28</t>
        </is>
      </c>
      <c r="B8" t="inlineStr">
        <is>
          <t>2026년 3월 결산기 １분기 결산단신</t>
        </is>
      </c>
      <c r="C8" t="inlineStr">
        <is>
          <t>https://www2.jpx.co.jp/disc/49560/140120250728521513.pdf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https://www2.jpx.co.jp/disc/49560/140120250425523439.pdf</t>
        </is>
      </c>
    </row>
    <row r="10">
      <c r="A10" t="inlineStr">
        <is>
          <t>2025-01-29</t>
        </is>
      </c>
      <c r="B10" t="inlineStr">
        <is>
          <t>2025년 3월 결산기 ３분기 결산단신</t>
        </is>
      </c>
      <c r="C10" t="inlineStr">
        <is>
          <t>https://www2.jpx.co.jp/disc/49560/140120250128556456.pdf</t>
        </is>
      </c>
    </row>
    <row r="11">
      <c r="A11" t="inlineStr">
        <is>
          <t>2024-10-29</t>
        </is>
      </c>
      <c r="B11" t="inlineStr">
        <is>
          <t>2025년 3월 결산기 ２분기 결산단신</t>
        </is>
      </c>
      <c r="C11" t="inlineStr">
        <is>
          <t>https://www2.jpx.co.jp/disc/49560/140120241028504110.pdf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https://www2.jpx.co.jp/disc/49560/140120240729556205.pdf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https://www2.jpx.co.jp/disc/49560/140120240424575230.pdf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https://www2.jpx.co.jp/disc/49560/140120240129521120.pdf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https://www2.jpx.co.jp/disc/49560/140120231030573897.pdf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https://www2.jpx.co.jp/disc/49560/140120230727527749.pdf</t>
        </is>
      </c>
    </row>
    <row r="17">
      <c r="A17" t="inlineStr">
        <is>
          <t>2023-04-28</t>
        </is>
      </c>
      <c r="B17" t="inlineStr">
        <is>
          <t>2023년 3월 결산기 연간 결산단신</t>
        </is>
      </c>
      <c r="C17" t="inlineStr">
        <is>
          <t>https://www2.jpx.co.jp/disc/49560/140120230427554858.pdf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https://www2.jpx.co.jp/disc/49560/140120230128595405.pdf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https://www2.jpx.co.jp/disc/49560/140120221028552536.pdf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https://www2.jpx.co.jp/disc/49560/140120220428530583.pdf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https://www2.jpx.co.jp/disc/49560/140120210430403893.pdf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https://www2.jpx.co.jp/disc/49560/140120200430402446.pdf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https://www2.jpx.co.jp/disc/49560/140120190425410431.pdf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https://www2.jpx.co.jp/disc/49560/140120180426421058.pdf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2026-10-25T10:34:12Z</dcterms:created>
  <dcterms:modified xmlns:dcterms="http://purl.org/dc/terms/" xmlns:xsi="http://www.w3.org/2001/XMLSchema-instance" xsi:type="dcterms:W3CDTF">2026-10-25T10:34:13Z</dcterms:modified>
</cp:coreProperties>
</file>