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9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4956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35535</v>
      </c>
      <c r="D4" s="12" t="n">
        <v>32117</v>
      </c>
      <c r="E4" s="12" t="n">
        <v>32223</v>
      </c>
      <c r="F4" s="12" t="n">
        <v>33460</v>
      </c>
      <c r="G4" s="12" t="n">
        <v>36863</v>
      </c>
      <c r="H4" s="12" t="n">
        <v>33144</v>
      </c>
      <c r="I4" s="12" t="n">
        <v>32241</v>
      </c>
      <c r="J4" s="12" t="n">
        <v>33292</v>
      </c>
      <c r="K4" s="12" t="n">
        <v>35445</v>
      </c>
      <c r="L4" s="12" t="n">
        <v>35591</v>
      </c>
      <c r="M4" s="12" t="n">
        <v>36202</v>
      </c>
      <c r="N4" s="12" t="n">
        <v>37566</v>
      </c>
      <c r="O4" s="11" t="n">
        <v>121349</v>
      </c>
      <c r="P4" s="12" t="n">
        <v>128492</v>
      </c>
      <c r="Q4" s="12" t="n">
        <v>134139</v>
      </c>
      <c r="R4" s="12" t="n">
        <v>135180</v>
      </c>
      <c r="S4" s="12" t="n">
        <v>107750</v>
      </c>
      <c r="T4" s="12" t="n">
        <v>113671</v>
      </c>
      <c r="U4" s="12" t="n">
        <v>123339</v>
      </c>
      <c r="V4" s="12" t="n">
        <v>132969</v>
      </c>
      <c r="W4" s="12" t="n">
        <v>135690</v>
      </c>
      <c r="X4" s="12" t="n">
        <v>136569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Bond Reportable Segments</t>
        </is>
      </c>
      <c r="B7" s="10" t="n"/>
      <c r="C7" s="19" t="n">
        <v>19503</v>
      </c>
      <c r="D7" s="20" t="n">
        <v>16740</v>
      </c>
      <c r="E7" s="20" t="n">
        <v>17672</v>
      </c>
      <c r="F7" s="20" t="n">
        <v>18740</v>
      </c>
      <c r="G7" s="20" t="n">
        <v>19905</v>
      </c>
      <c r="H7" s="20" t="n">
        <v>17581</v>
      </c>
      <c r="I7" s="20" t="n">
        <v>18029</v>
      </c>
      <c r="J7" s="20" t="n">
        <v>18644</v>
      </c>
      <c r="K7" s="20" t="n">
        <v>19639</v>
      </c>
      <c r="L7" s="20" t="n">
        <v>18003</v>
      </c>
      <c r="M7" s="20" t="n">
        <v>19702</v>
      </c>
      <c r="N7" s="20" t="n">
        <v>20565</v>
      </c>
      <c r="O7" s="19" t="n"/>
      <c r="P7" s="20" t="n"/>
      <c r="Q7" s="20" t="n"/>
      <c r="R7" s="20" t="n"/>
      <c r="S7" s="20" t="n"/>
      <c r="T7" s="20" t="n"/>
      <c r="U7" s="20" t="n"/>
      <c r="V7" s="20" t="n">
        <v>71627</v>
      </c>
      <c r="W7" s="20" t="n">
        <v>73898</v>
      </c>
      <c r="X7" s="20" t="n">
        <v>74315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Chemicals Reportable Segments</t>
        </is>
      </c>
      <c r="B10" s="10" t="n"/>
      <c r="C10" s="19" t="n">
        <v>10340</v>
      </c>
      <c r="D10" s="20" t="n">
        <v>9322</v>
      </c>
      <c r="E10" s="20" t="n">
        <v>9442</v>
      </c>
      <c r="F10" s="20" t="n">
        <v>8859</v>
      </c>
      <c r="G10" s="20" t="n">
        <v>9542</v>
      </c>
      <c r="H10" s="20" t="n">
        <v>9086</v>
      </c>
      <c r="I10" s="20" t="n">
        <v>9320</v>
      </c>
      <c r="J10" s="20" t="n">
        <v>9795</v>
      </c>
      <c r="K10" s="20" t="n">
        <v>10081</v>
      </c>
      <c r="L10" s="20" t="n">
        <v>9998</v>
      </c>
      <c r="M10" s="20" t="n">
        <v>10748</v>
      </c>
      <c r="N10" s="20" t="n">
        <v>10814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39305</v>
      </c>
      <c r="W10" s="20" t="n">
        <v>36929</v>
      </c>
      <c r="X10" s="20" t="n">
        <v>39194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공사사업</t>
        </is>
      </c>
      <c r="B13" s="10" t="n"/>
      <c r="C13" s="19" t="n"/>
      <c r="D13" s="20" t="n"/>
      <c r="E13" s="20" t="n">
        <v>5108</v>
      </c>
      <c r="F13" s="20" t="n"/>
      <c r="G13" s="20" t="n"/>
      <c r="H13" s="20" t="n"/>
      <c r="I13" s="20" t="n">
        <v>4892</v>
      </c>
      <c r="J13" s="20" t="n"/>
      <c r="K13" s="20" t="n"/>
      <c r="L13" s="20" t="n"/>
      <c r="M13" s="20" t="n">
        <v>5751</v>
      </c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공사사업</t>
        </is>
      </c>
      <c r="B16" s="10" t="n"/>
      <c r="C16" s="19" t="n">
        <v>5649</v>
      </c>
      <c r="D16" s="20" t="n">
        <v>6009</v>
      </c>
      <c r="E16" s="20" t="n"/>
      <c r="F16" s="20" t="n"/>
      <c r="G16" s="20" t="n">
        <v>7416</v>
      </c>
      <c r="H16" s="20" t="n">
        <v>6476</v>
      </c>
      <c r="I16" s="20" t="n"/>
      <c r="J16" s="20" t="n"/>
      <c r="K16" s="20" t="n">
        <v>5725</v>
      </c>
      <c r="L16" s="20" t="n">
        <v>7590</v>
      </c>
      <c r="M16" s="20" t="n"/>
      <c r="N16" s="20" t="n"/>
      <c r="O16" s="19" t="n"/>
      <c r="P16" s="20" t="n"/>
      <c r="Q16" s="20" t="n"/>
      <c r="R16" s="20" t="n"/>
      <c r="S16" s="20" t="n"/>
      <c r="T16" s="20" t="n"/>
      <c r="U16" s="20" t="n"/>
      <c r="V16" s="20" t="n">
        <v>21857</v>
      </c>
      <c r="W16" s="20" t="n">
        <v>24861</v>
      </c>
      <c r="X16" s="20" t="n">
        <v>23059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기타</t>
        </is>
      </c>
      <c r="B19" s="10" t="n"/>
      <c r="C19" s="19" t="n">
        <v>45</v>
      </c>
      <c r="D19" s="20" t="n">
        <v>45</v>
      </c>
      <c r="E19" s="20" t="n">
        <v>43</v>
      </c>
      <c r="F19" s="20" t="n">
        <v>47</v>
      </c>
      <c r="G19" s="20" t="n">
        <v>49</v>
      </c>
      <c r="H19" s="20" t="n">
        <v>47</v>
      </c>
      <c r="I19" s="20" t="n"/>
      <c r="J19" s="20" t="n"/>
      <c r="K19" s="20" t="n"/>
      <c r="L19" s="20" t="n"/>
      <c r="M19" s="20" t="n"/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>
        <v>178</v>
      </c>
      <c r="W19" s="20" t="n">
        <v>186</v>
      </c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28157</v>
      </c>
      <c r="D23" s="20" t="n">
        <v>25805</v>
      </c>
      <c r="E23" s="20" t="n">
        <v>26019</v>
      </c>
      <c r="F23" s="20" t="n">
        <v>26656</v>
      </c>
      <c r="G23" s="20" t="n">
        <v>29018</v>
      </c>
      <c r="H23" s="20" t="n">
        <v>26498</v>
      </c>
      <c r="I23" s="20" t="n">
        <v>25777</v>
      </c>
      <c r="J23" s="20" t="n">
        <v>26569</v>
      </c>
      <c r="K23" s="20" t="n">
        <v>27955</v>
      </c>
      <c r="L23" s="20" t="n">
        <v>28227</v>
      </c>
      <c r="M23" s="20" t="n">
        <v>28547</v>
      </c>
      <c r="N23" s="20" t="n">
        <v>29179</v>
      </c>
      <c r="O23" s="19" t="n">
        <v>100049</v>
      </c>
      <c r="P23" s="20" t="n">
        <v>106188</v>
      </c>
      <c r="Q23" s="20" t="n">
        <v>111669</v>
      </c>
      <c r="R23" s="20" t="n">
        <v>112196</v>
      </c>
      <c r="S23" s="20" t="n">
        <v>85222</v>
      </c>
      <c r="T23" s="20" t="n">
        <v>90665</v>
      </c>
      <c r="U23" s="20" t="n">
        <v>99756</v>
      </c>
      <c r="V23" s="20" t="n">
        <v>106312</v>
      </c>
      <c r="W23" s="20" t="n">
        <v>108191</v>
      </c>
      <c r="X23" s="20" t="n">
        <v>108528</v>
      </c>
      <c r="Y23" s="19" t="n"/>
      <c r="Z23" s="20" t="n"/>
      <c r="AA23" s="20" t="n"/>
      <c r="AB23" s="20" t="n"/>
      <c r="AC23" s="20" t="n"/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IF(OR(G23="",C23=""),"",IF(C23&lt;=0,"",IFERROR(G23/C23-1,"")))</f>
        <v/>
      </c>
      <c r="H24" s="15">
        <f>IF(OR(H23="",D23=""),"",IF(D23&lt;=0,"",IFERROR(H23/D23-1,"")))</f>
        <v/>
      </c>
      <c r="I24" s="15">
        <f>IF(OR(I23="",E23=""),"",IF(E23&lt;=0,"",IFERROR(I23/E23-1,"")))</f>
        <v/>
      </c>
      <c r="J24" s="15">
        <f>IF(OR(J23="",F23=""),"",IF(F23&lt;=0,"",IFERROR(J23/F23-1,"")))</f>
        <v/>
      </c>
      <c r="K24" s="15">
        <f>IF(OR(K23="",G23=""),"",IF(G23&lt;=0,"",IFERROR(K23/G23-1,"")))</f>
        <v/>
      </c>
      <c r="L24" s="15">
        <f>IF(OR(L23="",H23=""),"",IF(H23&lt;=0,"",IFERROR(L23/H23-1,"")))</f>
        <v/>
      </c>
      <c r="M24" s="15">
        <f>IF(OR(M23="",I23=""),"",IF(I23&lt;=0,"",IFERROR(M23/I23-1,"")))</f>
        <v/>
      </c>
      <c r="N24" s="15">
        <f>IF(OR(N23="",J23=""),"",IF(J23&lt;=0,"",IFERROR(N23/J23-1,"")))</f>
        <v/>
      </c>
      <c r="O24" s="14" t="n"/>
      <c r="P24" s="15">
        <f>IF(OR(P23="",O23=""),"",IF(O23&lt;=0,"",IFERROR(P23/O23-1,"")))</f>
        <v/>
      </c>
      <c r="Q24" s="15">
        <f>IF(OR(Q23="",P23=""),"",IF(P23&lt;=0,"",IFERROR(Q23/P23-1,"")))</f>
        <v/>
      </c>
      <c r="R24" s="15">
        <f>IF(OR(R23="",Q23=""),"",IF(Q23&lt;=0,"",IFERROR(R23/Q23-1,"")))</f>
        <v/>
      </c>
      <c r="S24" s="15">
        <f>IF(OR(S23="",R23=""),"",IF(R23&lt;=0,"",IFERROR(S23/R23-1,"")))</f>
        <v/>
      </c>
      <c r="T24" s="15">
        <f>IF(OR(T23="",S23=""),"",IF(S23&lt;=0,"",IFERROR(T23/S23-1,"")))</f>
        <v/>
      </c>
      <c r="U24" s="15">
        <f>IF(OR(U23="",T23=""),"",IF(T23&lt;=0,"",IFERROR(U23/T23-1,"")))</f>
        <v/>
      </c>
      <c r="V24" s="15">
        <f>IF(OR(V23="",U23=""),"",IF(U23&lt;=0,"",IFERROR(V23/U23-1,"")))</f>
        <v/>
      </c>
      <c r="W24" s="15">
        <f>IF(OR(W23="",V23=""),"",IF(V23&lt;=0,"",IFERROR(W23/V23-1,"")))</f>
        <v/>
      </c>
      <c r="X24" s="15">
        <f>IF(OR(X23="",W23=""),"",IF(W23&lt;=0,"",IFERROR(X23/W23-1,"")))</f>
        <v/>
      </c>
      <c r="Y24" s="14">
        <f>IF(OR(Y23="",X23=""),"",IF(X23&lt;=0,"",IFERROR(Y23/X23-1,"")))</f>
        <v/>
      </c>
      <c r="Z24" s="15">
        <f>IF(OR(Z23="",Y23=""),"",IF(Y23&lt;=0,"",IFERROR(Z23/Y23-1,"")))</f>
        <v/>
      </c>
      <c r="AA24" s="15">
        <f>IF(OR(AA23="",Z23=""),"",IF(Z23&lt;=0,"",IFERROR(AA23/Z23-1,"")))</f>
        <v/>
      </c>
      <c r="AB24" s="15">
        <f>IF(OR(AB23="",AA23=""),"",IF(AA23&lt;=0,"",IFERROR(AB23/AA23-1,"")))</f>
        <v/>
      </c>
      <c r="AC24" s="15">
        <f>IF(OR(AC23="",AB23=""),"",IF(AB23&lt;=0,"",IFERROR(AC23/AB23-1,"")))</f>
        <v/>
      </c>
    </row>
    <row r="25">
      <c r="A25" s="18" t="inlineStr">
        <is>
          <t>매출총이익</t>
        </is>
      </c>
      <c r="B25" s="10" t="n"/>
      <c r="C25" s="19">
        <f>IF(OR(C4="",C23=""),"",IFERROR(C4-C23,""))</f>
        <v/>
      </c>
      <c r="D25" s="20">
        <f>IF(OR(D4="",D23=""),"",IFERROR(D4-D23,""))</f>
        <v/>
      </c>
      <c r="E25" s="20">
        <f>IF(OR(E4="",E23=""),"",IFERROR(E4-E23,""))</f>
        <v/>
      </c>
      <c r="F25" s="20">
        <f>IF(OR(F4="",F23=""),"",IFERROR(F4-F23,""))</f>
        <v/>
      </c>
      <c r="G25" s="20">
        <f>IF(OR(G4="",G23=""),"",IFERROR(G4-G23,""))</f>
        <v/>
      </c>
      <c r="H25" s="20">
        <f>IF(OR(H4="",H23=""),"",IFERROR(H4-H23,""))</f>
        <v/>
      </c>
      <c r="I25" s="20">
        <f>IF(OR(I4="",I23=""),"",IFERROR(I4-I23,""))</f>
        <v/>
      </c>
      <c r="J25" s="20">
        <f>IF(OR(J4="",J23=""),"",IFERROR(J4-J23,""))</f>
        <v/>
      </c>
      <c r="K25" s="20">
        <f>IF(OR(K4="",K23=""),"",IFERROR(K4-K23,""))</f>
        <v/>
      </c>
      <c r="L25" s="20">
        <f>IF(OR(L4="",L23=""),"",IFERROR(L4-L23,""))</f>
        <v/>
      </c>
      <c r="M25" s="20">
        <f>IF(OR(M4="",M23=""),"",IFERROR(M4-M23,""))</f>
        <v/>
      </c>
      <c r="N25" s="20">
        <f>IF(OR(N4="",N23=""),"",IFERROR(N4-N23,""))</f>
        <v/>
      </c>
      <c r="O25" s="19">
        <f>IF(OR(O4="",O23=""),"",IFERROR(O4-O23,""))</f>
        <v/>
      </c>
      <c r="P25" s="20">
        <f>IF(OR(P4="",P23=""),"",IFERROR(P4-P23,""))</f>
        <v/>
      </c>
      <c r="Q25" s="20">
        <f>IF(OR(Q4="",Q23=""),"",IFERROR(Q4-Q23,""))</f>
        <v/>
      </c>
      <c r="R25" s="20">
        <f>IF(OR(R4="",R23=""),"",IFERROR(R4-R23,""))</f>
        <v/>
      </c>
      <c r="S25" s="20">
        <f>IF(OR(S4="",S23=""),"",IFERROR(S4-S23,""))</f>
        <v/>
      </c>
      <c r="T25" s="20">
        <f>IF(OR(T4="",T23=""),"",IFERROR(T4-T23,""))</f>
        <v/>
      </c>
      <c r="U25" s="20">
        <f>IF(OR(U4="",U23=""),"",IFERROR(U4-U23,""))</f>
        <v/>
      </c>
      <c r="V25" s="20">
        <f>IF(OR(V4="",V23=""),"",IFERROR(V4-V23,""))</f>
        <v/>
      </c>
      <c r="W25" s="20">
        <f>IF(OR(W4="",W23=""),"",IFERROR(W4-W23,""))</f>
        <v/>
      </c>
      <c r="X25" s="20">
        <f>IF(OR(X4="",X23=""),"",IFERROR(X4-X23,""))</f>
        <v/>
      </c>
      <c r="Y25" s="19" t="n"/>
      <c r="Z25" s="20" t="n"/>
      <c r="AA25" s="20" t="n"/>
      <c r="AB25" s="20" t="n"/>
      <c r="AC25" s="20" t="n"/>
    </row>
    <row r="26">
      <c r="A26" s="13" t="inlineStr">
        <is>
          <t>GPM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IF(OR(G25="",C25=""),"",IF(C25&lt;=0,"",IFERROR(G25/C25-1,"")))</f>
        <v/>
      </c>
      <c r="H27" s="15">
        <f>IF(OR(H25="",D25=""),"",IF(D25&lt;=0,"",IFERROR(H25/D25-1,"")))</f>
        <v/>
      </c>
      <c r="I27" s="15">
        <f>IF(OR(I25="",E25=""),"",IF(E25&lt;=0,"",IFERROR(I25/E25-1,"")))</f>
        <v/>
      </c>
      <c r="J27" s="15">
        <f>IF(OR(J25="",F25=""),"",IF(F25&lt;=0,"",IFERROR(J25/F25-1,"")))</f>
        <v/>
      </c>
      <c r="K27" s="15">
        <f>IF(OR(K25="",G25=""),"",IF(G25&lt;=0,"",IFERROR(K25/G25-1,"")))</f>
        <v/>
      </c>
      <c r="L27" s="15">
        <f>IF(OR(L25="",H25=""),"",IF(H25&lt;=0,"",IFERROR(L25/H25-1,"")))</f>
        <v/>
      </c>
      <c r="M27" s="15">
        <f>IF(OR(M25="",I25=""),"",IF(I25&lt;=0,"",IFERROR(M25/I25-1,"")))</f>
        <v/>
      </c>
      <c r="N27" s="15">
        <f>IF(OR(N25="",J25=""),"",IF(J25&lt;=0,"",IFERROR(N25/J25-1,"")))</f>
        <v/>
      </c>
      <c r="O27" s="14" t="n"/>
      <c r="P27" s="15">
        <f>IF(OR(P25="",O25=""),"",IF(O25&lt;=0,"",IFERROR(P25/O25-1,"")))</f>
        <v/>
      </c>
      <c r="Q27" s="15">
        <f>IF(OR(Q25="",P25=""),"",IF(P25&lt;=0,"",IFERROR(Q25/P25-1,"")))</f>
        <v/>
      </c>
      <c r="R27" s="15">
        <f>IF(OR(R25="",Q25=""),"",IF(Q25&lt;=0,"",IFERROR(R25/Q25-1,"")))</f>
        <v/>
      </c>
      <c r="S27" s="15">
        <f>IF(OR(S25="",R25=""),"",IF(R25&lt;=0,"",IFERROR(S25/R25-1,"")))</f>
        <v/>
      </c>
      <c r="T27" s="15">
        <f>IF(OR(T25="",S25=""),"",IF(S25&lt;=0,"",IFERROR(T25/S25-1,"")))</f>
        <v/>
      </c>
      <c r="U27" s="15">
        <f>IF(OR(U25="",T25=""),"",IF(T25&lt;=0,"",IFERROR(U25/T25-1,"")))</f>
        <v/>
      </c>
      <c r="V27" s="15">
        <f>IF(OR(V25="",U25=""),"",IF(U25&lt;=0,"",IFERROR(V25/U25-1,"")))</f>
        <v/>
      </c>
      <c r="W27" s="15">
        <f>IF(OR(W25="",V25=""),"",IF(V25&lt;=0,"",IFERROR(W25/V25-1,"")))</f>
        <v/>
      </c>
      <c r="X27" s="15">
        <f>IF(OR(X25="",W25=""),"",IF(W25&lt;=0,"",IFERROR(X25/W25-1,"")))</f>
        <v/>
      </c>
      <c r="Y27" s="14">
        <f>IF(OR(Y25="",X25=""),"",IF(X25&lt;=0,"",IFERROR(Y25/X25-1,"")))</f>
        <v/>
      </c>
      <c r="Z27" s="15">
        <f>IF(OR(Z25="",Y25=""),"",IF(Y25&lt;=0,"",IFERROR(Z25/Y25-1,"")))</f>
        <v/>
      </c>
      <c r="AA27" s="15">
        <f>IF(OR(AA25="",Z25=""),"",IF(Z25&lt;=0,"",IFERROR(AA25/Z25-1,"")))</f>
        <v/>
      </c>
      <c r="AB27" s="15">
        <f>IF(OR(AB25="",AA25=""),"",IF(AA25&lt;=0,"",IFERROR(AB25/AA25-1,"")))</f>
        <v/>
      </c>
      <c r="AC27" s="15">
        <f>IF(OR(AC25="",AB25=""),"",IF(AB25&lt;=0,"",IFERROR(AC25/AB25-1,"")))</f>
        <v/>
      </c>
    </row>
    <row r="28">
      <c r="A28" s="23" t="inlineStr">
        <is>
          <t>판매관리비</t>
        </is>
      </c>
      <c r="B28" s="23" t="n"/>
      <c r="C28" s="24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4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4" t="n"/>
      <c r="Z28" s="23" t="n"/>
      <c r="AA28" s="23" t="n"/>
      <c r="AB28" s="23" t="n"/>
      <c r="AC28" s="23" t="n"/>
    </row>
    <row r="29">
      <c r="A29" s="18" t="inlineStr">
        <is>
          <t>전체 판관비</t>
        </is>
      </c>
      <c r="B29" s="10" t="n"/>
      <c r="C29" s="19" t="n">
        <v>4082</v>
      </c>
      <c r="D29" s="20" t="n">
        <v>4262</v>
      </c>
      <c r="E29" s="20" t="n">
        <v>4102</v>
      </c>
      <c r="F29" s="20" t="n">
        <v>4057</v>
      </c>
      <c r="G29" s="20" t="n">
        <v>4277</v>
      </c>
      <c r="H29" s="20" t="n">
        <v>4507</v>
      </c>
      <c r="I29" s="20" t="n">
        <v>4327</v>
      </c>
      <c r="J29" s="20" t="n">
        <v>4238</v>
      </c>
      <c r="K29" s="20" t="n">
        <v>4527</v>
      </c>
      <c r="L29" s="20" t="n">
        <v>4485</v>
      </c>
      <c r="M29" s="20" t="n">
        <v>4398</v>
      </c>
      <c r="N29" s="20" t="n">
        <v>4285</v>
      </c>
      <c r="O29" s="19" t="n">
        <v>14463</v>
      </c>
      <c r="P29" s="20" t="n">
        <v>15065</v>
      </c>
      <c r="Q29" s="20" t="n">
        <v>15438</v>
      </c>
      <c r="R29" s="20" t="n">
        <v>15868</v>
      </c>
      <c r="S29" s="20" t="n">
        <v>15446</v>
      </c>
      <c r="T29" s="20" t="n">
        <v>15707</v>
      </c>
      <c r="U29" s="20" t="n">
        <v>16161</v>
      </c>
      <c r="V29" s="20" t="n">
        <v>16370</v>
      </c>
      <c r="W29" s="20" t="n">
        <v>16943</v>
      </c>
      <c r="X29" s="20" t="n">
        <v>17577</v>
      </c>
      <c r="Y29" s="19" t="n"/>
      <c r="Z29" s="20" t="n"/>
      <c r="AA29" s="20" t="n"/>
      <c r="AB29" s="20" t="n"/>
      <c r="AC29" s="20" t="n"/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IF(OR(G29="",C29=""),"",IF(C29&lt;=0,"",IFERROR(G29/C29-1,"")))</f>
        <v/>
      </c>
      <c r="H30" s="15">
        <f>IF(OR(H29="",D29=""),"",IF(D29&lt;=0,"",IFERROR(H29/D29-1,"")))</f>
        <v/>
      </c>
      <c r="I30" s="15">
        <f>IF(OR(I29="",E29=""),"",IF(E29&lt;=0,"",IFERROR(I29/E29-1,"")))</f>
        <v/>
      </c>
      <c r="J30" s="15">
        <f>IF(OR(J29="",F29=""),"",IF(F29&lt;=0,"",IFERROR(J29/F29-1,"")))</f>
        <v/>
      </c>
      <c r="K30" s="15">
        <f>IF(OR(K29="",G29=""),"",IF(G29&lt;=0,"",IFERROR(K29/G29-1,"")))</f>
        <v/>
      </c>
      <c r="L30" s="15">
        <f>IF(OR(L29="",H29=""),"",IF(H29&lt;=0,"",IFERROR(L29/H29-1,"")))</f>
        <v/>
      </c>
      <c r="M30" s="15">
        <f>IF(OR(M29="",I29=""),"",IF(I29&lt;=0,"",IFERROR(M29/I29-1,"")))</f>
        <v/>
      </c>
      <c r="N30" s="15">
        <f>IF(OR(N29="",J29=""),"",IF(J29&lt;=0,"",IFERROR(N29/J29-1,"")))</f>
        <v/>
      </c>
      <c r="O30" s="14" t="n"/>
      <c r="P30" s="15">
        <f>IF(OR(P29="",O29=""),"",IF(O29&lt;=0,"",IFERROR(P29/O29-1,"")))</f>
        <v/>
      </c>
      <c r="Q30" s="15">
        <f>IF(OR(Q29="",P29=""),"",IF(P29&lt;=0,"",IFERROR(Q29/P29-1,"")))</f>
        <v/>
      </c>
      <c r="R30" s="15">
        <f>IF(OR(R29="",Q29=""),"",IF(Q29&lt;=0,"",IFERROR(R29/Q29-1,"")))</f>
        <v/>
      </c>
      <c r="S30" s="15">
        <f>IF(OR(S29="",R29=""),"",IF(R29&lt;=0,"",IFERROR(S29/R29-1,"")))</f>
        <v/>
      </c>
      <c r="T30" s="15">
        <f>IF(OR(T29="",S29=""),"",IF(S29&lt;=0,"",IFERROR(T29/S29-1,"")))</f>
        <v/>
      </c>
      <c r="U30" s="15">
        <f>IF(OR(U29="",T29=""),"",IF(T29&lt;=0,"",IFERROR(U29/T29-1,"")))</f>
        <v/>
      </c>
      <c r="V30" s="15">
        <f>IF(OR(V29="",U29=""),"",IF(U29&lt;=0,"",IFERROR(V29/U29-1,"")))</f>
        <v/>
      </c>
      <c r="W30" s="15">
        <f>IF(OR(W29="",V29=""),"",IF(V29&lt;=0,"",IFERROR(W29/V29-1,"")))</f>
        <v/>
      </c>
      <c r="X30" s="15">
        <f>IF(OR(X29="",W29=""),"",IF(W29&lt;=0,"",IFERROR(X29/W29-1,"")))</f>
        <v/>
      </c>
      <c r="Y30" s="14">
        <f>IF(OR(Y29="",X29=""),"",IF(X29&lt;=0,"",IFERROR(Y29/X29-1,"")))</f>
        <v/>
      </c>
      <c r="Z30" s="15">
        <f>IF(OR(Z29="",Y29=""),"",IF(Y29&lt;=0,"",IFERROR(Z29/Y29-1,"")))</f>
        <v/>
      </c>
      <c r="AA30" s="15">
        <f>IF(OR(AA29="",Z29=""),"",IF(Z29&lt;=0,"",IFERROR(AA29/Z29-1,"")))</f>
        <v/>
      </c>
      <c r="AB30" s="15">
        <f>IF(OR(AB29="",AA29=""),"",IF(AA29&lt;=0,"",IFERROR(AB29/AA29-1,"")))</f>
        <v/>
      </c>
      <c r="AC30" s="15">
        <f>IF(OR(AC29="",AB29=""),"",IF(AB29&lt;=0,"",IFERROR(AC29/AB29-1,"")))</f>
        <v/>
      </c>
    </row>
    <row r="31">
      <c r="A31" s="9" t="inlineStr">
        <is>
          <t>영업이익</t>
        </is>
      </c>
      <c r="B31" s="10" t="inlineStr">
        <is>
          <t>MW = 매출 × OPM</t>
        </is>
      </c>
      <c r="C31" s="11" t="n">
        <v>3296</v>
      </c>
      <c r="D31" s="12" t="n">
        <v>2051</v>
      </c>
      <c r="E31" s="12" t="n">
        <v>2101</v>
      </c>
      <c r="F31" s="12" t="n">
        <v>2747</v>
      </c>
      <c r="G31" s="12" t="n">
        <v>3568</v>
      </c>
      <c r="H31" s="12" t="n">
        <v>2139</v>
      </c>
      <c r="I31" s="12" t="n">
        <v>2136</v>
      </c>
      <c r="J31" s="12" t="n">
        <v>2486</v>
      </c>
      <c r="K31" s="12" t="n">
        <v>2962</v>
      </c>
      <c r="L31" s="12" t="n">
        <v>2880</v>
      </c>
      <c r="M31" s="12" t="n">
        <v>3257</v>
      </c>
      <c r="N31" s="12" t="n">
        <v>4101</v>
      </c>
      <c r="O31" s="11" t="n">
        <v>6836</v>
      </c>
      <c r="P31" s="12" t="n">
        <v>7238</v>
      </c>
      <c r="Q31" s="12" t="n">
        <v>7031</v>
      </c>
      <c r="R31" s="12" t="n">
        <v>7115</v>
      </c>
      <c r="S31" s="12" t="n">
        <v>7082</v>
      </c>
      <c r="T31" s="12" t="n">
        <v>7298</v>
      </c>
      <c r="U31" s="12" t="n">
        <v>7421</v>
      </c>
      <c r="V31" s="12" t="n">
        <v>10286</v>
      </c>
      <c r="W31" s="12" t="n">
        <v>10555</v>
      </c>
      <c r="X31" s="12" t="n">
        <v>10464</v>
      </c>
      <c r="Y31" s="11">
        <f>IF(OR(Y4="",Y32=""),"",IFERROR(Y4*Y32,""))</f>
        <v/>
      </c>
      <c r="Z31" s="12">
        <f>IF(OR(Z4="",Z32=""),"",IFERROR(Z4*Z32,""))</f>
        <v/>
      </c>
      <c r="AA31" s="12">
        <f>IF(OR(AA4="",AA32=""),"",IFERROR(AA4*AA32,""))</f>
        <v/>
      </c>
      <c r="AB31" s="12">
        <f>IF(OR(AB4="",AB32=""),"",IFERROR(AB4*AB32,""))</f>
        <v/>
      </c>
      <c r="AC31" s="12">
        <f>IF(OR(AC4="",AC32=""),"",IFERROR(AC4*AC32,""))</f>
        <v/>
      </c>
    </row>
    <row r="32">
      <c r="A32" s="13" t="inlineStr">
        <is>
          <t>OPM</t>
        </is>
      </c>
      <c r="B32" s="10" t="inlineStr">
        <is>
          <t>MW 입력</t>
        </is>
      </c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25" t="n"/>
      <c r="Z32" s="26" t="n"/>
      <c r="AA32" s="26" t="n"/>
      <c r="AB32" s="26" t="n"/>
      <c r="AC32" s="26" t="n"/>
    </row>
    <row r="33">
      <c r="A33" s="13" t="inlineStr">
        <is>
          <t>증가율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6" t="inlineStr">
        <is>
          <t>비용의 성격별 분류</t>
        </is>
      </c>
      <c r="B34" s="16" t="inlineStr">
        <is>
          <t>참고 데이터</t>
        </is>
      </c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9" t="inlineStr">
        <is>
          <t>총 판관비</t>
        </is>
      </c>
      <c r="B35" s="10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1">
        <f>IF(O29="","",O29)</f>
        <v/>
      </c>
      <c r="P35" s="12">
        <f>IF(P29="","",P29)</f>
        <v/>
      </c>
      <c r="Q35" s="12">
        <f>IF(Q29="","",Q29)</f>
        <v/>
      </c>
      <c r="R35" s="12">
        <f>IF(R29="","",R29)</f>
        <v/>
      </c>
      <c r="S35" s="12">
        <f>IF(S29="","",S29)</f>
        <v/>
      </c>
      <c r="T35" s="12">
        <f>IF(T29="","",T29)</f>
        <v/>
      </c>
      <c r="U35" s="12">
        <f>IF(U29="","",U29)</f>
        <v/>
      </c>
      <c r="V35" s="12">
        <f>IF(V29="","",V29)</f>
        <v/>
      </c>
      <c r="W35" s="12">
        <f>IF(W29="","",W29)</f>
        <v/>
      </c>
      <c r="X35" s="12">
        <f>IF(X29="","",X29)</f>
        <v/>
      </c>
      <c r="Y35" s="11" t="n"/>
      <c r="Z35" s="12" t="n"/>
      <c r="AA35" s="12" t="n"/>
      <c r="AB35" s="12" t="n"/>
      <c r="AC35" s="12" t="n"/>
    </row>
    <row r="36">
      <c r="A36" s="18" t="inlineStr">
        <is>
          <t>급여</t>
        </is>
      </c>
      <c r="B36" s="10" t="inlineStr">
        <is>
          <t>고정비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감가상각비</t>
        </is>
      </c>
      <c r="B38" s="10" t="inlineStr">
        <is>
          <t>고정비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8" t="inlineStr">
        <is>
          <t>지급수수료</t>
        </is>
      </c>
      <c r="B40" s="10" t="inlineStr">
        <is>
          <t>고정비</t>
        </is>
      </c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19" t="n"/>
      <c r="Z40" s="20" t="n"/>
      <c r="AA40" s="20" t="n"/>
      <c r="AB40" s="20" t="n"/>
      <c r="AC40" s="20" t="n"/>
    </row>
    <row r="41">
      <c r="A41" s="13" t="inlineStr">
        <is>
          <t>% of Sales</t>
        </is>
      </c>
      <c r="B41" s="10" t="n"/>
      <c r="C41" s="14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14" t="n"/>
      <c r="Z41" s="15" t="n"/>
      <c r="AA41" s="15" t="n"/>
      <c r="AB41" s="15" t="n"/>
      <c r="AC41" s="15" t="n"/>
    </row>
    <row r="42">
      <c r="A42" s="18" t="inlineStr">
        <is>
          <t>연구개발비</t>
        </is>
      </c>
      <c r="B42" s="10" t="inlineStr">
        <is>
          <t>변동비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기타비용</t>
        </is>
      </c>
      <c r="B44" s="10" t="inlineStr">
        <is>
          <t>변동비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>
        <f>IF(OR(O35="",O36="",O38="",O40="",O42=""),"",IFERROR(O35-O36-O38-O40-O42,""))</f>
        <v/>
      </c>
      <c r="P44" s="20">
        <f>IF(OR(P35="",P36="",P38="",P40="",P42=""),"",IFERROR(P35-P36-P38-P40-P42,""))</f>
        <v/>
      </c>
      <c r="Q44" s="20">
        <f>IF(OR(Q35="",Q36="",Q38="",Q40="",Q42=""),"",IFERROR(Q35-Q36-Q38-Q40-Q42,""))</f>
        <v/>
      </c>
      <c r="R44" s="20">
        <f>IF(OR(R35="",R36="",R38="",R40="",R42=""),"",IFERROR(R35-R36-R38-R40-R42,""))</f>
        <v/>
      </c>
      <c r="S44" s="20">
        <f>IF(OR(S35="",S36="",S38="",S40="",S42=""),"",IFERROR(S35-S36-S38-S40-S42,""))</f>
        <v/>
      </c>
      <c r="T44" s="20">
        <f>IF(OR(T35="",T36="",T38="",T40="",T42=""),"",IFERROR(T35-T36-T38-T40-T42,""))</f>
        <v/>
      </c>
      <c r="U44" s="20">
        <f>IF(OR(U35="",U36="",U38="",U40="",U42=""),"",IFERROR(U35-U36-U38-U40-U42,""))</f>
        <v/>
      </c>
      <c r="V44" s="20">
        <f>IF(OR(V35="",V36="",V38="",V40="",V42=""),"",IFERROR(V35-V36-V38-V40-V42,""))</f>
        <v/>
      </c>
      <c r="W44" s="20">
        <f>IF(OR(W35="",W36="",W38="",W40="",W42=""),"",IFERROR(W35-W36-W38-W40-W42,""))</f>
        <v/>
      </c>
      <c r="X44" s="20">
        <f>IF(OR(X35="",X36="",X38="",X40="",X42=""),"",IFERROR(X35-X36-X38-X40-X42,""))</f>
        <v/>
      </c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6" t="inlineStr">
        <is>
          <t>당기순이익 추정</t>
        </is>
      </c>
      <c r="B46" s="16" t="n"/>
      <c r="C46" s="17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7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7" t="n"/>
      <c r="Z46" s="16" t="n"/>
      <c r="AA46" s="16" t="n"/>
      <c r="AB46" s="16" t="n"/>
      <c r="AC46" s="16" t="n"/>
    </row>
    <row r="47">
      <c r="A47" s="18" t="inlineStr">
        <is>
          <t>특별이익</t>
        </is>
      </c>
      <c r="B47" s="10" t="n"/>
      <c r="C47" s="19" t="n">
        <v>93</v>
      </c>
      <c r="D47" s="20" t="n">
        <v>178</v>
      </c>
      <c r="E47" s="20" t="n">
        <v>1</v>
      </c>
      <c r="F47" s="20" t="n">
        <v>11</v>
      </c>
      <c r="G47" s="20" t="n">
        <v>76</v>
      </c>
      <c r="H47" s="20" t="n">
        <v>401</v>
      </c>
      <c r="I47" s="20" t="n">
        <v>2</v>
      </c>
      <c r="J47" s="20" t="n">
        <v>3</v>
      </c>
      <c r="K47" s="20" t="n">
        <v>878</v>
      </c>
      <c r="L47" s="20" t="n">
        <v>10</v>
      </c>
      <c r="M47" s="20" t="n">
        <v>51</v>
      </c>
      <c r="N47" s="20" t="n">
        <v>8</v>
      </c>
      <c r="O47" s="19" t="n">
        <v>5</v>
      </c>
      <c r="P47" s="20" t="n">
        <v>222</v>
      </c>
      <c r="Q47" s="20" t="n">
        <v>36</v>
      </c>
      <c r="R47" s="20" t="n">
        <v>155</v>
      </c>
      <c r="S47" s="20" t="n">
        <v>430</v>
      </c>
      <c r="T47" s="20" t="n">
        <v>197</v>
      </c>
      <c r="U47" s="20" t="n">
        <v>7185</v>
      </c>
      <c r="V47" s="20" t="n">
        <v>381</v>
      </c>
      <c r="W47" s="20" t="n">
        <v>489</v>
      </c>
      <c r="X47" s="20" t="n">
        <v>893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inlineStr">
        <is>
          <t>MW = 최근 3년 평균</t>
        </is>
      </c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18" t="inlineStr">
        <is>
          <t>특별손실</t>
        </is>
      </c>
      <c r="B49" s="10" t="n"/>
      <c r="C49" s="19" t="n">
        <v>2</v>
      </c>
      <c r="D49" s="20" t="n">
        <v>33</v>
      </c>
      <c r="E49" s="20" t="n">
        <v>33</v>
      </c>
      <c r="F49" s="20" t="n">
        <v>125</v>
      </c>
      <c r="G49" s="20" t="n">
        <v>16</v>
      </c>
      <c r="H49" s="20" t="n">
        <v>6</v>
      </c>
      <c r="I49" s="20" t="n">
        <v>1</v>
      </c>
      <c r="J49" s="20" t="n">
        <v>0</v>
      </c>
      <c r="K49" s="20" t="n">
        <v>14</v>
      </c>
      <c r="L49" s="20" t="n">
        <v>22</v>
      </c>
      <c r="M49" s="20" t="n">
        <v>5</v>
      </c>
      <c r="N49" s="20" t="n">
        <v>2</v>
      </c>
      <c r="O49" s="19" t="n">
        <v>245</v>
      </c>
      <c r="P49" s="20" t="n">
        <v>269</v>
      </c>
      <c r="Q49" s="20" t="n">
        <v>143</v>
      </c>
      <c r="R49" s="20" t="n">
        <v>147</v>
      </c>
      <c r="S49" s="20" t="n">
        <v>33</v>
      </c>
      <c r="T49" s="20" t="n">
        <v>40</v>
      </c>
      <c r="U49" s="20" t="n">
        <v>61</v>
      </c>
      <c r="V49" s="20" t="n">
        <v>147</v>
      </c>
      <c r="W49" s="20" t="n">
        <v>180</v>
      </c>
      <c r="X49" s="20" t="n">
        <v>37</v>
      </c>
      <c r="Y49" s="19">
        <f>IF(OR(Y4="",Y50=""),"",IFERROR(Y4*Y50,""))</f>
        <v/>
      </c>
      <c r="Z49" s="20">
        <f>IF(OR(Z4="",Z50=""),"",IFERROR(Z4*Z50,""))</f>
        <v/>
      </c>
      <c r="AA49" s="20">
        <f>IF(OR(AA4="",AA50=""),"",IFERROR(AA4*AA50,""))</f>
        <v/>
      </c>
      <c r="AB49" s="20">
        <f>IF(OR(AB4="",AB50=""),"",IFERROR(AB4*AB50,""))</f>
        <v/>
      </c>
      <c r="AC49" s="20">
        <f>IF(OR(AC4="",AC50=""),"",IFERROR(AC4*AC50,""))</f>
        <v/>
      </c>
    </row>
    <row r="50">
      <c r="A50" s="13" t="inlineStr">
        <is>
          <t>% of Sales</t>
        </is>
      </c>
      <c r="B50" s="10" t="n"/>
      <c r="C50" s="14">
        <f>IF(OR(C49="",C4=""),"",IFERROR(C49/C4,""))</f>
        <v/>
      </c>
      <c r="D50" s="15">
        <f>IF(OR(D49="",D4=""),"",IFERROR(D49/D4,""))</f>
        <v/>
      </c>
      <c r="E50" s="15">
        <f>IF(OR(E49="",E4=""),"",IFERROR(E49/E4,""))</f>
        <v/>
      </c>
      <c r="F50" s="15">
        <f>IF(OR(F49="",F4=""),"",IFERROR(F49/F4,""))</f>
        <v/>
      </c>
      <c r="G50" s="15">
        <f>IF(OR(G49="",G4=""),"",IFERROR(G49/G4,""))</f>
        <v/>
      </c>
      <c r="H50" s="15">
        <f>IF(OR(H49="",H4=""),"",IFERROR(H49/H4,""))</f>
        <v/>
      </c>
      <c r="I50" s="15">
        <f>IF(OR(I49="",I4=""),"",IFERROR(I49/I4,""))</f>
        <v/>
      </c>
      <c r="J50" s="15">
        <f>IF(OR(J49="",J4=""),"",IFERROR(J49/J4,""))</f>
        <v/>
      </c>
      <c r="K50" s="15">
        <f>IF(OR(K49="",K4=""),"",IFERROR(K49/K4,""))</f>
        <v/>
      </c>
      <c r="L50" s="15">
        <f>IF(OR(L49="",L4=""),"",IFERROR(L49/L4,""))</f>
        <v/>
      </c>
      <c r="M50" s="15">
        <f>IF(OR(M49="",M4=""),"",IFERROR(M49/M4,""))</f>
        <v/>
      </c>
      <c r="N50" s="15">
        <f>IF(OR(N49="",N4=""),"",IFERROR(N49/N4,""))</f>
        <v/>
      </c>
      <c r="O50" s="14">
        <f>IF(OR(O49="",O4=""),"",IFERROR(O49/O4,""))</f>
        <v/>
      </c>
      <c r="P50" s="15">
        <f>IF(OR(P49="",P4=""),"",IFERROR(P49/P4,""))</f>
        <v/>
      </c>
      <c r="Q50" s="15">
        <f>IF(OR(Q49="",Q4=""),"",IFERROR(Q49/Q4,""))</f>
        <v/>
      </c>
      <c r="R50" s="15">
        <f>IF(OR(R49="",R4=""),"",IFERROR(R49/R4,""))</f>
        <v/>
      </c>
      <c r="S50" s="15">
        <f>IF(OR(S49="",S4=""),"",IFERROR(S49/S4,""))</f>
        <v/>
      </c>
      <c r="T50" s="15">
        <f>IF(OR(T49="",T4=""),"",IFERROR(T49/T4,""))</f>
        <v/>
      </c>
      <c r="U50" s="15">
        <f>IF(OR(U49="",U4=""),"",IFERROR(U49/U4,""))</f>
        <v/>
      </c>
      <c r="V50" s="15">
        <f>IF(OR(V49="",V4=""),"",IFERROR(V49/V4,""))</f>
        <v/>
      </c>
      <c r="W50" s="15">
        <f>IF(OR(W49="",W4=""),"",IFERROR(W49/W4,""))</f>
        <v/>
      </c>
      <c r="X50" s="15">
        <f>IF(OR(X49="",X4=""),"",IFERROR(X49/X4,""))</f>
        <v/>
      </c>
      <c r="Y50" s="25">
        <f>IFERROR(AVERAGE(V50,W50,X50),"")</f>
        <v/>
      </c>
      <c r="Z50" s="26">
        <f>Y50</f>
        <v/>
      </c>
      <c r="AA50" s="26">
        <f>Z50</f>
        <v/>
      </c>
      <c r="AB50" s="26">
        <f>AA50</f>
        <v/>
      </c>
      <c r="AC50" s="26">
        <f>AB50</f>
        <v/>
      </c>
    </row>
    <row r="51">
      <c r="A51" s="18" t="inlineStr">
        <is>
          <t>영업외수익</t>
        </is>
      </c>
      <c r="B51" s="10" t="n"/>
      <c r="C51" s="19" t="n">
        <v>162</v>
      </c>
      <c r="D51" s="20" t="n">
        <v>149</v>
      </c>
      <c r="E51" s="20" t="n">
        <v>296</v>
      </c>
      <c r="F51" s="20" t="n">
        <v>107</v>
      </c>
      <c r="G51" s="20" t="n">
        <v>268</v>
      </c>
      <c r="H51" s="20" t="n">
        <v>186</v>
      </c>
      <c r="I51" s="20" t="n">
        <v>234</v>
      </c>
      <c r="J51" s="20" t="n">
        <v>158</v>
      </c>
      <c r="K51" s="20" t="n">
        <v>231</v>
      </c>
      <c r="L51" s="20" t="n">
        <v>193</v>
      </c>
      <c r="M51" s="20" t="n">
        <v>267</v>
      </c>
      <c r="N51" s="20" t="n">
        <v>213</v>
      </c>
      <c r="O51" s="19" t="n">
        <v>404</v>
      </c>
      <c r="P51" s="20" t="n">
        <v>493</v>
      </c>
      <c r="Q51" s="20" t="n">
        <v>463</v>
      </c>
      <c r="R51" s="20" t="n">
        <v>487</v>
      </c>
      <c r="S51" s="20" t="n">
        <v>452</v>
      </c>
      <c r="T51" s="20" t="n">
        <v>577</v>
      </c>
      <c r="U51" s="20" t="n">
        <v>591</v>
      </c>
      <c r="V51" s="20" t="n">
        <v>661</v>
      </c>
      <c r="W51" s="20" t="n">
        <v>857</v>
      </c>
      <c r="X51" s="20" t="n">
        <v>816</v>
      </c>
      <c r="Y51" s="19">
        <f>IF(OR(Y4="",Y52=""),"",IFERROR(Y4*Y52,""))</f>
        <v/>
      </c>
      <c r="Z51" s="20">
        <f>IF(OR(Z4="",Z52=""),"",IFERROR(Z4*Z52,""))</f>
        <v/>
      </c>
      <c r="AA51" s="20">
        <f>IF(OR(AA4="",AA52=""),"",IFERROR(AA4*AA52,""))</f>
        <v/>
      </c>
      <c r="AB51" s="20">
        <f>IF(OR(AB4="",AB52=""),"",IFERROR(AB4*AB52,""))</f>
        <v/>
      </c>
      <c r="AC51" s="20">
        <f>IF(OR(AC4="",AC52=""),"",IFERROR(AC4*AC52,""))</f>
        <v/>
      </c>
    </row>
    <row r="52">
      <c r="A52" s="13" t="inlineStr">
        <is>
          <t>% of Sales</t>
        </is>
      </c>
      <c r="B52" s="10" t="n"/>
      <c r="C52" s="14">
        <f>IF(OR(C51="",C4=""),"",IFERROR(C51/C4,""))</f>
        <v/>
      </c>
      <c r="D52" s="15">
        <f>IF(OR(D51="",D4=""),"",IFERROR(D51/D4,""))</f>
        <v/>
      </c>
      <c r="E52" s="15">
        <f>IF(OR(E51="",E4=""),"",IFERROR(E51/E4,""))</f>
        <v/>
      </c>
      <c r="F52" s="15">
        <f>IF(OR(F51="",F4=""),"",IFERROR(F51/F4,""))</f>
        <v/>
      </c>
      <c r="G52" s="15">
        <f>IF(OR(G51="",G4=""),"",IFERROR(G51/G4,""))</f>
        <v/>
      </c>
      <c r="H52" s="15">
        <f>IF(OR(H51="",H4=""),"",IFERROR(H51/H4,""))</f>
        <v/>
      </c>
      <c r="I52" s="15">
        <f>IF(OR(I51="",I4=""),"",IFERROR(I51/I4,""))</f>
        <v/>
      </c>
      <c r="J52" s="15">
        <f>IF(OR(J51="",J4=""),"",IFERROR(J51/J4,""))</f>
        <v/>
      </c>
      <c r="K52" s="15">
        <f>IF(OR(K51="",K4=""),"",IFERROR(K51/K4,""))</f>
        <v/>
      </c>
      <c r="L52" s="15">
        <f>IF(OR(L51="",L4=""),"",IFERROR(L51/L4,""))</f>
        <v/>
      </c>
      <c r="M52" s="15">
        <f>IF(OR(M51="",M4=""),"",IFERROR(M51/M4,""))</f>
        <v/>
      </c>
      <c r="N52" s="15">
        <f>IF(OR(N51="",N4=""),"",IFERROR(N51/N4,""))</f>
        <v/>
      </c>
      <c r="O52" s="14">
        <f>IF(OR(O51="",O4=""),"",IFERROR(O51/O4,""))</f>
        <v/>
      </c>
      <c r="P52" s="15">
        <f>IF(OR(P51="",P4=""),"",IFERROR(P51/P4,""))</f>
        <v/>
      </c>
      <c r="Q52" s="15">
        <f>IF(OR(Q51="",Q4=""),"",IFERROR(Q51/Q4,""))</f>
        <v/>
      </c>
      <c r="R52" s="15">
        <f>IF(OR(R51="",R4=""),"",IFERROR(R51/R4,""))</f>
        <v/>
      </c>
      <c r="S52" s="15">
        <f>IF(OR(S51="",S4=""),"",IFERROR(S51/S4,""))</f>
        <v/>
      </c>
      <c r="T52" s="15">
        <f>IF(OR(T51="",T4=""),"",IFERROR(T51/T4,""))</f>
        <v/>
      </c>
      <c r="U52" s="15">
        <f>IF(OR(U51="",U4=""),"",IFERROR(U51/U4,""))</f>
        <v/>
      </c>
      <c r="V52" s="15">
        <f>IF(OR(V51="",V4=""),"",IFERROR(V51/V4,""))</f>
        <v/>
      </c>
      <c r="W52" s="15">
        <f>IF(OR(W51="",W4=""),"",IFERROR(W51/W4,""))</f>
        <v/>
      </c>
      <c r="X52" s="15">
        <f>IF(OR(X51="",X4=""),"",IFERROR(X51/X4,""))</f>
        <v/>
      </c>
      <c r="Y52" s="25">
        <f>IFERROR(AVERAGE(V52,W52,X52),"")</f>
        <v/>
      </c>
      <c r="Z52" s="26">
        <f>Y52</f>
        <v/>
      </c>
      <c r="AA52" s="26">
        <f>Z52</f>
        <v/>
      </c>
      <c r="AB52" s="26">
        <f>AA52</f>
        <v/>
      </c>
      <c r="AC52" s="26">
        <f>AB52</f>
        <v/>
      </c>
    </row>
    <row r="53">
      <c r="A53" s="18" t="inlineStr">
        <is>
          <t>영업외비용</t>
        </is>
      </c>
      <c r="B53" s="10" t="n"/>
      <c r="C53" s="19" t="n">
        <v>22</v>
      </c>
      <c r="D53" s="20" t="n">
        <v>37</v>
      </c>
      <c r="E53" s="20" t="n">
        <v>37</v>
      </c>
      <c r="F53" s="20" t="n">
        <v>48</v>
      </c>
      <c r="G53" s="20" t="n">
        <v>91</v>
      </c>
      <c r="H53" s="20" t="n">
        <v>42</v>
      </c>
      <c r="I53" s="20" t="n">
        <v>112</v>
      </c>
      <c r="J53" s="20" t="n">
        <v>37</v>
      </c>
      <c r="K53" s="20" t="n">
        <v>-12</v>
      </c>
      <c r="L53" s="20" t="n">
        <v>44</v>
      </c>
      <c r="M53" s="20" t="n">
        <v>43</v>
      </c>
      <c r="N53" s="20" t="n">
        <v>45</v>
      </c>
      <c r="O53" s="19" t="n">
        <v>338</v>
      </c>
      <c r="P53" s="20" t="n">
        <v>400</v>
      </c>
      <c r="Q53" s="20" t="n">
        <v>311</v>
      </c>
      <c r="R53" s="20" t="n">
        <v>354</v>
      </c>
      <c r="S53" s="20" t="n">
        <v>110</v>
      </c>
      <c r="T53" s="20" t="n">
        <v>53</v>
      </c>
      <c r="U53" s="20" t="n">
        <v>85</v>
      </c>
      <c r="V53" s="20" t="n">
        <v>141</v>
      </c>
      <c r="W53" s="20" t="n">
        <v>218</v>
      </c>
      <c r="X53" s="20" t="n">
        <v>181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n"/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9" t="inlineStr">
        <is>
          <t>법인세비용차감전순이익(손실)</t>
        </is>
      </c>
      <c r="B55" s="10" t="n"/>
      <c r="C55" s="11" t="n">
        <v>3527</v>
      </c>
      <c r="D55" s="12" t="n">
        <v>2308</v>
      </c>
      <c r="E55" s="12" t="n">
        <v>2328</v>
      </c>
      <c r="F55" s="12" t="n">
        <v>2692</v>
      </c>
      <c r="G55" s="12" t="n">
        <v>3806</v>
      </c>
      <c r="H55" s="12" t="n">
        <v>2677</v>
      </c>
      <c r="I55" s="12" t="n">
        <v>2258</v>
      </c>
      <c r="J55" s="12" t="n">
        <v>2611</v>
      </c>
      <c r="K55" s="12" t="n">
        <v>4069</v>
      </c>
      <c r="L55" s="12" t="n">
        <v>3016</v>
      </c>
      <c r="M55" s="12" t="n">
        <v>3527</v>
      </c>
      <c r="N55" s="12" t="n">
        <v>4275</v>
      </c>
      <c r="O55" s="11" t="n">
        <v>6662</v>
      </c>
      <c r="P55" s="12" t="n">
        <v>7283</v>
      </c>
      <c r="Q55" s="12" t="n">
        <v>7075</v>
      </c>
      <c r="R55" s="12" t="n">
        <v>7256</v>
      </c>
      <c r="S55" s="12" t="n">
        <v>7821</v>
      </c>
      <c r="T55" s="12" t="n">
        <v>7980</v>
      </c>
      <c r="U55" s="12" t="n">
        <v>15052</v>
      </c>
      <c r="V55" s="12" t="n">
        <v>11041</v>
      </c>
      <c r="W55" s="12" t="n">
        <v>11503</v>
      </c>
      <c r="X55" s="12" t="n">
        <v>11954</v>
      </c>
      <c r="Y55" s="11">
        <f>IF(OR(Y31=""),"",IFERROR(Y31+N(Y47)-N(Y49)+N(Y51)-N(Y53),""))</f>
        <v/>
      </c>
      <c r="Z55" s="12">
        <f>IF(OR(Z31=""),"",IFERROR(Z31+N(Z47)-N(Z49)+N(Z51)-N(Z53),""))</f>
        <v/>
      </c>
      <c r="AA55" s="12">
        <f>IF(OR(AA31=""),"",IFERROR(AA31+N(AA47)-N(AA49)+N(AA51)-N(AA53),""))</f>
        <v/>
      </c>
      <c r="AB55" s="12">
        <f>IF(OR(AB31=""),"",IFERROR(AB31+N(AB47)-N(AB49)+N(AB51)-N(AB53),""))</f>
        <v/>
      </c>
      <c r="AC55" s="12">
        <f>IF(OR(AC31=""),"",IFERROR(AC31+N(AC47)-N(AC49)+N(AC51)-N(AC53),""))</f>
        <v/>
      </c>
    </row>
    <row r="56">
      <c r="A56" s="13" t="inlineStr">
        <is>
          <t>YoY</t>
        </is>
      </c>
      <c r="B56" s="10" t="n"/>
      <c r="C56" s="14" t="n"/>
      <c r="D56" s="15" t="n"/>
      <c r="E56" s="15" t="n"/>
      <c r="F56" s="15" t="n"/>
      <c r="G56" s="15">
        <f>IF(OR(G55="",C55=""),"",IF(C55&lt;=0,"",IFERROR(G55/C55-1,"")))</f>
        <v/>
      </c>
      <c r="H56" s="15">
        <f>IF(OR(H55="",D55=""),"",IF(D55&lt;=0,"",IFERROR(H55/D55-1,"")))</f>
        <v/>
      </c>
      <c r="I56" s="15">
        <f>IF(OR(I55="",E55=""),"",IF(E55&lt;=0,"",IFERROR(I55/E55-1,"")))</f>
        <v/>
      </c>
      <c r="J56" s="15">
        <f>IF(OR(J55="",F55=""),"",IF(F55&lt;=0,"",IFERROR(J55/F55-1,"")))</f>
        <v/>
      </c>
      <c r="K56" s="15">
        <f>IF(OR(K55="",G55=""),"",IF(G55&lt;=0,"",IFERROR(K55/G55-1,"")))</f>
        <v/>
      </c>
      <c r="L56" s="15">
        <f>IF(OR(L55="",H55=""),"",IF(H55&lt;=0,"",IFERROR(L55/H55-1,"")))</f>
        <v/>
      </c>
      <c r="M56" s="15">
        <f>IF(OR(M55="",I55=""),"",IF(I55&lt;=0,"",IFERROR(M55/I55-1,"")))</f>
        <v/>
      </c>
      <c r="N56" s="15">
        <f>IF(OR(N55="",J55=""),"",IF(J55&lt;=0,"",IFERROR(N55/J55-1,"")))</f>
        <v/>
      </c>
      <c r="O56" s="14" t="n"/>
      <c r="P56" s="15">
        <f>IF(OR(P55="",O55=""),"",IF(O55&lt;=0,"",IFERROR(P55/O55-1,"")))</f>
        <v/>
      </c>
      <c r="Q56" s="15">
        <f>IF(OR(Q55="",P55=""),"",IF(P55&lt;=0,"",IFERROR(Q55/P55-1,"")))</f>
        <v/>
      </c>
      <c r="R56" s="15">
        <f>IF(OR(R55="",Q55=""),"",IF(Q55&lt;=0,"",IFERROR(R55/Q55-1,"")))</f>
        <v/>
      </c>
      <c r="S56" s="15">
        <f>IF(OR(S55="",R55=""),"",IF(R55&lt;=0,"",IFERROR(S55/R55-1,"")))</f>
        <v/>
      </c>
      <c r="T56" s="15">
        <f>IF(OR(T55="",S55=""),"",IF(S55&lt;=0,"",IFERROR(T55/S55-1,"")))</f>
        <v/>
      </c>
      <c r="U56" s="15">
        <f>IF(OR(U55="",T55=""),"",IF(T55&lt;=0,"",IFERROR(U55/T55-1,"")))</f>
        <v/>
      </c>
      <c r="V56" s="15">
        <f>IF(OR(V55="",U55=""),"",IF(U55&lt;=0,"",IFERROR(V55/U55-1,"")))</f>
        <v/>
      </c>
      <c r="W56" s="15">
        <f>IF(OR(W55="",V55=""),"",IF(V55&lt;=0,"",IFERROR(W55/V55-1,"")))</f>
        <v/>
      </c>
      <c r="X56" s="15">
        <f>IF(OR(X55="",W55=""),"",IF(W55&lt;=0,"",IFERROR(X55/W55-1,"")))</f>
        <v/>
      </c>
      <c r="Y56" s="14">
        <f>IF(OR(Y55="",X55=""),"",IF(X55&lt;=0,"",IFERROR(Y55/X55-1,"")))</f>
        <v/>
      </c>
      <c r="Z56" s="15">
        <f>IF(OR(Z55="",Y55=""),"",IF(Y55&lt;=0,"",IFERROR(Z55/Y55-1,"")))</f>
        <v/>
      </c>
      <c r="AA56" s="15">
        <f>IF(OR(AA55="",Z55=""),"",IF(Z55&lt;=0,"",IFERROR(AA55/Z55-1,"")))</f>
        <v/>
      </c>
      <c r="AB56" s="15">
        <f>IF(OR(AB55="",AA55=""),"",IF(AA55&lt;=0,"",IFERROR(AB55/AA55-1,"")))</f>
        <v/>
      </c>
      <c r="AC56" s="15">
        <f>IF(OR(AC55="",AB55=""),"",IF(AB55&lt;=0,"",IFERROR(AC55/AB55-1,"")))</f>
        <v/>
      </c>
    </row>
    <row r="57">
      <c r="A57" s="18" t="inlineStr">
        <is>
          <t>법인세비용(수익)</t>
        </is>
      </c>
      <c r="B57" s="10" t="n"/>
      <c r="C57" s="19" t="n">
        <v>1066</v>
      </c>
      <c r="D57" s="20" t="n">
        <v>609</v>
      </c>
      <c r="E57" s="20" t="n">
        <v>701</v>
      </c>
      <c r="F57" s="20" t="n">
        <v>868</v>
      </c>
      <c r="G57" s="20" t="n">
        <v>1150</v>
      </c>
      <c r="H57" s="20" t="n">
        <v>585</v>
      </c>
      <c r="I57" s="20" t="n">
        <v>710</v>
      </c>
      <c r="J57" s="20" t="n">
        <v>862</v>
      </c>
      <c r="K57" s="20" t="n">
        <v>1282</v>
      </c>
      <c r="L57" s="20" t="n">
        <v>1064</v>
      </c>
      <c r="M57" s="20" t="n">
        <v>1149</v>
      </c>
      <c r="N57" s="20" t="n">
        <v>1467</v>
      </c>
      <c r="O57" s="19" t="n">
        <v>2019</v>
      </c>
      <c r="P57" s="20" t="n">
        <v>2345</v>
      </c>
      <c r="Q57" s="20" t="n">
        <v>2395</v>
      </c>
      <c r="R57" s="20" t="n">
        <v>2422</v>
      </c>
      <c r="S57" s="20" t="n">
        <v>2605</v>
      </c>
      <c r="T57" s="20" t="n">
        <v>2573</v>
      </c>
      <c r="U57" s="20" t="n">
        <v>4709</v>
      </c>
      <c r="V57" s="20" t="n">
        <v>3295</v>
      </c>
      <c r="W57" s="20" t="n">
        <v>3304</v>
      </c>
      <c r="X57" s="20" t="n">
        <v>3918</v>
      </c>
      <c r="Y57" s="19">
        <f>IF(OR(Y55="",Y58=""),"",IFERROR(MAX(Y55,0)*Y58,""))</f>
        <v/>
      </c>
      <c r="Z57" s="20">
        <f>IF(OR(Z55="",Z58=""),"",IFERROR(MAX(Z55,0)*Z58,""))</f>
        <v/>
      </c>
      <c r="AA57" s="20">
        <f>IF(OR(AA55="",AA58=""),"",IFERROR(MAX(AA55,0)*AA58,""))</f>
        <v/>
      </c>
      <c r="AB57" s="20">
        <f>IF(OR(AB55="",AB58=""),"",IFERROR(MAX(AB55,0)*AB58,""))</f>
        <v/>
      </c>
      <c r="AC57" s="20">
        <f>IF(OR(AC55="",AC58=""),"",IFERROR(MAX(AC55,0)*AC58,""))</f>
        <v/>
      </c>
    </row>
    <row r="58">
      <c r="A58" s="13" t="inlineStr">
        <is>
          <t>법인세율</t>
        </is>
      </c>
      <c r="B58" s="10" t="inlineStr">
        <is>
          <t>MW 기본 30%</t>
        </is>
      </c>
      <c r="C58" s="14">
        <f>IF(OR(C57="",C55=""),"",IFERROR(C57/C55,""))</f>
        <v/>
      </c>
      <c r="D58" s="15">
        <f>IF(OR(D57="",D55=""),"",IFERROR(D57/D55,""))</f>
        <v/>
      </c>
      <c r="E58" s="15">
        <f>IF(OR(E57="",E55=""),"",IFERROR(E57/E55,""))</f>
        <v/>
      </c>
      <c r="F58" s="15">
        <f>IF(OR(F57="",F55=""),"",IFERROR(F57/F55,""))</f>
        <v/>
      </c>
      <c r="G58" s="15">
        <f>IF(OR(G57="",G55=""),"",IFERROR(G57/G55,""))</f>
        <v/>
      </c>
      <c r="H58" s="15">
        <f>IF(OR(H57="",H55=""),"",IFERROR(H57/H55,""))</f>
        <v/>
      </c>
      <c r="I58" s="15">
        <f>IF(OR(I57="",I55=""),"",IFERROR(I57/I55,""))</f>
        <v/>
      </c>
      <c r="J58" s="15">
        <f>IF(OR(J57="",J55=""),"",IFERROR(J57/J55,""))</f>
        <v/>
      </c>
      <c r="K58" s="15">
        <f>IF(OR(K57="",K55=""),"",IFERROR(K57/K55,""))</f>
        <v/>
      </c>
      <c r="L58" s="15">
        <f>IF(OR(L57="",L55=""),"",IFERROR(L57/L55,""))</f>
        <v/>
      </c>
      <c r="M58" s="15">
        <f>IF(OR(M57="",M55=""),"",IFERROR(M57/M55,""))</f>
        <v/>
      </c>
      <c r="N58" s="15">
        <f>IF(OR(N57="",N55=""),"",IFERROR(N57/N55,""))</f>
        <v/>
      </c>
      <c r="O58" s="14">
        <f>IF(OR(O57="",O55=""),"",IFERROR(O57/O55,""))</f>
        <v/>
      </c>
      <c r="P58" s="15">
        <f>IF(OR(P57="",P55=""),"",IFERROR(P57/P55,""))</f>
        <v/>
      </c>
      <c r="Q58" s="15">
        <f>IF(OR(Q57="",Q55=""),"",IFERROR(Q57/Q55,""))</f>
        <v/>
      </c>
      <c r="R58" s="15">
        <f>IF(OR(R57="",R55=""),"",IFERROR(R57/R55,""))</f>
        <v/>
      </c>
      <c r="S58" s="15">
        <f>IF(OR(S57="",S55=""),"",IFERROR(S57/S55,""))</f>
        <v/>
      </c>
      <c r="T58" s="15">
        <f>IF(OR(T57="",T55=""),"",IFERROR(T57/T55,""))</f>
        <v/>
      </c>
      <c r="U58" s="15">
        <f>IF(OR(U57="",U55=""),"",IFERROR(U57/U55,""))</f>
        <v/>
      </c>
      <c r="V58" s="15">
        <f>IF(OR(V57="",V55=""),"",IFERROR(V57/V55,""))</f>
        <v/>
      </c>
      <c r="W58" s="15">
        <f>IF(OR(W57="",W55=""),"",IFERROR(W57/W55,""))</f>
        <v/>
      </c>
      <c r="X58" s="15">
        <f>IF(OR(X57="",X55=""),"",IFERROR(X57/X55,""))</f>
        <v/>
      </c>
      <c r="Y58" s="25" t="n">
        <v>0.3</v>
      </c>
      <c r="Z58" s="26" t="n">
        <v>0.3</v>
      </c>
      <c r="AA58" s="26" t="n">
        <v>0.3</v>
      </c>
      <c r="AB58" s="26" t="n">
        <v>0.3</v>
      </c>
      <c r="AC58" s="26" t="n">
        <v>0.3</v>
      </c>
    </row>
    <row r="59">
      <c r="A59" s="9" t="inlineStr">
        <is>
          <t>당기순이익(손실)</t>
        </is>
      </c>
      <c r="B59" s="10" t="n"/>
      <c r="C59" s="11" t="n">
        <v>2461</v>
      </c>
      <c r="D59" s="12" t="n">
        <v>1698</v>
      </c>
      <c r="E59" s="12" t="n">
        <v>1626</v>
      </c>
      <c r="F59" s="12" t="n">
        <v>1824</v>
      </c>
      <c r="G59" s="12" t="n">
        <v>2657</v>
      </c>
      <c r="H59" s="12" t="n">
        <v>2092</v>
      </c>
      <c r="I59" s="12" t="n">
        <v>1547</v>
      </c>
      <c r="J59" s="12" t="n">
        <v>1749</v>
      </c>
      <c r="K59" s="12" t="n">
        <v>2788</v>
      </c>
      <c r="L59" s="12" t="n">
        <v>1952</v>
      </c>
      <c r="M59" s="12" t="n">
        <v>2378</v>
      </c>
      <c r="N59" s="12" t="n">
        <v>2807</v>
      </c>
      <c r="O59" s="11" t="n">
        <v>4642</v>
      </c>
      <c r="P59" s="12" t="n">
        <v>4938</v>
      </c>
      <c r="Q59" s="12" t="n">
        <v>4679</v>
      </c>
      <c r="R59" s="12" t="n">
        <v>4834</v>
      </c>
      <c r="S59" s="12" t="n">
        <v>5215</v>
      </c>
      <c r="T59" s="12" t="n">
        <v>5406</v>
      </c>
      <c r="U59" s="12" t="n">
        <v>10342</v>
      </c>
      <c r="V59" s="12" t="n">
        <v>7745</v>
      </c>
      <c r="W59" s="12" t="n">
        <v>8199</v>
      </c>
      <c r="X59" s="12" t="n">
        <v>8036</v>
      </c>
      <c r="Y59" s="11">
        <f>IF(OR(Y55=""),"",IFERROR(Y55-Y57,""))</f>
        <v/>
      </c>
      <c r="Z59" s="12">
        <f>IF(OR(Z55=""),"",IFERROR(Z55-Z57,""))</f>
        <v/>
      </c>
      <c r="AA59" s="12">
        <f>IF(OR(AA55=""),"",IFERROR(AA55-AA57,""))</f>
        <v/>
      </c>
      <c r="AB59" s="12">
        <f>IF(OR(AB55=""),"",IFERROR(AB55-AB57,""))</f>
        <v/>
      </c>
      <c r="AC59" s="12">
        <f>IF(OR(AC55=""),"",IFERROR(AC55-AC57,""))</f>
        <v/>
      </c>
    </row>
    <row r="60">
      <c r="A60" s="13" t="inlineStr">
        <is>
          <t>YoY</t>
        </is>
      </c>
      <c r="B60" s="10" t="n"/>
      <c r="C60" s="14" t="n"/>
      <c r="D60" s="15" t="n"/>
      <c r="E60" s="15" t="n"/>
      <c r="F60" s="15" t="n"/>
      <c r="G60" s="15">
        <f>IF(OR(G59="",C59=""),"",IF(C59&lt;=0,"",IFERROR(G59/C59-1,"")))</f>
        <v/>
      </c>
      <c r="H60" s="15">
        <f>IF(OR(H59="",D59=""),"",IF(D59&lt;=0,"",IFERROR(H59/D59-1,"")))</f>
        <v/>
      </c>
      <c r="I60" s="15">
        <f>IF(OR(I59="",E59=""),"",IF(E59&lt;=0,"",IFERROR(I59/E59-1,"")))</f>
        <v/>
      </c>
      <c r="J60" s="15">
        <f>IF(OR(J59="",F59=""),"",IF(F59&lt;=0,"",IFERROR(J59/F59-1,"")))</f>
        <v/>
      </c>
      <c r="K60" s="15">
        <f>IF(OR(K59="",G59=""),"",IF(G59&lt;=0,"",IFERROR(K59/G59-1,"")))</f>
        <v/>
      </c>
      <c r="L60" s="15">
        <f>IF(OR(L59="",H59=""),"",IF(H59&lt;=0,"",IFERROR(L59/H59-1,"")))</f>
        <v/>
      </c>
      <c r="M60" s="15">
        <f>IF(OR(M59="",I59=""),"",IF(I59&lt;=0,"",IFERROR(M59/I59-1,"")))</f>
        <v/>
      </c>
      <c r="N60" s="15">
        <f>IF(OR(N59="",J59=""),"",IF(J59&lt;=0,"",IFERROR(N59/J59-1,"")))</f>
        <v/>
      </c>
      <c r="O60" s="14" t="n"/>
      <c r="P60" s="15">
        <f>IF(OR(P59="",O59=""),"",IF(O59&lt;=0,"",IFERROR(P59/O59-1,"")))</f>
        <v/>
      </c>
      <c r="Q60" s="15">
        <f>IF(OR(Q59="",P59=""),"",IF(P59&lt;=0,"",IFERROR(Q59/P59-1,"")))</f>
        <v/>
      </c>
      <c r="R60" s="15">
        <f>IF(OR(R59="",Q59=""),"",IF(Q59&lt;=0,"",IFERROR(R59/Q59-1,"")))</f>
        <v/>
      </c>
      <c r="S60" s="15">
        <f>IF(OR(S59="",R59=""),"",IF(R59&lt;=0,"",IFERROR(S59/R59-1,"")))</f>
        <v/>
      </c>
      <c r="T60" s="15">
        <f>IF(OR(T59="",S59=""),"",IF(S59&lt;=0,"",IFERROR(T59/S59-1,"")))</f>
        <v/>
      </c>
      <c r="U60" s="15">
        <f>IF(OR(U59="",T59=""),"",IF(T59&lt;=0,"",IFERROR(U59/T59-1,"")))</f>
        <v/>
      </c>
      <c r="V60" s="15">
        <f>IF(OR(V59="",U59=""),"",IF(U59&lt;=0,"",IFERROR(V59/U59-1,"")))</f>
        <v/>
      </c>
      <c r="W60" s="15">
        <f>IF(OR(W59="",V59=""),"",IF(V59&lt;=0,"",IFERROR(W59/V59-1,"")))</f>
        <v/>
      </c>
      <c r="X60" s="15">
        <f>IF(OR(X59="",W59=""),"",IF(W59&lt;=0,"",IFERROR(X59/W59-1,"")))</f>
        <v/>
      </c>
      <c r="Y60" s="14">
        <f>IF(OR(Y59="",X59=""),"",IF(X59&lt;=0,"",IFERROR(Y59/X59-1,"")))</f>
        <v/>
      </c>
      <c r="Z60" s="15">
        <f>IF(OR(Z59="",Y59=""),"",IF(Y59&lt;=0,"",IFERROR(Z59/Y59-1,"")))</f>
        <v/>
      </c>
      <c r="AA60" s="15">
        <f>IF(OR(AA59="",Z59=""),"",IF(Z59&lt;=0,"",IFERROR(AA59/Z59-1,"")))</f>
        <v/>
      </c>
      <c r="AB60" s="15">
        <f>IF(OR(AB59="",AA59=""),"",IF(AA59&lt;=0,"",IFERROR(AB59/AA59-1,"")))</f>
        <v/>
      </c>
      <c r="AC60" s="15">
        <f>IF(OR(AC59="",AB59=""),"",IF(AB59&lt;=0,"",IFERROR(AC59/AB59-1,"")))</f>
        <v/>
      </c>
    </row>
    <row r="61">
      <c r="A61" s="9" t="inlineStr">
        <is>
          <t>지배주주 순이익</t>
        </is>
      </c>
      <c r="B61" s="10" t="n"/>
      <c r="C61" s="11" t="n">
        <v>2309</v>
      </c>
      <c r="D61" s="12" t="n">
        <v>1639</v>
      </c>
      <c r="E61" s="12" t="n">
        <v>1528</v>
      </c>
      <c r="F61" s="12" t="n">
        <v>1819</v>
      </c>
      <c r="G61" s="12" t="n">
        <v>2653</v>
      </c>
      <c r="H61" s="12" t="n">
        <v>2084</v>
      </c>
      <c r="I61" s="12" t="n">
        <v>1551</v>
      </c>
      <c r="J61" s="12" t="n">
        <v>1748</v>
      </c>
      <c r="K61" s="12" t="n">
        <v>2779</v>
      </c>
      <c r="L61" s="12" t="n">
        <v>1955</v>
      </c>
      <c r="M61" s="12" t="n">
        <v>2374</v>
      </c>
      <c r="N61" s="12" t="n">
        <v>2801</v>
      </c>
      <c r="O61" s="11" t="n">
        <v>4387</v>
      </c>
      <c r="P61" s="12" t="n">
        <v>4619</v>
      </c>
      <c r="Q61" s="12" t="n">
        <v>4404</v>
      </c>
      <c r="R61" s="12" t="n">
        <v>4585</v>
      </c>
      <c r="S61" s="12" t="n">
        <v>4931</v>
      </c>
      <c r="T61" s="12" t="n">
        <v>5135</v>
      </c>
      <c r="U61" s="12" t="n">
        <v>10032</v>
      </c>
      <c r="V61" s="12" t="n">
        <v>7344</v>
      </c>
      <c r="W61" s="12" t="n">
        <v>8084</v>
      </c>
      <c r="X61" s="12" t="n">
        <v>8033</v>
      </c>
      <c r="Y61" s="11">
        <f>IF(OR(Y59="",Y62=""),"",IFERROR(Y59*Y62,""))</f>
        <v/>
      </c>
      <c r="Z61" s="12">
        <f>IF(OR(Z59="",Z62=""),"",IFERROR(Z59*Z62,""))</f>
        <v/>
      </c>
      <c r="AA61" s="12">
        <f>IF(OR(AA59="",AA62=""),"",IFERROR(AA59*AA62,""))</f>
        <v/>
      </c>
      <c r="AB61" s="12">
        <f>IF(OR(AB59="",AB62=""),"",IFERROR(AB59*AB62,""))</f>
        <v/>
      </c>
      <c r="AC61" s="12">
        <f>IF(OR(AC59="",AC62=""),"",IFERROR(AC59*AC62,""))</f>
        <v/>
      </c>
    </row>
    <row r="62">
      <c r="A62" s="13" t="inlineStr">
        <is>
          <t>지배주주 순이익률</t>
        </is>
      </c>
      <c r="B62" s="10" t="inlineStr">
        <is>
          <t>MW 기본 100%</t>
        </is>
      </c>
      <c r="C62" s="14">
        <f>IF(OR(C61="",C59=""),"",IFERROR(C61/C59,""))</f>
        <v/>
      </c>
      <c r="D62" s="15">
        <f>IF(OR(D61="",D59=""),"",IFERROR(D61/D59,""))</f>
        <v/>
      </c>
      <c r="E62" s="15">
        <f>IF(OR(E61="",E59=""),"",IFERROR(E61/E59,""))</f>
        <v/>
      </c>
      <c r="F62" s="15">
        <f>IF(OR(F61="",F59=""),"",IFERROR(F61/F59,""))</f>
        <v/>
      </c>
      <c r="G62" s="15">
        <f>IF(OR(G61="",G59=""),"",IFERROR(G61/G59,""))</f>
        <v/>
      </c>
      <c r="H62" s="15">
        <f>IF(OR(H61="",H59=""),"",IFERROR(H61/H59,""))</f>
        <v/>
      </c>
      <c r="I62" s="15">
        <f>IF(OR(I61="",I59=""),"",IFERROR(I61/I59,""))</f>
        <v/>
      </c>
      <c r="J62" s="15">
        <f>IF(OR(J61="",J59=""),"",IFERROR(J61/J59,""))</f>
        <v/>
      </c>
      <c r="K62" s="15">
        <f>IF(OR(K61="",K59=""),"",IFERROR(K61/K59,""))</f>
        <v/>
      </c>
      <c r="L62" s="15">
        <f>IF(OR(L61="",L59=""),"",IFERROR(L61/L59,""))</f>
        <v/>
      </c>
      <c r="M62" s="15">
        <f>IF(OR(M61="",M59=""),"",IFERROR(M61/M59,""))</f>
        <v/>
      </c>
      <c r="N62" s="15">
        <f>IF(OR(N61="",N59=""),"",IFERROR(N61/N59,""))</f>
        <v/>
      </c>
      <c r="O62" s="14">
        <f>IF(OR(O61="",O59=""),"",IFERROR(O61/O59,""))</f>
        <v/>
      </c>
      <c r="P62" s="15">
        <f>IF(OR(P61="",P59=""),"",IFERROR(P61/P59,""))</f>
        <v/>
      </c>
      <c r="Q62" s="15">
        <f>IF(OR(Q61="",Q59=""),"",IFERROR(Q61/Q59,""))</f>
        <v/>
      </c>
      <c r="R62" s="15">
        <f>IF(OR(R61="",R59=""),"",IFERROR(R61/R59,""))</f>
        <v/>
      </c>
      <c r="S62" s="15">
        <f>IF(OR(S61="",S59=""),"",IFERROR(S61/S59,""))</f>
        <v/>
      </c>
      <c r="T62" s="15">
        <f>IF(OR(T61="",T59=""),"",IFERROR(T61/T59,""))</f>
        <v/>
      </c>
      <c r="U62" s="15">
        <f>IF(OR(U61="",U59=""),"",IFERROR(U61/U59,""))</f>
        <v/>
      </c>
      <c r="V62" s="15">
        <f>IF(OR(V61="",V59=""),"",IFERROR(V61/V59,""))</f>
        <v/>
      </c>
      <c r="W62" s="15">
        <f>IF(OR(W61="",W59=""),"",IFERROR(W61/W59,""))</f>
        <v/>
      </c>
      <c r="X62" s="15">
        <f>IF(OR(X61="",X59=""),"",IFERROR(X61/X59,""))</f>
        <v/>
      </c>
      <c r="Y62" s="25" t="n">
        <v>1</v>
      </c>
      <c r="Z62" s="26" t="n">
        <v>1</v>
      </c>
      <c r="AA62" s="26" t="n">
        <v>1</v>
      </c>
      <c r="AB62" s="26" t="n">
        <v>1</v>
      </c>
      <c r="AC62" s="26" t="n">
        <v>1</v>
      </c>
    </row>
    <row r="63">
      <c r="A63" s="13" t="inlineStr">
        <is>
          <t>지배주주 순이익 YoY</t>
        </is>
      </c>
      <c r="B63" s="10" t="n"/>
      <c r="C63" s="14" t="n"/>
      <c r="D63" s="15" t="n"/>
      <c r="E63" s="15" t="n"/>
      <c r="F63" s="15" t="n"/>
      <c r="G63" s="15">
        <f>IF(OR(G61="",C61=""),"",IF(C61&lt;=0,"",IFERROR(G61/C61-1,"")))</f>
        <v/>
      </c>
      <c r="H63" s="15">
        <f>IF(OR(H61="",D61=""),"",IF(D61&lt;=0,"",IFERROR(H61/D61-1,"")))</f>
        <v/>
      </c>
      <c r="I63" s="15">
        <f>IF(OR(I61="",E61=""),"",IF(E61&lt;=0,"",IFERROR(I61/E61-1,"")))</f>
        <v/>
      </c>
      <c r="J63" s="15">
        <f>IF(OR(J61="",F61=""),"",IF(F61&lt;=0,"",IFERROR(J61/F61-1,"")))</f>
        <v/>
      </c>
      <c r="K63" s="15">
        <f>IF(OR(K61="",G61=""),"",IF(G61&lt;=0,"",IFERROR(K61/G61-1,"")))</f>
        <v/>
      </c>
      <c r="L63" s="15">
        <f>IF(OR(L61="",H61=""),"",IF(H61&lt;=0,"",IFERROR(L61/H61-1,"")))</f>
        <v/>
      </c>
      <c r="M63" s="15">
        <f>IF(OR(M61="",I61=""),"",IF(I61&lt;=0,"",IFERROR(M61/I61-1,"")))</f>
        <v/>
      </c>
      <c r="N63" s="15">
        <f>IF(OR(N61="",J61=""),"",IF(J61&lt;=0,"",IFERROR(N61/J61-1,"")))</f>
        <v/>
      </c>
      <c r="O63" s="14" t="n"/>
      <c r="P63" s="15">
        <f>IF(OR(P61="",O61=""),"",IF(O61&lt;=0,"",IFERROR(P61/O61-1,"")))</f>
        <v/>
      </c>
      <c r="Q63" s="15">
        <f>IF(OR(Q61="",P61=""),"",IF(P61&lt;=0,"",IFERROR(Q61/P61-1,"")))</f>
        <v/>
      </c>
      <c r="R63" s="15">
        <f>IF(OR(R61="",Q61=""),"",IF(Q61&lt;=0,"",IFERROR(R61/Q61-1,"")))</f>
        <v/>
      </c>
      <c r="S63" s="15">
        <f>IF(OR(S61="",R61=""),"",IF(R61&lt;=0,"",IFERROR(S61/R61-1,"")))</f>
        <v/>
      </c>
      <c r="T63" s="15">
        <f>IF(OR(T61="",S61=""),"",IF(S61&lt;=0,"",IFERROR(T61/S61-1,"")))</f>
        <v/>
      </c>
      <c r="U63" s="15">
        <f>IF(OR(U61="",T61=""),"",IF(T61&lt;=0,"",IFERROR(U61/T61-1,"")))</f>
        <v/>
      </c>
      <c r="V63" s="15">
        <f>IF(OR(V61="",U61=""),"",IF(U61&lt;=0,"",IFERROR(V61/U61-1,"")))</f>
        <v/>
      </c>
      <c r="W63" s="15">
        <f>IF(OR(W61="",V61=""),"",IF(V61&lt;=0,"",IFERROR(W61/V61-1,"")))</f>
        <v/>
      </c>
      <c r="X63" s="15">
        <f>IF(OR(X61="",W61=""),"",IF(W61&lt;=0,"",IFERROR(X61/W61-1,"")))</f>
        <v/>
      </c>
      <c r="Y63" s="14">
        <f>IF(OR(Y61="",X61=""),"",IF(X61&lt;=0,"",IFERROR(Y61/X61-1,"")))</f>
        <v/>
      </c>
      <c r="Z63" s="15">
        <f>IF(OR(Z61="",Y61=""),"",IF(Y61&lt;=0,"",IFERROR(Z61/Y61-1,"")))</f>
        <v/>
      </c>
      <c r="AA63" s="15">
        <f>IF(OR(AA61="",Z61=""),"",IF(Z61&lt;=0,"",IFERROR(AA61/Z61-1,"")))</f>
        <v/>
      </c>
      <c r="AB63" s="15">
        <f>IF(OR(AB61="",AA61=""),"",IF(AA61&lt;=0,"",IFERROR(AB61/AA61-1,"")))</f>
        <v/>
      </c>
      <c r="AC63" s="15">
        <f>IF(OR(AC61="",AB61=""),"",IF(AB61&lt;=0,"",IFERROR(AC61/AB61-1,"")))</f>
        <v/>
      </c>
    </row>
    <row r="64">
      <c r="A64" s="16" t="inlineStr">
        <is>
          <t>목표주가 산출</t>
        </is>
      </c>
      <c r="B64" s="16" t="n"/>
      <c r="C64" s="17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7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7" t="n"/>
      <c r="Z64" s="16" t="n"/>
      <c r="AA64" s="16" t="n"/>
      <c r="AB64" s="16" t="n"/>
      <c r="AC64" s="16" t="n"/>
    </row>
    <row r="65">
      <c r="A65" s="18" t="inlineStr">
        <is>
          <t>현재 주가 (2026.10.28)</t>
        </is>
      </c>
      <c r="B65" s="27" t="n">
        <v>1475</v>
      </c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8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8" t="n"/>
      <c r="Z65" s="29" t="n"/>
      <c r="AA65" s="29" t="n"/>
      <c r="AB65" s="29" t="n"/>
      <c r="AC65" s="29" t="n"/>
    </row>
    <row r="66">
      <c r="A66" s="18" t="inlineStr">
        <is>
          <t>발행주식수 (보통주)</t>
        </is>
      </c>
      <c r="B66" s="27" t="n">
        <v>70414880</v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8" t="n"/>
      <c r="Z66" s="29" t="n"/>
      <c r="AA66" s="29" t="n"/>
      <c r="AB66" s="29" t="n"/>
      <c r="AC66" s="29" t="n"/>
    </row>
    <row r="67">
      <c r="A67" s="18" t="inlineStr">
        <is>
          <t>시가총액 (백만엔)</t>
        </is>
      </c>
      <c r="B67" s="12">
        <f>IF(OR(B65="",B66=""),"",B65*B66/1000000.0)</f>
        <v/>
      </c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19" t="n"/>
      <c r="Z67" s="20" t="n"/>
      <c r="AA67" s="20" t="n"/>
      <c r="AB67" s="20" t="n"/>
      <c r="AC67" s="20" t="n"/>
    </row>
    <row r="68">
      <c r="A68" s="13" t="inlineStr">
        <is>
          <t>OPM</t>
        </is>
      </c>
      <c r="B68" s="10" t="n"/>
      <c r="C68" s="14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4">
        <f>IF(O32="","",O32)</f>
        <v/>
      </c>
      <c r="P68" s="15">
        <f>IF(P32="","",P32)</f>
        <v/>
      </c>
      <c r="Q68" s="15">
        <f>IF(Q32="","",Q32)</f>
        <v/>
      </c>
      <c r="R68" s="15">
        <f>IF(R32="","",R32)</f>
        <v/>
      </c>
      <c r="S68" s="15">
        <f>IF(S32="","",S32)</f>
        <v/>
      </c>
      <c r="T68" s="15">
        <f>IF(T32="","",T32)</f>
        <v/>
      </c>
      <c r="U68" s="15">
        <f>IF(U32="","",U32)</f>
        <v/>
      </c>
      <c r="V68" s="15">
        <f>IF(V32="","",V32)</f>
        <v/>
      </c>
      <c r="W68" s="15">
        <f>IF(W32="","",W32)</f>
        <v/>
      </c>
      <c r="X68" s="15">
        <f>IF(X32="","",X32)</f>
        <v/>
      </c>
      <c r="Y68" s="14">
        <f>IF(Y32="","",Y32)</f>
        <v/>
      </c>
      <c r="Z68" s="15">
        <f>IF(Z32="","",Z32)</f>
        <v/>
      </c>
      <c r="AA68" s="15">
        <f>IF(AA32="","",AA32)</f>
        <v/>
      </c>
      <c r="AB68" s="15">
        <f>IF(AB32="","",AB32)</f>
        <v/>
      </c>
      <c r="AC68" s="15">
        <f>IF(AC32="","",AC32)</f>
        <v/>
      </c>
    </row>
    <row r="69">
      <c r="A69" s="13" t="inlineStr">
        <is>
          <t>지배주주 순이익 증가율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>
        <f>IF(OR(P61="",O61=""),"",IFERROR(P61/O61-1,""))</f>
        <v/>
      </c>
      <c r="Q69" s="15">
        <f>IF(OR(Q61="",P61=""),"",IFERROR(Q61/P61-1,""))</f>
        <v/>
      </c>
      <c r="R69" s="15">
        <f>IF(OR(R61="",Q61=""),"",IFERROR(R61/Q61-1,""))</f>
        <v/>
      </c>
      <c r="S69" s="15">
        <f>IF(OR(S61="",R61=""),"",IFERROR(S61/R61-1,""))</f>
        <v/>
      </c>
      <c r="T69" s="15">
        <f>IF(OR(T61="",S61=""),"",IFERROR(T61/S61-1,""))</f>
        <v/>
      </c>
      <c r="U69" s="15">
        <f>IF(OR(U61="",T61=""),"",IFERROR(U61/T61-1,""))</f>
        <v/>
      </c>
      <c r="V69" s="15">
        <f>IF(OR(V61="",U61=""),"",IFERROR(V61/U61-1,""))</f>
        <v/>
      </c>
      <c r="W69" s="15">
        <f>IF(OR(W61="",V61=""),"",IFERROR(W61/V61-1,""))</f>
        <v/>
      </c>
      <c r="X69" s="15">
        <f>IF(OR(X61="",W61=""),"",IFERROR(X61/W61-1,""))</f>
        <v/>
      </c>
      <c r="Y69" s="14">
        <f>IF(OR(Y61="",X61=""),"",IFERROR(Y61/X61-1,""))</f>
        <v/>
      </c>
      <c r="Z69" s="15">
        <f>IF(OR(Z61="",Y61=""),"",IFERROR(Z61/Y61-1,""))</f>
        <v/>
      </c>
      <c r="AA69" s="15">
        <f>IF(OR(AA61="",Z61=""),"",IFERROR(AA61/Z61-1,""))</f>
        <v/>
      </c>
      <c r="AB69" s="15">
        <f>IF(OR(AB61="",AA61=""),"",IFERROR(AB61/AA61-1,""))</f>
        <v/>
      </c>
      <c r="AC69" s="15">
        <f>IF(OR(AC61="",AB61=""),"",IFERROR(AC61/AB61-1,""))</f>
        <v/>
      </c>
    </row>
    <row r="70">
      <c r="A70" s="18" t="inlineStr">
        <is>
          <t>P/E (현재 주가)</t>
        </is>
      </c>
      <c r="B70" s="10" t="inlineStr">
        <is>
          <t>시총 ÷ 지배순이익</t>
        </is>
      </c>
      <c r="C70" s="30" t="n"/>
      <c r="D70" s="31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1" t="n"/>
      <c r="O70" s="30" t="n"/>
      <c r="P70" s="31" t="n"/>
      <c r="Q70" s="31" t="n"/>
      <c r="R70" s="31" t="n"/>
      <c r="S70" s="31" t="n"/>
      <c r="T70" s="31" t="n"/>
      <c r="U70" s="31" t="n"/>
      <c r="V70" s="31" t="n"/>
      <c r="W70" s="31" t="n"/>
      <c r="X70" s="31">
        <f>IF(OR($B$67="",X61=""),"",IFERROR($B$67/X61,""))</f>
        <v/>
      </c>
      <c r="Y70" s="30">
        <f>IF(OR($B$67="",Y61=""),"",IFERROR($B$67/Y61,""))</f>
        <v/>
      </c>
      <c r="Z70" s="31">
        <f>IF(OR($B$67="",Z61=""),"",IFERROR($B$67/Z61,""))</f>
        <v/>
      </c>
      <c r="AA70" s="31">
        <f>IF(OR($B$67="",AA61=""),"",IFERROR($B$67/AA61,""))</f>
        <v/>
      </c>
      <c r="AB70" s="31">
        <f>IF(OR($B$67="",AB61=""),"",IFERROR($B$67/AB61,""))</f>
        <v/>
      </c>
      <c r="AC70" s="31">
        <f>IF(OR($B$67="",AC61=""),"",IFERROR($B$67/AC61,""))</f>
        <v/>
      </c>
    </row>
    <row r="71">
      <c r="A71" s="18" t="inlineStr">
        <is>
          <t>Target P/E</t>
        </is>
      </c>
      <c r="B71" s="10" t="inlineStr">
        <is>
          <t>직접 입력</t>
        </is>
      </c>
      <c r="C71" s="30" t="n"/>
      <c r="D71" s="31" t="n"/>
      <c r="E71" s="31" t="n"/>
      <c r="F71" s="31" t="n"/>
      <c r="G71" s="31" t="n"/>
      <c r="H71" s="31" t="n"/>
      <c r="I71" s="31" t="n"/>
      <c r="J71" s="31" t="n"/>
      <c r="K71" s="31" t="n"/>
      <c r="L71" s="31" t="n"/>
      <c r="M71" s="31" t="n"/>
      <c r="N71" s="31" t="n"/>
      <c r="O71" s="30" t="n"/>
      <c r="P71" s="31" t="n"/>
      <c r="Q71" s="31" t="n"/>
      <c r="R71" s="31" t="n"/>
      <c r="S71" s="31" t="n"/>
      <c r="T71" s="31" t="n"/>
      <c r="U71" s="31" t="n"/>
      <c r="V71" s="31" t="n"/>
      <c r="W71" s="31" t="n"/>
      <c r="X71" s="31" t="n"/>
      <c r="Y71" s="32" t="n"/>
      <c r="Z71" s="33" t="n"/>
      <c r="AA71" s="33" t="n"/>
      <c r="AB71" s="33" t="n"/>
      <c r="AC71" s="33" t="n"/>
    </row>
    <row r="72">
      <c r="A72" s="18" t="inlineStr">
        <is>
          <t>EPS</t>
        </is>
      </c>
      <c r="B72" s="10" t="inlineStr">
        <is>
          <t>지배순이익 ÷ 주식수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8">
        <f>IF(OR(O61="",$B$66=""),"",IFERROR(O61*1000000.0/$B$66,""))</f>
        <v/>
      </c>
      <c r="P72" s="29">
        <f>IF(OR(P61="",$B$66=""),"",IFERROR(P61*1000000.0/$B$66,""))</f>
        <v/>
      </c>
      <c r="Q72" s="29">
        <f>IF(OR(Q61="",$B$66=""),"",IFERROR(Q61*1000000.0/$B$66,""))</f>
        <v/>
      </c>
      <c r="R72" s="29">
        <f>IF(OR(R61="",$B$66=""),"",IFERROR(R61*1000000.0/$B$66,""))</f>
        <v/>
      </c>
      <c r="S72" s="29">
        <f>IF(OR(S61="",$B$66=""),"",IFERROR(S61*1000000.0/$B$66,""))</f>
        <v/>
      </c>
      <c r="T72" s="29">
        <f>IF(OR(T61="",$B$66=""),"",IFERROR(T61*1000000.0/$B$66,""))</f>
        <v/>
      </c>
      <c r="U72" s="29">
        <f>IF(OR(U61="",$B$66=""),"",IFERROR(U61*1000000.0/$B$66,""))</f>
        <v/>
      </c>
      <c r="V72" s="29">
        <f>IF(OR(V61="",$B$66=""),"",IFERROR(V61*1000000.0/$B$66,""))</f>
        <v/>
      </c>
      <c r="W72" s="29">
        <f>IF(OR(W61="",$B$66=""),"",IFERROR(W61*1000000.0/$B$66,""))</f>
        <v/>
      </c>
      <c r="X72" s="29">
        <f>IF(OR(X61="",$B$66=""),"",IFERROR(X61*1000000.0/$B$66,""))</f>
        <v/>
      </c>
      <c r="Y72" s="28">
        <f>IF(OR(Y61="",$B$66=""),"",IFERROR(Y61*1000000.0/$B$66,""))</f>
        <v/>
      </c>
      <c r="Z72" s="29">
        <f>IF(OR(Z61="",$B$66=""),"",IFERROR(Z61*1000000.0/$B$66,""))</f>
        <v/>
      </c>
      <c r="AA72" s="29">
        <f>IF(OR(AA61="",$B$66=""),"",IFERROR(AA61*1000000.0/$B$66,""))</f>
        <v/>
      </c>
      <c r="AB72" s="29">
        <f>IF(OR(AB61="",$B$66=""),"",IFERROR(AB61*1000000.0/$B$66,""))</f>
        <v/>
      </c>
      <c r="AC72" s="29">
        <f>IF(OR(AC61="",$B$66=""),"",IFERROR(AC61*1000000.0/$B$66,""))</f>
        <v/>
      </c>
    </row>
    <row r="73">
      <c r="A73" s="9" t="inlineStr">
        <is>
          <t>목표주가</t>
        </is>
      </c>
      <c r="B73" s="10" t="n"/>
      <c r="C73" s="34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34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34">
        <f>IF(OR(Y72="",Y71=""),"",IFERROR(Y72*Y71,""))</f>
        <v/>
      </c>
      <c r="Z73" s="27">
        <f>IF(OR(Z72="",Z71=""),"",IFERROR(Z72*Z71,""))</f>
        <v/>
      </c>
      <c r="AA73" s="27">
        <f>IF(OR(AA72="",AA71=""),"",IFERROR(AA72*AA71,""))</f>
        <v/>
      </c>
      <c r="AB73" s="27">
        <f>IF(OR(AB72="",AB71=""),"",IFERROR(AB72*AB71,""))</f>
        <v/>
      </c>
      <c r="AC73" s="27">
        <f>IF(OR(AC72="",AC71=""),"",IFERROR(AC72*AC71,""))</f>
        <v/>
      </c>
    </row>
    <row r="74">
      <c r="A74" s="18" t="inlineStr">
        <is>
          <t>상승여력</t>
        </is>
      </c>
      <c r="B74" s="10" t="n"/>
      <c r="C74" s="35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5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7">
        <f>IF(OR(Y73="",$B$65=""),"",IFERROR(Y73/$B$65-1,""))</f>
        <v/>
      </c>
      <c r="Z74" s="38">
        <f>IF(OR(Z73="",$B$65=""),"",IFERROR(Z73/$B$65-1,""))</f>
        <v/>
      </c>
      <c r="AA74" s="38">
        <f>IF(OR(AA73="",$B$65=""),"",IFERROR(AA73/$B$65-1,""))</f>
        <v/>
      </c>
      <c r="AB74" s="38">
        <f>IF(OR(AB73="",$B$65=""),"",IFERROR(AB73/$B$65-1,""))</f>
        <v/>
      </c>
      <c r="AC74" s="38">
        <f>IF(OR(AC73="",$B$65=""),"",IFERROR(AC73/$B$65-1,""))</f>
        <v/>
      </c>
    </row>
    <row r="75">
      <c r="A75" s="16" t="inlineStr">
        <is>
          <t>자산가치 산출</t>
        </is>
      </c>
      <c r="B75" s="16" t="inlineStr">
        <is>
          <t>최신 분기 BS</t>
        </is>
      </c>
      <c r="C75" s="17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7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7" t="n"/>
      <c r="Z75" s="16" t="n"/>
      <c r="AA75" s="16" t="n"/>
      <c r="AB75" s="16" t="n"/>
      <c r="AC75" s="16" t="n"/>
    </row>
    <row r="76">
      <c r="A76" s="18" t="inlineStr">
        <is>
          <t>현금및현금성자산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'재무상태표'!G6</f>
        <v/>
      </c>
      <c r="Y76" s="19">
        <f>'재무상태표'!G6</f>
        <v/>
      </c>
      <c r="Z76" s="20">
        <f>'재무상태표'!G6</f>
        <v/>
      </c>
      <c r="AA76" s="20">
        <f>'재무상태표'!G6</f>
        <v/>
      </c>
      <c r="AB76" s="20">
        <f>'재무상태표'!G6</f>
        <v/>
      </c>
      <c r="AC76" s="20">
        <f>'재무상태표'!G6</f>
        <v/>
      </c>
    </row>
    <row r="77">
      <c r="A77" s="18" t="inlineStr">
        <is>
          <t>단기금융상품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'재무상태표'!G7</f>
        <v/>
      </c>
      <c r="Y77" s="19">
        <f>'재무상태표'!G7</f>
        <v/>
      </c>
      <c r="Z77" s="20">
        <f>'재무상태표'!G7</f>
        <v/>
      </c>
      <c r="AA77" s="20">
        <f>'재무상태표'!G7</f>
        <v/>
      </c>
      <c r="AB77" s="20">
        <f>'재무상태표'!G7</f>
        <v/>
      </c>
      <c r="AC77" s="20">
        <f>'재무상태표'!G7</f>
        <v/>
      </c>
    </row>
    <row r="78">
      <c r="A78" s="18" t="inlineStr">
        <is>
          <t>투자부동산</t>
        </is>
      </c>
      <c r="B78" s="10" t="n"/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>
        <f>'재무상태표'!G14</f>
        <v/>
      </c>
      <c r="Y78" s="19">
        <f>'재무상태표'!G14</f>
        <v/>
      </c>
      <c r="Z78" s="20">
        <f>'재무상태표'!G14</f>
        <v/>
      </c>
      <c r="AA78" s="20">
        <f>'재무상태표'!G14</f>
        <v/>
      </c>
      <c r="AB78" s="20">
        <f>'재무상태표'!G14</f>
        <v/>
      </c>
      <c r="AC78" s="20">
        <f>'재무상태표'!G14</f>
        <v/>
      </c>
    </row>
    <row r="79">
      <c r="A79" s="18" t="inlineStr">
        <is>
          <t>지배자본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'재무상태표'!G31</f>
        <v/>
      </c>
      <c r="Y79" s="19">
        <f>'재무상태표'!G31</f>
        <v/>
      </c>
      <c r="Z79" s="20">
        <f>'재무상태표'!G31</f>
        <v/>
      </c>
      <c r="AA79" s="20">
        <f>'재무상태표'!G31</f>
        <v/>
      </c>
      <c r="AB79" s="20">
        <f>'재무상태표'!G31</f>
        <v/>
      </c>
      <c r="AC79" s="20">
        <f>'재무상태표'!G31</f>
        <v/>
      </c>
    </row>
    <row r="80">
      <c r="A80" s="18" t="inlineStr">
        <is>
          <t>부채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'재무상태표'!G27</f>
        <v/>
      </c>
      <c r="Y80" s="19">
        <f>'재무상태표'!G27</f>
        <v/>
      </c>
      <c r="Z80" s="20">
        <f>'재무상태표'!G27</f>
        <v/>
      </c>
      <c r="AA80" s="20">
        <f>'재무상태표'!G27</f>
        <v/>
      </c>
      <c r="AB80" s="20">
        <f>'재무상태표'!G27</f>
        <v/>
      </c>
      <c r="AC80" s="20">
        <f>'재무상태표'!G27</f>
        <v/>
      </c>
    </row>
    <row r="81">
      <c r="A81" s="13" t="inlineStr">
        <is>
          <t>부채비율</t>
        </is>
      </c>
      <c r="B81" s="10" t="n"/>
      <c r="C81" s="14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4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>
        <f>IF(OR(X80="",X79=""),"",IFERROR(X80/X79,""))</f>
        <v/>
      </c>
      <c r="Y81" s="14">
        <f>IF(OR(Y80="",Y79=""),"",IFERROR(Y80/Y79,""))</f>
        <v/>
      </c>
      <c r="Z81" s="15">
        <f>IF(OR(Z80="",Z79=""),"",IFERROR(Z80/Z79,""))</f>
        <v/>
      </c>
      <c r="AA81" s="15">
        <f>IF(OR(AA80="",AA79=""),"",IFERROR(AA80/AA79,""))</f>
        <v/>
      </c>
      <c r="AB81" s="15">
        <f>IF(OR(AB80="",AB79=""),"",IFERROR(AB80/AB79,""))</f>
        <v/>
      </c>
      <c r="AC81" s="15">
        <f>IF(OR(AC80="",AC79=""),"",IFERROR(AC80/AC79,""))</f>
        <v/>
      </c>
    </row>
    <row r="82">
      <c r="A82" s="9" t="inlineStr">
        <is>
          <t>자산가치</t>
        </is>
      </c>
      <c r="B82" s="10" t="inlineStr">
        <is>
          <t>현금+단기금융+투자부동산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>
        <f>SUM(X76,X77,X78)</f>
        <v/>
      </c>
      <c r="Y82" s="11">
        <f>SUM(Y76,Y77,Y78)</f>
        <v/>
      </c>
      <c r="Z82" s="12">
        <f>SUM(Z76,Z77,Z78)</f>
        <v/>
      </c>
      <c r="AA82" s="12">
        <f>SUM(AA76,AA77,AA78)</f>
        <v/>
      </c>
      <c r="AB82" s="12">
        <f>SUM(AB76,AB77,AB78)</f>
        <v/>
      </c>
      <c r="AC82" s="12">
        <f>SUM(AC76,AC77,AC78)</f>
        <v/>
      </c>
    </row>
    <row r="83">
      <c r="A83" s="16" t="inlineStr">
        <is>
          <t>기업가치 산출</t>
        </is>
      </c>
      <c r="B83" s="16" t="n"/>
      <c r="C83" s="17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7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7" t="n"/>
      <c r="Z83" s="16" t="n"/>
      <c r="AA83" s="16" t="n"/>
      <c r="AB83" s="16" t="n"/>
      <c r="AC83" s="16" t="n"/>
    </row>
    <row r="84">
      <c r="A84" s="18" t="inlineStr">
        <is>
          <t>목표 시가총액 (P/E)</t>
        </is>
      </c>
      <c r="B84" s="10" t="inlineStr">
        <is>
          <t>지배순이익 × Target P/E</t>
        </is>
      </c>
      <c r="C84" s="19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19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19">
        <f>IF(OR(Y61="",Y71=""),"",IFERROR(Y61*Y71,""))</f>
        <v/>
      </c>
      <c r="Z84" s="20">
        <f>IF(OR(Z61="",Z71=""),"",IFERROR(Z61*Z71,""))</f>
        <v/>
      </c>
      <c r="AA84" s="20">
        <f>IF(OR(AA61="",AA71=""),"",IFERROR(AA61*AA71,""))</f>
        <v/>
      </c>
      <c r="AB84" s="20">
        <f>IF(OR(AB61="",AB71=""),"",IFERROR(AB61*AB71,""))</f>
        <v/>
      </c>
      <c r="AC84" s="20">
        <f>IF(OR(AC61="",AC71=""),"",IFERROR(AC61*AC71,""))</f>
        <v/>
      </c>
    </row>
    <row r="85">
      <c r="A85" s="9" t="inlineStr">
        <is>
          <t>기업가치</t>
        </is>
      </c>
      <c r="B85" s="10" t="inlineStr">
        <is>
          <t>목표시총 + 자산가치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1">
        <f>IF(OR(Y84=""),"",IFERROR(Y84+Y82,""))</f>
        <v/>
      </c>
      <c r="Z85" s="12">
        <f>IF(OR(Z84=""),"",IFERROR(Z84+Z82,""))</f>
        <v/>
      </c>
      <c r="AA85" s="12">
        <f>IF(OR(AA84=""),"",IFERROR(AA84+AA82,""))</f>
        <v/>
      </c>
      <c r="AB85" s="12">
        <f>IF(OR(AB84=""),"",IFERROR(AB84+AB82,""))</f>
        <v/>
      </c>
      <c r="AC85" s="12">
        <f>IF(OR(AC84=""),"",IFERROR(AC84+AC82,""))</f>
        <v/>
      </c>
    </row>
    <row r="86">
      <c r="A86" s="18" t="inlineStr">
        <is>
          <t>현재 시가총액</t>
        </is>
      </c>
      <c r="B86" s="10" t="n"/>
      <c r="C86" s="19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19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19">
        <f>$B$67</f>
        <v/>
      </c>
      <c r="Z86" s="20">
        <f>$B$67</f>
        <v/>
      </c>
      <c r="AA86" s="20">
        <f>$B$67</f>
        <v/>
      </c>
      <c r="AB86" s="20">
        <f>$B$67</f>
        <v/>
      </c>
      <c r="AC86" s="20">
        <f>$B$67</f>
        <v/>
      </c>
    </row>
    <row r="87">
      <c r="A87" s="18" t="inlineStr">
        <is>
          <t>상승여력</t>
        </is>
      </c>
      <c r="B87" s="10" t="n"/>
      <c r="C87" s="35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5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7">
        <f>IF(OR(Y85="",Y86=""),"",IFERROR(Y85/Y86-1,""))</f>
        <v/>
      </c>
      <c r="Z87" s="38">
        <f>IF(OR(Z85="",Z86=""),"",IFERROR(Z85/Z86-1,""))</f>
        <v/>
      </c>
      <c r="AA87" s="38">
        <f>IF(OR(AA85="",AA86=""),"",IFERROR(AA85/AA86-1,""))</f>
        <v/>
      </c>
      <c r="AB87" s="38">
        <f>IF(OR(AB85="",AB86=""),"",IFERROR(AB85/AB86-1,""))</f>
        <v/>
      </c>
      <c r="AC87" s="38">
        <f>IF(OR(AC85="",AC86=""),"",IFERROR(AC85/AC86-1,""))</f>
        <v/>
      </c>
    </row>
    <row r="88">
      <c r="C88" s="39" t="n"/>
      <c r="O88" s="39" t="n"/>
      <c r="Y88" s="39" t="n"/>
    </row>
    <row r="89">
      <c r="A89" s="40" t="inlineStr">
        <is>
          <t>출처</t>
        </is>
      </c>
      <c r="C89" s="39" t="n"/>
      <c r="O89" s="39" t="n"/>
      <c r="Y89" s="39" t="n"/>
    </row>
    <row r="90">
      <c r="A90" s="41" t="inlineStr">
        <is>
          <t>결산단신 XBRL(TDnet·JPX 보관소) — 쓴 문서는 '출처' 시트</t>
        </is>
      </c>
      <c r="C90" s="39" t="n"/>
      <c r="O90" s="39" t="n"/>
      <c r="Y90" s="39" t="n"/>
    </row>
    <row r="91">
      <c r="A91" s="41" t="inlineStr">
        <is>
          <t>분기 = 누계에서 앞 분기를 뺀 3개월 값</t>
        </is>
      </c>
      <c r="C91" s="39" t="n"/>
      <c r="O91" s="39" t="n"/>
      <c r="Y91" s="39" t="n"/>
    </row>
    <row r="92">
      <c r="A92" s="41" t="inlineStr">
        <is>
          <t>주가: 야후 파이낸스 일봉 2026.10.28</t>
        </is>
      </c>
      <c r="C92" s="39" t="n"/>
      <c r="O92" s="39" t="n"/>
      <c r="Y92" s="39" t="n"/>
    </row>
    <row r="94">
      <c r="A94" s="16" t="inlineStr">
        <is>
          <t>손익계산서 · 전 항목</t>
        </is>
      </c>
      <c r="B94" s="42" t="inlineStr">
        <is>
          <t>분기 = 3개월 단독</t>
        </is>
      </c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</row>
    <row r="95">
      <c r="A95" s="5" t="inlineStr">
        <is>
          <t>항목</t>
        </is>
      </c>
      <c r="B95" s="5" t="inlineStr">
        <is>
          <t>참고</t>
        </is>
      </c>
      <c r="C95" s="5" t="inlineStr">
        <is>
          <t>2024.3Q</t>
        </is>
      </c>
      <c r="D95" s="5" t="inlineStr">
        <is>
          <t>2024.4Q</t>
        </is>
      </c>
      <c r="E95" s="5" t="inlineStr">
        <is>
          <t>2025.1Q</t>
        </is>
      </c>
      <c r="F95" s="5" t="inlineStr">
        <is>
          <t>2025.2Q</t>
        </is>
      </c>
      <c r="G95" s="5" t="inlineStr">
        <is>
          <t>2025.3Q</t>
        </is>
      </c>
      <c r="H95" s="5" t="inlineStr">
        <is>
          <t>2025.4Q</t>
        </is>
      </c>
      <c r="I95" s="5" t="inlineStr">
        <is>
          <t>2026.1Q</t>
        </is>
      </c>
      <c r="J95" s="5" t="inlineStr">
        <is>
          <t>2026.2Q</t>
        </is>
      </c>
      <c r="K95" s="5" t="inlineStr">
        <is>
          <t>2026.3Q</t>
        </is>
      </c>
      <c r="L95" s="5" t="inlineStr">
        <is>
          <t>2026.4Q</t>
        </is>
      </c>
      <c r="M95" s="5" t="inlineStr">
        <is>
          <t>2027.1Q</t>
        </is>
      </c>
      <c r="N95" s="5" t="inlineStr">
        <is>
          <t>2027.2Q</t>
        </is>
      </c>
      <c r="O95" s="5" t="inlineStr">
        <is>
          <t>2017</t>
        </is>
      </c>
      <c r="P95" s="5" t="inlineStr">
        <is>
          <t>2018</t>
        </is>
      </c>
      <c r="Q95" s="5" t="inlineStr">
        <is>
          <t>2019</t>
        </is>
      </c>
      <c r="R95" s="5" t="inlineStr">
        <is>
          <t>2020</t>
        </is>
      </c>
      <c r="S95" s="5" t="inlineStr">
        <is>
          <t>2021</t>
        </is>
      </c>
      <c r="T95" s="5" t="inlineStr">
        <is>
          <t>2022</t>
        </is>
      </c>
      <c r="U95" s="5" t="inlineStr">
        <is>
          <t>2023</t>
        </is>
      </c>
      <c r="V95" s="5" t="inlineStr">
        <is>
          <t>2024</t>
        </is>
      </c>
      <c r="W95" s="5" t="inlineStr">
        <is>
          <t>2025</t>
        </is>
      </c>
      <c r="X95" s="5" t="inlineStr">
        <is>
          <t>2026</t>
        </is>
      </c>
      <c r="Y95" s="5" t="inlineStr">
        <is>
          <t>2027(MW)</t>
        </is>
      </c>
      <c r="Z95" s="5" t="inlineStr">
        <is>
          <t>2028(MW)</t>
        </is>
      </c>
      <c r="AA95" s="5" t="inlineStr">
        <is>
          <t>2029(MW)</t>
        </is>
      </c>
      <c r="AB95" s="5" t="inlineStr">
        <is>
          <t>2030(MW)</t>
        </is>
      </c>
      <c r="AC95" s="5" t="inlineStr">
        <is>
          <t>2031(MW)</t>
        </is>
      </c>
    </row>
    <row r="96">
      <c r="A96" s="9" t="inlineStr">
        <is>
          <t>매출액</t>
        </is>
      </c>
      <c r="C96" s="12" t="n">
        <v>35535</v>
      </c>
      <c r="D96" s="12" t="n">
        <v>32117</v>
      </c>
      <c r="E96" s="12" t="n">
        <v>32223</v>
      </c>
      <c r="F96" s="12" t="n">
        <v>33460</v>
      </c>
      <c r="G96" s="12" t="n">
        <v>36863</v>
      </c>
      <c r="H96" s="12" t="n">
        <v>33144</v>
      </c>
      <c r="I96" s="12" t="n">
        <v>32241</v>
      </c>
      <c r="J96" s="12" t="n">
        <v>33292</v>
      </c>
      <c r="K96" s="12" t="n">
        <v>35445</v>
      </c>
      <c r="L96" s="12" t="n">
        <v>35591</v>
      </c>
      <c r="M96" s="12" t="n">
        <v>36202</v>
      </c>
      <c r="N96" s="12" t="n">
        <v>37566</v>
      </c>
      <c r="T96" s="12" t="n">
        <v>29906</v>
      </c>
      <c r="U96" s="12" t="n">
        <v>32119</v>
      </c>
      <c r="V96" s="12" t="n">
        <v>32117</v>
      </c>
      <c r="W96" s="12" t="n">
        <v>33144</v>
      </c>
      <c r="X96" s="12" t="n">
        <v>35591</v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IF(OR(G96="",C96=""),"",IF(C96&lt;=0,"",IFERROR(G96/C96-1,"")))</f>
        <v/>
      </c>
      <c r="H97" s="15">
        <f>IF(OR(H96="",D96=""),"",IF(D96&lt;=0,"",IFERROR(H96/D96-1,"")))</f>
        <v/>
      </c>
      <c r="I97" s="15">
        <f>IF(OR(I96="",E96=""),"",IF(E96&lt;=0,"",IFERROR(I96/E96-1,"")))</f>
        <v/>
      </c>
      <c r="J97" s="15">
        <f>IF(OR(J96="",F96=""),"",IF(F96&lt;=0,"",IFERROR(J96/F96-1,"")))</f>
        <v/>
      </c>
      <c r="K97" s="15">
        <f>IF(OR(K96="",G96=""),"",IF(G96&lt;=0,"",IFERROR(K96/G96-1,"")))</f>
        <v/>
      </c>
      <c r="L97" s="15">
        <f>IF(OR(L96="",H96=""),"",IF(H96&lt;=0,"",IFERROR(L96/H96-1,"")))</f>
        <v/>
      </c>
      <c r="M97" s="15">
        <f>IF(OR(M96="",I96=""),"",IF(I96&lt;=0,"",IFERROR(M96/I96-1,"")))</f>
        <v/>
      </c>
      <c r="N97" s="15">
        <f>IF(OR(N96="",J96=""),"",IF(J96&lt;=0,"",IFERROR(N96/J96-1,"")))</f>
        <v/>
      </c>
      <c r="T97" s="15">
        <f>IF(OR(T96="",S96=""),"",IF(S96&lt;=0,"",IFERROR(T96/S96-1,"")))</f>
        <v/>
      </c>
      <c r="U97" s="15">
        <f>IF(OR(U96="",T96=""),"",IF(T96&lt;=0,"",IFERROR(U96/T96-1,"")))</f>
        <v/>
      </c>
      <c r="V97" s="15">
        <f>IF(OR(V96="",U96=""),"",IF(U96&lt;=0,"",IFERROR(V96/U96-1,"")))</f>
        <v/>
      </c>
      <c r="W97" s="15">
        <f>IF(OR(W96="",V96=""),"",IF(V96&lt;=0,"",IFERROR(W96/V96-1,"")))</f>
        <v/>
      </c>
      <c r="X97" s="15">
        <f>IF(OR(X96="",W96=""),"",IF(W96&lt;=0,"",IFERROR(X96/W96-1,"")))</f>
        <v/>
      </c>
    </row>
    <row r="98">
      <c r="A98" s="18" t="inlineStr">
        <is>
          <t>매출원가</t>
        </is>
      </c>
      <c r="C98" s="20" t="n">
        <v>28157</v>
      </c>
      <c r="D98" s="20" t="n">
        <v>25805</v>
      </c>
      <c r="E98" s="20" t="n">
        <v>26019</v>
      </c>
      <c r="F98" s="20" t="n">
        <v>26656</v>
      </c>
      <c r="G98" s="20" t="n">
        <v>29018</v>
      </c>
      <c r="H98" s="20" t="n">
        <v>26498</v>
      </c>
      <c r="I98" s="20" t="n">
        <v>25777</v>
      </c>
      <c r="J98" s="20" t="n">
        <v>26569</v>
      </c>
      <c r="K98" s="20" t="n">
        <v>27955</v>
      </c>
      <c r="L98" s="20" t="n">
        <v>28227</v>
      </c>
      <c r="M98" s="20" t="n">
        <v>28547</v>
      </c>
      <c r="N98" s="20" t="n">
        <v>29179</v>
      </c>
      <c r="T98" s="20" t="n">
        <v>24137</v>
      </c>
      <c r="U98" s="20" t="n">
        <v>25947</v>
      </c>
      <c r="V98" s="20" t="n">
        <v>25805</v>
      </c>
      <c r="W98" s="20" t="n">
        <v>26498</v>
      </c>
      <c r="X98" s="20" t="n">
        <v>28227</v>
      </c>
    </row>
    <row r="99">
      <c r="A99" s="43" t="inlineStr">
        <is>
          <t>YoY</t>
        </is>
      </c>
      <c r="B99" s="3" t="inlineStr">
        <is>
          <t>전년 같은 분기·전년 대비</t>
        </is>
      </c>
      <c r="G99" s="15">
        <f>IF(OR(G98="",C98=""),"",IF(G98*C98&lt;=0,"",IFERROR(G98/C98-1,"")))</f>
        <v/>
      </c>
      <c r="H99" s="15">
        <f>IF(OR(H98="",D98=""),"",IF(H98*D98&lt;=0,"",IFERROR(H98/D98-1,"")))</f>
        <v/>
      </c>
      <c r="I99" s="15">
        <f>IF(OR(I98="",E98=""),"",IF(I98*E98&lt;=0,"",IFERROR(I98/E98-1,"")))</f>
        <v/>
      </c>
      <c r="J99" s="15">
        <f>IF(OR(J98="",F98=""),"",IF(J98*F98&lt;=0,"",IFERROR(J98/F98-1,"")))</f>
        <v/>
      </c>
      <c r="K99" s="15">
        <f>IF(OR(K98="",G98=""),"",IF(K98*G98&lt;=0,"",IFERROR(K98/G98-1,"")))</f>
        <v/>
      </c>
      <c r="L99" s="15">
        <f>IF(OR(L98="",H98=""),"",IF(L98*H98&lt;=0,"",IFERROR(L98/H98-1,"")))</f>
        <v/>
      </c>
      <c r="M99" s="15">
        <f>IF(OR(M98="",I98=""),"",IF(M98*I98&lt;=0,"",IFERROR(M98/I98-1,"")))</f>
        <v/>
      </c>
      <c r="N99" s="15">
        <f>IF(OR(N98="",J98=""),"",IF(N98*J98&lt;=0,"",IFERROR(N98/J98-1,"")))</f>
        <v/>
      </c>
      <c r="T99" s="15">
        <f>IF(OR(T98="",S98=""),"",IF(T98*S98&lt;=0,"",IFERROR(T98/S98-1,"")))</f>
        <v/>
      </c>
      <c r="U99" s="15">
        <f>IF(OR(U98="",T98=""),"",IF(U98*T98&lt;=0,"",IFERROR(U98/T98-1,"")))</f>
        <v/>
      </c>
      <c r="V99" s="15">
        <f>IF(OR(V98="",U98=""),"",IF(V98*U98&lt;=0,"",IFERROR(V98/U98-1,"")))</f>
        <v/>
      </c>
      <c r="W99" s="15">
        <f>IF(OR(W98="",V98=""),"",IF(W98*V98&lt;=0,"",IFERROR(W98/V98-1,"")))</f>
        <v/>
      </c>
      <c r="X99" s="15">
        <f>IF(OR(X98="",W98=""),"",IF(X98*W98&lt;=0,"",IFERROR(X98/W98-1,"")))</f>
        <v/>
      </c>
    </row>
    <row r="100">
      <c r="A100" s="9" t="inlineStr">
        <is>
          <t>매출총이익</t>
        </is>
      </c>
      <c r="C100" s="12" t="n">
        <v>7378</v>
      </c>
      <c r="D100" s="12" t="n">
        <v>6313</v>
      </c>
      <c r="E100" s="12" t="n">
        <v>6203</v>
      </c>
      <c r="F100" s="12" t="n">
        <v>6805</v>
      </c>
      <c r="G100" s="12" t="n">
        <v>7845</v>
      </c>
      <c r="H100" s="12" t="n">
        <v>6645</v>
      </c>
      <c r="I100" s="12" t="n">
        <v>6463</v>
      </c>
      <c r="J100" s="12" t="n">
        <v>6724</v>
      </c>
      <c r="K100" s="12" t="n">
        <v>7490</v>
      </c>
      <c r="L100" s="12" t="n">
        <v>7364</v>
      </c>
      <c r="M100" s="12" t="n">
        <v>7655</v>
      </c>
      <c r="N100" s="12" t="n">
        <v>8386</v>
      </c>
      <c r="T100" s="12" t="n">
        <v>5770</v>
      </c>
      <c r="U100" s="12" t="n">
        <v>6172</v>
      </c>
      <c r="V100" s="12" t="n">
        <v>6313</v>
      </c>
      <c r="W100" s="12" t="n">
        <v>6645</v>
      </c>
      <c r="X100" s="12" t="n">
        <v>7364</v>
      </c>
    </row>
    <row r="101">
      <c r="A101" s="43" t="inlineStr">
        <is>
          <t>YoY</t>
        </is>
      </c>
      <c r="B101" s="3" t="inlineStr">
        <is>
          <t>전년 같은 분기·전년 대비</t>
        </is>
      </c>
      <c r="G101" s="15">
        <f>IF(OR(G100="",C100=""),"",IF(C100&lt;=0,"",IFERROR(G100/C100-1,"")))</f>
        <v/>
      </c>
      <c r="H101" s="15">
        <f>IF(OR(H100="",D100=""),"",IF(D100&lt;=0,"",IFERROR(H100/D100-1,"")))</f>
        <v/>
      </c>
      <c r="I101" s="15">
        <f>IF(OR(I100="",E100=""),"",IF(E100&lt;=0,"",IFERROR(I100/E100-1,"")))</f>
        <v/>
      </c>
      <c r="J101" s="15">
        <f>IF(OR(J100="",F100=""),"",IF(F100&lt;=0,"",IFERROR(J100/F100-1,"")))</f>
        <v/>
      </c>
      <c r="K101" s="15">
        <f>IF(OR(K100="",G100=""),"",IF(G100&lt;=0,"",IFERROR(K100/G100-1,"")))</f>
        <v/>
      </c>
      <c r="L101" s="15">
        <f>IF(OR(L100="",H100=""),"",IF(H100&lt;=0,"",IFERROR(L100/H100-1,"")))</f>
        <v/>
      </c>
      <c r="M101" s="15">
        <f>IF(OR(M100="",I100=""),"",IF(I100&lt;=0,"",IFERROR(M100/I100-1,"")))</f>
        <v/>
      </c>
      <c r="N101" s="15">
        <f>IF(OR(N100="",J100=""),"",IF(J100&lt;=0,"",IFERROR(N100/J100-1,"")))</f>
        <v/>
      </c>
      <c r="T101" s="15">
        <f>IF(OR(T100="",S100=""),"",IF(S100&lt;=0,"",IFERROR(T100/S100-1,"")))</f>
        <v/>
      </c>
      <c r="U101" s="15">
        <f>IF(OR(U100="",T100=""),"",IF(T100&lt;=0,"",IFERROR(U100/T100-1,"")))</f>
        <v/>
      </c>
      <c r="V101" s="15">
        <f>IF(OR(V100="",U100=""),"",IF(U100&lt;=0,"",IFERROR(V100/U100-1,"")))</f>
        <v/>
      </c>
      <c r="W101" s="15">
        <f>IF(OR(W100="",V100=""),"",IF(V100&lt;=0,"",IFERROR(W100/V100-1,"")))</f>
        <v/>
      </c>
      <c r="X101" s="15">
        <f>IF(OR(X100="",W100=""),"",IF(W100&lt;=0,"",IFERROR(X100/W100-1,"")))</f>
        <v/>
      </c>
    </row>
    <row r="102">
      <c r="A102" s="18" t="inlineStr">
        <is>
          <t>판매비와 관리비</t>
        </is>
      </c>
      <c r="C102" s="20" t="n">
        <v>4082</v>
      </c>
      <c r="D102" s="20" t="n">
        <v>4262</v>
      </c>
      <c r="E102" s="20" t="n">
        <v>4102</v>
      </c>
      <c r="F102" s="20" t="n">
        <v>4057</v>
      </c>
      <c r="G102" s="20" t="n">
        <v>4277</v>
      </c>
      <c r="H102" s="20" t="n">
        <v>4507</v>
      </c>
      <c r="I102" s="20" t="n">
        <v>4327</v>
      </c>
      <c r="J102" s="20" t="n">
        <v>4238</v>
      </c>
      <c r="K102" s="20" t="n">
        <v>4527</v>
      </c>
      <c r="L102" s="20" t="n">
        <v>4485</v>
      </c>
      <c r="M102" s="20" t="n">
        <v>4398</v>
      </c>
      <c r="N102" s="20" t="n">
        <v>4285</v>
      </c>
      <c r="T102" s="20" t="n">
        <v>3964</v>
      </c>
      <c r="U102" s="20" t="n">
        <v>3929</v>
      </c>
      <c r="V102" s="20" t="n">
        <v>4262</v>
      </c>
      <c r="W102" s="20" t="n">
        <v>4507</v>
      </c>
      <c r="X102" s="20" t="n">
        <v>4485</v>
      </c>
    </row>
    <row r="103">
      <c r="A103" s="43" t="inlineStr">
        <is>
          <t>YoY</t>
        </is>
      </c>
      <c r="B103" s="3" t="inlineStr">
        <is>
          <t>전년 같은 분기·전년 대비</t>
        </is>
      </c>
      <c r="G103" s="15">
        <f>IF(OR(G102="",C102=""),"",IF(G102*C102&lt;=0,"",IFERROR(G102/C102-1,"")))</f>
        <v/>
      </c>
      <c r="H103" s="15">
        <f>IF(OR(H102="",D102=""),"",IF(H102*D102&lt;=0,"",IFERROR(H102/D102-1,"")))</f>
        <v/>
      </c>
      <c r="I103" s="15">
        <f>IF(OR(I102="",E102=""),"",IF(I102*E102&lt;=0,"",IFERROR(I102/E102-1,"")))</f>
        <v/>
      </c>
      <c r="J103" s="15">
        <f>IF(OR(J102="",F102=""),"",IF(J102*F102&lt;=0,"",IFERROR(J102/F102-1,"")))</f>
        <v/>
      </c>
      <c r="K103" s="15">
        <f>IF(OR(K102="",G102=""),"",IF(K102*G102&lt;=0,"",IFERROR(K102/G102-1,"")))</f>
        <v/>
      </c>
      <c r="L103" s="15">
        <f>IF(OR(L102="",H102=""),"",IF(L102*H102&lt;=0,"",IFERROR(L102/H102-1,"")))</f>
        <v/>
      </c>
      <c r="M103" s="15">
        <f>IF(OR(M102="",I102=""),"",IF(M102*I102&lt;=0,"",IFERROR(M102/I102-1,"")))</f>
        <v/>
      </c>
      <c r="N103" s="15">
        <f>IF(OR(N102="",J102=""),"",IF(N102*J102&lt;=0,"",IFERROR(N102/J102-1,"")))</f>
        <v/>
      </c>
      <c r="T103" s="15">
        <f>IF(OR(T102="",S102=""),"",IF(T102*S102&lt;=0,"",IFERROR(T102/S102-1,"")))</f>
        <v/>
      </c>
      <c r="U103" s="15">
        <f>IF(OR(U102="",T102=""),"",IF(U102*T102&lt;=0,"",IFERROR(U102/T102-1,"")))</f>
        <v/>
      </c>
      <c r="V103" s="15">
        <f>IF(OR(V102="",U102=""),"",IF(V102*U102&lt;=0,"",IFERROR(V102/U102-1,"")))</f>
        <v/>
      </c>
      <c r="W103" s="15">
        <f>IF(OR(W102="",V102=""),"",IF(W102*V102&lt;=0,"",IFERROR(W102/V102-1,"")))</f>
        <v/>
      </c>
      <c r="X103" s="15">
        <f>IF(OR(X102="",W102=""),"",IF(X102*W102&lt;=0,"",IFERROR(X102/W102-1,"")))</f>
        <v/>
      </c>
    </row>
    <row r="104">
      <c r="A104" s="9" t="inlineStr">
        <is>
          <t>영업이익</t>
        </is>
      </c>
      <c r="C104" s="12" t="n">
        <v>3296</v>
      </c>
      <c r="D104" s="12" t="n">
        <v>2051</v>
      </c>
      <c r="E104" s="12" t="n">
        <v>2101</v>
      </c>
      <c r="F104" s="12" t="n">
        <v>2747</v>
      </c>
      <c r="G104" s="12" t="n">
        <v>3568</v>
      </c>
      <c r="H104" s="12" t="n">
        <v>2139</v>
      </c>
      <c r="I104" s="12" t="n">
        <v>2136</v>
      </c>
      <c r="J104" s="12" t="n">
        <v>2486</v>
      </c>
      <c r="K104" s="12" t="n">
        <v>2962</v>
      </c>
      <c r="L104" s="12" t="n">
        <v>2880</v>
      </c>
      <c r="M104" s="12" t="n">
        <v>3257</v>
      </c>
      <c r="N104" s="12" t="n">
        <v>4101</v>
      </c>
      <c r="T104" s="12" t="n">
        <v>1805</v>
      </c>
      <c r="U104" s="12" t="n">
        <v>2243</v>
      </c>
      <c r="V104" s="12" t="n">
        <v>2051</v>
      </c>
      <c r="W104" s="12" t="n">
        <v>2139</v>
      </c>
      <c r="X104" s="12" t="n">
        <v>2880</v>
      </c>
    </row>
    <row r="105">
      <c r="A105" s="43" t="inlineStr">
        <is>
          <t>OPM</t>
        </is>
      </c>
      <c r="B105" s="3" t="inlineStr">
        <is>
          <t>영업이익 ÷ 매출</t>
        </is>
      </c>
      <c r="C105" s="15">
        <f>IF(OR(C104="",C96=""),"",IF(C96&lt;=0,"",IFERROR(C104/C96,"")))</f>
        <v/>
      </c>
      <c r="D105" s="15">
        <f>IF(OR(D104="",D96=""),"",IF(D96&lt;=0,"",IFERROR(D104/D96,"")))</f>
        <v/>
      </c>
      <c r="E105" s="15">
        <f>IF(OR(E104="",E96=""),"",IF(E96&lt;=0,"",IFERROR(E104/E96,"")))</f>
        <v/>
      </c>
      <c r="F105" s="15">
        <f>IF(OR(F104="",F96=""),"",IF(F96&lt;=0,"",IFERROR(F104/F96,"")))</f>
        <v/>
      </c>
      <c r="G105" s="15">
        <f>IF(OR(G104="",G96=""),"",IF(G96&lt;=0,"",IFERROR(G104/G96,"")))</f>
        <v/>
      </c>
      <c r="H105" s="15">
        <f>IF(OR(H104="",H96=""),"",IF(H96&lt;=0,"",IFERROR(H104/H96,"")))</f>
        <v/>
      </c>
      <c r="I105" s="15">
        <f>IF(OR(I104="",I96=""),"",IF(I96&lt;=0,"",IFERROR(I104/I96,"")))</f>
        <v/>
      </c>
      <c r="J105" s="15">
        <f>IF(OR(J104="",J96=""),"",IF(J96&lt;=0,"",IFERROR(J104/J96,"")))</f>
        <v/>
      </c>
      <c r="K105" s="15">
        <f>IF(OR(K104="",K96=""),"",IF(K96&lt;=0,"",IFERROR(K104/K96,"")))</f>
        <v/>
      </c>
      <c r="L105" s="15">
        <f>IF(OR(L104="",L96=""),"",IF(L96&lt;=0,"",IFERROR(L104/L96,"")))</f>
        <v/>
      </c>
      <c r="M105" s="15">
        <f>IF(OR(M104="",M96=""),"",IF(M96&lt;=0,"",IFERROR(M104/M96,"")))</f>
        <v/>
      </c>
      <c r="N105" s="15">
        <f>IF(OR(N104="",N96=""),"",IF(N96&lt;=0,"",IFERROR(N104/N96,"")))</f>
        <v/>
      </c>
      <c r="T105" s="15">
        <f>IF(OR(T104="",T96=""),"",IF(T96&lt;=0,"",IFERROR(T104/T96,"")))</f>
        <v/>
      </c>
      <c r="U105" s="15">
        <f>IF(OR(U104="",U96=""),"",IF(U96&lt;=0,"",IFERROR(U104/U96,"")))</f>
        <v/>
      </c>
      <c r="V105" s="15">
        <f>IF(OR(V104="",V96=""),"",IF(V96&lt;=0,"",IFERROR(V104/V96,"")))</f>
        <v/>
      </c>
      <c r="W105" s="15">
        <f>IF(OR(W104="",W96=""),"",IF(W96&lt;=0,"",IFERROR(W104/W96,"")))</f>
        <v/>
      </c>
      <c r="X105" s="15">
        <f>IF(OR(X104="",X96=""),"",IF(X96&lt;=0,"",IFERROR(X104/X96,"")))</f>
        <v/>
      </c>
    </row>
    <row r="106">
      <c r="A106" s="43" t="inlineStr">
        <is>
          <t>YoY</t>
        </is>
      </c>
      <c r="B106" s="3" t="inlineStr">
        <is>
          <t>전년 같은 분기·전년 대비</t>
        </is>
      </c>
      <c r="G106" s="15">
        <f>IF(OR(G104="",C104=""),"",IF(C104&lt;=0,"",IFERROR(G104/C104-1,"")))</f>
        <v/>
      </c>
      <c r="H106" s="15">
        <f>IF(OR(H104="",D104=""),"",IF(D104&lt;=0,"",IFERROR(H104/D104-1,"")))</f>
        <v/>
      </c>
      <c r="I106" s="15">
        <f>IF(OR(I104="",E104=""),"",IF(E104&lt;=0,"",IFERROR(I104/E104-1,"")))</f>
        <v/>
      </c>
      <c r="J106" s="15">
        <f>IF(OR(J104="",F104=""),"",IF(F104&lt;=0,"",IFERROR(J104/F104-1,"")))</f>
        <v/>
      </c>
      <c r="K106" s="15">
        <f>IF(OR(K104="",G104=""),"",IF(G104&lt;=0,"",IFERROR(K104/G104-1,"")))</f>
        <v/>
      </c>
      <c r="L106" s="15">
        <f>IF(OR(L104="",H104=""),"",IF(H104&lt;=0,"",IFERROR(L104/H104-1,"")))</f>
        <v/>
      </c>
      <c r="M106" s="15">
        <f>IF(OR(M104="",I104=""),"",IF(I104&lt;=0,"",IFERROR(M104/I104-1,"")))</f>
        <v/>
      </c>
      <c r="N106" s="15">
        <f>IF(OR(N104="",J104=""),"",IF(J104&lt;=0,"",IFERROR(N104/J104-1,"")))</f>
        <v/>
      </c>
      <c r="T106" s="15">
        <f>IF(OR(T104="",S104=""),"",IF(S104&lt;=0,"",IFERROR(T104/S104-1,"")))</f>
        <v/>
      </c>
      <c r="U106" s="15">
        <f>IF(OR(U104="",T104=""),"",IF(T104&lt;=0,"",IFERROR(U104/T104-1,"")))</f>
        <v/>
      </c>
      <c r="V106" s="15">
        <f>IF(OR(V104="",U104=""),"",IF(U104&lt;=0,"",IFERROR(V104/U104-1,"")))</f>
        <v/>
      </c>
      <c r="W106" s="15">
        <f>IF(OR(W104="",V104=""),"",IF(V104&lt;=0,"",IFERROR(W104/V104-1,"")))</f>
        <v/>
      </c>
      <c r="X106" s="15">
        <f>IF(OR(X104="",W104=""),"",IF(W104&lt;=0,"",IFERROR(X104/W104-1,"")))</f>
        <v/>
      </c>
    </row>
    <row r="107">
      <c r="A107" s="18" t="inlineStr">
        <is>
          <t>이자수익</t>
        </is>
      </c>
      <c r="C107" s="20" t="n">
        <v>3</v>
      </c>
      <c r="D107" s="20" t="n">
        <v>20</v>
      </c>
      <c r="E107" s="20" t="n">
        <v>3</v>
      </c>
      <c r="F107" s="20" t="n">
        <v>10</v>
      </c>
      <c r="G107" s="20" t="n">
        <v>4</v>
      </c>
      <c r="H107" s="20" t="n">
        <v>34</v>
      </c>
      <c r="I107" s="20" t="n">
        <v>6</v>
      </c>
      <c r="J107" s="20" t="n">
        <v>24</v>
      </c>
      <c r="K107" s="20" t="n">
        <v>9</v>
      </c>
      <c r="L107" s="20" t="n">
        <v>39</v>
      </c>
      <c r="M107" s="20" t="n">
        <v>6</v>
      </c>
      <c r="N107" s="20" t="n">
        <v>37</v>
      </c>
      <c r="T107" s="20" t="n">
        <v>8</v>
      </c>
      <c r="U107" s="20" t="n">
        <v>11</v>
      </c>
      <c r="V107" s="20" t="n">
        <v>20</v>
      </c>
      <c r="W107" s="20" t="n">
        <v>34</v>
      </c>
      <c r="X107" s="20" t="n">
        <v>39</v>
      </c>
    </row>
    <row r="108">
      <c r="A108" s="18" t="inlineStr">
        <is>
          <t>배당금수익</t>
        </is>
      </c>
      <c r="C108" s="20" t="n">
        <v>115</v>
      </c>
      <c r="D108" s="20" t="n">
        <v>13</v>
      </c>
      <c r="E108" s="20" t="n">
        <v>130</v>
      </c>
      <c r="F108" s="20" t="n">
        <v>27</v>
      </c>
      <c r="G108" s="20" t="n">
        <v>125</v>
      </c>
      <c r="H108" s="20" t="n">
        <v>13</v>
      </c>
      <c r="I108" s="20" t="n">
        <v>131</v>
      </c>
      <c r="J108" s="20" t="n">
        <v>27</v>
      </c>
      <c r="K108" s="20" t="n">
        <v>132</v>
      </c>
      <c r="L108" s="20" t="n">
        <v>18</v>
      </c>
      <c r="M108" s="20" t="n">
        <v>147</v>
      </c>
      <c r="N108" s="20" t="n">
        <v>37</v>
      </c>
      <c r="T108" s="20" t="n">
        <v>7</v>
      </c>
      <c r="U108" s="20" t="n">
        <v>7</v>
      </c>
      <c r="V108" s="20" t="n">
        <v>13</v>
      </c>
      <c r="W108" s="20" t="n">
        <v>13</v>
      </c>
      <c r="X108" s="20" t="n">
        <v>18</v>
      </c>
    </row>
    <row r="109">
      <c r="A109" s="18" t="inlineStr">
        <is>
          <t>부동산 임대수입</t>
        </is>
      </c>
      <c r="E109" s="20" t="n">
        <v>47</v>
      </c>
      <c r="F109" s="20" t="n">
        <v>50</v>
      </c>
      <c r="G109" s="20" t="n">
        <v>52</v>
      </c>
      <c r="H109" s="20" t="n">
        <v>50</v>
      </c>
      <c r="I109" s="20" t="n">
        <v>50</v>
      </c>
      <c r="J109" s="20" t="n">
        <v>50</v>
      </c>
      <c r="K109" s="20" t="n">
        <v>51</v>
      </c>
      <c r="L109" s="20" t="n">
        <v>51</v>
      </c>
      <c r="M109" s="20" t="n">
        <v>50</v>
      </c>
      <c r="N109" s="20" t="n">
        <v>38</v>
      </c>
      <c r="W109" s="20" t="n">
        <v>50</v>
      </c>
      <c r="X109" s="20" t="n">
        <v>51</v>
      </c>
    </row>
    <row r="110">
      <c r="A110" s="18" t="inlineStr">
        <is>
          <t>지분법이익</t>
        </is>
      </c>
      <c r="C110" s="20" t="n">
        <v>9</v>
      </c>
      <c r="D110" s="20" t="n">
        <v>12</v>
      </c>
      <c r="E110" s="20" t="n">
        <v>8</v>
      </c>
      <c r="F110" s="20" t="n">
        <v>8</v>
      </c>
      <c r="G110" s="20" t="n">
        <v>6</v>
      </c>
      <c r="H110" s="20" t="n">
        <v>9</v>
      </c>
      <c r="I110" s="20" t="n">
        <v>8</v>
      </c>
      <c r="J110" s="20" t="n">
        <v>11</v>
      </c>
      <c r="K110" s="20" t="n">
        <v>12</v>
      </c>
      <c r="L110" s="20" t="n">
        <v>22</v>
      </c>
      <c r="M110" s="20" t="n">
        <v>4</v>
      </c>
      <c r="N110" s="20" t="n">
        <v>18</v>
      </c>
      <c r="T110" s="20" t="n">
        <v>7</v>
      </c>
      <c r="U110" s="20" t="n">
        <v>12</v>
      </c>
      <c r="V110" s="20" t="n">
        <v>12</v>
      </c>
      <c r="W110" s="20" t="n">
        <v>9</v>
      </c>
      <c r="X110" s="20" t="n">
        <v>22</v>
      </c>
    </row>
    <row r="111">
      <c r="A111" s="18" t="inlineStr">
        <is>
          <t>외환차익</t>
        </is>
      </c>
      <c r="E111" s="20" t="n">
        <v>63</v>
      </c>
      <c r="F111" s="20" t="n">
        <v>-58</v>
      </c>
      <c r="I111" s="20" t="n">
        <v>0</v>
      </c>
      <c r="J111" s="20" t="n">
        <v>0</v>
      </c>
    </row>
    <row r="112">
      <c r="A112" s="18" t="inlineStr">
        <is>
          <t>기타</t>
        </is>
      </c>
      <c r="C112" s="20" t="n">
        <v>140</v>
      </c>
      <c r="D112" s="20" t="n">
        <v>105</v>
      </c>
      <c r="E112" s="20" t="n">
        <v>43</v>
      </c>
      <c r="F112" s="20" t="n">
        <v>70</v>
      </c>
      <c r="G112" s="20" t="n">
        <v>87</v>
      </c>
      <c r="H112" s="20" t="n">
        <v>79</v>
      </c>
      <c r="I112" s="20" t="n">
        <v>37</v>
      </c>
      <c r="J112" s="20" t="n">
        <v>47</v>
      </c>
      <c r="K112" s="20" t="n">
        <v>25</v>
      </c>
      <c r="L112" s="20" t="n">
        <v>63</v>
      </c>
      <c r="M112" s="20" t="n">
        <v>59</v>
      </c>
      <c r="N112" s="20" t="n">
        <v>82</v>
      </c>
      <c r="T112" s="20" t="n">
        <v>134</v>
      </c>
      <c r="U112" s="20" t="n">
        <v>30</v>
      </c>
      <c r="V112" s="20" t="n">
        <v>105</v>
      </c>
      <c r="W112" s="20" t="n">
        <v>79</v>
      </c>
      <c r="X112" s="20" t="n">
        <v>63</v>
      </c>
    </row>
    <row r="113">
      <c r="A113" s="18" t="inlineStr">
        <is>
          <t>영업외수익 합계</t>
        </is>
      </c>
      <c r="C113" s="20" t="n">
        <v>162</v>
      </c>
      <c r="D113" s="20" t="n">
        <v>149</v>
      </c>
      <c r="E113" s="20" t="n">
        <v>296</v>
      </c>
      <c r="F113" s="20" t="n">
        <v>107</v>
      </c>
      <c r="G113" s="20" t="n">
        <v>268</v>
      </c>
      <c r="H113" s="20" t="n">
        <v>186</v>
      </c>
      <c r="I113" s="20" t="n">
        <v>234</v>
      </c>
      <c r="J113" s="20" t="n">
        <v>158</v>
      </c>
      <c r="K113" s="20" t="n">
        <v>231</v>
      </c>
      <c r="L113" s="20" t="n">
        <v>193</v>
      </c>
      <c r="M113" s="20" t="n">
        <v>267</v>
      </c>
      <c r="N113" s="20" t="n">
        <v>213</v>
      </c>
      <c r="T113" s="20" t="n">
        <v>156</v>
      </c>
      <c r="U113" s="20" t="n">
        <v>112</v>
      </c>
      <c r="V113" s="20" t="n">
        <v>149</v>
      </c>
      <c r="W113" s="20" t="n">
        <v>186</v>
      </c>
      <c r="X113" s="20" t="n">
        <v>193</v>
      </c>
    </row>
    <row r="114">
      <c r="A114" s="43" t="inlineStr">
        <is>
          <t>YoY</t>
        </is>
      </c>
      <c r="B114" s="3" t="inlineStr">
        <is>
          <t>전년 같은 분기·전년 대비</t>
        </is>
      </c>
      <c r="G114" s="15">
        <f>IF(OR(G113="",C113=""),"",IF(G113*C113&lt;=0,"",IFERROR(G113/C113-1,"")))</f>
        <v/>
      </c>
      <c r="H114" s="15">
        <f>IF(OR(H113="",D113=""),"",IF(H113*D113&lt;=0,"",IFERROR(H113/D113-1,"")))</f>
        <v/>
      </c>
      <c r="I114" s="15">
        <f>IF(OR(I113="",E113=""),"",IF(I113*E113&lt;=0,"",IFERROR(I113/E113-1,"")))</f>
        <v/>
      </c>
      <c r="J114" s="15">
        <f>IF(OR(J113="",F113=""),"",IF(J113*F113&lt;=0,"",IFERROR(J113/F113-1,"")))</f>
        <v/>
      </c>
      <c r="K114" s="15">
        <f>IF(OR(K113="",G113=""),"",IF(K113*G113&lt;=0,"",IFERROR(K113/G113-1,"")))</f>
        <v/>
      </c>
      <c r="L114" s="15">
        <f>IF(OR(L113="",H113=""),"",IF(L113*H113&lt;=0,"",IFERROR(L113/H113-1,"")))</f>
        <v/>
      </c>
      <c r="M114" s="15">
        <f>IF(OR(M113="",I113=""),"",IF(M113*I113&lt;=0,"",IFERROR(M113/I113-1,"")))</f>
        <v/>
      </c>
      <c r="N114" s="15">
        <f>IF(OR(N113="",J113=""),"",IF(N113*J113&lt;=0,"",IFERROR(N113/J113-1,"")))</f>
        <v/>
      </c>
      <c r="T114" s="15">
        <f>IF(OR(T113="",S113=""),"",IF(T113*S113&lt;=0,"",IFERROR(T113/S113-1,"")))</f>
        <v/>
      </c>
      <c r="U114" s="15">
        <f>IF(OR(U113="",T113=""),"",IF(U113*T113&lt;=0,"",IFERROR(U113/T113-1,"")))</f>
        <v/>
      </c>
      <c r="V114" s="15">
        <f>IF(OR(V113="",U113=""),"",IF(V113*U113&lt;=0,"",IFERROR(V113/U113-1,"")))</f>
        <v/>
      </c>
      <c r="W114" s="15">
        <f>IF(OR(W113="",V113=""),"",IF(W113*V113&lt;=0,"",IFERROR(W113/V113-1,"")))</f>
        <v/>
      </c>
      <c r="X114" s="15">
        <f>IF(OR(X113="",W113=""),"",IF(X113*W113&lt;=0,"",IFERROR(X113/W113-1,"")))</f>
        <v/>
      </c>
    </row>
    <row r="115">
      <c r="A115" s="18" t="inlineStr">
        <is>
          <t>이자비용</t>
        </is>
      </c>
      <c r="C115" s="20" t="n">
        <v>4</v>
      </c>
      <c r="D115" s="20" t="n">
        <v>2</v>
      </c>
      <c r="E115" s="20" t="n">
        <v>2</v>
      </c>
      <c r="F115" s="20" t="n">
        <v>3</v>
      </c>
      <c r="G115" s="20" t="n">
        <v>1</v>
      </c>
      <c r="H115" s="20" t="n">
        <v>4</v>
      </c>
      <c r="I115" s="20" t="n">
        <v>5</v>
      </c>
      <c r="J115" s="20" t="n">
        <v>5</v>
      </c>
      <c r="K115" s="20" t="n">
        <v>6</v>
      </c>
      <c r="L115" s="20" t="n">
        <v>4</v>
      </c>
      <c r="M115" s="20" t="n">
        <v>6</v>
      </c>
      <c r="N115" s="20" t="n">
        <v>7</v>
      </c>
      <c r="T115" s="20" t="n">
        <v>2</v>
      </c>
      <c r="U115" s="20" t="n">
        <v>3</v>
      </c>
      <c r="V115" s="20" t="n">
        <v>2</v>
      </c>
      <c r="W115" s="20" t="n">
        <v>4</v>
      </c>
      <c r="X115" s="20" t="n">
        <v>4</v>
      </c>
    </row>
    <row r="116">
      <c r="A116" s="18" t="inlineStr">
        <is>
          <t>지급수수료</t>
        </is>
      </c>
      <c r="C116" s="20" t="n">
        <v>0</v>
      </c>
      <c r="D116" s="20" t="n">
        <v>2</v>
      </c>
      <c r="H116" s="20" t="n">
        <v>0</v>
      </c>
      <c r="U116" s="20" t="n">
        <v>0</v>
      </c>
      <c r="V116" s="20" t="n">
        <v>2</v>
      </c>
      <c r="W116" s="20" t="n">
        <v>0</v>
      </c>
    </row>
    <row r="117">
      <c r="A117" s="18" t="inlineStr">
        <is>
          <t>부동산 임대원가</t>
        </is>
      </c>
      <c r="E117" s="20" t="n">
        <v>23</v>
      </c>
      <c r="F117" s="20" t="n">
        <v>29</v>
      </c>
      <c r="G117" s="20" t="n">
        <v>17</v>
      </c>
      <c r="H117" s="20" t="n">
        <v>23</v>
      </c>
      <c r="I117" s="20" t="n">
        <v>19</v>
      </c>
      <c r="J117" s="20" t="n">
        <v>22</v>
      </c>
      <c r="K117" s="20" t="n">
        <v>22</v>
      </c>
      <c r="L117" s="20" t="n">
        <v>23</v>
      </c>
      <c r="M117" s="20" t="n">
        <v>20</v>
      </c>
      <c r="N117" s="20" t="n">
        <v>20</v>
      </c>
      <c r="W117" s="20" t="n">
        <v>23</v>
      </c>
      <c r="X117" s="20" t="n">
        <v>23</v>
      </c>
    </row>
    <row r="118">
      <c r="A118" s="18" t="inlineStr">
        <is>
          <t>외환차손</t>
        </is>
      </c>
      <c r="E118" s="20" t="n">
        <v>0</v>
      </c>
      <c r="F118" s="20" t="n">
        <v>0</v>
      </c>
      <c r="I118" s="20" t="n">
        <v>68</v>
      </c>
      <c r="J118" s="20" t="n">
        <v>-7</v>
      </c>
      <c r="M118" s="20" t="n">
        <v>0</v>
      </c>
    </row>
    <row r="119">
      <c r="A119" s="18" t="inlineStr">
        <is>
          <t>감가상각비</t>
        </is>
      </c>
      <c r="C119" s="20" t="n">
        <v>8</v>
      </c>
      <c r="D119" s="20" t="n">
        <v>13</v>
      </c>
      <c r="E119" s="20" t="n">
        <v>6</v>
      </c>
      <c r="F119" s="20" t="n">
        <v>7</v>
      </c>
      <c r="G119" s="20" t="n">
        <v>7</v>
      </c>
      <c r="H119" s="20" t="n">
        <v>10</v>
      </c>
      <c r="I119" s="20" t="n">
        <v>11</v>
      </c>
      <c r="J119" s="20" t="n">
        <v>12</v>
      </c>
      <c r="K119" s="20" t="n">
        <v>12</v>
      </c>
      <c r="L119" s="20" t="n">
        <v>9</v>
      </c>
      <c r="M119" s="20" t="n">
        <v>9</v>
      </c>
      <c r="N119" s="20" t="n">
        <v>9</v>
      </c>
      <c r="T119" s="20" t="n">
        <v>6</v>
      </c>
      <c r="U119" s="20" t="n">
        <v>16</v>
      </c>
      <c r="V119" s="20" t="n">
        <v>13</v>
      </c>
      <c r="W119" s="20" t="n">
        <v>10</v>
      </c>
      <c r="X119" s="20" t="n">
        <v>9</v>
      </c>
    </row>
    <row r="120">
      <c r="A120" s="18" t="inlineStr">
        <is>
          <t>보상비 지급</t>
        </is>
      </c>
      <c r="T120" s="20" t="n">
        <v>5</v>
      </c>
      <c r="U120" s="20" t="n">
        <v>7</v>
      </c>
    </row>
    <row r="121">
      <c r="A121" s="18" t="inlineStr">
        <is>
          <t>기타</t>
        </is>
      </c>
      <c r="C121" s="20" t="n">
        <v>-1</v>
      </c>
      <c r="D121" s="20" t="n">
        <v>-13</v>
      </c>
      <c r="E121" s="20" t="n">
        <v>5</v>
      </c>
      <c r="F121" s="20" t="n">
        <v>22</v>
      </c>
      <c r="G121" s="20" t="n">
        <v>52</v>
      </c>
      <c r="H121" s="20" t="n">
        <v>7</v>
      </c>
      <c r="I121" s="20" t="n">
        <v>7</v>
      </c>
      <c r="J121" s="20" t="n">
        <v>67</v>
      </c>
      <c r="K121" s="20" t="n">
        <v>-52</v>
      </c>
      <c r="L121" s="20" t="n">
        <v>8</v>
      </c>
      <c r="M121" s="20" t="n">
        <v>7</v>
      </c>
      <c r="N121" s="20" t="n">
        <v>8</v>
      </c>
      <c r="T121" s="20" t="n">
        <v>0</v>
      </c>
      <c r="U121" s="20" t="n">
        <v>11</v>
      </c>
      <c r="V121" s="20" t="n">
        <v>-13</v>
      </c>
      <c r="W121" s="20" t="n">
        <v>7</v>
      </c>
      <c r="X121" s="20" t="n">
        <v>8</v>
      </c>
    </row>
    <row r="122">
      <c r="A122" s="18" t="inlineStr">
        <is>
          <t>영업외비용 합계</t>
        </is>
      </c>
      <c r="C122" s="20" t="n">
        <v>22</v>
      </c>
      <c r="D122" s="20" t="n">
        <v>37</v>
      </c>
      <c r="E122" s="20" t="n">
        <v>37</v>
      </c>
      <c r="F122" s="20" t="n">
        <v>48</v>
      </c>
      <c r="G122" s="20" t="n">
        <v>91</v>
      </c>
      <c r="H122" s="20" t="n">
        <v>42</v>
      </c>
      <c r="I122" s="20" t="n">
        <v>112</v>
      </c>
      <c r="J122" s="20" t="n">
        <v>37</v>
      </c>
      <c r="K122" s="20" t="n">
        <v>-12</v>
      </c>
      <c r="L122" s="20" t="n">
        <v>44</v>
      </c>
      <c r="M122" s="20" t="n">
        <v>43</v>
      </c>
      <c r="N122" s="20" t="n">
        <v>45</v>
      </c>
      <c r="T122" s="20" t="n">
        <v>13</v>
      </c>
      <c r="U122" s="20" t="n">
        <v>30</v>
      </c>
      <c r="V122" s="20" t="n">
        <v>37</v>
      </c>
      <c r="W122" s="20" t="n">
        <v>42</v>
      </c>
      <c r="X122" s="20" t="n">
        <v>44</v>
      </c>
    </row>
    <row r="123">
      <c r="A123" s="43" t="inlineStr">
        <is>
          <t>YoY</t>
        </is>
      </c>
      <c r="B123" s="3" t="inlineStr">
        <is>
          <t>전년 같은 분기·전년 대비</t>
        </is>
      </c>
      <c r="G123" s="15">
        <f>IF(OR(G122="",C122=""),"",IF(G122*C122&lt;=0,"",IFERROR(G122/C122-1,"")))</f>
        <v/>
      </c>
      <c r="H123" s="15">
        <f>IF(OR(H122="",D122=""),"",IF(H122*D122&lt;=0,"",IFERROR(H122/D122-1,"")))</f>
        <v/>
      </c>
      <c r="I123" s="15">
        <f>IF(OR(I122="",E122=""),"",IF(I122*E122&lt;=0,"",IFERROR(I122/E122-1,"")))</f>
        <v/>
      </c>
      <c r="J123" s="15">
        <f>IF(OR(J122="",F122=""),"",IF(J122*F122&lt;=0,"",IFERROR(J122/F122-1,"")))</f>
        <v/>
      </c>
      <c r="K123" s="15">
        <f>IF(OR(K122="",G122=""),"",IF(K122*G122&lt;=0,"",IFERROR(K122/G122-1,"")))</f>
        <v/>
      </c>
      <c r="L123" s="15">
        <f>IF(OR(L122="",H122=""),"",IF(L122*H122&lt;=0,"",IFERROR(L122/H122-1,"")))</f>
        <v/>
      </c>
      <c r="M123" s="15">
        <f>IF(OR(M122="",I122=""),"",IF(M122*I122&lt;=0,"",IFERROR(M122/I122-1,"")))</f>
        <v/>
      </c>
      <c r="N123" s="15">
        <f>IF(OR(N122="",J122=""),"",IF(N122*J122&lt;=0,"",IFERROR(N122/J122-1,"")))</f>
        <v/>
      </c>
      <c r="T123" s="15">
        <f>IF(OR(T122="",S122=""),"",IF(T122*S122&lt;=0,"",IFERROR(T122/S122-1,"")))</f>
        <v/>
      </c>
      <c r="U123" s="15">
        <f>IF(OR(U122="",T122=""),"",IF(U122*T122&lt;=0,"",IFERROR(U122/T122-1,"")))</f>
        <v/>
      </c>
      <c r="V123" s="15">
        <f>IF(OR(V122="",U122=""),"",IF(V122*U122&lt;=0,"",IFERROR(V122/U122-1,"")))</f>
        <v/>
      </c>
      <c r="W123" s="15">
        <f>IF(OR(W122="",V122=""),"",IF(W122*V122&lt;=0,"",IFERROR(W122/V122-1,"")))</f>
        <v/>
      </c>
      <c r="X123" s="15">
        <f>IF(OR(X122="",W122=""),"",IF(X122*W122&lt;=0,"",IFERROR(X122/W122-1,"")))</f>
        <v/>
      </c>
    </row>
    <row r="124">
      <c r="A124" s="9" t="inlineStr">
        <is>
          <t>경상이익</t>
        </is>
      </c>
      <c r="C124" s="12" t="n">
        <v>3436</v>
      </c>
      <c r="D124" s="12" t="n">
        <v>2162</v>
      </c>
      <c r="E124" s="12" t="n">
        <v>2359</v>
      </c>
      <c r="F124" s="12" t="n">
        <v>2807</v>
      </c>
      <c r="G124" s="12" t="n">
        <v>3745</v>
      </c>
      <c r="H124" s="12" t="n">
        <v>2283</v>
      </c>
      <c r="I124" s="12" t="n">
        <v>2258</v>
      </c>
      <c r="J124" s="12" t="n">
        <v>2607</v>
      </c>
      <c r="K124" s="12" t="n">
        <v>3205</v>
      </c>
      <c r="L124" s="12" t="n">
        <v>3028</v>
      </c>
      <c r="M124" s="12" t="n">
        <v>3481</v>
      </c>
      <c r="N124" s="12" t="n">
        <v>4269</v>
      </c>
      <c r="T124" s="12" t="n">
        <v>1947</v>
      </c>
      <c r="U124" s="12" t="n">
        <v>2325</v>
      </c>
      <c r="V124" s="12" t="n">
        <v>2162</v>
      </c>
      <c r="W124" s="12" t="n">
        <v>2283</v>
      </c>
      <c r="X124" s="12" t="n">
        <v>3028</v>
      </c>
    </row>
    <row r="125">
      <c r="A125" s="43" t="inlineStr">
        <is>
          <t>YoY</t>
        </is>
      </c>
      <c r="B125" s="3" t="inlineStr">
        <is>
          <t>전년 같은 분기·전년 대비</t>
        </is>
      </c>
      <c r="G125" s="15">
        <f>IF(OR(G124="",C124=""),"",IF(C124&lt;=0,"",IFERROR(G124/C124-1,"")))</f>
        <v/>
      </c>
      <c r="H125" s="15">
        <f>IF(OR(H124="",D124=""),"",IF(D124&lt;=0,"",IFERROR(H124/D124-1,"")))</f>
        <v/>
      </c>
      <c r="I125" s="15">
        <f>IF(OR(I124="",E124=""),"",IF(E124&lt;=0,"",IFERROR(I124/E124-1,"")))</f>
        <v/>
      </c>
      <c r="J125" s="15">
        <f>IF(OR(J124="",F124=""),"",IF(F124&lt;=0,"",IFERROR(J124/F124-1,"")))</f>
        <v/>
      </c>
      <c r="K125" s="15">
        <f>IF(OR(K124="",G124=""),"",IF(G124&lt;=0,"",IFERROR(K124/G124-1,"")))</f>
        <v/>
      </c>
      <c r="L125" s="15">
        <f>IF(OR(L124="",H124=""),"",IF(H124&lt;=0,"",IFERROR(L124/H124-1,"")))</f>
        <v/>
      </c>
      <c r="M125" s="15">
        <f>IF(OR(M124="",I124=""),"",IF(I124&lt;=0,"",IFERROR(M124/I124-1,"")))</f>
        <v/>
      </c>
      <c r="N125" s="15">
        <f>IF(OR(N124="",J124=""),"",IF(J124&lt;=0,"",IFERROR(N124/J124-1,"")))</f>
        <v/>
      </c>
      <c r="T125" s="15">
        <f>IF(OR(T124="",S124=""),"",IF(S124&lt;=0,"",IFERROR(T124/S124-1,"")))</f>
        <v/>
      </c>
      <c r="U125" s="15">
        <f>IF(OR(U124="",T124=""),"",IF(T124&lt;=0,"",IFERROR(U124/T124-1,"")))</f>
        <v/>
      </c>
      <c r="V125" s="15">
        <f>IF(OR(V124="",U124=""),"",IF(U124&lt;=0,"",IFERROR(V124/U124-1,"")))</f>
        <v/>
      </c>
      <c r="W125" s="15">
        <f>IF(OR(W124="",V124=""),"",IF(V124&lt;=0,"",IFERROR(W124/V124-1,"")))</f>
        <v/>
      </c>
      <c r="X125" s="15">
        <f>IF(OR(X124="",W124=""),"",IF(W124&lt;=0,"",IFERROR(X124/W124-1,"")))</f>
        <v/>
      </c>
    </row>
    <row r="126">
      <c r="A126" s="18" t="inlineStr">
        <is>
          <t>투자유가증권 매각이익</t>
        </is>
      </c>
      <c r="C126" s="20" t="n">
        <v>0</v>
      </c>
      <c r="D126" s="20" t="n">
        <v>177</v>
      </c>
      <c r="E126" s="20" t="n">
        <v>0</v>
      </c>
      <c r="F126" s="20" t="n">
        <v>0</v>
      </c>
      <c r="G126" s="20" t="n">
        <v>0</v>
      </c>
      <c r="H126" s="20" t="n">
        <v>397</v>
      </c>
      <c r="I126" s="20" t="n">
        <v>0</v>
      </c>
      <c r="J126" s="20" t="n">
        <v>0</v>
      </c>
      <c r="K126" s="20" t="n">
        <v>875</v>
      </c>
      <c r="L126" s="20" t="n">
        <v>0</v>
      </c>
      <c r="M126" s="20" t="n">
        <v>50</v>
      </c>
      <c r="N126" s="20" t="n">
        <v>4</v>
      </c>
      <c r="U126" s="20" t="n">
        <v>0</v>
      </c>
      <c r="V126" s="20" t="n">
        <v>177</v>
      </c>
      <c r="W126" s="20" t="n">
        <v>397</v>
      </c>
      <c r="X126" s="20" t="n">
        <v>0</v>
      </c>
    </row>
    <row r="127">
      <c r="A127" s="18" t="inlineStr">
        <is>
          <t>고정자산 매각이익</t>
        </is>
      </c>
      <c r="C127" s="20" t="n">
        <v>1</v>
      </c>
      <c r="D127" s="20" t="n">
        <v>0</v>
      </c>
      <c r="E127" s="20" t="n">
        <v>1</v>
      </c>
      <c r="F127" s="20" t="n">
        <v>11</v>
      </c>
      <c r="G127" s="20" t="n">
        <v>76</v>
      </c>
      <c r="H127" s="20" t="n">
        <v>4</v>
      </c>
      <c r="I127" s="20" t="n">
        <v>1</v>
      </c>
      <c r="J127" s="20" t="n">
        <v>4</v>
      </c>
      <c r="K127" s="20" t="n">
        <v>3</v>
      </c>
      <c r="L127" s="20" t="n">
        <v>10</v>
      </c>
      <c r="M127" s="20" t="n">
        <v>1</v>
      </c>
      <c r="N127" s="20" t="n">
        <v>4</v>
      </c>
      <c r="T127" s="20" t="n">
        <v>3</v>
      </c>
      <c r="U127" s="20" t="n">
        <v>0</v>
      </c>
      <c r="V127" s="20" t="n">
        <v>0</v>
      </c>
      <c r="W127" s="20" t="n">
        <v>4</v>
      </c>
      <c r="X127" s="20" t="n">
        <v>10</v>
      </c>
    </row>
    <row r="128">
      <c r="A128" s="18" t="inlineStr">
        <is>
          <t>기타</t>
        </is>
      </c>
      <c r="T128" s="20" t="n">
        <v>135</v>
      </c>
      <c r="U128" s="20" t="n">
        <v>0</v>
      </c>
    </row>
    <row r="129">
      <c r="A129" s="18" t="inlineStr">
        <is>
          <t>보험금 수익</t>
        </is>
      </c>
      <c r="D129" s="20" t="n">
        <v>0</v>
      </c>
      <c r="H129" s="20" t="n">
        <v>0</v>
      </c>
      <c r="U129" s="20" t="n">
        <v>0</v>
      </c>
      <c r="V129" s="20" t="n">
        <v>0</v>
      </c>
      <c r="W129" s="20" t="n">
        <v>0</v>
      </c>
    </row>
    <row r="130">
      <c r="A130" s="18" t="inlineStr">
        <is>
          <t>특별이익 합계</t>
        </is>
      </c>
      <c r="C130" s="20" t="n">
        <v>93</v>
      </c>
      <c r="D130" s="20" t="n">
        <v>178</v>
      </c>
      <c r="E130" s="20" t="n">
        <v>1</v>
      </c>
      <c r="F130" s="20" t="n">
        <v>11</v>
      </c>
      <c r="G130" s="20" t="n">
        <v>76</v>
      </c>
      <c r="H130" s="20" t="n">
        <v>401</v>
      </c>
      <c r="I130" s="20" t="n">
        <v>2</v>
      </c>
      <c r="J130" s="20" t="n">
        <v>3</v>
      </c>
      <c r="K130" s="20" t="n">
        <v>878</v>
      </c>
      <c r="L130" s="20" t="n">
        <v>10</v>
      </c>
      <c r="M130" s="20" t="n">
        <v>51</v>
      </c>
      <c r="N130" s="20" t="n">
        <v>8</v>
      </c>
      <c r="T130" s="20" t="n">
        <v>137</v>
      </c>
      <c r="U130" s="20" t="n">
        <v>0</v>
      </c>
      <c r="V130" s="20" t="n">
        <v>178</v>
      </c>
      <c r="W130" s="20" t="n">
        <v>401</v>
      </c>
      <c r="X130" s="20" t="n">
        <v>10</v>
      </c>
    </row>
    <row r="131">
      <c r="A131" s="43" t="inlineStr">
        <is>
          <t>YoY</t>
        </is>
      </c>
      <c r="B131" s="3" t="inlineStr">
        <is>
          <t>전년 같은 분기·전년 대비</t>
        </is>
      </c>
      <c r="G131" s="15">
        <f>IF(OR(G130="",C130=""),"",IF(G130*C130&lt;=0,"",IFERROR(G130/C130-1,"")))</f>
        <v/>
      </c>
      <c r="H131" s="15">
        <f>IF(OR(H130="",D130=""),"",IF(H130*D130&lt;=0,"",IFERROR(H130/D130-1,"")))</f>
        <v/>
      </c>
      <c r="I131" s="15">
        <f>IF(OR(I130="",E130=""),"",IF(I130*E130&lt;=0,"",IFERROR(I130/E130-1,"")))</f>
        <v/>
      </c>
      <c r="J131" s="15">
        <f>IF(OR(J130="",F130=""),"",IF(J130*F130&lt;=0,"",IFERROR(J130/F130-1,"")))</f>
        <v/>
      </c>
      <c r="K131" s="15">
        <f>IF(OR(K130="",G130=""),"",IF(K130*G130&lt;=0,"",IFERROR(K130/G130-1,"")))</f>
        <v/>
      </c>
      <c r="L131" s="15">
        <f>IF(OR(L130="",H130=""),"",IF(L130*H130&lt;=0,"",IFERROR(L130/H130-1,"")))</f>
        <v/>
      </c>
      <c r="M131" s="15">
        <f>IF(OR(M130="",I130=""),"",IF(M130*I130&lt;=0,"",IFERROR(M130/I130-1,"")))</f>
        <v/>
      </c>
      <c r="N131" s="15">
        <f>IF(OR(N130="",J130=""),"",IF(N130*J130&lt;=0,"",IFERROR(N130/J130-1,"")))</f>
        <v/>
      </c>
      <c r="T131" s="15">
        <f>IF(OR(T130="",S130=""),"",IF(T130*S130&lt;=0,"",IFERROR(T130/S130-1,"")))</f>
        <v/>
      </c>
      <c r="U131" s="15">
        <f>IF(OR(U130="",T130=""),"",IF(U130*T130&lt;=0,"",IFERROR(U130/T130-1,"")))</f>
        <v/>
      </c>
      <c r="V131" s="15">
        <f>IF(OR(V130="",U130=""),"",IF(V130*U130&lt;=0,"",IFERROR(V130/U130-1,"")))</f>
        <v/>
      </c>
      <c r="W131" s="15">
        <f>IF(OR(W130="",V130=""),"",IF(W130*V130&lt;=0,"",IFERROR(W130/V130-1,"")))</f>
        <v/>
      </c>
      <c r="X131" s="15">
        <f>IF(OR(X130="",W130=""),"",IF(X130*W130&lt;=0,"",IFERROR(X130/W130-1,"")))</f>
        <v/>
      </c>
    </row>
    <row r="132">
      <c r="A132" s="18" t="inlineStr">
        <is>
          <t>투자유가증권 매각손실</t>
        </is>
      </c>
      <c r="H132" s="20" t="n">
        <v>0</v>
      </c>
      <c r="I132" s="20" t="n">
        <v>0</v>
      </c>
      <c r="J132" s="20" t="n">
        <v>0</v>
      </c>
      <c r="K132" s="20" t="n">
        <v>9</v>
      </c>
      <c r="L132" s="20" t="n">
        <v>0</v>
      </c>
      <c r="M132" s="20" t="n">
        <v>3</v>
      </c>
      <c r="N132" s="20" t="n">
        <v>0</v>
      </c>
      <c r="W132" s="20" t="n">
        <v>0</v>
      </c>
      <c r="X132" s="20" t="n">
        <v>0</v>
      </c>
    </row>
    <row r="133">
      <c r="A133" s="18" t="inlineStr">
        <is>
          <t>고정자산 처분손실</t>
        </is>
      </c>
      <c r="C133" s="20" t="n">
        <v>3</v>
      </c>
      <c r="D133" s="20" t="n">
        <v>32</v>
      </c>
      <c r="E133" s="20" t="n">
        <v>33</v>
      </c>
      <c r="F133" s="20" t="n">
        <v>125</v>
      </c>
      <c r="G133" s="20" t="n">
        <v>16</v>
      </c>
      <c r="H133" s="20" t="n">
        <v>6</v>
      </c>
      <c r="I133" s="20" t="n">
        <v>1</v>
      </c>
      <c r="J133" s="20" t="n">
        <v>0</v>
      </c>
      <c r="K133" s="20" t="n">
        <v>5</v>
      </c>
      <c r="L133" s="20" t="n">
        <v>2</v>
      </c>
      <c r="M133" s="20" t="n">
        <v>2</v>
      </c>
      <c r="N133" s="20" t="n">
        <v>0</v>
      </c>
      <c r="T133" s="20" t="n">
        <v>30</v>
      </c>
      <c r="U133" s="20" t="n">
        <v>20</v>
      </c>
      <c r="V133" s="20" t="n">
        <v>32</v>
      </c>
      <c r="W133" s="20" t="n">
        <v>6</v>
      </c>
      <c r="X133" s="20" t="n">
        <v>2</v>
      </c>
    </row>
    <row r="134">
      <c r="A134" s="18" t="inlineStr">
        <is>
          <t>대손손실</t>
        </is>
      </c>
      <c r="D134" s="20" t="n">
        <v>0</v>
      </c>
      <c r="H134" s="20" t="n">
        <v>0</v>
      </c>
      <c r="U134" s="20" t="n">
        <v>0</v>
      </c>
      <c r="V134" s="20" t="n">
        <v>0</v>
      </c>
      <c r="W134" s="20" t="n">
        <v>0</v>
      </c>
    </row>
    <row r="135">
      <c r="A135" s="18" t="inlineStr">
        <is>
          <t>기타</t>
        </is>
      </c>
      <c r="C135" s="20" t="n">
        <v>1</v>
      </c>
      <c r="D135" s="20" t="n">
        <v>0</v>
      </c>
      <c r="G135" s="20" t="n">
        <v>0</v>
      </c>
      <c r="H135" s="20" t="n">
        <v>0</v>
      </c>
      <c r="T135" s="20" t="n">
        <v>0</v>
      </c>
      <c r="U135" s="20" t="n">
        <v>0</v>
      </c>
      <c r="V135" s="20" t="n">
        <v>0</v>
      </c>
      <c r="W135" s="20" t="n">
        <v>0</v>
      </c>
    </row>
    <row r="136">
      <c r="A136" s="18" t="inlineStr">
        <is>
          <t>특별손실 합계</t>
        </is>
      </c>
      <c r="C136" s="20" t="n">
        <v>2</v>
      </c>
      <c r="D136" s="20" t="n">
        <v>33</v>
      </c>
      <c r="E136" s="20" t="n">
        <v>33</v>
      </c>
      <c r="F136" s="20" t="n">
        <v>125</v>
      </c>
      <c r="G136" s="20" t="n">
        <v>16</v>
      </c>
      <c r="H136" s="20" t="n">
        <v>6</v>
      </c>
      <c r="I136" s="20" t="n">
        <v>1</v>
      </c>
      <c r="J136" s="20" t="n">
        <v>0</v>
      </c>
      <c r="K136" s="20" t="n">
        <v>14</v>
      </c>
      <c r="L136" s="20" t="n">
        <v>22</v>
      </c>
      <c r="M136" s="20" t="n">
        <v>5</v>
      </c>
      <c r="N136" s="20" t="n">
        <v>2</v>
      </c>
      <c r="T136" s="20" t="n">
        <v>29</v>
      </c>
      <c r="U136" s="20" t="n">
        <v>21</v>
      </c>
      <c r="V136" s="20" t="n">
        <v>33</v>
      </c>
      <c r="W136" s="20" t="n">
        <v>6</v>
      </c>
      <c r="X136" s="20" t="n">
        <v>22</v>
      </c>
    </row>
    <row r="137">
      <c r="A137" s="43" t="inlineStr">
        <is>
          <t>YoY</t>
        </is>
      </c>
      <c r="B137" s="3" t="inlineStr">
        <is>
          <t>전년 같은 분기·전년 대비</t>
        </is>
      </c>
      <c r="G137" s="15">
        <f>IF(OR(G136="",C136=""),"",IF(G136*C136&lt;=0,"",IFERROR(G136/C136-1,"")))</f>
        <v/>
      </c>
      <c r="H137" s="15">
        <f>IF(OR(H136="",D136=""),"",IF(H136*D136&lt;=0,"",IFERROR(H136/D136-1,"")))</f>
        <v/>
      </c>
      <c r="I137" s="15">
        <f>IF(OR(I136="",E136=""),"",IF(I136*E136&lt;=0,"",IFERROR(I136/E136-1,"")))</f>
        <v/>
      </c>
      <c r="J137" s="15">
        <f>IF(OR(J136="",F136=""),"",IF(J136*F136&lt;=0,"",IFERROR(J136/F136-1,"")))</f>
        <v/>
      </c>
      <c r="K137" s="15">
        <f>IF(OR(K136="",G136=""),"",IF(K136*G136&lt;=0,"",IFERROR(K136/G136-1,"")))</f>
        <v/>
      </c>
      <c r="L137" s="15">
        <f>IF(OR(L136="",H136=""),"",IF(L136*H136&lt;=0,"",IFERROR(L136/H136-1,"")))</f>
        <v/>
      </c>
      <c r="M137" s="15">
        <f>IF(OR(M136="",I136=""),"",IF(M136*I136&lt;=0,"",IFERROR(M136/I136-1,"")))</f>
        <v/>
      </c>
      <c r="N137" s="15">
        <f>IF(OR(N136="",J136=""),"",IF(N136*J136&lt;=0,"",IFERROR(N136/J136-1,"")))</f>
        <v/>
      </c>
      <c r="T137" s="15">
        <f>IF(OR(T136="",S136=""),"",IF(T136*S136&lt;=0,"",IFERROR(T136/S136-1,"")))</f>
        <v/>
      </c>
      <c r="U137" s="15">
        <f>IF(OR(U136="",T136=""),"",IF(U136*T136&lt;=0,"",IFERROR(U136/T136-1,"")))</f>
        <v/>
      </c>
      <c r="V137" s="15">
        <f>IF(OR(V136="",U136=""),"",IF(V136*U136&lt;=0,"",IFERROR(V136/U136-1,"")))</f>
        <v/>
      </c>
      <c r="W137" s="15">
        <f>IF(OR(W136="",V136=""),"",IF(W136*V136&lt;=0,"",IFERROR(W136/V136-1,"")))</f>
        <v/>
      </c>
      <c r="X137" s="15">
        <f>IF(OR(X136="",W136=""),"",IF(X136*W136&lt;=0,"",IFERROR(X136/W136-1,"")))</f>
        <v/>
      </c>
    </row>
    <row r="138">
      <c r="A138" s="9" t="inlineStr">
        <is>
          <t>법인세차감전 순이익</t>
        </is>
      </c>
      <c r="C138" s="12" t="n">
        <v>3527</v>
      </c>
      <c r="D138" s="12" t="n">
        <v>2308</v>
      </c>
      <c r="E138" s="12" t="n">
        <v>2328</v>
      </c>
      <c r="F138" s="12" t="n">
        <v>2692</v>
      </c>
      <c r="G138" s="12" t="n">
        <v>3806</v>
      </c>
      <c r="H138" s="12" t="n">
        <v>2677</v>
      </c>
      <c r="I138" s="12" t="n">
        <v>2258</v>
      </c>
      <c r="J138" s="12" t="n">
        <v>2611</v>
      </c>
      <c r="K138" s="12" t="n">
        <v>4069</v>
      </c>
      <c r="L138" s="12" t="n">
        <v>3016</v>
      </c>
      <c r="M138" s="12" t="n">
        <v>3527</v>
      </c>
      <c r="N138" s="12" t="n">
        <v>4275</v>
      </c>
      <c r="T138" s="12" t="n">
        <v>2056</v>
      </c>
      <c r="U138" s="12" t="n">
        <v>2305</v>
      </c>
      <c r="V138" s="12" t="n">
        <v>2308</v>
      </c>
      <c r="W138" s="12" t="n">
        <v>2677</v>
      </c>
      <c r="X138" s="12" t="n">
        <v>3016</v>
      </c>
    </row>
    <row r="139">
      <c r="A139" s="43" t="inlineStr">
        <is>
          <t>YoY</t>
        </is>
      </c>
      <c r="B139" s="3" t="inlineStr">
        <is>
          <t>전년 같은 분기·전년 대비</t>
        </is>
      </c>
      <c r="G139" s="15">
        <f>IF(OR(G138="",C138=""),"",IF(C138&lt;=0,"",IFERROR(G138/C138-1,"")))</f>
        <v/>
      </c>
      <c r="H139" s="15">
        <f>IF(OR(H138="",D138=""),"",IF(D138&lt;=0,"",IFERROR(H138/D138-1,"")))</f>
        <v/>
      </c>
      <c r="I139" s="15">
        <f>IF(OR(I138="",E138=""),"",IF(E138&lt;=0,"",IFERROR(I138/E138-1,"")))</f>
        <v/>
      </c>
      <c r="J139" s="15">
        <f>IF(OR(J138="",F138=""),"",IF(F138&lt;=0,"",IFERROR(J138/F138-1,"")))</f>
        <v/>
      </c>
      <c r="K139" s="15">
        <f>IF(OR(K138="",G138=""),"",IF(G138&lt;=0,"",IFERROR(K138/G138-1,"")))</f>
        <v/>
      </c>
      <c r="L139" s="15">
        <f>IF(OR(L138="",H138=""),"",IF(H138&lt;=0,"",IFERROR(L138/H138-1,"")))</f>
        <v/>
      </c>
      <c r="M139" s="15">
        <f>IF(OR(M138="",I138=""),"",IF(I138&lt;=0,"",IFERROR(M138/I138-1,"")))</f>
        <v/>
      </c>
      <c r="N139" s="15">
        <f>IF(OR(N138="",J138=""),"",IF(J138&lt;=0,"",IFERROR(N138/J138-1,"")))</f>
        <v/>
      </c>
      <c r="T139" s="15">
        <f>IF(OR(T138="",S138=""),"",IF(S138&lt;=0,"",IFERROR(T138/S138-1,"")))</f>
        <v/>
      </c>
      <c r="U139" s="15">
        <f>IF(OR(U138="",T138=""),"",IF(T138&lt;=0,"",IFERROR(U138/T138-1,"")))</f>
        <v/>
      </c>
      <c r="V139" s="15">
        <f>IF(OR(V138="",U138=""),"",IF(U138&lt;=0,"",IFERROR(V138/U138-1,"")))</f>
        <v/>
      </c>
      <c r="W139" s="15">
        <f>IF(OR(W138="",V138=""),"",IF(V138&lt;=0,"",IFERROR(W138/V138-1,"")))</f>
        <v/>
      </c>
      <c r="X139" s="15">
        <f>IF(OR(X138="",W138=""),"",IF(W138&lt;=0,"",IFERROR(X138/W138-1,"")))</f>
        <v/>
      </c>
    </row>
    <row r="140">
      <c r="A140" s="18" t="inlineStr">
        <is>
          <t>법인세·주민세·사업세</t>
        </is>
      </c>
      <c r="C140" s="20" t="n">
        <v>768</v>
      </c>
      <c r="D140" s="20" t="n">
        <v>1028</v>
      </c>
      <c r="E140" s="20" t="n">
        <v>375</v>
      </c>
      <c r="F140" s="20" t="n">
        <v>1142</v>
      </c>
      <c r="G140" s="20" t="n">
        <v>863</v>
      </c>
      <c r="H140" s="20" t="n">
        <v>962</v>
      </c>
      <c r="I140" s="20" t="n">
        <v>329</v>
      </c>
      <c r="J140" s="20" t="n">
        <v>1121</v>
      </c>
      <c r="K140" s="20" t="n">
        <v>994</v>
      </c>
      <c r="L140" s="20" t="n">
        <v>1387</v>
      </c>
      <c r="M140" s="20" t="n">
        <v>810</v>
      </c>
      <c r="N140" s="20" t="n">
        <v>1756</v>
      </c>
      <c r="T140" s="20" t="n">
        <v>1008</v>
      </c>
      <c r="U140" s="20" t="n">
        <v>868</v>
      </c>
      <c r="V140" s="20" t="n">
        <v>1028</v>
      </c>
      <c r="W140" s="20" t="n">
        <v>962</v>
      </c>
      <c r="X140" s="20" t="n">
        <v>1387</v>
      </c>
    </row>
    <row r="141">
      <c r="A141" s="18" t="inlineStr">
        <is>
          <t>법인세 조정액</t>
        </is>
      </c>
      <c r="C141" s="20" t="n">
        <v>297</v>
      </c>
      <c r="D141" s="20" t="n">
        <v>-417</v>
      </c>
      <c r="E141" s="20" t="n">
        <v>325</v>
      </c>
      <c r="F141" s="20" t="n">
        <v>-273</v>
      </c>
      <c r="G141" s="20" t="n">
        <v>286</v>
      </c>
      <c r="H141" s="20" t="n">
        <v>-376</v>
      </c>
      <c r="I141" s="20" t="n">
        <v>381</v>
      </c>
      <c r="J141" s="20" t="n">
        <v>-259</v>
      </c>
      <c r="K141" s="20" t="n">
        <v>288</v>
      </c>
      <c r="L141" s="20" t="n">
        <v>-323</v>
      </c>
      <c r="M141" s="20" t="n">
        <v>338</v>
      </c>
      <c r="N141" s="20" t="n">
        <v>-289</v>
      </c>
      <c r="T141" s="20" t="n">
        <v>-305</v>
      </c>
      <c r="U141" s="20" t="n">
        <v>-170</v>
      </c>
      <c r="V141" s="20" t="n">
        <v>-417</v>
      </c>
      <c r="W141" s="20" t="n">
        <v>-376</v>
      </c>
      <c r="X141" s="20" t="n">
        <v>-323</v>
      </c>
    </row>
    <row r="142">
      <c r="A142" s="18" t="inlineStr">
        <is>
          <t>법인세 등 합계</t>
        </is>
      </c>
      <c r="C142" s="20" t="n">
        <v>1066</v>
      </c>
      <c r="D142" s="20" t="n">
        <v>609</v>
      </c>
      <c r="E142" s="20" t="n">
        <v>701</v>
      </c>
      <c r="F142" s="20" t="n">
        <v>868</v>
      </c>
      <c r="G142" s="20" t="n">
        <v>1150</v>
      </c>
      <c r="H142" s="20" t="n">
        <v>585</v>
      </c>
      <c r="I142" s="20" t="n">
        <v>710</v>
      </c>
      <c r="J142" s="20" t="n">
        <v>862</v>
      </c>
      <c r="K142" s="20" t="n">
        <v>1282</v>
      </c>
      <c r="L142" s="20" t="n">
        <v>1064</v>
      </c>
      <c r="M142" s="20" t="n">
        <v>1149</v>
      </c>
      <c r="N142" s="20" t="n">
        <v>1467</v>
      </c>
      <c r="T142" s="20" t="n">
        <v>702</v>
      </c>
      <c r="U142" s="20" t="n">
        <v>699</v>
      </c>
      <c r="V142" s="20" t="n">
        <v>609</v>
      </c>
      <c r="W142" s="20" t="n">
        <v>585</v>
      </c>
      <c r="X142" s="20" t="n">
        <v>1064</v>
      </c>
    </row>
    <row r="143">
      <c r="A143" s="43" t="inlineStr">
        <is>
          <t>YoY</t>
        </is>
      </c>
      <c r="B143" s="3" t="inlineStr">
        <is>
          <t>전년 같은 분기·전년 대비</t>
        </is>
      </c>
      <c r="G143" s="15">
        <f>IF(OR(G142="",C142=""),"",IF(G142*C142&lt;=0,"",IFERROR(G142/C142-1,"")))</f>
        <v/>
      </c>
      <c r="H143" s="15">
        <f>IF(OR(H142="",D142=""),"",IF(H142*D142&lt;=0,"",IFERROR(H142/D142-1,"")))</f>
        <v/>
      </c>
      <c r="I143" s="15">
        <f>IF(OR(I142="",E142=""),"",IF(I142*E142&lt;=0,"",IFERROR(I142/E142-1,"")))</f>
        <v/>
      </c>
      <c r="J143" s="15">
        <f>IF(OR(J142="",F142=""),"",IF(J142*F142&lt;=0,"",IFERROR(J142/F142-1,"")))</f>
        <v/>
      </c>
      <c r="K143" s="15">
        <f>IF(OR(K142="",G142=""),"",IF(K142*G142&lt;=0,"",IFERROR(K142/G142-1,"")))</f>
        <v/>
      </c>
      <c r="L143" s="15">
        <f>IF(OR(L142="",H142=""),"",IF(L142*H142&lt;=0,"",IFERROR(L142/H142-1,"")))</f>
        <v/>
      </c>
      <c r="M143" s="15">
        <f>IF(OR(M142="",I142=""),"",IF(M142*I142&lt;=0,"",IFERROR(M142/I142-1,"")))</f>
        <v/>
      </c>
      <c r="N143" s="15">
        <f>IF(OR(N142="",J142=""),"",IF(N142*J142&lt;=0,"",IFERROR(N142/J142-1,"")))</f>
        <v/>
      </c>
      <c r="T143" s="15">
        <f>IF(OR(T142="",S142=""),"",IF(T142*S142&lt;=0,"",IFERROR(T142/S142-1,"")))</f>
        <v/>
      </c>
      <c r="U143" s="15">
        <f>IF(OR(U142="",T142=""),"",IF(U142*T142&lt;=0,"",IFERROR(U142/T142-1,"")))</f>
        <v/>
      </c>
      <c r="V143" s="15">
        <f>IF(OR(V142="",U142=""),"",IF(V142*U142&lt;=0,"",IFERROR(V142/U142-1,"")))</f>
        <v/>
      </c>
      <c r="W143" s="15">
        <f>IF(OR(W142="",V142=""),"",IF(W142*V142&lt;=0,"",IFERROR(W142/V142-1,"")))</f>
        <v/>
      </c>
      <c r="X143" s="15">
        <f>IF(OR(X142="",W142=""),"",IF(X142*W142&lt;=0,"",IFERROR(X142/W142-1,"")))</f>
        <v/>
      </c>
    </row>
    <row r="144">
      <c r="A144" s="9" t="inlineStr">
        <is>
          <t>순이익</t>
        </is>
      </c>
      <c r="C144" s="12" t="n">
        <v>2461</v>
      </c>
      <c r="D144" s="12" t="n">
        <v>1698</v>
      </c>
      <c r="E144" s="12" t="n">
        <v>1626</v>
      </c>
      <c r="F144" s="12" t="n">
        <v>1824</v>
      </c>
      <c r="G144" s="12" t="n">
        <v>2657</v>
      </c>
      <c r="H144" s="12" t="n">
        <v>2092</v>
      </c>
      <c r="I144" s="12" t="n">
        <v>1547</v>
      </c>
      <c r="J144" s="12" t="n">
        <v>1749</v>
      </c>
      <c r="K144" s="12" t="n">
        <v>2788</v>
      </c>
      <c r="L144" s="12" t="n">
        <v>1952</v>
      </c>
      <c r="M144" s="12" t="n">
        <v>2378</v>
      </c>
      <c r="N144" s="12" t="n">
        <v>2807</v>
      </c>
      <c r="T144" s="12" t="n">
        <v>1353</v>
      </c>
      <c r="U144" s="12" t="n">
        <v>1606</v>
      </c>
      <c r="V144" s="12" t="n">
        <v>1698</v>
      </c>
      <c r="W144" s="12" t="n">
        <v>2092</v>
      </c>
      <c r="X144" s="12" t="n">
        <v>1952</v>
      </c>
    </row>
    <row r="145">
      <c r="A145" s="43" t="inlineStr">
        <is>
          <t>YoY</t>
        </is>
      </c>
      <c r="B145" s="3" t="inlineStr">
        <is>
          <t>전년 같은 분기·전년 대비</t>
        </is>
      </c>
      <c r="G145" s="15">
        <f>IF(OR(G144="",C144=""),"",IF(C144&lt;=0,"",IFERROR(G144/C144-1,"")))</f>
        <v/>
      </c>
      <c r="H145" s="15">
        <f>IF(OR(H144="",D144=""),"",IF(D144&lt;=0,"",IFERROR(H144/D144-1,"")))</f>
        <v/>
      </c>
      <c r="I145" s="15">
        <f>IF(OR(I144="",E144=""),"",IF(E144&lt;=0,"",IFERROR(I144/E144-1,"")))</f>
        <v/>
      </c>
      <c r="J145" s="15">
        <f>IF(OR(J144="",F144=""),"",IF(F144&lt;=0,"",IFERROR(J144/F144-1,"")))</f>
        <v/>
      </c>
      <c r="K145" s="15">
        <f>IF(OR(K144="",G144=""),"",IF(G144&lt;=0,"",IFERROR(K144/G144-1,"")))</f>
        <v/>
      </c>
      <c r="L145" s="15">
        <f>IF(OR(L144="",H144=""),"",IF(H144&lt;=0,"",IFERROR(L144/H144-1,"")))</f>
        <v/>
      </c>
      <c r="M145" s="15">
        <f>IF(OR(M144="",I144=""),"",IF(I144&lt;=0,"",IFERROR(M144/I144-1,"")))</f>
        <v/>
      </c>
      <c r="N145" s="15">
        <f>IF(OR(N144="",J144=""),"",IF(J144&lt;=0,"",IFERROR(N144/J144-1,"")))</f>
        <v/>
      </c>
      <c r="T145" s="15">
        <f>IF(OR(T144="",S144=""),"",IF(S144&lt;=0,"",IFERROR(T144/S144-1,"")))</f>
        <v/>
      </c>
      <c r="U145" s="15">
        <f>IF(OR(U144="",T144=""),"",IF(T144&lt;=0,"",IFERROR(U144/T144-1,"")))</f>
        <v/>
      </c>
      <c r="V145" s="15">
        <f>IF(OR(V144="",U144=""),"",IF(U144&lt;=0,"",IFERROR(V144/U144-1,"")))</f>
        <v/>
      </c>
      <c r="W145" s="15">
        <f>IF(OR(W144="",V144=""),"",IF(V144&lt;=0,"",IFERROR(W144/V144-1,"")))</f>
        <v/>
      </c>
      <c r="X145" s="15">
        <f>IF(OR(X144="",W144=""),"",IF(W144&lt;=0,"",IFERROR(X144/W144-1,"")))</f>
        <v/>
      </c>
    </row>
    <row r="146">
      <c r="A146" s="9" t="inlineStr">
        <is>
          <t>비지배주주 순손익</t>
        </is>
      </c>
      <c r="C146" s="12" t="n">
        <v>152</v>
      </c>
      <c r="D146" s="12" t="n">
        <v>60</v>
      </c>
      <c r="E146" s="12" t="n">
        <v>98</v>
      </c>
      <c r="F146" s="12" t="n">
        <v>4</v>
      </c>
      <c r="G146" s="12" t="n">
        <v>4</v>
      </c>
      <c r="H146" s="12" t="n">
        <v>8</v>
      </c>
      <c r="I146" s="12" t="n">
        <v>-3</v>
      </c>
      <c r="J146" s="12" t="n">
        <v>1</v>
      </c>
      <c r="K146" s="12" t="n">
        <v>7</v>
      </c>
      <c r="L146" s="12" t="n">
        <v>-2</v>
      </c>
      <c r="M146" s="12" t="n">
        <v>4</v>
      </c>
      <c r="N146" s="12" t="n">
        <v>6</v>
      </c>
      <c r="T146" s="12" t="n">
        <v>57</v>
      </c>
      <c r="U146" s="12" t="n">
        <v>64</v>
      </c>
      <c r="V146" s="12" t="n">
        <v>60</v>
      </c>
      <c r="W146" s="12" t="n">
        <v>8</v>
      </c>
      <c r="X146" s="12" t="n">
        <v>-2</v>
      </c>
    </row>
    <row r="147">
      <c r="A147" s="9" t="inlineStr">
        <is>
          <t>지배주주 순이익</t>
        </is>
      </c>
      <c r="C147" s="12" t="n">
        <v>2309</v>
      </c>
      <c r="D147" s="12" t="n">
        <v>1639</v>
      </c>
      <c r="E147" s="12" t="n">
        <v>1528</v>
      </c>
      <c r="F147" s="12" t="n">
        <v>1819</v>
      </c>
      <c r="G147" s="12" t="n">
        <v>2653</v>
      </c>
      <c r="H147" s="12" t="n">
        <v>2084</v>
      </c>
      <c r="I147" s="12" t="n">
        <v>1551</v>
      </c>
      <c r="J147" s="12" t="n">
        <v>1748</v>
      </c>
      <c r="K147" s="12" t="n">
        <v>2779</v>
      </c>
      <c r="L147" s="12" t="n">
        <v>1955</v>
      </c>
      <c r="M147" s="12" t="n">
        <v>2374</v>
      </c>
      <c r="N147" s="12" t="n">
        <v>2801</v>
      </c>
      <c r="T147" s="12" t="n">
        <v>1297</v>
      </c>
      <c r="U147" s="12" t="n">
        <v>1543</v>
      </c>
      <c r="V147" s="12" t="n">
        <v>1639</v>
      </c>
      <c r="W147" s="12" t="n">
        <v>2084</v>
      </c>
      <c r="X147" s="12" t="n">
        <v>1955</v>
      </c>
    </row>
    <row r="148">
      <c r="A148" s="43" t="inlineStr">
        <is>
          <t>YoY</t>
        </is>
      </c>
      <c r="B148" s="3" t="inlineStr">
        <is>
          <t>전년 같은 분기·전년 대비</t>
        </is>
      </c>
      <c r="G148" s="15">
        <f>IF(OR(G147="",C147=""),"",IF(C147&lt;=0,"",IFERROR(G147/C147-1,"")))</f>
        <v/>
      </c>
      <c r="H148" s="15">
        <f>IF(OR(H147="",D147=""),"",IF(D147&lt;=0,"",IFERROR(H147/D147-1,"")))</f>
        <v/>
      </c>
      <c r="I148" s="15">
        <f>IF(OR(I147="",E147=""),"",IF(E147&lt;=0,"",IFERROR(I147/E147-1,"")))</f>
        <v/>
      </c>
      <c r="J148" s="15">
        <f>IF(OR(J147="",F147=""),"",IF(F147&lt;=0,"",IFERROR(J147/F147-1,"")))</f>
        <v/>
      </c>
      <c r="K148" s="15">
        <f>IF(OR(K147="",G147=""),"",IF(G147&lt;=0,"",IFERROR(K147/G147-1,"")))</f>
        <v/>
      </c>
      <c r="L148" s="15">
        <f>IF(OR(L147="",H147=""),"",IF(H147&lt;=0,"",IFERROR(L147/H147-1,"")))</f>
        <v/>
      </c>
      <c r="M148" s="15">
        <f>IF(OR(M147="",I147=""),"",IF(I147&lt;=0,"",IFERROR(M147/I147-1,"")))</f>
        <v/>
      </c>
      <c r="N148" s="15">
        <f>IF(OR(N147="",J147=""),"",IF(J147&lt;=0,"",IFERROR(N147/J147-1,"")))</f>
        <v/>
      </c>
      <c r="T148" s="15">
        <f>IF(OR(T147="",S147=""),"",IF(S147&lt;=0,"",IFERROR(T147/S147-1,"")))</f>
        <v/>
      </c>
      <c r="U148" s="15">
        <f>IF(OR(U147="",T147=""),"",IF(T147&lt;=0,"",IFERROR(U147/T147-1,"")))</f>
        <v/>
      </c>
      <c r="V148" s="15">
        <f>IF(OR(V147="",U147=""),"",IF(U147&lt;=0,"",IFERROR(V147/U147-1,"")))</f>
        <v/>
      </c>
      <c r="W148" s="15">
        <f>IF(OR(W147="",V147=""),"",IF(V147&lt;=0,"",IFERROR(W147/V147-1,"")))</f>
        <v/>
      </c>
      <c r="X148" s="15">
        <f>IF(OR(X147="",W147=""),"",IF(W147&lt;=0,"",IFERROR(X147/W147-1,"")))</f>
        <v/>
      </c>
    </row>
    <row r="150">
      <c r="A150" s="16" t="inlineStr">
        <is>
          <t>포괄손익 · 전 항목</t>
        </is>
      </c>
      <c r="B150" s="42" t="inlineStr">
        <is>
          <t>분기 = 3개월 단독</t>
        </is>
      </c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  <c r="AA150" s="16" t="n"/>
      <c r="AB150" s="16" t="n"/>
      <c r="AC150" s="16" t="n"/>
    </row>
    <row r="151">
      <c r="A151" s="5" t="inlineStr">
        <is>
          <t>항목</t>
        </is>
      </c>
      <c r="B151" s="5" t="inlineStr">
        <is>
          <t>참고</t>
        </is>
      </c>
      <c r="C151" s="5" t="inlineStr">
        <is>
          <t>2024.3Q</t>
        </is>
      </c>
      <c r="D151" s="5" t="inlineStr">
        <is>
          <t>2024.4Q</t>
        </is>
      </c>
      <c r="E151" s="5" t="inlineStr">
        <is>
          <t>2025.1Q</t>
        </is>
      </c>
      <c r="F151" s="5" t="inlineStr">
        <is>
          <t>2025.2Q</t>
        </is>
      </c>
      <c r="G151" s="5" t="inlineStr">
        <is>
          <t>2025.3Q</t>
        </is>
      </c>
      <c r="H151" s="5" t="inlineStr">
        <is>
          <t>2025.4Q</t>
        </is>
      </c>
      <c r="I151" s="5" t="inlineStr">
        <is>
          <t>2026.1Q</t>
        </is>
      </c>
      <c r="J151" s="5" t="inlineStr">
        <is>
          <t>2026.2Q</t>
        </is>
      </c>
      <c r="K151" s="5" t="inlineStr">
        <is>
          <t>2026.3Q</t>
        </is>
      </c>
      <c r="L151" s="5" t="inlineStr">
        <is>
          <t>2026.4Q</t>
        </is>
      </c>
      <c r="M151" s="5" t="inlineStr">
        <is>
          <t>2027.1Q</t>
        </is>
      </c>
      <c r="N151" s="5" t="inlineStr">
        <is>
          <t>2027.2Q</t>
        </is>
      </c>
      <c r="O151" s="5" t="inlineStr">
        <is>
          <t>2017</t>
        </is>
      </c>
      <c r="P151" s="5" t="inlineStr">
        <is>
          <t>2018</t>
        </is>
      </c>
      <c r="Q151" s="5" t="inlineStr">
        <is>
          <t>2019</t>
        </is>
      </c>
      <c r="R151" s="5" t="inlineStr">
        <is>
          <t>2020</t>
        </is>
      </c>
      <c r="S151" s="5" t="inlineStr">
        <is>
          <t>2021</t>
        </is>
      </c>
      <c r="T151" s="5" t="inlineStr">
        <is>
          <t>2022</t>
        </is>
      </c>
      <c r="U151" s="5" t="inlineStr">
        <is>
          <t>2023</t>
        </is>
      </c>
      <c r="V151" s="5" t="inlineStr">
        <is>
          <t>2024</t>
        </is>
      </c>
      <c r="W151" s="5" t="inlineStr">
        <is>
          <t>2025</t>
        </is>
      </c>
      <c r="X151" s="5" t="inlineStr">
        <is>
          <t>2026</t>
        </is>
      </c>
      <c r="Y151" s="5" t="inlineStr">
        <is>
          <t>2027(MW)</t>
        </is>
      </c>
      <c r="Z151" s="5" t="inlineStr">
        <is>
          <t>2028(MW)</t>
        </is>
      </c>
      <c r="AA151" s="5" t="inlineStr">
        <is>
          <t>2029(MW)</t>
        </is>
      </c>
      <c r="AB151" s="5" t="inlineStr">
        <is>
          <t>2030(MW)</t>
        </is>
      </c>
      <c r="AC151" s="5" t="inlineStr">
        <is>
          <t>2031(MW)</t>
        </is>
      </c>
    </row>
    <row r="152">
      <c r="A152" s="9" t="inlineStr">
        <is>
          <t>순이익</t>
        </is>
      </c>
      <c r="C152" s="12" t="n">
        <v>2461</v>
      </c>
      <c r="D152" s="12" t="n">
        <v>1698</v>
      </c>
      <c r="E152" s="12" t="n">
        <v>1626</v>
      </c>
      <c r="F152" s="12" t="n">
        <v>1824</v>
      </c>
      <c r="G152" s="12" t="n">
        <v>2657</v>
      </c>
      <c r="H152" s="12" t="n">
        <v>2092</v>
      </c>
      <c r="I152" s="12" t="n">
        <v>1547</v>
      </c>
      <c r="J152" s="12" t="n">
        <v>1749</v>
      </c>
      <c r="K152" s="12" t="n">
        <v>2788</v>
      </c>
      <c r="L152" s="12" t="n">
        <v>1952</v>
      </c>
      <c r="M152" s="12" t="n">
        <v>2378</v>
      </c>
      <c r="N152" s="12" t="n">
        <v>2807</v>
      </c>
      <c r="T152" s="12" t="n">
        <v>1353</v>
      </c>
      <c r="U152" s="12" t="n">
        <v>1606</v>
      </c>
      <c r="V152" s="12" t="n">
        <v>1698</v>
      </c>
      <c r="W152" s="12" t="n">
        <v>2092</v>
      </c>
      <c r="X152" s="12" t="n">
        <v>1952</v>
      </c>
    </row>
    <row r="153">
      <c r="A153" s="18" t="inlineStr">
        <is>
          <t>기타유가증권 평가차액</t>
        </is>
      </c>
      <c r="C153" s="20" t="n">
        <v>681</v>
      </c>
      <c r="D153" s="20" t="n">
        <v>485</v>
      </c>
      <c r="E153" s="20" t="n">
        <v>75</v>
      </c>
      <c r="F153" s="20" t="n">
        <v>-448</v>
      </c>
      <c r="G153" s="20" t="n">
        <v>208</v>
      </c>
      <c r="H153" s="20" t="n">
        <v>-824</v>
      </c>
      <c r="I153" s="20" t="n">
        <v>239</v>
      </c>
      <c r="J153" s="20" t="n">
        <v>525</v>
      </c>
      <c r="K153" s="20" t="n">
        <v>-1</v>
      </c>
      <c r="L153" s="20" t="n">
        <v>-318</v>
      </c>
      <c r="M153" s="20" t="n">
        <v>1857</v>
      </c>
      <c r="N153" s="20" t="n">
        <v>-438</v>
      </c>
      <c r="T153" s="20" t="n">
        <v>-256</v>
      </c>
      <c r="U153" s="20" t="n">
        <v>406</v>
      </c>
      <c r="V153" s="20" t="n">
        <v>485</v>
      </c>
      <c r="W153" s="20" t="n">
        <v>-824</v>
      </c>
      <c r="X153" s="20" t="n">
        <v>-318</v>
      </c>
    </row>
    <row r="154">
      <c r="A154" s="18" t="inlineStr">
        <is>
          <t>이연헤지손익</t>
        </is>
      </c>
      <c r="C154" s="20" t="n">
        <v>0</v>
      </c>
      <c r="D154" s="20" t="n">
        <v>0</v>
      </c>
      <c r="E154" s="20" t="n">
        <v>-0</v>
      </c>
      <c r="F154" s="20" t="n">
        <v>0</v>
      </c>
      <c r="G154" s="20" t="n">
        <v>0</v>
      </c>
      <c r="H154" s="20" t="n">
        <v>0</v>
      </c>
      <c r="I154" s="20" t="n">
        <v>0</v>
      </c>
      <c r="J154" s="20" t="n">
        <v>0</v>
      </c>
      <c r="M154" s="20" t="n">
        <v>-0</v>
      </c>
      <c r="N154" s="20" t="n">
        <v>0</v>
      </c>
      <c r="T154" s="20" t="n">
        <v>0</v>
      </c>
      <c r="U154" s="20" t="n">
        <v>0</v>
      </c>
      <c r="V154" s="20" t="n">
        <v>0</v>
      </c>
      <c r="W154" s="20" t="n">
        <v>0</v>
      </c>
    </row>
    <row r="155">
      <c r="A155" s="18" t="inlineStr">
        <is>
          <t>해외사업환산조정</t>
        </is>
      </c>
      <c r="C155" s="20" t="n">
        <v>90</v>
      </c>
      <c r="D155" s="20" t="n">
        <v>-175</v>
      </c>
      <c r="E155" s="20" t="n">
        <v>179</v>
      </c>
      <c r="F155" s="20" t="n">
        <v>234</v>
      </c>
      <c r="G155" s="20" t="n">
        <v>-337</v>
      </c>
      <c r="H155" s="20" t="n">
        <v>231</v>
      </c>
      <c r="I155" s="20" t="n">
        <v>-184</v>
      </c>
      <c r="J155" s="20" t="n">
        <v>-101</v>
      </c>
      <c r="K155" s="20" t="n">
        <v>70</v>
      </c>
      <c r="L155" s="20" t="n">
        <v>262</v>
      </c>
      <c r="M155" s="20" t="n">
        <v>83</v>
      </c>
      <c r="N155" s="20" t="n">
        <v>67</v>
      </c>
      <c r="T155" s="20" t="n">
        <v>108</v>
      </c>
      <c r="U155" s="20" t="n">
        <v>-326</v>
      </c>
      <c r="V155" s="20" t="n">
        <v>-175</v>
      </c>
      <c r="W155" s="20" t="n">
        <v>231</v>
      </c>
      <c r="X155" s="20" t="n">
        <v>262</v>
      </c>
    </row>
    <row r="156">
      <c r="A156" s="18" t="inlineStr">
        <is>
          <t>퇴직급여 조정액</t>
        </is>
      </c>
      <c r="C156" s="20" t="n">
        <v>-33</v>
      </c>
      <c r="D156" s="20" t="n">
        <v>1490</v>
      </c>
      <c r="E156" s="20" t="n">
        <v>-56</v>
      </c>
      <c r="F156" s="20" t="n">
        <v>-56</v>
      </c>
      <c r="G156" s="20" t="n">
        <v>-57</v>
      </c>
      <c r="H156" s="20" t="n">
        <v>73</v>
      </c>
      <c r="I156" s="20" t="n">
        <v>-61</v>
      </c>
      <c r="J156" s="20" t="n">
        <v>-61</v>
      </c>
      <c r="K156" s="20" t="n">
        <v>-61</v>
      </c>
      <c r="L156" s="20" t="n">
        <v>1609</v>
      </c>
      <c r="M156" s="20" t="n">
        <v>-109</v>
      </c>
      <c r="N156" s="20" t="n">
        <v>-110</v>
      </c>
      <c r="T156" s="20" t="n">
        <v>195</v>
      </c>
      <c r="U156" s="20" t="n">
        <v>60</v>
      </c>
      <c r="V156" s="20" t="n">
        <v>1490</v>
      </c>
      <c r="W156" s="20" t="n">
        <v>73</v>
      </c>
      <c r="X156" s="20" t="n">
        <v>1609</v>
      </c>
    </row>
    <row r="157">
      <c r="A157" s="18" t="inlineStr">
        <is>
          <t>지분법 적용회사 지분 해당액</t>
        </is>
      </c>
      <c r="C157" s="20" t="n">
        <v>-20</v>
      </c>
      <c r="D157" s="20" t="n">
        <v>25</v>
      </c>
      <c r="E157" s="20" t="n">
        <v>25</v>
      </c>
      <c r="F157" s="20" t="n">
        <v>-54</v>
      </c>
      <c r="G157" s="20" t="n">
        <v>36</v>
      </c>
      <c r="H157" s="20" t="n">
        <v>-24</v>
      </c>
      <c r="I157" s="20" t="n">
        <v>-14</v>
      </c>
      <c r="J157" s="20" t="n">
        <v>-3</v>
      </c>
      <c r="K157" s="20" t="n">
        <v>17</v>
      </c>
      <c r="L157" s="20" t="n">
        <v>-12</v>
      </c>
      <c r="M157" s="20" t="n">
        <v>5</v>
      </c>
      <c r="N157" s="20" t="n">
        <v>-22</v>
      </c>
      <c r="T157" s="20" t="n">
        <v>16</v>
      </c>
      <c r="U157" s="20" t="n">
        <v>5</v>
      </c>
      <c r="V157" s="20" t="n">
        <v>25</v>
      </c>
      <c r="W157" s="20" t="n">
        <v>-24</v>
      </c>
      <c r="X157" s="20" t="n">
        <v>-12</v>
      </c>
    </row>
    <row r="158">
      <c r="A158" s="18" t="inlineStr">
        <is>
          <t>기타포괄손익 합계</t>
        </is>
      </c>
      <c r="C158" s="20" t="n">
        <v>717</v>
      </c>
      <c r="D158" s="20" t="n">
        <v>1827</v>
      </c>
      <c r="E158" s="20" t="n">
        <v>223</v>
      </c>
      <c r="F158" s="20" t="n">
        <v>-325</v>
      </c>
      <c r="G158" s="20" t="n">
        <v>-148</v>
      </c>
      <c r="H158" s="20" t="n">
        <v>-545</v>
      </c>
      <c r="I158" s="20" t="n">
        <v>-21</v>
      </c>
      <c r="J158" s="20" t="n">
        <v>359</v>
      </c>
      <c r="K158" s="20" t="n">
        <v>27</v>
      </c>
      <c r="L158" s="20" t="n">
        <v>1542</v>
      </c>
      <c r="M158" s="20" t="n">
        <v>1837</v>
      </c>
      <c r="N158" s="20" t="n">
        <v>-504</v>
      </c>
      <c r="T158" s="20" t="n">
        <v>63</v>
      </c>
      <c r="U158" s="20" t="n">
        <v>148</v>
      </c>
      <c r="V158" s="20" t="n">
        <v>1827</v>
      </c>
      <c r="W158" s="20" t="n">
        <v>-545</v>
      </c>
      <c r="X158" s="20" t="n">
        <v>1542</v>
      </c>
    </row>
    <row r="159">
      <c r="A159" s="9" t="inlineStr">
        <is>
          <t>포괄이익</t>
        </is>
      </c>
      <c r="C159" s="12" t="n">
        <v>3178</v>
      </c>
      <c r="D159" s="12" t="n">
        <v>3526</v>
      </c>
      <c r="E159" s="12" t="n">
        <v>1850</v>
      </c>
      <c r="F159" s="12" t="n">
        <v>1497</v>
      </c>
      <c r="G159" s="12" t="n">
        <v>2509</v>
      </c>
      <c r="H159" s="12" t="n">
        <v>1548</v>
      </c>
      <c r="I159" s="12" t="n">
        <v>1526</v>
      </c>
      <c r="J159" s="12" t="n">
        <v>2109</v>
      </c>
      <c r="K159" s="12" t="n">
        <v>2814</v>
      </c>
      <c r="L159" s="12" t="n">
        <v>3494</v>
      </c>
      <c r="M159" s="12" t="n">
        <v>4215</v>
      </c>
      <c r="N159" s="12" t="n">
        <v>2304</v>
      </c>
      <c r="T159" s="12" t="n">
        <v>1417</v>
      </c>
      <c r="U159" s="12" t="n">
        <v>1753</v>
      </c>
      <c r="V159" s="12" t="n">
        <v>3526</v>
      </c>
      <c r="W159" s="12" t="n">
        <v>1548</v>
      </c>
      <c r="X159" s="12" t="n">
        <v>3494</v>
      </c>
    </row>
    <row r="160">
      <c r="A160" s="9" t="inlineStr">
        <is>
          <t>지배주주 포괄이익</t>
        </is>
      </c>
      <c r="C160" s="12" t="n">
        <v>3033</v>
      </c>
      <c r="D160" s="12" t="n">
        <v>3413</v>
      </c>
      <c r="E160" s="12" t="n">
        <v>1727</v>
      </c>
      <c r="F160" s="12" t="n">
        <v>1482</v>
      </c>
      <c r="G160" s="12" t="n">
        <v>2520</v>
      </c>
      <c r="H160" s="12" t="n">
        <v>1528</v>
      </c>
      <c r="I160" s="12" t="n">
        <v>1557</v>
      </c>
      <c r="J160" s="12" t="n">
        <v>2111</v>
      </c>
      <c r="K160" s="12" t="n">
        <v>2808</v>
      </c>
      <c r="L160" s="12" t="n">
        <v>3480</v>
      </c>
      <c r="M160" s="12" t="n">
        <v>4211</v>
      </c>
      <c r="N160" s="12" t="n">
        <v>2310</v>
      </c>
      <c r="T160" s="12" t="n">
        <v>1374</v>
      </c>
      <c r="U160" s="12" t="n">
        <v>1670</v>
      </c>
      <c r="V160" s="12" t="n">
        <v>3413</v>
      </c>
      <c r="W160" s="12" t="n">
        <v>1528</v>
      </c>
      <c r="X160" s="12" t="n">
        <v>3480</v>
      </c>
    </row>
    <row r="161">
      <c r="A161" s="9" t="inlineStr">
        <is>
          <t>비지배주주 포괄이익</t>
        </is>
      </c>
      <c r="C161" s="12" t="n">
        <v>145</v>
      </c>
      <c r="D161" s="12" t="n">
        <v>113</v>
      </c>
      <c r="E161" s="12" t="n">
        <v>122</v>
      </c>
      <c r="F161" s="12" t="n">
        <v>16</v>
      </c>
      <c r="G161" s="12" t="n">
        <v>-11</v>
      </c>
      <c r="H161" s="12" t="n">
        <v>20</v>
      </c>
      <c r="I161" s="12" t="n">
        <v>-31</v>
      </c>
      <c r="J161" s="12" t="n">
        <v>-2</v>
      </c>
      <c r="K161" s="12" t="n">
        <v>7</v>
      </c>
      <c r="L161" s="12" t="n">
        <v>14</v>
      </c>
      <c r="M161" s="12" t="n">
        <v>4</v>
      </c>
      <c r="N161" s="12" t="n">
        <v>-5</v>
      </c>
      <c r="T161" s="12" t="n">
        <v>44</v>
      </c>
      <c r="U161" s="12" t="n">
        <v>84</v>
      </c>
      <c r="V161" s="12" t="n">
        <v>113</v>
      </c>
      <c r="W161" s="12" t="n">
        <v>20</v>
      </c>
      <c r="X161" s="12" t="n">
        <v>14</v>
      </c>
    </row>
    <row r="163">
      <c r="A163" s="16" t="inlineStr">
        <is>
          <t>부문 · 전 항목</t>
        </is>
      </c>
      <c r="B163" s="42" t="inlineStr">
        <is>
          <t>부문 · 항목</t>
        </is>
      </c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  <c r="AA163" s="16" t="n"/>
      <c r="AB163" s="16" t="n"/>
      <c r="AC163" s="16" t="n"/>
    </row>
    <row r="164">
      <c r="A164" s="5" t="inlineStr">
        <is>
          <t>항목</t>
        </is>
      </c>
      <c r="B164" s="5" t="inlineStr">
        <is>
          <t>참고</t>
        </is>
      </c>
      <c r="C164" s="5" t="inlineStr">
        <is>
          <t>2024.3Q</t>
        </is>
      </c>
      <c r="D164" s="5" t="inlineStr">
        <is>
          <t>2024.4Q</t>
        </is>
      </c>
      <c r="E164" s="5" t="inlineStr">
        <is>
          <t>2025.1Q</t>
        </is>
      </c>
      <c r="F164" s="5" t="inlineStr">
        <is>
          <t>2025.2Q</t>
        </is>
      </c>
      <c r="G164" s="5" t="inlineStr">
        <is>
          <t>2025.3Q</t>
        </is>
      </c>
      <c r="H164" s="5" t="inlineStr">
        <is>
          <t>2025.4Q</t>
        </is>
      </c>
      <c r="I164" s="5" t="inlineStr">
        <is>
          <t>2026.1Q</t>
        </is>
      </c>
      <c r="J164" s="5" t="inlineStr">
        <is>
          <t>2026.2Q</t>
        </is>
      </c>
      <c r="K164" s="5" t="inlineStr">
        <is>
          <t>2026.3Q</t>
        </is>
      </c>
      <c r="L164" s="5" t="inlineStr">
        <is>
          <t>2026.4Q</t>
        </is>
      </c>
      <c r="M164" s="5" t="inlineStr">
        <is>
          <t>2027.1Q</t>
        </is>
      </c>
      <c r="N164" s="5" t="inlineStr">
        <is>
          <t>2027.2Q</t>
        </is>
      </c>
      <c r="O164" s="5" t="inlineStr">
        <is>
          <t>2017</t>
        </is>
      </c>
      <c r="P164" s="5" t="inlineStr">
        <is>
          <t>2018</t>
        </is>
      </c>
      <c r="Q164" s="5" t="inlineStr">
        <is>
          <t>2019</t>
        </is>
      </c>
      <c r="R164" s="5" t="inlineStr">
        <is>
          <t>2020</t>
        </is>
      </c>
      <c r="S164" s="5" t="inlineStr">
        <is>
          <t>2021</t>
        </is>
      </c>
      <c r="T164" s="5" t="inlineStr">
        <is>
          <t>2022</t>
        </is>
      </c>
      <c r="U164" s="5" t="inlineStr">
        <is>
          <t>2023</t>
        </is>
      </c>
      <c r="V164" s="5" t="inlineStr">
        <is>
          <t>2024</t>
        </is>
      </c>
      <c r="W164" s="5" t="inlineStr">
        <is>
          <t>2025</t>
        </is>
      </c>
      <c r="X164" s="5" t="inlineStr">
        <is>
          <t>2026</t>
        </is>
      </c>
      <c r="Y164" s="5" t="inlineStr">
        <is>
          <t>2027(MW)</t>
        </is>
      </c>
      <c r="Z164" s="5" t="inlineStr">
        <is>
          <t>2028(MW)</t>
        </is>
      </c>
      <c r="AA164" s="5" t="inlineStr">
        <is>
          <t>2029(MW)</t>
        </is>
      </c>
      <c r="AB164" s="5" t="inlineStr">
        <is>
          <t>2030(MW)</t>
        </is>
      </c>
      <c r="AC164" s="5" t="inlineStr">
        <is>
          <t>2031(MW)</t>
        </is>
      </c>
    </row>
    <row r="165">
      <c r="A165" s="18" t="inlineStr">
        <is>
          <t>부문 · Revenues From External Customers</t>
        </is>
      </c>
      <c r="C165" s="20" t="n">
        <v>19503</v>
      </c>
      <c r="D165" s="20" t="n">
        <v>16740</v>
      </c>
      <c r="E165" s="20" t="n">
        <v>17672</v>
      </c>
      <c r="F165" s="20" t="n">
        <v>18740</v>
      </c>
      <c r="G165" s="20" t="n">
        <v>19905</v>
      </c>
      <c r="H165" s="20" t="n">
        <v>17581</v>
      </c>
      <c r="I165" s="20" t="n">
        <v>18029</v>
      </c>
      <c r="J165" s="20" t="n">
        <v>18644</v>
      </c>
      <c r="K165" s="20" t="n">
        <v>19639</v>
      </c>
      <c r="L165" s="20" t="n">
        <v>18003</v>
      </c>
      <c r="M165" s="20" t="n">
        <v>19702</v>
      </c>
      <c r="N165" s="20" t="n">
        <v>20565</v>
      </c>
      <c r="V165" s="20" t="n">
        <v>16740</v>
      </c>
      <c r="W165" s="20" t="n">
        <v>17581</v>
      </c>
      <c r="X165" s="20" t="n">
        <v>18003</v>
      </c>
    </row>
    <row r="166">
      <c r="A166" s="43" t="inlineStr">
        <is>
          <t>YoY</t>
        </is>
      </c>
      <c r="B166" s="3" t="inlineStr">
        <is>
          <t>전년 같은 분기·전년 대비</t>
        </is>
      </c>
      <c r="G166" s="15">
        <f>IF(OR(G165="",C165=""),"",IF(C165&lt;=0,"",IFERROR(G165/C165-1,"")))</f>
        <v/>
      </c>
      <c r="H166" s="15">
        <f>IF(OR(H165="",D165=""),"",IF(D165&lt;=0,"",IFERROR(H165/D165-1,"")))</f>
        <v/>
      </c>
      <c r="I166" s="15">
        <f>IF(OR(I165="",E165=""),"",IF(E165&lt;=0,"",IFERROR(I165/E165-1,"")))</f>
        <v/>
      </c>
      <c r="J166" s="15">
        <f>IF(OR(J165="",F165=""),"",IF(F165&lt;=0,"",IFERROR(J165/F165-1,"")))</f>
        <v/>
      </c>
      <c r="K166" s="15">
        <f>IF(OR(K165="",G165=""),"",IF(G165&lt;=0,"",IFERROR(K165/G165-1,"")))</f>
        <v/>
      </c>
      <c r="L166" s="15">
        <f>IF(OR(L165="",H165=""),"",IF(H165&lt;=0,"",IFERROR(L165/H165-1,"")))</f>
        <v/>
      </c>
      <c r="M166" s="15">
        <f>IF(OR(M165="",I165=""),"",IF(I165&lt;=0,"",IFERROR(M165/I165-1,"")))</f>
        <v/>
      </c>
      <c r="N166" s="15">
        <f>IF(OR(N165="",J165=""),"",IF(J165&lt;=0,"",IFERROR(N165/J165-1,"")))</f>
        <v/>
      </c>
      <c r="V166" s="15">
        <f>IF(OR(V165="",U165=""),"",IF(U165&lt;=0,"",IFERROR(V165/U165-1,"")))</f>
        <v/>
      </c>
      <c r="W166" s="15">
        <f>IF(OR(W165="",V165=""),"",IF(V165&lt;=0,"",IFERROR(W165/V165-1,"")))</f>
        <v/>
      </c>
      <c r="X166" s="15">
        <f>IF(OR(X165="",W165=""),"",IF(W165&lt;=0,"",IFERROR(X165/W165-1,"")))</f>
        <v/>
      </c>
    </row>
    <row r="167">
      <c r="A167" s="18" t="inlineStr">
        <is>
          <t>부문 · Revenues From External Customers</t>
        </is>
      </c>
      <c r="C167" s="20" t="n">
        <v>10340</v>
      </c>
      <c r="D167" s="20" t="n">
        <v>9322</v>
      </c>
      <c r="E167" s="20" t="n">
        <v>9442</v>
      </c>
      <c r="F167" s="20" t="n">
        <v>8859</v>
      </c>
      <c r="G167" s="20" t="n">
        <v>9542</v>
      </c>
      <c r="H167" s="20" t="n">
        <v>9086</v>
      </c>
      <c r="I167" s="20" t="n">
        <v>9320</v>
      </c>
      <c r="J167" s="20" t="n">
        <v>9795</v>
      </c>
      <c r="K167" s="20" t="n">
        <v>10081</v>
      </c>
      <c r="L167" s="20" t="n">
        <v>9998</v>
      </c>
      <c r="M167" s="20" t="n">
        <v>10748</v>
      </c>
      <c r="N167" s="20" t="n">
        <v>10814</v>
      </c>
      <c r="V167" s="20" t="n">
        <v>9322</v>
      </c>
      <c r="W167" s="20" t="n">
        <v>9086</v>
      </c>
      <c r="X167" s="20" t="n">
        <v>9998</v>
      </c>
    </row>
    <row r="168">
      <c r="A168" s="43" t="inlineStr">
        <is>
          <t>YoY</t>
        </is>
      </c>
      <c r="B168" s="3" t="inlineStr">
        <is>
          <t>전년 같은 분기·전년 대비</t>
        </is>
      </c>
      <c r="G168" s="15">
        <f>IF(OR(G167="",C167=""),"",IF(C167&lt;=0,"",IFERROR(G167/C167-1,"")))</f>
        <v/>
      </c>
      <c r="H168" s="15">
        <f>IF(OR(H167="",D167=""),"",IF(D167&lt;=0,"",IFERROR(H167/D167-1,"")))</f>
        <v/>
      </c>
      <c r="I168" s="15">
        <f>IF(OR(I167="",E167=""),"",IF(E167&lt;=0,"",IFERROR(I167/E167-1,"")))</f>
        <v/>
      </c>
      <c r="J168" s="15">
        <f>IF(OR(J167="",F167=""),"",IF(F167&lt;=0,"",IFERROR(J167/F167-1,"")))</f>
        <v/>
      </c>
      <c r="K168" s="15">
        <f>IF(OR(K167="",G167=""),"",IF(G167&lt;=0,"",IFERROR(K167/G167-1,"")))</f>
        <v/>
      </c>
      <c r="L168" s="15">
        <f>IF(OR(L167="",H167=""),"",IF(H167&lt;=0,"",IFERROR(L167/H167-1,"")))</f>
        <v/>
      </c>
      <c r="M168" s="15">
        <f>IF(OR(M167="",I167=""),"",IF(I167&lt;=0,"",IFERROR(M167/I167-1,"")))</f>
        <v/>
      </c>
      <c r="N168" s="15">
        <f>IF(OR(N167="",J167=""),"",IF(J167&lt;=0,"",IFERROR(N167/J167-1,"")))</f>
        <v/>
      </c>
      <c r="V168" s="15">
        <f>IF(OR(V167="",U167=""),"",IF(U167&lt;=0,"",IFERROR(V167/U167-1,"")))</f>
        <v/>
      </c>
      <c r="W168" s="15">
        <f>IF(OR(W167="",V167=""),"",IF(V167&lt;=0,"",IFERROR(W167/V167-1,"")))</f>
        <v/>
      </c>
      <c r="X168" s="15">
        <f>IF(OR(X167="",W167=""),"",IF(W167&lt;=0,"",IFERROR(X167/W167-1,"")))</f>
        <v/>
      </c>
    </row>
    <row r="169">
      <c r="A169" s="18" t="inlineStr">
        <is>
          <t>공사사업 · (1) 외부 고객 매출</t>
        </is>
      </c>
      <c r="E169" s="20" t="n">
        <v>5108</v>
      </c>
      <c r="I169" s="20" t="n">
        <v>4892</v>
      </c>
      <c r="M169" s="20" t="n">
        <v>5751</v>
      </c>
    </row>
    <row r="170">
      <c r="A170" s="43" t="inlineStr">
        <is>
          <t>YoY</t>
        </is>
      </c>
      <c r="B170" s="3" t="inlineStr">
        <is>
          <t>전년 같은 분기·전년 대비</t>
        </is>
      </c>
      <c r="I170" s="15">
        <f>IF(OR(I169="",E169=""),"",IF(E169&lt;=0,"",IFERROR(I169/E169-1,"")))</f>
        <v/>
      </c>
      <c r="M170" s="15">
        <f>IF(OR(M169="",I169=""),"",IF(I169&lt;=0,"",IFERROR(M169/I169-1,"")))</f>
        <v/>
      </c>
    </row>
    <row r="171">
      <c r="A171" s="18" t="inlineStr">
        <is>
          <t>공사사업 · Revenues From External Customers</t>
        </is>
      </c>
      <c r="C171" s="20" t="n">
        <v>5649</v>
      </c>
      <c r="D171" s="20" t="n">
        <v>6009</v>
      </c>
      <c r="G171" s="20" t="n">
        <v>7416</v>
      </c>
      <c r="H171" s="20" t="n">
        <v>6476</v>
      </c>
      <c r="K171" s="20" t="n">
        <v>5725</v>
      </c>
      <c r="L171" s="20" t="n">
        <v>7590</v>
      </c>
      <c r="V171" s="20" t="n">
        <v>6009</v>
      </c>
      <c r="W171" s="20" t="n">
        <v>6476</v>
      </c>
      <c r="X171" s="20" t="n">
        <v>7590</v>
      </c>
    </row>
    <row r="172">
      <c r="A172" s="43" t="inlineStr">
        <is>
          <t>YoY</t>
        </is>
      </c>
      <c r="B172" s="3" t="inlineStr">
        <is>
          <t>전년 같은 분기·전년 대비</t>
        </is>
      </c>
      <c r="G172" s="15">
        <f>IF(OR(G171="",C171=""),"",IF(C171&lt;=0,"",IFERROR(G171/C171-1,"")))</f>
        <v/>
      </c>
      <c r="H172" s="15">
        <f>IF(OR(H171="",D171=""),"",IF(D171&lt;=0,"",IFERROR(H171/D171-1,"")))</f>
        <v/>
      </c>
      <c r="K172" s="15">
        <f>IF(OR(K171="",G171=""),"",IF(G171&lt;=0,"",IFERROR(K171/G171-1,"")))</f>
        <v/>
      </c>
      <c r="L172" s="15">
        <f>IF(OR(L171="",H171=""),"",IF(H171&lt;=0,"",IFERROR(L171/H171-1,"")))</f>
        <v/>
      </c>
      <c r="V172" s="15">
        <f>IF(OR(V171="",U171=""),"",IF(U171&lt;=0,"",IFERROR(V171/U171-1,"")))</f>
        <v/>
      </c>
      <c r="W172" s="15">
        <f>IF(OR(W171="",V171=""),"",IF(V171&lt;=0,"",IFERROR(W171/V171-1,"")))</f>
        <v/>
      </c>
      <c r="X172" s="15">
        <f>IF(OR(X171="",W171=""),"",IF(W171&lt;=0,"",IFERROR(X171/W171-1,"")))</f>
        <v/>
      </c>
    </row>
    <row r="173">
      <c r="A173" s="18" t="inlineStr">
        <is>
          <t>보고부문 합계 · 외부 고객 매출</t>
        </is>
      </c>
      <c r="C173" s="20" t="n">
        <v>35490</v>
      </c>
      <c r="D173" s="20" t="n">
        <v>32073</v>
      </c>
      <c r="E173" s="20" t="n">
        <v>32223</v>
      </c>
      <c r="F173" s="20" t="n">
        <v>33460</v>
      </c>
      <c r="G173" s="20" t="n">
        <v>36863</v>
      </c>
      <c r="H173" s="20" t="n">
        <v>33144</v>
      </c>
      <c r="V173" s="20" t="n">
        <v>32073</v>
      </c>
      <c r="W173" s="20" t="n">
        <v>33144</v>
      </c>
    </row>
    <row r="174">
      <c r="A174" s="43" t="inlineStr">
        <is>
          <t>YoY</t>
        </is>
      </c>
      <c r="B174" s="3" t="inlineStr">
        <is>
          <t>전년 같은 분기·전년 대비</t>
        </is>
      </c>
      <c r="G174" s="15">
        <f>IF(OR(G173="",C173=""),"",IF(C173&lt;=0,"",IFERROR(G173/C173-1,"")))</f>
        <v/>
      </c>
      <c r="H174" s="15">
        <f>IF(OR(H173="",D173=""),"",IF(D173&lt;=0,"",IFERROR(H173/D173-1,"")))</f>
        <v/>
      </c>
      <c r="V174" s="15">
        <f>IF(OR(V173="",U173=""),"",IF(U173&lt;=0,"",IFERROR(V173/U173-1,"")))</f>
        <v/>
      </c>
      <c r="W174" s="15">
        <f>IF(OR(W173="",V173=""),"",IF(V173&lt;=0,"",IFERROR(W173/V173-1,"")))</f>
        <v/>
      </c>
    </row>
    <row r="175">
      <c r="A175" s="18" t="inlineStr">
        <is>
          <t>기타 · 외부 고객 매출</t>
        </is>
      </c>
      <c r="C175" s="20" t="n">
        <v>45</v>
      </c>
      <c r="D175" s="20" t="n">
        <v>45</v>
      </c>
      <c r="E175" s="20" t="n">
        <v>43</v>
      </c>
      <c r="F175" s="20" t="n">
        <v>47</v>
      </c>
      <c r="G175" s="20" t="n">
        <v>49</v>
      </c>
      <c r="H175" s="20" t="n">
        <v>47</v>
      </c>
      <c r="V175" s="20" t="n">
        <v>45</v>
      </c>
      <c r="W175" s="20" t="n">
        <v>47</v>
      </c>
    </row>
    <row r="176">
      <c r="A176" s="43" t="inlineStr">
        <is>
          <t>YoY</t>
        </is>
      </c>
      <c r="B176" s="3" t="inlineStr">
        <is>
          <t>전년 같은 분기·전년 대비</t>
        </is>
      </c>
      <c r="G176" s="15">
        <f>IF(OR(G175="",C175=""),"",IF(C175&lt;=0,"",IFERROR(G175/C175-1,"")))</f>
        <v/>
      </c>
      <c r="H176" s="15">
        <f>IF(OR(H175="",D175=""),"",IF(D175&lt;=0,"",IFERROR(H175/D175-1,"")))</f>
        <v/>
      </c>
      <c r="V176" s="15">
        <f>IF(OR(V175="",U175=""),"",IF(U175&lt;=0,"",IFERROR(V175/U175-1,"")))</f>
        <v/>
      </c>
      <c r="W176" s="15">
        <f>IF(OR(W175="",V175=""),"",IF(V175&lt;=0,"",IFERROR(W175/V175-1,"")))</f>
        <v/>
      </c>
    </row>
    <row r="177">
      <c r="A177" s="18" t="inlineStr">
        <is>
          <t>합계 · Revenues From External Customers</t>
        </is>
      </c>
      <c r="C177" s="20" t="n">
        <v>35535</v>
      </c>
      <c r="D177" s="20" t="n">
        <v>32117</v>
      </c>
      <c r="E177" s="20" t="n">
        <v>32223</v>
      </c>
      <c r="F177" s="20" t="n">
        <v>33460</v>
      </c>
      <c r="G177" s="20" t="n">
        <v>36863</v>
      </c>
      <c r="H177" s="20" t="n">
        <v>33144</v>
      </c>
      <c r="I177" s="20" t="n">
        <v>32241</v>
      </c>
      <c r="J177" s="20" t="n">
        <v>33292</v>
      </c>
      <c r="K177" s="20" t="n">
        <v>35445</v>
      </c>
      <c r="L177" s="20" t="n">
        <v>35591</v>
      </c>
      <c r="M177" s="20" t="n">
        <v>36202</v>
      </c>
      <c r="N177" s="20" t="n">
        <v>37566</v>
      </c>
      <c r="V177" s="20" t="n">
        <v>32117</v>
      </c>
      <c r="W177" s="20" t="n">
        <v>33144</v>
      </c>
      <c r="X177" s="20" t="n">
        <v>35591</v>
      </c>
    </row>
    <row r="178">
      <c r="A178" s="43" t="inlineStr">
        <is>
          <t>YoY</t>
        </is>
      </c>
      <c r="B178" s="3" t="inlineStr">
        <is>
          <t>전년 같은 분기·전년 대비</t>
        </is>
      </c>
      <c r="G178" s="15">
        <f>IF(OR(G177="",C177=""),"",IF(C177&lt;=0,"",IFERROR(G177/C177-1,"")))</f>
        <v/>
      </c>
      <c r="H178" s="15">
        <f>IF(OR(H177="",D177=""),"",IF(D177&lt;=0,"",IFERROR(H177/D177-1,"")))</f>
        <v/>
      </c>
      <c r="I178" s="15">
        <f>IF(OR(I177="",E177=""),"",IF(E177&lt;=0,"",IFERROR(I177/E177-1,"")))</f>
        <v/>
      </c>
      <c r="J178" s="15">
        <f>IF(OR(J177="",F177=""),"",IF(F177&lt;=0,"",IFERROR(J177/F177-1,"")))</f>
        <v/>
      </c>
      <c r="K178" s="15">
        <f>IF(OR(K177="",G177=""),"",IF(G177&lt;=0,"",IFERROR(K177/G177-1,"")))</f>
        <v/>
      </c>
      <c r="L178" s="15">
        <f>IF(OR(L177="",H177=""),"",IF(H177&lt;=0,"",IFERROR(L177/H177-1,"")))</f>
        <v/>
      </c>
      <c r="M178" s="15">
        <f>IF(OR(M177="",I177=""),"",IF(I177&lt;=0,"",IFERROR(M177/I177-1,"")))</f>
        <v/>
      </c>
      <c r="N178" s="15">
        <f>IF(OR(N177="",J177=""),"",IF(J177&lt;=0,"",IFERROR(N177/J177-1,"")))</f>
        <v/>
      </c>
      <c r="V178" s="15">
        <f>IF(OR(V177="",U177=""),"",IF(U177&lt;=0,"",IFERROR(V177/U177-1,"")))</f>
        <v/>
      </c>
      <c r="W178" s="15">
        <f>IF(OR(W177="",V177=""),"",IF(V177&lt;=0,"",IFERROR(W177/V177-1,"")))</f>
        <v/>
      </c>
      <c r="X178" s="15">
        <f>IF(OR(X177="",W177=""),"",IF(W177&lt;=0,"",IFERROR(X177/W177-1,"")))</f>
        <v/>
      </c>
    </row>
    <row r="179">
      <c r="A179" s="18" t="inlineStr">
        <is>
          <t>조정액 · Revenues From External Customers</t>
        </is>
      </c>
      <c r="C179" s="20" t="n">
        <v>0</v>
      </c>
      <c r="D179" s="20" t="n">
        <v>0</v>
      </c>
      <c r="E179" s="20" t="n">
        <v>0</v>
      </c>
      <c r="F179" s="20" t="n">
        <v>0</v>
      </c>
      <c r="G179" s="20" t="n">
        <v>0</v>
      </c>
      <c r="H179" s="20" t="n">
        <v>0</v>
      </c>
      <c r="I179" s="20" t="n">
        <v>0</v>
      </c>
      <c r="J179" s="20" t="n">
        <v>0</v>
      </c>
      <c r="K179" s="20" t="n">
        <v>0</v>
      </c>
      <c r="L179" s="20" t="n">
        <v>0</v>
      </c>
      <c r="M179" s="20" t="n">
        <v>0</v>
      </c>
      <c r="N179" s="20" t="n">
        <v>0</v>
      </c>
      <c r="V179" s="20" t="n">
        <v>0</v>
      </c>
      <c r="W179" s="20" t="n">
        <v>0</v>
      </c>
      <c r="X179" s="20" t="n">
        <v>0</v>
      </c>
    </row>
    <row r="180">
      <c r="A180" s="9" t="inlineStr">
        <is>
          <t>Revenues From External Customers</t>
        </is>
      </c>
      <c r="C180" s="12" t="n">
        <v>35535</v>
      </c>
      <c r="D180" s="12" t="n">
        <v>32117</v>
      </c>
      <c r="E180" s="12" t="n">
        <v>32223</v>
      </c>
      <c r="F180" s="12" t="n">
        <v>33460</v>
      </c>
      <c r="G180" s="12" t="n">
        <v>36863</v>
      </c>
      <c r="H180" s="12" t="n">
        <v>33144</v>
      </c>
      <c r="I180" s="12" t="n">
        <v>32241</v>
      </c>
      <c r="J180" s="12" t="n">
        <v>33292</v>
      </c>
      <c r="K180" s="12" t="n">
        <v>35445</v>
      </c>
      <c r="L180" s="12" t="n">
        <v>35591</v>
      </c>
      <c r="M180" s="12" t="n">
        <v>36202</v>
      </c>
      <c r="N180" s="12" t="n">
        <v>37566</v>
      </c>
      <c r="V180" s="12" t="n">
        <v>32117</v>
      </c>
      <c r="W180" s="12" t="n">
        <v>33144</v>
      </c>
      <c r="X180" s="12" t="n">
        <v>35591</v>
      </c>
    </row>
    <row r="181">
      <c r="A181" s="43" t="inlineStr">
        <is>
          <t>YoY</t>
        </is>
      </c>
      <c r="B181" s="3" t="inlineStr">
        <is>
          <t>전년 같은 분기·전년 대비</t>
        </is>
      </c>
      <c r="G181" s="15">
        <f>IF(OR(G180="",C180=""),"",IF(C180&lt;=0,"",IFERROR(G180/C180-1,"")))</f>
        <v/>
      </c>
      <c r="H181" s="15">
        <f>IF(OR(H180="",D180=""),"",IF(D180&lt;=0,"",IFERROR(H180/D180-1,"")))</f>
        <v/>
      </c>
      <c r="I181" s="15">
        <f>IF(OR(I180="",E180=""),"",IF(E180&lt;=0,"",IFERROR(I180/E180-1,"")))</f>
        <v/>
      </c>
      <c r="J181" s="15">
        <f>IF(OR(J180="",F180=""),"",IF(F180&lt;=0,"",IFERROR(J180/F180-1,"")))</f>
        <v/>
      </c>
      <c r="K181" s="15">
        <f>IF(OR(K180="",G180=""),"",IF(G180&lt;=0,"",IFERROR(K180/G180-1,"")))</f>
        <v/>
      </c>
      <c r="L181" s="15">
        <f>IF(OR(L180="",H180=""),"",IF(H180&lt;=0,"",IFERROR(L180/H180-1,"")))</f>
        <v/>
      </c>
      <c r="M181" s="15">
        <f>IF(OR(M180="",I180=""),"",IF(I180&lt;=0,"",IFERROR(M180/I180-1,"")))</f>
        <v/>
      </c>
      <c r="N181" s="15">
        <f>IF(OR(N180="",J180=""),"",IF(J180&lt;=0,"",IFERROR(N180/J180-1,"")))</f>
        <v/>
      </c>
      <c r="V181" s="15">
        <f>IF(OR(V180="",U180=""),"",IF(U180&lt;=0,"",IFERROR(V180/U180-1,"")))</f>
        <v/>
      </c>
      <c r="W181" s="15">
        <f>IF(OR(W180="",V180=""),"",IF(V180&lt;=0,"",IFERROR(W180/V180-1,"")))</f>
        <v/>
      </c>
      <c r="X181" s="15">
        <f>IF(OR(X180="",W180=""),"",IF(W180&lt;=0,"",IFERROR(X180/W180-1,"")))</f>
        <v/>
      </c>
    </row>
    <row r="182">
      <c r="A182" s="18" t="inlineStr">
        <is>
          <t>부문 · Transactions With Other Segments</t>
        </is>
      </c>
      <c r="C182" s="20" t="n">
        <v>66</v>
      </c>
      <c r="D182" s="20" t="n">
        <v>51</v>
      </c>
      <c r="E182" s="20" t="n">
        <v>49</v>
      </c>
      <c r="F182" s="20" t="n">
        <v>51</v>
      </c>
      <c r="G182" s="20" t="n">
        <v>85</v>
      </c>
      <c r="H182" s="20" t="n">
        <v>55</v>
      </c>
      <c r="I182" s="20" t="n">
        <v>68</v>
      </c>
      <c r="J182" s="20" t="n">
        <v>91</v>
      </c>
      <c r="K182" s="20" t="n">
        <v>86</v>
      </c>
      <c r="L182" s="20" t="n">
        <v>57</v>
      </c>
      <c r="M182" s="20" t="n">
        <v>50</v>
      </c>
      <c r="N182" s="20" t="n">
        <v>57</v>
      </c>
      <c r="V182" s="20" t="n">
        <v>51</v>
      </c>
      <c r="W182" s="20" t="n">
        <v>55</v>
      </c>
      <c r="X182" s="20" t="n">
        <v>57</v>
      </c>
    </row>
    <row r="183">
      <c r="A183" s="18" t="inlineStr">
        <is>
          <t>부문 · Transactions With Other Segments</t>
        </is>
      </c>
      <c r="C183" s="20" t="n">
        <v>81</v>
      </c>
      <c r="D183" s="20" t="n">
        <v>89</v>
      </c>
      <c r="E183" s="20" t="n">
        <v>67</v>
      </c>
      <c r="F183" s="20" t="n">
        <v>59</v>
      </c>
      <c r="G183" s="20" t="n">
        <v>101</v>
      </c>
      <c r="H183" s="20" t="n">
        <v>91</v>
      </c>
      <c r="I183" s="20" t="n">
        <v>77</v>
      </c>
      <c r="J183" s="20" t="n">
        <v>67</v>
      </c>
      <c r="K183" s="20" t="n">
        <v>76</v>
      </c>
      <c r="L183" s="20" t="n">
        <v>69</v>
      </c>
      <c r="M183" s="20" t="n">
        <v>67</v>
      </c>
      <c r="N183" s="20" t="n">
        <v>98</v>
      </c>
      <c r="V183" s="20" t="n">
        <v>89</v>
      </c>
      <c r="W183" s="20" t="n">
        <v>91</v>
      </c>
      <c r="X183" s="20" t="n">
        <v>69</v>
      </c>
    </row>
    <row r="184">
      <c r="A184" s="18" t="inlineStr">
        <is>
          <t>공사사업 · (2) 부문 간 내부 매출·대체</t>
        </is>
      </c>
      <c r="E184" s="20" t="n">
        <v>116</v>
      </c>
      <c r="I184" s="20" t="n">
        <v>106</v>
      </c>
      <c r="M184" s="20" t="n">
        <v>0</v>
      </c>
    </row>
    <row r="185">
      <c r="A185" s="18" t="inlineStr">
        <is>
          <t>공사사업 · Transactions With Other Segments</t>
        </is>
      </c>
      <c r="C185" s="20" t="n">
        <v>146</v>
      </c>
      <c r="D185" s="20" t="n">
        <v>165</v>
      </c>
      <c r="G185" s="20" t="n">
        <v>184</v>
      </c>
      <c r="H185" s="20" t="n">
        <v>184</v>
      </c>
      <c r="K185" s="20" t="n">
        <v>61</v>
      </c>
      <c r="L185" s="20" t="n">
        <v>2</v>
      </c>
      <c r="V185" s="20" t="n">
        <v>165</v>
      </c>
      <c r="W185" s="20" t="n">
        <v>184</v>
      </c>
      <c r="X185" s="20" t="n">
        <v>2</v>
      </c>
    </row>
    <row r="186">
      <c r="A186" s="18" t="inlineStr">
        <is>
          <t>보고부문 합계 · 부문 간 내부매출·대체</t>
        </is>
      </c>
      <c r="C186" s="20" t="n">
        <v>292</v>
      </c>
      <c r="D186" s="20" t="n">
        <v>305</v>
      </c>
      <c r="E186" s="20" t="n">
        <v>232</v>
      </c>
      <c r="F186" s="20" t="n">
        <v>272</v>
      </c>
      <c r="G186" s="20" t="n">
        <v>369</v>
      </c>
      <c r="H186" s="20" t="n">
        <v>331</v>
      </c>
      <c r="V186" s="20" t="n">
        <v>305</v>
      </c>
      <c r="W186" s="20" t="n">
        <v>331</v>
      </c>
    </row>
    <row r="187">
      <c r="A187" s="18" t="inlineStr">
        <is>
          <t>기타 · 부문 간 내부매출·대체</t>
        </is>
      </c>
      <c r="C187" s="20" t="n">
        <v>19</v>
      </c>
      <c r="D187" s="20" t="n">
        <v>19</v>
      </c>
      <c r="E187" s="20" t="n">
        <v>17</v>
      </c>
      <c r="F187" s="20" t="n">
        <v>18</v>
      </c>
      <c r="G187" s="20" t="n">
        <v>18</v>
      </c>
      <c r="H187" s="20" t="n">
        <v>17</v>
      </c>
      <c r="V187" s="20" t="n">
        <v>19</v>
      </c>
      <c r="W187" s="20" t="n">
        <v>17</v>
      </c>
    </row>
    <row r="188">
      <c r="A188" s="18" t="inlineStr">
        <is>
          <t>합계 · Transactions With Other Segments</t>
        </is>
      </c>
      <c r="C188" s="20" t="n">
        <v>311</v>
      </c>
      <c r="D188" s="20" t="n">
        <v>323</v>
      </c>
      <c r="E188" s="20" t="n">
        <v>232</v>
      </c>
      <c r="F188" s="20" t="n">
        <v>272</v>
      </c>
      <c r="G188" s="20" t="n">
        <v>369</v>
      </c>
      <c r="H188" s="20" t="n">
        <v>331</v>
      </c>
      <c r="I188" s="20" t="n">
        <v>252</v>
      </c>
      <c r="J188" s="20" t="n">
        <v>330</v>
      </c>
      <c r="K188" s="20" t="n">
        <v>222</v>
      </c>
      <c r="L188" s="20" t="n">
        <v>129</v>
      </c>
      <c r="M188" s="20" t="n">
        <v>118</v>
      </c>
      <c r="N188" s="20" t="n">
        <v>155</v>
      </c>
      <c r="V188" s="20" t="n">
        <v>323</v>
      </c>
      <c r="W188" s="20" t="n">
        <v>331</v>
      </c>
      <c r="X188" s="20" t="n">
        <v>129</v>
      </c>
    </row>
    <row r="189">
      <c r="A189" s="18" t="inlineStr">
        <is>
          <t>조정액 · Transactions With Other Segments</t>
        </is>
      </c>
      <c r="C189" s="20" t="n">
        <v>-311</v>
      </c>
      <c r="D189" s="20" t="n">
        <v>-323</v>
      </c>
      <c r="E189" s="20" t="n">
        <v>-232</v>
      </c>
      <c r="F189" s="20" t="n">
        <v>-272</v>
      </c>
      <c r="G189" s="20" t="n">
        <v>-369</v>
      </c>
      <c r="H189" s="20" t="n">
        <v>-331</v>
      </c>
      <c r="I189" s="20" t="n">
        <v>-252</v>
      </c>
      <c r="J189" s="20" t="n">
        <v>-330</v>
      </c>
      <c r="K189" s="20" t="n">
        <v>-222</v>
      </c>
      <c r="L189" s="20" t="n">
        <v>-129</v>
      </c>
      <c r="M189" s="20" t="n">
        <v>-118</v>
      </c>
      <c r="N189" s="20" t="n">
        <v>-155</v>
      </c>
      <c r="V189" s="20" t="n">
        <v>-323</v>
      </c>
      <c r="W189" s="20" t="n">
        <v>-331</v>
      </c>
      <c r="X189" s="20" t="n">
        <v>-129</v>
      </c>
    </row>
    <row r="190">
      <c r="A190" s="18" t="inlineStr">
        <is>
          <t>Transactions With Other Segments</t>
        </is>
      </c>
      <c r="C190" s="20" t="n">
        <v>0</v>
      </c>
      <c r="D190" s="20" t="n">
        <v>0</v>
      </c>
      <c r="E190" s="20" t="n">
        <v>0</v>
      </c>
      <c r="F190" s="20" t="n">
        <v>0</v>
      </c>
      <c r="G190" s="20" t="n">
        <v>0</v>
      </c>
      <c r="H190" s="20" t="n">
        <v>0</v>
      </c>
      <c r="I190" s="20" t="n">
        <v>0</v>
      </c>
      <c r="J190" s="20" t="n">
        <v>0</v>
      </c>
      <c r="K190" s="20" t="n">
        <v>0</v>
      </c>
      <c r="L190" s="20" t="n">
        <v>0</v>
      </c>
      <c r="M190" s="20" t="n">
        <v>0</v>
      </c>
      <c r="N190" s="20" t="n">
        <v>0</v>
      </c>
      <c r="V190" s="20" t="n">
        <v>0</v>
      </c>
      <c r="W190" s="20" t="n">
        <v>0</v>
      </c>
      <c r="X190" s="20" t="n">
        <v>0</v>
      </c>
    </row>
    <row r="191">
      <c r="A191" s="18" t="inlineStr">
        <is>
          <t>부문 · 계</t>
        </is>
      </c>
      <c r="C191" s="20" t="n">
        <v>19568</v>
      </c>
      <c r="D191" s="20" t="n">
        <v>16792</v>
      </c>
      <c r="E191" s="20" t="n">
        <v>17721</v>
      </c>
      <c r="F191" s="20" t="n">
        <v>18791</v>
      </c>
      <c r="G191" s="20" t="n">
        <v>19991</v>
      </c>
      <c r="H191" s="20" t="n">
        <v>17636</v>
      </c>
      <c r="I191" s="20" t="n">
        <v>18097</v>
      </c>
      <c r="J191" s="20" t="n">
        <v>18736</v>
      </c>
      <c r="K191" s="20" t="n">
        <v>19725</v>
      </c>
      <c r="L191" s="20" t="n">
        <v>18059</v>
      </c>
      <c r="M191" s="20" t="n">
        <v>19752</v>
      </c>
      <c r="N191" s="20" t="n">
        <v>20622</v>
      </c>
      <c r="V191" s="20" t="n">
        <v>16792</v>
      </c>
      <c r="W191" s="20" t="n">
        <v>17636</v>
      </c>
      <c r="X191" s="20" t="n">
        <v>18059</v>
      </c>
    </row>
    <row r="192">
      <c r="A192" s="43" t="inlineStr">
        <is>
          <t>YoY</t>
        </is>
      </c>
      <c r="B192" s="3" t="inlineStr">
        <is>
          <t>전년 같은 분기·전년 대비</t>
        </is>
      </c>
      <c r="G192" s="15">
        <f>IF(OR(G191="",C191=""),"",IF(C191&lt;=0,"",IFERROR(G191/C191-1,"")))</f>
        <v/>
      </c>
      <c r="H192" s="15">
        <f>IF(OR(H191="",D191=""),"",IF(D191&lt;=0,"",IFERROR(H191/D191-1,"")))</f>
        <v/>
      </c>
      <c r="I192" s="15">
        <f>IF(OR(I191="",E191=""),"",IF(E191&lt;=0,"",IFERROR(I191/E191-1,"")))</f>
        <v/>
      </c>
      <c r="J192" s="15">
        <f>IF(OR(J191="",F191=""),"",IF(F191&lt;=0,"",IFERROR(J191/F191-1,"")))</f>
        <v/>
      </c>
      <c r="K192" s="15">
        <f>IF(OR(K191="",G191=""),"",IF(G191&lt;=0,"",IFERROR(K191/G191-1,"")))</f>
        <v/>
      </c>
      <c r="L192" s="15">
        <f>IF(OR(L191="",H191=""),"",IF(H191&lt;=0,"",IFERROR(L191/H191-1,"")))</f>
        <v/>
      </c>
      <c r="M192" s="15">
        <f>IF(OR(M191="",I191=""),"",IF(I191&lt;=0,"",IFERROR(M191/I191-1,"")))</f>
        <v/>
      </c>
      <c r="N192" s="15">
        <f>IF(OR(N191="",J191=""),"",IF(J191&lt;=0,"",IFERROR(N191/J191-1,"")))</f>
        <v/>
      </c>
      <c r="V192" s="15">
        <f>IF(OR(V191="",U191=""),"",IF(U191&lt;=0,"",IFERROR(V191/U191-1,"")))</f>
        <v/>
      </c>
      <c r="W192" s="15">
        <f>IF(OR(W191="",V191=""),"",IF(V191&lt;=0,"",IFERROR(W191/V191-1,"")))</f>
        <v/>
      </c>
      <c r="X192" s="15">
        <f>IF(OR(X191="",W191=""),"",IF(W191&lt;=0,"",IFERROR(X191/W191-1,"")))</f>
        <v/>
      </c>
    </row>
    <row r="193">
      <c r="A193" s="18" t="inlineStr">
        <is>
          <t>부문 · 계</t>
        </is>
      </c>
      <c r="C193" s="20" t="n">
        <v>10420</v>
      </c>
      <c r="D193" s="20" t="n">
        <v>9411</v>
      </c>
      <c r="E193" s="20" t="n">
        <v>9509</v>
      </c>
      <c r="F193" s="20" t="n">
        <v>8919</v>
      </c>
      <c r="G193" s="20" t="n">
        <v>9642</v>
      </c>
      <c r="H193" s="20" t="n">
        <v>9178</v>
      </c>
      <c r="I193" s="20" t="n">
        <v>9397</v>
      </c>
      <c r="J193" s="20" t="n">
        <v>9862</v>
      </c>
      <c r="K193" s="20" t="n">
        <v>10158</v>
      </c>
      <c r="L193" s="20" t="n">
        <v>10067</v>
      </c>
      <c r="M193" s="20" t="n">
        <v>10816</v>
      </c>
      <c r="N193" s="20" t="n">
        <v>10912</v>
      </c>
      <c r="V193" s="20" t="n">
        <v>9411</v>
      </c>
      <c r="W193" s="20" t="n">
        <v>9178</v>
      </c>
      <c r="X193" s="20" t="n">
        <v>10067</v>
      </c>
    </row>
    <row r="194">
      <c r="A194" s="43" t="inlineStr">
        <is>
          <t>YoY</t>
        </is>
      </c>
      <c r="B194" s="3" t="inlineStr">
        <is>
          <t>전년 같은 분기·전년 대비</t>
        </is>
      </c>
      <c r="G194" s="15">
        <f>IF(OR(G193="",C193=""),"",IF(C193&lt;=0,"",IFERROR(G193/C193-1,"")))</f>
        <v/>
      </c>
      <c r="H194" s="15">
        <f>IF(OR(H193="",D193=""),"",IF(D193&lt;=0,"",IFERROR(H193/D193-1,"")))</f>
        <v/>
      </c>
      <c r="I194" s="15">
        <f>IF(OR(I193="",E193=""),"",IF(E193&lt;=0,"",IFERROR(I193/E193-1,"")))</f>
        <v/>
      </c>
      <c r="J194" s="15">
        <f>IF(OR(J193="",F193=""),"",IF(F193&lt;=0,"",IFERROR(J193/F193-1,"")))</f>
        <v/>
      </c>
      <c r="K194" s="15">
        <f>IF(OR(K193="",G193=""),"",IF(G193&lt;=0,"",IFERROR(K193/G193-1,"")))</f>
        <v/>
      </c>
      <c r="L194" s="15">
        <f>IF(OR(L193="",H193=""),"",IF(H193&lt;=0,"",IFERROR(L193/H193-1,"")))</f>
        <v/>
      </c>
      <c r="M194" s="15">
        <f>IF(OR(M193="",I193=""),"",IF(I193&lt;=0,"",IFERROR(M193/I193-1,"")))</f>
        <v/>
      </c>
      <c r="N194" s="15">
        <f>IF(OR(N193="",J193=""),"",IF(J193&lt;=0,"",IFERROR(N193/J193-1,"")))</f>
        <v/>
      </c>
      <c r="V194" s="15">
        <f>IF(OR(V193="",U193=""),"",IF(U193&lt;=0,"",IFERROR(V193/U193-1,"")))</f>
        <v/>
      </c>
      <c r="W194" s="15">
        <f>IF(OR(W193="",V193=""),"",IF(V193&lt;=0,"",IFERROR(W193/V193-1,"")))</f>
        <v/>
      </c>
      <c r="X194" s="15">
        <f>IF(OR(X193="",W193=""),"",IF(W193&lt;=0,"",IFERROR(X193/W193-1,"")))</f>
        <v/>
      </c>
    </row>
    <row r="195">
      <c r="A195" s="18" t="inlineStr">
        <is>
          <t>공사사업 · 계</t>
        </is>
      </c>
      <c r="E195" s="20" t="n">
        <v>5224</v>
      </c>
      <c r="I195" s="20" t="n">
        <v>4998</v>
      </c>
      <c r="M195" s="20" t="n">
        <v>5751</v>
      </c>
    </row>
    <row r="196">
      <c r="A196" s="43" t="inlineStr">
        <is>
          <t>YoY</t>
        </is>
      </c>
      <c r="B196" s="3" t="inlineStr">
        <is>
          <t>전년 같은 분기·전년 대비</t>
        </is>
      </c>
      <c r="I196" s="15">
        <f>IF(OR(I195="",E195=""),"",IF(E195&lt;=0,"",IFERROR(I195/E195-1,"")))</f>
        <v/>
      </c>
      <c r="M196" s="15">
        <f>IF(OR(M195="",I195=""),"",IF(I195&lt;=0,"",IFERROR(M195/I195-1,"")))</f>
        <v/>
      </c>
    </row>
    <row r="197">
      <c r="A197" s="18" t="inlineStr">
        <is>
          <t>공사사업 · 계</t>
        </is>
      </c>
      <c r="C197" s="20" t="n">
        <v>5794</v>
      </c>
      <c r="D197" s="20" t="n">
        <v>6175</v>
      </c>
      <c r="G197" s="20" t="n">
        <v>7599</v>
      </c>
      <c r="H197" s="20" t="n">
        <v>6660</v>
      </c>
      <c r="K197" s="20" t="n">
        <v>5786</v>
      </c>
      <c r="L197" s="20" t="n">
        <v>7593</v>
      </c>
      <c r="V197" s="20" t="n">
        <v>6175</v>
      </c>
      <c r="W197" s="20" t="n">
        <v>6660</v>
      </c>
      <c r="X197" s="20" t="n">
        <v>7593</v>
      </c>
    </row>
    <row r="198">
      <c r="A198" s="43" t="inlineStr">
        <is>
          <t>YoY</t>
        </is>
      </c>
      <c r="B198" s="3" t="inlineStr">
        <is>
          <t>전년 같은 분기·전년 대비</t>
        </is>
      </c>
      <c r="G198" s="15">
        <f>IF(OR(G197="",C197=""),"",IF(C197&lt;=0,"",IFERROR(G197/C197-1,"")))</f>
        <v/>
      </c>
      <c r="H198" s="15">
        <f>IF(OR(H197="",D197=""),"",IF(D197&lt;=0,"",IFERROR(H197/D197-1,"")))</f>
        <v/>
      </c>
      <c r="K198" s="15">
        <f>IF(OR(K197="",G197=""),"",IF(G197&lt;=0,"",IFERROR(K197/G197-1,"")))</f>
        <v/>
      </c>
      <c r="L198" s="15">
        <f>IF(OR(L197="",H197=""),"",IF(H197&lt;=0,"",IFERROR(L197/H197-1,"")))</f>
        <v/>
      </c>
      <c r="V198" s="15">
        <f>IF(OR(V197="",U197=""),"",IF(U197&lt;=0,"",IFERROR(V197/U197-1,"")))</f>
        <v/>
      </c>
      <c r="W198" s="15">
        <f>IF(OR(W197="",V197=""),"",IF(V197&lt;=0,"",IFERROR(W197/V197-1,"")))</f>
        <v/>
      </c>
      <c r="X198" s="15">
        <f>IF(OR(X197="",W197=""),"",IF(W197&lt;=0,"",IFERROR(X197/W197-1,"")))</f>
        <v/>
      </c>
    </row>
    <row r="199">
      <c r="A199" s="18" t="inlineStr">
        <is>
          <t>보고부문 합계 · 계</t>
        </is>
      </c>
      <c r="C199" s="20" t="n">
        <v>35783</v>
      </c>
      <c r="D199" s="20" t="n">
        <v>32377</v>
      </c>
      <c r="E199" s="20" t="n">
        <v>32455</v>
      </c>
      <c r="F199" s="20" t="n">
        <v>33733</v>
      </c>
      <c r="G199" s="20" t="n">
        <v>37232</v>
      </c>
      <c r="H199" s="20" t="n">
        <v>33474</v>
      </c>
      <c r="V199" s="20" t="n">
        <v>32377</v>
      </c>
      <c r="W199" s="20" t="n">
        <v>33474</v>
      </c>
    </row>
    <row r="200">
      <c r="A200" s="43" t="inlineStr">
        <is>
          <t>YoY</t>
        </is>
      </c>
      <c r="B200" s="3" t="inlineStr">
        <is>
          <t>전년 같은 분기·전년 대비</t>
        </is>
      </c>
      <c r="G200" s="15">
        <f>IF(OR(G199="",C199=""),"",IF(C199&lt;=0,"",IFERROR(G199/C199-1,"")))</f>
        <v/>
      </c>
      <c r="H200" s="15">
        <f>IF(OR(H199="",D199=""),"",IF(D199&lt;=0,"",IFERROR(H199/D199-1,"")))</f>
        <v/>
      </c>
      <c r="V200" s="15">
        <f>IF(OR(V199="",U199=""),"",IF(U199&lt;=0,"",IFERROR(V199/U199-1,"")))</f>
        <v/>
      </c>
      <c r="W200" s="15">
        <f>IF(OR(W199="",V199=""),"",IF(V199&lt;=0,"",IFERROR(W199/V199-1,"")))</f>
        <v/>
      </c>
    </row>
    <row r="201">
      <c r="A201" s="18" t="inlineStr">
        <is>
          <t>기타 · 계</t>
        </is>
      </c>
      <c r="C201" s="20" t="n">
        <v>64</v>
      </c>
      <c r="D201" s="20" t="n">
        <v>63</v>
      </c>
      <c r="E201" s="20" t="n">
        <v>61</v>
      </c>
      <c r="F201" s="20" t="n">
        <v>65</v>
      </c>
      <c r="G201" s="20" t="n">
        <v>66</v>
      </c>
      <c r="H201" s="20" t="n">
        <v>64</v>
      </c>
      <c r="V201" s="20" t="n">
        <v>63</v>
      </c>
      <c r="W201" s="20" t="n">
        <v>64</v>
      </c>
    </row>
    <row r="202">
      <c r="A202" s="43" t="inlineStr">
        <is>
          <t>YoY</t>
        </is>
      </c>
      <c r="B202" s="3" t="inlineStr">
        <is>
          <t>전년 같은 분기·전년 대비</t>
        </is>
      </c>
      <c r="G202" s="15">
        <f>IF(OR(G201="",C201=""),"",IF(C201&lt;=0,"",IFERROR(G201/C201-1,"")))</f>
        <v/>
      </c>
      <c r="H202" s="15">
        <f>IF(OR(H201="",D201=""),"",IF(D201&lt;=0,"",IFERROR(H201/D201-1,"")))</f>
        <v/>
      </c>
      <c r="V202" s="15">
        <f>IF(OR(V201="",U201=""),"",IF(U201&lt;=0,"",IFERROR(V201/U201-1,"")))</f>
        <v/>
      </c>
      <c r="W202" s="15">
        <f>IF(OR(W201="",V201=""),"",IF(V201&lt;=0,"",IFERROR(W201/V201-1,"")))</f>
        <v/>
      </c>
    </row>
    <row r="203">
      <c r="A203" s="18" t="inlineStr">
        <is>
          <t>합계 · 계</t>
        </is>
      </c>
      <c r="C203" s="20" t="n">
        <v>35846</v>
      </c>
      <c r="D203" s="20" t="n">
        <v>32441</v>
      </c>
      <c r="E203" s="20" t="n">
        <v>32455</v>
      </c>
      <c r="F203" s="20" t="n">
        <v>33733</v>
      </c>
      <c r="G203" s="20" t="n">
        <v>37232</v>
      </c>
      <c r="H203" s="20" t="n">
        <v>33474</v>
      </c>
      <c r="I203" s="20" t="n">
        <v>32494</v>
      </c>
      <c r="J203" s="20" t="n">
        <v>33621</v>
      </c>
      <c r="K203" s="20" t="n">
        <v>35668</v>
      </c>
      <c r="L203" s="20" t="n">
        <v>35720</v>
      </c>
      <c r="M203" s="20" t="n">
        <v>36320</v>
      </c>
      <c r="N203" s="20" t="n">
        <v>37721</v>
      </c>
      <c r="V203" s="20" t="n">
        <v>32441</v>
      </c>
      <c r="W203" s="20" t="n">
        <v>33474</v>
      </c>
      <c r="X203" s="20" t="n">
        <v>35720</v>
      </c>
    </row>
    <row r="204">
      <c r="A204" s="43" t="inlineStr">
        <is>
          <t>YoY</t>
        </is>
      </c>
      <c r="B204" s="3" t="inlineStr">
        <is>
          <t>전년 같은 분기·전년 대비</t>
        </is>
      </c>
      <c r="G204" s="15">
        <f>IF(OR(G203="",C203=""),"",IF(C203&lt;=0,"",IFERROR(G203/C203-1,"")))</f>
        <v/>
      </c>
      <c r="H204" s="15">
        <f>IF(OR(H203="",D203=""),"",IF(D203&lt;=0,"",IFERROR(H203/D203-1,"")))</f>
        <v/>
      </c>
      <c r="I204" s="15">
        <f>IF(OR(I203="",E203=""),"",IF(E203&lt;=0,"",IFERROR(I203/E203-1,"")))</f>
        <v/>
      </c>
      <c r="J204" s="15">
        <f>IF(OR(J203="",F203=""),"",IF(F203&lt;=0,"",IFERROR(J203/F203-1,"")))</f>
        <v/>
      </c>
      <c r="K204" s="15">
        <f>IF(OR(K203="",G203=""),"",IF(G203&lt;=0,"",IFERROR(K203/G203-1,"")))</f>
        <v/>
      </c>
      <c r="L204" s="15">
        <f>IF(OR(L203="",H203=""),"",IF(H203&lt;=0,"",IFERROR(L203/H203-1,"")))</f>
        <v/>
      </c>
      <c r="M204" s="15">
        <f>IF(OR(M203="",I203=""),"",IF(I203&lt;=0,"",IFERROR(M203/I203-1,"")))</f>
        <v/>
      </c>
      <c r="N204" s="15">
        <f>IF(OR(N203="",J203=""),"",IF(J203&lt;=0,"",IFERROR(N203/J203-1,"")))</f>
        <v/>
      </c>
      <c r="V204" s="15">
        <f>IF(OR(V203="",U203=""),"",IF(U203&lt;=0,"",IFERROR(V203/U203-1,"")))</f>
        <v/>
      </c>
      <c r="W204" s="15">
        <f>IF(OR(W203="",V203=""),"",IF(V203&lt;=0,"",IFERROR(W203/V203-1,"")))</f>
        <v/>
      </c>
      <c r="X204" s="15">
        <f>IF(OR(X203="",W203=""),"",IF(W203&lt;=0,"",IFERROR(X203/W203-1,"")))</f>
        <v/>
      </c>
    </row>
    <row r="205">
      <c r="A205" s="18" t="inlineStr">
        <is>
          <t>조정액 · 계</t>
        </is>
      </c>
      <c r="C205" s="20" t="n">
        <v>-311</v>
      </c>
      <c r="D205" s="20" t="n">
        <v>-323</v>
      </c>
      <c r="E205" s="20" t="n">
        <v>-232</v>
      </c>
      <c r="F205" s="20" t="n">
        <v>-272</v>
      </c>
      <c r="G205" s="20" t="n">
        <v>-369</v>
      </c>
      <c r="H205" s="20" t="n">
        <v>-331</v>
      </c>
      <c r="I205" s="20" t="n">
        <v>-252</v>
      </c>
      <c r="J205" s="20" t="n">
        <v>-330</v>
      </c>
      <c r="K205" s="20" t="n">
        <v>-222</v>
      </c>
      <c r="L205" s="20" t="n">
        <v>-129</v>
      </c>
      <c r="M205" s="20" t="n">
        <v>-118</v>
      </c>
      <c r="N205" s="20" t="n">
        <v>-155</v>
      </c>
      <c r="V205" s="20" t="n">
        <v>-323</v>
      </c>
      <c r="W205" s="20" t="n">
        <v>-331</v>
      </c>
      <c r="X205" s="20" t="n">
        <v>-129</v>
      </c>
    </row>
    <row r="206">
      <c r="A206" s="9" t="inlineStr">
        <is>
          <t>계</t>
        </is>
      </c>
      <c r="C206" s="12" t="n">
        <v>35535</v>
      </c>
      <c r="D206" s="12" t="n">
        <v>32117</v>
      </c>
      <c r="E206" s="12" t="n">
        <v>32223</v>
      </c>
      <c r="F206" s="12" t="n">
        <v>33460</v>
      </c>
      <c r="G206" s="12" t="n">
        <v>36863</v>
      </c>
      <c r="H206" s="12" t="n">
        <v>33144</v>
      </c>
      <c r="I206" s="12" t="n">
        <v>32241</v>
      </c>
      <c r="J206" s="12" t="n">
        <v>33292</v>
      </c>
      <c r="K206" s="12" t="n">
        <v>35445</v>
      </c>
      <c r="L206" s="12" t="n">
        <v>35591</v>
      </c>
      <c r="M206" s="12" t="n">
        <v>36202</v>
      </c>
      <c r="N206" s="12" t="n">
        <v>37566</v>
      </c>
      <c r="V206" s="12" t="n">
        <v>32117</v>
      </c>
      <c r="W206" s="12" t="n">
        <v>33144</v>
      </c>
      <c r="X206" s="12" t="n">
        <v>35591</v>
      </c>
    </row>
    <row r="207">
      <c r="A207" s="43" t="inlineStr">
        <is>
          <t>YoY</t>
        </is>
      </c>
      <c r="B207" s="3" t="inlineStr">
        <is>
          <t>전년 같은 분기·전년 대비</t>
        </is>
      </c>
      <c r="G207" s="15">
        <f>IF(OR(G206="",C206=""),"",IF(C206&lt;=0,"",IFERROR(G206/C206-1,"")))</f>
        <v/>
      </c>
      <c r="H207" s="15">
        <f>IF(OR(H206="",D206=""),"",IF(D206&lt;=0,"",IFERROR(H206/D206-1,"")))</f>
        <v/>
      </c>
      <c r="I207" s="15">
        <f>IF(OR(I206="",E206=""),"",IF(E206&lt;=0,"",IFERROR(I206/E206-1,"")))</f>
        <v/>
      </c>
      <c r="J207" s="15">
        <f>IF(OR(J206="",F206=""),"",IF(F206&lt;=0,"",IFERROR(J206/F206-1,"")))</f>
        <v/>
      </c>
      <c r="K207" s="15">
        <f>IF(OR(K206="",G206=""),"",IF(G206&lt;=0,"",IFERROR(K206/G206-1,"")))</f>
        <v/>
      </c>
      <c r="L207" s="15">
        <f>IF(OR(L206="",H206=""),"",IF(H206&lt;=0,"",IFERROR(L206/H206-1,"")))</f>
        <v/>
      </c>
      <c r="M207" s="15">
        <f>IF(OR(M206="",I206=""),"",IF(I206&lt;=0,"",IFERROR(M206/I206-1,"")))</f>
        <v/>
      </c>
      <c r="N207" s="15">
        <f>IF(OR(N206="",J206=""),"",IF(J206&lt;=0,"",IFERROR(N206/J206-1,"")))</f>
        <v/>
      </c>
      <c r="V207" s="15">
        <f>IF(OR(V206="",U206=""),"",IF(U206&lt;=0,"",IFERROR(V206/U206-1,"")))</f>
        <v/>
      </c>
      <c r="W207" s="15">
        <f>IF(OR(W206="",V206=""),"",IF(V206&lt;=0,"",IFERROR(W206/V206-1,"")))</f>
        <v/>
      </c>
      <c r="X207" s="15">
        <f>IF(OR(X206="",W206=""),"",IF(W206&lt;=0,"",IFERROR(X206/W206-1,"")))</f>
        <v/>
      </c>
    </row>
    <row r="208">
      <c r="A208" s="18" t="inlineStr">
        <is>
          <t>부문 · 부문 이익</t>
        </is>
      </c>
      <c r="C208" s="20" t="n">
        <v>2338</v>
      </c>
      <c r="D208" s="20" t="n">
        <v>1034</v>
      </c>
      <c r="E208" s="20" t="n">
        <v>1491</v>
      </c>
      <c r="F208" s="20" t="n">
        <v>1924</v>
      </c>
      <c r="G208" s="20" t="n">
        <v>2255</v>
      </c>
      <c r="H208" s="20" t="n">
        <v>1233</v>
      </c>
      <c r="I208" s="20" t="n">
        <v>1450</v>
      </c>
      <c r="J208" s="20" t="n">
        <v>1737</v>
      </c>
      <c r="K208" s="20" t="n">
        <v>2001</v>
      </c>
      <c r="L208" s="20" t="n">
        <v>1572</v>
      </c>
      <c r="M208" s="20" t="n">
        <v>2458</v>
      </c>
      <c r="N208" s="20" t="n">
        <v>2933</v>
      </c>
      <c r="V208" s="20" t="n">
        <v>1034</v>
      </c>
      <c r="W208" s="20" t="n">
        <v>1233</v>
      </c>
      <c r="X208" s="20" t="n">
        <v>1572</v>
      </c>
    </row>
    <row r="209">
      <c r="A209" s="43" t="inlineStr">
        <is>
          <t>OPM</t>
        </is>
      </c>
      <c r="B209" s="3" t="inlineStr">
        <is>
          <t>영업이익 ÷ 매출</t>
        </is>
      </c>
      <c r="C209" s="15">
        <f>IF(OR(C208="",C191=""),"",IF(C191&lt;=0,"",IFERROR(C208/C191,"")))</f>
        <v/>
      </c>
      <c r="D209" s="15">
        <f>IF(OR(D208="",D191=""),"",IF(D191&lt;=0,"",IFERROR(D208/D191,"")))</f>
        <v/>
      </c>
      <c r="E209" s="15">
        <f>IF(OR(E208="",E191=""),"",IF(E191&lt;=0,"",IFERROR(E208/E191,"")))</f>
        <v/>
      </c>
      <c r="F209" s="15">
        <f>IF(OR(F208="",F191=""),"",IF(F191&lt;=0,"",IFERROR(F208/F191,"")))</f>
        <v/>
      </c>
      <c r="G209" s="15">
        <f>IF(OR(G208="",G191=""),"",IF(G191&lt;=0,"",IFERROR(G208/G191,"")))</f>
        <v/>
      </c>
      <c r="H209" s="15">
        <f>IF(OR(H208="",H191=""),"",IF(H191&lt;=0,"",IFERROR(H208/H191,"")))</f>
        <v/>
      </c>
      <c r="I209" s="15">
        <f>IF(OR(I208="",I191=""),"",IF(I191&lt;=0,"",IFERROR(I208/I191,"")))</f>
        <v/>
      </c>
      <c r="J209" s="15">
        <f>IF(OR(J208="",J191=""),"",IF(J191&lt;=0,"",IFERROR(J208/J191,"")))</f>
        <v/>
      </c>
      <c r="K209" s="15">
        <f>IF(OR(K208="",K191=""),"",IF(K191&lt;=0,"",IFERROR(K208/K191,"")))</f>
        <v/>
      </c>
      <c r="L209" s="15">
        <f>IF(OR(L208="",L191=""),"",IF(L191&lt;=0,"",IFERROR(L208/L191,"")))</f>
        <v/>
      </c>
      <c r="M209" s="15">
        <f>IF(OR(M208="",M191=""),"",IF(M191&lt;=0,"",IFERROR(M208/M191,"")))</f>
        <v/>
      </c>
      <c r="N209" s="15">
        <f>IF(OR(N208="",N191=""),"",IF(N191&lt;=0,"",IFERROR(N208/N191,"")))</f>
        <v/>
      </c>
      <c r="V209" s="15">
        <f>IF(OR(V208="",V191=""),"",IF(V191&lt;=0,"",IFERROR(V208/V191,"")))</f>
        <v/>
      </c>
      <c r="W209" s="15">
        <f>IF(OR(W208="",W191=""),"",IF(W191&lt;=0,"",IFERROR(W208/W191,"")))</f>
        <v/>
      </c>
      <c r="X209" s="15">
        <f>IF(OR(X208="",X191=""),"",IF(X191&lt;=0,"",IFERROR(X208/X191,"")))</f>
        <v/>
      </c>
    </row>
    <row r="210">
      <c r="A210" s="43" t="inlineStr">
        <is>
          <t>YoY</t>
        </is>
      </c>
      <c r="B210" s="3" t="inlineStr">
        <is>
          <t>전년 같은 분기·전년 대비</t>
        </is>
      </c>
      <c r="G210" s="15">
        <f>IF(OR(G208="",C208=""),"",IF(C208&lt;=0,"",IFERROR(G208/C208-1,"")))</f>
        <v/>
      </c>
      <c r="H210" s="15">
        <f>IF(OR(H208="",D208=""),"",IF(D208&lt;=0,"",IFERROR(H208/D208-1,"")))</f>
        <v/>
      </c>
      <c r="I210" s="15">
        <f>IF(OR(I208="",E208=""),"",IF(E208&lt;=0,"",IFERROR(I208/E208-1,"")))</f>
        <v/>
      </c>
      <c r="J210" s="15">
        <f>IF(OR(J208="",F208=""),"",IF(F208&lt;=0,"",IFERROR(J208/F208-1,"")))</f>
        <v/>
      </c>
      <c r="K210" s="15">
        <f>IF(OR(K208="",G208=""),"",IF(G208&lt;=0,"",IFERROR(K208/G208-1,"")))</f>
        <v/>
      </c>
      <c r="L210" s="15">
        <f>IF(OR(L208="",H208=""),"",IF(H208&lt;=0,"",IFERROR(L208/H208-1,"")))</f>
        <v/>
      </c>
      <c r="M210" s="15">
        <f>IF(OR(M208="",I208=""),"",IF(I208&lt;=0,"",IFERROR(M208/I208-1,"")))</f>
        <v/>
      </c>
      <c r="N210" s="15">
        <f>IF(OR(N208="",J208=""),"",IF(J208&lt;=0,"",IFERROR(N208/J208-1,"")))</f>
        <v/>
      </c>
      <c r="V210" s="15">
        <f>IF(OR(V208="",U208=""),"",IF(U208&lt;=0,"",IFERROR(V208/U208-1,"")))</f>
        <v/>
      </c>
      <c r="W210" s="15">
        <f>IF(OR(W208="",V208=""),"",IF(V208&lt;=0,"",IFERROR(W208/V208-1,"")))</f>
        <v/>
      </c>
      <c r="X210" s="15">
        <f>IF(OR(X208="",W208=""),"",IF(W208&lt;=0,"",IFERROR(X208/W208-1,"")))</f>
        <v/>
      </c>
    </row>
    <row r="211">
      <c r="A211" s="18" t="inlineStr">
        <is>
          <t>부문 · 부문 이익</t>
        </is>
      </c>
      <c r="C211" s="20" t="n">
        <v>373</v>
      </c>
      <c r="D211" s="20" t="n">
        <v>313</v>
      </c>
      <c r="E211" s="20" t="n">
        <v>389</v>
      </c>
      <c r="F211" s="20" t="n">
        <v>318</v>
      </c>
      <c r="G211" s="20" t="n">
        <v>348</v>
      </c>
      <c r="H211" s="20" t="n">
        <v>299</v>
      </c>
      <c r="I211" s="20" t="n">
        <v>298</v>
      </c>
      <c r="J211" s="20" t="n">
        <v>344</v>
      </c>
      <c r="K211" s="20" t="n">
        <v>388</v>
      </c>
      <c r="L211" s="20" t="n">
        <v>397</v>
      </c>
      <c r="M211" s="20" t="n">
        <v>499</v>
      </c>
      <c r="N211" s="20" t="n">
        <v>511</v>
      </c>
      <c r="V211" s="20" t="n">
        <v>313</v>
      </c>
      <c r="W211" s="20" t="n">
        <v>299</v>
      </c>
      <c r="X211" s="20" t="n">
        <v>397</v>
      </c>
    </row>
    <row r="212">
      <c r="A212" s="43" t="inlineStr">
        <is>
          <t>OPM</t>
        </is>
      </c>
      <c r="B212" s="3" t="inlineStr">
        <is>
          <t>영업이익 ÷ 매출</t>
        </is>
      </c>
      <c r="C212" s="15">
        <f>IF(OR(C211="",C193=""),"",IF(C193&lt;=0,"",IFERROR(C211/C193,"")))</f>
        <v/>
      </c>
      <c r="D212" s="15">
        <f>IF(OR(D211="",D193=""),"",IF(D193&lt;=0,"",IFERROR(D211/D193,"")))</f>
        <v/>
      </c>
      <c r="E212" s="15">
        <f>IF(OR(E211="",E193=""),"",IF(E193&lt;=0,"",IFERROR(E211/E193,"")))</f>
        <v/>
      </c>
      <c r="F212" s="15">
        <f>IF(OR(F211="",F193=""),"",IF(F193&lt;=0,"",IFERROR(F211/F193,"")))</f>
        <v/>
      </c>
      <c r="G212" s="15">
        <f>IF(OR(G211="",G193=""),"",IF(G193&lt;=0,"",IFERROR(G211/G193,"")))</f>
        <v/>
      </c>
      <c r="H212" s="15">
        <f>IF(OR(H211="",H193=""),"",IF(H193&lt;=0,"",IFERROR(H211/H193,"")))</f>
        <v/>
      </c>
      <c r="I212" s="15">
        <f>IF(OR(I211="",I193=""),"",IF(I193&lt;=0,"",IFERROR(I211/I193,"")))</f>
        <v/>
      </c>
      <c r="J212" s="15">
        <f>IF(OR(J211="",J193=""),"",IF(J193&lt;=0,"",IFERROR(J211/J193,"")))</f>
        <v/>
      </c>
      <c r="K212" s="15">
        <f>IF(OR(K211="",K193=""),"",IF(K193&lt;=0,"",IFERROR(K211/K193,"")))</f>
        <v/>
      </c>
      <c r="L212" s="15">
        <f>IF(OR(L211="",L193=""),"",IF(L193&lt;=0,"",IFERROR(L211/L193,"")))</f>
        <v/>
      </c>
      <c r="M212" s="15">
        <f>IF(OR(M211="",M193=""),"",IF(M193&lt;=0,"",IFERROR(M211/M193,"")))</f>
        <v/>
      </c>
      <c r="N212" s="15">
        <f>IF(OR(N211="",N193=""),"",IF(N193&lt;=0,"",IFERROR(N211/N193,"")))</f>
        <v/>
      </c>
      <c r="V212" s="15">
        <f>IF(OR(V211="",V193=""),"",IF(V193&lt;=0,"",IFERROR(V211/V193,"")))</f>
        <v/>
      </c>
      <c r="W212" s="15">
        <f>IF(OR(W211="",W193=""),"",IF(W193&lt;=0,"",IFERROR(W211/W193,"")))</f>
        <v/>
      </c>
      <c r="X212" s="15">
        <f>IF(OR(X211="",X193=""),"",IF(X193&lt;=0,"",IFERROR(X211/X193,"")))</f>
        <v/>
      </c>
    </row>
    <row r="213">
      <c r="A213" s="43" t="inlineStr">
        <is>
          <t>YoY</t>
        </is>
      </c>
      <c r="B213" s="3" t="inlineStr">
        <is>
          <t>전년 같은 분기·전년 대비</t>
        </is>
      </c>
      <c r="G213" s="15">
        <f>IF(OR(G211="",C211=""),"",IF(C211&lt;=0,"",IFERROR(G211/C211-1,"")))</f>
        <v/>
      </c>
      <c r="H213" s="15">
        <f>IF(OR(H211="",D211=""),"",IF(D211&lt;=0,"",IFERROR(H211/D211-1,"")))</f>
        <v/>
      </c>
      <c r="I213" s="15">
        <f>IF(OR(I211="",E211=""),"",IF(E211&lt;=0,"",IFERROR(I211/E211-1,"")))</f>
        <v/>
      </c>
      <c r="J213" s="15">
        <f>IF(OR(J211="",F211=""),"",IF(F211&lt;=0,"",IFERROR(J211/F211-1,"")))</f>
        <v/>
      </c>
      <c r="K213" s="15">
        <f>IF(OR(K211="",G211=""),"",IF(G211&lt;=0,"",IFERROR(K211/G211-1,"")))</f>
        <v/>
      </c>
      <c r="L213" s="15">
        <f>IF(OR(L211="",H211=""),"",IF(H211&lt;=0,"",IFERROR(L211/H211-1,"")))</f>
        <v/>
      </c>
      <c r="M213" s="15">
        <f>IF(OR(M211="",I211=""),"",IF(I211&lt;=0,"",IFERROR(M211/I211-1,"")))</f>
        <v/>
      </c>
      <c r="N213" s="15">
        <f>IF(OR(N211="",J211=""),"",IF(J211&lt;=0,"",IFERROR(N211/J211-1,"")))</f>
        <v/>
      </c>
      <c r="V213" s="15">
        <f>IF(OR(V211="",U211=""),"",IF(U211&lt;=0,"",IFERROR(V211/U211-1,"")))</f>
        <v/>
      </c>
      <c r="W213" s="15">
        <f>IF(OR(W211="",V211=""),"",IF(V211&lt;=0,"",IFERROR(W211/V211-1,"")))</f>
        <v/>
      </c>
      <c r="X213" s="15">
        <f>IF(OR(X211="",W211=""),"",IF(W211&lt;=0,"",IFERROR(X211/W211-1,"")))</f>
        <v/>
      </c>
    </row>
    <row r="214">
      <c r="A214" s="18" t="inlineStr">
        <is>
          <t>공사사업 · 부문 이익</t>
        </is>
      </c>
      <c r="E214" s="20" t="n">
        <v>207</v>
      </c>
      <c r="I214" s="20" t="n">
        <v>374</v>
      </c>
      <c r="M214" s="20" t="n">
        <v>281</v>
      </c>
    </row>
    <row r="215">
      <c r="A215" s="43" t="inlineStr">
        <is>
          <t>OPM</t>
        </is>
      </c>
      <c r="B215" s="3" t="inlineStr">
        <is>
          <t>영업이익 ÷ 매출</t>
        </is>
      </c>
      <c r="E215" s="15">
        <f>IF(OR(E214="",E195=""),"",IF(E195&lt;=0,"",IFERROR(E214/E195,"")))</f>
        <v/>
      </c>
      <c r="I215" s="15">
        <f>IF(OR(I214="",I195=""),"",IF(I195&lt;=0,"",IFERROR(I214/I195,"")))</f>
        <v/>
      </c>
      <c r="M215" s="15">
        <f>IF(OR(M214="",M195=""),"",IF(M195&lt;=0,"",IFERROR(M214/M195,"")))</f>
        <v/>
      </c>
    </row>
    <row r="216">
      <c r="A216" s="43" t="inlineStr">
        <is>
          <t>YoY</t>
        </is>
      </c>
      <c r="B216" s="3" t="inlineStr">
        <is>
          <t>전년 같은 분기·전년 대비</t>
        </is>
      </c>
      <c r="I216" s="15">
        <f>IF(OR(I214="",E214=""),"",IF(E214&lt;=0,"",IFERROR(I214/E214-1,"")))</f>
        <v/>
      </c>
      <c r="M216" s="15">
        <f>IF(OR(M214="",I214=""),"",IF(I214&lt;=0,"",IFERROR(M214/I214-1,"")))</f>
        <v/>
      </c>
    </row>
    <row r="217">
      <c r="A217" s="18" t="inlineStr">
        <is>
          <t>공사사업 · 부문 이익</t>
        </is>
      </c>
      <c r="C217" s="20" t="n">
        <v>551</v>
      </c>
      <c r="D217" s="20" t="n">
        <v>691</v>
      </c>
      <c r="G217" s="20" t="n">
        <v>960</v>
      </c>
      <c r="H217" s="20" t="n">
        <v>605</v>
      </c>
      <c r="K217" s="20" t="n">
        <v>606</v>
      </c>
      <c r="L217" s="20" t="n">
        <v>984</v>
      </c>
      <c r="V217" s="20" t="n">
        <v>691</v>
      </c>
      <c r="W217" s="20" t="n">
        <v>605</v>
      </c>
      <c r="X217" s="20" t="n">
        <v>984</v>
      </c>
    </row>
    <row r="218">
      <c r="A218" s="43" t="inlineStr">
        <is>
          <t>OPM</t>
        </is>
      </c>
      <c r="B218" s="3" t="inlineStr">
        <is>
          <t>영업이익 ÷ 매출</t>
        </is>
      </c>
      <c r="C218" s="15">
        <f>IF(OR(C217="",C197=""),"",IF(C197&lt;=0,"",IFERROR(C217/C197,"")))</f>
        <v/>
      </c>
      <c r="D218" s="15">
        <f>IF(OR(D217="",D197=""),"",IF(D197&lt;=0,"",IFERROR(D217/D197,"")))</f>
        <v/>
      </c>
      <c r="G218" s="15">
        <f>IF(OR(G217="",G197=""),"",IF(G197&lt;=0,"",IFERROR(G217/G197,"")))</f>
        <v/>
      </c>
      <c r="H218" s="15">
        <f>IF(OR(H217="",H197=""),"",IF(H197&lt;=0,"",IFERROR(H217/H197,"")))</f>
        <v/>
      </c>
      <c r="K218" s="15">
        <f>IF(OR(K217="",K197=""),"",IF(K197&lt;=0,"",IFERROR(K217/K197,"")))</f>
        <v/>
      </c>
      <c r="L218" s="15">
        <f>IF(OR(L217="",L197=""),"",IF(L197&lt;=0,"",IFERROR(L217/L197,"")))</f>
        <v/>
      </c>
      <c r="V218" s="15">
        <f>IF(OR(V217="",V197=""),"",IF(V197&lt;=0,"",IFERROR(V217/V197,"")))</f>
        <v/>
      </c>
      <c r="W218" s="15">
        <f>IF(OR(W217="",W197=""),"",IF(W197&lt;=0,"",IFERROR(W217/W197,"")))</f>
        <v/>
      </c>
      <c r="X218" s="15">
        <f>IF(OR(X217="",X197=""),"",IF(X197&lt;=0,"",IFERROR(X217/X197,"")))</f>
        <v/>
      </c>
    </row>
    <row r="219">
      <c r="A219" s="43" t="inlineStr">
        <is>
          <t>YoY</t>
        </is>
      </c>
      <c r="B219" s="3" t="inlineStr">
        <is>
          <t>전년 같은 분기·전년 대비</t>
        </is>
      </c>
      <c r="G219" s="15">
        <f>IF(OR(G217="",C217=""),"",IF(C217&lt;=0,"",IFERROR(G217/C217-1,"")))</f>
        <v/>
      </c>
      <c r="H219" s="15">
        <f>IF(OR(H217="",D217=""),"",IF(D217&lt;=0,"",IFERROR(H217/D217-1,"")))</f>
        <v/>
      </c>
      <c r="K219" s="15">
        <f>IF(OR(K217="",G217=""),"",IF(G217&lt;=0,"",IFERROR(K217/G217-1,"")))</f>
        <v/>
      </c>
      <c r="L219" s="15">
        <f>IF(OR(L217="",H217=""),"",IF(H217&lt;=0,"",IFERROR(L217/H217-1,"")))</f>
        <v/>
      </c>
      <c r="V219" s="15">
        <f>IF(OR(V217="",U217=""),"",IF(U217&lt;=0,"",IFERROR(V217/U217-1,"")))</f>
        <v/>
      </c>
      <c r="W219" s="15">
        <f>IF(OR(W217="",V217=""),"",IF(V217&lt;=0,"",IFERROR(W217/V217-1,"")))</f>
        <v/>
      </c>
      <c r="X219" s="15">
        <f>IF(OR(X217="",W217=""),"",IF(W217&lt;=0,"",IFERROR(X217/W217-1,"")))</f>
        <v/>
      </c>
    </row>
    <row r="220">
      <c r="A220" s="18" t="inlineStr">
        <is>
          <t>보고부문 합계 · 부문 이익</t>
        </is>
      </c>
      <c r="C220" s="20" t="n">
        <v>3262</v>
      </c>
      <c r="D220" s="20" t="n">
        <v>2038</v>
      </c>
      <c r="E220" s="20" t="n">
        <v>2088</v>
      </c>
      <c r="F220" s="20" t="n">
        <v>2739</v>
      </c>
      <c r="G220" s="20" t="n">
        <v>3563</v>
      </c>
      <c r="H220" s="20" t="n">
        <v>2138</v>
      </c>
      <c r="V220" s="20" t="n">
        <v>2038</v>
      </c>
      <c r="W220" s="20" t="n">
        <v>2138</v>
      </c>
    </row>
    <row r="221">
      <c r="A221" s="43" t="inlineStr">
        <is>
          <t>OPM</t>
        </is>
      </c>
      <c r="B221" s="3" t="inlineStr">
        <is>
          <t>영업이익 ÷ 매출</t>
        </is>
      </c>
      <c r="C221" s="15">
        <f>IF(OR(C220="",C199=""),"",IF(C199&lt;=0,"",IFERROR(C220/C199,"")))</f>
        <v/>
      </c>
      <c r="D221" s="15">
        <f>IF(OR(D220="",D199=""),"",IF(D199&lt;=0,"",IFERROR(D220/D199,"")))</f>
        <v/>
      </c>
      <c r="E221" s="15">
        <f>IF(OR(E220="",E199=""),"",IF(E199&lt;=0,"",IFERROR(E220/E199,"")))</f>
        <v/>
      </c>
      <c r="F221" s="15">
        <f>IF(OR(F220="",F199=""),"",IF(F199&lt;=0,"",IFERROR(F220/F199,"")))</f>
        <v/>
      </c>
      <c r="G221" s="15">
        <f>IF(OR(G220="",G199=""),"",IF(G199&lt;=0,"",IFERROR(G220/G199,"")))</f>
        <v/>
      </c>
      <c r="H221" s="15">
        <f>IF(OR(H220="",H199=""),"",IF(H199&lt;=0,"",IFERROR(H220/H199,"")))</f>
        <v/>
      </c>
      <c r="V221" s="15">
        <f>IF(OR(V220="",V199=""),"",IF(V199&lt;=0,"",IFERROR(V220/V199,"")))</f>
        <v/>
      </c>
      <c r="W221" s="15">
        <f>IF(OR(W220="",W199=""),"",IF(W199&lt;=0,"",IFERROR(W220/W199,"")))</f>
        <v/>
      </c>
    </row>
    <row r="222">
      <c r="A222" s="43" t="inlineStr">
        <is>
          <t>YoY</t>
        </is>
      </c>
      <c r="B222" s="3" t="inlineStr">
        <is>
          <t>전년 같은 분기·전년 대비</t>
        </is>
      </c>
      <c r="G222" s="15">
        <f>IF(OR(G220="",C220=""),"",IF(C220&lt;=0,"",IFERROR(G220/C220-1,"")))</f>
        <v/>
      </c>
      <c r="H222" s="15">
        <f>IF(OR(H220="",D220=""),"",IF(D220&lt;=0,"",IFERROR(H220/D220-1,"")))</f>
        <v/>
      </c>
      <c r="V222" s="15">
        <f>IF(OR(V220="",U220=""),"",IF(U220&lt;=0,"",IFERROR(V220/U220-1,"")))</f>
        <v/>
      </c>
      <c r="W222" s="15">
        <f>IF(OR(W220="",V220=""),"",IF(V220&lt;=0,"",IFERROR(W220/V220-1,"")))</f>
        <v/>
      </c>
    </row>
    <row r="223">
      <c r="A223" s="18" t="inlineStr">
        <is>
          <t>기타 · 부문 이익</t>
        </is>
      </c>
      <c r="C223" s="20" t="n">
        <v>32</v>
      </c>
      <c r="D223" s="20" t="n">
        <v>34</v>
      </c>
      <c r="E223" s="20" t="n">
        <v>38</v>
      </c>
      <c r="F223" s="20" t="n">
        <v>35</v>
      </c>
      <c r="G223" s="20" t="n">
        <v>49</v>
      </c>
      <c r="H223" s="20" t="n">
        <v>42</v>
      </c>
      <c r="V223" s="20" t="n">
        <v>34</v>
      </c>
      <c r="W223" s="20" t="n">
        <v>42</v>
      </c>
    </row>
    <row r="224">
      <c r="A224" s="43" t="inlineStr">
        <is>
          <t>OPM</t>
        </is>
      </c>
      <c r="B224" s="3" t="inlineStr">
        <is>
          <t>영업이익 ÷ 매출</t>
        </is>
      </c>
      <c r="C224" s="15">
        <f>IF(OR(C223="",C201=""),"",IF(C201&lt;=0,"",IFERROR(C223/C201,"")))</f>
        <v/>
      </c>
      <c r="D224" s="15">
        <f>IF(OR(D223="",D201=""),"",IF(D201&lt;=0,"",IFERROR(D223/D201,"")))</f>
        <v/>
      </c>
      <c r="E224" s="15">
        <f>IF(OR(E223="",E201=""),"",IF(E201&lt;=0,"",IFERROR(E223/E201,"")))</f>
        <v/>
      </c>
      <c r="F224" s="15">
        <f>IF(OR(F223="",F201=""),"",IF(F201&lt;=0,"",IFERROR(F223/F201,"")))</f>
        <v/>
      </c>
      <c r="G224" s="15">
        <f>IF(OR(G223="",G201=""),"",IF(G201&lt;=0,"",IFERROR(G223/G201,"")))</f>
        <v/>
      </c>
      <c r="H224" s="15">
        <f>IF(OR(H223="",H201=""),"",IF(H201&lt;=0,"",IFERROR(H223/H201,"")))</f>
        <v/>
      </c>
      <c r="V224" s="15">
        <f>IF(OR(V223="",V201=""),"",IF(V201&lt;=0,"",IFERROR(V223/V201,"")))</f>
        <v/>
      </c>
      <c r="W224" s="15">
        <f>IF(OR(W223="",W201=""),"",IF(W201&lt;=0,"",IFERROR(W223/W201,"")))</f>
        <v/>
      </c>
    </row>
    <row r="225">
      <c r="A225" s="43" t="inlineStr">
        <is>
          <t>YoY</t>
        </is>
      </c>
      <c r="B225" s="3" t="inlineStr">
        <is>
          <t>전년 같은 분기·전년 대비</t>
        </is>
      </c>
      <c r="G225" s="15">
        <f>IF(OR(G223="",C223=""),"",IF(C223&lt;=0,"",IFERROR(G223/C223-1,"")))</f>
        <v/>
      </c>
      <c r="H225" s="15">
        <f>IF(OR(H223="",D223=""),"",IF(D223&lt;=0,"",IFERROR(H223/D223-1,"")))</f>
        <v/>
      </c>
      <c r="V225" s="15">
        <f>IF(OR(V223="",U223=""),"",IF(U223&lt;=0,"",IFERROR(V223/U223-1,"")))</f>
        <v/>
      </c>
      <c r="W225" s="15">
        <f>IF(OR(W223="",V223=""),"",IF(V223&lt;=0,"",IFERROR(W223/V223-1,"")))</f>
        <v/>
      </c>
    </row>
    <row r="226">
      <c r="A226" s="18" t="inlineStr">
        <is>
          <t>합계 · 부문 이익</t>
        </is>
      </c>
      <c r="C226" s="20" t="n">
        <v>3294</v>
      </c>
      <c r="D226" s="20" t="n">
        <v>2072</v>
      </c>
      <c r="E226" s="20" t="n">
        <v>2088</v>
      </c>
      <c r="F226" s="20" t="n">
        <v>2739</v>
      </c>
      <c r="G226" s="20" t="n">
        <v>3563</v>
      </c>
      <c r="H226" s="20" t="n">
        <v>2138</v>
      </c>
      <c r="I226" s="20" t="n">
        <v>2123</v>
      </c>
      <c r="J226" s="20" t="n">
        <v>2480</v>
      </c>
      <c r="K226" s="20" t="n">
        <v>2996</v>
      </c>
      <c r="L226" s="20" t="n">
        <v>2952</v>
      </c>
      <c r="M226" s="20" t="n">
        <v>3238</v>
      </c>
      <c r="N226" s="20" t="n">
        <v>4089</v>
      </c>
      <c r="V226" s="20" t="n">
        <v>2072</v>
      </c>
      <c r="W226" s="20" t="n">
        <v>2138</v>
      </c>
      <c r="X226" s="20" t="n">
        <v>2952</v>
      </c>
    </row>
    <row r="227">
      <c r="A227" s="43" t="inlineStr">
        <is>
          <t>OPM</t>
        </is>
      </c>
      <c r="B227" s="3" t="inlineStr">
        <is>
          <t>영업이익 ÷ 매출</t>
        </is>
      </c>
      <c r="C227" s="15">
        <f>IF(OR(C226="",C203=""),"",IF(C203&lt;=0,"",IFERROR(C226/C203,"")))</f>
        <v/>
      </c>
      <c r="D227" s="15">
        <f>IF(OR(D226="",D203=""),"",IF(D203&lt;=0,"",IFERROR(D226/D203,"")))</f>
        <v/>
      </c>
      <c r="E227" s="15">
        <f>IF(OR(E226="",E203=""),"",IF(E203&lt;=0,"",IFERROR(E226/E203,"")))</f>
        <v/>
      </c>
      <c r="F227" s="15">
        <f>IF(OR(F226="",F203=""),"",IF(F203&lt;=0,"",IFERROR(F226/F203,"")))</f>
        <v/>
      </c>
      <c r="G227" s="15">
        <f>IF(OR(G226="",G203=""),"",IF(G203&lt;=0,"",IFERROR(G226/G203,"")))</f>
        <v/>
      </c>
      <c r="H227" s="15">
        <f>IF(OR(H226="",H203=""),"",IF(H203&lt;=0,"",IFERROR(H226/H203,"")))</f>
        <v/>
      </c>
      <c r="I227" s="15">
        <f>IF(OR(I226="",I203=""),"",IF(I203&lt;=0,"",IFERROR(I226/I203,"")))</f>
        <v/>
      </c>
      <c r="J227" s="15">
        <f>IF(OR(J226="",J203=""),"",IF(J203&lt;=0,"",IFERROR(J226/J203,"")))</f>
        <v/>
      </c>
      <c r="K227" s="15">
        <f>IF(OR(K226="",K203=""),"",IF(K203&lt;=0,"",IFERROR(K226/K203,"")))</f>
        <v/>
      </c>
      <c r="L227" s="15">
        <f>IF(OR(L226="",L203=""),"",IF(L203&lt;=0,"",IFERROR(L226/L203,"")))</f>
        <v/>
      </c>
      <c r="M227" s="15">
        <f>IF(OR(M226="",M203=""),"",IF(M203&lt;=0,"",IFERROR(M226/M203,"")))</f>
        <v/>
      </c>
      <c r="N227" s="15">
        <f>IF(OR(N226="",N203=""),"",IF(N203&lt;=0,"",IFERROR(N226/N203,"")))</f>
        <v/>
      </c>
      <c r="V227" s="15">
        <f>IF(OR(V226="",V203=""),"",IF(V203&lt;=0,"",IFERROR(V226/V203,"")))</f>
        <v/>
      </c>
      <c r="W227" s="15">
        <f>IF(OR(W226="",W203=""),"",IF(W203&lt;=0,"",IFERROR(W226/W203,"")))</f>
        <v/>
      </c>
      <c r="X227" s="15">
        <f>IF(OR(X226="",X203=""),"",IF(X203&lt;=0,"",IFERROR(X226/X203,"")))</f>
        <v/>
      </c>
    </row>
    <row r="228">
      <c r="A228" s="43" t="inlineStr">
        <is>
          <t>YoY</t>
        </is>
      </c>
      <c r="B228" s="3" t="inlineStr">
        <is>
          <t>전년 같은 분기·전년 대비</t>
        </is>
      </c>
      <c r="G228" s="15">
        <f>IF(OR(G226="",C226=""),"",IF(C226&lt;=0,"",IFERROR(G226/C226-1,"")))</f>
        <v/>
      </c>
      <c r="H228" s="15">
        <f>IF(OR(H226="",D226=""),"",IF(D226&lt;=0,"",IFERROR(H226/D226-1,"")))</f>
        <v/>
      </c>
      <c r="I228" s="15">
        <f>IF(OR(I226="",E226=""),"",IF(E226&lt;=0,"",IFERROR(I226/E226-1,"")))</f>
        <v/>
      </c>
      <c r="J228" s="15">
        <f>IF(OR(J226="",F226=""),"",IF(F226&lt;=0,"",IFERROR(J226/F226-1,"")))</f>
        <v/>
      </c>
      <c r="K228" s="15">
        <f>IF(OR(K226="",G226=""),"",IF(G226&lt;=0,"",IFERROR(K226/G226-1,"")))</f>
        <v/>
      </c>
      <c r="L228" s="15">
        <f>IF(OR(L226="",H226=""),"",IF(H226&lt;=0,"",IFERROR(L226/H226-1,"")))</f>
        <v/>
      </c>
      <c r="M228" s="15">
        <f>IF(OR(M226="",I226=""),"",IF(I226&lt;=0,"",IFERROR(M226/I226-1,"")))</f>
        <v/>
      </c>
      <c r="N228" s="15">
        <f>IF(OR(N226="",J226=""),"",IF(J226&lt;=0,"",IFERROR(N226/J226-1,"")))</f>
        <v/>
      </c>
      <c r="V228" s="15">
        <f>IF(OR(V226="",U226=""),"",IF(U226&lt;=0,"",IFERROR(V226/U226-1,"")))</f>
        <v/>
      </c>
      <c r="W228" s="15">
        <f>IF(OR(W226="",V226=""),"",IF(V226&lt;=0,"",IFERROR(W226/V226-1,"")))</f>
        <v/>
      </c>
      <c r="X228" s="15">
        <f>IF(OR(X226="",W226=""),"",IF(W226&lt;=0,"",IFERROR(X226/W226-1,"")))</f>
        <v/>
      </c>
    </row>
    <row r="229">
      <c r="A229" s="18" t="inlineStr">
        <is>
          <t>조정액 · 부문 이익</t>
        </is>
      </c>
      <c r="C229" s="20" t="n">
        <v>2</v>
      </c>
      <c r="D229" s="20" t="n">
        <v>-20</v>
      </c>
      <c r="E229" s="20" t="n">
        <v>13</v>
      </c>
      <c r="F229" s="20" t="n">
        <v>7</v>
      </c>
      <c r="G229" s="20" t="n">
        <v>6</v>
      </c>
      <c r="H229" s="20" t="n">
        <v>1</v>
      </c>
      <c r="I229" s="20" t="n">
        <v>13</v>
      </c>
      <c r="J229" s="20" t="n">
        <v>5</v>
      </c>
      <c r="K229" s="20" t="n">
        <v>-32</v>
      </c>
      <c r="L229" s="20" t="n">
        <v>-73</v>
      </c>
      <c r="M229" s="20" t="n">
        <v>18</v>
      </c>
      <c r="N229" s="20" t="n">
        <v>12</v>
      </c>
      <c r="V229" s="20" t="n">
        <v>-20</v>
      </c>
      <c r="W229" s="20" t="n">
        <v>1</v>
      </c>
      <c r="X229" s="20" t="n">
        <v>-73</v>
      </c>
    </row>
    <row r="230">
      <c r="A230" s="9" t="inlineStr">
        <is>
          <t>부문 이익</t>
        </is>
      </c>
      <c r="C230" s="12" t="n">
        <v>3296</v>
      </c>
      <c r="D230" s="12" t="n">
        <v>2051</v>
      </c>
      <c r="E230" s="12" t="n">
        <v>2101</v>
      </c>
      <c r="F230" s="12" t="n">
        <v>2747</v>
      </c>
      <c r="G230" s="12" t="n">
        <v>3568</v>
      </c>
      <c r="H230" s="12" t="n">
        <v>2139</v>
      </c>
      <c r="I230" s="12" t="n">
        <v>2136</v>
      </c>
      <c r="J230" s="12" t="n">
        <v>2486</v>
      </c>
      <c r="K230" s="12" t="n">
        <v>2962</v>
      </c>
      <c r="L230" s="12" t="n">
        <v>2880</v>
      </c>
      <c r="M230" s="12" t="n">
        <v>3257</v>
      </c>
      <c r="N230" s="12" t="n">
        <v>4101</v>
      </c>
      <c r="V230" s="12" t="n">
        <v>2051</v>
      </c>
      <c r="W230" s="12" t="n">
        <v>2139</v>
      </c>
      <c r="X230" s="12" t="n">
        <v>2880</v>
      </c>
    </row>
    <row r="231">
      <c r="A231" s="43" t="inlineStr">
        <is>
          <t>OPM</t>
        </is>
      </c>
      <c r="B231" s="3" t="inlineStr">
        <is>
          <t>영업이익 ÷ 매출</t>
        </is>
      </c>
      <c r="C231" s="15">
        <f>IF(OR(C230="",C180=""),"",IF(C180&lt;=0,"",IFERROR(C230/C180,"")))</f>
        <v/>
      </c>
      <c r="D231" s="15">
        <f>IF(OR(D230="",D180=""),"",IF(D180&lt;=0,"",IFERROR(D230/D180,"")))</f>
        <v/>
      </c>
      <c r="E231" s="15">
        <f>IF(OR(E230="",E180=""),"",IF(E180&lt;=0,"",IFERROR(E230/E180,"")))</f>
        <v/>
      </c>
      <c r="F231" s="15">
        <f>IF(OR(F230="",F180=""),"",IF(F180&lt;=0,"",IFERROR(F230/F180,"")))</f>
        <v/>
      </c>
      <c r="G231" s="15">
        <f>IF(OR(G230="",G180=""),"",IF(G180&lt;=0,"",IFERROR(G230/G180,"")))</f>
        <v/>
      </c>
      <c r="H231" s="15">
        <f>IF(OR(H230="",H180=""),"",IF(H180&lt;=0,"",IFERROR(H230/H180,"")))</f>
        <v/>
      </c>
      <c r="I231" s="15">
        <f>IF(OR(I230="",I180=""),"",IF(I180&lt;=0,"",IFERROR(I230/I180,"")))</f>
        <v/>
      </c>
      <c r="J231" s="15">
        <f>IF(OR(J230="",J180=""),"",IF(J180&lt;=0,"",IFERROR(J230/J180,"")))</f>
        <v/>
      </c>
      <c r="K231" s="15">
        <f>IF(OR(K230="",K180=""),"",IF(K180&lt;=0,"",IFERROR(K230/K180,"")))</f>
        <v/>
      </c>
      <c r="L231" s="15">
        <f>IF(OR(L230="",L180=""),"",IF(L180&lt;=0,"",IFERROR(L230/L180,"")))</f>
        <v/>
      </c>
      <c r="M231" s="15">
        <f>IF(OR(M230="",M180=""),"",IF(M180&lt;=0,"",IFERROR(M230/M180,"")))</f>
        <v/>
      </c>
      <c r="N231" s="15">
        <f>IF(OR(N230="",N180=""),"",IF(N180&lt;=0,"",IFERROR(N230/N180,"")))</f>
        <v/>
      </c>
      <c r="V231" s="15">
        <f>IF(OR(V230="",V180=""),"",IF(V180&lt;=0,"",IFERROR(V230/V180,"")))</f>
        <v/>
      </c>
      <c r="W231" s="15">
        <f>IF(OR(W230="",W180=""),"",IF(W180&lt;=0,"",IFERROR(W230/W180,"")))</f>
        <v/>
      </c>
      <c r="X231" s="15">
        <f>IF(OR(X230="",X180=""),"",IF(X180&lt;=0,"",IFERROR(X230/X180,"")))</f>
        <v/>
      </c>
    </row>
    <row r="232">
      <c r="A232" s="43" t="inlineStr">
        <is>
          <t>YoY</t>
        </is>
      </c>
      <c r="B232" s="3" t="inlineStr">
        <is>
          <t>전년 같은 분기·전년 대비</t>
        </is>
      </c>
      <c r="G232" s="15">
        <f>IF(OR(G230="",C230=""),"",IF(C230&lt;=0,"",IFERROR(G230/C230-1,"")))</f>
        <v/>
      </c>
      <c r="H232" s="15">
        <f>IF(OR(H230="",D230=""),"",IF(D230&lt;=0,"",IFERROR(H230/D230-1,"")))</f>
        <v/>
      </c>
      <c r="I232" s="15">
        <f>IF(OR(I230="",E230=""),"",IF(E230&lt;=0,"",IFERROR(I230/E230-1,"")))</f>
        <v/>
      </c>
      <c r="J232" s="15">
        <f>IF(OR(J230="",F230=""),"",IF(F230&lt;=0,"",IFERROR(J230/F230-1,"")))</f>
        <v/>
      </c>
      <c r="K232" s="15">
        <f>IF(OR(K230="",G230=""),"",IF(G230&lt;=0,"",IFERROR(K230/G230-1,"")))</f>
        <v/>
      </c>
      <c r="L232" s="15">
        <f>IF(OR(L230="",H230=""),"",IF(H230&lt;=0,"",IFERROR(L230/H230-1,"")))</f>
        <v/>
      </c>
      <c r="M232" s="15">
        <f>IF(OR(M230="",I230=""),"",IF(I230&lt;=0,"",IFERROR(M230/I230-1,"")))</f>
        <v/>
      </c>
      <c r="N232" s="15">
        <f>IF(OR(N230="",J230=""),"",IF(J230&lt;=0,"",IFERROR(N230/J230-1,"")))</f>
        <v/>
      </c>
      <c r="V232" s="15">
        <f>IF(OR(V230="",U230=""),"",IF(U230&lt;=0,"",IFERROR(V230/U230-1,"")))</f>
        <v/>
      </c>
      <c r="W232" s="15">
        <f>IF(OR(W230="",V230=""),"",IF(V230&lt;=0,"",IFERROR(W230/V230-1,"")))</f>
        <v/>
      </c>
      <c r="X232" s="15">
        <f>IF(OR(X230="",W230=""),"",IF(W230&lt;=0,"",IFERROR(X230/W230-1,"")))</f>
        <v/>
      </c>
    </row>
    <row r="234">
      <c r="A234" s="16" t="inlineStr">
        <is>
          <t>현금흐름표 · 전 항목</t>
        </is>
      </c>
      <c r="B234" s="42" t="inlineStr">
        <is>
          <t>분기 = 결산기 첫날부터 누계(공시 그대로)</t>
        </is>
      </c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  <c r="AA234" s="16" t="n"/>
      <c r="AB234" s="16" t="n"/>
      <c r="AC234" s="16" t="n"/>
    </row>
    <row r="235">
      <c r="A235" s="5" t="inlineStr">
        <is>
          <t>항목</t>
        </is>
      </c>
      <c r="B235" s="5" t="inlineStr">
        <is>
          <t>참고</t>
        </is>
      </c>
      <c r="C235" s="5" t="inlineStr">
        <is>
          <t>2024.3Q</t>
        </is>
      </c>
      <c r="D235" s="5" t="inlineStr">
        <is>
          <t>2024.4Q</t>
        </is>
      </c>
      <c r="E235" s="5" t="inlineStr">
        <is>
          <t>2025.1Q</t>
        </is>
      </c>
      <c r="F235" s="5" t="inlineStr">
        <is>
          <t>2025.2Q</t>
        </is>
      </c>
      <c r="G235" s="5" t="inlineStr">
        <is>
          <t>2025.3Q</t>
        </is>
      </c>
      <c r="H235" s="5" t="inlineStr">
        <is>
          <t>2025.4Q</t>
        </is>
      </c>
      <c r="I235" s="5" t="inlineStr">
        <is>
          <t>2026.1Q</t>
        </is>
      </c>
      <c r="J235" s="5" t="inlineStr">
        <is>
          <t>2026.2Q</t>
        </is>
      </c>
      <c r="K235" s="5" t="inlineStr">
        <is>
          <t>2026.3Q</t>
        </is>
      </c>
      <c r="L235" s="5" t="inlineStr">
        <is>
          <t>2026.4Q</t>
        </is>
      </c>
      <c r="M235" s="5" t="inlineStr">
        <is>
          <t>2027.1Q</t>
        </is>
      </c>
      <c r="N235" s="5" t="inlineStr">
        <is>
          <t>2027.2Q</t>
        </is>
      </c>
      <c r="O235" s="5" t="inlineStr">
        <is>
          <t>2017</t>
        </is>
      </c>
      <c r="P235" s="5" t="inlineStr">
        <is>
          <t>2018</t>
        </is>
      </c>
      <c r="Q235" s="5" t="inlineStr">
        <is>
          <t>2019</t>
        </is>
      </c>
      <c r="R235" s="5" t="inlineStr">
        <is>
          <t>2020</t>
        </is>
      </c>
      <c r="S235" s="5" t="inlineStr">
        <is>
          <t>2021</t>
        </is>
      </c>
      <c r="T235" s="5" t="inlineStr">
        <is>
          <t>2022</t>
        </is>
      </c>
      <c r="U235" s="5" t="inlineStr">
        <is>
          <t>2023</t>
        </is>
      </c>
      <c r="V235" s="5" t="inlineStr">
        <is>
          <t>2024</t>
        </is>
      </c>
      <c r="W235" s="5" t="inlineStr">
        <is>
          <t>2025</t>
        </is>
      </c>
      <c r="X235" s="5" t="inlineStr">
        <is>
          <t>2026</t>
        </is>
      </c>
      <c r="Y235" s="5" t="inlineStr">
        <is>
          <t>2027(MW)</t>
        </is>
      </c>
      <c r="Z235" s="5" t="inlineStr">
        <is>
          <t>2028(MW)</t>
        </is>
      </c>
      <c r="AA235" s="5" t="inlineStr">
        <is>
          <t>2029(MW)</t>
        </is>
      </c>
      <c r="AB235" s="5" t="inlineStr">
        <is>
          <t>2030(MW)</t>
        </is>
      </c>
      <c r="AC235" s="5" t="inlineStr">
        <is>
          <t>2031(MW)</t>
        </is>
      </c>
    </row>
    <row r="236">
      <c r="A236" s="9" t="inlineStr">
        <is>
          <t>법인세차감전 순이익</t>
        </is>
      </c>
      <c r="D236" s="12" t="n">
        <v>11041</v>
      </c>
      <c r="F236" s="12" t="n">
        <v>5020</v>
      </c>
      <c r="H236" s="12" t="n">
        <v>11503</v>
      </c>
      <c r="J236" s="12" t="n">
        <v>4869</v>
      </c>
      <c r="L236" s="12" t="n">
        <v>11954</v>
      </c>
      <c r="N236" s="12" t="n">
        <v>7802</v>
      </c>
      <c r="O236" s="12" t="n">
        <v>6662</v>
      </c>
      <c r="P236" s="12" t="n">
        <v>7283</v>
      </c>
      <c r="Q236" s="12" t="n">
        <v>7075</v>
      </c>
      <c r="R236" s="12" t="n">
        <v>7256</v>
      </c>
      <c r="S236" s="12" t="n">
        <v>7821</v>
      </c>
      <c r="T236" s="12" t="n">
        <v>7980</v>
      </c>
      <c r="U236" s="12" t="n">
        <v>15052</v>
      </c>
      <c r="V236" s="12" t="n">
        <v>11041</v>
      </c>
      <c r="W236" s="12" t="n">
        <v>11503</v>
      </c>
      <c r="X236" s="12" t="n">
        <v>11954</v>
      </c>
    </row>
    <row r="237">
      <c r="A237" s="18" t="inlineStr">
        <is>
          <t>감가상각비</t>
        </is>
      </c>
      <c r="D237" s="20" t="n">
        <v>1819</v>
      </c>
      <c r="F237" s="20" t="n">
        <v>950</v>
      </c>
      <c r="H237" s="20" t="n">
        <v>2082</v>
      </c>
      <c r="J237" s="20" t="n">
        <v>1437</v>
      </c>
      <c r="L237" s="20" t="n">
        <v>2964</v>
      </c>
      <c r="N237" s="20" t="n">
        <v>1398</v>
      </c>
      <c r="O237" s="20" t="n">
        <v>1873</v>
      </c>
      <c r="P237" s="20" t="n">
        <v>1839</v>
      </c>
      <c r="Q237" s="20" t="n">
        <v>1590</v>
      </c>
      <c r="R237" s="20" t="n">
        <v>1862</v>
      </c>
      <c r="S237" s="20" t="n">
        <v>1810</v>
      </c>
      <c r="T237" s="20" t="n">
        <v>2266</v>
      </c>
      <c r="U237" s="20" t="n">
        <v>2050</v>
      </c>
      <c r="V237" s="20" t="n">
        <v>1819</v>
      </c>
      <c r="W237" s="20" t="n">
        <v>2082</v>
      </c>
      <c r="X237" s="20" t="n">
        <v>2964</v>
      </c>
    </row>
    <row r="238">
      <c r="A238" s="18" t="inlineStr">
        <is>
          <t>영업권 상각</t>
        </is>
      </c>
      <c r="D238" s="20" t="n">
        <v>127</v>
      </c>
      <c r="F238" s="20" t="n">
        <v>64</v>
      </c>
      <c r="H238" s="20" t="n">
        <v>128</v>
      </c>
      <c r="J238" s="20" t="n">
        <v>63</v>
      </c>
      <c r="L238" s="20" t="n">
        <v>134</v>
      </c>
      <c r="N238" s="20" t="n">
        <v>78</v>
      </c>
      <c r="O238" s="20" t="n">
        <v>7</v>
      </c>
      <c r="P238" s="20" t="n">
        <v>144</v>
      </c>
      <c r="Q238" s="20" t="n">
        <v>189</v>
      </c>
      <c r="R238" s="20" t="n">
        <v>189</v>
      </c>
      <c r="S238" s="20" t="n">
        <v>204</v>
      </c>
      <c r="T238" s="20" t="n">
        <v>222</v>
      </c>
      <c r="U238" s="20" t="n">
        <v>106</v>
      </c>
      <c r="V238" s="20" t="n">
        <v>127</v>
      </c>
      <c r="W238" s="20" t="n">
        <v>128</v>
      </c>
      <c r="X238" s="20" t="n">
        <v>134</v>
      </c>
    </row>
    <row r="239">
      <c r="A239" s="18" t="inlineStr">
        <is>
          <t>손상차손</t>
        </is>
      </c>
      <c r="O239" s="20" t="n">
        <v>100</v>
      </c>
      <c r="P239" s="20" t="n">
        <v>0</v>
      </c>
    </row>
    <row r="240">
      <c r="A240" s="18" t="inlineStr">
        <is>
          <t>투자유가증권 매각손익</t>
        </is>
      </c>
      <c r="D240" s="20" t="n">
        <v>-285</v>
      </c>
      <c r="F240" s="20" t="n">
        <v>0</v>
      </c>
      <c r="H240" s="20" t="n">
        <v>-397</v>
      </c>
      <c r="J240" s="20" t="n">
        <v>-0</v>
      </c>
      <c r="L240" s="20" t="n">
        <v>-866</v>
      </c>
      <c r="N240" s="20" t="n">
        <v>-51</v>
      </c>
      <c r="O240" s="20" t="n">
        <v>-4</v>
      </c>
      <c r="P240" s="20" t="n">
        <v>-167</v>
      </c>
      <c r="Q240" s="20" t="n">
        <v>0</v>
      </c>
      <c r="R240" s="20" t="n">
        <v>-113</v>
      </c>
      <c r="S240" s="20" t="n">
        <v>-170</v>
      </c>
      <c r="T240" s="20" t="n">
        <v>-152</v>
      </c>
      <c r="U240" s="20" t="n">
        <v>0</v>
      </c>
      <c r="V240" s="20" t="n">
        <v>-285</v>
      </c>
      <c r="W240" s="20" t="n">
        <v>-397</v>
      </c>
      <c r="X240" s="20" t="n">
        <v>-866</v>
      </c>
    </row>
    <row r="241">
      <c r="A241" s="18" t="inlineStr">
        <is>
          <t>관계회사 주식 매각손익</t>
        </is>
      </c>
      <c r="O241" s="20" t="n">
        <v>14</v>
      </c>
      <c r="P241" s="20" t="n">
        <v>0</v>
      </c>
      <c r="Q241" s="20" t="n">
        <v>61</v>
      </c>
      <c r="R241" s="20" t="n">
        <v>0</v>
      </c>
    </row>
    <row r="242">
      <c r="A242" s="18" t="inlineStr">
        <is>
          <t>유형자산 처분손익</t>
        </is>
      </c>
      <c r="D242" s="20" t="n">
        <v>21</v>
      </c>
      <c r="F242" s="20" t="n">
        <v>28</v>
      </c>
      <c r="H242" s="20" t="n">
        <v>30</v>
      </c>
      <c r="J242" s="20" t="n">
        <v>0</v>
      </c>
      <c r="L242" s="20" t="n">
        <v>0</v>
      </c>
      <c r="N242" s="20" t="n">
        <v>1</v>
      </c>
      <c r="O242" s="20" t="n">
        <v>46</v>
      </c>
      <c r="P242" s="20" t="n">
        <v>39</v>
      </c>
      <c r="Q242" s="20" t="n">
        <v>25</v>
      </c>
      <c r="R242" s="20" t="n">
        <v>21</v>
      </c>
      <c r="S242" s="20" t="n">
        <v>4</v>
      </c>
      <c r="T242" s="20" t="n">
        <v>5</v>
      </c>
      <c r="U242" s="20" t="n">
        <v>33</v>
      </c>
      <c r="V242" s="20" t="n">
        <v>21</v>
      </c>
      <c r="W242" s="20" t="n">
        <v>30</v>
      </c>
      <c r="X242" s="20" t="n">
        <v>0</v>
      </c>
    </row>
    <row r="243">
      <c r="A243" s="18" t="inlineStr">
        <is>
          <t>유형자산 매각손익</t>
        </is>
      </c>
      <c r="D243" s="20" t="n">
        <v>11</v>
      </c>
      <c r="F243" s="20" t="n">
        <v>-12</v>
      </c>
      <c r="H243" s="20" t="n">
        <v>-92</v>
      </c>
      <c r="J243" s="20" t="n">
        <v>-5</v>
      </c>
      <c r="L243" s="20" t="n">
        <v>-18</v>
      </c>
      <c r="N243" s="20" t="n">
        <v>-4</v>
      </c>
      <c r="O243" s="20" t="n">
        <v>-0</v>
      </c>
      <c r="P243" s="20" t="n">
        <v>-33</v>
      </c>
      <c r="Q243" s="20" t="n">
        <v>33</v>
      </c>
      <c r="R243" s="20" t="n">
        <v>-40</v>
      </c>
      <c r="S243" s="20" t="n">
        <v>-250</v>
      </c>
      <c r="T243" s="20" t="n">
        <v>-45</v>
      </c>
      <c r="U243" s="20" t="n">
        <v>-7183</v>
      </c>
      <c r="V243" s="20" t="n">
        <v>11</v>
      </c>
      <c r="W243" s="20" t="n">
        <v>-92</v>
      </c>
      <c r="X243" s="20" t="n">
        <v>-18</v>
      </c>
    </row>
    <row r="244">
      <c r="A244" s="18" t="inlineStr">
        <is>
          <t>대손손실</t>
        </is>
      </c>
      <c r="D244" s="20" t="n">
        <v>84</v>
      </c>
      <c r="H244" s="20" t="n">
        <v>0</v>
      </c>
      <c r="U244" s="20" t="n">
        <v>0</v>
      </c>
      <c r="V244" s="20" t="n">
        <v>84</v>
      </c>
      <c r="W244" s="20" t="n">
        <v>0</v>
      </c>
    </row>
    <row r="245">
      <c r="A245" s="18" t="inlineStr">
        <is>
          <t>대손충당금 증감</t>
        </is>
      </c>
      <c r="D245" s="20" t="n">
        <v>-3</v>
      </c>
      <c r="F245" s="20" t="n">
        <v>-27</v>
      </c>
      <c r="H245" s="20" t="n">
        <v>-28</v>
      </c>
      <c r="J245" s="20" t="n">
        <v>0</v>
      </c>
      <c r="L245" s="20" t="n">
        <v>4</v>
      </c>
      <c r="N245" s="20" t="n">
        <v>2</v>
      </c>
      <c r="O245" s="20" t="n">
        <v>-94</v>
      </c>
      <c r="P245" s="20" t="n">
        <v>-4</v>
      </c>
      <c r="Q245" s="20" t="n">
        <v>0</v>
      </c>
      <c r="R245" s="20" t="n">
        <v>-6</v>
      </c>
      <c r="S245" s="20" t="n">
        <v>4</v>
      </c>
      <c r="T245" s="20" t="n">
        <v>-2</v>
      </c>
      <c r="U245" s="20" t="n">
        <v>6</v>
      </c>
      <c r="V245" s="20" t="n">
        <v>-3</v>
      </c>
      <c r="W245" s="20" t="n">
        <v>-28</v>
      </c>
      <c r="X245" s="20" t="n">
        <v>4</v>
      </c>
    </row>
    <row r="246">
      <c r="A246" s="18" t="inlineStr">
        <is>
          <t>상여충당금 증감</t>
        </is>
      </c>
      <c r="D246" s="20" t="n">
        <v>258</v>
      </c>
      <c r="F246" s="20" t="n">
        <v>-143</v>
      </c>
      <c r="H246" s="20" t="n">
        <v>107</v>
      </c>
      <c r="J246" s="20" t="n">
        <v>-170</v>
      </c>
      <c r="L246" s="20" t="n">
        <v>-76</v>
      </c>
      <c r="N246" s="20" t="n">
        <v>-48</v>
      </c>
      <c r="O246" s="20" t="n">
        <v>43</v>
      </c>
      <c r="P246" s="20" t="n">
        <v>26</v>
      </c>
      <c r="Q246" s="20" t="n">
        <v>-12</v>
      </c>
      <c r="R246" s="20" t="n">
        <v>61</v>
      </c>
      <c r="S246" s="20" t="n">
        <v>28</v>
      </c>
      <c r="T246" s="20" t="n">
        <v>17</v>
      </c>
      <c r="U246" s="20" t="n">
        <v>26</v>
      </c>
      <c r="V246" s="20" t="n">
        <v>258</v>
      </c>
      <c r="W246" s="20" t="n">
        <v>107</v>
      </c>
      <c r="X246" s="20" t="n">
        <v>-76</v>
      </c>
    </row>
    <row r="247">
      <c r="A247" s="18" t="inlineStr">
        <is>
          <t>임원 상여충당금 증감</t>
        </is>
      </c>
      <c r="D247" s="20" t="n">
        <v>24</v>
      </c>
      <c r="F247" s="20" t="n">
        <v>-91</v>
      </c>
      <c r="H247" s="20" t="n">
        <v>34</v>
      </c>
      <c r="J247" s="20" t="n">
        <v>-138</v>
      </c>
      <c r="L247" s="20" t="n">
        <v>-53</v>
      </c>
      <c r="N247" s="20" t="n">
        <v>-90</v>
      </c>
      <c r="O247" s="20" t="n">
        <v>-7</v>
      </c>
      <c r="P247" s="20" t="n">
        <v>12</v>
      </c>
      <c r="Q247" s="20" t="n">
        <v>16</v>
      </c>
      <c r="R247" s="20" t="n">
        <v>-16</v>
      </c>
      <c r="S247" s="20" t="n">
        <v>6</v>
      </c>
      <c r="T247" s="20" t="n">
        <v>3</v>
      </c>
      <c r="U247" s="20" t="n">
        <v>14</v>
      </c>
      <c r="V247" s="20" t="n">
        <v>24</v>
      </c>
      <c r="W247" s="20" t="n">
        <v>34</v>
      </c>
      <c r="X247" s="20" t="n">
        <v>-53</v>
      </c>
    </row>
    <row r="248">
      <c r="A248" s="18" t="inlineStr">
        <is>
          <t>퇴직급여자산 증감</t>
        </is>
      </c>
      <c r="D248" s="20" t="n">
        <v>-103</v>
      </c>
      <c r="F248" s="20" t="n">
        <v>-76</v>
      </c>
      <c r="H248" s="20" t="n">
        <v>-152</v>
      </c>
      <c r="J248" s="20" t="n">
        <v>-80</v>
      </c>
      <c r="L248" s="20" t="n">
        <v>-160</v>
      </c>
      <c r="N248" s="20" t="n">
        <v>-161</v>
      </c>
      <c r="O248" s="20" t="n">
        <v>-41</v>
      </c>
      <c r="P248" s="20" t="n">
        <v>-27</v>
      </c>
      <c r="Q248" s="20" t="n">
        <v>-1</v>
      </c>
      <c r="R248" s="20" t="n">
        <v>9</v>
      </c>
      <c r="S248" s="20" t="n">
        <v>61</v>
      </c>
      <c r="T248" s="20" t="n">
        <v>-37</v>
      </c>
      <c r="U248" s="20" t="n">
        <v>-48</v>
      </c>
      <c r="V248" s="20" t="n">
        <v>-103</v>
      </c>
      <c r="W248" s="20" t="n">
        <v>-152</v>
      </c>
      <c r="X248" s="20" t="n">
        <v>-160</v>
      </c>
    </row>
    <row r="249">
      <c r="A249" s="18" t="inlineStr">
        <is>
          <t>퇴직급여부채 증감</t>
        </is>
      </c>
      <c r="D249" s="20" t="n">
        <v>-43</v>
      </c>
      <c r="F249" s="20" t="n">
        <v>-25</v>
      </c>
      <c r="H249" s="20" t="n">
        <v>-49</v>
      </c>
      <c r="J249" s="20" t="n">
        <v>-97</v>
      </c>
      <c r="L249" s="20" t="n">
        <v>-139</v>
      </c>
      <c r="N249" s="20" t="n">
        <v>-197</v>
      </c>
      <c r="O249" s="20" t="n">
        <v>123</v>
      </c>
      <c r="P249" s="20" t="n">
        <v>65</v>
      </c>
      <c r="Q249" s="20" t="n">
        <v>135</v>
      </c>
      <c r="R249" s="20" t="n">
        <v>50</v>
      </c>
      <c r="S249" s="20" t="n">
        <v>133</v>
      </c>
      <c r="T249" s="20" t="n">
        <v>115</v>
      </c>
      <c r="U249" s="20" t="n">
        <v>0</v>
      </c>
      <c r="V249" s="20" t="n">
        <v>-43</v>
      </c>
      <c r="W249" s="20" t="n">
        <v>-49</v>
      </c>
      <c r="X249" s="20" t="n">
        <v>-139</v>
      </c>
    </row>
    <row r="250">
      <c r="A250" s="18" t="inlineStr">
        <is>
          <t>제품보상 충당금 증감</t>
        </is>
      </c>
      <c r="O250" s="20" t="n">
        <v>-1</v>
      </c>
      <c r="P250" s="20" t="n">
        <v>-96</v>
      </c>
      <c r="Q250" s="20" t="n">
        <v>0</v>
      </c>
    </row>
    <row r="251">
      <c r="A251" s="18" t="inlineStr">
        <is>
          <t>이자·배당금 수익</t>
        </is>
      </c>
      <c r="D251" s="20" t="n">
        <v>-291</v>
      </c>
      <c r="F251" s="20" t="n">
        <v>-170</v>
      </c>
      <c r="H251" s="20" t="n">
        <v>-346</v>
      </c>
      <c r="J251" s="20" t="n">
        <v>-188</v>
      </c>
      <c r="L251" s="20" t="n">
        <v>-387</v>
      </c>
      <c r="N251" s="20" t="n">
        <v>-228</v>
      </c>
      <c r="O251" s="20" t="n">
        <v>-172</v>
      </c>
      <c r="P251" s="20" t="n">
        <v>-183</v>
      </c>
      <c r="Q251" s="20" t="n">
        <v>-211</v>
      </c>
      <c r="R251" s="20" t="n">
        <v>-218</v>
      </c>
      <c r="S251" s="20" t="n">
        <v>-207</v>
      </c>
      <c r="T251" s="20" t="n">
        <v>-224</v>
      </c>
      <c r="U251" s="20" t="n">
        <v>-270</v>
      </c>
      <c r="V251" s="20" t="n">
        <v>-291</v>
      </c>
      <c r="W251" s="20" t="n">
        <v>-346</v>
      </c>
      <c r="X251" s="20" t="n">
        <v>-387</v>
      </c>
    </row>
    <row r="252">
      <c r="A252" s="18" t="inlineStr">
        <is>
          <t>이자비용</t>
        </is>
      </c>
      <c r="D252" s="20" t="n">
        <v>10</v>
      </c>
      <c r="F252" s="20" t="n">
        <v>5</v>
      </c>
      <c r="H252" s="20" t="n">
        <v>10</v>
      </c>
      <c r="J252" s="20" t="n">
        <v>10</v>
      </c>
      <c r="L252" s="20" t="n">
        <v>20</v>
      </c>
      <c r="N252" s="20" t="n">
        <v>13</v>
      </c>
      <c r="O252" s="20" t="n">
        <v>15</v>
      </c>
      <c r="P252" s="20" t="n">
        <v>21</v>
      </c>
      <c r="Q252" s="20" t="n">
        <v>16</v>
      </c>
      <c r="R252" s="20" t="n">
        <v>14</v>
      </c>
      <c r="S252" s="20" t="n">
        <v>13</v>
      </c>
      <c r="T252" s="20" t="n">
        <v>10</v>
      </c>
      <c r="U252" s="20" t="n">
        <v>10</v>
      </c>
      <c r="V252" s="20" t="n">
        <v>10</v>
      </c>
      <c r="W252" s="20" t="n">
        <v>10</v>
      </c>
      <c r="X252" s="20" t="n">
        <v>20</v>
      </c>
    </row>
    <row r="253">
      <c r="A253" s="18" t="inlineStr">
        <is>
          <t>보험금 수익</t>
        </is>
      </c>
      <c r="D253" s="20" t="n">
        <v>-92</v>
      </c>
      <c r="H253" s="20" t="n">
        <v>0</v>
      </c>
      <c r="U253" s="20" t="n">
        <v>0</v>
      </c>
      <c r="V253" s="20" t="n">
        <v>-92</v>
      </c>
      <c r="W253" s="20" t="n">
        <v>0</v>
      </c>
    </row>
    <row r="254">
      <c r="A254" s="18" t="inlineStr">
        <is>
          <t>지분법손익</t>
        </is>
      </c>
      <c r="D254" s="20" t="n">
        <v>-40</v>
      </c>
      <c r="F254" s="20" t="n">
        <v>-16</v>
      </c>
      <c r="H254" s="20" t="n">
        <v>-31</v>
      </c>
      <c r="J254" s="20" t="n">
        <v>-19</v>
      </c>
      <c r="L254" s="20" t="n">
        <v>-53</v>
      </c>
      <c r="N254" s="20" t="n">
        <v>-22</v>
      </c>
      <c r="P254" s="20" t="n">
        <v>0</v>
      </c>
      <c r="Q254" s="20" t="n">
        <v>-30</v>
      </c>
      <c r="R254" s="20" t="n">
        <v>-19</v>
      </c>
      <c r="S254" s="20" t="n">
        <v>-10</v>
      </c>
      <c r="T254" s="20" t="n">
        <v>-19</v>
      </c>
      <c r="U254" s="20" t="n">
        <v>-31</v>
      </c>
      <c r="V254" s="20" t="n">
        <v>-40</v>
      </c>
      <c r="W254" s="20" t="n">
        <v>-31</v>
      </c>
      <c r="X254" s="20" t="n">
        <v>-53</v>
      </c>
    </row>
    <row r="255">
      <c r="A255" s="18" t="inlineStr">
        <is>
          <t>매출채권 증감</t>
        </is>
      </c>
      <c r="O255" s="20" t="n">
        <v>-1909</v>
      </c>
      <c r="P255" s="20" t="n">
        <v>-2007</v>
      </c>
      <c r="Q255" s="20" t="n">
        <v>-3159</v>
      </c>
      <c r="R255" s="20" t="n">
        <v>2696</v>
      </c>
      <c r="S255" s="20" t="n">
        <v>-2095</v>
      </c>
    </row>
    <row r="256">
      <c r="A256" s="18" t="inlineStr">
        <is>
          <t>매출채권·계약자산 증감</t>
        </is>
      </c>
      <c r="S256" s="20" t="n">
        <v>-2084</v>
      </c>
      <c r="T256" s="20" t="n">
        <v>-2242</v>
      </c>
      <c r="U256" s="20" t="n">
        <v>-2973</v>
      </c>
    </row>
    <row r="257">
      <c r="A257" s="18" t="inlineStr">
        <is>
          <t>매출채권·계약자산 증감</t>
        </is>
      </c>
      <c r="D257" s="20" t="n">
        <v>-3838</v>
      </c>
      <c r="F257" s="20" t="n">
        <v>4350</v>
      </c>
      <c r="H257" s="20" t="n">
        <v>981</v>
      </c>
      <c r="J257" s="20" t="n">
        <v>2674</v>
      </c>
      <c r="L257" s="20" t="n">
        <v>3232</v>
      </c>
      <c r="N257" s="20" t="n">
        <v>-1852</v>
      </c>
      <c r="U257" s="20" t="n">
        <v>-2973</v>
      </c>
      <c r="V257" s="20" t="n">
        <v>-3838</v>
      </c>
      <c r="W257" s="20" t="n">
        <v>981</v>
      </c>
      <c r="X257" s="20" t="n">
        <v>3232</v>
      </c>
    </row>
    <row r="258">
      <c r="A258" s="18" t="inlineStr">
        <is>
          <t>재고자산 증감</t>
        </is>
      </c>
      <c r="D258" s="20" t="n">
        <v>144</v>
      </c>
      <c r="F258" s="20" t="n">
        <v>805</v>
      </c>
      <c r="H258" s="20" t="n">
        <v>871</v>
      </c>
      <c r="J258" s="20" t="n">
        <v>-545</v>
      </c>
      <c r="L258" s="20" t="n">
        <v>-580</v>
      </c>
      <c r="N258" s="20" t="n">
        <v>-1509</v>
      </c>
      <c r="O258" s="20" t="n">
        <v>-90</v>
      </c>
      <c r="P258" s="20" t="n">
        <v>280</v>
      </c>
      <c r="Q258" s="20" t="n">
        <v>-649</v>
      </c>
      <c r="R258" s="20" t="n">
        <v>-514</v>
      </c>
      <c r="S258" s="20" t="n">
        <v>693</v>
      </c>
      <c r="T258" s="20" t="n">
        <v>-1224</v>
      </c>
      <c r="U258" s="20" t="n">
        <v>-2433</v>
      </c>
      <c r="V258" s="20" t="n">
        <v>144</v>
      </c>
      <c r="W258" s="20" t="n">
        <v>871</v>
      </c>
      <c r="X258" s="20" t="n">
        <v>-580</v>
      </c>
    </row>
    <row r="259">
      <c r="A259" s="18" t="inlineStr">
        <is>
          <t>매입채무 증감</t>
        </is>
      </c>
      <c r="D259" s="20" t="n">
        <v>3495</v>
      </c>
      <c r="F259" s="20" t="n">
        <v>-6375</v>
      </c>
      <c r="H259" s="20" t="n">
        <v>-5715</v>
      </c>
      <c r="J259" s="20" t="n">
        <v>-871</v>
      </c>
      <c r="L259" s="20" t="n">
        <v>-430</v>
      </c>
      <c r="N259" s="20" t="n">
        <v>2392</v>
      </c>
      <c r="O259" s="20" t="n">
        <v>1065</v>
      </c>
      <c r="P259" s="20" t="n">
        <v>4545</v>
      </c>
      <c r="Q259" s="20" t="n">
        <v>2673</v>
      </c>
      <c r="R259" s="20" t="n">
        <v>-3405</v>
      </c>
      <c r="S259" s="20" t="n">
        <v>1137</v>
      </c>
      <c r="T259" s="20" t="n">
        <v>2385</v>
      </c>
      <c r="U259" s="20" t="n">
        <v>2304</v>
      </c>
      <c r="V259" s="20" t="n">
        <v>3495</v>
      </c>
      <c r="W259" s="20" t="n">
        <v>-5715</v>
      </c>
      <c r="X259" s="20" t="n">
        <v>-430</v>
      </c>
    </row>
    <row r="260">
      <c r="A260" s="18" t="inlineStr">
        <is>
          <t>기타 유동부채 증감</t>
        </is>
      </c>
      <c r="D260" s="20" t="n">
        <v>684</v>
      </c>
      <c r="F260" s="20" t="n">
        <v>-709</v>
      </c>
      <c r="H260" s="20" t="n">
        <v>-882</v>
      </c>
      <c r="J260" s="20" t="n">
        <v>586</v>
      </c>
      <c r="L260" s="20" t="n">
        <v>485</v>
      </c>
      <c r="N260" s="20" t="n">
        <v>-405</v>
      </c>
      <c r="O260" s="20" t="n">
        <v>90</v>
      </c>
      <c r="P260" s="20" t="n">
        <v>-908</v>
      </c>
      <c r="Q260" s="20" t="n">
        <v>160</v>
      </c>
      <c r="R260" s="20" t="n">
        <v>341</v>
      </c>
      <c r="S260" s="20" t="n">
        <v>-517</v>
      </c>
      <c r="T260" s="20" t="n">
        <v>-127</v>
      </c>
      <c r="U260" s="20" t="n">
        <v>-32</v>
      </c>
      <c r="V260" s="20" t="n">
        <v>684</v>
      </c>
      <c r="W260" s="20" t="n">
        <v>-882</v>
      </c>
      <c r="X260" s="20" t="n">
        <v>485</v>
      </c>
    </row>
    <row r="261">
      <c r="A261" s="18" t="inlineStr">
        <is>
          <t>기타 비유동부채 증감액</t>
        </is>
      </c>
      <c r="D261" s="20" t="n">
        <v>-134</v>
      </c>
      <c r="F261" s="20" t="n">
        <v>139</v>
      </c>
      <c r="H261" s="20" t="n">
        <v>162</v>
      </c>
      <c r="J261" s="20" t="n">
        <v>-56</v>
      </c>
      <c r="L261" s="20" t="n">
        <v>-18</v>
      </c>
      <c r="N261" s="20" t="n">
        <v>-49</v>
      </c>
      <c r="O261" s="20" t="n">
        <v>-51</v>
      </c>
      <c r="P261" s="20" t="n">
        <v>14</v>
      </c>
      <c r="Q261" s="20" t="n">
        <v>99</v>
      </c>
      <c r="R261" s="20" t="n">
        <v>-73</v>
      </c>
      <c r="S261" s="20" t="n">
        <v>-8</v>
      </c>
      <c r="T261" s="20" t="n">
        <v>-15</v>
      </c>
      <c r="U261" s="20" t="n">
        <v>30</v>
      </c>
      <c r="V261" s="20" t="n">
        <v>-134</v>
      </c>
      <c r="W261" s="20" t="n">
        <v>162</v>
      </c>
      <c r="X261" s="20" t="n">
        <v>-18</v>
      </c>
    </row>
    <row r="262">
      <c r="A262" s="18" t="inlineStr">
        <is>
          <t>기타</t>
        </is>
      </c>
      <c r="D262" s="20" t="n">
        <v>215</v>
      </c>
      <c r="F262" s="20" t="n">
        <v>-1660</v>
      </c>
      <c r="H262" s="20" t="n">
        <v>1090</v>
      </c>
      <c r="J262" s="20" t="n">
        <v>679</v>
      </c>
      <c r="L262" s="20" t="n">
        <v>838</v>
      </c>
      <c r="N262" s="20" t="n">
        <v>25</v>
      </c>
      <c r="O262" s="20" t="n">
        <v>-65</v>
      </c>
      <c r="P262" s="20" t="n">
        <v>122</v>
      </c>
      <c r="Q262" s="20" t="n">
        <v>-132</v>
      </c>
      <c r="R262" s="20" t="n">
        <v>494</v>
      </c>
      <c r="S262" s="20" t="n">
        <v>243</v>
      </c>
      <c r="T262" s="20" t="n">
        <v>53</v>
      </c>
      <c r="U262" s="20" t="n">
        <v>256</v>
      </c>
      <c r="V262" s="20" t="n">
        <v>215</v>
      </c>
      <c r="W262" s="20" t="n">
        <v>1090</v>
      </c>
      <c r="X262" s="20" t="n">
        <v>838</v>
      </c>
    </row>
    <row r="263">
      <c r="A263" s="18" t="inlineStr">
        <is>
          <t>소계</t>
        </is>
      </c>
      <c r="D263" s="20" t="n">
        <v>13108</v>
      </c>
      <c r="F263" s="20" t="n">
        <v>2053</v>
      </c>
      <c r="H263" s="20" t="n">
        <v>9307</v>
      </c>
      <c r="J263" s="20" t="n">
        <v>8148</v>
      </c>
      <c r="L263" s="20" t="n">
        <v>16849</v>
      </c>
      <c r="N263" s="20" t="n">
        <v>7091</v>
      </c>
      <c r="O263" s="20" t="n">
        <v>7603</v>
      </c>
      <c r="P263" s="20" t="n">
        <v>10966</v>
      </c>
      <c r="Q263" s="20" t="n">
        <v>7880</v>
      </c>
      <c r="R263" s="20" t="n">
        <v>8590</v>
      </c>
      <c r="S263" s="20" t="n">
        <v>8912</v>
      </c>
      <c r="T263" s="20" t="n">
        <v>8971</v>
      </c>
      <c r="U263" s="20" t="n">
        <v>6919</v>
      </c>
      <c r="V263" s="20" t="n">
        <v>13108</v>
      </c>
      <c r="W263" s="20" t="n">
        <v>9307</v>
      </c>
      <c r="X263" s="20" t="n">
        <v>16849</v>
      </c>
    </row>
    <row r="264">
      <c r="A264" s="18" t="inlineStr">
        <is>
          <t>이자·배당금 수취</t>
        </is>
      </c>
      <c r="D264" s="20" t="n">
        <v>291</v>
      </c>
      <c r="F264" s="20" t="n">
        <v>170</v>
      </c>
      <c r="H264" s="20" t="n">
        <v>346</v>
      </c>
      <c r="J264" s="20" t="n">
        <v>188</v>
      </c>
      <c r="L264" s="20" t="n">
        <v>386</v>
      </c>
      <c r="N264" s="20" t="n">
        <v>227</v>
      </c>
      <c r="O264" s="20" t="n">
        <v>172</v>
      </c>
      <c r="P264" s="20" t="n">
        <v>183</v>
      </c>
      <c r="Q264" s="20" t="n">
        <v>210</v>
      </c>
      <c r="R264" s="20" t="n">
        <v>220</v>
      </c>
      <c r="S264" s="20" t="n">
        <v>207</v>
      </c>
      <c r="T264" s="20" t="n">
        <v>224</v>
      </c>
      <c r="U264" s="20" t="n">
        <v>270</v>
      </c>
      <c r="V264" s="20" t="n">
        <v>291</v>
      </c>
      <c r="W264" s="20" t="n">
        <v>346</v>
      </c>
      <c r="X264" s="20" t="n">
        <v>386</v>
      </c>
    </row>
    <row r="265">
      <c r="A265" s="18" t="inlineStr">
        <is>
          <t>화해금 수취액</t>
        </is>
      </c>
      <c r="D265" s="20" t="n">
        <v>150</v>
      </c>
      <c r="H265" s="20" t="n">
        <v>0</v>
      </c>
      <c r="U265" s="20" t="n">
        <v>0</v>
      </c>
      <c r="V265" s="20" t="n">
        <v>150</v>
      </c>
      <c r="W265" s="20" t="n">
        <v>0</v>
      </c>
    </row>
    <row r="266">
      <c r="A266" s="18" t="inlineStr">
        <is>
          <t>보험금 수취</t>
        </is>
      </c>
      <c r="D266" s="20" t="n">
        <v>92</v>
      </c>
      <c r="H266" s="20" t="n">
        <v>0</v>
      </c>
      <c r="U266" s="20" t="n">
        <v>0</v>
      </c>
      <c r="V266" s="20" t="n">
        <v>92</v>
      </c>
      <c r="W266" s="20" t="n">
        <v>0</v>
      </c>
    </row>
    <row r="267">
      <c r="A267" s="18" t="inlineStr">
        <is>
          <t>이자 지급</t>
        </is>
      </c>
      <c r="D267" s="20" t="n">
        <v>-10</v>
      </c>
      <c r="F267" s="20" t="n">
        <v>-5</v>
      </c>
      <c r="H267" s="20" t="n">
        <v>-9</v>
      </c>
      <c r="J267" s="20" t="n">
        <v>-10</v>
      </c>
      <c r="L267" s="20" t="n">
        <v>-20</v>
      </c>
      <c r="N267" s="20" t="n">
        <v>-13</v>
      </c>
      <c r="O267" s="20" t="n">
        <v>-15</v>
      </c>
      <c r="P267" s="20" t="n">
        <v>-21</v>
      </c>
      <c r="Q267" s="20" t="n">
        <v>-16</v>
      </c>
      <c r="R267" s="20" t="n">
        <v>-14</v>
      </c>
      <c r="S267" s="20" t="n">
        <v>-13</v>
      </c>
      <c r="T267" s="20" t="n">
        <v>-10</v>
      </c>
      <c r="U267" s="20" t="n">
        <v>-10</v>
      </c>
      <c r="V267" s="20" t="n">
        <v>-10</v>
      </c>
      <c r="W267" s="20" t="n">
        <v>-9</v>
      </c>
      <c r="X267" s="20" t="n">
        <v>-20</v>
      </c>
    </row>
    <row r="268">
      <c r="A268" s="18" t="inlineStr">
        <is>
          <t>법인세 납부</t>
        </is>
      </c>
      <c r="D268" s="20" t="n">
        <v>-5492</v>
      </c>
      <c r="F268" s="20" t="n">
        <v>-1006</v>
      </c>
      <c r="H268" s="20" t="n">
        <v>-2469</v>
      </c>
      <c r="J268" s="20" t="n">
        <v>-1717</v>
      </c>
      <c r="L268" s="20" t="n">
        <v>-3482</v>
      </c>
      <c r="N268" s="20" t="n">
        <v>-2116</v>
      </c>
      <c r="O268" s="20" t="n">
        <v>-2217</v>
      </c>
      <c r="P268" s="20" t="n">
        <v>-2166</v>
      </c>
      <c r="Q268" s="20" t="n">
        <v>-2566</v>
      </c>
      <c r="R268" s="20" t="n">
        <v>-2511</v>
      </c>
      <c r="S268" s="20" t="n">
        <v>-2341</v>
      </c>
      <c r="T268" s="20" t="n">
        <v>-2987</v>
      </c>
      <c r="U268" s="20" t="n">
        <v>-2573</v>
      </c>
      <c r="V268" s="20" t="n">
        <v>-5492</v>
      </c>
      <c r="W268" s="20" t="n">
        <v>-2469</v>
      </c>
      <c r="X268" s="20" t="n">
        <v>-3482</v>
      </c>
    </row>
    <row r="269">
      <c r="A269" s="9" t="inlineStr">
        <is>
          <t>영업활동 현금흐름</t>
        </is>
      </c>
      <c r="D269" s="12" t="n">
        <v>8139</v>
      </c>
      <c r="F269" s="12" t="n">
        <v>1212</v>
      </c>
      <c r="H269" s="12" t="n">
        <v>7174</v>
      </c>
      <c r="J269" s="12" t="n">
        <v>6609</v>
      </c>
      <c r="L269" s="12" t="n">
        <v>13733</v>
      </c>
      <c r="N269" s="12" t="n">
        <v>5189</v>
      </c>
      <c r="O269" s="12" t="n">
        <v>5542</v>
      </c>
      <c r="P269" s="12" t="n">
        <v>8962</v>
      </c>
      <c r="Q269" s="12" t="n">
        <v>5507</v>
      </c>
      <c r="R269" s="12" t="n">
        <v>6285</v>
      </c>
      <c r="S269" s="12" t="n">
        <v>6765</v>
      </c>
      <c r="T269" s="12" t="n">
        <v>6198</v>
      </c>
      <c r="U269" s="12" t="n">
        <v>4606</v>
      </c>
      <c r="V269" s="12" t="n">
        <v>8139</v>
      </c>
      <c r="W269" s="12" t="n">
        <v>7174</v>
      </c>
      <c r="X269" s="12" t="n">
        <v>13733</v>
      </c>
    </row>
    <row r="270">
      <c r="A270" s="18" t="inlineStr">
        <is>
          <t>정기예금 예입</t>
        </is>
      </c>
      <c r="D270" s="20" t="n">
        <v>-1302</v>
      </c>
      <c r="F270" s="20" t="n">
        <v>-672</v>
      </c>
      <c r="H270" s="20" t="n">
        <v>-1763</v>
      </c>
      <c r="J270" s="20" t="n">
        <v>-717</v>
      </c>
      <c r="L270" s="20" t="n">
        <v>-2095</v>
      </c>
      <c r="N270" s="20" t="n">
        <v>-792</v>
      </c>
      <c r="O270" s="20" t="n">
        <v>-1662</v>
      </c>
      <c r="P270" s="20" t="n">
        <v>-1435</v>
      </c>
      <c r="Q270" s="20" t="n">
        <v>-876</v>
      </c>
      <c r="R270" s="20" t="n">
        <v>-705</v>
      </c>
      <c r="S270" s="20" t="n">
        <v>-1324</v>
      </c>
      <c r="T270" s="20" t="n">
        <v>-1655</v>
      </c>
      <c r="U270" s="20" t="n">
        <v>-1607</v>
      </c>
      <c r="V270" s="20" t="n">
        <v>-1302</v>
      </c>
      <c r="W270" s="20" t="n">
        <v>-1763</v>
      </c>
      <c r="X270" s="20" t="n">
        <v>-2095</v>
      </c>
    </row>
    <row r="271">
      <c r="A271" s="18" t="inlineStr">
        <is>
          <t>정기예금 인출</t>
        </is>
      </c>
      <c r="D271" s="20" t="n">
        <v>1764</v>
      </c>
      <c r="F271" s="20" t="n">
        <v>636</v>
      </c>
      <c r="H271" s="20" t="n">
        <v>1684</v>
      </c>
      <c r="J271" s="20" t="n">
        <v>694</v>
      </c>
      <c r="L271" s="20" t="n">
        <v>1773</v>
      </c>
      <c r="N271" s="20" t="n">
        <v>729</v>
      </c>
      <c r="O271" s="20" t="n">
        <v>1749</v>
      </c>
      <c r="P271" s="20" t="n">
        <v>1452</v>
      </c>
      <c r="Q271" s="20" t="n">
        <v>1965</v>
      </c>
      <c r="R271" s="20" t="n">
        <v>712</v>
      </c>
      <c r="S271" s="20" t="n">
        <v>1705</v>
      </c>
      <c r="T271" s="20" t="n">
        <v>1155</v>
      </c>
      <c r="U271" s="20" t="n">
        <v>1587</v>
      </c>
      <c r="V271" s="20" t="n">
        <v>1764</v>
      </c>
      <c r="W271" s="20" t="n">
        <v>1684</v>
      </c>
      <c r="X271" s="20" t="n">
        <v>1773</v>
      </c>
    </row>
    <row r="272">
      <c r="A272" s="18" t="inlineStr">
        <is>
          <t>유가증권 취득</t>
        </is>
      </c>
      <c r="O272" s="20" t="n">
        <v>0</v>
      </c>
      <c r="P272" s="20" t="n">
        <v>-165</v>
      </c>
      <c r="Q272" s="20" t="n">
        <v>-166</v>
      </c>
      <c r="R272" s="20" t="n">
        <v>-141</v>
      </c>
      <c r="S272" s="20" t="n">
        <v>0</v>
      </c>
    </row>
    <row r="273">
      <c r="A273" s="18" t="inlineStr">
        <is>
          <t>유가증권 매각·상환 수입</t>
        </is>
      </c>
      <c r="O273" s="20" t="n">
        <v>0</v>
      </c>
      <c r="P273" s="20" t="n">
        <v>165</v>
      </c>
      <c r="Q273" s="20" t="n">
        <v>0</v>
      </c>
      <c r="R273" s="20" t="n">
        <v>0</v>
      </c>
      <c r="S273" s="20" t="n">
        <v>293</v>
      </c>
      <c r="T273" s="20" t="n">
        <v>0</v>
      </c>
    </row>
    <row r="274">
      <c r="A274" s="18" t="inlineStr">
        <is>
          <t>유형자산 취득(설비투자)</t>
        </is>
      </c>
      <c r="D274" s="20" t="n">
        <v>-5101</v>
      </c>
      <c r="F274" s="20" t="n">
        <v>-3346</v>
      </c>
      <c r="H274" s="20" t="n">
        <v>-6956</v>
      </c>
      <c r="J274" s="20" t="n">
        <v>-1896</v>
      </c>
      <c r="L274" s="20" t="n">
        <v>-2847</v>
      </c>
      <c r="N274" s="20" t="n">
        <v>-672</v>
      </c>
      <c r="O274" s="20" t="n">
        <v>-2366</v>
      </c>
      <c r="P274" s="20" t="n">
        <v>-1476</v>
      </c>
      <c r="Q274" s="20" t="n">
        <v>-7683</v>
      </c>
      <c r="R274" s="20" t="n">
        <v>-4266</v>
      </c>
      <c r="S274" s="20" t="n">
        <v>-3152</v>
      </c>
      <c r="T274" s="20" t="n">
        <v>-2882</v>
      </c>
      <c r="U274" s="20" t="n">
        <v>-1309</v>
      </c>
      <c r="V274" s="20" t="n">
        <v>-5101</v>
      </c>
      <c r="W274" s="20" t="n">
        <v>-6956</v>
      </c>
      <c r="X274" s="20" t="n">
        <v>-2847</v>
      </c>
    </row>
    <row r="275">
      <c r="A275" s="18" t="inlineStr">
        <is>
          <t>유형자산 매각</t>
        </is>
      </c>
      <c r="D275" s="20" t="n">
        <v>92</v>
      </c>
      <c r="F275" s="20" t="n">
        <v>14</v>
      </c>
      <c r="H275" s="20" t="n">
        <v>129</v>
      </c>
      <c r="J275" s="20" t="n">
        <v>7</v>
      </c>
      <c r="L275" s="20" t="n">
        <v>21</v>
      </c>
      <c r="N275" s="20" t="n">
        <v>12</v>
      </c>
      <c r="O275" s="20" t="n">
        <v>77</v>
      </c>
      <c r="P275" s="20" t="n">
        <v>863</v>
      </c>
      <c r="Q275" s="20" t="n">
        <v>266</v>
      </c>
      <c r="R275" s="20" t="n">
        <v>446</v>
      </c>
      <c r="S275" s="20" t="n">
        <v>304</v>
      </c>
      <c r="T275" s="20" t="n">
        <v>764</v>
      </c>
      <c r="U275" s="20" t="n">
        <v>6471</v>
      </c>
      <c r="V275" s="20" t="n">
        <v>92</v>
      </c>
      <c r="W275" s="20" t="n">
        <v>129</v>
      </c>
      <c r="X275" s="20" t="n">
        <v>21</v>
      </c>
    </row>
    <row r="276">
      <c r="A276" s="18" t="inlineStr">
        <is>
          <t>무형자산 취득</t>
        </is>
      </c>
      <c r="D276" s="20" t="n">
        <v>-984</v>
      </c>
      <c r="F276" s="20" t="n">
        <v>-659</v>
      </c>
      <c r="H276" s="20" t="n">
        <v>-1064</v>
      </c>
      <c r="J276" s="20" t="n">
        <v>-1040</v>
      </c>
      <c r="L276" s="20" t="n">
        <v>-2454</v>
      </c>
      <c r="N276" s="20" t="n">
        <v>-750</v>
      </c>
      <c r="O276" s="20" t="n">
        <v>-173</v>
      </c>
      <c r="P276" s="20" t="n">
        <v>-203</v>
      </c>
      <c r="Q276" s="20" t="n">
        <v>-235</v>
      </c>
      <c r="R276" s="20" t="n">
        <v>-166</v>
      </c>
      <c r="S276" s="20" t="n">
        <v>-75</v>
      </c>
      <c r="T276" s="20" t="n">
        <v>-209</v>
      </c>
      <c r="U276" s="20" t="n">
        <v>-92</v>
      </c>
      <c r="V276" s="20" t="n">
        <v>-984</v>
      </c>
      <c r="W276" s="20" t="n">
        <v>-1064</v>
      </c>
      <c r="X276" s="20" t="n">
        <v>-2454</v>
      </c>
    </row>
    <row r="277">
      <c r="A277" s="18" t="inlineStr">
        <is>
          <t>투자유가증권 취득</t>
        </is>
      </c>
      <c r="D277" s="20" t="n">
        <v>-97</v>
      </c>
      <c r="F277" s="20" t="n">
        <v>-48</v>
      </c>
      <c r="H277" s="20" t="n">
        <v>-86</v>
      </c>
      <c r="J277" s="20" t="n">
        <v>-47</v>
      </c>
      <c r="L277" s="20" t="n">
        <v>-74</v>
      </c>
      <c r="N277" s="20" t="n">
        <v>-37</v>
      </c>
      <c r="O277" s="20" t="n">
        <v>-53</v>
      </c>
      <c r="P277" s="20" t="n">
        <v>-60</v>
      </c>
      <c r="Q277" s="20" t="n">
        <v>-62</v>
      </c>
      <c r="R277" s="20" t="n">
        <v>-69</v>
      </c>
      <c r="S277" s="20" t="n">
        <v>-64</v>
      </c>
      <c r="T277" s="20" t="n">
        <v>-66</v>
      </c>
      <c r="U277" s="20" t="n">
        <v>-71</v>
      </c>
      <c r="V277" s="20" t="n">
        <v>-97</v>
      </c>
      <c r="W277" s="20" t="n">
        <v>-86</v>
      </c>
      <c r="X277" s="20" t="n">
        <v>-74</v>
      </c>
    </row>
    <row r="278">
      <c r="A278" s="18" t="inlineStr">
        <is>
          <t>투자유가증권 매각</t>
        </is>
      </c>
      <c r="D278" s="20" t="n">
        <v>354</v>
      </c>
      <c r="F278" s="20" t="n">
        <v>0</v>
      </c>
      <c r="H278" s="20" t="n">
        <v>721</v>
      </c>
      <c r="J278" s="20" t="n">
        <v>1</v>
      </c>
      <c r="L278" s="20" t="n">
        <v>1039</v>
      </c>
      <c r="N278" s="20" t="n">
        <v>231</v>
      </c>
      <c r="O278" s="20" t="n">
        <v>22</v>
      </c>
      <c r="P278" s="20" t="n">
        <v>316</v>
      </c>
      <c r="Q278" s="20" t="n">
        <v>0</v>
      </c>
      <c r="R278" s="20" t="n">
        <v>195</v>
      </c>
      <c r="S278" s="20" t="n">
        <v>337</v>
      </c>
      <c r="T278" s="20" t="n">
        <v>220</v>
      </c>
      <c r="U278" s="20" t="n">
        <v>0</v>
      </c>
      <c r="V278" s="20" t="n">
        <v>354</v>
      </c>
      <c r="W278" s="20" t="n">
        <v>721</v>
      </c>
      <c r="X278" s="20" t="n">
        <v>1039</v>
      </c>
    </row>
    <row r="279">
      <c r="A279" s="18" t="inlineStr">
        <is>
          <t>보험적립금 해약</t>
        </is>
      </c>
      <c r="D279" s="20" t="n">
        <v>49</v>
      </c>
      <c r="F279" s="20" t="n">
        <v>0</v>
      </c>
      <c r="H279" s="20" t="n">
        <v>20</v>
      </c>
      <c r="J279" s="20" t="n">
        <v>25</v>
      </c>
      <c r="L279" s="20" t="n">
        <v>35</v>
      </c>
      <c r="N279" s="20" t="n">
        <v>26</v>
      </c>
      <c r="O279" s="20" t="n">
        <v>0</v>
      </c>
      <c r="P279" s="20" t="n">
        <v>1595</v>
      </c>
      <c r="Q279" s="20" t="n">
        <v>231</v>
      </c>
      <c r="R279" s="20" t="n">
        <v>34</v>
      </c>
      <c r="S279" s="20" t="n">
        <v>52</v>
      </c>
      <c r="T279" s="20" t="n">
        <v>8</v>
      </c>
      <c r="U279" s="20" t="n">
        <v>0</v>
      </c>
      <c r="V279" s="20" t="n">
        <v>49</v>
      </c>
      <c r="W279" s="20" t="n">
        <v>20</v>
      </c>
      <c r="X279" s="20" t="n">
        <v>35</v>
      </c>
    </row>
    <row r="280">
      <c r="A280" s="18" t="inlineStr">
        <is>
          <t>연결범위 변경 자회사 주식 취득</t>
        </is>
      </c>
      <c r="D280" s="20" t="n">
        <v>0</v>
      </c>
      <c r="H280" s="20" t="n">
        <v>0</v>
      </c>
      <c r="L280" s="20" t="n">
        <v>-1388</v>
      </c>
      <c r="O280" s="20" t="n">
        <v>0</v>
      </c>
      <c r="P280" s="20" t="n">
        <v>-2828</v>
      </c>
      <c r="Q280" s="20" t="n">
        <v>0</v>
      </c>
      <c r="R280" s="20" t="n">
        <v>0</v>
      </c>
      <c r="S280" s="20" t="n">
        <v>-12</v>
      </c>
      <c r="T280" s="20" t="n">
        <v>0</v>
      </c>
      <c r="U280" s="20" t="n">
        <v>-1475</v>
      </c>
      <c r="V280" s="20" t="n">
        <v>0</v>
      </c>
      <c r="W280" s="20" t="n">
        <v>0</v>
      </c>
      <c r="X280" s="20" t="n">
        <v>-1388</v>
      </c>
    </row>
    <row r="281">
      <c r="A281" s="18" t="inlineStr">
        <is>
          <t>연결범위 변경 자회사 주식 매각</t>
        </is>
      </c>
      <c r="O281" s="20" t="n">
        <v>4</v>
      </c>
      <c r="P281" s="20" t="n">
        <v>0</v>
      </c>
    </row>
    <row r="282">
      <c r="A282" s="18" t="inlineStr">
        <is>
          <t>연결범위 변경 자회사 주식 취득(수입)</t>
        </is>
      </c>
      <c r="Q282" s="20" t="n">
        <v>0</v>
      </c>
      <c r="R282" s="20" t="n">
        <v>29</v>
      </c>
      <c r="S282" s="20" t="n">
        <v>0</v>
      </c>
    </row>
    <row r="283">
      <c r="A283" s="18" t="inlineStr">
        <is>
          <t>연결범위 변경 자회사 주식 매각(지출)</t>
        </is>
      </c>
      <c r="P283" s="20" t="n">
        <v>0</v>
      </c>
      <c r="Q283" s="20" t="n">
        <v>-22</v>
      </c>
      <c r="R283" s="20" t="n">
        <v>0</v>
      </c>
    </row>
    <row r="284">
      <c r="A284" s="18" t="inlineStr">
        <is>
          <t>사업양수 지출</t>
        </is>
      </c>
      <c r="R284" s="20" t="n">
        <v>0</v>
      </c>
      <c r="S284" s="20" t="n">
        <v>-764</v>
      </c>
      <c r="T284" s="20" t="n">
        <v>0</v>
      </c>
    </row>
    <row r="285">
      <c r="A285" s="18" t="inlineStr">
        <is>
          <t>기타</t>
        </is>
      </c>
      <c r="D285" s="20" t="n">
        <v>-1</v>
      </c>
      <c r="F285" s="20" t="n">
        <v>-2</v>
      </c>
      <c r="H285" s="20" t="n">
        <v>2</v>
      </c>
      <c r="J285" s="20" t="n">
        <v>1</v>
      </c>
      <c r="L285" s="20" t="n">
        <v>3</v>
      </c>
      <c r="N285" s="20" t="n">
        <v>0</v>
      </c>
      <c r="O285" s="20" t="n">
        <v>-5</v>
      </c>
      <c r="P285" s="20" t="n">
        <v>42</v>
      </c>
      <c r="Q285" s="20" t="n">
        <v>11</v>
      </c>
      <c r="R285" s="20" t="n">
        <v>5</v>
      </c>
      <c r="S285" s="20" t="n">
        <v>10</v>
      </c>
      <c r="T285" s="20" t="n">
        <v>-8</v>
      </c>
      <c r="U285" s="20" t="n">
        <v>45</v>
      </c>
      <c r="V285" s="20" t="n">
        <v>-1</v>
      </c>
      <c r="W285" s="20" t="n">
        <v>2</v>
      </c>
      <c r="X285" s="20" t="n">
        <v>3</v>
      </c>
    </row>
    <row r="286">
      <c r="A286" s="9" t="inlineStr">
        <is>
          <t>투자활동 현금흐름</t>
        </is>
      </c>
      <c r="D286" s="12" t="n">
        <v>-5225</v>
      </c>
      <c r="F286" s="12" t="n">
        <v>-4078</v>
      </c>
      <c r="H286" s="12" t="n">
        <v>-7310</v>
      </c>
      <c r="J286" s="12" t="n">
        <v>-2972</v>
      </c>
      <c r="L286" s="12" t="n">
        <v>-5987</v>
      </c>
      <c r="N286" s="12" t="n">
        <v>-1252</v>
      </c>
      <c r="O286" s="12" t="n">
        <v>-2409</v>
      </c>
      <c r="P286" s="12" t="n">
        <v>-1734</v>
      </c>
      <c r="Q286" s="12" t="n">
        <v>-6571</v>
      </c>
      <c r="R286" s="12" t="n">
        <v>-3924</v>
      </c>
      <c r="S286" s="12" t="n">
        <v>-2690</v>
      </c>
      <c r="T286" s="12" t="n">
        <v>-2674</v>
      </c>
      <c r="U286" s="12" t="n">
        <v>3549</v>
      </c>
      <c r="V286" s="12" t="n">
        <v>-5225</v>
      </c>
      <c r="W286" s="12" t="n">
        <v>-7310</v>
      </c>
      <c r="X286" s="12" t="n">
        <v>-5987</v>
      </c>
    </row>
    <row r="287">
      <c r="A287" s="18" t="inlineStr">
        <is>
          <t>단기차입금 순증감</t>
        </is>
      </c>
      <c r="D287" s="20" t="n">
        <v>-2</v>
      </c>
      <c r="F287" s="20" t="n">
        <v>-5</v>
      </c>
      <c r="H287" s="20" t="n">
        <v>-4</v>
      </c>
      <c r="J287" s="20" t="n">
        <v>3</v>
      </c>
      <c r="L287" s="20" t="n">
        <v>-25</v>
      </c>
      <c r="N287" s="20" t="n">
        <v>-1</v>
      </c>
      <c r="O287" s="20" t="n">
        <v>-79</v>
      </c>
      <c r="P287" s="20" t="n">
        <v>-50</v>
      </c>
      <c r="Q287" s="20" t="n">
        <v>-40</v>
      </c>
      <c r="R287" s="20" t="n">
        <v>-16</v>
      </c>
      <c r="S287" s="20" t="n">
        <v>-471</v>
      </c>
      <c r="T287" s="20" t="n">
        <v>-6</v>
      </c>
      <c r="U287" s="20" t="n">
        <v>-3</v>
      </c>
      <c r="V287" s="20" t="n">
        <v>-2</v>
      </c>
      <c r="W287" s="20" t="n">
        <v>-4</v>
      </c>
      <c r="X287" s="20" t="n">
        <v>-25</v>
      </c>
    </row>
    <row r="288">
      <c r="A288" s="18" t="inlineStr">
        <is>
          <t>장기차입</t>
        </is>
      </c>
      <c r="O288" s="20" t="n">
        <v>270</v>
      </c>
      <c r="P288" s="20" t="n">
        <v>2200</v>
      </c>
      <c r="Q288" s="20" t="n">
        <v>0</v>
      </c>
    </row>
    <row r="289">
      <c r="A289" s="18" t="inlineStr">
        <is>
          <t>장기차입금 상환</t>
        </is>
      </c>
      <c r="D289" s="20" t="n">
        <v>-57</v>
      </c>
      <c r="F289" s="20" t="n">
        <v>-23</v>
      </c>
      <c r="H289" s="20" t="n">
        <v>-42</v>
      </c>
      <c r="J289" s="20" t="n">
        <v>-19</v>
      </c>
      <c r="L289" s="20" t="n">
        <v>-38</v>
      </c>
      <c r="N289" s="20" t="n">
        <v>-19</v>
      </c>
      <c r="O289" s="20" t="n">
        <v>0</v>
      </c>
      <c r="P289" s="20" t="n">
        <v>-545</v>
      </c>
      <c r="Q289" s="20" t="n">
        <v>-704</v>
      </c>
      <c r="R289" s="20" t="n">
        <v>-708</v>
      </c>
      <c r="S289" s="20" t="n">
        <v>-405</v>
      </c>
      <c r="T289" s="20" t="n">
        <v>-181</v>
      </c>
      <c r="U289" s="20" t="n">
        <v>-184</v>
      </c>
      <c r="V289" s="20" t="n">
        <v>-57</v>
      </c>
      <c r="W289" s="20" t="n">
        <v>-42</v>
      </c>
      <c r="X289" s="20" t="n">
        <v>-38</v>
      </c>
    </row>
    <row r="290">
      <c r="A290" s="18" t="inlineStr">
        <is>
          <t>리스부채 상환</t>
        </is>
      </c>
      <c r="D290" s="20" t="n">
        <v>-20</v>
      </c>
      <c r="F290" s="20" t="n">
        <v>-9</v>
      </c>
      <c r="H290" s="20" t="n">
        <v>-20</v>
      </c>
      <c r="J290" s="20" t="n">
        <v>-10</v>
      </c>
      <c r="L290" s="20" t="n">
        <v>-21</v>
      </c>
      <c r="N290" s="20" t="n">
        <v>-10</v>
      </c>
      <c r="O290" s="20" t="n">
        <v>-21</v>
      </c>
      <c r="P290" s="20" t="n">
        <v>-22</v>
      </c>
      <c r="Q290" s="20" t="n">
        <v>-22</v>
      </c>
      <c r="R290" s="20" t="n">
        <v>-23</v>
      </c>
      <c r="S290" s="20" t="n">
        <v>-25</v>
      </c>
      <c r="T290" s="20" t="n">
        <v>-23</v>
      </c>
      <c r="U290" s="20" t="n">
        <v>-22</v>
      </c>
      <c r="V290" s="20" t="n">
        <v>-20</v>
      </c>
      <c r="W290" s="20" t="n">
        <v>-20</v>
      </c>
      <c r="X290" s="20" t="n">
        <v>-21</v>
      </c>
    </row>
    <row r="291">
      <c r="A291" s="18" t="inlineStr">
        <is>
          <t>자기주식 취득</t>
        </is>
      </c>
      <c r="D291" s="20" t="n">
        <v>-6758</v>
      </c>
      <c r="F291" s="20" t="n">
        <v>-1103</v>
      </c>
      <c r="H291" s="20" t="n">
        <v>-3065</v>
      </c>
      <c r="J291" s="20" t="n">
        <v>-3546</v>
      </c>
      <c r="L291" s="20" t="n">
        <v>-5732</v>
      </c>
      <c r="N291" s="20" t="n">
        <v>-1247</v>
      </c>
      <c r="O291" s="20" t="n">
        <v>-0</v>
      </c>
      <c r="P291" s="20" t="n">
        <v>-624</v>
      </c>
      <c r="Q291" s="20" t="n">
        <v>-340</v>
      </c>
      <c r="R291" s="20" t="n">
        <v>-76</v>
      </c>
      <c r="S291" s="20" t="n">
        <v>-971</v>
      </c>
      <c r="T291" s="20" t="n">
        <v>-0</v>
      </c>
      <c r="U291" s="20" t="n">
        <v>-442</v>
      </c>
      <c r="V291" s="20" t="n">
        <v>-6758</v>
      </c>
      <c r="W291" s="20" t="n">
        <v>-3065</v>
      </c>
      <c r="X291" s="20" t="n">
        <v>-5732</v>
      </c>
    </row>
    <row r="292">
      <c r="A292" s="18" t="inlineStr">
        <is>
          <t>배당금 지급</t>
        </is>
      </c>
      <c r="D292" s="20" t="n">
        <v>-1676</v>
      </c>
      <c r="F292" s="20" t="n">
        <v>-1269</v>
      </c>
      <c r="H292" s="20" t="n">
        <v>-2388</v>
      </c>
      <c r="J292" s="20" t="n">
        <v>-1403</v>
      </c>
      <c r="L292" s="20" t="n">
        <v>-2594</v>
      </c>
      <c r="N292" s="20" t="n">
        <v>-1187</v>
      </c>
      <c r="O292" s="20" t="n">
        <v>-771</v>
      </c>
      <c r="P292" s="20" t="n">
        <v>-915</v>
      </c>
      <c r="Q292" s="20" t="n">
        <v>-980</v>
      </c>
      <c r="R292" s="20" t="n">
        <v>-942</v>
      </c>
      <c r="S292" s="20" t="n">
        <v>-1477</v>
      </c>
      <c r="T292" s="20" t="n">
        <v>-1564</v>
      </c>
      <c r="U292" s="20" t="n">
        <v>-1748</v>
      </c>
      <c r="V292" s="20" t="n">
        <v>-1676</v>
      </c>
      <c r="W292" s="20" t="n">
        <v>-2388</v>
      </c>
      <c r="X292" s="20" t="n">
        <v>-2594</v>
      </c>
    </row>
    <row r="293">
      <c r="A293" s="18" t="inlineStr">
        <is>
          <t>비지배주주 배당금 지급</t>
        </is>
      </c>
      <c r="D293" s="20" t="n">
        <v>-87</v>
      </c>
      <c r="F293" s="20" t="n">
        <v>-101</v>
      </c>
      <c r="H293" s="20" t="n">
        <v>-101</v>
      </c>
      <c r="J293" s="20" t="n">
        <v>-2</v>
      </c>
      <c r="L293" s="20" t="n">
        <v>-2</v>
      </c>
      <c r="N293" s="20" t="n">
        <v>-8</v>
      </c>
      <c r="O293" s="20" t="n">
        <v>-61</v>
      </c>
      <c r="P293" s="20" t="n">
        <v>-65</v>
      </c>
      <c r="Q293" s="20" t="n">
        <v>-73</v>
      </c>
      <c r="R293" s="20" t="n">
        <v>-65</v>
      </c>
      <c r="S293" s="20" t="n">
        <v>-62</v>
      </c>
      <c r="T293" s="20" t="n">
        <v>-66</v>
      </c>
      <c r="U293" s="20" t="n">
        <v>-72</v>
      </c>
      <c r="V293" s="20" t="n">
        <v>-87</v>
      </c>
      <c r="W293" s="20" t="n">
        <v>-101</v>
      </c>
      <c r="X293" s="20" t="n">
        <v>-2</v>
      </c>
    </row>
    <row r="294">
      <c r="A294" s="18" t="inlineStr">
        <is>
          <t>비지배주주 납입</t>
        </is>
      </c>
      <c r="R294" s="20" t="n">
        <v>0</v>
      </c>
      <c r="S294" s="20" t="n">
        <v>320</v>
      </c>
      <c r="T294" s="20" t="n">
        <v>0</v>
      </c>
    </row>
    <row r="295">
      <c r="A295" s="18" t="inlineStr">
        <is>
          <t>기타</t>
        </is>
      </c>
      <c r="D295" s="20" t="n">
        <v>0</v>
      </c>
      <c r="O295" s="20" t="n">
        <v>-9</v>
      </c>
      <c r="P295" s="20" t="n">
        <v>30</v>
      </c>
      <c r="Q295" s="20" t="n">
        <v>0</v>
      </c>
      <c r="R295" s="20" t="n">
        <v>-0</v>
      </c>
      <c r="S295" s="20" t="n">
        <v>60</v>
      </c>
      <c r="T295" s="20" t="n">
        <v>20</v>
      </c>
      <c r="U295" s="20" t="n">
        <v>-4</v>
      </c>
      <c r="V295" s="20" t="n">
        <v>0</v>
      </c>
    </row>
    <row r="296">
      <c r="A296" s="9" t="inlineStr">
        <is>
          <t>재무활동 현금흐름</t>
        </is>
      </c>
      <c r="D296" s="12" t="n">
        <v>-8603</v>
      </c>
      <c r="F296" s="12" t="n">
        <v>-2513</v>
      </c>
      <c r="H296" s="12" t="n">
        <v>-5621</v>
      </c>
      <c r="J296" s="12" t="n">
        <v>-4978</v>
      </c>
      <c r="L296" s="12" t="n">
        <v>-8414</v>
      </c>
      <c r="N296" s="12" t="n">
        <v>-2474</v>
      </c>
      <c r="O296" s="12" t="n">
        <v>-673</v>
      </c>
      <c r="P296" s="12" t="n">
        <v>7</v>
      </c>
      <c r="Q296" s="12" t="n">
        <v>-2163</v>
      </c>
      <c r="R296" s="12" t="n">
        <v>-1833</v>
      </c>
      <c r="S296" s="12" t="n">
        <v>-3032</v>
      </c>
      <c r="T296" s="12" t="n">
        <v>-1823</v>
      </c>
      <c r="U296" s="12" t="n">
        <v>-2476</v>
      </c>
      <c r="V296" s="12" t="n">
        <v>-8603</v>
      </c>
      <c r="W296" s="12" t="n">
        <v>-5621</v>
      </c>
      <c r="X296" s="12" t="n">
        <v>-8414</v>
      </c>
    </row>
    <row r="297">
      <c r="A297" s="18" t="inlineStr">
        <is>
          <t>현금성자산 환산차이</t>
        </is>
      </c>
      <c r="D297" s="20" t="n">
        <v>47</v>
      </c>
      <c r="F297" s="20" t="n">
        <v>189</v>
      </c>
      <c r="H297" s="20" t="n">
        <v>139</v>
      </c>
      <c r="J297" s="20" t="n">
        <v>-84</v>
      </c>
      <c r="L297" s="20" t="n">
        <v>76</v>
      </c>
      <c r="N297" s="20" t="n">
        <v>88</v>
      </c>
      <c r="O297" s="20" t="n">
        <v>-30</v>
      </c>
      <c r="P297" s="20" t="n">
        <v>16</v>
      </c>
      <c r="Q297" s="20" t="n">
        <v>-55</v>
      </c>
      <c r="R297" s="20" t="n">
        <v>21</v>
      </c>
      <c r="S297" s="20" t="n">
        <v>-132</v>
      </c>
      <c r="T297" s="20" t="n">
        <v>92</v>
      </c>
      <c r="U297" s="20" t="n">
        <v>75</v>
      </c>
      <c r="V297" s="20" t="n">
        <v>47</v>
      </c>
      <c r="W297" s="20" t="n">
        <v>139</v>
      </c>
      <c r="X297" s="20" t="n">
        <v>76</v>
      </c>
    </row>
    <row r="298">
      <c r="A298" s="18" t="inlineStr">
        <is>
          <t>현금성자산 증감</t>
        </is>
      </c>
      <c r="D298" s="20" t="n">
        <v>-5641</v>
      </c>
      <c r="F298" s="20" t="n">
        <v>-5189</v>
      </c>
      <c r="H298" s="20" t="n">
        <v>-5619</v>
      </c>
      <c r="J298" s="20" t="n">
        <v>-1425</v>
      </c>
      <c r="L298" s="20" t="n">
        <v>-591</v>
      </c>
      <c r="N298" s="20" t="n">
        <v>1551</v>
      </c>
      <c r="O298" s="20" t="n">
        <v>2429</v>
      </c>
      <c r="P298" s="20" t="n">
        <v>7252</v>
      </c>
      <c r="Q298" s="20" t="n">
        <v>-3282</v>
      </c>
      <c r="R298" s="20" t="n">
        <v>549</v>
      </c>
      <c r="S298" s="20" t="n">
        <v>909</v>
      </c>
      <c r="T298" s="20" t="n">
        <v>1792</v>
      </c>
      <c r="U298" s="20" t="n">
        <v>5754</v>
      </c>
      <c r="V298" s="20" t="n">
        <v>-5641</v>
      </c>
      <c r="W298" s="20" t="n">
        <v>-5619</v>
      </c>
      <c r="X298" s="20" t="n">
        <v>-591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4956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81585</v>
      </c>
      <c r="D5" s="12" t="n">
        <v>86048</v>
      </c>
      <c r="E5" s="12" t="n">
        <v>83303</v>
      </c>
      <c r="F5" s="12" t="n">
        <v>85000</v>
      </c>
      <c r="G5" s="12" t="n">
        <v>88325</v>
      </c>
      <c r="H5" s="11" t="n">
        <v>82266</v>
      </c>
      <c r="I5" s="12" t="n">
        <v>94434</v>
      </c>
      <c r="J5" s="12" t="n">
        <v>92625</v>
      </c>
      <c r="K5" s="12" t="n">
        <v>85769</v>
      </c>
      <c r="L5" s="12" t="n">
        <v>83303</v>
      </c>
    </row>
    <row r="6">
      <c r="A6" s="18" t="inlineStr">
        <is>
          <t>현금및현금성자산</t>
        </is>
      </c>
      <c r="B6" s="10" t="n"/>
      <c r="C6" s="19" t="n">
        <v>19696</v>
      </c>
      <c r="D6" s="20" t="n">
        <v>19838</v>
      </c>
      <c r="E6" s="20" t="n">
        <v>21294</v>
      </c>
      <c r="F6" s="20" t="n">
        <v>21922</v>
      </c>
      <c r="G6" s="20" t="n">
        <v>22814</v>
      </c>
      <c r="H6" s="19" t="n">
        <v>26169</v>
      </c>
      <c r="I6" s="20" t="n">
        <v>32195</v>
      </c>
      <c r="J6" s="20" t="n">
        <v>26651</v>
      </c>
      <c r="K6" s="20" t="n">
        <v>21118</v>
      </c>
      <c r="L6" s="20" t="n">
        <v>21294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34778</v>
      </c>
      <c r="D8" s="20" t="n">
        <v>36219</v>
      </c>
      <c r="E8" s="20" t="n">
        <v>34647</v>
      </c>
      <c r="F8" s="20" t="n">
        <v>34829</v>
      </c>
      <c r="G8" s="20" t="n">
        <v>35860</v>
      </c>
      <c r="H8" s="19" t="n">
        <v>35087</v>
      </c>
      <c r="I8" s="20" t="n">
        <v>34752</v>
      </c>
      <c r="J8" s="20" t="n">
        <v>36390</v>
      </c>
      <c r="K8" s="20" t="n">
        <v>35942</v>
      </c>
      <c r="L8" s="20" t="n">
        <v>34647</v>
      </c>
    </row>
    <row r="9">
      <c r="A9" s="18" t="inlineStr">
        <is>
          <t>재고자산</t>
        </is>
      </c>
      <c r="B9" s="10" t="n"/>
      <c r="C9" s="19" t="n">
        <v>10899</v>
      </c>
      <c r="D9" s="20" t="n">
        <v>11337</v>
      </c>
      <c r="E9" s="20" t="n">
        <v>11038</v>
      </c>
      <c r="F9" s="20" t="n">
        <v>11964</v>
      </c>
      <c r="G9" s="20" t="n">
        <v>12557</v>
      </c>
      <c r="H9" s="19" t="n">
        <v>8838</v>
      </c>
      <c r="I9" s="20" t="n">
        <v>11309</v>
      </c>
      <c r="J9" s="20" t="n">
        <v>11233</v>
      </c>
      <c r="K9" s="20" t="n">
        <v>10442</v>
      </c>
      <c r="L9" s="20" t="n">
        <v>11038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52692</v>
      </c>
      <c r="D11" s="12" t="n">
        <v>53126</v>
      </c>
      <c r="E11" s="12" t="n">
        <v>56307</v>
      </c>
      <c r="F11" s="12" t="n">
        <v>59063</v>
      </c>
      <c r="G11" s="12" t="n">
        <v>58411</v>
      </c>
      <c r="H11" s="11" t="n">
        <v>36882</v>
      </c>
      <c r="I11" s="12" t="n">
        <v>38440</v>
      </c>
      <c r="J11" s="12" t="n">
        <v>48224</v>
      </c>
      <c r="K11" s="12" t="n">
        <v>51032</v>
      </c>
      <c r="L11" s="12" t="n">
        <v>56307</v>
      </c>
    </row>
    <row r="12">
      <c r="A12" s="18" t="inlineStr">
        <is>
          <t>유형자산</t>
        </is>
      </c>
      <c r="B12" s="10" t="n"/>
      <c r="C12" s="19" t="n">
        <v>32415</v>
      </c>
      <c r="D12" s="20" t="n">
        <v>32363</v>
      </c>
      <c r="E12" s="20" t="n">
        <v>32514</v>
      </c>
      <c r="F12" s="20" t="n">
        <v>32388</v>
      </c>
      <c r="G12" s="20" t="n">
        <v>31929</v>
      </c>
      <c r="H12" s="19" t="n">
        <v>25618</v>
      </c>
      <c r="I12" s="20" t="n">
        <v>25746</v>
      </c>
      <c r="J12" s="20" t="n">
        <v>29715</v>
      </c>
      <c r="K12" s="20" t="n">
        <v>32754</v>
      </c>
      <c r="L12" s="20" t="n">
        <v>32514</v>
      </c>
    </row>
    <row r="13">
      <c r="A13" s="18" t="inlineStr">
        <is>
          <t>무형자산</t>
        </is>
      </c>
      <c r="B13" s="10" t="n"/>
      <c r="C13" s="19" t="n">
        <v>3859</v>
      </c>
      <c r="D13" s="20" t="n">
        <v>4279</v>
      </c>
      <c r="E13" s="20" t="n">
        <v>4741</v>
      </c>
      <c r="F13" s="20" t="n">
        <v>5089</v>
      </c>
      <c r="G13" s="20" t="n">
        <v>5298</v>
      </c>
      <c r="H13" s="19" t="n">
        <v>811</v>
      </c>
      <c r="I13" s="20" t="n">
        <v>1188</v>
      </c>
      <c r="J13" s="20" t="n">
        <v>1978</v>
      </c>
      <c r="K13" s="20" t="n">
        <v>3106</v>
      </c>
      <c r="L13" s="20" t="n">
        <v>4741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134277</v>
      </c>
      <c r="D16" s="12" t="n">
        <v>139174</v>
      </c>
      <c r="E16" s="12" t="n">
        <v>139610</v>
      </c>
      <c r="F16" s="12" t="n">
        <v>144063</v>
      </c>
      <c r="G16" s="12" t="n">
        <v>146737</v>
      </c>
      <c r="H16" s="11" t="n">
        <v>119148</v>
      </c>
      <c r="I16" s="12" t="n">
        <v>132874</v>
      </c>
      <c r="J16" s="12" t="n">
        <v>140850</v>
      </c>
      <c r="K16" s="12" t="n">
        <v>136801</v>
      </c>
      <c r="L16" s="12" t="n">
        <v>139610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41525</v>
      </c>
      <c r="D18" s="12" t="n">
        <v>44635</v>
      </c>
      <c r="E18" s="12" t="n">
        <v>42730</v>
      </c>
      <c r="F18" s="12" t="n">
        <v>43091</v>
      </c>
      <c r="G18" s="12" t="n">
        <v>45138</v>
      </c>
      <c r="H18" s="11" t="n">
        <v>41195</v>
      </c>
      <c r="I18" s="12" t="n">
        <v>45856</v>
      </c>
      <c r="J18" s="12" t="n">
        <v>49144</v>
      </c>
      <c r="K18" s="12" t="n">
        <v>43266</v>
      </c>
      <c r="L18" s="12" t="n">
        <v>42730</v>
      </c>
    </row>
    <row r="19">
      <c r="A19" s="18" t="inlineStr">
        <is>
          <t>매입채무</t>
        </is>
      </c>
      <c r="B19" s="10" t="n"/>
      <c r="C19" s="19" t="n">
        <v>32321</v>
      </c>
      <c r="D19" s="20" t="n">
        <v>35770</v>
      </c>
      <c r="E19" s="20" t="n">
        <v>32754</v>
      </c>
      <c r="F19" s="20" t="n">
        <v>35180</v>
      </c>
      <c r="G19" s="20" t="n">
        <v>35944</v>
      </c>
      <c r="H19" s="19" t="n">
        <v>31737</v>
      </c>
      <c r="I19" s="20" t="n">
        <v>33983</v>
      </c>
      <c r="J19" s="20" t="n">
        <v>37218</v>
      </c>
      <c r="K19" s="20" t="n">
        <v>32625</v>
      </c>
      <c r="L19" s="20" t="n">
        <v>32754</v>
      </c>
    </row>
    <row r="20">
      <c r="A20" s="18" t="inlineStr">
        <is>
          <t>단기차입금</t>
        </is>
      </c>
      <c r="B20" s="10" t="n"/>
      <c r="C20" s="19" t="n">
        <v>50</v>
      </c>
      <c r="D20" s="20" t="n">
        <v>46</v>
      </c>
      <c r="E20" s="20" t="n">
        <v>25</v>
      </c>
      <c r="F20" s="20" t="n">
        <v>25</v>
      </c>
      <c r="G20" s="20" t="n">
        <v>25</v>
      </c>
      <c r="H20" s="19" t="n">
        <v>46</v>
      </c>
      <c r="I20" s="20" t="n">
        <v>48</v>
      </c>
      <c r="J20" s="20" t="n">
        <v>50</v>
      </c>
      <c r="K20" s="20" t="n">
        <v>51</v>
      </c>
      <c r="L20" s="20" t="n">
        <v>25</v>
      </c>
    </row>
    <row r="21">
      <c r="A21" s="18" t="inlineStr">
        <is>
          <t>유동성장기부채</t>
        </is>
      </c>
      <c r="B21" s="10" t="n"/>
      <c r="C21" s="19" t="n">
        <v>38</v>
      </c>
      <c r="D21" s="20" t="n">
        <v>41</v>
      </c>
      <c r="E21" s="20" t="n">
        <v>35</v>
      </c>
      <c r="F21" s="20" t="n">
        <v>29</v>
      </c>
      <c r="G21" s="20" t="n">
        <v>19</v>
      </c>
      <c r="H21" s="19" t="n">
        <v>104</v>
      </c>
      <c r="I21" s="20" t="n">
        <v>60</v>
      </c>
      <c r="J21" s="20" t="n">
        <v>42</v>
      </c>
      <c r="K21" s="20" t="n">
        <v>38</v>
      </c>
      <c r="L21" s="20" t="n">
        <v>35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7206</v>
      </c>
      <c r="D23" s="12" t="n">
        <v>7388</v>
      </c>
      <c r="E23" s="12" t="n">
        <v>8019</v>
      </c>
      <c r="F23" s="12" t="n">
        <v>9090</v>
      </c>
      <c r="G23" s="12" t="n">
        <v>8565</v>
      </c>
      <c r="H23" s="11" t="n">
        <v>5055</v>
      </c>
      <c r="I23" s="12" t="n">
        <v>5536</v>
      </c>
      <c r="J23" s="12" t="n">
        <v>7020</v>
      </c>
      <c r="K23" s="12" t="n">
        <v>6862</v>
      </c>
      <c r="L23" s="12" t="n">
        <v>8019</v>
      </c>
    </row>
    <row r="24">
      <c r="A24" s="18" t="inlineStr">
        <is>
          <t>장기차입금</t>
        </is>
      </c>
      <c r="B24" s="10" t="n"/>
      <c r="C24" s="19" t="n">
        <v>19</v>
      </c>
      <c r="D24" s="20" t="n">
        <v>9</v>
      </c>
      <c r="E24" s="20" t="n">
        <v>3</v>
      </c>
      <c r="F24" s="20" t="n">
        <v>0</v>
      </c>
      <c r="G24" s="20" t="n">
        <v>0</v>
      </c>
      <c r="H24" s="19" t="n">
        <v>256</v>
      </c>
      <c r="I24" s="20" t="n">
        <v>116</v>
      </c>
      <c r="J24" s="20" t="n">
        <v>76</v>
      </c>
      <c r="K24" s="20" t="n">
        <v>38</v>
      </c>
      <c r="L24" s="20" t="n">
        <v>3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48731</v>
      </c>
      <c r="D27" s="12" t="n">
        <v>52023</v>
      </c>
      <c r="E27" s="12" t="n">
        <v>50750</v>
      </c>
      <c r="F27" s="12" t="n">
        <v>52182</v>
      </c>
      <c r="G27" s="12" t="n">
        <v>53703</v>
      </c>
      <c r="H27" s="11" t="n">
        <v>46251</v>
      </c>
      <c r="I27" s="12" t="n">
        <v>51392</v>
      </c>
      <c r="J27" s="12" t="n">
        <v>56165</v>
      </c>
      <c r="K27" s="12" t="n">
        <v>50128</v>
      </c>
      <c r="L27" s="12" t="n">
        <v>50750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85162</v>
      </c>
      <c r="D31" s="12" t="n">
        <v>86760</v>
      </c>
      <c r="E31" s="12" t="n">
        <v>88456</v>
      </c>
      <c r="F31" s="12" t="n">
        <v>91482</v>
      </c>
      <c r="G31" s="12" t="n">
        <v>92641</v>
      </c>
      <c r="H31" s="11" t="n">
        <v>68665</v>
      </c>
      <c r="I31" s="12" t="n">
        <v>76975</v>
      </c>
      <c r="J31" s="12" t="n">
        <v>79671</v>
      </c>
      <c r="K31" s="12" t="n">
        <v>86253</v>
      </c>
      <c r="L31" s="12" t="n">
        <v>88456</v>
      </c>
    </row>
    <row r="32">
      <c r="A32" s="18" t="inlineStr">
        <is>
          <t>자본금</t>
        </is>
      </c>
      <c r="B32" s="10" t="n"/>
      <c r="C32" s="19" t="n">
        <v>4603</v>
      </c>
      <c r="D32" s="20" t="n">
        <v>4603</v>
      </c>
      <c r="E32" s="20" t="n">
        <v>4603</v>
      </c>
      <c r="F32" s="20" t="n">
        <v>4603</v>
      </c>
      <c r="G32" s="20" t="n">
        <v>4603</v>
      </c>
      <c r="H32" s="19" t="n">
        <v>4603</v>
      </c>
      <c r="I32" s="20" t="n">
        <v>4603</v>
      </c>
      <c r="J32" s="20" t="n">
        <v>4603</v>
      </c>
      <c r="K32" s="20" t="n">
        <v>4603</v>
      </c>
      <c r="L32" s="20" t="n">
        <v>4603</v>
      </c>
    </row>
    <row r="33">
      <c r="A33" s="18" t="inlineStr">
        <is>
          <t>이익잉여금</t>
        </is>
      </c>
      <c r="B33" s="10" t="n"/>
      <c r="C33" s="19" t="n">
        <v>74882</v>
      </c>
      <c r="D33" s="20" t="n">
        <v>76452</v>
      </c>
      <c r="E33" s="20" t="n">
        <v>78406</v>
      </c>
      <c r="F33" s="20" t="n">
        <v>79594</v>
      </c>
      <c r="G33" s="20" t="n">
        <v>82396</v>
      </c>
      <c r="H33" s="19" t="n">
        <v>61164</v>
      </c>
      <c r="I33" s="20" t="n">
        <v>69450</v>
      </c>
      <c r="J33" s="20" t="n">
        <v>67314</v>
      </c>
      <c r="K33" s="20" t="n">
        <v>73009</v>
      </c>
      <c r="L33" s="20" t="n">
        <v>78406</v>
      </c>
    </row>
    <row r="34">
      <c r="A34" s="18" t="inlineStr">
        <is>
          <t>비지배지분</t>
        </is>
      </c>
      <c r="B34" s="10" t="n"/>
      <c r="C34" s="19" t="n">
        <v>383</v>
      </c>
      <c r="D34" s="20" t="n">
        <v>390</v>
      </c>
      <c r="E34" s="20" t="n">
        <v>404</v>
      </c>
      <c r="F34" s="20" t="n">
        <v>399</v>
      </c>
      <c r="G34" s="20" t="n">
        <v>393</v>
      </c>
      <c r="H34" s="19" t="n">
        <v>4232</v>
      </c>
      <c r="I34" s="20" t="n">
        <v>4507</v>
      </c>
      <c r="J34" s="20" t="n">
        <v>5014</v>
      </c>
      <c r="K34" s="20" t="n">
        <v>419</v>
      </c>
      <c r="L34" s="20" t="n">
        <v>404</v>
      </c>
    </row>
    <row r="35">
      <c r="A35" s="9" t="inlineStr">
        <is>
          <t>자본총계</t>
        </is>
      </c>
      <c r="B35" s="10" t="n"/>
      <c r="C35" s="11" t="n">
        <v>85545</v>
      </c>
      <c r="D35" s="12" t="n">
        <v>87150</v>
      </c>
      <c r="E35" s="12" t="n">
        <v>88860</v>
      </c>
      <c r="F35" s="12" t="n">
        <v>91881</v>
      </c>
      <c r="G35" s="12" t="n">
        <v>93034</v>
      </c>
      <c r="H35" s="11" t="n">
        <v>72897</v>
      </c>
      <c r="I35" s="12" t="n">
        <v>81482</v>
      </c>
      <c r="J35" s="12" t="n">
        <v>84685</v>
      </c>
      <c r="K35" s="12" t="n">
        <v>86672</v>
      </c>
      <c r="L35" s="12" t="n">
        <v>88860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12571</v>
      </c>
      <c r="D37" s="12" t="n"/>
      <c r="E37" s="12" t="n">
        <v>13733</v>
      </c>
      <c r="F37" s="12" t="n"/>
      <c r="G37" s="12" t="n">
        <v>12313</v>
      </c>
      <c r="H37" s="11" t="n">
        <v>6198</v>
      </c>
      <c r="I37" s="12" t="n">
        <v>4606</v>
      </c>
      <c r="J37" s="12" t="n">
        <v>8139</v>
      </c>
      <c r="K37" s="12" t="n">
        <v>7174</v>
      </c>
      <c r="L37" s="12" t="n">
        <v>13733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6951</v>
      </c>
      <c r="D38" s="20" t="n"/>
      <c r="E38" s="20" t="n">
        <v>5301</v>
      </c>
      <c r="F38" s="20" t="n"/>
      <c r="G38" s="20" t="n">
        <v>3787</v>
      </c>
      <c r="H38" s="19" t="n">
        <v>3091</v>
      </c>
      <c r="I38" s="20" t="n">
        <v>1401</v>
      </c>
      <c r="J38" s="20" t="n">
        <v>6085</v>
      </c>
      <c r="K38" s="20" t="n">
        <v>8020</v>
      </c>
      <c r="L38" s="20" t="n">
        <v>5301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2522</v>
      </c>
      <c r="D40" s="20" t="n"/>
      <c r="E40" s="20" t="n">
        <v>2594</v>
      </c>
      <c r="F40" s="20" t="n"/>
      <c r="G40" s="20" t="n">
        <v>2378</v>
      </c>
      <c r="H40" s="19" t="n">
        <v>1564</v>
      </c>
      <c r="I40" s="20" t="n">
        <v>1748</v>
      </c>
      <c r="J40" s="20" t="n">
        <v>1676</v>
      </c>
      <c r="K40" s="20" t="n">
        <v>2388</v>
      </c>
      <c r="L40" s="20" t="n">
        <v>2594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IFERROR((IF(COUNT('연간'!G31:J31)&lt;4,"",SUM('연간'!G31:J31)))/(IF(COUNT('연간'!G53:J53)&lt;4,"",SUM('연간'!G53:J53))),"")</f>
        <v/>
      </c>
      <c r="D48" s="31">
        <f>IFERROR((IF(COUNT('연간'!H31:K31)&lt;4,"",SUM('연간'!H31:K31)))/(IF(COUNT('연간'!H53:K53)&lt;4,"",SUM('연간'!H53:K53))),"")</f>
        <v/>
      </c>
      <c r="E48" s="31">
        <f>IFERROR((IF(COUNT('연간'!I31:L31)&lt;4,"",SUM('연간'!I31:L31)))/(IF(COUNT('연간'!I53:L53)&lt;4,"",SUM('연간'!I53:L53))),"")</f>
        <v/>
      </c>
      <c r="F48" s="31">
        <f>IFERROR((IF(COUNT('연간'!J31:M31)&lt;4,"",SUM('연간'!J31:M31)))/(IF(COUNT('연간'!J53:M53)&lt;4,"",SUM('연간'!J53:M53))),"")</f>
        <v/>
      </c>
      <c r="G48" s="31">
        <f>IFERROR((IF(COUNT('연간'!K31:N31)&lt;4,"",SUM('연간'!K31:N31)))/(IF(COUNT('연간'!K53:N53)&lt;4,"",SUM('연간'!K53:N53))),"")</f>
        <v/>
      </c>
      <c r="H48" s="30">
        <f>IFERROR(('연간'!T31)/('연간'!T53),"")</f>
        <v/>
      </c>
      <c r="I48" s="31">
        <f>IFERROR(('연간'!U31)/('연간'!U53),"")</f>
        <v/>
      </c>
      <c r="J48" s="31">
        <f>IFERROR(('연간'!V31)/('연간'!V53),"")</f>
        <v/>
      </c>
      <c r="K48" s="31">
        <f>IFERROR(('연간'!W31)/('연간'!W53),"")</f>
        <v/>
      </c>
      <c r="L48" s="31">
        <f>IFERROR(('연간'!X31)/('연간'!X53),"")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IFERROR(IF((IF(COUNT('연간'!G61:J61)&lt;4,"",SUM('연간'!G61:J61)))&lt;=0,"적자",C28/(IF(COUNT('연간'!G61:J61)&lt;4,"",SUM('연간'!G61:J61)))),"")</f>
        <v/>
      </c>
      <c r="D49" s="47">
        <f>IFERROR(IF((IF(COUNT('연간'!H61:K61)&lt;4,"",SUM('연간'!H61:K61)))&lt;=0,"적자",D28/(IF(COUNT('연간'!H61:K61)&lt;4,"",SUM('연간'!H61:K61)))),"")</f>
        <v/>
      </c>
      <c r="E49" s="47">
        <f>IFERROR(IF((IF(COUNT('연간'!I61:L61)&lt;4,"",SUM('연간'!I61:L61)))&lt;=0,"적자",E28/(IF(COUNT('연간'!I61:L61)&lt;4,"",SUM('연간'!I61:L61)))),"")</f>
        <v/>
      </c>
      <c r="F49" s="47">
        <f>IFERROR(IF((IF(COUNT('연간'!J61:M61)&lt;4,"",SUM('연간'!J61:M61)))&lt;=0,"적자",F28/(IF(COUNT('연간'!J61:M61)&lt;4,"",SUM('연간'!J61:M61)))),"")</f>
        <v/>
      </c>
      <c r="G49" s="47">
        <f>IFERROR(IF((IF(COUNT('연간'!K61:N61)&lt;4,"",SUM('연간'!K61:N61)))&lt;=0,"적자",G28/(IF(COUNT('연간'!K61:N61)&lt;4,"",SUM('연간'!K61:N61)))),"")</f>
        <v/>
      </c>
      <c r="H49" s="46">
        <f>IFERROR(IF(('연간'!T61)&lt;=0,"적자",H28/('연간'!T61)),"")</f>
        <v/>
      </c>
      <c r="I49" s="47">
        <f>IFERROR(IF(('연간'!U61)&lt;=0,"적자",I28/('연간'!U61)),"")</f>
        <v/>
      </c>
      <c r="J49" s="47">
        <f>IFERROR(IF(('연간'!V61)&lt;=0,"적자",J28/('연간'!V61)),"")</f>
        <v/>
      </c>
      <c r="K49" s="47">
        <f>IFERROR(IF(('연간'!W61)&lt;=0,"적자",K28/('연간'!W61)),"")</f>
        <v/>
      </c>
      <c r="L49" s="47">
        <f>IFERROR(IF(('연간'!X61)&lt;=0,"적자",L28/('연간'!X61)),"")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IFERROR((IF(COUNT('연간'!G61:J61)&lt;4,"",SUM('연간'!G61:J61)))/C31,"")</f>
        <v/>
      </c>
      <c r="D51" s="36">
        <f>IFERROR((IF(COUNT('연간'!H61:K61)&lt;4,"",SUM('연간'!H61:K61)))/D31,"")</f>
        <v/>
      </c>
      <c r="E51" s="36">
        <f>IFERROR((IF(COUNT('연간'!I61:L61)&lt;4,"",SUM('연간'!I61:L61)))/E31,"")</f>
        <v/>
      </c>
      <c r="F51" s="36">
        <f>IFERROR((IF(COUNT('연간'!J61:M61)&lt;4,"",SUM('연간'!J61:M61)))/F31,"")</f>
        <v/>
      </c>
      <c r="G51" s="36">
        <f>IFERROR((IF(COUNT('연간'!K61:N61)&lt;4,"",SUM('연간'!K61:N61)))/G31,"")</f>
        <v/>
      </c>
      <c r="H51" s="35">
        <f>IFERROR(('연간'!T61)/H31,"")</f>
        <v/>
      </c>
      <c r="I51" s="36">
        <f>IFERROR(('연간'!U61)/I31,"")</f>
        <v/>
      </c>
      <c r="J51" s="36">
        <f>IFERROR(('연간'!V61)/J31,"")</f>
        <v/>
      </c>
      <c r="K51" s="36">
        <f>IFERROR(('연간'!W61)/K31,"")</f>
        <v/>
      </c>
      <c r="L51" s="36">
        <f>IFERROR(('연간'!X61)/L31,"")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IFERROR((IF(COUNT('연간'!G59:J59)&lt;4,"",SUM('연간'!G59:J59)))/C16,"")</f>
        <v/>
      </c>
      <c r="D52" s="36">
        <f>IFERROR((IF(COUNT('연간'!H59:K59)&lt;4,"",SUM('연간'!H59:K59)))/D16,"")</f>
        <v/>
      </c>
      <c r="E52" s="36">
        <f>IFERROR((IF(COUNT('연간'!I59:L59)&lt;4,"",SUM('연간'!I59:L59)))/E16,"")</f>
        <v/>
      </c>
      <c r="F52" s="36">
        <f>IFERROR((IF(COUNT('연간'!J59:M59)&lt;4,"",SUM('연간'!J59:M59)))/F16,"")</f>
        <v/>
      </c>
      <c r="G52" s="36">
        <f>IFERROR((IF(COUNT('연간'!K59:N59)&lt;4,"",SUM('연간'!K59:N59)))/G16,"")</f>
        <v/>
      </c>
      <c r="H52" s="35">
        <f>IFERROR(('연간'!T59)/H16,"")</f>
        <v/>
      </c>
      <c r="I52" s="36">
        <f>IFERROR(('연간'!U59)/I16,"")</f>
        <v/>
      </c>
      <c r="J52" s="36">
        <f>IFERROR(('연간'!V59)/J16,"")</f>
        <v/>
      </c>
      <c r="K52" s="36">
        <f>IFERROR(('연간'!W59)/K16,"")</f>
        <v/>
      </c>
      <c r="L52" s="36">
        <f>IFERROR(('연간'!X59)/L16,"")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IFERROR((IF(COUNT('연간'!G31:J31)&lt;4,"",SUM('연간'!G31:J31)))*(1-0.3)/(C35+C29),"")</f>
        <v/>
      </c>
      <c r="D53" s="36">
        <f>IFERROR((IF(COUNT('연간'!H31:K31)&lt;4,"",SUM('연간'!H31:K31)))*(1-0.3)/(D35+D29),"")</f>
        <v/>
      </c>
      <c r="E53" s="36">
        <f>IFERROR((IF(COUNT('연간'!I31:L31)&lt;4,"",SUM('연간'!I31:L31)))*(1-0.3)/(E35+E29),"")</f>
        <v/>
      </c>
      <c r="F53" s="36">
        <f>IFERROR((IF(COUNT('연간'!J31:M31)&lt;4,"",SUM('연간'!J31:M31)))*(1-0.3)/(F35+F29),"")</f>
        <v/>
      </c>
      <c r="G53" s="36">
        <f>IFERROR((IF(COUNT('연간'!K31:N31)&lt;4,"",SUM('연간'!K31:N31)))*(1-0.3)/(G35+G29),"")</f>
        <v/>
      </c>
      <c r="H53" s="35">
        <f>IFERROR(('연간'!T31)*(1-0.3)/(H35+H29),"")</f>
        <v/>
      </c>
      <c r="I53" s="36">
        <f>IFERROR(('연간'!U31)*(1-0.3)/(I35+I29),"")</f>
        <v/>
      </c>
      <c r="J53" s="36">
        <f>IFERROR(('연간'!V31)*(1-0.3)/(J35+J29),"")</f>
        <v/>
      </c>
      <c r="K53" s="36">
        <f>IFERROR(('연간'!W31)*(1-0.3)/(K35+K29),"")</f>
        <v/>
      </c>
      <c r="L53" s="36">
        <f>IFERROR(('연간'!X31)*(1-0.3)/(L35+L29),"")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IFERROR((IF(COUNT('연간'!G25:J25)&lt;4,"",SUM('연간'!G25:J25)))/(IF(COUNT('연간'!G4:J4)&lt;4,"",SUM('연간'!G4:J4))),"")</f>
        <v/>
      </c>
      <c r="D54" s="36">
        <f>IFERROR((IF(COUNT('연간'!H25:K25)&lt;4,"",SUM('연간'!H25:K25)))/(IF(COUNT('연간'!H4:K4)&lt;4,"",SUM('연간'!H4:K4))),"")</f>
        <v/>
      </c>
      <c r="E54" s="36">
        <f>IFERROR((IF(COUNT('연간'!I25:L25)&lt;4,"",SUM('연간'!I25:L25)))/(IF(COUNT('연간'!I4:L4)&lt;4,"",SUM('연간'!I4:L4))),"")</f>
        <v/>
      </c>
      <c r="F54" s="36">
        <f>IFERROR((IF(COUNT('연간'!J25:M25)&lt;4,"",SUM('연간'!J25:M25)))/(IF(COUNT('연간'!J4:M4)&lt;4,"",SUM('연간'!J4:M4))),"")</f>
        <v/>
      </c>
      <c r="G54" s="36">
        <f>IFERROR((IF(COUNT('연간'!K25:N25)&lt;4,"",SUM('연간'!K25:N25)))/(IF(COUNT('연간'!K4:N4)&lt;4,"",SUM('연간'!K4:N4))),"")</f>
        <v/>
      </c>
      <c r="H54" s="35">
        <f>IFERROR(('연간'!T25)/('연간'!T4),"")</f>
        <v/>
      </c>
      <c r="I54" s="36">
        <f>IFERROR(('연간'!U25)/('연간'!U4),"")</f>
        <v/>
      </c>
      <c r="J54" s="36">
        <f>IFERROR(('연간'!V25)/('연간'!V4),"")</f>
        <v/>
      </c>
      <c r="K54" s="36">
        <f>IFERROR(('연간'!W25)/('연간'!W4),"")</f>
        <v/>
      </c>
      <c r="L54" s="36">
        <f>IFERROR(('연간'!X25)/('연간'!X4),"")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IFERROR((IF(COUNT('연간'!G31:J31)&lt;4,"",SUM('연간'!G31:J31)))/(IF(COUNT('연간'!G4:J4)&lt;4,"",SUM('연간'!G4:J4))),"")</f>
        <v/>
      </c>
      <c r="D55" s="36">
        <f>IFERROR((IF(COUNT('연간'!H31:K31)&lt;4,"",SUM('연간'!H31:K31)))/(IF(COUNT('연간'!H4:K4)&lt;4,"",SUM('연간'!H4:K4))),"")</f>
        <v/>
      </c>
      <c r="E55" s="36">
        <f>IFERROR((IF(COUNT('연간'!I31:L31)&lt;4,"",SUM('연간'!I31:L31)))/(IF(COUNT('연간'!I4:L4)&lt;4,"",SUM('연간'!I4:L4))),"")</f>
        <v/>
      </c>
      <c r="F55" s="36">
        <f>IFERROR((IF(COUNT('연간'!J31:M31)&lt;4,"",SUM('연간'!J31:M31)))/(IF(COUNT('연간'!J4:M4)&lt;4,"",SUM('연간'!J4:M4))),"")</f>
        <v/>
      </c>
      <c r="G55" s="36">
        <f>IFERROR((IF(COUNT('연간'!K31:N31)&lt;4,"",SUM('연간'!K31:N31)))/(IF(COUNT('연간'!K4:N4)&lt;4,"",SUM('연간'!K4:N4))),"")</f>
        <v/>
      </c>
      <c r="H55" s="35">
        <f>IFERROR(('연간'!T31)/('연간'!T4),"")</f>
        <v/>
      </c>
      <c r="I55" s="36">
        <f>IFERROR(('연간'!U31)/('연간'!U4),"")</f>
        <v/>
      </c>
      <c r="J55" s="36">
        <f>IFERROR(('연간'!V31)/('연간'!V4),"")</f>
        <v/>
      </c>
      <c r="K55" s="36">
        <f>IFERROR(('연간'!W31)/('연간'!W4),"")</f>
        <v/>
      </c>
      <c r="L55" s="36">
        <f>IFERROR(('연간'!X31)/('연간'!X4),"")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IFERROR((IF(COUNT('연간'!G59:J59)&lt;4,"",SUM('연간'!G59:J59)))/(IF(COUNT('연간'!G4:J4)&lt;4,"",SUM('연간'!G4:J4))),"")</f>
        <v/>
      </c>
      <c r="D56" s="36">
        <f>IFERROR((IF(COUNT('연간'!H59:K59)&lt;4,"",SUM('연간'!H59:K59)))/(IF(COUNT('연간'!H4:K4)&lt;4,"",SUM('연간'!H4:K4))),"")</f>
        <v/>
      </c>
      <c r="E56" s="36">
        <f>IFERROR((IF(COUNT('연간'!I59:L59)&lt;4,"",SUM('연간'!I59:L59)))/(IF(COUNT('연간'!I4:L4)&lt;4,"",SUM('연간'!I4:L4))),"")</f>
        <v/>
      </c>
      <c r="F56" s="36">
        <f>IFERROR((IF(COUNT('연간'!J59:M59)&lt;4,"",SUM('연간'!J59:M59)))/(IF(COUNT('연간'!J4:M4)&lt;4,"",SUM('연간'!J4:M4))),"")</f>
        <v/>
      </c>
      <c r="G56" s="36">
        <f>IFERROR((IF(COUNT('연간'!K59:N59)&lt;4,"",SUM('연간'!K59:N59)))/(IF(COUNT('연간'!K4:N4)&lt;4,"",SUM('연간'!K4:N4))),"")</f>
        <v/>
      </c>
      <c r="H56" s="35">
        <f>IFERROR(('연간'!T59)/('연간'!T4),"")</f>
        <v/>
      </c>
      <c r="I56" s="36">
        <f>IFERROR(('연간'!U59)/('연간'!U4),"")</f>
        <v/>
      </c>
      <c r="J56" s="36">
        <f>IFERROR(('연간'!V59)/('연간'!V4),"")</f>
        <v/>
      </c>
      <c r="K56" s="36">
        <f>IFERROR(('연간'!W59)/('연간'!W4),"")</f>
        <v/>
      </c>
      <c r="L56" s="36">
        <f>IFERROR(('연간'!X59)/('연간'!X4),"")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IFERROR(C9/(IF(COUNT('연간'!G23:J23)&lt;4,"",SUM('연간'!G23:J23)))*365,"")</f>
        <v/>
      </c>
      <c r="D60" s="49">
        <f>IFERROR(D9/(IF(COUNT('연간'!H23:K23)&lt;4,"",SUM('연간'!H23:K23)))*365,"")</f>
        <v/>
      </c>
      <c r="E60" s="49">
        <f>IFERROR(E9/(IF(COUNT('연간'!I23:L23)&lt;4,"",SUM('연간'!I23:L23)))*365,"")</f>
        <v/>
      </c>
      <c r="F60" s="49">
        <f>IFERROR(F9/(IF(COUNT('연간'!J23:M23)&lt;4,"",SUM('연간'!J23:M23)))*365,"")</f>
        <v/>
      </c>
      <c r="G60" s="49">
        <f>IFERROR(G9/(IF(COUNT('연간'!K23:N23)&lt;4,"",SUM('연간'!K23:N23)))*365,"")</f>
        <v/>
      </c>
      <c r="H60" s="48">
        <f>IFERROR(H9/('연간'!T23)*365,"")</f>
        <v/>
      </c>
      <c r="I60" s="49">
        <f>IFERROR(I9/('연간'!U23)*365,"")</f>
        <v/>
      </c>
      <c r="J60" s="49">
        <f>IFERROR(J9/('연간'!V23)*365,"")</f>
        <v/>
      </c>
      <c r="K60" s="49">
        <f>IFERROR(K9/('연간'!W23)*365,"")</f>
        <v/>
      </c>
      <c r="L60" s="49">
        <f>IFERROR(L9/('연간'!X23)*365,"")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IFERROR(C19/(IF(COUNT('연간'!G23:J23)&lt;4,"",SUM('연간'!G23:J23)))*365,"")</f>
        <v/>
      </c>
      <c r="D61" s="49">
        <f>IFERROR(D19/(IF(COUNT('연간'!H23:K23)&lt;4,"",SUM('연간'!H23:K23)))*365,"")</f>
        <v/>
      </c>
      <c r="E61" s="49">
        <f>IFERROR(E19/(IF(COUNT('연간'!I23:L23)&lt;4,"",SUM('연간'!I23:L23)))*365,"")</f>
        <v/>
      </c>
      <c r="F61" s="49">
        <f>IFERROR(F19/(IF(COUNT('연간'!J23:M23)&lt;4,"",SUM('연간'!J23:M23)))*365,"")</f>
        <v/>
      </c>
      <c r="G61" s="49">
        <f>IFERROR(G19/(IF(COUNT('연간'!K23:N23)&lt;4,"",SUM('연간'!K23:N23)))*365,"")</f>
        <v/>
      </c>
      <c r="H61" s="48">
        <f>IFERROR(H19/('연간'!T23)*365,"")</f>
        <v/>
      </c>
      <c r="I61" s="49">
        <f>IFERROR(I19/('연간'!U23)*365,"")</f>
        <v/>
      </c>
      <c r="J61" s="49">
        <f>IFERROR(J19/('연간'!V23)*365,"")</f>
        <v/>
      </c>
      <c r="K61" s="49">
        <f>IFERROR(K19/('연간'!W23)*365,"")</f>
        <v/>
      </c>
      <c r="L61" s="49">
        <f>IFERROR(L19/('연간'!X23)*365,"")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IF(C37="","",IFERROR(C37/(IF(COUNT('연간'!G59:J59)&lt;4,"",SUM('연간'!G59:J59))),""))</f>
        <v/>
      </c>
      <c r="D64" s="31">
        <f>IF(D37="","",IFERROR(D37/(IF(COUNT('연간'!H59:K59)&lt;4,"",SUM('연간'!H59:K59))),""))</f>
        <v/>
      </c>
      <c r="E64" s="31">
        <f>IF(E37="","",IFERROR(E37/(IF(COUNT('연간'!I59:L59)&lt;4,"",SUM('연간'!I59:L59))),""))</f>
        <v/>
      </c>
      <c r="F64" s="31">
        <f>IF(F37="","",IFERROR(F37/(IF(COUNT('연간'!J59:M59)&lt;4,"",SUM('연간'!J59:M59))),""))</f>
        <v/>
      </c>
      <c r="G64" s="31">
        <f>IF(G37="","",IFERROR(G37/(IF(COUNT('연간'!K59:N59)&lt;4,"",SUM('연간'!K59:N59))),""))</f>
        <v/>
      </c>
      <c r="H64" s="30">
        <f>IF(H37="","",IFERROR(H37/('연간'!T59),""))</f>
        <v/>
      </c>
      <c r="I64" s="31">
        <f>IF(I37="","",IFERROR(I37/('연간'!U59),""))</f>
        <v/>
      </c>
      <c r="J64" s="31">
        <f>IF(J37="","",IFERROR(J37/('연간'!V59),""))</f>
        <v/>
      </c>
      <c r="K64" s="31">
        <f>IF(K37="","",IFERROR(K37/('연간'!W59),""))</f>
        <v/>
      </c>
      <c r="L64" s="31">
        <f>IF(L37="","",IFERROR(L37/('연간'!X59),""))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IF(C40="","",IFERROR(C40/(IF(COUNT('연간'!G61:J61)&lt;4,"",SUM('연간'!G61:J61))),""))</f>
        <v/>
      </c>
      <c r="D67" s="36">
        <f>IF(D40="","",IFERROR(D40/(IF(COUNT('연간'!H61:K61)&lt;4,"",SUM('연간'!H61:K61))),""))</f>
        <v/>
      </c>
      <c r="E67" s="36">
        <f>IF(E40="","",IFERROR(E40/(IF(COUNT('연간'!I61:L61)&lt;4,"",SUM('연간'!I61:L61))),""))</f>
        <v/>
      </c>
      <c r="F67" s="36">
        <f>IF(F40="","",IFERROR(F40/(IF(COUNT('연간'!J61:M61)&lt;4,"",SUM('연간'!J61:M61))),""))</f>
        <v/>
      </c>
      <c r="G67" s="36">
        <f>IF(G40="","",IFERROR(G40/(IF(COUNT('연간'!K61:N61)&lt;4,"",SUM('연간'!K61:N61))),""))</f>
        <v/>
      </c>
      <c r="H67" s="35">
        <f>IF(H40="","",IFERROR(H40/('연간'!T61),""))</f>
        <v/>
      </c>
      <c r="I67" s="36">
        <f>IF(I40="","",IFERROR(I40/('연간'!U61),""))</f>
        <v/>
      </c>
      <c r="J67" s="36">
        <f>IF(J40="","",IFERROR(J40/('연간'!V61),""))</f>
        <v/>
      </c>
      <c r="K67" s="36">
        <f>IF(K40="","",IFERROR(K40/('연간'!W61),""))</f>
        <v/>
      </c>
      <c r="L67" s="36">
        <f>IF(L40="","",IFERROR(L40/('연간'!X61),""))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19696</v>
      </c>
      <c r="D71" s="20" t="n">
        <v>19838</v>
      </c>
      <c r="E71" s="20" t="n">
        <v>21294</v>
      </c>
      <c r="F71" s="20" t="n">
        <v>21922</v>
      </c>
      <c r="G71" s="20" t="n">
        <v>22814</v>
      </c>
      <c r="H71" s="20" t="n">
        <v>26169</v>
      </c>
      <c r="I71" s="20" t="n">
        <v>32195</v>
      </c>
      <c r="J71" s="20" t="n">
        <v>26651</v>
      </c>
      <c r="K71" s="20" t="n">
        <v>21118</v>
      </c>
      <c r="L71" s="20" t="n">
        <v>21294</v>
      </c>
    </row>
    <row r="72">
      <c r="A72" s="18" t="inlineStr">
        <is>
          <t>받을어음</t>
        </is>
      </c>
      <c r="E72" s="20" t="n">
        <v>1001</v>
      </c>
      <c r="H72" s="20" t="n">
        <v>5977</v>
      </c>
      <c r="I72" s="20" t="n">
        <v>4104</v>
      </c>
      <c r="J72" s="20" t="n">
        <v>3236</v>
      </c>
      <c r="K72" s="20" t="n">
        <v>2262</v>
      </c>
      <c r="L72" s="20" t="n">
        <v>1001</v>
      </c>
    </row>
    <row r="73">
      <c r="A73" s="18" t="inlineStr">
        <is>
          <t>받을어음·매출채권·계약자산</t>
        </is>
      </c>
      <c r="C73" s="20" t="n">
        <v>34778</v>
      </c>
      <c r="D73" s="20" t="n">
        <v>36219</v>
      </c>
      <c r="E73" s="20" t="n">
        <v>34647</v>
      </c>
      <c r="F73" s="20" t="n">
        <v>34829</v>
      </c>
      <c r="G73" s="20" t="n">
        <v>35860</v>
      </c>
      <c r="H73" s="20" t="n">
        <v>35087</v>
      </c>
      <c r="I73" s="20" t="n">
        <v>34752</v>
      </c>
      <c r="J73" s="20" t="n">
        <v>36390</v>
      </c>
      <c r="K73" s="20" t="n">
        <v>35942</v>
      </c>
      <c r="L73" s="20" t="n">
        <v>34647</v>
      </c>
    </row>
    <row r="74">
      <c r="A74" s="18" t="inlineStr">
        <is>
          <t>전자기록채권</t>
        </is>
      </c>
      <c r="C74" s="20" t="n">
        <v>14913</v>
      </c>
      <c r="D74" s="20" t="n">
        <v>17328</v>
      </c>
      <c r="E74" s="20" t="n">
        <v>15137</v>
      </c>
      <c r="F74" s="20" t="n">
        <v>15080</v>
      </c>
      <c r="G74" s="20" t="n">
        <v>15828</v>
      </c>
      <c r="H74" s="20" t="n">
        <v>10637</v>
      </c>
      <c r="I74" s="20" t="n">
        <v>14667</v>
      </c>
      <c r="J74" s="20" t="n">
        <v>16958</v>
      </c>
      <c r="K74" s="20" t="n">
        <v>16522</v>
      </c>
      <c r="L74" s="20" t="n">
        <v>15137</v>
      </c>
    </row>
    <row r="75">
      <c r="A75" s="18" t="inlineStr">
        <is>
          <t>매출채권</t>
        </is>
      </c>
      <c r="E75" s="20" t="n">
        <v>24064</v>
      </c>
      <c r="H75" s="20" t="n">
        <v>23374</v>
      </c>
      <c r="I75" s="20" t="n">
        <v>24898</v>
      </c>
      <c r="J75" s="20" t="n">
        <v>25252</v>
      </c>
      <c r="K75" s="20" t="n">
        <v>23862</v>
      </c>
      <c r="L75" s="20" t="n">
        <v>24064</v>
      </c>
    </row>
    <row r="76">
      <c r="A76" s="18" t="inlineStr">
        <is>
          <t>계약자산</t>
        </is>
      </c>
      <c r="E76" s="20" t="n">
        <v>9580</v>
      </c>
      <c r="H76" s="20" t="n">
        <v>5734</v>
      </c>
      <c r="I76" s="20" t="n">
        <v>5749</v>
      </c>
      <c r="J76" s="20" t="n">
        <v>7902</v>
      </c>
      <c r="K76" s="20" t="n">
        <v>9817</v>
      </c>
      <c r="L76" s="20" t="n">
        <v>9580</v>
      </c>
    </row>
    <row r="77">
      <c r="A77" s="18" t="inlineStr">
        <is>
          <t>상품·제품</t>
        </is>
      </c>
      <c r="C77" s="20" t="n">
        <v>9011</v>
      </c>
      <c r="D77" s="20" t="n">
        <v>9239</v>
      </c>
      <c r="E77" s="20" t="n">
        <v>9110</v>
      </c>
      <c r="F77" s="20" t="n">
        <v>9594</v>
      </c>
      <c r="G77" s="20" t="n">
        <v>10082</v>
      </c>
      <c r="H77" s="20" t="n">
        <v>7280</v>
      </c>
      <c r="I77" s="20" t="n">
        <v>9355</v>
      </c>
      <c r="J77" s="20" t="n">
        <v>9415</v>
      </c>
      <c r="K77" s="20" t="n">
        <v>8534</v>
      </c>
      <c r="L77" s="20" t="n">
        <v>9110</v>
      </c>
    </row>
    <row r="78">
      <c r="A78" s="18" t="inlineStr">
        <is>
          <t>재공품</t>
        </is>
      </c>
      <c r="C78" s="20" t="n">
        <v>335</v>
      </c>
      <c r="D78" s="20" t="n">
        <v>296</v>
      </c>
      <c r="E78" s="20" t="n">
        <v>288</v>
      </c>
      <c r="F78" s="20" t="n">
        <v>405</v>
      </c>
      <c r="G78" s="20" t="n">
        <v>360</v>
      </c>
      <c r="H78" s="20" t="n">
        <v>253</v>
      </c>
      <c r="I78" s="20" t="n">
        <v>314</v>
      </c>
      <c r="J78" s="20" t="n">
        <v>281</v>
      </c>
      <c r="K78" s="20" t="n">
        <v>358</v>
      </c>
      <c r="L78" s="20" t="n">
        <v>288</v>
      </c>
    </row>
    <row r="79">
      <c r="A79" s="18" t="inlineStr">
        <is>
          <t>원재료·저장품</t>
        </is>
      </c>
      <c r="C79" s="20" t="n">
        <v>1553</v>
      </c>
      <c r="D79" s="20" t="n">
        <v>1802</v>
      </c>
      <c r="E79" s="20" t="n">
        <v>1640</v>
      </c>
      <c r="F79" s="20" t="n">
        <v>1965</v>
      </c>
      <c r="G79" s="20" t="n">
        <v>2115</v>
      </c>
      <c r="H79" s="20" t="n">
        <v>1305</v>
      </c>
      <c r="I79" s="20" t="n">
        <v>1640</v>
      </c>
      <c r="J79" s="20" t="n">
        <v>1537</v>
      </c>
      <c r="K79" s="20" t="n">
        <v>1550</v>
      </c>
      <c r="L79" s="20" t="n">
        <v>1640</v>
      </c>
    </row>
    <row r="80">
      <c r="A80" s="18" t="inlineStr">
        <is>
          <t>기타</t>
        </is>
      </c>
      <c r="C80" s="20" t="n">
        <v>1324</v>
      </c>
      <c r="D80" s="20" t="n">
        <v>1352</v>
      </c>
      <c r="E80" s="20" t="n">
        <v>1220</v>
      </c>
      <c r="F80" s="20" t="n">
        <v>1239</v>
      </c>
      <c r="G80" s="20" t="n">
        <v>1302</v>
      </c>
      <c r="H80" s="20" t="n">
        <v>1579</v>
      </c>
      <c r="I80" s="20" t="n">
        <v>1565</v>
      </c>
      <c r="J80" s="20" t="n">
        <v>1445</v>
      </c>
      <c r="K80" s="20" t="n">
        <v>1772</v>
      </c>
      <c r="L80" s="20" t="n">
        <v>1220</v>
      </c>
    </row>
    <row r="81">
      <c r="A81" s="18" t="inlineStr">
        <is>
          <t>대손충당금</t>
        </is>
      </c>
      <c r="C81" s="20" t="n">
        <v>-28</v>
      </c>
      <c r="D81" s="20" t="n">
        <v>-29</v>
      </c>
      <c r="E81" s="20" t="n">
        <v>-34</v>
      </c>
      <c r="F81" s="20" t="n">
        <v>-36</v>
      </c>
      <c r="G81" s="20" t="n">
        <v>-37</v>
      </c>
      <c r="H81" s="20" t="n">
        <v>-47</v>
      </c>
      <c r="I81" s="20" t="n">
        <v>-57</v>
      </c>
      <c r="J81" s="20" t="n">
        <v>-54</v>
      </c>
      <c r="K81" s="20" t="n">
        <v>-30</v>
      </c>
      <c r="L81" s="20" t="n">
        <v>-34</v>
      </c>
    </row>
    <row r="82">
      <c r="A82" s="9" t="inlineStr">
        <is>
          <t>유동자산 합계</t>
        </is>
      </c>
      <c r="C82" s="12" t="n">
        <v>81585</v>
      </c>
      <c r="D82" s="12" t="n">
        <v>86048</v>
      </c>
      <c r="E82" s="12" t="n">
        <v>83303</v>
      </c>
      <c r="F82" s="12" t="n">
        <v>85000</v>
      </c>
      <c r="G82" s="12" t="n">
        <v>88325</v>
      </c>
      <c r="H82" s="12" t="n">
        <v>82266</v>
      </c>
      <c r="I82" s="12" t="n">
        <v>94434</v>
      </c>
      <c r="J82" s="12" t="n">
        <v>92625</v>
      </c>
      <c r="K82" s="12" t="n">
        <v>85769</v>
      </c>
      <c r="L82" s="12" t="n">
        <v>83303</v>
      </c>
    </row>
    <row r="83">
      <c r="A83" s="18" t="inlineStr">
        <is>
          <t>건물·구축물</t>
        </is>
      </c>
      <c r="E83" s="20" t="n">
        <v>33399</v>
      </c>
      <c r="H83" s="20" t="n">
        <v>25328</v>
      </c>
      <c r="I83" s="20" t="n">
        <v>25493</v>
      </c>
      <c r="J83" s="20" t="n">
        <v>27608</v>
      </c>
      <c r="K83" s="20" t="n">
        <v>31717</v>
      </c>
      <c r="L83" s="20" t="n">
        <v>33399</v>
      </c>
    </row>
    <row r="84">
      <c r="A84" s="18" t="inlineStr">
        <is>
          <t>감가상각누계액</t>
        </is>
      </c>
      <c r="E84" s="20" t="n">
        <v>-16097</v>
      </c>
      <c r="H84" s="20" t="n">
        <v>-13361</v>
      </c>
      <c r="I84" s="20" t="n">
        <v>-13857</v>
      </c>
      <c r="J84" s="20" t="n">
        <v>-14440</v>
      </c>
      <c r="K84" s="20" t="n">
        <v>-14861</v>
      </c>
      <c r="L84" s="20" t="n">
        <v>-16097</v>
      </c>
    </row>
    <row r="85">
      <c r="A85" s="18" t="inlineStr">
        <is>
          <t>건물·구축물(순액)</t>
        </is>
      </c>
      <c r="C85" s="20" t="n">
        <v>17213</v>
      </c>
      <c r="D85" s="20" t="n">
        <v>17479</v>
      </c>
      <c r="E85" s="20" t="n">
        <v>17301</v>
      </c>
      <c r="F85" s="20" t="n">
        <v>17076</v>
      </c>
      <c r="G85" s="20" t="n">
        <v>16818</v>
      </c>
      <c r="H85" s="20" t="n">
        <v>11967</v>
      </c>
      <c r="I85" s="20" t="n">
        <v>11635</v>
      </c>
      <c r="J85" s="20" t="n">
        <v>13167</v>
      </c>
      <c r="K85" s="20" t="n">
        <v>16856</v>
      </c>
      <c r="L85" s="20" t="n">
        <v>17301</v>
      </c>
    </row>
    <row r="86">
      <c r="A86" s="18" t="inlineStr">
        <is>
          <t>기계장치·운반구</t>
        </is>
      </c>
      <c r="E86" s="20" t="n">
        <v>21442</v>
      </c>
      <c r="H86" s="20" t="n">
        <v>17489</v>
      </c>
      <c r="I86" s="20" t="n">
        <v>17746</v>
      </c>
      <c r="J86" s="20" t="n">
        <v>18170</v>
      </c>
      <c r="K86" s="20" t="n">
        <v>19966</v>
      </c>
      <c r="L86" s="20" t="n">
        <v>21442</v>
      </c>
    </row>
    <row r="87">
      <c r="A87" s="18" t="inlineStr">
        <is>
          <t>감가상각누계액</t>
        </is>
      </c>
      <c r="E87" s="20" t="n">
        <v>-17694</v>
      </c>
      <c r="H87" s="20" t="n">
        <v>-14628</v>
      </c>
      <c r="I87" s="20" t="n">
        <v>-15438</v>
      </c>
      <c r="J87" s="20" t="n">
        <v>-15943</v>
      </c>
      <c r="K87" s="20" t="n">
        <v>-16320</v>
      </c>
      <c r="L87" s="20" t="n">
        <v>-17694</v>
      </c>
    </row>
    <row r="88">
      <c r="A88" s="18" t="inlineStr">
        <is>
          <t>기계장치·운반구(순액)</t>
        </is>
      </c>
      <c r="E88" s="20" t="n">
        <v>3748</v>
      </c>
      <c r="H88" s="20" t="n">
        <v>2860</v>
      </c>
      <c r="I88" s="20" t="n">
        <v>2307</v>
      </c>
      <c r="J88" s="20" t="n">
        <v>2227</v>
      </c>
      <c r="K88" s="20" t="n">
        <v>3646</v>
      </c>
      <c r="L88" s="20" t="n">
        <v>3748</v>
      </c>
    </row>
    <row r="89">
      <c r="A89" s="18" t="inlineStr">
        <is>
          <t>공구·기구·비품</t>
        </is>
      </c>
      <c r="E89" s="20" t="n">
        <v>4644</v>
      </c>
      <c r="H89" s="20" t="n">
        <v>4340</v>
      </c>
      <c r="I89" s="20" t="n">
        <v>4342</v>
      </c>
      <c r="J89" s="20" t="n">
        <v>4300</v>
      </c>
      <c r="K89" s="20" t="n">
        <v>4463</v>
      </c>
      <c r="L89" s="20" t="n">
        <v>4644</v>
      </c>
    </row>
    <row r="90">
      <c r="A90" s="18" t="inlineStr">
        <is>
          <t>감가상각누계액</t>
        </is>
      </c>
      <c r="E90" s="20" t="n">
        <v>-4146</v>
      </c>
      <c r="H90" s="20" t="n">
        <v>-3839</v>
      </c>
      <c r="I90" s="20" t="n">
        <v>-3824</v>
      </c>
      <c r="J90" s="20" t="n">
        <v>-3779</v>
      </c>
      <c r="K90" s="20" t="n">
        <v>-3904</v>
      </c>
      <c r="L90" s="20" t="n">
        <v>-4146</v>
      </c>
    </row>
    <row r="91">
      <c r="A91" s="18" t="inlineStr">
        <is>
          <t>공구·기구·비품(순액)</t>
        </is>
      </c>
      <c r="E91" s="20" t="n">
        <v>498</v>
      </c>
      <c r="H91" s="20" t="n">
        <v>500</v>
      </c>
      <c r="I91" s="20" t="n">
        <v>518</v>
      </c>
      <c r="J91" s="20" t="n">
        <v>520</v>
      </c>
      <c r="K91" s="20" t="n">
        <v>559</v>
      </c>
      <c r="L91" s="20" t="n">
        <v>498</v>
      </c>
    </row>
    <row r="92">
      <c r="A92" s="18" t="inlineStr">
        <is>
          <t>토지</t>
        </is>
      </c>
      <c r="E92" s="20" t="n">
        <v>10165</v>
      </c>
      <c r="H92" s="20" t="n">
        <v>9818</v>
      </c>
      <c r="I92" s="20" t="n">
        <v>9906</v>
      </c>
      <c r="J92" s="20" t="n">
        <v>9865</v>
      </c>
      <c r="K92" s="20" t="n">
        <v>9855</v>
      </c>
      <c r="L92" s="20" t="n">
        <v>10165</v>
      </c>
    </row>
    <row r="93">
      <c r="A93" s="18" t="inlineStr">
        <is>
          <t>리스자산</t>
        </is>
      </c>
      <c r="E93" s="20" t="n">
        <v>305</v>
      </c>
      <c r="H93" s="20" t="n">
        <v>312</v>
      </c>
      <c r="I93" s="20" t="n">
        <v>309</v>
      </c>
      <c r="J93" s="20" t="n">
        <v>300</v>
      </c>
      <c r="K93" s="20" t="n">
        <v>293</v>
      </c>
      <c r="L93" s="20" t="n">
        <v>305</v>
      </c>
    </row>
    <row r="94">
      <c r="A94" s="18" t="inlineStr">
        <is>
          <t>감가상각누계액</t>
        </is>
      </c>
      <c r="E94" s="20" t="n">
        <v>-225</v>
      </c>
      <c r="H94" s="20" t="n">
        <v>-165</v>
      </c>
      <c r="I94" s="20" t="n">
        <v>-184</v>
      </c>
      <c r="J94" s="20" t="n">
        <v>-196</v>
      </c>
      <c r="K94" s="20" t="n">
        <v>-205</v>
      </c>
      <c r="L94" s="20" t="n">
        <v>-225</v>
      </c>
    </row>
    <row r="95">
      <c r="A95" s="18" t="inlineStr">
        <is>
          <t>리스자산(순액)</t>
        </is>
      </c>
      <c r="E95" s="20" t="n">
        <v>79</v>
      </c>
      <c r="H95" s="20" t="n">
        <v>146</v>
      </c>
      <c r="I95" s="20" t="n">
        <v>125</v>
      </c>
      <c r="J95" s="20" t="n">
        <v>104</v>
      </c>
      <c r="K95" s="20" t="n">
        <v>88</v>
      </c>
      <c r="L95" s="20" t="n">
        <v>79</v>
      </c>
    </row>
    <row r="96">
      <c r="A96" s="18" t="inlineStr">
        <is>
          <t>건설중인자산</t>
        </is>
      </c>
      <c r="E96" s="20" t="n">
        <v>721</v>
      </c>
      <c r="H96" s="20" t="n">
        <v>325</v>
      </c>
      <c r="I96" s="20" t="n">
        <v>1252</v>
      </c>
      <c r="J96" s="20" t="n">
        <v>3829</v>
      </c>
      <c r="K96" s="20" t="n">
        <v>1748</v>
      </c>
      <c r="L96" s="20" t="n">
        <v>721</v>
      </c>
    </row>
    <row r="97">
      <c r="A97" s="18" t="inlineStr">
        <is>
          <t>기타(순액)</t>
        </is>
      </c>
      <c r="C97" s="20" t="n">
        <v>15202</v>
      </c>
      <c r="D97" s="20" t="n">
        <v>14883</v>
      </c>
      <c r="E97" s="20" t="n">
        <v>15212</v>
      </c>
      <c r="F97" s="20" t="n">
        <v>15312</v>
      </c>
      <c r="G97" s="20" t="n">
        <v>15110</v>
      </c>
      <c r="K97" s="20" t="n">
        <v>15897</v>
      </c>
      <c r="L97" s="20" t="n">
        <v>15212</v>
      </c>
    </row>
    <row r="98">
      <c r="A98" s="18" t="inlineStr">
        <is>
          <t>유형자산 합계</t>
        </is>
      </c>
      <c r="C98" s="20" t="n">
        <v>32415</v>
      </c>
      <c r="D98" s="20" t="n">
        <v>32363</v>
      </c>
      <c r="E98" s="20" t="n">
        <v>32514</v>
      </c>
      <c r="F98" s="20" t="n">
        <v>32388</v>
      </c>
      <c r="G98" s="20" t="n">
        <v>31929</v>
      </c>
      <c r="H98" s="20" t="n">
        <v>25618</v>
      </c>
      <c r="I98" s="20" t="n">
        <v>25746</v>
      </c>
      <c r="J98" s="20" t="n">
        <v>29715</v>
      </c>
      <c r="K98" s="20" t="n">
        <v>32754</v>
      </c>
      <c r="L98" s="20" t="n">
        <v>32514</v>
      </c>
    </row>
    <row r="99">
      <c r="A99" s="18" t="inlineStr">
        <is>
          <t>무형자산</t>
        </is>
      </c>
      <c r="C99" s="20" t="n">
        <v>3859</v>
      </c>
      <c r="D99" s="20" t="n">
        <v>4279</v>
      </c>
      <c r="E99" s="20" t="n">
        <v>4741</v>
      </c>
      <c r="F99" s="20" t="n">
        <v>5089</v>
      </c>
      <c r="G99" s="20" t="n">
        <v>5298</v>
      </c>
      <c r="H99" s="20" t="n">
        <v>811</v>
      </c>
      <c r="I99" s="20" t="n">
        <v>1188</v>
      </c>
      <c r="J99" s="20" t="n">
        <v>1978</v>
      </c>
      <c r="K99" s="20" t="n">
        <v>3106</v>
      </c>
      <c r="L99" s="20" t="n">
        <v>4741</v>
      </c>
    </row>
    <row r="100">
      <c r="A100" s="18" t="inlineStr">
        <is>
          <t>투자유가증권</t>
        </is>
      </c>
      <c r="C100" s="20" t="n">
        <v>10997</v>
      </c>
      <c r="D100" s="20" t="n">
        <v>10873</v>
      </c>
      <c r="E100" s="20" t="n">
        <v>10849</v>
      </c>
      <c r="F100" s="20" t="n">
        <v>13438</v>
      </c>
      <c r="G100" s="20" t="n">
        <v>12770</v>
      </c>
      <c r="H100" s="20" t="n">
        <v>7628</v>
      </c>
      <c r="I100" s="20" t="n">
        <v>8084</v>
      </c>
      <c r="J100" s="20" t="n">
        <v>11402</v>
      </c>
      <c r="K100" s="20" t="n">
        <v>9838</v>
      </c>
      <c r="L100" s="20" t="n">
        <v>10849</v>
      </c>
    </row>
    <row r="101">
      <c r="A101" s="18" t="inlineStr">
        <is>
          <t>장기대여금</t>
        </is>
      </c>
      <c r="E101" s="20" t="n">
        <v>2</v>
      </c>
      <c r="H101" s="20" t="n">
        <v>11</v>
      </c>
      <c r="I101" s="20" t="n">
        <v>2</v>
      </c>
      <c r="J101" s="20" t="n">
        <v>4</v>
      </c>
      <c r="K101" s="20" t="n">
        <v>2</v>
      </c>
      <c r="L101" s="20" t="n">
        <v>2</v>
      </c>
    </row>
    <row r="102">
      <c r="A102" s="18" t="inlineStr">
        <is>
          <t>보증금</t>
        </is>
      </c>
      <c r="E102" s="20" t="n">
        <v>318</v>
      </c>
      <c r="H102" s="20" t="n">
        <v>377</v>
      </c>
      <c r="I102" s="20" t="n">
        <v>380</v>
      </c>
      <c r="J102" s="20" t="n">
        <v>372</v>
      </c>
      <c r="K102" s="20" t="n">
        <v>315</v>
      </c>
      <c r="L102" s="20" t="n">
        <v>318</v>
      </c>
    </row>
    <row r="103">
      <c r="A103" s="18" t="inlineStr">
        <is>
          <t>퇴직급여자산</t>
        </is>
      </c>
      <c r="E103" s="20" t="n">
        <v>6639</v>
      </c>
      <c r="H103" s="20" t="n">
        <v>1704</v>
      </c>
      <c r="I103" s="20" t="n">
        <v>1791</v>
      </c>
      <c r="J103" s="20" t="n">
        <v>4007</v>
      </c>
      <c r="K103" s="20" t="n">
        <v>4205</v>
      </c>
      <c r="L103" s="20" t="n">
        <v>6639</v>
      </c>
    </row>
    <row r="104">
      <c r="A104" s="18" t="inlineStr">
        <is>
          <t>이연법인세자산</t>
        </is>
      </c>
      <c r="E104" s="20" t="n">
        <v>328</v>
      </c>
      <c r="H104" s="20" t="n">
        <v>221</v>
      </c>
      <c r="I104" s="20" t="n">
        <v>225</v>
      </c>
      <c r="J104" s="20" t="n">
        <v>319</v>
      </c>
      <c r="K104" s="20" t="n">
        <v>346</v>
      </c>
      <c r="L104" s="20" t="n">
        <v>328</v>
      </c>
    </row>
    <row r="105">
      <c r="A105" s="18" t="inlineStr">
        <is>
          <t>기타</t>
        </is>
      </c>
      <c r="C105" s="20" t="n">
        <v>5434</v>
      </c>
      <c r="D105" s="20" t="n">
        <v>5625</v>
      </c>
      <c r="E105" s="20" t="n">
        <v>8216</v>
      </c>
      <c r="F105" s="20" t="n">
        <v>8160</v>
      </c>
      <c r="G105" s="20" t="n">
        <v>8428</v>
      </c>
      <c r="H105" s="20" t="n">
        <v>527</v>
      </c>
      <c r="I105" s="20" t="n">
        <v>1040</v>
      </c>
      <c r="J105" s="20" t="n">
        <v>441</v>
      </c>
      <c r="K105" s="20" t="n">
        <v>478</v>
      </c>
      <c r="L105" s="20" t="n">
        <v>8216</v>
      </c>
    </row>
    <row r="106">
      <c r="A106" s="18" t="inlineStr">
        <is>
          <t>대손충당금</t>
        </is>
      </c>
      <c r="C106" s="20" t="n">
        <v>-14</v>
      </c>
      <c r="D106" s="20" t="n">
        <v>-14</v>
      </c>
      <c r="E106" s="20" t="n">
        <v>-14</v>
      </c>
      <c r="F106" s="20" t="n">
        <v>-14</v>
      </c>
      <c r="G106" s="20" t="n">
        <v>-14</v>
      </c>
      <c r="H106" s="20" t="n">
        <v>-17</v>
      </c>
      <c r="I106" s="20" t="n">
        <v>-17</v>
      </c>
      <c r="J106" s="20" t="n">
        <v>-17</v>
      </c>
      <c r="K106" s="20" t="n">
        <v>-15</v>
      </c>
      <c r="L106" s="20" t="n">
        <v>-14</v>
      </c>
    </row>
    <row r="107">
      <c r="A107" s="18" t="inlineStr">
        <is>
          <t>투자 및 기타자산 합계</t>
        </is>
      </c>
      <c r="C107" s="20" t="n">
        <v>16416</v>
      </c>
      <c r="D107" s="20" t="n">
        <v>16483</v>
      </c>
      <c r="E107" s="20" t="n">
        <v>19051</v>
      </c>
      <c r="F107" s="20" t="n">
        <v>21584</v>
      </c>
      <c r="G107" s="20" t="n">
        <v>21183</v>
      </c>
      <c r="H107" s="20" t="n">
        <v>10453</v>
      </c>
      <c r="I107" s="20" t="n">
        <v>11506</v>
      </c>
      <c r="J107" s="20" t="n">
        <v>16530</v>
      </c>
      <c r="K107" s="20" t="n">
        <v>15171</v>
      </c>
      <c r="L107" s="20" t="n">
        <v>19051</v>
      </c>
    </row>
    <row r="108">
      <c r="A108" s="9" t="inlineStr">
        <is>
          <t>비유동자산 합계</t>
        </is>
      </c>
      <c r="C108" s="12" t="n">
        <v>52692</v>
      </c>
      <c r="D108" s="12" t="n">
        <v>53126</v>
      </c>
      <c r="E108" s="12" t="n">
        <v>56307</v>
      </c>
      <c r="F108" s="12" t="n">
        <v>59063</v>
      </c>
      <c r="G108" s="12" t="n">
        <v>58411</v>
      </c>
      <c r="H108" s="12" t="n">
        <v>36882</v>
      </c>
      <c r="I108" s="12" t="n">
        <v>38440</v>
      </c>
      <c r="J108" s="12" t="n">
        <v>48224</v>
      </c>
      <c r="K108" s="12" t="n">
        <v>51032</v>
      </c>
      <c r="L108" s="12" t="n">
        <v>56307</v>
      </c>
    </row>
    <row r="109">
      <c r="A109" s="9" t="inlineStr">
        <is>
          <t>자산 합계</t>
        </is>
      </c>
      <c r="C109" s="12" t="n">
        <v>134277</v>
      </c>
      <c r="D109" s="12" t="n">
        <v>139174</v>
      </c>
      <c r="E109" s="12" t="n">
        <v>139610</v>
      </c>
      <c r="F109" s="12" t="n">
        <v>144063</v>
      </c>
      <c r="G109" s="12" t="n">
        <v>146737</v>
      </c>
      <c r="H109" s="12" t="n">
        <v>119148</v>
      </c>
      <c r="I109" s="12" t="n">
        <v>132874</v>
      </c>
      <c r="J109" s="12" t="n">
        <v>140850</v>
      </c>
      <c r="K109" s="12" t="n">
        <v>136801</v>
      </c>
      <c r="L109" s="12" t="n">
        <v>139610</v>
      </c>
    </row>
    <row r="110">
      <c r="A110" s="18" t="inlineStr">
        <is>
          <t>지급어음·매입채무</t>
        </is>
      </c>
      <c r="C110" s="20" t="n">
        <v>32321</v>
      </c>
      <c r="D110" s="20" t="n">
        <v>35770</v>
      </c>
      <c r="E110" s="20" t="n">
        <v>32754</v>
      </c>
      <c r="F110" s="20" t="n">
        <v>35180</v>
      </c>
      <c r="G110" s="20" t="n">
        <v>35944</v>
      </c>
      <c r="H110" s="20" t="n">
        <v>31737</v>
      </c>
      <c r="I110" s="20" t="n">
        <v>33983</v>
      </c>
      <c r="J110" s="20" t="n">
        <v>37218</v>
      </c>
      <c r="K110" s="20" t="n">
        <v>32625</v>
      </c>
      <c r="L110" s="20" t="n">
        <v>32754</v>
      </c>
    </row>
    <row r="111">
      <c r="A111" s="18" t="inlineStr">
        <is>
          <t>전자기록채무</t>
        </is>
      </c>
      <c r="C111" s="20" t="n">
        <v>2119</v>
      </c>
      <c r="D111" s="20" t="n">
        <v>2735</v>
      </c>
      <c r="E111" s="20" t="n">
        <v>2420</v>
      </c>
      <c r="F111" s="20" t="n">
        <v>2018</v>
      </c>
      <c r="G111" s="20" t="n">
        <v>1654</v>
      </c>
      <c r="H111" s="20" t="n">
        <v>3413</v>
      </c>
      <c r="I111" s="20" t="n">
        <v>3728</v>
      </c>
      <c r="J111" s="20" t="n">
        <v>4072</v>
      </c>
      <c r="K111" s="20" t="n">
        <v>2752</v>
      </c>
      <c r="L111" s="20" t="n">
        <v>2420</v>
      </c>
    </row>
    <row r="112">
      <c r="A112" s="18" t="inlineStr">
        <is>
          <t>단기차입금</t>
        </is>
      </c>
      <c r="C112" s="20" t="n">
        <v>50</v>
      </c>
      <c r="D112" s="20" t="n">
        <v>46</v>
      </c>
      <c r="E112" s="20" t="n">
        <v>25</v>
      </c>
      <c r="F112" s="20" t="n">
        <v>25</v>
      </c>
      <c r="G112" s="20" t="n">
        <v>25</v>
      </c>
      <c r="H112" s="20" t="n">
        <v>46</v>
      </c>
      <c r="I112" s="20" t="n">
        <v>48</v>
      </c>
      <c r="J112" s="20" t="n">
        <v>50</v>
      </c>
      <c r="K112" s="20" t="n">
        <v>51</v>
      </c>
      <c r="L112" s="20" t="n">
        <v>25</v>
      </c>
    </row>
    <row r="113">
      <c r="A113" s="18" t="inlineStr">
        <is>
          <t>1년 내 상환 장기차입금</t>
        </is>
      </c>
      <c r="C113" s="20" t="n">
        <v>38</v>
      </c>
      <c r="D113" s="20" t="n">
        <v>41</v>
      </c>
      <c r="E113" s="20" t="n">
        <v>35</v>
      </c>
      <c r="F113" s="20" t="n">
        <v>29</v>
      </c>
      <c r="G113" s="20" t="n">
        <v>19</v>
      </c>
      <c r="H113" s="20" t="n">
        <v>104</v>
      </c>
      <c r="I113" s="20" t="n">
        <v>60</v>
      </c>
      <c r="J113" s="20" t="n">
        <v>42</v>
      </c>
      <c r="K113" s="20" t="n">
        <v>38</v>
      </c>
      <c r="L113" s="20" t="n">
        <v>35</v>
      </c>
    </row>
    <row r="114">
      <c r="A114" s="18" t="inlineStr">
        <is>
          <t>리스부채</t>
        </is>
      </c>
      <c r="E114" s="20" t="n">
        <v>21</v>
      </c>
      <c r="H114" s="20" t="n">
        <v>21</v>
      </c>
      <c r="I114" s="20" t="n">
        <v>20</v>
      </c>
      <c r="J114" s="20" t="n">
        <v>19</v>
      </c>
      <c r="K114" s="20" t="n">
        <v>19</v>
      </c>
      <c r="L114" s="20" t="n">
        <v>21</v>
      </c>
    </row>
    <row r="115">
      <c r="A115" s="18" t="inlineStr">
        <is>
          <t>미지급법인세</t>
        </is>
      </c>
      <c r="C115" s="20" t="n">
        <v>1519</v>
      </c>
      <c r="D115" s="20" t="n">
        <v>919</v>
      </c>
      <c r="E115" s="20" t="n">
        <v>2196</v>
      </c>
      <c r="F115" s="20" t="n">
        <v>847</v>
      </c>
      <c r="G115" s="20" t="n">
        <v>2648</v>
      </c>
      <c r="H115" s="20" t="n">
        <v>1238</v>
      </c>
      <c r="I115" s="20" t="n">
        <v>3298</v>
      </c>
      <c r="J115" s="20" t="n">
        <v>1087</v>
      </c>
      <c r="K115" s="20" t="n">
        <v>1861</v>
      </c>
      <c r="L115" s="20" t="n">
        <v>2196</v>
      </c>
    </row>
    <row r="116">
      <c r="A116" s="18" t="inlineStr">
        <is>
          <t>계약부채</t>
        </is>
      </c>
      <c r="E116" s="20" t="n">
        <v>359</v>
      </c>
      <c r="H116" s="20" t="n">
        <v>328</v>
      </c>
      <c r="I116" s="20" t="n">
        <v>360</v>
      </c>
      <c r="J116" s="20" t="n">
        <v>286</v>
      </c>
      <c r="K116" s="20" t="n">
        <v>378</v>
      </c>
      <c r="L116" s="20" t="n">
        <v>359</v>
      </c>
    </row>
    <row r="117">
      <c r="A117" s="18" t="inlineStr">
        <is>
          <t>상여충당금</t>
        </is>
      </c>
      <c r="C117" s="20" t="n">
        <v>1348</v>
      </c>
      <c r="D117" s="20" t="n">
        <v>748</v>
      </c>
      <c r="E117" s="20" t="n">
        <v>1444</v>
      </c>
      <c r="F117" s="20" t="n">
        <v>726</v>
      </c>
      <c r="G117" s="20" t="n">
        <v>1396</v>
      </c>
      <c r="H117" s="20" t="n">
        <v>1125</v>
      </c>
      <c r="I117" s="20" t="n">
        <v>1152</v>
      </c>
      <c r="J117" s="20" t="n">
        <v>1411</v>
      </c>
      <c r="K117" s="20" t="n">
        <v>1519</v>
      </c>
      <c r="L117" s="20" t="n">
        <v>1444</v>
      </c>
    </row>
    <row r="118">
      <c r="A118" s="18" t="inlineStr">
        <is>
          <t>임원 상여충당금</t>
        </is>
      </c>
      <c r="C118" s="20" t="n">
        <v>52</v>
      </c>
      <c r="D118" s="20" t="n">
        <v>71</v>
      </c>
      <c r="E118" s="20" t="n">
        <v>136</v>
      </c>
      <c r="F118" s="20" t="n">
        <v>23</v>
      </c>
      <c r="G118" s="20" t="n">
        <v>46</v>
      </c>
      <c r="H118" s="20" t="n">
        <v>116</v>
      </c>
      <c r="I118" s="20" t="n">
        <v>131</v>
      </c>
      <c r="J118" s="20" t="n">
        <v>155</v>
      </c>
      <c r="K118" s="20" t="n">
        <v>190</v>
      </c>
      <c r="L118" s="20" t="n">
        <v>136</v>
      </c>
    </row>
    <row r="119">
      <c r="A119" s="18" t="inlineStr">
        <is>
          <t>기타</t>
        </is>
      </c>
      <c r="C119" s="20" t="n">
        <v>4075</v>
      </c>
      <c r="D119" s="20" t="n">
        <v>4302</v>
      </c>
      <c r="E119" s="20" t="n">
        <v>3716</v>
      </c>
      <c r="F119" s="20" t="n">
        <v>4241</v>
      </c>
      <c r="G119" s="20" t="n">
        <v>3404</v>
      </c>
      <c r="H119" s="20" t="n">
        <v>3063</v>
      </c>
      <c r="I119" s="20" t="n">
        <v>3070</v>
      </c>
      <c r="J119" s="20" t="n">
        <v>4798</v>
      </c>
      <c r="K119" s="20" t="n">
        <v>3828</v>
      </c>
      <c r="L119" s="20" t="n">
        <v>3716</v>
      </c>
    </row>
    <row r="120">
      <c r="A120" s="9" t="inlineStr">
        <is>
          <t>유동부채 합계</t>
        </is>
      </c>
      <c r="C120" s="12" t="n">
        <v>41525</v>
      </c>
      <c r="D120" s="12" t="n">
        <v>44635</v>
      </c>
      <c r="E120" s="12" t="n">
        <v>42730</v>
      </c>
      <c r="F120" s="12" t="n">
        <v>43091</v>
      </c>
      <c r="G120" s="12" t="n">
        <v>45138</v>
      </c>
      <c r="H120" s="12" t="n">
        <v>41195</v>
      </c>
      <c r="I120" s="12" t="n">
        <v>45856</v>
      </c>
      <c r="J120" s="12" t="n">
        <v>49144</v>
      </c>
      <c r="K120" s="12" t="n">
        <v>43266</v>
      </c>
      <c r="L120" s="12" t="n">
        <v>42730</v>
      </c>
    </row>
    <row r="121">
      <c r="A121" s="18" t="inlineStr">
        <is>
          <t>리스부채</t>
        </is>
      </c>
      <c r="E121" s="20" t="n">
        <v>59</v>
      </c>
      <c r="H121" s="20" t="n">
        <v>135</v>
      </c>
      <c r="I121" s="20" t="n">
        <v>110</v>
      </c>
      <c r="J121" s="20" t="n">
        <v>90</v>
      </c>
      <c r="K121" s="20" t="n">
        <v>70</v>
      </c>
      <c r="L121" s="20" t="n">
        <v>59</v>
      </c>
    </row>
    <row r="122">
      <c r="A122" s="18" t="inlineStr">
        <is>
          <t>장기 예수보증금</t>
        </is>
      </c>
      <c r="E122" s="20" t="n">
        <v>3358</v>
      </c>
      <c r="H122" s="20" t="n">
        <v>2915</v>
      </c>
      <c r="I122" s="20" t="n">
        <v>3010</v>
      </c>
      <c r="J122" s="20" t="n">
        <v>3130</v>
      </c>
      <c r="K122" s="20" t="n">
        <v>3297</v>
      </c>
      <c r="L122" s="20" t="n">
        <v>3358</v>
      </c>
    </row>
    <row r="123">
      <c r="A123" s="18" t="inlineStr">
        <is>
          <t>장기차입금</t>
        </is>
      </c>
      <c r="C123" s="20" t="n">
        <v>19</v>
      </c>
      <c r="D123" s="20" t="n">
        <v>9</v>
      </c>
      <c r="E123" s="20" t="n">
        <v>3</v>
      </c>
      <c r="F123" s="20" t="n">
        <v>0</v>
      </c>
      <c r="G123" s="20" t="n">
        <v>0</v>
      </c>
      <c r="H123" s="20" t="n">
        <v>256</v>
      </c>
      <c r="I123" s="20" t="n">
        <v>116</v>
      </c>
      <c r="J123" s="20" t="n">
        <v>76</v>
      </c>
      <c r="K123" s="20" t="n">
        <v>38</v>
      </c>
      <c r="L123" s="20" t="n">
        <v>3</v>
      </c>
    </row>
    <row r="124">
      <c r="A124" s="18" t="inlineStr">
        <is>
          <t>이연법인세부채</t>
        </is>
      </c>
      <c r="E124" s="20" t="n">
        <v>3556</v>
      </c>
      <c r="H124" s="20" t="n">
        <v>966</v>
      </c>
      <c r="I124" s="20" t="n">
        <v>1300</v>
      </c>
      <c r="J124" s="20" t="n">
        <v>2909</v>
      </c>
      <c r="K124" s="20" t="n">
        <v>2548</v>
      </c>
      <c r="L124" s="20" t="n">
        <v>3556</v>
      </c>
    </row>
    <row r="125">
      <c r="A125" s="18" t="inlineStr">
        <is>
          <t>퇴직급여부채</t>
        </is>
      </c>
      <c r="C125" s="20" t="n">
        <v>821</v>
      </c>
      <c r="D125" s="20" t="n">
        <v>839</v>
      </c>
      <c r="E125" s="20" t="n">
        <v>863</v>
      </c>
      <c r="F125" s="20" t="n">
        <v>868</v>
      </c>
      <c r="G125" s="20" t="n">
        <v>884</v>
      </c>
      <c r="H125" s="20" t="n">
        <v>612</v>
      </c>
      <c r="I125" s="20" t="n">
        <v>645</v>
      </c>
      <c r="J125" s="20" t="n">
        <v>714</v>
      </c>
      <c r="K125" s="20" t="n">
        <v>808</v>
      </c>
      <c r="L125" s="20" t="n">
        <v>863</v>
      </c>
    </row>
    <row r="126">
      <c r="A126" s="18" t="inlineStr">
        <is>
          <t>기타</t>
        </is>
      </c>
      <c r="C126" s="20" t="n">
        <v>6364</v>
      </c>
      <c r="D126" s="20" t="n">
        <v>6539</v>
      </c>
      <c r="E126" s="20" t="n">
        <v>7153</v>
      </c>
      <c r="F126" s="20" t="n">
        <v>8222</v>
      </c>
      <c r="G126" s="20" t="n">
        <v>7680</v>
      </c>
      <c r="H126" s="20" t="n">
        <v>169</v>
      </c>
      <c r="I126" s="20" t="n">
        <v>353</v>
      </c>
      <c r="J126" s="20" t="n">
        <v>98</v>
      </c>
      <c r="K126" s="20" t="n">
        <v>98</v>
      </c>
      <c r="L126" s="20" t="n">
        <v>7153</v>
      </c>
    </row>
    <row r="127">
      <c r="A127" s="9" t="inlineStr">
        <is>
          <t>비유동부채 합계</t>
        </is>
      </c>
      <c r="C127" s="12" t="n">
        <v>7206</v>
      </c>
      <c r="D127" s="12" t="n">
        <v>7388</v>
      </c>
      <c r="E127" s="12" t="n">
        <v>8019</v>
      </c>
      <c r="F127" s="12" t="n">
        <v>9090</v>
      </c>
      <c r="G127" s="12" t="n">
        <v>8565</v>
      </c>
      <c r="H127" s="12" t="n">
        <v>5055</v>
      </c>
      <c r="I127" s="12" t="n">
        <v>5536</v>
      </c>
      <c r="J127" s="12" t="n">
        <v>7020</v>
      </c>
      <c r="K127" s="12" t="n">
        <v>6862</v>
      </c>
      <c r="L127" s="12" t="n">
        <v>8019</v>
      </c>
    </row>
    <row r="128">
      <c r="A128" s="9" t="inlineStr">
        <is>
          <t>부채 합계</t>
        </is>
      </c>
      <c r="C128" s="12" t="n">
        <v>48731</v>
      </c>
      <c r="D128" s="12" t="n">
        <v>52023</v>
      </c>
      <c r="E128" s="12" t="n">
        <v>50750</v>
      </c>
      <c r="F128" s="12" t="n">
        <v>52182</v>
      </c>
      <c r="G128" s="12" t="n">
        <v>53703</v>
      </c>
      <c r="H128" s="12" t="n">
        <v>46251</v>
      </c>
      <c r="I128" s="12" t="n">
        <v>51392</v>
      </c>
      <c r="J128" s="12" t="n">
        <v>56165</v>
      </c>
      <c r="K128" s="12" t="n">
        <v>50128</v>
      </c>
      <c r="L128" s="12" t="n">
        <v>50750</v>
      </c>
    </row>
    <row r="129">
      <c r="A129" s="18" t="inlineStr">
        <is>
          <t>자본금</t>
        </is>
      </c>
      <c r="C129" s="20" t="n">
        <v>4603</v>
      </c>
      <c r="D129" s="20" t="n">
        <v>4603</v>
      </c>
      <c r="E129" s="20" t="n">
        <v>4603</v>
      </c>
      <c r="F129" s="20" t="n">
        <v>4603</v>
      </c>
      <c r="G129" s="20" t="n">
        <v>4603</v>
      </c>
      <c r="H129" s="20" t="n">
        <v>4603</v>
      </c>
      <c r="I129" s="20" t="n">
        <v>4603</v>
      </c>
      <c r="J129" s="20" t="n">
        <v>4603</v>
      </c>
      <c r="K129" s="20" t="n">
        <v>4603</v>
      </c>
      <c r="L129" s="20" t="n">
        <v>4603</v>
      </c>
    </row>
    <row r="130">
      <c r="A130" s="18" t="inlineStr">
        <is>
          <t>자본잉여금</t>
        </is>
      </c>
      <c r="C130" s="20" t="n">
        <v>6040</v>
      </c>
      <c r="D130" s="20" t="n">
        <v>6040</v>
      </c>
      <c r="E130" s="20" t="n">
        <v>6079</v>
      </c>
      <c r="F130" s="20" t="n">
        <v>6079</v>
      </c>
      <c r="G130" s="20" t="n">
        <v>6095</v>
      </c>
      <c r="H130" s="20" t="n">
        <v>4544</v>
      </c>
      <c r="I130" s="20" t="n">
        <v>4557</v>
      </c>
      <c r="J130" s="20" t="n">
        <v>4422</v>
      </c>
      <c r="K130" s="20" t="n">
        <v>6041</v>
      </c>
      <c r="L130" s="20" t="n">
        <v>6079</v>
      </c>
    </row>
    <row r="131">
      <c r="A131" s="18" t="inlineStr">
        <is>
          <t>이익잉여금</t>
        </is>
      </c>
      <c r="C131" s="20" t="n">
        <v>74882</v>
      </c>
      <c r="D131" s="20" t="n">
        <v>76452</v>
      </c>
      <c r="E131" s="20" t="n">
        <v>78406</v>
      </c>
      <c r="F131" s="20" t="n">
        <v>79594</v>
      </c>
      <c r="G131" s="20" t="n">
        <v>82396</v>
      </c>
      <c r="H131" s="20" t="n">
        <v>61164</v>
      </c>
      <c r="I131" s="20" t="n">
        <v>69450</v>
      </c>
      <c r="J131" s="20" t="n">
        <v>67314</v>
      </c>
      <c r="K131" s="20" t="n">
        <v>73009</v>
      </c>
      <c r="L131" s="20" t="n">
        <v>78406</v>
      </c>
    </row>
    <row r="132">
      <c r="A132" s="18" t="inlineStr">
        <is>
          <t>자기주식</t>
        </is>
      </c>
      <c r="C132" s="20" t="n">
        <v>-7840</v>
      </c>
      <c r="D132" s="20" t="n">
        <v>-7840</v>
      </c>
      <c r="E132" s="20" t="n">
        <v>-9663</v>
      </c>
      <c r="F132" s="20" t="n">
        <v>-9663</v>
      </c>
      <c r="G132" s="20" t="n">
        <v>-10830</v>
      </c>
      <c r="H132" s="20" t="n">
        <v>-5504</v>
      </c>
      <c r="I132" s="20" t="n">
        <v>-5904</v>
      </c>
      <c r="J132" s="20" t="n">
        <v>-4604</v>
      </c>
      <c r="K132" s="20" t="n">
        <v>-4508</v>
      </c>
      <c r="L132" s="20" t="n">
        <v>-9663</v>
      </c>
    </row>
    <row r="133">
      <c r="A133" s="9" t="inlineStr">
        <is>
          <t>주주자본 합계</t>
        </is>
      </c>
      <c r="C133" s="12" t="n">
        <v>77685</v>
      </c>
      <c r="D133" s="12" t="n">
        <v>79255</v>
      </c>
      <c r="E133" s="12" t="n">
        <v>79425</v>
      </c>
      <c r="F133" s="12" t="n">
        <v>80614</v>
      </c>
      <c r="G133" s="12" t="n">
        <v>82265</v>
      </c>
      <c r="H133" s="12" t="n">
        <v>64808</v>
      </c>
      <c r="I133" s="12" t="n">
        <v>72707</v>
      </c>
      <c r="J133" s="12" t="n">
        <v>71735</v>
      </c>
      <c r="K133" s="12" t="n">
        <v>79146</v>
      </c>
      <c r="L133" s="12" t="n">
        <v>79425</v>
      </c>
    </row>
    <row r="134">
      <c r="A134" s="18" t="inlineStr">
        <is>
          <t>기타유가증권 평가차액</t>
        </is>
      </c>
      <c r="C134" s="20" t="n">
        <v>4460</v>
      </c>
      <c r="D134" s="20" t="n">
        <v>4460</v>
      </c>
      <c r="E134" s="20" t="n">
        <v>4142</v>
      </c>
      <c r="F134" s="20" t="n">
        <v>5999</v>
      </c>
      <c r="G134" s="20" t="n">
        <v>5561</v>
      </c>
      <c r="H134" s="20" t="n">
        <v>2383</v>
      </c>
      <c r="I134" s="20" t="n">
        <v>2611</v>
      </c>
      <c r="J134" s="20" t="n">
        <v>4687</v>
      </c>
      <c r="K134" s="20" t="n">
        <v>3696</v>
      </c>
      <c r="L134" s="20" t="n">
        <v>4142</v>
      </c>
    </row>
    <row r="135">
      <c r="A135" s="18" t="inlineStr">
        <is>
          <t>이연헤지손익</t>
        </is>
      </c>
      <c r="E135" s="20" t="n">
        <v>-0</v>
      </c>
      <c r="F135" s="20" t="n">
        <v>-0</v>
      </c>
      <c r="G135" s="20" t="n">
        <v>0</v>
      </c>
      <c r="H135" s="20" t="n">
        <v>0</v>
      </c>
      <c r="I135" s="20" t="n">
        <v>-0</v>
      </c>
      <c r="J135" s="20" t="n">
        <v>0</v>
      </c>
      <c r="K135" s="20" t="n">
        <v>0</v>
      </c>
      <c r="L135" s="20" t="n">
        <v>-0</v>
      </c>
    </row>
    <row r="136">
      <c r="A136" s="18" t="inlineStr">
        <is>
          <t>해외사업환산조정</t>
        </is>
      </c>
      <c r="C136" s="20" t="n">
        <v>638</v>
      </c>
      <c r="D136" s="20" t="n">
        <v>727</v>
      </c>
      <c r="E136" s="20" t="n">
        <v>960</v>
      </c>
      <c r="F136" s="20" t="n">
        <v>1049</v>
      </c>
      <c r="G136" s="20" t="n">
        <v>1105</v>
      </c>
      <c r="H136" s="20" t="n">
        <v>270</v>
      </c>
      <c r="I136" s="20" t="n">
        <v>450</v>
      </c>
      <c r="J136" s="20" t="n">
        <v>650</v>
      </c>
      <c r="K136" s="20" t="n">
        <v>910</v>
      </c>
      <c r="L136" s="20" t="n">
        <v>960</v>
      </c>
    </row>
    <row r="137">
      <c r="A137" s="18" t="inlineStr">
        <is>
          <t>퇴직급여 조정누계액</t>
        </is>
      </c>
      <c r="C137" s="20" t="n">
        <v>2377</v>
      </c>
      <c r="D137" s="20" t="n">
        <v>2316</v>
      </c>
      <c r="E137" s="20" t="n">
        <v>3927</v>
      </c>
      <c r="F137" s="20" t="n">
        <v>3817</v>
      </c>
      <c r="G137" s="20" t="n">
        <v>3708</v>
      </c>
      <c r="H137" s="20" t="n">
        <v>1201</v>
      </c>
      <c r="I137" s="20" t="n">
        <v>1206</v>
      </c>
      <c r="J137" s="20" t="n">
        <v>2597</v>
      </c>
      <c r="K137" s="20" t="n">
        <v>2500</v>
      </c>
      <c r="L137" s="20" t="n">
        <v>3927</v>
      </c>
    </row>
    <row r="138">
      <c r="A138" s="18" t="inlineStr">
        <is>
          <t>기타포괄손익누계액 합계</t>
        </is>
      </c>
      <c r="C138" s="20" t="n">
        <v>7476</v>
      </c>
      <c r="D138" s="20" t="n">
        <v>7504</v>
      </c>
      <c r="E138" s="20" t="n">
        <v>9030</v>
      </c>
      <c r="F138" s="20" t="n">
        <v>10867</v>
      </c>
      <c r="G138" s="20" t="n">
        <v>10375</v>
      </c>
      <c r="H138" s="20" t="n">
        <v>3856</v>
      </c>
      <c r="I138" s="20" t="n">
        <v>4268</v>
      </c>
      <c r="J138" s="20" t="n">
        <v>7934</v>
      </c>
      <c r="K138" s="20" t="n">
        <v>7107</v>
      </c>
      <c r="L138" s="20" t="n">
        <v>9030</v>
      </c>
    </row>
    <row r="139">
      <c r="A139" s="18" t="inlineStr">
        <is>
          <t>비지배지분</t>
        </is>
      </c>
      <c r="C139" s="20" t="n">
        <v>383</v>
      </c>
      <c r="D139" s="20" t="n">
        <v>390</v>
      </c>
      <c r="E139" s="20" t="n">
        <v>404</v>
      </c>
      <c r="F139" s="20" t="n">
        <v>399</v>
      </c>
      <c r="G139" s="20" t="n">
        <v>393</v>
      </c>
      <c r="H139" s="20" t="n">
        <v>4232</v>
      </c>
      <c r="I139" s="20" t="n">
        <v>4507</v>
      </c>
      <c r="J139" s="20" t="n">
        <v>5014</v>
      </c>
      <c r="K139" s="20" t="n">
        <v>419</v>
      </c>
      <c r="L139" s="20" t="n">
        <v>404</v>
      </c>
    </row>
    <row r="140">
      <c r="A140" s="9" t="inlineStr">
        <is>
          <t>순자산 합계</t>
        </is>
      </c>
      <c r="C140" s="12" t="n">
        <v>85545</v>
      </c>
      <c r="D140" s="12" t="n">
        <v>87150</v>
      </c>
      <c r="E140" s="12" t="n">
        <v>88860</v>
      </c>
      <c r="F140" s="12" t="n">
        <v>91881</v>
      </c>
      <c r="G140" s="12" t="n">
        <v>93034</v>
      </c>
      <c r="H140" s="12" t="n">
        <v>72897</v>
      </c>
      <c r="I140" s="12" t="n">
        <v>81482</v>
      </c>
      <c r="J140" s="12" t="n">
        <v>84685</v>
      </c>
      <c r="K140" s="12" t="n">
        <v>86672</v>
      </c>
      <c r="L140" s="12" t="n">
        <v>88860</v>
      </c>
    </row>
    <row r="141">
      <c r="A141" s="9" t="inlineStr">
        <is>
          <t>부채·순자산 합계</t>
        </is>
      </c>
      <c r="C141" s="12" t="n">
        <v>134277</v>
      </c>
      <c r="D141" s="12" t="n">
        <v>139174</v>
      </c>
      <c r="E141" s="12" t="n">
        <v>139610</v>
      </c>
      <c r="F141" s="12" t="n">
        <v>144063</v>
      </c>
      <c r="G141" s="12" t="n">
        <v>146737</v>
      </c>
      <c r="H141" s="12" t="n">
        <v>119148</v>
      </c>
      <c r="I141" s="12" t="n">
        <v>132874</v>
      </c>
      <c r="J141" s="12" t="n">
        <v>140850</v>
      </c>
      <c r="K141" s="12" t="n">
        <v>136801</v>
      </c>
      <c r="L141" s="12" t="n">
        <v>139610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2026-10-28</t>
        </is>
      </c>
      <c r="B4" t="inlineStr">
        <is>
          <t>2027년 3월 결산기 ２분기 결산단신</t>
        </is>
      </c>
      <c r="C4" t="inlineStr">
        <is>
          <t>https://www2.jpx.co.jp/disc/49560/140120261027557255.pdf</t>
        </is>
      </c>
    </row>
    <row r="5">
      <c r="A5" t="inlineStr">
        <is>
          <t>2026-07-27</t>
        </is>
      </c>
      <c r="B5" t="inlineStr">
        <is>
          <t>2027년 3월 결산기 １분기 결산단신</t>
        </is>
      </c>
      <c r="C5" t="inlineStr">
        <is>
          <t>https://www2.jpx.co.jp/disc/49560/140120260727599823.pdf</t>
        </is>
      </c>
    </row>
    <row r="6">
      <c r="A6" t="inlineStr">
        <is>
          <t>2026-04-24</t>
        </is>
      </c>
      <c r="B6" t="inlineStr">
        <is>
          <t>2026년 3월 결산기 연간 결산단신</t>
        </is>
      </c>
      <c r="C6" t="inlineStr">
        <is>
          <t>https://www2.jpx.co.jp/disc/49560/140120260424509834.pdf</t>
        </is>
      </c>
    </row>
    <row r="7">
      <c r="A7" t="inlineStr">
        <is>
          <t>2026-01-29</t>
        </is>
      </c>
      <c r="B7" t="inlineStr">
        <is>
          <t>2026년 3월 결산기 ３분기 결산단신</t>
        </is>
      </c>
      <c r="C7" t="inlineStr">
        <is>
          <t>https://www2.jpx.co.jp/disc/49560/140120260129541585.pdf</t>
        </is>
      </c>
    </row>
    <row r="8">
      <c r="A8" t="inlineStr">
        <is>
          <t>2025-10-29</t>
        </is>
      </c>
      <c r="B8" t="inlineStr">
        <is>
          <t>2026년 3월 결산기 ２분기 결산단신</t>
        </is>
      </c>
      <c r="C8" t="inlineStr">
        <is>
          <t>https://www2.jpx.co.jp/disc/49560/140120251028579835.pdf</t>
        </is>
      </c>
    </row>
    <row r="9">
      <c r="A9" t="inlineStr">
        <is>
          <t>2025-07-28</t>
        </is>
      </c>
      <c r="B9" t="inlineStr">
        <is>
          <t>2026년 3월 결산기 １분기 결산단신</t>
        </is>
      </c>
      <c r="C9" t="inlineStr">
        <is>
          <t>https://www2.jpx.co.jp/disc/49560/140120250728521513.pdf</t>
        </is>
      </c>
    </row>
    <row r="10">
      <c r="A10" t="inlineStr">
        <is>
          <t>2025-04-25</t>
        </is>
      </c>
      <c r="B10" t="inlineStr">
        <is>
          <t>2025년 3월 결산기 연간 결산단신</t>
        </is>
      </c>
      <c r="C10" t="inlineStr">
        <is>
          <t>https://www2.jpx.co.jp/disc/49560/140120250425523439.pdf</t>
        </is>
      </c>
    </row>
    <row r="11">
      <c r="A11" t="inlineStr">
        <is>
          <t>2025-01-29</t>
        </is>
      </c>
      <c r="B11" t="inlineStr">
        <is>
          <t>2025년 3월 결산기 ３분기 결산단신</t>
        </is>
      </c>
      <c r="C11" t="inlineStr">
        <is>
          <t>https://www2.jpx.co.jp/disc/49560/140120250128556456.pdf</t>
        </is>
      </c>
    </row>
    <row r="12">
      <c r="A12" t="inlineStr">
        <is>
          <t>2024-10-29</t>
        </is>
      </c>
      <c r="B12" t="inlineStr">
        <is>
          <t>2025년 3월 결산기 ２분기 결산단신</t>
        </is>
      </c>
      <c r="C12" t="inlineStr">
        <is>
          <t>https://www2.jpx.co.jp/disc/49560/140120241028504110.pdf</t>
        </is>
      </c>
    </row>
    <row r="13">
      <c r="A13" t="inlineStr">
        <is>
          <t>2024-07-29</t>
        </is>
      </c>
      <c r="B13" t="inlineStr">
        <is>
          <t>2025년 3월 결산기 １분기 결산단신</t>
        </is>
      </c>
      <c r="C13" t="inlineStr">
        <is>
          <t>https://www2.jpx.co.jp/disc/49560/140120240729556205.pdf</t>
        </is>
      </c>
    </row>
    <row r="14">
      <c r="A14" t="inlineStr">
        <is>
          <t>2024-04-25</t>
        </is>
      </c>
      <c r="B14" t="inlineStr">
        <is>
          <t>2024년 3월 결산기 연간 결산단신</t>
        </is>
      </c>
      <c r="C14" t="inlineStr">
        <is>
          <t>https://www2.jpx.co.jp/disc/49560/140120240424575230.pdf</t>
        </is>
      </c>
    </row>
    <row r="15">
      <c r="A15" t="inlineStr">
        <is>
          <t>2024-01-30</t>
        </is>
      </c>
      <c r="B15" t="inlineStr">
        <is>
          <t>2024년 3월 결산기 ３분기 결산단신</t>
        </is>
      </c>
      <c r="C15" t="inlineStr">
        <is>
          <t>https://www2.jpx.co.jp/disc/49560/140120240129521120.pdf</t>
        </is>
      </c>
    </row>
    <row r="16">
      <c r="A16" t="inlineStr">
        <is>
          <t>2023-10-31</t>
        </is>
      </c>
      <c r="B16" t="inlineStr">
        <is>
          <t>2024년 3월 결산기 ２분기 결산단신</t>
        </is>
      </c>
      <c r="C16" t="inlineStr">
        <is>
          <t>https://www2.jpx.co.jp/disc/49560/140120231030573897.pdf</t>
        </is>
      </c>
    </row>
    <row r="17">
      <c r="A17" t="inlineStr">
        <is>
          <t>2023-07-31</t>
        </is>
      </c>
      <c r="B17" t="inlineStr">
        <is>
          <t>2024년 3월 결산기 １분기 결산단신</t>
        </is>
      </c>
      <c r="C17" t="inlineStr">
        <is>
          <t>https://www2.jpx.co.jp/disc/49560/140120230727527749.pdf</t>
        </is>
      </c>
    </row>
    <row r="18">
      <c r="A18" t="inlineStr">
        <is>
          <t>2023-04-28</t>
        </is>
      </c>
      <c r="B18" t="inlineStr">
        <is>
          <t>2023년 3월 결산기 연간 결산단신</t>
        </is>
      </c>
      <c r="C18" t="inlineStr">
        <is>
          <t>https://www2.jpx.co.jp/disc/49560/140120230427554858.pdf</t>
        </is>
      </c>
    </row>
    <row r="19">
      <c r="A19" t="inlineStr">
        <is>
          <t>2023-01-31</t>
        </is>
      </c>
      <c r="B19" t="inlineStr">
        <is>
          <t>2023년 3월 결산기 ３분기 결산단신</t>
        </is>
      </c>
      <c r="C19" t="inlineStr">
        <is>
          <t>https://www2.jpx.co.jp/disc/49560/140120230128595405.pdf</t>
        </is>
      </c>
    </row>
    <row r="20">
      <c r="A20" t="inlineStr">
        <is>
          <t>2022-04-28</t>
        </is>
      </c>
      <c r="B20" t="inlineStr">
        <is>
          <t>2022년 3월 결산기 연간 결산단신</t>
        </is>
      </c>
      <c r="C20" t="inlineStr">
        <is>
          <t>https://www2.jpx.co.jp/disc/49560/140120220428530583.pdf</t>
        </is>
      </c>
    </row>
    <row r="21">
      <c r="A21" t="inlineStr">
        <is>
          <t>2021-04-30</t>
        </is>
      </c>
      <c r="B21" t="inlineStr">
        <is>
          <t>2021년 3월 결산기 연간 결산단신</t>
        </is>
      </c>
      <c r="C21" t="inlineStr">
        <is>
          <t>https://www2.jpx.co.jp/disc/49560/140120210430403893.pdf</t>
        </is>
      </c>
    </row>
    <row r="22">
      <c r="A22" t="inlineStr">
        <is>
          <t>2020-04-30</t>
        </is>
      </c>
      <c r="B22" t="inlineStr">
        <is>
          <t>2020년 3월 결산기 연간 결산단신</t>
        </is>
      </c>
      <c r="C22" t="inlineStr">
        <is>
          <t>https://www2.jpx.co.jp/disc/49560/140120200430402446.pdf</t>
        </is>
      </c>
    </row>
    <row r="23">
      <c r="A23" t="inlineStr">
        <is>
          <t>2019-04-26</t>
        </is>
      </c>
      <c r="B23" t="inlineStr">
        <is>
          <t>2019년 3월 결산기 연간 결산단신</t>
        </is>
      </c>
      <c r="C23" t="inlineStr">
        <is>
          <t>https://www2.jpx.co.jp/disc/49560/140120190425410431.pdf</t>
        </is>
      </c>
    </row>
    <row r="24">
      <c r="A24" t="inlineStr">
        <is>
          <t>2018-04-27</t>
        </is>
      </c>
      <c r="B24" t="inlineStr">
        <is>
          <t>연간 결산단신</t>
        </is>
      </c>
      <c r="C24" t="inlineStr">
        <is>
          <t>https://www2.jpx.co.jp/disc/49560/140120180426421058.pdf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2026-10-28T07:03:31Z</dcterms:created>
  <dcterms:modified xmlns:dcterms="http://purl.org/dc/terms/" xmlns:xsi="http://www.w3.org/2001/XMLSchema-instance" xsi:type="dcterms:W3CDTF">2026-10-28T07:03:31Z</dcterms:modified>
</cp:coreProperties>
</file>