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31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사노야스홀딩스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6951</v>
      </c>
      <c r="D4" s="12" t="n">
        <v>8075</v>
      </c>
      <c r="E4" s="12" t="n">
        <v>4718</v>
      </c>
      <c r="F4" s="12" t="n">
        <v>5524</v>
      </c>
      <c r="G4" s="12" t="n">
        <v>5719</v>
      </c>
      <c r="H4" s="12" t="n">
        <v>9045</v>
      </c>
      <c r="I4" s="12" t="n">
        <v>4775</v>
      </c>
      <c r="J4" s="12" t="n">
        <v>6239</v>
      </c>
      <c r="K4" s="12" t="n">
        <v>7958</v>
      </c>
      <c r="L4" s="12" t="n">
        <v>7856</v>
      </c>
      <c r="M4" s="12" t="n">
        <v>5551</v>
      </c>
      <c r="N4" s="12" t="n">
        <v>7457</v>
      </c>
      <c r="O4" s="11" t="n">
        <v>53064</v>
      </c>
      <c r="P4" s="12" t="n">
        <v>47455</v>
      </c>
      <c r="Q4" s="12" t="n">
        <v>48144</v>
      </c>
      <c r="R4" s="12" t="n">
        <v>49805</v>
      </c>
      <c r="S4" s="12" t="n">
        <v>44628</v>
      </c>
      <c r="T4" s="12" t="n">
        <v>19148</v>
      </c>
      <c r="U4" s="12" t="n">
        <v>20145</v>
      </c>
      <c r="V4" s="12" t="n">
        <v>23352</v>
      </c>
      <c r="W4" s="12" t="n">
        <v>25006</v>
      </c>
      <c r="X4" s="12" t="n">
        <v>26828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MachineryEquipmentAndServicesForManufacturingIndustryReportableSegmentMember</t>
        </is>
      </c>
      <c r="B7" s="10" t="n"/>
      <c r="C7" s="19" t="n"/>
      <c r="D7" s="20" t="n"/>
      <c r="E7" s="20" t="n">
        <v>1662</v>
      </c>
      <c r="F7" s="20" t="n">
        <v>2367</v>
      </c>
      <c r="G7" s="20" t="n"/>
      <c r="H7" s="20" t="n"/>
      <c r="I7" s="20" t="n">
        <v>1734</v>
      </c>
      <c r="J7" s="20" t="n">
        <v>2736</v>
      </c>
      <c r="K7" s="20" t="n"/>
      <c r="L7" s="20" t="n"/>
      <c r="M7" s="20" t="n">
        <v>1967</v>
      </c>
      <c r="N7" s="20" t="n">
        <v>3009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MachineryEquipmentAndServicesForConstructionIndustryReportableSegmentMember</t>
        </is>
      </c>
      <c r="B10" s="10" t="n"/>
      <c r="C10" s="19" t="n"/>
      <c r="D10" s="20" t="n"/>
      <c r="E10" s="20" t="n">
        <v>2085</v>
      </c>
      <c r="F10" s="20" t="n">
        <v>2257</v>
      </c>
      <c r="G10" s="20" t="n"/>
      <c r="H10" s="20" t="n"/>
      <c r="I10" s="20" t="n">
        <v>2385</v>
      </c>
      <c r="J10" s="20" t="n">
        <v>2895</v>
      </c>
      <c r="K10" s="20" t="n"/>
      <c r="L10" s="20" t="n"/>
      <c r="M10" s="20" t="n">
        <v>2790</v>
      </c>
      <c r="N10" s="20" t="n">
        <v>3523</v>
      </c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LeisureBusinessReportableSegmentMember</t>
        </is>
      </c>
      <c r="B13" s="10" t="n"/>
      <c r="C13" s="19" t="n"/>
      <c r="D13" s="20" t="n"/>
      <c r="E13" s="20" t="n">
        <v>970</v>
      </c>
      <c r="F13" s="20" t="n"/>
      <c r="G13" s="20" t="n"/>
      <c r="H13" s="20" t="n"/>
      <c r="I13" s="20" t="n">
        <v>655</v>
      </c>
      <c r="J13" s="20" t="n"/>
      <c r="K13" s="20" t="n"/>
      <c r="L13" s="20" t="n"/>
      <c r="M13" s="20" t="n">
        <v>793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LeisureReportableSegmentMember</t>
        </is>
      </c>
      <c r="B16" s="10" t="n"/>
      <c r="C16" s="19" t="n">
        <v>990</v>
      </c>
      <c r="D16" s="20" t="n">
        <v>1076</v>
      </c>
      <c r="E16" s="20" t="n"/>
      <c r="F16" s="20" t="n"/>
      <c r="G16" s="20" t="n">
        <v>755</v>
      </c>
      <c r="H16" s="20" t="n">
        <v>1031</v>
      </c>
      <c r="I16" s="20" t="n"/>
      <c r="J16" s="20" t="n"/>
      <c r="K16" s="20" t="n">
        <v>792</v>
      </c>
      <c r="L16" s="20" t="n">
        <v>1328</v>
      </c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3450</v>
      </c>
      <c r="W16" s="20" t="n">
        <v>3657</v>
      </c>
      <c r="X16" s="20" t="n">
        <v>3383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EntityTotalMember</t>
        </is>
      </c>
      <c r="B19" s="10" t="n"/>
      <c r="C19" s="19" t="n"/>
      <c r="D19" s="20" t="n"/>
      <c r="E19" s="20" t="n">
        <v>4718</v>
      </c>
      <c r="F19" s="20" t="n"/>
      <c r="G19" s="20" t="n"/>
      <c r="H19" s="20" t="n"/>
      <c r="I19" s="20" t="n">
        <v>4775</v>
      </c>
      <c r="J19" s="20" t="n"/>
      <c r="K19" s="20" t="n"/>
      <c r="L19" s="20" t="n"/>
      <c r="M19" s="20" t="n">
        <v>5551</v>
      </c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/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IndustrialBusinessReportableSegmentMember</t>
        </is>
      </c>
      <c r="B22" s="10" t="n"/>
      <c r="C22" s="19" t="n"/>
      <c r="D22" s="20" t="n">
        <v>3480</v>
      </c>
      <c r="E22" s="20" t="n"/>
      <c r="F22" s="20" t="n"/>
      <c r="G22" s="20" t="n"/>
      <c r="H22" s="20" t="n">
        <v>3223</v>
      </c>
      <c r="I22" s="20" t="n"/>
      <c r="J22" s="20" t="n"/>
      <c r="K22" s="20" t="n"/>
      <c r="L22" s="20" t="n">
        <v>2536</v>
      </c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>
        <v>10071</v>
      </c>
      <c r="W22" s="20" t="n">
        <v>9259</v>
      </c>
      <c r="X22" s="20" t="n">
        <v>10917</v>
      </c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ConstructionBusinessReportableSegmentMember</t>
        </is>
      </c>
      <c r="B25" s="10" t="n"/>
      <c r="C25" s="19" t="n"/>
      <c r="D25" s="20" t="n">
        <v>3519</v>
      </c>
      <c r="E25" s="20" t="n"/>
      <c r="F25" s="20" t="n"/>
      <c r="G25" s="20" t="n"/>
      <c r="H25" s="20" t="n">
        <v>4791</v>
      </c>
      <c r="I25" s="20" t="n"/>
      <c r="J25" s="20" t="n"/>
      <c r="K25" s="20" t="n"/>
      <c r="L25" s="20" t="n">
        <v>3991</v>
      </c>
      <c r="M25" s="20" t="n"/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>
        <v>9830</v>
      </c>
      <c r="W25" s="20" t="n">
        <v>12089</v>
      </c>
      <c r="X25" s="20" t="n">
        <v>12526</v>
      </c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5326</v>
      </c>
      <c r="D29" s="20" t="n">
        <v>5940</v>
      </c>
      <c r="E29" s="20" t="n">
        <v>3663</v>
      </c>
      <c r="F29" s="20" t="n">
        <v>4169</v>
      </c>
      <c r="G29" s="20" t="n">
        <v>4198</v>
      </c>
      <c r="H29" s="20" t="n">
        <v>6743</v>
      </c>
      <c r="I29" s="20" t="n">
        <v>3671</v>
      </c>
      <c r="J29" s="20" t="n">
        <v>4516</v>
      </c>
      <c r="K29" s="20" t="n">
        <v>5671</v>
      </c>
      <c r="L29" s="20" t="n">
        <v>5456</v>
      </c>
      <c r="M29" s="20" t="n">
        <v>4156</v>
      </c>
      <c r="N29" s="20" t="n">
        <v>5504</v>
      </c>
      <c r="O29" s="19" t="n">
        <v>47166</v>
      </c>
      <c r="P29" s="20" t="n">
        <v>45736</v>
      </c>
      <c r="Q29" s="20" t="n">
        <v>42071</v>
      </c>
      <c r="R29" s="20" t="n">
        <v>46477</v>
      </c>
      <c r="S29" s="20" t="n">
        <v>44388</v>
      </c>
      <c r="T29" s="20" t="n">
        <v>14488</v>
      </c>
      <c r="U29" s="20" t="n">
        <v>15244</v>
      </c>
      <c r="V29" s="20" t="n">
        <v>18031</v>
      </c>
      <c r="W29" s="20" t="n">
        <v>18773</v>
      </c>
      <c r="X29" s="20" t="n">
        <v>19314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1164</v>
      </c>
      <c r="D35" s="20" t="n">
        <v>1210</v>
      </c>
      <c r="E35" s="20" t="n">
        <v>1351</v>
      </c>
      <c r="F35" s="20" t="n">
        <v>1330</v>
      </c>
      <c r="G35" s="20" t="n">
        <v>1211</v>
      </c>
      <c r="H35" s="20" t="n">
        <v>1274</v>
      </c>
      <c r="I35" s="20" t="n">
        <v>1503</v>
      </c>
      <c r="J35" s="20" t="n">
        <v>1451</v>
      </c>
      <c r="K35" s="20" t="n">
        <v>1429</v>
      </c>
      <c r="L35" s="20" t="n">
        <v>1455</v>
      </c>
      <c r="M35" s="20" t="n">
        <v>1638</v>
      </c>
      <c r="N35" s="20" t="n">
        <v>1582</v>
      </c>
      <c r="O35" s="19" t="n">
        <v>4993</v>
      </c>
      <c r="P35" s="20" t="n">
        <v>4880</v>
      </c>
      <c r="Q35" s="20" t="n">
        <v>4800</v>
      </c>
      <c r="R35" s="20" t="n">
        <v>5103</v>
      </c>
      <c r="S35" s="20" t="n">
        <v>5508</v>
      </c>
      <c r="T35" s="20" t="n">
        <v>4436</v>
      </c>
      <c r="U35" s="20" t="n">
        <v>4805</v>
      </c>
      <c r="V35" s="20" t="n">
        <v>4812</v>
      </c>
      <c r="W35" s="20" t="n">
        <v>5166</v>
      </c>
      <c r="X35" s="20" t="n">
        <v>5838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461</v>
      </c>
      <c r="D37" s="12" t="n">
        <v>925</v>
      </c>
      <c r="E37" s="12" t="n">
        <v>-296</v>
      </c>
      <c r="F37" s="12" t="n">
        <v>26</v>
      </c>
      <c r="G37" s="12" t="n">
        <v>308</v>
      </c>
      <c r="H37" s="12" t="n">
        <v>1027</v>
      </c>
      <c r="I37" s="12" t="n">
        <v>-399</v>
      </c>
      <c r="J37" s="12" t="n">
        <v>272</v>
      </c>
      <c r="K37" s="12" t="n">
        <v>858</v>
      </c>
      <c r="L37" s="12" t="n">
        <v>943</v>
      </c>
      <c r="M37" s="12" t="n">
        <v>-242</v>
      </c>
      <c r="N37" s="12" t="n">
        <v>369</v>
      </c>
      <c r="O37" s="11" t="n">
        <v>904</v>
      </c>
      <c r="P37" s="12" t="n">
        <v>-3160</v>
      </c>
      <c r="Q37" s="12" t="n">
        <v>1272</v>
      </c>
      <c r="R37" s="12" t="n">
        <v>-1775</v>
      </c>
      <c r="S37" s="12" t="n">
        <v>-5267</v>
      </c>
      <c r="T37" s="12" t="n">
        <v>222</v>
      </c>
      <c r="U37" s="12" t="n">
        <v>95</v>
      </c>
      <c r="V37" s="12" t="n">
        <v>509</v>
      </c>
      <c r="W37" s="12" t="n">
        <v>1065</v>
      </c>
      <c r="X37" s="12" t="n">
        <v>1674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0</v>
      </c>
      <c r="D53" s="20" t="n">
        <v>155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/>
      <c r="J53" s="20" t="n"/>
      <c r="K53" s="20" t="n">
        <v>1</v>
      </c>
      <c r="L53" s="20" t="n">
        <v>26</v>
      </c>
      <c r="M53" s="20" t="n"/>
      <c r="N53" s="20" t="n"/>
      <c r="O53" s="19" t="n">
        <v>0</v>
      </c>
      <c r="P53" s="20" t="n">
        <v>274</v>
      </c>
      <c r="Q53" s="20" t="n">
        <v>297</v>
      </c>
      <c r="R53" s="20" t="n">
        <v>977</v>
      </c>
      <c r="S53" s="20" t="n">
        <v>8149</v>
      </c>
      <c r="T53" s="20" t="n">
        <v>45</v>
      </c>
      <c r="U53" s="20" t="n">
        <v>465</v>
      </c>
      <c r="V53" s="20" t="n">
        <v>157</v>
      </c>
      <c r="W53" s="20" t="n">
        <v>0</v>
      </c>
      <c r="X53" s="20" t="n">
        <v>44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/>
      <c r="D55" s="20" t="n">
        <v>18</v>
      </c>
      <c r="E55" s="20" t="n"/>
      <c r="F55" s="20" t="n"/>
      <c r="G55" s="20" t="n">
        <v>6</v>
      </c>
      <c r="H55" s="20" t="n">
        <v>4</v>
      </c>
      <c r="I55" s="20" t="n">
        <v>0</v>
      </c>
      <c r="J55" s="20" t="n">
        <v>32</v>
      </c>
      <c r="K55" s="20" t="n">
        <v>3</v>
      </c>
      <c r="L55" s="20" t="n">
        <v>4</v>
      </c>
      <c r="M55" s="20" t="n">
        <v>13</v>
      </c>
      <c r="N55" s="20" t="n">
        <v>0</v>
      </c>
      <c r="O55" s="19" t="n">
        <v>2423</v>
      </c>
      <c r="P55" s="20" t="n">
        <v>1361</v>
      </c>
      <c r="Q55" s="20" t="n">
        <v>62</v>
      </c>
      <c r="R55" s="20" t="n">
        <v>1223</v>
      </c>
      <c r="S55" s="20" t="n">
        <v>6324</v>
      </c>
      <c r="T55" s="20" t="n">
        <v>22</v>
      </c>
      <c r="U55" s="20" t="n">
        <v>394</v>
      </c>
      <c r="V55" s="20" t="n">
        <v>18</v>
      </c>
      <c r="W55" s="20" t="n">
        <v>10</v>
      </c>
      <c r="X55" s="20" t="n">
        <v>39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71</v>
      </c>
      <c r="D57" s="20" t="n">
        <v>23</v>
      </c>
      <c r="E57" s="20" t="n">
        <v>77</v>
      </c>
      <c r="F57" s="20" t="n">
        <v>13</v>
      </c>
      <c r="G57" s="20" t="n">
        <v>88</v>
      </c>
      <c r="H57" s="20" t="n">
        <v>8</v>
      </c>
      <c r="I57" s="20" t="n">
        <v>140</v>
      </c>
      <c r="J57" s="20" t="n">
        <v>35</v>
      </c>
      <c r="K57" s="20" t="n">
        <v>66</v>
      </c>
      <c r="L57" s="20" t="n">
        <v>-8</v>
      </c>
      <c r="M57" s="20" t="n">
        <v>110</v>
      </c>
      <c r="N57" s="20" t="n">
        <v>19</v>
      </c>
      <c r="O57" s="19" t="n">
        <v>357</v>
      </c>
      <c r="P57" s="20" t="n">
        <v>356</v>
      </c>
      <c r="Q57" s="20" t="n">
        <v>558</v>
      </c>
      <c r="R57" s="20" t="n">
        <v>426</v>
      </c>
      <c r="S57" s="20" t="n">
        <v>525</v>
      </c>
      <c r="T57" s="20" t="n">
        <v>188</v>
      </c>
      <c r="U57" s="20" t="n">
        <v>448</v>
      </c>
      <c r="V57" s="20" t="n">
        <v>240</v>
      </c>
      <c r="W57" s="20" t="n">
        <v>186</v>
      </c>
      <c r="X57" s="20" t="n">
        <v>233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32</v>
      </c>
      <c r="D59" s="20" t="n">
        <v>25</v>
      </c>
      <c r="E59" s="20" t="n">
        <v>55</v>
      </c>
      <c r="F59" s="20" t="n">
        <v>48</v>
      </c>
      <c r="G59" s="20" t="n">
        <v>-6</v>
      </c>
      <c r="H59" s="20" t="n">
        <v>81</v>
      </c>
      <c r="I59" s="20" t="n">
        <v>42</v>
      </c>
      <c r="J59" s="20" t="n">
        <v>91</v>
      </c>
      <c r="K59" s="20" t="n">
        <v>58</v>
      </c>
      <c r="L59" s="20" t="n">
        <v>66</v>
      </c>
      <c r="M59" s="20" t="n">
        <v>59</v>
      </c>
      <c r="N59" s="20" t="n">
        <v>82</v>
      </c>
      <c r="O59" s="19" t="n">
        <v>398</v>
      </c>
      <c r="P59" s="20" t="n">
        <v>341</v>
      </c>
      <c r="Q59" s="20" t="n">
        <v>504</v>
      </c>
      <c r="R59" s="20" t="n">
        <v>361</v>
      </c>
      <c r="S59" s="20" t="n">
        <v>412</v>
      </c>
      <c r="T59" s="20" t="n">
        <v>206</v>
      </c>
      <c r="U59" s="20" t="n">
        <v>149</v>
      </c>
      <c r="V59" s="20" t="n">
        <v>114</v>
      </c>
      <c r="W59" s="20" t="n">
        <v>178</v>
      </c>
      <c r="X59" s="20" t="n">
        <v>257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500</v>
      </c>
      <c r="D61" s="12" t="n">
        <v>1061</v>
      </c>
      <c r="E61" s="12" t="n">
        <v>-274</v>
      </c>
      <c r="F61" s="12" t="n">
        <v>-8</v>
      </c>
      <c r="G61" s="12" t="n">
        <v>394</v>
      </c>
      <c r="H61" s="12" t="n">
        <v>952</v>
      </c>
      <c r="I61" s="12" t="n">
        <v>-301</v>
      </c>
      <c r="J61" s="12" t="n">
        <v>202</v>
      </c>
      <c r="K61" s="12" t="n">
        <v>862</v>
      </c>
      <c r="L61" s="12" t="n">
        <v>892</v>
      </c>
      <c r="M61" s="12" t="n">
        <v>-205</v>
      </c>
      <c r="N61" s="12" t="n">
        <v>309</v>
      </c>
      <c r="O61" s="11" t="n">
        <v>-1559</v>
      </c>
      <c r="P61" s="12" t="n">
        <v>-4232</v>
      </c>
      <c r="Q61" s="12" t="n">
        <v>1562</v>
      </c>
      <c r="R61" s="12" t="n">
        <v>-1956</v>
      </c>
      <c r="S61" s="12" t="n">
        <v>-3329</v>
      </c>
      <c r="T61" s="12" t="n">
        <v>227</v>
      </c>
      <c r="U61" s="12" t="n">
        <v>466</v>
      </c>
      <c r="V61" s="12" t="n">
        <v>775</v>
      </c>
      <c r="W61" s="12" t="n">
        <v>1064</v>
      </c>
      <c r="X61" s="12" t="n">
        <v>1655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99</v>
      </c>
      <c r="D63" s="20" t="n">
        <v>191</v>
      </c>
      <c r="E63" s="20" t="n">
        <v>19</v>
      </c>
      <c r="F63" s="20" t="n">
        <v>-83</v>
      </c>
      <c r="G63" s="20" t="n">
        <v>8</v>
      </c>
      <c r="H63" s="20" t="n">
        <v>-62</v>
      </c>
      <c r="I63" s="20" t="n">
        <v>13</v>
      </c>
      <c r="J63" s="20" t="n">
        <v>-24</v>
      </c>
      <c r="K63" s="20" t="n">
        <v>22</v>
      </c>
      <c r="L63" s="20" t="n">
        <v>216</v>
      </c>
      <c r="M63" s="20" t="n">
        <v>-90</v>
      </c>
      <c r="N63" s="20" t="n">
        <v>18</v>
      </c>
      <c r="O63" s="19" t="n">
        <v>887</v>
      </c>
      <c r="P63" s="20" t="n">
        <v>27</v>
      </c>
      <c r="Q63" s="20" t="n">
        <v>178</v>
      </c>
      <c r="R63" s="20" t="n">
        <v>255</v>
      </c>
      <c r="S63" s="20" t="n">
        <v>355</v>
      </c>
      <c r="T63" s="20" t="n">
        <v>-207</v>
      </c>
      <c r="U63" s="20" t="n">
        <v>41</v>
      </c>
      <c r="V63" s="20" t="n">
        <v>315</v>
      </c>
      <c r="W63" s="20" t="n">
        <v>-118</v>
      </c>
      <c r="X63" s="20" t="n">
        <v>227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402</v>
      </c>
      <c r="D65" s="12" t="n">
        <v>869</v>
      </c>
      <c r="E65" s="12" t="n">
        <v>-294</v>
      </c>
      <c r="F65" s="12" t="n">
        <v>76</v>
      </c>
      <c r="G65" s="12" t="n">
        <v>387</v>
      </c>
      <c r="H65" s="12" t="n">
        <v>1013</v>
      </c>
      <c r="I65" s="12" t="n">
        <v>-315</v>
      </c>
      <c r="J65" s="12" t="n">
        <v>227</v>
      </c>
      <c r="K65" s="12" t="n">
        <v>839</v>
      </c>
      <c r="L65" s="12" t="n">
        <v>676</v>
      </c>
      <c r="M65" s="12" t="n">
        <v>-114</v>
      </c>
      <c r="N65" s="12" t="n">
        <v>290</v>
      </c>
      <c r="O65" s="11" t="n">
        <v>-2447</v>
      </c>
      <c r="P65" s="12" t="n">
        <v>-4260</v>
      </c>
      <c r="Q65" s="12" t="n">
        <v>1383</v>
      </c>
      <c r="R65" s="12" t="n">
        <v>-2211</v>
      </c>
      <c r="S65" s="12" t="n">
        <v>-3685</v>
      </c>
      <c r="T65" s="12" t="n">
        <v>434</v>
      </c>
      <c r="U65" s="12" t="n">
        <v>425</v>
      </c>
      <c r="V65" s="12" t="n">
        <v>459</v>
      </c>
      <c r="W65" s="12" t="n">
        <v>1182</v>
      </c>
      <c r="X65" s="12" t="n">
        <v>1427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402</v>
      </c>
      <c r="D67" s="12" t="n">
        <v>869</v>
      </c>
      <c r="E67" s="12" t="n">
        <v>-294</v>
      </c>
      <c r="F67" s="12" t="n">
        <v>76</v>
      </c>
      <c r="G67" s="12" t="n">
        <v>387</v>
      </c>
      <c r="H67" s="12" t="n">
        <v>1013</v>
      </c>
      <c r="I67" s="12" t="n">
        <v>-315</v>
      </c>
      <c r="J67" s="12" t="n">
        <v>227</v>
      </c>
      <c r="K67" s="12" t="n">
        <v>839</v>
      </c>
      <c r="L67" s="12" t="n">
        <v>676</v>
      </c>
      <c r="M67" s="12" t="n">
        <v>-114</v>
      </c>
      <c r="N67" s="12" t="n">
        <v>290</v>
      </c>
      <c r="O67" s="11" t="n">
        <v>-2446</v>
      </c>
      <c r="P67" s="12" t="n">
        <v>-4260</v>
      </c>
      <c r="Q67" s="12" t="n">
        <v>1383</v>
      </c>
      <c r="R67" s="12" t="n">
        <v>-2211</v>
      </c>
      <c r="S67" s="12" t="n">
        <v>-3685</v>
      </c>
      <c r="T67" s="12" t="n">
        <v>434</v>
      </c>
      <c r="U67" s="12" t="n">
        <v>425</v>
      </c>
      <c r="V67" s="12" t="n">
        <v>459</v>
      </c>
      <c r="W67" s="12" t="n">
        <v>1182</v>
      </c>
      <c r="X67" s="12" t="n">
        <v>1427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()</t>
        </is>
      </c>
      <c r="B71" s="27" t="n"/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/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2024.3Q</t>
        </is>
      </c>
      <c r="D101" s="5" t="inlineStr">
        <is>
          <t>2024.4Q</t>
        </is>
      </c>
      <c r="E101" s="5" t="inlineStr">
        <is>
          <t>2025.1Q</t>
        </is>
      </c>
      <c r="F101" s="5" t="inlineStr">
        <is>
          <t>2025.2Q</t>
        </is>
      </c>
      <c r="G101" s="5" t="inlineStr">
        <is>
          <t>2025.3Q</t>
        </is>
      </c>
      <c r="H101" s="5" t="inlineStr">
        <is>
          <t>2025.4Q</t>
        </is>
      </c>
      <c r="I101" s="5" t="inlineStr">
        <is>
          <t>2026.1Q</t>
        </is>
      </c>
      <c r="J101" s="5" t="inlineStr">
        <is>
          <t>2026.2Q</t>
        </is>
      </c>
      <c r="K101" s="5" t="inlineStr">
        <is>
          <t>2026.3Q</t>
        </is>
      </c>
      <c r="L101" s="5" t="inlineStr">
        <is>
          <t>2026.4Q</t>
        </is>
      </c>
      <c r="M101" s="5" t="inlineStr">
        <is>
          <t>2027.1Q</t>
        </is>
      </c>
      <c r="N101" s="5" t="inlineStr">
        <is>
          <t>2027.2Q</t>
        </is>
      </c>
      <c r="O101" s="5" t="inlineStr">
        <is>
          <t>2017</t>
        </is>
      </c>
      <c r="P101" s="5" t="inlineStr">
        <is>
          <t>2018</t>
        </is>
      </c>
      <c r="Q101" s="5" t="inlineStr">
        <is>
          <t>2019</t>
        </is>
      </c>
      <c r="R101" s="5" t="inlineStr">
        <is>
          <t>2020</t>
        </is>
      </c>
      <c r="S101" s="5" t="inlineStr">
        <is>
          <t>2021</t>
        </is>
      </c>
      <c r="T101" s="5" t="inlineStr">
        <is>
          <t>2022</t>
        </is>
      </c>
      <c r="U101" s="5" t="inlineStr">
        <is>
          <t>2023</t>
        </is>
      </c>
      <c r="V101" s="5" t="inlineStr">
        <is>
          <t>2024</t>
        </is>
      </c>
      <c r="W101" s="5" t="inlineStr">
        <is>
          <t>2025</t>
        </is>
      </c>
      <c r="X101" s="5" t="inlineStr">
        <is>
          <t>2026</t>
        </is>
      </c>
      <c r="Y101" s="5" t="inlineStr">
        <is>
          <t>2027(MW)</t>
        </is>
      </c>
      <c r="Z101" s="5" t="inlineStr">
        <is>
          <t>2028(MW)</t>
        </is>
      </c>
      <c r="AA101" s="5" t="inlineStr">
        <is>
          <t>2029(MW)</t>
        </is>
      </c>
      <c r="AB101" s="5" t="inlineStr">
        <is>
          <t>2030(MW)</t>
        </is>
      </c>
      <c r="AC101" s="5" t="inlineStr">
        <is>
          <t>2031(MW)</t>
        </is>
      </c>
    </row>
    <row r="102">
      <c r="A102" s="9" t="inlineStr">
        <is>
          <t>매출액</t>
        </is>
      </c>
      <c r="C102" s="12" t="n">
        <v>6951</v>
      </c>
      <c r="D102" s="12" t="n">
        <v>8075</v>
      </c>
      <c r="E102" s="12" t="n">
        <v>4718</v>
      </c>
      <c r="F102" s="12" t="n">
        <v>5524</v>
      </c>
      <c r="G102" s="12" t="n">
        <v>5719</v>
      </c>
      <c r="H102" s="12" t="n">
        <v>9045</v>
      </c>
      <c r="I102" s="12" t="n">
        <v>4775</v>
      </c>
      <c r="J102" s="12" t="n">
        <v>6239</v>
      </c>
      <c r="K102" s="12" t="n">
        <v>7958</v>
      </c>
      <c r="L102" s="12" t="n">
        <v>7856</v>
      </c>
      <c r="M102" s="12" t="n">
        <v>5551</v>
      </c>
      <c r="N102" s="12" t="n">
        <v>7457</v>
      </c>
      <c r="T102" s="12" t="n">
        <v>5957</v>
      </c>
      <c r="U102" s="12" t="n">
        <v>6840</v>
      </c>
      <c r="V102" s="12" t="n">
        <v>8075</v>
      </c>
      <c r="W102" s="12" t="n">
        <v>9045</v>
      </c>
      <c r="X102" s="12" t="n">
        <v>7856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5326</v>
      </c>
      <c r="D104" s="20" t="n">
        <v>5940</v>
      </c>
      <c r="E104" s="20" t="n">
        <v>3663</v>
      </c>
      <c r="F104" s="20" t="n">
        <v>4169</v>
      </c>
      <c r="G104" s="20" t="n">
        <v>4198</v>
      </c>
      <c r="H104" s="20" t="n">
        <v>6743</v>
      </c>
      <c r="I104" s="20" t="n">
        <v>3671</v>
      </c>
      <c r="J104" s="20" t="n">
        <v>4516</v>
      </c>
      <c r="K104" s="20" t="n">
        <v>5671</v>
      </c>
      <c r="L104" s="20" t="n">
        <v>5456</v>
      </c>
      <c r="M104" s="20" t="n">
        <v>4156</v>
      </c>
      <c r="N104" s="20" t="n">
        <v>5504</v>
      </c>
      <c r="T104" s="20" t="n">
        <v>4436</v>
      </c>
      <c r="U104" s="20" t="n">
        <v>5016</v>
      </c>
      <c r="V104" s="20" t="n">
        <v>5940</v>
      </c>
      <c r="W104" s="20" t="n">
        <v>6743</v>
      </c>
      <c r="X104" s="20" t="n">
        <v>5456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1625</v>
      </c>
      <c r="D106" s="12" t="n">
        <v>2136</v>
      </c>
      <c r="E106" s="12" t="n">
        <v>1055</v>
      </c>
      <c r="F106" s="12" t="n">
        <v>1355</v>
      </c>
      <c r="G106" s="12" t="n">
        <v>1521</v>
      </c>
      <c r="H106" s="12" t="n">
        <v>2301</v>
      </c>
      <c r="I106" s="12" t="n">
        <v>1103</v>
      </c>
      <c r="J106" s="12" t="n">
        <v>1723</v>
      </c>
      <c r="K106" s="12" t="n">
        <v>2288</v>
      </c>
      <c r="L106" s="12" t="n">
        <v>2399</v>
      </c>
      <c r="M106" s="12" t="n">
        <v>1395</v>
      </c>
      <c r="N106" s="12" t="n">
        <v>1953</v>
      </c>
      <c r="T106" s="12" t="n">
        <v>1521</v>
      </c>
      <c r="U106" s="12" t="n">
        <v>1824</v>
      </c>
      <c r="V106" s="12" t="n">
        <v>2136</v>
      </c>
      <c r="W106" s="12" t="n">
        <v>2301</v>
      </c>
      <c r="X106" s="12" t="n">
        <v>2399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1164</v>
      </c>
      <c r="D108" s="20" t="n">
        <v>1210</v>
      </c>
      <c r="E108" s="20" t="n">
        <v>1351</v>
      </c>
      <c r="F108" s="20" t="n">
        <v>1330</v>
      </c>
      <c r="G108" s="20" t="n">
        <v>1211</v>
      </c>
      <c r="H108" s="20" t="n">
        <v>1274</v>
      </c>
      <c r="I108" s="20" t="n">
        <v>1503</v>
      </c>
      <c r="J108" s="20" t="n">
        <v>1451</v>
      </c>
      <c r="K108" s="20" t="n">
        <v>1429</v>
      </c>
      <c r="L108" s="20" t="n">
        <v>1455</v>
      </c>
      <c r="M108" s="20" t="n">
        <v>1638</v>
      </c>
      <c r="N108" s="20" t="n">
        <v>1582</v>
      </c>
      <c r="T108" s="20" t="n">
        <v>1100</v>
      </c>
      <c r="U108" s="20" t="n">
        <v>1192</v>
      </c>
      <c r="V108" s="20" t="n">
        <v>1210</v>
      </c>
      <c r="W108" s="20" t="n">
        <v>1274</v>
      </c>
      <c r="X108" s="20" t="n">
        <v>1455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T109" s="15">
        <f>IF(OR(T108="",S108=""),"",IF(T108*S108&lt;=0,"",IFERROR(T108/S108-1,"")))</f>
        <v/>
      </c>
      <c r="U109" s="15">
        <f>IF(OR(U108="",T108=""),"",IF(U108*T108&lt;=0,"",IFERROR(U108/T108-1,"")))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영업이익(손실)</t>
        </is>
      </c>
      <c r="C110" s="12" t="n">
        <v>461</v>
      </c>
      <c r="D110" s="12" t="n">
        <v>925</v>
      </c>
      <c r="E110" s="12" t="n">
        <v>-296</v>
      </c>
      <c r="F110" s="12" t="n">
        <v>26</v>
      </c>
      <c r="G110" s="12" t="n">
        <v>308</v>
      </c>
      <c r="H110" s="12" t="n">
        <v>1027</v>
      </c>
      <c r="I110" s="12" t="n">
        <v>-399</v>
      </c>
      <c r="J110" s="12" t="n">
        <v>272</v>
      </c>
      <c r="K110" s="12" t="n">
        <v>858</v>
      </c>
      <c r="L110" s="12" t="n">
        <v>943</v>
      </c>
      <c r="M110" s="12" t="n">
        <v>-242</v>
      </c>
      <c r="N110" s="12" t="n">
        <v>369</v>
      </c>
      <c r="T110" s="12" t="n">
        <v>419</v>
      </c>
      <c r="U110" s="12" t="n">
        <v>631</v>
      </c>
      <c r="V110" s="12" t="n">
        <v>925</v>
      </c>
      <c r="W110" s="12" t="n">
        <v>1027</v>
      </c>
      <c r="X110" s="12" t="n">
        <v>943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T111" s="15">
        <f>IF(OR(T110="",T102=""),"",IF(T102&lt;=0,"",IFERROR(T110/T102,"")))</f>
        <v/>
      </c>
      <c r="U111" s="15">
        <f>IF(OR(U110="",U102=""),"",IF(U102&lt;=0,"",IFERROR(U110/U102,"")))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T112" s="15">
        <f>IF(OR(T110="",S110=""),"",IF(S110&lt;=0,"",IFERROR(T110/S110-1,"")))</f>
        <v/>
      </c>
      <c r="U112" s="15">
        <f>IF(OR(U110="",T110=""),"",IF(T110&lt;=0,"",IFERROR(U110/T110-1,"")))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1</v>
      </c>
      <c r="D113" s="20" t="n">
        <v>0</v>
      </c>
      <c r="E113" s="20" t="n">
        <v>2</v>
      </c>
      <c r="F113" s="20" t="n">
        <v>1</v>
      </c>
      <c r="G113" s="20" t="n">
        <v>0</v>
      </c>
      <c r="H113" s="20" t="n">
        <v>0</v>
      </c>
      <c r="I113" s="20" t="n">
        <v>3</v>
      </c>
      <c r="J113" s="20" t="n">
        <v>2</v>
      </c>
      <c r="K113" s="20" t="n">
        <v>0</v>
      </c>
      <c r="L113" s="20" t="n">
        <v>-1</v>
      </c>
      <c r="M113" s="20" t="n">
        <v>1</v>
      </c>
      <c r="N113" s="20" t="n">
        <v>3</v>
      </c>
      <c r="T113" s="20" t="n">
        <v>0</v>
      </c>
      <c r="U113" s="20" t="n">
        <v>1</v>
      </c>
      <c r="V113" s="20" t="n">
        <v>0</v>
      </c>
      <c r="W113" s="20" t="n">
        <v>0</v>
      </c>
      <c r="X113" s="20" t="n">
        <v>-1</v>
      </c>
    </row>
    <row r="114">
      <c r="A114" s="18" t="inlineStr">
        <is>
          <t>배당금수익</t>
        </is>
      </c>
      <c r="C114" s="20" t="n">
        <v>64</v>
      </c>
      <c r="D114" s="20" t="n">
        <v>7</v>
      </c>
      <c r="E114" s="20" t="n">
        <v>69</v>
      </c>
      <c r="F114" s="20" t="n">
        <v>8</v>
      </c>
      <c r="G114" s="20" t="n">
        <v>87</v>
      </c>
      <c r="H114" s="20" t="n">
        <v>7</v>
      </c>
      <c r="I114" s="20" t="n">
        <v>100</v>
      </c>
      <c r="J114" s="20" t="n">
        <v>10</v>
      </c>
      <c r="K114" s="20" t="n">
        <v>66</v>
      </c>
      <c r="L114" s="20" t="n">
        <v>8</v>
      </c>
      <c r="M114" s="20" t="n">
        <v>90</v>
      </c>
      <c r="N114" s="20" t="n">
        <v>15</v>
      </c>
      <c r="T114" s="20" t="n">
        <v>2</v>
      </c>
      <c r="U114" s="20" t="n">
        <v>6</v>
      </c>
      <c r="V114" s="20" t="n">
        <v>7</v>
      </c>
      <c r="W114" s="20" t="n">
        <v>7</v>
      </c>
      <c r="X114" s="20" t="n">
        <v>8</v>
      </c>
    </row>
    <row r="115">
      <c r="A115" s="18" t="inlineStr">
        <is>
          <t>외환차익</t>
        </is>
      </c>
      <c r="G115" s="20" t="n">
        <v>0</v>
      </c>
      <c r="K115" s="20" t="n">
        <v>-1</v>
      </c>
    </row>
    <row r="116">
      <c r="A116" s="18" t="inlineStr">
        <is>
          <t>기타</t>
        </is>
      </c>
      <c r="C116" s="20" t="n">
        <v>5</v>
      </c>
      <c r="D116" s="20" t="n">
        <v>16</v>
      </c>
      <c r="E116" s="20" t="n">
        <v>5</v>
      </c>
      <c r="F116" s="20" t="n">
        <v>4</v>
      </c>
      <c r="G116" s="20" t="n">
        <v>1</v>
      </c>
      <c r="H116" s="20" t="n">
        <v>1</v>
      </c>
      <c r="I116" s="20" t="n">
        <v>37</v>
      </c>
      <c r="J116" s="20" t="n">
        <v>-18</v>
      </c>
      <c r="K116" s="20" t="n">
        <v>0</v>
      </c>
      <c r="L116" s="20" t="n">
        <v>25</v>
      </c>
      <c r="M116" s="20" t="n">
        <v>17</v>
      </c>
      <c r="N116" s="20" t="n">
        <v>1</v>
      </c>
      <c r="T116" s="20" t="n">
        <v>12</v>
      </c>
      <c r="U116" s="20" t="n">
        <v>25</v>
      </c>
      <c r="V116" s="20" t="n">
        <v>16</v>
      </c>
      <c r="W116" s="20" t="n">
        <v>1</v>
      </c>
      <c r="X116" s="20" t="n">
        <v>25</v>
      </c>
    </row>
    <row r="117">
      <c r="A117" s="18" t="inlineStr">
        <is>
          <t>영업외수익 합계</t>
        </is>
      </c>
      <c r="C117" s="20" t="n">
        <v>71</v>
      </c>
      <c r="D117" s="20" t="n">
        <v>23</v>
      </c>
      <c r="E117" s="20" t="n">
        <v>77</v>
      </c>
      <c r="F117" s="20" t="n">
        <v>13</v>
      </c>
      <c r="G117" s="20" t="n">
        <v>88</v>
      </c>
      <c r="H117" s="20" t="n">
        <v>8</v>
      </c>
      <c r="I117" s="20" t="n">
        <v>140</v>
      </c>
      <c r="J117" s="20" t="n">
        <v>35</v>
      </c>
      <c r="K117" s="20" t="n">
        <v>66</v>
      </c>
      <c r="L117" s="20" t="n">
        <v>-8</v>
      </c>
      <c r="M117" s="20" t="n">
        <v>110</v>
      </c>
      <c r="N117" s="20" t="n">
        <v>19</v>
      </c>
      <c r="T117" s="20" t="n">
        <v>14</v>
      </c>
      <c r="U117" s="20" t="n">
        <v>31</v>
      </c>
      <c r="V117" s="20" t="n">
        <v>23</v>
      </c>
      <c r="W117" s="20" t="n">
        <v>8</v>
      </c>
      <c r="X117" s="20" t="n">
        <v>-8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이자비용</t>
        </is>
      </c>
      <c r="C119" s="20" t="n">
        <v>23</v>
      </c>
      <c r="D119" s="20" t="n">
        <v>23</v>
      </c>
      <c r="E119" s="20" t="n">
        <v>26</v>
      </c>
      <c r="F119" s="20" t="n">
        <v>27</v>
      </c>
      <c r="G119" s="20" t="n">
        <v>32</v>
      </c>
      <c r="H119" s="20" t="n">
        <v>33</v>
      </c>
      <c r="I119" s="20" t="n">
        <v>41</v>
      </c>
      <c r="J119" s="20" t="n">
        <v>43</v>
      </c>
      <c r="K119" s="20" t="n">
        <v>36</v>
      </c>
      <c r="L119" s="20" t="n">
        <v>37</v>
      </c>
      <c r="M119" s="20" t="n">
        <v>42</v>
      </c>
      <c r="N119" s="20" t="n">
        <v>46</v>
      </c>
      <c r="T119" s="20" t="n">
        <v>31</v>
      </c>
      <c r="U119" s="20" t="n">
        <v>28</v>
      </c>
      <c r="V119" s="20" t="n">
        <v>23</v>
      </c>
      <c r="W119" s="20" t="n">
        <v>33</v>
      </c>
      <c r="X119" s="20" t="n">
        <v>37</v>
      </c>
    </row>
    <row r="120">
      <c r="A120" s="18" t="inlineStr">
        <is>
          <t>외환차손</t>
        </is>
      </c>
      <c r="E120" s="20" t="n">
        <v>24</v>
      </c>
      <c r="F120" s="20" t="n">
        <v>20</v>
      </c>
      <c r="G120" s="20" t="n">
        <v>-39</v>
      </c>
      <c r="H120" s="20" t="n">
        <v>27</v>
      </c>
      <c r="I120" s="20" t="n">
        <v>0</v>
      </c>
      <c r="J120" s="20" t="n">
        <v>0</v>
      </c>
      <c r="K120" s="20" t="n">
        <v>0</v>
      </c>
      <c r="L120" s="20" t="n">
        <v>0</v>
      </c>
      <c r="M120" s="20" t="n">
        <v>8</v>
      </c>
      <c r="W120" s="20" t="n">
        <v>27</v>
      </c>
      <c r="X120" s="20" t="n">
        <v>0</v>
      </c>
    </row>
    <row r="121">
      <c r="A121" s="18" t="inlineStr">
        <is>
          <t>신디케이트론 수수료</t>
        </is>
      </c>
      <c r="G121" s="20" t="n">
        <v>0</v>
      </c>
      <c r="H121" s="20" t="n">
        <v>0</v>
      </c>
      <c r="K121" s="20" t="n">
        <v>0</v>
      </c>
      <c r="L121" s="20" t="n">
        <v>0</v>
      </c>
      <c r="W121" s="20" t="n">
        <v>0</v>
      </c>
      <c r="X121" s="20" t="n">
        <v>0</v>
      </c>
    </row>
    <row r="122">
      <c r="A122" s="18" t="inlineStr">
        <is>
          <t>기타</t>
        </is>
      </c>
      <c r="C122" s="20" t="n">
        <v>9</v>
      </c>
      <c r="D122" s="20" t="n">
        <v>2</v>
      </c>
      <c r="E122" s="20" t="n">
        <v>4</v>
      </c>
      <c r="F122" s="20" t="n">
        <v>1</v>
      </c>
      <c r="G122" s="20" t="n">
        <v>2</v>
      </c>
      <c r="H122" s="20" t="n">
        <v>20</v>
      </c>
      <c r="I122" s="20" t="n">
        <v>1</v>
      </c>
      <c r="J122" s="20" t="n">
        <v>2</v>
      </c>
      <c r="K122" s="20" t="n">
        <v>22</v>
      </c>
      <c r="L122" s="20" t="n">
        <v>30</v>
      </c>
      <c r="M122" s="20" t="n">
        <v>8</v>
      </c>
      <c r="N122" s="20" t="n">
        <v>45</v>
      </c>
      <c r="T122" s="20" t="n">
        <v>33</v>
      </c>
      <c r="U122" s="20" t="n">
        <v>0</v>
      </c>
      <c r="V122" s="20" t="n">
        <v>2</v>
      </c>
      <c r="W122" s="20" t="n">
        <v>20</v>
      </c>
      <c r="X122" s="20" t="n">
        <v>30</v>
      </c>
    </row>
    <row r="123">
      <c r="A123" s="18" t="inlineStr">
        <is>
          <t>영업외비용 합계</t>
        </is>
      </c>
      <c r="C123" s="20" t="n">
        <v>32</v>
      </c>
      <c r="D123" s="20" t="n">
        <v>25</v>
      </c>
      <c r="E123" s="20" t="n">
        <v>55</v>
      </c>
      <c r="F123" s="20" t="n">
        <v>48</v>
      </c>
      <c r="G123" s="20" t="n">
        <v>-6</v>
      </c>
      <c r="H123" s="20" t="n">
        <v>81</v>
      </c>
      <c r="I123" s="20" t="n">
        <v>42</v>
      </c>
      <c r="J123" s="20" t="n">
        <v>91</v>
      </c>
      <c r="K123" s="20" t="n">
        <v>58</v>
      </c>
      <c r="L123" s="20" t="n">
        <v>66</v>
      </c>
      <c r="M123" s="20" t="n">
        <v>59</v>
      </c>
      <c r="N123" s="20" t="n">
        <v>82</v>
      </c>
      <c r="T123" s="20" t="n">
        <v>65</v>
      </c>
      <c r="U123" s="20" t="n">
        <v>29</v>
      </c>
      <c r="V123" s="20" t="n">
        <v>25</v>
      </c>
      <c r="W123" s="20" t="n">
        <v>81</v>
      </c>
      <c r="X123" s="20" t="n">
        <v>66</v>
      </c>
    </row>
    <row r="124">
      <c r="A124" s="43" t="inlineStr">
        <is>
          <t>YoY</t>
        </is>
      </c>
      <c r="B124" s="3" t="inlineStr">
        <is>
          <t>전년 같은 분기·전년 대비</t>
        </is>
      </c>
      <c r="G124" s="15">
        <f>IF(OR(G123="",C123=""),"",IF(G123*C123&lt;=0,"",IFERROR(G123/C123-1,"")))</f>
        <v/>
      </c>
      <c r="H124" s="15">
        <f>IF(OR(H123="",D123=""),"",IF(H123*D123&lt;=0,"",IFERROR(H123/D123-1,"")))</f>
        <v/>
      </c>
      <c r="I124" s="15">
        <f>IF(OR(I123="",E123=""),"",IF(I123*E123&lt;=0,"",IFERROR(I123/E123-1,"")))</f>
        <v/>
      </c>
      <c r="J124" s="15">
        <f>IF(OR(J123="",F123=""),"",IF(J123*F123&lt;=0,"",IFERROR(J123/F123-1,"")))</f>
        <v/>
      </c>
      <c r="K124" s="15">
        <f>IF(OR(K123="",G123=""),"",IF(K123*G123&lt;=0,"",IFERROR(K123/G123-1,"")))</f>
        <v/>
      </c>
      <c r="L124" s="15">
        <f>IF(OR(L123="",H123=""),"",IF(L123*H123&lt;=0,"",IFERROR(L123/H123-1,"")))</f>
        <v/>
      </c>
      <c r="M124" s="15">
        <f>IF(OR(M123="",I123=""),"",IF(M123*I123&lt;=0,"",IFERROR(M123/I123-1,"")))</f>
        <v/>
      </c>
      <c r="N124" s="15">
        <f>IF(OR(N123="",J123=""),"",IF(N123*J123&lt;=0,"",IFERROR(N123/J123-1,"")))</f>
        <v/>
      </c>
      <c r="T124" s="15">
        <f>IF(OR(T123="",S123=""),"",IF(T123*S123&lt;=0,"",IFERROR(T123/S123-1,"")))</f>
        <v/>
      </c>
      <c r="U124" s="15">
        <f>IF(OR(U123="",T123=""),"",IF(U123*T123&lt;=0,"",IFERROR(U123/T123-1,"")))</f>
        <v/>
      </c>
      <c r="V124" s="15">
        <f>IF(OR(V123="",U123=""),"",IF(V123*U123&lt;=0,"",IFERROR(V123/U123-1,"")))</f>
        <v/>
      </c>
      <c r="W124" s="15">
        <f>IF(OR(W123="",V123=""),"",IF(W123*V123&lt;=0,"",IFERROR(W123/V123-1,"")))</f>
        <v/>
      </c>
      <c r="X124" s="15">
        <f>IF(OR(X123="",W123=""),"",IF(X123*W123&lt;=0,"",IFERROR(X123/W123-1,"")))</f>
        <v/>
      </c>
    </row>
    <row r="125">
      <c r="A125" s="9" t="inlineStr">
        <is>
          <t>경상이익(손실)</t>
        </is>
      </c>
      <c r="C125" s="12" t="n">
        <v>499</v>
      </c>
      <c r="D125" s="12" t="n">
        <v>925</v>
      </c>
      <c r="E125" s="12" t="n">
        <v>-274</v>
      </c>
      <c r="F125" s="12" t="n">
        <v>-9</v>
      </c>
      <c r="G125" s="12" t="n">
        <v>401</v>
      </c>
      <c r="H125" s="12" t="n">
        <v>955</v>
      </c>
      <c r="I125" s="12" t="n">
        <v>-301</v>
      </c>
      <c r="J125" s="12" t="n">
        <v>217</v>
      </c>
      <c r="K125" s="12" t="n">
        <v>864</v>
      </c>
      <c r="L125" s="12" t="n">
        <v>870</v>
      </c>
      <c r="M125" s="12" t="n">
        <v>-191</v>
      </c>
      <c r="N125" s="12" t="n">
        <v>305</v>
      </c>
      <c r="T125" s="12" t="n">
        <v>370</v>
      </c>
      <c r="U125" s="12" t="n">
        <v>635</v>
      </c>
      <c r="V125" s="12" t="n">
        <v>925</v>
      </c>
      <c r="W125" s="12" t="n">
        <v>955</v>
      </c>
      <c r="X125" s="12" t="n">
        <v>870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18" t="inlineStr">
        <is>
          <t>투자유가증권 매각이익</t>
        </is>
      </c>
      <c r="C127" s="20" t="n">
        <v>0</v>
      </c>
      <c r="D127" s="20" t="n">
        <v>155</v>
      </c>
      <c r="G127" s="20" t="n">
        <v>0</v>
      </c>
      <c r="H127" s="20" t="n">
        <v>0</v>
      </c>
      <c r="K127" s="20" t="n">
        <v>0</v>
      </c>
      <c r="L127" s="20" t="n">
        <v>25</v>
      </c>
      <c r="T127" s="20" t="n">
        <v>0</v>
      </c>
      <c r="U127" s="20" t="n">
        <v>458</v>
      </c>
      <c r="V127" s="20" t="n">
        <v>155</v>
      </c>
      <c r="W127" s="20" t="n">
        <v>0</v>
      </c>
      <c r="X127" s="20" t="n">
        <v>25</v>
      </c>
    </row>
    <row r="128">
      <c r="A128" s="18" t="inlineStr">
        <is>
          <t>부의 영업권 발생이익</t>
        </is>
      </c>
      <c r="G128" s="20" t="n">
        <v>0</v>
      </c>
      <c r="H128" s="20" t="n">
        <v>0</v>
      </c>
      <c r="K128" s="20" t="n">
        <v>0</v>
      </c>
      <c r="L128" s="20" t="n">
        <v>0</v>
      </c>
      <c r="W128" s="20" t="n">
        <v>0</v>
      </c>
      <c r="X128" s="20" t="n">
        <v>0</v>
      </c>
    </row>
    <row r="129">
      <c r="A129" s="18" t="inlineStr">
        <is>
          <t>고정자산 매각이익</t>
        </is>
      </c>
      <c r="C129" s="20" t="n">
        <v>0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K129" s="20" t="n">
        <v>0</v>
      </c>
      <c r="L129" s="20" t="n">
        <v>2</v>
      </c>
      <c r="T129" s="20" t="n">
        <v>0</v>
      </c>
      <c r="U129" s="20" t="n">
        <v>1</v>
      </c>
      <c r="V129" s="20" t="n">
        <v>0</v>
      </c>
      <c r="W129" s="20" t="n">
        <v>0</v>
      </c>
      <c r="X129" s="20" t="n">
        <v>2</v>
      </c>
    </row>
    <row r="130">
      <c r="A130" s="18" t="inlineStr">
        <is>
          <t>특별이익 합계</t>
        </is>
      </c>
      <c r="C130" s="20" t="n">
        <v>0</v>
      </c>
      <c r="D130" s="20" t="n">
        <v>155</v>
      </c>
      <c r="E130" s="20" t="n">
        <v>0</v>
      </c>
      <c r="F130" s="20" t="n">
        <v>0</v>
      </c>
      <c r="G130" s="20" t="n">
        <v>0</v>
      </c>
      <c r="H130" s="20" t="n">
        <v>0</v>
      </c>
      <c r="K130" s="20" t="n">
        <v>1</v>
      </c>
      <c r="L130" s="20" t="n">
        <v>26</v>
      </c>
      <c r="T130" s="20" t="n">
        <v>0</v>
      </c>
      <c r="U130" s="20" t="n">
        <v>459</v>
      </c>
      <c r="V130" s="20" t="n">
        <v>155</v>
      </c>
      <c r="W130" s="20" t="n">
        <v>0</v>
      </c>
      <c r="X130" s="20" t="n">
        <v>26</v>
      </c>
    </row>
    <row r="131">
      <c r="A131" s="43" t="inlineStr">
        <is>
          <t>YoY</t>
        </is>
      </c>
      <c r="B131" s="3" t="inlineStr">
        <is>
          <t>전년 같은 분기·전년 대비</t>
        </is>
      </c>
      <c r="G131" s="15">
        <f>IF(OR(G130="",C130=""),"",IF(G130*C130&lt;=0,"",IFERROR(G130/C130-1,"")))</f>
        <v/>
      </c>
      <c r="H131" s="15">
        <f>IF(OR(H130="",D130=""),"",IF(H130*D130&lt;=0,"",IFERROR(H130/D130-1,"")))</f>
        <v/>
      </c>
      <c r="K131" s="15">
        <f>IF(OR(K130="",G130=""),"",IF(K130*G130&lt;=0,"",IFERROR(K130/G130-1,"")))</f>
        <v/>
      </c>
      <c r="L131" s="15">
        <f>IF(OR(L130="",H130=""),"",IF(L130*H130&lt;=0,"",IFERROR(L130/H130-1,"")))</f>
        <v/>
      </c>
      <c r="T131" s="15">
        <f>IF(OR(T130="",S130=""),"",IF(T130*S130&lt;=0,"",IFERROR(T130/S130-1,"")))</f>
        <v/>
      </c>
      <c r="U131" s="15">
        <f>IF(OR(U130="",T130=""),"",IF(U130*T130&lt;=0,"",IFERROR(U130/T130-1,"")))</f>
        <v/>
      </c>
      <c r="V131" s="15">
        <f>IF(OR(V130="",U130=""),"",IF(V130*U130&lt;=0,"",IFERROR(V130/U130-1,"")))</f>
        <v/>
      </c>
      <c r="W131" s="15">
        <f>IF(OR(W130="",V130=""),"",IF(W130*V130&lt;=0,"",IFERROR(W130/V130-1,"")))</f>
        <v/>
      </c>
      <c r="X131" s="15">
        <f>IF(OR(X130="",W130=""),"",IF(X130*W130&lt;=0,"",IFERROR(X130/W130-1,"")))</f>
        <v/>
      </c>
    </row>
    <row r="132">
      <c r="A132" s="18" t="inlineStr">
        <is>
          <t>대손충당금 전입</t>
        </is>
      </c>
      <c r="G132" s="20" t="n">
        <v>0</v>
      </c>
      <c r="H132" s="20" t="n">
        <v>0</v>
      </c>
      <c r="K132" s="20" t="n">
        <v>3</v>
      </c>
      <c r="L132" s="20" t="n">
        <v>0</v>
      </c>
      <c r="W132" s="20" t="n">
        <v>0</v>
      </c>
      <c r="X132" s="20" t="n">
        <v>0</v>
      </c>
    </row>
    <row r="133">
      <c r="A133" s="18" t="inlineStr">
        <is>
          <t>투자유가증권 평가손실</t>
        </is>
      </c>
      <c r="D133" s="20" t="n">
        <v>0</v>
      </c>
      <c r="H133" s="20" t="n">
        <v>0</v>
      </c>
      <c r="L133" s="20" t="n">
        <v>0</v>
      </c>
      <c r="T133" s="20" t="n">
        <v>2</v>
      </c>
      <c r="U133" s="20" t="n">
        <v>0</v>
      </c>
      <c r="V133" s="20" t="n">
        <v>0</v>
      </c>
      <c r="W133" s="20" t="n">
        <v>0</v>
      </c>
      <c r="X133" s="20" t="n">
        <v>0</v>
      </c>
    </row>
    <row r="134">
      <c r="A134" s="18" t="inlineStr">
        <is>
          <t>고정자산 철거비용</t>
        </is>
      </c>
      <c r="I134" s="20" t="n">
        <v>0</v>
      </c>
      <c r="J134" s="20" t="n">
        <v>0</v>
      </c>
      <c r="M134" s="20" t="n">
        <v>13</v>
      </c>
      <c r="N134" s="20" t="n">
        <v>0</v>
      </c>
    </row>
    <row r="135">
      <c r="A135" s="18" t="inlineStr">
        <is>
          <t>특별손실 합계</t>
        </is>
      </c>
      <c r="D135" s="20" t="n">
        <v>18</v>
      </c>
      <c r="G135" s="20" t="n">
        <v>6</v>
      </c>
      <c r="H135" s="20" t="n">
        <v>4</v>
      </c>
      <c r="I135" s="20" t="n">
        <v>0</v>
      </c>
      <c r="J135" s="20" t="n">
        <v>32</v>
      </c>
      <c r="K135" s="20" t="n">
        <v>3</v>
      </c>
      <c r="L135" s="20" t="n">
        <v>4</v>
      </c>
      <c r="M135" s="20" t="n">
        <v>13</v>
      </c>
      <c r="N135" s="20" t="n">
        <v>0</v>
      </c>
      <c r="T135" s="20" t="n">
        <v>13</v>
      </c>
      <c r="U135" s="20" t="n">
        <v>394</v>
      </c>
      <c r="V135" s="20" t="n">
        <v>18</v>
      </c>
      <c r="W135" s="20" t="n">
        <v>4</v>
      </c>
      <c r="X135" s="20" t="n">
        <v>4</v>
      </c>
    </row>
    <row r="136">
      <c r="A136" s="43" t="inlineStr">
        <is>
          <t>YoY</t>
        </is>
      </c>
      <c r="B136" s="3" t="inlineStr">
        <is>
          <t>전년 같은 분기·전년 대비</t>
        </is>
      </c>
      <c r="G136" s="15">
        <f>IF(OR(G135="",C135=""),"",IF(G135*C135&lt;=0,"",IFERROR(G135/C135-1,"")))</f>
        <v/>
      </c>
      <c r="H136" s="15">
        <f>IF(OR(H135="",D135=""),"",IF(H135*D135&lt;=0,"",IFERROR(H135/D135-1,"")))</f>
        <v/>
      </c>
      <c r="I136" s="15">
        <f>IF(OR(I135="",E135=""),"",IF(I135*E135&lt;=0,"",IFERROR(I135/E135-1,"")))</f>
        <v/>
      </c>
      <c r="J136" s="15">
        <f>IF(OR(J135="",F135=""),"",IF(J135*F135&lt;=0,"",IFERROR(J135/F135-1,"")))</f>
        <v/>
      </c>
      <c r="K136" s="15">
        <f>IF(OR(K135="",G135=""),"",IF(K135*G135&lt;=0,"",IFERROR(K135/G135-1,"")))</f>
        <v/>
      </c>
      <c r="L136" s="15">
        <f>IF(OR(L135="",H135=""),"",IF(L135*H135&lt;=0,"",IFERROR(L135/H135-1,"")))</f>
        <v/>
      </c>
      <c r="M136" s="15">
        <f>IF(OR(M135="",I135=""),"",IF(M135*I135&lt;=0,"",IFERROR(M135/I135-1,"")))</f>
        <v/>
      </c>
      <c r="N136" s="15">
        <f>IF(OR(N135="",J135=""),"",IF(N135*J135&lt;=0,"",IFERROR(N135/J135-1,"")))</f>
        <v/>
      </c>
      <c r="T136" s="15">
        <f>IF(OR(T135="",S135=""),"",IF(T135*S135&lt;=0,"",IFERROR(T135/S135-1,"")))</f>
        <v/>
      </c>
      <c r="U136" s="15">
        <f>IF(OR(U135="",T135=""),"",IF(U135*T135&lt;=0,"",IFERROR(U135/T135-1,"")))</f>
        <v/>
      </c>
      <c r="V136" s="15">
        <f>IF(OR(V135="",U135=""),"",IF(V135*U135&lt;=0,"",IFERROR(V135/U135-1,"")))</f>
        <v/>
      </c>
      <c r="W136" s="15">
        <f>IF(OR(W135="",V135=""),"",IF(W135*V135&lt;=0,"",IFERROR(W135/V135-1,"")))</f>
        <v/>
      </c>
      <c r="X136" s="15">
        <f>IF(OR(X135="",W135=""),"",IF(X135*W135&lt;=0,"",IFERROR(X135/W135-1,"")))</f>
        <v/>
      </c>
    </row>
    <row r="137">
      <c r="A137" s="9" t="inlineStr">
        <is>
          <t>법인세차감전 중간순이익(손실)</t>
        </is>
      </c>
      <c r="C137" s="12" t="n">
        <v>500</v>
      </c>
      <c r="D137" s="12" t="n">
        <v>1061</v>
      </c>
      <c r="E137" s="12" t="n">
        <v>-274</v>
      </c>
      <c r="F137" s="12" t="n">
        <v>-8</v>
      </c>
      <c r="G137" s="12" t="n">
        <v>394</v>
      </c>
      <c r="H137" s="12" t="n">
        <v>952</v>
      </c>
      <c r="I137" s="12" t="n">
        <v>-301</v>
      </c>
      <c r="J137" s="12" t="n">
        <v>202</v>
      </c>
      <c r="K137" s="12" t="n">
        <v>862</v>
      </c>
      <c r="L137" s="12" t="n">
        <v>892</v>
      </c>
      <c r="M137" s="12" t="n">
        <v>-205</v>
      </c>
      <c r="N137" s="12" t="n">
        <v>309</v>
      </c>
      <c r="T137" s="12" t="n">
        <v>357</v>
      </c>
      <c r="U137" s="12" t="n">
        <v>699</v>
      </c>
      <c r="V137" s="12" t="n">
        <v>1061</v>
      </c>
      <c r="W137" s="12" t="n">
        <v>952</v>
      </c>
      <c r="X137" s="12" t="n">
        <v>892</v>
      </c>
    </row>
    <row r="138">
      <c r="A138" s="43" t="inlineStr">
        <is>
          <t>YoY</t>
        </is>
      </c>
      <c r="B138" s="3" t="inlineStr">
        <is>
          <t>전년 같은 분기·전년 대비</t>
        </is>
      </c>
      <c r="G138" s="15">
        <f>IF(OR(G137="",C137=""),"",IF(C137&lt;=0,"",IFERROR(G137/C137-1,"")))</f>
        <v/>
      </c>
      <c r="H138" s="15">
        <f>IF(OR(H137="",D137=""),"",IF(D137&lt;=0,"",IFERROR(H137/D137-1,"")))</f>
        <v/>
      </c>
      <c r="I138" s="15">
        <f>IF(OR(I137="",E137=""),"",IF(E137&lt;=0,"",IFERROR(I137/E137-1,"")))</f>
        <v/>
      </c>
      <c r="J138" s="15">
        <f>IF(OR(J137="",F137=""),"",IF(F137&lt;=0,"",IFERROR(J137/F137-1,"")))</f>
        <v/>
      </c>
      <c r="K138" s="15">
        <f>IF(OR(K137="",G137=""),"",IF(G137&lt;=0,"",IFERROR(K137/G137-1,"")))</f>
        <v/>
      </c>
      <c r="L138" s="15">
        <f>IF(OR(L137="",H137=""),"",IF(H137&lt;=0,"",IFERROR(L137/H137-1,"")))</f>
        <v/>
      </c>
      <c r="M138" s="15">
        <f>IF(OR(M137="",I137=""),"",IF(I137&lt;=0,"",IFERROR(M137/I137-1,"")))</f>
        <v/>
      </c>
      <c r="N138" s="15">
        <f>IF(OR(N137="",J137=""),"",IF(J137&lt;=0,"",IFERROR(N137/J137-1,"")))</f>
        <v/>
      </c>
      <c r="T138" s="15">
        <f>IF(OR(T137="",S137=""),"",IF(S137&lt;=0,"",IFERROR(T137/S137-1,"")))</f>
        <v/>
      </c>
      <c r="U138" s="15">
        <f>IF(OR(U137="",T137=""),"",IF(T137&lt;=0,"",IFERROR(U137/T137-1,"")))</f>
        <v/>
      </c>
      <c r="V138" s="15">
        <f>IF(OR(V137="",U137=""),"",IF(U137&lt;=0,"",IFERROR(V137/U137-1,"")))</f>
        <v/>
      </c>
      <c r="W138" s="15">
        <f>IF(OR(W137="",V137=""),"",IF(V137&lt;=0,"",IFERROR(W137/V137-1,"")))</f>
        <v/>
      </c>
      <c r="X138" s="15">
        <f>IF(OR(X137="",W137=""),"",IF(W137&lt;=0,"",IFERROR(X137/W137-1,"")))</f>
        <v/>
      </c>
    </row>
    <row r="139">
      <c r="A139" s="18" t="inlineStr">
        <is>
          <t>법인세·주민세·사업세</t>
        </is>
      </c>
      <c r="C139" s="20" t="n">
        <v>49</v>
      </c>
      <c r="D139" s="20" t="n">
        <v>189</v>
      </c>
      <c r="E139" s="20" t="n">
        <v>18</v>
      </c>
      <c r="F139" s="20" t="n">
        <v>10</v>
      </c>
      <c r="G139" s="20" t="n">
        <v>21</v>
      </c>
      <c r="H139" s="20" t="n">
        <v>116</v>
      </c>
      <c r="I139" s="20" t="n">
        <v>14</v>
      </c>
      <c r="J139" s="20" t="n">
        <v>49</v>
      </c>
      <c r="K139" s="20" t="n">
        <v>84</v>
      </c>
      <c r="L139" s="20" t="n">
        <v>142</v>
      </c>
      <c r="M139" s="20" t="n">
        <v>11</v>
      </c>
      <c r="N139" s="20" t="n">
        <v>45</v>
      </c>
      <c r="T139" s="20" t="n">
        <v>117</v>
      </c>
      <c r="U139" s="20" t="n">
        <v>90</v>
      </c>
      <c r="V139" s="20" t="n">
        <v>189</v>
      </c>
      <c r="W139" s="20" t="n">
        <v>116</v>
      </c>
      <c r="X139" s="20" t="n">
        <v>142</v>
      </c>
    </row>
    <row r="140">
      <c r="A140" s="18" t="inlineStr">
        <is>
          <t>법인세 조정액</t>
        </is>
      </c>
      <c r="C140" s="20" t="n">
        <v>48</v>
      </c>
      <c r="D140" s="20" t="n">
        <v>3</v>
      </c>
      <c r="E140" s="20" t="n">
        <v>1</v>
      </c>
      <c r="F140" s="20" t="n">
        <v>-94</v>
      </c>
      <c r="G140" s="20" t="n">
        <v>-13</v>
      </c>
      <c r="H140" s="20" t="n">
        <v>-178</v>
      </c>
      <c r="I140" s="20" t="n">
        <v>-0</v>
      </c>
      <c r="J140" s="20" t="n">
        <v>-74</v>
      </c>
      <c r="K140" s="20" t="n">
        <v>-61</v>
      </c>
      <c r="L140" s="20" t="n">
        <v>74</v>
      </c>
      <c r="M140" s="20" t="n">
        <v>-102</v>
      </c>
      <c r="N140" s="20" t="n">
        <v>-26</v>
      </c>
      <c r="T140" s="20" t="n">
        <v>-101</v>
      </c>
      <c r="U140" s="20" t="n">
        <v>-75</v>
      </c>
      <c r="V140" s="20" t="n">
        <v>3</v>
      </c>
      <c r="W140" s="20" t="n">
        <v>-178</v>
      </c>
      <c r="X140" s="20" t="n">
        <v>74</v>
      </c>
    </row>
    <row r="141">
      <c r="A141" s="18" t="inlineStr">
        <is>
          <t>법인세 등 합계</t>
        </is>
      </c>
      <c r="C141" s="20" t="n">
        <v>99</v>
      </c>
      <c r="D141" s="20" t="n">
        <v>191</v>
      </c>
      <c r="E141" s="20" t="n">
        <v>19</v>
      </c>
      <c r="F141" s="20" t="n">
        <v>-83</v>
      </c>
      <c r="G141" s="20" t="n">
        <v>8</v>
      </c>
      <c r="H141" s="20" t="n">
        <v>-62</v>
      </c>
      <c r="I141" s="20" t="n">
        <v>13</v>
      </c>
      <c r="J141" s="20" t="n">
        <v>-24</v>
      </c>
      <c r="K141" s="20" t="n">
        <v>22</v>
      </c>
      <c r="L141" s="20" t="n">
        <v>216</v>
      </c>
      <c r="M141" s="20" t="n">
        <v>-90</v>
      </c>
      <c r="N141" s="20" t="n">
        <v>18</v>
      </c>
      <c r="T141" s="20" t="n">
        <v>15</v>
      </c>
      <c r="U141" s="20" t="n">
        <v>15</v>
      </c>
      <c r="V141" s="20" t="n">
        <v>191</v>
      </c>
      <c r="W141" s="20" t="n">
        <v>-62</v>
      </c>
      <c r="X141" s="20" t="n">
        <v>216</v>
      </c>
    </row>
    <row r="142">
      <c r="A142" s="43" t="inlineStr">
        <is>
          <t>YoY</t>
        </is>
      </c>
      <c r="B142" s="3" t="inlineStr">
        <is>
          <t>전년 같은 분기·전년 대비</t>
        </is>
      </c>
      <c r="G142" s="15">
        <f>IF(OR(G141="",C141=""),"",IF(G141*C141&lt;=0,"",IFERROR(G141/C141-1,"")))</f>
        <v/>
      </c>
      <c r="H142" s="15">
        <f>IF(OR(H141="",D141=""),"",IF(H141*D141&lt;=0,"",IFERROR(H141/D141-1,"")))</f>
        <v/>
      </c>
      <c r="I142" s="15">
        <f>IF(OR(I141="",E141=""),"",IF(I141*E141&lt;=0,"",IFERROR(I141/E141-1,"")))</f>
        <v/>
      </c>
      <c r="J142" s="15">
        <f>IF(OR(J141="",F141=""),"",IF(J141*F141&lt;=0,"",IFERROR(J141/F141-1,"")))</f>
        <v/>
      </c>
      <c r="K142" s="15">
        <f>IF(OR(K141="",G141=""),"",IF(K141*G141&lt;=0,"",IFERROR(K141/G141-1,"")))</f>
        <v/>
      </c>
      <c r="L142" s="15">
        <f>IF(OR(L141="",H141=""),"",IF(L141*H141&lt;=0,"",IFERROR(L141/H141-1,"")))</f>
        <v/>
      </c>
      <c r="M142" s="15">
        <f>IF(OR(M141="",I141=""),"",IF(M141*I141&lt;=0,"",IFERROR(M141/I141-1,"")))</f>
        <v/>
      </c>
      <c r="N142" s="15">
        <f>IF(OR(N141="",J141=""),"",IF(N141*J141&lt;=0,"",IFERROR(N141/J141-1,"")))</f>
        <v/>
      </c>
      <c r="T142" s="15">
        <f>IF(OR(T141="",S141=""),"",IF(T141*S141&lt;=0,"",IFERROR(T141/S141-1,"")))</f>
        <v/>
      </c>
      <c r="U142" s="15">
        <f>IF(OR(U141="",T141=""),"",IF(U141*T141&lt;=0,"",IFERROR(U141/T141-1,"")))</f>
        <v/>
      </c>
      <c r="V142" s="15">
        <f>IF(OR(V141="",U141=""),"",IF(V141*U141&lt;=0,"",IFERROR(V141/U141-1,"")))</f>
        <v/>
      </c>
      <c r="W142" s="15">
        <f>IF(OR(W141="",V141=""),"",IF(W141*V141&lt;=0,"",IFERROR(W141/V141-1,"")))</f>
        <v/>
      </c>
      <c r="X142" s="15">
        <f>IF(OR(X141="",W141=""),"",IF(X141*W141&lt;=0,"",IFERROR(X141/W141-1,"")))</f>
        <v/>
      </c>
    </row>
    <row r="143">
      <c r="A143" s="9" t="inlineStr">
        <is>
          <t>중간순이익(손실)</t>
        </is>
      </c>
      <c r="C143" s="12" t="n">
        <v>402</v>
      </c>
      <c r="D143" s="12" t="n">
        <v>869</v>
      </c>
      <c r="E143" s="12" t="n">
        <v>-294</v>
      </c>
      <c r="F143" s="12" t="n">
        <v>76</v>
      </c>
      <c r="G143" s="12" t="n">
        <v>387</v>
      </c>
      <c r="H143" s="12" t="n">
        <v>1013</v>
      </c>
      <c r="I143" s="12" t="n">
        <v>-315</v>
      </c>
      <c r="J143" s="12" t="n">
        <v>227</v>
      </c>
      <c r="K143" s="12" t="n">
        <v>839</v>
      </c>
      <c r="L143" s="12" t="n">
        <v>676</v>
      </c>
      <c r="M143" s="12" t="n">
        <v>-114</v>
      </c>
      <c r="N143" s="12" t="n">
        <v>290</v>
      </c>
      <c r="T143" s="12" t="n">
        <v>342</v>
      </c>
      <c r="U143" s="12" t="n">
        <v>684</v>
      </c>
      <c r="V143" s="12" t="n">
        <v>869</v>
      </c>
      <c r="W143" s="12" t="n">
        <v>1013</v>
      </c>
      <c r="X143" s="12" t="n">
        <v>676</v>
      </c>
    </row>
    <row r="144">
      <c r="A144" s="43" t="inlineStr">
        <is>
          <t>YoY</t>
        </is>
      </c>
      <c r="B144" s="3" t="inlineStr">
        <is>
          <t>전년 같은 분기·전년 대비</t>
        </is>
      </c>
      <c r="G144" s="15">
        <f>IF(OR(G143="",C143=""),"",IF(C143&lt;=0,"",IFERROR(G143/C143-1,"")))</f>
        <v/>
      </c>
      <c r="H144" s="15">
        <f>IF(OR(H143="",D143=""),"",IF(D143&lt;=0,"",IFERROR(H143/D143-1,"")))</f>
        <v/>
      </c>
      <c r="I144" s="15">
        <f>IF(OR(I143="",E143=""),"",IF(E143&lt;=0,"",IFERROR(I143/E143-1,"")))</f>
        <v/>
      </c>
      <c r="J144" s="15">
        <f>IF(OR(J143="",F143=""),"",IF(F143&lt;=0,"",IFERROR(J143/F143-1,"")))</f>
        <v/>
      </c>
      <c r="K144" s="15">
        <f>IF(OR(K143="",G143=""),"",IF(G143&lt;=0,"",IFERROR(K143/G143-1,"")))</f>
        <v/>
      </c>
      <c r="L144" s="15">
        <f>IF(OR(L143="",H143=""),"",IF(H143&lt;=0,"",IFERROR(L143/H143-1,"")))</f>
        <v/>
      </c>
      <c r="M144" s="15">
        <f>IF(OR(M143="",I143=""),"",IF(I143&lt;=0,"",IFERROR(M143/I143-1,"")))</f>
        <v/>
      </c>
      <c r="N144" s="15">
        <f>IF(OR(N143="",J143=""),"",IF(J143&lt;=0,"",IFERROR(N143/J143-1,"")))</f>
        <v/>
      </c>
      <c r="T144" s="15">
        <f>IF(OR(T143="",S143=""),"",IF(S143&lt;=0,"",IFERROR(T143/S143-1,"")))</f>
        <v/>
      </c>
      <c r="U144" s="15">
        <f>IF(OR(U143="",T143=""),"",IF(T143&lt;=0,"",IFERROR(U143/T143-1,"")))</f>
        <v/>
      </c>
      <c r="V144" s="15">
        <f>IF(OR(V143="",U143=""),"",IF(U143&lt;=0,"",IFERROR(V143/U143-1,"")))</f>
        <v/>
      </c>
      <c r="W144" s="15">
        <f>IF(OR(W143="",V143=""),"",IF(V143&lt;=0,"",IFERROR(W143/V143-1,"")))</f>
        <v/>
      </c>
      <c r="X144" s="15">
        <f>IF(OR(X143="",W143=""),"",IF(W143&lt;=0,"",IFERROR(X143/W143-1,"")))</f>
        <v/>
      </c>
    </row>
    <row r="145">
      <c r="A145" s="9" t="inlineStr">
        <is>
          <t>지배주주 귀속 중간순이익(손실)</t>
        </is>
      </c>
      <c r="C145" s="12" t="n">
        <v>402</v>
      </c>
      <c r="D145" s="12" t="n">
        <v>869</v>
      </c>
      <c r="E145" s="12" t="n">
        <v>-294</v>
      </c>
      <c r="F145" s="12" t="n">
        <v>76</v>
      </c>
      <c r="G145" s="12" t="n">
        <v>387</v>
      </c>
      <c r="H145" s="12" t="n">
        <v>1013</v>
      </c>
      <c r="I145" s="12" t="n">
        <v>-315</v>
      </c>
      <c r="J145" s="12" t="n">
        <v>227</v>
      </c>
      <c r="K145" s="12" t="n">
        <v>839</v>
      </c>
      <c r="L145" s="12" t="n">
        <v>676</v>
      </c>
      <c r="M145" s="12" t="n">
        <v>-114</v>
      </c>
      <c r="N145" s="12" t="n">
        <v>290</v>
      </c>
      <c r="T145" s="12" t="n">
        <v>342</v>
      </c>
      <c r="U145" s="12" t="n">
        <v>684</v>
      </c>
      <c r="V145" s="12" t="n">
        <v>869</v>
      </c>
      <c r="W145" s="12" t="n">
        <v>1013</v>
      </c>
      <c r="X145" s="12" t="n">
        <v>676</v>
      </c>
    </row>
    <row r="146">
      <c r="A146" s="43" t="inlineStr">
        <is>
          <t>YoY</t>
        </is>
      </c>
      <c r="B146" s="3" t="inlineStr">
        <is>
          <t>전년 같은 분기·전년 대비</t>
        </is>
      </c>
      <c r="G146" s="15">
        <f>IF(OR(G145="",C145=""),"",IF(C145&lt;=0,"",IFERROR(G145/C145-1,"")))</f>
        <v/>
      </c>
      <c r="H146" s="15">
        <f>IF(OR(H145="",D145=""),"",IF(D145&lt;=0,"",IFERROR(H145/D145-1,"")))</f>
        <v/>
      </c>
      <c r="I146" s="15">
        <f>IF(OR(I145="",E145=""),"",IF(E145&lt;=0,"",IFERROR(I145/E145-1,"")))</f>
        <v/>
      </c>
      <c r="J146" s="15">
        <f>IF(OR(J145="",F145=""),"",IF(F145&lt;=0,"",IFERROR(J145/F145-1,"")))</f>
        <v/>
      </c>
      <c r="K146" s="15">
        <f>IF(OR(K145="",G145=""),"",IF(G145&lt;=0,"",IFERROR(K145/G145-1,"")))</f>
        <v/>
      </c>
      <c r="L146" s="15">
        <f>IF(OR(L145="",H145=""),"",IF(H145&lt;=0,"",IFERROR(L145/H145-1,"")))</f>
        <v/>
      </c>
      <c r="M146" s="15">
        <f>IF(OR(M145="",I145=""),"",IF(I145&lt;=0,"",IFERROR(M145/I145-1,"")))</f>
        <v/>
      </c>
      <c r="N146" s="15">
        <f>IF(OR(N145="",J145=""),"",IF(J145&lt;=0,"",IFERROR(N145/J145-1,"")))</f>
        <v/>
      </c>
      <c r="T146" s="15">
        <f>IF(OR(T145="",S145=""),"",IF(S145&lt;=0,"",IFERROR(T145/S145-1,"")))</f>
        <v/>
      </c>
      <c r="U146" s="15">
        <f>IF(OR(U145="",T145=""),"",IF(T145&lt;=0,"",IFERROR(U145/T145-1,"")))</f>
        <v/>
      </c>
      <c r="V146" s="15">
        <f>IF(OR(V145="",U145=""),"",IF(U145&lt;=0,"",IFERROR(V145/U145-1,"")))</f>
        <v/>
      </c>
      <c r="W146" s="15">
        <f>IF(OR(W145="",V145=""),"",IF(V145&lt;=0,"",IFERROR(W145/V145-1,"")))</f>
        <v/>
      </c>
      <c r="X146" s="15">
        <f>IF(OR(X145="",W145=""),"",IF(W145&lt;=0,"",IFERROR(X145/W145-1,"")))</f>
        <v/>
      </c>
    </row>
    <row r="148">
      <c r="A148" s="16" t="inlineStr">
        <is>
          <t>포괄손익 · 전 항목</t>
        </is>
      </c>
      <c r="B148" s="42" t="inlineStr">
        <is>
          <t>분기 = 3개월 단독</t>
        </is>
      </c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</row>
    <row r="149">
      <c r="A149" s="5" t="inlineStr">
        <is>
          <t>항목</t>
        </is>
      </c>
      <c r="B149" s="5" t="inlineStr">
        <is>
          <t>참고</t>
        </is>
      </c>
      <c r="C149" s="5" t="inlineStr">
        <is>
          <t>2024.3Q</t>
        </is>
      </c>
      <c r="D149" s="5" t="inlineStr">
        <is>
          <t>2024.4Q</t>
        </is>
      </c>
      <c r="E149" s="5" t="inlineStr">
        <is>
          <t>2025.1Q</t>
        </is>
      </c>
      <c r="F149" s="5" t="inlineStr">
        <is>
          <t>2025.2Q</t>
        </is>
      </c>
      <c r="G149" s="5" t="inlineStr">
        <is>
          <t>2025.3Q</t>
        </is>
      </c>
      <c r="H149" s="5" t="inlineStr">
        <is>
          <t>2025.4Q</t>
        </is>
      </c>
      <c r="I149" s="5" t="inlineStr">
        <is>
          <t>2026.1Q</t>
        </is>
      </c>
      <c r="J149" s="5" t="inlineStr">
        <is>
          <t>2026.2Q</t>
        </is>
      </c>
      <c r="K149" s="5" t="inlineStr">
        <is>
          <t>2026.3Q</t>
        </is>
      </c>
      <c r="L149" s="5" t="inlineStr">
        <is>
          <t>2026.4Q</t>
        </is>
      </c>
      <c r="M149" s="5" t="inlineStr">
        <is>
          <t>2027.1Q</t>
        </is>
      </c>
      <c r="N149" s="5" t="inlineStr">
        <is>
          <t>2027.2Q</t>
        </is>
      </c>
      <c r="O149" s="5" t="inlineStr">
        <is>
          <t>2017</t>
        </is>
      </c>
      <c r="P149" s="5" t="inlineStr">
        <is>
          <t>2018</t>
        </is>
      </c>
      <c r="Q149" s="5" t="inlineStr">
        <is>
          <t>2019</t>
        </is>
      </c>
      <c r="R149" s="5" t="inlineStr">
        <is>
          <t>2020</t>
        </is>
      </c>
      <c r="S149" s="5" t="inlineStr">
        <is>
          <t>2021</t>
        </is>
      </c>
      <c r="T149" s="5" t="inlineStr">
        <is>
          <t>2022</t>
        </is>
      </c>
      <c r="U149" s="5" t="inlineStr">
        <is>
          <t>2023</t>
        </is>
      </c>
      <c r="V149" s="5" t="inlineStr">
        <is>
          <t>2024</t>
        </is>
      </c>
      <c r="W149" s="5" t="inlineStr">
        <is>
          <t>2025</t>
        </is>
      </c>
      <c r="X149" s="5" t="inlineStr">
        <is>
          <t>2026</t>
        </is>
      </c>
      <c r="Y149" s="5" t="inlineStr">
        <is>
          <t>2027(MW)</t>
        </is>
      </c>
      <c r="Z149" s="5" t="inlineStr">
        <is>
          <t>2028(MW)</t>
        </is>
      </c>
      <c r="AA149" s="5" t="inlineStr">
        <is>
          <t>2029(MW)</t>
        </is>
      </c>
      <c r="AB149" s="5" t="inlineStr">
        <is>
          <t>2030(MW)</t>
        </is>
      </c>
      <c r="AC149" s="5" t="inlineStr">
        <is>
          <t>2031(MW)</t>
        </is>
      </c>
    </row>
    <row r="150">
      <c r="A150" s="9" t="inlineStr">
        <is>
          <t>중간순이익(손실)</t>
        </is>
      </c>
      <c r="C150" s="12" t="n">
        <v>402</v>
      </c>
      <c r="D150" s="12" t="n">
        <v>869</v>
      </c>
      <c r="E150" s="12" t="n">
        <v>-294</v>
      </c>
      <c r="F150" s="12" t="n">
        <v>76</v>
      </c>
      <c r="G150" s="12" t="n">
        <v>387</v>
      </c>
      <c r="H150" s="12" t="n">
        <v>1013</v>
      </c>
      <c r="I150" s="12" t="n">
        <v>-315</v>
      </c>
      <c r="J150" s="12" t="n">
        <v>227</v>
      </c>
      <c r="K150" s="12" t="n">
        <v>839</v>
      </c>
      <c r="L150" s="12" t="n">
        <v>676</v>
      </c>
      <c r="M150" s="12" t="n">
        <v>-114</v>
      </c>
      <c r="N150" s="12" t="n">
        <v>290</v>
      </c>
      <c r="T150" s="12" t="n">
        <v>342</v>
      </c>
      <c r="U150" s="12" t="n">
        <v>684</v>
      </c>
      <c r="V150" s="12" t="n">
        <v>869</v>
      </c>
      <c r="W150" s="12" t="n">
        <v>1013</v>
      </c>
      <c r="X150" s="12" t="n">
        <v>676</v>
      </c>
    </row>
    <row r="151">
      <c r="A151" s="18" t="inlineStr">
        <is>
          <t>기타유가증권 평가차액</t>
        </is>
      </c>
      <c r="C151" s="20" t="n">
        <v>47</v>
      </c>
      <c r="D151" s="20" t="n">
        <v>120</v>
      </c>
      <c r="E151" s="20" t="n">
        <v>50</v>
      </c>
      <c r="F151" s="20" t="n">
        <v>-77</v>
      </c>
      <c r="G151" s="20" t="n">
        <v>186</v>
      </c>
      <c r="H151" s="20" t="n">
        <v>-173</v>
      </c>
      <c r="I151" s="20" t="n">
        <v>-23</v>
      </c>
      <c r="J151" s="20" t="n">
        <v>209</v>
      </c>
      <c r="K151" s="20" t="n">
        <v>279</v>
      </c>
      <c r="L151" s="20" t="n">
        <v>455</v>
      </c>
      <c r="M151" s="20" t="n">
        <v>222</v>
      </c>
      <c r="N151" s="20" t="n">
        <v>399</v>
      </c>
      <c r="T151" s="20" t="n">
        <v>165</v>
      </c>
      <c r="U151" s="20" t="n">
        <v>-320</v>
      </c>
      <c r="V151" s="20" t="n">
        <v>120</v>
      </c>
      <c r="W151" s="20" t="n">
        <v>-173</v>
      </c>
      <c r="X151" s="20" t="n">
        <v>455</v>
      </c>
    </row>
    <row r="152">
      <c r="A152" s="18" t="inlineStr">
        <is>
          <t>이연헤지손익</t>
        </is>
      </c>
      <c r="C152" s="20" t="n">
        <v>0</v>
      </c>
      <c r="D152" s="20" t="n">
        <v>4</v>
      </c>
      <c r="E152" s="20" t="n">
        <v>-1</v>
      </c>
      <c r="F152" s="20" t="n">
        <v>-4</v>
      </c>
      <c r="G152" s="20" t="n">
        <v>-4</v>
      </c>
      <c r="H152" s="20" t="n">
        <v>-2</v>
      </c>
      <c r="I152" s="20" t="n">
        <v>3</v>
      </c>
      <c r="J152" s="20" t="n">
        <v>6</v>
      </c>
      <c r="K152" s="20" t="n">
        <v>61</v>
      </c>
      <c r="L152" s="20" t="n">
        <v>29</v>
      </c>
      <c r="M152" s="20" t="n">
        <v>2</v>
      </c>
      <c r="N152" s="20" t="n">
        <v>-49</v>
      </c>
      <c r="T152" s="20" t="n">
        <v>11</v>
      </c>
      <c r="U152" s="20" t="n">
        <v>-18</v>
      </c>
      <c r="V152" s="20" t="n">
        <v>4</v>
      </c>
      <c r="W152" s="20" t="n">
        <v>-2</v>
      </c>
      <c r="X152" s="20" t="n">
        <v>29</v>
      </c>
    </row>
    <row r="153">
      <c r="A153" s="18" t="inlineStr">
        <is>
          <t>해외사업환산조정</t>
        </is>
      </c>
      <c r="C153" s="20" t="n">
        <v>13</v>
      </c>
      <c r="D153" s="20" t="n">
        <v>-12</v>
      </c>
      <c r="E153" s="20" t="n">
        <v>22</v>
      </c>
      <c r="F153" s="20" t="n">
        <v>29</v>
      </c>
      <c r="G153" s="20" t="n">
        <v>-50</v>
      </c>
      <c r="H153" s="20" t="n">
        <v>42</v>
      </c>
      <c r="I153" s="20" t="n">
        <v>-26</v>
      </c>
      <c r="J153" s="20" t="n">
        <v>-5</v>
      </c>
      <c r="K153" s="20" t="n">
        <v>13</v>
      </c>
      <c r="L153" s="20" t="n">
        <v>36</v>
      </c>
      <c r="M153" s="20" t="n">
        <v>19</v>
      </c>
      <c r="N153" s="20" t="n">
        <v>18</v>
      </c>
      <c r="T153" s="20" t="n">
        <v>16</v>
      </c>
      <c r="U153" s="20" t="n">
        <v>-19</v>
      </c>
      <c r="V153" s="20" t="n">
        <v>-12</v>
      </c>
      <c r="W153" s="20" t="n">
        <v>42</v>
      </c>
      <c r="X153" s="20" t="n">
        <v>36</v>
      </c>
    </row>
    <row r="154">
      <c r="A154" s="18" t="inlineStr">
        <is>
          <t>퇴직급여 조정액</t>
        </is>
      </c>
      <c r="C154" s="20" t="n">
        <v>-12</v>
      </c>
      <c r="D154" s="20" t="n">
        <v>-20</v>
      </c>
      <c r="E154" s="20" t="n">
        <v>-5</v>
      </c>
      <c r="F154" s="20" t="n">
        <v>-5</v>
      </c>
      <c r="G154" s="20" t="n">
        <v>-7</v>
      </c>
      <c r="H154" s="20" t="n">
        <v>134</v>
      </c>
      <c r="I154" s="20" t="n">
        <v>-16</v>
      </c>
      <c r="J154" s="20" t="n">
        <v>-17</v>
      </c>
      <c r="K154" s="20" t="n">
        <v>-16</v>
      </c>
      <c r="L154" s="20" t="n">
        <v>84</v>
      </c>
      <c r="M154" s="20" t="n">
        <v>-19</v>
      </c>
      <c r="N154" s="20" t="n">
        <v>-19</v>
      </c>
      <c r="T154" s="20" t="n">
        <v>28</v>
      </c>
      <c r="U154" s="20" t="n">
        <v>138</v>
      </c>
      <c r="V154" s="20" t="n">
        <v>-20</v>
      </c>
      <c r="W154" s="20" t="n">
        <v>134</v>
      </c>
      <c r="X154" s="20" t="n">
        <v>84</v>
      </c>
    </row>
    <row r="155">
      <c r="A155" s="18" t="inlineStr">
        <is>
          <t>기타포괄손익 합계</t>
        </is>
      </c>
      <c r="C155" s="20" t="n">
        <v>48</v>
      </c>
      <c r="D155" s="20" t="n">
        <v>92</v>
      </c>
      <c r="E155" s="20" t="n">
        <v>66</v>
      </c>
      <c r="F155" s="20" t="n">
        <v>-59</v>
      </c>
      <c r="G155" s="20" t="n">
        <v>127</v>
      </c>
      <c r="H155" s="20" t="n">
        <v>1</v>
      </c>
      <c r="I155" s="20" t="n">
        <v>-63</v>
      </c>
      <c r="J155" s="20" t="n">
        <v>195</v>
      </c>
      <c r="K155" s="20" t="n">
        <v>335</v>
      </c>
      <c r="L155" s="20" t="n">
        <v>607</v>
      </c>
      <c r="M155" s="20" t="n">
        <v>224</v>
      </c>
      <c r="N155" s="20" t="n">
        <v>348</v>
      </c>
      <c r="T155" s="20" t="n">
        <v>220</v>
      </c>
      <c r="U155" s="20" t="n">
        <v>-220</v>
      </c>
      <c r="V155" s="20" t="n">
        <v>92</v>
      </c>
      <c r="W155" s="20" t="n">
        <v>1</v>
      </c>
      <c r="X155" s="20" t="n">
        <v>607</v>
      </c>
    </row>
    <row r="156">
      <c r="A156" s="9" t="inlineStr">
        <is>
          <t>포괄이익</t>
        </is>
      </c>
      <c r="C156" s="12" t="n">
        <v>450</v>
      </c>
      <c r="D156" s="12" t="n">
        <v>961</v>
      </c>
      <c r="E156" s="12" t="n">
        <v>-227</v>
      </c>
      <c r="F156" s="12" t="n">
        <v>17</v>
      </c>
      <c r="G156" s="12" t="n">
        <v>513</v>
      </c>
      <c r="H156" s="12" t="n">
        <v>1014</v>
      </c>
      <c r="I156" s="12" t="n">
        <v>-378</v>
      </c>
      <c r="J156" s="12" t="n">
        <v>421</v>
      </c>
      <c r="K156" s="12" t="n">
        <v>1175</v>
      </c>
      <c r="L156" s="12" t="n">
        <v>1283</v>
      </c>
      <c r="M156" s="12" t="n">
        <v>109</v>
      </c>
      <c r="N156" s="12" t="n">
        <v>640</v>
      </c>
      <c r="T156" s="12" t="n">
        <v>562</v>
      </c>
      <c r="U156" s="12" t="n">
        <v>463</v>
      </c>
      <c r="V156" s="12" t="n">
        <v>961</v>
      </c>
      <c r="W156" s="12" t="n">
        <v>1014</v>
      </c>
      <c r="X156" s="12" t="n">
        <v>1283</v>
      </c>
    </row>
    <row r="157">
      <c r="A157" s="9" t="inlineStr">
        <is>
          <t>지배주주 포괄이익</t>
        </is>
      </c>
      <c r="C157" s="12" t="n">
        <v>450</v>
      </c>
      <c r="D157" s="12" t="n">
        <v>961</v>
      </c>
      <c r="E157" s="12" t="n">
        <v>-227</v>
      </c>
      <c r="F157" s="12" t="n">
        <v>17</v>
      </c>
      <c r="G157" s="12" t="n">
        <v>513</v>
      </c>
      <c r="H157" s="12" t="n">
        <v>1014</v>
      </c>
      <c r="I157" s="12" t="n">
        <v>-378</v>
      </c>
      <c r="J157" s="12" t="n">
        <v>421</v>
      </c>
      <c r="K157" s="12" t="n">
        <v>1175</v>
      </c>
      <c r="L157" s="12" t="n">
        <v>1283</v>
      </c>
      <c r="M157" s="12" t="n">
        <v>109</v>
      </c>
      <c r="N157" s="12" t="n">
        <v>640</v>
      </c>
      <c r="T157" s="12" t="n">
        <v>562</v>
      </c>
      <c r="U157" s="12" t="n">
        <v>463</v>
      </c>
      <c r="V157" s="12" t="n">
        <v>961</v>
      </c>
      <c r="W157" s="12" t="n">
        <v>1014</v>
      </c>
      <c r="X157" s="12" t="n">
        <v>1283</v>
      </c>
    </row>
    <row r="158">
      <c r="A158" s="9" t="inlineStr">
        <is>
          <t>비지배주주 포괄이익</t>
        </is>
      </c>
      <c r="C158" s="12" t="n">
        <v>0</v>
      </c>
      <c r="D158" s="12" t="n">
        <v>0</v>
      </c>
      <c r="E158" s="12" t="n">
        <v>0</v>
      </c>
      <c r="F158" s="12" t="n">
        <v>0</v>
      </c>
      <c r="G158" s="12" t="n">
        <v>0</v>
      </c>
      <c r="H158" s="12" t="n">
        <v>0</v>
      </c>
      <c r="I158" s="12" t="n">
        <v>0</v>
      </c>
      <c r="J158" s="12" t="n">
        <v>0</v>
      </c>
      <c r="K158" s="12" t="n">
        <v>0</v>
      </c>
      <c r="L158" s="12" t="n">
        <v>0</v>
      </c>
      <c r="M158" s="12" t="n">
        <v>0</v>
      </c>
      <c r="N158" s="12" t="n">
        <v>0</v>
      </c>
      <c r="T158" s="12" t="n">
        <v>0</v>
      </c>
      <c r="U158" s="12" t="n">
        <v>0</v>
      </c>
      <c r="V158" s="12" t="n">
        <v>0</v>
      </c>
      <c r="W158" s="12" t="n">
        <v>0</v>
      </c>
      <c r="X158" s="12" t="n">
        <v>0</v>
      </c>
    </row>
    <row r="160">
      <c r="A160" s="16" t="inlineStr">
        <is>
          <t>부문 · 전 항목</t>
        </is>
      </c>
      <c r="B160" s="42" t="inlineStr">
        <is>
          <t>부문 · 항목</t>
        </is>
      </c>
      <c r="C160" s="16" t="n"/>
      <c r="D160" s="16" t="n"/>
      <c r="E160" s="16" t="n"/>
      <c r="F160" s="16" t="n"/>
      <c r="G160" s="16" t="n"/>
      <c r="H160" s="16" t="n"/>
      <c r="I160" s="16" t="n"/>
      <c r="J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  <c r="V160" s="16" t="n"/>
      <c r="W160" s="16" t="n"/>
      <c r="X160" s="16" t="n"/>
      <c r="Y160" s="16" t="n"/>
      <c r="Z160" s="16" t="n"/>
      <c r="AA160" s="16" t="n"/>
      <c r="AB160" s="16" t="n"/>
      <c r="AC160" s="16" t="n"/>
    </row>
    <row r="161">
      <c r="A161" s="5" t="inlineStr">
        <is>
          <t>항목</t>
        </is>
      </c>
      <c r="B161" s="5" t="inlineStr">
        <is>
          <t>참고</t>
        </is>
      </c>
      <c r="C161" s="5" t="inlineStr">
        <is>
          <t>2024.3Q</t>
        </is>
      </c>
      <c r="D161" s="5" t="inlineStr">
        <is>
          <t>2024.4Q</t>
        </is>
      </c>
      <c r="E161" s="5" t="inlineStr">
        <is>
          <t>2025.1Q</t>
        </is>
      </c>
      <c r="F161" s="5" t="inlineStr">
        <is>
          <t>2025.2Q</t>
        </is>
      </c>
      <c r="G161" s="5" t="inlineStr">
        <is>
          <t>2025.3Q</t>
        </is>
      </c>
      <c r="H161" s="5" t="inlineStr">
        <is>
          <t>2025.4Q</t>
        </is>
      </c>
      <c r="I161" s="5" t="inlineStr">
        <is>
          <t>2026.1Q</t>
        </is>
      </c>
      <c r="J161" s="5" t="inlineStr">
        <is>
          <t>2026.2Q</t>
        </is>
      </c>
      <c r="K161" s="5" t="inlineStr">
        <is>
          <t>2026.3Q</t>
        </is>
      </c>
      <c r="L161" s="5" t="inlineStr">
        <is>
          <t>2026.4Q</t>
        </is>
      </c>
      <c r="M161" s="5" t="inlineStr">
        <is>
          <t>2027.1Q</t>
        </is>
      </c>
      <c r="N161" s="5" t="inlineStr">
        <is>
          <t>2027.2Q</t>
        </is>
      </c>
      <c r="O161" s="5" t="inlineStr">
        <is>
          <t>2017</t>
        </is>
      </c>
      <c r="P161" s="5" t="inlineStr">
        <is>
          <t>2018</t>
        </is>
      </c>
      <c r="Q161" s="5" t="inlineStr">
        <is>
          <t>2019</t>
        </is>
      </c>
      <c r="R161" s="5" t="inlineStr">
        <is>
          <t>2020</t>
        </is>
      </c>
      <c r="S161" s="5" t="inlineStr">
        <is>
          <t>2021</t>
        </is>
      </c>
      <c r="T161" s="5" t="inlineStr">
        <is>
          <t>2022</t>
        </is>
      </c>
      <c r="U161" s="5" t="inlineStr">
        <is>
          <t>2023</t>
        </is>
      </c>
      <c r="V161" s="5" t="inlineStr">
        <is>
          <t>2024</t>
        </is>
      </c>
      <c r="W161" s="5" t="inlineStr">
        <is>
          <t>2025</t>
        </is>
      </c>
      <c r="X161" s="5" t="inlineStr">
        <is>
          <t>2026</t>
        </is>
      </c>
      <c r="Y161" s="5" t="inlineStr">
        <is>
          <t>2027(MW)</t>
        </is>
      </c>
      <c r="Z161" s="5" t="inlineStr">
        <is>
          <t>2028(MW)</t>
        </is>
      </c>
      <c r="AA161" s="5" t="inlineStr">
        <is>
          <t>2029(MW)</t>
        </is>
      </c>
      <c r="AB161" s="5" t="inlineStr">
        <is>
          <t>2030(MW)</t>
        </is>
      </c>
      <c r="AC161" s="5" t="inlineStr">
        <is>
          <t>2031(MW)</t>
        </is>
      </c>
    </row>
    <row r="162">
      <c r="A162" s="18" t="inlineStr">
        <is>
          <t>MachineryEquipmentAndServicesForManufacturingIndustryReportableSegmentMember · 외부 고객 매출</t>
        </is>
      </c>
      <c r="E162" s="20" t="n">
        <v>1662</v>
      </c>
      <c r="F162" s="20" t="n">
        <v>2367</v>
      </c>
      <c r="I162" s="20" t="n">
        <v>1734</v>
      </c>
      <c r="J162" s="20" t="n">
        <v>2736</v>
      </c>
      <c r="M162" s="20" t="n">
        <v>1967</v>
      </c>
      <c r="N162" s="20" t="n">
        <v>3009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</row>
    <row r="164">
      <c r="A164" s="18" t="inlineStr">
        <is>
          <t>MachineryEquipmentAndServicesForConstructionIndustryReportableSegmentMember · 외부 고객 매출</t>
        </is>
      </c>
      <c r="E164" s="20" t="n">
        <v>2085</v>
      </c>
      <c r="F164" s="20" t="n">
        <v>2257</v>
      </c>
      <c r="I164" s="20" t="n">
        <v>2385</v>
      </c>
      <c r="J164" s="20" t="n">
        <v>2895</v>
      </c>
      <c r="M164" s="20" t="n">
        <v>2790</v>
      </c>
      <c r="N164" s="20" t="n">
        <v>3523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</row>
    <row r="166">
      <c r="A166" s="18" t="inlineStr">
        <is>
          <t>LeisureBusinessReportableSegmentMember · 외부 고객 매출</t>
        </is>
      </c>
      <c r="E166" s="20" t="n">
        <v>970</v>
      </c>
      <c r="I166" s="20" t="n">
        <v>655</v>
      </c>
      <c r="M166" s="20" t="n">
        <v>793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I167" s="15">
        <f>IF(OR(I166="",E166=""),"",IF(E166&lt;=0,"",IFERROR(I166/E166-1,"")))</f>
        <v/>
      </c>
      <c r="M167" s="15">
        <f>IF(OR(M166="",I166=""),"",IF(I166&lt;=0,"",IFERROR(M166/I166-1,"")))</f>
        <v/>
      </c>
    </row>
    <row r="168">
      <c r="A168" s="18" t="inlineStr">
        <is>
          <t>LeisureReportableSegmentMember · 외부 고객 매출</t>
        </is>
      </c>
      <c r="C168" s="20" t="n">
        <v>990</v>
      </c>
      <c r="D168" s="20" t="n">
        <v>1076</v>
      </c>
      <c r="G168" s="20" t="n">
        <v>755</v>
      </c>
      <c r="H168" s="20" t="n">
        <v>1031</v>
      </c>
      <c r="K168" s="20" t="n">
        <v>792</v>
      </c>
      <c r="L168" s="20" t="n">
        <v>1328</v>
      </c>
      <c r="V168" s="20" t="n">
        <v>1076</v>
      </c>
      <c r="W168" s="20" t="n">
        <v>1031</v>
      </c>
      <c r="X168" s="20" t="n">
        <v>1328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합계 · 외부 고객 매출</t>
        </is>
      </c>
      <c r="C170" s="20" t="n">
        <v>6951</v>
      </c>
      <c r="D170" s="20" t="n">
        <v>8075</v>
      </c>
      <c r="E170" s="20" t="n">
        <v>4718</v>
      </c>
      <c r="F170" s="20" t="n">
        <v>5524</v>
      </c>
      <c r="G170" s="20" t="n">
        <v>5719</v>
      </c>
      <c r="H170" s="20" t="n">
        <v>9045</v>
      </c>
      <c r="I170" s="20" t="n">
        <v>4775</v>
      </c>
      <c r="J170" s="20" t="n">
        <v>6239</v>
      </c>
      <c r="K170" s="20" t="n">
        <v>7958</v>
      </c>
      <c r="L170" s="20" t="n">
        <v>7856</v>
      </c>
      <c r="M170" s="20" t="n">
        <v>5551</v>
      </c>
      <c r="N170" s="20" t="n">
        <v>7457</v>
      </c>
      <c r="V170" s="20" t="n">
        <v>8075</v>
      </c>
      <c r="W170" s="20" t="n">
        <v>9045</v>
      </c>
      <c r="X170" s="20" t="n">
        <v>7856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조정액 · 외부 고객 매출</t>
        </is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0" t="n">
        <v>0</v>
      </c>
      <c r="L172" s="20" t="n">
        <v>0</v>
      </c>
      <c r="M172" s="20" t="n">
        <v>0</v>
      </c>
      <c r="N172" s="20" t="n">
        <v>0</v>
      </c>
      <c r="V172" s="20" t="n">
        <v>0</v>
      </c>
      <c r="W172" s="20" t="n">
        <v>0</v>
      </c>
      <c r="X172" s="20" t="n">
        <v>0</v>
      </c>
    </row>
    <row r="173">
      <c r="A173" s="18" t="inlineStr">
        <is>
          <t>EntityTotalMember · 외부 고객 매출</t>
        </is>
      </c>
      <c r="E173" s="20" t="n">
        <v>4718</v>
      </c>
      <c r="I173" s="20" t="n">
        <v>4775</v>
      </c>
      <c r="M173" s="20" t="n">
        <v>5551</v>
      </c>
    </row>
    <row r="174">
      <c r="A174" s="9" t="inlineStr">
        <is>
          <t>외부 고객 매출</t>
        </is>
      </c>
      <c r="C174" s="12" t="n">
        <v>6951</v>
      </c>
      <c r="D174" s="12" t="n">
        <v>8075</v>
      </c>
      <c r="E174" s="12" t="n">
        <v>4718</v>
      </c>
      <c r="F174" s="12" t="n">
        <v>5524</v>
      </c>
      <c r="G174" s="12" t="n">
        <v>5719</v>
      </c>
      <c r="H174" s="12" t="n">
        <v>9045</v>
      </c>
      <c r="V174" s="12" t="n">
        <v>8075</v>
      </c>
      <c r="W174" s="12" t="n">
        <v>9045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IndustrialBusinessReportableSegmentMember · 부문 간 내부매출·대체</t>
        </is>
      </c>
      <c r="D176" s="20" t="n">
        <v>0</v>
      </c>
      <c r="H176" s="20" t="n">
        <v>1</v>
      </c>
      <c r="L176" s="20" t="n">
        <v>0</v>
      </c>
      <c r="V176" s="20" t="n">
        <v>0</v>
      </c>
      <c r="W176" s="20" t="n">
        <v>1</v>
      </c>
      <c r="X176" s="20" t="n">
        <v>0</v>
      </c>
    </row>
    <row r="177">
      <c r="A177" s="18" t="inlineStr">
        <is>
          <t>ConstructionBusinessReportableSegmentMember · 부문 간 내부매출·대체</t>
        </is>
      </c>
      <c r="D177" s="20" t="n">
        <v>0</v>
      </c>
      <c r="H177" s="20" t="n">
        <v>0</v>
      </c>
      <c r="L177" s="20" t="n">
        <v>0</v>
      </c>
      <c r="V177" s="20" t="n">
        <v>0</v>
      </c>
      <c r="W177" s="20" t="n">
        <v>0</v>
      </c>
      <c r="X177" s="20" t="n">
        <v>0</v>
      </c>
    </row>
    <row r="178">
      <c r="A178" s="18" t="inlineStr">
        <is>
          <t>MachineryEquipmentAndServicesForManufacturingIndustryReportableSegmentMember · 부문 간 내부매출·대체</t>
        </is>
      </c>
      <c r="E178" s="20" t="n">
        <v>0</v>
      </c>
      <c r="F178" s="20" t="n">
        <v>0</v>
      </c>
      <c r="I178" s="20" t="n">
        <v>0</v>
      </c>
      <c r="J178" s="20" t="n">
        <v>0</v>
      </c>
      <c r="M178" s="20" t="n">
        <v>0</v>
      </c>
      <c r="N178" s="20" t="n">
        <v>1</v>
      </c>
    </row>
    <row r="179">
      <c r="A179" s="18" t="inlineStr">
        <is>
          <t>MachineryEquipmentAndServicesForConstructionIndustryReportableSegmentMember · 부문 간 내부매출·대체</t>
        </is>
      </c>
      <c r="E179" s="20" t="n">
        <v>0</v>
      </c>
      <c r="F179" s="20" t="n">
        <v>0</v>
      </c>
      <c r="I179" s="20" t="n">
        <v>0</v>
      </c>
      <c r="J179" s="20" t="n">
        <v>0</v>
      </c>
      <c r="M179" s="20" t="n">
        <v>0</v>
      </c>
      <c r="N179" s="20" t="n">
        <v>0</v>
      </c>
    </row>
    <row r="180">
      <c r="A180" s="18" t="inlineStr">
        <is>
          <t>LeisureBusinessReportableSegmentMember · 부문 간 내부매출·대체</t>
        </is>
      </c>
      <c r="E180" s="20" t="n">
        <v>0</v>
      </c>
      <c r="I180" s="20" t="n">
        <v>0</v>
      </c>
      <c r="M180" s="20" t="n">
        <v>0</v>
      </c>
    </row>
    <row r="181">
      <c r="A181" s="18" t="inlineStr">
        <is>
          <t>LeisureReportableSegmentMember · 부문 간 내부매출·대체</t>
        </is>
      </c>
      <c r="C181" s="20" t="n">
        <v>0</v>
      </c>
      <c r="D181" s="20" t="n">
        <v>0</v>
      </c>
      <c r="G181" s="20" t="n">
        <v>0</v>
      </c>
      <c r="H181" s="20" t="n">
        <v>0</v>
      </c>
      <c r="K181" s="20" t="n">
        <v>0</v>
      </c>
      <c r="L181" s="20" t="n">
        <v>0</v>
      </c>
      <c r="V181" s="20" t="n">
        <v>0</v>
      </c>
      <c r="W181" s="20" t="n">
        <v>0</v>
      </c>
      <c r="X181" s="20" t="n">
        <v>0</v>
      </c>
    </row>
    <row r="182">
      <c r="A182" s="18" t="inlineStr">
        <is>
          <t>합계 · 부문 간 내부매출·대체</t>
        </is>
      </c>
      <c r="C182" s="20" t="n">
        <v>0</v>
      </c>
      <c r="D182" s="20" t="n">
        <v>0</v>
      </c>
      <c r="E182" s="20" t="n">
        <v>0</v>
      </c>
      <c r="F182" s="20" t="n">
        <v>0</v>
      </c>
      <c r="G182" s="20" t="n">
        <v>0</v>
      </c>
      <c r="H182" s="20" t="n">
        <v>1</v>
      </c>
      <c r="I182" s="20" t="n">
        <v>0</v>
      </c>
      <c r="J182" s="20" t="n">
        <v>0</v>
      </c>
      <c r="K182" s="20" t="n">
        <v>0</v>
      </c>
      <c r="L182" s="20" t="n">
        <v>0</v>
      </c>
      <c r="M182" s="20" t="n">
        <v>0</v>
      </c>
      <c r="N182" s="20" t="n">
        <v>1</v>
      </c>
      <c r="V182" s="20" t="n">
        <v>0</v>
      </c>
      <c r="W182" s="20" t="n">
        <v>1</v>
      </c>
      <c r="X182" s="20" t="n">
        <v>0</v>
      </c>
    </row>
    <row r="183">
      <c r="A183" s="18" t="inlineStr">
        <is>
          <t>조정액 · 부문 간 내부매출·대체</t>
        </is>
      </c>
      <c r="C183" s="20" t="n">
        <v>0</v>
      </c>
      <c r="D183" s="20" t="n">
        <v>0</v>
      </c>
      <c r="E183" s="20" t="n">
        <v>0</v>
      </c>
      <c r="F183" s="20" t="n">
        <v>0</v>
      </c>
      <c r="G183" s="20" t="n">
        <v>0</v>
      </c>
      <c r="H183" s="20" t="n">
        <v>-1</v>
      </c>
      <c r="I183" s="20" t="n">
        <v>0</v>
      </c>
      <c r="J183" s="20" t="n">
        <v>0</v>
      </c>
      <c r="K183" s="20" t="n">
        <v>0</v>
      </c>
      <c r="L183" s="20" t="n">
        <v>0</v>
      </c>
      <c r="M183" s="20" t="n">
        <v>0</v>
      </c>
      <c r="N183" s="20" t="n">
        <v>-1</v>
      </c>
      <c r="V183" s="20" t="n">
        <v>0</v>
      </c>
      <c r="W183" s="20" t="n">
        <v>-1</v>
      </c>
      <c r="X183" s="20" t="n">
        <v>0</v>
      </c>
    </row>
    <row r="184">
      <c r="A184" s="18" t="inlineStr">
        <is>
          <t>EntityTotalMember · 부문 간 내부매출·대체</t>
        </is>
      </c>
      <c r="E184" s="20" t="n">
        <v>0</v>
      </c>
      <c r="I184" s="20" t="n">
        <v>0</v>
      </c>
      <c r="M184" s="20" t="n">
        <v>0</v>
      </c>
    </row>
    <row r="185">
      <c r="A185" s="18" t="inlineStr">
        <is>
          <t>부문 간 내부매출·대체</t>
        </is>
      </c>
      <c r="C185" s="20" t="n">
        <v>0</v>
      </c>
      <c r="D185" s="20" t="n">
        <v>0</v>
      </c>
      <c r="E185" s="20" t="n">
        <v>0</v>
      </c>
      <c r="F185" s="20" t="n">
        <v>0</v>
      </c>
      <c r="G185" s="20" t="n">
        <v>0</v>
      </c>
      <c r="H185" s="20" t="n">
        <v>0</v>
      </c>
      <c r="V185" s="20" t="n">
        <v>0</v>
      </c>
      <c r="W185" s="20" t="n">
        <v>0</v>
      </c>
    </row>
    <row r="186">
      <c r="A186" s="18" t="inlineStr">
        <is>
          <t>IndustrialBusinessReportableSegmentMember · 계</t>
        </is>
      </c>
      <c r="D186" s="20" t="n">
        <v>3480</v>
      </c>
      <c r="H186" s="20" t="n">
        <v>3223</v>
      </c>
      <c r="L186" s="20" t="n">
        <v>2536</v>
      </c>
      <c r="V186" s="20" t="n">
        <v>3480</v>
      </c>
      <c r="W186" s="20" t="n">
        <v>3223</v>
      </c>
      <c r="X186" s="20" t="n">
        <v>2536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H187" s="15">
        <f>IF(OR(H186="",D186=""),"",IF(D186&lt;=0,"",IFERROR(H186/D186-1,"")))</f>
        <v/>
      </c>
      <c r="L187" s="15">
        <f>IF(OR(L186="",H186=""),"",IF(H186&lt;=0,"",IFERROR(L186/H186-1,"")))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ConstructionBusinessReportableSegmentMember · 계</t>
        </is>
      </c>
      <c r="D188" s="20" t="n">
        <v>3519</v>
      </c>
      <c r="H188" s="20" t="n">
        <v>4791</v>
      </c>
      <c r="L188" s="20" t="n">
        <v>3991</v>
      </c>
      <c r="V188" s="20" t="n">
        <v>3519</v>
      </c>
      <c r="W188" s="20" t="n">
        <v>4791</v>
      </c>
      <c r="X188" s="20" t="n">
        <v>3991</v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H189" s="15">
        <f>IF(OR(H188="",D188=""),"",IF(D188&lt;=0,"",IFERROR(H188/D188-1,"")))</f>
        <v/>
      </c>
      <c r="L189" s="15">
        <f>IF(OR(L188="",H188=""),"",IF(H188&lt;=0,"",IFERROR(L188/H188-1,"")))</f>
        <v/>
      </c>
      <c r="V189" s="15">
        <f>IF(OR(V188="",U188=""),"",IF(U188&lt;=0,"",IFERROR(V188/U188-1,"")))</f>
        <v/>
      </c>
      <c r="W189" s="15">
        <f>IF(OR(W188="",V188=""),"",IF(V188&lt;=0,"",IFERROR(W188/V188-1,"")))</f>
        <v/>
      </c>
      <c r="X189" s="15">
        <f>IF(OR(X188="",W188=""),"",IF(W188&lt;=0,"",IFERROR(X188/W188-1,"")))</f>
        <v/>
      </c>
    </row>
    <row r="190">
      <c r="A190" s="18" t="inlineStr">
        <is>
          <t>MachineryEquipmentAndServicesForManufacturingIndustryReportableSegmentMember · 계</t>
        </is>
      </c>
      <c r="E190" s="20" t="n">
        <v>1662</v>
      </c>
      <c r="F190" s="20" t="n">
        <v>2367</v>
      </c>
      <c r="I190" s="20" t="n">
        <v>1734</v>
      </c>
      <c r="J190" s="20" t="n">
        <v>2736</v>
      </c>
      <c r="M190" s="20" t="n">
        <v>1967</v>
      </c>
      <c r="N190" s="20" t="n">
        <v>3011</v>
      </c>
    </row>
    <row r="191">
      <c r="A191" s="43" t="inlineStr">
        <is>
          <t>YoY</t>
        </is>
      </c>
      <c r="B191" s="3" t="inlineStr">
        <is>
          <t>전년 같은 분기·전년 대비</t>
        </is>
      </c>
      <c r="I191" s="15">
        <f>IF(OR(I190="",E190=""),"",IF(E190&lt;=0,"",IFERROR(I190/E190-1,"")))</f>
        <v/>
      </c>
      <c r="J191" s="15">
        <f>IF(OR(J190="",F190=""),"",IF(F190&lt;=0,"",IFERROR(J190/F190-1,"")))</f>
        <v/>
      </c>
      <c r="M191" s="15">
        <f>IF(OR(M190="",I190=""),"",IF(I190&lt;=0,"",IFERROR(M190/I190-1,"")))</f>
        <v/>
      </c>
      <c r="N191" s="15">
        <f>IF(OR(N190="",J190=""),"",IF(J190&lt;=0,"",IFERROR(N190/J190-1,"")))</f>
        <v/>
      </c>
    </row>
    <row r="192">
      <c r="A192" s="18" t="inlineStr">
        <is>
          <t>MachineryEquipmentAndServicesForConstructionIndustryReportableSegmentMember · 계</t>
        </is>
      </c>
      <c r="E192" s="20" t="n">
        <v>2085</v>
      </c>
      <c r="F192" s="20" t="n">
        <v>2257</v>
      </c>
      <c r="I192" s="20" t="n">
        <v>2385</v>
      </c>
      <c r="J192" s="20" t="n">
        <v>2895</v>
      </c>
      <c r="M192" s="20" t="n">
        <v>2790</v>
      </c>
      <c r="N192" s="20" t="n">
        <v>3523</v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I193" s="15">
        <f>IF(OR(I192="",E192=""),"",IF(E192&lt;=0,"",IFERROR(I192/E192-1,"")))</f>
        <v/>
      </c>
      <c r="J193" s="15">
        <f>IF(OR(J192="",F192=""),"",IF(F192&lt;=0,"",IFERROR(J192/F192-1,"")))</f>
        <v/>
      </c>
      <c r="M193" s="15">
        <f>IF(OR(M192="",I192=""),"",IF(I192&lt;=0,"",IFERROR(M192/I192-1,"")))</f>
        <v/>
      </c>
      <c r="N193" s="15">
        <f>IF(OR(N192="",J192=""),"",IF(J192&lt;=0,"",IFERROR(N192/J192-1,"")))</f>
        <v/>
      </c>
    </row>
    <row r="194">
      <c r="A194" s="18" t="inlineStr">
        <is>
          <t>LeisureBusinessReportableSegmentMember · 계</t>
        </is>
      </c>
      <c r="E194" s="20" t="n">
        <v>970</v>
      </c>
      <c r="I194" s="20" t="n">
        <v>655</v>
      </c>
      <c r="M194" s="20" t="n">
        <v>793</v>
      </c>
    </row>
    <row r="195">
      <c r="A195" s="43" t="inlineStr">
        <is>
          <t>YoY</t>
        </is>
      </c>
      <c r="B195" s="3" t="inlineStr">
        <is>
          <t>전년 같은 분기·전년 대비</t>
        </is>
      </c>
      <c r="I195" s="15">
        <f>IF(OR(I194="",E194=""),"",IF(E194&lt;=0,"",IFERROR(I194/E194-1,"")))</f>
        <v/>
      </c>
      <c r="M195" s="15">
        <f>IF(OR(M194="",I194=""),"",IF(I194&lt;=0,"",IFERROR(M194/I194-1,"")))</f>
        <v/>
      </c>
    </row>
    <row r="196">
      <c r="A196" s="18" t="inlineStr">
        <is>
          <t>LeisureReportableSegmentMember · 계</t>
        </is>
      </c>
      <c r="C196" s="20" t="n">
        <v>990</v>
      </c>
      <c r="D196" s="20" t="n">
        <v>1076</v>
      </c>
      <c r="G196" s="20" t="n">
        <v>755</v>
      </c>
      <c r="H196" s="20" t="n">
        <v>1031</v>
      </c>
      <c r="K196" s="20" t="n">
        <v>792</v>
      </c>
      <c r="L196" s="20" t="n">
        <v>1328</v>
      </c>
      <c r="V196" s="20" t="n">
        <v>1076</v>
      </c>
      <c r="W196" s="20" t="n">
        <v>1031</v>
      </c>
      <c r="X196" s="20" t="n">
        <v>1328</v>
      </c>
    </row>
    <row r="197">
      <c r="A197" s="43" t="inlineStr">
        <is>
          <t>YoY</t>
        </is>
      </c>
      <c r="B197" s="3" t="inlineStr">
        <is>
          <t>전년 같은 분기·전년 대비</t>
        </is>
      </c>
      <c r="G197" s="15">
        <f>IF(OR(G196="",C196=""),"",IF(C196&lt;=0,"",IFERROR(G196/C196-1,"")))</f>
        <v/>
      </c>
      <c r="H197" s="15">
        <f>IF(OR(H196="",D196=""),"",IF(D196&lt;=0,"",IFERROR(H196/D196-1,"")))</f>
        <v/>
      </c>
      <c r="K197" s="15">
        <f>IF(OR(K196="",G196=""),"",IF(G196&lt;=0,"",IFERROR(K196/G196-1,"")))</f>
        <v/>
      </c>
      <c r="L197" s="15">
        <f>IF(OR(L196="",H196=""),"",IF(H196&lt;=0,"",IFERROR(L196/H196-1,"")))</f>
        <v/>
      </c>
      <c r="V197" s="15">
        <f>IF(OR(V196="",U196=""),"",IF(U196&lt;=0,"",IFERROR(V196/U196-1,"")))</f>
        <v/>
      </c>
      <c r="W197" s="15">
        <f>IF(OR(W196="",V196=""),"",IF(V196&lt;=0,"",IFERROR(W196/V196-1,"")))</f>
        <v/>
      </c>
      <c r="X197" s="15">
        <f>IF(OR(X196="",W196=""),"",IF(W196&lt;=0,"",IFERROR(X196/W196-1,"")))</f>
        <v/>
      </c>
    </row>
    <row r="198">
      <c r="A198" s="18" t="inlineStr">
        <is>
          <t>합계 · 계</t>
        </is>
      </c>
      <c r="C198" s="20" t="n">
        <v>6951</v>
      </c>
      <c r="D198" s="20" t="n">
        <v>8075</v>
      </c>
      <c r="E198" s="20" t="n">
        <v>4718</v>
      </c>
      <c r="F198" s="20" t="n">
        <v>5524</v>
      </c>
      <c r="G198" s="20" t="n">
        <v>5719</v>
      </c>
      <c r="H198" s="20" t="n">
        <v>9046</v>
      </c>
      <c r="I198" s="20" t="n">
        <v>4775</v>
      </c>
      <c r="J198" s="20" t="n">
        <v>6239</v>
      </c>
      <c r="K198" s="20" t="n">
        <v>7958</v>
      </c>
      <c r="L198" s="20" t="n">
        <v>7856</v>
      </c>
      <c r="M198" s="20" t="n">
        <v>5551</v>
      </c>
      <c r="N198" s="20" t="n">
        <v>7458</v>
      </c>
      <c r="V198" s="20" t="n">
        <v>8075</v>
      </c>
      <c r="W198" s="20" t="n">
        <v>9046</v>
      </c>
      <c r="X198" s="20" t="n">
        <v>7856</v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IF(OR(G198="",C198=""),"",IF(C198&lt;=0,"",IFERROR(G198/C198-1,"")))</f>
        <v/>
      </c>
      <c r="H199" s="15">
        <f>IF(OR(H198="",D198=""),"",IF(D198&lt;=0,"",IFERROR(H198/D198-1,"")))</f>
        <v/>
      </c>
      <c r="I199" s="15">
        <f>IF(OR(I198="",E198=""),"",IF(E198&lt;=0,"",IFERROR(I198/E198-1,"")))</f>
        <v/>
      </c>
      <c r="J199" s="15">
        <f>IF(OR(J198="",F198=""),"",IF(F198&lt;=0,"",IFERROR(J198/F198-1,"")))</f>
        <v/>
      </c>
      <c r="K199" s="15">
        <f>IF(OR(K198="",G198=""),"",IF(G198&lt;=0,"",IFERROR(K198/G198-1,"")))</f>
        <v/>
      </c>
      <c r="L199" s="15">
        <f>IF(OR(L198="",H198=""),"",IF(H198&lt;=0,"",IFERROR(L198/H198-1,"")))</f>
        <v/>
      </c>
      <c r="M199" s="15">
        <f>IF(OR(M198="",I198=""),"",IF(I198&lt;=0,"",IFERROR(M198/I198-1,"")))</f>
        <v/>
      </c>
      <c r="N199" s="15">
        <f>IF(OR(N198="",J198=""),"",IF(J198&lt;=0,"",IFERROR(N198/J198-1,"")))</f>
        <v/>
      </c>
      <c r="V199" s="15">
        <f>IF(OR(V198="",U198=""),"",IF(U198&lt;=0,"",IFERROR(V198/U198-1,"")))</f>
        <v/>
      </c>
      <c r="W199" s="15">
        <f>IF(OR(W198="",V198=""),"",IF(V198&lt;=0,"",IFERROR(W198/V198-1,"")))</f>
        <v/>
      </c>
      <c r="X199" s="15">
        <f>IF(OR(X198="",W198=""),"",IF(W198&lt;=0,"",IFERROR(X198/W198-1,"")))</f>
        <v/>
      </c>
    </row>
    <row r="200">
      <c r="A200" s="18" t="inlineStr">
        <is>
          <t>조정액 · 계</t>
        </is>
      </c>
      <c r="C200" s="20" t="n">
        <v>0</v>
      </c>
      <c r="D200" s="20" t="n">
        <v>0</v>
      </c>
      <c r="E200" s="20" t="n">
        <v>0</v>
      </c>
      <c r="F200" s="20" t="n">
        <v>0</v>
      </c>
      <c r="G200" s="20" t="n">
        <v>0</v>
      </c>
      <c r="H200" s="20" t="n">
        <v>-1</v>
      </c>
      <c r="I200" s="20" t="n">
        <v>0</v>
      </c>
      <c r="J200" s="20" t="n">
        <v>0</v>
      </c>
      <c r="K200" s="20" t="n">
        <v>0</v>
      </c>
      <c r="L200" s="20" t="n">
        <v>0</v>
      </c>
      <c r="M200" s="20" t="n">
        <v>0</v>
      </c>
      <c r="N200" s="20" t="n">
        <v>-1</v>
      </c>
      <c r="V200" s="20" t="n">
        <v>0</v>
      </c>
      <c r="W200" s="20" t="n">
        <v>-1</v>
      </c>
      <c r="X200" s="20" t="n">
        <v>0</v>
      </c>
    </row>
    <row r="201">
      <c r="A201" s="18" t="inlineStr">
        <is>
          <t>EntityTotalMember · 계</t>
        </is>
      </c>
      <c r="E201" s="20" t="n">
        <v>4718</v>
      </c>
      <c r="I201" s="20" t="n">
        <v>4775</v>
      </c>
      <c r="M201" s="20" t="n">
        <v>5551</v>
      </c>
    </row>
    <row r="202">
      <c r="A202" s="9" t="inlineStr">
        <is>
          <t>계</t>
        </is>
      </c>
      <c r="C202" s="12" t="n">
        <v>6951</v>
      </c>
      <c r="D202" s="12" t="n">
        <v>8075</v>
      </c>
      <c r="E202" s="12" t="n">
        <v>4718</v>
      </c>
      <c r="F202" s="12" t="n">
        <v>5524</v>
      </c>
      <c r="G202" s="12" t="n">
        <v>5719</v>
      </c>
      <c r="H202" s="12" t="n">
        <v>9045</v>
      </c>
      <c r="V202" s="12" t="n">
        <v>8075</v>
      </c>
      <c r="W202" s="12" t="n">
        <v>9045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</row>
    <row r="204">
      <c r="A204" s="18" t="inlineStr">
        <is>
          <t>IndustrialBusinessReportableSegmentMember · 부문 이익</t>
        </is>
      </c>
      <c r="D204" s="20" t="n">
        <v>550</v>
      </c>
      <c r="H204" s="20" t="n">
        <v>489</v>
      </c>
      <c r="L204" s="20" t="n">
        <v>172</v>
      </c>
      <c r="V204" s="20" t="n">
        <v>550</v>
      </c>
      <c r="W204" s="20" t="n">
        <v>489</v>
      </c>
      <c r="X204" s="20" t="n">
        <v>172</v>
      </c>
    </row>
    <row r="205">
      <c r="A205" s="43" t="inlineStr">
        <is>
          <t>OPM</t>
        </is>
      </c>
      <c r="B205" s="3" t="inlineStr">
        <is>
          <t>영업이익 ÷ 매출</t>
        </is>
      </c>
      <c r="D205" s="15">
        <f>IF(OR(D204="",D186=""),"",IF(D186&lt;=0,"",IFERROR(D204/D186,"")))</f>
        <v/>
      </c>
      <c r="H205" s="15">
        <f>IF(OR(H204="",H186=""),"",IF(H186&lt;=0,"",IFERROR(H204/H186,"")))</f>
        <v/>
      </c>
      <c r="L205" s="15">
        <f>IF(OR(L204="",L186=""),"",IF(L186&lt;=0,"",IFERROR(L204/L186,"")))</f>
        <v/>
      </c>
      <c r="V205" s="15">
        <f>IF(OR(V204="",V186=""),"",IF(V186&lt;=0,"",IFERROR(V204/V186,"")))</f>
        <v/>
      </c>
      <c r="W205" s="15">
        <f>IF(OR(W204="",W186=""),"",IF(W186&lt;=0,"",IFERROR(W204/W186,"")))</f>
        <v/>
      </c>
      <c r="X205" s="15">
        <f>IF(OR(X204="",X186=""),"",IF(X186&lt;=0,"",IFERROR(X204/X186,"")))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H206" s="15">
        <f>IF(OR(H204="",D204=""),"",IF(D204&lt;=0,"",IFERROR(H204/D204-1,"")))</f>
        <v/>
      </c>
      <c r="L206" s="15">
        <f>IF(OR(L204="",H204=""),"",IF(H204&lt;=0,"",IFERROR(L204/H204-1,"")))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ConstructionBusinessReportableSegmentMember · 부문 이익</t>
        </is>
      </c>
      <c r="D207" s="20" t="n">
        <v>638</v>
      </c>
      <c r="H207" s="20" t="n">
        <v>765</v>
      </c>
      <c r="L207" s="20" t="n">
        <v>914</v>
      </c>
      <c r="V207" s="20" t="n">
        <v>638</v>
      </c>
      <c r="W207" s="20" t="n">
        <v>765</v>
      </c>
      <c r="X207" s="20" t="n">
        <v>914</v>
      </c>
    </row>
    <row r="208">
      <c r="A208" s="43" t="inlineStr">
        <is>
          <t>OPM</t>
        </is>
      </c>
      <c r="B208" s="3" t="inlineStr">
        <is>
          <t>영업이익 ÷ 매출</t>
        </is>
      </c>
      <c r="D208" s="15">
        <f>IF(OR(D207="",D188=""),"",IF(D188&lt;=0,"",IFERROR(D207/D188,"")))</f>
        <v/>
      </c>
      <c r="H208" s="15">
        <f>IF(OR(H207="",H188=""),"",IF(H188&lt;=0,"",IFERROR(H207/H188,"")))</f>
        <v/>
      </c>
      <c r="L208" s="15">
        <f>IF(OR(L207="",L188=""),"",IF(L188&lt;=0,"",IFERROR(L207/L188,"")))</f>
        <v/>
      </c>
      <c r="V208" s="15">
        <f>IF(OR(V207="",V188=""),"",IF(V188&lt;=0,"",IFERROR(V207/V188,"")))</f>
        <v/>
      </c>
      <c r="W208" s="15">
        <f>IF(OR(W207="",W188=""),"",IF(W188&lt;=0,"",IFERROR(W207/W188,"")))</f>
        <v/>
      </c>
      <c r="X208" s="15">
        <f>IF(OR(X207="",X188=""),"",IF(X188&lt;=0,"",IFERROR(X207/X188,"")))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H209" s="15">
        <f>IF(OR(H207="",D207=""),"",IF(D207&lt;=0,"",IFERROR(H207/D207-1,"")))</f>
        <v/>
      </c>
      <c r="L209" s="15">
        <f>IF(OR(L207="",H207=""),"",IF(H207&lt;=0,"",IFERROR(L207/H207-1,"")))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MachineryEquipmentAndServicesForManufacturingIndustryReportableSegmentMember · 부문 이익(손실)</t>
        </is>
      </c>
      <c r="E210" s="20" t="n">
        <v>-37</v>
      </c>
      <c r="F210" s="20" t="n">
        <v>251</v>
      </c>
      <c r="I210" s="20" t="n">
        <v>-55</v>
      </c>
      <c r="J210" s="20" t="n">
        <v>229</v>
      </c>
      <c r="M210" s="20" t="n">
        <v>26</v>
      </c>
      <c r="N210" s="20" t="n">
        <v>330</v>
      </c>
    </row>
    <row r="211">
      <c r="A211" s="43" t="inlineStr">
        <is>
          <t>OPM</t>
        </is>
      </c>
      <c r="B211" s="3" t="inlineStr">
        <is>
          <t>영업이익 ÷ 매출</t>
        </is>
      </c>
      <c r="E211" s="15">
        <f>IF(OR(E210="",E190=""),"",IF(E190&lt;=0,"",IFERROR(E210/E190,"")))</f>
        <v/>
      </c>
      <c r="F211" s="15">
        <f>IF(OR(F210="",F190=""),"",IF(F190&lt;=0,"",IFERROR(F210/F190,"")))</f>
        <v/>
      </c>
      <c r="I211" s="15">
        <f>IF(OR(I210="",I190=""),"",IF(I190&lt;=0,"",IFERROR(I210/I190,"")))</f>
        <v/>
      </c>
      <c r="J211" s="15">
        <f>IF(OR(J210="",J190=""),"",IF(J190&lt;=0,"",IFERROR(J210/J190,"")))</f>
        <v/>
      </c>
      <c r="M211" s="15">
        <f>IF(OR(M210="",M190=""),"",IF(M190&lt;=0,"",IFERROR(M210/M190,"")))</f>
        <v/>
      </c>
      <c r="N211" s="15">
        <f>IF(OR(N210="",N190=""),"",IF(N190&lt;=0,"",IFERROR(N210/N190,"")))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</row>
    <row r="213">
      <c r="A213" s="18" t="inlineStr">
        <is>
          <t>MachineryEquipmentAndServicesForConstructionIndustryReportableSegmentMember · 부문 이익(손실)</t>
        </is>
      </c>
      <c r="E213" s="20" t="n">
        <v>79</v>
      </c>
      <c r="F213" s="20" t="n">
        <v>80</v>
      </c>
      <c r="I213" s="20" t="n">
        <v>16</v>
      </c>
      <c r="J213" s="20" t="n">
        <v>371</v>
      </c>
      <c r="M213" s="20" t="n">
        <v>84</v>
      </c>
      <c r="N213" s="20" t="n">
        <v>405</v>
      </c>
    </row>
    <row r="214">
      <c r="A214" s="43" t="inlineStr">
        <is>
          <t>OPM</t>
        </is>
      </c>
      <c r="B214" s="3" t="inlineStr">
        <is>
          <t>영업이익 ÷ 매출</t>
        </is>
      </c>
      <c r="E214" s="15">
        <f>IF(OR(E213="",E192=""),"",IF(E192&lt;=0,"",IFERROR(E213/E192,"")))</f>
        <v/>
      </c>
      <c r="F214" s="15">
        <f>IF(OR(F213="",F192=""),"",IF(F192&lt;=0,"",IFERROR(F213/F192,"")))</f>
        <v/>
      </c>
      <c r="I214" s="15">
        <f>IF(OR(I213="",I192=""),"",IF(I192&lt;=0,"",IFERROR(I213/I192,"")))</f>
        <v/>
      </c>
      <c r="J214" s="15">
        <f>IF(OR(J213="",J192=""),"",IF(J192&lt;=0,"",IFERROR(J213/J192,"")))</f>
        <v/>
      </c>
      <c r="M214" s="15">
        <f>IF(OR(M213="",M192=""),"",IF(M192&lt;=0,"",IFERROR(M213/M192,"")))</f>
        <v/>
      </c>
      <c r="N214" s="15">
        <f>IF(OR(N213="",N192=""),"",IF(N192&lt;=0,"",IFERROR(N213/N192,"")))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M215" s="15">
        <f>IF(OR(M213="",I213=""),"",IF(I213&lt;=0,"",IFERROR(M213/I213-1,"")))</f>
        <v/>
      </c>
      <c r="N215" s="15">
        <f>IF(OR(N213="",J213=""),"",IF(J213&lt;=0,"",IFERROR(N213/J213-1,"")))</f>
        <v/>
      </c>
    </row>
    <row r="216">
      <c r="A216" s="18" t="inlineStr">
        <is>
          <t>LeisureBusinessReportableSegmentMember · 부문 이익(손실)</t>
        </is>
      </c>
      <c r="E216" s="20" t="n">
        <v>108</v>
      </c>
      <c r="I216" s="20" t="n">
        <v>87</v>
      </c>
      <c r="M216" s="20" t="n">
        <v>115</v>
      </c>
    </row>
    <row r="217">
      <c r="A217" s="43" t="inlineStr">
        <is>
          <t>OPM</t>
        </is>
      </c>
      <c r="B217" s="3" t="inlineStr">
        <is>
          <t>영업이익 ÷ 매출</t>
        </is>
      </c>
      <c r="E217" s="15">
        <f>IF(OR(E216="",E194=""),"",IF(E194&lt;=0,"",IFERROR(E216/E194,"")))</f>
        <v/>
      </c>
      <c r="I217" s="15">
        <f>IF(OR(I216="",I194=""),"",IF(I194&lt;=0,"",IFERROR(I216/I194,"")))</f>
        <v/>
      </c>
      <c r="M217" s="15">
        <f>IF(OR(M216="",M194=""),"",IF(M194&lt;=0,"",IFERROR(M216/M194,"")))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I218" s="15">
        <f>IF(OR(I216="",E216=""),"",IF(E216&lt;=0,"",IFERROR(I216/E216-1,"")))</f>
        <v/>
      </c>
      <c r="M218" s="15">
        <f>IF(OR(M216="",I216=""),"",IF(I216&lt;=0,"",IFERROR(M216/I216-1,"")))</f>
        <v/>
      </c>
    </row>
    <row r="219">
      <c r="A219" s="18" t="inlineStr">
        <is>
          <t>LeisureReportableSegmentMember · 부문 이익(손실)</t>
        </is>
      </c>
      <c r="C219" s="20" t="n">
        <v>134</v>
      </c>
      <c r="D219" s="20" t="n">
        <v>84</v>
      </c>
      <c r="G219" s="20" t="n">
        <v>93</v>
      </c>
      <c r="H219" s="20" t="n">
        <v>153</v>
      </c>
      <c r="K219" s="20" t="n">
        <v>137</v>
      </c>
      <c r="L219" s="20" t="n">
        <v>266</v>
      </c>
      <c r="V219" s="20" t="n">
        <v>84</v>
      </c>
      <c r="W219" s="20" t="n">
        <v>153</v>
      </c>
      <c r="X219" s="20" t="n">
        <v>266</v>
      </c>
    </row>
    <row r="220">
      <c r="A220" s="43" t="inlineStr">
        <is>
          <t>OPM</t>
        </is>
      </c>
      <c r="B220" s="3" t="inlineStr">
        <is>
          <t>영업이익 ÷ 매출</t>
        </is>
      </c>
      <c r="C220" s="15">
        <f>IF(OR(C219="",C196=""),"",IF(C196&lt;=0,"",IFERROR(C219/C196,"")))</f>
        <v/>
      </c>
      <c r="D220" s="15">
        <f>IF(OR(D219="",D196=""),"",IF(D196&lt;=0,"",IFERROR(D219/D196,"")))</f>
        <v/>
      </c>
      <c r="G220" s="15">
        <f>IF(OR(G219="",G196=""),"",IF(G196&lt;=0,"",IFERROR(G219/G196,"")))</f>
        <v/>
      </c>
      <c r="H220" s="15">
        <f>IF(OR(H219="",H196=""),"",IF(H196&lt;=0,"",IFERROR(H219/H196,"")))</f>
        <v/>
      </c>
      <c r="K220" s="15">
        <f>IF(OR(K219="",K196=""),"",IF(K196&lt;=0,"",IFERROR(K219/K196,"")))</f>
        <v/>
      </c>
      <c r="L220" s="15">
        <f>IF(OR(L219="",L196=""),"",IF(L196&lt;=0,"",IFERROR(L219/L196,"")))</f>
        <v/>
      </c>
      <c r="V220" s="15">
        <f>IF(OR(V219="",V196=""),"",IF(V196&lt;=0,"",IFERROR(V219/V196,"")))</f>
        <v/>
      </c>
      <c r="W220" s="15">
        <f>IF(OR(W219="",W196=""),"",IF(W196&lt;=0,"",IFERROR(W219/W196,"")))</f>
        <v/>
      </c>
      <c r="X220" s="15">
        <f>IF(OR(X219="",X196=""),"",IF(X196&lt;=0,"",IFERROR(X219/X196,"")))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G221" s="15">
        <f>IF(OR(G219="",C219=""),"",IF(C219&lt;=0,"",IFERROR(G219/C219-1,"")))</f>
        <v/>
      </c>
      <c r="H221" s="15">
        <f>IF(OR(H219="",D219=""),"",IF(D219&lt;=0,"",IFERROR(H219/D219-1,"")))</f>
        <v/>
      </c>
      <c r="K221" s="15">
        <f>IF(OR(K219="",G219=""),"",IF(G219&lt;=0,"",IFERROR(K219/G219-1,"")))</f>
        <v/>
      </c>
      <c r="L221" s="15">
        <f>IF(OR(L219="",H219=""),"",IF(H219&lt;=0,"",IFERROR(L219/H219-1,"")))</f>
        <v/>
      </c>
      <c r="V221" s="15">
        <f>IF(OR(V219="",U219=""),"",IF(U219&lt;=0,"",IFERROR(V219/U219-1,"")))</f>
        <v/>
      </c>
      <c r="W221" s="15">
        <f>IF(OR(W219="",V219=""),"",IF(V219&lt;=0,"",IFERROR(W219/V219-1,"")))</f>
        <v/>
      </c>
      <c r="X221" s="15">
        <f>IF(OR(X219="",W219=""),"",IF(W219&lt;=0,"",IFERROR(X219/W219-1,"")))</f>
        <v/>
      </c>
    </row>
    <row r="222">
      <c r="A222" s="18" t="inlineStr">
        <is>
          <t>합계 · 부문 이익(손실)</t>
        </is>
      </c>
      <c r="C222" s="20" t="n">
        <v>797</v>
      </c>
      <c r="D222" s="20" t="n">
        <v>1273</v>
      </c>
      <c r="E222" s="20" t="n">
        <v>149</v>
      </c>
      <c r="F222" s="20" t="n">
        <v>416</v>
      </c>
      <c r="G222" s="20" t="n">
        <v>653</v>
      </c>
      <c r="H222" s="20" t="n">
        <v>1407</v>
      </c>
      <c r="I222" s="20" t="n">
        <v>48</v>
      </c>
      <c r="J222" s="20" t="n">
        <v>666</v>
      </c>
      <c r="K222" s="20" t="n">
        <v>1227</v>
      </c>
      <c r="L222" s="20" t="n">
        <v>1353</v>
      </c>
      <c r="M222" s="20" t="n">
        <v>226</v>
      </c>
      <c r="N222" s="20" t="n">
        <v>825</v>
      </c>
      <c r="V222" s="20" t="n">
        <v>1273</v>
      </c>
      <c r="W222" s="20" t="n">
        <v>1407</v>
      </c>
      <c r="X222" s="20" t="n">
        <v>1353</v>
      </c>
    </row>
    <row r="223">
      <c r="A223" s="43" t="inlineStr">
        <is>
          <t>OPM</t>
        </is>
      </c>
      <c r="B223" s="3" t="inlineStr">
        <is>
          <t>영업이익 ÷ 매출</t>
        </is>
      </c>
      <c r="C223" s="15">
        <f>IF(OR(C222="",C198=""),"",IF(C198&lt;=0,"",IFERROR(C222/C198,"")))</f>
        <v/>
      </c>
      <c r="D223" s="15">
        <f>IF(OR(D222="",D198=""),"",IF(D198&lt;=0,"",IFERROR(D222/D198,"")))</f>
        <v/>
      </c>
      <c r="E223" s="15">
        <f>IF(OR(E222="",E198=""),"",IF(E198&lt;=0,"",IFERROR(E222/E198,"")))</f>
        <v/>
      </c>
      <c r="F223" s="15">
        <f>IF(OR(F222="",F198=""),"",IF(F198&lt;=0,"",IFERROR(F222/F198,"")))</f>
        <v/>
      </c>
      <c r="G223" s="15">
        <f>IF(OR(G222="",G198=""),"",IF(G198&lt;=0,"",IFERROR(G222/G198,"")))</f>
        <v/>
      </c>
      <c r="H223" s="15">
        <f>IF(OR(H222="",H198=""),"",IF(H198&lt;=0,"",IFERROR(H222/H198,"")))</f>
        <v/>
      </c>
      <c r="I223" s="15">
        <f>IF(OR(I222="",I198=""),"",IF(I198&lt;=0,"",IFERROR(I222/I198,"")))</f>
        <v/>
      </c>
      <c r="J223" s="15">
        <f>IF(OR(J222="",J198=""),"",IF(J198&lt;=0,"",IFERROR(J222/J198,"")))</f>
        <v/>
      </c>
      <c r="K223" s="15">
        <f>IF(OR(K222="",K198=""),"",IF(K198&lt;=0,"",IFERROR(K222/K198,"")))</f>
        <v/>
      </c>
      <c r="L223" s="15">
        <f>IF(OR(L222="",L198=""),"",IF(L198&lt;=0,"",IFERROR(L222/L198,"")))</f>
        <v/>
      </c>
      <c r="M223" s="15">
        <f>IF(OR(M222="",M198=""),"",IF(M198&lt;=0,"",IFERROR(M222/M198,"")))</f>
        <v/>
      </c>
      <c r="N223" s="15">
        <f>IF(OR(N222="",N198=""),"",IF(N198&lt;=0,"",IFERROR(N222/N198,"")))</f>
        <v/>
      </c>
      <c r="V223" s="15">
        <f>IF(OR(V222="",V198=""),"",IF(V198&lt;=0,"",IFERROR(V222/V198,"")))</f>
        <v/>
      </c>
      <c r="W223" s="15">
        <f>IF(OR(W222="",W198=""),"",IF(W198&lt;=0,"",IFERROR(W222/W198,"")))</f>
        <v/>
      </c>
      <c r="X223" s="15">
        <f>IF(OR(X222="",X198=""),"",IF(X198&lt;=0,"",IFERROR(X222/X198,"")))</f>
        <v/>
      </c>
    </row>
    <row r="224">
      <c r="A224" s="43" t="inlineStr">
        <is>
          <t>YoY</t>
        </is>
      </c>
      <c r="B224" s="3" t="inlineStr">
        <is>
          <t>전년 같은 분기·전년 대비</t>
        </is>
      </c>
      <c r="G224" s="15">
        <f>IF(OR(G222="",C222=""),"",IF(C222&lt;=0,"",IFERROR(G222/C222-1,"")))</f>
        <v/>
      </c>
      <c r="H224" s="15">
        <f>IF(OR(H222="",D222=""),"",IF(D222&lt;=0,"",IFERROR(H222/D222-1,"")))</f>
        <v/>
      </c>
      <c r="I224" s="15">
        <f>IF(OR(I222="",E222=""),"",IF(E222&lt;=0,"",IFERROR(I222/E222-1,"")))</f>
        <v/>
      </c>
      <c r="J224" s="15">
        <f>IF(OR(J222="",F222=""),"",IF(F222&lt;=0,"",IFERROR(J222/F222-1,"")))</f>
        <v/>
      </c>
      <c r="K224" s="15">
        <f>IF(OR(K222="",G222=""),"",IF(G222&lt;=0,"",IFERROR(K222/G222-1,"")))</f>
        <v/>
      </c>
      <c r="L224" s="15">
        <f>IF(OR(L222="",H222=""),"",IF(H222&lt;=0,"",IFERROR(L222/H222-1,"")))</f>
        <v/>
      </c>
      <c r="M224" s="15">
        <f>IF(OR(M222="",I222=""),"",IF(I222&lt;=0,"",IFERROR(M222/I222-1,"")))</f>
        <v/>
      </c>
      <c r="N224" s="15">
        <f>IF(OR(N222="",J222=""),"",IF(J222&lt;=0,"",IFERROR(N222/J222-1,"")))</f>
        <v/>
      </c>
      <c r="V224" s="15">
        <f>IF(OR(V222="",U222=""),"",IF(U222&lt;=0,"",IFERROR(V222/U222-1,"")))</f>
        <v/>
      </c>
      <c r="W224" s="15">
        <f>IF(OR(W222="",V222=""),"",IF(V222&lt;=0,"",IFERROR(W222/V222-1,"")))</f>
        <v/>
      </c>
      <c r="X224" s="15">
        <f>IF(OR(X222="",W222=""),"",IF(W222&lt;=0,"",IFERROR(X222/W222-1,"")))</f>
        <v/>
      </c>
    </row>
    <row r="225">
      <c r="A225" s="18" t="inlineStr">
        <is>
          <t>조정액 · 부문 이익(손실)</t>
        </is>
      </c>
      <c r="C225" s="20" t="n">
        <v>-336</v>
      </c>
      <c r="D225" s="20" t="n">
        <v>-347</v>
      </c>
      <c r="E225" s="20" t="n">
        <v>-445</v>
      </c>
      <c r="F225" s="20" t="n">
        <v>-391</v>
      </c>
      <c r="G225" s="20" t="n">
        <v>-343</v>
      </c>
      <c r="H225" s="20" t="n">
        <v>-380</v>
      </c>
      <c r="I225" s="20" t="n">
        <v>-448</v>
      </c>
      <c r="J225" s="20" t="n">
        <v>-394</v>
      </c>
      <c r="K225" s="20" t="n">
        <v>-368</v>
      </c>
      <c r="L225" s="20" t="n">
        <v>-409</v>
      </c>
      <c r="M225" s="20" t="n">
        <v>-469</v>
      </c>
      <c r="N225" s="20" t="n">
        <v>-454</v>
      </c>
      <c r="V225" s="20" t="n">
        <v>-347</v>
      </c>
      <c r="W225" s="20" t="n">
        <v>-380</v>
      </c>
      <c r="X225" s="20" t="n">
        <v>-409</v>
      </c>
    </row>
    <row r="226">
      <c r="A226" s="18" t="inlineStr">
        <is>
          <t>EntityTotalMember · 부문 이익(손실)</t>
        </is>
      </c>
      <c r="E226" s="20" t="n">
        <v>-296</v>
      </c>
      <c r="I226" s="20" t="n">
        <v>-399</v>
      </c>
      <c r="M226" s="20" t="n">
        <v>-242</v>
      </c>
    </row>
    <row r="227">
      <c r="A227" s="9" t="inlineStr">
        <is>
          <t>부문 이익(손실)</t>
        </is>
      </c>
      <c r="C227" s="12" t="n">
        <v>461</v>
      </c>
      <c r="D227" s="12" t="n">
        <v>925</v>
      </c>
      <c r="E227" s="12" t="n">
        <v>-296</v>
      </c>
      <c r="F227" s="12" t="n">
        <v>26</v>
      </c>
      <c r="G227" s="12" t="n">
        <v>308</v>
      </c>
      <c r="H227" s="12" t="n">
        <v>1027</v>
      </c>
      <c r="V227" s="12" t="n">
        <v>925</v>
      </c>
      <c r="W227" s="12" t="n">
        <v>1027</v>
      </c>
    </row>
    <row r="228">
      <c r="A228" s="43" t="inlineStr">
        <is>
          <t>OPM</t>
        </is>
      </c>
      <c r="B228" s="3" t="inlineStr">
        <is>
          <t>영업이익 ÷ 매출</t>
        </is>
      </c>
      <c r="C228" s="15">
        <f>IF(OR(C227="",C174=""),"",IF(C174&lt;=0,"",IFERROR(C227/C174,"")))</f>
        <v/>
      </c>
      <c r="D228" s="15">
        <f>IF(OR(D227="",D174=""),"",IF(D174&lt;=0,"",IFERROR(D227/D174,"")))</f>
        <v/>
      </c>
      <c r="E228" s="15">
        <f>IF(OR(E227="",E174=""),"",IF(E174&lt;=0,"",IFERROR(E227/E174,"")))</f>
        <v/>
      </c>
      <c r="F228" s="15">
        <f>IF(OR(F227="",F174=""),"",IF(F174&lt;=0,"",IFERROR(F227/F174,"")))</f>
        <v/>
      </c>
      <c r="G228" s="15">
        <f>IF(OR(G227="",G174=""),"",IF(G174&lt;=0,"",IFERROR(G227/G174,"")))</f>
        <v/>
      </c>
      <c r="H228" s="15">
        <f>IF(OR(H227="",H174=""),"",IF(H174&lt;=0,"",IFERROR(H227/H174,"")))</f>
        <v/>
      </c>
      <c r="V228" s="15">
        <f>IF(OR(V227="",V174=""),"",IF(V174&lt;=0,"",IFERROR(V227/V174,"")))</f>
        <v/>
      </c>
      <c r="W228" s="15">
        <f>IF(OR(W227="",W174=""),"",IF(W174&lt;=0,"",IFERROR(W227/W174,"")))</f>
        <v/>
      </c>
    </row>
    <row r="229">
      <c r="A229" s="43" t="inlineStr">
        <is>
          <t>YoY</t>
        </is>
      </c>
      <c r="B229" s="3" t="inlineStr">
        <is>
          <t>전년 같은 분기·전년 대비</t>
        </is>
      </c>
      <c r="G229" s="15">
        <f>IF(OR(G227="",C227=""),"",IF(C227&lt;=0,"",IFERROR(G227/C227-1,"")))</f>
        <v/>
      </c>
      <c r="H229" s="15">
        <f>IF(OR(H227="",D227=""),"",IF(D227&lt;=0,"",IFERROR(H227/D227-1,"")))</f>
        <v/>
      </c>
      <c r="V229" s="15">
        <f>IF(OR(V227="",U227=""),"",IF(U227&lt;=0,"",IFERROR(V227/U227-1,"")))</f>
        <v/>
      </c>
      <c r="W229" s="15">
        <f>IF(OR(W227="",V227=""),"",IF(V227&lt;=0,"",IFERROR(W227/V227-1,"")))</f>
        <v/>
      </c>
    </row>
    <row r="230">
      <c r="A230" s="18" t="inlineStr">
        <is>
          <t>IndustrialBusinessReportableSegmentMember · 외부 고객 매출</t>
        </is>
      </c>
      <c r="D230" s="20" t="n">
        <v>3480</v>
      </c>
      <c r="H230" s="20" t="n">
        <v>3222</v>
      </c>
      <c r="L230" s="20" t="n">
        <v>2536</v>
      </c>
      <c r="V230" s="20" t="n">
        <v>3480</v>
      </c>
      <c r="W230" s="20" t="n">
        <v>3222</v>
      </c>
      <c r="X230" s="20" t="n">
        <v>2536</v>
      </c>
    </row>
    <row r="231">
      <c r="A231" s="43" t="inlineStr">
        <is>
          <t>YoY</t>
        </is>
      </c>
      <c r="B231" s="3" t="inlineStr">
        <is>
          <t>전년 같은 분기·전년 대비</t>
        </is>
      </c>
      <c r="H231" s="15">
        <f>IF(OR(H230="",D230=""),"",IF(D230&lt;=0,"",IFERROR(H230/D230-1,"")))</f>
        <v/>
      </c>
      <c r="L231" s="15">
        <f>IF(OR(L230="",H230=""),"",IF(H230&lt;=0,"",IFERROR(L230/H230-1,"")))</f>
        <v/>
      </c>
      <c r="V231" s="15">
        <f>IF(OR(V230="",U230=""),"",IF(U230&lt;=0,"",IFERROR(V230/U230-1,"")))</f>
        <v/>
      </c>
      <c r="W231" s="15">
        <f>IF(OR(W230="",V230=""),"",IF(V230&lt;=0,"",IFERROR(W230/V230-1,"")))</f>
        <v/>
      </c>
      <c r="X231" s="15">
        <f>IF(OR(X230="",W230=""),"",IF(W230&lt;=0,"",IFERROR(X230/W230-1,"")))</f>
        <v/>
      </c>
    </row>
    <row r="232">
      <c r="A232" s="18" t="inlineStr">
        <is>
          <t>ConstructionBusinessReportableSegmentMember · 외부 고객 매출</t>
        </is>
      </c>
      <c r="D232" s="20" t="n">
        <v>3519</v>
      </c>
      <c r="H232" s="20" t="n">
        <v>4791</v>
      </c>
      <c r="L232" s="20" t="n">
        <v>3991</v>
      </c>
      <c r="V232" s="20" t="n">
        <v>3519</v>
      </c>
      <c r="W232" s="20" t="n">
        <v>4791</v>
      </c>
      <c r="X232" s="20" t="n">
        <v>3991</v>
      </c>
    </row>
    <row r="233">
      <c r="A233" s="43" t="inlineStr">
        <is>
          <t>YoY</t>
        </is>
      </c>
      <c r="B233" s="3" t="inlineStr">
        <is>
          <t>전년 같은 분기·전년 대비</t>
        </is>
      </c>
      <c r="H233" s="15">
        <f>IF(OR(H232="",D232=""),"",IF(D232&lt;=0,"",IFERROR(H232/D232-1,"")))</f>
        <v/>
      </c>
      <c r="L233" s="15">
        <f>IF(OR(L232="",H232=""),"",IF(H232&lt;=0,"",IFERROR(L232/H232-1,"")))</f>
        <v/>
      </c>
      <c r="V233" s="15">
        <f>IF(OR(V232="",U232=""),"",IF(U232&lt;=0,"",IFERROR(V232/U232-1,"")))</f>
        <v/>
      </c>
      <c r="W233" s="15">
        <f>IF(OR(W232="",V232=""),"",IF(V232&lt;=0,"",IFERROR(W232/V232-1,"")))</f>
        <v/>
      </c>
      <c r="X233" s="15">
        <f>IF(OR(X232="",W232=""),"",IF(W232&lt;=0,"",IFERROR(X232/W232-1,"")))</f>
        <v/>
      </c>
    </row>
    <row r="235">
      <c r="A235" s="16" t="inlineStr">
        <is>
          <t>현금흐름표 · 전 항목</t>
        </is>
      </c>
      <c r="B235" s="42" t="inlineStr">
        <is>
          <t>분기 = 결산기 첫날부터 누계(공시 그대로)</t>
        </is>
      </c>
      <c r="C235" s="16" t="n"/>
      <c r="D235" s="16" t="n"/>
      <c r="E235" s="16" t="n"/>
      <c r="F235" s="16" t="n"/>
      <c r="G235" s="16" t="n"/>
      <c r="H235" s="16" t="n"/>
      <c r="I235" s="16" t="n"/>
      <c r="J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  <c r="S235" s="16" t="n"/>
      <c r="T235" s="16" t="n"/>
      <c r="U235" s="16" t="n"/>
      <c r="V235" s="16" t="n"/>
      <c r="W235" s="16" t="n"/>
      <c r="X235" s="16" t="n"/>
      <c r="Y235" s="16" t="n"/>
      <c r="Z235" s="16" t="n"/>
      <c r="AA235" s="16" t="n"/>
      <c r="AB235" s="16" t="n"/>
      <c r="AC235" s="16" t="n"/>
    </row>
    <row r="236">
      <c r="A236" s="5" t="inlineStr">
        <is>
          <t>항목</t>
        </is>
      </c>
      <c r="B236" s="5" t="inlineStr">
        <is>
          <t>참고</t>
        </is>
      </c>
      <c r="C236" s="5" t="inlineStr">
        <is>
          <t>2024.3Q</t>
        </is>
      </c>
      <c r="D236" s="5" t="inlineStr">
        <is>
          <t>2024.4Q</t>
        </is>
      </c>
      <c r="E236" s="5" t="inlineStr">
        <is>
          <t>2025.1Q</t>
        </is>
      </c>
      <c r="F236" s="5" t="inlineStr">
        <is>
          <t>2025.2Q</t>
        </is>
      </c>
      <c r="G236" s="5" t="inlineStr">
        <is>
          <t>2025.3Q</t>
        </is>
      </c>
      <c r="H236" s="5" t="inlineStr">
        <is>
          <t>2025.4Q</t>
        </is>
      </c>
      <c r="I236" s="5" t="inlineStr">
        <is>
          <t>2026.1Q</t>
        </is>
      </c>
      <c r="J236" s="5" t="inlineStr">
        <is>
          <t>2026.2Q</t>
        </is>
      </c>
      <c r="K236" s="5" t="inlineStr">
        <is>
          <t>2026.3Q</t>
        </is>
      </c>
      <c r="L236" s="5" t="inlineStr">
        <is>
          <t>2026.4Q</t>
        </is>
      </c>
      <c r="M236" s="5" t="inlineStr">
        <is>
          <t>2027.1Q</t>
        </is>
      </c>
      <c r="N236" s="5" t="inlineStr">
        <is>
          <t>2027.2Q</t>
        </is>
      </c>
      <c r="O236" s="5" t="inlineStr">
        <is>
          <t>2017</t>
        </is>
      </c>
      <c r="P236" s="5" t="inlineStr">
        <is>
          <t>2018</t>
        </is>
      </c>
      <c r="Q236" s="5" t="inlineStr">
        <is>
          <t>2019</t>
        </is>
      </c>
      <c r="R236" s="5" t="inlineStr">
        <is>
          <t>2020</t>
        </is>
      </c>
      <c r="S236" s="5" t="inlineStr">
        <is>
          <t>2021</t>
        </is>
      </c>
      <c r="T236" s="5" t="inlineStr">
        <is>
          <t>2022</t>
        </is>
      </c>
      <c r="U236" s="5" t="inlineStr">
        <is>
          <t>2023</t>
        </is>
      </c>
      <c r="V236" s="5" t="inlineStr">
        <is>
          <t>2024</t>
        </is>
      </c>
      <c r="W236" s="5" t="inlineStr">
        <is>
          <t>2025</t>
        </is>
      </c>
      <c r="X236" s="5" t="inlineStr">
        <is>
          <t>2026</t>
        </is>
      </c>
      <c r="Y236" s="5" t="inlineStr">
        <is>
          <t>2027(MW)</t>
        </is>
      </c>
      <c r="Z236" s="5" t="inlineStr">
        <is>
          <t>2028(MW)</t>
        </is>
      </c>
      <c r="AA236" s="5" t="inlineStr">
        <is>
          <t>2029(MW)</t>
        </is>
      </c>
      <c r="AB236" s="5" t="inlineStr">
        <is>
          <t>2030(MW)</t>
        </is>
      </c>
      <c r="AC236" s="5" t="inlineStr">
        <is>
          <t>2031(MW)</t>
        </is>
      </c>
    </row>
    <row r="237">
      <c r="A237" s="9" t="inlineStr">
        <is>
          <t>법인세차감전 중간순이익(손실)</t>
        </is>
      </c>
      <c r="D237" s="12" t="n">
        <v>775</v>
      </c>
      <c r="F237" s="12" t="n">
        <v>-282</v>
      </c>
      <c r="H237" s="12" t="n">
        <v>1064</v>
      </c>
      <c r="J237" s="12" t="n">
        <v>-99</v>
      </c>
      <c r="L237" s="12" t="n">
        <v>1655</v>
      </c>
      <c r="N237" s="12" t="n">
        <v>104</v>
      </c>
      <c r="O237" s="12" t="n">
        <v>-1559</v>
      </c>
      <c r="P237" s="12" t="n">
        <v>-4232</v>
      </c>
      <c r="Q237" s="12" t="n">
        <v>1562</v>
      </c>
      <c r="R237" s="12" t="n">
        <v>-1956</v>
      </c>
      <c r="S237" s="12" t="n">
        <v>-3329</v>
      </c>
      <c r="T237" s="12" t="n">
        <v>227</v>
      </c>
      <c r="U237" s="12" t="n">
        <v>466</v>
      </c>
      <c r="V237" s="12" t="n">
        <v>775</v>
      </c>
      <c r="W237" s="12" t="n">
        <v>1064</v>
      </c>
      <c r="X237" s="12" t="n">
        <v>1655</v>
      </c>
    </row>
    <row r="238">
      <c r="A238" s="18" t="inlineStr">
        <is>
          <t>감가상각비</t>
        </is>
      </c>
      <c r="D238" s="20" t="n">
        <v>735</v>
      </c>
      <c r="F238" s="20" t="n">
        <v>385</v>
      </c>
      <c r="H238" s="20" t="n">
        <v>794</v>
      </c>
      <c r="J238" s="20" t="n">
        <v>418</v>
      </c>
      <c r="L238" s="20" t="n">
        <v>725</v>
      </c>
      <c r="N238" s="20" t="n">
        <v>386</v>
      </c>
      <c r="O238" s="20" t="n">
        <v>2031</v>
      </c>
      <c r="P238" s="20" t="n">
        <v>1614</v>
      </c>
      <c r="Q238" s="20" t="n">
        <v>1690</v>
      </c>
      <c r="R238" s="20" t="n">
        <v>1577</v>
      </c>
      <c r="S238" s="20" t="n">
        <v>1536</v>
      </c>
      <c r="T238" s="20" t="n">
        <v>667</v>
      </c>
      <c r="U238" s="20" t="n">
        <v>682</v>
      </c>
      <c r="V238" s="20" t="n">
        <v>735</v>
      </c>
      <c r="W238" s="20" t="n">
        <v>794</v>
      </c>
      <c r="X238" s="20" t="n">
        <v>725</v>
      </c>
    </row>
    <row r="239">
      <c r="A239" s="18" t="inlineStr">
        <is>
          <t>손상차손</t>
        </is>
      </c>
      <c r="D239" s="20" t="n">
        <v>18</v>
      </c>
      <c r="H239" s="20" t="n">
        <v>3</v>
      </c>
      <c r="L239" s="20" t="n">
        <v>4</v>
      </c>
      <c r="O239" s="20" t="n">
        <v>1882</v>
      </c>
      <c r="P239" s="20" t="n">
        <v>1247</v>
      </c>
      <c r="Q239" s="20" t="n">
        <v>62</v>
      </c>
      <c r="R239" s="20" t="n">
        <v>1123</v>
      </c>
      <c r="S239" s="20" t="n">
        <v>1411</v>
      </c>
      <c r="T239" s="20" t="n">
        <v>9</v>
      </c>
      <c r="U239" s="20" t="n">
        <v>394</v>
      </c>
      <c r="V239" s="20" t="n">
        <v>18</v>
      </c>
      <c r="W239" s="20" t="n">
        <v>3</v>
      </c>
      <c r="X239" s="20" t="n">
        <v>4</v>
      </c>
    </row>
    <row r="240">
      <c r="A240" s="18" t="inlineStr">
        <is>
          <t>영업권 상각</t>
        </is>
      </c>
      <c r="D240" s="20" t="n">
        <v>89</v>
      </c>
      <c r="F240" s="20" t="n">
        <v>44</v>
      </c>
      <c r="H240" s="20" t="n">
        <v>89</v>
      </c>
      <c r="J240" s="20" t="n">
        <v>112</v>
      </c>
      <c r="L240" s="20" t="n">
        <v>259</v>
      </c>
      <c r="N240" s="20" t="n">
        <v>146</v>
      </c>
      <c r="O240" s="20" t="n">
        <v>69</v>
      </c>
      <c r="P240" s="20" t="n">
        <v>69</v>
      </c>
      <c r="Q240" s="20" t="n">
        <v>69</v>
      </c>
      <c r="R240" s="20" t="n">
        <v>84</v>
      </c>
      <c r="S240" s="20" t="n">
        <v>94</v>
      </c>
      <c r="T240" s="20" t="n">
        <v>94</v>
      </c>
      <c r="U240" s="20" t="n">
        <v>120</v>
      </c>
      <c r="V240" s="20" t="n">
        <v>89</v>
      </c>
      <c r="W240" s="20" t="n">
        <v>89</v>
      </c>
      <c r="X240" s="20" t="n">
        <v>259</v>
      </c>
    </row>
    <row r="241">
      <c r="A241" s="18" t="inlineStr">
        <is>
          <t>Amortization Of Negative Goodwill Ope CF</t>
        </is>
      </c>
      <c r="H241" s="20" t="n">
        <v>0</v>
      </c>
      <c r="L241" s="20" t="n">
        <v>-2</v>
      </c>
      <c r="O241" s="20" t="n">
        <v>-12</v>
      </c>
      <c r="P241" s="20" t="n">
        <v>0</v>
      </c>
      <c r="W241" s="20" t="n">
        <v>0</v>
      </c>
      <c r="X241" s="20" t="n">
        <v>-2</v>
      </c>
    </row>
    <row r="242">
      <c r="A242" s="18" t="inlineStr">
        <is>
          <t>부의 영업권 발생이익</t>
        </is>
      </c>
      <c r="F242" s="20" t="n">
        <v>0</v>
      </c>
      <c r="J242" s="20" t="n">
        <v>-2</v>
      </c>
      <c r="N242" s="20" t="n">
        <v>0</v>
      </c>
    </row>
    <row r="243">
      <c r="A243" s="18" t="inlineStr">
        <is>
          <t>퇴직급여부채 증감</t>
        </is>
      </c>
      <c r="D243" s="20" t="n">
        <v>122</v>
      </c>
      <c r="F243" s="20" t="n">
        <v>29</v>
      </c>
      <c r="H243" s="20" t="n">
        <v>-62</v>
      </c>
      <c r="J243" s="20" t="n">
        <v>51</v>
      </c>
      <c r="L243" s="20" t="n">
        <v>-16</v>
      </c>
      <c r="N243" s="20" t="n">
        <v>66</v>
      </c>
      <c r="O243" s="20" t="n">
        <v>-15</v>
      </c>
      <c r="P243" s="20" t="n">
        <v>246</v>
      </c>
      <c r="Q243" s="20" t="n">
        <v>192</v>
      </c>
      <c r="R243" s="20" t="n">
        <v>361</v>
      </c>
      <c r="S243" s="20" t="n">
        <v>46</v>
      </c>
      <c r="T243" s="20" t="n">
        <v>63</v>
      </c>
      <c r="U243" s="20" t="n">
        <v>-164</v>
      </c>
      <c r="V243" s="20" t="n">
        <v>122</v>
      </c>
      <c r="W243" s="20" t="n">
        <v>-62</v>
      </c>
      <c r="X243" s="20" t="n">
        <v>-16</v>
      </c>
    </row>
    <row r="244">
      <c r="A244" s="18" t="inlineStr">
        <is>
          <t>대손충당금 증감</t>
        </is>
      </c>
      <c r="D244" s="20" t="n">
        <v>-5</v>
      </c>
      <c r="F244" s="20" t="n">
        <v>-3</v>
      </c>
      <c r="H244" s="20" t="n">
        <v>4</v>
      </c>
      <c r="J244" s="20" t="n">
        <v>26</v>
      </c>
      <c r="L244" s="20" t="n">
        <v>31</v>
      </c>
      <c r="N244" s="20" t="n">
        <v>-35</v>
      </c>
      <c r="O244" s="20" t="n">
        <v>-9</v>
      </c>
      <c r="P244" s="20" t="n">
        <v>78</v>
      </c>
      <c r="Q244" s="20" t="n">
        <v>2</v>
      </c>
      <c r="R244" s="20" t="n">
        <v>52</v>
      </c>
      <c r="S244" s="20" t="n">
        <v>-54</v>
      </c>
      <c r="T244" s="20" t="n">
        <v>-0</v>
      </c>
      <c r="U244" s="20" t="n">
        <v>1</v>
      </c>
      <c r="V244" s="20" t="n">
        <v>-5</v>
      </c>
      <c r="W244" s="20" t="n">
        <v>4</v>
      </c>
      <c r="X244" s="20" t="n">
        <v>31</v>
      </c>
    </row>
    <row r="245">
      <c r="A245" s="18" t="inlineStr">
        <is>
          <t>상여충당금 증감</t>
        </is>
      </c>
      <c r="D245" s="20" t="n">
        <v>12</v>
      </c>
      <c r="F245" s="20" t="n">
        <v>22</v>
      </c>
      <c r="H245" s="20" t="n">
        <v>77</v>
      </c>
      <c r="J245" s="20" t="n">
        <v>-17</v>
      </c>
      <c r="L245" s="20" t="n">
        <v>65</v>
      </c>
      <c r="N245" s="20" t="n">
        <v>0</v>
      </c>
      <c r="O245" s="20" t="n">
        <v>-22</v>
      </c>
      <c r="P245" s="20" t="n">
        <v>5</v>
      </c>
      <c r="Q245" s="20" t="n">
        <v>30</v>
      </c>
      <c r="R245" s="20" t="n">
        <v>-2</v>
      </c>
      <c r="S245" s="20" t="n">
        <v>-72</v>
      </c>
      <c r="T245" s="20" t="n">
        <v>30</v>
      </c>
      <c r="U245" s="20" t="n">
        <v>-7</v>
      </c>
      <c r="V245" s="20" t="n">
        <v>12</v>
      </c>
      <c r="W245" s="20" t="n">
        <v>77</v>
      </c>
      <c r="X245" s="20" t="n">
        <v>65</v>
      </c>
    </row>
    <row r="246">
      <c r="A246" s="18" t="inlineStr">
        <is>
          <t>Increase Decrease In Provision For Construction Warranties Ope CFVES</t>
        </is>
      </c>
      <c r="D246" s="20" t="n">
        <v>57</v>
      </c>
      <c r="F246" s="20" t="n">
        <v>7</v>
      </c>
      <c r="H246" s="20" t="n">
        <v>-29</v>
      </c>
      <c r="J246" s="20" t="n">
        <v>1</v>
      </c>
      <c r="L246" s="20" t="n">
        <v>-6</v>
      </c>
      <c r="N246" s="20" t="n">
        <v>-1</v>
      </c>
      <c r="O246" s="20" t="n">
        <v>-68</v>
      </c>
      <c r="P246" s="20" t="n">
        <v>126</v>
      </c>
      <c r="Q246" s="20" t="n">
        <v>-86</v>
      </c>
      <c r="R246" s="20" t="n">
        <v>113</v>
      </c>
      <c r="S246" s="20" t="n">
        <v>-154</v>
      </c>
      <c r="T246" s="20" t="n">
        <v>12</v>
      </c>
      <c r="U246" s="20" t="n">
        <v>-19</v>
      </c>
      <c r="V246" s="20" t="n">
        <v>57</v>
      </c>
      <c r="W246" s="20" t="n">
        <v>-29</v>
      </c>
      <c r="X246" s="20" t="n">
        <v>-6</v>
      </c>
    </row>
    <row r="247">
      <c r="A247" s="18" t="inlineStr">
        <is>
          <t>Increase Decrease In Provision For Loss On Construction Contracts Ope CFVES</t>
        </is>
      </c>
      <c r="D247" s="20" t="n">
        <v>46</v>
      </c>
      <c r="F247" s="20" t="n">
        <v>-22</v>
      </c>
      <c r="H247" s="20" t="n">
        <v>-29</v>
      </c>
      <c r="J247" s="20" t="n">
        <v>-20</v>
      </c>
      <c r="L247" s="20" t="n">
        <v>-11</v>
      </c>
      <c r="N247" s="20" t="n">
        <v>-9</v>
      </c>
      <c r="O247" s="20" t="n">
        <v>1341</v>
      </c>
      <c r="P247" s="20" t="n">
        <v>2396</v>
      </c>
      <c r="Q247" s="20" t="n">
        <v>-2101</v>
      </c>
      <c r="R247" s="20" t="n">
        <v>-822</v>
      </c>
      <c r="S247" s="20" t="n">
        <v>2920</v>
      </c>
      <c r="T247" s="20" t="n">
        <v>0</v>
      </c>
      <c r="U247" s="20" t="n">
        <v>3</v>
      </c>
      <c r="V247" s="20" t="n">
        <v>46</v>
      </c>
      <c r="W247" s="20" t="n">
        <v>-29</v>
      </c>
      <c r="X247" s="20" t="n">
        <v>-11</v>
      </c>
    </row>
    <row r="248">
      <c r="A248" s="18" t="inlineStr">
        <is>
          <t>Increase Decrease Reserve For Proposal Of Property And Equipment Ope CF</t>
        </is>
      </c>
      <c r="O248" s="20" t="n">
        <v>33</v>
      </c>
      <c r="P248" s="20" t="n">
        <v>59</v>
      </c>
      <c r="Q248" s="20" t="n">
        <v>25</v>
      </c>
      <c r="R248" s="20" t="n">
        <v>99</v>
      </c>
      <c r="S248" s="20" t="n">
        <v>-1</v>
      </c>
      <c r="T248" s="20" t="n">
        <v>0</v>
      </c>
    </row>
    <row r="249">
      <c r="A249" s="18" t="inlineStr">
        <is>
          <t>Increase Decrease In Provision For Loss On Business Withdrawal Ope CF</t>
        </is>
      </c>
      <c r="O249" s="20" t="n">
        <v>341</v>
      </c>
      <c r="P249" s="20" t="n">
        <v>-341</v>
      </c>
      <c r="Q249" s="20" t="n">
        <v>0</v>
      </c>
    </row>
    <row r="250">
      <c r="A250" s="18" t="inlineStr">
        <is>
          <t>이자·배당금 수익</t>
        </is>
      </c>
      <c r="D250" s="20" t="n">
        <v>-200</v>
      </c>
      <c r="F250" s="20" t="n">
        <v>-80</v>
      </c>
      <c r="H250" s="20" t="n">
        <v>-175</v>
      </c>
      <c r="J250" s="20" t="n">
        <v>-115</v>
      </c>
      <c r="L250" s="20" t="n">
        <v>-188</v>
      </c>
      <c r="N250" s="20" t="n">
        <v>-110</v>
      </c>
      <c r="O250" s="20" t="n">
        <v>-117</v>
      </c>
      <c r="P250" s="20" t="n">
        <v>-132</v>
      </c>
      <c r="Q250" s="20" t="n">
        <v>-132</v>
      </c>
      <c r="R250" s="20" t="n">
        <v>-143</v>
      </c>
      <c r="S250" s="20" t="n">
        <v>-127</v>
      </c>
      <c r="T250" s="20" t="n">
        <v>-135</v>
      </c>
      <c r="U250" s="20" t="n">
        <v>-366</v>
      </c>
      <c r="V250" s="20" t="n">
        <v>-200</v>
      </c>
      <c r="W250" s="20" t="n">
        <v>-175</v>
      </c>
      <c r="X250" s="20" t="n">
        <v>-188</v>
      </c>
    </row>
    <row r="251">
      <c r="A251" s="18" t="inlineStr">
        <is>
          <t>이자비용</t>
        </is>
      </c>
      <c r="D251" s="20" t="n">
        <v>96</v>
      </c>
      <c r="F251" s="20" t="n">
        <v>53</v>
      </c>
      <c r="H251" s="20" t="n">
        <v>118</v>
      </c>
      <c r="J251" s="20" t="n">
        <v>84</v>
      </c>
      <c r="L251" s="20" t="n">
        <v>157</v>
      </c>
      <c r="N251" s="20" t="n">
        <v>88</v>
      </c>
      <c r="O251" s="20" t="n">
        <v>308</v>
      </c>
      <c r="P251" s="20" t="n">
        <v>294</v>
      </c>
      <c r="Q251" s="20" t="n">
        <v>265</v>
      </c>
      <c r="R251" s="20" t="n">
        <v>268</v>
      </c>
      <c r="S251" s="20" t="n">
        <v>332</v>
      </c>
      <c r="T251" s="20" t="n">
        <v>133</v>
      </c>
      <c r="U251" s="20" t="n">
        <v>113</v>
      </c>
      <c r="V251" s="20" t="n">
        <v>96</v>
      </c>
      <c r="W251" s="20" t="n">
        <v>118</v>
      </c>
      <c r="X251" s="20" t="n">
        <v>157</v>
      </c>
    </row>
    <row r="252">
      <c r="A252" s="18" t="inlineStr">
        <is>
          <t>외환차손익</t>
        </is>
      </c>
      <c r="O252" s="20" t="n">
        <v>40</v>
      </c>
      <c r="P252" s="20" t="n">
        <v>-2</v>
      </c>
      <c r="Q252" s="20" t="n">
        <v>-115</v>
      </c>
      <c r="R252" s="20" t="n">
        <v>17</v>
      </c>
      <c r="S252" s="20" t="n">
        <v>-7</v>
      </c>
      <c r="T252" s="20" t="n">
        <v>0</v>
      </c>
    </row>
    <row r="253">
      <c r="A253" s="18" t="inlineStr">
        <is>
          <t>보험금 수입</t>
        </is>
      </c>
      <c r="O253" s="20" t="n">
        <v>0</v>
      </c>
      <c r="P253" s="20" t="n">
        <v>-111</v>
      </c>
    </row>
    <row r="254">
      <c r="A254" s="18" t="inlineStr">
        <is>
          <t>손해배상금</t>
        </is>
      </c>
      <c r="O254" s="20" t="n">
        <v>47</v>
      </c>
      <c r="P254" s="20" t="n">
        <v>0</v>
      </c>
    </row>
    <row r="255">
      <c r="A255" s="18" t="inlineStr">
        <is>
          <t>Gain On Insurance Claim Ope CF</t>
        </is>
      </c>
      <c r="P255" s="20" t="n">
        <v>-111</v>
      </c>
      <c r="Q255" s="20" t="n">
        <v>-149</v>
      </c>
      <c r="R255" s="20" t="n">
        <v>0</v>
      </c>
    </row>
    <row r="256">
      <c r="A256" s="18" t="inlineStr">
        <is>
          <t>사업양도 손익</t>
        </is>
      </c>
      <c r="P256" s="20" t="n">
        <v>0</v>
      </c>
      <c r="Q256" s="20" t="n">
        <v>-110</v>
      </c>
      <c r="R256" s="20" t="n">
        <v>0</v>
      </c>
    </row>
    <row r="257">
      <c r="A257" s="18" t="inlineStr">
        <is>
          <t>고정자산 제각손실</t>
        </is>
      </c>
      <c r="O257" s="20" t="n">
        <v>83</v>
      </c>
      <c r="P257" s="20" t="n">
        <v>53</v>
      </c>
      <c r="Q257" s="20" t="n">
        <v>36</v>
      </c>
    </row>
    <row r="258">
      <c r="A258" s="18" t="inlineStr">
        <is>
          <t>Subsidies For Employment Adjustment Etc Ope CF</t>
        </is>
      </c>
      <c r="R258" s="20" t="n">
        <v>0</v>
      </c>
      <c r="S258" s="20" t="n">
        <v>-108</v>
      </c>
      <c r="T258" s="20" t="n">
        <v>0</v>
      </c>
    </row>
    <row r="259">
      <c r="A259" s="18" t="inlineStr">
        <is>
          <t>고정자산 매각손익</t>
        </is>
      </c>
      <c r="D259" s="20" t="n">
        <v>-1</v>
      </c>
      <c r="F259" s="20" t="n">
        <v>-0</v>
      </c>
      <c r="H259" s="20" t="n">
        <v>-0</v>
      </c>
      <c r="J259" s="20" t="n">
        <v>-0</v>
      </c>
      <c r="L259" s="20" t="n">
        <v>-2</v>
      </c>
      <c r="N259" s="20" t="n">
        <v>-0</v>
      </c>
      <c r="Q259" s="20" t="n">
        <v>1</v>
      </c>
      <c r="R259" s="20" t="n">
        <v>-395</v>
      </c>
      <c r="S259" s="20" t="n">
        <v>-46</v>
      </c>
      <c r="T259" s="20" t="n">
        <v>0</v>
      </c>
      <c r="U259" s="20" t="n">
        <v>-6</v>
      </c>
      <c r="V259" s="20" t="n">
        <v>-1</v>
      </c>
      <c r="W259" s="20" t="n">
        <v>-0</v>
      </c>
      <c r="X259" s="20" t="n">
        <v>-2</v>
      </c>
    </row>
    <row r="260">
      <c r="A260" s="18" t="inlineStr">
        <is>
          <t>투자유가증권 매각손익</t>
        </is>
      </c>
      <c r="D260" s="20" t="n">
        <v>-155</v>
      </c>
      <c r="F260" s="20" t="n">
        <v>0</v>
      </c>
      <c r="H260" s="20" t="n">
        <v>0</v>
      </c>
      <c r="J260" s="20" t="n">
        <v>-14</v>
      </c>
      <c r="L260" s="20" t="n">
        <v>-39</v>
      </c>
      <c r="N260" s="20" t="n">
        <v>0</v>
      </c>
      <c r="O260" s="20" t="n">
        <v>-0</v>
      </c>
      <c r="P260" s="20" t="n">
        <v>-75</v>
      </c>
      <c r="Q260" s="20" t="n">
        <v>-38</v>
      </c>
      <c r="R260" s="20" t="n">
        <v>-578</v>
      </c>
      <c r="S260" s="20" t="n">
        <v>-8149</v>
      </c>
      <c r="T260" s="20" t="n">
        <v>-38</v>
      </c>
      <c r="U260" s="20" t="n">
        <v>-458</v>
      </c>
      <c r="V260" s="20" t="n">
        <v>-155</v>
      </c>
      <c r="W260" s="20" t="n">
        <v>0</v>
      </c>
      <c r="X260" s="20" t="n">
        <v>-39</v>
      </c>
    </row>
    <row r="261">
      <c r="A261" s="18" t="inlineStr">
        <is>
          <t>투자유가증권 평가손익</t>
        </is>
      </c>
      <c r="D261" s="20" t="n">
        <v>0</v>
      </c>
      <c r="H261" s="20" t="n">
        <v>6</v>
      </c>
      <c r="L261" s="20" t="n">
        <v>0</v>
      </c>
      <c r="S261" s="20" t="n">
        <v>0</v>
      </c>
      <c r="T261" s="20" t="n">
        <v>11</v>
      </c>
      <c r="U261" s="20" t="n">
        <v>0</v>
      </c>
      <c r="V261" s="20" t="n">
        <v>0</v>
      </c>
      <c r="W261" s="20" t="n">
        <v>6</v>
      </c>
      <c r="X261" s="20" t="n">
        <v>0</v>
      </c>
    </row>
    <row r="262">
      <c r="A262" s="18" t="inlineStr">
        <is>
          <t>Loss Gain On Sales Of Shares Of Subsidiaries And Associates And Others Ope CF</t>
        </is>
      </c>
      <c r="R262" s="20" t="n">
        <v>0</v>
      </c>
      <c r="S262" s="20" t="n">
        <v>4853</v>
      </c>
      <c r="T262" s="20" t="n">
        <v>0</v>
      </c>
    </row>
    <row r="263">
      <c r="A263" s="18" t="inlineStr">
        <is>
          <t>매출채권 증감</t>
        </is>
      </c>
      <c r="D263" s="20" t="n">
        <v>-613</v>
      </c>
      <c r="F263" s="20" t="n">
        <v>1966</v>
      </c>
      <c r="H263" s="20" t="n">
        <v>91</v>
      </c>
      <c r="J263" s="20" t="n">
        <v>2424</v>
      </c>
      <c r="L263" s="20" t="n">
        <v>328</v>
      </c>
      <c r="N263" s="20" t="n">
        <v>1504</v>
      </c>
      <c r="O263" s="20" t="n">
        <v>-1668</v>
      </c>
      <c r="P263" s="20" t="n">
        <v>7336</v>
      </c>
      <c r="Q263" s="20" t="n">
        <v>-1544</v>
      </c>
      <c r="R263" s="20" t="n">
        <v>857</v>
      </c>
      <c r="S263" s="20" t="n">
        <v>-517</v>
      </c>
      <c r="T263" s="20" t="n">
        <v>-899</v>
      </c>
      <c r="U263" s="20" t="n">
        <v>-769</v>
      </c>
      <c r="V263" s="20" t="n">
        <v>-613</v>
      </c>
      <c r="W263" s="20" t="n">
        <v>91</v>
      </c>
      <c r="X263" s="20" t="n">
        <v>328</v>
      </c>
    </row>
    <row r="264">
      <c r="A264" s="18" t="inlineStr">
        <is>
          <t>재고자산 증감</t>
        </is>
      </c>
      <c r="D264" s="20" t="n">
        <v>-56</v>
      </c>
      <c r="F264" s="20" t="n">
        <v>-752</v>
      </c>
      <c r="H264" s="20" t="n">
        <v>359</v>
      </c>
      <c r="J264" s="20" t="n">
        <v>-1272</v>
      </c>
      <c r="L264" s="20" t="n">
        <v>-110</v>
      </c>
      <c r="N264" s="20" t="n">
        <v>-969</v>
      </c>
      <c r="O264" s="20" t="n">
        <v>14</v>
      </c>
      <c r="P264" s="20" t="n">
        <v>-154</v>
      </c>
      <c r="Q264" s="20" t="n">
        <v>169</v>
      </c>
      <c r="R264" s="20" t="n">
        <v>299</v>
      </c>
      <c r="S264" s="20" t="n">
        <v>-100</v>
      </c>
      <c r="T264" s="20" t="n">
        <v>7</v>
      </c>
      <c r="U264" s="20" t="n">
        <v>-1010</v>
      </c>
      <c r="V264" s="20" t="n">
        <v>-56</v>
      </c>
      <c r="W264" s="20" t="n">
        <v>359</v>
      </c>
      <c r="X264" s="20" t="n">
        <v>-110</v>
      </c>
    </row>
    <row r="265">
      <c r="A265" s="18" t="inlineStr">
        <is>
          <t>선급금 증감</t>
        </is>
      </c>
      <c r="D265" s="20" t="n">
        <v>-37</v>
      </c>
      <c r="F265" s="20" t="n">
        <v>13</v>
      </c>
      <c r="H265" s="20" t="n">
        <v>32</v>
      </c>
      <c r="J265" s="20" t="n">
        <v>-320</v>
      </c>
      <c r="L265" s="20" t="n">
        <v>-645</v>
      </c>
      <c r="N265" s="20" t="n">
        <v>-462</v>
      </c>
      <c r="Q265" s="20" t="n">
        <v>2</v>
      </c>
      <c r="R265" s="20" t="n">
        <v>-1014</v>
      </c>
      <c r="S265" s="20" t="n">
        <v>-223</v>
      </c>
      <c r="T265" s="20" t="n">
        <v>-166</v>
      </c>
      <c r="U265" s="20" t="n">
        <v>166</v>
      </c>
      <c r="V265" s="20" t="n">
        <v>-37</v>
      </c>
      <c r="W265" s="20" t="n">
        <v>32</v>
      </c>
      <c r="X265" s="20" t="n">
        <v>-645</v>
      </c>
    </row>
    <row r="266">
      <c r="A266" s="18" t="inlineStr">
        <is>
          <t>매입채무 증감</t>
        </is>
      </c>
      <c r="D266" s="20" t="n">
        <v>800</v>
      </c>
      <c r="F266" s="20" t="n">
        <v>-799</v>
      </c>
      <c r="H266" s="20" t="n">
        <v>-749</v>
      </c>
      <c r="J266" s="20" t="n">
        <v>-410</v>
      </c>
      <c r="L266" s="20" t="n">
        <v>-586</v>
      </c>
      <c r="N266" s="20" t="n">
        <v>229</v>
      </c>
      <c r="O266" s="20" t="n">
        <v>-133</v>
      </c>
      <c r="P266" s="20" t="n">
        <v>983</v>
      </c>
      <c r="Q266" s="20" t="n">
        <v>244</v>
      </c>
      <c r="R266" s="20" t="n">
        <v>-1270</v>
      </c>
      <c r="S266" s="20" t="n">
        <v>972</v>
      </c>
      <c r="T266" s="20" t="n">
        <v>-396</v>
      </c>
      <c r="U266" s="20" t="n">
        <v>386</v>
      </c>
      <c r="V266" s="20" t="n">
        <v>800</v>
      </c>
      <c r="W266" s="20" t="n">
        <v>-749</v>
      </c>
      <c r="X266" s="20" t="n">
        <v>-586</v>
      </c>
    </row>
    <row r="267">
      <c r="A267" s="18" t="inlineStr">
        <is>
          <t>선수금 증감</t>
        </is>
      </c>
      <c r="O267" s="20" t="n">
        <v>-2124</v>
      </c>
      <c r="P267" s="20" t="n">
        <v>19</v>
      </c>
      <c r="Q267" s="20" t="n">
        <v>666</v>
      </c>
      <c r="R267" s="20" t="n">
        <v>-1820</v>
      </c>
      <c r="S267" s="20" t="n">
        <v>-629</v>
      </c>
      <c r="T267" s="20" t="n">
        <v>0</v>
      </c>
    </row>
    <row r="268">
      <c r="A268" s="18" t="inlineStr">
        <is>
          <t>계약부채 증감</t>
        </is>
      </c>
      <c r="S268" s="20" t="n">
        <v>0</v>
      </c>
      <c r="T268" s="20" t="n">
        <v>-181</v>
      </c>
      <c r="U268" s="20" t="n">
        <v>554</v>
      </c>
    </row>
    <row r="269">
      <c r="A269" s="18" t="inlineStr">
        <is>
          <t>계약부채 증감</t>
        </is>
      </c>
      <c r="D269" s="20" t="n">
        <v>-445</v>
      </c>
      <c r="F269" s="20" t="n">
        <v>192</v>
      </c>
      <c r="H269" s="20" t="n">
        <v>372</v>
      </c>
      <c r="J269" s="20" t="n">
        <v>887</v>
      </c>
      <c r="L269" s="20" t="n">
        <v>1359</v>
      </c>
      <c r="N269" s="20" t="n">
        <v>-68</v>
      </c>
      <c r="U269" s="20" t="n">
        <v>554</v>
      </c>
      <c r="V269" s="20" t="n">
        <v>-445</v>
      </c>
      <c r="W269" s="20" t="n">
        <v>372</v>
      </c>
      <c r="X269" s="20" t="n">
        <v>1359</v>
      </c>
    </row>
    <row r="270">
      <c r="A270" s="18" t="inlineStr">
        <is>
          <t>미수 소비세 증감</t>
        </is>
      </c>
      <c r="D270" s="20" t="n">
        <v>181</v>
      </c>
      <c r="F270" s="20" t="n">
        <v>0</v>
      </c>
      <c r="H270" s="20" t="n">
        <v>-27</v>
      </c>
      <c r="L270" s="20" t="n">
        <v>-86</v>
      </c>
      <c r="O270" s="20" t="n">
        <v>-133</v>
      </c>
      <c r="P270" s="20" t="n">
        <v>92</v>
      </c>
      <c r="Q270" s="20" t="n">
        <v>-94</v>
      </c>
      <c r="R270" s="20" t="n">
        <v>-202</v>
      </c>
      <c r="S270" s="20" t="n">
        <v>449</v>
      </c>
      <c r="T270" s="20" t="n">
        <v>-111</v>
      </c>
      <c r="U270" s="20" t="n">
        <v>59</v>
      </c>
      <c r="V270" s="20" t="n">
        <v>181</v>
      </c>
      <c r="W270" s="20" t="n">
        <v>-27</v>
      </c>
      <c r="X270" s="20" t="n">
        <v>-86</v>
      </c>
    </row>
    <row r="271">
      <c r="A271" s="18" t="inlineStr">
        <is>
          <t>미지급 소비세 증감</t>
        </is>
      </c>
      <c r="F271" s="20" t="n">
        <v>-240</v>
      </c>
      <c r="J271" s="20" t="n">
        <v>-295</v>
      </c>
      <c r="N271" s="20" t="n">
        <v>-260</v>
      </c>
    </row>
    <row r="272">
      <c r="A272" s="18" t="inlineStr">
        <is>
          <t>기타</t>
        </is>
      </c>
      <c r="D272" s="20" t="n">
        <v>-205</v>
      </c>
      <c r="F272" s="20" t="n">
        <v>-87</v>
      </c>
      <c r="H272" s="20" t="n">
        <v>-184</v>
      </c>
      <c r="J272" s="20" t="n">
        <v>425</v>
      </c>
      <c r="L272" s="20" t="n">
        <v>541</v>
      </c>
      <c r="N272" s="20" t="n">
        <v>299</v>
      </c>
      <c r="O272" s="20" t="n">
        <v>126</v>
      </c>
      <c r="P272" s="20" t="n">
        <v>10</v>
      </c>
      <c r="Q272" s="20" t="n">
        <v>-145</v>
      </c>
      <c r="R272" s="20" t="n">
        <v>-175</v>
      </c>
      <c r="S272" s="20" t="n">
        <v>-622</v>
      </c>
      <c r="T272" s="20" t="n">
        <v>143</v>
      </c>
      <c r="U272" s="20" t="n">
        <v>-121</v>
      </c>
      <c r="V272" s="20" t="n">
        <v>-205</v>
      </c>
      <c r="W272" s="20" t="n">
        <v>-184</v>
      </c>
      <c r="X272" s="20" t="n">
        <v>541</v>
      </c>
    </row>
    <row r="273">
      <c r="A273" s="18" t="inlineStr">
        <is>
          <t>소계</t>
        </is>
      </c>
      <c r="D273" s="20" t="n">
        <v>1214</v>
      </c>
      <c r="F273" s="20" t="n">
        <v>446</v>
      </c>
      <c r="H273" s="20" t="n">
        <v>1755</v>
      </c>
      <c r="J273" s="20" t="n">
        <v>1862</v>
      </c>
      <c r="L273" s="20" t="n">
        <v>3433</v>
      </c>
      <c r="N273" s="20" t="n">
        <v>909</v>
      </c>
      <c r="O273" s="20" t="n">
        <v>454</v>
      </c>
      <c r="P273" s="20" t="n">
        <v>9584</v>
      </c>
      <c r="Q273" s="20" t="n">
        <v>464</v>
      </c>
      <c r="R273" s="20" t="n">
        <v>-3526</v>
      </c>
      <c r="S273" s="20" t="n">
        <v>-1528</v>
      </c>
      <c r="T273" s="20" t="n">
        <v>-527</v>
      </c>
      <c r="U273" s="20" t="n">
        <v>23</v>
      </c>
      <c r="V273" s="20" t="n">
        <v>1214</v>
      </c>
      <c r="W273" s="20" t="n">
        <v>1755</v>
      </c>
      <c r="X273" s="20" t="n">
        <v>3433</v>
      </c>
    </row>
    <row r="274">
      <c r="A274" s="18" t="inlineStr">
        <is>
          <t>이자·배당금 수취</t>
        </is>
      </c>
      <c r="D274" s="20" t="n">
        <v>200</v>
      </c>
      <c r="F274" s="20" t="n">
        <v>80</v>
      </c>
      <c r="H274" s="20" t="n">
        <v>175</v>
      </c>
      <c r="J274" s="20" t="n">
        <v>115</v>
      </c>
      <c r="L274" s="20" t="n">
        <v>188</v>
      </c>
      <c r="N274" s="20" t="n">
        <v>110</v>
      </c>
      <c r="O274" s="20" t="n">
        <v>115</v>
      </c>
      <c r="P274" s="20" t="n">
        <v>132</v>
      </c>
      <c r="Q274" s="20" t="n">
        <v>128</v>
      </c>
      <c r="R274" s="20" t="n">
        <v>143</v>
      </c>
      <c r="S274" s="20" t="n">
        <v>120</v>
      </c>
      <c r="T274" s="20" t="n">
        <v>136</v>
      </c>
      <c r="U274" s="20" t="n">
        <v>366</v>
      </c>
      <c r="V274" s="20" t="n">
        <v>200</v>
      </c>
      <c r="W274" s="20" t="n">
        <v>175</v>
      </c>
      <c r="X274" s="20" t="n">
        <v>188</v>
      </c>
    </row>
    <row r="275">
      <c r="A275" s="18" t="inlineStr">
        <is>
          <t>이자 지급</t>
        </is>
      </c>
      <c r="D275" s="20" t="n">
        <v>-97</v>
      </c>
      <c r="F275" s="20" t="n">
        <v>-52</v>
      </c>
      <c r="H275" s="20" t="n">
        <v>-118</v>
      </c>
      <c r="J275" s="20" t="n">
        <v>-81</v>
      </c>
      <c r="L275" s="20" t="n">
        <v>-154</v>
      </c>
      <c r="N275" s="20" t="n">
        <v>-89</v>
      </c>
      <c r="O275" s="20" t="n">
        <v>-308</v>
      </c>
      <c r="P275" s="20" t="n">
        <v>-292</v>
      </c>
      <c r="Q275" s="20" t="n">
        <v>-264</v>
      </c>
      <c r="R275" s="20" t="n">
        <v>-275</v>
      </c>
      <c r="S275" s="20" t="n">
        <v>-314</v>
      </c>
      <c r="T275" s="20" t="n">
        <v>-133</v>
      </c>
      <c r="U275" s="20" t="n">
        <v>-114</v>
      </c>
      <c r="V275" s="20" t="n">
        <v>-97</v>
      </c>
      <c r="W275" s="20" t="n">
        <v>-118</v>
      </c>
      <c r="X275" s="20" t="n">
        <v>-154</v>
      </c>
    </row>
    <row r="276">
      <c r="A276" s="18" t="inlineStr">
        <is>
          <t>손해배상금 지급</t>
        </is>
      </c>
      <c r="O276" s="20" t="n">
        <v>-47</v>
      </c>
      <c r="P276" s="20" t="n">
        <v>0</v>
      </c>
    </row>
    <row r="277">
      <c r="A277" s="18" t="inlineStr">
        <is>
          <t>지분법 적용 회사로부터의 배당금 수령액</t>
        </is>
      </c>
      <c r="Q277" s="20" t="n">
        <v>0</v>
      </c>
      <c r="R277" s="20" t="n">
        <v>261</v>
      </c>
      <c r="S277" s="20" t="n">
        <v>0</v>
      </c>
    </row>
    <row r="278">
      <c r="A278" s="18" t="inlineStr">
        <is>
          <t>Subsidies For Employment Adjustment Etc Received Subtotal</t>
        </is>
      </c>
      <c r="R278" s="20" t="n">
        <v>0</v>
      </c>
      <c r="S278" s="20" t="n">
        <v>108</v>
      </c>
    </row>
    <row r="279">
      <c r="A279" s="18" t="inlineStr">
        <is>
          <t>보험금 수취</t>
        </is>
      </c>
      <c r="O279" s="20" t="n">
        <v>0</v>
      </c>
      <c r="P279" s="20" t="n">
        <v>111</v>
      </c>
      <c r="Q279" s="20" t="n">
        <v>232</v>
      </c>
      <c r="R279" s="20" t="n">
        <v>259</v>
      </c>
      <c r="S279" s="20" t="n">
        <v>0</v>
      </c>
    </row>
    <row r="280">
      <c r="A280" s="18" t="inlineStr">
        <is>
          <t>법인세 납부</t>
        </is>
      </c>
      <c r="O280" s="20" t="n">
        <v>-278</v>
      </c>
      <c r="P280" s="20" t="n">
        <v>-735</v>
      </c>
      <c r="Q280" s="20" t="n">
        <v>-262</v>
      </c>
      <c r="R280" s="20" t="n">
        <v>-179</v>
      </c>
      <c r="S280" s="20" t="n">
        <v>-1066</v>
      </c>
    </row>
    <row r="281">
      <c r="A281" s="18" t="inlineStr">
        <is>
          <t>Subsidies For Employment Adjustment Etc Received Ope CF</t>
        </is>
      </c>
      <c r="S281" s="20" t="n">
        <v>108</v>
      </c>
      <c r="T281" s="20" t="n">
        <v>0</v>
      </c>
    </row>
    <row r="282">
      <c r="A282" s="18" t="inlineStr">
        <is>
          <t>법인세 납부·환급</t>
        </is>
      </c>
      <c r="D282" s="20" t="n">
        <v>293</v>
      </c>
      <c r="F282" s="20" t="n">
        <v>-185</v>
      </c>
      <c r="H282" s="20" t="n">
        <v>-311</v>
      </c>
      <c r="J282" s="20" t="n">
        <v>-48</v>
      </c>
      <c r="L282" s="20" t="n">
        <v>-60</v>
      </c>
      <c r="N282" s="20" t="n">
        <v>-264</v>
      </c>
      <c r="S282" s="20" t="n">
        <v>-1066</v>
      </c>
      <c r="T282" s="20" t="n">
        <v>808</v>
      </c>
      <c r="U282" s="20" t="n">
        <v>-810</v>
      </c>
      <c r="V282" s="20" t="n">
        <v>293</v>
      </c>
      <c r="W282" s="20" t="n">
        <v>-311</v>
      </c>
      <c r="X282" s="20" t="n">
        <v>-60</v>
      </c>
    </row>
    <row r="283">
      <c r="A283" s="9" t="inlineStr">
        <is>
          <t>영업활동 현금흐름</t>
        </is>
      </c>
      <c r="D283" s="12" t="n">
        <v>1610</v>
      </c>
      <c r="F283" s="12" t="n">
        <v>289</v>
      </c>
      <c r="H283" s="12" t="n">
        <v>1500</v>
      </c>
      <c r="J283" s="12" t="n">
        <v>1848</v>
      </c>
      <c r="L283" s="12" t="n">
        <v>3406</v>
      </c>
      <c r="N283" s="12" t="n">
        <v>665</v>
      </c>
      <c r="O283" s="12" t="n">
        <v>-64</v>
      </c>
      <c r="P283" s="12" t="n">
        <v>8800</v>
      </c>
      <c r="Q283" s="12" t="n">
        <v>298</v>
      </c>
      <c r="R283" s="12" t="n">
        <v>-3317</v>
      </c>
      <c r="S283" s="12" t="n">
        <v>-2680</v>
      </c>
      <c r="T283" s="12" t="n">
        <v>284</v>
      </c>
      <c r="U283" s="12" t="n">
        <v>-534</v>
      </c>
      <c r="V283" s="12" t="n">
        <v>1610</v>
      </c>
      <c r="W283" s="12" t="n">
        <v>1500</v>
      </c>
      <c r="X283" s="12" t="n">
        <v>3406</v>
      </c>
    </row>
    <row r="284">
      <c r="A284" s="18" t="inlineStr">
        <is>
          <t>정기예금 예입</t>
        </is>
      </c>
      <c r="D284" s="20" t="n">
        <v>-60</v>
      </c>
      <c r="F284" s="20" t="n">
        <v>-42</v>
      </c>
      <c r="H284" s="20" t="n">
        <v>-60</v>
      </c>
      <c r="J284" s="20" t="n">
        <v>-93</v>
      </c>
      <c r="L284" s="20" t="n">
        <v>-93</v>
      </c>
      <c r="N284" s="20" t="n">
        <v>-32</v>
      </c>
      <c r="O284" s="20" t="n">
        <v>-629</v>
      </c>
      <c r="P284" s="20" t="n">
        <v>-490</v>
      </c>
      <c r="Q284" s="20" t="n">
        <v>-483</v>
      </c>
      <c r="R284" s="20" t="n">
        <v>-168</v>
      </c>
      <c r="S284" s="20" t="n">
        <v>-142</v>
      </c>
      <c r="T284" s="20" t="n">
        <v>-160</v>
      </c>
      <c r="U284" s="20" t="n">
        <v>-267</v>
      </c>
      <c r="V284" s="20" t="n">
        <v>-60</v>
      </c>
      <c r="W284" s="20" t="n">
        <v>-60</v>
      </c>
      <c r="X284" s="20" t="n">
        <v>-93</v>
      </c>
    </row>
    <row r="285">
      <c r="A285" s="18" t="inlineStr">
        <is>
          <t>정기예금 인출</t>
        </is>
      </c>
      <c r="D285" s="20" t="n">
        <v>60</v>
      </c>
      <c r="F285" s="20" t="n">
        <v>42</v>
      </c>
      <c r="H285" s="20" t="n">
        <v>60</v>
      </c>
      <c r="J285" s="20" t="n">
        <v>127</v>
      </c>
      <c r="L285" s="20" t="n">
        <v>127</v>
      </c>
      <c r="N285" s="20" t="n">
        <v>32</v>
      </c>
      <c r="O285" s="20" t="n">
        <v>416</v>
      </c>
      <c r="P285" s="20" t="n">
        <v>654</v>
      </c>
      <c r="Q285" s="20" t="n">
        <v>493</v>
      </c>
      <c r="R285" s="20" t="n">
        <v>383</v>
      </c>
      <c r="S285" s="20" t="n">
        <v>552</v>
      </c>
      <c r="T285" s="20" t="n">
        <v>260</v>
      </c>
      <c r="U285" s="20" t="n">
        <v>267</v>
      </c>
      <c r="V285" s="20" t="n">
        <v>60</v>
      </c>
      <c r="W285" s="20" t="n">
        <v>60</v>
      </c>
      <c r="X285" s="20" t="n">
        <v>127</v>
      </c>
    </row>
    <row r="286">
      <c r="A286" s="18" t="inlineStr">
        <is>
          <t>유가증권 순증감액</t>
        </is>
      </c>
      <c r="P286" s="20" t="n">
        <v>0</v>
      </c>
      <c r="Q286" s="20" t="n">
        <v>-500</v>
      </c>
      <c r="R286" s="20" t="n">
        <v>0</v>
      </c>
    </row>
    <row r="287">
      <c r="A287" s="18" t="inlineStr">
        <is>
          <t>유가증권 상환 수입</t>
        </is>
      </c>
      <c r="R287" s="20" t="n">
        <v>0</v>
      </c>
      <c r="S287" s="20" t="n">
        <v>500</v>
      </c>
      <c r="T287" s="20" t="n">
        <v>0</v>
      </c>
    </row>
    <row r="288">
      <c r="A288" s="18" t="inlineStr">
        <is>
          <t>유형자산 취득(설비투자)</t>
        </is>
      </c>
      <c r="D288" s="20" t="n">
        <v>-637</v>
      </c>
      <c r="F288" s="20" t="n">
        <v>-330</v>
      </c>
      <c r="H288" s="20" t="n">
        <v>-569</v>
      </c>
      <c r="J288" s="20" t="n">
        <v>-510</v>
      </c>
      <c r="L288" s="20" t="n">
        <v>-1174</v>
      </c>
      <c r="N288" s="20" t="n">
        <v>-742</v>
      </c>
      <c r="O288" s="20" t="n">
        <v>-1780</v>
      </c>
      <c r="P288" s="20" t="n">
        <v>-2051</v>
      </c>
      <c r="Q288" s="20" t="n">
        <v>-2787</v>
      </c>
      <c r="R288" s="20" t="n">
        <v>-1970</v>
      </c>
      <c r="S288" s="20" t="n">
        <v>-933</v>
      </c>
      <c r="T288" s="20" t="n">
        <v>-955</v>
      </c>
      <c r="U288" s="20" t="n">
        <v>-1032</v>
      </c>
      <c r="V288" s="20" t="n">
        <v>-637</v>
      </c>
      <c r="W288" s="20" t="n">
        <v>-569</v>
      </c>
      <c r="X288" s="20" t="n">
        <v>-1174</v>
      </c>
    </row>
    <row r="289">
      <c r="A289" s="18" t="inlineStr">
        <is>
          <t>유형자산 매각</t>
        </is>
      </c>
      <c r="D289" s="20" t="n">
        <v>4</v>
      </c>
      <c r="F289" s="20" t="n">
        <v>1</v>
      </c>
      <c r="H289" s="20" t="n">
        <v>1</v>
      </c>
      <c r="J289" s="20" t="n">
        <v>0</v>
      </c>
      <c r="L289" s="20" t="n">
        <v>5</v>
      </c>
      <c r="N289" s="20" t="n">
        <v>0</v>
      </c>
      <c r="O289" s="20" t="n">
        <v>9</v>
      </c>
      <c r="P289" s="20" t="n">
        <v>2</v>
      </c>
      <c r="Q289" s="20" t="n">
        <v>50</v>
      </c>
      <c r="R289" s="20" t="n">
        <v>765</v>
      </c>
      <c r="S289" s="20" t="n">
        <v>132</v>
      </c>
      <c r="T289" s="20" t="n">
        <v>13</v>
      </c>
      <c r="U289" s="20" t="n">
        <v>98</v>
      </c>
      <c r="V289" s="20" t="n">
        <v>4</v>
      </c>
      <c r="W289" s="20" t="n">
        <v>1</v>
      </c>
      <c r="X289" s="20" t="n">
        <v>5</v>
      </c>
    </row>
    <row r="290">
      <c r="A290" s="18" t="inlineStr">
        <is>
          <t>무형자산 취득</t>
        </is>
      </c>
      <c r="D290" s="20" t="n">
        <v>-262</v>
      </c>
      <c r="F290" s="20" t="n">
        <v>-99</v>
      </c>
      <c r="H290" s="20" t="n">
        <v>-206</v>
      </c>
      <c r="J290" s="20" t="n">
        <v>-103</v>
      </c>
      <c r="L290" s="20" t="n">
        <v>-168</v>
      </c>
      <c r="N290" s="20" t="n">
        <v>-93</v>
      </c>
      <c r="Q290" s="20" t="n">
        <v>-116</v>
      </c>
      <c r="R290" s="20" t="n">
        <v>-364</v>
      </c>
      <c r="S290" s="20" t="n">
        <v>-173</v>
      </c>
      <c r="T290" s="20" t="n">
        <v>-224</v>
      </c>
      <c r="U290" s="20" t="n">
        <v>-95</v>
      </c>
      <c r="V290" s="20" t="n">
        <v>-262</v>
      </c>
      <c r="W290" s="20" t="n">
        <v>-206</v>
      </c>
      <c r="X290" s="20" t="n">
        <v>-168</v>
      </c>
    </row>
    <row r="291">
      <c r="A291" s="18" t="inlineStr">
        <is>
          <t>투자유가증권 취득</t>
        </is>
      </c>
      <c r="D291" s="20" t="n">
        <v>-18</v>
      </c>
      <c r="F291" s="20" t="n">
        <v>-9</v>
      </c>
      <c r="H291" s="20" t="n">
        <v>-17</v>
      </c>
      <c r="J291" s="20" t="n">
        <v>-109</v>
      </c>
      <c r="L291" s="20" t="n">
        <v>-117</v>
      </c>
      <c r="N291" s="20" t="n">
        <v>-12</v>
      </c>
      <c r="O291" s="20" t="n">
        <v>-16</v>
      </c>
      <c r="P291" s="20" t="n">
        <v>-18</v>
      </c>
      <c r="Q291" s="20" t="n">
        <v>-16</v>
      </c>
      <c r="R291" s="20" t="n">
        <v>-15</v>
      </c>
      <c r="S291" s="20" t="n">
        <v>-17</v>
      </c>
      <c r="T291" s="20" t="n">
        <v>-166</v>
      </c>
      <c r="U291" s="20" t="n">
        <v>-18</v>
      </c>
      <c r="V291" s="20" t="n">
        <v>-18</v>
      </c>
      <c r="W291" s="20" t="n">
        <v>-17</v>
      </c>
      <c r="X291" s="20" t="n">
        <v>-117</v>
      </c>
    </row>
    <row r="292">
      <c r="A292" s="18" t="inlineStr">
        <is>
          <t>투자유가증권 매각</t>
        </is>
      </c>
      <c r="D292" s="20" t="n">
        <v>179</v>
      </c>
      <c r="F292" s="20" t="n">
        <v>0</v>
      </c>
      <c r="H292" s="20" t="n">
        <v>0</v>
      </c>
      <c r="J292" s="20" t="n">
        <v>17</v>
      </c>
      <c r="L292" s="20" t="n">
        <v>50</v>
      </c>
      <c r="N292" s="20" t="n">
        <v>0</v>
      </c>
      <c r="O292" s="20" t="n">
        <v>230</v>
      </c>
      <c r="P292" s="20" t="n">
        <v>121</v>
      </c>
      <c r="Q292" s="20" t="n">
        <v>13</v>
      </c>
      <c r="R292" s="20" t="n">
        <v>884</v>
      </c>
      <c r="S292" s="20" t="n">
        <v>8380</v>
      </c>
      <c r="T292" s="20" t="n">
        <v>78</v>
      </c>
      <c r="U292" s="20" t="n">
        <v>573</v>
      </c>
      <c r="V292" s="20" t="n">
        <v>179</v>
      </c>
      <c r="W292" s="20" t="n">
        <v>0</v>
      </c>
      <c r="X292" s="20" t="n">
        <v>50</v>
      </c>
    </row>
    <row r="293">
      <c r="A293" s="18" t="inlineStr">
        <is>
          <t>대여</t>
        </is>
      </c>
      <c r="O293" s="20" t="n">
        <v>-2</v>
      </c>
      <c r="P293" s="20" t="n">
        <v>-3</v>
      </c>
      <c r="Q293" s="20" t="n">
        <v>-1</v>
      </c>
      <c r="R293" s="20" t="n">
        <v>-1</v>
      </c>
    </row>
    <row r="294">
      <c r="A294" s="18" t="inlineStr">
        <is>
          <t>대여금 회수</t>
        </is>
      </c>
      <c r="O294" s="20" t="n">
        <v>3</v>
      </c>
      <c r="P294" s="20" t="n">
        <v>4</v>
      </c>
      <c r="Q294" s="20" t="n">
        <v>74</v>
      </c>
      <c r="R294" s="20" t="n">
        <v>73</v>
      </c>
    </row>
    <row r="295">
      <c r="A295" s="18" t="inlineStr">
        <is>
          <t>사업양도 수입</t>
        </is>
      </c>
      <c r="P295" s="20" t="n">
        <v>0</v>
      </c>
      <c r="Q295" s="20" t="n">
        <v>110</v>
      </c>
      <c r="R295" s="20" t="n">
        <v>0</v>
      </c>
    </row>
    <row r="296">
      <c r="A296" s="18" t="inlineStr">
        <is>
          <t>자회사 주식 취득</t>
        </is>
      </c>
      <c r="Q296" s="20" t="n">
        <v>0</v>
      </c>
      <c r="R296" s="20" t="n">
        <v>-1023</v>
      </c>
    </row>
    <row r="297">
      <c r="A297" s="18" t="inlineStr">
        <is>
          <t>보험적립금 해약</t>
        </is>
      </c>
      <c r="R297" s="20" t="n">
        <v>0</v>
      </c>
      <c r="S297" s="20" t="n">
        <v>236</v>
      </c>
      <c r="T297" s="20" t="n">
        <v>0</v>
      </c>
    </row>
    <row r="298">
      <c r="A298" s="18" t="inlineStr">
        <is>
          <t>연결범위 변경 자회사 주식 매각(지출)</t>
        </is>
      </c>
      <c r="R298" s="20" t="n">
        <v>0</v>
      </c>
      <c r="S298" s="20" t="n">
        <v>-12689</v>
      </c>
      <c r="T298" s="20" t="n">
        <v>0</v>
      </c>
    </row>
    <row r="299">
      <c r="A299" s="18" t="inlineStr">
        <is>
          <t>연결범위 변경 자회사 주식 취득</t>
        </is>
      </c>
      <c r="D299" s="20" t="n">
        <v>0</v>
      </c>
      <c r="F299" s="20" t="n">
        <v>0</v>
      </c>
      <c r="H299" s="20" t="n">
        <v>0</v>
      </c>
      <c r="J299" s="20" t="n">
        <v>-2385</v>
      </c>
      <c r="L299" s="20" t="n">
        <v>-2385</v>
      </c>
      <c r="N299" s="20" t="n">
        <v>0</v>
      </c>
      <c r="R299" s="20" t="n">
        <v>-1023</v>
      </c>
      <c r="S299" s="20" t="n">
        <v>0</v>
      </c>
      <c r="T299" s="20" t="n">
        <v>0</v>
      </c>
      <c r="U299" s="20" t="n">
        <v>-295</v>
      </c>
      <c r="V299" s="20" t="n">
        <v>0</v>
      </c>
      <c r="W299" s="20" t="n">
        <v>0</v>
      </c>
      <c r="X299" s="20" t="n">
        <v>-2385</v>
      </c>
    </row>
    <row r="300">
      <c r="A300" s="18" t="inlineStr">
        <is>
          <t>기타</t>
        </is>
      </c>
      <c r="D300" s="20" t="n">
        <v>-69</v>
      </c>
      <c r="F300" s="20" t="n">
        <v>-15</v>
      </c>
      <c r="H300" s="20" t="n">
        <v>-25</v>
      </c>
      <c r="J300" s="20" t="n">
        <v>-85</v>
      </c>
      <c r="L300" s="20" t="n">
        <v>-104</v>
      </c>
      <c r="N300" s="20" t="n">
        <v>-24</v>
      </c>
      <c r="O300" s="20" t="n">
        <v>-202</v>
      </c>
      <c r="P300" s="20" t="n">
        <v>-326</v>
      </c>
      <c r="Q300" s="20" t="n">
        <v>9</v>
      </c>
      <c r="R300" s="20" t="n">
        <v>-24</v>
      </c>
      <c r="S300" s="20" t="n">
        <v>29</v>
      </c>
      <c r="T300" s="20" t="n">
        <v>-35</v>
      </c>
      <c r="U300" s="20" t="n">
        <v>-162</v>
      </c>
      <c r="V300" s="20" t="n">
        <v>-69</v>
      </c>
      <c r="W300" s="20" t="n">
        <v>-25</v>
      </c>
      <c r="X300" s="20" t="n">
        <v>-104</v>
      </c>
    </row>
    <row r="301">
      <c r="A301" s="9" t="inlineStr">
        <is>
          <t>투자활동 현금흐름</t>
        </is>
      </c>
      <c r="D301" s="12" t="n">
        <v>-804</v>
      </c>
      <c r="F301" s="12" t="n">
        <v>-454</v>
      </c>
      <c r="H301" s="12" t="n">
        <v>-817</v>
      </c>
      <c r="J301" s="12" t="n">
        <v>-3143</v>
      </c>
      <c r="L301" s="12" t="n">
        <v>-3861</v>
      </c>
      <c r="N301" s="12" t="n">
        <v>-872</v>
      </c>
      <c r="O301" s="12" t="n">
        <v>-1972</v>
      </c>
      <c r="P301" s="12" t="n">
        <v>-2105</v>
      </c>
      <c r="Q301" s="12" t="n">
        <v>-3154</v>
      </c>
      <c r="R301" s="12" t="n">
        <v>-1534</v>
      </c>
      <c r="S301" s="12" t="n">
        <v>-4123</v>
      </c>
      <c r="T301" s="12" t="n">
        <v>-1189</v>
      </c>
      <c r="U301" s="12" t="n">
        <v>-933</v>
      </c>
      <c r="V301" s="12" t="n">
        <v>-804</v>
      </c>
      <c r="W301" s="12" t="n">
        <v>-817</v>
      </c>
      <c r="X301" s="12" t="n">
        <v>-3861</v>
      </c>
    </row>
    <row r="302">
      <c r="A302" s="18" t="inlineStr">
        <is>
          <t>단기차입금 순증감</t>
        </is>
      </c>
      <c r="D302" s="20" t="n">
        <v>1400</v>
      </c>
      <c r="F302" s="20" t="n">
        <v>1800</v>
      </c>
      <c r="H302" s="20" t="n">
        <v>-1200</v>
      </c>
      <c r="J302" s="20" t="n">
        <v>1700</v>
      </c>
      <c r="L302" s="20" t="n">
        <v>400</v>
      </c>
      <c r="N302" s="20" t="n">
        <v>0</v>
      </c>
      <c r="O302" s="20" t="n">
        <v>1050</v>
      </c>
      <c r="P302" s="20" t="n">
        <v>-100</v>
      </c>
      <c r="Q302" s="20" t="n">
        <v>200</v>
      </c>
      <c r="R302" s="20" t="n">
        <v>-101</v>
      </c>
      <c r="S302" s="20" t="n">
        <v>357</v>
      </c>
      <c r="T302" s="20" t="n">
        <v>-850</v>
      </c>
      <c r="U302" s="20" t="n">
        <v>1300</v>
      </c>
      <c r="V302" s="20" t="n">
        <v>1400</v>
      </c>
      <c r="W302" s="20" t="n">
        <v>-1200</v>
      </c>
      <c r="X302" s="20" t="n">
        <v>400</v>
      </c>
    </row>
    <row r="303">
      <c r="A303" s="18" t="inlineStr">
        <is>
          <t>장기차입</t>
        </is>
      </c>
      <c r="D303" s="20" t="n">
        <v>940</v>
      </c>
      <c r="F303" s="20" t="n">
        <v>1800</v>
      </c>
      <c r="H303" s="20" t="n">
        <v>3200</v>
      </c>
      <c r="J303" s="20" t="n">
        <v>4100</v>
      </c>
      <c r="L303" s="20" t="n">
        <v>4600</v>
      </c>
      <c r="N303" s="20" t="n">
        <v>1000</v>
      </c>
      <c r="O303" s="20" t="n">
        <v>4550</v>
      </c>
      <c r="P303" s="20" t="n">
        <v>4100</v>
      </c>
      <c r="Q303" s="20" t="n">
        <v>12100</v>
      </c>
      <c r="R303" s="20" t="n">
        <v>5281</v>
      </c>
      <c r="S303" s="20" t="n">
        <v>2286</v>
      </c>
      <c r="T303" s="20" t="n">
        <v>3100</v>
      </c>
      <c r="U303" s="20" t="n">
        <v>1200</v>
      </c>
      <c r="V303" s="20" t="n">
        <v>940</v>
      </c>
      <c r="W303" s="20" t="n">
        <v>3200</v>
      </c>
      <c r="X303" s="20" t="n">
        <v>4600</v>
      </c>
    </row>
    <row r="304">
      <c r="A304" s="18" t="inlineStr">
        <is>
          <t>장기차입금 상환</t>
        </is>
      </c>
      <c r="D304" s="20" t="n">
        <v>-2532</v>
      </c>
      <c r="F304" s="20" t="n">
        <v>-863</v>
      </c>
      <c r="H304" s="20" t="n">
        <v>-1786</v>
      </c>
      <c r="J304" s="20" t="n">
        <v>-2624</v>
      </c>
      <c r="L304" s="20" t="n">
        <v>-3656</v>
      </c>
      <c r="N304" s="20" t="n">
        <v>-1079</v>
      </c>
      <c r="O304" s="20" t="n">
        <v>-5304</v>
      </c>
      <c r="P304" s="20" t="n">
        <v>-4327</v>
      </c>
      <c r="Q304" s="20" t="n">
        <v>-13467</v>
      </c>
      <c r="R304" s="20" t="n">
        <v>-4480</v>
      </c>
      <c r="S304" s="20" t="n">
        <v>-4895</v>
      </c>
      <c r="T304" s="20" t="n">
        <v>-3114</v>
      </c>
      <c r="U304" s="20" t="n">
        <v>-2627</v>
      </c>
      <c r="V304" s="20" t="n">
        <v>-2532</v>
      </c>
      <c r="W304" s="20" t="n">
        <v>-1786</v>
      </c>
      <c r="X304" s="20" t="n">
        <v>-3656</v>
      </c>
    </row>
    <row r="305">
      <c r="A305" s="18" t="inlineStr">
        <is>
          <t>세일앤리스백 수입</t>
        </is>
      </c>
      <c r="P305" s="20" t="n">
        <v>0</v>
      </c>
      <c r="Q305" s="20" t="n">
        <v>1343</v>
      </c>
      <c r="R305" s="20" t="n">
        <v>273</v>
      </c>
      <c r="S305" s="20" t="n">
        <v>0</v>
      </c>
      <c r="T305" s="20" t="n">
        <v>80</v>
      </c>
      <c r="U305" s="20" t="n">
        <v>0</v>
      </c>
    </row>
    <row r="306">
      <c r="A306" s="18" t="inlineStr">
        <is>
          <t>자기주식 취득</t>
        </is>
      </c>
      <c r="D306" s="20" t="n">
        <v>-0</v>
      </c>
      <c r="F306" s="20" t="n">
        <v>-149</v>
      </c>
      <c r="H306" s="20" t="n">
        <v>-149</v>
      </c>
      <c r="J306" s="20" t="n">
        <v>-99</v>
      </c>
      <c r="L306" s="20" t="n">
        <v>-99</v>
      </c>
      <c r="N306" s="20" t="n">
        <v>-49</v>
      </c>
      <c r="O306" s="20" t="n">
        <v>-1</v>
      </c>
      <c r="P306" s="20" t="n">
        <v>0</v>
      </c>
      <c r="V306" s="20" t="n">
        <v>-0</v>
      </c>
      <c r="W306" s="20" t="n">
        <v>-149</v>
      </c>
      <c r="X306" s="20" t="n">
        <v>-99</v>
      </c>
    </row>
    <row r="307">
      <c r="A307" s="18" t="inlineStr">
        <is>
          <t>배당금 지급</t>
        </is>
      </c>
      <c r="D307" s="20" t="n">
        <v>-167</v>
      </c>
      <c r="F307" s="20" t="n">
        <v>-168</v>
      </c>
      <c r="H307" s="20" t="n">
        <v>-168</v>
      </c>
      <c r="J307" s="20" t="n">
        <v>-249</v>
      </c>
      <c r="L307" s="20" t="n">
        <v>-252</v>
      </c>
      <c r="N307" s="20" t="n">
        <v>-251</v>
      </c>
      <c r="O307" s="20" t="n">
        <v>-162</v>
      </c>
      <c r="P307" s="20" t="n">
        <v>-162</v>
      </c>
      <c r="Q307" s="20" t="n">
        <v>-162</v>
      </c>
      <c r="R307" s="20" t="n">
        <v>-162</v>
      </c>
      <c r="S307" s="20" t="n">
        <v>-163</v>
      </c>
      <c r="T307" s="20" t="n">
        <v>-164</v>
      </c>
      <c r="U307" s="20" t="n">
        <v>-165</v>
      </c>
      <c r="V307" s="20" t="n">
        <v>-167</v>
      </c>
      <c r="W307" s="20" t="n">
        <v>-168</v>
      </c>
      <c r="X307" s="20" t="n">
        <v>-252</v>
      </c>
    </row>
    <row r="308">
      <c r="A308" s="18" t="inlineStr">
        <is>
          <t>리스부채 상환</t>
        </is>
      </c>
      <c r="D308" s="20" t="n">
        <v>-223</v>
      </c>
      <c r="F308" s="20" t="n">
        <v>-116</v>
      </c>
      <c r="H308" s="20" t="n">
        <v>-231</v>
      </c>
      <c r="J308" s="20" t="n">
        <v>-113</v>
      </c>
      <c r="L308" s="20" t="n">
        <v>-200</v>
      </c>
      <c r="N308" s="20" t="n">
        <v>-84</v>
      </c>
      <c r="O308" s="20" t="n">
        <v>-260</v>
      </c>
      <c r="P308" s="20" t="n">
        <v>-1279</v>
      </c>
      <c r="Q308" s="20" t="n">
        <v>-148</v>
      </c>
      <c r="R308" s="20" t="n">
        <v>-204</v>
      </c>
      <c r="S308" s="20" t="n">
        <v>-407</v>
      </c>
      <c r="T308" s="20" t="n">
        <v>-257</v>
      </c>
      <c r="U308" s="20" t="n">
        <v>-304</v>
      </c>
      <c r="V308" s="20" t="n">
        <v>-223</v>
      </c>
      <c r="W308" s="20" t="n">
        <v>-231</v>
      </c>
      <c r="X308" s="20" t="n">
        <v>-200</v>
      </c>
    </row>
    <row r="309">
      <c r="A309" s="18" t="inlineStr">
        <is>
          <t>기타</t>
        </is>
      </c>
      <c r="D309" s="20" t="n">
        <v>0</v>
      </c>
      <c r="F309" s="20" t="n">
        <v>0</v>
      </c>
      <c r="H309" s="20" t="n">
        <v>0</v>
      </c>
      <c r="L309" s="20" t="n">
        <v>-8</v>
      </c>
      <c r="P309" s="20" t="n">
        <v>0</v>
      </c>
      <c r="Q309" s="20" t="n">
        <v>0</v>
      </c>
      <c r="R309" s="20" t="n">
        <v>0</v>
      </c>
      <c r="S309" s="20" t="n">
        <v>0</v>
      </c>
      <c r="T309" s="20" t="n">
        <v>0</v>
      </c>
      <c r="U309" s="20" t="n">
        <v>0</v>
      </c>
      <c r="V309" s="20" t="n">
        <v>0</v>
      </c>
      <c r="W309" s="20" t="n">
        <v>0</v>
      </c>
      <c r="X309" s="20" t="n">
        <v>-8</v>
      </c>
    </row>
    <row r="310">
      <c r="A310" s="9" t="inlineStr">
        <is>
          <t>재무활동 현금흐름</t>
        </is>
      </c>
      <c r="D310" s="12" t="n">
        <v>-583</v>
      </c>
      <c r="F310" s="12" t="n">
        <v>2301</v>
      </c>
      <c r="H310" s="12" t="n">
        <v>-337</v>
      </c>
      <c r="J310" s="12" t="n">
        <v>2712</v>
      </c>
      <c r="L310" s="12" t="n">
        <v>780</v>
      </c>
      <c r="N310" s="12" t="n">
        <v>-465</v>
      </c>
      <c r="O310" s="12" t="n">
        <v>-128</v>
      </c>
      <c r="P310" s="12" t="n">
        <v>-1769</v>
      </c>
      <c r="Q310" s="12" t="n">
        <v>-135</v>
      </c>
      <c r="R310" s="12" t="n">
        <v>605</v>
      </c>
      <c r="S310" s="12" t="n">
        <v>-2821</v>
      </c>
      <c r="T310" s="12" t="n">
        <v>-1205</v>
      </c>
      <c r="U310" s="12" t="n">
        <v>-597</v>
      </c>
      <c r="V310" s="12" t="n">
        <v>-583</v>
      </c>
      <c r="W310" s="12" t="n">
        <v>-337</v>
      </c>
      <c r="X310" s="12" t="n">
        <v>780</v>
      </c>
    </row>
    <row r="311">
      <c r="A311" s="18" t="inlineStr">
        <is>
          <t>현금성자산 환산차이</t>
        </is>
      </c>
      <c r="D311" s="20" t="n">
        <v>14</v>
      </c>
      <c r="F311" s="20" t="n">
        <v>54</v>
      </c>
      <c r="H311" s="20" t="n">
        <v>43</v>
      </c>
      <c r="J311" s="20" t="n">
        <v>-31</v>
      </c>
      <c r="L311" s="20" t="n">
        <v>4</v>
      </c>
      <c r="N311" s="20" t="n">
        <v>25</v>
      </c>
      <c r="O311" s="20" t="n">
        <v>58</v>
      </c>
      <c r="P311" s="20" t="n">
        <v>-3</v>
      </c>
      <c r="Q311" s="20" t="n">
        <v>90</v>
      </c>
      <c r="R311" s="20" t="n">
        <v>-23</v>
      </c>
      <c r="S311" s="20" t="n">
        <v>24</v>
      </c>
      <c r="T311" s="20" t="n">
        <v>34</v>
      </c>
      <c r="U311" s="20" t="n">
        <v>18</v>
      </c>
      <c r="V311" s="20" t="n">
        <v>14</v>
      </c>
      <c r="W311" s="20" t="n">
        <v>43</v>
      </c>
      <c r="X311" s="20" t="n">
        <v>4</v>
      </c>
    </row>
    <row r="312">
      <c r="A312" s="18" t="inlineStr">
        <is>
          <t>현금성자산 증감</t>
        </is>
      </c>
      <c r="D312" s="20" t="n">
        <v>237</v>
      </c>
      <c r="F312" s="20" t="n">
        <v>2190</v>
      </c>
      <c r="H312" s="20" t="n">
        <v>389</v>
      </c>
      <c r="J312" s="20" t="n">
        <v>1386</v>
      </c>
      <c r="L312" s="20" t="n">
        <v>330</v>
      </c>
      <c r="N312" s="20" t="n">
        <v>-645</v>
      </c>
      <c r="O312" s="20" t="n">
        <v>-2106</v>
      </c>
      <c r="P312" s="20" t="n">
        <v>4922</v>
      </c>
      <c r="Q312" s="20" t="n">
        <v>-2901</v>
      </c>
      <c r="R312" s="20" t="n">
        <v>-4269</v>
      </c>
      <c r="S312" s="20" t="n">
        <v>-9600</v>
      </c>
      <c r="T312" s="20" t="n">
        <v>-2076</v>
      </c>
      <c r="U312" s="20" t="n">
        <v>-2046</v>
      </c>
      <c r="V312" s="20" t="n">
        <v>237</v>
      </c>
      <c r="W312" s="20" t="n">
        <v>389</v>
      </c>
      <c r="X312" s="20" t="n">
        <v>330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사노야스홀딩스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14446</v>
      </c>
      <c r="D5" s="12" t="n">
        <v>15288</v>
      </c>
      <c r="E5" s="12" t="n">
        <v>14821</v>
      </c>
      <c r="F5" s="12" t="n">
        <v>13429</v>
      </c>
      <c r="G5" s="12" t="n">
        <v>13912</v>
      </c>
      <c r="H5" s="11" t="n">
        <v>11508</v>
      </c>
      <c r="I5" s="12" t="n">
        <v>11807</v>
      </c>
      <c r="J5" s="12" t="n">
        <v>12446</v>
      </c>
      <c r="K5" s="12" t="n">
        <v>12806</v>
      </c>
      <c r="L5" s="12" t="n">
        <v>14821</v>
      </c>
    </row>
    <row r="6">
      <c r="A6" s="18" t="inlineStr">
        <is>
          <t>현금및현금성자산</t>
        </is>
      </c>
      <c r="B6" s="10" t="n"/>
      <c r="C6" s="19" t="n">
        <v>3402</v>
      </c>
      <c r="D6" s="20" t="n">
        <v>3022</v>
      </c>
      <c r="E6" s="20" t="n">
        <v>2346</v>
      </c>
      <c r="F6" s="20" t="n">
        <v>2387</v>
      </c>
      <c r="G6" s="20" t="n">
        <v>1701</v>
      </c>
      <c r="H6" s="19" t="n">
        <v>3436</v>
      </c>
      <c r="I6" s="20" t="n">
        <v>1389</v>
      </c>
      <c r="J6" s="20" t="n">
        <v>1626</v>
      </c>
      <c r="K6" s="20" t="n">
        <v>2016</v>
      </c>
      <c r="L6" s="20" t="n">
        <v>2346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2752</v>
      </c>
      <c r="D8" s="20" t="n">
        <v>3721</v>
      </c>
      <c r="E8" s="20" t="n">
        <v>4177</v>
      </c>
      <c r="F8" s="20" t="n">
        <v>2226</v>
      </c>
      <c r="G8" s="20" t="n">
        <v>2896</v>
      </c>
      <c r="H8" s="19" t="n">
        <v>3554</v>
      </c>
      <c r="I8" s="20" t="n">
        <v>4676</v>
      </c>
      <c r="J8" s="20" t="n">
        <v>4766</v>
      </c>
      <c r="K8" s="20" t="n">
        <v>4769</v>
      </c>
      <c r="L8" s="20" t="n">
        <v>4177</v>
      </c>
    </row>
    <row r="9">
      <c r="A9" s="18" t="inlineStr">
        <is>
          <t>재고자산</t>
        </is>
      </c>
      <c r="B9" s="10" t="n"/>
      <c r="C9" s="19" t="n">
        <v>5042</v>
      </c>
      <c r="D9" s="20" t="n">
        <v>4241</v>
      </c>
      <c r="E9" s="20" t="n">
        <v>3883</v>
      </c>
      <c r="F9" s="20" t="n">
        <v>4692</v>
      </c>
      <c r="G9" s="20" t="n">
        <v>4859</v>
      </c>
      <c r="H9" s="19" t="n">
        <v>1954</v>
      </c>
      <c r="I9" s="20" t="n">
        <v>2987</v>
      </c>
      <c r="J9" s="20" t="n">
        <v>3047</v>
      </c>
      <c r="K9" s="20" t="n">
        <v>2696</v>
      </c>
      <c r="L9" s="20" t="n">
        <v>3883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17856</v>
      </c>
      <c r="D11" s="12" t="n">
        <v>18319</v>
      </c>
      <c r="E11" s="12" t="n">
        <v>19242</v>
      </c>
      <c r="F11" s="12" t="n">
        <v>19531</v>
      </c>
      <c r="G11" s="12" t="n">
        <v>20399</v>
      </c>
      <c r="H11" s="11" t="n">
        <v>13919</v>
      </c>
      <c r="I11" s="12" t="n">
        <v>13895</v>
      </c>
      <c r="J11" s="12" t="n">
        <v>14803</v>
      </c>
      <c r="K11" s="12" t="n">
        <v>14869</v>
      </c>
      <c r="L11" s="12" t="n">
        <v>19242</v>
      </c>
    </row>
    <row r="12">
      <c r="A12" s="18" t="inlineStr">
        <is>
          <t>유형자산</t>
        </is>
      </c>
      <c r="B12" s="10" t="n"/>
      <c r="C12" s="19" t="n">
        <v>8566</v>
      </c>
      <c r="D12" s="20" t="n">
        <v>8760</v>
      </c>
      <c r="E12" s="20" t="n">
        <v>9097</v>
      </c>
      <c r="F12" s="20" t="n">
        <v>9147</v>
      </c>
      <c r="G12" s="20" t="n">
        <v>9293</v>
      </c>
      <c r="H12" s="19" t="n">
        <v>7793</v>
      </c>
      <c r="I12" s="20" t="n">
        <v>8292</v>
      </c>
      <c r="J12" s="20" t="n">
        <v>8159</v>
      </c>
      <c r="K12" s="20" t="n">
        <v>8076</v>
      </c>
      <c r="L12" s="20" t="n">
        <v>9097</v>
      </c>
    </row>
    <row r="13">
      <c r="A13" s="18" t="inlineStr">
        <is>
          <t>무형자산</t>
        </is>
      </c>
      <c r="B13" s="10" t="n"/>
      <c r="C13" s="19" t="n">
        <v>3021</v>
      </c>
      <c r="D13" s="20" t="n">
        <v>2923</v>
      </c>
      <c r="E13" s="20" t="n">
        <v>2847</v>
      </c>
      <c r="F13" s="20" t="n">
        <v>2776</v>
      </c>
      <c r="G13" s="20" t="n">
        <v>2694</v>
      </c>
      <c r="H13" s="19" t="n">
        <v>1081</v>
      </c>
      <c r="I13" s="20" t="n">
        <v>1050</v>
      </c>
      <c r="J13" s="20" t="n">
        <v>1116</v>
      </c>
      <c r="K13" s="20" t="n">
        <v>1067</v>
      </c>
      <c r="L13" s="20" t="n">
        <v>2847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32303</v>
      </c>
      <c r="D16" s="12" t="n">
        <v>33608</v>
      </c>
      <c r="E16" s="12" t="n">
        <v>34064</v>
      </c>
      <c r="F16" s="12" t="n">
        <v>32961</v>
      </c>
      <c r="G16" s="12" t="n">
        <v>34311</v>
      </c>
      <c r="H16" s="11" t="n">
        <v>25428</v>
      </c>
      <c r="I16" s="12" t="n">
        <v>25702</v>
      </c>
      <c r="J16" s="12" t="n">
        <v>27249</v>
      </c>
      <c r="K16" s="12" t="n">
        <v>27675</v>
      </c>
      <c r="L16" s="12" t="n">
        <v>34064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12816</v>
      </c>
      <c r="D18" s="12" t="n">
        <v>12954</v>
      </c>
      <c r="E18" s="12" t="n">
        <v>12423</v>
      </c>
      <c r="F18" s="12" t="n">
        <v>11970</v>
      </c>
      <c r="G18" s="12" t="n">
        <v>12021</v>
      </c>
      <c r="H18" s="11" t="n">
        <v>8573</v>
      </c>
      <c r="I18" s="12" t="n">
        <v>10395</v>
      </c>
      <c r="J18" s="12" t="n">
        <v>12025</v>
      </c>
      <c r="K18" s="12" t="n">
        <v>10420</v>
      </c>
      <c r="L18" s="12" t="n">
        <v>12423</v>
      </c>
    </row>
    <row r="19">
      <c r="A19" s="18" t="inlineStr">
        <is>
          <t>매입채무</t>
        </is>
      </c>
      <c r="B19" s="10" t="n"/>
      <c r="C19" s="19" t="n">
        <v>1428</v>
      </c>
      <c r="D19" s="20" t="n">
        <v>1338</v>
      </c>
      <c r="E19" s="20" t="n">
        <v>1623</v>
      </c>
      <c r="F19" s="20" t="n">
        <v>1715</v>
      </c>
      <c r="G19" s="20" t="n">
        <v>1619</v>
      </c>
      <c r="H19" s="19" t="n">
        <v>3003</v>
      </c>
      <c r="I19" s="20" t="n">
        <v>2575</v>
      </c>
      <c r="J19" s="20" t="n">
        <v>1840</v>
      </c>
      <c r="K19" s="20" t="n">
        <v>1818</v>
      </c>
      <c r="L19" s="20" t="n">
        <v>1623</v>
      </c>
    </row>
    <row r="20">
      <c r="A20" s="18" t="inlineStr">
        <is>
          <t>단기차입금</t>
        </is>
      </c>
      <c r="B20" s="10" t="n"/>
      <c r="C20" s="19" t="n">
        <v>4150</v>
      </c>
      <c r="D20" s="20" t="n">
        <v>2850</v>
      </c>
      <c r="E20" s="20" t="n">
        <v>2850</v>
      </c>
      <c r="F20" s="20" t="n">
        <v>2850</v>
      </c>
      <c r="G20" s="20" t="n">
        <v>2850</v>
      </c>
      <c r="H20" s="19" t="n">
        <v>950</v>
      </c>
      <c r="I20" s="20" t="n">
        <v>2250</v>
      </c>
      <c r="J20" s="20" t="n">
        <v>3650</v>
      </c>
      <c r="K20" s="20" t="n">
        <v>2450</v>
      </c>
      <c r="L20" s="20" t="n">
        <v>2850</v>
      </c>
    </row>
    <row r="21">
      <c r="A21" s="18" t="inlineStr">
        <is>
          <t>유동성장기부채</t>
        </is>
      </c>
      <c r="B21" s="10" t="n"/>
      <c r="C21" s="19" t="n">
        <v>2014</v>
      </c>
      <c r="D21" s="20" t="n">
        <v>2105</v>
      </c>
      <c r="E21" s="20" t="n">
        <v>2045</v>
      </c>
      <c r="F21" s="20" t="n">
        <v>1945</v>
      </c>
      <c r="G21" s="20" t="n">
        <v>2045</v>
      </c>
      <c r="H21" s="19" t="n">
        <v>2007</v>
      </c>
      <c r="I21" s="20" t="n">
        <v>1797</v>
      </c>
      <c r="J21" s="20" t="n">
        <v>1432</v>
      </c>
      <c r="K21" s="20" t="n">
        <v>1564</v>
      </c>
      <c r="L21" s="20" t="n">
        <v>2045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9458</v>
      </c>
      <c r="D23" s="12" t="n">
        <v>9453</v>
      </c>
      <c r="E23" s="12" t="n">
        <v>9162</v>
      </c>
      <c r="F23" s="12" t="n">
        <v>8680</v>
      </c>
      <c r="G23" s="12" t="n">
        <v>9216</v>
      </c>
      <c r="H23" s="11" t="n">
        <v>8983</v>
      </c>
      <c r="I23" s="12" t="n">
        <v>7296</v>
      </c>
      <c r="J23" s="12" t="n">
        <v>6085</v>
      </c>
      <c r="K23" s="12" t="n">
        <v>7083</v>
      </c>
      <c r="L23" s="12" t="n">
        <v>9162</v>
      </c>
    </row>
    <row r="24">
      <c r="A24" s="18" t="inlineStr">
        <is>
          <t>장기차입금</t>
        </is>
      </c>
      <c r="B24" s="10" t="n"/>
      <c r="C24" s="19" t="n">
        <v>6005</v>
      </c>
      <c r="D24" s="20" t="n">
        <v>5911</v>
      </c>
      <c r="E24" s="20" t="n">
        <v>5442</v>
      </c>
      <c r="F24" s="20" t="n">
        <v>5013</v>
      </c>
      <c r="G24" s="20" t="n">
        <v>5363</v>
      </c>
      <c r="H24" s="19" t="n">
        <v>4878</v>
      </c>
      <c r="I24" s="20" t="n">
        <v>3660</v>
      </c>
      <c r="J24" s="20" t="n">
        <v>2432</v>
      </c>
      <c r="K24" s="20" t="n">
        <v>3713</v>
      </c>
      <c r="L24" s="20" t="n">
        <v>5442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22274</v>
      </c>
      <c r="D27" s="12" t="n">
        <v>22407</v>
      </c>
      <c r="E27" s="12" t="n">
        <v>21585</v>
      </c>
      <c r="F27" s="12" t="n">
        <v>20651</v>
      </c>
      <c r="G27" s="12" t="n">
        <v>21238</v>
      </c>
      <c r="H27" s="11" t="n">
        <v>17557</v>
      </c>
      <c r="I27" s="12" t="n">
        <v>17691</v>
      </c>
      <c r="J27" s="12" t="n">
        <v>18111</v>
      </c>
      <c r="K27" s="12" t="n">
        <v>17504</v>
      </c>
      <c r="L27" s="12" t="n">
        <v>21585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9987</v>
      </c>
      <c r="D31" s="12" t="n">
        <v>11166</v>
      </c>
      <c r="E31" s="12" t="n">
        <v>12447</v>
      </c>
      <c r="F31" s="12" t="n">
        <v>12277</v>
      </c>
      <c r="G31" s="12" t="n">
        <v>13041</v>
      </c>
      <c r="H31" s="11" t="n">
        <v>7785</v>
      </c>
      <c r="I31" s="12" t="n">
        <v>7935</v>
      </c>
      <c r="J31" s="12" t="n">
        <v>9078</v>
      </c>
      <c r="K31" s="12" t="n">
        <v>10130</v>
      </c>
      <c r="L31" s="12" t="n">
        <v>12447</v>
      </c>
    </row>
    <row r="32">
      <c r="A32" s="18" t="inlineStr">
        <is>
          <t>자본금</t>
        </is>
      </c>
      <c r="B32" s="10" t="n"/>
      <c r="C32" s="19" t="n">
        <v>69</v>
      </c>
      <c r="D32" s="20" t="n">
        <v>72</v>
      </c>
      <c r="E32" s="20" t="n">
        <v>73</v>
      </c>
      <c r="F32" s="20" t="n">
        <v>73</v>
      </c>
      <c r="G32" s="20" t="n">
        <v>73</v>
      </c>
      <c r="H32" s="19" t="n">
        <v>2581</v>
      </c>
      <c r="I32" s="20" t="n">
        <v>2603</v>
      </c>
      <c r="J32" s="20" t="n">
        <v>2628</v>
      </c>
      <c r="K32" s="20" t="n">
        <v>69</v>
      </c>
      <c r="L32" s="20" t="n">
        <v>73</v>
      </c>
    </row>
    <row r="33">
      <c r="A33" s="18" t="inlineStr">
        <is>
          <t>이익잉여금</t>
        </is>
      </c>
      <c r="B33" s="10" t="n"/>
      <c r="C33" s="19" t="n">
        <v>4657</v>
      </c>
      <c r="D33" s="20" t="n">
        <v>5494</v>
      </c>
      <c r="E33" s="20" t="n">
        <v>6170</v>
      </c>
      <c r="F33" s="20" t="n">
        <v>5804</v>
      </c>
      <c r="G33" s="20" t="n">
        <v>6101</v>
      </c>
      <c r="H33" s="19" t="n">
        <v>3246</v>
      </c>
      <c r="I33" s="20" t="n">
        <v>3506</v>
      </c>
      <c r="J33" s="20" t="n">
        <v>3974</v>
      </c>
      <c r="K33" s="20" t="n">
        <v>4992</v>
      </c>
      <c r="L33" s="20" t="n">
        <v>6170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10028</v>
      </c>
      <c r="D35" s="12" t="n">
        <v>11200</v>
      </c>
      <c r="E35" s="12" t="n">
        <v>12479</v>
      </c>
      <c r="F35" s="12" t="n">
        <v>12309</v>
      </c>
      <c r="G35" s="12" t="n">
        <v>13073</v>
      </c>
      <c r="H35" s="11" t="n">
        <v>7871</v>
      </c>
      <c r="I35" s="12" t="n">
        <v>8010</v>
      </c>
      <c r="J35" s="12" t="n">
        <v>9137</v>
      </c>
      <c r="K35" s="12" t="n">
        <v>10171</v>
      </c>
      <c r="L35" s="12" t="n">
        <v>12479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3059</v>
      </c>
      <c r="D37" s="12" t="n"/>
      <c r="E37" s="12" t="n">
        <v>3406</v>
      </c>
      <c r="F37" s="12" t="n"/>
      <c r="G37" s="12" t="n">
        <v>2223</v>
      </c>
      <c r="H37" s="11" t="n">
        <v>284</v>
      </c>
      <c r="I37" s="12" t="n">
        <v>-534</v>
      </c>
      <c r="J37" s="12" t="n">
        <v>1610</v>
      </c>
      <c r="K37" s="12" t="n">
        <v>1500</v>
      </c>
      <c r="L37" s="12" t="n">
        <v>3406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959</v>
      </c>
      <c r="D38" s="20" t="n"/>
      <c r="E38" s="20" t="n">
        <v>1342</v>
      </c>
      <c r="F38" s="20" t="n"/>
      <c r="G38" s="20" t="n">
        <v>1564</v>
      </c>
      <c r="H38" s="19" t="n">
        <v>1179</v>
      </c>
      <c r="I38" s="20" t="n">
        <v>1127</v>
      </c>
      <c r="J38" s="20" t="n">
        <v>899</v>
      </c>
      <c r="K38" s="20" t="n">
        <v>775</v>
      </c>
      <c r="L38" s="20" t="n">
        <v>1342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249</v>
      </c>
      <c r="D40" s="20" t="n"/>
      <c r="E40" s="20" t="n">
        <v>252</v>
      </c>
      <c r="F40" s="20" t="n"/>
      <c r="G40" s="20" t="n">
        <v>254</v>
      </c>
      <c r="H40" s="19" t="n">
        <v>164</v>
      </c>
      <c r="I40" s="20" t="n">
        <v>165</v>
      </c>
      <c r="J40" s="20" t="n">
        <v>167</v>
      </c>
      <c r="K40" s="20" t="n">
        <v>168</v>
      </c>
      <c r="L40" s="20" t="n">
        <v>252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3402</v>
      </c>
      <c r="D71" s="20" t="n">
        <v>3022</v>
      </c>
      <c r="E71" s="20" t="n">
        <v>2346</v>
      </c>
      <c r="F71" s="20" t="n">
        <v>2387</v>
      </c>
      <c r="G71" s="20" t="n">
        <v>1701</v>
      </c>
      <c r="H71" s="20" t="n">
        <v>3436</v>
      </c>
      <c r="I71" s="20" t="n">
        <v>1389</v>
      </c>
      <c r="J71" s="20" t="n">
        <v>1626</v>
      </c>
      <c r="K71" s="20" t="n">
        <v>2016</v>
      </c>
      <c r="L71" s="20" t="n">
        <v>2346</v>
      </c>
    </row>
    <row r="72">
      <c r="A72" s="18" t="inlineStr">
        <is>
          <t>받을어음·매출채권</t>
        </is>
      </c>
      <c r="H72" s="20" t="n">
        <v>4521</v>
      </c>
      <c r="I72" s="20" t="n">
        <v>5119</v>
      </c>
    </row>
    <row r="73">
      <c r="A73" s="18" t="inlineStr">
        <is>
          <t>받을어음</t>
        </is>
      </c>
      <c r="C73" s="20" t="n">
        <v>82</v>
      </c>
      <c r="D73" s="20" t="n">
        <v>75</v>
      </c>
      <c r="E73" s="20" t="n">
        <v>58</v>
      </c>
      <c r="F73" s="20" t="n">
        <v>29</v>
      </c>
      <c r="G73" s="20" t="n">
        <v>9</v>
      </c>
      <c r="H73" s="20" t="n">
        <v>966</v>
      </c>
      <c r="I73" s="20" t="n">
        <v>443</v>
      </c>
      <c r="J73" s="20" t="n">
        <v>275</v>
      </c>
      <c r="K73" s="20" t="n">
        <v>153</v>
      </c>
      <c r="L73" s="20" t="n">
        <v>58</v>
      </c>
    </row>
    <row r="74">
      <c r="A74" s="18" t="inlineStr">
        <is>
          <t>매출채권</t>
        </is>
      </c>
      <c r="C74" s="20" t="n">
        <v>2752</v>
      </c>
      <c r="D74" s="20" t="n">
        <v>3721</v>
      </c>
      <c r="E74" s="20" t="n">
        <v>4177</v>
      </c>
      <c r="F74" s="20" t="n">
        <v>2226</v>
      </c>
      <c r="G74" s="20" t="n">
        <v>2896</v>
      </c>
      <c r="H74" s="20" t="n">
        <v>3554</v>
      </c>
      <c r="I74" s="20" t="n">
        <v>4676</v>
      </c>
      <c r="J74" s="20" t="n">
        <v>4766</v>
      </c>
      <c r="K74" s="20" t="n">
        <v>4769</v>
      </c>
      <c r="L74" s="20" t="n">
        <v>4177</v>
      </c>
    </row>
    <row r="75">
      <c r="A75" s="18" t="inlineStr">
        <is>
          <t>계약자산</t>
        </is>
      </c>
      <c r="C75" s="20" t="n">
        <v>1380</v>
      </c>
      <c r="D75" s="20" t="n">
        <v>1347</v>
      </c>
      <c r="E75" s="20" t="n">
        <v>1479</v>
      </c>
      <c r="F75" s="20" t="n">
        <v>1317</v>
      </c>
      <c r="G75" s="20" t="n">
        <v>1728</v>
      </c>
      <c r="H75" s="20" t="n">
        <v>534</v>
      </c>
      <c r="I75" s="20" t="n">
        <v>300</v>
      </c>
      <c r="J75" s="20" t="n">
        <v>744</v>
      </c>
      <c r="K75" s="20" t="n">
        <v>1421</v>
      </c>
      <c r="L75" s="20" t="n">
        <v>1479</v>
      </c>
    </row>
    <row r="76">
      <c r="A76" s="18" t="inlineStr">
        <is>
          <t>전자기록채권</t>
        </is>
      </c>
      <c r="C76" s="20" t="n">
        <v>592</v>
      </c>
      <c r="D76" s="20" t="n">
        <v>1125</v>
      </c>
      <c r="E76" s="20" t="n">
        <v>1207</v>
      </c>
      <c r="F76" s="20" t="n">
        <v>770</v>
      </c>
      <c r="G76" s="20" t="n">
        <v>828</v>
      </c>
      <c r="H76" s="20" t="n">
        <v>573</v>
      </c>
      <c r="I76" s="20" t="n">
        <v>1003</v>
      </c>
      <c r="J76" s="20" t="n">
        <v>1272</v>
      </c>
      <c r="K76" s="20" t="n">
        <v>635</v>
      </c>
      <c r="L76" s="20" t="n">
        <v>1207</v>
      </c>
    </row>
    <row r="77">
      <c r="A77" s="18" t="inlineStr">
        <is>
          <t>상품·제품</t>
        </is>
      </c>
      <c r="C77" s="20" t="n">
        <v>429</v>
      </c>
      <c r="D77" s="20" t="n">
        <v>427</v>
      </c>
      <c r="E77" s="20" t="n">
        <v>527</v>
      </c>
      <c r="F77" s="20" t="n">
        <v>451</v>
      </c>
      <c r="G77" s="20" t="n">
        <v>453</v>
      </c>
      <c r="H77" s="20" t="n">
        <v>189</v>
      </c>
      <c r="I77" s="20" t="n">
        <v>243</v>
      </c>
      <c r="J77" s="20" t="n">
        <v>266</v>
      </c>
      <c r="K77" s="20" t="n">
        <v>269</v>
      </c>
      <c r="L77" s="20" t="n">
        <v>527</v>
      </c>
    </row>
    <row r="78">
      <c r="A78" s="18" t="inlineStr">
        <is>
          <t>재공품</t>
        </is>
      </c>
      <c r="C78" s="20" t="n">
        <v>3055</v>
      </c>
      <c r="D78" s="20" t="n">
        <v>2232</v>
      </c>
      <c r="E78" s="20" t="n">
        <v>1918</v>
      </c>
      <c r="F78" s="20" t="n">
        <v>2749</v>
      </c>
      <c r="G78" s="20" t="n">
        <v>2931</v>
      </c>
      <c r="H78" s="20" t="n">
        <v>938</v>
      </c>
      <c r="I78" s="20" t="n">
        <v>1565</v>
      </c>
      <c r="J78" s="20" t="n">
        <v>1491</v>
      </c>
      <c r="K78" s="20" t="n">
        <v>1277</v>
      </c>
      <c r="L78" s="20" t="n">
        <v>1918</v>
      </c>
    </row>
    <row r="79">
      <c r="A79" s="18" t="inlineStr">
        <is>
          <t>원재료·저장품</t>
        </is>
      </c>
      <c r="C79" s="20" t="n">
        <v>1558</v>
      </c>
      <c r="D79" s="20" t="n">
        <v>1582</v>
      </c>
      <c r="E79" s="20" t="n">
        <v>1438</v>
      </c>
      <c r="F79" s="20" t="n">
        <v>1492</v>
      </c>
      <c r="G79" s="20" t="n">
        <v>1475</v>
      </c>
      <c r="H79" s="20" t="n">
        <v>827</v>
      </c>
      <c r="I79" s="20" t="n">
        <v>1179</v>
      </c>
      <c r="J79" s="20" t="n">
        <v>1290</v>
      </c>
      <c r="K79" s="20" t="n">
        <v>1150</v>
      </c>
      <c r="L79" s="20" t="n">
        <v>1438</v>
      </c>
    </row>
    <row r="80">
      <c r="A80" s="18" t="inlineStr">
        <is>
          <t>선급금</t>
        </is>
      </c>
      <c r="E80" s="20" t="n">
        <v>651</v>
      </c>
      <c r="F80" s="20" t="n">
        <v>878</v>
      </c>
      <c r="G80" s="20" t="n">
        <v>1113</v>
      </c>
      <c r="K80" s="20" t="n">
        <v>6</v>
      </c>
      <c r="L80" s="20" t="n">
        <v>651</v>
      </c>
    </row>
    <row r="81">
      <c r="A81" s="18" t="inlineStr">
        <is>
          <t>기타</t>
        </is>
      </c>
      <c r="C81" s="20" t="n">
        <v>1208</v>
      </c>
      <c r="D81" s="20" t="n">
        <v>1771</v>
      </c>
      <c r="E81" s="20" t="n">
        <v>1032</v>
      </c>
      <c r="F81" s="20" t="n">
        <v>1137</v>
      </c>
      <c r="G81" s="20" t="n">
        <v>789</v>
      </c>
      <c r="H81" s="20" t="n">
        <v>497</v>
      </c>
      <c r="I81" s="20" t="n">
        <v>1018</v>
      </c>
      <c r="J81" s="20" t="n">
        <v>726</v>
      </c>
      <c r="K81" s="20" t="n">
        <v>1123</v>
      </c>
      <c r="L81" s="20" t="n">
        <v>1032</v>
      </c>
    </row>
    <row r="82">
      <c r="A82" s="18" t="inlineStr">
        <is>
          <t>대손충당금</t>
        </is>
      </c>
      <c r="C82" s="20" t="n">
        <v>-14</v>
      </c>
      <c r="D82" s="20" t="n">
        <v>-18</v>
      </c>
      <c r="E82" s="20" t="n">
        <v>-16</v>
      </c>
      <c r="F82" s="20" t="n">
        <v>-12</v>
      </c>
      <c r="G82" s="20" t="n">
        <v>-16</v>
      </c>
      <c r="H82" s="20" t="n">
        <v>-10</v>
      </c>
      <c r="I82" s="20" t="n">
        <v>-13</v>
      </c>
      <c r="J82" s="20" t="n">
        <v>-14</v>
      </c>
      <c r="K82" s="20" t="n">
        <v>-18</v>
      </c>
      <c r="L82" s="20" t="n">
        <v>-16</v>
      </c>
    </row>
    <row r="83">
      <c r="A83" s="9" t="inlineStr">
        <is>
          <t>유동자산 합계</t>
        </is>
      </c>
      <c r="C83" s="12" t="n">
        <v>14446</v>
      </c>
      <c r="D83" s="12" t="n">
        <v>15288</v>
      </c>
      <c r="E83" s="12" t="n">
        <v>14821</v>
      </c>
      <c r="F83" s="12" t="n">
        <v>13429</v>
      </c>
      <c r="G83" s="12" t="n">
        <v>13912</v>
      </c>
      <c r="H83" s="12" t="n">
        <v>11508</v>
      </c>
      <c r="I83" s="12" t="n">
        <v>11807</v>
      </c>
      <c r="J83" s="12" t="n">
        <v>12446</v>
      </c>
      <c r="K83" s="12" t="n">
        <v>12806</v>
      </c>
      <c r="L83" s="12" t="n">
        <v>14821</v>
      </c>
    </row>
    <row r="84">
      <c r="A84" s="18" t="inlineStr">
        <is>
          <t>건물·구축물</t>
        </is>
      </c>
      <c r="C84" s="20" t="n">
        <v>7292</v>
      </c>
      <c r="D84" s="20" t="n">
        <v>7309</v>
      </c>
      <c r="E84" s="20" t="n">
        <v>7306</v>
      </c>
      <c r="F84" s="20" t="n">
        <v>7287</v>
      </c>
      <c r="G84" s="20" t="n">
        <v>7374</v>
      </c>
      <c r="H84" s="20" t="n">
        <v>5961</v>
      </c>
      <c r="I84" s="20" t="n">
        <v>6633</v>
      </c>
      <c r="J84" s="20" t="n">
        <v>6654</v>
      </c>
      <c r="K84" s="20" t="n">
        <v>6676</v>
      </c>
      <c r="L84" s="20" t="n">
        <v>7306</v>
      </c>
    </row>
    <row r="85">
      <c r="A85" s="18" t="inlineStr">
        <is>
          <t>감가상각누계액</t>
        </is>
      </c>
      <c r="C85" s="20" t="n">
        <v>-4229</v>
      </c>
      <c r="D85" s="20" t="n">
        <v>-4269</v>
      </c>
      <c r="E85" s="20" t="n">
        <v>-4298</v>
      </c>
      <c r="F85" s="20" t="n">
        <v>-4318</v>
      </c>
      <c r="G85" s="20" t="n">
        <v>-4365</v>
      </c>
      <c r="H85" s="20" t="n">
        <v>-3160</v>
      </c>
      <c r="I85" s="20" t="n">
        <v>-3357</v>
      </c>
      <c r="J85" s="20" t="n">
        <v>-3510</v>
      </c>
      <c r="K85" s="20" t="n">
        <v>-3663</v>
      </c>
      <c r="L85" s="20" t="n">
        <v>-4298</v>
      </c>
    </row>
    <row r="86">
      <c r="A86" s="18" t="inlineStr">
        <is>
          <t>건물·구축물(순액)</t>
        </is>
      </c>
      <c r="C86" s="20" t="n">
        <v>3063</v>
      </c>
      <c r="D86" s="20" t="n">
        <v>3039</v>
      </c>
      <c r="E86" s="20" t="n">
        <v>3007</v>
      </c>
      <c r="F86" s="20" t="n">
        <v>2968</v>
      </c>
      <c r="G86" s="20" t="n">
        <v>3008</v>
      </c>
      <c r="H86" s="20" t="n">
        <v>2800</v>
      </c>
      <c r="I86" s="20" t="n">
        <v>3275</v>
      </c>
      <c r="J86" s="20" t="n">
        <v>3144</v>
      </c>
      <c r="K86" s="20" t="n">
        <v>3013</v>
      </c>
      <c r="L86" s="20" t="n">
        <v>3007</v>
      </c>
    </row>
    <row r="87">
      <c r="A87" s="18" t="inlineStr">
        <is>
          <t>기계장치(순액)</t>
        </is>
      </c>
      <c r="H87" s="20" t="n">
        <v>1677</v>
      </c>
      <c r="I87" s="20" t="n">
        <v>1601</v>
      </c>
      <c r="J87" s="20" t="n">
        <v>1797</v>
      </c>
    </row>
    <row r="88">
      <c r="A88" s="18" t="inlineStr">
        <is>
          <t>기계·운반구·공구기구비품</t>
        </is>
      </c>
      <c r="C88" s="20" t="n">
        <v>15546</v>
      </c>
      <c r="D88" s="20" t="n">
        <v>15580</v>
      </c>
      <c r="E88" s="20" t="n">
        <v>16001</v>
      </c>
      <c r="F88" s="20" t="n">
        <v>15832</v>
      </c>
      <c r="G88" s="20" t="n">
        <v>15900</v>
      </c>
      <c r="H88" s="20" t="n">
        <v>14562</v>
      </c>
      <c r="I88" s="20" t="n">
        <v>14419</v>
      </c>
      <c r="J88" s="20" t="n">
        <v>15008</v>
      </c>
      <c r="K88" s="20" t="n">
        <v>14963</v>
      </c>
      <c r="L88" s="20" t="n">
        <v>16001</v>
      </c>
    </row>
    <row r="89">
      <c r="A89" s="18" t="inlineStr">
        <is>
          <t>감가상각누계액</t>
        </is>
      </c>
      <c r="C89" s="20" t="n">
        <v>-13467</v>
      </c>
      <c r="D89" s="20" t="n">
        <v>-13551</v>
      </c>
      <c r="E89" s="20" t="n">
        <v>-13497</v>
      </c>
      <c r="F89" s="20" t="n">
        <v>-13540</v>
      </c>
      <c r="G89" s="20" t="n">
        <v>-13613</v>
      </c>
      <c r="H89" s="20" t="n">
        <v>-12661</v>
      </c>
      <c r="I89" s="20" t="n">
        <v>-12577</v>
      </c>
      <c r="J89" s="20" t="n">
        <v>-12991</v>
      </c>
      <c r="K89" s="20" t="n">
        <v>-12932</v>
      </c>
      <c r="L89" s="20" t="n">
        <v>-13497</v>
      </c>
    </row>
    <row r="90">
      <c r="A90" s="18" t="inlineStr">
        <is>
          <t>Machinery Vehicles Tools Furniture And Fixtures Net</t>
        </is>
      </c>
      <c r="C90" s="20" t="n">
        <v>2078</v>
      </c>
      <c r="D90" s="20" t="n">
        <v>2028</v>
      </c>
      <c r="E90" s="20" t="n">
        <v>2504</v>
      </c>
      <c r="F90" s="20" t="n">
        <v>2291</v>
      </c>
      <c r="G90" s="20" t="n">
        <v>2286</v>
      </c>
      <c r="H90" s="20" t="n">
        <v>1901</v>
      </c>
      <c r="I90" s="20" t="n">
        <v>1842</v>
      </c>
      <c r="J90" s="20" t="n">
        <v>2017</v>
      </c>
      <c r="K90" s="20" t="n">
        <v>2031</v>
      </c>
      <c r="L90" s="20" t="n">
        <v>2504</v>
      </c>
    </row>
    <row r="91">
      <c r="A91" s="18" t="inlineStr">
        <is>
          <t>토지</t>
        </is>
      </c>
      <c r="C91" s="20" t="n">
        <v>3067</v>
      </c>
      <c r="D91" s="20" t="n">
        <v>3067</v>
      </c>
      <c r="E91" s="20" t="n">
        <v>3062</v>
      </c>
      <c r="F91" s="20" t="n">
        <v>3062</v>
      </c>
      <c r="G91" s="20" t="n">
        <v>3062</v>
      </c>
      <c r="H91" s="20" t="n">
        <v>2873</v>
      </c>
      <c r="I91" s="20" t="n">
        <v>2831</v>
      </c>
      <c r="J91" s="20" t="n">
        <v>2831</v>
      </c>
      <c r="K91" s="20" t="n">
        <v>2831</v>
      </c>
      <c r="L91" s="20" t="n">
        <v>3062</v>
      </c>
    </row>
    <row r="92">
      <c r="A92" s="18" t="inlineStr">
        <is>
          <t>기타(순액)</t>
        </is>
      </c>
      <c r="H92" s="20" t="n">
        <v>443</v>
      </c>
      <c r="I92" s="20" t="n">
        <v>582</v>
      </c>
      <c r="J92" s="20" t="n">
        <v>386</v>
      </c>
    </row>
    <row r="93">
      <c r="A93" s="18" t="inlineStr">
        <is>
          <t>건설중인자산</t>
        </is>
      </c>
      <c r="C93" s="20" t="n">
        <v>357</v>
      </c>
      <c r="D93" s="20" t="n">
        <v>624</v>
      </c>
      <c r="E93" s="20" t="n">
        <v>523</v>
      </c>
      <c r="F93" s="20" t="n">
        <v>825</v>
      </c>
      <c r="G93" s="20" t="n">
        <v>935</v>
      </c>
      <c r="H93" s="20" t="n">
        <v>219</v>
      </c>
      <c r="I93" s="20" t="n">
        <v>342</v>
      </c>
      <c r="J93" s="20" t="n">
        <v>166</v>
      </c>
      <c r="K93" s="20" t="n">
        <v>200</v>
      </c>
      <c r="L93" s="20" t="n">
        <v>523</v>
      </c>
    </row>
    <row r="94">
      <c r="A94" s="18" t="inlineStr">
        <is>
          <t>유형자산 합계</t>
        </is>
      </c>
      <c r="C94" s="20" t="n">
        <v>8566</v>
      </c>
      <c r="D94" s="20" t="n">
        <v>8760</v>
      </c>
      <c r="E94" s="20" t="n">
        <v>9097</v>
      </c>
      <c r="F94" s="20" t="n">
        <v>9147</v>
      </c>
      <c r="G94" s="20" t="n">
        <v>9293</v>
      </c>
      <c r="H94" s="20" t="n">
        <v>7793</v>
      </c>
      <c r="I94" s="20" t="n">
        <v>8292</v>
      </c>
      <c r="J94" s="20" t="n">
        <v>8159</v>
      </c>
      <c r="K94" s="20" t="n">
        <v>8076</v>
      </c>
      <c r="L94" s="20" t="n">
        <v>9097</v>
      </c>
    </row>
    <row r="95">
      <c r="A95" s="18" t="inlineStr">
        <is>
          <t>소프트웨어</t>
        </is>
      </c>
      <c r="C95" s="20" t="n">
        <v>487</v>
      </c>
      <c r="D95" s="20" t="n">
        <v>512</v>
      </c>
      <c r="E95" s="20" t="n">
        <v>511</v>
      </c>
      <c r="F95" s="20" t="n">
        <v>491</v>
      </c>
      <c r="G95" s="20" t="n">
        <v>510</v>
      </c>
      <c r="H95" s="20" t="n">
        <v>353</v>
      </c>
      <c r="I95" s="20" t="n">
        <v>353</v>
      </c>
      <c r="J95" s="20" t="n">
        <v>331</v>
      </c>
      <c r="K95" s="20" t="n">
        <v>492</v>
      </c>
      <c r="L95" s="20" t="n">
        <v>511</v>
      </c>
    </row>
    <row r="96">
      <c r="A96" s="18" t="inlineStr">
        <is>
          <t>개발 중 소프트웨어</t>
        </is>
      </c>
      <c r="C96" s="20" t="n">
        <v>100</v>
      </c>
      <c r="D96" s="20" t="n">
        <v>51</v>
      </c>
      <c r="E96" s="20" t="n">
        <v>49</v>
      </c>
      <c r="F96" s="20" t="n">
        <v>72</v>
      </c>
      <c r="G96" s="20" t="n">
        <v>44</v>
      </c>
      <c r="J96" s="20" t="n">
        <v>178</v>
      </c>
      <c r="K96" s="20" t="n">
        <v>66</v>
      </c>
      <c r="L96" s="20" t="n">
        <v>49</v>
      </c>
    </row>
    <row r="97">
      <c r="A97" s="18" t="inlineStr">
        <is>
          <t>영업권</t>
        </is>
      </c>
      <c r="C97" s="20" t="n">
        <v>2424</v>
      </c>
      <c r="D97" s="20" t="n">
        <v>2351</v>
      </c>
      <c r="E97" s="20" t="n">
        <v>2278</v>
      </c>
      <c r="F97" s="20" t="n">
        <v>2204</v>
      </c>
      <c r="G97" s="20" t="n">
        <v>2131</v>
      </c>
      <c r="H97" s="20" t="n">
        <v>711</v>
      </c>
      <c r="I97" s="20" t="n">
        <v>679</v>
      </c>
      <c r="J97" s="20" t="n">
        <v>589</v>
      </c>
      <c r="K97" s="20" t="n">
        <v>499</v>
      </c>
      <c r="L97" s="20" t="n">
        <v>2278</v>
      </c>
    </row>
    <row r="98">
      <c r="A98" s="18" t="inlineStr">
        <is>
          <t>기타</t>
        </is>
      </c>
      <c r="C98" s="20" t="n">
        <v>8</v>
      </c>
      <c r="D98" s="20" t="n">
        <v>8</v>
      </c>
      <c r="E98" s="20" t="n">
        <v>8</v>
      </c>
      <c r="F98" s="20" t="n">
        <v>8</v>
      </c>
      <c r="G98" s="20" t="n">
        <v>8</v>
      </c>
      <c r="H98" s="20" t="n">
        <v>17</v>
      </c>
      <c r="I98" s="20" t="n">
        <v>17</v>
      </c>
      <c r="J98" s="20" t="n">
        <v>17</v>
      </c>
      <c r="K98" s="20" t="n">
        <v>8</v>
      </c>
      <c r="L98" s="20" t="n">
        <v>8</v>
      </c>
    </row>
    <row r="99">
      <c r="A99" s="18" t="inlineStr">
        <is>
          <t>무형자산 합계</t>
        </is>
      </c>
      <c r="C99" s="20" t="n">
        <v>3021</v>
      </c>
      <c r="D99" s="20" t="n">
        <v>2923</v>
      </c>
      <c r="E99" s="20" t="n">
        <v>2847</v>
      </c>
      <c r="F99" s="20" t="n">
        <v>2776</v>
      </c>
      <c r="G99" s="20" t="n">
        <v>2694</v>
      </c>
      <c r="H99" s="20" t="n">
        <v>1081</v>
      </c>
      <c r="I99" s="20" t="n">
        <v>1050</v>
      </c>
      <c r="J99" s="20" t="n">
        <v>1116</v>
      </c>
      <c r="K99" s="20" t="n">
        <v>1067</v>
      </c>
      <c r="L99" s="20" t="n">
        <v>2847</v>
      </c>
    </row>
    <row r="100">
      <c r="A100" s="18" t="inlineStr">
        <is>
          <t>투자유가증권</t>
        </is>
      </c>
      <c r="C100" s="20" t="n">
        <v>5196</v>
      </c>
      <c r="D100" s="20" t="n">
        <v>5611</v>
      </c>
      <c r="E100" s="20" t="n">
        <v>6265</v>
      </c>
      <c r="F100" s="20" t="n">
        <v>6604</v>
      </c>
      <c r="G100" s="20" t="n">
        <v>7200</v>
      </c>
      <c r="H100" s="20" t="n">
        <v>4384</v>
      </c>
      <c r="I100" s="20" t="n">
        <v>3853</v>
      </c>
      <c r="J100" s="20" t="n">
        <v>4777</v>
      </c>
      <c r="K100" s="20" t="n">
        <v>4805</v>
      </c>
      <c r="L100" s="20" t="n">
        <v>6265</v>
      </c>
    </row>
    <row r="101">
      <c r="A101" s="18" t="inlineStr">
        <is>
          <t>장기대여금</t>
        </is>
      </c>
      <c r="H101" s="20" t="n">
        <v>2</v>
      </c>
    </row>
    <row r="102">
      <c r="A102" s="18" t="inlineStr">
        <is>
          <t>이연법인세자산</t>
        </is>
      </c>
      <c r="C102" s="20" t="n">
        <v>463</v>
      </c>
      <c r="D102" s="20" t="n">
        <v>450</v>
      </c>
      <c r="E102" s="20" t="n">
        <v>448</v>
      </c>
      <c r="F102" s="20" t="n">
        <v>428</v>
      </c>
      <c r="G102" s="20" t="n">
        <v>434</v>
      </c>
      <c r="H102" s="20" t="n">
        <v>166</v>
      </c>
      <c r="I102" s="20" t="n">
        <v>222</v>
      </c>
      <c r="J102" s="20" t="n">
        <v>200</v>
      </c>
      <c r="K102" s="20" t="n">
        <v>409</v>
      </c>
      <c r="L102" s="20" t="n">
        <v>448</v>
      </c>
    </row>
    <row r="103">
      <c r="A103" s="18" t="inlineStr">
        <is>
          <t>퇴직급여자산</t>
        </is>
      </c>
      <c r="C103" s="20" t="n">
        <v>285</v>
      </c>
      <c r="D103" s="20" t="n">
        <v>289</v>
      </c>
      <c r="E103" s="20" t="n">
        <v>292</v>
      </c>
      <c r="F103" s="20" t="n">
        <v>290</v>
      </c>
      <c r="G103" s="20" t="n">
        <v>291</v>
      </c>
      <c r="H103" s="20" t="n">
        <v>293</v>
      </c>
      <c r="I103" s="20" t="n">
        <v>278</v>
      </c>
      <c r="J103" s="20" t="n">
        <v>301</v>
      </c>
      <c r="K103" s="20" t="n">
        <v>280</v>
      </c>
      <c r="L103" s="20" t="n">
        <v>292</v>
      </c>
    </row>
    <row r="104">
      <c r="A104" s="18" t="inlineStr">
        <is>
          <t>기타</t>
        </is>
      </c>
      <c r="C104" s="20" t="n">
        <v>358</v>
      </c>
      <c r="D104" s="20" t="n">
        <v>321</v>
      </c>
      <c r="E104" s="20" t="n">
        <v>329</v>
      </c>
      <c r="F104" s="20" t="n">
        <v>321</v>
      </c>
      <c r="G104" s="20" t="n">
        <v>487</v>
      </c>
      <c r="H104" s="20" t="n">
        <v>208</v>
      </c>
      <c r="I104" s="20" t="n">
        <v>206</v>
      </c>
      <c r="J104" s="20" t="n">
        <v>250</v>
      </c>
      <c r="K104" s="20" t="n">
        <v>232</v>
      </c>
      <c r="L104" s="20" t="n">
        <v>329</v>
      </c>
    </row>
    <row r="105">
      <c r="A105" s="18" t="inlineStr">
        <is>
          <t>대손충당금</t>
        </is>
      </c>
      <c r="C105" s="20" t="n">
        <v>-35</v>
      </c>
      <c r="D105" s="20" t="n">
        <v>-38</v>
      </c>
      <c r="E105" s="20" t="n">
        <v>-38</v>
      </c>
      <c r="F105" s="20" t="n">
        <v>-38</v>
      </c>
      <c r="G105" s="20" t="n">
        <v>-2</v>
      </c>
      <c r="H105" s="20" t="n">
        <v>-8</v>
      </c>
      <c r="I105" s="20" t="n">
        <v>-8</v>
      </c>
      <c r="J105" s="20" t="n">
        <v>-2</v>
      </c>
      <c r="K105" s="20" t="n">
        <v>-2</v>
      </c>
      <c r="L105" s="20" t="n">
        <v>-38</v>
      </c>
    </row>
    <row r="106">
      <c r="A106" s="18" t="inlineStr">
        <is>
          <t>투자 및 기타자산 합계</t>
        </is>
      </c>
      <c r="C106" s="20" t="n">
        <v>6269</v>
      </c>
      <c r="D106" s="20" t="n">
        <v>6635</v>
      </c>
      <c r="E106" s="20" t="n">
        <v>7298</v>
      </c>
      <c r="F106" s="20" t="n">
        <v>7607</v>
      </c>
      <c r="G106" s="20" t="n">
        <v>8411</v>
      </c>
      <c r="H106" s="20" t="n">
        <v>5044</v>
      </c>
      <c r="I106" s="20" t="n">
        <v>4552</v>
      </c>
      <c r="J106" s="20" t="n">
        <v>5526</v>
      </c>
      <c r="K106" s="20" t="n">
        <v>5724</v>
      </c>
      <c r="L106" s="20" t="n">
        <v>7298</v>
      </c>
    </row>
    <row r="107">
      <c r="A107" s="9" t="inlineStr">
        <is>
          <t>비유동자산 합계</t>
        </is>
      </c>
      <c r="C107" s="12" t="n">
        <v>17856</v>
      </c>
      <c r="D107" s="12" t="n">
        <v>18319</v>
      </c>
      <c r="E107" s="12" t="n">
        <v>19242</v>
      </c>
      <c r="F107" s="12" t="n">
        <v>19531</v>
      </c>
      <c r="G107" s="12" t="n">
        <v>20399</v>
      </c>
      <c r="H107" s="12" t="n">
        <v>13919</v>
      </c>
      <c r="I107" s="12" t="n">
        <v>13895</v>
      </c>
      <c r="J107" s="12" t="n">
        <v>14803</v>
      </c>
      <c r="K107" s="12" t="n">
        <v>14869</v>
      </c>
      <c r="L107" s="12" t="n">
        <v>19242</v>
      </c>
    </row>
    <row r="108">
      <c r="A108" s="9" t="inlineStr">
        <is>
          <t>자산 합계</t>
        </is>
      </c>
      <c r="C108" s="12" t="n">
        <v>32303</v>
      </c>
      <c r="D108" s="12" t="n">
        <v>33608</v>
      </c>
      <c r="E108" s="12" t="n">
        <v>34064</v>
      </c>
      <c r="F108" s="12" t="n">
        <v>32961</v>
      </c>
      <c r="G108" s="12" t="n">
        <v>34311</v>
      </c>
      <c r="H108" s="12" t="n">
        <v>25428</v>
      </c>
      <c r="I108" s="12" t="n">
        <v>25702</v>
      </c>
      <c r="J108" s="12" t="n">
        <v>27249</v>
      </c>
      <c r="K108" s="12" t="n">
        <v>27675</v>
      </c>
      <c r="L108" s="12" t="n">
        <v>34064</v>
      </c>
    </row>
    <row r="109">
      <c r="A109" s="18" t="inlineStr">
        <is>
          <t>지급어음·매입채무</t>
        </is>
      </c>
      <c r="C109" s="20" t="n">
        <v>1428</v>
      </c>
      <c r="D109" s="20" t="n">
        <v>1338</v>
      </c>
      <c r="E109" s="20" t="n">
        <v>1623</v>
      </c>
      <c r="F109" s="20" t="n">
        <v>1715</v>
      </c>
      <c r="G109" s="20" t="n">
        <v>1619</v>
      </c>
      <c r="H109" s="20" t="n">
        <v>3003</v>
      </c>
      <c r="I109" s="20" t="n">
        <v>2575</v>
      </c>
      <c r="J109" s="20" t="n">
        <v>1840</v>
      </c>
      <c r="K109" s="20" t="n">
        <v>1818</v>
      </c>
      <c r="L109" s="20" t="n">
        <v>1623</v>
      </c>
    </row>
    <row r="110">
      <c r="A110" s="18" t="inlineStr">
        <is>
          <t>전자기록채무</t>
        </is>
      </c>
      <c r="C110" s="20" t="n">
        <v>1744</v>
      </c>
      <c r="D110" s="20" t="n">
        <v>2150</v>
      </c>
      <c r="E110" s="20" t="n">
        <v>1396</v>
      </c>
      <c r="F110" s="20" t="n">
        <v>1538</v>
      </c>
      <c r="G110" s="20" t="n">
        <v>1627</v>
      </c>
      <c r="I110" s="20" t="n">
        <v>983</v>
      </c>
      <c r="J110" s="20" t="n">
        <v>2468</v>
      </c>
      <c r="K110" s="20" t="n">
        <v>1755</v>
      </c>
      <c r="L110" s="20" t="n">
        <v>1396</v>
      </c>
    </row>
    <row r="111">
      <c r="A111" s="18" t="inlineStr">
        <is>
          <t>단기차입금</t>
        </is>
      </c>
      <c r="C111" s="20" t="n">
        <v>4150</v>
      </c>
      <c r="D111" s="20" t="n">
        <v>2850</v>
      </c>
      <c r="E111" s="20" t="n">
        <v>2850</v>
      </c>
      <c r="F111" s="20" t="n">
        <v>2850</v>
      </c>
      <c r="G111" s="20" t="n">
        <v>2850</v>
      </c>
      <c r="H111" s="20" t="n">
        <v>950</v>
      </c>
      <c r="I111" s="20" t="n">
        <v>2250</v>
      </c>
      <c r="J111" s="20" t="n">
        <v>3650</v>
      </c>
      <c r="K111" s="20" t="n">
        <v>2450</v>
      </c>
      <c r="L111" s="20" t="n">
        <v>2850</v>
      </c>
    </row>
    <row r="112">
      <c r="A112" s="18" t="inlineStr">
        <is>
          <t>1년 내 상환 장기차입금</t>
        </is>
      </c>
      <c r="C112" s="20" t="n">
        <v>2014</v>
      </c>
      <c r="D112" s="20" t="n">
        <v>2105</v>
      </c>
      <c r="E112" s="20" t="n">
        <v>2045</v>
      </c>
      <c r="F112" s="20" t="n">
        <v>1945</v>
      </c>
      <c r="G112" s="20" t="n">
        <v>2045</v>
      </c>
      <c r="H112" s="20" t="n">
        <v>2007</v>
      </c>
      <c r="I112" s="20" t="n">
        <v>1797</v>
      </c>
      <c r="J112" s="20" t="n">
        <v>1432</v>
      </c>
      <c r="K112" s="20" t="n">
        <v>1564</v>
      </c>
      <c r="L112" s="20" t="n">
        <v>2045</v>
      </c>
    </row>
    <row r="113">
      <c r="A113" s="18" t="inlineStr">
        <is>
          <t>미지급법인세</t>
        </is>
      </c>
      <c r="C113" s="20" t="n">
        <v>71</v>
      </c>
      <c r="D113" s="20" t="n">
        <v>166</v>
      </c>
      <c r="E113" s="20" t="n">
        <v>301</v>
      </c>
      <c r="F113" s="20" t="n">
        <v>28</v>
      </c>
      <c r="G113" s="20" t="n">
        <v>80</v>
      </c>
      <c r="H113" s="20" t="n">
        <v>289</v>
      </c>
      <c r="I113" s="20" t="n">
        <v>91</v>
      </c>
      <c r="J113" s="20" t="n">
        <v>212</v>
      </c>
      <c r="K113" s="20" t="n">
        <v>98</v>
      </c>
      <c r="L113" s="20" t="n">
        <v>301</v>
      </c>
    </row>
    <row r="114">
      <c r="A114" s="18" t="inlineStr">
        <is>
          <t>선수금</t>
        </is>
      </c>
      <c r="H114" s="20" t="n">
        <v>0</v>
      </c>
    </row>
    <row r="115">
      <c r="A115" s="18" t="inlineStr">
        <is>
          <t>계약부채</t>
        </is>
      </c>
      <c r="C115" s="20" t="n">
        <v>1853</v>
      </c>
      <c r="D115" s="20" t="n">
        <v>2457</v>
      </c>
      <c r="E115" s="20" t="n">
        <v>2277</v>
      </c>
      <c r="F115" s="20" t="n">
        <v>2280</v>
      </c>
      <c r="G115" s="20" t="n">
        <v>2264</v>
      </c>
      <c r="H115" s="20" t="n">
        <v>481</v>
      </c>
      <c r="I115" s="20" t="n">
        <v>1030</v>
      </c>
      <c r="J115" s="20" t="n">
        <v>595</v>
      </c>
      <c r="K115" s="20" t="n">
        <v>914</v>
      </c>
      <c r="L115" s="20" t="n">
        <v>2277</v>
      </c>
    </row>
    <row r="116">
      <c r="A116" s="18" t="inlineStr">
        <is>
          <t>상여충당금</t>
        </is>
      </c>
      <c r="C116" s="20" t="n">
        <v>463</v>
      </c>
      <c r="D116" s="20" t="n">
        <v>189</v>
      </c>
      <c r="E116" s="20" t="n">
        <v>547</v>
      </c>
      <c r="F116" s="20" t="n">
        <v>213</v>
      </c>
      <c r="G116" s="20" t="n">
        <v>548</v>
      </c>
      <c r="H116" s="20" t="n">
        <v>364</v>
      </c>
      <c r="I116" s="20" t="n">
        <v>370</v>
      </c>
      <c r="J116" s="20" t="n">
        <v>383</v>
      </c>
      <c r="K116" s="20" t="n">
        <v>461</v>
      </c>
      <c r="L116" s="20" t="n">
        <v>547</v>
      </c>
    </row>
    <row r="117">
      <c r="A117" s="18" t="inlineStr">
        <is>
          <t>Provision For Construction Warranties VES</t>
        </is>
      </c>
      <c r="C117" s="20" t="n">
        <v>98</v>
      </c>
      <c r="D117" s="20" t="n">
        <v>94</v>
      </c>
      <c r="E117" s="20" t="n">
        <v>91</v>
      </c>
      <c r="F117" s="20" t="n">
        <v>93</v>
      </c>
      <c r="G117" s="20" t="n">
        <v>89</v>
      </c>
      <c r="H117" s="20" t="n">
        <v>88</v>
      </c>
      <c r="I117" s="20" t="n">
        <v>69</v>
      </c>
      <c r="J117" s="20" t="n">
        <v>127</v>
      </c>
      <c r="K117" s="20" t="n">
        <v>97</v>
      </c>
      <c r="L117" s="20" t="n">
        <v>91</v>
      </c>
    </row>
    <row r="118">
      <c r="A118" s="18" t="inlineStr">
        <is>
          <t>Reserve For Proposal Of Property And Equipment CL</t>
        </is>
      </c>
      <c r="H118" s="20" t="n">
        <v>0</v>
      </c>
    </row>
    <row r="119">
      <c r="A119" s="18" t="inlineStr">
        <is>
          <t>Provision For Loss On Construction Contracts VES</t>
        </is>
      </c>
      <c r="C119" s="20" t="n">
        <v>0</v>
      </c>
      <c r="D119" s="20" t="n">
        <v>0</v>
      </c>
      <c r="E119" s="20" t="n">
        <v>9</v>
      </c>
      <c r="F119" s="20" t="n">
        <v>1</v>
      </c>
      <c r="G119" s="20" t="n">
        <v>0</v>
      </c>
      <c r="H119" s="20" t="n">
        <v>0</v>
      </c>
      <c r="I119" s="20" t="n">
        <v>3</v>
      </c>
      <c r="J119" s="20" t="n">
        <v>50</v>
      </c>
      <c r="K119" s="20" t="n">
        <v>21</v>
      </c>
      <c r="L119" s="20" t="n">
        <v>9</v>
      </c>
    </row>
    <row r="120">
      <c r="A120" s="18" t="inlineStr">
        <is>
          <t>해체철거 충당금</t>
        </is>
      </c>
      <c r="E120" s="20" t="n">
        <v>0</v>
      </c>
      <c r="F120" s="20" t="n">
        <v>0</v>
      </c>
      <c r="G120" s="20" t="n">
        <v>0</v>
      </c>
      <c r="L120" s="20" t="n">
        <v>0</v>
      </c>
    </row>
    <row r="121">
      <c r="A121" s="18" t="inlineStr">
        <is>
          <t>리스부채</t>
        </is>
      </c>
      <c r="C121" s="20" t="n">
        <v>168</v>
      </c>
      <c r="D121" s="20" t="n">
        <v>163</v>
      </c>
      <c r="E121" s="20" t="n">
        <v>153</v>
      </c>
      <c r="F121" s="20" t="n">
        <v>125</v>
      </c>
      <c r="G121" s="20" t="n">
        <v>95</v>
      </c>
      <c r="H121" s="20" t="n">
        <v>302</v>
      </c>
      <c r="I121" s="20" t="n">
        <v>222</v>
      </c>
      <c r="J121" s="20" t="n">
        <v>229</v>
      </c>
      <c r="K121" s="20" t="n">
        <v>188</v>
      </c>
      <c r="L121" s="20" t="n">
        <v>153</v>
      </c>
    </row>
    <row r="122">
      <c r="A122" s="18" t="inlineStr">
        <is>
          <t>자산복구부채</t>
        </is>
      </c>
      <c r="C122" s="20" t="n">
        <v>29</v>
      </c>
      <c r="D122" s="20" t="n">
        <v>0</v>
      </c>
      <c r="E122" s="20" t="n">
        <v>0</v>
      </c>
      <c r="H122" s="20" t="n">
        <v>273</v>
      </c>
      <c r="I122" s="20" t="n">
        <v>0</v>
      </c>
      <c r="J122" s="20" t="n">
        <v>29</v>
      </c>
      <c r="K122" s="20" t="n">
        <v>29</v>
      </c>
      <c r="L122" s="20" t="n">
        <v>0</v>
      </c>
    </row>
    <row r="123">
      <c r="A123" s="18" t="inlineStr">
        <is>
          <t>기타</t>
        </is>
      </c>
      <c r="C123" s="20" t="n">
        <v>792</v>
      </c>
      <c r="D123" s="20" t="n">
        <v>1437</v>
      </c>
      <c r="E123" s="20" t="n">
        <v>1125</v>
      </c>
      <c r="F123" s="20" t="n">
        <v>1178</v>
      </c>
      <c r="G123" s="20" t="n">
        <v>800</v>
      </c>
      <c r="H123" s="20" t="n">
        <v>813</v>
      </c>
      <c r="I123" s="20" t="n">
        <v>1002</v>
      </c>
      <c r="J123" s="20" t="n">
        <v>1005</v>
      </c>
      <c r="K123" s="20" t="n">
        <v>1020</v>
      </c>
      <c r="L123" s="20" t="n">
        <v>1125</v>
      </c>
    </row>
    <row r="124">
      <c r="A124" s="9" t="inlineStr">
        <is>
          <t>유동부채 합계</t>
        </is>
      </c>
      <c r="C124" s="12" t="n">
        <v>12816</v>
      </c>
      <c r="D124" s="12" t="n">
        <v>12954</v>
      </c>
      <c r="E124" s="12" t="n">
        <v>12423</v>
      </c>
      <c r="F124" s="12" t="n">
        <v>11970</v>
      </c>
      <c r="G124" s="12" t="n">
        <v>12021</v>
      </c>
      <c r="H124" s="12" t="n">
        <v>8573</v>
      </c>
      <c r="I124" s="12" t="n">
        <v>10395</v>
      </c>
      <c r="J124" s="12" t="n">
        <v>12025</v>
      </c>
      <c r="K124" s="12" t="n">
        <v>10420</v>
      </c>
      <c r="L124" s="12" t="n">
        <v>12423</v>
      </c>
    </row>
    <row r="125">
      <c r="A125" s="18" t="inlineStr">
        <is>
          <t>장기차입금</t>
        </is>
      </c>
      <c r="C125" s="20" t="n">
        <v>6005</v>
      </c>
      <c r="D125" s="20" t="n">
        <v>5911</v>
      </c>
      <c r="E125" s="20" t="n">
        <v>5442</v>
      </c>
      <c r="F125" s="20" t="n">
        <v>5013</v>
      </c>
      <c r="G125" s="20" t="n">
        <v>5363</v>
      </c>
      <c r="H125" s="20" t="n">
        <v>4878</v>
      </c>
      <c r="I125" s="20" t="n">
        <v>3660</v>
      </c>
      <c r="J125" s="20" t="n">
        <v>2432</v>
      </c>
      <c r="K125" s="20" t="n">
        <v>3713</v>
      </c>
      <c r="L125" s="20" t="n">
        <v>5442</v>
      </c>
    </row>
    <row r="126">
      <c r="A126" s="18" t="inlineStr">
        <is>
          <t>리스부채</t>
        </is>
      </c>
      <c r="C126" s="20" t="n">
        <v>117</v>
      </c>
      <c r="D126" s="20" t="n">
        <v>82</v>
      </c>
      <c r="E126" s="20" t="n">
        <v>59</v>
      </c>
      <c r="F126" s="20" t="n">
        <v>46</v>
      </c>
      <c r="G126" s="20" t="n">
        <v>51</v>
      </c>
      <c r="H126" s="20" t="n">
        <v>784</v>
      </c>
      <c r="I126" s="20" t="n">
        <v>575</v>
      </c>
      <c r="J126" s="20" t="n">
        <v>356</v>
      </c>
      <c r="K126" s="20" t="n">
        <v>178</v>
      </c>
      <c r="L126" s="20" t="n">
        <v>59</v>
      </c>
    </row>
    <row r="127">
      <c r="A127" s="18" t="inlineStr">
        <is>
          <t>이연법인세부채</t>
        </is>
      </c>
      <c r="C127" s="20" t="n">
        <v>1093</v>
      </c>
      <c r="D127" s="20" t="n">
        <v>1182</v>
      </c>
      <c r="E127" s="20" t="n">
        <v>1479</v>
      </c>
      <c r="F127" s="20" t="n">
        <v>1470</v>
      </c>
      <c r="G127" s="20" t="n">
        <v>1607</v>
      </c>
      <c r="H127" s="20" t="n">
        <v>1232</v>
      </c>
      <c r="I127" s="20" t="n">
        <v>1084</v>
      </c>
      <c r="J127" s="20" t="n">
        <v>1213</v>
      </c>
      <c r="K127" s="20" t="n">
        <v>1161</v>
      </c>
      <c r="L127" s="20" t="n">
        <v>1479</v>
      </c>
    </row>
    <row r="128">
      <c r="A128" s="18" t="inlineStr">
        <is>
          <t>퇴직급여부채</t>
        </is>
      </c>
      <c r="C128" s="20" t="n">
        <v>1840</v>
      </c>
      <c r="D128" s="20" t="n">
        <v>1875</v>
      </c>
      <c r="E128" s="20" t="n">
        <v>1774</v>
      </c>
      <c r="F128" s="20" t="n">
        <v>1801</v>
      </c>
      <c r="G128" s="20" t="n">
        <v>1841</v>
      </c>
      <c r="H128" s="20" t="n">
        <v>1773</v>
      </c>
      <c r="I128" s="20" t="n">
        <v>1661</v>
      </c>
      <c r="J128" s="20" t="n">
        <v>1784</v>
      </c>
      <c r="K128" s="20" t="n">
        <v>1722</v>
      </c>
      <c r="L128" s="20" t="n">
        <v>1774</v>
      </c>
    </row>
    <row r="129">
      <c r="A129" s="18" t="inlineStr">
        <is>
          <t>자산복구부채</t>
        </is>
      </c>
      <c r="C129" s="20" t="n">
        <v>305</v>
      </c>
      <c r="D129" s="20" t="n">
        <v>305</v>
      </c>
      <c r="E129" s="20" t="n">
        <v>312</v>
      </c>
      <c r="F129" s="20" t="n">
        <v>309</v>
      </c>
      <c r="G129" s="20" t="n">
        <v>313</v>
      </c>
      <c r="H129" s="20" t="n">
        <v>309</v>
      </c>
      <c r="I129" s="20" t="n">
        <v>311</v>
      </c>
      <c r="J129" s="20" t="n">
        <v>294</v>
      </c>
      <c r="K129" s="20" t="n">
        <v>302</v>
      </c>
      <c r="L129" s="20" t="n">
        <v>312</v>
      </c>
    </row>
    <row r="130">
      <c r="A130" s="18" t="inlineStr">
        <is>
          <t>기타</t>
        </is>
      </c>
      <c r="C130" s="20" t="n">
        <v>94</v>
      </c>
      <c r="D130" s="20" t="n">
        <v>94</v>
      </c>
      <c r="E130" s="20" t="n">
        <v>93</v>
      </c>
      <c r="F130" s="20" t="n">
        <v>39</v>
      </c>
      <c r="G130" s="20" t="n">
        <v>39</v>
      </c>
      <c r="H130" s="20" t="n">
        <v>5</v>
      </c>
      <c r="I130" s="20" t="n">
        <v>2</v>
      </c>
      <c r="J130" s="20" t="n">
        <v>4</v>
      </c>
      <c r="K130" s="20" t="n">
        <v>5</v>
      </c>
      <c r="L130" s="20" t="n">
        <v>93</v>
      </c>
    </row>
    <row r="131">
      <c r="A131" s="9" t="inlineStr">
        <is>
          <t>비유동부채 합계</t>
        </is>
      </c>
      <c r="C131" s="12" t="n">
        <v>9458</v>
      </c>
      <c r="D131" s="12" t="n">
        <v>9453</v>
      </c>
      <c r="E131" s="12" t="n">
        <v>9162</v>
      </c>
      <c r="F131" s="12" t="n">
        <v>8680</v>
      </c>
      <c r="G131" s="12" t="n">
        <v>9216</v>
      </c>
      <c r="H131" s="12" t="n">
        <v>8983</v>
      </c>
      <c r="I131" s="12" t="n">
        <v>7296</v>
      </c>
      <c r="J131" s="12" t="n">
        <v>6085</v>
      </c>
      <c r="K131" s="12" t="n">
        <v>7083</v>
      </c>
      <c r="L131" s="12" t="n">
        <v>9162</v>
      </c>
    </row>
    <row r="132">
      <c r="A132" s="9" t="inlineStr">
        <is>
          <t>부채 합계</t>
        </is>
      </c>
      <c r="C132" s="12" t="n">
        <v>22274</v>
      </c>
      <c r="D132" s="12" t="n">
        <v>22407</v>
      </c>
      <c r="E132" s="12" t="n">
        <v>21585</v>
      </c>
      <c r="F132" s="12" t="n">
        <v>20651</v>
      </c>
      <c r="G132" s="12" t="n">
        <v>21238</v>
      </c>
      <c r="H132" s="12" t="n">
        <v>17557</v>
      </c>
      <c r="I132" s="12" t="n">
        <v>17691</v>
      </c>
      <c r="J132" s="12" t="n">
        <v>18111</v>
      </c>
      <c r="K132" s="12" t="n">
        <v>17504</v>
      </c>
      <c r="L132" s="12" t="n">
        <v>21585</v>
      </c>
    </row>
    <row r="133">
      <c r="A133" s="18" t="inlineStr">
        <is>
          <t>자본금</t>
        </is>
      </c>
      <c r="C133" s="20" t="n">
        <v>69</v>
      </c>
      <c r="D133" s="20" t="n">
        <v>72</v>
      </c>
      <c r="E133" s="20" t="n">
        <v>73</v>
      </c>
      <c r="F133" s="20" t="n">
        <v>73</v>
      </c>
      <c r="G133" s="20" t="n">
        <v>73</v>
      </c>
      <c r="H133" s="20" t="n">
        <v>2581</v>
      </c>
      <c r="I133" s="20" t="n">
        <v>2603</v>
      </c>
      <c r="J133" s="20" t="n">
        <v>2628</v>
      </c>
      <c r="K133" s="20" t="n">
        <v>69</v>
      </c>
      <c r="L133" s="20" t="n">
        <v>73</v>
      </c>
    </row>
    <row r="134">
      <c r="A134" s="18" t="inlineStr">
        <is>
          <t>자본잉여금</t>
        </is>
      </c>
      <c r="C134" s="20" t="n">
        <v>2657</v>
      </c>
      <c r="D134" s="20" t="n">
        <v>2659</v>
      </c>
      <c r="E134" s="20" t="n">
        <v>2660</v>
      </c>
      <c r="F134" s="20" t="n">
        <v>2660</v>
      </c>
      <c r="G134" s="20" t="n">
        <v>2661</v>
      </c>
      <c r="H134" s="20" t="n">
        <v>0</v>
      </c>
      <c r="I134" s="20" t="n">
        <v>22</v>
      </c>
      <c r="J134" s="20" t="n">
        <v>46</v>
      </c>
      <c r="K134" s="20" t="n">
        <v>2625</v>
      </c>
      <c r="L134" s="20" t="n">
        <v>2660</v>
      </c>
    </row>
    <row r="135">
      <c r="A135" s="18" t="inlineStr">
        <is>
          <t>이익잉여금</t>
        </is>
      </c>
      <c r="C135" s="20" t="n">
        <v>4657</v>
      </c>
      <c r="D135" s="20" t="n">
        <v>5494</v>
      </c>
      <c r="E135" s="20" t="n">
        <v>6170</v>
      </c>
      <c r="F135" s="20" t="n">
        <v>5804</v>
      </c>
      <c r="G135" s="20" t="n">
        <v>6101</v>
      </c>
      <c r="H135" s="20" t="n">
        <v>3246</v>
      </c>
      <c r="I135" s="20" t="n">
        <v>3506</v>
      </c>
      <c r="J135" s="20" t="n">
        <v>3974</v>
      </c>
      <c r="K135" s="20" t="n">
        <v>4992</v>
      </c>
      <c r="L135" s="20" t="n">
        <v>6170</v>
      </c>
    </row>
    <row r="136">
      <c r="A136" s="18" t="inlineStr">
        <is>
          <t>자기주식</t>
        </is>
      </c>
      <c r="C136" s="20" t="n">
        <v>-101</v>
      </c>
      <c r="D136" s="20" t="n">
        <v>-100</v>
      </c>
      <c r="E136" s="20" t="n">
        <v>-100</v>
      </c>
      <c r="F136" s="20" t="n">
        <v>-127</v>
      </c>
      <c r="G136" s="20" t="n">
        <v>-10</v>
      </c>
      <c r="H136" s="20" t="n">
        <v>-9</v>
      </c>
      <c r="I136" s="20" t="n">
        <v>-9</v>
      </c>
      <c r="J136" s="20" t="n">
        <v>-9</v>
      </c>
      <c r="K136" s="20" t="n">
        <v>-125</v>
      </c>
      <c r="L136" s="20" t="n">
        <v>-100</v>
      </c>
    </row>
    <row r="137">
      <c r="A137" s="9" t="inlineStr">
        <is>
          <t>주주자본 합계</t>
        </is>
      </c>
      <c r="C137" s="12" t="n">
        <v>7282</v>
      </c>
      <c r="D137" s="12" t="n">
        <v>8127</v>
      </c>
      <c r="E137" s="12" t="n">
        <v>8804</v>
      </c>
      <c r="F137" s="12" t="n">
        <v>8410</v>
      </c>
      <c r="G137" s="12" t="n">
        <v>8826</v>
      </c>
      <c r="H137" s="12" t="n">
        <v>5818</v>
      </c>
      <c r="I137" s="12" t="n">
        <v>6122</v>
      </c>
      <c r="J137" s="12" t="n">
        <v>6640</v>
      </c>
      <c r="K137" s="12" t="n">
        <v>7561</v>
      </c>
      <c r="L137" s="12" t="n">
        <v>8804</v>
      </c>
    </row>
    <row r="138">
      <c r="A138" s="18" t="inlineStr">
        <is>
          <t>기타유가증권 평가차액</t>
        </is>
      </c>
      <c r="C138" s="20" t="n">
        <v>2442</v>
      </c>
      <c r="D138" s="20" t="n">
        <v>2721</v>
      </c>
      <c r="E138" s="20" t="n">
        <v>3171</v>
      </c>
      <c r="F138" s="20" t="n">
        <v>3393</v>
      </c>
      <c r="G138" s="20" t="n">
        <v>3792</v>
      </c>
      <c r="H138" s="20" t="n">
        <v>1925</v>
      </c>
      <c r="I138" s="20" t="n">
        <v>1619</v>
      </c>
      <c r="J138" s="20" t="n">
        <v>2269</v>
      </c>
      <c r="K138" s="20" t="n">
        <v>2251</v>
      </c>
      <c r="L138" s="20" t="n">
        <v>3171</v>
      </c>
    </row>
    <row r="139">
      <c r="A139" s="18" t="inlineStr">
        <is>
          <t>이연헤지손익</t>
        </is>
      </c>
      <c r="C139" s="20" t="n">
        <v>10</v>
      </c>
      <c r="D139" s="20" t="n">
        <v>71</v>
      </c>
      <c r="E139" s="20" t="n">
        <v>100</v>
      </c>
      <c r="F139" s="20" t="n">
        <v>102</v>
      </c>
      <c r="G139" s="20" t="n">
        <v>53</v>
      </c>
      <c r="H139" s="20" t="n">
        <v>12</v>
      </c>
      <c r="I139" s="20" t="n">
        <v>1</v>
      </c>
      <c r="J139" s="20" t="n">
        <v>12</v>
      </c>
      <c r="K139" s="20" t="n">
        <v>0</v>
      </c>
      <c r="L139" s="20" t="n">
        <v>100</v>
      </c>
    </row>
    <row r="140">
      <c r="A140" s="18" t="inlineStr">
        <is>
          <t>해외사업환산조정</t>
        </is>
      </c>
      <c r="C140" s="20" t="n">
        <v>92</v>
      </c>
      <c r="D140" s="20" t="n">
        <v>104</v>
      </c>
      <c r="E140" s="20" t="n">
        <v>141</v>
      </c>
      <c r="F140" s="20" t="n">
        <v>161</v>
      </c>
      <c r="G140" s="20" t="n">
        <v>179</v>
      </c>
      <c r="H140" s="20" t="n">
        <v>39</v>
      </c>
      <c r="I140" s="20" t="n">
        <v>60</v>
      </c>
      <c r="J140" s="20" t="n">
        <v>79</v>
      </c>
      <c r="K140" s="20" t="n">
        <v>123</v>
      </c>
      <c r="L140" s="20" t="n">
        <v>141</v>
      </c>
    </row>
    <row r="141">
      <c r="A141" s="18" t="inlineStr">
        <is>
          <t>퇴직급여 조정누계액</t>
        </is>
      </c>
      <c r="C141" s="20" t="n">
        <v>159</v>
      </c>
      <c r="D141" s="20" t="n">
        <v>143</v>
      </c>
      <c r="E141" s="20" t="n">
        <v>228</v>
      </c>
      <c r="F141" s="20" t="n">
        <v>209</v>
      </c>
      <c r="G141" s="20" t="n">
        <v>190</v>
      </c>
      <c r="H141" s="20" t="n">
        <v>-11</v>
      </c>
      <c r="I141" s="20" t="n">
        <v>130</v>
      </c>
      <c r="J141" s="20" t="n">
        <v>75</v>
      </c>
      <c r="K141" s="20" t="n">
        <v>193</v>
      </c>
      <c r="L141" s="20" t="n">
        <v>228</v>
      </c>
    </row>
    <row r="142">
      <c r="A142" s="18" t="inlineStr">
        <is>
          <t>기타포괄손익누계액 합계</t>
        </is>
      </c>
      <c r="C142" s="20" t="n">
        <v>2704</v>
      </c>
      <c r="D142" s="20" t="n">
        <v>3039</v>
      </c>
      <c r="E142" s="20" t="n">
        <v>3642</v>
      </c>
      <c r="F142" s="20" t="n">
        <v>3866</v>
      </c>
      <c r="G142" s="20" t="n">
        <v>4214</v>
      </c>
      <c r="H142" s="20" t="n">
        <v>1965</v>
      </c>
      <c r="I142" s="20" t="n">
        <v>1812</v>
      </c>
      <c r="J142" s="20" t="n">
        <v>2437</v>
      </c>
      <c r="K142" s="20" t="n">
        <v>2568</v>
      </c>
      <c r="L142" s="20" t="n">
        <v>3642</v>
      </c>
    </row>
    <row r="143">
      <c r="A143" s="18" t="inlineStr">
        <is>
          <t>신주예약권</t>
        </is>
      </c>
      <c r="C143" s="20" t="n">
        <v>41</v>
      </c>
      <c r="D143" s="20" t="n">
        <v>34</v>
      </c>
      <c r="E143" s="20" t="n">
        <v>32</v>
      </c>
      <c r="F143" s="20" t="n">
        <v>32</v>
      </c>
      <c r="G143" s="20" t="n">
        <v>32</v>
      </c>
      <c r="H143" s="20" t="n">
        <v>86</v>
      </c>
      <c r="I143" s="20" t="n">
        <v>75</v>
      </c>
      <c r="J143" s="20" t="n">
        <v>59</v>
      </c>
      <c r="K143" s="20" t="n">
        <v>41</v>
      </c>
      <c r="L143" s="20" t="n">
        <v>32</v>
      </c>
    </row>
    <row r="144">
      <c r="A144" s="9" t="inlineStr">
        <is>
          <t>순자산 합계</t>
        </is>
      </c>
      <c r="C144" s="12" t="n">
        <v>10028</v>
      </c>
      <c r="D144" s="12" t="n">
        <v>11200</v>
      </c>
      <c r="E144" s="12" t="n">
        <v>12479</v>
      </c>
      <c r="F144" s="12" t="n">
        <v>12309</v>
      </c>
      <c r="G144" s="12" t="n">
        <v>13073</v>
      </c>
      <c r="H144" s="12" t="n">
        <v>7871</v>
      </c>
      <c r="I144" s="12" t="n">
        <v>8010</v>
      </c>
      <c r="J144" s="12" t="n">
        <v>9137</v>
      </c>
      <c r="K144" s="12" t="n">
        <v>10171</v>
      </c>
      <c r="L144" s="12" t="n">
        <v>12479</v>
      </c>
    </row>
    <row r="145">
      <c r="A145" s="9" t="inlineStr">
        <is>
          <t>부채·순자산 합계</t>
        </is>
      </c>
      <c r="C145" s="12" t="n">
        <v>32303</v>
      </c>
      <c r="D145" s="12" t="n">
        <v>33608</v>
      </c>
      <c r="E145" s="12" t="n">
        <v>34064</v>
      </c>
      <c r="F145" s="12" t="n">
        <v>32961</v>
      </c>
      <c r="G145" s="12" t="n">
        <v>34311</v>
      </c>
      <c r="H145" s="12" t="n">
        <v>25428</v>
      </c>
      <c r="I145" s="12" t="n">
        <v>25702</v>
      </c>
      <c r="J145" s="12" t="n">
        <v>27249</v>
      </c>
      <c r="K145" s="12" t="n">
        <v>27675</v>
      </c>
      <c r="L145" s="12" t="n">
        <v>34064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4" customWidth="1" min="12" max="12"/>
  </cols>
  <sheetData>
    <row r="1">
      <c r="A1" s="50" t="inlineStr">
        <is>
          <t>사노야스홀딩스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this results · 상반기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</row>
    <row r="5">
      <c r="A5" s="53" t="inlineStr">
        <is>
          <t>항목</t>
        </is>
      </c>
      <c r="B5" s="53" t="inlineStr">
        <is>
          <t>값</t>
        </is>
      </c>
      <c r="L5" s="53" t="inlineStr">
        <is>
          <t>출처</t>
        </is>
      </c>
    </row>
    <row r="6">
      <c r="A6" s="54" t="inlineStr">
        <is>
          <t>매출</t>
        </is>
      </c>
      <c r="B6" s="55" t="n">
        <v>130.08</v>
      </c>
      <c r="L6" s="56" t="inlineStr">
        <is>
          <t>2단계 보고서 자료(회사 설명회 자료·공시)</t>
        </is>
      </c>
    </row>
    <row r="7">
      <c r="A7" s="54" t="inlineStr">
        <is>
          <t>매출 ly</t>
        </is>
      </c>
      <c r="B7" s="55" t="n">
        <v>110.14</v>
      </c>
    </row>
    <row r="8">
      <c r="A8" s="54" t="inlineStr">
        <is>
          <t>영업이익</t>
        </is>
      </c>
      <c r="B8" s="55" t="n">
        <v>1.27</v>
      </c>
    </row>
    <row r="9">
      <c r="A9" s="54" t="inlineStr">
        <is>
          <t>영업이익 ly</t>
        </is>
      </c>
      <c r="B9" s="55" t="n">
        <v>-1.27</v>
      </c>
    </row>
    <row r="10">
      <c r="A10" s="54" t="inlineStr">
        <is>
          <t>ord</t>
        </is>
      </c>
      <c r="B10" s="55" t="n">
        <v>1.14</v>
      </c>
    </row>
    <row r="11">
      <c r="A11" s="54" t="inlineStr">
        <is>
          <t>ord ly</t>
        </is>
      </c>
      <c r="B11" s="55" t="n">
        <v>-0.84</v>
      </c>
    </row>
    <row r="12">
      <c r="A12" s="54" t="inlineStr">
        <is>
          <t>순이익</t>
        </is>
      </c>
      <c r="B12" s="55" t="n">
        <v>1.76</v>
      </c>
    </row>
    <row r="13">
      <c r="A13" s="54" t="inlineStr">
        <is>
          <t>순이익 ly</t>
        </is>
      </c>
      <c r="B13" s="55" t="n">
        <v>-0.88</v>
      </c>
    </row>
    <row r="14">
      <c r="A14" s="54" t="inlineStr">
        <is>
          <t>EPS</t>
        </is>
      </c>
      <c r="B14" s="55" t="n">
        <v>5.27</v>
      </c>
    </row>
    <row r="15">
      <c r="A15" s="54" t="inlineStr">
        <is>
          <t>compr income</t>
        </is>
      </c>
      <c r="B15" s="55" t="n">
        <v>7.49</v>
      </c>
    </row>
    <row r="17">
      <c r="A17" s="52" t="inlineStr">
        <is>
          <t>this results · 상반기 ex ma</t>
        </is>
      </c>
      <c r="B17" s="52" t="n"/>
      <c r="C17" s="52" t="n"/>
      <c r="D17" s="52" t="n"/>
      <c r="E17" s="52" t="n"/>
      <c r="F17" s="52" t="n"/>
      <c r="G17" s="52" t="n"/>
      <c r="H17" s="52" t="n"/>
      <c r="I17" s="52" t="n"/>
      <c r="J17" s="52" t="n"/>
      <c r="K17" s="52" t="n"/>
      <c r="L17" s="52" t="n"/>
    </row>
    <row r="18">
      <c r="A18" s="53" t="inlineStr">
        <is>
          <t>항목</t>
        </is>
      </c>
      <c r="B18" s="53" t="inlineStr">
        <is>
          <t>값</t>
        </is>
      </c>
      <c r="L18" s="53" t="inlineStr">
        <is>
          <t>출처</t>
        </is>
      </c>
    </row>
    <row r="19">
      <c r="A19" s="54" t="inlineStr">
        <is>
          <t>매출</t>
        </is>
      </c>
      <c r="B19" s="55" t="n">
        <v>123.45</v>
      </c>
      <c r="L19" s="56" t="inlineStr">
        <is>
          <t>2단계 보고서 자료(회사 설명회 자료·공시)</t>
        </is>
      </c>
    </row>
    <row r="20">
      <c r="A20" s="54" t="inlineStr">
        <is>
          <t>매출 ly</t>
        </is>
      </c>
      <c r="B20" s="55" t="n">
        <v>105.4</v>
      </c>
    </row>
    <row r="21">
      <c r="A21" s="54" t="inlineStr">
        <is>
          <t>영업이익</t>
        </is>
      </c>
      <c r="B21" s="55" t="n">
        <v>1.15</v>
      </c>
    </row>
    <row r="22">
      <c r="A22" s="54" t="inlineStr">
        <is>
          <t>영업이익 ly</t>
        </is>
      </c>
      <c r="B22" s="55" t="n">
        <v>-1.7</v>
      </c>
    </row>
    <row r="24">
      <c r="A24" s="52" t="inlineStr">
        <is>
          <t>this results · 2Q standalone</t>
        </is>
      </c>
      <c r="B24" s="52" t="n"/>
      <c r="C24" s="52" t="n"/>
      <c r="D24" s="52" t="n"/>
      <c r="E24" s="52" t="n"/>
      <c r="F24" s="52" t="n"/>
      <c r="G24" s="52" t="n"/>
      <c r="H24" s="52" t="n"/>
      <c r="I24" s="52" t="n"/>
      <c r="J24" s="52" t="n"/>
      <c r="K24" s="52" t="n"/>
      <c r="L24" s="52" t="n"/>
    </row>
    <row r="25">
      <c r="A25" s="53" t="inlineStr">
        <is>
          <t>항목</t>
        </is>
      </c>
      <c r="B25" s="53" t="inlineStr">
        <is>
          <t>값</t>
        </is>
      </c>
      <c r="L25" s="53" t="inlineStr">
        <is>
          <t>출처</t>
        </is>
      </c>
    </row>
    <row r="26">
      <c r="A26" s="54" t="inlineStr">
        <is>
          <t>매출</t>
        </is>
      </c>
      <c r="B26" s="55" t="n">
        <v>74.59999999999999</v>
      </c>
      <c r="L26" s="56" t="inlineStr">
        <is>
          <t>2단계 보고서 자료(회사 설명회 자료·공시)</t>
        </is>
      </c>
    </row>
    <row r="27">
      <c r="A27" s="54" t="inlineStr">
        <is>
          <t>매출 ly</t>
        </is>
      </c>
      <c r="B27" s="55" t="n">
        <v>62.4</v>
      </c>
    </row>
    <row r="28">
      <c r="A28" s="54" t="inlineStr">
        <is>
          <t>영업이익</t>
        </is>
      </c>
      <c r="B28" s="55" t="n">
        <v>3.7</v>
      </c>
    </row>
    <row r="29">
      <c r="A29" s="54" t="inlineStr">
        <is>
          <t>영업이익 ly</t>
        </is>
      </c>
      <c r="B29" s="55" t="n">
        <v>2.7</v>
      </c>
    </row>
    <row r="30">
      <c r="A30" s="54" t="inlineStr">
        <is>
          <t>gp</t>
        </is>
      </c>
      <c r="B30" s="55" t="n">
        <v>19.5</v>
      </c>
    </row>
    <row r="31">
      <c r="A31" s="54" t="inlineStr">
        <is>
          <t>gp ly</t>
        </is>
      </c>
      <c r="B31" s="55" t="n">
        <v>17.2</v>
      </c>
    </row>
    <row r="32">
      <c r="A32" s="54" t="inlineStr">
        <is>
          <t>sga</t>
        </is>
      </c>
      <c r="B32" s="55" t="n">
        <v>15.8</v>
      </c>
    </row>
    <row r="33">
      <c r="A33" s="54" t="inlineStr">
        <is>
          <t>sga ly</t>
        </is>
      </c>
      <c r="B33" s="55" t="n">
        <v>14.5</v>
      </c>
    </row>
    <row r="34">
      <c r="A34" s="54" t="inlineStr">
        <is>
          <t>순이익</t>
        </is>
      </c>
      <c r="B34" s="55" t="n">
        <v>2.9</v>
      </c>
    </row>
    <row r="35">
      <c r="A35" s="54" t="inlineStr">
        <is>
          <t>순이익 ly</t>
        </is>
      </c>
      <c r="B35" s="55" t="n">
        <v>2.3</v>
      </c>
    </row>
    <row r="37">
      <c r="A37" s="52" t="inlineStr">
        <is>
          <t>this results · 가이던스 fy27</t>
        </is>
      </c>
      <c r="B37" s="52" t="n"/>
      <c r="C37" s="52" t="n"/>
      <c r="D37" s="52" t="n"/>
      <c r="E37" s="52" t="n"/>
      <c r="F37" s="52" t="n"/>
      <c r="G37" s="52" t="n"/>
      <c r="H37" s="52" t="n"/>
      <c r="I37" s="52" t="n"/>
      <c r="J37" s="52" t="n"/>
      <c r="K37" s="52" t="n"/>
      <c r="L37" s="52" t="n"/>
    </row>
    <row r="38">
      <c r="A38" s="53" t="inlineStr">
        <is>
          <t>항목</t>
        </is>
      </c>
      <c r="B38" s="53" t="inlineStr">
        <is>
          <t>값</t>
        </is>
      </c>
      <c r="L38" s="53" t="inlineStr">
        <is>
          <t>출처</t>
        </is>
      </c>
    </row>
    <row r="39">
      <c r="A39" s="54" t="inlineStr">
        <is>
          <t>매출</t>
        </is>
      </c>
      <c r="B39" s="57" t="n">
        <v>300</v>
      </c>
      <c r="L39" s="56" t="inlineStr">
        <is>
          <t>2단계 보고서 자료(회사 설명회 자료·공시)</t>
        </is>
      </c>
    </row>
    <row r="40">
      <c r="A40" s="54" t="inlineStr">
        <is>
          <t>영업이익</t>
        </is>
      </c>
      <c r="B40" s="57" t="n">
        <v>10</v>
      </c>
    </row>
    <row r="41">
      <c r="A41" s="54" t="inlineStr">
        <is>
          <t>ord</t>
        </is>
      </c>
      <c r="B41" s="57" t="n">
        <v>10</v>
      </c>
    </row>
    <row r="42">
      <c r="A42" s="54" t="inlineStr">
        <is>
          <t>순이익</t>
        </is>
      </c>
      <c r="B42" s="57" t="n">
        <v>8</v>
      </c>
    </row>
    <row r="43">
      <c r="A43" s="54" t="inlineStr">
        <is>
          <t>EPS</t>
        </is>
      </c>
      <c r="B43" s="55" t="n">
        <v>23.95</v>
      </c>
    </row>
    <row r="44">
      <c r="A44" s="54" t="inlineStr">
        <is>
          <t>dps</t>
        </is>
      </c>
      <c r="B44" s="55" t="n">
        <v>7.5</v>
      </c>
    </row>
    <row r="46">
      <c r="A46" s="52" t="inlineStr">
        <is>
          <t>this results · shares</t>
        </is>
      </c>
      <c r="B46" s="52" t="n"/>
      <c r="C46" s="52" t="n"/>
      <c r="D46" s="52" t="n"/>
      <c r="E46" s="52" t="n"/>
      <c r="F46" s="52" t="n"/>
      <c r="G46" s="52" t="n"/>
      <c r="H46" s="52" t="n"/>
      <c r="I46" s="52" t="n"/>
      <c r="J46" s="52" t="n"/>
      <c r="K46" s="52" t="n"/>
      <c r="L46" s="52" t="n"/>
    </row>
    <row r="47">
      <c r="A47" s="53" t="inlineStr">
        <is>
          <t>항목</t>
        </is>
      </c>
      <c r="B47" s="53" t="inlineStr">
        <is>
          <t>값</t>
        </is>
      </c>
      <c r="L47" s="53" t="inlineStr">
        <is>
          <t>출처</t>
        </is>
      </c>
    </row>
    <row r="48">
      <c r="A48" s="54" t="inlineStr">
        <is>
          <t>issued</t>
        </is>
      </c>
      <c r="B48" s="57" t="n">
        <v>33977282</v>
      </c>
      <c r="L48" s="56" t="inlineStr">
        <is>
          <t>2단계 보고서 자료(회사 설명회 자료·공시)</t>
        </is>
      </c>
    </row>
    <row r="49">
      <c r="A49" s="54" t="inlineStr">
        <is>
          <t>treasury</t>
        </is>
      </c>
      <c r="B49" s="57" t="n">
        <v>41739</v>
      </c>
    </row>
    <row r="50">
      <c r="A50" s="54" t="inlineStr">
        <is>
          <t>avg 상반기</t>
        </is>
      </c>
      <c r="B50" s="57" t="n">
        <v>33600892</v>
      </c>
    </row>
    <row r="52">
      <c r="A52" s="52" t="inlineStr">
        <is>
          <t>부문별 annual</t>
        </is>
      </c>
      <c r="B52" s="52" t="n"/>
      <c r="C52" s="52" t="n"/>
      <c r="D52" s="52" t="n"/>
      <c r="E52" s="52" t="n"/>
      <c r="F52" s="52" t="n"/>
      <c r="G52" s="52" t="n"/>
      <c r="H52" s="52" t="n"/>
      <c r="I52" s="52" t="n"/>
      <c r="J52" s="52" t="n"/>
      <c r="K52" s="52" t="n"/>
      <c r="L52" s="52" t="n"/>
    </row>
    <row r="53">
      <c r="A53" s="53" t="inlineStr">
        <is>
          <t>항목</t>
        </is>
      </c>
      <c r="B53" s="53" t="inlineStr">
        <is>
          <t>FY2024</t>
        </is>
      </c>
      <c r="C53" s="53" t="inlineStr">
        <is>
          <t>FY2025</t>
        </is>
      </c>
      <c r="D53" s="53" t="inlineStr">
        <is>
          <t>FY2026</t>
        </is>
      </c>
      <c r="L53" s="53" t="inlineStr">
        <is>
          <t>출처</t>
        </is>
      </c>
    </row>
    <row r="54">
      <c r="A54" s="54" t="inlineStr">
        <is>
          <t>조정</t>
        </is>
      </c>
      <c r="B54" s="55" t="n">
        <v>-14.28</v>
      </c>
      <c r="C54" s="55" t="n">
        <v>-15.59</v>
      </c>
      <c r="D54" s="55" t="n">
        <v>-16.19</v>
      </c>
      <c r="L54" s="56" t="inlineStr">
        <is>
          <t>2단계 보고서 자료(회사 설명회 자료·공시)</t>
        </is>
      </c>
    </row>
    <row r="56">
      <c r="A56" s="52" t="inlineStr">
        <is>
          <t>부문별 quarterly 매출</t>
        </is>
      </c>
      <c r="B56" s="52" t="n"/>
      <c r="C56" s="52" t="n"/>
      <c r="D56" s="52" t="n"/>
      <c r="E56" s="52" t="n"/>
      <c r="F56" s="52" t="n"/>
      <c r="G56" s="52" t="n"/>
      <c r="H56" s="52" t="n"/>
      <c r="I56" s="52" t="n"/>
      <c r="J56" s="52" t="n"/>
      <c r="K56" s="52" t="n"/>
      <c r="L56" s="52" t="n"/>
    </row>
    <row r="57">
      <c r="A57" s="53" t="inlineStr">
        <is>
          <t>항목</t>
        </is>
      </c>
      <c r="B57" s="53" t="inlineStr">
        <is>
          <t>2025.1Q</t>
        </is>
      </c>
      <c r="C57" s="53" t="inlineStr">
        <is>
          <t>2025.2Q</t>
        </is>
      </c>
      <c r="D57" s="53" t="inlineStr">
        <is>
          <t>2025.3Q</t>
        </is>
      </c>
      <c r="E57" s="53" t="inlineStr">
        <is>
          <t>2025.4Q</t>
        </is>
      </c>
      <c r="F57" s="53" t="inlineStr">
        <is>
          <t>2026.1Q</t>
        </is>
      </c>
      <c r="G57" s="53" t="inlineStr">
        <is>
          <t>2026.2Q</t>
        </is>
      </c>
      <c r="H57" s="53" t="inlineStr">
        <is>
          <t>2026.3Q</t>
        </is>
      </c>
      <c r="I57" s="53" t="inlineStr">
        <is>
          <t>2026.4Q</t>
        </is>
      </c>
      <c r="J57" s="53" t="inlineStr">
        <is>
          <t>2027.1Q</t>
        </is>
      </c>
      <c r="K57" s="53" t="inlineStr">
        <is>
          <t>2027.2Q</t>
        </is>
      </c>
      <c r="L57" s="53" t="inlineStr">
        <is>
          <t>출처</t>
        </is>
      </c>
    </row>
    <row r="58">
      <c r="A58" s="54" t="inlineStr">
        <is>
          <t>제조업용</t>
        </is>
      </c>
      <c r="B58" s="55" t="n">
        <v>16.62</v>
      </c>
      <c r="C58" s="55" t="n">
        <v>23.67</v>
      </c>
      <c r="D58" s="55" t="n">
        <v>20.07</v>
      </c>
      <c r="E58" s="55" t="n">
        <v>32.22</v>
      </c>
      <c r="F58" s="55" t="n">
        <v>17.34</v>
      </c>
      <c r="G58" s="55" t="n">
        <v>27.36</v>
      </c>
      <c r="H58" s="55" t="n">
        <v>39.11</v>
      </c>
      <c r="I58" s="55" t="n">
        <v>25.36</v>
      </c>
      <c r="J58" s="55" t="n">
        <v>19.67</v>
      </c>
      <c r="K58" s="55" t="n">
        <v>30.09</v>
      </c>
      <c r="L58" s="56" t="inlineStr">
        <is>
          <t>2단계 보고서 자료(회사 설명회 자료·공시)</t>
        </is>
      </c>
    </row>
    <row r="59">
      <c r="A59" s="54" t="inlineStr">
        <is>
          <t>건설업용</t>
        </is>
      </c>
      <c r="B59" s="55" t="n">
        <v>20.85</v>
      </c>
      <c r="C59" s="55" t="n">
        <v>22.57</v>
      </c>
      <c r="D59" s="55" t="n">
        <v>29.56</v>
      </c>
      <c r="E59" s="55" t="n">
        <v>47.91</v>
      </c>
      <c r="F59" s="55" t="n">
        <v>23.85</v>
      </c>
      <c r="G59" s="55" t="n">
        <v>28.95</v>
      </c>
      <c r="H59" s="55" t="n">
        <v>32.55</v>
      </c>
      <c r="I59" s="55" t="n">
        <v>39.91</v>
      </c>
      <c r="J59" s="55" t="n">
        <v>27.9</v>
      </c>
      <c r="K59" s="55" t="n">
        <v>35.23</v>
      </c>
    </row>
    <row r="60">
      <c r="A60" s="54" t="inlineStr">
        <is>
          <t>레저</t>
        </is>
      </c>
      <c r="B60" s="55" t="n">
        <v>9.699999999999999</v>
      </c>
      <c r="C60" s="55" t="n">
        <v>9.01</v>
      </c>
      <c r="D60" s="55" t="n">
        <v>7.55</v>
      </c>
      <c r="E60" s="55" t="n">
        <v>10.31</v>
      </c>
      <c r="F60" s="55" t="n">
        <v>6.55</v>
      </c>
      <c r="G60" s="55" t="n">
        <v>6.08</v>
      </c>
      <c r="H60" s="55" t="n">
        <v>7.92</v>
      </c>
      <c r="I60" s="55" t="n">
        <v>13.28</v>
      </c>
      <c r="J60" s="55" t="n">
        <v>7.93</v>
      </c>
      <c r="K60" s="55" t="n">
        <v>9.24</v>
      </c>
    </row>
    <row r="62">
      <c r="A62" s="52" t="inlineStr">
        <is>
          <t>부문별 quarterly 영업이익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</row>
    <row r="63">
      <c r="A63" s="53" t="inlineStr">
        <is>
          <t>항목</t>
        </is>
      </c>
      <c r="B63" s="53" t="inlineStr">
        <is>
          <t>2025.1Q</t>
        </is>
      </c>
      <c r="C63" s="53" t="inlineStr">
        <is>
          <t>2025.2Q</t>
        </is>
      </c>
      <c r="D63" s="53" t="inlineStr">
        <is>
          <t>2025.3Q</t>
        </is>
      </c>
      <c r="E63" s="53" t="inlineStr">
        <is>
          <t>2025.4Q</t>
        </is>
      </c>
      <c r="F63" s="53" t="inlineStr">
        <is>
          <t>2026.1Q</t>
        </is>
      </c>
      <c r="G63" s="53" t="inlineStr">
        <is>
          <t>2026.2Q</t>
        </is>
      </c>
      <c r="H63" s="53" t="inlineStr">
        <is>
          <t>2026.3Q</t>
        </is>
      </c>
      <c r="I63" s="53" t="inlineStr">
        <is>
          <t>2026.4Q</t>
        </is>
      </c>
      <c r="J63" s="53" t="inlineStr">
        <is>
          <t>2027.1Q</t>
        </is>
      </c>
      <c r="K63" s="53" t="inlineStr">
        <is>
          <t>2027.2Q</t>
        </is>
      </c>
      <c r="L63" s="53" t="inlineStr">
        <is>
          <t>출처</t>
        </is>
      </c>
    </row>
    <row r="64">
      <c r="A64" s="54" t="inlineStr">
        <is>
          <t>제조업용</t>
        </is>
      </c>
      <c r="B64" s="55" t="n">
        <v>-0.37</v>
      </c>
      <c r="C64" s="55" t="n">
        <v>2.51</v>
      </c>
      <c r="D64" s="55" t="n">
        <v>1.72</v>
      </c>
      <c r="E64" s="55" t="n">
        <v>4.89</v>
      </c>
      <c r="F64" s="55" t="n">
        <v>-0.55</v>
      </c>
      <c r="G64" s="55" t="n">
        <v>2.29</v>
      </c>
      <c r="H64" s="55" t="n">
        <v>6.3</v>
      </c>
      <c r="I64" s="55" t="n">
        <v>1.72</v>
      </c>
      <c r="J64" s="55" t="n">
        <v>0.26</v>
      </c>
      <c r="K64" s="55" t="n">
        <v>3.3</v>
      </c>
      <c r="L64" s="56" t="inlineStr">
        <is>
          <t>2단계 보고서 자료(회사 설명회 자료·공시)</t>
        </is>
      </c>
    </row>
    <row r="65">
      <c r="A65" s="54" t="inlineStr">
        <is>
          <t>건설업용</t>
        </is>
      </c>
      <c r="B65" s="55" t="n">
        <v>0.79</v>
      </c>
      <c r="C65" s="55" t="n">
        <v>0.8</v>
      </c>
      <c r="D65" s="55" t="n">
        <v>3.88</v>
      </c>
      <c r="E65" s="55" t="n">
        <v>7.65</v>
      </c>
      <c r="F65" s="55" t="n">
        <v>0.16</v>
      </c>
      <c r="G65" s="55" t="n">
        <v>3.71</v>
      </c>
      <c r="H65" s="55" t="n">
        <v>4.6</v>
      </c>
      <c r="I65" s="55" t="n">
        <v>9.140000000000001</v>
      </c>
      <c r="J65" s="55" t="n">
        <v>0.84</v>
      </c>
      <c r="K65" s="55" t="n">
        <v>4.05</v>
      </c>
    </row>
    <row r="66">
      <c r="A66" s="54" t="inlineStr">
        <is>
          <t>레저</t>
        </is>
      </c>
      <c r="B66" s="55" t="n">
        <v>1.08</v>
      </c>
      <c r="C66" s="55" t="n">
        <v>0.83</v>
      </c>
      <c r="D66" s="55" t="n">
        <v>0.93</v>
      </c>
      <c r="E66" s="55" t="n">
        <v>1.53</v>
      </c>
      <c r="F66" s="55" t="n">
        <v>0.87</v>
      </c>
      <c r="G66" s="55" t="n">
        <v>0.65</v>
      </c>
      <c r="H66" s="55" t="n">
        <v>1.37</v>
      </c>
      <c r="I66" s="55" t="n">
        <v>2.66</v>
      </c>
      <c r="J66" s="55" t="n">
        <v>1.15</v>
      </c>
      <c r="K66" s="55" t="n">
        <v>0.9</v>
      </c>
    </row>
    <row r="68">
      <c r="A68" s="52" t="inlineStr">
        <is>
          <t>bs annual</t>
        </is>
      </c>
      <c r="B68" s="52" t="n"/>
      <c r="C68" s="52" t="n"/>
      <c r="D68" s="52" t="n"/>
      <c r="E68" s="52" t="n"/>
      <c r="F68" s="52" t="n"/>
      <c r="G68" s="52" t="n"/>
      <c r="H68" s="52" t="n"/>
      <c r="I68" s="52" t="n"/>
      <c r="J68" s="52" t="n"/>
      <c r="K68" s="52" t="n"/>
      <c r="L68" s="52" t="n"/>
    </row>
    <row r="69">
      <c r="A69" s="53" t="inlineStr">
        <is>
          <t>항목</t>
        </is>
      </c>
      <c r="B69" s="53" t="inlineStr">
        <is>
          <t>2022</t>
        </is>
      </c>
      <c r="C69" s="53" t="inlineStr">
        <is>
          <t>2023</t>
        </is>
      </c>
      <c r="D69" s="53" t="inlineStr">
        <is>
          <t>2024</t>
        </is>
      </c>
      <c r="E69" s="53" t="inlineStr">
        <is>
          <t>2025</t>
        </is>
      </c>
      <c r="F69" s="53" t="inlineStr">
        <is>
          <t>2026</t>
        </is>
      </c>
      <c r="L69" s="53" t="inlineStr">
        <is>
          <t>출처</t>
        </is>
      </c>
    </row>
    <row r="70">
      <c r="A70" s="54" t="inlineStr">
        <is>
          <t>labels</t>
        </is>
      </c>
      <c r="B70" s="57" t="n">
        <v>2022</v>
      </c>
      <c r="C70" s="57" t="n">
        <v>2023</v>
      </c>
      <c r="D70" s="57" t="n">
        <v>2024</v>
      </c>
      <c r="E70" s="57" t="n">
        <v>2025</v>
      </c>
      <c r="F70" s="57" t="n">
        <v>2026</v>
      </c>
      <c r="L70" s="56" t="inlineStr">
        <is>
          <t>2단계 보고서 자료(회사 설명회 자료·공시)</t>
        </is>
      </c>
    </row>
    <row r="71">
      <c r="A71" s="54" t="inlineStr">
        <is>
          <t>current assets</t>
        </is>
      </c>
      <c r="B71" s="55" t="n">
        <v>115.1</v>
      </c>
      <c r="C71" s="55" t="n">
        <v>118.1</v>
      </c>
      <c r="D71" s="55" t="n">
        <v>124.5</v>
      </c>
      <c r="E71" s="55" t="n">
        <v>128.1</v>
      </c>
      <c r="F71" s="55" t="n">
        <v>148.2</v>
      </c>
    </row>
    <row r="72">
      <c r="A72" s="54" t="inlineStr">
        <is>
          <t>cash</t>
        </is>
      </c>
      <c r="B72" s="55" t="n">
        <v>34.4</v>
      </c>
      <c r="C72" s="55" t="n">
        <v>13.9</v>
      </c>
      <c r="D72" s="55" t="n">
        <v>16.3</v>
      </c>
      <c r="E72" s="55" t="n">
        <v>20.2</v>
      </c>
      <c r="F72" s="55" t="n">
        <v>23.5</v>
      </c>
    </row>
    <row r="73">
      <c r="A73" s="54" t="inlineStr">
        <is>
          <t>st fin</t>
        </is>
      </c>
      <c r="B73" s="58" t="n"/>
      <c r="C73" s="58" t="n"/>
      <c r="D73" s="58" t="n"/>
      <c r="E73" s="58" t="n"/>
      <c r="F73" s="58" t="n"/>
    </row>
    <row r="74">
      <c r="A74" s="54" t="inlineStr">
        <is>
          <t>receivables</t>
        </is>
      </c>
      <c r="B74" s="55" t="n">
        <v>35.5</v>
      </c>
      <c r="C74" s="55" t="n">
        <v>46.8</v>
      </c>
      <c r="D74" s="55" t="n">
        <v>47.7</v>
      </c>
      <c r="E74" s="55" t="n">
        <v>47.7</v>
      </c>
      <c r="F74" s="55" t="n">
        <v>41.8</v>
      </c>
    </row>
    <row r="75">
      <c r="A75" s="54" t="inlineStr">
        <is>
          <t>inventory</t>
        </is>
      </c>
      <c r="B75" s="55" t="n">
        <v>19.5</v>
      </c>
      <c r="C75" s="55" t="n">
        <v>29.9</v>
      </c>
      <c r="D75" s="55" t="n">
        <v>30.5</v>
      </c>
      <c r="E75" s="55" t="n">
        <v>27</v>
      </c>
      <c r="F75" s="55" t="n">
        <v>38.8</v>
      </c>
    </row>
    <row r="76">
      <c r="A76" s="54" t="inlineStr">
        <is>
          <t>noncurrent assets</t>
        </is>
      </c>
      <c r="B76" s="55" t="n">
        <v>139.2</v>
      </c>
      <c r="C76" s="55" t="n">
        <v>138.9</v>
      </c>
      <c r="D76" s="55" t="n">
        <v>148</v>
      </c>
      <c r="E76" s="55" t="n">
        <v>148.7</v>
      </c>
      <c r="F76" s="55" t="n">
        <v>192.4</v>
      </c>
    </row>
    <row r="77">
      <c r="A77" s="54" t="inlineStr">
        <is>
          <t>ppe</t>
        </is>
      </c>
      <c r="B77" s="55" t="n">
        <v>77.90000000000001</v>
      </c>
      <c r="C77" s="55" t="n">
        <v>82.90000000000001</v>
      </c>
      <c r="D77" s="55" t="n">
        <v>81.59999999999999</v>
      </c>
      <c r="E77" s="55" t="n">
        <v>80.8</v>
      </c>
      <c r="F77" s="55" t="n">
        <v>91</v>
      </c>
    </row>
    <row r="78">
      <c r="A78" s="54" t="inlineStr">
        <is>
          <t>intangibles</t>
        </is>
      </c>
      <c r="B78" s="55" t="n">
        <v>10.8</v>
      </c>
      <c r="C78" s="55" t="n">
        <v>10.5</v>
      </c>
      <c r="D78" s="55" t="n">
        <v>11.2</v>
      </c>
      <c r="E78" s="55" t="n">
        <v>10.7</v>
      </c>
      <c r="F78" s="55" t="n">
        <v>28.5</v>
      </c>
    </row>
    <row r="79">
      <c r="A79" s="54" t="inlineStr">
        <is>
          <t>inv property</t>
        </is>
      </c>
      <c r="B79" s="58" t="n"/>
      <c r="C79" s="58" t="n"/>
      <c r="D79" s="58" t="n"/>
      <c r="E79" s="58" t="n"/>
      <c r="F79" s="58" t="n"/>
    </row>
    <row r="80">
      <c r="A80" s="54" t="inlineStr">
        <is>
          <t>합계 assets</t>
        </is>
      </c>
      <c r="B80" s="55" t="n">
        <v>254.3</v>
      </c>
      <c r="C80" s="55" t="n">
        <v>257</v>
      </c>
      <c r="D80" s="55" t="n">
        <v>272.5</v>
      </c>
      <c r="E80" s="55" t="n">
        <v>276.8</v>
      </c>
      <c r="F80" s="55" t="n">
        <v>340.6</v>
      </c>
    </row>
    <row r="81">
      <c r="A81" s="54" t="inlineStr">
        <is>
          <t>current liab</t>
        </is>
      </c>
      <c r="B81" s="55" t="n">
        <v>85.7</v>
      </c>
      <c r="C81" s="55" t="n">
        <v>104</v>
      </c>
      <c r="D81" s="55" t="n">
        <v>120.2</v>
      </c>
      <c r="E81" s="55" t="n">
        <v>104.2</v>
      </c>
      <c r="F81" s="55" t="n">
        <v>124.2</v>
      </c>
    </row>
    <row r="82">
      <c r="A82" s="54" t="inlineStr">
        <is>
          <t>payables</t>
        </is>
      </c>
      <c r="B82" s="55" t="n">
        <v>30</v>
      </c>
      <c r="C82" s="55" t="n">
        <v>25.8</v>
      </c>
      <c r="D82" s="55" t="n">
        <v>18.4</v>
      </c>
      <c r="E82" s="55" t="n">
        <v>18.2</v>
      </c>
      <c r="F82" s="55" t="n">
        <v>16.2</v>
      </c>
    </row>
    <row r="83">
      <c r="A83" s="54" t="inlineStr">
        <is>
          <t>st debt</t>
        </is>
      </c>
      <c r="B83" s="55" t="n">
        <v>9.5</v>
      </c>
      <c r="C83" s="55" t="n">
        <v>22.5</v>
      </c>
      <c r="D83" s="55" t="n">
        <v>36.5</v>
      </c>
      <c r="E83" s="55" t="n">
        <v>24.5</v>
      </c>
      <c r="F83" s="55" t="n">
        <v>28.5</v>
      </c>
    </row>
    <row r="84">
      <c r="A84" s="54" t="inlineStr">
        <is>
          <t>noncurrent liab</t>
        </is>
      </c>
      <c r="B84" s="55" t="n">
        <v>89.8</v>
      </c>
      <c r="C84" s="55" t="n">
        <v>73</v>
      </c>
      <c r="D84" s="55" t="n">
        <v>60.9</v>
      </c>
      <c r="E84" s="55" t="n">
        <v>70.8</v>
      </c>
      <c r="F84" s="55" t="n">
        <v>91.59999999999999</v>
      </c>
    </row>
    <row r="85">
      <c r="A85" s="54" t="inlineStr">
        <is>
          <t>lt debt</t>
        </is>
      </c>
      <c r="B85" s="55" t="n">
        <v>48.8</v>
      </c>
      <c r="C85" s="55" t="n">
        <v>36.6</v>
      </c>
      <c r="D85" s="55" t="n">
        <v>24.3</v>
      </c>
      <c r="E85" s="55" t="n">
        <v>37.1</v>
      </c>
      <c r="F85" s="55" t="n">
        <v>54.4</v>
      </c>
    </row>
    <row r="86">
      <c r="A86" s="54" t="inlineStr">
        <is>
          <t>bonds</t>
        </is>
      </c>
      <c r="B86" s="58" t="n"/>
      <c r="C86" s="58" t="n"/>
      <c r="D86" s="58" t="n"/>
      <c r="E86" s="58" t="n"/>
      <c r="F86" s="58" t="n"/>
    </row>
    <row r="87">
      <c r="A87" s="54" t="inlineStr">
        <is>
          <t>합계 liab</t>
        </is>
      </c>
      <c r="B87" s="55" t="n">
        <v>175.6</v>
      </c>
      <c r="C87" s="55" t="n">
        <v>176.9</v>
      </c>
      <c r="D87" s="55" t="n">
        <v>181.1</v>
      </c>
      <c r="E87" s="55" t="n">
        <v>175</v>
      </c>
      <c r="F87" s="55" t="n">
        <v>215.8</v>
      </c>
    </row>
    <row r="88">
      <c r="A88" s="54" t="inlineStr">
        <is>
          <t>capital stock</t>
        </is>
      </c>
      <c r="B88" s="55" t="n">
        <v>25.8</v>
      </c>
      <c r="C88" s="55" t="n">
        <v>26</v>
      </c>
      <c r="D88" s="55" t="n">
        <v>26.3</v>
      </c>
      <c r="E88" s="55" t="n">
        <v>0.7</v>
      </c>
      <c r="F88" s="55" t="n">
        <v>0.7</v>
      </c>
    </row>
    <row r="89">
      <c r="A89" s="54" t="inlineStr">
        <is>
          <t>retained</t>
        </is>
      </c>
      <c r="B89" s="55" t="n">
        <v>32.5</v>
      </c>
      <c r="C89" s="55" t="n">
        <v>35.1</v>
      </c>
      <c r="D89" s="55" t="n">
        <v>39.7</v>
      </c>
      <c r="E89" s="55" t="n">
        <v>49.9</v>
      </c>
      <c r="F89" s="55" t="n">
        <v>61.7</v>
      </c>
    </row>
    <row r="90">
      <c r="A90" s="54" t="inlineStr">
        <is>
          <t>nci</t>
        </is>
      </c>
      <c r="B90" s="58" t="n"/>
      <c r="C90" s="58" t="n"/>
      <c r="D90" s="58" t="n"/>
      <c r="E90" s="58" t="n"/>
      <c r="F90" s="58" t="n"/>
    </row>
    <row r="91">
      <c r="A91" s="54" t="inlineStr">
        <is>
          <t>합계 equity</t>
        </is>
      </c>
      <c r="B91" s="55" t="n">
        <v>78.7</v>
      </c>
      <c r="C91" s="55" t="n">
        <v>80.09999999999999</v>
      </c>
      <c r="D91" s="55" t="n">
        <v>91.40000000000001</v>
      </c>
      <c r="E91" s="55" t="n">
        <v>101.7</v>
      </c>
      <c r="F91" s="55" t="n">
        <v>124.8</v>
      </c>
    </row>
    <row r="92">
      <c r="A92" s="54" t="inlineStr">
        <is>
          <t>current ltd</t>
        </is>
      </c>
      <c r="B92" s="55" t="n">
        <v>20.1</v>
      </c>
      <c r="C92" s="55" t="n">
        <v>18</v>
      </c>
      <c r="D92" s="55" t="n">
        <v>14.3</v>
      </c>
      <c r="E92" s="55" t="n">
        <v>15.6</v>
      </c>
      <c r="F92" s="55" t="n">
        <v>20.4</v>
      </c>
    </row>
    <row r="93">
      <c r="A93" s="54" t="inlineStr">
        <is>
          <t>equity owner</t>
        </is>
      </c>
      <c r="B93" s="55" t="n">
        <v>77.8</v>
      </c>
      <c r="C93" s="55" t="n">
        <v>79.3</v>
      </c>
      <c r="D93" s="55" t="n">
        <v>90.8</v>
      </c>
      <c r="E93" s="55" t="n">
        <v>101.3</v>
      </c>
      <c r="F93" s="55" t="n">
        <v>124.5</v>
      </c>
    </row>
    <row r="95">
      <c r="A95" s="52" t="inlineStr">
        <is>
          <t>cf annual</t>
        </is>
      </c>
      <c r="B95" s="52" t="n"/>
      <c r="C95" s="52" t="n"/>
      <c r="D95" s="52" t="n"/>
      <c r="E95" s="52" t="n"/>
      <c r="F95" s="52" t="n"/>
      <c r="G95" s="52" t="n"/>
      <c r="H95" s="52" t="n"/>
      <c r="I95" s="52" t="n"/>
      <c r="J95" s="52" t="n"/>
      <c r="K95" s="52" t="n"/>
      <c r="L95" s="52" t="n"/>
    </row>
    <row r="96">
      <c r="A96" s="53" t="inlineStr">
        <is>
          <t>항목</t>
        </is>
      </c>
      <c r="B96" s="53" t="inlineStr">
        <is>
          <t>2022</t>
        </is>
      </c>
      <c r="C96" s="53" t="inlineStr">
        <is>
          <t>2023</t>
        </is>
      </c>
      <c r="D96" s="53" t="inlineStr">
        <is>
          <t>2024</t>
        </is>
      </c>
      <c r="E96" s="53" t="inlineStr">
        <is>
          <t>2025</t>
        </is>
      </c>
      <c r="F96" s="53" t="inlineStr">
        <is>
          <t>2026</t>
        </is>
      </c>
      <c r="L96" s="53" t="inlineStr">
        <is>
          <t>출처</t>
        </is>
      </c>
    </row>
    <row r="97">
      <c r="A97" s="54" t="inlineStr">
        <is>
          <t>labels</t>
        </is>
      </c>
      <c r="B97" s="57" t="n">
        <v>2022</v>
      </c>
      <c r="C97" s="57" t="n">
        <v>2023</v>
      </c>
      <c r="D97" s="57" t="n">
        <v>2024</v>
      </c>
      <c r="E97" s="57" t="n">
        <v>2025</v>
      </c>
      <c r="F97" s="57" t="n">
        <v>2026</v>
      </c>
      <c r="L97" s="56" t="inlineStr">
        <is>
          <t>2단계 보고서 자료(회사 설명회 자료·공시)</t>
        </is>
      </c>
    </row>
    <row r="98">
      <c r="A98" s="54" t="inlineStr">
        <is>
          <t>ocf</t>
        </is>
      </c>
      <c r="B98" s="55" t="n">
        <v>2.8</v>
      </c>
      <c r="C98" s="55" t="n">
        <v>-5.3</v>
      </c>
      <c r="D98" s="55" t="n">
        <v>16.1</v>
      </c>
      <c r="E98" s="55" t="n">
        <v>15</v>
      </c>
      <c r="F98" s="55" t="n">
        <v>34.1</v>
      </c>
    </row>
    <row r="99">
      <c r="A99" s="54" t="inlineStr">
        <is>
          <t>설비투자</t>
        </is>
      </c>
      <c r="B99" s="55" t="n">
        <v>11.8</v>
      </c>
      <c r="C99" s="55" t="n">
        <v>11.3</v>
      </c>
      <c r="D99" s="55" t="n">
        <v>9</v>
      </c>
      <c r="E99" s="55" t="n">
        <v>7.8</v>
      </c>
      <c r="F99" s="55" t="n">
        <v>13.4</v>
      </c>
    </row>
    <row r="100">
      <c r="A100" s="54" t="inlineStr">
        <is>
          <t>dividends</t>
        </is>
      </c>
      <c r="B100" s="55" t="n">
        <v>1.6</v>
      </c>
      <c r="C100" s="55" t="n">
        <v>1.6</v>
      </c>
      <c r="D100" s="55" t="n">
        <v>1.7</v>
      </c>
      <c r="E100" s="55" t="n">
        <v>1.7</v>
      </c>
      <c r="F100" s="55" t="n">
        <v>2.5</v>
      </c>
    </row>
    <row r="102">
      <c r="A102" s="52" t="inlineStr">
        <is>
          <t>비교 기업 · 가격 1029</t>
        </is>
      </c>
      <c r="B102" s="52" t="n"/>
      <c r="C102" s="52" t="n"/>
      <c r="D102" s="52" t="n"/>
      <c r="E102" s="52" t="n"/>
      <c r="F102" s="52" t="n"/>
      <c r="G102" s="52" t="n"/>
      <c r="H102" s="52" t="n"/>
      <c r="I102" s="52" t="n"/>
      <c r="J102" s="52" t="n"/>
      <c r="K102" s="52" t="n"/>
      <c r="L102" s="52" t="n"/>
    </row>
    <row r="103">
      <c r="A103" s="53" t="inlineStr">
        <is>
          <t>항목</t>
        </is>
      </c>
      <c r="B103" s="53" t="inlineStr">
        <is>
          <t>값</t>
        </is>
      </c>
      <c r="L103" s="53" t="inlineStr">
        <is>
          <t>출처</t>
        </is>
      </c>
    </row>
    <row r="104">
      <c r="A104" s="54" t="inlineStr">
        <is>
          <t>7224</t>
        </is>
      </c>
      <c r="B104" s="57" t="n">
        <v>1804</v>
      </c>
      <c r="L104" s="56" t="inlineStr">
        <is>
          <t>2단계 보고서 자료(회사 설명회 자료·공시)</t>
        </is>
      </c>
    </row>
    <row r="105">
      <c r="A105" s="54" t="inlineStr">
        <is>
          <t>6651</t>
        </is>
      </c>
      <c r="B105" s="57" t="n">
        <v>4200</v>
      </c>
    </row>
    <row r="106">
      <c r="A106" s="54" t="inlineStr">
        <is>
          <t>1980</t>
        </is>
      </c>
      <c r="B106" s="57" t="n">
        <v>3075</v>
      </c>
    </row>
    <row r="107">
      <c r="A107" s="54" t="inlineStr">
        <is>
          <t>6309</t>
        </is>
      </c>
      <c r="B107" s="57" t="n">
        <v>1899</v>
      </c>
    </row>
    <row r="108">
      <c r="A108" s="54" t="inlineStr">
        <is>
          <t>7022</t>
        </is>
      </c>
      <c r="B108" s="57" t="n">
        <v>315</v>
      </c>
    </row>
    <row r="110">
      <c r="A110" s="52" t="inlineStr">
        <is>
          <t>비교 기업 · mcap oku</t>
        </is>
      </c>
      <c r="B110" s="52" t="n"/>
      <c r="C110" s="52" t="n"/>
      <c r="D110" s="52" t="n"/>
      <c r="E110" s="52" t="n"/>
      <c r="F110" s="52" t="n"/>
      <c r="G110" s="52" t="n"/>
      <c r="H110" s="52" t="n"/>
      <c r="I110" s="52" t="n"/>
      <c r="J110" s="52" t="n"/>
      <c r="K110" s="52" t="n"/>
      <c r="L110" s="52" t="n"/>
    </row>
    <row r="111">
      <c r="A111" s="53" t="inlineStr">
        <is>
          <t>항목</t>
        </is>
      </c>
      <c r="B111" s="53" t="inlineStr">
        <is>
          <t>값</t>
        </is>
      </c>
      <c r="L111" s="53" t="inlineStr">
        <is>
          <t>출처</t>
        </is>
      </c>
    </row>
    <row r="112">
      <c r="A112" s="54" t="inlineStr">
        <is>
          <t>7224</t>
        </is>
      </c>
      <c r="B112" s="57" t="n">
        <v>1193</v>
      </c>
      <c r="L112" s="56" t="inlineStr">
        <is>
          <t>2단계 보고서 자료(회사 설명회 자료·공시)</t>
        </is>
      </c>
    </row>
    <row r="113">
      <c r="A113" s="54" t="inlineStr">
        <is>
          <t>6651</t>
        </is>
      </c>
      <c r="B113" s="57" t="n">
        <v>1593</v>
      </c>
    </row>
    <row r="114">
      <c r="A114" s="54" t="inlineStr">
        <is>
          <t>1980</t>
        </is>
      </c>
      <c r="B114" s="57" t="n">
        <v>3978</v>
      </c>
    </row>
    <row r="115">
      <c r="A115" s="54" t="inlineStr">
        <is>
          <t>6309</t>
        </is>
      </c>
      <c r="B115" s="57" t="n">
        <v>558</v>
      </c>
    </row>
    <row r="116">
      <c r="A116" s="54" t="inlineStr">
        <is>
          <t>7022</t>
        </is>
      </c>
      <c r="B116" s="57" t="n">
        <v>105</v>
      </c>
    </row>
    <row r="118">
      <c r="A118" s="52" t="inlineStr">
        <is>
          <t>reactions</t>
        </is>
      </c>
      <c r="B118" s="52" t="n"/>
      <c r="C118" s="52" t="n"/>
      <c r="D118" s="52" t="n"/>
      <c r="E118" s="52" t="n"/>
      <c r="F118" s="52" t="n"/>
      <c r="G118" s="52" t="n"/>
      <c r="H118" s="52" t="n"/>
      <c r="I118" s="52" t="n"/>
      <c r="J118" s="52" t="n"/>
      <c r="K118" s="52" t="n"/>
      <c r="L118" s="52" t="n"/>
    </row>
    <row r="119">
      <c r="A119" s="53" t="inlineStr">
        <is>
          <t>항목</t>
        </is>
      </c>
      <c r="B119" s="53" t="inlineStr">
        <is>
          <t>기준일</t>
        </is>
      </c>
      <c r="C119" s="53" t="inlineStr">
        <is>
          <t>다음날</t>
        </is>
      </c>
      <c r="D119" s="53" t="inlineStr">
        <is>
          <t>등락%</t>
        </is>
      </c>
      <c r="L119" s="53" t="inlineStr">
        <is>
          <t>출처</t>
        </is>
      </c>
    </row>
    <row r="120">
      <c r="A120" s="54" t="inlineStr">
        <is>
          <t>2025-01-30</t>
        </is>
      </c>
      <c r="B120" s="58" t="inlineStr">
        <is>
          <t>2025-01-30</t>
        </is>
      </c>
      <c r="C120" s="58" t="inlineStr">
        <is>
          <t>2025-01-31</t>
        </is>
      </c>
      <c r="D120" s="55" t="n">
        <v>13.8</v>
      </c>
      <c r="L120" s="56" t="inlineStr">
        <is>
          <t>2단계 보고서 자료(회사 설명회 자료·공시)</t>
        </is>
      </c>
    </row>
    <row r="121">
      <c r="A121" s="54" t="inlineStr">
        <is>
          <t>2025-05-12</t>
        </is>
      </c>
      <c r="B121" s="58" t="inlineStr">
        <is>
          <t>2025-05-12</t>
        </is>
      </c>
      <c r="C121" s="58" t="inlineStr">
        <is>
          <t>2025-05-13</t>
        </is>
      </c>
      <c r="D121" s="55" t="n">
        <v>10.5</v>
      </c>
    </row>
    <row r="122">
      <c r="A122" s="54" t="inlineStr">
        <is>
          <t>2025-07-31</t>
        </is>
      </c>
      <c r="B122" s="58" t="inlineStr">
        <is>
          <t>2025-07-31</t>
        </is>
      </c>
      <c r="C122" s="58" t="inlineStr">
        <is>
          <t>2025-08-01</t>
        </is>
      </c>
      <c r="D122" s="55" t="n">
        <v>-8</v>
      </c>
    </row>
    <row r="123">
      <c r="A123" s="54" t="inlineStr">
        <is>
          <t>2025-10-30</t>
        </is>
      </c>
      <c r="B123" s="58" t="inlineStr">
        <is>
          <t>2025-10-30</t>
        </is>
      </c>
      <c r="C123" s="58" t="inlineStr">
        <is>
          <t>2025-10-31</t>
        </is>
      </c>
      <c r="D123" s="55" t="n">
        <v>4.4</v>
      </c>
    </row>
    <row r="124">
      <c r="A124" s="54" t="inlineStr">
        <is>
          <t>2026-01-29</t>
        </is>
      </c>
      <c r="B124" s="58" t="inlineStr">
        <is>
          <t>2026-01-29</t>
        </is>
      </c>
      <c r="C124" s="58" t="inlineStr">
        <is>
          <t>2026-01-30</t>
        </is>
      </c>
      <c r="D124" s="55" t="n">
        <v>11.7</v>
      </c>
    </row>
    <row r="125">
      <c r="A125" s="54" t="inlineStr">
        <is>
          <t>2026-05-12</t>
        </is>
      </c>
      <c r="B125" s="58" t="inlineStr">
        <is>
          <t>2026-05-12</t>
        </is>
      </c>
      <c r="C125" s="58" t="inlineStr">
        <is>
          <t>2026-05-13</t>
        </is>
      </c>
      <c r="D125" s="55" t="n">
        <v>1.1</v>
      </c>
    </row>
    <row r="126">
      <c r="A126" s="54" t="inlineStr">
        <is>
          <t>2026-07-30</t>
        </is>
      </c>
      <c r="B126" s="58" t="inlineStr">
        <is>
          <t>2026-07-30</t>
        </is>
      </c>
      <c r="C126" s="58" t="inlineStr">
        <is>
          <t>2026-07-31</t>
        </is>
      </c>
      <c r="D126" s="55" t="n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2026-10-29</t>
        </is>
      </c>
      <c r="B4" t="inlineStr">
        <is>
          <t>2027년 3월 결산기 ２분기 결산단신</t>
        </is>
      </c>
      <c r="C4" t="inlineStr">
        <is>
          <t>https://www2.jpx.co.jp/disc/70220/140120261028558279.pdf</t>
        </is>
      </c>
    </row>
    <row r="5">
      <c r="A5" t="inlineStr">
        <is>
          <t>2026-07-30</t>
        </is>
      </c>
      <c r="B5" t="inlineStr">
        <is>
          <t>2027년 3월 결산기 １분기 결산단신</t>
        </is>
      </c>
      <c r="C5" t="inlineStr">
        <is>
          <t>https://www2.jpx.co.jp/disc/70220/140120260729501418.pdf</t>
        </is>
      </c>
    </row>
    <row r="6">
      <c r="A6" t="inlineStr">
        <is>
          <t>2026-05-12</t>
        </is>
      </c>
      <c r="B6" t="inlineStr">
        <is>
          <t>2026년 3월 결산기 연간 결산단신</t>
        </is>
      </c>
      <c r="C6" t="inlineStr">
        <is>
          <t>https://www2.jpx.co.jp/disc/70220/140120260511523000.pdf</t>
        </is>
      </c>
    </row>
    <row r="7">
      <c r="A7" t="inlineStr">
        <is>
          <t>2026-01-29</t>
        </is>
      </c>
      <c r="B7" t="inlineStr">
        <is>
          <t>2026년 3월 결산기 ３분기 결산단신</t>
        </is>
      </c>
      <c r="C7" t="inlineStr">
        <is>
          <t>https://www2.jpx.co.jp/disc/70220/140120260127539539.pdf</t>
        </is>
      </c>
    </row>
    <row r="8">
      <c r="A8" t="inlineStr">
        <is>
          <t>2025-10-30</t>
        </is>
      </c>
      <c r="B8" t="inlineStr">
        <is>
          <t>2026년 3월 결산기 ２분기 결산단신</t>
        </is>
      </c>
      <c r="C8" t="inlineStr">
        <is>
          <t>https://www2.jpx.co.jp/disc/70220/140120251029580827.pdf</t>
        </is>
      </c>
    </row>
    <row r="9">
      <c r="A9" t="inlineStr">
        <is>
          <t>2025-07-31</t>
        </is>
      </c>
      <c r="B9" t="inlineStr">
        <is>
          <t>2026년 3월 결산기 １분기 결산단신</t>
        </is>
      </c>
      <c r="C9" t="inlineStr">
        <is>
          <t>https://www2.jpx.co.jp/disc/70220/140120250730524457.pdf</t>
        </is>
      </c>
    </row>
    <row r="10">
      <c r="A10" t="inlineStr">
        <is>
          <t>2025-05-12</t>
        </is>
      </c>
      <c r="B10" t="inlineStr">
        <is>
          <t>2025년 3월 결산기 연간 결산단신</t>
        </is>
      </c>
      <c r="C10" t="inlineStr">
        <is>
          <t>https://www2.jpx.co.jp/disc/70220/140120250509538799.pdf</t>
        </is>
      </c>
    </row>
    <row r="11">
      <c r="A11" t="inlineStr">
        <is>
          <t>2025-01-30</t>
        </is>
      </c>
      <c r="B11" t="inlineStr">
        <is>
          <t>2025년 3월 결산기 ３분기 결산단신</t>
        </is>
      </c>
      <c r="C11" t="inlineStr">
        <is>
          <t>https://www2.jpx.co.jp/disc/70220/140120250129557617.pdf</t>
        </is>
      </c>
    </row>
    <row r="12">
      <c r="A12" t="inlineStr">
        <is>
          <t>2024-10-31</t>
        </is>
      </c>
      <c r="B12" t="inlineStr">
        <is>
          <t>2025년 3월 결산기 ２분기 결산단신</t>
        </is>
      </c>
      <c r="C12" t="inlineStr">
        <is>
          <t>https://www2.jpx.co.jp/disc/70220/140120241030506154.pdf</t>
        </is>
      </c>
    </row>
    <row r="13">
      <c r="A13" t="inlineStr">
        <is>
          <t>2024-07-31</t>
        </is>
      </c>
      <c r="B13" t="inlineStr">
        <is>
          <t>2025년 3월 결산기 １분기 결산단신</t>
        </is>
      </c>
      <c r="C13" t="inlineStr">
        <is>
          <t>https://www2.jpx.co.jp/disc/70220/140120240729556564.pdf</t>
        </is>
      </c>
    </row>
    <row r="14">
      <c r="A14" t="inlineStr">
        <is>
          <t>2024-05-13</t>
        </is>
      </c>
      <c r="B14" t="inlineStr">
        <is>
          <t>2024년 3월 결산기 연간 결산단신</t>
        </is>
      </c>
      <c r="C14" t="inlineStr">
        <is>
          <t>https://www2.jpx.co.jp/disc/70220/140120240510589672.pdf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https://www2.jpx.co.jp/disc/70220/140120240130522072.pdf</t>
        </is>
      </c>
    </row>
    <row r="16">
      <c r="A16" t="inlineStr">
        <is>
          <t>2023-10-31</t>
        </is>
      </c>
      <c r="B16" t="inlineStr">
        <is>
          <t>2024년 3월 결산기 ２분기 결산단신</t>
        </is>
      </c>
      <c r="C16" t="inlineStr">
        <is>
          <t>https://www2.jpx.co.jp/disc/70220/140120231030574888.pdf</t>
        </is>
      </c>
    </row>
    <row r="17">
      <c r="A17" t="inlineStr">
        <is>
          <t>2023-07-31</t>
        </is>
      </c>
      <c r="B17" t="inlineStr">
        <is>
          <t>2024년 3월 결산기 １분기 결산단신</t>
        </is>
      </c>
      <c r="C17" t="inlineStr">
        <is>
          <t>https://www2.jpx.co.jp/disc/70220/140120230728529398.pdf</t>
        </is>
      </c>
    </row>
    <row r="18">
      <c r="A18" t="inlineStr">
        <is>
          <t>2023-05-12</t>
        </is>
      </c>
      <c r="B18" t="inlineStr">
        <is>
          <t>2023년 3월 결산기 연간 결산단신</t>
        </is>
      </c>
      <c r="C18" t="inlineStr">
        <is>
          <t>https://www2.jpx.co.jp/disc/70220/140120230511567275.pdf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https://www2.jpx.co.jp/disc/70220/140120230130596314.pdf</t>
        </is>
      </c>
    </row>
    <row r="20">
      <c r="A20" t="inlineStr">
        <is>
          <t>2022-05-13</t>
        </is>
      </c>
      <c r="B20" t="inlineStr">
        <is>
          <t>2022년 3월 결산기 연간 결산단신</t>
        </is>
      </c>
      <c r="C20" t="inlineStr">
        <is>
          <t>https://www2.jpx.co.jp/disc/70220/140120220512544907.pdf</t>
        </is>
      </c>
    </row>
    <row r="21">
      <c r="A21" t="inlineStr">
        <is>
          <t>2021-05-14</t>
        </is>
      </c>
      <c r="B21" t="inlineStr">
        <is>
          <t>2021년 3월 결산기 연간 결산단신</t>
        </is>
      </c>
      <c r="C21" t="inlineStr">
        <is>
          <t>https://www2.jpx.co.jp/disc/70220/140120210513417761.pdf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https://www2.jpx.co.jp/disc/70220/140120200514413365.pdf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https://www2.jpx.co.jp/disc/70220/140120190513424216.pdf</t>
        </is>
      </c>
    </row>
    <row r="24">
      <c r="A24" t="inlineStr">
        <is>
          <t>2018-05-11</t>
        </is>
      </c>
      <c r="B24" t="inlineStr">
        <is>
          <t>2018년 3월 결산기 연간 결산단신</t>
        </is>
      </c>
      <c r="C24" t="inlineStr">
        <is>
          <t>https://www2.jpx.co.jp/disc/70220/140120180510433713.pdf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2026-10-29T07:23:15Z</dcterms:created>
  <dcterms:modified xmlns:dcterms="http://purl.org/dc/terms/" xmlns:xsi="http://www.w3.org/2001/XMLSchema-instance" xsi:type="dcterms:W3CDTF">2026-10-29T07:23:15Z</dcterms:modified>
</cp:coreProperties>
</file>