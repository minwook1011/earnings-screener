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야마자와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25272</v>
      </c>
      <c r="D4" s="12" t="n">
        <v>25969</v>
      </c>
      <c r="E4" s="12" t="n">
        <v>24969</v>
      </c>
      <c r="F4" s="12" t="n">
        <v>25989</v>
      </c>
      <c r="G4" s="12" t="n">
        <v>24927</v>
      </c>
      <c r="H4" s="12" t="n">
        <v>26673</v>
      </c>
      <c r="I4" s="12" t="n">
        <v>26063</v>
      </c>
      <c r="J4" s="12" t="n">
        <v>27020</v>
      </c>
      <c r="K4" s="12" t="n">
        <v>25554</v>
      </c>
      <c r="L4" s="12" t="n">
        <v>26768</v>
      </c>
      <c r="M4" s="12" t="n">
        <v>24871</v>
      </c>
      <c r="N4" s="12" t="n">
        <v>25073</v>
      </c>
      <c r="O4" s="11" t="n">
        <v>114111</v>
      </c>
      <c r="P4" s="12" t="n">
        <v>114303</v>
      </c>
      <c r="Q4" s="12" t="n">
        <v>110688</v>
      </c>
      <c r="R4" s="12" t="n">
        <v>109709</v>
      </c>
      <c r="S4" s="12" t="n">
        <v>112938</v>
      </c>
      <c r="T4" s="12" t="n">
        <v>110673</v>
      </c>
      <c r="U4" s="12" t="n">
        <v>99457</v>
      </c>
      <c r="V4" s="12" t="n">
        <v>101891</v>
      </c>
      <c r="W4" s="12" t="n">
        <v>102558</v>
      </c>
      <c r="X4" s="12" t="n">
        <v>105405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슈퍼마켓 사업</t>
        </is>
      </c>
      <c r="B7" s="10" t="n"/>
      <c r="C7" s="19" t="n">
        <v>22037</v>
      </c>
      <c r="D7" s="20" t="n">
        <v>22782</v>
      </c>
      <c r="E7" s="20" t="n"/>
      <c r="F7" s="20" t="n"/>
      <c r="G7" s="20" t="n">
        <v>21793</v>
      </c>
      <c r="H7" s="20" t="n">
        <v>23429</v>
      </c>
      <c r="I7" s="20" t="n">
        <v>22812</v>
      </c>
      <c r="J7" s="20" t="n">
        <v>23629</v>
      </c>
      <c r="K7" s="20" t="n">
        <v>22362</v>
      </c>
      <c r="L7" s="20" t="n">
        <v>23530</v>
      </c>
      <c r="M7" s="20" t="n">
        <v>21474</v>
      </c>
      <c r="N7" s="20" t="n">
        <v>21710</v>
      </c>
      <c r="O7" s="19" t="n"/>
      <c r="P7" s="20" t="n"/>
      <c r="Q7" s="20" t="n"/>
      <c r="R7" s="20" t="n"/>
      <c r="S7" s="20" t="n"/>
      <c r="T7" s="20" t="n"/>
      <c r="U7" s="20" t="n"/>
      <c r="V7" s="20" t="n">
        <v>88975</v>
      </c>
      <c r="W7" s="20" t="n">
        <v>89731</v>
      </c>
      <c r="X7" s="20" t="n">
        <v>92333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드럭스토어 사업</t>
        </is>
      </c>
      <c r="B10" s="10" t="n"/>
      <c r="C10" s="19" t="n">
        <v>3232</v>
      </c>
      <c r="D10" s="20" t="n">
        <v>3186</v>
      </c>
      <c r="E10" s="20" t="n"/>
      <c r="F10" s="20" t="n"/>
      <c r="G10" s="20" t="n">
        <v>3133</v>
      </c>
      <c r="H10" s="20" t="n">
        <v>3243</v>
      </c>
      <c r="I10" s="20" t="n">
        <v>3245</v>
      </c>
      <c r="J10" s="20" t="n">
        <v>3379</v>
      </c>
      <c r="K10" s="20" t="n">
        <v>3185</v>
      </c>
      <c r="L10" s="20" t="n">
        <v>3261</v>
      </c>
      <c r="M10" s="20" t="n">
        <v>3396</v>
      </c>
      <c r="N10" s="20" t="n">
        <v>3361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12907</v>
      </c>
      <c r="W10" s="20" t="n">
        <v>12821</v>
      </c>
      <c r="X10" s="20" t="n">
        <v>13070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식품 제조 사업</t>
        </is>
      </c>
      <c r="B13" s="10" t="n"/>
      <c r="C13" s="19" t="n"/>
      <c r="D13" s="20" t="n"/>
      <c r="E13" s="20" t="n"/>
      <c r="F13" s="20" t="n"/>
      <c r="G13" s="20" t="n">
        <v>1</v>
      </c>
      <c r="H13" s="20" t="n">
        <v>2</v>
      </c>
      <c r="I13" s="20" t="n">
        <v>5</v>
      </c>
      <c r="J13" s="20" t="n">
        <v>11</v>
      </c>
      <c r="K13" s="20" t="n">
        <v>7</v>
      </c>
      <c r="L13" s="20" t="n">
        <v>-21</v>
      </c>
      <c r="M13" s="20" t="n">
        <v>0</v>
      </c>
      <c r="N13" s="20" t="n">
        <v>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</v>
      </c>
      <c r="W13" s="20" t="n">
        <v>6</v>
      </c>
      <c r="X13" s="20" t="n">
        <v>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3</v>
      </c>
      <c r="D16" s="20" t="n"/>
      <c r="E16" s="20" t="n"/>
      <c r="F16" s="20" t="n"/>
      <c r="G16" s="20" t="n">
        <v>1</v>
      </c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18489</v>
      </c>
      <c r="D20" s="20" t="n">
        <v>18681</v>
      </c>
      <c r="E20" s="20" t="n">
        <v>18233</v>
      </c>
      <c r="F20" s="20" t="n">
        <v>18662</v>
      </c>
      <c r="G20" s="20" t="n">
        <v>18157</v>
      </c>
      <c r="H20" s="20" t="n">
        <v>18911</v>
      </c>
      <c r="I20" s="20" t="n">
        <v>18886</v>
      </c>
      <c r="J20" s="20" t="n">
        <v>19360</v>
      </c>
      <c r="K20" s="20" t="n">
        <v>18522</v>
      </c>
      <c r="L20" s="20" t="n">
        <v>19003</v>
      </c>
      <c r="M20" s="20" t="n">
        <v>18056</v>
      </c>
      <c r="N20" s="20" t="n">
        <v>17708</v>
      </c>
      <c r="O20" s="19" t="n">
        <v>82463</v>
      </c>
      <c r="P20" s="20" t="n">
        <v>82404</v>
      </c>
      <c r="Q20" s="20" t="n">
        <v>80322</v>
      </c>
      <c r="R20" s="20" t="n">
        <v>79506</v>
      </c>
      <c r="S20" s="20" t="n">
        <v>80458</v>
      </c>
      <c r="T20" s="20" t="n">
        <v>78993</v>
      </c>
      <c r="U20" s="20" t="n">
        <v>71850</v>
      </c>
      <c r="V20" s="20" t="n">
        <v>73751</v>
      </c>
      <c r="W20" s="20" t="n">
        <v>73963</v>
      </c>
      <c r="X20" s="20" t="n">
        <v>75771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6873</v>
      </c>
      <c r="D26" s="20" t="n">
        <v>7105</v>
      </c>
      <c r="E26" s="20" t="n">
        <v>7144</v>
      </c>
      <c r="F26" s="20" t="n">
        <v>7601</v>
      </c>
      <c r="G26" s="20" t="n">
        <v>7124</v>
      </c>
      <c r="H26" s="20" t="n">
        <v>7547</v>
      </c>
      <c r="I26" s="20" t="n">
        <v>6926</v>
      </c>
      <c r="J26" s="20" t="n">
        <v>7315</v>
      </c>
      <c r="K26" s="20" t="n">
        <v>6927</v>
      </c>
      <c r="L26" s="20" t="n">
        <v>7323</v>
      </c>
      <c r="M26" s="20" t="n">
        <v>6597</v>
      </c>
      <c r="N26" s="20" t="n">
        <v>6903</v>
      </c>
      <c r="O26" s="19" t="n">
        <v>30095</v>
      </c>
      <c r="P26" s="20" t="n">
        <v>30740</v>
      </c>
      <c r="Q26" s="20" t="n">
        <v>30145</v>
      </c>
      <c r="R26" s="20" t="n">
        <v>29576</v>
      </c>
      <c r="S26" s="20" t="n">
        <v>30020</v>
      </c>
      <c r="T26" s="20" t="n">
        <v>30579</v>
      </c>
      <c r="U26" s="20" t="n">
        <v>26895</v>
      </c>
      <c r="V26" s="20" t="n">
        <v>27514</v>
      </c>
      <c r="W26" s="20" t="n">
        <v>29416</v>
      </c>
      <c r="X26" s="20" t="n">
        <v>28491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-91</v>
      </c>
      <c r="D28" s="12" t="n">
        <v>184</v>
      </c>
      <c r="E28" s="12" t="n">
        <v>-408</v>
      </c>
      <c r="F28" s="12" t="n">
        <v>-274</v>
      </c>
      <c r="G28" s="12" t="n">
        <v>-354</v>
      </c>
      <c r="H28" s="12" t="n">
        <v>215</v>
      </c>
      <c r="I28" s="12" t="n">
        <v>249</v>
      </c>
      <c r="J28" s="12" t="n">
        <v>346</v>
      </c>
      <c r="K28" s="12" t="n">
        <v>104</v>
      </c>
      <c r="L28" s="12" t="n">
        <v>443</v>
      </c>
      <c r="M28" s="12" t="n">
        <v>217</v>
      </c>
      <c r="N28" s="12" t="n">
        <v>463</v>
      </c>
      <c r="O28" s="11" t="n">
        <v>1551</v>
      </c>
      <c r="P28" s="12" t="n">
        <v>1159</v>
      </c>
      <c r="Q28" s="12" t="n">
        <v>220</v>
      </c>
      <c r="R28" s="12" t="n">
        <v>627</v>
      </c>
      <c r="S28" s="12" t="n">
        <v>2459</v>
      </c>
      <c r="T28" s="12" t="n">
        <v>1100</v>
      </c>
      <c r="U28" s="12" t="n">
        <v>710</v>
      </c>
      <c r="V28" s="12" t="n">
        <v>625</v>
      </c>
      <c r="W28" s="12" t="n">
        <v>-821</v>
      </c>
      <c r="X28" s="12" t="n">
        <v>1142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>
        <v>10445</v>
      </c>
      <c r="P33" s="20" t="n">
        <v>10928</v>
      </c>
      <c r="Q33" s="20" t="n">
        <v>10918</v>
      </c>
      <c r="R33" s="20" t="n">
        <v>10826</v>
      </c>
      <c r="S33" s="20" t="n">
        <v>10801</v>
      </c>
      <c r="T33" s="20" t="n">
        <v>10845</v>
      </c>
      <c r="U33" s="20" t="n">
        <v>10802</v>
      </c>
      <c r="V33" s="20" t="n">
        <v>11251</v>
      </c>
      <c r="W33" s="20" t="n">
        <v>11529</v>
      </c>
      <c r="X33" s="20" t="n">
        <v>11638</v>
      </c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2421</v>
      </c>
      <c r="P35" s="20" t="n">
        <v>2582</v>
      </c>
      <c r="Q35" s="20" t="n">
        <v>2570</v>
      </c>
      <c r="R35" s="20" t="n">
        <v>2441</v>
      </c>
      <c r="S35" s="20" t="n">
        <v>2503</v>
      </c>
      <c r="T35" s="20" t="n">
        <v>2782</v>
      </c>
      <c r="U35" s="20" t="n">
        <v>2789</v>
      </c>
      <c r="V35" s="20" t="n">
        <v>3138</v>
      </c>
      <c r="W35" s="20" t="n">
        <v>3208</v>
      </c>
      <c r="X35" s="20" t="n">
        <v>3106</v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3</v>
      </c>
      <c r="E44" s="20" t="n">
        <v>0</v>
      </c>
      <c r="F44" s="20" t="n">
        <v>0</v>
      </c>
      <c r="G44" s="20" t="n">
        <v>0</v>
      </c>
      <c r="H44" s="20" t="n">
        <v>0</v>
      </c>
      <c r="I44" s="20" t="n">
        <v>0</v>
      </c>
      <c r="J44" s="20" t="n">
        <v>26</v>
      </c>
      <c r="K44" s="20" t="n">
        <v>1</v>
      </c>
      <c r="L44" s="20" t="n">
        <v>1242</v>
      </c>
      <c r="M44" s="20" t="n">
        <v>15</v>
      </c>
      <c r="N44" s="20" t="n">
        <v>2</v>
      </c>
      <c r="O44" s="19" t="n">
        <v>2249</v>
      </c>
      <c r="P44" s="20" t="n">
        <v>57</v>
      </c>
      <c r="Q44" s="20" t="n">
        <v>395</v>
      </c>
      <c r="R44" s="20" t="n">
        <v>127</v>
      </c>
      <c r="S44" s="20" t="n">
        <v>296</v>
      </c>
      <c r="T44" s="20" t="n">
        <v>0</v>
      </c>
      <c r="U44" s="20" t="n">
        <v>16</v>
      </c>
      <c r="V44" s="20" t="n">
        <v>50</v>
      </c>
      <c r="W44" s="20" t="n">
        <v>0</v>
      </c>
      <c r="X44" s="20" t="n">
        <v>1269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10</v>
      </c>
      <c r="D46" s="20" t="n">
        <v>443</v>
      </c>
      <c r="E46" s="20" t="n">
        <v>0</v>
      </c>
      <c r="F46" s="20" t="n">
        <v>0</v>
      </c>
      <c r="G46" s="20" t="n">
        <v>28</v>
      </c>
      <c r="H46" s="20" t="n">
        <v>1476</v>
      </c>
      <c r="I46" s="20" t="n">
        <v>0</v>
      </c>
      <c r="J46" s="20" t="n">
        <v>7</v>
      </c>
      <c r="K46" s="20" t="n">
        <v>14</v>
      </c>
      <c r="L46" s="20" t="n">
        <v>609</v>
      </c>
      <c r="M46" s="20" t="n">
        <v>0</v>
      </c>
      <c r="N46" s="20" t="n">
        <v>4</v>
      </c>
      <c r="O46" s="19" t="n">
        <v>1215</v>
      </c>
      <c r="P46" s="20" t="n">
        <v>404</v>
      </c>
      <c r="Q46" s="20" t="n">
        <v>794</v>
      </c>
      <c r="R46" s="20" t="n">
        <v>757</v>
      </c>
      <c r="S46" s="20" t="n">
        <v>914</v>
      </c>
      <c r="T46" s="20" t="n">
        <v>382</v>
      </c>
      <c r="U46" s="20" t="n">
        <v>341</v>
      </c>
      <c r="V46" s="20" t="n">
        <v>484</v>
      </c>
      <c r="W46" s="20" t="n">
        <v>1504</v>
      </c>
      <c r="X46" s="20" t="n">
        <v>630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29</v>
      </c>
      <c r="D48" s="20" t="n">
        <v>29</v>
      </c>
      <c r="E48" s="20" t="n">
        <v>201</v>
      </c>
      <c r="F48" s="20" t="n">
        <v>237</v>
      </c>
      <c r="G48" s="20" t="n">
        <v>33</v>
      </c>
      <c r="H48" s="20" t="n">
        <v>52</v>
      </c>
      <c r="I48" s="20" t="n">
        <v>36</v>
      </c>
      <c r="J48" s="20" t="n">
        <v>62</v>
      </c>
      <c r="K48" s="20" t="n">
        <v>51</v>
      </c>
      <c r="L48" s="20" t="n">
        <v>39</v>
      </c>
      <c r="M48" s="20" t="n">
        <v>78</v>
      </c>
      <c r="N48" s="20" t="n">
        <v>71</v>
      </c>
      <c r="O48" s="19" t="n">
        <v>130</v>
      </c>
      <c r="P48" s="20" t="n">
        <v>122</v>
      </c>
      <c r="Q48" s="20" t="n">
        <v>133</v>
      </c>
      <c r="R48" s="20" t="n">
        <v>135</v>
      </c>
      <c r="S48" s="20" t="n">
        <v>162</v>
      </c>
      <c r="T48" s="20" t="n">
        <v>152</v>
      </c>
      <c r="U48" s="20" t="n">
        <v>250</v>
      </c>
      <c r="V48" s="20" t="n">
        <v>117</v>
      </c>
      <c r="W48" s="20" t="n">
        <v>523</v>
      </c>
      <c r="X48" s="20" t="n">
        <v>188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24</v>
      </c>
      <c r="D50" s="20" t="n">
        <v>20</v>
      </c>
      <c r="E50" s="20" t="n">
        <v>16</v>
      </c>
      <c r="F50" s="20" t="n">
        <v>14</v>
      </c>
      <c r="G50" s="20" t="n">
        <v>57</v>
      </c>
      <c r="H50" s="20" t="n">
        <v>22</v>
      </c>
      <c r="I50" s="20" t="n">
        <v>22</v>
      </c>
      <c r="J50" s="20" t="n">
        <v>22</v>
      </c>
      <c r="K50" s="20" t="n">
        <v>26</v>
      </c>
      <c r="L50" s="20" t="n">
        <v>29</v>
      </c>
      <c r="M50" s="20" t="n">
        <v>21</v>
      </c>
      <c r="N50" s="20" t="n">
        <v>17</v>
      </c>
      <c r="O50" s="19" t="n">
        <v>56</v>
      </c>
      <c r="P50" s="20" t="n">
        <v>50</v>
      </c>
      <c r="Q50" s="20" t="n">
        <v>71</v>
      </c>
      <c r="R50" s="20" t="n">
        <v>63</v>
      </c>
      <c r="S50" s="20" t="n">
        <v>212</v>
      </c>
      <c r="T50" s="20" t="n">
        <v>91</v>
      </c>
      <c r="U50" s="20" t="n">
        <v>32</v>
      </c>
      <c r="V50" s="20" t="n">
        <v>65</v>
      </c>
      <c r="W50" s="20" t="n">
        <v>109</v>
      </c>
      <c r="X50" s="20" t="n">
        <v>99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-97</v>
      </c>
      <c r="D52" s="12" t="n">
        <v>-247</v>
      </c>
      <c r="E52" s="12" t="n">
        <v>-223</v>
      </c>
      <c r="F52" s="12" t="n">
        <v>-52</v>
      </c>
      <c r="G52" s="12" t="n">
        <v>-405</v>
      </c>
      <c r="H52" s="12" t="n">
        <v>-1231</v>
      </c>
      <c r="I52" s="12" t="n">
        <v>265</v>
      </c>
      <c r="J52" s="12" t="n">
        <v>404</v>
      </c>
      <c r="K52" s="12" t="n">
        <v>115</v>
      </c>
      <c r="L52" s="12" t="n">
        <v>1086</v>
      </c>
      <c r="M52" s="12" t="n">
        <v>290</v>
      </c>
      <c r="N52" s="12" t="n">
        <v>513</v>
      </c>
      <c r="O52" s="11" t="n">
        <v>2659</v>
      </c>
      <c r="P52" s="12" t="n">
        <v>884</v>
      </c>
      <c r="Q52" s="12" t="n">
        <v>-115</v>
      </c>
      <c r="R52" s="12" t="n">
        <v>68</v>
      </c>
      <c r="S52" s="12" t="n">
        <v>1791</v>
      </c>
      <c r="T52" s="12" t="n">
        <v>778</v>
      </c>
      <c r="U52" s="12" t="n">
        <v>603</v>
      </c>
      <c r="V52" s="12" t="n">
        <v>243</v>
      </c>
      <c r="W52" s="12" t="n">
        <v>-1911</v>
      </c>
      <c r="X52" s="12" t="n">
        <v>1870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2</v>
      </c>
      <c r="D54" s="20" t="n">
        <v>228</v>
      </c>
      <c r="E54" s="20" t="n">
        <v>-37</v>
      </c>
      <c r="F54" s="20" t="n">
        <v>817</v>
      </c>
      <c r="G54" s="20" t="n">
        <v>-110</v>
      </c>
      <c r="H54" s="20" t="n">
        <v>36</v>
      </c>
      <c r="I54" s="20" t="n">
        <v>93</v>
      </c>
      <c r="J54" s="20" t="n">
        <v>-178</v>
      </c>
      <c r="K54" s="20" t="n">
        <v>9</v>
      </c>
      <c r="L54" s="20" t="n">
        <v>709</v>
      </c>
      <c r="M54" s="20" t="n">
        <v>-8</v>
      </c>
      <c r="N54" s="20" t="n">
        <v>154</v>
      </c>
      <c r="O54" s="19" t="n">
        <v>1297</v>
      </c>
      <c r="P54" s="20" t="n">
        <v>495</v>
      </c>
      <c r="Q54" s="20" t="n">
        <v>129</v>
      </c>
      <c r="R54" s="20" t="n">
        <v>289</v>
      </c>
      <c r="S54" s="20" t="n">
        <v>913</v>
      </c>
      <c r="T54" s="20" t="n">
        <v>410</v>
      </c>
      <c r="U54" s="20" t="n">
        <v>397</v>
      </c>
      <c r="V54" s="20" t="n">
        <v>-207</v>
      </c>
      <c r="W54" s="20" t="n">
        <v>706</v>
      </c>
      <c r="X54" s="20" t="n">
        <v>633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-98</v>
      </c>
      <c r="D56" s="12" t="n">
        <v>-475</v>
      </c>
      <c r="E56" s="12" t="n">
        <v>-186</v>
      </c>
      <c r="F56" s="12" t="n">
        <v>-870</v>
      </c>
      <c r="G56" s="12" t="n">
        <v>-295</v>
      </c>
      <c r="H56" s="12" t="n">
        <v>-1266</v>
      </c>
      <c r="I56" s="12" t="n">
        <v>171</v>
      </c>
      <c r="J56" s="12" t="n">
        <v>584</v>
      </c>
      <c r="K56" s="12" t="n">
        <v>105</v>
      </c>
      <c r="L56" s="12" t="n">
        <v>377</v>
      </c>
      <c r="M56" s="12" t="n">
        <v>298</v>
      </c>
      <c r="N56" s="12" t="n">
        <v>359</v>
      </c>
      <c r="O56" s="11" t="n">
        <v>1361</v>
      </c>
      <c r="P56" s="12" t="n">
        <v>389</v>
      </c>
      <c r="Q56" s="12" t="n">
        <v>-245</v>
      </c>
      <c r="R56" s="12" t="n">
        <v>-220</v>
      </c>
      <c r="S56" s="12" t="n">
        <v>878</v>
      </c>
      <c r="T56" s="12" t="n">
        <v>368</v>
      </c>
      <c r="U56" s="12" t="n">
        <v>205</v>
      </c>
      <c r="V56" s="12" t="n">
        <v>451</v>
      </c>
      <c r="W56" s="12" t="n">
        <v>-2617</v>
      </c>
      <c r="X56" s="12" t="n">
        <v>1237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-98</v>
      </c>
      <c r="D58" s="12" t="n">
        <v>-475</v>
      </c>
      <c r="E58" s="12" t="n">
        <v>-186</v>
      </c>
      <c r="F58" s="12" t="n">
        <v>-870</v>
      </c>
      <c r="G58" s="12" t="n">
        <v>-295</v>
      </c>
      <c r="H58" s="12" t="n">
        <v>-1266</v>
      </c>
      <c r="I58" s="12" t="n">
        <v>171</v>
      </c>
      <c r="J58" s="12" t="n">
        <v>584</v>
      </c>
      <c r="K58" s="12" t="n">
        <v>105</v>
      </c>
      <c r="L58" s="12" t="n">
        <v>377</v>
      </c>
      <c r="M58" s="12" t="n">
        <v>298</v>
      </c>
      <c r="N58" s="12" t="n">
        <v>359</v>
      </c>
      <c r="O58" s="11" t="n">
        <v>1361</v>
      </c>
      <c r="P58" s="12" t="n">
        <v>389</v>
      </c>
      <c r="Q58" s="12" t="n">
        <v>-245</v>
      </c>
      <c r="R58" s="12" t="n">
        <v>-220</v>
      </c>
      <c r="S58" s="12" t="n">
        <v>878</v>
      </c>
      <c r="T58" s="12" t="n">
        <v>368</v>
      </c>
      <c r="U58" s="12" t="n">
        <v>205</v>
      </c>
      <c r="V58" s="12" t="n">
        <v>451</v>
      </c>
      <c r="W58" s="12" t="n">
        <v>-2617</v>
      </c>
      <c r="X58" s="12" t="n">
        <v>1237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1144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10960825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25272</v>
      </c>
      <c r="D93" s="12" t="n">
        <v>25969</v>
      </c>
      <c r="E93" s="12" t="n">
        <v>24969</v>
      </c>
      <c r="F93" s="12" t="n">
        <v>25989</v>
      </c>
      <c r="G93" s="12" t="n">
        <v>24927</v>
      </c>
      <c r="H93" s="12" t="n">
        <v>26673</v>
      </c>
      <c r="I93" s="12" t="n">
        <v>26063</v>
      </c>
      <c r="J93" s="12" t="n">
        <v>27020</v>
      </c>
      <c r="K93" s="12" t="n">
        <v>25554</v>
      </c>
      <c r="L93" s="12" t="n">
        <v>26768</v>
      </c>
      <c r="M93" s="12" t="n">
        <v>24871</v>
      </c>
      <c r="N93" s="12" t="n">
        <v>25073</v>
      </c>
      <c r="T93" s="12" t="n">
        <v>28891</v>
      </c>
      <c r="U93" s="12" t="n">
        <v>25611</v>
      </c>
      <c r="V93" s="12" t="n">
        <v>25969</v>
      </c>
      <c r="W93" s="12" t="n">
        <v>26673</v>
      </c>
      <c r="X93" s="12" t="n">
        <v>26768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18489</v>
      </c>
      <c r="D95" s="20" t="n">
        <v>18681</v>
      </c>
      <c r="E95" s="20" t="n">
        <v>18233</v>
      </c>
      <c r="F95" s="20" t="n">
        <v>18662</v>
      </c>
      <c r="G95" s="20" t="n">
        <v>18157</v>
      </c>
      <c r="H95" s="20" t="n">
        <v>18911</v>
      </c>
      <c r="I95" s="20" t="n">
        <v>18886</v>
      </c>
      <c r="J95" s="20" t="n">
        <v>19360</v>
      </c>
      <c r="K95" s="20" t="n">
        <v>18522</v>
      </c>
      <c r="L95" s="20" t="n">
        <v>19003</v>
      </c>
      <c r="M95" s="20" t="n">
        <v>18056</v>
      </c>
      <c r="N95" s="20" t="n">
        <v>17708</v>
      </c>
      <c r="T95" s="20" t="n">
        <v>20439</v>
      </c>
      <c r="U95" s="20" t="n">
        <v>18307</v>
      </c>
      <c r="V95" s="20" t="n">
        <v>18681</v>
      </c>
      <c r="W95" s="20" t="n">
        <v>18911</v>
      </c>
      <c r="X95" s="20" t="n">
        <v>19003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6783</v>
      </c>
      <c r="D97" s="12" t="n">
        <v>7289</v>
      </c>
      <c r="E97" s="12" t="n">
        <v>6735</v>
      </c>
      <c r="F97" s="12" t="n">
        <v>7327</v>
      </c>
      <c r="G97" s="12" t="n">
        <v>6770</v>
      </c>
      <c r="H97" s="12" t="n">
        <v>7763</v>
      </c>
      <c r="I97" s="12" t="n">
        <v>7176</v>
      </c>
      <c r="J97" s="12" t="n">
        <v>7660</v>
      </c>
      <c r="K97" s="12" t="n">
        <v>7032</v>
      </c>
      <c r="L97" s="12" t="n">
        <v>7766</v>
      </c>
      <c r="M97" s="12" t="n">
        <v>6815</v>
      </c>
      <c r="N97" s="12" t="n">
        <v>7365</v>
      </c>
      <c r="T97" s="12" t="n">
        <v>8452</v>
      </c>
      <c r="U97" s="12" t="n">
        <v>7303</v>
      </c>
      <c r="V97" s="12" t="n">
        <v>7289</v>
      </c>
      <c r="W97" s="12" t="n">
        <v>7763</v>
      </c>
      <c r="X97" s="12" t="n">
        <v>7766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급여</t>
        </is>
      </c>
      <c r="C99" s="20" t="n">
        <v>2833</v>
      </c>
      <c r="E99" s="20" t="n">
        <v>2854</v>
      </c>
      <c r="F99" s="20" t="n">
        <v>2903</v>
      </c>
      <c r="G99" s="20" t="n">
        <v>2877</v>
      </c>
      <c r="I99" s="20" t="n">
        <v>2906</v>
      </c>
      <c r="J99" s="20" t="n">
        <v>2926</v>
      </c>
      <c r="K99" s="20" t="n">
        <v>2879</v>
      </c>
      <c r="M99" s="20" t="n">
        <v>2798</v>
      </c>
      <c r="N99" s="20" t="n">
        <v>2816</v>
      </c>
    </row>
    <row r="100">
      <c r="A100" s="18" t="inlineStr">
        <is>
          <t>상여충당금 전입</t>
        </is>
      </c>
      <c r="C100" s="20" t="n">
        <v>290</v>
      </c>
      <c r="D100" s="20" t="n">
        <v>-290</v>
      </c>
      <c r="E100" s="20" t="n">
        <v>267</v>
      </c>
      <c r="F100" s="20" t="n">
        <v>49</v>
      </c>
      <c r="G100" s="20" t="n">
        <v>226</v>
      </c>
      <c r="H100" s="20" t="n">
        <v>-245</v>
      </c>
      <c r="I100" s="20" t="n">
        <v>235</v>
      </c>
      <c r="J100" s="20" t="n">
        <v>61</v>
      </c>
      <c r="K100" s="20" t="n">
        <v>274</v>
      </c>
      <c r="L100" s="20" t="n">
        <v>-312</v>
      </c>
      <c r="M100" s="20" t="n">
        <v>251</v>
      </c>
      <c r="N100" s="20" t="n">
        <v>14</v>
      </c>
      <c r="T100" s="20" t="n">
        <v>-297</v>
      </c>
      <c r="U100" s="20" t="n">
        <v>-295</v>
      </c>
      <c r="V100" s="20" t="n">
        <v>-290</v>
      </c>
      <c r="W100" s="20" t="n">
        <v>-245</v>
      </c>
      <c r="X100" s="20" t="n">
        <v>-312</v>
      </c>
    </row>
    <row r="101">
      <c r="A101" s="18" t="inlineStr">
        <is>
          <t>포인트 충당금 전입</t>
        </is>
      </c>
      <c r="T101" s="20" t="n">
        <v>-4</v>
      </c>
      <c r="U101" s="20" t="n">
        <v>0</v>
      </c>
    </row>
    <row r="102">
      <c r="A102" s="18" t="inlineStr">
        <is>
          <t>퇴직급여비용</t>
        </is>
      </c>
      <c r="C102" s="20" t="n">
        <v>29</v>
      </c>
      <c r="D102" s="20" t="n">
        <v>28</v>
      </c>
      <c r="E102" s="20" t="n">
        <v>45</v>
      </c>
      <c r="F102" s="20" t="n">
        <v>16</v>
      </c>
      <c r="G102" s="20" t="n">
        <v>25</v>
      </c>
      <c r="H102" s="20" t="n">
        <v>32</v>
      </c>
      <c r="I102" s="20" t="n">
        <v>25</v>
      </c>
      <c r="J102" s="20" t="n">
        <v>35</v>
      </c>
      <c r="K102" s="20" t="n">
        <v>26</v>
      </c>
      <c r="L102" s="20" t="n">
        <v>31</v>
      </c>
      <c r="M102" s="20" t="n">
        <v>24</v>
      </c>
      <c r="N102" s="20" t="n">
        <v>26</v>
      </c>
      <c r="T102" s="20" t="n">
        <v>42</v>
      </c>
      <c r="U102" s="20" t="n">
        <v>48</v>
      </c>
      <c r="V102" s="20" t="n">
        <v>28</v>
      </c>
      <c r="W102" s="20" t="n">
        <v>32</v>
      </c>
      <c r="X102" s="20" t="n">
        <v>31</v>
      </c>
    </row>
    <row r="103">
      <c r="A103" s="18" t="inlineStr">
        <is>
          <t>감가상각비</t>
        </is>
      </c>
      <c r="C103" s="20" t="n">
        <v>817</v>
      </c>
      <c r="D103" s="20" t="n">
        <v>841</v>
      </c>
      <c r="E103" s="20" t="n">
        <v>757</v>
      </c>
      <c r="F103" s="20" t="n">
        <v>786</v>
      </c>
      <c r="G103" s="20" t="n">
        <v>791</v>
      </c>
      <c r="H103" s="20" t="n">
        <v>874</v>
      </c>
      <c r="I103" s="20" t="n">
        <v>747</v>
      </c>
      <c r="J103" s="20" t="n">
        <v>779</v>
      </c>
      <c r="K103" s="20" t="n">
        <v>774</v>
      </c>
      <c r="L103" s="20" t="n">
        <v>806</v>
      </c>
      <c r="M103" s="20" t="n">
        <v>638</v>
      </c>
      <c r="N103" s="20" t="n">
        <v>701</v>
      </c>
      <c r="T103" s="20" t="n">
        <v>749</v>
      </c>
      <c r="U103" s="20" t="n">
        <v>784</v>
      </c>
      <c r="V103" s="20" t="n">
        <v>841</v>
      </c>
      <c r="W103" s="20" t="n">
        <v>874</v>
      </c>
      <c r="X103" s="20" t="n">
        <v>806</v>
      </c>
    </row>
    <row r="104">
      <c r="A104" s="18" t="inlineStr">
        <is>
          <t>기타</t>
        </is>
      </c>
      <c r="C104" s="20" t="n">
        <v>2904</v>
      </c>
      <c r="D104" s="20" t="n">
        <v>-6553</v>
      </c>
      <c r="E104" s="20" t="n">
        <v>3220</v>
      </c>
      <c r="F104" s="20" t="n">
        <v>3847</v>
      </c>
      <c r="G104" s="20" t="n">
        <v>3204</v>
      </c>
      <c r="H104" s="20" t="n">
        <v>-7041</v>
      </c>
      <c r="I104" s="20" t="n">
        <v>3011</v>
      </c>
      <c r="J104" s="20" t="n">
        <v>3515</v>
      </c>
      <c r="K104" s="20" t="n">
        <v>2973</v>
      </c>
      <c r="L104" s="20" t="n">
        <v>-6458</v>
      </c>
      <c r="M104" s="20" t="n">
        <v>2884</v>
      </c>
      <c r="N104" s="20" t="n">
        <v>3345</v>
      </c>
      <c r="T104" s="20" t="n">
        <v>-8512</v>
      </c>
      <c r="U104" s="20" t="n">
        <v>-6235</v>
      </c>
      <c r="V104" s="20" t="n">
        <v>-6553</v>
      </c>
      <c r="W104" s="20" t="n">
        <v>-7041</v>
      </c>
      <c r="X104" s="20" t="n">
        <v>-6458</v>
      </c>
    </row>
    <row r="105">
      <c r="A105" s="18" t="inlineStr">
        <is>
          <t>판매비와 관리비 합계</t>
        </is>
      </c>
      <c r="C105" s="20" t="n">
        <v>6873</v>
      </c>
      <c r="D105" s="20" t="n">
        <v>7105</v>
      </c>
      <c r="E105" s="20" t="n">
        <v>7144</v>
      </c>
      <c r="F105" s="20" t="n">
        <v>7601</v>
      </c>
      <c r="G105" s="20" t="n">
        <v>7124</v>
      </c>
      <c r="H105" s="20" t="n">
        <v>7547</v>
      </c>
      <c r="I105" s="20" t="n">
        <v>6926</v>
      </c>
      <c r="J105" s="20" t="n">
        <v>7315</v>
      </c>
      <c r="K105" s="20" t="n">
        <v>6927</v>
      </c>
      <c r="L105" s="20" t="n">
        <v>7323</v>
      </c>
      <c r="M105" s="20" t="n">
        <v>6597</v>
      </c>
      <c r="N105" s="20" t="n">
        <v>6903</v>
      </c>
      <c r="T105" s="20" t="n">
        <v>7963</v>
      </c>
      <c r="U105" s="20" t="n">
        <v>7247</v>
      </c>
      <c r="V105" s="20" t="n">
        <v>7105</v>
      </c>
      <c r="W105" s="20" t="n">
        <v>7547</v>
      </c>
      <c r="X105" s="20" t="n">
        <v>7323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-91</v>
      </c>
      <c r="D107" s="12" t="n">
        <v>184</v>
      </c>
      <c r="E107" s="12" t="n">
        <v>-408</v>
      </c>
      <c r="F107" s="12" t="n">
        <v>-274</v>
      </c>
      <c r="G107" s="12" t="n">
        <v>-354</v>
      </c>
      <c r="H107" s="12" t="n">
        <v>215</v>
      </c>
      <c r="I107" s="12" t="n">
        <v>249</v>
      </c>
      <c r="J107" s="12" t="n">
        <v>346</v>
      </c>
      <c r="K107" s="12" t="n">
        <v>104</v>
      </c>
      <c r="L107" s="12" t="n">
        <v>443</v>
      </c>
      <c r="M107" s="12" t="n">
        <v>217</v>
      </c>
      <c r="N107" s="12" t="n">
        <v>463</v>
      </c>
      <c r="T107" s="12" t="n">
        <v>489</v>
      </c>
      <c r="U107" s="12" t="n">
        <v>55</v>
      </c>
      <c r="V107" s="12" t="n">
        <v>184</v>
      </c>
      <c r="W107" s="12" t="n">
        <v>215</v>
      </c>
      <c r="X107" s="12" t="n">
        <v>443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IF(OR(C107="",C93=""),"",IF(C93&lt;=0,"",IFERROR(C107/C93,"")))</f>
        <v/>
      </c>
      <c r="D108" s="15">
        <f>IF(OR(D107="",D93=""),"",IF(D93&lt;=0,"",IFERROR(D107/D93,"")))</f>
        <v/>
      </c>
      <c r="E108" s="15">
        <f>IF(OR(E107="",E93=""),"",IF(E93&lt;=0,"",IFERROR(E107/E93,"")))</f>
        <v/>
      </c>
      <c r="F108" s="15">
        <f>IF(OR(F107="",F93=""),"",IF(F93&lt;=0,"",IFERROR(F107/F93,"")))</f>
        <v/>
      </c>
      <c r="G108" s="15">
        <f>IF(OR(G107="",G93=""),"",IF(G93&lt;=0,"",IFERROR(G107/G93,"")))</f>
        <v/>
      </c>
      <c r="H108" s="15">
        <f>IF(OR(H107="",H93=""),"",IF(H93&lt;=0,"",IFERROR(H107/H93,"")))</f>
        <v/>
      </c>
      <c r="I108" s="15">
        <f>IF(OR(I107="",I93=""),"",IF(I93&lt;=0,"",IFERROR(I107/I93,"")))</f>
        <v/>
      </c>
      <c r="J108" s="15">
        <f>IF(OR(J107="",J93=""),"",IF(J93&lt;=0,"",IFERROR(J107/J93,"")))</f>
        <v/>
      </c>
      <c r="K108" s="15">
        <f>IF(OR(K107="",K93=""),"",IF(K93&lt;=0,"",IFERROR(K107/K93,"")))</f>
        <v/>
      </c>
      <c r="L108" s="15">
        <f>IF(OR(L107="",L93=""),"",IF(L93&lt;=0,"",IFERROR(L107/L93,"")))</f>
        <v/>
      </c>
      <c r="M108" s="15">
        <f>IF(OR(M107="",M93=""),"",IF(M93&lt;=0,"",IFERROR(M107/M93,"")))</f>
        <v/>
      </c>
      <c r="N108" s="15">
        <f>IF(OR(N107="",N93=""),"",IF(N93&lt;=0,"",IFERROR(N107/N93,"")))</f>
        <v/>
      </c>
      <c r="T108" s="15">
        <f>IF(OR(T107="",T93=""),"",IF(T93&lt;=0,"",IFERROR(T107/T93,"")))</f>
        <v/>
      </c>
      <c r="U108" s="15">
        <f>IF(OR(U107="",U93=""),"",IF(U93&lt;=0,"",IFERROR(U107/U93,"")))</f>
        <v/>
      </c>
      <c r="V108" s="15">
        <f>IF(OR(V107="",V93=""),"",IF(V93&lt;=0,"",IFERROR(V107/V93,"")))</f>
        <v/>
      </c>
      <c r="W108" s="15">
        <f>IF(OR(W107="",W93=""),"",IF(W93&lt;=0,"",IFERROR(W107/W93,"")))</f>
        <v/>
      </c>
      <c r="X108" s="15">
        <f>IF(OR(X107="",X93=""),"",IF(X93&lt;=0,"",IFERROR(X107/X93,"")))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1</v>
      </c>
      <c r="D110" s="20" t="n">
        <v>1</v>
      </c>
      <c r="E110" s="20" t="n">
        <v>0</v>
      </c>
      <c r="F110" s="20" t="n">
        <v>2</v>
      </c>
      <c r="G110" s="20" t="n">
        <v>0</v>
      </c>
      <c r="H110" s="20" t="n">
        <v>3</v>
      </c>
      <c r="I110" s="20" t="n">
        <v>1</v>
      </c>
      <c r="J110" s="20" t="n">
        <v>5</v>
      </c>
      <c r="K110" s="20" t="n">
        <v>1</v>
      </c>
      <c r="L110" s="20" t="n">
        <v>6</v>
      </c>
      <c r="M110" s="20" t="n">
        <v>1</v>
      </c>
      <c r="N110" s="20" t="n">
        <v>7</v>
      </c>
      <c r="T110" s="20" t="n">
        <v>0</v>
      </c>
      <c r="U110" s="20" t="n">
        <v>1</v>
      </c>
      <c r="V110" s="20" t="n">
        <v>1</v>
      </c>
      <c r="W110" s="20" t="n">
        <v>3</v>
      </c>
      <c r="X110" s="20" t="n">
        <v>6</v>
      </c>
    </row>
    <row r="111">
      <c r="A111" s="18" t="inlineStr">
        <is>
          <t>배당금수익</t>
        </is>
      </c>
      <c r="C111" s="20" t="n">
        <v>0</v>
      </c>
      <c r="D111" s="20" t="n">
        <v>4</v>
      </c>
      <c r="E111" s="20" t="n">
        <v>4</v>
      </c>
      <c r="F111" s="20" t="n">
        <v>4</v>
      </c>
      <c r="G111" s="20" t="n">
        <v>1</v>
      </c>
      <c r="H111" s="20" t="n">
        <v>3</v>
      </c>
      <c r="I111" s="20" t="n">
        <v>4</v>
      </c>
      <c r="J111" s="20" t="n">
        <v>5</v>
      </c>
      <c r="K111" s="20" t="n">
        <v>1</v>
      </c>
      <c r="L111" s="20" t="n">
        <v>5</v>
      </c>
      <c r="M111" s="20" t="n">
        <v>26</v>
      </c>
      <c r="N111" s="20" t="n">
        <v>8</v>
      </c>
      <c r="T111" s="20" t="n">
        <v>3</v>
      </c>
      <c r="U111" s="20" t="n">
        <v>4</v>
      </c>
      <c r="V111" s="20" t="n">
        <v>4</v>
      </c>
      <c r="W111" s="20" t="n">
        <v>3</v>
      </c>
      <c r="X111" s="20" t="n">
        <v>5</v>
      </c>
    </row>
    <row r="112">
      <c r="A112" s="18" t="inlineStr">
        <is>
          <t>보조금 수입</t>
        </is>
      </c>
      <c r="C112" s="20" t="n">
        <v>0</v>
      </c>
      <c r="D112" s="20" t="n">
        <v>0</v>
      </c>
      <c r="E112" s="20" t="n">
        <v>150</v>
      </c>
      <c r="F112" s="20" t="n">
        <v>0</v>
      </c>
      <c r="G112" s="20" t="n">
        <v>0</v>
      </c>
      <c r="H112" s="20" t="n">
        <v>0</v>
      </c>
      <c r="K112" s="20" t="n">
        <v>0</v>
      </c>
      <c r="L112" s="20" t="n">
        <v>11</v>
      </c>
      <c r="V112" s="20" t="n">
        <v>0</v>
      </c>
      <c r="W112" s="20" t="n">
        <v>0</v>
      </c>
      <c r="X112" s="20" t="n">
        <v>11</v>
      </c>
    </row>
    <row r="113">
      <c r="A113" s="18" t="inlineStr">
        <is>
          <t>데이터 제공료</t>
        </is>
      </c>
      <c r="C113" s="20" t="n">
        <v>6</v>
      </c>
      <c r="E113" s="20" t="n">
        <v>6</v>
      </c>
      <c r="F113" s="20" t="n">
        <v>7</v>
      </c>
      <c r="G113" s="20" t="n">
        <v>6</v>
      </c>
      <c r="I113" s="20" t="n">
        <v>6</v>
      </c>
      <c r="J113" s="20" t="n">
        <v>8</v>
      </c>
      <c r="K113" s="20" t="n">
        <v>7</v>
      </c>
      <c r="M113" s="20" t="n">
        <v>6</v>
      </c>
      <c r="N113" s="20" t="n">
        <v>6</v>
      </c>
    </row>
    <row r="114">
      <c r="A114" s="18" t="inlineStr">
        <is>
          <t>지원금 수입</t>
        </is>
      </c>
      <c r="G114" s="20" t="n">
        <v>0</v>
      </c>
      <c r="H114" s="20" t="n">
        <v>74</v>
      </c>
      <c r="I114" s="20" t="n">
        <v>17</v>
      </c>
      <c r="J114" s="20" t="n">
        <v>16</v>
      </c>
      <c r="K114" s="20" t="n">
        <v>15</v>
      </c>
      <c r="L114" s="20" t="n">
        <v>17</v>
      </c>
      <c r="M114" s="20" t="n">
        <v>16</v>
      </c>
      <c r="N114" s="20" t="n">
        <v>16</v>
      </c>
      <c r="W114" s="20" t="n">
        <v>74</v>
      </c>
      <c r="X114" s="20" t="n">
        <v>17</v>
      </c>
    </row>
    <row r="115">
      <c r="A115" s="18" t="inlineStr">
        <is>
          <t>전자화폐 미사용 이익</t>
        </is>
      </c>
      <c r="C115" s="20" t="n">
        <v>0</v>
      </c>
      <c r="D115" s="20" t="n">
        <v>0</v>
      </c>
      <c r="G115" s="20" t="n">
        <v>-1</v>
      </c>
      <c r="H115" s="20" t="n">
        <v>-1</v>
      </c>
      <c r="K115" s="20" t="n">
        <v>0</v>
      </c>
      <c r="L115" s="20" t="n">
        <v>0</v>
      </c>
      <c r="V115" s="20" t="n">
        <v>0</v>
      </c>
      <c r="W115" s="20" t="n">
        <v>-1</v>
      </c>
      <c r="X115" s="20" t="n">
        <v>0</v>
      </c>
    </row>
    <row r="116">
      <c r="A116" s="18" t="inlineStr">
        <is>
          <t>기타</t>
        </is>
      </c>
      <c r="C116" s="20" t="n">
        <v>21</v>
      </c>
      <c r="D116" s="20" t="n">
        <v>10</v>
      </c>
      <c r="E116" s="20" t="n">
        <v>39</v>
      </c>
      <c r="F116" s="20" t="n">
        <v>44</v>
      </c>
      <c r="G116" s="20" t="n">
        <v>27</v>
      </c>
      <c r="H116" s="20" t="n">
        <v>-42</v>
      </c>
      <c r="I116" s="20" t="n">
        <v>7</v>
      </c>
      <c r="J116" s="20" t="n">
        <v>27</v>
      </c>
      <c r="K116" s="20" t="n">
        <v>26</v>
      </c>
      <c r="L116" s="20" t="n">
        <v>-14</v>
      </c>
      <c r="M116" s="20" t="n">
        <v>28</v>
      </c>
      <c r="N116" s="20" t="n">
        <v>33</v>
      </c>
      <c r="T116" s="20" t="n">
        <v>18</v>
      </c>
      <c r="U116" s="20" t="n">
        <v>147</v>
      </c>
      <c r="V116" s="20" t="n">
        <v>10</v>
      </c>
      <c r="W116" s="20" t="n">
        <v>-42</v>
      </c>
      <c r="X116" s="20" t="n">
        <v>-14</v>
      </c>
    </row>
    <row r="117">
      <c r="A117" s="18" t="inlineStr">
        <is>
          <t>영업외수익 합계</t>
        </is>
      </c>
      <c r="C117" s="20" t="n">
        <v>29</v>
      </c>
      <c r="D117" s="20" t="n">
        <v>29</v>
      </c>
      <c r="E117" s="20" t="n">
        <v>201</v>
      </c>
      <c r="F117" s="20" t="n">
        <v>237</v>
      </c>
      <c r="G117" s="20" t="n">
        <v>33</v>
      </c>
      <c r="H117" s="20" t="n">
        <v>52</v>
      </c>
      <c r="I117" s="20" t="n">
        <v>36</v>
      </c>
      <c r="J117" s="20" t="n">
        <v>62</v>
      </c>
      <c r="K117" s="20" t="n">
        <v>51</v>
      </c>
      <c r="L117" s="20" t="n">
        <v>39</v>
      </c>
      <c r="M117" s="20" t="n">
        <v>78</v>
      </c>
      <c r="N117" s="20" t="n">
        <v>71</v>
      </c>
      <c r="T117" s="20" t="n">
        <v>80</v>
      </c>
      <c r="U117" s="20" t="n">
        <v>168</v>
      </c>
      <c r="V117" s="20" t="n">
        <v>29</v>
      </c>
      <c r="W117" s="20" t="n">
        <v>52</v>
      </c>
      <c r="X117" s="20" t="n">
        <v>39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18" t="inlineStr">
        <is>
          <t>이자비용</t>
        </is>
      </c>
      <c r="C119" s="20" t="n">
        <v>10</v>
      </c>
      <c r="D119" s="20" t="n">
        <v>9</v>
      </c>
      <c r="E119" s="20" t="n">
        <v>12</v>
      </c>
      <c r="F119" s="20" t="n">
        <v>13</v>
      </c>
      <c r="G119" s="20" t="n">
        <v>15</v>
      </c>
      <c r="H119" s="20" t="n">
        <v>18</v>
      </c>
      <c r="I119" s="20" t="n">
        <v>19</v>
      </c>
      <c r="J119" s="20" t="n">
        <v>17</v>
      </c>
      <c r="K119" s="20" t="n">
        <v>17</v>
      </c>
      <c r="L119" s="20" t="n">
        <v>14</v>
      </c>
      <c r="M119" s="20" t="n">
        <v>17</v>
      </c>
      <c r="N119" s="20" t="n">
        <v>15</v>
      </c>
      <c r="T119" s="20" t="n">
        <v>3</v>
      </c>
      <c r="U119" s="20" t="n">
        <v>5</v>
      </c>
      <c r="V119" s="20" t="n">
        <v>9</v>
      </c>
      <c r="W119" s="20" t="n">
        <v>18</v>
      </c>
      <c r="X119" s="20" t="n">
        <v>14</v>
      </c>
    </row>
    <row r="120">
      <c r="A120" s="18" t="inlineStr">
        <is>
          <t>대손충당금 전입</t>
        </is>
      </c>
      <c r="T120" s="20" t="n">
        <v>0</v>
      </c>
      <c r="U120" s="20" t="n">
        <v>0</v>
      </c>
    </row>
    <row r="121">
      <c r="A121" s="18" t="inlineStr">
        <is>
          <t>위약금</t>
        </is>
      </c>
      <c r="D121" s="20" t="n">
        <v>7</v>
      </c>
      <c r="H121" s="20" t="n">
        <v>0</v>
      </c>
      <c r="U121" s="20" t="n">
        <v>0</v>
      </c>
      <c r="V121" s="20" t="n">
        <v>7</v>
      </c>
      <c r="W121" s="20" t="n">
        <v>0</v>
      </c>
    </row>
    <row r="122">
      <c r="A122" s="18" t="inlineStr">
        <is>
          <t>손해배상금</t>
        </is>
      </c>
      <c r="D122" s="20" t="n">
        <v>0</v>
      </c>
      <c r="H122" s="20" t="n">
        <v>2</v>
      </c>
      <c r="L122" s="20" t="n">
        <v>0</v>
      </c>
      <c r="V122" s="20" t="n">
        <v>0</v>
      </c>
      <c r="W122" s="20" t="n">
        <v>2</v>
      </c>
      <c r="X122" s="20" t="n">
        <v>0</v>
      </c>
    </row>
    <row r="123">
      <c r="A123" s="18" t="inlineStr">
        <is>
          <t>기타</t>
        </is>
      </c>
      <c r="C123" s="20" t="n">
        <v>3</v>
      </c>
      <c r="D123" s="20" t="n">
        <v>3</v>
      </c>
      <c r="E123" s="20" t="n">
        <v>3</v>
      </c>
      <c r="F123" s="20" t="n">
        <v>2</v>
      </c>
      <c r="G123" s="20" t="n">
        <v>11</v>
      </c>
      <c r="H123" s="20" t="n">
        <v>2</v>
      </c>
      <c r="I123" s="20" t="n">
        <v>2</v>
      </c>
      <c r="J123" s="20" t="n">
        <v>5</v>
      </c>
      <c r="K123" s="20" t="n">
        <v>10</v>
      </c>
      <c r="L123" s="20" t="n">
        <v>14</v>
      </c>
      <c r="M123" s="20" t="n">
        <v>4</v>
      </c>
      <c r="N123" s="20" t="n">
        <v>2</v>
      </c>
      <c r="T123" s="20" t="n">
        <v>8</v>
      </c>
      <c r="U123" s="20" t="n">
        <v>14</v>
      </c>
      <c r="V123" s="20" t="n">
        <v>3</v>
      </c>
      <c r="W123" s="20" t="n">
        <v>2</v>
      </c>
      <c r="X123" s="20" t="n">
        <v>14</v>
      </c>
    </row>
    <row r="124">
      <c r="A124" s="18" t="inlineStr">
        <is>
          <t>영업외비용 합계</t>
        </is>
      </c>
      <c r="C124" s="20" t="n">
        <v>24</v>
      </c>
      <c r="D124" s="20" t="n">
        <v>20</v>
      </c>
      <c r="E124" s="20" t="n">
        <v>16</v>
      </c>
      <c r="F124" s="20" t="n">
        <v>14</v>
      </c>
      <c r="G124" s="20" t="n">
        <v>57</v>
      </c>
      <c r="H124" s="20" t="n">
        <v>22</v>
      </c>
      <c r="I124" s="20" t="n">
        <v>22</v>
      </c>
      <c r="J124" s="20" t="n">
        <v>22</v>
      </c>
      <c r="K124" s="20" t="n">
        <v>26</v>
      </c>
      <c r="L124" s="20" t="n">
        <v>29</v>
      </c>
      <c r="M124" s="20" t="n">
        <v>21</v>
      </c>
      <c r="N124" s="20" t="n">
        <v>17</v>
      </c>
      <c r="T124" s="20" t="n">
        <v>64</v>
      </c>
      <c r="U124" s="20" t="n">
        <v>20</v>
      </c>
      <c r="V124" s="20" t="n">
        <v>20</v>
      </c>
      <c r="W124" s="20" t="n">
        <v>22</v>
      </c>
      <c r="X124" s="20" t="n">
        <v>29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경상이익</t>
        </is>
      </c>
      <c r="C126" s="12" t="n">
        <v>-86</v>
      </c>
      <c r="D126" s="12" t="n">
        <v>193</v>
      </c>
      <c r="E126" s="12" t="n">
        <v>-223</v>
      </c>
      <c r="F126" s="12" t="n">
        <v>-52</v>
      </c>
      <c r="G126" s="12" t="n">
        <v>-377</v>
      </c>
      <c r="H126" s="12" t="n">
        <v>245</v>
      </c>
      <c r="I126" s="12" t="n">
        <v>264</v>
      </c>
      <c r="J126" s="12" t="n">
        <v>386</v>
      </c>
      <c r="K126" s="12" t="n">
        <v>128</v>
      </c>
      <c r="L126" s="12" t="n">
        <v>453</v>
      </c>
      <c r="M126" s="12" t="n">
        <v>274</v>
      </c>
      <c r="N126" s="12" t="n">
        <v>516</v>
      </c>
      <c r="T126" s="12" t="n">
        <v>506</v>
      </c>
      <c r="U126" s="12" t="n">
        <v>203</v>
      </c>
      <c r="V126" s="12" t="n">
        <v>193</v>
      </c>
      <c r="W126" s="12" t="n">
        <v>245</v>
      </c>
      <c r="X126" s="12" t="n">
        <v>453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고정자산 매각이익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0</v>
      </c>
      <c r="I128" s="20" t="n">
        <v>0</v>
      </c>
      <c r="J128" s="20" t="n">
        <v>0</v>
      </c>
      <c r="K128" s="20" t="n">
        <v>0</v>
      </c>
      <c r="L128" s="20" t="n">
        <v>1</v>
      </c>
      <c r="M128" s="20" t="n">
        <v>15</v>
      </c>
      <c r="N128" s="20" t="n">
        <v>2</v>
      </c>
      <c r="T128" s="20" t="n">
        <v>0</v>
      </c>
      <c r="U128" s="20" t="n">
        <v>8</v>
      </c>
      <c r="V128" s="20" t="n">
        <v>0</v>
      </c>
      <c r="W128" s="20" t="n">
        <v>0</v>
      </c>
      <c r="X128" s="20" t="n">
        <v>1</v>
      </c>
    </row>
    <row r="129">
      <c r="A129" s="18" t="inlineStr">
        <is>
          <t>자회사 청산이익</t>
        </is>
      </c>
      <c r="G129" s="20" t="n">
        <v>0</v>
      </c>
      <c r="H129" s="20" t="n">
        <v>0</v>
      </c>
      <c r="K129" s="20" t="n">
        <v>0</v>
      </c>
      <c r="L129" s="20" t="n">
        <v>0</v>
      </c>
      <c r="W129" s="20" t="n">
        <v>0</v>
      </c>
      <c r="X129" s="20" t="n">
        <v>0</v>
      </c>
    </row>
    <row r="130">
      <c r="A130" s="18" t="inlineStr">
        <is>
          <t>특별이익 합계</t>
        </is>
      </c>
      <c r="C130" s="20" t="n">
        <v>0</v>
      </c>
      <c r="D130" s="20" t="n">
        <v>3</v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26</v>
      </c>
      <c r="K130" s="20" t="n">
        <v>1</v>
      </c>
      <c r="L130" s="20" t="n">
        <v>1242</v>
      </c>
      <c r="M130" s="20" t="n">
        <v>15</v>
      </c>
      <c r="N130" s="20" t="n">
        <v>2</v>
      </c>
      <c r="T130" s="20" t="n">
        <v>0</v>
      </c>
      <c r="U130" s="20" t="n">
        <v>8</v>
      </c>
      <c r="V130" s="20" t="n">
        <v>3</v>
      </c>
      <c r="W130" s="20" t="n">
        <v>0</v>
      </c>
      <c r="X130" s="20" t="n">
        <v>1242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IF(OR(G130="",C130=""),"",IF(G130*C130&lt;=0,"",IFERROR(G130/C130-1,"")))</f>
        <v/>
      </c>
      <c r="H131" s="15">
        <f>IF(OR(H130="",D130=""),"",IF(H130*D130&lt;=0,"",IFERROR(H130/D130-1,"")))</f>
        <v/>
      </c>
      <c r="I131" s="15">
        <f>IF(OR(I130="",E130=""),"",IF(I130*E130&lt;=0,"",IFERROR(I130/E130-1,"")))</f>
        <v/>
      </c>
      <c r="J131" s="15">
        <f>IF(OR(J130="",F130=""),"",IF(J130*F130&lt;=0,"",IFERROR(J130/F130-1,"")))</f>
        <v/>
      </c>
      <c r="K131" s="15">
        <f>IF(OR(K130="",G130=""),"",IF(K130*G130&lt;=0,"",IFERROR(K130/G130-1,"")))</f>
        <v/>
      </c>
      <c r="L131" s="15">
        <f>IF(OR(L130="",H130=""),"",IF(L130*H130&lt;=0,"",IFERROR(L130/H130-1,"")))</f>
        <v/>
      </c>
      <c r="M131" s="15">
        <f>IF(OR(M130="",I130=""),"",IF(M130*I130&lt;=0,"",IFERROR(M130/I130-1,"")))</f>
        <v/>
      </c>
      <c r="N131" s="15">
        <f>IF(OR(N130="",J130=""),"",IF(N130*J130&lt;=0,"",IFERROR(N130/J130-1,"")))</f>
        <v/>
      </c>
      <c r="T131" s="15">
        <f>IF(OR(T130="",S130=""),"",IF(T130*S130&lt;=0,"",IFERROR(T130/S130-1,"")))</f>
        <v/>
      </c>
      <c r="U131" s="15">
        <f>IF(OR(U130="",T130=""),"",IF(U130*T130&lt;=0,"",IFERROR(U130/T130-1,"")))</f>
        <v/>
      </c>
      <c r="V131" s="15">
        <f>IF(OR(V130="",U130=""),"",IF(V130*U130&lt;=0,"",IFERROR(V130/U130-1,"")))</f>
        <v/>
      </c>
      <c r="W131" s="15">
        <f>IF(OR(W130="",V130=""),"",IF(W130*V130&lt;=0,"",IFERROR(W130/V130-1,"")))</f>
        <v/>
      </c>
      <c r="X131" s="15">
        <f>IF(OR(X130="",W130=""),"",IF(X130*W130&lt;=0,"",IFERROR(X130/W130-1,"")))</f>
        <v/>
      </c>
    </row>
    <row r="132">
      <c r="A132" s="18" t="inlineStr">
        <is>
          <t>고정자산 매각손실</t>
        </is>
      </c>
      <c r="D132" s="20" t="n">
        <v>0</v>
      </c>
      <c r="G132" s="20" t="n">
        <v>0</v>
      </c>
      <c r="H132" s="20" t="n">
        <v>0</v>
      </c>
      <c r="I132" s="20" t="n">
        <v>0</v>
      </c>
      <c r="J132" s="20" t="n">
        <v>0</v>
      </c>
      <c r="K132" s="20" t="n">
        <v>0</v>
      </c>
      <c r="L132" s="20" t="n">
        <v>0</v>
      </c>
      <c r="M132" s="20" t="n">
        <v>0</v>
      </c>
      <c r="N132" s="20" t="n">
        <v>0</v>
      </c>
      <c r="T132" s="20" t="n">
        <v>0</v>
      </c>
      <c r="U132" s="20" t="n">
        <v>1</v>
      </c>
      <c r="V132" s="20" t="n">
        <v>0</v>
      </c>
      <c r="W132" s="20" t="n">
        <v>0</v>
      </c>
      <c r="X132" s="20" t="n">
        <v>0</v>
      </c>
    </row>
    <row r="133">
      <c r="A133" s="18" t="inlineStr">
        <is>
          <t>고정자산 제각손실</t>
        </is>
      </c>
      <c r="C133" s="20" t="n">
        <v>10</v>
      </c>
      <c r="D133" s="20" t="n">
        <v>36</v>
      </c>
      <c r="E133" s="20" t="n">
        <v>0</v>
      </c>
      <c r="F133" s="20" t="n">
        <v>0</v>
      </c>
      <c r="G133" s="20" t="n">
        <v>28</v>
      </c>
      <c r="H133" s="20" t="n">
        <v>171</v>
      </c>
      <c r="I133" s="20" t="n">
        <v>0</v>
      </c>
      <c r="J133" s="20" t="n">
        <v>7</v>
      </c>
      <c r="K133" s="20" t="n">
        <v>14</v>
      </c>
      <c r="L133" s="20" t="n">
        <v>48</v>
      </c>
      <c r="M133" s="20" t="n">
        <v>0</v>
      </c>
      <c r="N133" s="20" t="n">
        <v>4</v>
      </c>
      <c r="T133" s="20" t="n">
        <v>18</v>
      </c>
      <c r="U133" s="20" t="n">
        <v>13</v>
      </c>
      <c r="V133" s="20" t="n">
        <v>36</v>
      </c>
      <c r="W133" s="20" t="n">
        <v>171</v>
      </c>
      <c r="X133" s="20" t="n">
        <v>48</v>
      </c>
    </row>
    <row r="134">
      <c r="A134" s="18" t="inlineStr">
        <is>
          <t>손상차손</t>
        </is>
      </c>
      <c r="C134" s="20" t="n">
        <v>0</v>
      </c>
      <c r="D134" s="20" t="n">
        <v>406</v>
      </c>
      <c r="T134" s="20" t="n">
        <v>356</v>
      </c>
      <c r="U134" s="20" t="n">
        <v>207</v>
      </c>
      <c r="V134" s="20" t="n">
        <v>406</v>
      </c>
    </row>
    <row r="135">
      <c r="A135" s="18" t="inlineStr">
        <is>
          <t>투자유가증권 평가손실</t>
        </is>
      </c>
      <c r="T135" s="20" t="n">
        <v>-21</v>
      </c>
      <c r="U135" s="20" t="n">
        <v>0</v>
      </c>
    </row>
    <row r="136">
      <c r="A136" s="18" t="inlineStr">
        <is>
          <t>투자유가증권 매각손실</t>
        </is>
      </c>
      <c r="C136" s="20" t="n">
        <v>0</v>
      </c>
    </row>
    <row r="137">
      <c r="A137" s="18" t="inlineStr">
        <is>
          <t>특별손실 합계</t>
        </is>
      </c>
      <c r="C137" s="20" t="n">
        <v>10</v>
      </c>
      <c r="D137" s="20" t="n">
        <v>443</v>
      </c>
      <c r="E137" s="20" t="n">
        <v>0</v>
      </c>
      <c r="F137" s="20" t="n">
        <v>0</v>
      </c>
      <c r="G137" s="20" t="n">
        <v>28</v>
      </c>
      <c r="H137" s="20" t="n">
        <v>1476</v>
      </c>
      <c r="I137" s="20" t="n">
        <v>0</v>
      </c>
      <c r="J137" s="20" t="n">
        <v>7</v>
      </c>
      <c r="K137" s="20" t="n">
        <v>14</v>
      </c>
      <c r="L137" s="20" t="n">
        <v>609</v>
      </c>
      <c r="M137" s="20" t="n">
        <v>0</v>
      </c>
      <c r="N137" s="20" t="n">
        <v>4</v>
      </c>
      <c r="T137" s="20" t="n">
        <v>353</v>
      </c>
      <c r="U137" s="20" t="n">
        <v>237</v>
      </c>
      <c r="V137" s="20" t="n">
        <v>443</v>
      </c>
      <c r="W137" s="20" t="n">
        <v>1476</v>
      </c>
      <c r="X137" s="20" t="n">
        <v>609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법인세차감전 순이익</t>
        </is>
      </c>
      <c r="C139" s="12" t="n">
        <v>-97</v>
      </c>
      <c r="D139" s="12" t="n">
        <v>-247</v>
      </c>
      <c r="E139" s="12" t="n">
        <v>-223</v>
      </c>
      <c r="F139" s="12" t="n">
        <v>-52</v>
      </c>
      <c r="G139" s="12" t="n">
        <v>-405</v>
      </c>
      <c r="H139" s="12" t="n">
        <v>-1231</v>
      </c>
      <c r="I139" s="12" t="n">
        <v>265</v>
      </c>
      <c r="J139" s="12" t="n">
        <v>404</v>
      </c>
      <c r="K139" s="12" t="n">
        <v>115</v>
      </c>
      <c r="L139" s="12" t="n">
        <v>1086</v>
      </c>
      <c r="M139" s="12" t="n">
        <v>290</v>
      </c>
      <c r="N139" s="12" t="n">
        <v>513</v>
      </c>
      <c r="T139" s="12" t="n">
        <v>152</v>
      </c>
      <c r="U139" s="12" t="n">
        <v>-25</v>
      </c>
      <c r="V139" s="12" t="n">
        <v>-247</v>
      </c>
      <c r="W139" s="12" t="n">
        <v>-1231</v>
      </c>
      <c r="X139" s="12" t="n">
        <v>1086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법인세·주민세·사업세</t>
        </is>
      </c>
      <c r="C141" s="20" t="n">
        <v>38</v>
      </c>
      <c r="D141" s="20" t="n">
        <v>-39</v>
      </c>
      <c r="E141" s="20" t="n">
        <v>33</v>
      </c>
      <c r="F141" s="20" t="n">
        <v>6</v>
      </c>
      <c r="G141" s="20" t="n">
        <v>10</v>
      </c>
      <c r="H141" s="20" t="n">
        <v>25</v>
      </c>
      <c r="I141" s="20" t="n">
        <v>102</v>
      </c>
      <c r="J141" s="20" t="n">
        <v>52</v>
      </c>
      <c r="K141" s="20" t="n">
        <v>83</v>
      </c>
      <c r="L141" s="20" t="n">
        <v>-2</v>
      </c>
      <c r="M141" s="20" t="n">
        <v>86</v>
      </c>
      <c r="N141" s="20" t="n">
        <v>67</v>
      </c>
      <c r="T141" s="20" t="n">
        <v>168</v>
      </c>
      <c r="U141" s="20" t="n">
        <v>137</v>
      </c>
      <c r="V141" s="20" t="n">
        <v>-39</v>
      </c>
      <c r="W141" s="20" t="n">
        <v>25</v>
      </c>
      <c r="X141" s="20" t="n">
        <v>-2</v>
      </c>
    </row>
    <row r="142">
      <c r="A142" s="18" t="inlineStr">
        <is>
          <t>법인세 조정액</t>
        </is>
      </c>
      <c r="C142" s="20" t="n">
        <v>-36</v>
      </c>
      <c r="D142" s="20" t="n">
        <v>267</v>
      </c>
      <c r="E142" s="20" t="n">
        <v>-71</v>
      </c>
      <c r="F142" s="20" t="n">
        <v>812</v>
      </c>
      <c r="G142" s="20" t="n">
        <v>-120</v>
      </c>
      <c r="H142" s="20" t="n">
        <v>10</v>
      </c>
      <c r="I142" s="20" t="n">
        <v>-8</v>
      </c>
      <c r="J142" s="20" t="n">
        <v>-231</v>
      </c>
      <c r="K142" s="20" t="n">
        <v>-74</v>
      </c>
      <c r="L142" s="20" t="n">
        <v>711</v>
      </c>
      <c r="M142" s="20" t="n">
        <v>-94</v>
      </c>
      <c r="N142" s="20" t="n">
        <v>87</v>
      </c>
      <c r="T142" s="20" t="n">
        <v>-10</v>
      </c>
      <c r="U142" s="20" t="n">
        <v>14</v>
      </c>
      <c r="V142" s="20" t="n">
        <v>267</v>
      </c>
      <c r="W142" s="20" t="n">
        <v>10</v>
      </c>
      <c r="X142" s="20" t="n">
        <v>711</v>
      </c>
    </row>
    <row r="143">
      <c r="A143" s="18" t="inlineStr">
        <is>
          <t>법인세 등 합계</t>
        </is>
      </c>
      <c r="C143" s="20" t="n">
        <v>2</v>
      </c>
      <c r="D143" s="20" t="n">
        <v>228</v>
      </c>
      <c r="E143" s="20" t="n">
        <v>-37</v>
      </c>
      <c r="F143" s="20" t="n">
        <v>817</v>
      </c>
      <c r="G143" s="20" t="n">
        <v>-110</v>
      </c>
      <c r="H143" s="20" t="n">
        <v>36</v>
      </c>
      <c r="I143" s="20" t="n">
        <v>93</v>
      </c>
      <c r="J143" s="20" t="n">
        <v>-178</v>
      </c>
      <c r="K143" s="20" t="n">
        <v>9</v>
      </c>
      <c r="L143" s="20" t="n">
        <v>709</v>
      </c>
      <c r="M143" s="20" t="n">
        <v>-8</v>
      </c>
      <c r="N143" s="20" t="n">
        <v>154</v>
      </c>
      <c r="T143" s="20" t="n">
        <v>158</v>
      </c>
      <c r="U143" s="20" t="n">
        <v>151</v>
      </c>
      <c r="V143" s="20" t="n">
        <v>228</v>
      </c>
      <c r="W143" s="20" t="n">
        <v>36</v>
      </c>
      <c r="X143" s="20" t="n">
        <v>709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IF(OR(G143="",C143=""),"",IF(G143*C143&lt;=0,"",IFERROR(G143/C143-1,"")))</f>
        <v/>
      </c>
      <c r="H144" s="15">
        <f>IF(OR(H143="",D143=""),"",IF(H143*D143&lt;=0,"",IFERROR(H143/D143-1,"")))</f>
        <v/>
      </c>
      <c r="I144" s="15">
        <f>IF(OR(I143="",E143=""),"",IF(I143*E143&lt;=0,"",IFERROR(I143/E143-1,"")))</f>
        <v/>
      </c>
      <c r="J144" s="15">
        <f>IF(OR(J143="",F143=""),"",IF(J143*F143&lt;=0,"",IFERROR(J143/F143-1,"")))</f>
        <v/>
      </c>
      <c r="K144" s="15">
        <f>IF(OR(K143="",G143=""),"",IF(K143*G143&lt;=0,"",IFERROR(K143/G143-1,"")))</f>
        <v/>
      </c>
      <c r="L144" s="15">
        <f>IF(OR(L143="",H143=""),"",IF(L143*H143&lt;=0,"",IFERROR(L143/H143-1,"")))</f>
        <v/>
      </c>
      <c r="M144" s="15">
        <f>IF(OR(M143="",I143=""),"",IF(M143*I143&lt;=0,"",IFERROR(M143/I143-1,"")))</f>
        <v/>
      </c>
      <c r="N144" s="15">
        <f>IF(OR(N143="",J143=""),"",IF(N143*J143&lt;=0,"",IFERROR(N143/J143-1,"")))</f>
        <v/>
      </c>
      <c r="T144" s="15">
        <f>IF(OR(T143="",S143=""),"",IF(T143*S143&lt;=0,"",IFERROR(T143/S143-1,"")))</f>
        <v/>
      </c>
      <c r="U144" s="15">
        <f>IF(OR(U143="",T143=""),"",IF(U143*T143&lt;=0,"",IFERROR(U143/T143-1,"")))</f>
        <v/>
      </c>
      <c r="V144" s="15">
        <f>IF(OR(V143="",U143=""),"",IF(V143*U143&lt;=0,"",IFERROR(V143/U143-1,"")))</f>
        <v/>
      </c>
      <c r="W144" s="15">
        <f>IF(OR(W143="",V143=""),"",IF(W143*V143&lt;=0,"",IFERROR(W143/V143-1,"")))</f>
        <v/>
      </c>
      <c r="X144" s="15">
        <f>IF(OR(X143="",W143=""),"",IF(X143*W143&lt;=0,"",IFERROR(X143/W143-1,"")))</f>
        <v/>
      </c>
    </row>
    <row r="145">
      <c r="A145" s="9" t="inlineStr">
        <is>
          <t>순이익</t>
        </is>
      </c>
      <c r="C145" s="12" t="n">
        <v>-98</v>
      </c>
      <c r="D145" s="12" t="n">
        <v>-475</v>
      </c>
      <c r="E145" s="12" t="n">
        <v>-186</v>
      </c>
      <c r="F145" s="12" t="n">
        <v>-870</v>
      </c>
      <c r="G145" s="12" t="n">
        <v>-295</v>
      </c>
      <c r="H145" s="12" t="n">
        <v>-1266</v>
      </c>
      <c r="I145" s="12" t="n">
        <v>171</v>
      </c>
      <c r="J145" s="12" t="n">
        <v>584</v>
      </c>
      <c r="K145" s="12" t="n">
        <v>105</v>
      </c>
      <c r="L145" s="12" t="n">
        <v>377</v>
      </c>
      <c r="M145" s="12" t="n">
        <v>298</v>
      </c>
      <c r="N145" s="12" t="n">
        <v>359</v>
      </c>
      <c r="T145" s="12" t="n">
        <v>-6</v>
      </c>
      <c r="U145" s="12" t="n">
        <v>-177</v>
      </c>
      <c r="V145" s="12" t="n">
        <v>-475</v>
      </c>
      <c r="W145" s="12" t="n">
        <v>-1266</v>
      </c>
      <c r="X145" s="12" t="n">
        <v>377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9" t="inlineStr">
        <is>
          <t>지배주주 순이익</t>
        </is>
      </c>
      <c r="C147" s="12" t="n">
        <v>-98</v>
      </c>
      <c r="D147" s="12" t="n">
        <v>-475</v>
      </c>
      <c r="E147" s="12" t="n">
        <v>-186</v>
      </c>
      <c r="F147" s="12" t="n">
        <v>-870</v>
      </c>
      <c r="G147" s="12" t="n">
        <v>-295</v>
      </c>
      <c r="H147" s="12" t="n">
        <v>-1266</v>
      </c>
      <c r="I147" s="12" t="n">
        <v>171</v>
      </c>
      <c r="J147" s="12" t="n">
        <v>584</v>
      </c>
      <c r="K147" s="12" t="n">
        <v>105</v>
      </c>
      <c r="L147" s="12" t="n">
        <v>377</v>
      </c>
      <c r="M147" s="12" t="n">
        <v>298</v>
      </c>
      <c r="N147" s="12" t="n">
        <v>359</v>
      </c>
      <c r="T147" s="12" t="n">
        <v>-6</v>
      </c>
      <c r="U147" s="12" t="n">
        <v>-177</v>
      </c>
      <c r="V147" s="12" t="n">
        <v>-475</v>
      </c>
      <c r="W147" s="12" t="n">
        <v>-1266</v>
      </c>
      <c r="X147" s="12" t="n">
        <v>377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T148" s="15">
        <f>IF(OR(T147="",S147=""),"",IF(S147&lt;=0,"",IFERROR(T147/S147-1,"")))</f>
        <v/>
      </c>
      <c r="U148" s="15">
        <f>IF(OR(U147="",T147=""),"",IF(T147&lt;=0,"",IFERROR(U147/T147-1,"")))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50">
      <c r="A150" s="16" t="inlineStr">
        <is>
          <t>포괄손익 · 전 항목</t>
        </is>
      </c>
      <c r="B150" s="42" t="inlineStr">
        <is>
          <t>분기 = 3개월 단독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2024.3Q</t>
        </is>
      </c>
      <c r="D151" s="5" t="inlineStr">
        <is>
          <t>2024.4Q</t>
        </is>
      </c>
      <c r="E151" s="5" t="inlineStr">
        <is>
          <t>2025.1Q</t>
        </is>
      </c>
      <c r="F151" s="5" t="inlineStr">
        <is>
          <t>2025.2Q</t>
        </is>
      </c>
      <c r="G151" s="5" t="inlineStr">
        <is>
          <t>2025.3Q</t>
        </is>
      </c>
      <c r="H151" s="5" t="inlineStr">
        <is>
          <t>2025.4Q</t>
        </is>
      </c>
      <c r="I151" s="5" t="inlineStr">
        <is>
          <t>2026.1Q</t>
        </is>
      </c>
      <c r="J151" s="5" t="inlineStr">
        <is>
          <t>2026.2Q</t>
        </is>
      </c>
      <c r="K151" s="5" t="inlineStr">
        <is>
          <t>2026.3Q</t>
        </is>
      </c>
      <c r="L151" s="5" t="inlineStr">
        <is>
          <t>2026.4Q</t>
        </is>
      </c>
      <c r="M151" s="5" t="inlineStr">
        <is>
          <t>2027.1Q</t>
        </is>
      </c>
      <c r="N151" s="5" t="inlineStr">
        <is>
          <t>2027.2Q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9" t="inlineStr">
        <is>
          <t>순이익</t>
        </is>
      </c>
      <c r="C152" s="12" t="n">
        <v>-98</v>
      </c>
      <c r="D152" s="12" t="n">
        <v>-475</v>
      </c>
      <c r="E152" s="12" t="n">
        <v>-186</v>
      </c>
      <c r="F152" s="12" t="n">
        <v>-870</v>
      </c>
      <c r="G152" s="12" t="n">
        <v>-295</v>
      </c>
      <c r="H152" s="12" t="n">
        <v>-1266</v>
      </c>
      <c r="I152" s="12" t="n">
        <v>171</v>
      </c>
      <c r="J152" s="12" t="n">
        <v>584</v>
      </c>
      <c r="K152" s="12" t="n">
        <v>105</v>
      </c>
      <c r="L152" s="12" t="n">
        <v>377</v>
      </c>
      <c r="M152" s="12" t="n">
        <v>298</v>
      </c>
      <c r="N152" s="12" t="n">
        <v>359</v>
      </c>
      <c r="T152" s="12" t="n">
        <v>-6</v>
      </c>
      <c r="U152" s="12" t="n">
        <v>-177</v>
      </c>
      <c r="V152" s="12" t="n">
        <v>-475</v>
      </c>
      <c r="W152" s="12" t="n">
        <v>-1266</v>
      </c>
      <c r="X152" s="12" t="n">
        <v>377</v>
      </c>
    </row>
    <row r="153">
      <c r="A153" s="18" t="inlineStr">
        <is>
          <t>기타유가증권 평가차액</t>
        </is>
      </c>
      <c r="C153" s="20" t="n">
        <v>5</v>
      </c>
      <c r="D153" s="20" t="n">
        <v>20</v>
      </c>
      <c r="E153" s="20" t="n">
        <v>6</v>
      </c>
      <c r="F153" s="20" t="n">
        <v>-13</v>
      </c>
      <c r="G153" s="20" t="n">
        <v>-6</v>
      </c>
      <c r="H153" s="20" t="n">
        <v>25</v>
      </c>
      <c r="I153" s="20" t="n">
        <v>16</v>
      </c>
      <c r="J153" s="20" t="n">
        <v>22</v>
      </c>
      <c r="K153" s="20" t="n">
        <v>42</v>
      </c>
      <c r="L153" s="20" t="n">
        <v>100</v>
      </c>
      <c r="M153" s="20" t="n">
        <v>5</v>
      </c>
      <c r="N153" s="20" t="n">
        <v>121</v>
      </c>
      <c r="T153" s="20" t="n">
        <v>5</v>
      </c>
      <c r="U153" s="20" t="n">
        <v>16</v>
      </c>
      <c r="V153" s="20" t="n">
        <v>20</v>
      </c>
      <c r="W153" s="20" t="n">
        <v>25</v>
      </c>
      <c r="X153" s="20" t="n">
        <v>100</v>
      </c>
    </row>
    <row r="154">
      <c r="A154" s="18" t="inlineStr">
        <is>
          <t>퇴직급여 조정액</t>
        </is>
      </c>
      <c r="C154" s="20" t="n">
        <v>-1</v>
      </c>
      <c r="D154" s="20" t="n">
        <v>18</v>
      </c>
      <c r="E154" s="20" t="n">
        <v>-1</v>
      </c>
      <c r="F154" s="20" t="n">
        <v>-1</v>
      </c>
      <c r="G154" s="20" t="n">
        <v>-1</v>
      </c>
      <c r="H154" s="20" t="n">
        <v>1</v>
      </c>
      <c r="I154" s="20" t="n">
        <v>-1</v>
      </c>
      <c r="J154" s="20" t="n">
        <v>-1</v>
      </c>
      <c r="K154" s="20" t="n">
        <v>-1</v>
      </c>
      <c r="L154" s="20" t="n">
        <v>46</v>
      </c>
      <c r="M154" s="20" t="n">
        <v>-1</v>
      </c>
      <c r="N154" s="20" t="n">
        <v>-6</v>
      </c>
      <c r="T154" s="20" t="n">
        <v>6</v>
      </c>
      <c r="U154" s="20" t="n">
        <v>-6</v>
      </c>
      <c r="V154" s="20" t="n">
        <v>18</v>
      </c>
      <c r="W154" s="20" t="n">
        <v>1</v>
      </c>
      <c r="X154" s="20" t="n">
        <v>46</v>
      </c>
    </row>
    <row r="155">
      <c r="A155" s="18" t="inlineStr">
        <is>
          <t>기타포괄손익 합계</t>
        </is>
      </c>
      <c r="C155" s="20" t="n">
        <v>5</v>
      </c>
      <c r="D155" s="20" t="n">
        <v>39</v>
      </c>
      <c r="E155" s="20" t="n">
        <v>5</v>
      </c>
      <c r="F155" s="20" t="n">
        <v>-15</v>
      </c>
      <c r="G155" s="20" t="n">
        <v>-6</v>
      </c>
      <c r="H155" s="20" t="n">
        <v>26</v>
      </c>
      <c r="I155" s="20" t="n">
        <v>15</v>
      </c>
      <c r="J155" s="20" t="n">
        <v>20</v>
      </c>
      <c r="K155" s="20" t="n">
        <v>41</v>
      </c>
      <c r="L155" s="20" t="n">
        <v>148</v>
      </c>
      <c r="M155" s="20" t="n">
        <v>3</v>
      </c>
      <c r="N155" s="20" t="n">
        <v>115</v>
      </c>
      <c r="T155" s="20" t="n">
        <v>12</v>
      </c>
      <c r="U155" s="20" t="n">
        <v>11</v>
      </c>
      <c r="V155" s="20" t="n">
        <v>39</v>
      </c>
      <c r="W155" s="20" t="n">
        <v>26</v>
      </c>
      <c r="X155" s="20" t="n">
        <v>148</v>
      </c>
    </row>
    <row r="156">
      <c r="A156" s="9" t="inlineStr">
        <is>
          <t>포괄이익</t>
        </is>
      </c>
      <c r="C156" s="12" t="n">
        <v>-94</v>
      </c>
      <c r="D156" s="12" t="n">
        <v>-436</v>
      </c>
      <c r="E156" s="12" t="n">
        <v>-180</v>
      </c>
      <c r="F156" s="12" t="n">
        <v>-886</v>
      </c>
      <c r="G156" s="12" t="n">
        <v>-302</v>
      </c>
      <c r="H156" s="12" t="n">
        <v>-1239</v>
      </c>
      <c r="I156" s="12" t="n">
        <v>186</v>
      </c>
      <c r="J156" s="12" t="n">
        <v>605</v>
      </c>
      <c r="K156" s="12" t="n">
        <v>146</v>
      </c>
      <c r="L156" s="12" t="n">
        <v>524</v>
      </c>
      <c r="M156" s="12" t="n">
        <v>302</v>
      </c>
      <c r="N156" s="12" t="n">
        <v>474</v>
      </c>
      <c r="T156" s="12" t="n">
        <v>7</v>
      </c>
      <c r="U156" s="12" t="n">
        <v>-167</v>
      </c>
      <c r="V156" s="12" t="n">
        <v>-436</v>
      </c>
      <c r="W156" s="12" t="n">
        <v>-1239</v>
      </c>
      <c r="X156" s="12" t="n">
        <v>524</v>
      </c>
    </row>
    <row r="157">
      <c r="A157" s="9" t="inlineStr">
        <is>
          <t>지배주주 포괄이익</t>
        </is>
      </c>
      <c r="C157" s="12" t="n">
        <v>-94</v>
      </c>
      <c r="D157" s="12" t="n">
        <v>-436</v>
      </c>
      <c r="E157" s="12" t="n">
        <v>-180</v>
      </c>
      <c r="F157" s="12" t="n">
        <v>-886</v>
      </c>
      <c r="G157" s="12" t="n">
        <v>-302</v>
      </c>
      <c r="H157" s="12" t="n">
        <v>-1239</v>
      </c>
      <c r="I157" s="12" t="n">
        <v>186</v>
      </c>
      <c r="J157" s="12" t="n">
        <v>605</v>
      </c>
      <c r="K157" s="12" t="n">
        <v>146</v>
      </c>
      <c r="L157" s="12" t="n">
        <v>524</v>
      </c>
      <c r="M157" s="12" t="n">
        <v>302</v>
      </c>
      <c r="N157" s="12" t="n">
        <v>474</v>
      </c>
      <c r="T157" s="12" t="n">
        <v>7</v>
      </c>
      <c r="U157" s="12" t="n">
        <v>-167</v>
      </c>
      <c r="V157" s="12" t="n">
        <v>-436</v>
      </c>
      <c r="W157" s="12" t="n">
        <v>-1239</v>
      </c>
      <c r="X157" s="12" t="n">
        <v>524</v>
      </c>
    </row>
    <row r="158">
      <c r="A158" s="9" t="inlineStr">
        <is>
          <t>비지배주주 포괄이익</t>
        </is>
      </c>
      <c r="C158" s="12" t="n">
        <v>0</v>
      </c>
      <c r="D158" s="12" t="n">
        <v>0</v>
      </c>
      <c r="E158" s="12" t="n">
        <v>0</v>
      </c>
      <c r="F158" s="12" t="n">
        <v>0</v>
      </c>
      <c r="G158" s="12" t="n">
        <v>0</v>
      </c>
      <c r="H158" s="12" t="n">
        <v>0</v>
      </c>
      <c r="T158" s="12" t="n">
        <v>0</v>
      </c>
      <c r="U158" s="12" t="n">
        <v>0</v>
      </c>
      <c r="V158" s="12" t="n">
        <v>0</v>
      </c>
      <c r="W158" s="12" t="n">
        <v>0</v>
      </c>
    </row>
    <row r="160">
      <c r="A160" s="16" t="inlineStr">
        <is>
          <t>부문 · 전 항목</t>
        </is>
      </c>
      <c r="B160" s="42" t="inlineStr">
        <is>
          <t>부문 · 항목</t>
        </is>
      </c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</row>
    <row r="161">
      <c r="A161" s="5" t="inlineStr">
        <is>
          <t>항목</t>
        </is>
      </c>
      <c r="B161" s="5" t="inlineStr">
        <is>
          <t>참고</t>
        </is>
      </c>
      <c r="C161" s="5" t="inlineStr">
        <is>
          <t>2024.3Q</t>
        </is>
      </c>
      <c r="D161" s="5" t="inlineStr">
        <is>
          <t>2024.4Q</t>
        </is>
      </c>
      <c r="E161" s="5" t="inlineStr">
        <is>
          <t>2025.1Q</t>
        </is>
      </c>
      <c r="F161" s="5" t="inlineStr">
        <is>
          <t>2025.2Q</t>
        </is>
      </c>
      <c r="G161" s="5" t="inlineStr">
        <is>
          <t>2025.3Q</t>
        </is>
      </c>
      <c r="H161" s="5" t="inlineStr">
        <is>
          <t>2025.4Q</t>
        </is>
      </c>
      <c r="I161" s="5" t="inlineStr">
        <is>
          <t>2026.1Q</t>
        </is>
      </c>
      <c r="J161" s="5" t="inlineStr">
        <is>
          <t>2026.2Q</t>
        </is>
      </c>
      <c r="K161" s="5" t="inlineStr">
        <is>
          <t>2026.3Q</t>
        </is>
      </c>
      <c r="L161" s="5" t="inlineStr">
        <is>
          <t>2026.4Q</t>
        </is>
      </c>
      <c r="M161" s="5" t="inlineStr">
        <is>
          <t>2027.1Q</t>
        </is>
      </c>
      <c r="N161" s="5" t="inlineStr">
        <is>
          <t>2027.2Q</t>
        </is>
      </c>
      <c r="O161" s="5" t="inlineStr">
        <is>
          <t>2017</t>
        </is>
      </c>
      <c r="P161" s="5" t="inlineStr">
        <is>
          <t>2018</t>
        </is>
      </c>
      <c r="Q161" s="5" t="inlineStr">
        <is>
          <t>2019</t>
        </is>
      </c>
      <c r="R161" s="5" t="inlineStr">
        <is>
          <t>2020</t>
        </is>
      </c>
      <c r="S161" s="5" t="inlineStr">
        <is>
          <t>2021</t>
        </is>
      </c>
      <c r="T161" s="5" t="inlineStr">
        <is>
          <t>2022</t>
        </is>
      </c>
      <c r="U161" s="5" t="inlineStr">
        <is>
          <t>2023</t>
        </is>
      </c>
      <c r="V161" s="5" t="inlineStr">
        <is>
          <t>2024</t>
        </is>
      </c>
      <c r="W161" s="5" t="inlineStr">
        <is>
          <t>2025</t>
        </is>
      </c>
      <c r="X161" s="5" t="inlineStr">
        <is>
          <t>2026</t>
        </is>
      </c>
      <c r="Y161" s="5" t="inlineStr">
        <is>
          <t>2027(MW)</t>
        </is>
      </c>
      <c r="Z161" s="5" t="inlineStr">
        <is>
          <t>2028(MW)</t>
        </is>
      </c>
      <c r="AA161" s="5" t="inlineStr">
        <is>
          <t>2029(MW)</t>
        </is>
      </c>
      <c r="AB161" s="5" t="inlineStr">
        <is>
          <t>2030(MW)</t>
        </is>
      </c>
      <c r="AC161" s="5" t="inlineStr">
        <is>
          <t>2031(MW)</t>
        </is>
      </c>
    </row>
    <row r="162">
      <c r="A162" s="18" t="inlineStr">
        <is>
          <t>슈퍼마켓 사업 · 외부 고객 매출</t>
        </is>
      </c>
      <c r="C162" s="20" t="n">
        <v>22037</v>
      </c>
      <c r="D162" s="20" t="n">
        <v>22782</v>
      </c>
      <c r="G162" s="20" t="n">
        <v>21793</v>
      </c>
      <c r="H162" s="20" t="n">
        <v>23429</v>
      </c>
      <c r="I162" s="20" t="n">
        <v>22812</v>
      </c>
      <c r="J162" s="20" t="n">
        <v>23629</v>
      </c>
      <c r="K162" s="20" t="n">
        <v>22362</v>
      </c>
      <c r="L162" s="20" t="n">
        <v>23530</v>
      </c>
      <c r="M162" s="20" t="n">
        <v>21474</v>
      </c>
      <c r="N162" s="20" t="n">
        <v>21710</v>
      </c>
      <c r="V162" s="20" t="n">
        <v>22782</v>
      </c>
      <c r="W162" s="20" t="n">
        <v>23429</v>
      </c>
      <c r="X162" s="20" t="n">
        <v>23530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드럭스토어 사업 · 외부 고객 매출</t>
        </is>
      </c>
      <c r="C164" s="20" t="n">
        <v>3232</v>
      </c>
      <c r="D164" s="20" t="n">
        <v>3186</v>
      </c>
      <c r="G164" s="20" t="n">
        <v>3133</v>
      </c>
      <c r="H164" s="20" t="n">
        <v>3243</v>
      </c>
      <c r="I164" s="20" t="n">
        <v>3245</v>
      </c>
      <c r="J164" s="20" t="n">
        <v>3379</v>
      </c>
      <c r="K164" s="20" t="n">
        <v>3185</v>
      </c>
      <c r="L164" s="20" t="n">
        <v>3261</v>
      </c>
      <c r="M164" s="20" t="n">
        <v>3396</v>
      </c>
      <c r="N164" s="20" t="n">
        <v>3361</v>
      </c>
      <c r="V164" s="20" t="n">
        <v>3186</v>
      </c>
      <c r="W164" s="20" t="n">
        <v>3243</v>
      </c>
      <c r="X164" s="20" t="n">
        <v>3261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식품 제조 사업 · 외부 고객 매출</t>
        </is>
      </c>
      <c r="G166" s="20" t="n">
        <v>1</v>
      </c>
      <c r="H166" s="20" t="n">
        <v>2</v>
      </c>
      <c r="I166" s="20" t="n">
        <v>5</v>
      </c>
      <c r="J166" s="20" t="n">
        <v>11</v>
      </c>
      <c r="K166" s="20" t="n">
        <v>7</v>
      </c>
      <c r="L166" s="20" t="n">
        <v>-21</v>
      </c>
      <c r="M166" s="20" t="n">
        <v>0</v>
      </c>
      <c r="N166" s="20" t="n">
        <v>2</v>
      </c>
      <c r="W166" s="20" t="n">
        <v>2</v>
      </c>
      <c r="X166" s="20" t="n">
        <v>-21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합계 · 외부 고객 매출</t>
        </is>
      </c>
      <c r="C168" s="20" t="n">
        <v>25272</v>
      </c>
      <c r="D168" s="20" t="n">
        <v>25969</v>
      </c>
      <c r="G168" s="20" t="n">
        <v>24927</v>
      </c>
      <c r="H168" s="20" t="n">
        <v>26673</v>
      </c>
      <c r="V168" s="20" t="n">
        <v>25969</v>
      </c>
      <c r="W168" s="20" t="n">
        <v>26673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</row>
    <row r="170">
      <c r="A170" s="18" t="inlineStr">
        <is>
          <t>보고부문 합계 · 외부 고객 매출</t>
        </is>
      </c>
      <c r="C170" s="20" t="n">
        <v>25268</v>
      </c>
      <c r="G170" s="20" t="n">
        <v>24927</v>
      </c>
      <c r="I170" s="20" t="n">
        <v>26063</v>
      </c>
      <c r="J170" s="20" t="n">
        <v>27020</v>
      </c>
      <c r="K170" s="20" t="n">
        <v>25554</v>
      </c>
      <c r="M170" s="20" t="n">
        <v>24871</v>
      </c>
      <c r="N170" s="20" t="n">
        <v>25073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</row>
    <row r="172">
      <c r="A172" s="18" t="inlineStr">
        <is>
          <t>기타 · 외부 고객 매출</t>
        </is>
      </c>
      <c r="C172" s="20" t="n">
        <v>3</v>
      </c>
      <c r="G172" s="20" t="n">
        <v>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</row>
    <row r="174">
      <c r="A174" s="18" t="inlineStr">
        <is>
          <t>조정액 · 외부 고객 매출</t>
        </is>
      </c>
      <c r="C174" s="20" t="n">
        <v>0</v>
      </c>
      <c r="D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0</v>
      </c>
      <c r="V174" s="20" t="n">
        <v>0</v>
      </c>
      <c r="W174" s="20" t="n">
        <v>0</v>
      </c>
      <c r="X174" s="20" t="n">
        <v>0</v>
      </c>
    </row>
    <row r="175">
      <c r="A175" s="9" t="inlineStr">
        <is>
          <t>외부 고객 매출</t>
        </is>
      </c>
      <c r="C175" s="12" t="n">
        <v>25272</v>
      </c>
      <c r="D175" s="12" t="n">
        <v>25969</v>
      </c>
      <c r="G175" s="12" t="n">
        <v>24927</v>
      </c>
      <c r="H175" s="12" t="n">
        <v>26673</v>
      </c>
      <c r="I175" s="12" t="n">
        <v>26063</v>
      </c>
      <c r="J175" s="12" t="n">
        <v>27020</v>
      </c>
      <c r="K175" s="12" t="n">
        <v>25554</v>
      </c>
      <c r="L175" s="12" t="n">
        <v>26768</v>
      </c>
      <c r="M175" s="12" t="n">
        <v>24871</v>
      </c>
      <c r="N175" s="12" t="n">
        <v>25073</v>
      </c>
      <c r="V175" s="12" t="n">
        <v>25969</v>
      </c>
      <c r="W175" s="12" t="n">
        <v>26673</v>
      </c>
      <c r="X175" s="12" t="n">
        <v>26768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슈퍼마켓 사업 · 부문 간 내부매출·대체</t>
        </is>
      </c>
      <c r="C177" s="20" t="n">
        <v>149</v>
      </c>
      <c r="D177" s="20" t="n">
        <v>147</v>
      </c>
      <c r="G177" s="20" t="n">
        <v>146</v>
      </c>
      <c r="H177" s="20" t="n">
        <v>147</v>
      </c>
      <c r="I177" s="20" t="n">
        <v>146</v>
      </c>
      <c r="J177" s="20" t="n">
        <v>143</v>
      </c>
      <c r="K177" s="20" t="n">
        <v>144</v>
      </c>
      <c r="L177" s="20" t="n">
        <v>155</v>
      </c>
      <c r="M177" s="20" t="n">
        <v>141</v>
      </c>
      <c r="N177" s="20" t="n">
        <v>140</v>
      </c>
      <c r="V177" s="20" t="n">
        <v>147</v>
      </c>
      <c r="W177" s="20" t="n">
        <v>147</v>
      </c>
      <c r="X177" s="20" t="n">
        <v>155</v>
      </c>
    </row>
    <row r="178">
      <c r="A178" s="18" t="inlineStr">
        <is>
          <t>드럭스토어 사업 · 부문 간 내부매출·대체</t>
        </is>
      </c>
      <c r="C178" s="20" t="n">
        <v>0</v>
      </c>
      <c r="D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식품 제조 사업 · 부문 간 내부매출·대체</t>
        </is>
      </c>
      <c r="G179" s="20" t="n">
        <v>1224</v>
      </c>
      <c r="H179" s="20" t="n">
        <v>1247</v>
      </c>
      <c r="I179" s="20" t="n">
        <v>1205</v>
      </c>
      <c r="J179" s="20" t="n">
        <v>1431</v>
      </c>
      <c r="K179" s="20" t="n">
        <v>1315</v>
      </c>
      <c r="L179" s="20" t="n">
        <v>1357</v>
      </c>
      <c r="M179" s="20" t="n">
        <v>1290</v>
      </c>
      <c r="N179" s="20" t="n">
        <v>1389</v>
      </c>
      <c r="W179" s="20" t="n">
        <v>1247</v>
      </c>
      <c r="X179" s="20" t="n">
        <v>1357</v>
      </c>
    </row>
    <row r="180">
      <c r="A180" s="18" t="inlineStr">
        <is>
          <t>합계 · 부문 간 내부매출·대체</t>
        </is>
      </c>
      <c r="C180" s="20" t="n">
        <v>1200</v>
      </c>
      <c r="D180" s="20" t="n">
        <v>1287</v>
      </c>
      <c r="G180" s="20" t="n">
        <v>1370</v>
      </c>
      <c r="H180" s="20" t="n">
        <v>1394</v>
      </c>
      <c r="V180" s="20" t="n">
        <v>1287</v>
      </c>
      <c r="W180" s="20" t="n">
        <v>1394</v>
      </c>
    </row>
    <row r="181">
      <c r="A181" s="18" t="inlineStr">
        <is>
          <t>보고부문 합계 · 부문 간 내부매출·대체</t>
        </is>
      </c>
      <c r="C181" s="20" t="n">
        <v>149</v>
      </c>
      <c r="G181" s="20" t="n">
        <v>1370</v>
      </c>
      <c r="I181" s="20" t="n">
        <v>1351</v>
      </c>
      <c r="J181" s="20" t="n">
        <v>1574</v>
      </c>
      <c r="K181" s="20" t="n">
        <v>1460</v>
      </c>
      <c r="M181" s="20" t="n">
        <v>1432</v>
      </c>
      <c r="N181" s="20" t="n">
        <v>1529</v>
      </c>
    </row>
    <row r="182">
      <c r="A182" s="18" t="inlineStr">
        <is>
          <t>기타 · 부문 간 내부매출·대체</t>
        </is>
      </c>
      <c r="C182" s="20" t="n">
        <v>1052</v>
      </c>
      <c r="G182" s="20" t="n">
        <v>1224</v>
      </c>
    </row>
    <row r="183">
      <c r="A183" s="18" t="inlineStr">
        <is>
          <t>조정액 · 부문 간 내부매출·대체</t>
        </is>
      </c>
      <c r="C183" s="20" t="n">
        <v>-1200</v>
      </c>
      <c r="D183" s="20" t="n">
        <v>-1287</v>
      </c>
      <c r="G183" s="20" t="n">
        <v>-1370</v>
      </c>
      <c r="H183" s="20" t="n">
        <v>-1394</v>
      </c>
      <c r="I183" s="20" t="n">
        <v>-1351</v>
      </c>
      <c r="J183" s="20" t="n">
        <v>-1574</v>
      </c>
      <c r="K183" s="20" t="n">
        <v>-1460</v>
      </c>
      <c r="L183" s="20" t="n">
        <v>-1512</v>
      </c>
      <c r="M183" s="20" t="n">
        <v>-1432</v>
      </c>
      <c r="N183" s="20" t="n">
        <v>-1529</v>
      </c>
      <c r="V183" s="20" t="n">
        <v>-1287</v>
      </c>
      <c r="W183" s="20" t="n">
        <v>-1394</v>
      </c>
      <c r="X183" s="20" t="n">
        <v>-1512</v>
      </c>
    </row>
    <row r="184">
      <c r="A184" s="18" t="inlineStr">
        <is>
          <t>부문 간 내부매출·대체</t>
        </is>
      </c>
      <c r="C184" s="20" t="n">
        <v>0</v>
      </c>
      <c r="D184" s="20" t="n">
        <v>0</v>
      </c>
      <c r="G184" s="20" t="n">
        <v>0</v>
      </c>
      <c r="H184" s="20" t="n">
        <v>0</v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0</v>
      </c>
      <c r="V184" s="20" t="n">
        <v>0</v>
      </c>
      <c r="W184" s="20" t="n">
        <v>0</v>
      </c>
      <c r="X184" s="20" t="n">
        <v>0</v>
      </c>
    </row>
    <row r="185">
      <c r="A185" s="18" t="inlineStr">
        <is>
          <t>슈퍼마켓 사업 · 계</t>
        </is>
      </c>
      <c r="C185" s="20" t="n">
        <v>22185</v>
      </c>
      <c r="D185" s="20" t="n">
        <v>22929</v>
      </c>
      <c r="G185" s="20" t="n">
        <v>21940</v>
      </c>
      <c r="H185" s="20" t="n">
        <v>23575</v>
      </c>
      <c r="I185" s="20" t="n">
        <v>22959</v>
      </c>
      <c r="J185" s="20" t="n">
        <v>23772</v>
      </c>
      <c r="K185" s="20" t="n">
        <v>22506</v>
      </c>
      <c r="L185" s="20" t="n">
        <v>23684</v>
      </c>
      <c r="M185" s="20" t="n">
        <v>21616</v>
      </c>
      <c r="N185" s="20" t="n">
        <v>21850</v>
      </c>
      <c r="V185" s="20" t="n">
        <v>22929</v>
      </c>
      <c r="W185" s="20" t="n">
        <v>23575</v>
      </c>
      <c r="X185" s="20" t="n">
        <v>23684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드럭스토어 사업 · 계</t>
        </is>
      </c>
      <c r="C187" s="20" t="n">
        <v>3232</v>
      </c>
      <c r="D187" s="20" t="n">
        <v>3186</v>
      </c>
      <c r="G187" s="20" t="n">
        <v>3133</v>
      </c>
      <c r="H187" s="20" t="n">
        <v>3243</v>
      </c>
      <c r="I187" s="20" t="n">
        <v>3245</v>
      </c>
      <c r="J187" s="20" t="n">
        <v>3379</v>
      </c>
      <c r="K187" s="20" t="n">
        <v>3185</v>
      </c>
      <c r="L187" s="20" t="n">
        <v>3261</v>
      </c>
      <c r="M187" s="20" t="n">
        <v>3396</v>
      </c>
      <c r="N187" s="20" t="n">
        <v>3361</v>
      </c>
      <c r="V187" s="20" t="n">
        <v>3186</v>
      </c>
      <c r="W187" s="20" t="n">
        <v>3243</v>
      </c>
      <c r="X187" s="20" t="n">
        <v>3261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식품 제조 사업 · 계</t>
        </is>
      </c>
      <c r="G189" s="20" t="n">
        <v>1225</v>
      </c>
      <c r="H189" s="20" t="n">
        <v>1249</v>
      </c>
      <c r="I189" s="20" t="n">
        <v>1210</v>
      </c>
      <c r="J189" s="20" t="n">
        <v>1442</v>
      </c>
      <c r="K189" s="20" t="n">
        <v>1323</v>
      </c>
      <c r="L189" s="20" t="n">
        <v>1335</v>
      </c>
      <c r="M189" s="20" t="n">
        <v>1291</v>
      </c>
      <c r="N189" s="20" t="n">
        <v>1390</v>
      </c>
      <c r="W189" s="20" t="n">
        <v>1249</v>
      </c>
      <c r="X189" s="20" t="n">
        <v>1335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합계 · 계</t>
        </is>
      </c>
      <c r="C191" s="20" t="n">
        <v>26472</v>
      </c>
      <c r="D191" s="20" t="n">
        <v>27257</v>
      </c>
      <c r="G191" s="20" t="n">
        <v>26298</v>
      </c>
      <c r="H191" s="20" t="n">
        <v>28067</v>
      </c>
      <c r="V191" s="20" t="n">
        <v>27257</v>
      </c>
      <c r="W191" s="20" t="n">
        <v>28067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</row>
    <row r="193">
      <c r="A193" s="18" t="inlineStr">
        <is>
          <t>보고부문 합계 · 계</t>
        </is>
      </c>
      <c r="C193" s="20" t="n">
        <v>25417</v>
      </c>
      <c r="G193" s="20" t="n">
        <v>26298</v>
      </c>
      <c r="I193" s="20" t="n">
        <v>27414</v>
      </c>
      <c r="J193" s="20" t="n">
        <v>28595</v>
      </c>
      <c r="K193" s="20" t="n">
        <v>27013</v>
      </c>
      <c r="M193" s="20" t="n">
        <v>26304</v>
      </c>
      <c r="N193" s="20" t="n">
        <v>26601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</row>
    <row r="195">
      <c r="A195" s="18" t="inlineStr">
        <is>
          <t>기타 · 계</t>
        </is>
      </c>
      <c r="C195" s="20" t="n">
        <v>1054</v>
      </c>
      <c r="G195" s="20" t="n">
        <v>1225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</row>
    <row r="197">
      <c r="A197" s="18" t="inlineStr">
        <is>
          <t>조정액 · 계</t>
        </is>
      </c>
      <c r="C197" s="20" t="n">
        <v>-1200</v>
      </c>
      <c r="D197" s="20" t="n">
        <v>-1287</v>
      </c>
      <c r="G197" s="20" t="n">
        <v>-1370</v>
      </c>
      <c r="H197" s="20" t="n">
        <v>-1394</v>
      </c>
      <c r="I197" s="20" t="n">
        <v>-1351</v>
      </c>
      <c r="J197" s="20" t="n">
        <v>-1574</v>
      </c>
      <c r="K197" s="20" t="n">
        <v>-1460</v>
      </c>
      <c r="L197" s="20" t="n">
        <v>-1512</v>
      </c>
      <c r="M197" s="20" t="n">
        <v>-1432</v>
      </c>
      <c r="N197" s="20" t="n">
        <v>-1529</v>
      </c>
      <c r="V197" s="20" t="n">
        <v>-1287</v>
      </c>
      <c r="W197" s="20" t="n">
        <v>-1394</v>
      </c>
      <c r="X197" s="20" t="n">
        <v>-1512</v>
      </c>
    </row>
    <row r="198">
      <c r="A198" s="9" t="inlineStr">
        <is>
          <t>계</t>
        </is>
      </c>
      <c r="C198" s="12" t="n">
        <v>25272</v>
      </c>
      <c r="D198" s="12" t="n">
        <v>25969</v>
      </c>
      <c r="G198" s="12" t="n">
        <v>24927</v>
      </c>
      <c r="H198" s="12" t="n">
        <v>26673</v>
      </c>
      <c r="I198" s="12" t="n">
        <v>26063</v>
      </c>
      <c r="J198" s="12" t="n">
        <v>27020</v>
      </c>
      <c r="K198" s="12" t="n">
        <v>25554</v>
      </c>
      <c r="L198" s="12" t="n">
        <v>26768</v>
      </c>
      <c r="M198" s="12" t="n">
        <v>24871</v>
      </c>
      <c r="N198" s="12" t="n">
        <v>25073</v>
      </c>
      <c r="V198" s="12" t="n">
        <v>25969</v>
      </c>
      <c r="W198" s="12" t="n">
        <v>26673</v>
      </c>
      <c r="X198" s="12" t="n">
        <v>26768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슈퍼마켓 사업 · 부문 이익(손실)</t>
        </is>
      </c>
      <c r="C200" s="20" t="n">
        <v>7</v>
      </c>
      <c r="D200" s="20" t="n">
        <v>331</v>
      </c>
      <c r="G200" s="20" t="n">
        <v>-248</v>
      </c>
      <c r="H200" s="20" t="n">
        <v>334</v>
      </c>
      <c r="I200" s="20" t="n">
        <v>350</v>
      </c>
      <c r="J200" s="20" t="n">
        <v>388</v>
      </c>
      <c r="K200" s="20" t="n">
        <v>157</v>
      </c>
      <c r="L200" s="20" t="n">
        <v>544</v>
      </c>
      <c r="M200" s="20" t="n">
        <v>221</v>
      </c>
      <c r="N200" s="20" t="n">
        <v>477</v>
      </c>
      <c r="V200" s="20" t="n">
        <v>331</v>
      </c>
      <c r="W200" s="20" t="n">
        <v>334</v>
      </c>
      <c r="X200" s="20" t="n">
        <v>544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IF(OR(C200="",C185=""),"",IF(C185&lt;=0,"",IFERROR(C200/C185,"")))</f>
        <v/>
      </c>
      <c r="D201" s="15">
        <f>IF(OR(D200="",D185=""),"",IF(D185&lt;=0,"",IFERROR(D200/D185,"")))</f>
        <v/>
      </c>
      <c r="G201" s="15">
        <f>IF(OR(G200="",G185=""),"",IF(G185&lt;=0,"",IFERROR(G200/G185,"")))</f>
        <v/>
      </c>
      <c r="H201" s="15">
        <f>IF(OR(H200="",H185=""),"",IF(H185&lt;=0,"",IFERROR(H200/H185,"")))</f>
        <v/>
      </c>
      <c r="I201" s="15">
        <f>IF(OR(I200="",I185=""),"",IF(I185&lt;=0,"",IFERROR(I200/I185,"")))</f>
        <v/>
      </c>
      <c r="J201" s="15">
        <f>IF(OR(J200="",J185=""),"",IF(J185&lt;=0,"",IFERROR(J200/J185,"")))</f>
        <v/>
      </c>
      <c r="K201" s="15">
        <f>IF(OR(K200="",K185=""),"",IF(K185&lt;=0,"",IFERROR(K200/K185,"")))</f>
        <v/>
      </c>
      <c r="L201" s="15">
        <f>IF(OR(L200="",L185=""),"",IF(L185&lt;=0,"",IFERROR(L200/L185,"")))</f>
        <v/>
      </c>
      <c r="M201" s="15">
        <f>IF(OR(M200="",M185=""),"",IF(M185&lt;=0,"",IFERROR(M200/M185,"")))</f>
        <v/>
      </c>
      <c r="N201" s="15">
        <f>IF(OR(N200="",N185=""),"",IF(N185&lt;=0,"",IFERROR(N200/N185,"")))</f>
        <v/>
      </c>
      <c r="V201" s="15">
        <f>IF(OR(V200="",V185=""),"",IF(V185&lt;=0,"",IFERROR(V200/V185,"")))</f>
        <v/>
      </c>
      <c r="W201" s="15">
        <f>IF(OR(W200="",W185=""),"",IF(W185&lt;=0,"",IFERROR(W200/W185,"")))</f>
        <v/>
      </c>
      <c r="X201" s="15">
        <f>IF(OR(X200="",X185=""),"",IF(X185&lt;=0,"",IFERROR(X200/X185,"")))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드럭스토어 사업 · 부문 이익(손실)</t>
        </is>
      </c>
      <c r="C203" s="20" t="n">
        <v>14</v>
      </c>
      <c r="D203" s="20" t="n">
        <v>-13</v>
      </c>
      <c r="G203" s="20" t="n">
        <v>0</v>
      </c>
      <c r="H203" s="20" t="n">
        <v>-36</v>
      </c>
      <c r="I203" s="20" t="n">
        <v>-22</v>
      </c>
      <c r="J203" s="20" t="n">
        <v>-43</v>
      </c>
      <c r="K203" s="20" t="n">
        <v>-1</v>
      </c>
      <c r="L203" s="20" t="n">
        <v>-34</v>
      </c>
      <c r="M203" s="20" t="n">
        <v>9</v>
      </c>
      <c r="N203" s="20" t="n">
        <v>-40</v>
      </c>
      <c r="V203" s="20" t="n">
        <v>-13</v>
      </c>
      <c r="W203" s="20" t="n">
        <v>-36</v>
      </c>
      <c r="X203" s="20" t="n">
        <v>-34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IF(OR(C203="",C187=""),"",IF(C187&lt;=0,"",IFERROR(C203/C187,"")))</f>
        <v/>
      </c>
      <c r="D204" s="15">
        <f>IF(OR(D203="",D187=""),"",IF(D187&lt;=0,"",IFERROR(D203/D187,"")))</f>
        <v/>
      </c>
      <c r="G204" s="15">
        <f>IF(OR(G203="",G187=""),"",IF(G187&lt;=0,"",IFERROR(G203/G187,"")))</f>
        <v/>
      </c>
      <c r="H204" s="15">
        <f>IF(OR(H203="",H187=""),"",IF(H187&lt;=0,"",IFERROR(H203/H187,"")))</f>
        <v/>
      </c>
      <c r="I204" s="15">
        <f>IF(OR(I203="",I187=""),"",IF(I187&lt;=0,"",IFERROR(I203/I187,"")))</f>
        <v/>
      </c>
      <c r="J204" s="15">
        <f>IF(OR(J203="",J187=""),"",IF(J187&lt;=0,"",IFERROR(J203/J187,"")))</f>
        <v/>
      </c>
      <c r="K204" s="15">
        <f>IF(OR(K203="",K187=""),"",IF(K187&lt;=0,"",IFERROR(K203/K187,"")))</f>
        <v/>
      </c>
      <c r="L204" s="15">
        <f>IF(OR(L203="",L187=""),"",IF(L187&lt;=0,"",IFERROR(L203/L187,"")))</f>
        <v/>
      </c>
      <c r="M204" s="15">
        <f>IF(OR(M203="",M187=""),"",IF(M187&lt;=0,"",IFERROR(M203/M187,"")))</f>
        <v/>
      </c>
      <c r="N204" s="15">
        <f>IF(OR(N203="",N187=""),"",IF(N187&lt;=0,"",IFERROR(N203/N187,"")))</f>
        <v/>
      </c>
      <c r="V204" s="15">
        <f>IF(OR(V203="",V187=""),"",IF(V187&lt;=0,"",IFERROR(V203/V187,"")))</f>
        <v/>
      </c>
      <c r="W204" s="15">
        <f>IF(OR(W203="",W187=""),"",IF(W187&lt;=0,"",IFERROR(W203/W187,"")))</f>
        <v/>
      </c>
      <c r="X204" s="15">
        <f>IF(OR(X203="",X187=""),"",IF(X187&lt;=0,"",IFERROR(X203/X187,"")))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식품 제조 사업 · 부문 이익(손실)</t>
        </is>
      </c>
      <c r="G206" s="20" t="n">
        <v>-108</v>
      </c>
      <c r="H206" s="20" t="n">
        <v>-85</v>
      </c>
      <c r="I206" s="20" t="n">
        <v>-80</v>
      </c>
      <c r="J206" s="20" t="n">
        <v>-1</v>
      </c>
      <c r="K206" s="20" t="n">
        <v>-55</v>
      </c>
      <c r="L206" s="20" t="n">
        <v>-69</v>
      </c>
      <c r="M206" s="20" t="n">
        <v>-14</v>
      </c>
      <c r="N206" s="20" t="n">
        <v>21</v>
      </c>
      <c r="W206" s="20" t="n">
        <v>-85</v>
      </c>
      <c r="X206" s="20" t="n">
        <v>-69</v>
      </c>
    </row>
    <row r="207">
      <c r="A207" s="43" t="inlineStr">
        <is>
          <t>OPM</t>
        </is>
      </c>
      <c r="B207" s="3" t="inlineStr">
        <is>
          <t>영업이익 ÷ 매출</t>
        </is>
      </c>
      <c r="G207" s="15">
        <f>IF(OR(G206="",G189=""),"",IF(G189&lt;=0,"",IFERROR(G206/G189,"")))</f>
        <v/>
      </c>
      <c r="H207" s="15">
        <f>IF(OR(H206="",H189=""),"",IF(H189&lt;=0,"",IFERROR(H206/H189,"")))</f>
        <v/>
      </c>
      <c r="I207" s="15">
        <f>IF(OR(I206="",I189=""),"",IF(I189&lt;=0,"",IFERROR(I206/I189,"")))</f>
        <v/>
      </c>
      <c r="J207" s="15">
        <f>IF(OR(J206="",J189=""),"",IF(J189&lt;=0,"",IFERROR(J206/J189,"")))</f>
        <v/>
      </c>
      <c r="K207" s="15">
        <f>IF(OR(K206="",K189=""),"",IF(K189&lt;=0,"",IFERROR(K206/K189,"")))</f>
        <v/>
      </c>
      <c r="L207" s="15">
        <f>IF(OR(L206="",L189=""),"",IF(L189&lt;=0,"",IFERROR(L206/L189,"")))</f>
        <v/>
      </c>
      <c r="M207" s="15">
        <f>IF(OR(M206="",M189=""),"",IF(M189&lt;=0,"",IFERROR(M206/M189,"")))</f>
        <v/>
      </c>
      <c r="N207" s="15">
        <f>IF(OR(N206="",N189=""),"",IF(N189&lt;=0,"",IFERROR(N206/N189,"")))</f>
        <v/>
      </c>
      <c r="W207" s="15">
        <f>IF(OR(W206="",W189=""),"",IF(W189&lt;=0,"",IFERROR(W206/W189,"")))</f>
        <v/>
      </c>
      <c r="X207" s="15">
        <f>IF(OR(X206="",X189=""),"",IF(X189&lt;=0,"",IFERROR(X206/X189,"")))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합계 · 부문 손실</t>
        </is>
      </c>
      <c r="C209" s="20" t="n">
        <v>-93</v>
      </c>
      <c r="D209" s="20" t="n">
        <v>181</v>
      </c>
      <c r="G209" s="20" t="n">
        <v>-356</v>
      </c>
      <c r="H209" s="20" t="n">
        <v>213</v>
      </c>
      <c r="V209" s="20" t="n">
        <v>181</v>
      </c>
      <c r="W209" s="20" t="n">
        <v>213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IF(OR(C209="",C191=""),"",IF(C191&lt;=0,"",IFERROR(C209/C191,"")))</f>
        <v/>
      </c>
      <c r="D210" s="15">
        <f>IF(OR(D209="",D191=""),"",IF(D191&lt;=0,"",IFERROR(D209/D191,"")))</f>
        <v/>
      </c>
      <c r="G210" s="15">
        <f>IF(OR(G209="",G191=""),"",IF(G191&lt;=0,"",IFERROR(G209/G191,"")))</f>
        <v/>
      </c>
      <c r="H210" s="15">
        <f>IF(OR(H209="",H191=""),"",IF(H191&lt;=0,"",IFERROR(H209/H191,"")))</f>
        <v/>
      </c>
      <c r="V210" s="15">
        <f>IF(OR(V209="",V191=""),"",IF(V191&lt;=0,"",IFERROR(V209/V191,"")))</f>
        <v/>
      </c>
      <c r="W210" s="15">
        <f>IF(OR(W209="",W191=""),"",IF(W191&lt;=0,"",IFERROR(W209/W191,"")))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</row>
    <row r="212">
      <c r="A212" s="18" t="inlineStr">
        <is>
          <t>보고부문 합계 · 부문 이익(손실)</t>
        </is>
      </c>
      <c r="C212" s="20" t="n">
        <v>21</v>
      </c>
      <c r="G212" s="20" t="n">
        <v>-356</v>
      </c>
      <c r="I212" s="20" t="n">
        <v>247</v>
      </c>
      <c r="J212" s="20" t="n">
        <v>344</v>
      </c>
      <c r="K212" s="20" t="n">
        <v>101</v>
      </c>
      <c r="M212" s="20" t="n">
        <v>216</v>
      </c>
      <c r="N212" s="20" t="n">
        <v>458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IF(OR(C212="",C193=""),"",IF(C193&lt;=0,"",IFERROR(C212/C193,"")))</f>
        <v/>
      </c>
      <c r="G213" s="15">
        <f>IF(OR(G212="",G193=""),"",IF(G193&lt;=0,"",IFERROR(G212/G193,"")))</f>
        <v/>
      </c>
      <c r="I213" s="15">
        <f>IF(OR(I212="",I193=""),"",IF(I193&lt;=0,"",IFERROR(I212/I193,"")))</f>
        <v/>
      </c>
      <c r="J213" s="15">
        <f>IF(OR(J212="",J193=""),"",IF(J193&lt;=0,"",IFERROR(J212/J193,"")))</f>
        <v/>
      </c>
      <c r="K213" s="15">
        <f>IF(OR(K212="",K193=""),"",IF(K193&lt;=0,"",IFERROR(K212/K193,"")))</f>
        <v/>
      </c>
      <c r="M213" s="15">
        <f>IF(OR(M212="",M193=""),"",IF(M193&lt;=0,"",IFERROR(M212/M193,"")))</f>
        <v/>
      </c>
      <c r="N213" s="15">
        <f>IF(OR(N212="",N193=""),"",IF(N193&lt;=0,"",IFERROR(N212/N193,"")))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</row>
    <row r="215">
      <c r="A215" s="18" t="inlineStr">
        <is>
          <t>기타 · 부문 이익(손실)</t>
        </is>
      </c>
      <c r="C215" s="20" t="n">
        <v>-114</v>
      </c>
      <c r="G215" s="20" t="n">
        <v>-108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IF(OR(C215="",C195=""),"",IF(C195&lt;=0,"",IFERROR(C215/C195,"")))</f>
        <v/>
      </c>
      <c r="G216" s="15">
        <f>IF(OR(G215="",G195=""),"",IF(G195&lt;=0,"",IFERROR(G215/G195,"")))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</row>
    <row r="218">
      <c r="A218" s="18" t="inlineStr">
        <is>
          <t>조정액 · 부문 이익(손실)</t>
        </is>
      </c>
      <c r="C218" s="20" t="n">
        <v>2</v>
      </c>
      <c r="D218" s="20" t="n">
        <v>3</v>
      </c>
      <c r="G218" s="20" t="n">
        <v>2</v>
      </c>
      <c r="H218" s="20" t="n">
        <v>3</v>
      </c>
      <c r="I218" s="20" t="n">
        <v>2</v>
      </c>
      <c r="J218" s="20" t="n">
        <v>2</v>
      </c>
      <c r="K218" s="20" t="n">
        <v>2</v>
      </c>
      <c r="L218" s="20" t="n">
        <v>2</v>
      </c>
      <c r="M218" s="20" t="n">
        <v>1</v>
      </c>
      <c r="N218" s="20" t="n">
        <v>4</v>
      </c>
      <c r="V218" s="20" t="n">
        <v>3</v>
      </c>
      <c r="W218" s="20" t="n">
        <v>3</v>
      </c>
      <c r="X218" s="20" t="n">
        <v>2</v>
      </c>
    </row>
    <row r="219">
      <c r="A219" s="9" t="inlineStr">
        <is>
          <t>부문 이익(손실)</t>
        </is>
      </c>
      <c r="C219" s="12" t="n">
        <v>-91</v>
      </c>
      <c r="D219" s="12" t="n">
        <v>184</v>
      </c>
      <c r="G219" s="12" t="n">
        <v>-354</v>
      </c>
      <c r="H219" s="12" t="n">
        <v>215</v>
      </c>
      <c r="I219" s="12" t="n">
        <v>249</v>
      </c>
      <c r="J219" s="12" t="n">
        <v>346</v>
      </c>
      <c r="K219" s="12" t="n">
        <v>104</v>
      </c>
      <c r="L219" s="12" t="n">
        <v>443</v>
      </c>
      <c r="M219" s="12" t="n">
        <v>217</v>
      </c>
      <c r="N219" s="12" t="n">
        <v>463</v>
      </c>
      <c r="V219" s="12" t="n">
        <v>184</v>
      </c>
      <c r="W219" s="12" t="n">
        <v>215</v>
      </c>
      <c r="X219" s="12" t="n">
        <v>443</v>
      </c>
    </row>
    <row r="220">
      <c r="A220" s="43" t="inlineStr">
        <is>
          <t>OPM</t>
        </is>
      </c>
      <c r="B220" s="3" t="inlineStr">
        <is>
          <t>영업이익 ÷ 매출</t>
        </is>
      </c>
      <c r="C220" s="15">
        <f>IF(OR(C219="",C175=""),"",IF(C175&lt;=0,"",IFERROR(C219/C175,"")))</f>
        <v/>
      </c>
      <c r="D220" s="15">
        <f>IF(OR(D219="",D175=""),"",IF(D175&lt;=0,"",IFERROR(D219/D175,"")))</f>
        <v/>
      </c>
      <c r="G220" s="15">
        <f>IF(OR(G219="",G175=""),"",IF(G175&lt;=0,"",IFERROR(G219/G175,"")))</f>
        <v/>
      </c>
      <c r="H220" s="15">
        <f>IF(OR(H219="",H175=""),"",IF(H175&lt;=0,"",IFERROR(H219/H175,"")))</f>
        <v/>
      </c>
      <c r="I220" s="15">
        <f>IF(OR(I219="",I175=""),"",IF(I175&lt;=0,"",IFERROR(I219/I175,"")))</f>
        <v/>
      </c>
      <c r="J220" s="15">
        <f>IF(OR(J219="",J175=""),"",IF(J175&lt;=0,"",IFERROR(J219/J175,"")))</f>
        <v/>
      </c>
      <c r="K220" s="15">
        <f>IF(OR(K219="",K175=""),"",IF(K175&lt;=0,"",IFERROR(K219/K175,"")))</f>
        <v/>
      </c>
      <c r="L220" s="15">
        <f>IF(OR(L219="",L175=""),"",IF(L175&lt;=0,"",IFERROR(L219/L175,"")))</f>
        <v/>
      </c>
      <c r="M220" s="15">
        <f>IF(OR(M219="",M175=""),"",IF(M175&lt;=0,"",IFERROR(M219/M175,"")))</f>
        <v/>
      </c>
      <c r="N220" s="15">
        <f>IF(OR(N219="",N175=""),"",IF(N175&lt;=0,"",IFERROR(N219/N175,"")))</f>
        <v/>
      </c>
      <c r="V220" s="15">
        <f>IF(OR(V219="",V175=""),"",IF(V175&lt;=0,"",IFERROR(V219/V175,"")))</f>
        <v/>
      </c>
      <c r="W220" s="15">
        <f>IF(OR(W219="",W175=""),"",IF(W175&lt;=0,"",IFERROR(W219/W175,"")))</f>
        <v/>
      </c>
      <c r="X220" s="15">
        <f>IF(OR(X219="",X175=""),"",IF(X175&lt;=0,"",IFERROR(X219/X175,"")))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G221" s="15">
        <f>IF(OR(G219="",C219=""),"",IF(C219&lt;=0,"",IFERROR(G219/C219-1,"")))</f>
        <v/>
      </c>
      <c r="H221" s="15">
        <f>IF(OR(H219="",D219=""),"",IF(D219&lt;=0,"",IFERROR(H219/D219-1,"")))</f>
        <v/>
      </c>
      <c r="I221" s="15">
        <f>IF(OR(I219="",E219=""),"",IF(E219&lt;=0,"",IFERROR(I219/E219-1,"")))</f>
        <v/>
      </c>
      <c r="J221" s="15">
        <f>IF(OR(J219="",F219=""),"",IF(F219&lt;=0,"",IFERROR(J219/F219-1,"")))</f>
        <v/>
      </c>
      <c r="K221" s="15">
        <f>IF(OR(K219="",G219=""),"",IF(G219&lt;=0,"",IFERROR(K219/G219-1,"")))</f>
        <v/>
      </c>
      <c r="L221" s="15">
        <f>IF(OR(L219="",H219=""),"",IF(H219&lt;=0,"",IFERROR(L219/H219-1,"")))</f>
        <v/>
      </c>
      <c r="M221" s="15">
        <f>IF(OR(M219="",I219=""),"",IF(I219&lt;=0,"",IFERROR(M219/I219-1,"")))</f>
        <v/>
      </c>
      <c r="N221" s="15">
        <f>IF(OR(N219="",J219=""),"",IF(J219&lt;=0,"",IFERROR(N219/J219-1,"")))</f>
        <v/>
      </c>
      <c r="V221" s="15">
        <f>IF(OR(V219="",U219=""),"",IF(U219&lt;=0,"",IFERROR(V219/U219-1,"")))</f>
        <v/>
      </c>
      <c r="W221" s="15">
        <f>IF(OR(W219="",V219=""),"",IF(V219&lt;=0,"",IFERROR(W219/V219-1,"")))</f>
        <v/>
      </c>
      <c r="X221" s="15">
        <f>IF(OR(X219="",W219=""),"",IF(W219&lt;=0,"",IFERROR(X219/W219-1,"")))</f>
        <v/>
      </c>
    </row>
    <row r="223">
      <c r="A223" s="16" t="inlineStr">
        <is>
          <t>현금흐름표 · 전 항목</t>
        </is>
      </c>
      <c r="B223" s="42" t="inlineStr">
        <is>
          <t>분기 = 결산기 첫날부터 누계(공시 그대로)</t>
        </is>
      </c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16" t="n"/>
      <c r="AB223" s="16" t="n"/>
      <c r="AC223" s="16" t="n"/>
    </row>
    <row r="224">
      <c r="A224" s="5" t="inlineStr">
        <is>
          <t>항목</t>
        </is>
      </c>
      <c r="B224" s="5" t="inlineStr">
        <is>
          <t>참고</t>
        </is>
      </c>
      <c r="C224" s="5" t="inlineStr">
        <is>
          <t>2024.3Q</t>
        </is>
      </c>
      <c r="D224" s="5" t="inlineStr">
        <is>
          <t>2024.4Q</t>
        </is>
      </c>
      <c r="E224" s="5" t="inlineStr">
        <is>
          <t>2025.1Q</t>
        </is>
      </c>
      <c r="F224" s="5" t="inlineStr">
        <is>
          <t>2025.2Q</t>
        </is>
      </c>
      <c r="G224" s="5" t="inlineStr">
        <is>
          <t>2025.3Q</t>
        </is>
      </c>
      <c r="H224" s="5" t="inlineStr">
        <is>
          <t>2025.4Q</t>
        </is>
      </c>
      <c r="I224" s="5" t="inlineStr">
        <is>
          <t>2026.1Q</t>
        </is>
      </c>
      <c r="J224" s="5" t="inlineStr">
        <is>
          <t>2026.2Q</t>
        </is>
      </c>
      <c r="K224" s="5" t="inlineStr">
        <is>
          <t>2026.3Q</t>
        </is>
      </c>
      <c r="L224" s="5" t="inlineStr">
        <is>
          <t>2026.4Q</t>
        </is>
      </c>
      <c r="M224" s="5" t="inlineStr">
        <is>
          <t>2027.1Q</t>
        </is>
      </c>
      <c r="N224" s="5" t="inlineStr">
        <is>
          <t>2027.2Q</t>
        </is>
      </c>
      <c r="O224" s="5" t="inlineStr">
        <is>
          <t>2017</t>
        </is>
      </c>
      <c r="P224" s="5" t="inlineStr">
        <is>
          <t>2018</t>
        </is>
      </c>
      <c r="Q224" s="5" t="inlineStr">
        <is>
          <t>2019</t>
        </is>
      </c>
      <c r="R224" s="5" t="inlineStr">
        <is>
          <t>2020</t>
        </is>
      </c>
      <c r="S224" s="5" t="inlineStr">
        <is>
          <t>2021</t>
        </is>
      </c>
      <c r="T224" s="5" t="inlineStr">
        <is>
          <t>2022</t>
        </is>
      </c>
      <c r="U224" s="5" t="inlineStr">
        <is>
          <t>2023</t>
        </is>
      </c>
      <c r="V224" s="5" t="inlineStr">
        <is>
          <t>2024</t>
        </is>
      </c>
      <c r="W224" s="5" t="inlineStr">
        <is>
          <t>2025</t>
        </is>
      </c>
      <c r="X224" s="5" t="inlineStr">
        <is>
          <t>2026</t>
        </is>
      </c>
      <c r="Y224" s="5" t="inlineStr">
        <is>
          <t>2027(MW)</t>
        </is>
      </c>
      <c r="Z224" s="5" t="inlineStr">
        <is>
          <t>2028(MW)</t>
        </is>
      </c>
      <c r="AA224" s="5" t="inlineStr">
        <is>
          <t>2029(MW)</t>
        </is>
      </c>
      <c r="AB224" s="5" t="inlineStr">
        <is>
          <t>2030(MW)</t>
        </is>
      </c>
      <c r="AC224" s="5" t="inlineStr">
        <is>
          <t>2031(MW)</t>
        </is>
      </c>
    </row>
    <row r="225">
      <c r="A225" s="9" t="inlineStr">
        <is>
          <t>법인세차감전 순이익</t>
        </is>
      </c>
      <c r="D225" s="12" t="n">
        <v>243</v>
      </c>
      <c r="F225" s="12" t="n">
        <v>-275</v>
      </c>
      <c r="H225" s="12" t="n">
        <v>-1911</v>
      </c>
      <c r="J225" s="12" t="n">
        <v>669</v>
      </c>
      <c r="L225" s="12" t="n">
        <v>1870</v>
      </c>
      <c r="N225" s="12" t="n">
        <v>803</v>
      </c>
      <c r="O225" s="12" t="n">
        <v>2659</v>
      </c>
      <c r="P225" s="12" t="n">
        <v>884</v>
      </c>
      <c r="Q225" s="12" t="n">
        <v>-115</v>
      </c>
      <c r="R225" s="12" t="n">
        <v>68</v>
      </c>
      <c r="S225" s="12" t="n">
        <v>1791</v>
      </c>
      <c r="T225" s="12" t="n">
        <v>778</v>
      </c>
      <c r="U225" s="12" t="n">
        <v>603</v>
      </c>
      <c r="V225" s="12" t="n">
        <v>243</v>
      </c>
      <c r="W225" s="12" t="n">
        <v>-1911</v>
      </c>
      <c r="X225" s="12" t="n">
        <v>1870</v>
      </c>
    </row>
    <row r="226">
      <c r="A226" s="18" t="inlineStr">
        <is>
          <t>감가상각비</t>
        </is>
      </c>
      <c r="D226" s="20" t="n">
        <v>3327</v>
      </c>
      <c r="F226" s="20" t="n">
        <v>1728</v>
      </c>
      <c r="H226" s="20" t="n">
        <v>3576</v>
      </c>
      <c r="J226" s="20" t="n">
        <v>1668</v>
      </c>
      <c r="L226" s="20" t="n">
        <v>3391</v>
      </c>
      <c r="N226" s="20" t="n">
        <v>1465</v>
      </c>
      <c r="O226" s="20" t="n">
        <v>2514</v>
      </c>
      <c r="P226" s="20" t="n">
        <v>2670</v>
      </c>
      <c r="Q226" s="20" t="n">
        <v>2654</v>
      </c>
      <c r="R226" s="20" t="n">
        <v>2519</v>
      </c>
      <c r="S226" s="20" t="n">
        <v>2579</v>
      </c>
      <c r="T226" s="20" t="n">
        <v>2847</v>
      </c>
      <c r="U226" s="20" t="n">
        <v>2845</v>
      </c>
      <c r="V226" s="20" t="n">
        <v>3327</v>
      </c>
      <c r="W226" s="20" t="n">
        <v>3576</v>
      </c>
      <c r="X226" s="20" t="n">
        <v>3391</v>
      </c>
    </row>
    <row r="227">
      <c r="A227" s="18" t="inlineStr">
        <is>
          <t>영업권 상각</t>
        </is>
      </c>
      <c r="D227" s="20" t="n">
        <v>11</v>
      </c>
      <c r="H227" s="20" t="n">
        <v>6</v>
      </c>
      <c r="L227" s="20" t="n">
        <v>0</v>
      </c>
      <c r="O227" s="20" t="n">
        <v>110</v>
      </c>
      <c r="P227" s="20" t="n">
        <v>110</v>
      </c>
      <c r="Q227" s="20" t="n">
        <v>110</v>
      </c>
      <c r="R227" s="20" t="n">
        <v>4</v>
      </c>
      <c r="S227" s="20" t="n">
        <v>11</v>
      </c>
      <c r="T227" s="20" t="n">
        <v>11</v>
      </c>
      <c r="U227" s="20" t="n">
        <v>11</v>
      </c>
      <c r="V227" s="20" t="n">
        <v>11</v>
      </c>
      <c r="W227" s="20" t="n">
        <v>6</v>
      </c>
      <c r="X227" s="20" t="n">
        <v>0</v>
      </c>
    </row>
    <row r="228">
      <c r="A228" s="18" t="inlineStr">
        <is>
          <t>손상차손</t>
        </is>
      </c>
      <c r="D228" s="20" t="n">
        <v>406</v>
      </c>
      <c r="H228" s="20" t="n">
        <v>1304</v>
      </c>
      <c r="L228" s="20" t="n">
        <v>560</v>
      </c>
      <c r="O228" s="20" t="n">
        <v>1108</v>
      </c>
      <c r="P228" s="20" t="n">
        <v>375</v>
      </c>
      <c r="Q228" s="20" t="n">
        <v>750</v>
      </c>
      <c r="R228" s="20" t="n">
        <v>644</v>
      </c>
      <c r="S228" s="20" t="n">
        <v>546</v>
      </c>
      <c r="T228" s="20" t="n">
        <v>356</v>
      </c>
      <c r="U228" s="20" t="n">
        <v>243</v>
      </c>
      <c r="V228" s="20" t="n">
        <v>406</v>
      </c>
      <c r="W228" s="20" t="n">
        <v>1304</v>
      </c>
      <c r="X228" s="20" t="n">
        <v>560</v>
      </c>
    </row>
    <row r="229">
      <c r="A229" s="18" t="inlineStr">
        <is>
          <t>투자유가증권 평가손익</t>
        </is>
      </c>
      <c r="Q229" s="20" t="n">
        <v>7</v>
      </c>
      <c r="R229" s="20" t="n">
        <v>98</v>
      </c>
      <c r="S229" s="20" t="n">
        <v>0</v>
      </c>
      <c r="T229" s="20" t="n">
        <v>0</v>
      </c>
      <c r="U229" s="20" t="n">
        <v>0</v>
      </c>
    </row>
    <row r="230">
      <c r="A230" s="18" t="inlineStr">
        <is>
          <t>사업분리 이전이익</t>
        </is>
      </c>
      <c r="H230" s="20" t="n">
        <v>0</v>
      </c>
      <c r="L230" s="20" t="n">
        <v>-1241</v>
      </c>
      <c r="W230" s="20" t="n">
        <v>0</v>
      </c>
      <c r="X230" s="20" t="n">
        <v>-1241</v>
      </c>
    </row>
    <row r="231">
      <c r="A231" s="18" t="inlineStr">
        <is>
          <t>퇴직급여부채 증감</t>
        </is>
      </c>
      <c r="D231" s="20" t="n">
        <v>-17</v>
      </c>
      <c r="H231" s="20" t="n">
        <v>24</v>
      </c>
      <c r="L231" s="20" t="n">
        <v>-63</v>
      </c>
      <c r="O231" s="20" t="n">
        <v>-9</v>
      </c>
      <c r="P231" s="20" t="n">
        <v>-0</v>
      </c>
      <c r="Q231" s="20" t="n">
        <v>-15</v>
      </c>
      <c r="R231" s="20" t="n">
        <v>-297</v>
      </c>
      <c r="S231" s="20" t="n">
        <v>38</v>
      </c>
      <c r="T231" s="20" t="n">
        <v>16</v>
      </c>
      <c r="U231" s="20" t="n">
        <v>-249</v>
      </c>
      <c r="V231" s="20" t="n">
        <v>-17</v>
      </c>
      <c r="W231" s="20" t="n">
        <v>24</v>
      </c>
      <c r="X231" s="20" t="n">
        <v>-63</v>
      </c>
    </row>
    <row r="232">
      <c r="A232" s="18" t="inlineStr">
        <is>
          <t>포인트 충당금 증감</t>
        </is>
      </c>
      <c r="D232" s="20" t="n">
        <v>0</v>
      </c>
      <c r="O232" s="20" t="n">
        <v>45</v>
      </c>
      <c r="P232" s="20" t="n">
        <v>33</v>
      </c>
      <c r="Q232" s="20" t="n">
        <v>-68</v>
      </c>
      <c r="R232" s="20" t="n">
        <v>12</v>
      </c>
      <c r="S232" s="20" t="n">
        <v>13</v>
      </c>
      <c r="T232" s="20" t="n">
        <v>-23</v>
      </c>
      <c r="U232" s="20" t="n">
        <v>-646</v>
      </c>
      <c r="V232" s="20" t="n">
        <v>0</v>
      </c>
    </row>
    <row r="233">
      <c r="A233" s="18" t="inlineStr">
        <is>
          <t>보조금 수입</t>
        </is>
      </c>
      <c r="D233" s="20" t="n">
        <v>0</v>
      </c>
      <c r="H233" s="20" t="n">
        <v>-150</v>
      </c>
      <c r="L233" s="20" t="n">
        <v>-11</v>
      </c>
      <c r="V233" s="20" t="n">
        <v>0</v>
      </c>
      <c r="W233" s="20" t="n">
        <v>-150</v>
      </c>
      <c r="X233" s="20" t="n">
        <v>-11</v>
      </c>
    </row>
    <row r="234">
      <c r="A234" s="18" t="inlineStr">
        <is>
          <t>상여충당금 증감</t>
        </is>
      </c>
      <c r="D234" s="20" t="n">
        <v>1</v>
      </c>
      <c r="H234" s="20" t="n">
        <v>-19</v>
      </c>
      <c r="L234" s="20" t="n">
        <v>-29</v>
      </c>
      <c r="O234" s="20" t="n">
        <v>-5</v>
      </c>
      <c r="P234" s="20" t="n">
        <v>-3</v>
      </c>
      <c r="Q234" s="20" t="n">
        <v>-10</v>
      </c>
      <c r="R234" s="20" t="n">
        <v>2</v>
      </c>
      <c r="S234" s="20" t="n">
        <v>-26</v>
      </c>
      <c r="T234" s="20" t="n">
        <v>5</v>
      </c>
      <c r="U234" s="20" t="n">
        <v>18</v>
      </c>
      <c r="V234" s="20" t="n">
        <v>1</v>
      </c>
      <c r="W234" s="20" t="n">
        <v>-19</v>
      </c>
      <c r="X234" s="20" t="n">
        <v>-29</v>
      </c>
    </row>
    <row r="235">
      <c r="A235" s="18" t="inlineStr">
        <is>
          <t>상품권 회수손실 충당금 증감</t>
        </is>
      </c>
      <c r="D235" s="20" t="n">
        <v>0</v>
      </c>
      <c r="O235" s="20" t="n">
        <v>-2</v>
      </c>
      <c r="P235" s="20" t="n">
        <v>2</v>
      </c>
      <c r="Q235" s="20" t="n">
        <v>0</v>
      </c>
      <c r="R235" s="20" t="n">
        <v>-2</v>
      </c>
      <c r="S235" s="20" t="n">
        <v>-1</v>
      </c>
      <c r="T235" s="20" t="n">
        <v>25</v>
      </c>
      <c r="U235" s="20" t="n">
        <v>-98</v>
      </c>
      <c r="V235" s="20" t="n">
        <v>0</v>
      </c>
    </row>
    <row r="236">
      <c r="A236" s="18" t="inlineStr">
        <is>
          <t>임원 상여충당금 증감</t>
        </is>
      </c>
      <c r="O236" s="20" t="n">
        <v>-21</v>
      </c>
      <c r="P236" s="20" t="n">
        <v>-1</v>
      </c>
      <c r="Q236" s="20" t="n">
        <v>-7</v>
      </c>
      <c r="R236" s="20" t="n">
        <v>-2</v>
      </c>
      <c r="S236" s="20" t="n">
        <v>-0</v>
      </c>
      <c r="T236" s="20" t="n">
        <v>-0</v>
      </c>
      <c r="U236" s="20" t="n">
        <v>0</v>
      </c>
    </row>
    <row r="237">
      <c r="A237" s="18" t="inlineStr">
        <is>
          <t>계약부채 증감</t>
        </is>
      </c>
      <c r="D237" s="20" t="n">
        <v>-1345</v>
      </c>
      <c r="U237" s="20" t="n">
        <v>846</v>
      </c>
      <c r="V237" s="20" t="n">
        <v>-1345</v>
      </c>
    </row>
    <row r="238">
      <c r="A238" s="18" t="inlineStr">
        <is>
          <t>계약부채 증감</t>
        </is>
      </c>
      <c r="D238" s="20" t="n">
        <v>-1345</v>
      </c>
      <c r="H238" s="20" t="n">
        <v>-271</v>
      </c>
      <c r="L238" s="20" t="n">
        <v>5</v>
      </c>
      <c r="V238" s="20" t="n">
        <v>-1345</v>
      </c>
      <c r="W238" s="20" t="n">
        <v>-271</v>
      </c>
      <c r="X238" s="20" t="n">
        <v>5</v>
      </c>
    </row>
    <row r="239">
      <c r="A239" s="18" t="inlineStr">
        <is>
          <t>이자·배당금 수익</t>
        </is>
      </c>
      <c r="D239" s="20" t="n">
        <v>-15</v>
      </c>
      <c r="F239" s="20" t="n">
        <v>-10</v>
      </c>
      <c r="H239" s="20" t="n">
        <v>-17</v>
      </c>
      <c r="J239" s="20" t="n">
        <v>-15</v>
      </c>
      <c r="L239" s="20" t="n">
        <v>-29</v>
      </c>
      <c r="N239" s="20" t="n">
        <v>-43</v>
      </c>
      <c r="O239" s="20" t="n">
        <v>-15</v>
      </c>
      <c r="P239" s="20" t="n">
        <v>-14</v>
      </c>
      <c r="Q239" s="20" t="n">
        <v>-14</v>
      </c>
      <c r="R239" s="20" t="n">
        <v>-15</v>
      </c>
      <c r="S239" s="20" t="n">
        <v>-12</v>
      </c>
      <c r="T239" s="20" t="n">
        <v>-11</v>
      </c>
      <c r="U239" s="20" t="n">
        <v>-12</v>
      </c>
      <c r="V239" s="20" t="n">
        <v>-15</v>
      </c>
      <c r="W239" s="20" t="n">
        <v>-17</v>
      </c>
      <c r="X239" s="20" t="n">
        <v>-29</v>
      </c>
    </row>
    <row r="240">
      <c r="A240" s="18" t="inlineStr">
        <is>
          <t>이자비용</t>
        </is>
      </c>
      <c r="D240" s="20" t="n">
        <v>37</v>
      </c>
      <c r="F240" s="20" t="n">
        <v>25</v>
      </c>
      <c r="H240" s="20" t="n">
        <v>58</v>
      </c>
      <c r="J240" s="20" t="n">
        <v>36</v>
      </c>
      <c r="L240" s="20" t="n">
        <v>67</v>
      </c>
      <c r="N240" s="20" t="n">
        <v>32</v>
      </c>
      <c r="O240" s="20" t="n">
        <v>21</v>
      </c>
      <c r="P240" s="20" t="n">
        <v>15</v>
      </c>
      <c r="Q240" s="20" t="n">
        <v>16</v>
      </c>
      <c r="R240" s="20" t="n">
        <v>13</v>
      </c>
      <c r="S240" s="20" t="n">
        <v>14</v>
      </c>
      <c r="T240" s="20" t="n">
        <v>13</v>
      </c>
      <c r="U240" s="20" t="n">
        <v>16</v>
      </c>
      <c r="V240" s="20" t="n">
        <v>37</v>
      </c>
      <c r="W240" s="20" t="n">
        <v>58</v>
      </c>
      <c r="X240" s="20" t="n">
        <v>67</v>
      </c>
    </row>
    <row r="241">
      <c r="A241" s="18" t="inlineStr">
        <is>
          <t>유형자산 매각이익</t>
        </is>
      </c>
      <c r="O241" s="20" t="n">
        <v>-2249</v>
      </c>
      <c r="P241" s="20" t="n">
        <v>-57</v>
      </c>
      <c r="Q241" s="20" t="n">
        <v>-395</v>
      </c>
      <c r="R241" s="20" t="n">
        <v>-127</v>
      </c>
    </row>
    <row r="242">
      <c r="A242" s="18" t="inlineStr">
        <is>
          <t>유형자산 매각손익</t>
        </is>
      </c>
      <c r="D242" s="20" t="n">
        <v>-47</v>
      </c>
      <c r="H242" s="20" t="n">
        <v>-0</v>
      </c>
      <c r="L242" s="20" t="n">
        <v>-1</v>
      </c>
      <c r="R242" s="20" t="n">
        <v>-127</v>
      </c>
      <c r="S242" s="20" t="n">
        <v>-238</v>
      </c>
      <c r="T242" s="20" t="n">
        <v>0</v>
      </c>
      <c r="U242" s="20" t="n">
        <v>-14</v>
      </c>
      <c r="V242" s="20" t="n">
        <v>-47</v>
      </c>
      <c r="W242" s="20" t="n">
        <v>-0</v>
      </c>
      <c r="X242" s="20" t="n">
        <v>-1</v>
      </c>
    </row>
    <row r="243">
      <c r="A243" s="18" t="inlineStr">
        <is>
          <t>유형자산 제각손실</t>
        </is>
      </c>
      <c r="D243" s="20" t="n">
        <v>77</v>
      </c>
      <c r="H243" s="20" t="n">
        <v>199</v>
      </c>
      <c r="L243" s="20" t="n">
        <v>69</v>
      </c>
      <c r="O243" s="20" t="n">
        <v>106</v>
      </c>
      <c r="P243" s="20" t="n">
        <v>29</v>
      </c>
      <c r="Q243" s="20" t="n">
        <v>37</v>
      </c>
      <c r="R243" s="20" t="n">
        <v>15</v>
      </c>
      <c r="S243" s="20" t="n">
        <v>310</v>
      </c>
      <c r="T243" s="20" t="n">
        <v>25</v>
      </c>
      <c r="U243" s="20" t="n">
        <v>70</v>
      </c>
      <c r="V243" s="20" t="n">
        <v>77</v>
      </c>
      <c r="W243" s="20" t="n">
        <v>199</v>
      </c>
      <c r="X243" s="20" t="n">
        <v>69</v>
      </c>
    </row>
    <row r="244">
      <c r="A244" s="18" t="inlineStr">
        <is>
          <t>유형자산 매각손실</t>
        </is>
      </c>
      <c r="O244" s="20" t="n">
        <v>0</v>
      </c>
      <c r="P244" s="20" t="n">
        <v>0</v>
      </c>
    </row>
    <row r="245">
      <c r="A245" s="18" t="inlineStr">
        <is>
          <t>유가증권 매각손익</t>
        </is>
      </c>
      <c r="T245" s="20" t="n">
        <v>0</v>
      </c>
      <c r="U245" s="20" t="n">
        <v>26</v>
      </c>
    </row>
    <row r="246">
      <c r="A246" s="18" t="inlineStr">
        <is>
          <t>투자유가증권 매각손익</t>
        </is>
      </c>
      <c r="D246" s="20" t="n">
        <v>-2</v>
      </c>
      <c r="H246" s="20" t="n">
        <v>0</v>
      </c>
      <c r="U246" s="20" t="n">
        <v>26</v>
      </c>
      <c r="V246" s="20" t="n">
        <v>-2</v>
      </c>
      <c r="W246" s="20" t="n">
        <v>0</v>
      </c>
    </row>
    <row r="247">
      <c r="A247" s="18" t="inlineStr">
        <is>
          <t>자회사 청산손익</t>
        </is>
      </c>
      <c r="H247" s="20" t="n">
        <v>0</v>
      </c>
      <c r="L247" s="20" t="n">
        <v>-26</v>
      </c>
      <c r="W247" s="20" t="n">
        <v>0</v>
      </c>
      <c r="X247" s="20" t="n">
        <v>-26</v>
      </c>
    </row>
    <row r="248">
      <c r="A248" s="18" t="inlineStr">
        <is>
          <t>매출채권 증감</t>
        </is>
      </c>
      <c r="D248" s="20" t="n">
        <v>-470</v>
      </c>
      <c r="H248" s="20" t="n">
        <v>-922</v>
      </c>
      <c r="L248" s="20" t="n">
        <v>55</v>
      </c>
      <c r="O248" s="20" t="n">
        <v>195</v>
      </c>
      <c r="P248" s="20" t="n">
        <v>-36</v>
      </c>
      <c r="Q248" s="20" t="n">
        <v>-24</v>
      </c>
      <c r="R248" s="20" t="n">
        <v>-58</v>
      </c>
      <c r="S248" s="20" t="n">
        <v>48</v>
      </c>
      <c r="T248" s="20" t="n">
        <v>-40</v>
      </c>
      <c r="U248" s="20" t="n">
        <v>-10</v>
      </c>
      <c r="V248" s="20" t="n">
        <v>-470</v>
      </c>
      <c r="W248" s="20" t="n">
        <v>-922</v>
      </c>
      <c r="X248" s="20" t="n">
        <v>55</v>
      </c>
    </row>
    <row r="249">
      <c r="A249" s="18" t="inlineStr">
        <is>
          <t>재고자산 증감</t>
        </is>
      </c>
      <c r="D249" s="20" t="n">
        <v>-230</v>
      </c>
      <c r="F249" s="20" t="n">
        <v>-125</v>
      </c>
      <c r="H249" s="20" t="n">
        <v>-170</v>
      </c>
      <c r="J249" s="20" t="n">
        <v>238</v>
      </c>
      <c r="L249" s="20" t="n">
        <v>51</v>
      </c>
      <c r="N249" s="20" t="n">
        <v>220</v>
      </c>
      <c r="O249" s="20" t="n">
        <v>-237</v>
      </c>
      <c r="P249" s="20" t="n">
        <v>-99</v>
      </c>
      <c r="Q249" s="20" t="n">
        <v>330</v>
      </c>
      <c r="R249" s="20" t="n">
        <v>132</v>
      </c>
      <c r="S249" s="20" t="n">
        <v>252</v>
      </c>
      <c r="T249" s="20" t="n">
        <v>37</v>
      </c>
      <c r="U249" s="20" t="n">
        <v>-335</v>
      </c>
      <c r="V249" s="20" t="n">
        <v>-230</v>
      </c>
      <c r="W249" s="20" t="n">
        <v>-170</v>
      </c>
      <c r="X249" s="20" t="n">
        <v>51</v>
      </c>
    </row>
    <row r="250">
      <c r="A250" s="18" t="inlineStr">
        <is>
          <t>미수금 증감</t>
        </is>
      </c>
      <c r="D250" s="20" t="n">
        <v>237</v>
      </c>
      <c r="H250" s="20" t="n">
        <v>398</v>
      </c>
      <c r="L250" s="20" t="n">
        <v>-389</v>
      </c>
      <c r="V250" s="20" t="n">
        <v>237</v>
      </c>
      <c r="W250" s="20" t="n">
        <v>398</v>
      </c>
      <c r="X250" s="20" t="n">
        <v>-389</v>
      </c>
    </row>
    <row r="251">
      <c r="A251" s="18" t="inlineStr">
        <is>
          <t>매입채무 증감</t>
        </is>
      </c>
      <c r="D251" s="20" t="n">
        <v>24</v>
      </c>
      <c r="F251" s="20" t="n">
        <v>2428</v>
      </c>
      <c r="H251" s="20" t="n">
        <v>185</v>
      </c>
      <c r="J251" s="20" t="n">
        <v>2438</v>
      </c>
      <c r="L251" s="20" t="n">
        <v>1417</v>
      </c>
      <c r="N251" s="20" t="n">
        <v>-314</v>
      </c>
      <c r="O251" s="20" t="n">
        <v>-152</v>
      </c>
      <c r="P251" s="20" t="n">
        <v>-292</v>
      </c>
      <c r="Q251" s="20" t="n">
        <v>-148</v>
      </c>
      <c r="R251" s="20" t="n">
        <v>1186</v>
      </c>
      <c r="S251" s="20" t="n">
        <v>-201</v>
      </c>
      <c r="T251" s="20" t="n">
        <v>-759</v>
      </c>
      <c r="U251" s="20" t="n">
        <v>-173</v>
      </c>
      <c r="V251" s="20" t="n">
        <v>24</v>
      </c>
      <c r="W251" s="20" t="n">
        <v>185</v>
      </c>
      <c r="X251" s="20" t="n">
        <v>1417</v>
      </c>
    </row>
    <row r="252">
      <c r="A252" s="18" t="inlineStr">
        <is>
          <t>예수금 증감</t>
        </is>
      </c>
      <c r="D252" s="20" t="n">
        <v>72</v>
      </c>
      <c r="H252" s="20" t="n">
        <v>777</v>
      </c>
      <c r="L252" s="20" t="n">
        <v>76</v>
      </c>
      <c r="V252" s="20" t="n">
        <v>72</v>
      </c>
      <c r="W252" s="20" t="n">
        <v>777</v>
      </c>
      <c r="X252" s="20" t="n">
        <v>76</v>
      </c>
    </row>
    <row r="253">
      <c r="A253" s="18" t="inlineStr">
        <is>
          <t>미지급 소비세 증감</t>
        </is>
      </c>
      <c r="D253" s="20" t="n">
        <v>189</v>
      </c>
      <c r="H253" s="20" t="n">
        <v>235</v>
      </c>
      <c r="L253" s="20" t="n">
        <v>93</v>
      </c>
      <c r="O253" s="20" t="n">
        <v>36</v>
      </c>
      <c r="P253" s="20" t="n">
        <v>-36</v>
      </c>
      <c r="Q253" s="20" t="n">
        <v>220</v>
      </c>
      <c r="R253" s="20" t="n">
        <v>-166</v>
      </c>
      <c r="S253" s="20" t="n">
        <v>32</v>
      </c>
      <c r="T253" s="20" t="n">
        <v>39</v>
      </c>
      <c r="U253" s="20" t="n">
        <v>-127</v>
      </c>
      <c r="V253" s="20" t="n">
        <v>189</v>
      </c>
      <c r="W253" s="20" t="n">
        <v>235</v>
      </c>
      <c r="X253" s="20" t="n">
        <v>93</v>
      </c>
    </row>
    <row r="254">
      <c r="A254" s="18" t="inlineStr">
        <is>
          <t>기타 유동자산 증감</t>
        </is>
      </c>
      <c r="D254" s="20" t="n">
        <v>-323</v>
      </c>
      <c r="H254" s="20" t="n">
        <v>30</v>
      </c>
      <c r="L254" s="20" t="n">
        <v>-140</v>
      </c>
      <c r="O254" s="20" t="n">
        <v>102</v>
      </c>
      <c r="P254" s="20" t="n">
        <v>-207</v>
      </c>
      <c r="Q254" s="20" t="n">
        <v>-65</v>
      </c>
      <c r="R254" s="20" t="n">
        <v>-144</v>
      </c>
      <c r="S254" s="20" t="n">
        <v>-154</v>
      </c>
      <c r="T254" s="20" t="n">
        <v>46</v>
      </c>
      <c r="U254" s="20" t="n">
        <v>-350</v>
      </c>
      <c r="V254" s="20" t="n">
        <v>-323</v>
      </c>
      <c r="W254" s="20" t="n">
        <v>30</v>
      </c>
      <c r="X254" s="20" t="n">
        <v>-140</v>
      </c>
    </row>
    <row r="255">
      <c r="A255" s="18" t="inlineStr">
        <is>
          <t>기타 유동부채 증감</t>
        </is>
      </c>
      <c r="D255" s="20" t="n">
        <v>-64</v>
      </c>
      <c r="H255" s="20" t="n">
        <v>-6</v>
      </c>
      <c r="L255" s="20" t="n">
        <v>362</v>
      </c>
      <c r="O255" s="20" t="n">
        <v>-179</v>
      </c>
      <c r="P255" s="20" t="n">
        <v>-27</v>
      </c>
      <c r="Q255" s="20" t="n">
        <v>385</v>
      </c>
      <c r="R255" s="20" t="n">
        <v>70</v>
      </c>
      <c r="S255" s="20" t="n">
        <v>724</v>
      </c>
      <c r="T255" s="20" t="n">
        <v>-244</v>
      </c>
      <c r="U255" s="20" t="n">
        <v>-195</v>
      </c>
      <c r="V255" s="20" t="n">
        <v>-64</v>
      </c>
      <c r="W255" s="20" t="n">
        <v>-6</v>
      </c>
      <c r="X255" s="20" t="n">
        <v>362</v>
      </c>
    </row>
    <row r="256">
      <c r="A256" s="18" t="inlineStr">
        <is>
          <t>기타</t>
        </is>
      </c>
      <c r="D256" s="20" t="n">
        <v>-37</v>
      </c>
      <c r="F256" s="20" t="n">
        <v>155</v>
      </c>
      <c r="H256" s="20" t="n">
        <v>-117</v>
      </c>
      <c r="J256" s="20" t="n">
        <v>92</v>
      </c>
      <c r="L256" s="20" t="n">
        <v>6</v>
      </c>
      <c r="N256" s="20" t="n">
        <v>-501</v>
      </c>
      <c r="O256" s="20" t="n">
        <v>28</v>
      </c>
      <c r="P256" s="20" t="n">
        <v>32</v>
      </c>
      <c r="Q256" s="20" t="n">
        <v>-414</v>
      </c>
      <c r="R256" s="20" t="n">
        <v>-22</v>
      </c>
      <c r="S256" s="20" t="n">
        <v>113</v>
      </c>
      <c r="T256" s="20" t="n">
        <v>38</v>
      </c>
      <c r="U256" s="20" t="n">
        <v>-187</v>
      </c>
      <c r="V256" s="20" t="n">
        <v>-37</v>
      </c>
      <c r="W256" s="20" t="n">
        <v>-117</v>
      </c>
      <c r="X256" s="20" t="n">
        <v>6</v>
      </c>
    </row>
    <row r="257">
      <c r="A257" s="18" t="inlineStr">
        <is>
          <t>소계</t>
        </is>
      </c>
      <c r="D257" s="20" t="n">
        <v>2075</v>
      </c>
      <c r="F257" s="20" t="n">
        <v>3925</v>
      </c>
      <c r="H257" s="20" t="n">
        <v>3208</v>
      </c>
      <c r="J257" s="20" t="n">
        <v>5129</v>
      </c>
      <c r="L257" s="20" t="n">
        <v>6096</v>
      </c>
      <c r="N257" s="20" t="n">
        <v>1662</v>
      </c>
      <c r="O257" s="20" t="n">
        <v>4054</v>
      </c>
      <c r="P257" s="20" t="n">
        <v>3373</v>
      </c>
      <c r="Q257" s="20" t="n">
        <v>3233</v>
      </c>
      <c r="R257" s="20" t="n">
        <v>3930</v>
      </c>
      <c r="S257" s="20" t="n">
        <v>5841</v>
      </c>
      <c r="T257" s="20" t="n">
        <v>3163</v>
      </c>
      <c r="U257" s="20" t="n">
        <v>2279</v>
      </c>
      <c r="V257" s="20" t="n">
        <v>2075</v>
      </c>
      <c r="W257" s="20" t="n">
        <v>3208</v>
      </c>
      <c r="X257" s="20" t="n">
        <v>6096</v>
      </c>
    </row>
    <row r="258">
      <c r="A258" s="18" t="inlineStr">
        <is>
          <t>이자·배당금 수취</t>
        </is>
      </c>
      <c r="D258" s="20" t="n">
        <v>15</v>
      </c>
      <c r="F258" s="20" t="n">
        <v>9</v>
      </c>
      <c r="H258" s="20" t="n">
        <v>14</v>
      </c>
      <c r="J258" s="20" t="n">
        <v>14</v>
      </c>
      <c r="L258" s="20" t="n">
        <v>25</v>
      </c>
      <c r="N258" s="20" t="n">
        <v>42</v>
      </c>
      <c r="O258" s="20" t="n">
        <v>12</v>
      </c>
      <c r="P258" s="20" t="n">
        <v>10</v>
      </c>
      <c r="Q258" s="20" t="n">
        <v>12</v>
      </c>
      <c r="R258" s="20" t="n">
        <v>13</v>
      </c>
      <c r="S258" s="20" t="n">
        <v>14</v>
      </c>
      <c r="T258" s="20" t="n">
        <v>11</v>
      </c>
      <c r="U258" s="20" t="n">
        <v>11</v>
      </c>
      <c r="V258" s="20" t="n">
        <v>15</v>
      </c>
      <c r="W258" s="20" t="n">
        <v>14</v>
      </c>
      <c r="X258" s="20" t="n">
        <v>25</v>
      </c>
    </row>
    <row r="259">
      <c r="A259" s="18" t="inlineStr">
        <is>
          <t>이자 지급</t>
        </is>
      </c>
      <c r="D259" s="20" t="n">
        <v>-35</v>
      </c>
      <c r="F259" s="20" t="n">
        <v>-26</v>
      </c>
      <c r="H259" s="20" t="n">
        <v>-59</v>
      </c>
      <c r="J259" s="20" t="n">
        <v>-36</v>
      </c>
      <c r="L259" s="20" t="n">
        <v>-67</v>
      </c>
      <c r="N259" s="20" t="n">
        <v>-34</v>
      </c>
      <c r="O259" s="20" t="n">
        <v>-21</v>
      </c>
      <c r="P259" s="20" t="n">
        <v>-15</v>
      </c>
      <c r="Q259" s="20" t="n">
        <v>-16</v>
      </c>
      <c r="R259" s="20" t="n">
        <v>-13</v>
      </c>
      <c r="S259" s="20" t="n">
        <v>-14</v>
      </c>
      <c r="T259" s="20" t="n">
        <v>-12</v>
      </c>
      <c r="U259" s="20" t="n">
        <v>-12</v>
      </c>
      <c r="V259" s="20" t="n">
        <v>-35</v>
      </c>
      <c r="W259" s="20" t="n">
        <v>-59</v>
      </c>
      <c r="X259" s="20" t="n">
        <v>-67</v>
      </c>
    </row>
    <row r="260">
      <c r="A260" s="18" t="inlineStr">
        <is>
          <t>법인세 납부</t>
        </is>
      </c>
      <c r="D260" s="20" t="n">
        <v>-427</v>
      </c>
      <c r="F260" s="20" t="n">
        <v>-33</v>
      </c>
      <c r="H260" s="20" t="n">
        <v>-38</v>
      </c>
      <c r="J260" s="20" t="n">
        <v>-70</v>
      </c>
      <c r="L260" s="20" t="n">
        <v>-104</v>
      </c>
      <c r="N260" s="20" t="n">
        <v>-240</v>
      </c>
      <c r="O260" s="20" t="n">
        <v>-872</v>
      </c>
      <c r="P260" s="20" t="n">
        <v>-1484</v>
      </c>
      <c r="Q260" s="20" t="n">
        <v>-367</v>
      </c>
      <c r="R260" s="20" t="n">
        <v>-547</v>
      </c>
      <c r="S260" s="20" t="n">
        <v>-191</v>
      </c>
      <c r="T260" s="20" t="n">
        <v>-908</v>
      </c>
      <c r="U260" s="20" t="n">
        <v>-345</v>
      </c>
      <c r="V260" s="20" t="n">
        <v>-427</v>
      </c>
      <c r="W260" s="20" t="n">
        <v>-38</v>
      </c>
      <c r="X260" s="20" t="n">
        <v>-104</v>
      </c>
    </row>
    <row r="261">
      <c r="A261" s="18" t="inlineStr">
        <is>
          <t>법인세 환급</t>
        </is>
      </c>
      <c r="D261" s="20" t="n">
        <v>0</v>
      </c>
      <c r="F261" s="20" t="n">
        <v>171</v>
      </c>
      <c r="H261" s="20" t="n">
        <v>191</v>
      </c>
      <c r="J261" s="20" t="n">
        <v>0</v>
      </c>
      <c r="L261" s="20" t="n">
        <v>0</v>
      </c>
      <c r="P261" s="20" t="n">
        <v>0</v>
      </c>
      <c r="Q261" s="20" t="n">
        <v>298</v>
      </c>
      <c r="R261" s="20" t="n">
        <v>0</v>
      </c>
      <c r="S261" s="20" t="n">
        <v>37</v>
      </c>
      <c r="T261" s="20" t="n">
        <v>0</v>
      </c>
      <c r="U261" s="20" t="n">
        <v>0</v>
      </c>
      <c r="V261" s="20" t="n">
        <v>0</v>
      </c>
      <c r="W261" s="20" t="n">
        <v>191</v>
      </c>
      <c r="X261" s="20" t="n">
        <v>0</v>
      </c>
    </row>
    <row r="262">
      <c r="A262" s="9" t="inlineStr">
        <is>
          <t>영업활동 현금흐름</t>
        </is>
      </c>
      <c r="D262" s="12" t="n">
        <v>1628</v>
      </c>
      <c r="F262" s="12" t="n">
        <v>4047</v>
      </c>
      <c r="H262" s="12" t="n">
        <v>3317</v>
      </c>
      <c r="J262" s="12" t="n">
        <v>5037</v>
      </c>
      <c r="L262" s="12" t="n">
        <v>5950</v>
      </c>
      <c r="N262" s="12" t="n">
        <v>1429</v>
      </c>
      <c r="O262" s="12" t="n">
        <v>3172</v>
      </c>
      <c r="P262" s="12" t="n">
        <v>1884</v>
      </c>
      <c r="Q262" s="12" t="n">
        <v>3161</v>
      </c>
      <c r="R262" s="12" t="n">
        <v>3382</v>
      </c>
      <c r="S262" s="12" t="n">
        <v>5688</v>
      </c>
      <c r="T262" s="12" t="n">
        <v>2253</v>
      </c>
      <c r="U262" s="12" t="n">
        <v>1931</v>
      </c>
      <c r="V262" s="12" t="n">
        <v>1628</v>
      </c>
      <c r="W262" s="12" t="n">
        <v>3317</v>
      </c>
      <c r="X262" s="12" t="n">
        <v>5950</v>
      </c>
    </row>
    <row r="263">
      <c r="A263" s="18" t="inlineStr">
        <is>
          <t>정기예금 순증감</t>
        </is>
      </c>
      <c r="D263" s="20" t="n">
        <v>5</v>
      </c>
      <c r="H263" s="20" t="n">
        <v>0</v>
      </c>
      <c r="O263" s="20" t="n">
        <v>-194</v>
      </c>
      <c r="P263" s="20" t="n">
        <v>166</v>
      </c>
      <c r="Q263" s="20" t="n">
        <v>-12</v>
      </c>
      <c r="R263" s="20" t="n">
        <v>35</v>
      </c>
      <c r="S263" s="20" t="n">
        <v>-0</v>
      </c>
      <c r="T263" s="20" t="n">
        <v>10</v>
      </c>
      <c r="U263" s="20" t="n">
        <v>0</v>
      </c>
      <c r="V263" s="20" t="n">
        <v>5</v>
      </c>
      <c r="W263" s="20" t="n">
        <v>0</v>
      </c>
    </row>
    <row r="264">
      <c r="A264" s="18" t="inlineStr">
        <is>
          <t>유가증권 취득</t>
        </is>
      </c>
      <c r="O264" s="20" t="n">
        <v>0</v>
      </c>
      <c r="P264" s="20" t="n">
        <v>-3</v>
      </c>
      <c r="Q264" s="20" t="n">
        <v>-1</v>
      </c>
      <c r="R264" s="20" t="n">
        <v>-1</v>
      </c>
      <c r="S264" s="20" t="n">
        <v>0</v>
      </c>
      <c r="T264" s="20" t="n">
        <v>-5</v>
      </c>
      <c r="U264" s="20" t="n">
        <v>0</v>
      </c>
    </row>
    <row r="265">
      <c r="A265" s="18" t="inlineStr">
        <is>
          <t>유가증권 매각</t>
        </is>
      </c>
      <c r="D265" s="20" t="n">
        <v>4</v>
      </c>
      <c r="H265" s="20" t="n">
        <v>0</v>
      </c>
      <c r="P265" s="20" t="n">
        <v>0</v>
      </c>
      <c r="Q265" s="20" t="n">
        <v>0</v>
      </c>
      <c r="R265" s="20" t="n">
        <v>5</v>
      </c>
      <c r="S265" s="20" t="n">
        <v>0</v>
      </c>
      <c r="T265" s="20" t="n">
        <v>3</v>
      </c>
      <c r="U265" s="20" t="n">
        <v>28</v>
      </c>
      <c r="V265" s="20" t="n">
        <v>4</v>
      </c>
      <c r="W265" s="20" t="n">
        <v>0</v>
      </c>
    </row>
    <row r="266">
      <c r="A266" s="18" t="inlineStr">
        <is>
          <t>자회사 청산 수입</t>
        </is>
      </c>
      <c r="H266" s="20" t="n">
        <v>0</v>
      </c>
      <c r="L266" s="20" t="n">
        <v>76</v>
      </c>
      <c r="W266" s="20" t="n">
        <v>0</v>
      </c>
      <c r="X266" s="20" t="n">
        <v>76</v>
      </c>
    </row>
    <row r="267">
      <c r="A267" s="18" t="inlineStr">
        <is>
          <t>유형자산 취득(설비투자)</t>
        </is>
      </c>
      <c r="D267" s="20" t="n">
        <v>-3491</v>
      </c>
      <c r="F267" s="20" t="n">
        <v>-1069</v>
      </c>
      <c r="H267" s="20" t="n">
        <v>-1606</v>
      </c>
      <c r="J267" s="20" t="n">
        <v>-320</v>
      </c>
      <c r="L267" s="20" t="n">
        <v>-527</v>
      </c>
      <c r="N267" s="20" t="n">
        <v>-590</v>
      </c>
      <c r="O267" s="20" t="n">
        <v>-2354</v>
      </c>
      <c r="P267" s="20" t="n">
        <v>-3566</v>
      </c>
      <c r="Q267" s="20" t="n">
        <v>-2319</v>
      </c>
      <c r="R267" s="20" t="n">
        <v>-2811</v>
      </c>
      <c r="S267" s="20" t="n">
        <v>-4278</v>
      </c>
      <c r="T267" s="20" t="n">
        <v>-2856</v>
      </c>
      <c r="U267" s="20" t="n">
        <v>-6173</v>
      </c>
      <c r="V267" s="20" t="n">
        <v>-3491</v>
      </c>
      <c r="W267" s="20" t="n">
        <v>-1606</v>
      </c>
      <c r="X267" s="20" t="n">
        <v>-527</v>
      </c>
    </row>
    <row r="268">
      <c r="A268" s="18" t="inlineStr">
        <is>
          <t>유형자산 매각</t>
        </is>
      </c>
      <c r="D268" s="20" t="n">
        <v>107</v>
      </c>
      <c r="H268" s="20" t="n">
        <v>37</v>
      </c>
      <c r="L268" s="20" t="n">
        <v>9</v>
      </c>
      <c r="O268" s="20" t="n">
        <v>3286</v>
      </c>
      <c r="P268" s="20" t="n">
        <v>68</v>
      </c>
      <c r="Q268" s="20" t="n">
        <v>1650</v>
      </c>
      <c r="R268" s="20" t="n">
        <v>573</v>
      </c>
      <c r="S268" s="20" t="n">
        <v>715</v>
      </c>
      <c r="T268" s="20" t="n">
        <v>5</v>
      </c>
      <c r="U268" s="20" t="n">
        <v>25</v>
      </c>
      <c r="V268" s="20" t="n">
        <v>107</v>
      </c>
      <c r="W268" s="20" t="n">
        <v>37</v>
      </c>
      <c r="X268" s="20" t="n">
        <v>9</v>
      </c>
    </row>
    <row r="269">
      <c r="A269" s="18" t="inlineStr">
        <is>
          <t>기타 무형자산 취득</t>
        </is>
      </c>
      <c r="D269" s="20" t="n">
        <v>-929</v>
      </c>
      <c r="H269" s="20" t="n">
        <v>-994</v>
      </c>
      <c r="O269" s="20" t="n">
        <v>-72</v>
      </c>
      <c r="P269" s="20" t="n">
        <v>-157</v>
      </c>
      <c r="Q269" s="20" t="n">
        <v>-82</v>
      </c>
      <c r="R269" s="20" t="n">
        <v>-214</v>
      </c>
      <c r="S269" s="20" t="n">
        <v>-138</v>
      </c>
      <c r="T269" s="20" t="n">
        <v>-284</v>
      </c>
      <c r="U269" s="20" t="n">
        <v>-128</v>
      </c>
      <c r="V269" s="20" t="n">
        <v>-929</v>
      </c>
      <c r="W269" s="20" t="n">
        <v>-994</v>
      </c>
    </row>
    <row r="270">
      <c r="A270" s="18" t="inlineStr">
        <is>
          <t>대여</t>
        </is>
      </c>
      <c r="D270" s="20" t="n">
        <v>-0</v>
      </c>
      <c r="H270" s="20" t="n">
        <v>0</v>
      </c>
      <c r="R270" s="20" t="n">
        <v>0</v>
      </c>
      <c r="S270" s="20" t="n">
        <v>-2</v>
      </c>
      <c r="T270" s="20" t="n">
        <v>0</v>
      </c>
      <c r="U270" s="20" t="n">
        <v>-213</v>
      </c>
      <c r="V270" s="20" t="n">
        <v>-0</v>
      </c>
      <c r="W270" s="20" t="n">
        <v>0</v>
      </c>
    </row>
    <row r="271">
      <c r="A271" s="18" t="inlineStr">
        <is>
          <t>무형자산 취득</t>
        </is>
      </c>
      <c r="H271" s="20" t="n">
        <v>-994</v>
      </c>
      <c r="L271" s="20" t="n">
        <v>-540</v>
      </c>
      <c r="W271" s="20" t="n">
        <v>-994</v>
      </c>
      <c r="X271" s="20" t="n">
        <v>-540</v>
      </c>
    </row>
    <row r="272">
      <c r="A272" s="18" t="inlineStr">
        <is>
          <t>대여금 회수</t>
        </is>
      </c>
      <c r="D272" s="20" t="n">
        <v>22</v>
      </c>
      <c r="H272" s="20" t="n">
        <v>15</v>
      </c>
      <c r="L272" s="20" t="n">
        <v>40</v>
      </c>
      <c r="O272" s="20" t="n">
        <v>0</v>
      </c>
      <c r="P272" s="20" t="n">
        <v>0</v>
      </c>
      <c r="Q272" s="20" t="n">
        <v>0</v>
      </c>
      <c r="R272" s="20" t="n">
        <v>0</v>
      </c>
      <c r="S272" s="20" t="n">
        <v>0</v>
      </c>
      <c r="T272" s="20" t="n">
        <v>0</v>
      </c>
      <c r="U272" s="20" t="n">
        <v>0</v>
      </c>
      <c r="V272" s="20" t="n">
        <v>22</v>
      </c>
      <c r="W272" s="20" t="n">
        <v>15</v>
      </c>
      <c r="X272" s="20" t="n">
        <v>40</v>
      </c>
    </row>
    <row r="273">
      <c r="A273" s="18" t="inlineStr">
        <is>
          <t>임차보증금·보증금 납입</t>
        </is>
      </c>
      <c r="D273" s="20" t="n">
        <v>-55</v>
      </c>
      <c r="F273" s="20" t="n">
        <v>-153</v>
      </c>
      <c r="H273" s="20" t="n">
        <v>-154</v>
      </c>
      <c r="J273" s="20" t="n">
        <v>-4</v>
      </c>
      <c r="L273" s="20" t="n">
        <v>-15</v>
      </c>
      <c r="N273" s="20" t="n">
        <v>-159</v>
      </c>
      <c r="O273" s="20" t="n">
        <v>-25</v>
      </c>
      <c r="P273" s="20" t="n">
        <v>-9</v>
      </c>
      <c r="Q273" s="20" t="n">
        <v>-14</v>
      </c>
      <c r="R273" s="20" t="n">
        <v>-68</v>
      </c>
      <c r="S273" s="20" t="n">
        <v>-32</v>
      </c>
      <c r="T273" s="20" t="n">
        <v>-26</v>
      </c>
      <c r="U273" s="20" t="n">
        <v>-831</v>
      </c>
      <c r="V273" s="20" t="n">
        <v>-55</v>
      </c>
      <c r="W273" s="20" t="n">
        <v>-154</v>
      </c>
      <c r="X273" s="20" t="n">
        <v>-15</v>
      </c>
    </row>
    <row r="274">
      <c r="A274" s="18" t="inlineStr">
        <is>
          <t>임차보증금·보증금 회수</t>
        </is>
      </c>
      <c r="D274" s="20" t="n">
        <v>795</v>
      </c>
      <c r="F274" s="20" t="n">
        <v>1</v>
      </c>
      <c r="H274" s="20" t="n">
        <v>4</v>
      </c>
      <c r="J274" s="20" t="n">
        <v>2</v>
      </c>
      <c r="L274" s="20" t="n">
        <v>20</v>
      </c>
      <c r="N274" s="20" t="n">
        <v>3</v>
      </c>
      <c r="O274" s="20" t="n">
        <v>53</v>
      </c>
      <c r="P274" s="20" t="n">
        <v>81</v>
      </c>
      <c r="Q274" s="20" t="n">
        <v>70</v>
      </c>
      <c r="R274" s="20" t="n">
        <v>50</v>
      </c>
      <c r="S274" s="20" t="n">
        <v>140</v>
      </c>
      <c r="T274" s="20" t="n">
        <v>45</v>
      </c>
      <c r="U274" s="20" t="n">
        <v>32</v>
      </c>
      <c r="V274" s="20" t="n">
        <v>795</v>
      </c>
      <c r="W274" s="20" t="n">
        <v>4</v>
      </c>
      <c r="X274" s="20" t="n">
        <v>20</v>
      </c>
    </row>
    <row r="275">
      <c r="A275" s="18" t="inlineStr">
        <is>
          <t>보험적립금 적립</t>
        </is>
      </c>
      <c r="D275" s="20" t="n">
        <v>0</v>
      </c>
      <c r="O275" s="20" t="n">
        <v>-7</v>
      </c>
      <c r="P275" s="20" t="n">
        <v>-7</v>
      </c>
      <c r="Q275" s="20" t="n">
        <v>-6</v>
      </c>
      <c r="R275" s="20" t="n">
        <v>-6</v>
      </c>
      <c r="S275" s="20" t="n">
        <v>-5</v>
      </c>
      <c r="T275" s="20" t="n">
        <v>-5</v>
      </c>
      <c r="U275" s="20" t="n">
        <v>-0</v>
      </c>
      <c r="V275" s="20" t="n">
        <v>0</v>
      </c>
    </row>
    <row r="276">
      <c r="A276" s="18" t="inlineStr">
        <is>
          <t>보험적립금 환급</t>
        </is>
      </c>
      <c r="D276" s="20" t="n">
        <v>0</v>
      </c>
      <c r="O276" s="20" t="n">
        <v>5</v>
      </c>
      <c r="P276" s="20" t="n">
        <v>5</v>
      </c>
      <c r="Q276" s="20" t="n">
        <v>7</v>
      </c>
      <c r="R276" s="20" t="n">
        <v>4</v>
      </c>
      <c r="S276" s="20" t="n">
        <v>2</v>
      </c>
      <c r="T276" s="20" t="n">
        <v>0</v>
      </c>
      <c r="U276" s="20" t="n">
        <v>133</v>
      </c>
      <c r="V276" s="20" t="n">
        <v>0</v>
      </c>
    </row>
    <row r="277">
      <c r="A277" s="18" t="inlineStr">
        <is>
          <t>출자금 납입</t>
        </is>
      </c>
      <c r="Q277" s="20" t="n">
        <v>0</v>
      </c>
      <c r="R277" s="20" t="n">
        <v>-0</v>
      </c>
      <c r="S277" s="20" t="n">
        <v>0</v>
      </c>
    </row>
    <row r="278">
      <c r="A278" s="18" t="inlineStr">
        <is>
          <t>자산복구부채 이행 지출</t>
        </is>
      </c>
      <c r="O278" s="20" t="n">
        <v>0</v>
      </c>
      <c r="P278" s="20" t="n">
        <v>-15</v>
      </c>
      <c r="Q278" s="20" t="n">
        <v>-12</v>
      </c>
      <c r="R278" s="20" t="n">
        <v>0</v>
      </c>
    </row>
    <row r="279">
      <c r="A279" s="18" t="inlineStr">
        <is>
          <t>보조금 수취</t>
        </is>
      </c>
      <c r="D279" s="20" t="n">
        <v>0</v>
      </c>
      <c r="H279" s="20" t="n">
        <v>150</v>
      </c>
      <c r="L279" s="20" t="n">
        <v>11</v>
      </c>
      <c r="V279" s="20" t="n">
        <v>0</v>
      </c>
      <c r="W279" s="20" t="n">
        <v>150</v>
      </c>
      <c r="X279" s="20" t="n">
        <v>11</v>
      </c>
    </row>
    <row r="280">
      <c r="A280" s="18" t="inlineStr">
        <is>
          <t>지원금 수입</t>
        </is>
      </c>
      <c r="D280" s="20" t="n">
        <v>0</v>
      </c>
      <c r="H280" s="20" t="n">
        <v>150</v>
      </c>
      <c r="L280" s="20" t="n">
        <v>0</v>
      </c>
      <c r="V280" s="20" t="n">
        <v>0</v>
      </c>
      <c r="W280" s="20" t="n">
        <v>150</v>
      </c>
      <c r="X280" s="20" t="n">
        <v>0</v>
      </c>
    </row>
    <row r="281">
      <c r="A281" s="18" t="inlineStr">
        <is>
          <t>사업분리 수입</t>
        </is>
      </c>
      <c r="H281" s="20" t="n">
        <v>0</v>
      </c>
      <c r="L281" s="20" t="n">
        <v>2193</v>
      </c>
      <c r="W281" s="20" t="n">
        <v>0</v>
      </c>
      <c r="X281" s="20" t="n">
        <v>2193</v>
      </c>
    </row>
    <row r="282">
      <c r="A282" s="18" t="inlineStr">
        <is>
          <t>기타</t>
        </is>
      </c>
      <c r="D282" s="20" t="n">
        <v>0</v>
      </c>
      <c r="F282" s="20" t="n">
        <v>14</v>
      </c>
      <c r="H282" s="20" t="n">
        <v>0</v>
      </c>
      <c r="J282" s="20" t="n">
        <v>-83</v>
      </c>
      <c r="L282" s="20" t="n">
        <v>-208</v>
      </c>
      <c r="N282" s="20" t="n">
        <v>306</v>
      </c>
      <c r="U282" s="20" t="n">
        <v>0</v>
      </c>
      <c r="V282" s="20" t="n">
        <v>0</v>
      </c>
      <c r="W282" s="20" t="n">
        <v>0</v>
      </c>
      <c r="X282" s="20" t="n">
        <v>-208</v>
      </c>
    </row>
    <row r="283">
      <c r="A283" s="9" t="inlineStr">
        <is>
          <t>투자활동 현금흐름</t>
        </is>
      </c>
      <c r="D283" s="12" t="n">
        <v>-3542</v>
      </c>
      <c r="F283" s="12" t="n">
        <v>-1207</v>
      </c>
      <c r="H283" s="12" t="n">
        <v>-2396</v>
      </c>
      <c r="J283" s="12" t="n">
        <v>-407</v>
      </c>
      <c r="L283" s="12" t="n">
        <v>1059</v>
      </c>
      <c r="N283" s="12" t="n">
        <v>-440</v>
      </c>
      <c r="O283" s="12" t="n">
        <v>691</v>
      </c>
      <c r="P283" s="12" t="n">
        <v>-3437</v>
      </c>
      <c r="Q283" s="12" t="n">
        <v>-718</v>
      </c>
      <c r="R283" s="12" t="n">
        <v>-2433</v>
      </c>
      <c r="S283" s="12" t="n">
        <v>-3599</v>
      </c>
      <c r="T283" s="12" t="n">
        <v>-3113</v>
      </c>
      <c r="U283" s="12" t="n">
        <v>-7128</v>
      </c>
      <c r="V283" s="12" t="n">
        <v>-3542</v>
      </c>
      <c r="W283" s="12" t="n">
        <v>-2396</v>
      </c>
      <c r="X283" s="12" t="n">
        <v>1059</v>
      </c>
    </row>
    <row r="284">
      <c r="A284" s="18" t="inlineStr">
        <is>
          <t>단기차입금 순증감</t>
        </is>
      </c>
      <c r="D284" s="20" t="n">
        <v>600</v>
      </c>
      <c r="F284" s="20" t="n">
        <v>-1700</v>
      </c>
      <c r="H284" s="20" t="n">
        <v>100</v>
      </c>
      <c r="J284" s="20" t="n">
        <v>-3500</v>
      </c>
      <c r="L284" s="20" t="n">
        <v>-5900</v>
      </c>
      <c r="N284" s="20" t="n">
        <v>-900</v>
      </c>
      <c r="O284" s="20" t="n">
        <v>-2100</v>
      </c>
      <c r="P284" s="20" t="n">
        <v>970</v>
      </c>
      <c r="Q284" s="20" t="n">
        <v>-350</v>
      </c>
      <c r="R284" s="20" t="n">
        <v>630</v>
      </c>
      <c r="S284" s="20" t="n">
        <v>-1150</v>
      </c>
      <c r="T284" s="20" t="n">
        <v>-400</v>
      </c>
      <c r="U284" s="20" t="n">
        <v>4400</v>
      </c>
      <c r="V284" s="20" t="n">
        <v>600</v>
      </c>
      <c r="W284" s="20" t="n">
        <v>100</v>
      </c>
      <c r="X284" s="20" t="n">
        <v>-5900</v>
      </c>
    </row>
    <row r="285">
      <c r="A285" s="18" t="inlineStr">
        <is>
          <t>장기차입</t>
        </is>
      </c>
      <c r="F285" s="20" t="n">
        <v>0</v>
      </c>
      <c r="H285" s="20" t="n">
        <v>0</v>
      </c>
      <c r="J285" s="20" t="n">
        <v>120</v>
      </c>
      <c r="L285" s="20" t="n">
        <v>690</v>
      </c>
      <c r="N285" s="20" t="n">
        <v>0</v>
      </c>
      <c r="W285" s="20" t="n">
        <v>0</v>
      </c>
      <c r="X285" s="20" t="n">
        <v>690</v>
      </c>
    </row>
    <row r="286">
      <c r="A286" s="18" t="inlineStr">
        <is>
          <t>장기차입금 상환</t>
        </is>
      </c>
      <c r="D286" s="20" t="n">
        <v>-466</v>
      </c>
      <c r="H286" s="20" t="n">
        <v>-525</v>
      </c>
      <c r="L286" s="20" t="n">
        <v>-717</v>
      </c>
      <c r="O286" s="20" t="n">
        <v>-859</v>
      </c>
      <c r="P286" s="20" t="n">
        <v>-365</v>
      </c>
      <c r="Q286" s="20" t="n">
        <v>-335</v>
      </c>
      <c r="R286" s="20" t="n">
        <v>-195</v>
      </c>
      <c r="S286" s="20" t="n">
        <v>-206</v>
      </c>
      <c r="T286" s="20" t="n">
        <v>-164</v>
      </c>
      <c r="U286" s="20" t="n">
        <v>-230</v>
      </c>
      <c r="V286" s="20" t="n">
        <v>-466</v>
      </c>
      <c r="W286" s="20" t="n">
        <v>-525</v>
      </c>
      <c r="X286" s="20" t="n">
        <v>-717</v>
      </c>
    </row>
    <row r="287">
      <c r="A287" s="18" t="inlineStr">
        <is>
          <t>장기차입</t>
        </is>
      </c>
      <c r="D287" s="20" t="n">
        <v>3130</v>
      </c>
      <c r="H287" s="20" t="n">
        <v>0</v>
      </c>
      <c r="O287" s="20" t="n">
        <v>600</v>
      </c>
      <c r="P287" s="20" t="n">
        <v>0</v>
      </c>
      <c r="Q287" s="20" t="n">
        <v>200</v>
      </c>
      <c r="R287" s="20" t="n">
        <v>45</v>
      </c>
      <c r="S287" s="20" t="n">
        <v>500</v>
      </c>
      <c r="T287" s="20" t="n">
        <v>500</v>
      </c>
      <c r="U287" s="20" t="n">
        <v>1000</v>
      </c>
      <c r="V287" s="20" t="n">
        <v>3130</v>
      </c>
      <c r="W287" s="20" t="n">
        <v>0</v>
      </c>
    </row>
    <row r="288">
      <c r="A288" s="18" t="inlineStr">
        <is>
          <t>자기주식 취득</t>
        </is>
      </c>
      <c r="D288" s="20" t="n">
        <v>-0</v>
      </c>
      <c r="H288" s="20" t="n">
        <v>-0</v>
      </c>
      <c r="L288" s="20" t="n">
        <v>-543</v>
      </c>
      <c r="O288" s="20" t="n">
        <v>-0</v>
      </c>
      <c r="P288" s="20" t="n">
        <v>-0</v>
      </c>
      <c r="Q288" s="20" t="n">
        <v>-0</v>
      </c>
      <c r="R288" s="20" t="n">
        <v>-0</v>
      </c>
      <c r="S288" s="20" t="n">
        <v>-0</v>
      </c>
      <c r="T288" s="20" t="n">
        <v>-0</v>
      </c>
      <c r="U288" s="20" t="n">
        <v>-185</v>
      </c>
      <c r="V288" s="20" t="n">
        <v>-0</v>
      </c>
      <c r="W288" s="20" t="n">
        <v>-0</v>
      </c>
      <c r="X288" s="20" t="n">
        <v>-543</v>
      </c>
    </row>
    <row r="289">
      <c r="A289" s="18" t="inlineStr">
        <is>
          <t>자기주식 처분</t>
        </is>
      </c>
      <c r="D289" s="20" t="n">
        <v>0</v>
      </c>
      <c r="O289" s="20" t="n">
        <v>0</v>
      </c>
      <c r="P289" s="20" t="n">
        <v>0</v>
      </c>
      <c r="Q289" s="20" t="n">
        <v>0</v>
      </c>
      <c r="R289" s="20" t="n">
        <v>0</v>
      </c>
      <c r="S289" s="20" t="n">
        <v>0</v>
      </c>
      <c r="T289" s="20" t="n">
        <v>0</v>
      </c>
      <c r="U289" s="20" t="n">
        <v>6</v>
      </c>
      <c r="V289" s="20" t="n">
        <v>0</v>
      </c>
    </row>
    <row r="290">
      <c r="A290" s="18" t="inlineStr">
        <is>
          <t>배당금 지급</t>
        </is>
      </c>
      <c r="D290" s="20" t="n">
        <v>-290</v>
      </c>
      <c r="F290" s="20" t="n">
        <v>-145</v>
      </c>
      <c r="H290" s="20" t="n">
        <v>-291</v>
      </c>
      <c r="J290" s="20" t="n">
        <v>-145</v>
      </c>
      <c r="L290" s="20" t="n">
        <v>-291</v>
      </c>
      <c r="N290" s="20" t="n">
        <v>-138</v>
      </c>
      <c r="O290" s="20" t="n">
        <v>-359</v>
      </c>
      <c r="P290" s="20" t="n">
        <v>-359</v>
      </c>
      <c r="Q290" s="20" t="n">
        <v>-359</v>
      </c>
      <c r="R290" s="20" t="n">
        <v>-294</v>
      </c>
      <c r="S290" s="20" t="n">
        <v>-294</v>
      </c>
      <c r="T290" s="20" t="n">
        <v>-294</v>
      </c>
      <c r="U290" s="20" t="n">
        <v>-294</v>
      </c>
      <c r="V290" s="20" t="n">
        <v>-290</v>
      </c>
      <c r="W290" s="20" t="n">
        <v>-291</v>
      </c>
      <c r="X290" s="20" t="n">
        <v>-291</v>
      </c>
    </row>
    <row r="291">
      <c r="A291" s="18" t="inlineStr">
        <is>
          <t>금융리스부채 상환</t>
        </is>
      </c>
      <c r="D291" s="20" t="n">
        <v>-373</v>
      </c>
      <c r="H291" s="20" t="n">
        <v>-484</v>
      </c>
      <c r="L291" s="20" t="n">
        <v>-629</v>
      </c>
      <c r="O291" s="20" t="n">
        <v>-456</v>
      </c>
      <c r="P291" s="20" t="n">
        <v>-302</v>
      </c>
      <c r="Q291" s="20" t="n">
        <v>-261</v>
      </c>
      <c r="R291" s="20" t="n">
        <v>-320</v>
      </c>
      <c r="S291" s="20" t="n">
        <v>-399</v>
      </c>
      <c r="T291" s="20" t="n">
        <v>-340</v>
      </c>
      <c r="U291" s="20" t="n">
        <v>-294</v>
      </c>
      <c r="V291" s="20" t="n">
        <v>-373</v>
      </c>
      <c r="W291" s="20" t="n">
        <v>-484</v>
      </c>
      <c r="X291" s="20" t="n">
        <v>-629</v>
      </c>
    </row>
    <row r="292">
      <c r="A292" s="18" t="inlineStr">
        <is>
          <t>기타</t>
        </is>
      </c>
      <c r="F292" s="20" t="n">
        <v>-498</v>
      </c>
      <c r="J292" s="20" t="n">
        <v>-568</v>
      </c>
      <c r="N292" s="20" t="n">
        <v>-1064</v>
      </c>
    </row>
    <row r="293">
      <c r="A293" s="9" t="inlineStr">
        <is>
          <t>재무활동 현금흐름</t>
        </is>
      </c>
      <c r="D293" s="12" t="n">
        <v>2599</v>
      </c>
      <c r="F293" s="12" t="n">
        <v>-2343</v>
      </c>
      <c r="H293" s="12" t="n">
        <v>-1200</v>
      </c>
      <c r="J293" s="12" t="n">
        <v>-4094</v>
      </c>
      <c r="L293" s="12" t="n">
        <v>-7392</v>
      </c>
      <c r="N293" s="12" t="n">
        <v>-2103</v>
      </c>
      <c r="O293" s="12" t="n">
        <v>-3175</v>
      </c>
      <c r="P293" s="12" t="n">
        <v>-57</v>
      </c>
      <c r="Q293" s="12" t="n">
        <v>-1106</v>
      </c>
      <c r="R293" s="12" t="n">
        <v>-136</v>
      </c>
      <c r="S293" s="12" t="n">
        <v>-1550</v>
      </c>
      <c r="T293" s="12" t="n">
        <v>-699</v>
      </c>
      <c r="U293" s="12" t="n">
        <v>4402</v>
      </c>
      <c r="V293" s="12" t="n">
        <v>2599</v>
      </c>
      <c r="W293" s="12" t="n">
        <v>-1200</v>
      </c>
      <c r="X293" s="12" t="n">
        <v>-7392</v>
      </c>
    </row>
    <row r="294">
      <c r="A294" s="18" t="inlineStr">
        <is>
          <t>현금성자산 증감</t>
        </is>
      </c>
      <c r="D294" s="20" t="n">
        <v>685</v>
      </c>
      <c r="F294" s="20" t="n">
        <v>496</v>
      </c>
      <c r="H294" s="20" t="n">
        <v>-279</v>
      </c>
      <c r="J294" s="20" t="n">
        <v>535</v>
      </c>
      <c r="L294" s="20" t="n">
        <v>-382</v>
      </c>
      <c r="N294" s="20" t="n">
        <v>-1114</v>
      </c>
      <c r="O294" s="20" t="n">
        <v>688</v>
      </c>
      <c r="P294" s="20" t="n">
        <v>-1609</v>
      </c>
      <c r="Q294" s="20" t="n">
        <v>1336</v>
      </c>
      <c r="R294" s="20" t="n">
        <v>813</v>
      </c>
      <c r="S294" s="20" t="n">
        <v>538</v>
      </c>
      <c r="T294" s="20" t="n">
        <v>-1559</v>
      </c>
      <c r="U294" s="20" t="n">
        <v>-794</v>
      </c>
      <c r="V294" s="20" t="n">
        <v>685</v>
      </c>
      <c r="W294" s="20" t="n">
        <v>-279</v>
      </c>
      <c r="X294" s="20" t="n">
        <v>-382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야마자와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15031</v>
      </c>
      <c r="D5" s="12" t="n">
        <v>15440</v>
      </c>
      <c r="E5" s="12" t="n">
        <v>14433</v>
      </c>
      <c r="F5" s="12" t="n">
        <v>15155</v>
      </c>
      <c r="G5" s="12" t="n">
        <v>12932</v>
      </c>
      <c r="H5" s="11" t="n">
        <v>12393</v>
      </c>
      <c r="I5" s="12" t="n">
        <v>12996</v>
      </c>
      <c r="J5" s="12" t="n">
        <v>14099</v>
      </c>
      <c r="K5" s="12" t="n">
        <v>14294</v>
      </c>
      <c r="L5" s="12" t="n">
        <v>14433</v>
      </c>
    </row>
    <row r="6">
      <c r="A6" s="18" t="inlineStr">
        <is>
          <t>현금및현금성자산</t>
        </is>
      </c>
      <c r="B6" s="10" t="n"/>
      <c r="C6" s="19" t="n">
        <v>6288</v>
      </c>
      <c r="D6" s="20" t="n">
        <v>6372</v>
      </c>
      <c r="E6" s="20" t="n">
        <v>5370</v>
      </c>
      <c r="F6" s="20" t="n">
        <v>6839</v>
      </c>
      <c r="G6" s="20" t="n">
        <v>4256</v>
      </c>
      <c r="H6" s="19" t="n">
        <v>6147</v>
      </c>
      <c r="I6" s="20" t="n">
        <v>5352</v>
      </c>
      <c r="J6" s="20" t="n">
        <v>6033</v>
      </c>
      <c r="K6" s="20" t="n">
        <v>5753</v>
      </c>
      <c r="L6" s="20" t="n">
        <v>5370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865</v>
      </c>
      <c r="D8" s="20" t="n">
        <v>850</v>
      </c>
      <c r="E8" s="20" t="n">
        <v>837</v>
      </c>
      <c r="F8" s="20" t="n">
        <v>914</v>
      </c>
      <c r="G8" s="20" t="n">
        <v>935</v>
      </c>
      <c r="H8" s="19" t="n">
        <v>741</v>
      </c>
      <c r="I8" s="20" t="n">
        <v>751</v>
      </c>
      <c r="J8" s="20" t="n">
        <v>788</v>
      </c>
      <c r="K8" s="20" t="n">
        <v>813</v>
      </c>
      <c r="L8" s="20" t="n">
        <v>837</v>
      </c>
    </row>
    <row r="9">
      <c r="A9" s="18" t="inlineStr">
        <is>
          <t>재고자산</t>
        </is>
      </c>
      <c r="B9" s="10" t="n"/>
      <c r="C9" s="19" t="n">
        <v>4433</v>
      </c>
      <c r="D9" s="20" t="n">
        <v>5093</v>
      </c>
      <c r="E9" s="20" t="n">
        <v>4516</v>
      </c>
      <c r="F9" s="20" t="n">
        <v>4276</v>
      </c>
      <c r="G9" s="20" t="n">
        <v>4295</v>
      </c>
      <c r="H9" s="19" t="n">
        <v>3936</v>
      </c>
      <c r="I9" s="20" t="n">
        <v>4271</v>
      </c>
      <c r="J9" s="20" t="n">
        <v>4502</v>
      </c>
      <c r="K9" s="20" t="n">
        <v>4672</v>
      </c>
      <c r="L9" s="20" t="n">
        <v>4516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41075</v>
      </c>
      <c r="D11" s="12" t="n">
        <v>41000</v>
      </c>
      <c r="E11" s="12" t="n">
        <v>37525</v>
      </c>
      <c r="F11" s="12" t="n">
        <v>37541</v>
      </c>
      <c r="G11" s="12" t="n">
        <v>37326</v>
      </c>
      <c r="H11" s="11" t="n">
        <v>36980</v>
      </c>
      <c r="I11" s="12" t="n">
        <v>41262</v>
      </c>
      <c r="J11" s="12" t="n">
        <v>44086</v>
      </c>
      <c r="K11" s="12" t="n">
        <v>41282</v>
      </c>
      <c r="L11" s="12" t="n">
        <v>37525</v>
      </c>
    </row>
    <row r="12">
      <c r="A12" s="18" t="inlineStr">
        <is>
          <t>유형자산</t>
        </is>
      </c>
      <c r="B12" s="10" t="n"/>
      <c r="C12" s="19" t="n">
        <v>34363</v>
      </c>
      <c r="D12" s="20" t="n">
        <v>34196</v>
      </c>
      <c r="E12" s="20" t="n">
        <v>31433</v>
      </c>
      <c r="F12" s="20" t="n">
        <v>31169</v>
      </c>
      <c r="G12" s="20" t="n">
        <v>30760</v>
      </c>
      <c r="H12" s="19" t="n">
        <v>31728</v>
      </c>
      <c r="I12" s="20" t="n">
        <v>35767</v>
      </c>
      <c r="J12" s="20" t="n">
        <v>37658</v>
      </c>
      <c r="K12" s="20" t="n">
        <v>34964</v>
      </c>
      <c r="L12" s="20" t="n">
        <v>31433</v>
      </c>
    </row>
    <row r="13">
      <c r="A13" s="18" t="inlineStr">
        <is>
          <t>무형자산</t>
        </is>
      </c>
      <c r="B13" s="10" t="n"/>
      <c r="C13" s="19" t="n">
        <v>2468</v>
      </c>
      <c r="D13" s="20" t="n">
        <v>2452</v>
      </c>
      <c r="E13" s="20" t="n">
        <v>2483</v>
      </c>
      <c r="F13" s="20" t="n">
        <v>2422</v>
      </c>
      <c r="G13" s="20" t="n">
        <v>2588</v>
      </c>
      <c r="H13" s="19" t="n">
        <v>1367</v>
      </c>
      <c r="I13" s="20" t="n">
        <v>1245</v>
      </c>
      <c r="J13" s="20" t="n">
        <v>1921</v>
      </c>
      <c r="K13" s="20" t="n">
        <v>2295</v>
      </c>
      <c r="L13" s="20" t="n">
        <v>2483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56106</v>
      </c>
      <c r="D16" s="12" t="n">
        <v>56441</v>
      </c>
      <c r="E16" s="12" t="n">
        <v>51958</v>
      </c>
      <c r="F16" s="12" t="n">
        <v>52696</v>
      </c>
      <c r="G16" s="12" t="n">
        <v>50258</v>
      </c>
      <c r="H16" s="11" t="n">
        <v>49373</v>
      </c>
      <c r="I16" s="12" t="n">
        <v>54259</v>
      </c>
      <c r="J16" s="12" t="n">
        <v>58186</v>
      </c>
      <c r="K16" s="12" t="n">
        <v>55577</v>
      </c>
      <c r="L16" s="12" t="n">
        <v>51958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20865</v>
      </c>
      <c r="D18" s="12" t="n">
        <v>21174</v>
      </c>
      <c r="E18" s="12" t="n">
        <v>17196</v>
      </c>
      <c r="F18" s="12" t="n">
        <v>17886</v>
      </c>
      <c r="G18" s="12" t="n">
        <v>15152</v>
      </c>
      <c r="H18" s="11" t="n">
        <v>16327</v>
      </c>
      <c r="I18" s="12" t="n">
        <v>20924</v>
      </c>
      <c r="J18" s="12" t="n">
        <v>20386</v>
      </c>
      <c r="K18" s="12" t="n">
        <v>21076</v>
      </c>
      <c r="L18" s="12" t="n">
        <v>17196</v>
      </c>
    </row>
    <row r="19">
      <c r="A19" s="18" t="inlineStr">
        <is>
          <t>매입채무</t>
        </is>
      </c>
      <c r="B19" s="10" t="n"/>
      <c r="C19" s="19" t="n">
        <v>9390</v>
      </c>
      <c r="D19" s="20" t="n">
        <v>9195</v>
      </c>
      <c r="E19" s="20" t="n">
        <v>7882</v>
      </c>
      <c r="F19" s="20" t="n">
        <v>8229</v>
      </c>
      <c r="G19" s="20" t="n">
        <v>7568</v>
      </c>
      <c r="H19" s="19" t="n">
        <v>6914</v>
      </c>
      <c r="I19" s="20" t="n">
        <v>6741</v>
      </c>
      <c r="J19" s="20" t="n">
        <v>6766</v>
      </c>
      <c r="K19" s="20" t="n">
        <v>6951</v>
      </c>
      <c r="L19" s="20" t="n">
        <v>7882</v>
      </c>
    </row>
    <row r="20">
      <c r="A20" s="18" t="inlineStr">
        <is>
          <t>단기차입금</t>
        </is>
      </c>
      <c r="B20" s="10" t="n"/>
      <c r="C20" s="19" t="n">
        <v>4600</v>
      </c>
      <c r="D20" s="20" t="n">
        <v>4600</v>
      </c>
      <c r="E20" s="20" t="n">
        <v>2200</v>
      </c>
      <c r="F20" s="20" t="n">
        <v>2100</v>
      </c>
      <c r="G20" s="20" t="n">
        <v>1300</v>
      </c>
      <c r="H20" s="19" t="n">
        <v>3000</v>
      </c>
      <c r="I20" s="20" t="n">
        <v>7400</v>
      </c>
      <c r="J20" s="20" t="n">
        <v>8000</v>
      </c>
      <c r="K20" s="20" t="n">
        <v>8100</v>
      </c>
      <c r="L20" s="20" t="n">
        <v>2200</v>
      </c>
    </row>
    <row r="21">
      <c r="A21" s="18" t="inlineStr">
        <is>
          <t>유동성장기부채</t>
        </is>
      </c>
      <c r="B21" s="10" t="n"/>
      <c r="C21" s="19" t="n">
        <v>491</v>
      </c>
      <c r="D21" s="20" t="n">
        <v>477</v>
      </c>
      <c r="E21" s="20" t="n">
        <v>984</v>
      </c>
      <c r="F21" s="20" t="n">
        <v>984</v>
      </c>
      <c r="G21" s="20" t="n">
        <v>484</v>
      </c>
      <c r="H21" s="19" t="n">
        <v>156</v>
      </c>
      <c r="I21" s="20" t="n">
        <v>234</v>
      </c>
      <c r="J21" s="20" t="n">
        <v>447</v>
      </c>
      <c r="K21" s="20" t="n">
        <v>508</v>
      </c>
      <c r="L21" s="20" t="n">
        <v>984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8622</v>
      </c>
      <c r="D23" s="12" t="n">
        <v>8644</v>
      </c>
      <c r="E23" s="12" t="n">
        <v>8017</v>
      </c>
      <c r="F23" s="12" t="n">
        <v>7900</v>
      </c>
      <c r="G23" s="12" t="n">
        <v>7719</v>
      </c>
      <c r="H23" s="11" t="n">
        <v>4233</v>
      </c>
      <c r="I23" s="12" t="n">
        <v>4697</v>
      </c>
      <c r="J23" s="12" t="n">
        <v>8939</v>
      </c>
      <c r="K23" s="12" t="n">
        <v>8531</v>
      </c>
      <c r="L23" s="12" t="n">
        <v>8017</v>
      </c>
    </row>
    <row r="24">
      <c r="A24" s="18" t="inlineStr">
        <is>
          <t>장기차입금</t>
        </is>
      </c>
      <c r="B24" s="10" t="n"/>
      <c r="C24" s="19" t="n">
        <v>3493</v>
      </c>
      <c r="D24" s="20" t="n">
        <v>3374</v>
      </c>
      <c r="E24" s="20" t="n">
        <v>3117</v>
      </c>
      <c r="F24" s="20" t="n">
        <v>2996</v>
      </c>
      <c r="G24" s="20" t="n">
        <v>2861</v>
      </c>
      <c r="H24" s="19" t="n">
        <v>1039</v>
      </c>
      <c r="I24" s="20" t="n">
        <v>1756</v>
      </c>
      <c r="J24" s="20" t="n">
        <v>4206</v>
      </c>
      <c r="K24" s="20" t="n">
        <v>3620</v>
      </c>
      <c r="L24" s="20" t="n">
        <v>3117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29487</v>
      </c>
      <c r="D27" s="12" t="n">
        <v>29819</v>
      </c>
      <c r="E27" s="12" t="n">
        <v>25213</v>
      </c>
      <c r="F27" s="12" t="n">
        <v>25786</v>
      </c>
      <c r="G27" s="12" t="n">
        <v>22871</v>
      </c>
      <c r="H27" s="11" t="n">
        <v>20561</v>
      </c>
      <c r="I27" s="12" t="n">
        <v>25622</v>
      </c>
      <c r="J27" s="12" t="n">
        <v>29326</v>
      </c>
      <c r="K27" s="12" t="n">
        <v>29608</v>
      </c>
      <c r="L27" s="12" t="n">
        <v>25213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26609</v>
      </c>
      <c r="D31" s="12" t="n">
        <v>26611</v>
      </c>
      <c r="E31" s="12" t="n">
        <v>26734</v>
      </c>
      <c r="F31" s="12" t="n">
        <v>26900</v>
      </c>
      <c r="G31" s="12" t="n">
        <v>27376</v>
      </c>
      <c r="H31" s="11" t="n">
        <v>28800</v>
      </c>
      <c r="I31" s="12" t="n">
        <v>28624</v>
      </c>
      <c r="J31" s="12" t="n">
        <v>28849</v>
      </c>
      <c r="K31" s="12" t="n">
        <v>25959</v>
      </c>
      <c r="L31" s="12" t="n">
        <v>26734</v>
      </c>
    </row>
    <row r="32">
      <c r="A32" s="18" t="inlineStr">
        <is>
          <t>자본금</t>
        </is>
      </c>
      <c r="B32" s="10" t="n"/>
      <c r="C32" s="19" t="n">
        <v>2388</v>
      </c>
      <c r="D32" s="20" t="n">
        <v>2388</v>
      </c>
      <c r="E32" s="20" t="n">
        <v>2388</v>
      </c>
      <c r="F32" s="20" t="n">
        <v>2388</v>
      </c>
      <c r="G32" s="20" t="n">
        <v>2388</v>
      </c>
      <c r="H32" s="19" t="n">
        <v>2388</v>
      </c>
      <c r="I32" s="20" t="n">
        <v>2388</v>
      </c>
      <c r="J32" s="20" t="n">
        <v>2388</v>
      </c>
      <c r="K32" s="20" t="n">
        <v>2388</v>
      </c>
      <c r="L32" s="20" t="n">
        <v>2388</v>
      </c>
    </row>
    <row r="33">
      <c r="A33" s="18" t="inlineStr">
        <is>
          <t>이익잉여금</t>
        </is>
      </c>
      <c r="B33" s="10" t="n"/>
      <c r="C33" s="19" t="n">
        <v>22068</v>
      </c>
      <c r="D33" s="20" t="n">
        <v>22028</v>
      </c>
      <c r="E33" s="20" t="n">
        <v>22546</v>
      </c>
      <c r="F33" s="20" t="n">
        <v>22705</v>
      </c>
      <c r="G33" s="20" t="n">
        <v>23064</v>
      </c>
      <c r="H33" s="19" t="n">
        <v>24247</v>
      </c>
      <c r="I33" s="20" t="n">
        <v>24207</v>
      </c>
      <c r="J33" s="20" t="n">
        <v>24368</v>
      </c>
      <c r="K33" s="20" t="n">
        <v>21459</v>
      </c>
      <c r="L33" s="20" t="n">
        <v>22546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26619</v>
      </c>
      <c r="D35" s="12" t="n">
        <v>26621</v>
      </c>
      <c r="E35" s="12" t="n">
        <v>26744</v>
      </c>
      <c r="F35" s="12" t="n">
        <v>26910</v>
      </c>
      <c r="G35" s="12" t="n">
        <v>27386</v>
      </c>
      <c r="H35" s="11" t="n">
        <v>28812</v>
      </c>
      <c r="I35" s="12" t="n">
        <v>28636</v>
      </c>
      <c r="J35" s="12" t="n">
        <v>28859</v>
      </c>
      <c r="K35" s="12" t="n">
        <v>25969</v>
      </c>
      <c r="L35" s="12" t="n">
        <v>26744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4307</v>
      </c>
      <c r="D37" s="12" t="n"/>
      <c r="E37" s="12" t="n">
        <v>5950</v>
      </c>
      <c r="F37" s="12" t="n"/>
      <c r="G37" s="12" t="n">
        <v>2342</v>
      </c>
      <c r="H37" s="11" t="n">
        <v>2253</v>
      </c>
      <c r="I37" s="12" t="n">
        <v>1931</v>
      </c>
      <c r="J37" s="12" t="n">
        <v>1628</v>
      </c>
      <c r="K37" s="12" t="n">
        <v>3317</v>
      </c>
      <c r="L37" s="12" t="n">
        <v>5950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857</v>
      </c>
      <c r="D38" s="20" t="n"/>
      <c r="E38" s="20" t="n">
        <v>1067</v>
      </c>
      <c r="F38" s="20" t="n"/>
      <c r="G38" s="20" t="n">
        <v>797</v>
      </c>
      <c r="H38" s="19" t="n">
        <v>2856</v>
      </c>
      <c r="I38" s="20" t="n">
        <v>6173</v>
      </c>
      <c r="J38" s="20" t="n">
        <v>3491</v>
      </c>
      <c r="K38" s="20" t="n">
        <v>2600</v>
      </c>
      <c r="L38" s="20" t="n">
        <v>1067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291</v>
      </c>
      <c r="D40" s="20" t="n"/>
      <c r="E40" s="20" t="n">
        <v>291</v>
      </c>
      <c r="F40" s="20" t="n"/>
      <c r="G40" s="20" t="n">
        <v>284</v>
      </c>
      <c r="H40" s="19" t="n">
        <v>294</v>
      </c>
      <c r="I40" s="20" t="n">
        <v>294</v>
      </c>
      <c r="J40" s="20" t="n">
        <v>290</v>
      </c>
      <c r="K40" s="20" t="n">
        <v>291</v>
      </c>
      <c r="L40" s="20" t="n">
        <v>291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6288</v>
      </c>
      <c r="D71" s="20" t="n">
        <v>6372</v>
      </c>
      <c r="E71" s="20" t="n">
        <v>5370</v>
      </c>
      <c r="F71" s="20" t="n">
        <v>6839</v>
      </c>
      <c r="G71" s="20" t="n">
        <v>4256</v>
      </c>
      <c r="H71" s="20" t="n">
        <v>6147</v>
      </c>
      <c r="I71" s="20" t="n">
        <v>5352</v>
      </c>
      <c r="J71" s="20" t="n">
        <v>6033</v>
      </c>
      <c r="K71" s="20" t="n">
        <v>5753</v>
      </c>
      <c r="L71" s="20" t="n">
        <v>5370</v>
      </c>
    </row>
    <row r="72">
      <c r="A72" s="18" t="inlineStr">
        <is>
          <t>받을어음·매출채권</t>
        </is>
      </c>
      <c r="E72" s="20" t="n">
        <v>837</v>
      </c>
      <c r="H72" s="20" t="n">
        <v>741</v>
      </c>
      <c r="I72" s="20" t="n">
        <v>751</v>
      </c>
      <c r="J72" s="20" t="n">
        <v>788</v>
      </c>
      <c r="K72" s="20" t="n">
        <v>813</v>
      </c>
      <c r="L72" s="20" t="n">
        <v>837</v>
      </c>
    </row>
    <row r="73">
      <c r="A73" s="18" t="inlineStr">
        <is>
          <t>매출채권</t>
        </is>
      </c>
      <c r="C73" s="20" t="n">
        <v>865</v>
      </c>
      <c r="D73" s="20" t="n">
        <v>850</v>
      </c>
      <c r="E73" s="20" t="n">
        <v>837</v>
      </c>
      <c r="F73" s="20" t="n">
        <v>914</v>
      </c>
      <c r="G73" s="20" t="n">
        <v>935</v>
      </c>
      <c r="K73" s="20" t="n">
        <v>813</v>
      </c>
      <c r="L73" s="20" t="n">
        <v>837</v>
      </c>
    </row>
    <row r="74">
      <c r="A74" s="18" t="inlineStr">
        <is>
          <t>상품·제품</t>
        </is>
      </c>
      <c r="C74" s="20" t="n">
        <v>4313</v>
      </c>
      <c r="D74" s="20" t="n">
        <v>4966</v>
      </c>
      <c r="E74" s="20" t="n">
        <v>4392</v>
      </c>
      <c r="F74" s="20" t="n">
        <v>4170</v>
      </c>
      <c r="G74" s="20" t="n">
        <v>4170</v>
      </c>
      <c r="H74" s="20" t="n">
        <v>3830</v>
      </c>
      <c r="I74" s="20" t="n">
        <v>4148</v>
      </c>
      <c r="J74" s="20" t="n">
        <v>4376</v>
      </c>
      <c r="K74" s="20" t="n">
        <v>4531</v>
      </c>
      <c r="L74" s="20" t="n">
        <v>4392</v>
      </c>
    </row>
    <row r="75">
      <c r="A75" s="18" t="inlineStr">
        <is>
          <t>재공품</t>
        </is>
      </c>
      <c r="C75" s="20" t="n">
        <v>0</v>
      </c>
      <c r="D75" s="20" t="n">
        <v>0</v>
      </c>
      <c r="E75" s="20" t="n">
        <v>1</v>
      </c>
      <c r="F75" s="20" t="n">
        <v>0</v>
      </c>
      <c r="G75" s="20" t="n">
        <v>0</v>
      </c>
      <c r="H75" s="20" t="n">
        <v>0</v>
      </c>
      <c r="I75" s="20" t="n">
        <v>0</v>
      </c>
      <c r="J75" s="20" t="n">
        <v>0</v>
      </c>
      <c r="K75" s="20" t="n">
        <v>0</v>
      </c>
      <c r="L75" s="20" t="n">
        <v>1</v>
      </c>
    </row>
    <row r="76">
      <c r="A76" s="18" t="inlineStr">
        <is>
          <t>원재료·저장품</t>
        </is>
      </c>
      <c r="C76" s="20" t="n">
        <v>120</v>
      </c>
      <c r="D76" s="20" t="n">
        <v>127</v>
      </c>
      <c r="E76" s="20" t="n">
        <v>123</v>
      </c>
      <c r="F76" s="20" t="n">
        <v>106</v>
      </c>
      <c r="G76" s="20" t="n">
        <v>125</v>
      </c>
      <c r="H76" s="20" t="n">
        <v>106</v>
      </c>
      <c r="I76" s="20" t="n">
        <v>123</v>
      </c>
      <c r="J76" s="20" t="n">
        <v>126</v>
      </c>
      <c r="K76" s="20" t="n">
        <v>141</v>
      </c>
      <c r="L76" s="20" t="n">
        <v>123</v>
      </c>
    </row>
    <row r="77">
      <c r="A77" s="18" t="inlineStr">
        <is>
          <t>미수금</t>
        </is>
      </c>
      <c r="E77" s="20" t="n">
        <v>3406</v>
      </c>
      <c r="F77" s="20" t="n">
        <v>2825</v>
      </c>
      <c r="G77" s="20" t="n">
        <v>3197</v>
      </c>
      <c r="K77" s="20" t="n">
        <v>2792</v>
      </c>
      <c r="L77" s="20" t="n">
        <v>3406</v>
      </c>
    </row>
    <row r="78">
      <c r="A78" s="18" t="inlineStr">
        <is>
          <t>기타</t>
        </is>
      </c>
      <c r="C78" s="20" t="n">
        <v>3441</v>
      </c>
      <c r="D78" s="20" t="n">
        <v>3124</v>
      </c>
      <c r="E78" s="20" t="n">
        <v>300</v>
      </c>
      <c r="F78" s="20" t="n">
        <v>298</v>
      </c>
      <c r="G78" s="20" t="n">
        <v>246</v>
      </c>
      <c r="H78" s="20" t="n">
        <v>1567</v>
      </c>
      <c r="I78" s="20" t="n">
        <v>2618</v>
      </c>
      <c r="J78" s="20" t="n">
        <v>2774</v>
      </c>
      <c r="K78" s="20" t="n">
        <v>261</v>
      </c>
      <c r="L78" s="20" t="n">
        <v>300</v>
      </c>
    </row>
    <row r="79">
      <c r="A79" s="9" t="inlineStr">
        <is>
          <t>유동자산 합계</t>
        </is>
      </c>
      <c r="C79" s="12" t="n">
        <v>15031</v>
      </c>
      <c r="D79" s="12" t="n">
        <v>15440</v>
      </c>
      <c r="E79" s="12" t="n">
        <v>14433</v>
      </c>
      <c r="F79" s="12" t="n">
        <v>15155</v>
      </c>
      <c r="G79" s="12" t="n">
        <v>12932</v>
      </c>
      <c r="H79" s="12" t="n">
        <v>12393</v>
      </c>
      <c r="I79" s="12" t="n">
        <v>12996</v>
      </c>
      <c r="J79" s="12" t="n">
        <v>14099</v>
      </c>
      <c r="K79" s="12" t="n">
        <v>14294</v>
      </c>
      <c r="L79" s="12" t="n">
        <v>14433</v>
      </c>
    </row>
    <row r="80">
      <c r="A80" s="18" t="inlineStr">
        <is>
          <t>건물·구축물</t>
        </is>
      </c>
      <c r="E80" s="20" t="n">
        <v>49610</v>
      </c>
      <c r="H80" s="20" t="n">
        <v>47703</v>
      </c>
      <c r="I80" s="20" t="n">
        <v>50275</v>
      </c>
      <c r="J80" s="20" t="n">
        <v>54687</v>
      </c>
      <c r="K80" s="20" t="n">
        <v>54286</v>
      </c>
      <c r="L80" s="20" t="n">
        <v>49610</v>
      </c>
    </row>
    <row r="81">
      <c r="A81" s="18" t="inlineStr">
        <is>
          <t>감가상각누계액</t>
        </is>
      </c>
      <c r="E81" s="20" t="n">
        <v>-34318</v>
      </c>
      <c r="H81" s="20" t="n">
        <v>-31202</v>
      </c>
      <c r="I81" s="20" t="n">
        <v>-32081</v>
      </c>
      <c r="J81" s="20" t="n">
        <v>-34007</v>
      </c>
      <c r="K81" s="20" t="n">
        <v>-35972</v>
      </c>
      <c r="L81" s="20" t="n">
        <v>-34318</v>
      </c>
    </row>
    <row r="82">
      <c r="A82" s="18" t="inlineStr">
        <is>
          <t>건물·구축물(순액)</t>
        </is>
      </c>
      <c r="C82" s="20" t="n">
        <v>17567</v>
      </c>
      <c r="D82" s="20" t="n">
        <v>17320</v>
      </c>
      <c r="E82" s="20" t="n">
        <v>15291</v>
      </c>
      <c r="F82" s="20" t="n">
        <v>15048</v>
      </c>
      <c r="G82" s="20" t="n">
        <v>14739</v>
      </c>
      <c r="H82" s="20" t="n">
        <v>16501</v>
      </c>
      <c r="I82" s="20" t="n">
        <v>18193</v>
      </c>
      <c r="J82" s="20" t="n">
        <v>20679</v>
      </c>
      <c r="K82" s="20" t="n">
        <v>18314</v>
      </c>
      <c r="L82" s="20" t="n">
        <v>15291</v>
      </c>
    </row>
    <row r="83">
      <c r="A83" s="18" t="inlineStr">
        <is>
          <t>토지</t>
        </is>
      </c>
      <c r="C83" s="20" t="n">
        <v>12397</v>
      </c>
      <c r="D83" s="20" t="n">
        <v>12397</v>
      </c>
      <c r="E83" s="20" t="n">
        <v>12039</v>
      </c>
      <c r="F83" s="20" t="n">
        <v>11994</v>
      </c>
      <c r="G83" s="20" t="n">
        <v>11994</v>
      </c>
      <c r="H83" s="20" t="n">
        <v>12829</v>
      </c>
      <c r="I83" s="20" t="n">
        <v>12719</v>
      </c>
      <c r="J83" s="20" t="n">
        <v>12684</v>
      </c>
      <c r="K83" s="20" t="n">
        <v>12405</v>
      </c>
      <c r="L83" s="20" t="n">
        <v>12039</v>
      </c>
    </row>
    <row r="84">
      <c r="A84" s="18" t="inlineStr">
        <is>
          <t>리스자산</t>
        </is>
      </c>
      <c r="E84" s="20" t="n">
        <v>4369</v>
      </c>
      <c r="H84" s="20" t="n">
        <v>2561</v>
      </c>
      <c r="I84" s="20" t="n">
        <v>2685</v>
      </c>
      <c r="J84" s="20" t="n">
        <v>4685</v>
      </c>
      <c r="K84" s="20" t="n">
        <v>5117</v>
      </c>
      <c r="L84" s="20" t="n">
        <v>4369</v>
      </c>
    </row>
    <row r="85">
      <c r="A85" s="18" t="inlineStr">
        <is>
          <t>감가상각누계액</t>
        </is>
      </c>
      <c r="E85" s="20" t="n">
        <v>-1410</v>
      </c>
      <c r="H85" s="20" t="n">
        <v>-1812</v>
      </c>
      <c r="I85" s="20" t="n">
        <v>-1988</v>
      </c>
      <c r="J85" s="20" t="n">
        <v>-2216</v>
      </c>
      <c r="K85" s="20" t="n">
        <v>-2454</v>
      </c>
      <c r="L85" s="20" t="n">
        <v>-1410</v>
      </c>
    </row>
    <row r="86">
      <c r="A86" s="18" t="inlineStr">
        <is>
          <t>리스자산(순액)</t>
        </is>
      </c>
      <c r="E86" s="20" t="n">
        <v>2959</v>
      </c>
      <c r="H86" s="20" t="n">
        <v>748</v>
      </c>
      <c r="I86" s="20" t="n">
        <v>696</v>
      </c>
      <c r="J86" s="20" t="n">
        <v>2469</v>
      </c>
      <c r="K86" s="20" t="n">
        <v>2662</v>
      </c>
      <c r="L86" s="20" t="n">
        <v>2959</v>
      </c>
    </row>
    <row r="87">
      <c r="A87" s="18" t="inlineStr">
        <is>
          <t>건설중인자산</t>
        </is>
      </c>
      <c r="E87" s="20" t="n">
        <v>0</v>
      </c>
      <c r="H87" s="20" t="n">
        <v>108</v>
      </c>
      <c r="I87" s="20" t="n">
        <v>2340</v>
      </c>
      <c r="J87" s="20" t="n">
        <v>2</v>
      </c>
      <c r="K87" s="20" t="n">
        <v>0</v>
      </c>
      <c r="L87" s="20" t="n">
        <v>0</v>
      </c>
    </row>
    <row r="88">
      <c r="A88" s="18" t="inlineStr">
        <is>
          <t>기타</t>
        </is>
      </c>
      <c r="E88" s="20" t="n">
        <v>7500</v>
      </c>
      <c r="H88" s="20" t="n">
        <v>6454</v>
      </c>
      <c r="I88" s="20" t="n">
        <v>7295</v>
      </c>
      <c r="J88" s="20" t="n">
        <v>7875</v>
      </c>
      <c r="K88" s="20" t="n">
        <v>8222</v>
      </c>
      <c r="L88" s="20" t="n">
        <v>7500</v>
      </c>
    </row>
    <row r="89">
      <c r="A89" s="18" t="inlineStr">
        <is>
          <t>감가상각누계액</t>
        </is>
      </c>
      <c r="E89" s="20" t="n">
        <v>-6358</v>
      </c>
      <c r="H89" s="20" t="n">
        <v>-4912</v>
      </c>
      <c r="I89" s="20" t="n">
        <v>-5479</v>
      </c>
      <c r="J89" s="20" t="n">
        <v>-6054</v>
      </c>
      <c r="K89" s="20" t="n">
        <v>-6640</v>
      </c>
      <c r="L89" s="20" t="n">
        <v>-6358</v>
      </c>
    </row>
    <row r="90">
      <c r="A90" s="18" t="inlineStr">
        <is>
          <t>기타(순액)</t>
        </is>
      </c>
      <c r="C90" s="20" t="n">
        <v>4398</v>
      </c>
      <c r="D90" s="20" t="n">
        <v>4478</v>
      </c>
      <c r="E90" s="20" t="n">
        <v>4102</v>
      </c>
      <c r="F90" s="20" t="n">
        <v>4127</v>
      </c>
      <c r="G90" s="20" t="n">
        <v>4027</v>
      </c>
      <c r="H90" s="20" t="n">
        <v>1541</v>
      </c>
      <c r="I90" s="20" t="n">
        <v>1816</v>
      </c>
      <c r="J90" s="20" t="n">
        <v>1821</v>
      </c>
      <c r="K90" s="20" t="n">
        <v>1581</v>
      </c>
      <c r="L90" s="20" t="n">
        <v>4102</v>
      </c>
    </row>
    <row r="91">
      <c r="A91" s="18" t="inlineStr">
        <is>
          <t>유형자산 합계</t>
        </is>
      </c>
      <c r="C91" s="20" t="n">
        <v>34363</v>
      </c>
      <c r="D91" s="20" t="n">
        <v>34196</v>
      </c>
      <c r="E91" s="20" t="n">
        <v>31433</v>
      </c>
      <c r="F91" s="20" t="n">
        <v>31169</v>
      </c>
      <c r="G91" s="20" t="n">
        <v>30760</v>
      </c>
      <c r="H91" s="20" t="n">
        <v>31728</v>
      </c>
      <c r="I91" s="20" t="n">
        <v>35767</v>
      </c>
      <c r="J91" s="20" t="n">
        <v>37658</v>
      </c>
      <c r="K91" s="20" t="n">
        <v>34964</v>
      </c>
      <c r="L91" s="20" t="n">
        <v>31433</v>
      </c>
    </row>
    <row r="92">
      <c r="A92" s="18" t="inlineStr">
        <is>
          <t>차지권</t>
        </is>
      </c>
      <c r="E92" s="20" t="n">
        <v>780</v>
      </c>
      <c r="H92" s="20" t="n">
        <v>908</v>
      </c>
      <c r="I92" s="20" t="n">
        <v>806</v>
      </c>
      <c r="J92" s="20" t="n">
        <v>836</v>
      </c>
      <c r="K92" s="20" t="n">
        <v>785</v>
      </c>
      <c r="L92" s="20" t="n">
        <v>780</v>
      </c>
    </row>
    <row r="93">
      <c r="A93" s="18" t="inlineStr">
        <is>
          <t>영업권</t>
        </is>
      </c>
      <c r="H93" s="20" t="n">
        <v>29</v>
      </c>
      <c r="I93" s="20" t="n">
        <v>18</v>
      </c>
      <c r="J93" s="20" t="n">
        <v>6</v>
      </c>
      <c r="K93" s="20" t="n">
        <v>0</v>
      </c>
    </row>
    <row r="94">
      <c r="A94" s="18" t="inlineStr">
        <is>
          <t>기타</t>
        </is>
      </c>
      <c r="E94" s="20" t="n">
        <v>1702</v>
      </c>
      <c r="H94" s="20" t="n">
        <v>429</v>
      </c>
      <c r="I94" s="20" t="n">
        <v>421</v>
      </c>
      <c r="J94" s="20" t="n">
        <v>1078</v>
      </c>
      <c r="K94" s="20" t="n">
        <v>1510</v>
      </c>
      <c r="L94" s="20" t="n">
        <v>1702</v>
      </c>
    </row>
    <row r="95">
      <c r="A95" s="18" t="inlineStr">
        <is>
          <t>무형자산</t>
        </is>
      </c>
      <c r="C95" s="20" t="n">
        <v>2468</v>
      </c>
      <c r="D95" s="20" t="n">
        <v>2452</v>
      </c>
      <c r="E95" s="20" t="n">
        <v>2483</v>
      </c>
      <c r="F95" s="20" t="n">
        <v>2422</v>
      </c>
      <c r="G95" s="20" t="n">
        <v>2588</v>
      </c>
      <c r="H95" s="20" t="n">
        <v>1367</v>
      </c>
      <c r="I95" s="20" t="n">
        <v>1245</v>
      </c>
      <c r="J95" s="20" t="n">
        <v>1921</v>
      </c>
      <c r="K95" s="20" t="n">
        <v>2295</v>
      </c>
      <c r="L95" s="20" t="n">
        <v>2483</v>
      </c>
    </row>
    <row r="96">
      <c r="A96" s="18" t="inlineStr">
        <is>
          <t>투자유가증권</t>
        </is>
      </c>
      <c r="E96" s="20" t="n">
        <v>603</v>
      </c>
      <c r="H96" s="20" t="n">
        <v>357</v>
      </c>
      <c r="I96" s="20" t="n">
        <v>382</v>
      </c>
      <c r="J96" s="20" t="n">
        <v>424</v>
      </c>
      <c r="K96" s="20" t="n">
        <v>437</v>
      </c>
      <c r="L96" s="20" t="n">
        <v>603</v>
      </c>
    </row>
    <row r="97">
      <c r="A97" s="18" t="inlineStr">
        <is>
          <t>장기대여금</t>
        </is>
      </c>
      <c r="E97" s="20" t="n">
        <v>249</v>
      </c>
      <c r="H97" s="20" t="n">
        <v>18</v>
      </c>
      <c r="I97" s="20" t="n">
        <v>254</v>
      </c>
      <c r="J97" s="20" t="n">
        <v>239</v>
      </c>
      <c r="K97" s="20" t="n">
        <v>260</v>
      </c>
      <c r="L97" s="20" t="n">
        <v>249</v>
      </c>
    </row>
    <row r="98">
      <c r="A98" s="18" t="inlineStr">
        <is>
          <t>보험적립금</t>
        </is>
      </c>
      <c r="H98" s="20" t="n">
        <v>75</v>
      </c>
      <c r="I98" s="20" t="n">
        <v>0</v>
      </c>
    </row>
    <row r="99">
      <c r="A99" s="18" t="inlineStr">
        <is>
          <t>임차보증금·보증금</t>
        </is>
      </c>
      <c r="E99" s="20" t="n">
        <v>1337</v>
      </c>
      <c r="H99" s="20" t="n">
        <v>1271</v>
      </c>
      <c r="I99" s="20" t="n">
        <v>1347</v>
      </c>
      <c r="J99" s="20" t="n">
        <v>1307</v>
      </c>
      <c r="K99" s="20" t="n">
        <v>1417</v>
      </c>
      <c r="L99" s="20" t="n">
        <v>1337</v>
      </c>
    </row>
    <row r="100">
      <c r="A100" s="18" t="inlineStr">
        <is>
          <t>이연법인세자산</t>
        </is>
      </c>
      <c r="E100" s="20" t="n">
        <v>1358</v>
      </c>
      <c r="H100" s="20" t="n">
        <v>2122</v>
      </c>
      <c r="I100" s="20" t="n">
        <v>2174</v>
      </c>
      <c r="J100" s="20" t="n">
        <v>2451</v>
      </c>
      <c r="K100" s="20" t="n">
        <v>1820</v>
      </c>
      <c r="L100" s="20" t="n">
        <v>1358</v>
      </c>
    </row>
    <row r="101">
      <c r="A101" s="18" t="inlineStr">
        <is>
          <t>기타</t>
        </is>
      </c>
      <c r="E101" s="20" t="n">
        <v>89</v>
      </c>
      <c r="H101" s="20" t="n">
        <v>43</v>
      </c>
      <c r="I101" s="20" t="n">
        <v>90</v>
      </c>
      <c r="J101" s="20" t="n">
        <v>84</v>
      </c>
      <c r="K101" s="20" t="n">
        <v>87</v>
      </c>
      <c r="L101" s="20" t="n">
        <v>89</v>
      </c>
    </row>
    <row r="102">
      <c r="A102" s="18" t="inlineStr">
        <is>
          <t>대손충당금</t>
        </is>
      </c>
      <c r="H102" s="20" t="n">
        <v>-4</v>
      </c>
      <c r="I102" s="20" t="n">
        <v>0</v>
      </c>
    </row>
    <row r="103">
      <c r="A103" s="18" t="inlineStr">
        <is>
          <t>투자 및 기타자산</t>
        </is>
      </c>
      <c r="D103" s="20" t="n">
        <v>4351</v>
      </c>
      <c r="E103" s="20" t="n">
        <v>3608</v>
      </c>
      <c r="F103" s="20" t="n">
        <v>3948</v>
      </c>
      <c r="H103" s="20" t="n">
        <v>3884</v>
      </c>
      <c r="I103" s="20" t="n">
        <v>4249</v>
      </c>
      <c r="J103" s="20" t="n">
        <v>4507</v>
      </c>
      <c r="K103" s="20" t="n">
        <v>4022</v>
      </c>
      <c r="L103" s="20" t="n">
        <v>3608</v>
      </c>
    </row>
    <row r="104">
      <c r="A104" s="18" t="inlineStr">
        <is>
          <t>투자 및 기타자산</t>
        </is>
      </c>
      <c r="C104" s="20" t="n">
        <v>4242</v>
      </c>
      <c r="E104" s="20" t="n">
        <v>3608</v>
      </c>
      <c r="G104" s="20" t="n">
        <v>3977</v>
      </c>
      <c r="K104" s="20" t="n">
        <v>4022</v>
      </c>
      <c r="L104" s="20" t="n">
        <v>3608</v>
      </c>
    </row>
    <row r="105">
      <c r="A105" s="9" t="inlineStr">
        <is>
          <t>비유동자산 합계</t>
        </is>
      </c>
      <c r="C105" s="12" t="n">
        <v>41075</v>
      </c>
      <c r="D105" s="12" t="n">
        <v>41000</v>
      </c>
      <c r="E105" s="12" t="n">
        <v>37525</v>
      </c>
      <c r="F105" s="12" t="n">
        <v>37541</v>
      </c>
      <c r="G105" s="12" t="n">
        <v>37326</v>
      </c>
      <c r="H105" s="12" t="n">
        <v>36980</v>
      </c>
      <c r="I105" s="12" t="n">
        <v>41262</v>
      </c>
      <c r="J105" s="12" t="n">
        <v>44086</v>
      </c>
      <c r="K105" s="12" t="n">
        <v>41282</v>
      </c>
      <c r="L105" s="12" t="n">
        <v>37525</v>
      </c>
    </row>
    <row r="106">
      <c r="A106" s="9" t="inlineStr">
        <is>
          <t>자산 합계</t>
        </is>
      </c>
      <c r="C106" s="12" t="n">
        <v>56106</v>
      </c>
      <c r="D106" s="12" t="n">
        <v>56441</v>
      </c>
      <c r="E106" s="12" t="n">
        <v>51958</v>
      </c>
      <c r="F106" s="12" t="n">
        <v>52696</v>
      </c>
      <c r="G106" s="12" t="n">
        <v>50258</v>
      </c>
      <c r="H106" s="12" t="n">
        <v>49373</v>
      </c>
      <c r="I106" s="12" t="n">
        <v>54259</v>
      </c>
      <c r="J106" s="12" t="n">
        <v>58186</v>
      </c>
      <c r="K106" s="12" t="n">
        <v>55577</v>
      </c>
      <c r="L106" s="12" t="n">
        <v>51958</v>
      </c>
    </row>
    <row r="107">
      <c r="A107" s="18" t="inlineStr">
        <is>
          <t>지급어음·매입채무</t>
        </is>
      </c>
      <c r="E107" s="20" t="n">
        <v>7882</v>
      </c>
      <c r="H107" s="20" t="n">
        <v>6914</v>
      </c>
      <c r="I107" s="20" t="n">
        <v>6741</v>
      </c>
      <c r="J107" s="20" t="n">
        <v>6766</v>
      </c>
      <c r="K107" s="20" t="n">
        <v>6951</v>
      </c>
      <c r="L107" s="20" t="n">
        <v>7882</v>
      </c>
    </row>
    <row r="108">
      <c r="A108" s="18" t="inlineStr">
        <is>
          <t>매입채무</t>
        </is>
      </c>
      <c r="C108" s="20" t="n">
        <v>9390</v>
      </c>
      <c r="D108" s="20" t="n">
        <v>9195</v>
      </c>
      <c r="E108" s="20" t="n">
        <v>7882</v>
      </c>
      <c r="F108" s="20" t="n">
        <v>8229</v>
      </c>
      <c r="G108" s="20" t="n">
        <v>7568</v>
      </c>
      <c r="K108" s="20" t="n">
        <v>6951</v>
      </c>
      <c r="L108" s="20" t="n">
        <v>7882</v>
      </c>
    </row>
    <row r="109">
      <c r="A109" s="18" t="inlineStr">
        <is>
          <t>단기차입금</t>
        </is>
      </c>
      <c r="C109" s="20" t="n">
        <v>4600</v>
      </c>
      <c r="D109" s="20" t="n">
        <v>4600</v>
      </c>
      <c r="E109" s="20" t="n">
        <v>2200</v>
      </c>
      <c r="F109" s="20" t="n">
        <v>2100</v>
      </c>
      <c r="G109" s="20" t="n">
        <v>1300</v>
      </c>
      <c r="H109" s="20" t="n">
        <v>3000</v>
      </c>
      <c r="I109" s="20" t="n">
        <v>7400</v>
      </c>
      <c r="J109" s="20" t="n">
        <v>8000</v>
      </c>
      <c r="K109" s="20" t="n">
        <v>8100</v>
      </c>
      <c r="L109" s="20" t="n">
        <v>2200</v>
      </c>
    </row>
    <row r="110">
      <c r="A110" s="18" t="inlineStr">
        <is>
          <t>1년 내 상환 장기차입금</t>
        </is>
      </c>
      <c r="C110" s="20" t="n">
        <v>491</v>
      </c>
      <c r="D110" s="20" t="n">
        <v>477</v>
      </c>
      <c r="E110" s="20" t="n">
        <v>984</v>
      </c>
      <c r="F110" s="20" t="n">
        <v>984</v>
      </c>
      <c r="G110" s="20" t="n">
        <v>484</v>
      </c>
      <c r="H110" s="20" t="n">
        <v>156</v>
      </c>
      <c r="I110" s="20" t="n">
        <v>234</v>
      </c>
      <c r="J110" s="20" t="n">
        <v>447</v>
      </c>
      <c r="K110" s="20" t="n">
        <v>508</v>
      </c>
      <c r="L110" s="20" t="n">
        <v>984</v>
      </c>
    </row>
    <row r="111">
      <c r="A111" s="18" t="inlineStr">
        <is>
          <t>미지급금</t>
        </is>
      </c>
      <c r="E111" s="20" t="n">
        <v>2982</v>
      </c>
      <c r="H111" s="20" t="n">
        <v>2583</v>
      </c>
      <c r="I111" s="20" t="n">
        <v>3309</v>
      </c>
      <c r="J111" s="20" t="n">
        <v>3042</v>
      </c>
      <c r="K111" s="20" t="n">
        <v>2346</v>
      </c>
      <c r="L111" s="20" t="n">
        <v>2982</v>
      </c>
    </row>
    <row r="112">
      <c r="A112" s="18" t="inlineStr">
        <is>
          <t>리스부채</t>
        </is>
      </c>
      <c r="E112" s="20" t="n">
        <v>576</v>
      </c>
      <c r="H112" s="20" t="n">
        <v>242</v>
      </c>
      <c r="I112" s="20" t="n">
        <v>251</v>
      </c>
      <c r="J112" s="20" t="n">
        <v>449</v>
      </c>
      <c r="K112" s="20" t="n">
        <v>507</v>
      </c>
      <c r="L112" s="20" t="n">
        <v>576</v>
      </c>
    </row>
    <row r="113">
      <c r="A113" s="18" t="inlineStr">
        <is>
          <t>미지급법인세</t>
        </is>
      </c>
      <c r="C113" s="20" t="n">
        <v>226</v>
      </c>
      <c r="D113" s="20" t="n">
        <v>250</v>
      </c>
      <c r="E113" s="20" t="n">
        <v>310</v>
      </c>
      <c r="F113" s="20" t="n">
        <v>117</v>
      </c>
      <c r="G113" s="20" t="n">
        <v>218</v>
      </c>
      <c r="H113" s="20" t="n">
        <v>264</v>
      </c>
      <c r="I113" s="20" t="n">
        <v>276</v>
      </c>
      <c r="J113" s="20" t="n">
        <v>97</v>
      </c>
      <c r="K113" s="20" t="n">
        <v>133</v>
      </c>
      <c r="L113" s="20" t="n">
        <v>310</v>
      </c>
    </row>
    <row r="114">
      <c r="A114" s="18" t="inlineStr">
        <is>
          <t>미지급 소비세</t>
        </is>
      </c>
      <c r="E114" s="20" t="n">
        <v>429</v>
      </c>
      <c r="H114" s="20" t="n">
        <v>233</v>
      </c>
      <c r="I114" s="20" t="n">
        <v>90</v>
      </c>
      <c r="J114" s="20" t="n">
        <v>242</v>
      </c>
      <c r="K114" s="20" t="n">
        <v>419</v>
      </c>
      <c r="L114" s="20" t="n">
        <v>429</v>
      </c>
    </row>
    <row r="115">
      <c r="A115" s="18" t="inlineStr">
        <is>
          <t>상여충당금</t>
        </is>
      </c>
      <c r="C115" s="20" t="n">
        <v>299</v>
      </c>
      <c r="D115" s="20" t="n">
        <v>0</v>
      </c>
      <c r="E115" s="20" t="n">
        <v>270</v>
      </c>
      <c r="F115" s="20" t="n">
        <v>0</v>
      </c>
      <c r="G115" s="20" t="n">
        <v>270</v>
      </c>
      <c r="H115" s="20" t="n">
        <v>299</v>
      </c>
      <c r="I115" s="20" t="n">
        <v>318</v>
      </c>
      <c r="J115" s="20" t="n">
        <v>319</v>
      </c>
      <c r="K115" s="20" t="n">
        <v>299</v>
      </c>
      <c r="L115" s="20" t="n">
        <v>270</v>
      </c>
    </row>
    <row r="116">
      <c r="A116" s="18" t="inlineStr">
        <is>
          <t>임원 상여충당금</t>
        </is>
      </c>
      <c r="H116" s="20" t="n">
        <v>0</v>
      </c>
    </row>
    <row r="117">
      <c r="A117" s="18" t="inlineStr">
        <is>
          <t>포인트 충당금</t>
        </is>
      </c>
      <c r="H117" s="20" t="n">
        <v>646</v>
      </c>
      <c r="I117" s="20" t="n">
        <v>0</v>
      </c>
    </row>
    <row r="118">
      <c r="A118" s="18" t="inlineStr">
        <is>
          <t>상품권 회수손실 충당금</t>
        </is>
      </c>
      <c r="H118" s="20" t="n">
        <v>98</v>
      </c>
    </row>
    <row r="119">
      <c r="A119" s="18" t="inlineStr">
        <is>
          <t>상품권 회수손실 충당금</t>
        </is>
      </c>
      <c r="H119" s="20" t="n">
        <v>98</v>
      </c>
      <c r="I119" s="20" t="n">
        <v>0</v>
      </c>
    </row>
    <row r="120">
      <c r="A120" s="18" t="inlineStr">
        <is>
          <t>자산복구부채</t>
        </is>
      </c>
      <c r="E120" s="20" t="n">
        <v>28</v>
      </c>
      <c r="K120" s="20" t="n">
        <v>0</v>
      </c>
      <c r="L120" s="20" t="n">
        <v>28</v>
      </c>
    </row>
    <row r="121">
      <c r="A121" s="18" t="inlineStr">
        <is>
          <t>계약부채</t>
        </is>
      </c>
      <c r="C121" s="20" t="n">
        <v>549</v>
      </c>
      <c r="D121" s="20" t="n">
        <v>534</v>
      </c>
      <c r="E121" s="20" t="n">
        <v>461</v>
      </c>
      <c r="F121" s="20" t="n">
        <v>662</v>
      </c>
      <c r="G121" s="20" t="n">
        <v>564</v>
      </c>
      <c r="H121" s="20" t="n">
        <v>0</v>
      </c>
      <c r="I121" s="20" t="n">
        <v>2073</v>
      </c>
      <c r="J121" s="20" t="n">
        <v>727</v>
      </c>
      <c r="K121" s="20" t="n">
        <v>456</v>
      </c>
      <c r="L121" s="20" t="n">
        <v>461</v>
      </c>
    </row>
    <row r="122">
      <c r="A122" s="18" t="inlineStr">
        <is>
          <t>기타</t>
        </is>
      </c>
      <c r="C122" s="20" t="n">
        <v>5307</v>
      </c>
      <c r="D122" s="20" t="n">
        <v>6116</v>
      </c>
      <c r="E122" s="20" t="n">
        <v>5086</v>
      </c>
      <c r="F122" s="20" t="n">
        <v>5793</v>
      </c>
      <c r="G122" s="20" t="n">
        <v>4746</v>
      </c>
      <c r="H122" s="20" t="n">
        <v>1886</v>
      </c>
      <c r="I122" s="20" t="n">
        <v>229</v>
      </c>
      <c r="J122" s="20" t="n">
        <v>294</v>
      </c>
      <c r="K122" s="20" t="n">
        <v>1354</v>
      </c>
      <c r="L122" s="20" t="n">
        <v>5086</v>
      </c>
    </row>
    <row r="123">
      <c r="A123" s="9" t="inlineStr">
        <is>
          <t>유동부채 합계</t>
        </is>
      </c>
      <c r="C123" s="12" t="n">
        <v>20865</v>
      </c>
      <c r="D123" s="12" t="n">
        <v>21174</v>
      </c>
      <c r="E123" s="12" t="n">
        <v>17196</v>
      </c>
      <c r="F123" s="12" t="n">
        <v>17886</v>
      </c>
      <c r="G123" s="12" t="n">
        <v>15152</v>
      </c>
      <c r="H123" s="12" t="n">
        <v>16327</v>
      </c>
      <c r="I123" s="12" t="n">
        <v>20924</v>
      </c>
      <c r="J123" s="12" t="n">
        <v>20386</v>
      </c>
      <c r="K123" s="12" t="n">
        <v>21076</v>
      </c>
      <c r="L123" s="12" t="n">
        <v>17196</v>
      </c>
    </row>
    <row r="124">
      <c r="A124" s="18" t="inlineStr">
        <is>
          <t>장기차입금</t>
        </is>
      </c>
      <c r="C124" s="20" t="n">
        <v>3493</v>
      </c>
      <c r="D124" s="20" t="n">
        <v>3374</v>
      </c>
      <c r="E124" s="20" t="n">
        <v>3117</v>
      </c>
      <c r="F124" s="20" t="n">
        <v>2996</v>
      </c>
      <c r="G124" s="20" t="n">
        <v>2861</v>
      </c>
      <c r="H124" s="20" t="n">
        <v>1039</v>
      </c>
      <c r="I124" s="20" t="n">
        <v>1756</v>
      </c>
      <c r="J124" s="20" t="n">
        <v>4206</v>
      </c>
      <c r="K124" s="20" t="n">
        <v>3620</v>
      </c>
      <c r="L124" s="20" t="n">
        <v>3117</v>
      </c>
    </row>
    <row r="125">
      <c r="A125" s="18" t="inlineStr">
        <is>
          <t>퇴직급여부채</t>
        </is>
      </c>
      <c r="C125" s="20" t="n">
        <v>187</v>
      </c>
      <c r="D125" s="20" t="n">
        <v>194</v>
      </c>
      <c r="E125" s="20" t="n">
        <v>135</v>
      </c>
      <c r="F125" s="20" t="n">
        <v>217</v>
      </c>
      <c r="G125" s="20" t="n">
        <v>227</v>
      </c>
      <c r="H125" s="20" t="n">
        <v>441</v>
      </c>
      <c r="I125" s="20" t="n">
        <v>192</v>
      </c>
      <c r="J125" s="20" t="n">
        <v>174</v>
      </c>
      <c r="K125" s="20" t="n">
        <v>199</v>
      </c>
      <c r="L125" s="20" t="n">
        <v>135</v>
      </c>
    </row>
    <row r="126">
      <c r="A126" s="18" t="inlineStr">
        <is>
          <t>자산복구부채</t>
        </is>
      </c>
      <c r="C126" s="20" t="n">
        <v>1379</v>
      </c>
      <c r="D126" s="20" t="n">
        <v>1378</v>
      </c>
      <c r="E126" s="20" t="n">
        <v>1254</v>
      </c>
      <c r="F126" s="20" t="n">
        <v>1260</v>
      </c>
      <c r="G126" s="20" t="n">
        <v>1263</v>
      </c>
      <c r="H126" s="20" t="n">
        <v>1199</v>
      </c>
      <c r="I126" s="20" t="n">
        <v>1246</v>
      </c>
      <c r="J126" s="20" t="n">
        <v>1287</v>
      </c>
      <c r="K126" s="20" t="n">
        <v>1367</v>
      </c>
      <c r="L126" s="20" t="n">
        <v>1254</v>
      </c>
    </row>
    <row r="127">
      <c r="A127" s="18" t="inlineStr">
        <is>
          <t>리스부채</t>
        </is>
      </c>
      <c r="C127" s="20" t="n">
        <v>2793</v>
      </c>
      <c r="D127" s="20" t="n">
        <v>2928</v>
      </c>
      <c r="E127" s="20" t="n">
        <v>2717</v>
      </c>
      <c r="F127" s="20" t="n">
        <v>2633</v>
      </c>
      <c r="G127" s="20" t="n">
        <v>2578</v>
      </c>
      <c r="H127" s="20" t="n">
        <v>857</v>
      </c>
      <c r="I127" s="20" t="n">
        <v>775</v>
      </c>
      <c r="J127" s="20" t="n">
        <v>2474</v>
      </c>
      <c r="K127" s="20" t="n">
        <v>2575</v>
      </c>
      <c r="L127" s="20" t="n">
        <v>2717</v>
      </c>
    </row>
    <row r="128">
      <c r="A128" s="18" t="inlineStr">
        <is>
          <t>기타</t>
        </is>
      </c>
      <c r="C128" s="20" t="n">
        <v>768</v>
      </c>
      <c r="D128" s="20" t="n">
        <v>768</v>
      </c>
      <c r="E128" s="20" t="n">
        <v>791</v>
      </c>
      <c r="F128" s="20" t="n">
        <v>792</v>
      </c>
      <c r="G128" s="20" t="n">
        <v>787</v>
      </c>
      <c r="H128" s="20" t="n">
        <v>695</v>
      </c>
      <c r="I128" s="20" t="n">
        <v>727</v>
      </c>
      <c r="J128" s="20" t="n">
        <v>795</v>
      </c>
      <c r="K128" s="20" t="n">
        <v>768</v>
      </c>
      <c r="L128" s="20" t="n">
        <v>791</v>
      </c>
    </row>
    <row r="129">
      <c r="A129" s="9" t="inlineStr">
        <is>
          <t>비유동부채 합계</t>
        </is>
      </c>
      <c r="C129" s="12" t="n">
        <v>8622</v>
      </c>
      <c r="D129" s="12" t="n">
        <v>8644</v>
      </c>
      <c r="E129" s="12" t="n">
        <v>8017</v>
      </c>
      <c r="F129" s="12" t="n">
        <v>7900</v>
      </c>
      <c r="G129" s="12" t="n">
        <v>7719</v>
      </c>
      <c r="H129" s="12" t="n">
        <v>4233</v>
      </c>
      <c r="I129" s="12" t="n">
        <v>4697</v>
      </c>
      <c r="J129" s="12" t="n">
        <v>8939</v>
      </c>
      <c r="K129" s="12" t="n">
        <v>8531</v>
      </c>
      <c r="L129" s="12" t="n">
        <v>8017</v>
      </c>
    </row>
    <row r="130">
      <c r="A130" s="9" t="inlineStr">
        <is>
          <t>부채 합계</t>
        </is>
      </c>
      <c r="C130" s="12" t="n">
        <v>29487</v>
      </c>
      <c r="D130" s="12" t="n">
        <v>29819</v>
      </c>
      <c r="E130" s="12" t="n">
        <v>25213</v>
      </c>
      <c r="F130" s="12" t="n">
        <v>25786</v>
      </c>
      <c r="G130" s="12" t="n">
        <v>22871</v>
      </c>
      <c r="H130" s="12" t="n">
        <v>20561</v>
      </c>
      <c r="I130" s="12" t="n">
        <v>25622</v>
      </c>
      <c r="J130" s="12" t="n">
        <v>29326</v>
      </c>
      <c r="K130" s="12" t="n">
        <v>29608</v>
      </c>
      <c r="L130" s="12" t="n">
        <v>25213</v>
      </c>
    </row>
    <row r="131">
      <c r="A131" s="18" t="inlineStr">
        <is>
          <t>자본금</t>
        </is>
      </c>
      <c r="C131" s="20" t="n">
        <v>2388</v>
      </c>
      <c r="D131" s="20" t="n">
        <v>2388</v>
      </c>
      <c r="E131" s="20" t="n">
        <v>2388</v>
      </c>
      <c r="F131" s="20" t="n">
        <v>2388</v>
      </c>
      <c r="G131" s="20" t="n">
        <v>2388</v>
      </c>
      <c r="H131" s="20" t="n">
        <v>2388</v>
      </c>
      <c r="I131" s="20" t="n">
        <v>2388</v>
      </c>
      <c r="J131" s="20" t="n">
        <v>2388</v>
      </c>
      <c r="K131" s="20" t="n">
        <v>2388</v>
      </c>
      <c r="L131" s="20" t="n">
        <v>2388</v>
      </c>
    </row>
    <row r="132">
      <c r="A132" s="18" t="inlineStr">
        <is>
          <t>자본잉여금</t>
        </is>
      </c>
      <c r="C132" s="20" t="n">
        <v>2204</v>
      </c>
      <c r="D132" s="20" t="n">
        <v>2206</v>
      </c>
      <c r="E132" s="20" t="n">
        <v>2208</v>
      </c>
      <c r="F132" s="20" t="n">
        <v>2210</v>
      </c>
      <c r="G132" s="20" t="n">
        <v>2204</v>
      </c>
      <c r="H132" s="20" t="n">
        <v>2209</v>
      </c>
      <c r="I132" s="20" t="n">
        <v>2211</v>
      </c>
      <c r="J132" s="20" t="n">
        <v>2210</v>
      </c>
      <c r="K132" s="20" t="n">
        <v>2209</v>
      </c>
      <c r="L132" s="20" t="n">
        <v>2208</v>
      </c>
    </row>
    <row r="133">
      <c r="A133" s="18" t="inlineStr">
        <is>
          <t>이익잉여금</t>
        </is>
      </c>
      <c r="C133" s="20" t="n">
        <v>22068</v>
      </c>
      <c r="D133" s="20" t="n">
        <v>22028</v>
      </c>
      <c r="E133" s="20" t="n">
        <v>22546</v>
      </c>
      <c r="F133" s="20" t="n">
        <v>22705</v>
      </c>
      <c r="G133" s="20" t="n">
        <v>23064</v>
      </c>
      <c r="H133" s="20" t="n">
        <v>24247</v>
      </c>
      <c r="I133" s="20" t="n">
        <v>24207</v>
      </c>
      <c r="J133" s="20" t="n">
        <v>24368</v>
      </c>
      <c r="K133" s="20" t="n">
        <v>21459</v>
      </c>
      <c r="L133" s="20" t="n">
        <v>22546</v>
      </c>
    </row>
    <row r="134">
      <c r="A134" s="18" t="inlineStr">
        <is>
          <t>자기주식</t>
        </is>
      </c>
      <c r="C134" s="20" t="n">
        <v>-217</v>
      </c>
      <c r="D134" s="20" t="n">
        <v>-217</v>
      </c>
      <c r="E134" s="20" t="n">
        <v>-761</v>
      </c>
      <c r="F134" s="20" t="n">
        <v>-761</v>
      </c>
      <c r="G134" s="20" t="n">
        <v>-752</v>
      </c>
      <c r="H134" s="20" t="n">
        <v>-67</v>
      </c>
      <c r="I134" s="20" t="n">
        <v>-246</v>
      </c>
      <c r="J134" s="20" t="n">
        <v>-235</v>
      </c>
      <c r="K134" s="20" t="n">
        <v>-227</v>
      </c>
      <c r="L134" s="20" t="n">
        <v>-761</v>
      </c>
    </row>
    <row r="135">
      <c r="A135" s="9" t="inlineStr">
        <is>
          <t>주주자본 합계</t>
        </is>
      </c>
      <c r="C135" s="12" t="n">
        <v>26444</v>
      </c>
      <c r="D135" s="12" t="n">
        <v>26406</v>
      </c>
      <c r="E135" s="12" t="n">
        <v>26382</v>
      </c>
      <c r="F135" s="12" t="n">
        <v>26543</v>
      </c>
      <c r="G135" s="12" t="n">
        <v>26905</v>
      </c>
      <c r="H135" s="12" t="n">
        <v>28778</v>
      </c>
      <c r="I135" s="12" t="n">
        <v>28561</v>
      </c>
      <c r="J135" s="12" t="n">
        <v>28731</v>
      </c>
      <c r="K135" s="12" t="n">
        <v>25830</v>
      </c>
      <c r="L135" s="12" t="n">
        <v>26382</v>
      </c>
    </row>
    <row r="136">
      <c r="A136" s="18" t="inlineStr">
        <is>
          <t>기타유가증권 평가차액</t>
        </is>
      </c>
      <c r="C136" s="20" t="n">
        <v>148</v>
      </c>
      <c r="D136" s="20" t="n">
        <v>190</v>
      </c>
      <c r="E136" s="20" t="n">
        <v>291</v>
      </c>
      <c r="F136" s="20" t="n">
        <v>296</v>
      </c>
      <c r="G136" s="20" t="n">
        <v>417</v>
      </c>
      <c r="H136" s="20" t="n">
        <v>10</v>
      </c>
      <c r="I136" s="20" t="n">
        <v>59</v>
      </c>
      <c r="J136" s="20" t="n">
        <v>98</v>
      </c>
      <c r="K136" s="20" t="n">
        <v>110</v>
      </c>
      <c r="L136" s="20" t="n">
        <v>291</v>
      </c>
    </row>
    <row r="137">
      <c r="A137" s="18" t="inlineStr">
        <is>
          <t>퇴직급여 조정누계액</t>
        </is>
      </c>
      <c r="C137" s="20" t="n">
        <v>15</v>
      </c>
      <c r="D137" s="20" t="n">
        <v>14</v>
      </c>
      <c r="E137" s="20" t="n">
        <v>61</v>
      </c>
      <c r="F137" s="20" t="n">
        <v>59</v>
      </c>
      <c r="G137" s="20" t="n">
        <v>53</v>
      </c>
      <c r="H137" s="20" t="n">
        <v>11</v>
      </c>
      <c r="I137" s="20" t="n">
        <v>3</v>
      </c>
      <c r="J137" s="20" t="n">
        <v>19</v>
      </c>
      <c r="K137" s="20" t="n">
        <v>17</v>
      </c>
      <c r="L137" s="20" t="n">
        <v>61</v>
      </c>
    </row>
    <row r="138">
      <c r="A138" s="18" t="inlineStr">
        <is>
          <t>기타포괄손익누계액 합계</t>
        </is>
      </c>
      <c r="C138" s="20" t="n">
        <v>164</v>
      </c>
      <c r="D138" s="20" t="n">
        <v>205</v>
      </c>
      <c r="E138" s="20" t="n">
        <v>352</v>
      </c>
      <c r="F138" s="20" t="n">
        <v>356</v>
      </c>
      <c r="G138" s="20" t="n">
        <v>471</v>
      </c>
      <c r="H138" s="20" t="n">
        <v>21</v>
      </c>
      <c r="I138" s="20" t="n">
        <v>62</v>
      </c>
      <c r="J138" s="20" t="n">
        <v>117</v>
      </c>
      <c r="K138" s="20" t="n">
        <v>128</v>
      </c>
      <c r="L138" s="20" t="n">
        <v>352</v>
      </c>
    </row>
    <row r="139">
      <c r="A139" s="18" t="inlineStr">
        <is>
          <t>신주예약권</t>
        </is>
      </c>
      <c r="C139" s="20" t="n">
        <v>10</v>
      </c>
      <c r="D139" s="20" t="n">
        <v>10</v>
      </c>
      <c r="E139" s="20" t="n">
        <v>10</v>
      </c>
      <c r="F139" s="20" t="n">
        <v>10</v>
      </c>
      <c r="G139" s="20" t="n">
        <v>10</v>
      </c>
      <c r="H139" s="20" t="n">
        <v>12</v>
      </c>
      <c r="I139" s="20" t="n">
        <v>12</v>
      </c>
      <c r="J139" s="20" t="n">
        <v>10</v>
      </c>
      <c r="K139" s="20" t="n">
        <v>10</v>
      </c>
      <c r="L139" s="20" t="n">
        <v>10</v>
      </c>
    </row>
    <row r="140">
      <c r="A140" s="9" t="inlineStr">
        <is>
          <t>순자산 합계</t>
        </is>
      </c>
      <c r="C140" s="12" t="n">
        <v>26619</v>
      </c>
      <c r="D140" s="12" t="n">
        <v>26621</v>
      </c>
      <c r="E140" s="12" t="n">
        <v>26744</v>
      </c>
      <c r="F140" s="12" t="n">
        <v>26910</v>
      </c>
      <c r="G140" s="12" t="n">
        <v>27386</v>
      </c>
      <c r="H140" s="12" t="n">
        <v>28812</v>
      </c>
      <c r="I140" s="12" t="n">
        <v>28636</v>
      </c>
      <c r="J140" s="12" t="n">
        <v>28859</v>
      </c>
      <c r="K140" s="12" t="n">
        <v>25969</v>
      </c>
      <c r="L140" s="12" t="n">
        <v>26744</v>
      </c>
    </row>
    <row r="141">
      <c r="A141" s="9" t="inlineStr">
        <is>
          <t>부채·순자산 합계</t>
        </is>
      </c>
      <c r="C141" s="12" t="n">
        <v>56106</v>
      </c>
      <c r="D141" s="12" t="n">
        <v>56441</v>
      </c>
      <c r="E141" s="12" t="n">
        <v>51958</v>
      </c>
      <c r="F141" s="12" t="n">
        <v>52696</v>
      </c>
      <c r="G141" s="12" t="n">
        <v>50258</v>
      </c>
      <c r="H141" s="12" t="n">
        <v>49373</v>
      </c>
      <c r="I141" s="12" t="n">
        <v>54259</v>
      </c>
      <c r="J141" s="12" t="n">
        <v>58186</v>
      </c>
      <c r="K141" s="12" t="n">
        <v>55577</v>
      </c>
      <c r="L141" s="12" t="n">
        <v>51958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44" customWidth="1" min="15" max="15"/>
  </cols>
  <sheetData>
    <row r="1">
      <c r="A1" s="50" t="inlineStr">
        <is>
          <t>야마자와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월차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>
      <c r="A5" s="53" t="inlineStr">
        <is>
          <t>항목</t>
        </is>
      </c>
      <c r="B5" s="53" t="inlineStr">
        <is>
          <t>2025-09</t>
        </is>
      </c>
      <c r="C5" s="53" t="inlineStr">
        <is>
          <t>2025-10</t>
        </is>
      </c>
      <c r="D5" s="53" t="inlineStr">
        <is>
          <t>2025-11</t>
        </is>
      </c>
      <c r="E5" s="53" t="inlineStr">
        <is>
          <t>2025-12</t>
        </is>
      </c>
      <c r="F5" s="53" t="inlineStr">
        <is>
          <t>2026-01</t>
        </is>
      </c>
      <c r="G5" s="53" t="inlineStr">
        <is>
          <t>2026-02</t>
        </is>
      </c>
      <c r="H5" s="53" t="inlineStr">
        <is>
          <t>2026-03</t>
        </is>
      </c>
      <c r="I5" s="53" t="inlineStr">
        <is>
          <t>2026-04</t>
        </is>
      </c>
      <c r="J5" s="53" t="inlineStr">
        <is>
          <t>2026-05</t>
        </is>
      </c>
      <c r="K5" s="53" t="inlineStr">
        <is>
          <t>2026-06</t>
        </is>
      </c>
      <c r="L5" s="53" t="inlineStr">
        <is>
          <t>2026-07</t>
        </is>
      </c>
      <c r="M5" s="53" t="inlineStr">
        <is>
          <t>2026-08</t>
        </is>
      </c>
      <c r="N5" s="53" t="inlineStr">
        <is>
          <t>2026-09</t>
        </is>
      </c>
      <c r="O5" s="53" t="inlineStr">
        <is>
          <t>출처</t>
        </is>
      </c>
    </row>
    <row r="6">
      <c r="A6" s="54" t="inlineStr">
        <is>
          <t>전점 매출 전년 대비</t>
        </is>
      </c>
      <c r="B6" s="55" t="n">
        <v>101.2</v>
      </c>
      <c r="C6" s="55" t="n">
        <v>101.1</v>
      </c>
      <c r="D6" s="55" t="n">
        <v>104.7</v>
      </c>
      <c r="E6" s="55" t="n">
        <v>101.5</v>
      </c>
      <c r="F6" s="55" t="n">
        <v>102.5</v>
      </c>
      <c r="G6" s="55" t="n">
        <v>97.7</v>
      </c>
      <c r="H6" s="55" t="n">
        <v>92.40000000000001</v>
      </c>
      <c r="I6" s="55" t="n">
        <v>93.2</v>
      </c>
      <c r="J6" s="55" t="n">
        <v>97.2</v>
      </c>
      <c r="K6" s="55" t="n">
        <v>91.3</v>
      </c>
      <c r="L6" s="55" t="n">
        <v>92.59999999999999</v>
      </c>
      <c r="M6" s="55" t="n">
        <v>90.90000000000001</v>
      </c>
      <c r="N6" s="55" t="n">
        <v>92.3</v>
      </c>
      <c r="O6" s="56" t="inlineStr">
        <is>
          <t>회사 월차 공시 · 전점 매출 감소는 2026년 3월 아키타 6개 점포(요네야) 분리 때문 — 기존점 기준이 실제 흐름</t>
        </is>
      </c>
    </row>
    <row r="7">
      <c r="A7" s="54" t="inlineStr">
        <is>
          <t>전점 객단가 전년 대비</t>
        </is>
      </c>
      <c r="B7" s="55" t="n">
        <v>101.7</v>
      </c>
      <c r="C7" s="55" t="n">
        <v>102.5</v>
      </c>
      <c r="D7" s="55" t="n">
        <v>104</v>
      </c>
      <c r="E7" s="55" t="n">
        <v>99.2</v>
      </c>
      <c r="F7" s="55" t="n">
        <v>103.5</v>
      </c>
      <c r="G7" s="55" t="n">
        <v>98.09999999999999</v>
      </c>
      <c r="H7" s="55" t="n">
        <v>99.2</v>
      </c>
      <c r="I7" s="55" t="n">
        <v>101.3</v>
      </c>
      <c r="J7" s="55" t="n">
        <v>102.3</v>
      </c>
      <c r="K7" s="55" t="n">
        <v>99.5</v>
      </c>
      <c r="L7" s="55" t="n">
        <v>99.8</v>
      </c>
      <c r="M7" s="55" t="n">
        <v>100.2</v>
      </c>
      <c r="N7" s="55" t="n">
        <v>100.8</v>
      </c>
    </row>
    <row r="8">
      <c r="A8" s="54" t="inlineStr">
        <is>
          <t>전점 객수 전년 대비</t>
        </is>
      </c>
      <c r="B8" s="55" t="n">
        <v>99.7</v>
      </c>
      <c r="C8" s="55" t="n">
        <v>98.2</v>
      </c>
      <c r="D8" s="55" t="n">
        <v>101</v>
      </c>
      <c r="E8" s="55" t="n">
        <v>101.5</v>
      </c>
      <c r="F8" s="55" t="n">
        <v>99.09999999999999</v>
      </c>
      <c r="G8" s="55" t="n">
        <v>99</v>
      </c>
      <c r="H8" s="55" t="n">
        <v>93.2</v>
      </c>
      <c r="I8" s="55" t="n">
        <v>92.3</v>
      </c>
      <c r="J8" s="55" t="n">
        <v>94.7</v>
      </c>
      <c r="K8" s="55" t="n">
        <v>92.09999999999999</v>
      </c>
      <c r="L8" s="55" t="n">
        <v>91.09999999999999</v>
      </c>
      <c r="M8" s="55" t="n">
        <v>91.5</v>
      </c>
      <c r="N8" s="55" t="n">
        <v>91.5</v>
      </c>
    </row>
    <row r="9">
      <c r="A9" s="54" t="inlineStr">
        <is>
          <t>기존점 매출 전년 대비</t>
        </is>
      </c>
      <c r="B9" s="55" t="n">
        <v>101.2</v>
      </c>
      <c r="C9" s="55" t="n">
        <v>102.1</v>
      </c>
      <c r="D9" s="55" t="n">
        <v>106.1</v>
      </c>
      <c r="E9" s="55" t="n">
        <v>102.7</v>
      </c>
      <c r="F9" s="55" t="n">
        <v>103.8</v>
      </c>
      <c r="G9" s="55" t="n">
        <v>101.8</v>
      </c>
      <c r="H9" s="55" t="n">
        <v>100</v>
      </c>
      <c r="I9" s="55" t="n">
        <v>101.1</v>
      </c>
      <c r="J9" s="55" t="n">
        <v>105.6</v>
      </c>
      <c r="K9" s="55" t="n">
        <v>99.2</v>
      </c>
      <c r="L9" s="55" t="n">
        <v>100.7</v>
      </c>
      <c r="M9" s="55" t="n">
        <v>98.90000000000001</v>
      </c>
      <c r="N9" s="55" t="n">
        <v>100.3</v>
      </c>
    </row>
    <row r="10">
      <c r="A10" s="54" t="inlineStr">
        <is>
          <t>기존점 객단가 전년 대비</t>
        </is>
      </c>
      <c r="B10" s="55" t="n">
        <v>101.7</v>
      </c>
      <c r="C10" s="55" t="n">
        <v>102.3</v>
      </c>
      <c r="D10" s="55" t="n">
        <v>103.7</v>
      </c>
      <c r="E10" s="55" t="n">
        <v>99</v>
      </c>
      <c r="F10" s="55" t="n">
        <v>103.2</v>
      </c>
      <c r="G10" s="55" t="n">
        <v>97.5</v>
      </c>
      <c r="H10" s="55" t="n">
        <v>98.2</v>
      </c>
      <c r="I10" s="55" t="n">
        <v>100.4</v>
      </c>
      <c r="J10" s="55" t="n">
        <v>101.5</v>
      </c>
      <c r="K10" s="55" t="n">
        <v>98.59999999999999</v>
      </c>
      <c r="L10" s="55" t="n">
        <v>99.09999999999999</v>
      </c>
      <c r="M10" s="55" t="n">
        <v>99.7</v>
      </c>
      <c r="N10" s="55" t="n">
        <v>99.90000000000001</v>
      </c>
    </row>
    <row r="11">
      <c r="A11" s="54" t="inlineStr">
        <is>
          <t>기존점 객수 전년 대비</t>
        </is>
      </c>
      <c r="B11" s="55" t="n">
        <v>99.7</v>
      </c>
      <c r="C11" s="55" t="n">
        <v>99.40000000000001</v>
      </c>
      <c r="D11" s="55" t="n">
        <v>102.6</v>
      </c>
      <c r="E11" s="55" t="n">
        <v>103.1</v>
      </c>
      <c r="F11" s="55" t="n">
        <v>100.5</v>
      </c>
      <c r="G11" s="55" t="n">
        <v>103.8</v>
      </c>
      <c r="H11" s="55" t="n">
        <v>102</v>
      </c>
      <c r="I11" s="55" t="n">
        <v>101</v>
      </c>
      <c r="J11" s="55" t="n">
        <v>103.7</v>
      </c>
      <c r="K11" s="55" t="n">
        <v>101</v>
      </c>
      <c r="L11" s="55" t="n">
        <v>99.7</v>
      </c>
      <c r="M11" s="55" t="n">
        <v>100.2</v>
      </c>
      <c r="N11" s="55" t="n">
        <v>100.2</v>
      </c>
    </row>
    <row r="13">
      <c r="A13" s="52" t="inlineStr">
        <is>
          <t>guidance · FY2/27_initial_26.4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>
      <c r="A14" s="53" t="inlineStr">
        <is>
          <t>항목</t>
        </is>
      </c>
      <c r="B14" s="53" t="inlineStr">
        <is>
          <t>값</t>
        </is>
      </c>
      <c r="O14" s="53" t="inlineStr">
        <is>
          <t>출처</t>
        </is>
      </c>
    </row>
    <row r="15">
      <c r="A15" s="54" t="inlineStr">
        <is>
          <t>매출</t>
        </is>
      </c>
      <c r="B15" s="57" t="n">
        <v>997</v>
      </c>
      <c r="O15" s="56" t="inlineStr">
        <is>
          <t>2단계 보고서 자료(회사 설명회 자료·공시)</t>
        </is>
      </c>
    </row>
    <row r="16">
      <c r="A16" s="54" t="inlineStr">
        <is>
          <t>영업이익</t>
        </is>
      </c>
      <c r="B16" s="57" t="n">
        <v>7</v>
      </c>
    </row>
    <row r="17">
      <c r="A17" s="54" t="inlineStr">
        <is>
          <t>ord</t>
        </is>
      </c>
      <c r="B17" s="57" t="n">
        <v>8</v>
      </c>
    </row>
    <row r="18">
      <c r="A18" s="54" t="inlineStr">
        <is>
          <t>순이익</t>
        </is>
      </c>
      <c r="B18" s="55" t="n">
        <v>4.5</v>
      </c>
    </row>
    <row r="19">
      <c r="A19" s="54" t="inlineStr">
        <is>
          <t>EPS</t>
        </is>
      </c>
      <c r="B19" s="55" t="n">
        <v>42.08</v>
      </c>
    </row>
    <row r="20">
      <c r="A20" s="54" t="inlineStr">
        <is>
          <t>상반기 매출</t>
        </is>
      </c>
      <c r="B20" s="57" t="n">
        <v>499</v>
      </c>
    </row>
    <row r="21">
      <c r="A21" s="54" t="inlineStr">
        <is>
          <t>상반기 영업이익</t>
        </is>
      </c>
      <c r="B21" s="55" t="n">
        <v>2.9</v>
      </c>
    </row>
    <row r="22">
      <c r="A22" s="54" t="inlineStr">
        <is>
          <t>상반기 순이익</t>
        </is>
      </c>
      <c r="B22" s="55" t="n">
        <v>1.9</v>
      </c>
    </row>
    <row r="24">
      <c r="A24" s="52" t="inlineStr">
        <is>
          <t>guidance · FY2/27_revised_26.10.14</t>
        </is>
      </c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</row>
    <row r="25">
      <c r="A25" s="53" t="inlineStr">
        <is>
          <t>항목</t>
        </is>
      </c>
      <c r="B25" s="53" t="inlineStr">
        <is>
          <t>값</t>
        </is>
      </c>
      <c r="O25" s="53" t="inlineStr">
        <is>
          <t>출처</t>
        </is>
      </c>
    </row>
    <row r="26">
      <c r="A26" s="54" t="inlineStr">
        <is>
          <t>매출</t>
        </is>
      </c>
      <c r="B26" s="57" t="n">
        <v>997</v>
      </c>
      <c r="O26" s="56" t="inlineStr">
        <is>
          <t>2단계 보고서 자료(회사 설명회 자료·공시)</t>
        </is>
      </c>
    </row>
    <row r="27">
      <c r="A27" s="54" t="inlineStr">
        <is>
          <t>영업이익</t>
        </is>
      </c>
      <c r="B27" s="57" t="n">
        <v>11</v>
      </c>
    </row>
    <row r="28">
      <c r="A28" s="54" t="inlineStr">
        <is>
          <t>ord</t>
        </is>
      </c>
      <c r="B28" s="57" t="n">
        <v>12</v>
      </c>
    </row>
    <row r="29">
      <c r="A29" s="54" t="inlineStr">
        <is>
          <t>순이익</t>
        </is>
      </c>
      <c r="B29" s="55" t="n">
        <v>7.5</v>
      </c>
    </row>
    <row r="30">
      <c r="A30" s="54" t="inlineStr">
        <is>
          <t>EPS</t>
        </is>
      </c>
      <c r="B30" s="55" t="n">
        <v>70.16</v>
      </c>
    </row>
    <row r="32">
      <c r="A32" s="52" t="inlineStr">
        <is>
          <t>가이던스 · 상반기 실적</t>
        </is>
      </c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</row>
    <row r="33">
      <c r="A33" s="53" t="inlineStr">
        <is>
          <t>항목</t>
        </is>
      </c>
      <c r="B33" s="53" t="inlineStr">
        <is>
          <t>값</t>
        </is>
      </c>
      <c r="O33" s="53" t="inlineStr">
        <is>
          <t>출처</t>
        </is>
      </c>
    </row>
    <row r="34">
      <c r="A34" s="54" t="inlineStr">
        <is>
          <t>매출</t>
        </is>
      </c>
      <c r="B34" s="55" t="n">
        <v>499.44</v>
      </c>
      <c r="O34" s="56" t="inlineStr">
        <is>
          <t>2단계 보고서 자료(회사 설명회 자료·공시)</t>
        </is>
      </c>
    </row>
    <row r="35">
      <c r="A35" s="54" t="inlineStr">
        <is>
          <t>영업이익</t>
        </is>
      </c>
      <c r="B35" s="55" t="n">
        <v>6.8</v>
      </c>
    </row>
    <row r="36">
      <c r="A36" s="54" t="inlineStr">
        <is>
          <t>ord</t>
        </is>
      </c>
      <c r="B36" s="55" t="n">
        <v>7.9</v>
      </c>
    </row>
    <row r="37">
      <c r="A37" s="54" t="inlineStr">
        <is>
          <t>순이익</t>
        </is>
      </c>
      <c r="B37" s="55" t="n">
        <v>6.57</v>
      </c>
    </row>
    <row r="38">
      <c r="A38" s="54" t="inlineStr">
        <is>
          <t>EPS</t>
        </is>
      </c>
      <c r="B38" s="55" t="n">
        <v>64.02</v>
      </c>
    </row>
    <row r="40">
      <c r="A40" s="52" t="inlineStr">
        <is>
          <t>부문별 Q · 2027-Q1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</row>
    <row r="41">
      <c r="A41" s="53" t="inlineStr">
        <is>
          <t>항목</t>
        </is>
      </c>
      <c r="B41" s="53" t="inlineStr">
        <is>
          <t>값</t>
        </is>
      </c>
      <c r="O41" s="53" t="inlineStr">
        <is>
          <t>출처</t>
        </is>
      </c>
    </row>
    <row r="42">
      <c r="A42" s="54" t="inlineStr">
        <is>
          <t>SM ext</t>
        </is>
      </c>
      <c r="B42" s="55" t="n">
        <v>214.74</v>
      </c>
      <c r="O42" s="56" t="inlineStr">
        <is>
          <t>2단계 보고서 자료(회사 설명회 자료·공시)</t>
        </is>
      </c>
    </row>
    <row r="43">
      <c r="A43" s="54" t="inlineStr">
        <is>
          <t>SM 영업이익</t>
        </is>
      </c>
      <c r="B43" s="55" t="n">
        <v>2.21</v>
      </c>
    </row>
    <row r="44">
      <c r="A44" s="54" t="inlineStr">
        <is>
          <t>DS ext</t>
        </is>
      </c>
      <c r="B44" s="55" t="n">
        <v>33.96</v>
      </c>
    </row>
    <row r="45">
      <c r="A45" s="54" t="inlineStr">
        <is>
          <t>DS 영업이익</t>
        </is>
      </c>
      <c r="B45" s="55" t="n">
        <v>0.09</v>
      </c>
    </row>
    <row r="46">
      <c r="A46" s="54" t="inlineStr">
        <is>
          <t>Food 영업이익</t>
        </is>
      </c>
      <c r="B46" s="55" t="n">
        <v>-0.14</v>
      </c>
    </row>
    <row r="48">
      <c r="A48" s="52" t="inlineStr">
        <is>
          <t>부문별 Q · 2026-Q1</t>
        </is>
      </c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</row>
    <row r="49">
      <c r="A49" s="53" t="inlineStr">
        <is>
          <t>항목</t>
        </is>
      </c>
      <c r="B49" s="53" t="inlineStr">
        <is>
          <t>값</t>
        </is>
      </c>
      <c r="O49" s="53" t="inlineStr">
        <is>
          <t>출처</t>
        </is>
      </c>
    </row>
    <row r="50">
      <c r="A50" s="54" t="inlineStr">
        <is>
          <t>SM ext</t>
        </is>
      </c>
      <c r="B50" s="55" t="n">
        <v>228.12</v>
      </c>
      <c r="O50" s="56" t="inlineStr">
        <is>
          <t>2단계 보고서 자료(회사 설명회 자료·공시)</t>
        </is>
      </c>
    </row>
    <row r="51">
      <c r="A51" s="54" t="inlineStr">
        <is>
          <t>SM 영업이익</t>
        </is>
      </c>
      <c r="B51" s="55" t="n">
        <v>3.5</v>
      </c>
    </row>
    <row r="52">
      <c r="A52" s="54" t="inlineStr">
        <is>
          <t>DS ext</t>
        </is>
      </c>
      <c r="B52" s="55" t="n">
        <v>32.45</v>
      </c>
    </row>
    <row r="53">
      <c r="A53" s="54" t="inlineStr">
        <is>
          <t>DS 영업이익</t>
        </is>
      </c>
      <c r="B53" s="55" t="n">
        <v>-0.22</v>
      </c>
    </row>
    <row r="54">
      <c r="A54" s="54" t="inlineStr">
        <is>
          <t>Food 영업이익</t>
        </is>
      </c>
      <c r="B54" s="55" t="n">
        <v>-0.8</v>
      </c>
    </row>
    <row r="56">
      <c r="A56" s="52" t="inlineStr">
        <is>
          <t>부문별 Q · 2027-Q2</t>
        </is>
      </c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</row>
    <row r="57">
      <c r="A57" s="53" t="inlineStr">
        <is>
          <t>항목</t>
        </is>
      </c>
      <c r="B57" s="53" t="inlineStr">
        <is>
          <t>값</t>
        </is>
      </c>
      <c r="O57" s="53" t="inlineStr">
        <is>
          <t>출처</t>
        </is>
      </c>
    </row>
    <row r="58">
      <c r="A58" s="54" t="inlineStr">
        <is>
          <t>SM ext</t>
        </is>
      </c>
      <c r="B58" s="55" t="n">
        <v>217.1</v>
      </c>
      <c r="O58" s="56" t="inlineStr">
        <is>
          <t>2단계 보고서 자료(회사 설명회 자료·공시)</t>
        </is>
      </c>
    </row>
    <row r="59">
      <c r="A59" s="54" t="inlineStr">
        <is>
          <t>SM 영업이익</t>
        </is>
      </c>
      <c r="B59" s="55" t="n">
        <v>4.77</v>
      </c>
    </row>
    <row r="60">
      <c r="A60" s="54" t="inlineStr">
        <is>
          <t>DS ext</t>
        </is>
      </c>
      <c r="B60" s="55" t="n">
        <v>33.61</v>
      </c>
    </row>
    <row r="61">
      <c r="A61" s="54" t="inlineStr">
        <is>
          <t>DS 영업이익</t>
        </is>
      </c>
      <c r="B61" s="55" t="n">
        <v>-0.4</v>
      </c>
    </row>
    <row r="62">
      <c r="A62" s="54" t="inlineStr">
        <is>
          <t>Food 영업이익</t>
        </is>
      </c>
      <c r="B62" s="55" t="n">
        <v>0.21</v>
      </c>
    </row>
    <row r="64">
      <c r="A64" s="52" t="inlineStr">
        <is>
          <t>부문별 Q · 2026-Q2</t>
        </is>
      </c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</row>
    <row r="65">
      <c r="A65" s="53" t="inlineStr">
        <is>
          <t>항목</t>
        </is>
      </c>
      <c r="B65" s="53" t="inlineStr">
        <is>
          <t>값</t>
        </is>
      </c>
      <c r="O65" s="53" t="inlineStr">
        <is>
          <t>출처</t>
        </is>
      </c>
    </row>
    <row r="66">
      <c r="A66" s="54" t="inlineStr">
        <is>
          <t>SM ext</t>
        </is>
      </c>
      <c r="B66" s="55" t="n">
        <v>236.29</v>
      </c>
      <c r="O66" s="56" t="inlineStr">
        <is>
          <t>2단계 보고서 자료(회사 설명회 자료·공시)</t>
        </is>
      </c>
    </row>
    <row r="67">
      <c r="A67" s="54" t="inlineStr">
        <is>
          <t>SM 영업이익</t>
        </is>
      </c>
      <c r="B67" s="55" t="n">
        <v>3.88</v>
      </c>
    </row>
    <row r="68">
      <c r="A68" s="54" t="inlineStr">
        <is>
          <t>DS ext</t>
        </is>
      </c>
      <c r="B68" s="55" t="n">
        <v>33.79</v>
      </c>
    </row>
    <row r="69">
      <c r="A69" s="54" t="inlineStr">
        <is>
          <t>DS 영업이익</t>
        </is>
      </c>
      <c r="B69" s="55" t="n">
        <v>-0.43</v>
      </c>
    </row>
    <row r="70">
      <c r="A70" s="54" t="inlineStr">
        <is>
          <t>Food 영업이익</t>
        </is>
      </c>
      <c r="B70" s="55" t="n">
        <v>-0.01</v>
      </c>
    </row>
    <row r="72">
      <c r="A72" s="52" t="inlineStr">
        <is>
          <t>밸류에이션</t>
        </is>
      </c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</row>
    <row r="73">
      <c r="A73" s="53" t="inlineStr">
        <is>
          <t>항목</t>
        </is>
      </c>
      <c r="B73" s="53" t="inlineStr">
        <is>
          <t>값</t>
        </is>
      </c>
      <c r="O73" s="53" t="inlineStr">
        <is>
          <t>출처</t>
        </is>
      </c>
    </row>
    <row r="74">
      <c r="A74" s="54" t="inlineStr">
        <is>
          <t>shares ex treasury</t>
        </is>
      </c>
      <c r="B74" s="57" t="n">
        <v>10274943</v>
      </c>
      <c r="O74" s="56" t="inlineStr">
        <is>
          <t>TTM EPS에 아키타 분리 이전이익 14.45억(주당 약 140엔) 포함</t>
        </is>
      </c>
    </row>
    <row r="75">
      <c r="A75" s="54" t="inlineStr">
        <is>
          <t>mcap</t>
        </is>
      </c>
      <c r="B75" s="55" t="n">
        <v>117.2</v>
      </c>
    </row>
    <row r="76">
      <c r="A76" s="54" t="inlineStr">
        <is>
          <t>equity</t>
        </is>
      </c>
      <c r="B76" s="55" t="n">
        <v>273.76</v>
      </c>
    </row>
    <row r="77">
      <c r="A77" s="54" t="inlineStr">
        <is>
          <t>bps</t>
        </is>
      </c>
      <c r="B77" s="57" t="n">
        <v>2664</v>
      </c>
    </row>
    <row r="78">
      <c r="A78" s="54" t="inlineStr">
        <is>
          <t>PBR</t>
        </is>
      </c>
      <c r="B78" s="55" t="n">
        <v>0.43</v>
      </c>
    </row>
    <row r="79">
      <c r="A79" s="54" t="inlineStr">
        <is>
          <t>ttm EPS</t>
        </is>
      </c>
      <c r="B79" s="55" t="n">
        <v>122.9</v>
      </c>
    </row>
    <row r="80">
      <c r="A80" s="54" t="inlineStr">
        <is>
          <t>ttm PER</t>
        </is>
      </c>
      <c r="B80" s="55" t="n">
        <v>9.300000000000001</v>
      </c>
    </row>
    <row r="81">
      <c r="A81" s="54" t="inlineStr">
        <is>
          <t>guid EPS</t>
        </is>
      </c>
      <c r="B81" s="55" t="n">
        <v>70.16</v>
      </c>
    </row>
    <row r="82">
      <c r="A82" s="54" t="inlineStr">
        <is>
          <t>guid PER</t>
        </is>
      </c>
      <c r="B82" s="55" t="n">
        <v>16.3</v>
      </c>
    </row>
    <row r="83">
      <c r="A83" s="54" t="inlineStr">
        <is>
          <t>dps</t>
        </is>
      </c>
      <c r="B83" s="57" t="n">
        <v>27</v>
      </c>
    </row>
    <row r="84">
      <c r="A84" s="54" t="inlineStr">
        <is>
          <t>yield</t>
        </is>
      </c>
      <c r="B84" s="55" t="n">
        <v>2.4</v>
      </c>
    </row>
    <row r="85">
      <c r="A85" s="54" t="inlineStr">
        <is>
          <t>net assets ratio</t>
        </is>
      </c>
      <c r="B85" s="55" t="n">
        <v>54.5</v>
      </c>
    </row>
    <row r="87">
      <c r="A87" s="52" t="inlineStr">
        <is>
          <t>peers · 9948 아크스</t>
        </is>
      </c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</row>
    <row r="88">
      <c r="A88" s="53" t="inlineStr">
        <is>
          <t>항목</t>
        </is>
      </c>
      <c r="B88" s="53" t="inlineStr">
        <is>
          <t>값</t>
        </is>
      </c>
      <c r="O88" s="53" t="inlineStr">
        <is>
          <t>출처</t>
        </is>
      </c>
    </row>
    <row r="89">
      <c r="A89" s="54" t="inlineStr">
        <is>
          <t>가격</t>
        </is>
      </c>
      <c r="B89" s="57" t="n">
        <v>3500</v>
      </c>
      <c r="O89" s="56" t="inlineStr">
        <is>
          <t>2단계 보고서 자료(회사 설명회 자료·공시)</t>
        </is>
      </c>
    </row>
    <row r="90">
      <c r="A90" s="54" t="inlineStr">
        <is>
          <t>EPS fc</t>
        </is>
      </c>
      <c r="B90" s="55" t="n">
        <v>232.73</v>
      </c>
    </row>
    <row r="92">
      <c r="A92" s="52" t="inlineStr">
        <is>
          <t>peers · 8167 리테일파트너즈</t>
        </is>
      </c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</row>
    <row r="93">
      <c r="A93" s="53" t="inlineStr">
        <is>
          <t>항목</t>
        </is>
      </c>
      <c r="B93" s="53" t="inlineStr">
        <is>
          <t>값</t>
        </is>
      </c>
      <c r="O93" s="53" t="inlineStr">
        <is>
          <t>출처</t>
        </is>
      </c>
    </row>
    <row r="94">
      <c r="A94" s="54" t="inlineStr">
        <is>
          <t>가격</t>
        </is>
      </c>
      <c r="B94" s="57" t="n">
        <v>1411</v>
      </c>
      <c r="O94" s="56" t="inlineStr">
        <is>
          <t>2단계 보고서 자료(회사 설명회 자료·공시)</t>
        </is>
      </c>
    </row>
    <row r="95">
      <c r="A95" s="54" t="inlineStr">
        <is>
          <t>EPS fc</t>
        </is>
      </c>
      <c r="B95" s="55" t="n">
        <v>124.62</v>
      </c>
    </row>
    <row r="97">
      <c r="A97" s="52" t="inlineStr">
        <is>
          <t>peers · 8278 후지</t>
        </is>
      </c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</row>
    <row r="98">
      <c r="A98" s="53" t="inlineStr">
        <is>
          <t>항목</t>
        </is>
      </c>
      <c r="B98" s="53" t="inlineStr">
        <is>
          <t>값</t>
        </is>
      </c>
      <c r="O98" s="53" t="inlineStr">
        <is>
          <t>출처</t>
        </is>
      </c>
    </row>
    <row r="99">
      <c r="A99" s="54" t="inlineStr">
        <is>
          <t>가격</t>
        </is>
      </c>
      <c r="B99" s="57" t="n">
        <v>1982</v>
      </c>
      <c r="O99" s="56" t="inlineStr">
        <is>
          <t>2단계 보고서 자료(회사 설명회 자료·공시)</t>
        </is>
      </c>
    </row>
    <row r="100">
      <c r="A100" s="54" t="inlineStr">
        <is>
          <t>EPS fc</t>
        </is>
      </c>
      <c r="B100" s="55" t="n">
        <v>80.76000000000001</v>
      </c>
    </row>
    <row r="102">
      <c r="A102" s="52" t="inlineStr">
        <is>
          <t>peers · 8255 액시얼 리테일링</t>
        </is>
      </c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</row>
    <row r="103">
      <c r="A103" s="53" t="inlineStr">
        <is>
          <t>항목</t>
        </is>
      </c>
      <c r="B103" s="53" t="inlineStr">
        <is>
          <t>값</t>
        </is>
      </c>
      <c r="O103" s="53" t="inlineStr">
        <is>
          <t>출처</t>
        </is>
      </c>
    </row>
    <row r="104">
      <c r="A104" s="54" t="inlineStr">
        <is>
          <t>가격</t>
        </is>
      </c>
      <c r="B104" s="57" t="n">
        <v>1314</v>
      </c>
      <c r="O104" s="56" t="inlineStr">
        <is>
          <t>2단계 보고서 자료(회사 설명회 자료·공시)</t>
        </is>
      </c>
    </row>
    <row r="105">
      <c r="A105" s="54" t="inlineStr">
        <is>
          <t>EPS fc</t>
        </is>
      </c>
      <c r="B105" s="55" t="n">
        <v>90.31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2026-10-14</t>
        </is>
      </c>
      <c r="B4" t="inlineStr">
        <is>
          <t>2027년 2월 결산기 ２분기 결산단신</t>
        </is>
      </c>
      <c r="C4" t="inlineStr">
        <is>
          <t>https://www2.jpx.co.jp/disc/99930/140120261014550200.pdf</t>
        </is>
      </c>
    </row>
    <row r="5">
      <c r="A5" t="inlineStr">
        <is>
          <t>2026-07-14</t>
        </is>
      </c>
      <c r="B5" t="inlineStr">
        <is>
          <t>2027년 2월 결산기 １분기 결산단신</t>
        </is>
      </c>
      <c r="C5" t="inlineStr">
        <is>
          <t>https://www2.jpx.co.jp/disc/99930/140120260713592236.pdf</t>
        </is>
      </c>
    </row>
    <row r="6">
      <c r="A6" t="inlineStr">
        <is>
          <t>2026-04-20</t>
        </is>
      </c>
      <c r="B6" t="inlineStr">
        <is>
          <t>2026년 2월 결산기 연간 결산단신</t>
        </is>
      </c>
      <c r="C6" t="inlineStr">
        <is>
          <t>https://www2.jpx.co.jp/disc/99930/140120260420506871.pdf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https://www2.jpx.co.jp/disc/99930/140120260114533127.pdf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https://www2.jpx.co.jp/disc/99930/140120251010571625.pdf</t>
        </is>
      </c>
    </row>
    <row r="9">
      <c r="A9" t="inlineStr">
        <is>
          <t>2025-04-14</t>
        </is>
      </c>
      <c r="B9" t="inlineStr">
        <is>
          <t>2025년 2월 결산기 연간 결산단신</t>
        </is>
      </c>
      <c r="C9" t="inlineStr">
        <is>
          <t>https://www2.jpx.co.jp/disc/99930/140120250414515281.pdf</t>
        </is>
      </c>
    </row>
    <row r="10">
      <c r="A10" t="inlineStr">
        <is>
          <t>2025-01-10</t>
        </is>
      </c>
      <c r="B10" t="inlineStr">
        <is>
          <t>2025년 2월 결산기 ３분기 결산단신</t>
        </is>
      </c>
      <c r="C10" t="inlineStr">
        <is>
          <t>https://www2.jpx.co.jp/disc/99930/140120250110548922.pdf</t>
        </is>
      </c>
    </row>
    <row r="11">
      <c r="A11" t="inlineStr">
        <is>
          <t>2024-10-10</t>
        </is>
      </c>
      <c r="B11" t="inlineStr">
        <is>
          <t>2025년 2월 결산기 ２분기 결산단신</t>
        </is>
      </c>
      <c r="C11" t="inlineStr">
        <is>
          <t>https://www2.jpx.co.jp/disc/99930/140120241010596167.pdf</t>
        </is>
      </c>
    </row>
    <row r="12">
      <c r="A12" t="inlineStr">
        <is>
          <t>2024-07-11</t>
        </is>
      </c>
      <c r="B12" t="inlineStr">
        <is>
          <t>2025년 2월 결산기 １분기 결산단신</t>
        </is>
      </c>
      <c r="C12" t="inlineStr">
        <is>
          <t>https://www2.jpx.co.jp/disc/99930/140120240711547445.pdf</t>
        </is>
      </c>
    </row>
    <row r="13">
      <c r="A13" t="inlineStr">
        <is>
          <t>2024-04-15</t>
        </is>
      </c>
      <c r="B13" t="inlineStr">
        <is>
          <t>2024년 2월 결산기 연간 결산단신</t>
        </is>
      </c>
      <c r="C13" t="inlineStr">
        <is>
          <t>https://www2.jpx.co.jp/disc/99930/140120240415570986.pdf</t>
        </is>
      </c>
    </row>
    <row r="14">
      <c r="A14" t="inlineStr">
        <is>
          <t>2024-01-11</t>
        </is>
      </c>
      <c r="B14" t="inlineStr">
        <is>
          <t>2024년 2월 결산기 ３분기 결산단신</t>
        </is>
      </c>
      <c r="C14" t="inlineStr">
        <is>
          <t>https://www2.jpx.co.jp/disc/99930/140120240111513312.pdf</t>
        </is>
      </c>
    </row>
    <row r="15">
      <c r="A15" t="inlineStr">
        <is>
          <t>2023-10-11</t>
        </is>
      </c>
      <c r="B15" t="inlineStr">
        <is>
          <t>2024년 2월 결산기 ２분기 결산단신</t>
        </is>
      </c>
      <c r="C15" t="inlineStr">
        <is>
          <t>https://www2.jpx.co.jp/disc/99930/140120231011564852.pdf</t>
        </is>
      </c>
    </row>
    <row r="16">
      <c r="A16" t="inlineStr">
        <is>
          <t>2023-07-12</t>
        </is>
      </c>
      <c r="B16" t="inlineStr">
        <is>
          <t>2024년 2월 결산기 １분기 결산단신</t>
        </is>
      </c>
      <c r="C16" t="inlineStr">
        <is>
          <t>https://www2.jpx.co.jp/disc/99930/140120230712520867.pdf</t>
        </is>
      </c>
    </row>
    <row r="17">
      <c r="A17" t="inlineStr">
        <is>
          <t>2023-04-14</t>
        </is>
      </c>
      <c r="B17" t="inlineStr">
        <is>
          <t>2023년 2월 결산기 연간 결산단신</t>
        </is>
      </c>
      <c r="C17" t="inlineStr">
        <is>
          <t>https://www2.jpx.co.jp/disc/99930/140120230414547869.pdf</t>
        </is>
      </c>
    </row>
    <row r="18">
      <c r="A18" t="inlineStr">
        <is>
          <t>2023-01-12</t>
        </is>
      </c>
      <c r="B18" t="inlineStr">
        <is>
          <t>2023년 2월 결산기 ３분기 결산단신</t>
        </is>
      </c>
      <c r="C18" t="inlineStr">
        <is>
          <t>https://www2.jpx.co.jp/disc/99930/140120230112588130.pdf</t>
        </is>
      </c>
    </row>
    <row r="19">
      <c r="A19" t="inlineStr">
        <is>
          <t>2022-10-12</t>
        </is>
      </c>
      <c r="B19" t="inlineStr">
        <is>
          <t>2023년 2월 결산기 ２분기 결산단신</t>
        </is>
      </c>
      <c r="C19" t="inlineStr">
        <is>
          <t>https://www2.jpx.co.jp/disc/99930/140120221012543163.pdf</t>
        </is>
      </c>
    </row>
    <row r="20">
      <c r="A20" t="inlineStr">
        <is>
          <t>2022-04-12</t>
        </is>
      </c>
      <c r="B20" t="inlineStr">
        <is>
          <t>2022년 2월 결산기 연간 결산단신</t>
        </is>
      </c>
      <c r="C20" t="inlineStr">
        <is>
          <t>https://www2.jpx.co.jp/disc/99930/140120220412520467.pdf</t>
        </is>
      </c>
    </row>
    <row r="21">
      <c r="A21" t="inlineStr">
        <is>
          <t>2021-04-12</t>
        </is>
      </c>
      <c r="B21" t="inlineStr">
        <is>
          <t>2021년 2월 결산기 연간 결산단신</t>
        </is>
      </c>
      <c r="C21" t="inlineStr">
        <is>
          <t>https://www2.jpx.co.jp/disc/99930/140120210412492950.pdf</t>
        </is>
      </c>
    </row>
    <row r="22">
      <c r="A22" t="inlineStr">
        <is>
          <t>2020-04-10</t>
        </is>
      </c>
      <c r="B22" t="inlineStr">
        <is>
          <t>2020년 2월 결산기 연간 결산단신</t>
        </is>
      </c>
      <c r="C22" t="inlineStr">
        <is>
          <t>https://www2.jpx.co.jp/disc/99930/140120200410492181.pdf</t>
        </is>
      </c>
    </row>
    <row r="23">
      <c r="A23" t="inlineStr">
        <is>
          <t>2019-04-11</t>
        </is>
      </c>
      <c r="B23" t="inlineStr">
        <is>
          <t>2019년 2월 결산기 연간 결산단신</t>
        </is>
      </c>
      <c r="C23" t="inlineStr">
        <is>
          <t>https://www2.jpx.co.jp/disc/99930/140120190410402456.pdf</t>
        </is>
      </c>
    </row>
    <row r="24">
      <c r="A24" t="inlineStr">
        <is>
          <t>2018-04-12</t>
        </is>
      </c>
      <c r="B24" t="inlineStr">
        <is>
          <t>연간 결산단신</t>
        </is>
      </c>
      <c r="C24" t="inlineStr">
        <is>
          <t>https://www2.jpx.co.jp/disc/99930/140120180410408782.pdf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2026-10-28T07:01:19Z</dcterms:created>
  <dcterms:modified xmlns:dcterms="http://purl.org/dc/terms/" xmlns:xsi="http://www.w3.org/2001/XMLSchema-instance" xsi:type="dcterms:W3CDTF">2026-10-28T07:01:20Z</dcterms:modified>
</cp:coreProperties>
</file>