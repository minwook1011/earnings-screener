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섹터 데이터" sheetId="3" state="visible" r:id="rId3"/>
    <sheet xmlns:r="http://schemas.openxmlformats.org/officeDocument/2006/relationships" name="출처" sheetId="4" state="visible" r:id="rId4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  <numFmt numFmtId="169" formatCode="#,##0.0;\(#,##0.0\);&quot;-&quot;"/>
  </numFmts>
  <fonts count="21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color rgb="FFFF0000"/>
      <sz val="9"/>
    </font>
    <font>
      <name val="맑은 고딕"/>
      <b val="1"/>
      <color rgb="FFFFFFFF"/>
      <sz val="11"/>
    </font>
    <font>
      <name val="맑은 고딕"/>
      <b val="1"/>
      <sz val="10"/>
    </font>
    <font>
      <name val="맑은 고딕"/>
      <sz val="11"/>
    </font>
    <font>
      <name val="맑은 고딕"/>
      <color rgb="FF808080"/>
      <sz val="9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808080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0" pivotButton="0" quotePrefix="0" xfId="0"/>
    <xf numFmtId="0" fontId="17" fillId="6" borderId="0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9" fillId="0" borderId="0" pivotButton="0" quotePrefix="0" xfId="0"/>
    <xf numFmtId="169" fontId="19" fillId="0" borderId="0" applyAlignment="1" pivotButton="0" quotePrefix="0" xfId="0">
      <alignment horizontal="center" vertical="center"/>
    </xf>
    <xf numFmtId="0" fontId="20" fillId="0" borderId="0" pivotButton="0" quotePrefix="0" xfId="0"/>
    <xf numFmtId="3" fontId="19" fillId="0" borderId="0" applyAlignment="1" pivotButton="0" quotePrefix="0" xfId="0">
      <alignment horizontal="center" vertical="center"/>
    </xf>
    <xf numFmtId="0" fontId="18" fillId="7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45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야마자와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2월 결산 · 일본 기준 · 2027.2Q = 2027년 2월 결산기 2분기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2024.3Q</t>
        </is>
      </c>
      <c r="D3" s="5" t="inlineStr">
        <is>
          <t>2024.4Q</t>
        </is>
      </c>
      <c r="E3" s="5" t="inlineStr">
        <is>
          <t>2025.1Q</t>
        </is>
      </c>
      <c r="F3" s="5" t="inlineStr">
        <is>
          <t>2025.2Q</t>
        </is>
      </c>
      <c r="G3" s="5" t="inlineStr">
        <is>
          <t>2025.3Q</t>
        </is>
      </c>
      <c r="H3" s="5" t="inlineStr">
        <is>
          <t>2025.4Q</t>
        </is>
      </c>
      <c r="I3" s="5" t="inlineStr">
        <is>
          <t>2026.1Q</t>
        </is>
      </c>
      <c r="J3" s="5" t="inlineStr">
        <is>
          <t>2026.2Q</t>
        </is>
      </c>
      <c r="K3" s="5" t="inlineStr">
        <is>
          <t>2026.3Q</t>
        </is>
      </c>
      <c r="L3" s="5" t="inlineStr">
        <is>
          <t>2026.4Q</t>
        </is>
      </c>
      <c r="M3" s="5" t="inlineStr">
        <is>
          <t>2027.1Q</t>
        </is>
      </c>
      <c r="N3" s="5" t="inlineStr">
        <is>
          <t>2027.2Q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25272</v>
      </c>
      <c r="D4" s="12" t="n">
        <v>25969</v>
      </c>
      <c r="E4" s="12" t="n">
        <v>24969</v>
      </c>
      <c r="F4" s="12" t="n">
        <v>25989</v>
      </c>
      <c r="G4" s="12" t="n">
        <v>24927</v>
      </c>
      <c r="H4" s="12" t="n">
        <v>26673</v>
      </c>
      <c r="I4" s="12" t="n">
        <v>26063</v>
      </c>
      <c r="J4" s="12" t="n">
        <v>27020</v>
      </c>
      <c r="K4" s="12" t="n">
        <v>25554</v>
      </c>
      <c r="L4" s="12" t="n">
        <v>26768</v>
      </c>
      <c r="M4" s="12" t="n">
        <v>24871</v>
      </c>
      <c r="N4" s="12" t="n">
        <v>25073</v>
      </c>
      <c r="O4" s="11" t="n">
        <v>114111</v>
      </c>
      <c r="P4" s="12" t="n">
        <v>114303</v>
      </c>
      <c r="Q4" s="12" t="n">
        <v>110688</v>
      </c>
      <c r="R4" s="12" t="n">
        <v>109709</v>
      </c>
      <c r="S4" s="12" t="n">
        <v>112938</v>
      </c>
      <c r="T4" s="12" t="n">
        <v>110673</v>
      </c>
      <c r="U4" s="12" t="n">
        <v>99457</v>
      </c>
      <c r="V4" s="12" t="n">
        <v>101891</v>
      </c>
      <c r="W4" s="12" t="n">
        <v>102558</v>
      </c>
      <c r="X4" s="12" t="n">
        <v>105405</v>
      </c>
      <c r="Y4" s="11">
        <f>IF(COUNT(Y7,Y10,Y13,Y16)=0,"",SUM(Y7,Y10,Y13,Y16))</f>
        <v/>
      </c>
      <c r="Z4" s="12">
        <f>IF(COUNT(Z7,Z10,Z13,Z16)=0,"",SUM(Z7,Z10,Z13,Z16))</f>
        <v/>
      </c>
      <c r="AA4" s="12">
        <f>IF(COUNT(AA7,AA10,AA13,AA16)=0,"",SUM(AA7,AA10,AA13,AA16))</f>
        <v/>
      </c>
      <c r="AB4" s="12">
        <f>IF(COUNT(AB7,AB10,AB13,AB16)=0,"",SUM(AB7,AB10,AB13,AB16))</f>
        <v/>
      </c>
      <c r="AC4" s="12">
        <f>IF(COUNT(AC7,AC10,AC13,AC16)=0,"",SUM(AC7,AC10,AC13,AC16))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슈퍼마켓 사업</t>
        </is>
      </c>
      <c r="B7" s="10" t="n"/>
      <c r="C7" s="19" t="n">
        <v>22037</v>
      </c>
      <c r="D7" s="20" t="n">
        <v>22782</v>
      </c>
      <c r="E7" s="20" t="n"/>
      <c r="F7" s="20" t="n"/>
      <c r="G7" s="20" t="n">
        <v>21793</v>
      </c>
      <c r="H7" s="20" t="n">
        <v>23429</v>
      </c>
      <c r="I7" s="20" t="n">
        <v>22812</v>
      </c>
      <c r="J7" s="20" t="n">
        <v>23629</v>
      </c>
      <c r="K7" s="20" t="n">
        <v>22362</v>
      </c>
      <c r="L7" s="20" t="n">
        <v>23530</v>
      </c>
      <c r="M7" s="20" t="n">
        <v>21474</v>
      </c>
      <c r="N7" s="20" t="n">
        <v>21710</v>
      </c>
      <c r="O7" s="19" t="n"/>
      <c r="P7" s="20" t="n"/>
      <c r="Q7" s="20" t="n"/>
      <c r="R7" s="20" t="n"/>
      <c r="S7" s="20" t="n"/>
      <c r="T7" s="20" t="n"/>
      <c r="U7" s="20" t="n"/>
      <c r="V7" s="20" t="n">
        <v>88975</v>
      </c>
      <c r="W7" s="20" t="n">
        <v>89731</v>
      </c>
      <c r="X7" s="20" t="n">
        <v>92333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드럭스토어 사업</t>
        </is>
      </c>
      <c r="B10" s="10" t="n"/>
      <c r="C10" s="19" t="n">
        <v>3232</v>
      </c>
      <c r="D10" s="20" t="n">
        <v>3186</v>
      </c>
      <c r="E10" s="20" t="n"/>
      <c r="F10" s="20" t="n"/>
      <c r="G10" s="20" t="n">
        <v>3133</v>
      </c>
      <c r="H10" s="20" t="n">
        <v>3243</v>
      </c>
      <c r="I10" s="20" t="n">
        <v>3245</v>
      </c>
      <c r="J10" s="20" t="n">
        <v>3379</v>
      </c>
      <c r="K10" s="20" t="n">
        <v>3185</v>
      </c>
      <c r="L10" s="20" t="n">
        <v>3261</v>
      </c>
      <c r="M10" s="20" t="n">
        <v>3396</v>
      </c>
      <c r="N10" s="20" t="n">
        <v>3361</v>
      </c>
      <c r="O10" s="19" t="n"/>
      <c r="P10" s="20" t="n"/>
      <c r="Q10" s="20" t="n"/>
      <c r="R10" s="20" t="n"/>
      <c r="S10" s="20" t="n"/>
      <c r="T10" s="20" t="n"/>
      <c r="U10" s="20" t="n"/>
      <c r="V10" s="20" t="n">
        <v>12907</v>
      </c>
      <c r="W10" s="20" t="n">
        <v>12821</v>
      </c>
      <c r="X10" s="20" t="n">
        <v>13070</v>
      </c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식품 제조 사업</t>
        </is>
      </c>
      <c r="B13" s="10" t="n"/>
      <c r="C13" s="19" t="n"/>
      <c r="D13" s="20" t="n"/>
      <c r="E13" s="20" t="n"/>
      <c r="F13" s="20" t="n"/>
      <c r="G13" s="20" t="n">
        <v>1</v>
      </c>
      <c r="H13" s="20" t="n">
        <v>2</v>
      </c>
      <c r="I13" s="20" t="n">
        <v>5</v>
      </c>
      <c r="J13" s="20" t="n">
        <v>11</v>
      </c>
      <c r="K13" s="20" t="n">
        <v>7</v>
      </c>
      <c r="L13" s="20" t="n">
        <v>-21</v>
      </c>
      <c r="M13" s="20" t="n">
        <v>0</v>
      </c>
      <c r="N13" s="20" t="n">
        <v>2</v>
      </c>
      <c r="O13" s="19" t="n"/>
      <c r="P13" s="20" t="n"/>
      <c r="Q13" s="20" t="n"/>
      <c r="R13" s="20" t="n"/>
      <c r="S13" s="20" t="n"/>
      <c r="T13" s="20" t="n"/>
      <c r="U13" s="20" t="n"/>
      <c r="V13" s="20" t="n">
        <v>8</v>
      </c>
      <c r="W13" s="20" t="n">
        <v>6</v>
      </c>
      <c r="X13" s="20" t="n">
        <v>2</v>
      </c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8" t="inlineStr">
        <is>
          <t>기타</t>
        </is>
      </c>
      <c r="B16" s="10" t="n"/>
      <c r="C16" s="19" t="n">
        <v>3</v>
      </c>
      <c r="D16" s="20" t="n"/>
      <c r="E16" s="20" t="n"/>
      <c r="F16" s="20" t="n"/>
      <c r="G16" s="20" t="n">
        <v>1</v>
      </c>
      <c r="H16" s="20" t="n"/>
      <c r="I16" s="20" t="n"/>
      <c r="J16" s="20" t="n"/>
      <c r="K16" s="20" t="n"/>
      <c r="L16" s="20" t="n"/>
      <c r="M16" s="20" t="n"/>
      <c r="N16" s="20" t="n"/>
      <c r="O16" s="19" t="n"/>
      <c r="P16" s="20" t="n"/>
      <c r="Q16" s="20" t="n"/>
      <c r="R16" s="20" t="n"/>
      <c r="S16" s="20" t="n"/>
      <c r="T16" s="20" t="n"/>
      <c r="U16" s="20" t="n"/>
      <c r="V16" s="20" t="n"/>
      <c r="W16" s="20" t="n"/>
      <c r="X16" s="20" t="n"/>
      <c r="Y16" s="21" t="n"/>
      <c r="Z16" s="22" t="n"/>
      <c r="AA16" s="22" t="n"/>
      <c r="AB16" s="22" t="n"/>
      <c r="AC16" s="22" t="n"/>
    </row>
    <row r="17">
      <c r="A17" s="13" t="inlineStr">
        <is>
          <t>비중</t>
        </is>
      </c>
      <c r="B17" s="10" t="n"/>
      <c r="C17" s="14">
        <f>IF(OR(C16="",C4=""),"",IFERROR(C16/C4,""))</f>
        <v/>
      </c>
      <c r="D17" s="15">
        <f>IF(OR(D16="",D4=""),"",IFERROR(D16/D4,""))</f>
        <v/>
      </c>
      <c r="E17" s="15">
        <f>IF(OR(E16="",E4=""),"",IFERROR(E16/E4,""))</f>
        <v/>
      </c>
      <c r="F17" s="15">
        <f>IF(OR(F16="",F4=""),"",IFERROR(F16/F4,""))</f>
        <v/>
      </c>
      <c r="G17" s="15">
        <f>IF(OR(G16="",G4=""),"",IFERROR(G16/G4,""))</f>
        <v/>
      </c>
      <c r="H17" s="15">
        <f>IF(OR(H16="",H4=""),"",IFERROR(H16/H4,""))</f>
        <v/>
      </c>
      <c r="I17" s="15">
        <f>IF(OR(I16="",I4=""),"",IFERROR(I16/I4,""))</f>
        <v/>
      </c>
      <c r="J17" s="15">
        <f>IF(OR(J16="",J4=""),"",IFERROR(J16/J4,""))</f>
        <v/>
      </c>
      <c r="K17" s="15">
        <f>IF(OR(K16="",K4=""),"",IFERROR(K16/K4,""))</f>
        <v/>
      </c>
      <c r="L17" s="15">
        <f>IF(OR(L16="",L4=""),"",IFERROR(L16/L4,""))</f>
        <v/>
      </c>
      <c r="M17" s="15">
        <f>IF(OR(M16="",M4=""),"",IFERROR(M16/M4,""))</f>
        <v/>
      </c>
      <c r="N17" s="15">
        <f>IF(OR(N16="",N4=""),"",IFERROR(N16/N4,""))</f>
        <v/>
      </c>
      <c r="O17" s="14">
        <f>IF(OR(O16="",O4=""),"",IFERROR(O16/O4,""))</f>
        <v/>
      </c>
      <c r="P17" s="15">
        <f>IF(OR(P16="",P4=""),"",IFERROR(P16/P4,""))</f>
        <v/>
      </c>
      <c r="Q17" s="15">
        <f>IF(OR(Q16="",Q4=""),"",IFERROR(Q16/Q4,""))</f>
        <v/>
      </c>
      <c r="R17" s="15">
        <f>IF(OR(R16="",R4=""),"",IFERROR(R16/R4,""))</f>
        <v/>
      </c>
      <c r="S17" s="15">
        <f>IF(OR(S16="",S4=""),"",IFERROR(S16/S4,""))</f>
        <v/>
      </c>
      <c r="T17" s="15">
        <f>IF(OR(T16="",T4=""),"",IFERROR(T16/T4,""))</f>
        <v/>
      </c>
      <c r="U17" s="15">
        <f>IF(OR(U16="",U4=""),"",IFERROR(U16/U4,""))</f>
        <v/>
      </c>
      <c r="V17" s="15">
        <f>IF(OR(V16="",V4=""),"",IFERROR(V16/V4,""))</f>
        <v/>
      </c>
      <c r="W17" s="15">
        <f>IF(OR(W16="",W4=""),"",IFERROR(W16/W4,""))</f>
        <v/>
      </c>
      <c r="X17" s="15">
        <f>IF(OR(X16="",X4=""),"",IFERROR(X16/X4,""))</f>
        <v/>
      </c>
      <c r="Y17" s="14">
        <f>IF(OR(Y16="",Y4=""),"",IFERROR(Y16/Y4,""))</f>
        <v/>
      </c>
      <c r="Z17" s="15">
        <f>IF(OR(Z16="",Z4=""),"",IFERROR(Z16/Z4,""))</f>
        <v/>
      </c>
      <c r="AA17" s="15">
        <f>IF(OR(AA16="",AA4=""),"",IFERROR(AA16/AA4,""))</f>
        <v/>
      </c>
      <c r="AB17" s="15">
        <f>IF(OR(AB16="",AB4=""),"",IFERROR(AB16/AB4,""))</f>
        <v/>
      </c>
      <c r="AC17" s="15">
        <f>IF(OR(AC16="",AC4=""),"",IFERROR(AC16/AC4,""))</f>
        <v/>
      </c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IF(OR(G16="",C16=""),"",IFERROR(G16/C16-1,""))</f>
        <v/>
      </c>
      <c r="H18" s="15">
        <f>IF(OR(H16="",D16=""),"",IFERROR(H16/D16-1,""))</f>
        <v/>
      </c>
      <c r="I18" s="15">
        <f>IF(OR(I16="",E16=""),"",IFERROR(I16/E16-1,""))</f>
        <v/>
      </c>
      <c r="J18" s="15">
        <f>IF(OR(J16="",F16=""),"",IFERROR(J16/F16-1,""))</f>
        <v/>
      </c>
      <c r="K18" s="15">
        <f>IF(OR(K16="",G16=""),"",IFERROR(K16/G16-1,""))</f>
        <v/>
      </c>
      <c r="L18" s="15">
        <f>IF(OR(L16="",H16=""),"",IFERROR(L16/H16-1,""))</f>
        <v/>
      </c>
      <c r="M18" s="15">
        <f>IF(OR(M16="",I16=""),"",IFERROR(M16/I16-1,""))</f>
        <v/>
      </c>
      <c r="N18" s="15">
        <f>IF(OR(N16="",J16=""),"",IFERROR(N16/J16-1,""))</f>
        <v/>
      </c>
      <c r="O18" s="14" t="n"/>
      <c r="P18" s="15">
        <f>IF(OR(P16="",O16=""),"",IFERROR(P16/O16-1,""))</f>
        <v/>
      </c>
      <c r="Q18" s="15">
        <f>IF(OR(Q16="",P16=""),"",IFERROR(Q16/P16-1,""))</f>
        <v/>
      </c>
      <c r="R18" s="15">
        <f>IF(OR(R16="",Q16=""),"",IFERROR(R16/Q16-1,""))</f>
        <v/>
      </c>
      <c r="S18" s="15">
        <f>IF(OR(S16="",R16=""),"",IFERROR(S16/R16-1,""))</f>
        <v/>
      </c>
      <c r="T18" s="15">
        <f>IF(OR(T16="",S16=""),"",IFERROR(T16/S16-1,""))</f>
        <v/>
      </c>
      <c r="U18" s="15">
        <f>IF(OR(U16="",T16=""),"",IFERROR(U16/T16-1,""))</f>
        <v/>
      </c>
      <c r="V18" s="15">
        <f>IF(OR(V16="",U16=""),"",IFERROR(V16/U16-1,""))</f>
        <v/>
      </c>
      <c r="W18" s="15">
        <f>IF(OR(W16="",V16=""),"",IFERROR(W16/V16-1,""))</f>
        <v/>
      </c>
      <c r="X18" s="15">
        <f>IF(OR(X16="",W16=""),"",IFERROR(X16/W16-1,""))</f>
        <v/>
      </c>
      <c r="Y18" s="14">
        <f>IF(OR(Y16="",X16=""),"",IFERROR(Y16/X16-1,""))</f>
        <v/>
      </c>
      <c r="Z18" s="15">
        <f>IF(OR(Z16="",Y16=""),"",IFERROR(Z16/Y16-1,""))</f>
        <v/>
      </c>
      <c r="AA18" s="15">
        <f>IF(OR(AA16="",Z16=""),"",IFERROR(AA16/Z16-1,""))</f>
        <v/>
      </c>
      <c r="AB18" s="15">
        <f>IF(OR(AB16="",AA16=""),"",IFERROR(AB16/AA16-1,""))</f>
        <v/>
      </c>
      <c r="AC18" s="15">
        <f>IF(OR(AC16="",AB16=""),"",IFERROR(AC16/AB16-1,""))</f>
        <v/>
      </c>
    </row>
    <row r="19">
      <c r="A19" s="16" t="inlineStr">
        <is>
          <t>매출원가</t>
        </is>
      </c>
      <c r="B19" s="16" t="n"/>
      <c r="C19" s="17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7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7" t="n"/>
      <c r="Z19" s="16" t="n"/>
      <c r="AA19" s="16" t="n"/>
      <c r="AB19" s="16" t="n"/>
      <c r="AC19" s="16" t="n"/>
    </row>
    <row r="20">
      <c r="A20" s="18" t="inlineStr">
        <is>
          <t>전체 매출원가</t>
        </is>
      </c>
      <c r="B20" s="10" t="n"/>
      <c r="C20" s="19" t="n">
        <v>18489</v>
      </c>
      <c r="D20" s="20" t="n">
        <v>18681</v>
      </c>
      <c r="E20" s="20" t="n">
        <v>18233</v>
      </c>
      <c r="F20" s="20" t="n">
        <v>18662</v>
      </c>
      <c r="G20" s="20" t="n">
        <v>18157</v>
      </c>
      <c r="H20" s="20" t="n">
        <v>18911</v>
      </c>
      <c r="I20" s="20" t="n">
        <v>18886</v>
      </c>
      <c r="J20" s="20" t="n">
        <v>19360</v>
      </c>
      <c r="K20" s="20" t="n">
        <v>18522</v>
      </c>
      <c r="L20" s="20" t="n">
        <v>19003</v>
      </c>
      <c r="M20" s="20" t="n">
        <v>18056</v>
      </c>
      <c r="N20" s="20" t="n">
        <v>17708</v>
      </c>
      <c r="O20" s="19" t="n">
        <v>82463</v>
      </c>
      <c r="P20" s="20" t="n">
        <v>82404</v>
      </c>
      <c r="Q20" s="20" t="n">
        <v>80322</v>
      </c>
      <c r="R20" s="20" t="n">
        <v>79506</v>
      </c>
      <c r="S20" s="20" t="n">
        <v>80458</v>
      </c>
      <c r="T20" s="20" t="n">
        <v>78993</v>
      </c>
      <c r="U20" s="20" t="n">
        <v>71850</v>
      </c>
      <c r="V20" s="20" t="n">
        <v>73751</v>
      </c>
      <c r="W20" s="20" t="n">
        <v>73963</v>
      </c>
      <c r="X20" s="20" t="n">
        <v>75771</v>
      </c>
      <c r="Y20" s="19" t="n"/>
      <c r="Z20" s="20" t="n"/>
      <c r="AA20" s="20" t="n"/>
      <c r="AB20" s="20" t="n"/>
      <c r="AC20" s="20" t="n"/>
    </row>
    <row r="21">
      <c r="A21" s="18" t="inlineStr">
        <is>
          <t>매출총이익</t>
        </is>
      </c>
      <c r="B21" s="10" t="n"/>
      <c r="C21" s="19">
        <f>IF(OR(C4="",C20=""),"",IFERROR(C4-C20,""))</f>
        <v/>
      </c>
      <c r="D21" s="20">
        <f>IF(OR(D4="",D20=""),"",IFERROR(D4-D20,""))</f>
        <v/>
      </c>
      <c r="E21" s="20">
        <f>IF(OR(E4="",E20=""),"",IFERROR(E4-E20,""))</f>
        <v/>
      </c>
      <c r="F21" s="20">
        <f>IF(OR(F4="",F20=""),"",IFERROR(F4-F20,""))</f>
        <v/>
      </c>
      <c r="G21" s="20">
        <f>IF(OR(G4="",G20=""),"",IFERROR(G4-G20,""))</f>
        <v/>
      </c>
      <c r="H21" s="20">
        <f>IF(OR(H4="",H20=""),"",IFERROR(H4-H20,""))</f>
        <v/>
      </c>
      <c r="I21" s="20">
        <f>IF(OR(I4="",I20=""),"",IFERROR(I4-I20,""))</f>
        <v/>
      </c>
      <c r="J21" s="20">
        <f>IF(OR(J4="",J20=""),"",IFERROR(J4-J20,""))</f>
        <v/>
      </c>
      <c r="K21" s="20">
        <f>IF(OR(K4="",K20=""),"",IFERROR(K4-K20,""))</f>
        <v/>
      </c>
      <c r="L21" s="20">
        <f>IF(OR(L4="",L20=""),"",IFERROR(L4-L20,""))</f>
        <v/>
      </c>
      <c r="M21" s="20">
        <f>IF(OR(M4="",M20=""),"",IFERROR(M4-M20,""))</f>
        <v/>
      </c>
      <c r="N21" s="20">
        <f>IF(OR(N4="",N20=""),"",IFERROR(N4-N20,""))</f>
        <v/>
      </c>
      <c r="O21" s="19">
        <f>IF(OR(O4="",O20=""),"",IFERROR(O4-O20,""))</f>
        <v/>
      </c>
      <c r="P21" s="20">
        <f>IF(OR(P4="",P20=""),"",IFERROR(P4-P20,""))</f>
        <v/>
      </c>
      <c r="Q21" s="20">
        <f>IF(OR(Q4="",Q20=""),"",IFERROR(Q4-Q20,""))</f>
        <v/>
      </c>
      <c r="R21" s="20">
        <f>IF(OR(R4="",R20=""),"",IFERROR(R4-R20,""))</f>
        <v/>
      </c>
      <c r="S21" s="20">
        <f>IF(OR(S4="",S20=""),"",IFERROR(S4-S20,""))</f>
        <v/>
      </c>
      <c r="T21" s="20">
        <f>IF(OR(T4="",T20=""),"",IFERROR(T4-T20,""))</f>
        <v/>
      </c>
      <c r="U21" s="20">
        <f>IF(OR(U4="",U20=""),"",IFERROR(U4-U20,""))</f>
        <v/>
      </c>
      <c r="V21" s="20">
        <f>IF(OR(V4="",V20=""),"",IFERROR(V4-V20,""))</f>
        <v/>
      </c>
      <c r="W21" s="20">
        <f>IF(OR(W4="",W20=""),"",IFERROR(W4-W20,""))</f>
        <v/>
      </c>
      <c r="X21" s="20">
        <f>IF(OR(X4="",X20=""),"",IFERROR(X4-X20,""))</f>
        <v/>
      </c>
      <c r="Y21" s="19" t="n"/>
      <c r="Z21" s="20" t="n"/>
      <c r="AA21" s="20" t="n"/>
      <c r="AB21" s="20" t="n"/>
      <c r="AC21" s="20" t="n"/>
    </row>
    <row r="22">
      <c r="A22" s="13" t="inlineStr">
        <is>
          <t>GPM</t>
        </is>
      </c>
      <c r="B22" s="10" t="n"/>
      <c r="C22" s="14">
        <f>IF(OR(C21="",C4=""),"",IFERROR(C21/C4,""))</f>
        <v/>
      </c>
      <c r="D22" s="15">
        <f>IF(OR(D21="",D4=""),"",IFERROR(D21/D4,""))</f>
        <v/>
      </c>
      <c r="E22" s="15">
        <f>IF(OR(E21="",E4=""),"",IFERROR(E21/E4,""))</f>
        <v/>
      </c>
      <c r="F22" s="15">
        <f>IF(OR(F21="",F4=""),"",IFERROR(F21/F4,""))</f>
        <v/>
      </c>
      <c r="G22" s="15">
        <f>IF(OR(G21="",G4=""),"",IFERROR(G21/G4,""))</f>
        <v/>
      </c>
      <c r="H22" s="15">
        <f>IF(OR(H21="",H4=""),"",IFERROR(H21/H4,""))</f>
        <v/>
      </c>
      <c r="I22" s="15">
        <f>IF(OR(I21="",I4=""),"",IFERROR(I21/I4,""))</f>
        <v/>
      </c>
      <c r="J22" s="15">
        <f>IF(OR(J21="",J4=""),"",IFERROR(J21/J4,""))</f>
        <v/>
      </c>
      <c r="K22" s="15">
        <f>IF(OR(K21="",K4=""),"",IFERROR(K21/K4,""))</f>
        <v/>
      </c>
      <c r="L22" s="15">
        <f>IF(OR(L21="",L4=""),"",IFERROR(L21/L4,""))</f>
        <v/>
      </c>
      <c r="M22" s="15">
        <f>IF(OR(M21="",M4=""),"",IFERROR(M21/M4,""))</f>
        <v/>
      </c>
      <c r="N22" s="15">
        <f>IF(OR(N21="",N4=""),"",IFERROR(N21/N4,""))</f>
        <v/>
      </c>
      <c r="O22" s="14">
        <f>IF(OR(O21="",O4=""),"",IFERROR(O21/O4,""))</f>
        <v/>
      </c>
      <c r="P22" s="15">
        <f>IF(OR(P21="",P4=""),"",IFERROR(P21/P4,""))</f>
        <v/>
      </c>
      <c r="Q22" s="15">
        <f>IF(OR(Q21="",Q4=""),"",IFERROR(Q21/Q4,""))</f>
        <v/>
      </c>
      <c r="R22" s="15">
        <f>IF(OR(R21="",R4=""),"",IFERROR(R21/R4,""))</f>
        <v/>
      </c>
      <c r="S22" s="15">
        <f>IF(OR(S21="",S4=""),"",IFERROR(S21/S4,""))</f>
        <v/>
      </c>
      <c r="T22" s="15">
        <f>IF(OR(T21="",T4=""),"",IFERROR(T21/T4,""))</f>
        <v/>
      </c>
      <c r="U22" s="15">
        <f>IF(OR(U21="",U4=""),"",IFERROR(U21/U4,""))</f>
        <v/>
      </c>
      <c r="V22" s="15">
        <f>IF(OR(V21="",V4=""),"",IFERROR(V21/V4,""))</f>
        <v/>
      </c>
      <c r="W22" s="15">
        <f>IF(OR(W21="",W4=""),"",IFERROR(W21/W4,""))</f>
        <v/>
      </c>
      <c r="X22" s="15">
        <f>IF(OR(X21="",X4=""),"",IFERROR(X21/X4,""))</f>
        <v/>
      </c>
      <c r="Y22" s="14">
        <f>IF(OR(Y21="",Y4=""),"",IFERROR(Y21/Y4,""))</f>
        <v/>
      </c>
      <c r="Z22" s="15">
        <f>IF(OR(Z21="",Z4=""),"",IFERROR(Z21/Z4,""))</f>
        <v/>
      </c>
      <c r="AA22" s="15">
        <f>IF(OR(AA21="",AA4=""),"",IFERROR(AA21/AA4,""))</f>
        <v/>
      </c>
      <c r="AB22" s="15">
        <f>IF(OR(AB21="",AB4=""),"",IFERROR(AB21/AB4,""))</f>
        <v/>
      </c>
      <c r="AC22" s="15">
        <f>IF(OR(AC21="",AC4=""),"",IFERROR(AC21/AC4,""))</f>
        <v/>
      </c>
    </row>
    <row r="23">
      <c r="A23" s="23" t="inlineStr">
        <is>
          <t>판매관리비</t>
        </is>
      </c>
      <c r="B23" s="23" t="n"/>
      <c r="C23" s="24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4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4" t="n"/>
      <c r="Z23" s="23" t="n"/>
      <c r="AA23" s="23" t="n"/>
      <c r="AB23" s="23" t="n"/>
      <c r="AC23" s="23" t="n"/>
    </row>
    <row r="24">
      <c r="A24" s="18" t="inlineStr">
        <is>
          <t>전체 판관비</t>
        </is>
      </c>
      <c r="B24" s="10" t="n"/>
      <c r="C24" s="19" t="n">
        <v>6873</v>
      </c>
      <c r="D24" s="20" t="n">
        <v>7105</v>
      </c>
      <c r="E24" s="20" t="n">
        <v>7144</v>
      </c>
      <c r="F24" s="20" t="n">
        <v>7601</v>
      </c>
      <c r="G24" s="20" t="n">
        <v>7124</v>
      </c>
      <c r="H24" s="20" t="n">
        <v>7547</v>
      </c>
      <c r="I24" s="20" t="n">
        <v>6926</v>
      </c>
      <c r="J24" s="20" t="n">
        <v>7315</v>
      </c>
      <c r="K24" s="20" t="n">
        <v>6927</v>
      </c>
      <c r="L24" s="20" t="n">
        <v>7323</v>
      </c>
      <c r="M24" s="20" t="n">
        <v>6597</v>
      </c>
      <c r="N24" s="20" t="n">
        <v>6903</v>
      </c>
      <c r="O24" s="19" t="n">
        <v>30095</v>
      </c>
      <c r="P24" s="20" t="n">
        <v>30740</v>
      </c>
      <c r="Q24" s="20" t="n">
        <v>30145</v>
      </c>
      <c r="R24" s="20" t="n">
        <v>29576</v>
      </c>
      <c r="S24" s="20" t="n">
        <v>30020</v>
      </c>
      <c r="T24" s="20" t="n">
        <v>30579</v>
      </c>
      <c r="U24" s="20" t="n">
        <v>26895</v>
      </c>
      <c r="V24" s="20" t="n">
        <v>27514</v>
      </c>
      <c r="W24" s="20" t="n">
        <v>29416</v>
      </c>
      <c r="X24" s="20" t="n">
        <v>28491</v>
      </c>
      <c r="Y24" s="19" t="n"/>
      <c r="Z24" s="20" t="n"/>
      <c r="AA24" s="20" t="n"/>
      <c r="AB24" s="20" t="n"/>
      <c r="AC24" s="20" t="n"/>
    </row>
    <row r="25">
      <c r="A25" s="9" t="inlineStr">
        <is>
          <t>영업이익</t>
        </is>
      </c>
      <c r="B25" s="10" t="inlineStr">
        <is>
          <t>MW = 매출 × OPM</t>
        </is>
      </c>
      <c r="C25" s="11" t="n">
        <v>-91</v>
      </c>
      <c r="D25" s="12" t="n">
        <v>184</v>
      </c>
      <c r="E25" s="12" t="n">
        <v>-408</v>
      </c>
      <c r="F25" s="12" t="n">
        <v>-274</v>
      </c>
      <c r="G25" s="12" t="n">
        <v>-354</v>
      </c>
      <c r="H25" s="12" t="n">
        <v>215</v>
      </c>
      <c r="I25" s="12" t="n">
        <v>249</v>
      </c>
      <c r="J25" s="12" t="n">
        <v>346</v>
      </c>
      <c r="K25" s="12" t="n">
        <v>104</v>
      </c>
      <c r="L25" s="12" t="n">
        <v>443</v>
      </c>
      <c r="M25" s="12" t="n">
        <v>217</v>
      </c>
      <c r="N25" s="12" t="n">
        <v>463</v>
      </c>
      <c r="O25" s="11" t="n">
        <v>1551</v>
      </c>
      <c r="P25" s="12" t="n">
        <v>1159</v>
      </c>
      <c r="Q25" s="12" t="n">
        <v>220</v>
      </c>
      <c r="R25" s="12" t="n">
        <v>627</v>
      </c>
      <c r="S25" s="12" t="n">
        <v>2459</v>
      </c>
      <c r="T25" s="12" t="n">
        <v>1100</v>
      </c>
      <c r="U25" s="12" t="n">
        <v>710</v>
      </c>
      <c r="V25" s="12" t="n">
        <v>625</v>
      </c>
      <c r="W25" s="12" t="n">
        <v>-821</v>
      </c>
      <c r="X25" s="12" t="n">
        <v>1142</v>
      </c>
      <c r="Y25" s="11">
        <f>IF(OR(Y4="",Y26=""),"",IFERROR(Y4*Y26,""))</f>
        <v/>
      </c>
      <c r="Z25" s="12">
        <f>IF(OR(Z4="",Z26=""),"",IFERROR(Z4*Z26,""))</f>
        <v/>
      </c>
      <c r="AA25" s="12">
        <f>IF(OR(AA4="",AA26=""),"",IFERROR(AA4*AA26,""))</f>
        <v/>
      </c>
      <c r="AB25" s="12">
        <f>IF(OR(AB4="",AB26=""),"",IFERROR(AB4*AB26,""))</f>
        <v/>
      </c>
      <c r="AC25" s="12">
        <f>IF(OR(AC4="",AC26=""),"",IFERROR(AC4*AC26,""))</f>
        <v/>
      </c>
    </row>
    <row r="26">
      <c r="A26" s="13" t="inlineStr">
        <is>
          <t>OPM</t>
        </is>
      </c>
      <c r="B26" s="10" t="inlineStr">
        <is>
          <t>MW 입력</t>
        </is>
      </c>
      <c r="C26" s="14">
        <f>IF(OR(C25="",C4=""),"",IFERROR(C25/C4,""))</f>
        <v/>
      </c>
      <c r="D26" s="15">
        <f>IF(OR(D25="",D4=""),"",IFERROR(D25/D4,""))</f>
        <v/>
      </c>
      <c r="E26" s="15">
        <f>IF(OR(E25="",E4=""),"",IFERROR(E25/E4,""))</f>
        <v/>
      </c>
      <c r="F26" s="15">
        <f>IF(OR(F25="",F4=""),"",IFERROR(F25/F4,""))</f>
        <v/>
      </c>
      <c r="G26" s="15">
        <f>IF(OR(G25="",G4=""),"",IFERROR(G25/G4,""))</f>
        <v/>
      </c>
      <c r="H26" s="15">
        <f>IF(OR(H25="",H4=""),"",IFERROR(H25/H4,""))</f>
        <v/>
      </c>
      <c r="I26" s="15">
        <f>IF(OR(I25="",I4=""),"",IFERROR(I25/I4,""))</f>
        <v/>
      </c>
      <c r="J26" s="15">
        <f>IF(OR(J25="",J4=""),"",IFERROR(J25/J4,""))</f>
        <v/>
      </c>
      <c r="K26" s="15">
        <f>IF(OR(K25="",K4=""),"",IFERROR(K25/K4,""))</f>
        <v/>
      </c>
      <c r="L26" s="15">
        <f>IF(OR(L25="",L4=""),"",IFERROR(L25/L4,""))</f>
        <v/>
      </c>
      <c r="M26" s="15">
        <f>IF(OR(M25="",M4=""),"",IFERROR(M25/M4,""))</f>
        <v/>
      </c>
      <c r="N26" s="15">
        <f>IF(OR(N25="",N4=""),"",IFERROR(N25/N4,""))</f>
        <v/>
      </c>
      <c r="O26" s="14">
        <f>IF(OR(O25="",O4=""),"",IFERROR(O25/O4,""))</f>
        <v/>
      </c>
      <c r="P26" s="15">
        <f>IF(OR(P25="",P4=""),"",IFERROR(P25/P4,""))</f>
        <v/>
      </c>
      <c r="Q26" s="15">
        <f>IF(OR(Q25="",Q4=""),"",IFERROR(Q25/Q4,""))</f>
        <v/>
      </c>
      <c r="R26" s="15">
        <f>IF(OR(R25="",R4=""),"",IFERROR(R25/R4,""))</f>
        <v/>
      </c>
      <c r="S26" s="15">
        <f>IF(OR(S25="",S4=""),"",IFERROR(S25/S4,""))</f>
        <v/>
      </c>
      <c r="T26" s="15">
        <f>IF(OR(T25="",T4=""),"",IFERROR(T25/T4,""))</f>
        <v/>
      </c>
      <c r="U26" s="15">
        <f>IF(OR(U25="",U4=""),"",IFERROR(U25/U4,""))</f>
        <v/>
      </c>
      <c r="V26" s="15">
        <f>IF(OR(V25="",V4=""),"",IFERROR(V25/V4,""))</f>
        <v/>
      </c>
      <c r="W26" s="15">
        <f>IF(OR(W25="",W4=""),"",IFERROR(W25/W4,""))</f>
        <v/>
      </c>
      <c r="X26" s="15">
        <f>IF(OR(X25="",X4=""),"",IFERROR(X25/X4,""))</f>
        <v/>
      </c>
      <c r="Y26" s="25" t="n"/>
      <c r="Z26" s="26" t="n"/>
      <c r="AA26" s="26" t="n"/>
      <c r="AB26" s="26" t="n"/>
      <c r="AC26" s="26" t="n"/>
    </row>
    <row r="27">
      <c r="A27" s="13" t="inlineStr">
        <is>
          <t>증가율</t>
        </is>
      </c>
      <c r="B27" s="10" t="n"/>
      <c r="C27" s="14" t="n"/>
      <c r="D27" s="15" t="n"/>
      <c r="E27" s="15" t="n"/>
      <c r="F27" s="15" t="n"/>
      <c r="G27" s="15">
        <f>IF(OR(G25="",C25=""),"",IFERROR(G25/C25-1,""))</f>
        <v/>
      </c>
      <c r="H27" s="15">
        <f>IF(OR(H25="",D25=""),"",IFERROR(H25/D25-1,""))</f>
        <v/>
      </c>
      <c r="I27" s="15">
        <f>IF(OR(I25="",E25=""),"",IFERROR(I25/E25-1,""))</f>
        <v/>
      </c>
      <c r="J27" s="15">
        <f>IF(OR(J25="",F25=""),"",IFERROR(J25/F25-1,""))</f>
        <v/>
      </c>
      <c r="K27" s="15">
        <f>IF(OR(K25="",G25=""),"",IFERROR(K25/G25-1,""))</f>
        <v/>
      </c>
      <c r="L27" s="15">
        <f>IF(OR(L25="",H25=""),"",IFERROR(L25/H25-1,""))</f>
        <v/>
      </c>
      <c r="M27" s="15">
        <f>IF(OR(M25="",I25=""),"",IFERROR(M25/I25-1,""))</f>
        <v/>
      </c>
      <c r="N27" s="15">
        <f>IF(OR(N25="",J25=""),"",IFERROR(N25/J25-1,""))</f>
        <v/>
      </c>
      <c r="O27" s="14" t="n"/>
      <c r="P27" s="15">
        <f>IF(OR(P25="",O25=""),"",IFERROR(P25/O25-1,""))</f>
        <v/>
      </c>
      <c r="Q27" s="15">
        <f>IF(OR(Q25="",P25=""),"",IFERROR(Q25/P25-1,""))</f>
        <v/>
      </c>
      <c r="R27" s="15">
        <f>IF(OR(R25="",Q25=""),"",IFERROR(R25/Q25-1,""))</f>
        <v/>
      </c>
      <c r="S27" s="15">
        <f>IF(OR(S25="",R25=""),"",IFERROR(S25/R25-1,""))</f>
        <v/>
      </c>
      <c r="T27" s="15">
        <f>IF(OR(T25="",S25=""),"",IFERROR(T25/S25-1,""))</f>
        <v/>
      </c>
      <c r="U27" s="15">
        <f>IF(OR(U25="",T25=""),"",IFERROR(U25/T25-1,""))</f>
        <v/>
      </c>
      <c r="V27" s="15">
        <f>IF(OR(V25="",U25=""),"",IFERROR(V25/U25-1,""))</f>
        <v/>
      </c>
      <c r="W27" s="15">
        <f>IF(OR(W25="",V25=""),"",IFERROR(W25/V25-1,""))</f>
        <v/>
      </c>
      <c r="X27" s="15">
        <f>IF(OR(X25="",W25=""),"",IFERROR(X25/W25-1,""))</f>
        <v/>
      </c>
      <c r="Y27" s="14">
        <f>IF(OR(Y25="",X25=""),"",IFERROR(Y25/X25-1,""))</f>
        <v/>
      </c>
      <c r="Z27" s="15">
        <f>IF(OR(Z25="",Y25=""),"",IFERROR(Z25/Y25-1,""))</f>
        <v/>
      </c>
      <c r="AA27" s="15">
        <f>IF(OR(AA25="",Z25=""),"",IFERROR(AA25/Z25-1,""))</f>
        <v/>
      </c>
      <c r="AB27" s="15">
        <f>IF(OR(AB25="",AA25=""),"",IFERROR(AB25/AA25-1,""))</f>
        <v/>
      </c>
      <c r="AC27" s="15">
        <f>IF(OR(AC25="",AB25=""),"",IFERROR(AC25/AB25-1,""))</f>
        <v/>
      </c>
    </row>
    <row r="28">
      <c r="A28" s="16" t="inlineStr">
        <is>
          <t>비용의 성격별 분류</t>
        </is>
      </c>
      <c r="B28" s="16" t="inlineStr">
        <is>
          <t>참고 데이터</t>
        </is>
      </c>
      <c r="C28" s="17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7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7" t="n"/>
      <c r="Z28" s="16" t="n"/>
      <c r="AA28" s="16" t="n"/>
      <c r="AB28" s="16" t="n"/>
      <c r="AC28" s="16" t="n"/>
    </row>
    <row r="29">
      <c r="A29" s="9" t="inlineStr">
        <is>
          <t>총 판관비</t>
        </is>
      </c>
      <c r="B29" s="10" t="n"/>
      <c r="C29" s="11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1">
        <f>IF(O24="","",O24)</f>
        <v/>
      </c>
      <c r="P29" s="12">
        <f>IF(P24="","",P24)</f>
        <v/>
      </c>
      <c r="Q29" s="12">
        <f>IF(Q24="","",Q24)</f>
        <v/>
      </c>
      <c r="R29" s="12">
        <f>IF(R24="","",R24)</f>
        <v/>
      </c>
      <c r="S29" s="12">
        <f>IF(S24="","",S24)</f>
        <v/>
      </c>
      <c r="T29" s="12">
        <f>IF(T24="","",T24)</f>
        <v/>
      </c>
      <c r="U29" s="12">
        <f>IF(U24="","",U24)</f>
        <v/>
      </c>
      <c r="V29" s="12">
        <f>IF(V24="","",V24)</f>
        <v/>
      </c>
      <c r="W29" s="12">
        <f>IF(W24="","",W24)</f>
        <v/>
      </c>
      <c r="X29" s="12">
        <f>IF(X24="","",X24)</f>
        <v/>
      </c>
      <c r="Y29" s="11" t="n"/>
      <c r="Z29" s="12" t="n"/>
      <c r="AA29" s="12" t="n"/>
      <c r="AB29" s="12" t="n"/>
      <c r="AC29" s="12" t="n"/>
    </row>
    <row r="30">
      <c r="A30" s="18" t="inlineStr">
        <is>
          <t>급여</t>
        </is>
      </c>
      <c r="B30" s="10" t="inlineStr">
        <is>
          <t>고정비</t>
        </is>
      </c>
      <c r="C30" s="19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19" t="n">
        <v>10445</v>
      </c>
      <c r="P30" s="20" t="n">
        <v>10928</v>
      </c>
      <c r="Q30" s="20" t="n">
        <v>10918</v>
      </c>
      <c r="R30" s="20" t="n">
        <v>10826</v>
      </c>
      <c r="S30" s="20" t="n">
        <v>10801</v>
      </c>
      <c r="T30" s="20" t="n">
        <v>10845</v>
      </c>
      <c r="U30" s="20" t="n">
        <v>10802</v>
      </c>
      <c r="V30" s="20" t="n">
        <v>11251</v>
      </c>
      <c r="W30" s="20" t="n">
        <v>11529</v>
      </c>
      <c r="X30" s="20" t="n">
        <v>11638</v>
      </c>
      <c r="Y30" s="19" t="n"/>
      <c r="Z30" s="20" t="n"/>
      <c r="AA30" s="20" t="n"/>
      <c r="AB30" s="20" t="n"/>
      <c r="AC30" s="20" t="n"/>
    </row>
    <row r="31">
      <c r="A31" s="13" t="inlineStr">
        <is>
          <t>% of Sales</t>
        </is>
      </c>
      <c r="B31" s="10" t="n"/>
      <c r="C31" s="14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4">
        <f>IF(OR(O30="",O4=""),"",IFERROR(O30/O4,""))</f>
        <v/>
      </c>
      <c r="P31" s="15">
        <f>IF(OR(P30="",P4=""),"",IFERROR(P30/P4,""))</f>
        <v/>
      </c>
      <c r="Q31" s="15">
        <f>IF(OR(Q30="",Q4=""),"",IFERROR(Q30/Q4,""))</f>
        <v/>
      </c>
      <c r="R31" s="15">
        <f>IF(OR(R30="",R4=""),"",IFERROR(R30/R4,""))</f>
        <v/>
      </c>
      <c r="S31" s="15">
        <f>IF(OR(S30="",S4=""),"",IFERROR(S30/S4,""))</f>
        <v/>
      </c>
      <c r="T31" s="15">
        <f>IF(OR(T30="",T4=""),"",IFERROR(T30/T4,""))</f>
        <v/>
      </c>
      <c r="U31" s="15">
        <f>IF(OR(U30="",U4=""),"",IFERROR(U30/U4,""))</f>
        <v/>
      </c>
      <c r="V31" s="15">
        <f>IF(OR(V30="",V4=""),"",IFERROR(V30/V4,""))</f>
        <v/>
      </c>
      <c r="W31" s="15">
        <f>IF(OR(W30="",W4=""),"",IFERROR(W30/W4,""))</f>
        <v/>
      </c>
      <c r="X31" s="15">
        <f>IF(OR(X30="",X4=""),"",IFERROR(X30/X4,""))</f>
        <v/>
      </c>
      <c r="Y31" s="14" t="n"/>
      <c r="Z31" s="15" t="n"/>
      <c r="AA31" s="15" t="n"/>
      <c r="AB31" s="15" t="n"/>
      <c r="AC31" s="15" t="n"/>
    </row>
    <row r="32">
      <c r="A32" s="18" t="inlineStr">
        <is>
          <t>감가상각비</t>
        </is>
      </c>
      <c r="B32" s="10" t="inlineStr">
        <is>
          <t>고정비</t>
        </is>
      </c>
      <c r="C32" s="19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19" t="n">
        <v>2421</v>
      </c>
      <c r="P32" s="20" t="n">
        <v>2582</v>
      </c>
      <c r="Q32" s="20" t="n">
        <v>2570</v>
      </c>
      <c r="R32" s="20" t="n">
        <v>2441</v>
      </c>
      <c r="S32" s="20" t="n">
        <v>2503</v>
      </c>
      <c r="T32" s="20" t="n">
        <v>2782</v>
      </c>
      <c r="U32" s="20" t="n">
        <v>2789</v>
      </c>
      <c r="V32" s="20" t="n">
        <v>3138</v>
      </c>
      <c r="W32" s="20" t="n">
        <v>3208</v>
      </c>
      <c r="X32" s="20" t="n">
        <v>3106</v>
      </c>
      <c r="Y32" s="19" t="n"/>
      <c r="Z32" s="20" t="n"/>
      <c r="AA32" s="20" t="n"/>
      <c r="AB32" s="20" t="n"/>
      <c r="AC32" s="20" t="n"/>
    </row>
    <row r="33">
      <c r="A33" s="13" t="inlineStr">
        <is>
          <t>% of Sales</t>
        </is>
      </c>
      <c r="B33" s="10" t="n"/>
      <c r="C33" s="14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4">
        <f>IF(OR(O32="",O4=""),"",IFERROR(O32/O4,""))</f>
        <v/>
      </c>
      <c r="P33" s="15">
        <f>IF(OR(P32="",P4=""),"",IFERROR(P32/P4,""))</f>
        <v/>
      </c>
      <c r="Q33" s="15">
        <f>IF(OR(Q32="",Q4=""),"",IFERROR(Q32/Q4,""))</f>
        <v/>
      </c>
      <c r="R33" s="15">
        <f>IF(OR(R32="",R4=""),"",IFERROR(R32/R4,""))</f>
        <v/>
      </c>
      <c r="S33" s="15">
        <f>IF(OR(S32="",S4=""),"",IFERROR(S32/S4,""))</f>
        <v/>
      </c>
      <c r="T33" s="15">
        <f>IF(OR(T32="",T4=""),"",IFERROR(T32/T4,""))</f>
        <v/>
      </c>
      <c r="U33" s="15">
        <f>IF(OR(U32="",U4=""),"",IFERROR(U32/U4,""))</f>
        <v/>
      </c>
      <c r="V33" s="15">
        <f>IF(OR(V32="",V4=""),"",IFERROR(V32/V4,""))</f>
        <v/>
      </c>
      <c r="W33" s="15">
        <f>IF(OR(W32="",W4=""),"",IFERROR(W32/W4,""))</f>
        <v/>
      </c>
      <c r="X33" s="15">
        <f>IF(OR(X32="",X4=""),"",IFERROR(X32/X4,""))</f>
        <v/>
      </c>
      <c r="Y33" s="14" t="n"/>
      <c r="Z33" s="15" t="n"/>
      <c r="AA33" s="15" t="n"/>
      <c r="AB33" s="15" t="n"/>
      <c r="AC33" s="15" t="n"/>
    </row>
    <row r="34">
      <c r="A34" s="18" t="inlineStr">
        <is>
          <t>지급수수료</t>
        </is>
      </c>
      <c r="B34" s="10" t="inlineStr">
        <is>
          <t>고정비</t>
        </is>
      </c>
      <c r="C34" s="19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19" t="n"/>
      <c r="P34" s="20" t="n"/>
      <c r="Q34" s="20" t="n"/>
      <c r="R34" s="20" t="n"/>
      <c r="S34" s="20" t="n"/>
      <c r="T34" s="20" t="n"/>
      <c r="U34" s="20" t="n"/>
      <c r="V34" s="20" t="n"/>
      <c r="W34" s="20" t="n"/>
      <c r="X34" s="20" t="n"/>
      <c r="Y34" s="19" t="n"/>
      <c r="Z34" s="20" t="n"/>
      <c r="AA34" s="20" t="n"/>
      <c r="AB34" s="20" t="n"/>
      <c r="AC34" s="20" t="n"/>
    </row>
    <row r="35">
      <c r="A35" s="13" t="inlineStr">
        <is>
          <t>% of Sales</t>
        </is>
      </c>
      <c r="B35" s="10" t="n"/>
      <c r="C35" s="14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4">
        <f>IF(OR(O34="",O4=""),"",IFERROR(O34/O4,""))</f>
        <v/>
      </c>
      <c r="P35" s="15">
        <f>IF(OR(P34="",P4=""),"",IFERROR(P34/P4,""))</f>
        <v/>
      </c>
      <c r="Q35" s="15">
        <f>IF(OR(Q34="",Q4=""),"",IFERROR(Q34/Q4,""))</f>
        <v/>
      </c>
      <c r="R35" s="15">
        <f>IF(OR(R34="",R4=""),"",IFERROR(R34/R4,""))</f>
        <v/>
      </c>
      <c r="S35" s="15">
        <f>IF(OR(S34="",S4=""),"",IFERROR(S34/S4,""))</f>
        <v/>
      </c>
      <c r="T35" s="15">
        <f>IF(OR(T34="",T4=""),"",IFERROR(T34/T4,""))</f>
        <v/>
      </c>
      <c r="U35" s="15">
        <f>IF(OR(U34="",U4=""),"",IFERROR(U34/U4,""))</f>
        <v/>
      </c>
      <c r="V35" s="15">
        <f>IF(OR(V34="",V4=""),"",IFERROR(V34/V4,""))</f>
        <v/>
      </c>
      <c r="W35" s="15">
        <f>IF(OR(W34="",W4=""),"",IFERROR(W34/W4,""))</f>
        <v/>
      </c>
      <c r="X35" s="15">
        <f>IF(OR(X34="",X4=""),"",IFERROR(X34/X4,""))</f>
        <v/>
      </c>
      <c r="Y35" s="14" t="n"/>
      <c r="Z35" s="15" t="n"/>
      <c r="AA35" s="15" t="n"/>
      <c r="AB35" s="15" t="n"/>
      <c r="AC35" s="15" t="n"/>
    </row>
    <row r="36">
      <c r="A36" s="18" t="inlineStr">
        <is>
          <t>연구개발비</t>
        </is>
      </c>
      <c r="B36" s="10" t="inlineStr">
        <is>
          <t>변동비</t>
        </is>
      </c>
      <c r="C36" s="19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19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19" t="n"/>
      <c r="Z36" s="20" t="n"/>
      <c r="AA36" s="20" t="n"/>
      <c r="AB36" s="20" t="n"/>
      <c r="AC36" s="20" t="n"/>
    </row>
    <row r="37">
      <c r="A37" s="13" t="inlineStr">
        <is>
          <t>% of Sales</t>
        </is>
      </c>
      <c r="B37" s="10" t="n"/>
      <c r="C37" s="14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4">
        <f>IF(OR(O36="",O4=""),"",IFERROR(O36/O4,""))</f>
        <v/>
      </c>
      <c r="P37" s="15">
        <f>IF(OR(P36="",P4=""),"",IFERROR(P36/P4,""))</f>
        <v/>
      </c>
      <c r="Q37" s="15">
        <f>IF(OR(Q36="",Q4=""),"",IFERROR(Q36/Q4,""))</f>
        <v/>
      </c>
      <c r="R37" s="15">
        <f>IF(OR(R36="",R4=""),"",IFERROR(R36/R4,""))</f>
        <v/>
      </c>
      <c r="S37" s="15">
        <f>IF(OR(S36="",S4=""),"",IFERROR(S36/S4,""))</f>
        <v/>
      </c>
      <c r="T37" s="15">
        <f>IF(OR(T36="",T4=""),"",IFERROR(T36/T4,""))</f>
        <v/>
      </c>
      <c r="U37" s="15">
        <f>IF(OR(U36="",U4=""),"",IFERROR(U36/U4,""))</f>
        <v/>
      </c>
      <c r="V37" s="15">
        <f>IF(OR(V36="",V4=""),"",IFERROR(V36/V4,""))</f>
        <v/>
      </c>
      <c r="W37" s="15">
        <f>IF(OR(W36="",W4=""),"",IFERROR(W36/W4,""))</f>
        <v/>
      </c>
      <c r="X37" s="15">
        <f>IF(OR(X36="",X4=""),"",IFERROR(X36/X4,""))</f>
        <v/>
      </c>
      <c r="Y37" s="14" t="n"/>
      <c r="Z37" s="15" t="n"/>
      <c r="AA37" s="15" t="n"/>
      <c r="AB37" s="15" t="n"/>
      <c r="AC37" s="15" t="n"/>
    </row>
    <row r="38">
      <c r="A38" s="18" t="inlineStr">
        <is>
          <t>기타비용</t>
        </is>
      </c>
      <c r="B38" s="10" t="inlineStr">
        <is>
          <t>변동비</t>
        </is>
      </c>
      <c r="C38" s="19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19">
        <f>IF(OR(O29="",O30="",O32="",O34="",O36=""),"",IFERROR(O29-O30-O32-O34-O36,""))</f>
        <v/>
      </c>
      <c r="P38" s="20">
        <f>IF(OR(P29="",P30="",P32="",P34="",P36=""),"",IFERROR(P29-P30-P32-P34-P36,""))</f>
        <v/>
      </c>
      <c r="Q38" s="20">
        <f>IF(OR(Q29="",Q30="",Q32="",Q34="",Q36=""),"",IFERROR(Q29-Q30-Q32-Q34-Q36,""))</f>
        <v/>
      </c>
      <c r="R38" s="20">
        <f>IF(OR(R29="",R30="",R32="",R34="",R36=""),"",IFERROR(R29-R30-R32-R34-R36,""))</f>
        <v/>
      </c>
      <c r="S38" s="20">
        <f>IF(OR(S29="",S30="",S32="",S34="",S36=""),"",IFERROR(S29-S30-S32-S34-S36,""))</f>
        <v/>
      </c>
      <c r="T38" s="20">
        <f>IF(OR(T29="",T30="",T32="",T34="",T36=""),"",IFERROR(T29-T30-T32-T34-T36,""))</f>
        <v/>
      </c>
      <c r="U38" s="20">
        <f>IF(OR(U29="",U30="",U32="",U34="",U36=""),"",IFERROR(U29-U30-U32-U34-U36,""))</f>
        <v/>
      </c>
      <c r="V38" s="20">
        <f>IF(OR(V29="",V30="",V32="",V34="",V36=""),"",IFERROR(V29-V30-V32-V34-V36,""))</f>
        <v/>
      </c>
      <c r="W38" s="20">
        <f>IF(OR(W29="",W30="",W32="",W34="",W36=""),"",IFERROR(W29-W30-W32-W34-W36,""))</f>
        <v/>
      </c>
      <c r="X38" s="20">
        <f>IF(OR(X29="",X30="",X32="",X34="",X36=""),"",IFERROR(X29-X30-X32-X34-X36,""))</f>
        <v/>
      </c>
      <c r="Y38" s="19" t="n"/>
      <c r="Z38" s="20" t="n"/>
      <c r="AA38" s="20" t="n"/>
      <c r="AB38" s="20" t="n"/>
      <c r="AC38" s="20" t="n"/>
    </row>
    <row r="39">
      <c r="A39" s="13" t="inlineStr">
        <is>
          <t>% of Sales</t>
        </is>
      </c>
      <c r="B39" s="10" t="n"/>
      <c r="C39" s="14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4">
        <f>IF(OR(O38="",O4=""),"",IFERROR(O38/O4,""))</f>
        <v/>
      </c>
      <c r="P39" s="15">
        <f>IF(OR(P38="",P4=""),"",IFERROR(P38/P4,""))</f>
        <v/>
      </c>
      <c r="Q39" s="15">
        <f>IF(OR(Q38="",Q4=""),"",IFERROR(Q38/Q4,""))</f>
        <v/>
      </c>
      <c r="R39" s="15">
        <f>IF(OR(R38="",R4=""),"",IFERROR(R38/R4,""))</f>
        <v/>
      </c>
      <c r="S39" s="15">
        <f>IF(OR(S38="",S4=""),"",IFERROR(S38/S4,""))</f>
        <v/>
      </c>
      <c r="T39" s="15">
        <f>IF(OR(T38="",T4=""),"",IFERROR(T38/T4,""))</f>
        <v/>
      </c>
      <c r="U39" s="15">
        <f>IF(OR(U38="",U4=""),"",IFERROR(U38/U4,""))</f>
        <v/>
      </c>
      <c r="V39" s="15">
        <f>IF(OR(V38="",V4=""),"",IFERROR(V38/V4,""))</f>
        <v/>
      </c>
      <c r="W39" s="15">
        <f>IF(OR(W38="",W4=""),"",IFERROR(W38/W4,""))</f>
        <v/>
      </c>
      <c r="X39" s="15">
        <f>IF(OR(X38="",X4=""),"",IFERROR(X38/X4,""))</f>
        <v/>
      </c>
      <c r="Y39" s="14" t="n"/>
      <c r="Z39" s="15" t="n"/>
      <c r="AA39" s="15" t="n"/>
      <c r="AB39" s="15" t="n"/>
      <c r="AC39" s="15" t="n"/>
    </row>
    <row r="40">
      <c r="A40" s="16" t="inlineStr">
        <is>
          <t>당기순이익 추정</t>
        </is>
      </c>
      <c r="B40" s="16" t="n"/>
      <c r="C40" s="17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7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7" t="n"/>
      <c r="Z40" s="16" t="n"/>
      <c r="AA40" s="16" t="n"/>
      <c r="AB40" s="16" t="n"/>
      <c r="AC40" s="16" t="n"/>
    </row>
    <row r="41">
      <c r="A41" s="18" t="inlineStr">
        <is>
          <t>특별이익</t>
        </is>
      </c>
      <c r="B41" s="10" t="n"/>
      <c r="C41" s="19" t="n">
        <v>0</v>
      </c>
      <c r="D41" s="20" t="n">
        <v>3</v>
      </c>
      <c r="E41" s="20" t="n">
        <v>0</v>
      </c>
      <c r="F41" s="20" t="n">
        <v>0</v>
      </c>
      <c r="G41" s="20" t="n">
        <v>0</v>
      </c>
      <c r="H41" s="20" t="n">
        <v>0</v>
      </c>
      <c r="I41" s="20" t="n">
        <v>0</v>
      </c>
      <c r="J41" s="20" t="n">
        <v>26</v>
      </c>
      <c r="K41" s="20" t="n">
        <v>1</v>
      </c>
      <c r="L41" s="20" t="n">
        <v>1242</v>
      </c>
      <c r="M41" s="20" t="n">
        <v>15</v>
      </c>
      <c r="N41" s="20" t="n">
        <v>2</v>
      </c>
      <c r="O41" s="19" t="n">
        <v>2249</v>
      </c>
      <c r="P41" s="20" t="n">
        <v>57</v>
      </c>
      <c r="Q41" s="20" t="n">
        <v>395</v>
      </c>
      <c r="R41" s="20" t="n">
        <v>127</v>
      </c>
      <c r="S41" s="20" t="n">
        <v>296</v>
      </c>
      <c r="T41" s="20" t="n">
        <v>0</v>
      </c>
      <c r="U41" s="20" t="n">
        <v>16</v>
      </c>
      <c r="V41" s="20" t="n">
        <v>50</v>
      </c>
      <c r="W41" s="20" t="n">
        <v>0</v>
      </c>
      <c r="X41" s="20" t="n">
        <v>1269</v>
      </c>
      <c r="Y41" s="19">
        <f>IF(OR(Y4="",Y42=""),"",IFERROR(Y4*Y42,""))</f>
        <v/>
      </c>
      <c r="Z41" s="20">
        <f>IF(OR(Z4="",Z42=""),"",IFERROR(Z4*Z42,""))</f>
        <v/>
      </c>
      <c r="AA41" s="20">
        <f>IF(OR(AA4="",AA42=""),"",IFERROR(AA4*AA42,""))</f>
        <v/>
      </c>
      <c r="AB41" s="20">
        <f>IF(OR(AB4="",AB42=""),"",IFERROR(AB4*AB42,""))</f>
        <v/>
      </c>
      <c r="AC41" s="20">
        <f>IF(OR(AC4="",AC42=""),"",IFERROR(AC4*AC42,""))</f>
        <v/>
      </c>
    </row>
    <row r="42">
      <c r="A42" s="13" t="inlineStr">
        <is>
          <t>% of Sales</t>
        </is>
      </c>
      <c r="B42" s="10" t="inlineStr">
        <is>
          <t>MW = 최근 3년 평균</t>
        </is>
      </c>
      <c r="C42" s="14">
        <f>IF(OR(C41="",C4=""),"",IFERROR(C41/C4,""))</f>
        <v/>
      </c>
      <c r="D42" s="15">
        <f>IF(OR(D41="",D4=""),"",IFERROR(D41/D4,""))</f>
        <v/>
      </c>
      <c r="E42" s="15">
        <f>IF(OR(E41="",E4=""),"",IFERROR(E41/E4,""))</f>
        <v/>
      </c>
      <c r="F42" s="15">
        <f>IF(OR(F41="",F4=""),"",IFERROR(F41/F4,""))</f>
        <v/>
      </c>
      <c r="G42" s="15">
        <f>IF(OR(G41="",G4=""),"",IFERROR(G41/G4,""))</f>
        <v/>
      </c>
      <c r="H42" s="15">
        <f>IF(OR(H41="",H4=""),"",IFERROR(H41/H4,""))</f>
        <v/>
      </c>
      <c r="I42" s="15">
        <f>IF(OR(I41="",I4=""),"",IFERROR(I41/I4,""))</f>
        <v/>
      </c>
      <c r="J42" s="15">
        <f>IF(OR(J41="",J4=""),"",IFERROR(J41/J4,""))</f>
        <v/>
      </c>
      <c r="K42" s="15">
        <f>IF(OR(K41="",K4=""),"",IFERROR(K41/K4,""))</f>
        <v/>
      </c>
      <c r="L42" s="15">
        <f>IF(OR(L41="",L4=""),"",IFERROR(L41/L4,""))</f>
        <v/>
      </c>
      <c r="M42" s="15">
        <f>IF(OR(M41="",M4=""),"",IFERROR(M41/M4,""))</f>
        <v/>
      </c>
      <c r="N42" s="15">
        <f>IF(OR(N41="",N4=""),"",IFERROR(N41/N4,""))</f>
        <v/>
      </c>
      <c r="O42" s="14">
        <f>IF(OR(O41="",O4=""),"",IFERROR(O41/O4,""))</f>
        <v/>
      </c>
      <c r="P42" s="15">
        <f>IF(OR(P41="",P4=""),"",IFERROR(P41/P4,""))</f>
        <v/>
      </c>
      <c r="Q42" s="15">
        <f>IF(OR(Q41="",Q4=""),"",IFERROR(Q41/Q4,""))</f>
        <v/>
      </c>
      <c r="R42" s="15">
        <f>IF(OR(R41="",R4=""),"",IFERROR(R41/R4,""))</f>
        <v/>
      </c>
      <c r="S42" s="15">
        <f>IF(OR(S41="",S4=""),"",IFERROR(S41/S4,""))</f>
        <v/>
      </c>
      <c r="T42" s="15">
        <f>IF(OR(T41="",T4=""),"",IFERROR(T41/T4,""))</f>
        <v/>
      </c>
      <c r="U42" s="15">
        <f>IF(OR(U41="",U4=""),"",IFERROR(U41/U4,""))</f>
        <v/>
      </c>
      <c r="V42" s="15">
        <f>IF(OR(V41="",V4=""),"",IFERROR(V41/V4,""))</f>
        <v/>
      </c>
      <c r="W42" s="15">
        <f>IF(OR(W41="",W4=""),"",IFERROR(W41/W4,""))</f>
        <v/>
      </c>
      <c r="X42" s="15">
        <f>IF(OR(X41="",X4=""),"",IFERROR(X41/X4,""))</f>
        <v/>
      </c>
      <c r="Y42" s="25">
        <f>IFERROR(AVERAGE(V42,W42,X42),"")</f>
        <v/>
      </c>
      <c r="Z42" s="26">
        <f>Y42</f>
        <v/>
      </c>
      <c r="AA42" s="26">
        <f>Z42</f>
        <v/>
      </c>
      <c r="AB42" s="26">
        <f>AA42</f>
        <v/>
      </c>
      <c r="AC42" s="26">
        <f>AB42</f>
        <v/>
      </c>
    </row>
    <row r="43">
      <c r="A43" s="18" t="inlineStr">
        <is>
          <t>특별손실</t>
        </is>
      </c>
      <c r="B43" s="10" t="n"/>
      <c r="C43" s="19" t="n">
        <v>10</v>
      </c>
      <c r="D43" s="20" t="n">
        <v>443</v>
      </c>
      <c r="E43" s="20" t="n">
        <v>0</v>
      </c>
      <c r="F43" s="20" t="n">
        <v>0</v>
      </c>
      <c r="G43" s="20" t="n">
        <v>28</v>
      </c>
      <c r="H43" s="20" t="n">
        <v>1476</v>
      </c>
      <c r="I43" s="20" t="n">
        <v>0</v>
      </c>
      <c r="J43" s="20" t="n">
        <v>7</v>
      </c>
      <c r="K43" s="20" t="n">
        <v>14</v>
      </c>
      <c r="L43" s="20" t="n">
        <v>609</v>
      </c>
      <c r="M43" s="20" t="n">
        <v>0</v>
      </c>
      <c r="N43" s="20" t="n">
        <v>4</v>
      </c>
      <c r="O43" s="19" t="n">
        <v>1215</v>
      </c>
      <c r="P43" s="20" t="n">
        <v>404</v>
      </c>
      <c r="Q43" s="20" t="n">
        <v>794</v>
      </c>
      <c r="R43" s="20" t="n">
        <v>757</v>
      </c>
      <c r="S43" s="20" t="n">
        <v>914</v>
      </c>
      <c r="T43" s="20" t="n">
        <v>382</v>
      </c>
      <c r="U43" s="20" t="n">
        <v>341</v>
      </c>
      <c r="V43" s="20" t="n">
        <v>484</v>
      </c>
      <c r="W43" s="20" t="n">
        <v>1504</v>
      </c>
      <c r="X43" s="20" t="n">
        <v>630</v>
      </c>
      <c r="Y43" s="19">
        <f>IF(OR(Y4="",Y44=""),"",IFERROR(Y4*Y44,""))</f>
        <v/>
      </c>
      <c r="Z43" s="20">
        <f>IF(OR(Z4="",Z44=""),"",IFERROR(Z4*Z44,""))</f>
        <v/>
      </c>
      <c r="AA43" s="20">
        <f>IF(OR(AA4="",AA44=""),"",IFERROR(AA4*AA44,""))</f>
        <v/>
      </c>
      <c r="AB43" s="20">
        <f>IF(OR(AB4="",AB44=""),"",IFERROR(AB4*AB44,""))</f>
        <v/>
      </c>
      <c r="AC43" s="20">
        <f>IF(OR(AC4="",AC44=""),"",IFERROR(AC4*AC44,""))</f>
        <v/>
      </c>
    </row>
    <row r="44">
      <c r="A44" s="13" t="inlineStr">
        <is>
          <t>% of Sales</t>
        </is>
      </c>
      <c r="B44" s="10" t="n"/>
      <c r="C44" s="14">
        <f>IF(OR(C43="",C4=""),"",IFERROR(C43/C4,""))</f>
        <v/>
      </c>
      <c r="D44" s="15">
        <f>IF(OR(D43="",D4=""),"",IFERROR(D43/D4,""))</f>
        <v/>
      </c>
      <c r="E44" s="15">
        <f>IF(OR(E43="",E4=""),"",IFERROR(E43/E4,""))</f>
        <v/>
      </c>
      <c r="F44" s="15">
        <f>IF(OR(F43="",F4=""),"",IFERROR(F43/F4,""))</f>
        <v/>
      </c>
      <c r="G44" s="15">
        <f>IF(OR(G43="",G4=""),"",IFERROR(G43/G4,""))</f>
        <v/>
      </c>
      <c r="H44" s="15">
        <f>IF(OR(H43="",H4=""),"",IFERROR(H43/H4,""))</f>
        <v/>
      </c>
      <c r="I44" s="15">
        <f>IF(OR(I43="",I4=""),"",IFERROR(I43/I4,""))</f>
        <v/>
      </c>
      <c r="J44" s="15">
        <f>IF(OR(J43="",J4=""),"",IFERROR(J43/J4,""))</f>
        <v/>
      </c>
      <c r="K44" s="15">
        <f>IF(OR(K43="",K4=""),"",IFERROR(K43/K4,""))</f>
        <v/>
      </c>
      <c r="L44" s="15">
        <f>IF(OR(L43="",L4=""),"",IFERROR(L43/L4,""))</f>
        <v/>
      </c>
      <c r="M44" s="15">
        <f>IF(OR(M43="",M4=""),"",IFERROR(M43/M4,""))</f>
        <v/>
      </c>
      <c r="N44" s="15">
        <f>IF(OR(N43="",N4=""),"",IFERROR(N43/N4,""))</f>
        <v/>
      </c>
      <c r="O44" s="14">
        <f>IF(OR(O43="",O4=""),"",IFERROR(O43/O4,""))</f>
        <v/>
      </c>
      <c r="P44" s="15">
        <f>IF(OR(P43="",P4=""),"",IFERROR(P43/P4,""))</f>
        <v/>
      </c>
      <c r="Q44" s="15">
        <f>IF(OR(Q43="",Q4=""),"",IFERROR(Q43/Q4,""))</f>
        <v/>
      </c>
      <c r="R44" s="15">
        <f>IF(OR(R43="",R4=""),"",IFERROR(R43/R4,""))</f>
        <v/>
      </c>
      <c r="S44" s="15">
        <f>IF(OR(S43="",S4=""),"",IFERROR(S43/S4,""))</f>
        <v/>
      </c>
      <c r="T44" s="15">
        <f>IF(OR(T43="",T4=""),"",IFERROR(T43/T4,""))</f>
        <v/>
      </c>
      <c r="U44" s="15">
        <f>IF(OR(U43="",U4=""),"",IFERROR(U43/U4,""))</f>
        <v/>
      </c>
      <c r="V44" s="15">
        <f>IF(OR(V43="",V4=""),"",IFERROR(V43/V4,""))</f>
        <v/>
      </c>
      <c r="W44" s="15">
        <f>IF(OR(W43="",W4=""),"",IFERROR(W43/W4,""))</f>
        <v/>
      </c>
      <c r="X44" s="15">
        <f>IF(OR(X43="",X4=""),"",IFERROR(X43/X4,""))</f>
        <v/>
      </c>
      <c r="Y44" s="25">
        <f>IFERROR(AVERAGE(V44,W44,X44),"")</f>
        <v/>
      </c>
      <c r="Z44" s="26">
        <f>Y44</f>
        <v/>
      </c>
      <c r="AA44" s="26">
        <f>Z44</f>
        <v/>
      </c>
      <c r="AB44" s="26">
        <f>AA44</f>
        <v/>
      </c>
      <c r="AC44" s="26">
        <f>AB44</f>
        <v/>
      </c>
    </row>
    <row r="45">
      <c r="A45" s="18" t="inlineStr">
        <is>
          <t>영업외수익</t>
        </is>
      </c>
      <c r="B45" s="10" t="n"/>
      <c r="C45" s="19" t="n">
        <v>29</v>
      </c>
      <c r="D45" s="20" t="n">
        <v>29</v>
      </c>
      <c r="E45" s="20" t="n">
        <v>201</v>
      </c>
      <c r="F45" s="20" t="n">
        <v>237</v>
      </c>
      <c r="G45" s="20" t="n">
        <v>33</v>
      </c>
      <c r="H45" s="20" t="n">
        <v>52</v>
      </c>
      <c r="I45" s="20" t="n">
        <v>36</v>
      </c>
      <c r="J45" s="20" t="n">
        <v>62</v>
      </c>
      <c r="K45" s="20" t="n">
        <v>51</v>
      </c>
      <c r="L45" s="20" t="n">
        <v>39</v>
      </c>
      <c r="M45" s="20" t="n">
        <v>78</v>
      </c>
      <c r="N45" s="20" t="n">
        <v>71</v>
      </c>
      <c r="O45" s="19" t="n">
        <v>130</v>
      </c>
      <c r="P45" s="20" t="n">
        <v>122</v>
      </c>
      <c r="Q45" s="20" t="n">
        <v>133</v>
      </c>
      <c r="R45" s="20" t="n">
        <v>135</v>
      </c>
      <c r="S45" s="20" t="n">
        <v>162</v>
      </c>
      <c r="T45" s="20" t="n">
        <v>152</v>
      </c>
      <c r="U45" s="20" t="n">
        <v>250</v>
      </c>
      <c r="V45" s="20" t="n">
        <v>117</v>
      </c>
      <c r="W45" s="20" t="n">
        <v>523</v>
      </c>
      <c r="X45" s="20" t="n">
        <v>188</v>
      </c>
      <c r="Y45" s="19">
        <f>IF(OR(Y4="",Y46=""),"",IFERROR(Y4*Y46,""))</f>
        <v/>
      </c>
      <c r="Z45" s="20">
        <f>IF(OR(Z4="",Z46=""),"",IFERROR(Z4*Z46,""))</f>
        <v/>
      </c>
      <c r="AA45" s="20">
        <f>IF(OR(AA4="",AA46=""),"",IFERROR(AA4*AA46,""))</f>
        <v/>
      </c>
      <c r="AB45" s="20">
        <f>IF(OR(AB4="",AB46=""),"",IFERROR(AB4*AB46,""))</f>
        <v/>
      </c>
      <c r="AC45" s="20">
        <f>IF(OR(AC4="",AC46=""),"",IFERROR(AC4*AC46,""))</f>
        <v/>
      </c>
    </row>
    <row r="46">
      <c r="A46" s="13" t="inlineStr">
        <is>
          <t>% of Sales</t>
        </is>
      </c>
      <c r="B46" s="10" t="n"/>
      <c r="C46" s="14">
        <f>IF(OR(C45="",C4=""),"",IFERROR(C45/C4,""))</f>
        <v/>
      </c>
      <c r="D46" s="15">
        <f>IF(OR(D45="",D4=""),"",IFERROR(D45/D4,""))</f>
        <v/>
      </c>
      <c r="E46" s="15">
        <f>IF(OR(E45="",E4=""),"",IFERROR(E45/E4,""))</f>
        <v/>
      </c>
      <c r="F46" s="15">
        <f>IF(OR(F45="",F4=""),"",IFERROR(F45/F4,""))</f>
        <v/>
      </c>
      <c r="G46" s="15">
        <f>IF(OR(G45="",G4=""),"",IFERROR(G45/G4,""))</f>
        <v/>
      </c>
      <c r="H46" s="15">
        <f>IF(OR(H45="",H4=""),"",IFERROR(H45/H4,""))</f>
        <v/>
      </c>
      <c r="I46" s="15">
        <f>IF(OR(I45="",I4=""),"",IFERROR(I45/I4,""))</f>
        <v/>
      </c>
      <c r="J46" s="15">
        <f>IF(OR(J45="",J4=""),"",IFERROR(J45/J4,""))</f>
        <v/>
      </c>
      <c r="K46" s="15">
        <f>IF(OR(K45="",K4=""),"",IFERROR(K45/K4,""))</f>
        <v/>
      </c>
      <c r="L46" s="15">
        <f>IF(OR(L45="",L4=""),"",IFERROR(L45/L4,""))</f>
        <v/>
      </c>
      <c r="M46" s="15">
        <f>IF(OR(M45="",M4=""),"",IFERROR(M45/M4,""))</f>
        <v/>
      </c>
      <c r="N46" s="15">
        <f>IF(OR(N45="",N4=""),"",IFERROR(N45/N4,""))</f>
        <v/>
      </c>
      <c r="O46" s="14">
        <f>IF(OR(O45="",O4=""),"",IFERROR(O45/O4,""))</f>
        <v/>
      </c>
      <c r="P46" s="15">
        <f>IF(OR(P45="",P4=""),"",IFERROR(P45/P4,""))</f>
        <v/>
      </c>
      <c r="Q46" s="15">
        <f>IF(OR(Q45="",Q4=""),"",IFERROR(Q45/Q4,""))</f>
        <v/>
      </c>
      <c r="R46" s="15">
        <f>IF(OR(R45="",R4=""),"",IFERROR(R45/R4,""))</f>
        <v/>
      </c>
      <c r="S46" s="15">
        <f>IF(OR(S45="",S4=""),"",IFERROR(S45/S4,""))</f>
        <v/>
      </c>
      <c r="T46" s="15">
        <f>IF(OR(T45="",T4=""),"",IFERROR(T45/T4,""))</f>
        <v/>
      </c>
      <c r="U46" s="15">
        <f>IF(OR(U45="",U4=""),"",IFERROR(U45/U4,""))</f>
        <v/>
      </c>
      <c r="V46" s="15">
        <f>IF(OR(V45="",V4=""),"",IFERROR(V45/V4,""))</f>
        <v/>
      </c>
      <c r="W46" s="15">
        <f>IF(OR(W45="",W4=""),"",IFERROR(W45/W4,""))</f>
        <v/>
      </c>
      <c r="X46" s="15">
        <f>IF(OR(X45="",X4=""),"",IFERROR(X45/X4,""))</f>
        <v/>
      </c>
      <c r="Y46" s="25">
        <f>IFERROR(AVERAGE(V46,W46,X46),"")</f>
        <v/>
      </c>
      <c r="Z46" s="26">
        <f>Y46</f>
        <v/>
      </c>
      <c r="AA46" s="26">
        <f>Z46</f>
        <v/>
      </c>
      <c r="AB46" s="26">
        <f>AA46</f>
        <v/>
      </c>
      <c r="AC46" s="26">
        <f>AB46</f>
        <v/>
      </c>
    </row>
    <row r="47">
      <c r="A47" s="18" t="inlineStr">
        <is>
          <t>영업외비용</t>
        </is>
      </c>
      <c r="B47" s="10" t="n"/>
      <c r="C47" s="19" t="n">
        <v>24</v>
      </c>
      <c r="D47" s="20" t="n">
        <v>20</v>
      </c>
      <c r="E47" s="20" t="n">
        <v>16</v>
      </c>
      <c r="F47" s="20" t="n">
        <v>14</v>
      </c>
      <c r="G47" s="20" t="n">
        <v>57</v>
      </c>
      <c r="H47" s="20" t="n">
        <v>22</v>
      </c>
      <c r="I47" s="20" t="n">
        <v>22</v>
      </c>
      <c r="J47" s="20" t="n">
        <v>22</v>
      </c>
      <c r="K47" s="20" t="n">
        <v>26</v>
      </c>
      <c r="L47" s="20" t="n">
        <v>29</v>
      </c>
      <c r="M47" s="20" t="n">
        <v>21</v>
      </c>
      <c r="N47" s="20" t="n">
        <v>17</v>
      </c>
      <c r="O47" s="19" t="n">
        <v>56</v>
      </c>
      <c r="P47" s="20" t="n">
        <v>50</v>
      </c>
      <c r="Q47" s="20" t="n">
        <v>71</v>
      </c>
      <c r="R47" s="20" t="n">
        <v>63</v>
      </c>
      <c r="S47" s="20" t="n">
        <v>212</v>
      </c>
      <c r="T47" s="20" t="n">
        <v>91</v>
      </c>
      <c r="U47" s="20" t="n">
        <v>32</v>
      </c>
      <c r="V47" s="20" t="n">
        <v>65</v>
      </c>
      <c r="W47" s="20" t="n">
        <v>109</v>
      </c>
      <c r="X47" s="20" t="n">
        <v>99</v>
      </c>
      <c r="Y47" s="19">
        <f>IF(OR(Y4="",Y48=""),"",IFERROR(Y4*Y48,""))</f>
        <v/>
      </c>
      <c r="Z47" s="20">
        <f>IF(OR(Z4="",Z48=""),"",IFERROR(Z4*Z48,""))</f>
        <v/>
      </c>
      <c r="AA47" s="20">
        <f>IF(OR(AA4="",AA48=""),"",IFERROR(AA4*AA48,""))</f>
        <v/>
      </c>
      <c r="AB47" s="20">
        <f>IF(OR(AB4="",AB48=""),"",IFERROR(AB4*AB48,""))</f>
        <v/>
      </c>
      <c r="AC47" s="20">
        <f>IF(OR(AC4="",AC48=""),"",IFERROR(AC4*AC48,""))</f>
        <v/>
      </c>
    </row>
    <row r="48">
      <c r="A48" s="13" t="inlineStr">
        <is>
          <t>% of Sales</t>
        </is>
      </c>
      <c r="B48" s="10" t="n"/>
      <c r="C48" s="14">
        <f>IF(OR(C47="",C4=""),"",IFERROR(C47/C4,""))</f>
        <v/>
      </c>
      <c r="D48" s="15">
        <f>IF(OR(D47="",D4=""),"",IFERROR(D47/D4,""))</f>
        <v/>
      </c>
      <c r="E48" s="15">
        <f>IF(OR(E47="",E4=""),"",IFERROR(E47/E4,""))</f>
        <v/>
      </c>
      <c r="F48" s="15">
        <f>IF(OR(F47="",F4=""),"",IFERROR(F47/F4,""))</f>
        <v/>
      </c>
      <c r="G48" s="15">
        <f>IF(OR(G47="",G4=""),"",IFERROR(G47/G4,""))</f>
        <v/>
      </c>
      <c r="H48" s="15">
        <f>IF(OR(H47="",H4=""),"",IFERROR(H47/H4,""))</f>
        <v/>
      </c>
      <c r="I48" s="15">
        <f>IF(OR(I47="",I4=""),"",IFERROR(I47/I4,""))</f>
        <v/>
      </c>
      <c r="J48" s="15">
        <f>IF(OR(J47="",J4=""),"",IFERROR(J47/J4,""))</f>
        <v/>
      </c>
      <c r="K48" s="15">
        <f>IF(OR(K47="",K4=""),"",IFERROR(K47/K4,""))</f>
        <v/>
      </c>
      <c r="L48" s="15">
        <f>IF(OR(L47="",L4=""),"",IFERROR(L47/L4,""))</f>
        <v/>
      </c>
      <c r="M48" s="15">
        <f>IF(OR(M47="",M4=""),"",IFERROR(M47/M4,""))</f>
        <v/>
      </c>
      <c r="N48" s="15">
        <f>IF(OR(N47="",N4=""),"",IFERROR(N47/N4,""))</f>
        <v/>
      </c>
      <c r="O48" s="14">
        <f>IF(OR(O47="",O4=""),"",IFERROR(O47/O4,""))</f>
        <v/>
      </c>
      <c r="P48" s="15">
        <f>IF(OR(P47="",P4=""),"",IFERROR(P47/P4,""))</f>
        <v/>
      </c>
      <c r="Q48" s="15">
        <f>IF(OR(Q47="",Q4=""),"",IFERROR(Q47/Q4,""))</f>
        <v/>
      </c>
      <c r="R48" s="15">
        <f>IF(OR(R47="",R4=""),"",IFERROR(R47/R4,""))</f>
        <v/>
      </c>
      <c r="S48" s="15">
        <f>IF(OR(S47="",S4=""),"",IFERROR(S47/S4,""))</f>
        <v/>
      </c>
      <c r="T48" s="15">
        <f>IF(OR(T47="",T4=""),"",IFERROR(T47/T4,""))</f>
        <v/>
      </c>
      <c r="U48" s="15">
        <f>IF(OR(U47="",U4=""),"",IFERROR(U47/U4,""))</f>
        <v/>
      </c>
      <c r="V48" s="15">
        <f>IF(OR(V47="",V4=""),"",IFERROR(V47/V4,""))</f>
        <v/>
      </c>
      <c r="W48" s="15">
        <f>IF(OR(W47="",W4=""),"",IFERROR(W47/W4,""))</f>
        <v/>
      </c>
      <c r="X48" s="15">
        <f>IF(OR(X47="",X4=""),"",IFERROR(X47/X4,""))</f>
        <v/>
      </c>
      <c r="Y48" s="25">
        <f>IFERROR(AVERAGE(V48,W48,X48),"")</f>
        <v/>
      </c>
      <c r="Z48" s="26">
        <f>Y48</f>
        <v/>
      </c>
      <c r="AA48" s="26">
        <f>Z48</f>
        <v/>
      </c>
      <c r="AB48" s="26">
        <f>AA48</f>
        <v/>
      </c>
      <c r="AC48" s="26">
        <f>AB48</f>
        <v/>
      </c>
    </row>
    <row r="49">
      <c r="A49" s="9" t="inlineStr">
        <is>
          <t>법인세비용차감전순이익(손실)</t>
        </is>
      </c>
      <c r="B49" s="10" t="n"/>
      <c r="C49" s="11" t="n">
        <v>-97</v>
      </c>
      <c r="D49" s="12" t="n">
        <v>-247</v>
      </c>
      <c r="E49" s="12" t="n">
        <v>-223</v>
      </c>
      <c r="F49" s="12" t="n">
        <v>-52</v>
      </c>
      <c r="G49" s="12" t="n">
        <v>-405</v>
      </c>
      <c r="H49" s="12" t="n">
        <v>-1231</v>
      </c>
      <c r="I49" s="12" t="n">
        <v>265</v>
      </c>
      <c r="J49" s="12" t="n">
        <v>404</v>
      </c>
      <c r="K49" s="12" t="n">
        <v>115</v>
      </c>
      <c r="L49" s="12" t="n">
        <v>1086</v>
      </c>
      <c r="M49" s="12" t="n">
        <v>290</v>
      </c>
      <c r="N49" s="12" t="n">
        <v>513</v>
      </c>
      <c r="O49" s="11" t="n">
        <v>2659</v>
      </c>
      <c r="P49" s="12" t="n">
        <v>884</v>
      </c>
      <c r="Q49" s="12" t="n">
        <v>-115</v>
      </c>
      <c r="R49" s="12" t="n">
        <v>68</v>
      </c>
      <c r="S49" s="12" t="n">
        <v>1791</v>
      </c>
      <c r="T49" s="12" t="n">
        <v>778</v>
      </c>
      <c r="U49" s="12" t="n">
        <v>603</v>
      </c>
      <c r="V49" s="12" t="n">
        <v>243</v>
      </c>
      <c r="W49" s="12" t="n">
        <v>-1911</v>
      </c>
      <c r="X49" s="12" t="n">
        <v>1870</v>
      </c>
      <c r="Y49" s="11">
        <f>IF(OR(Y25=""),"",IFERROR(Y25+N(Y41)-N(Y43)+N(Y45)-N(Y47),""))</f>
        <v/>
      </c>
      <c r="Z49" s="12">
        <f>IF(OR(Z25=""),"",IFERROR(Z25+N(Z41)-N(Z43)+N(Z45)-N(Z47),""))</f>
        <v/>
      </c>
      <c r="AA49" s="12">
        <f>IF(OR(AA25=""),"",IFERROR(AA25+N(AA41)-N(AA43)+N(AA45)-N(AA47),""))</f>
        <v/>
      </c>
      <c r="AB49" s="12">
        <f>IF(OR(AB25=""),"",IFERROR(AB25+N(AB41)-N(AB43)+N(AB45)-N(AB47),""))</f>
        <v/>
      </c>
      <c r="AC49" s="12">
        <f>IF(OR(AC25=""),"",IFERROR(AC25+N(AC41)-N(AC43)+N(AC45)-N(AC47),""))</f>
        <v/>
      </c>
    </row>
    <row r="50">
      <c r="A50" s="18" t="inlineStr">
        <is>
          <t>법인세비용(수익)</t>
        </is>
      </c>
      <c r="B50" s="10" t="n"/>
      <c r="C50" s="19" t="n">
        <v>2</v>
      </c>
      <c r="D50" s="20" t="n">
        <v>228</v>
      </c>
      <c r="E50" s="20" t="n">
        <v>-37</v>
      </c>
      <c r="F50" s="20" t="n">
        <v>817</v>
      </c>
      <c r="G50" s="20" t="n">
        <v>-110</v>
      </c>
      <c r="H50" s="20" t="n">
        <v>36</v>
      </c>
      <c r="I50" s="20" t="n">
        <v>93</v>
      </c>
      <c r="J50" s="20" t="n">
        <v>-178</v>
      </c>
      <c r="K50" s="20" t="n">
        <v>9</v>
      </c>
      <c r="L50" s="20" t="n">
        <v>709</v>
      </c>
      <c r="M50" s="20" t="n">
        <v>-8</v>
      </c>
      <c r="N50" s="20" t="n">
        <v>154</v>
      </c>
      <c r="O50" s="19" t="n">
        <v>1297</v>
      </c>
      <c r="P50" s="20" t="n">
        <v>495</v>
      </c>
      <c r="Q50" s="20" t="n">
        <v>129</v>
      </c>
      <c r="R50" s="20" t="n">
        <v>289</v>
      </c>
      <c r="S50" s="20" t="n">
        <v>913</v>
      </c>
      <c r="T50" s="20" t="n">
        <v>410</v>
      </c>
      <c r="U50" s="20" t="n">
        <v>397</v>
      </c>
      <c r="V50" s="20" t="n">
        <v>-207</v>
      </c>
      <c r="W50" s="20" t="n">
        <v>706</v>
      </c>
      <c r="X50" s="20" t="n">
        <v>633</v>
      </c>
      <c r="Y50" s="19">
        <f>IF(OR(Y49="",Y51=""),"",IFERROR(MAX(Y49,0)*Y51,""))</f>
        <v/>
      </c>
      <c r="Z50" s="20">
        <f>IF(OR(Z49="",Z51=""),"",IFERROR(MAX(Z49,0)*Z51,""))</f>
        <v/>
      </c>
      <c r="AA50" s="20">
        <f>IF(OR(AA49="",AA51=""),"",IFERROR(MAX(AA49,0)*AA51,""))</f>
        <v/>
      </c>
      <c r="AB50" s="20">
        <f>IF(OR(AB49="",AB51=""),"",IFERROR(MAX(AB49,0)*AB51,""))</f>
        <v/>
      </c>
      <c r="AC50" s="20">
        <f>IF(OR(AC49="",AC51=""),"",IFERROR(MAX(AC49,0)*AC51,""))</f>
        <v/>
      </c>
    </row>
    <row r="51">
      <c r="A51" s="13" t="inlineStr">
        <is>
          <t>법인세율</t>
        </is>
      </c>
      <c r="B51" s="10" t="inlineStr">
        <is>
          <t>MW 기본 30%</t>
        </is>
      </c>
      <c r="C51" s="14">
        <f>IF(OR(C50="",C49=""),"",IFERROR(C50/C49,""))</f>
        <v/>
      </c>
      <c r="D51" s="15">
        <f>IF(OR(D50="",D49=""),"",IFERROR(D50/D49,""))</f>
        <v/>
      </c>
      <c r="E51" s="15">
        <f>IF(OR(E50="",E49=""),"",IFERROR(E50/E49,""))</f>
        <v/>
      </c>
      <c r="F51" s="15">
        <f>IF(OR(F50="",F49=""),"",IFERROR(F50/F49,""))</f>
        <v/>
      </c>
      <c r="G51" s="15">
        <f>IF(OR(G50="",G49=""),"",IFERROR(G50/G49,""))</f>
        <v/>
      </c>
      <c r="H51" s="15">
        <f>IF(OR(H50="",H49=""),"",IFERROR(H50/H49,""))</f>
        <v/>
      </c>
      <c r="I51" s="15">
        <f>IF(OR(I50="",I49=""),"",IFERROR(I50/I49,""))</f>
        <v/>
      </c>
      <c r="J51" s="15">
        <f>IF(OR(J50="",J49=""),"",IFERROR(J50/J49,""))</f>
        <v/>
      </c>
      <c r="K51" s="15">
        <f>IF(OR(K50="",K49=""),"",IFERROR(K50/K49,""))</f>
        <v/>
      </c>
      <c r="L51" s="15">
        <f>IF(OR(L50="",L49=""),"",IFERROR(L50/L49,""))</f>
        <v/>
      </c>
      <c r="M51" s="15">
        <f>IF(OR(M50="",M49=""),"",IFERROR(M50/M49,""))</f>
        <v/>
      </c>
      <c r="N51" s="15">
        <f>IF(OR(N50="",N49=""),"",IFERROR(N50/N49,""))</f>
        <v/>
      </c>
      <c r="O51" s="14">
        <f>IF(OR(O50="",O49=""),"",IFERROR(O50/O49,""))</f>
        <v/>
      </c>
      <c r="P51" s="15">
        <f>IF(OR(P50="",P49=""),"",IFERROR(P50/P49,""))</f>
        <v/>
      </c>
      <c r="Q51" s="15">
        <f>IF(OR(Q50="",Q49=""),"",IFERROR(Q50/Q49,""))</f>
        <v/>
      </c>
      <c r="R51" s="15">
        <f>IF(OR(R50="",R49=""),"",IFERROR(R50/R49,""))</f>
        <v/>
      </c>
      <c r="S51" s="15">
        <f>IF(OR(S50="",S49=""),"",IFERROR(S50/S49,""))</f>
        <v/>
      </c>
      <c r="T51" s="15">
        <f>IF(OR(T50="",T49=""),"",IFERROR(T50/T49,""))</f>
        <v/>
      </c>
      <c r="U51" s="15">
        <f>IF(OR(U50="",U49=""),"",IFERROR(U50/U49,""))</f>
        <v/>
      </c>
      <c r="V51" s="15">
        <f>IF(OR(V50="",V49=""),"",IFERROR(V50/V49,""))</f>
        <v/>
      </c>
      <c r="W51" s="15">
        <f>IF(OR(W50="",W49=""),"",IFERROR(W50/W49,""))</f>
        <v/>
      </c>
      <c r="X51" s="15">
        <f>IF(OR(X50="",X49=""),"",IFERROR(X50/X49,""))</f>
        <v/>
      </c>
      <c r="Y51" s="25" t="n">
        <v>0.3</v>
      </c>
      <c r="Z51" s="26" t="n">
        <v>0.3</v>
      </c>
      <c r="AA51" s="26" t="n">
        <v>0.3</v>
      </c>
      <c r="AB51" s="26" t="n">
        <v>0.3</v>
      </c>
      <c r="AC51" s="26" t="n">
        <v>0.3</v>
      </c>
    </row>
    <row r="52">
      <c r="A52" s="9" t="inlineStr">
        <is>
          <t>당기순이익(손실)</t>
        </is>
      </c>
      <c r="B52" s="10" t="n"/>
      <c r="C52" s="11" t="n">
        <v>-98</v>
      </c>
      <c r="D52" s="12" t="n">
        <v>-475</v>
      </c>
      <c r="E52" s="12" t="n">
        <v>-186</v>
      </c>
      <c r="F52" s="12" t="n">
        <v>-870</v>
      </c>
      <c r="G52" s="12" t="n">
        <v>-295</v>
      </c>
      <c r="H52" s="12" t="n">
        <v>-1266</v>
      </c>
      <c r="I52" s="12" t="n">
        <v>171</v>
      </c>
      <c r="J52" s="12" t="n">
        <v>584</v>
      </c>
      <c r="K52" s="12" t="n">
        <v>105</v>
      </c>
      <c r="L52" s="12" t="n">
        <v>377</v>
      </c>
      <c r="M52" s="12" t="n">
        <v>298</v>
      </c>
      <c r="N52" s="12" t="n">
        <v>359</v>
      </c>
      <c r="O52" s="11" t="n">
        <v>1361</v>
      </c>
      <c r="P52" s="12" t="n">
        <v>389</v>
      </c>
      <c r="Q52" s="12" t="n">
        <v>-245</v>
      </c>
      <c r="R52" s="12" t="n">
        <v>-220</v>
      </c>
      <c r="S52" s="12" t="n">
        <v>878</v>
      </c>
      <c r="T52" s="12" t="n">
        <v>368</v>
      </c>
      <c r="U52" s="12" t="n">
        <v>205</v>
      </c>
      <c r="V52" s="12" t="n">
        <v>451</v>
      </c>
      <c r="W52" s="12" t="n">
        <v>-2617</v>
      </c>
      <c r="X52" s="12" t="n">
        <v>1237</v>
      </c>
      <c r="Y52" s="11">
        <f>IF(OR(Y49=""),"",IFERROR(Y49-Y50,""))</f>
        <v/>
      </c>
      <c r="Z52" s="12">
        <f>IF(OR(Z49=""),"",IFERROR(Z49-Z50,""))</f>
        <v/>
      </c>
      <c r="AA52" s="12">
        <f>IF(OR(AA49=""),"",IFERROR(AA49-AA50,""))</f>
        <v/>
      </c>
      <c r="AB52" s="12">
        <f>IF(OR(AB49=""),"",IFERROR(AB49-AB50,""))</f>
        <v/>
      </c>
      <c r="AC52" s="12">
        <f>IF(OR(AC49=""),"",IFERROR(AC49-AC50,""))</f>
        <v/>
      </c>
    </row>
    <row r="53">
      <c r="A53" s="9" t="inlineStr">
        <is>
          <t>지배주주 순이익</t>
        </is>
      </c>
      <c r="B53" s="10" t="n"/>
      <c r="C53" s="11" t="n">
        <v>-98</v>
      </c>
      <c r="D53" s="12" t="n">
        <v>-475</v>
      </c>
      <c r="E53" s="12" t="n">
        <v>-186</v>
      </c>
      <c r="F53" s="12" t="n">
        <v>-870</v>
      </c>
      <c r="G53" s="12" t="n">
        <v>-295</v>
      </c>
      <c r="H53" s="12" t="n">
        <v>-1266</v>
      </c>
      <c r="I53" s="12" t="n">
        <v>171</v>
      </c>
      <c r="J53" s="12" t="n">
        <v>584</v>
      </c>
      <c r="K53" s="12" t="n">
        <v>105</v>
      </c>
      <c r="L53" s="12" t="n">
        <v>377</v>
      </c>
      <c r="M53" s="12" t="n">
        <v>298</v>
      </c>
      <c r="N53" s="12" t="n">
        <v>359</v>
      </c>
      <c r="O53" s="11" t="n">
        <v>1361</v>
      </c>
      <c r="P53" s="12" t="n">
        <v>389</v>
      </c>
      <c r="Q53" s="12" t="n">
        <v>-245</v>
      </c>
      <c r="R53" s="12" t="n">
        <v>-220</v>
      </c>
      <c r="S53" s="12" t="n">
        <v>878</v>
      </c>
      <c r="T53" s="12" t="n">
        <v>368</v>
      </c>
      <c r="U53" s="12" t="n">
        <v>205</v>
      </c>
      <c r="V53" s="12" t="n">
        <v>451</v>
      </c>
      <c r="W53" s="12" t="n">
        <v>-2617</v>
      </c>
      <c r="X53" s="12" t="n">
        <v>1237</v>
      </c>
      <c r="Y53" s="11">
        <f>IF(OR(Y52="",Y54=""),"",IFERROR(Y52*Y54,""))</f>
        <v/>
      </c>
      <c r="Z53" s="12">
        <f>IF(OR(Z52="",Z54=""),"",IFERROR(Z52*Z54,""))</f>
        <v/>
      </c>
      <c r="AA53" s="12">
        <f>IF(OR(AA52="",AA54=""),"",IFERROR(AA52*AA54,""))</f>
        <v/>
      </c>
      <c r="AB53" s="12">
        <f>IF(OR(AB52="",AB54=""),"",IFERROR(AB52*AB54,""))</f>
        <v/>
      </c>
      <c r="AC53" s="12">
        <f>IF(OR(AC52="",AC54=""),"",IFERROR(AC52*AC54,""))</f>
        <v/>
      </c>
    </row>
    <row r="54">
      <c r="A54" s="13" t="inlineStr">
        <is>
          <t>지배주주 순이익률</t>
        </is>
      </c>
      <c r="B54" s="10" t="inlineStr">
        <is>
          <t>MW 기본 100%</t>
        </is>
      </c>
      <c r="C54" s="14">
        <f>IF(OR(C53="",C52=""),"",IFERROR(C53/C52,""))</f>
        <v/>
      </c>
      <c r="D54" s="15">
        <f>IF(OR(D53="",D52=""),"",IFERROR(D53/D52,""))</f>
        <v/>
      </c>
      <c r="E54" s="15">
        <f>IF(OR(E53="",E52=""),"",IFERROR(E53/E52,""))</f>
        <v/>
      </c>
      <c r="F54" s="15">
        <f>IF(OR(F53="",F52=""),"",IFERROR(F53/F52,""))</f>
        <v/>
      </c>
      <c r="G54" s="15">
        <f>IF(OR(G53="",G52=""),"",IFERROR(G53/G52,""))</f>
        <v/>
      </c>
      <c r="H54" s="15">
        <f>IF(OR(H53="",H52=""),"",IFERROR(H53/H52,""))</f>
        <v/>
      </c>
      <c r="I54" s="15">
        <f>IF(OR(I53="",I52=""),"",IFERROR(I53/I52,""))</f>
        <v/>
      </c>
      <c r="J54" s="15">
        <f>IF(OR(J53="",J52=""),"",IFERROR(J53/J52,""))</f>
        <v/>
      </c>
      <c r="K54" s="15">
        <f>IF(OR(K53="",K52=""),"",IFERROR(K53/K52,""))</f>
        <v/>
      </c>
      <c r="L54" s="15">
        <f>IF(OR(L53="",L52=""),"",IFERROR(L53/L52,""))</f>
        <v/>
      </c>
      <c r="M54" s="15">
        <f>IF(OR(M53="",M52=""),"",IFERROR(M53/M52,""))</f>
        <v/>
      </c>
      <c r="N54" s="15">
        <f>IF(OR(N53="",N52=""),"",IFERROR(N53/N52,""))</f>
        <v/>
      </c>
      <c r="O54" s="14">
        <f>IF(OR(O53="",O52=""),"",IFERROR(O53/O52,""))</f>
        <v/>
      </c>
      <c r="P54" s="15">
        <f>IF(OR(P53="",P52=""),"",IFERROR(P53/P52,""))</f>
        <v/>
      </c>
      <c r="Q54" s="15">
        <f>IF(OR(Q53="",Q52=""),"",IFERROR(Q53/Q52,""))</f>
        <v/>
      </c>
      <c r="R54" s="15">
        <f>IF(OR(R53="",R52=""),"",IFERROR(R53/R52,""))</f>
        <v/>
      </c>
      <c r="S54" s="15">
        <f>IF(OR(S53="",S52=""),"",IFERROR(S53/S52,""))</f>
        <v/>
      </c>
      <c r="T54" s="15">
        <f>IF(OR(T53="",T52=""),"",IFERROR(T53/T52,""))</f>
        <v/>
      </c>
      <c r="U54" s="15">
        <f>IF(OR(U53="",U52=""),"",IFERROR(U53/U52,""))</f>
        <v/>
      </c>
      <c r="V54" s="15">
        <f>IF(OR(V53="",V52=""),"",IFERROR(V53/V52,""))</f>
        <v/>
      </c>
      <c r="W54" s="15">
        <f>IF(OR(W53="",W52=""),"",IFERROR(W53/W52,""))</f>
        <v/>
      </c>
      <c r="X54" s="15">
        <f>IF(OR(X53="",X52=""),"",IFERROR(X53/X52,""))</f>
        <v/>
      </c>
      <c r="Y54" s="25" t="n">
        <v>1</v>
      </c>
      <c r="Z54" s="26" t="n">
        <v>1</v>
      </c>
      <c r="AA54" s="26" t="n">
        <v>1</v>
      </c>
      <c r="AB54" s="26" t="n">
        <v>1</v>
      </c>
      <c r="AC54" s="26" t="n">
        <v>1</v>
      </c>
    </row>
    <row r="55">
      <c r="A55" s="16" t="inlineStr">
        <is>
          <t>목표주가 산출</t>
        </is>
      </c>
      <c r="B55" s="16" t="n"/>
      <c r="C55" s="17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7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7" t="n"/>
      <c r="Z55" s="16" t="n"/>
      <c r="AA55" s="16" t="n"/>
      <c r="AB55" s="16" t="n"/>
      <c r="AC55" s="16" t="n"/>
    </row>
    <row r="56">
      <c r="A56" s="18" t="inlineStr">
        <is>
          <t>현재 주가 (2026.10.23)</t>
        </is>
      </c>
      <c r="B56" s="27" t="n">
        <v>1143</v>
      </c>
      <c r="C56" s="28" t="n"/>
      <c r="D56" s="29" t="n"/>
      <c r="E56" s="29" t="n"/>
      <c r="F56" s="29" t="n"/>
      <c r="G56" s="29" t="n"/>
      <c r="H56" s="29" t="n"/>
      <c r="I56" s="29" t="n"/>
      <c r="J56" s="29" t="n"/>
      <c r="K56" s="29" t="n"/>
      <c r="L56" s="29" t="n"/>
      <c r="M56" s="29" t="n"/>
      <c r="N56" s="29" t="n"/>
      <c r="O56" s="28" t="n"/>
      <c r="P56" s="29" t="n"/>
      <c r="Q56" s="29" t="n"/>
      <c r="R56" s="29" t="n"/>
      <c r="S56" s="29" t="n"/>
      <c r="T56" s="29" t="n"/>
      <c r="U56" s="29" t="n"/>
      <c r="V56" s="29" t="n"/>
      <c r="W56" s="29" t="n"/>
      <c r="X56" s="29" t="n"/>
      <c r="Y56" s="28" t="n"/>
      <c r="Z56" s="29" t="n"/>
      <c r="AA56" s="29" t="n"/>
      <c r="AB56" s="29" t="n"/>
      <c r="AC56" s="29" t="n"/>
    </row>
    <row r="57">
      <c r="A57" s="18" t="inlineStr">
        <is>
          <t>발행주식수 (보통주)</t>
        </is>
      </c>
      <c r="B57" s="27" t="n">
        <v>10960825</v>
      </c>
      <c r="C57" s="28" t="n"/>
      <c r="D57" s="29" t="n"/>
      <c r="E57" s="29" t="n"/>
      <c r="F57" s="29" t="n"/>
      <c r="G57" s="29" t="n"/>
      <c r="H57" s="29" t="n"/>
      <c r="I57" s="29" t="n"/>
      <c r="J57" s="29" t="n"/>
      <c r="K57" s="29" t="n"/>
      <c r="L57" s="29" t="n"/>
      <c r="M57" s="29" t="n"/>
      <c r="N57" s="29" t="n"/>
      <c r="O57" s="28" t="n"/>
      <c r="P57" s="29" t="n"/>
      <c r="Q57" s="29" t="n"/>
      <c r="R57" s="29" t="n"/>
      <c r="S57" s="29" t="n"/>
      <c r="T57" s="29" t="n"/>
      <c r="U57" s="29" t="n"/>
      <c r="V57" s="29" t="n"/>
      <c r="W57" s="29" t="n"/>
      <c r="X57" s="29" t="n"/>
      <c r="Y57" s="28" t="n"/>
      <c r="Z57" s="29" t="n"/>
      <c r="AA57" s="29" t="n"/>
      <c r="AB57" s="29" t="n"/>
      <c r="AC57" s="29" t="n"/>
    </row>
    <row r="58">
      <c r="A58" s="18" t="inlineStr">
        <is>
          <t>시가총액 (백만엔)</t>
        </is>
      </c>
      <c r="B58" s="12">
        <f>IF(OR(B56="",B57=""),"",B56*B57/1000000.0)</f>
        <v/>
      </c>
      <c r="C58" s="19" t="n"/>
      <c r="D58" s="20" t="n"/>
      <c r="E58" s="20" t="n"/>
      <c r="F58" s="20" t="n"/>
      <c r="G58" s="20" t="n"/>
      <c r="H58" s="20" t="n"/>
      <c r="I58" s="20" t="n"/>
      <c r="J58" s="20" t="n"/>
      <c r="K58" s="20" t="n"/>
      <c r="L58" s="20" t="n"/>
      <c r="M58" s="20" t="n"/>
      <c r="N58" s="20" t="n"/>
      <c r="O58" s="19" t="n"/>
      <c r="P58" s="20" t="n"/>
      <c r="Q58" s="20" t="n"/>
      <c r="R58" s="20" t="n"/>
      <c r="S58" s="20" t="n"/>
      <c r="T58" s="20" t="n"/>
      <c r="U58" s="20" t="n"/>
      <c r="V58" s="20" t="n"/>
      <c r="W58" s="20" t="n"/>
      <c r="X58" s="20" t="n"/>
      <c r="Y58" s="19" t="n"/>
      <c r="Z58" s="20" t="n"/>
      <c r="AA58" s="20" t="n"/>
      <c r="AB58" s="20" t="n"/>
      <c r="AC58" s="20" t="n"/>
    </row>
    <row r="59">
      <c r="A59" s="13" t="inlineStr">
        <is>
          <t>OPM</t>
        </is>
      </c>
      <c r="B59" s="10" t="n"/>
      <c r="C59" s="14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4">
        <f>IF(O26="","",O26)</f>
        <v/>
      </c>
      <c r="P59" s="15">
        <f>IF(P26="","",P26)</f>
        <v/>
      </c>
      <c r="Q59" s="15">
        <f>IF(Q26="","",Q26)</f>
        <v/>
      </c>
      <c r="R59" s="15">
        <f>IF(R26="","",R26)</f>
        <v/>
      </c>
      <c r="S59" s="15">
        <f>IF(S26="","",S26)</f>
        <v/>
      </c>
      <c r="T59" s="15">
        <f>IF(T26="","",T26)</f>
        <v/>
      </c>
      <c r="U59" s="15">
        <f>IF(U26="","",U26)</f>
        <v/>
      </c>
      <c r="V59" s="15">
        <f>IF(V26="","",V26)</f>
        <v/>
      </c>
      <c r="W59" s="15">
        <f>IF(W26="","",W26)</f>
        <v/>
      </c>
      <c r="X59" s="15">
        <f>IF(X26="","",X26)</f>
        <v/>
      </c>
      <c r="Y59" s="14">
        <f>IF(Y26="","",Y26)</f>
        <v/>
      </c>
      <c r="Z59" s="15">
        <f>IF(Z26="","",Z26)</f>
        <v/>
      </c>
      <c r="AA59" s="15">
        <f>IF(AA26="","",AA26)</f>
        <v/>
      </c>
      <c r="AB59" s="15">
        <f>IF(AB26="","",AB26)</f>
        <v/>
      </c>
      <c r="AC59" s="15">
        <f>IF(AC26="","",AC26)</f>
        <v/>
      </c>
    </row>
    <row r="60">
      <c r="A60" s="13" t="inlineStr">
        <is>
          <t>지배주주 순이익 증가율</t>
        </is>
      </c>
      <c r="B60" s="10" t="n"/>
      <c r="C60" s="14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4" t="n"/>
      <c r="P60" s="15">
        <f>IF(OR(P53="",O53=""),"",IFERROR(P53/O53-1,""))</f>
        <v/>
      </c>
      <c r="Q60" s="15">
        <f>IF(OR(Q53="",P53=""),"",IFERROR(Q53/P53-1,""))</f>
        <v/>
      </c>
      <c r="R60" s="15">
        <f>IF(OR(R53="",Q53=""),"",IFERROR(R53/Q53-1,""))</f>
        <v/>
      </c>
      <c r="S60" s="15">
        <f>IF(OR(S53="",R53=""),"",IFERROR(S53/R53-1,""))</f>
        <v/>
      </c>
      <c r="T60" s="15">
        <f>IF(OR(T53="",S53=""),"",IFERROR(T53/S53-1,""))</f>
        <v/>
      </c>
      <c r="U60" s="15">
        <f>IF(OR(U53="",T53=""),"",IFERROR(U53/T53-1,""))</f>
        <v/>
      </c>
      <c r="V60" s="15">
        <f>IF(OR(V53="",U53=""),"",IFERROR(V53/U53-1,""))</f>
        <v/>
      </c>
      <c r="W60" s="15">
        <f>IF(OR(W53="",V53=""),"",IFERROR(W53/V53-1,""))</f>
        <v/>
      </c>
      <c r="X60" s="15">
        <f>IF(OR(X53="",W53=""),"",IFERROR(X53/W53-1,""))</f>
        <v/>
      </c>
      <c r="Y60" s="14">
        <f>IF(OR(Y53="",X53=""),"",IFERROR(Y53/X53-1,""))</f>
        <v/>
      </c>
      <c r="Z60" s="15">
        <f>IF(OR(Z53="",Y53=""),"",IFERROR(Z53/Y53-1,""))</f>
        <v/>
      </c>
      <c r="AA60" s="15">
        <f>IF(OR(AA53="",Z53=""),"",IFERROR(AA53/Z53-1,""))</f>
        <v/>
      </c>
      <c r="AB60" s="15">
        <f>IF(OR(AB53="",AA53=""),"",IFERROR(AB53/AA53-1,""))</f>
        <v/>
      </c>
      <c r="AC60" s="15">
        <f>IF(OR(AC53="",AB53=""),"",IFERROR(AC53/AB53-1,""))</f>
        <v/>
      </c>
    </row>
    <row r="61">
      <c r="A61" s="18" t="inlineStr">
        <is>
          <t>P/E (현재 주가)</t>
        </is>
      </c>
      <c r="B61" s="10" t="inlineStr">
        <is>
          <t>시총 ÷ 지배순이익</t>
        </is>
      </c>
      <c r="C61" s="30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0" t="n"/>
      <c r="P61" s="31" t="n"/>
      <c r="Q61" s="31" t="n"/>
      <c r="R61" s="31" t="n"/>
      <c r="S61" s="31" t="n"/>
      <c r="T61" s="31" t="n"/>
      <c r="U61" s="31" t="n"/>
      <c r="V61" s="31" t="n"/>
      <c r="W61" s="31" t="n"/>
      <c r="X61" s="31">
        <f>IF(OR($B$58="",X53=""),"",IFERROR($B$58/X53,""))</f>
        <v/>
      </c>
      <c r="Y61" s="30">
        <f>IF(OR($B$58="",Y53=""),"",IFERROR($B$58/Y53,""))</f>
        <v/>
      </c>
      <c r="Z61" s="31">
        <f>IF(OR($B$58="",Z53=""),"",IFERROR($B$58/Z53,""))</f>
        <v/>
      </c>
      <c r="AA61" s="31">
        <f>IF(OR($B$58="",AA53=""),"",IFERROR($B$58/AA53,""))</f>
        <v/>
      </c>
      <c r="AB61" s="31">
        <f>IF(OR($B$58="",AB53=""),"",IFERROR($B$58/AB53,""))</f>
        <v/>
      </c>
      <c r="AC61" s="31">
        <f>IF(OR($B$58="",AC53=""),"",IFERROR($B$58/AC53,""))</f>
        <v/>
      </c>
    </row>
    <row r="62">
      <c r="A62" s="18" t="inlineStr">
        <is>
          <t>Target P/E</t>
        </is>
      </c>
      <c r="B62" s="10" t="inlineStr">
        <is>
          <t>직접 입력</t>
        </is>
      </c>
      <c r="C62" s="30" t="n"/>
      <c r="D62" s="31" t="n"/>
      <c r="E62" s="31" t="n"/>
      <c r="F62" s="31" t="n"/>
      <c r="G62" s="31" t="n"/>
      <c r="H62" s="31" t="n"/>
      <c r="I62" s="31" t="n"/>
      <c r="J62" s="31" t="n"/>
      <c r="K62" s="31" t="n"/>
      <c r="L62" s="31" t="n"/>
      <c r="M62" s="31" t="n"/>
      <c r="N62" s="31" t="n"/>
      <c r="O62" s="30" t="n"/>
      <c r="P62" s="31" t="n"/>
      <c r="Q62" s="31" t="n"/>
      <c r="R62" s="31" t="n"/>
      <c r="S62" s="31" t="n"/>
      <c r="T62" s="31" t="n"/>
      <c r="U62" s="31" t="n"/>
      <c r="V62" s="31" t="n"/>
      <c r="W62" s="31" t="n"/>
      <c r="X62" s="31" t="n"/>
      <c r="Y62" s="32" t="n"/>
      <c r="Z62" s="33" t="n"/>
      <c r="AA62" s="33" t="n"/>
      <c r="AB62" s="33" t="n"/>
      <c r="AC62" s="33" t="n"/>
    </row>
    <row r="63">
      <c r="A63" s="18" t="inlineStr">
        <is>
          <t>EPS</t>
        </is>
      </c>
      <c r="B63" s="10" t="inlineStr">
        <is>
          <t>지배순이익 ÷ 주식수</t>
        </is>
      </c>
      <c r="C63" s="28" t="n"/>
      <c r="D63" s="29" t="n"/>
      <c r="E63" s="29" t="n"/>
      <c r="F63" s="29" t="n"/>
      <c r="G63" s="29" t="n"/>
      <c r="H63" s="29" t="n"/>
      <c r="I63" s="29" t="n"/>
      <c r="J63" s="29" t="n"/>
      <c r="K63" s="29" t="n"/>
      <c r="L63" s="29" t="n"/>
      <c r="M63" s="29" t="n"/>
      <c r="N63" s="29" t="n"/>
      <c r="O63" s="28">
        <f>IF(OR(O53="",$B$57=""),"",IFERROR(O53*1000000.0/$B$57,""))</f>
        <v/>
      </c>
      <c r="P63" s="29">
        <f>IF(OR(P53="",$B$57=""),"",IFERROR(P53*1000000.0/$B$57,""))</f>
        <v/>
      </c>
      <c r="Q63" s="29">
        <f>IF(OR(Q53="",$B$57=""),"",IFERROR(Q53*1000000.0/$B$57,""))</f>
        <v/>
      </c>
      <c r="R63" s="29">
        <f>IF(OR(R53="",$B$57=""),"",IFERROR(R53*1000000.0/$B$57,""))</f>
        <v/>
      </c>
      <c r="S63" s="29">
        <f>IF(OR(S53="",$B$57=""),"",IFERROR(S53*1000000.0/$B$57,""))</f>
        <v/>
      </c>
      <c r="T63" s="29">
        <f>IF(OR(T53="",$B$57=""),"",IFERROR(T53*1000000.0/$B$57,""))</f>
        <v/>
      </c>
      <c r="U63" s="29">
        <f>IF(OR(U53="",$B$57=""),"",IFERROR(U53*1000000.0/$B$57,""))</f>
        <v/>
      </c>
      <c r="V63" s="29">
        <f>IF(OR(V53="",$B$57=""),"",IFERROR(V53*1000000.0/$B$57,""))</f>
        <v/>
      </c>
      <c r="W63" s="29">
        <f>IF(OR(W53="",$B$57=""),"",IFERROR(W53*1000000.0/$B$57,""))</f>
        <v/>
      </c>
      <c r="X63" s="29">
        <f>IF(OR(X53="",$B$57=""),"",IFERROR(X53*1000000.0/$B$57,""))</f>
        <v/>
      </c>
      <c r="Y63" s="28">
        <f>IF(OR(Y53="",$B$57=""),"",IFERROR(Y53*1000000.0/$B$57,""))</f>
        <v/>
      </c>
      <c r="Z63" s="29">
        <f>IF(OR(Z53="",$B$57=""),"",IFERROR(Z53*1000000.0/$B$57,""))</f>
        <v/>
      </c>
      <c r="AA63" s="29">
        <f>IF(OR(AA53="",$B$57=""),"",IFERROR(AA53*1000000.0/$B$57,""))</f>
        <v/>
      </c>
      <c r="AB63" s="29">
        <f>IF(OR(AB53="",$B$57=""),"",IFERROR(AB53*1000000.0/$B$57,""))</f>
        <v/>
      </c>
      <c r="AC63" s="29">
        <f>IF(OR(AC53="",$B$57=""),"",IFERROR(AC53*1000000.0/$B$57,""))</f>
        <v/>
      </c>
    </row>
    <row r="64">
      <c r="A64" s="9" t="inlineStr">
        <is>
          <t>목표주가</t>
        </is>
      </c>
      <c r="B64" s="10" t="n"/>
      <c r="C64" s="34" t="n"/>
      <c r="D64" s="27" t="n"/>
      <c r="E64" s="27" t="n"/>
      <c r="F64" s="27" t="n"/>
      <c r="G64" s="27" t="n"/>
      <c r="H64" s="27" t="n"/>
      <c r="I64" s="27" t="n"/>
      <c r="J64" s="27" t="n"/>
      <c r="K64" s="27" t="n"/>
      <c r="L64" s="27" t="n"/>
      <c r="M64" s="27" t="n"/>
      <c r="N64" s="27" t="n"/>
      <c r="O64" s="34" t="n"/>
      <c r="P64" s="27" t="n"/>
      <c r="Q64" s="27" t="n"/>
      <c r="R64" s="27" t="n"/>
      <c r="S64" s="27" t="n"/>
      <c r="T64" s="27" t="n"/>
      <c r="U64" s="27" t="n"/>
      <c r="V64" s="27" t="n"/>
      <c r="W64" s="27" t="n"/>
      <c r="X64" s="27" t="n"/>
      <c r="Y64" s="34">
        <f>IF(OR(Y63="",Y62=""),"",IFERROR(Y63*Y62,""))</f>
        <v/>
      </c>
      <c r="Z64" s="27">
        <f>IF(OR(Z63="",Z62=""),"",IFERROR(Z63*Z62,""))</f>
        <v/>
      </c>
      <c r="AA64" s="27">
        <f>IF(OR(AA63="",AA62=""),"",IFERROR(AA63*AA62,""))</f>
        <v/>
      </c>
      <c r="AB64" s="27">
        <f>IF(OR(AB63="",AB62=""),"",IFERROR(AB63*AB62,""))</f>
        <v/>
      </c>
      <c r="AC64" s="27">
        <f>IF(OR(AC63="",AC62=""),"",IFERROR(AC63*AC62,""))</f>
        <v/>
      </c>
    </row>
    <row r="65">
      <c r="A65" s="18" t="inlineStr">
        <is>
          <t>상승여력</t>
        </is>
      </c>
      <c r="B65" s="10" t="n"/>
      <c r="C65" s="35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5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7">
        <f>IF(OR(Y64="",$B$56=""),"",IFERROR(Y64/$B$56-1,""))</f>
        <v/>
      </c>
      <c r="Z65" s="38">
        <f>IF(OR(Z64="",$B$56=""),"",IFERROR(Z64/$B$56-1,""))</f>
        <v/>
      </c>
      <c r="AA65" s="38">
        <f>IF(OR(AA64="",$B$56=""),"",IFERROR(AA64/$B$56-1,""))</f>
        <v/>
      </c>
      <c r="AB65" s="38">
        <f>IF(OR(AB64="",$B$56=""),"",IFERROR(AB64/$B$56-1,""))</f>
        <v/>
      </c>
      <c r="AC65" s="38">
        <f>IF(OR(AC64="",$B$56=""),"",IFERROR(AC64/$B$56-1,""))</f>
        <v/>
      </c>
    </row>
    <row r="66">
      <c r="A66" s="16" t="inlineStr">
        <is>
          <t>자산가치 산출</t>
        </is>
      </c>
      <c r="B66" s="16" t="inlineStr">
        <is>
          <t>최신 분기 BS</t>
        </is>
      </c>
      <c r="C66" s="17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7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7" t="n"/>
      <c r="Z66" s="16" t="n"/>
      <c r="AA66" s="16" t="n"/>
      <c r="AB66" s="16" t="n"/>
      <c r="AC66" s="16" t="n"/>
    </row>
    <row r="67">
      <c r="A67" s="18" t="inlineStr">
        <is>
          <t>현금및현금성자산</t>
        </is>
      </c>
      <c r="B67" s="10" t="n"/>
      <c r="C67" s="19" t="n"/>
      <c r="D67" s="20" t="n"/>
      <c r="E67" s="20" t="n"/>
      <c r="F67" s="20" t="n"/>
      <c r="G67" s="20" t="n"/>
      <c r="H67" s="20" t="n"/>
      <c r="I67" s="20" t="n"/>
      <c r="J67" s="20" t="n"/>
      <c r="K67" s="20" t="n"/>
      <c r="L67" s="20" t="n"/>
      <c r="M67" s="20" t="n"/>
      <c r="N67" s="20" t="n"/>
      <c r="O67" s="19" t="n"/>
      <c r="P67" s="20" t="n"/>
      <c r="Q67" s="20" t="n"/>
      <c r="R67" s="20" t="n"/>
      <c r="S67" s="20" t="n"/>
      <c r="T67" s="20" t="n"/>
      <c r="U67" s="20" t="n"/>
      <c r="V67" s="20" t="n"/>
      <c r="W67" s="20" t="n"/>
      <c r="X67" s="20">
        <f>'재무상태표'!G6</f>
        <v/>
      </c>
      <c r="Y67" s="19">
        <f>'재무상태표'!G6</f>
        <v/>
      </c>
      <c r="Z67" s="20">
        <f>'재무상태표'!G6</f>
        <v/>
      </c>
      <c r="AA67" s="20">
        <f>'재무상태표'!G6</f>
        <v/>
      </c>
      <c r="AB67" s="20">
        <f>'재무상태표'!G6</f>
        <v/>
      </c>
      <c r="AC67" s="20">
        <f>'재무상태표'!G6</f>
        <v/>
      </c>
    </row>
    <row r="68">
      <c r="A68" s="18" t="inlineStr">
        <is>
          <t>단기금융상품</t>
        </is>
      </c>
      <c r="B68" s="10" t="n"/>
      <c r="C68" s="19" t="n"/>
      <c r="D68" s="20" t="n"/>
      <c r="E68" s="20" t="n"/>
      <c r="F68" s="20" t="n"/>
      <c r="G68" s="20" t="n"/>
      <c r="H68" s="20" t="n"/>
      <c r="I68" s="20" t="n"/>
      <c r="J68" s="20" t="n"/>
      <c r="K68" s="20" t="n"/>
      <c r="L68" s="20" t="n"/>
      <c r="M68" s="20" t="n"/>
      <c r="N68" s="20" t="n"/>
      <c r="O68" s="19" t="n"/>
      <c r="P68" s="20" t="n"/>
      <c r="Q68" s="20" t="n"/>
      <c r="R68" s="20" t="n"/>
      <c r="S68" s="20" t="n"/>
      <c r="T68" s="20" t="n"/>
      <c r="U68" s="20" t="n"/>
      <c r="V68" s="20" t="n"/>
      <c r="W68" s="20" t="n"/>
      <c r="X68" s="20">
        <f>'재무상태표'!G7</f>
        <v/>
      </c>
      <c r="Y68" s="19">
        <f>'재무상태표'!G7</f>
        <v/>
      </c>
      <c r="Z68" s="20">
        <f>'재무상태표'!G7</f>
        <v/>
      </c>
      <c r="AA68" s="20">
        <f>'재무상태표'!G7</f>
        <v/>
      </c>
      <c r="AB68" s="20">
        <f>'재무상태표'!G7</f>
        <v/>
      </c>
      <c r="AC68" s="20">
        <f>'재무상태표'!G7</f>
        <v/>
      </c>
    </row>
    <row r="69">
      <c r="A69" s="18" t="inlineStr">
        <is>
          <t>투자부동산</t>
        </is>
      </c>
      <c r="B69" s="10" t="n"/>
      <c r="C69" s="19" t="n"/>
      <c r="D69" s="20" t="n"/>
      <c r="E69" s="20" t="n"/>
      <c r="F69" s="20" t="n"/>
      <c r="G69" s="20" t="n"/>
      <c r="H69" s="20" t="n"/>
      <c r="I69" s="20" t="n"/>
      <c r="J69" s="20" t="n"/>
      <c r="K69" s="20" t="n"/>
      <c r="L69" s="20" t="n"/>
      <c r="M69" s="20" t="n"/>
      <c r="N69" s="20" t="n"/>
      <c r="O69" s="19" t="n"/>
      <c r="P69" s="20" t="n"/>
      <c r="Q69" s="20" t="n"/>
      <c r="R69" s="20" t="n"/>
      <c r="S69" s="20" t="n"/>
      <c r="T69" s="20" t="n"/>
      <c r="U69" s="20" t="n"/>
      <c r="V69" s="20" t="n"/>
      <c r="W69" s="20" t="n"/>
      <c r="X69" s="20">
        <f>'재무상태표'!G14</f>
        <v/>
      </c>
      <c r="Y69" s="19">
        <f>'재무상태표'!G14</f>
        <v/>
      </c>
      <c r="Z69" s="20">
        <f>'재무상태표'!G14</f>
        <v/>
      </c>
      <c r="AA69" s="20">
        <f>'재무상태표'!G14</f>
        <v/>
      </c>
      <c r="AB69" s="20">
        <f>'재무상태표'!G14</f>
        <v/>
      </c>
      <c r="AC69" s="20">
        <f>'재무상태표'!G14</f>
        <v/>
      </c>
    </row>
    <row r="70">
      <c r="A70" s="18" t="inlineStr">
        <is>
          <t>지배자본</t>
        </is>
      </c>
      <c r="B70" s="10" t="n"/>
      <c r="C70" s="19" t="n"/>
      <c r="D70" s="20" t="n"/>
      <c r="E70" s="20" t="n"/>
      <c r="F70" s="20" t="n"/>
      <c r="G70" s="20" t="n"/>
      <c r="H70" s="20" t="n"/>
      <c r="I70" s="20" t="n"/>
      <c r="J70" s="20" t="n"/>
      <c r="K70" s="20" t="n"/>
      <c r="L70" s="20" t="n"/>
      <c r="M70" s="20" t="n"/>
      <c r="N70" s="20" t="n"/>
      <c r="O70" s="19" t="n"/>
      <c r="P70" s="20" t="n"/>
      <c r="Q70" s="20" t="n"/>
      <c r="R70" s="20" t="n"/>
      <c r="S70" s="20" t="n"/>
      <c r="T70" s="20" t="n"/>
      <c r="U70" s="20" t="n"/>
      <c r="V70" s="20" t="n"/>
      <c r="W70" s="20" t="n"/>
      <c r="X70" s="20">
        <f>'재무상태표'!G31</f>
        <v/>
      </c>
      <c r="Y70" s="19">
        <f>'재무상태표'!G31</f>
        <v/>
      </c>
      <c r="Z70" s="20">
        <f>'재무상태표'!G31</f>
        <v/>
      </c>
      <c r="AA70" s="20">
        <f>'재무상태표'!G31</f>
        <v/>
      </c>
      <c r="AB70" s="20">
        <f>'재무상태표'!G31</f>
        <v/>
      </c>
      <c r="AC70" s="20">
        <f>'재무상태표'!G31</f>
        <v/>
      </c>
    </row>
    <row r="71">
      <c r="A71" s="18" t="inlineStr">
        <is>
          <t>부채</t>
        </is>
      </c>
      <c r="B71" s="10" t="n"/>
      <c r="C71" s="19" t="n"/>
      <c r="D71" s="20" t="n"/>
      <c r="E71" s="20" t="n"/>
      <c r="F71" s="20" t="n"/>
      <c r="G71" s="20" t="n"/>
      <c r="H71" s="20" t="n"/>
      <c r="I71" s="20" t="n"/>
      <c r="J71" s="20" t="n"/>
      <c r="K71" s="20" t="n"/>
      <c r="L71" s="20" t="n"/>
      <c r="M71" s="20" t="n"/>
      <c r="N71" s="20" t="n"/>
      <c r="O71" s="19" t="n"/>
      <c r="P71" s="20" t="n"/>
      <c r="Q71" s="20" t="n"/>
      <c r="R71" s="20" t="n"/>
      <c r="S71" s="20" t="n"/>
      <c r="T71" s="20" t="n"/>
      <c r="U71" s="20" t="n"/>
      <c r="V71" s="20" t="n"/>
      <c r="W71" s="20" t="n"/>
      <c r="X71" s="20">
        <f>'재무상태표'!G27</f>
        <v/>
      </c>
      <c r="Y71" s="19">
        <f>'재무상태표'!G27</f>
        <v/>
      </c>
      <c r="Z71" s="20">
        <f>'재무상태표'!G27</f>
        <v/>
      </c>
      <c r="AA71" s="20">
        <f>'재무상태표'!G27</f>
        <v/>
      </c>
      <c r="AB71" s="20">
        <f>'재무상태표'!G27</f>
        <v/>
      </c>
      <c r="AC71" s="20">
        <f>'재무상태표'!G27</f>
        <v/>
      </c>
    </row>
    <row r="72">
      <c r="A72" s="13" t="inlineStr">
        <is>
          <t>부채비율</t>
        </is>
      </c>
      <c r="B72" s="10" t="n"/>
      <c r="C72" s="14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4" t="n"/>
      <c r="P72" s="15" t="n"/>
      <c r="Q72" s="15" t="n"/>
      <c r="R72" s="15" t="n"/>
      <c r="S72" s="15" t="n"/>
      <c r="T72" s="15" t="n"/>
      <c r="U72" s="15" t="n"/>
      <c r="V72" s="15" t="n"/>
      <c r="W72" s="15" t="n"/>
      <c r="X72" s="15">
        <f>IF(OR(X71="",X70=""),"",IFERROR(X71/X70,""))</f>
        <v/>
      </c>
      <c r="Y72" s="14">
        <f>IF(OR(Y71="",Y70=""),"",IFERROR(Y71/Y70,""))</f>
        <v/>
      </c>
      <c r="Z72" s="15">
        <f>IF(OR(Z71="",Z70=""),"",IFERROR(Z71/Z70,""))</f>
        <v/>
      </c>
      <c r="AA72" s="15">
        <f>IF(OR(AA71="",AA70=""),"",IFERROR(AA71/AA70,""))</f>
        <v/>
      </c>
      <c r="AB72" s="15">
        <f>IF(OR(AB71="",AB70=""),"",IFERROR(AB71/AB70,""))</f>
        <v/>
      </c>
      <c r="AC72" s="15">
        <f>IF(OR(AC71="",AC70=""),"",IFERROR(AC71/AC70,""))</f>
        <v/>
      </c>
    </row>
    <row r="73">
      <c r="A73" s="9" t="inlineStr">
        <is>
          <t>자산가치</t>
        </is>
      </c>
      <c r="B73" s="10" t="inlineStr">
        <is>
          <t>현금+단기금융+투자부동산</t>
        </is>
      </c>
      <c r="C73" s="11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1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>
        <f>SUM(X67,X68,X69)</f>
        <v/>
      </c>
      <c r="Y73" s="11">
        <f>SUM(Y67,Y68,Y69)</f>
        <v/>
      </c>
      <c r="Z73" s="12">
        <f>SUM(Z67,Z68,Z69)</f>
        <v/>
      </c>
      <c r="AA73" s="12">
        <f>SUM(AA67,AA68,AA69)</f>
        <v/>
      </c>
      <c r="AB73" s="12">
        <f>SUM(AB67,AB68,AB69)</f>
        <v/>
      </c>
      <c r="AC73" s="12">
        <f>SUM(AC67,AC68,AC69)</f>
        <v/>
      </c>
    </row>
    <row r="74">
      <c r="A74" s="16" t="inlineStr">
        <is>
          <t>기업가치 산출</t>
        </is>
      </c>
      <c r="B74" s="16" t="n"/>
      <c r="C74" s="17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7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7" t="n"/>
      <c r="Z74" s="16" t="n"/>
      <c r="AA74" s="16" t="n"/>
      <c r="AB74" s="16" t="n"/>
      <c r="AC74" s="16" t="n"/>
    </row>
    <row r="75">
      <c r="A75" s="18" t="inlineStr">
        <is>
          <t>목표 시가총액 (P/E)</t>
        </is>
      </c>
      <c r="B75" s="10" t="inlineStr">
        <is>
          <t>지배순이익 × Target P/E</t>
        </is>
      </c>
      <c r="C75" s="19" t="n"/>
      <c r="D75" s="20" t="n"/>
      <c r="E75" s="20" t="n"/>
      <c r="F75" s="20" t="n"/>
      <c r="G75" s="20" t="n"/>
      <c r="H75" s="20" t="n"/>
      <c r="I75" s="20" t="n"/>
      <c r="J75" s="20" t="n"/>
      <c r="K75" s="20" t="n"/>
      <c r="L75" s="20" t="n"/>
      <c r="M75" s="20" t="n"/>
      <c r="N75" s="20" t="n"/>
      <c r="O75" s="19" t="n"/>
      <c r="P75" s="20" t="n"/>
      <c r="Q75" s="20" t="n"/>
      <c r="R75" s="20" t="n"/>
      <c r="S75" s="20" t="n"/>
      <c r="T75" s="20" t="n"/>
      <c r="U75" s="20" t="n"/>
      <c r="V75" s="20" t="n"/>
      <c r="W75" s="20" t="n"/>
      <c r="X75" s="20" t="n"/>
      <c r="Y75" s="19">
        <f>IF(OR(Y53="",Y62=""),"",IFERROR(Y53*Y62,""))</f>
        <v/>
      </c>
      <c r="Z75" s="20">
        <f>IF(OR(Z53="",Z62=""),"",IFERROR(Z53*Z62,""))</f>
        <v/>
      </c>
      <c r="AA75" s="20">
        <f>IF(OR(AA53="",AA62=""),"",IFERROR(AA53*AA62,""))</f>
        <v/>
      </c>
      <c r="AB75" s="20">
        <f>IF(OR(AB53="",AB62=""),"",IFERROR(AB53*AB62,""))</f>
        <v/>
      </c>
      <c r="AC75" s="20">
        <f>IF(OR(AC53="",AC62=""),"",IFERROR(AC53*AC62,""))</f>
        <v/>
      </c>
    </row>
    <row r="76">
      <c r="A76" s="9" t="inlineStr">
        <is>
          <t>기업가치</t>
        </is>
      </c>
      <c r="B76" s="10" t="inlineStr">
        <is>
          <t>목표시총 + 자산가치</t>
        </is>
      </c>
      <c r="C76" s="11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1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 t="n"/>
      <c r="Y76" s="11">
        <f>IF(OR(Y75=""),"",IFERROR(Y75+Y73,""))</f>
        <v/>
      </c>
      <c r="Z76" s="12">
        <f>IF(OR(Z75=""),"",IFERROR(Z75+Z73,""))</f>
        <v/>
      </c>
      <c r="AA76" s="12">
        <f>IF(OR(AA75=""),"",IFERROR(AA75+AA73,""))</f>
        <v/>
      </c>
      <c r="AB76" s="12">
        <f>IF(OR(AB75=""),"",IFERROR(AB75+AB73,""))</f>
        <v/>
      </c>
      <c r="AC76" s="12">
        <f>IF(OR(AC75=""),"",IFERROR(AC75+AC73,""))</f>
        <v/>
      </c>
    </row>
    <row r="77">
      <c r="A77" s="18" t="inlineStr">
        <is>
          <t>현재 시가총액</t>
        </is>
      </c>
      <c r="B77" s="10" t="n"/>
      <c r="C77" s="19" t="n"/>
      <c r="D77" s="20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0" t="n"/>
      <c r="O77" s="19" t="n"/>
      <c r="P77" s="20" t="n"/>
      <c r="Q77" s="20" t="n"/>
      <c r="R77" s="20" t="n"/>
      <c r="S77" s="20" t="n"/>
      <c r="T77" s="20" t="n"/>
      <c r="U77" s="20" t="n"/>
      <c r="V77" s="20" t="n"/>
      <c r="W77" s="20" t="n"/>
      <c r="X77" s="20" t="n"/>
      <c r="Y77" s="19">
        <f>$B$58</f>
        <v/>
      </c>
      <c r="Z77" s="20">
        <f>$B$58</f>
        <v/>
      </c>
      <c r="AA77" s="20">
        <f>$B$58</f>
        <v/>
      </c>
      <c r="AB77" s="20">
        <f>$B$58</f>
        <v/>
      </c>
      <c r="AC77" s="20">
        <f>$B$58</f>
        <v/>
      </c>
    </row>
    <row r="78">
      <c r="A78" s="18" t="inlineStr">
        <is>
          <t>상승여력</t>
        </is>
      </c>
      <c r="B78" s="10" t="n"/>
      <c r="C78" s="35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5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7">
        <f>IF(OR(Y76="",Y77=""),"",IFERROR(Y76/Y77-1,""))</f>
        <v/>
      </c>
      <c r="Z78" s="38">
        <f>IF(OR(Z76="",Z77=""),"",IFERROR(Z76/Z77-1,""))</f>
        <v/>
      </c>
      <c r="AA78" s="38">
        <f>IF(OR(AA76="",AA77=""),"",IFERROR(AA76/AA77-1,""))</f>
        <v/>
      </c>
      <c r="AB78" s="38">
        <f>IF(OR(AB76="",AB77=""),"",IFERROR(AB76/AB77-1,""))</f>
        <v/>
      </c>
      <c r="AC78" s="38">
        <f>IF(OR(AC76="",AC77=""),"",IFERROR(AC76/AC77-1,""))</f>
        <v/>
      </c>
    </row>
    <row r="79">
      <c r="C79" s="39" t="n"/>
      <c r="O79" s="39" t="n"/>
      <c r="Y79" s="39" t="n"/>
    </row>
    <row r="80">
      <c r="A80" s="40" t="inlineStr">
        <is>
          <t>출처</t>
        </is>
      </c>
      <c r="C80" s="39" t="n"/>
      <c r="O80" s="39" t="n"/>
      <c r="Y80" s="39" t="n"/>
    </row>
    <row r="81">
      <c r="A81" s="41" t="inlineStr">
        <is>
          <t>결산단신 XBRL(TDnet·JPX 보관소) — 쓴 문서는 '출처' 시트</t>
        </is>
      </c>
      <c r="C81" s="39" t="n"/>
      <c r="O81" s="39" t="n"/>
      <c r="Y81" s="39" t="n"/>
    </row>
    <row r="82">
      <c r="A82" s="41" t="inlineStr">
        <is>
          <t>분기 = 누계에서 앞 분기를 뺀 3개월 값</t>
        </is>
      </c>
      <c r="C82" s="39" t="n"/>
      <c r="O82" s="39" t="n"/>
      <c r="Y82" s="39" t="n"/>
    </row>
    <row r="83">
      <c r="A83" s="41" t="inlineStr">
        <is>
          <t>주가: 야후 파이낸스 일봉 2026.10.23</t>
        </is>
      </c>
      <c r="C83" s="39" t="n"/>
      <c r="O83" s="39" t="n"/>
      <c r="Y83" s="39" t="n"/>
    </row>
    <row r="85">
      <c r="A85" s="16" t="inlineStr">
        <is>
          <t>손익계산서 · 전 항목</t>
        </is>
      </c>
      <c r="B85" s="42" t="inlineStr">
        <is>
          <t>분기 = 3개월 단독</t>
        </is>
      </c>
      <c r="C85" s="16" t="n"/>
      <c r="D85" s="16" t="n"/>
      <c r="E85" s="16" t="n"/>
      <c r="F85" s="16" t="n"/>
      <c r="G85" s="16" t="n"/>
      <c r="H85" s="16" t="n"/>
      <c r="I85" s="16" t="n"/>
      <c r="J85" s="16" t="n"/>
      <c r="K85" s="16" t="n"/>
      <c r="L85" s="16" t="n"/>
      <c r="M85" s="16" t="n"/>
      <c r="N85" s="16" t="n"/>
      <c r="O85" s="16" t="n"/>
      <c r="P85" s="16" t="n"/>
      <c r="Q85" s="16" t="n"/>
      <c r="R85" s="16" t="n"/>
      <c r="S85" s="16" t="n"/>
      <c r="T85" s="16" t="n"/>
      <c r="U85" s="16" t="n"/>
      <c r="V85" s="16" t="n"/>
      <c r="W85" s="16" t="n"/>
      <c r="X85" s="16" t="n"/>
      <c r="Y85" s="16" t="n"/>
      <c r="Z85" s="16" t="n"/>
      <c r="AA85" s="16" t="n"/>
      <c r="AB85" s="16" t="n"/>
      <c r="AC85" s="16" t="n"/>
    </row>
    <row r="86">
      <c r="A86" s="5" t="inlineStr">
        <is>
          <t>항목</t>
        </is>
      </c>
      <c r="B86" s="5" t="inlineStr">
        <is>
          <t>참고</t>
        </is>
      </c>
      <c r="C86" s="5" t="inlineStr">
        <is>
          <t>2024.3Q</t>
        </is>
      </c>
      <c r="D86" s="5" t="inlineStr">
        <is>
          <t>2024.4Q</t>
        </is>
      </c>
      <c r="E86" s="5" t="inlineStr">
        <is>
          <t>2025.1Q</t>
        </is>
      </c>
      <c r="F86" s="5" t="inlineStr">
        <is>
          <t>2025.2Q</t>
        </is>
      </c>
      <c r="G86" s="5" t="inlineStr">
        <is>
          <t>2025.3Q</t>
        </is>
      </c>
      <c r="H86" s="5" t="inlineStr">
        <is>
          <t>2025.4Q</t>
        </is>
      </c>
      <c r="I86" s="5" t="inlineStr">
        <is>
          <t>2026.1Q</t>
        </is>
      </c>
      <c r="J86" s="5" t="inlineStr">
        <is>
          <t>2026.2Q</t>
        </is>
      </c>
      <c r="K86" s="5" t="inlineStr">
        <is>
          <t>2026.3Q</t>
        </is>
      </c>
      <c r="L86" s="5" t="inlineStr">
        <is>
          <t>2026.4Q</t>
        </is>
      </c>
      <c r="M86" s="5" t="inlineStr">
        <is>
          <t>2027.1Q</t>
        </is>
      </c>
      <c r="N86" s="5" t="inlineStr">
        <is>
          <t>2027.2Q</t>
        </is>
      </c>
      <c r="O86" s="5" t="inlineStr">
        <is>
          <t>2017</t>
        </is>
      </c>
      <c r="P86" s="5" t="inlineStr">
        <is>
          <t>2018</t>
        </is>
      </c>
      <c r="Q86" s="5" t="inlineStr">
        <is>
          <t>2019</t>
        </is>
      </c>
      <c r="R86" s="5" t="inlineStr">
        <is>
          <t>2020</t>
        </is>
      </c>
      <c r="S86" s="5" t="inlineStr">
        <is>
          <t>2021</t>
        </is>
      </c>
      <c r="T86" s="5" t="inlineStr">
        <is>
          <t>2022</t>
        </is>
      </c>
      <c r="U86" s="5" t="inlineStr">
        <is>
          <t>2023</t>
        </is>
      </c>
      <c r="V86" s="5" t="inlineStr">
        <is>
          <t>2024</t>
        </is>
      </c>
      <c r="W86" s="5" t="inlineStr">
        <is>
          <t>2025</t>
        </is>
      </c>
      <c r="X86" s="5" t="inlineStr">
        <is>
          <t>2026</t>
        </is>
      </c>
      <c r="Y86" s="5" t="inlineStr">
        <is>
          <t>2027(MW)</t>
        </is>
      </c>
      <c r="Z86" s="5" t="inlineStr">
        <is>
          <t>2028(MW)</t>
        </is>
      </c>
      <c r="AA86" s="5" t="inlineStr">
        <is>
          <t>2029(MW)</t>
        </is>
      </c>
      <c r="AB86" s="5" t="inlineStr">
        <is>
          <t>2030(MW)</t>
        </is>
      </c>
      <c r="AC86" s="5" t="inlineStr">
        <is>
          <t>2031(MW)</t>
        </is>
      </c>
    </row>
    <row r="87">
      <c r="A87" s="9" t="inlineStr">
        <is>
          <t>매출액</t>
        </is>
      </c>
      <c r="C87" s="12" t="n">
        <v>25272</v>
      </c>
      <c r="D87" s="12" t="n">
        <v>25969</v>
      </c>
      <c r="E87" s="12" t="n">
        <v>24969</v>
      </c>
      <c r="F87" s="12" t="n">
        <v>25989</v>
      </c>
      <c r="G87" s="12" t="n">
        <v>24927</v>
      </c>
      <c r="H87" s="12" t="n">
        <v>26673</v>
      </c>
      <c r="I87" s="12" t="n">
        <v>26063</v>
      </c>
      <c r="J87" s="12" t="n">
        <v>27020</v>
      </c>
      <c r="K87" s="12" t="n">
        <v>25554</v>
      </c>
      <c r="L87" s="12" t="n">
        <v>26768</v>
      </c>
      <c r="M87" s="12" t="n">
        <v>24871</v>
      </c>
      <c r="N87" s="12" t="n">
        <v>25073</v>
      </c>
      <c r="T87" s="12" t="n">
        <v>28891</v>
      </c>
      <c r="U87" s="12" t="n">
        <v>25611</v>
      </c>
      <c r="V87" s="12" t="n">
        <v>25969</v>
      </c>
      <c r="W87" s="12" t="n">
        <v>26673</v>
      </c>
      <c r="X87" s="12" t="n">
        <v>26768</v>
      </c>
    </row>
    <row r="88">
      <c r="A88" s="18" t="inlineStr">
        <is>
          <t>매출원가</t>
        </is>
      </c>
      <c r="C88" s="20" t="n">
        <v>18489</v>
      </c>
      <c r="D88" s="20" t="n">
        <v>18681</v>
      </c>
      <c r="E88" s="20" t="n">
        <v>18233</v>
      </c>
      <c r="F88" s="20" t="n">
        <v>18662</v>
      </c>
      <c r="G88" s="20" t="n">
        <v>18157</v>
      </c>
      <c r="H88" s="20" t="n">
        <v>18911</v>
      </c>
      <c r="I88" s="20" t="n">
        <v>18886</v>
      </c>
      <c r="J88" s="20" t="n">
        <v>19360</v>
      </c>
      <c r="K88" s="20" t="n">
        <v>18522</v>
      </c>
      <c r="L88" s="20" t="n">
        <v>19003</v>
      </c>
      <c r="M88" s="20" t="n">
        <v>18056</v>
      </c>
      <c r="N88" s="20" t="n">
        <v>17708</v>
      </c>
      <c r="T88" s="20" t="n">
        <v>20439</v>
      </c>
      <c r="U88" s="20" t="n">
        <v>18307</v>
      </c>
      <c r="V88" s="20" t="n">
        <v>18681</v>
      </c>
      <c r="W88" s="20" t="n">
        <v>18911</v>
      </c>
      <c r="X88" s="20" t="n">
        <v>19003</v>
      </c>
    </row>
    <row r="89">
      <c r="A89" s="9" t="inlineStr">
        <is>
          <t>매출총이익</t>
        </is>
      </c>
      <c r="C89" s="12" t="n">
        <v>6783</v>
      </c>
      <c r="D89" s="12" t="n">
        <v>7289</v>
      </c>
      <c r="E89" s="12" t="n">
        <v>6735</v>
      </c>
      <c r="F89" s="12" t="n">
        <v>7327</v>
      </c>
      <c r="G89" s="12" t="n">
        <v>6770</v>
      </c>
      <c r="H89" s="12" t="n">
        <v>7763</v>
      </c>
      <c r="I89" s="12" t="n">
        <v>7176</v>
      </c>
      <c r="J89" s="12" t="n">
        <v>7660</v>
      </c>
      <c r="K89" s="12" t="n">
        <v>7032</v>
      </c>
      <c r="L89" s="12" t="n">
        <v>7766</v>
      </c>
      <c r="M89" s="12" t="n">
        <v>6815</v>
      </c>
      <c r="N89" s="12" t="n">
        <v>7365</v>
      </c>
      <c r="T89" s="12" t="n">
        <v>8452</v>
      </c>
      <c r="U89" s="12" t="n">
        <v>7303</v>
      </c>
      <c r="V89" s="12" t="n">
        <v>7289</v>
      </c>
      <c r="W89" s="12" t="n">
        <v>7763</v>
      </c>
      <c r="X89" s="12" t="n">
        <v>7766</v>
      </c>
    </row>
    <row r="90">
      <c r="A90" s="18" t="inlineStr">
        <is>
          <t>급여</t>
        </is>
      </c>
      <c r="C90" s="20" t="n">
        <v>2833</v>
      </c>
      <c r="E90" s="20" t="n">
        <v>2854</v>
      </c>
      <c r="F90" s="20" t="n">
        <v>2903</v>
      </c>
      <c r="G90" s="20" t="n">
        <v>2877</v>
      </c>
      <c r="I90" s="20" t="n">
        <v>2906</v>
      </c>
      <c r="J90" s="20" t="n">
        <v>2926</v>
      </c>
      <c r="K90" s="20" t="n">
        <v>2879</v>
      </c>
      <c r="M90" s="20" t="n">
        <v>2798</v>
      </c>
      <c r="N90" s="20" t="n">
        <v>2816</v>
      </c>
    </row>
    <row r="91">
      <c r="A91" s="18" t="inlineStr">
        <is>
          <t>상여충당금 전입</t>
        </is>
      </c>
      <c r="C91" s="20" t="n">
        <v>290</v>
      </c>
      <c r="D91" s="20" t="n">
        <v>-290</v>
      </c>
      <c r="E91" s="20" t="n">
        <v>267</v>
      </c>
      <c r="F91" s="20" t="n">
        <v>49</v>
      </c>
      <c r="G91" s="20" t="n">
        <v>226</v>
      </c>
      <c r="H91" s="20" t="n">
        <v>-245</v>
      </c>
      <c r="I91" s="20" t="n">
        <v>235</v>
      </c>
      <c r="J91" s="20" t="n">
        <v>61</v>
      </c>
      <c r="K91" s="20" t="n">
        <v>274</v>
      </c>
      <c r="L91" s="20" t="n">
        <v>-312</v>
      </c>
      <c r="M91" s="20" t="n">
        <v>251</v>
      </c>
      <c r="N91" s="20" t="n">
        <v>14</v>
      </c>
      <c r="T91" s="20" t="n">
        <v>-297</v>
      </c>
      <c r="U91" s="20" t="n">
        <v>-295</v>
      </c>
      <c r="V91" s="20" t="n">
        <v>-290</v>
      </c>
      <c r="W91" s="20" t="n">
        <v>-245</v>
      </c>
      <c r="X91" s="20" t="n">
        <v>-312</v>
      </c>
    </row>
    <row r="92">
      <c r="A92" s="18" t="inlineStr">
        <is>
          <t>포인트 충당금 전입</t>
        </is>
      </c>
      <c r="T92" s="20" t="n">
        <v>-4</v>
      </c>
      <c r="U92" s="20" t="n">
        <v>0</v>
      </c>
    </row>
    <row r="93">
      <c r="A93" s="18" t="inlineStr">
        <is>
          <t>퇴직급여비용</t>
        </is>
      </c>
      <c r="C93" s="20" t="n">
        <v>29</v>
      </c>
      <c r="D93" s="20" t="n">
        <v>28</v>
      </c>
      <c r="E93" s="20" t="n">
        <v>45</v>
      </c>
      <c r="F93" s="20" t="n">
        <v>16</v>
      </c>
      <c r="G93" s="20" t="n">
        <v>25</v>
      </c>
      <c r="H93" s="20" t="n">
        <v>32</v>
      </c>
      <c r="I93" s="20" t="n">
        <v>25</v>
      </c>
      <c r="J93" s="20" t="n">
        <v>35</v>
      </c>
      <c r="K93" s="20" t="n">
        <v>26</v>
      </c>
      <c r="L93" s="20" t="n">
        <v>31</v>
      </c>
      <c r="M93" s="20" t="n">
        <v>24</v>
      </c>
      <c r="N93" s="20" t="n">
        <v>26</v>
      </c>
      <c r="T93" s="20" t="n">
        <v>42</v>
      </c>
      <c r="U93" s="20" t="n">
        <v>48</v>
      </c>
      <c r="V93" s="20" t="n">
        <v>28</v>
      </c>
      <c r="W93" s="20" t="n">
        <v>32</v>
      </c>
      <c r="X93" s="20" t="n">
        <v>31</v>
      </c>
    </row>
    <row r="94">
      <c r="A94" s="18" t="inlineStr">
        <is>
          <t>감가상각비</t>
        </is>
      </c>
      <c r="C94" s="20" t="n">
        <v>817</v>
      </c>
      <c r="D94" s="20" t="n">
        <v>841</v>
      </c>
      <c r="E94" s="20" t="n">
        <v>757</v>
      </c>
      <c r="F94" s="20" t="n">
        <v>786</v>
      </c>
      <c r="G94" s="20" t="n">
        <v>791</v>
      </c>
      <c r="H94" s="20" t="n">
        <v>874</v>
      </c>
      <c r="I94" s="20" t="n">
        <v>747</v>
      </c>
      <c r="J94" s="20" t="n">
        <v>779</v>
      </c>
      <c r="K94" s="20" t="n">
        <v>774</v>
      </c>
      <c r="L94" s="20" t="n">
        <v>806</v>
      </c>
      <c r="M94" s="20" t="n">
        <v>638</v>
      </c>
      <c r="N94" s="20" t="n">
        <v>701</v>
      </c>
      <c r="T94" s="20" t="n">
        <v>749</v>
      </c>
      <c r="U94" s="20" t="n">
        <v>784</v>
      </c>
      <c r="V94" s="20" t="n">
        <v>841</v>
      </c>
      <c r="W94" s="20" t="n">
        <v>874</v>
      </c>
      <c r="X94" s="20" t="n">
        <v>806</v>
      </c>
    </row>
    <row r="95">
      <c r="A95" s="18" t="inlineStr">
        <is>
          <t>기타</t>
        </is>
      </c>
      <c r="C95" s="20" t="n">
        <v>2904</v>
      </c>
      <c r="D95" s="20" t="n">
        <v>-6553</v>
      </c>
      <c r="E95" s="20" t="n">
        <v>3220</v>
      </c>
      <c r="F95" s="20" t="n">
        <v>3847</v>
      </c>
      <c r="G95" s="20" t="n">
        <v>3204</v>
      </c>
      <c r="H95" s="20" t="n">
        <v>-7041</v>
      </c>
      <c r="I95" s="20" t="n">
        <v>3011</v>
      </c>
      <c r="J95" s="20" t="n">
        <v>3515</v>
      </c>
      <c r="K95" s="20" t="n">
        <v>2973</v>
      </c>
      <c r="L95" s="20" t="n">
        <v>-6458</v>
      </c>
      <c r="M95" s="20" t="n">
        <v>2884</v>
      </c>
      <c r="N95" s="20" t="n">
        <v>3345</v>
      </c>
      <c r="T95" s="20" t="n">
        <v>-8512</v>
      </c>
      <c r="U95" s="20" t="n">
        <v>-6235</v>
      </c>
      <c r="V95" s="20" t="n">
        <v>-6553</v>
      </c>
      <c r="W95" s="20" t="n">
        <v>-7041</v>
      </c>
      <c r="X95" s="20" t="n">
        <v>-6458</v>
      </c>
    </row>
    <row r="96">
      <c r="A96" s="18" t="inlineStr">
        <is>
          <t>판매비와 관리비 합계</t>
        </is>
      </c>
      <c r="C96" s="20" t="n">
        <v>6873</v>
      </c>
      <c r="D96" s="20" t="n">
        <v>7105</v>
      </c>
      <c r="E96" s="20" t="n">
        <v>7144</v>
      </c>
      <c r="F96" s="20" t="n">
        <v>7601</v>
      </c>
      <c r="G96" s="20" t="n">
        <v>7124</v>
      </c>
      <c r="H96" s="20" t="n">
        <v>7547</v>
      </c>
      <c r="I96" s="20" t="n">
        <v>6926</v>
      </c>
      <c r="J96" s="20" t="n">
        <v>7315</v>
      </c>
      <c r="K96" s="20" t="n">
        <v>6927</v>
      </c>
      <c r="L96" s="20" t="n">
        <v>7323</v>
      </c>
      <c r="M96" s="20" t="n">
        <v>6597</v>
      </c>
      <c r="N96" s="20" t="n">
        <v>6903</v>
      </c>
      <c r="T96" s="20" t="n">
        <v>7963</v>
      </c>
      <c r="U96" s="20" t="n">
        <v>7247</v>
      </c>
      <c r="V96" s="20" t="n">
        <v>7105</v>
      </c>
      <c r="W96" s="20" t="n">
        <v>7547</v>
      </c>
      <c r="X96" s="20" t="n">
        <v>7323</v>
      </c>
    </row>
    <row r="97">
      <c r="A97" s="9" t="inlineStr">
        <is>
          <t>영업이익</t>
        </is>
      </c>
      <c r="C97" s="12" t="n">
        <v>-91</v>
      </c>
      <c r="D97" s="12" t="n">
        <v>184</v>
      </c>
      <c r="E97" s="12" t="n">
        <v>-408</v>
      </c>
      <c r="F97" s="12" t="n">
        <v>-274</v>
      </c>
      <c r="G97" s="12" t="n">
        <v>-354</v>
      </c>
      <c r="H97" s="12" t="n">
        <v>215</v>
      </c>
      <c r="I97" s="12" t="n">
        <v>249</v>
      </c>
      <c r="J97" s="12" t="n">
        <v>346</v>
      </c>
      <c r="K97" s="12" t="n">
        <v>104</v>
      </c>
      <c r="L97" s="12" t="n">
        <v>443</v>
      </c>
      <c r="M97" s="12" t="n">
        <v>217</v>
      </c>
      <c r="N97" s="12" t="n">
        <v>463</v>
      </c>
      <c r="T97" s="12" t="n">
        <v>489</v>
      </c>
      <c r="U97" s="12" t="n">
        <v>55</v>
      </c>
      <c r="V97" s="12" t="n">
        <v>184</v>
      </c>
      <c r="W97" s="12" t="n">
        <v>215</v>
      </c>
      <c r="X97" s="12" t="n">
        <v>443</v>
      </c>
    </row>
    <row r="98">
      <c r="A98" s="18" t="inlineStr">
        <is>
          <t>이자수익</t>
        </is>
      </c>
      <c r="C98" s="20" t="n">
        <v>1</v>
      </c>
      <c r="D98" s="20" t="n">
        <v>1</v>
      </c>
      <c r="E98" s="20" t="n">
        <v>0</v>
      </c>
      <c r="F98" s="20" t="n">
        <v>2</v>
      </c>
      <c r="G98" s="20" t="n">
        <v>0</v>
      </c>
      <c r="H98" s="20" t="n">
        <v>3</v>
      </c>
      <c r="I98" s="20" t="n">
        <v>1</v>
      </c>
      <c r="J98" s="20" t="n">
        <v>5</v>
      </c>
      <c r="K98" s="20" t="n">
        <v>1</v>
      </c>
      <c r="L98" s="20" t="n">
        <v>6</v>
      </c>
      <c r="M98" s="20" t="n">
        <v>1</v>
      </c>
      <c r="N98" s="20" t="n">
        <v>7</v>
      </c>
      <c r="T98" s="20" t="n">
        <v>0</v>
      </c>
      <c r="U98" s="20" t="n">
        <v>1</v>
      </c>
      <c r="V98" s="20" t="n">
        <v>1</v>
      </c>
      <c r="W98" s="20" t="n">
        <v>3</v>
      </c>
      <c r="X98" s="20" t="n">
        <v>6</v>
      </c>
    </row>
    <row r="99">
      <c r="A99" s="18" t="inlineStr">
        <is>
          <t>배당금수익</t>
        </is>
      </c>
      <c r="C99" s="20" t="n">
        <v>0</v>
      </c>
      <c r="D99" s="20" t="n">
        <v>4</v>
      </c>
      <c r="E99" s="20" t="n">
        <v>4</v>
      </c>
      <c r="F99" s="20" t="n">
        <v>4</v>
      </c>
      <c r="G99" s="20" t="n">
        <v>1</v>
      </c>
      <c r="H99" s="20" t="n">
        <v>3</v>
      </c>
      <c r="I99" s="20" t="n">
        <v>4</v>
      </c>
      <c r="J99" s="20" t="n">
        <v>5</v>
      </c>
      <c r="K99" s="20" t="n">
        <v>1</v>
      </c>
      <c r="L99" s="20" t="n">
        <v>5</v>
      </c>
      <c r="M99" s="20" t="n">
        <v>26</v>
      </c>
      <c r="N99" s="20" t="n">
        <v>8</v>
      </c>
      <c r="T99" s="20" t="n">
        <v>3</v>
      </c>
      <c r="U99" s="20" t="n">
        <v>4</v>
      </c>
      <c r="V99" s="20" t="n">
        <v>4</v>
      </c>
      <c r="W99" s="20" t="n">
        <v>3</v>
      </c>
      <c r="X99" s="20" t="n">
        <v>5</v>
      </c>
    </row>
    <row r="100">
      <c r="A100" s="18" t="inlineStr">
        <is>
          <t>보조금 수입</t>
        </is>
      </c>
      <c r="C100" s="20" t="n">
        <v>0</v>
      </c>
      <c r="D100" s="20" t="n">
        <v>0</v>
      </c>
      <c r="E100" s="20" t="n">
        <v>150</v>
      </c>
      <c r="F100" s="20" t="n">
        <v>0</v>
      </c>
      <c r="G100" s="20" t="n">
        <v>0</v>
      </c>
      <c r="H100" s="20" t="n">
        <v>0</v>
      </c>
      <c r="K100" s="20" t="n">
        <v>0</v>
      </c>
      <c r="L100" s="20" t="n">
        <v>11</v>
      </c>
      <c r="V100" s="20" t="n">
        <v>0</v>
      </c>
      <c r="W100" s="20" t="n">
        <v>0</v>
      </c>
      <c r="X100" s="20" t="n">
        <v>11</v>
      </c>
    </row>
    <row r="101">
      <c r="A101" s="18" t="inlineStr">
        <is>
          <t>데이터 제공료</t>
        </is>
      </c>
      <c r="C101" s="20" t="n">
        <v>6</v>
      </c>
      <c r="E101" s="20" t="n">
        <v>6</v>
      </c>
      <c r="F101" s="20" t="n">
        <v>7</v>
      </c>
      <c r="G101" s="20" t="n">
        <v>6</v>
      </c>
      <c r="I101" s="20" t="n">
        <v>6</v>
      </c>
      <c r="J101" s="20" t="n">
        <v>8</v>
      </c>
      <c r="K101" s="20" t="n">
        <v>7</v>
      </c>
      <c r="M101" s="20" t="n">
        <v>6</v>
      </c>
      <c r="N101" s="20" t="n">
        <v>6</v>
      </c>
    </row>
    <row r="102">
      <c r="A102" s="18" t="inlineStr">
        <is>
          <t>지원금 수입</t>
        </is>
      </c>
      <c r="G102" s="20" t="n">
        <v>0</v>
      </c>
      <c r="H102" s="20" t="n">
        <v>74</v>
      </c>
      <c r="I102" s="20" t="n">
        <v>17</v>
      </c>
      <c r="J102" s="20" t="n">
        <v>16</v>
      </c>
      <c r="K102" s="20" t="n">
        <v>15</v>
      </c>
      <c r="L102" s="20" t="n">
        <v>17</v>
      </c>
      <c r="M102" s="20" t="n">
        <v>16</v>
      </c>
      <c r="N102" s="20" t="n">
        <v>16</v>
      </c>
      <c r="W102" s="20" t="n">
        <v>74</v>
      </c>
      <c r="X102" s="20" t="n">
        <v>17</v>
      </c>
    </row>
    <row r="103">
      <c r="A103" s="18" t="inlineStr">
        <is>
          <t>전자화폐 미사용 이익</t>
        </is>
      </c>
      <c r="C103" s="20" t="n">
        <v>0</v>
      </c>
      <c r="D103" s="20" t="n">
        <v>0</v>
      </c>
      <c r="G103" s="20" t="n">
        <v>-1</v>
      </c>
      <c r="H103" s="20" t="n">
        <v>-1</v>
      </c>
      <c r="K103" s="20" t="n">
        <v>0</v>
      </c>
      <c r="L103" s="20" t="n">
        <v>0</v>
      </c>
      <c r="V103" s="20" t="n">
        <v>0</v>
      </c>
      <c r="W103" s="20" t="n">
        <v>-1</v>
      </c>
      <c r="X103" s="20" t="n">
        <v>0</v>
      </c>
    </row>
    <row r="104">
      <c r="A104" s="18" t="inlineStr">
        <is>
          <t>기타</t>
        </is>
      </c>
      <c r="C104" s="20" t="n">
        <v>21</v>
      </c>
      <c r="D104" s="20" t="n">
        <v>10</v>
      </c>
      <c r="E104" s="20" t="n">
        <v>39</v>
      </c>
      <c r="F104" s="20" t="n">
        <v>44</v>
      </c>
      <c r="G104" s="20" t="n">
        <v>27</v>
      </c>
      <c r="H104" s="20" t="n">
        <v>-42</v>
      </c>
      <c r="I104" s="20" t="n">
        <v>7</v>
      </c>
      <c r="J104" s="20" t="n">
        <v>27</v>
      </c>
      <c r="K104" s="20" t="n">
        <v>26</v>
      </c>
      <c r="L104" s="20" t="n">
        <v>-14</v>
      </c>
      <c r="M104" s="20" t="n">
        <v>28</v>
      </c>
      <c r="N104" s="20" t="n">
        <v>33</v>
      </c>
      <c r="T104" s="20" t="n">
        <v>18</v>
      </c>
      <c r="U104" s="20" t="n">
        <v>147</v>
      </c>
      <c r="V104" s="20" t="n">
        <v>10</v>
      </c>
      <c r="W104" s="20" t="n">
        <v>-42</v>
      </c>
      <c r="X104" s="20" t="n">
        <v>-14</v>
      </c>
    </row>
    <row r="105">
      <c r="A105" s="18" t="inlineStr">
        <is>
          <t>영업외수익 합계</t>
        </is>
      </c>
      <c r="C105" s="20" t="n">
        <v>29</v>
      </c>
      <c r="D105" s="20" t="n">
        <v>29</v>
      </c>
      <c r="E105" s="20" t="n">
        <v>201</v>
      </c>
      <c r="F105" s="20" t="n">
        <v>237</v>
      </c>
      <c r="G105" s="20" t="n">
        <v>33</v>
      </c>
      <c r="H105" s="20" t="n">
        <v>52</v>
      </c>
      <c r="I105" s="20" t="n">
        <v>36</v>
      </c>
      <c r="J105" s="20" t="n">
        <v>62</v>
      </c>
      <c r="K105" s="20" t="n">
        <v>51</v>
      </c>
      <c r="L105" s="20" t="n">
        <v>39</v>
      </c>
      <c r="M105" s="20" t="n">
        <v>78</v>
      </c>
      <c r="N105" s="20" t="n">
        <v>71</v>
      </c>
      <c r="T105" s="20" t="n">
        <v>80</v>
      </c>
      <c r="U105" s="20" t="n">
        <v>168</v>
      </c>
      <c r="V105" s="20" t="n">
        <v>29</v>
      </c>
      <c r="W105" s="20" t="n">
        <v>52</v>
      </c>
      <c r="X105" s="20" t="n">
        <v>39</v>
      </c>
    </row>
    <row r="106">
      <c r="A106" s="18" t="inlineStr">
        <is>
          <t>이자비용</t>
        </is>
      </c>
      <c r="C106" s="20" t="n">
        <v>10</v>
      </c>
      <c r="D106" s="20" t="n">
        <v>9</v>
      </c>
      <c r="E106" s="20" t="n">
        <v>12</v>
      </c>
      <c r="F106" s="20" t="n">
        <v>13</v>
      </c>
      <c r="G106" s="20" t="n">
        <v>15</v>
      </c>
      <c r="H106" s="20" t="n">
        <v>18</v>
      </c>
      <c r="I106" s="20" t="n">
        <v>19</v>
      </c>
      <c r="J106" s="20" t="n">
        <v>17</v>
      </c>
      <c r="K106" s="20" t="n">
        <v>17</v>
      </c>
      <c r="L106" s="20" t="n">
        <v>14</v>
      </c>
      <c r="M106" s="20" t="n">
        <v>17</v>
      </c>
      <c r="N106" s="20" t="n">
        <v>15</v>
      </c>
      <c r="T106" s="20" t="n">
        <v>3</v>
      </c>
      <c r="U106" s="20" t="n">
        <v>5</v>
      </c>
      <c r="V106" s="20" t="n">
        <v>9</v>
      </c>
      <c r="W106" s="20" t="n">
        <v>18</v>
      </c>
      <c r="X106" s="20" t="n">
        <v>14</v>
      </c>
    </row>
    <row r="107">
      <c r="A107" s="18" t="inlineStr">
        <is>
          <t>대손충당금 전입</t>
        </is>
      </c>
      <c r="T107" s="20" t="n">
        <v>0</v>
      </c>
      <c r="U107" s="20" t="n">
        <v>0</v>
      </c>
    </row>
    <row r="108">
      <c r="A108" s="18" t="inlineStr">
        <is>
          <t>위약금</t>
        </is>
      </c>
      <c r="D108" s="20" t="n">
        <v>7</v>
      </c>
      <c r="H108" s="20" t="n">
        <v>0</v>
      </c>
      <c r="U108" s="20" t="n">
        <v>0</v>
      </c>
      <c r="V108" s="20" t="n">
        <v>7</v>
      </c>
      <c r="W108" s="20" t="n">
        <v>0</v>
      </c>
    </row>
    <row r="109">
      <c r="A109" s="18" t="inlineStr">
        <is>
          <t>손해배상금</t>
        </is>
      </c>
      <c r="D109" s="20" t="n">
        <v>0</v>
      </c>
      <c r="H109" s="20" t="n">
        <v>2</v>
      </c>
      <c r="L109" s="20" t="n">
        <v>0</v>
      </c>
      <c r="V109" s="20" t="n">
        <v>0</v>
      </c>
      <c r="W109" s="20" t="n">
        <v>2</v>
      </c>
      <c r="X109" s="20" t="n">
        <v>0</v>
      </c>
    </row>
    <row r="110">
      <c r="A110" s="18" t="inlineStr">
        <is>
          <t>기타</t>
        </is>
      </c>
      <c r="C110" s="20" t="n">
        <v>3</v>
      </c>
      <c r="D110" s="20" t="n">
        <v>3</v>
      </c>
      <c r="E110" s="20" t="n">
        <v>3</v>
      </c>
      <c r="F110" s="20" t="n">
        <v>2</v>
      </c>
      <c r="G110" s="20" t="n">
        <v>11</v>
      </c>
      <c r="H110" s="20" t="n">
        <v>2</v>
      </c>
      <c r="I110" s="20" t="n">
        <v>2</v>
      </c>
      <c r="J110" s="20" t="n">
        <v>5</v>
      </c>
      <c r="K110" s="20" t="n">
        <v>10</v>
      </c>
      <c r="L110" s="20" t="n">
        <v>14</v>
      </c>
      <c r="M110" s="20" t="n">
        <v>4</v>
      </c>
      <c r="N110" s="20" t="n">
        <v>2</v>
      </c>
      <c r="T110" s="20" t="n">
        <v>8</v>
      </c>
      <c r="U110" s="20" t="n">
        <v>14</v>
      </c>
      <c r="V110" s="20" t="n">
        <v>3</v>
      </c>
      <c r="W110" s="20" t="n">
        <v>2</v>
      </c>
      <c r="X110" s="20" t="n">
        <v>14</v>
      </c>
    </row>
    <row r="111">
      <c r="A111" s="18" t="inlineStr">
        <is>
          <t>영업외비용 합계</t>
        </is>
      </c>
      <c r="C111" s="20" t="n">
        <v>24</v>
      </c>
      <c r="D111" s="20" t="n">
        <v>20</v>
      </c>
      <c r="E111" s="20" t="n">
        <v>16</v>
      </c>
      <c r="F111" s="20" t="n">
        <v>14</v>
      </c>
      <c r="G111" s="20" t="n">
        <v>57</v>
      </c>
      <c r="H111" s="20" t="n">
        <v>22</v>
      </c>
      <c r="I111" s="20" t="n">
        <v>22</v>
      </c>
      <c r="J111" s="20" t="n">
        <v>22</v>
      </c>
      <c r="K111" s="20" t="n">
        <v>26</v>
      </c>
      <c r="L111" s="20" t="n">
        <v>29</v>
      </c>
      <c r="M111" s="20" t="n">
        <v>21</v>
      </c>
      <c r="N111" s="20" t="n">
        <v>17</v>
      </c>
      <c r="T111" s="20" t="n">
        <v>64</v>
      </c>
      <c r="U111" s="20" t="n">
        <v>20</v>
      </c>
      <c r="V111" s="20" t="n">
        <v>20</v>
      </c>
      <c r="W111" s="20" t="n">
        <v>22</v>
      </c>
      <c r="X111" s="20" t="n">
        <v>29</v>
      </c>
    </row>
    <row r="112">
      <c r="A112" s="9" t="inlineStr">
        <is>
          <t>경상이익</t>
        </is>
      </c>
      <c r="C112" s="12" t="n">
        <v>-86</v>
      </c>
      <c r="D112" s="12" t="n">
        <v>193</v>
      </c>
      <c r="E112" s="12" t="n">
        <v>-223</v>
      </c>
      <c r="F112" s="12" t="n">
        <v>-52</v>
      </c>
      <c r="G112" s="12" t="n">
        <v>-377</v>
      </c>
      <c r="H112" s="12" t="n">
        <v>245</v>
      </c>
      <c r="I112" s="12" t="n">
        <v>264</v>
      </c>
      <c r="J112" s="12" t="n">
        <v>386</v>
      </c>
      <c r="K112" s="12" t="n">
        <v>128</v>
      </c>
      <c r="L112" s="12" t="n">
        <v>453</v>
      </c>
      <c r="M112" s="12" t="n">
        <v>274</v>
      </c>
      <c r="N112" s="12" t="n">
        <v>516</v>
      </c>
      <c r="T112" s="12" t="n">
        <v>506</v>
      </c>
      <c r="U112" s="12" t="n">
        <v>203</v>
      </c>
      <c r="V112" s="12" t="n">
        <v>193</v>
      </c>
      <c r="W112" s="12" t="n">
        <v>245</v>
      </c>
      <c r="X112" s="12" t="n">
        <v>453</v>
      </c>
    </row>
    <row r="113">
      <c r="A113" s="18" t="inlineStr">
        <is>
          <t>고정자산 매각이익</t>
        </is>
      </c>
      <c r="C113" s="20" t="n">
        <v>0</v>
      </c>
      <c r="D113" s="20" t="n">
        <v>0</v>
      </c>
      <c r="E113" s="20" t="n">
        <v>0</v>
      </c>
      <c r="F113" s="20" t="n">
        <v>0</v>
      </c>
      <c r="G113" s="20" t="n">
        <v>0</v>
      </c>
      <c r="H113" s="20" t="n">
        <v>0</v>
      </c>
      <c r="I113" s="20" t="n">
        <v>0</v>
      </c>
      <c r="J113" s="20" t="n">
        <v>0</v>
      </c>
      <c r="K113" s="20" t="n">
        <v>0</v>
      </c>
      <c r="L113" s="20" t="n">
        <v>1</v>
      </c>
      <c r="M113" s="20" t="n">
        <v>15</v>
      </c>
      <c r="N113" s="20" t="n">
        <v>2</v>
      </c>
      <c r="T113" s="20" t="n">
        <v>0</v>
      </c>
      <c r="U113" s="20" t="n">
        <v>8</v>
      </c>
      <c r="V113" s="20" t="n">
        <v>0</v>
      </c>
      <c r="W113" s="20" t="n">
        <v>0</v>
      </c>
      <c r="X113" s="20" t="n">
        <v>1</v>
      </c>
    </row>
    <row r="114">
      <c r="A114" s="18" t="inlineStr">
        <is>
          <t>자회사 청산이익</t>
        </is>
      </c>
      <c r="G114" s="20" t="n">
        <v>0</v>
      </c>
      <c r="H114" s="20" t="n">
        <v>0</v>
      </c>
      <c r="K114" s="20" t="n">
        <v>0</v>
      </c>
      <c r="L114" s="20" t="n">
        <v>0</v>
      </c>
      <c r="W114" s="20" t="n">
        <v>0</v>
      </c>
      <c r="X114" s="20" t="n">
        <v>0</v>
      </c>
    </row>
    <row r="115">
      <c r="A115" s="18" t="inlineStr">
        <is>
          <t>특별이익 합계</t>
        </is>
      </c>
      <c r="C115" s="20" t="n">
        <v>0</v>
      </c>
      <c r="D115" s="20" t="n">
        <v>3</v>
      </c>
      <c r="E115" s="20" t="n">
        <v>0</v>
      </c>
      <c r="F115" s="20" t="n">
        <v>0</v>
      </c>
      <c r="G115" s="20" t="n">
        <v>0</v>
      </c>
      <c r="H115" s="20" t="n">
        <v>0</v>
      </c>
      <c r="I115" s="20" t="n">
        <v>0</v>
      </c>
      <c r="J115" s="20" t="n">
        <v>26</v>
      </c>
      <c r="K115" s="20" t="n">
        <v>1</v>
      </c>
      <c r="L115" s="20" t="n">
        <v>1242</v>
      </c>
      <c r="M115" s="20" t="n">
        <v>15</v>
      </c>
      <c r="N115" s="20" t="n">
        <v>2</v>
      </c>
      <c r="T115" s="20" t="n">
        <v>0</v>
      </c>
      <c r="U115" s="20" t="n">
        <v>8</v>
      </c>
      <c r="V115" s="20" t="n">
        <v>3</v>
      </c>
      <c r="W115" s="20" t="n">
        <v>0</v>
      </c>
      <c r="X115" s="20" t="n">
        <v>1242</v>
      </c>
    </row>
    <row r="116">
      <c r="A116" s="18" t="inlineStr">
        <is>
          <t>고정자산 매각손실</t>
        </is>
      </c>
      <c r="D116" s="20" t="n">
        <v>0</v>
      </c>
      <c r="G116" s="20" t="n">
        <v>0</v>
      </c>
      <c r="H116" s="20" t="n">
        <v>0</v>
      </c>
      <c r="I116" s="20" t="n">
        <v>0</v>
      </c>
      <c r="J116" s="20" t="n">
        <v>0</v>
      </c>
      <c r="K116" s="20" t="n">
        <v>0</v>
      </c>
      <c r="L116" s="20" t="n">
        <v>0</v>
      </c>
      <c r="M116" s="20" t="n">
        <v>0</v>
      </c>
      <c r="N116" s="20" t="n">
        <v>0</v>
      </c>
      <c r="T116" s="20" t="n">
        <v>0</v>
      </c>
      <c r="U116" s="20" t="n">
        <v>1</v>
      </c>
      <c r="V116" s="20" t="n">
        <v>0</v>
      </c>
      <c r="W116" s="20" t="n">
        <v>0</v>
      </c>
      <c r="X116" s="20" t="n">
        <v>0</v>
      </c>
    </row>
    <row r="117">
      <c r="A117" s="18" t="inlineStr">
        <is>
          <t>고정자산 제각손실</t>
        </is>
      </c>
      <c r="C117" s="20" t="n">
        <v>10</v>
      </c>
      <c r="D117" s="20" t="n">
        <v>36</v>
      </c>
      <c r="E117" s="20" t="n">
        <v>0</v>
      </c>
      <c r="F117" s="20" t="n">
        <v>0</v>
      </c>
      <c r="G117" s="20" t="n">
        <v>28</v>
      </c>
      <c r="H117" s="20" t="n">
        <v>171</v>
      </c>
      <c r="I117" s="20" t="n">
        <v>0</v>
      </c>
      <c r="J117" s="20" t="n">
        <v>7</v>
      </c>
      <c r="K117" s="20" t="n">
        <v>14</v>
      </c>
      <c r="L117" s="20" t="n">
        <v>48</v>
      </c>
      <c r="M117" s="20" t="n">
        <v>0</v>
      </c>
      <c r="N117" s="20" t="n">
        <v>4</v>
      </c>
      <c r="T117" s="20" t="n">
        <v>18</v>
      </c>
      <c r="U117" s="20" t="n">
        <v>13</v>
      </c>
      <c r="V117" s="20" t="n">
        <v>36</v>
      </c>
      <c r="W117" s="20" t="n">
        <v>171</v>
      </c>
      <c r="X117" s="20" t="n">
        <v>48</v>
      </c>
    </row>
    <row r="118">
      <c r="A118" s="18" t="inlineStr">
        <is>
          <t>손상차손</t>
        </is>
      </c>
      <c r="C118" s="20" t="n">
        <v>0</v>
      </c>
      <c r="D118" s="20" t="n">
        <v>406</v>
      </c>
      <c r="T118" s="20" t="n">
        <v>356</v>
      </c>
      <c r="U118" s="20" t="n">
        <v>207</v>
      </c>
      <c r="V118" s="20" t="n">
        <v>406</v>
      </c>
    </row>
    <row r="119">
      <c r="A119" s="18" t="inlineStr">
        <is>
          <t>투자유가증권 평가손실</t>
        </is>
      </c>
      <c r="T119" s="20" t="n">
        <v>-21</v>
      </c>
      <c r="U119" s="20" t="n">
        <v>0</v>
      </c>
    </row>
    <row r="120">
      <c r="A120" s="18" t="inlineStr">
        <is>
          <t>투자유가증권 매각손실</t>
        </is>
      </c>
      <c r="C120" s="20" t="n">
        <v>0</v>
      </c>
    </row>
    <row r="121">
      <c r="A121" s="18" t="inlineStr">
        <is>
          <t>특별손실 합계</t>
        </is>
      </c>
      <c r="C121" s="20" t="n">
        <v>10</v>
      </c>
      <c r="D121" s="20" t="n">
        <v>443</v>
      </c>
      <c r="E121" s="20" t="n">
        <v>0</v>
      </c>
      <c r="F121" s="20" t="n">
        <v>0</v>
      </c>
      <c r="G121" s="20" t="n">
        <v>28</v>
      </c>
      <c r="H121" s="20" t="n">
        <v>1476</v>
      </c>
      <c r="I121" s="20" t="n">
        <v>0</v>
      </c>
      <c r="J121" s="20" t="n">
        <v>7</v>
      </c>
      <c r="K121" s="20" t="n">
        <v>14</v>
      </c>
      <c r="L121" s="20" t="n">
        <v>609</v>
      </c>
      <c r="M121" s="20" t="n">
        <v>0</v>
      </c>
      <c r="N121" s="20" t="n">
        <v>4</v>
      </c>
      <c r="T121" s="20" t="n">
        <v>353</v>
      </c>
      <c r="U121" s="20" t="n">
        <v>237</v>
      </c>
      <c r="V121" s="20" t="n">
        <v>443</v>
      </c>
      <c r="W121" s="20" t="n">
        <v>1476</v>
      </c>
      <c r="X121" s="20" t="n">
        <v>609</v>
      </c>
    </row>
    <row r="122">
      <c r="A122" s="9" t="inlineStr">
        <is>
          <t>법인세차감전 순이익</t>
        </is>
      </c>
      <c r="C122" s="12" t="n">
        <v>-97</v>
      </c>
      <c r="D122" s="12" t="n">
        <v>-247</v>
      </c>
      <c r="E122" s="12" t="n">
        <v>-223</v>
      </c>
      <c r="F122" s="12" t="n">
        <v>-52</v>
      </c>
      <c r="G122" s="12" t="n">
        <v>-405</v>
      </c>
      <c r="H122" s="12" t="n">
        <v>-1231</v>
      </c>
      <c r="I122" s="12" t="n">
        <v>265</v>
      </c>
      <c r="J122" s="12" t="n">
        <v>404</v>
      </c>
      <c r="K122" s="12" t="n">
        <v>115</v>
      </c>
      <c r="L122" s="12" t="n">
        <v>1086</v>
      </c>
      <c r="M122" s="12" t="n">
        <v>290</v>
      </c>
      <c r="N122" s="12" t="n">
        <v>513</v>
      </c>
      <c r="T122" s="12" t="n">
        <v>152</v>
      </c>
      <c r="U122" s="12" t="n">
        <v>-25</v>
      </c>
      <c r="V122" s="12" t="n">
        <v>-247</v>
      </c>
      <c r="W122" s="12" t="n">
        <v>-1231</v>
      </c>
      <c r="X122" s="12" t="n">
        <v>1086</v>
      </c>
    </row>
    <row r="123">
      <c r="A123" s="18" t="inlineStr">
        <is>
          <t>법인세·주민세·사업세</t>
        </is>
      </c>
      <c r="C123" s="20" t="n">
        <v>38</v>
      </c>
      <c r="D123" s="20" t="n">
        <v>-39</v>
      </c>
      <c r="E123" s="20" t="n">
        <v>33</v>
      </c>
      <c r="F123" s="20" t="n">
        <v>6</v>
      </c>
      <c r="G123" s="20" t="n">
        <v>10</v>
      </c>
      <c r="H123" s="20" t="n">
        <v>25</v>
      </c>
      <c r="I123" s="20" t="n">
        <v>102</v>
      </c>
      <c r="J123" s="20" t="n">
        <v>52</v>
      </c>
      <c r="K123" s="20" t="n">
        <v>83</v>
      </c>
      <c r="L123" s="20" t="n">
        <v>-2</v>
      </c>
      <c r="M123" s="20" t="n">
        <v>86</v>
      </c>
      <c r="N123" s="20" t="n">
        <v>67</v>
      </c>
      <c r="T123" s="20" t="n">
        <v>168</v>
      </c>
      <c r="U123" s="20" t="n">
        <v>137</v>
      </c>
      <c r="V123" s="20" t="n">
        <v>-39</v>
      </c>
      <c r="W123" s="20" t="n">
        <v>25</v>
      </c>
      <c r="X123" s="20" t="n">
        <v>-2</v>
      </c>
    </row>
    <row r="124">
      <c r="A124" s="18" t="inlineStr">
        <is>
          <t>법인세 조정액</t>
        </is>
      </c>
      <c r="C124" s="20" t="n">
        <v>-36</v>
      </c>
      <c r="D124" s="20" t="n">
        <v>267</v>
      </c>
      <c r="E124" s="20" t="n">
        <v>-71</v>
      </c>
      <c r="F124" s="20" t="n">
        <v>812</v>
      </c>
      <c r="G124" s="20" t="n">
        <v>-120</v>
      </c>
      <c r="H124" s="20" t="n">
        <v>10</v>
      </c>
      <c r="I124" s="20" t="n">
        <v>-8</v>
      </c>
      <c r="J124" s="20" t="n">
        <v>-231</v>
      </c>
      <c r="K124" s="20" t="n">
        <v>-74</v>
      </c>
      <c r="L124" s="20" t="n">
        <v>711</v>
      </c>
      <c r="M124" s="20" t="n">
        <v>-94</v>
      </c>
      <c r="N124" s="20" t="n">
        <v>87</v>
      </c>
      <c r="T124" s="20" t="n">
        <v>-10</v>
      </c>
      <c r="U124" s="20" t="n">
        <v>14</v>
      </c>
      <c r="V124" s="20" t="n">
        <v>267</v>
      </c>
      <c r="W124" s="20" t="n">
        <v>10</v>
      </c>
      <c r="X124" s="20" t="n">
        <v>711</v>
      </c>
    </row>
    <row r="125">
      <c r="A125" s="18" t="inlineStr">
        <is>
          <t>법인세 등 합계</t>
        </is>
      </c>
      <c r="C125" s="20" t="n">
        <v>2</v>
      </c>
      <c r="D125" s="20" t="n">
        <v>228</v>
      </c>
      <c r="E125" s="20" t="n">
        <v>-37</v>
      </c>
      <c r="F125" s="20" t="n">
        <v>817</v>
      </c>
      <c r="G125" s="20" t="n">
        <v>-110</v>
      </c>
      <c r="H125" s="20" t="n">
        <v>36</v>
      </c>
      <c r="I125" s="20" t="n">
        <v>93</v>
      </c>
      <c r="J125" s="20" t="n">
        <v>-178</v>
      </c>
      <c r="K125" s="20" t="n">
        <v>9</v>
      </c>
      <c r="L125" s="20" t="n">
        <v>709</v>
      </c>
      <c r="M125" s="20" t="n">
        <v>-8</v>
      </c>
      <c r="N125" s="20" t="n">
        <v>154</v>
      </c>
      <c r="T125" s="20" t="n">
        <v>158</v>
      </c>
      <c r="U125" s="20" t="n">
        <v>151</v>
      </c>
      <c r="V125" s="20" t="n">
        <v>228</v>
      </c>
      <c r="W125" s="20" t="n">
        <v>36</v>
      </c>
      <c r="X125" s="20" t="n">
        <v>709</v>
      </c>
    </row>
    <row r="126">
      <c r="A126" s="9" t="inlineStr">
        <is>
          <t>순이익</t>
        </is>
      </c>
      <c r="C126" s="12" t="n">
        <v>-98</v>
      </c>
      <c r="D126" s="12" t="n">
        <v>-475</v>
      </c>
      <c r="E126" s="12" t="n">
        <v>-186</v>
      </c>
      <c r="F126" s="12" t="n">
        <v>-870</v>
      </c>
      <c r="G126" s="12" t="n">
        <v>-295</v>
      </c>
      <c r="H126" s="12" t="n">
        <v>-1266</v>
      </c>
      <c r="I126" s="12" t="n">
        <v>171</v>
      </c>
      <c r="J126" s="12" t="n">
        <v>584</v>
      </c>
      <c r="K126" s="12" t="n">
        <v>105</v>
      </c>
      <c r="L126" s="12" t="n">
        <v>377</v>
      </c>
      <c r="M126" s="12" t="n">
        <v>298</v>
      </c>
      <c r="N126" s="12" t="n">
        <v>359</v>
      </c>
      <c r="T126" s="12" t="n">
        <v>-6</v>
      </c>
      <c r="U126" s="12" t="n">
        <v>-177</v>
      </c>
      <c r="V126" s="12" t="n">
        <v>-475</v>
      </c>
      <c r="W126" s="12" t="n">
        <v>-1266</v>
      </c>
      <c r="X126" s="12" t="n">
        <v>377</v>
      </c>
    </row>
    <row r="127">
      <c r="A127" s="9" t="inlineStr">
        <is>
          <t>지배주주 순이익</t>
        </is>
      </c>
      <c r="C127" s="12" t="n">
        <v>-98</v>
      </c>
      <c r="D127" s="12" t="n">
        <v>-475</v>
      </c>
      <c r="E127" s="12" t="n">
        <v>-186</v>
      </c>
      <c r="F127" s="12" t="n">
        <v>-870</v>
      </c>
      <c r="G127" s="12" t="n">
        <v>-295</v>
      </c>
      <c r="H127" s="12" t="n">
        <v>-1266</v>
      </c>
      <c r="I127" s="12" t="n">
        <v>171</v>
      </c>
      <c r="J127" s="12" t="n">
        <v>584</v>
      </c>
      <c r="K127" s="12" t="n">
        <v>105</v>
      </c>
      <c r="L127" s="12" t="n">
        <v>377</v>
      </c>
      <c r="M127" s="12" t="n">
        <v>298</v>
      </c>
      <c r="N127" s="12" t="n">
        <v>359</v>
      </c>
      <c r="T127" s="12" t="n">
        <v>-6</v>
      </c>
      <c r="U127" s="12" t="n">
        <v>-177</v>
      </c>
      <c r="V127" s="12" t="n">
        <v>-475</v>
      </c>
      <c r="W127" s="12" t="n">
        <v>-1266</v>
      </c>
      <c r="X127" s="12" t="n">
        <v>377</v>
      </c>
    </row>
    <row r="129">
      <c r="A129" s="16" t="inlineStr">
        <is>
          <t>포괄손익 · 전 항목</t>
        </is>
      </c>
      <c r="B129" s="42" t="inlineStr">
        <is>
          <t>분기 = 3개월 단독</t>
        </is>
      </c>
      <c r="C129" s="16" t="n"/>
      <c r="D129" s="16" t="n"/>
      <c r="E129" s="16" t="n"/>
      <c r="F129" s="16" t="n"/>
      <c r="G129" s="16" t="n"/>
      <c r="H129" s="16" t="n"/>
      <c r="I129" s="16" t="n"/>
      <c r="J129" s="16" t="n"/>
      <c r="K129" s="16" t="n"/>
      <c r="L129" s="16" t="n"/>
      <c r="M129" s="16" t="n"/>
      <c r="N129" s="16" t="n"/>
      <c r="O129" s="16" t="n"/>
      <c r="P129" s="16" t="n"/>
      <c r="Q129" s="16" t="n"/>
      <c r="R129" s="16" t="n"/>
      <c r="S129" s="16" t="n"/>
      <c r="T129" s="16" t="n"/>
      <c r="U129" s="16" t="n"/>
      <c r="V129" s="16" t="n"/>
      <c r="W129" s="16" t="n"/>
      <c r="X129" s="16" t="n"/>
      <c r="Y129" s="16" t="n"/>
      <c r="Z129" s="16" t="n"/>
      <c r="AA129" s="16" t="n"/>
      <c r="AB129" s="16" t="n"/>
      <c r="AC129" s="16" t="n"/>
    </row>
    <row r="130">
      <c r="A130" s="5" t="inlineStr">
        <is>
          <t>항목</t>
        </is>
      </c>
      <c r="B130" s="5" t="inlineStr">
        <is>
          <t>참고</t>
        </is>
      </c>
      <c r="C130" s="5" t="inlineStr">
        <is>
          <t>2024.3Q</t>
        </is>
      </c>
      <c r="D130" s="5" t="inlineStr">
        <is>
          <t>2024.4Q</t>
        </is>
      </c>
      <c r="E130" s="5" t="inlineStr">
        <is>
          <t>2025.1Q</t>
        </is>
      </c>
      <c r="F130" s="5" t="inlineStr">
        <is>
          <t>2025.2Q</t>
        </is>
      </c>
      <c r="G130" s="5" t="inlineStr">
        <is>
          <t>2025.3Q</t>
        </is>
      </c>
      <c r="H130" s="5" t="inlineStr">
        <is>
          <t>2025.4Q</t>
        </is>
      </c>
      <c r="I130" s="5" t="inlineStr">
        <is>
          <t>2026.1Q</t>
        </is>
      </c>
      <c r="J130" s="5" t="inlineStr">
        <is>
          <t>2026.2Q</t>
        </is>
      </c>
      <c r="K130" s="5" t="inlineStr">
        <is>
          <t>2026.3Q</t>
        </is>
      </c>
      <c r="L130" s="5" t="inlineStr">
        <is>
          <t>2026.4Q</t>
        </is>
      </c>
      <c r="M130" s="5" t="inlineStr">
        <is>
          <t>2027.1Q</t>
        </is>
      </c>
      <c r="N130" s="5" t="inlineStr">
        <is>
          <t>2027.2Q</t>
        </is>
      </c>
      <c r="O130" s="5" t="inlineStr">
        <is>
          <t>2017</t>
        </is>
      </c>
      <c r="P130" s="5" t="inlineStr">
        <is>
          <t>2018</t>
        </is>
      </c>
      <c r="Q130" s="5" t="inlineStr">
        <is>
          <t>2019</t>
        </is>
      </c>
      <c r="R130" s="5" t="inlineStr">
        <is>
          <t>2020</t>
        </is>
      </c>
      <c r="S130" s="5" t="inlineStr">
        <is>
          <t>2021</t>
        </is>
      </c>
      <c r="T130" s="5" t="inlineStr">
        <is>
          <t>2022</t>
        </is>
      </c>
      <c r="U130" s="5" t="inlineStr">
        <is>
          <t>2023</t>
        </is>
      </c>
      <c r="V130" s="5" t="inlineStr">
        <is>
          <t>2024</t>
        </is>
      </c>
      <c r="W130" s="5" t="inlineStr">
        <is>
          <t>2025</t>
        </is>
      </c>
      <c r="X130" s="5" t="inlineStr">
        <is>
          <t>2026</t>
        </is>
      </c>
      <c r="Y130" s="5" t="inlineStr">
        <is>
          <t>2027(MW)</t>
        </is>
      </c>
      <c r="Z130" s="5" t="inlineStr">
        <is>
          <t>2028(MW)</t>
        </is>
      </c>
      <c r="AA130" s="5" t="inlineStr">
        <is>
          <t>2029(MW)</t>
        </is>
      </c>
      <c r="AB130" s="5" t="inlineStr">
        <is>
          <t>2030(MW)</t>
        </is>
      </c>
      <c r="AC130" s="5" t="inlineStr">
        <is>
          <t>2031(MW)</t>
        </is>
      </c>
    </row>
    <row r="131">
      <c r="A131" s="9" t="inlineStr">
        <is>
          <t>순이익</t>
        </is>
      </c>
      <c r="C131" s="12" t="n">
        <v>-98</v>
      </c>
      <c r="D131" s="12" t="n">
        <v>-475</v>
      </c>
      <c r="E131" s="12" t="n">
        <v>-186</v>
      </c>
      <c r="F131" s="12" t="n">
        <v>-870</v>
      </c>
      <c r="G131" s="12" t="n">
        <v>-295</v>
      </c>
      <c r="H131" s="12" t="n">
        <v>-1266</v>
      </c>
      <c r="I131" s="12" t="n">
        <v>171</v>
      </c>
      <c r="J131" s="12" t="n">
        <v>584</v>
      </c>
      <c r="K131" s="12" t="n">
        <v>105</v>
      </c>
      <c r="L131" s="12" t="n">
        <v>377</v>
      </c>
      <c r="M131" s="12" t="n">
        <v>298</v>
      </c>
      <c r="N131" s="12" t="n">
        <v>359</v>
      </c>
      <c r="T131" s="12" t="n">
        <v>-6</v>
      </c>
      <c r="U131" s="12" t="n">
        <v>-177</v>
      </c>
      <c r="V131" s="12" t="n">
        <v>-475</v>
      </c>
      <c r="W131" s="12" t="n">
        <v>-1266</v>
      </c>
      <c r="X131" s="12" t="n">
        <v>377</v>
      </c>
    </row>
    <row r="132">
      <c r="A132" s="18" t="inlineStr">
        <is>
          <t>기타유가증권 평가차액</t>
        </is>
      </c>
      <c r="C132" s="20" t="n">
        <v>5</v>
      </c>
      <c r="D132" s="20" t="n">
        <v>20</v>
      </c>
      <c r="E132" s="20" t="n">
        <v>6</v>
      </c>
      <c r="F132" s="20" t="n">
        <v>-13</v>
      </c>
      <c r="G132" s="20" t="n">
        <v>-6</v>
      </c>
      <c r="H132" s="20" t="n">
        <v>25</v>
      </c>
      <c r="I132" s="20" t="n">
        <v>16</v>
      </c>
      <c r="J132" s="20" t="n">
        <v>22</v>
      </c>
      <c r="K132" s="20" t="n">
        <v>42</v>
      </c>
      <c r="L132" s="20" t="n">
        <v>100</v>
      </c>
      <c r="M132" s="20" t="n">
        <v>5</v>
      </c>
      <c r="N132" s="20" t="n">
        <v>121</v>
      </c>
      <c r="T132" s="20" t="n">
        <v>5</v>
      </c>
      <c r="U132" s="20" t="n">
        <v>16</v>
      </c>
      <c r="V132" s="20" t="n">
        <v>20</v>
      </c>
      <c r="W132" s="20" t="n">
        <v>25</v>
      </c>
      <c r="X132" s="20" t="n">
        <v>100</v>
      </c>
    </row>
    <row r="133">
      <c r="A133" s="18" t="inlineStr">
        <is>
          <t>퇴직급여 조정액</t>
        </is>
      </c>
      <c r="C133" s="20" t="n">
        <v>-1</v>
      </c>
      <c r="D133" s="20" t="n">
        <v>18</v>
      </c>
      <c r="E133" s="20" t="n">
        <v>-1</v>
      </c>
      <c r="F133" s="20" t="n">
        <v>-1</v>
      </c>
      <c r="G133" s="20" t="n">
        <v>-1</v>
      </c>
      <c r="H133" s="20" t="n">
        <v>1</v>
      </c>
      <c r="I133" s="20" t="n">
        <v>-1</v>
      </c>
      <c r="J133" s="20" t="n">
        <v>-1</v>
      </c>
      <c r="K133" s="20" t="n">
        <v>-1</v>
      </c>
      <c r="L133" s="20" t="n">
        <v>46</v>
      </c>
      <c r="M133" s="20" t="n">
        <v>-1</v>
      </c>
      <c r="N133" s="20" t="n">
        <v>-6</v>
      </c>
      <c r="T133" s="20" t="n">
        <v>6</v>
      </c>
      <c r="U133" s="20" t="n">
        <v>-6</v>
      </c>
      <c r="V133" s="20" t="n">
        <v>18</v>
      </c>
      <c r="W133" s="20" t="n">
        <v>1</v>
      </c>
      <c r="X133" s="20" t="n">
        <v>46</v>
      </c>
    </row>
    <row r="134">
      <c r="A134" s="18" t="inlineStr">
        <is>
          <t>기타포괄손익 합계</t>
        </is>
      </c>
      <c r="C134" s="20" t="n">
        <v>5</v>
      </c>
      <c r="D134" s="20" t="n">
        <v>39</v>
      </c>
      <c r="E134" s="20" t="n">
        <v>5</v>
      </c>
      <c r="F134" s="20" t="n">
        <v>-15</v>
      </c>
      <c r="G134" s="20" t="n">
        <v>-6</v>
      </c>
      <c r="H134" s="20" t="n">
        <v>26</v>
      </c>
      <c r="I134" s="20" t="n">
        <v>15</v>
      </c>
      <c r="J134" s="20" t="n">
        <v>20</v>
      </c>
      <c r="K134" s="20" t="n">
        <v>41</v>
      </c>
      <c r="L134" s="20" t="n">
        <v>148</v>
      </c>
      <c r="M134" s="20" t="n">
        <v>3</v>
      </c>
      <c r="N134" s="20" t="n">
        <v>115</v>
      </c>
      <c r="T134" s="20" t="n">
        <v>12</v>
      </c>
      <c r="U134" s="20" t="n">
        <v>11</v>
      </c>
      <c r="V134" s="20" t="n">
        <v>39</v>
      </c>
      <c r="W134" s="20" t="n">
        <v>26</v>
      </c>
      <c r="X134" s="20" t="n">
        <v>148</v>
      </c>
    </row>
    <row r="135">
      <c r="A135" s="9" t="inlineStr">
        <is>
          <t>포괄이익</t>
        </is>
      </c>
      <c r="C135" s="12" t="n">
        <v>-94</v>
      </c>
      <c r="D135" s="12" t="n">
        <v>-436</v>
      </c>
      <c r="E135" s="12" t="n">
        <v>-180</v>
      </c>
      <c r="F135" s="12" t="n">
        <v>-886</v>
      </c>
      <c r="G135" s="12" t="n">
        <v>-302</v>
      </c>
      <c r="H135" s="12" t="n">
        <v>-1239</v>
      </c>
      <c r="I135" s="12" t="n">
        <v>186</v>
      </c>
      <c r="J135" s="12" t="n">
        <v>605</v>
      </c>
      <c r="K135" s="12" t="n">
        <v>146</v>
      </c>
      <c r="L135" s="12" t="n">
        <v>524</v>
      </c>
      <c r="M135" s="12" t="n">
        <v>302</v>
      </c>
      <c r="N135" s="12" t="n">
        <v>474</v>
      </c>
      <c r="T135" s="12" t="n">
        <v>7</v>
      </c>
      <c r="U135" s="12" t="n">
        <v>-167</v>
      </c>
      <c r="V135" s="12" t="n">
        <v>-436</v>
      </c>
      <c r="W135" s="12" t="n">
        <v>-1239</v>
      </c>
      <c r="X135" s="12" t="n">
        <v>524</v>
      </c>
    </row>
    <row r="136">
      <c r="A136" s="9" t="inlineStr">
        <is>
          <t>지배주주 포괄이익</t>
        </is>
      </c>
      <c r="C136" s="12" t="n">
        <v>-94</v>
      </c>
      <c r="D136" s="12" t="n">
        <v>-436</v>
      </c>
      <c r="E136" s="12" t="n">
        <v>-180</v>
      </c>
      <c r="F136" s="12" t="n">
        <v>-886</v>
      </c>
      <c r="G136" s="12" t="n">
        <v>-302</v>
      </c>
      <c r="H136" s="12" t="n">
        <v>-1239</v>
      </c>
      <c r="I136" s="12" t="n">
        <v>186</v>
      </c>
      <c r="J136" s="12" t="n">
        <v>605</v>
      </c>
      <c r="K136" s="12" t="n">
        <v>146</v>
      </c>
      <c r="L136" s="12" t="n">
        <v>524</v>
      </c>
      <c r="M136" s="12" t="n">
        <v>302</v>
      </c>
      <c r="N136" s="12" t="n">
        <v>474</v>
      </c>
      <c r="T136" s="12" t="n">
        <v>7</v>
      </c>
      <c r="U136" s="12" t="n">
        <v>-167</v>
      </c>
      <c r="V136" s="12" t="n">
        <v>-436</v>
      </c>
      <c r="W136" s="12" t="n">
        <v>-1239</v>
      </c>
      <c r="X136" s="12" t="n">
        <v>524</v>
      </c>
    </row>
    <row r="137">
      <c r="A137" s="9" t="inlineStr">
        <is>
          <t>비지배주주 포괄이익</t>
        </is>
      </c>
      <c r="C137" s="12" t="n">
        <v>0</v>
      </c>
      <c r="D137" s="12" t="n">
        <v>0</v>
      </c>
      <c r="E137" s="12" t="n">
        <v>0</v>
      </c>
      <c r="F137" s="12" t="n">
        <v>0</v>
      </c>
      <c r="G137" s="12" t="n">
        <v>0</v>
      </c>
      <c r="H137" s="12" t="n">
        <v>0</v>
      </c>
      <c r="T137" s="12" t="n">
        <v>0</v>
      </c>
      <c r="U137" s="12" t="n">
        <v>0</v>
      </c>
      <c r="V137" s="12" t="n">
        <v>0</v>
      </c>
      <c r="W137" s="12" t="n">
        <v>0</v>
      </c>
    </row>
    <row r="139">
      <c r="A139" s="16" t="inlineStr">
        <is>
          <t>부문 · 전 항목</t>
        </is>
      </c>
      <c r="B139" s="42" t="inlineStr">
        <is>
          <t>부문 · 항목</t>
        </is>
      </c>
      <c r="C139" s="16" t="n"/>
      <c r="D139" s="16" t="n"/>
      <c r="E139" s="16" t="n"/>
      <c r="F139" s="16" t="n"/>
      <c r="G139" s="16" t="n"/>
      <c r="H139" s="16" t="n"/>
      <c r="I139" s="16" t="n"/>
      <c r="J139" s="16" t="n"/>
      <c r="K139" s="16" t="n"/>
      <c r="L139" s="16" t="n"/>
      <c r="M139" s="16" t="n"/>
      <c r="N139" s="16" t="n"/>
      <c r="O139" s="16" t="n"/>
      <c r="P139" s="16" t="n"/>
      <c r="Q139" s="16" t="n"/>
      <c r="R139" s="16" t="n"/>
      <c r="S139" s="16" t="n"/>
      <c r="T139" s="16" t="n"/>
      <c r="U139" s="16" t="n"/>
      <c r="V139" s="16" t="n"/>
      <c r="W139" s="16" t="n"/>
      <c r="X139" s="16" t="n"/>
      <c r="Y139" s="16" t="n"/>
      <c r="Z139" s="16" t="n"/>
      <c r="AA139" s="16" t="n"/>
      <c r="AB139" s="16" t="n"/>
      <c r="AC139" s="16" t="n"/>
    </row>
    <row r="140">
      <c r="A140" s="5" t="inlineStr">
        <is>
          <t>항목</t>
        </is>
      </c>
      <c r="B140" s="5" t="inlineStr">
        <is>
          <t>참고</t>
        </is>
      </c>
      <c r="C140" s="5" t="inlineStr">
        <is>
          <t>2024.3Q</t>
        </is>
      </c>
      <c r="D140" s="5" t="inlineStr">
        <is>
          <t>2024.4Q</t>
        </is>
      </c>
      <c r="E140" s="5" t="inlineStr">
        <is>
          <t>2025.1Q</t>
        </is>
      </c>
      <c r="F140" s="5" t="inlineStr">
        <is>
          <t>2025.2Q</t>
        </is>
      </c>
      <c r="G140" s="5" t="inlineStr">
        <is>
          <t>2025.3Q</t>
        </is>
      </c>
      <c r="H140" s="5" t="inlineStr">
        <is>
          <t>2025.4Q</t>
        </is>
      </c>
      <c r="I140" s="5" t="inlineStr">
        <is>
          <t>2026.1Q</t>
        </is>
      </c>
      <c r="J140" s="5" t="inlineStr">
        <is>
          <t>2026.2Q</t>
        </is>
      </c>
      <c r="K140" s="5" t="inlineStr">
        <is>
          <t>2026.3Q</t>
        </is>
      </c>
      <c r="L140" s="5" t="inlineStr">
        <is>
          <t>2026.4Q</t>
        </is>
      </c>
      <c r="M140" s="5" t="inlineStr">
        <is>
          <t>2027.1Q</t>
        </is>
      </c>
      <c r="N140" s="5" t="inlineStr">
        <is>
          <t>2027.2Q</t>
        </is>
      </c>
      <c r="O140" s="5" t="inlineStr">
        <is>
          <t>2017</t>
        </is>
      </c>
      <c r="P140" s="5" t="inlineStr">
        <is>
          <t>2018</t>
        </is>
      </c>
      <c r="Q140" s="5" t="inlineStr">
        <is>
          <t>2019</t>
        </is>
      </c>
      <c r="R140" s="5" t="inlineStr">
        <is>
          <t>2020</t>
        </is>
      </c>
      <c r="S140" s="5" t="inlineStr">
        <is>
          <t>2021</t>
        </is>
      </c>
      <c r="T140" s="5" t="inlineStr">
        <is>
          <t>2022</t>
        </is>
      </c>
      <c r="U140" s="5" t="inlineStr">
        <is>
          <t>2023</t>
        </is>
      </c>
      <c r="V140" s="5" t="inlineStr">
        <is>
          <t>2024</t>
        </is>
      </c>
      <c r="W140" s="5" t="inlineStr">
        <is>
          <t>2025</t>
        </is>
      </c>
      <c r="X140" s="5" t="inlineStr">
        <is>
          <t>2026</t>
        </is>
      </c>
      <c r="Y140" s="5" t="inlineStr">
        <is>
          <t>2027(MW)</t>
        </is>
      </c>
      <c r="Z140" s="5" t="inlineStr">
        <is>
          <t>2028(MW)</t>
        </is>
      </c>
      <c r="AA140" s="5" t="inlineStr">
        <is>
          <t>2029(MW)</t>
        </is>
      </c>
      <c r="AB140" s="5" t="inlineStr">
        <is>
          <t>2030(MW)</t>
        </is>
      </c>
      <c r="AC140" s="5" t="inlineStr">
        <is>
          <t>2031(MW)</t>
        </is>
      </c>
    </row>
    <row r="141">
      <c r="A141" s="18" t="inlineStr">
        <is>
          <t>슈퍼마켓 사업 · 외부 고객 매출</t>
        </is>
      </c>
      <c r="C141" s="20" t="n">
        <v>22037</v>
      </c>
      <c r="D141" s="20" t="n">
        <v>22782</v>
      </c>
      <c r="G141" s="20" t="n">
        <v>21793</v>
      </c>
      <c r="H141" s="20" t="n">
        <v>23429</v>
      </c>
      <c r="I141" s="20" t="n">
        <v>22812</v>
      </c>
      <c r="J141" s="20" t="n">
        <v>23629</v>
      </c>
      <c r="K141" s="20" t="n">
        <v>22362</v>
      </c>
      <c r="L141" s="20" t="n">
        <v>23530</v>
      </c>
      <c r="M141" s="20" t="n">
        <v>21474</v>
      </c>
      <c r="N141" s="20" t="n">
        <v>21710</v>
      </c>
      <c r="V141" s="20" t="n">
        <v>22782</v>
      </c>
      <c r="W141" s="20" t="n">
        <v>23429</v>
      </c>
      <c r="X141" s="20" t="n">
        <v>23530</v>
      </c>
    </row>
    <row r="142">
      <c r="A142" s="18" t="inlineStr">
        <is>
          <t>드럭스토어 사업 · 외부 고객 매출</t>
        </is>
      </c>
      <c r="C142" s="20" t="n">
        <v>3232</v>
      </c>
      <c r="D142" s="20" t="n">
        <v>3186</v>
      </c>
      <c r="G142" s="20" t="n">
        <v>3133</v>
      </c>
      <c r="H142" s="20" t="n">
        <v>3243</v>
      </c>
      <c r="I142" s="20" t="n">
        <v>3245</v>
      </c>
      <c r="J142" s="20" t="n">
        <v>3379</v>
      </c>
      <c r="K142" s="20" t="n">
        <v>3185</v>
      </c>
      <c r="L142" s="20" t="n">
        <v>3261</v>
      </c>
      <c r="M142" s="20" t="n">
        <v>3396</v>
      </c>
      <c r="N142" s="20" t="n">
        <v>3361</v>
      </c>
      <c r="V142" s="20" t="n">
        <v>3186</v>
      </c>
      <c r="W142" s="20" t="n">
        <v>3243</v>
      </c>
      <c r="X142" s="20" t="n">
        <v>3261</v>
      </c>
    </row>
    <row r="143">
      <c r="A143" s="18" t="inlineStr">
        <is>
          <t>식품 제조 사업 · 외부 고객 매출</t>
        </is>
      </c>
      <c r="G143" s="20" t="n">
        <v>1</v>
      </c>
      <c r="H143" s="20" t="n">
        <v>2</v>
      </c>
      <c r="I143" s="20" t="n">
        <v>5</v>
      </c>
      <c r="J143" s="20" t="n">
        <v>11</v>
      </c>
      <c r="K143" s="20" t="n">
        <v>7</v>
      </c>
      <c r="L143" s="20" t="n">
        <v>-21</v>
      </c>
      <c r="M143" s="20" t="n">
        <v>0</v>
      </c>
      <c r="N143" s="20" t="n">
        <v>2</v>
      </c>
      <c r="W143" s="20" t="n">
        <v>2</v>
      </c>
      <c r="X143" s="20" t="n">
        <v>-21</v>
      </c>
    </row>
    <row r="144">
      <c r="A144" s="18" t="inlineStr">
        <is>
          <t>합계 · 외부 고객 매출</t>
        </is>
      </c>
      <c r="C144" s="20" t="n">
        <v>25272</v>
      </c>
      <c r="D144" s="20" t="n">
        <v>25969</v>
      </c>
      <c r="G144" s="20" t="n">
        <v>24927</v>
      </c>
      <c r="H144" s="20" t="n">
        <v>26673</v>
      </c>
      <c r="V144" s="20" t="n">
        <v>25969</v>
      </c>
      <c r="W144" s="20" t="n">
        <v>26673</v>
      </c>
    </row>
    <row r="145">
      <c r="A145" s="18" t="inlineStr">
        <is>
          <t>보고부문 합계 · 외부 고객 매출</t>
        </is>
      </c>
      <c r="C145" s="20" t="n">
        <v>25268</v>
      </c>
      <c r="G145" s="20" t="n">
        <v>24927</v>
      </c>
      <c r="I145" s="20" t="n">
        <v>26063</v>
      </c>
      <c r="J145" s="20" t="n">
        <v>27020</v>
      </c>
      <c r="K145" s="20" t="n">
        <v>25554</v>
      </c>
      <c r="M145" s="20" t="n">
        <v>24871</v>
      </c>
      <c r="N145" s="20" t="n">
        <v>25073</v>
      </c>
    </row>
    <row r="146">
      <c r="A146" s="18" t="inlineStr">
        <is>
          <t>기타 · 외부 고객 매출</t>
        </is>
      </c>
      <c r="C146" s="20" t="n">
        <v>3</v>
      </c>
      <c r="G146" s="20" t="n">
        <v>1</v>
      </c>
    </row>
    <row r="147">
      <c r="A147" s="18" t="inlineStr">
        <is>
          <t>조정액 · 외부 고객 매출</t>
        </is>
      </c>
      <c r="C147" s="20" t="n">
        <v>0</v>
      </c>
      <c r="D147" s="20" t="n">
        <v>0</v>
      </c>
      <c r="G147" s="20" t="n">
        <v>0</v>
      </c>
      <c r="H147" s="20" t="n">
        <v>0</v>
      </c>
      <c r="I147" s="20" t="n">
        <v>0</v>
      </c>
      <c r="J147" s="20" t="n">
        <v>0</v>
      </c>
      <c r="K147" s="20" t="n">
        <v>0</v>
      </c>
      <c r="L147" s="20" t="n">
        <v>0</v>
      </c>
      <c r="M147" s="20" t="n">
        <v>0</v>
      </c>
      <c r="N147" s="20" t="n">
        <v>0</v>
      </c>
      <c r="V147" s="20" t="n">
        <v>0</v>
      </c>
      <c r="W147" s="20" t="n">
        <v>0</v>
      </c>
      <c r="X147" s="20" t="n">
        <v>0</v>
      </c>
    </row>
    <row r="148">
      <c r="A148" s="9" t="inlineStr">
        <is>
          <t>외부 고객 매출</t>
        </is>
      </c>
      <c r="C148" s="12" t="n">
        <v>25272</v>
      </c>
      <c r="D148" s="12" t="n">
        <v>25969</v>
      </c>
      <c r="G148" s="12" t="n">
        <v>24927</v>
      </c>
      <c r="H148" s="12" t="n">
        <v>26673</v>
      </c>
      <c r="I148" s="12" t="n">
        <v>26063</v>
      </c>
      <c r="J148" s="12" t="n">
        <v>27020</v>
      </c>
      <c r="K148" s="12" t="n">
        <v>25554</v>
      </c>
      <c r="L148" s="12" t="n">
        <v>26768</v>
      </c>
      <c r="M148" s="12" t="n">
        <v>24871</v>
      </c>
      <c r="N148" s="12" t="n">
        <v>25073</v>
      </c>
      <c r="V148" s="12" t="n">
        <v>25969</v>
      </c>
      <c r="W148" s="12" t="n">
        <v>26673</v>
      </c>
      <c r="X148" s="12" t="n">
        <v>26768</v>
      </c>
    </row>
    <row r="149">
      <c r="A149" s="18" t="inlineStr">
        <is>
          <t>슈퍼마켓 사업 · 부문 간 내부매출·대체</t>
        </is>
      </c>
      <c r="C149" s="20" t="n">
        <v>149</v>
      </c>
      <c r="D149" s="20" t="n">
        <v>147</v>
      </c>
      <c r="G149" s="20" t="n">
        <v>146</v>
      </c>
      <c r="H149" s="20" t="n">
        <v>147</v>
      </c>
      <c r="I149" s="20" t="n">
        <v>146</v>
      </c>
      <c r="J149" s="20" t="n">
        <v>143</v>
      </c>
      <c r="K149" s="20" t="n">
        <v>144</v>
      </c>
      <c r="L149" s="20" t="n">
        <v>155</v>
      </c>
      <c r="M149" s="20" t="n">
        <v>141</v>
      </c>
      <c r="N149" s="20" t="n">
        <v>140</v>
      </c>
      <c r="V149" s="20" t="n">
        <v>147</v>
      </c>
      <c r="W149" s="20" t="n">
        <v>147</v>
      </c>
      <c r="X149" s="20" t="n">
        <v>155</v>
      </c>
    </row>
    <row r="150">
      <c r="A150" s="18" t="inlineStr">
        <is>
          <t>드럭스토어 사업 · 부문 간 내부매출·대체</t>
        </is>
      </c>
      <c r="C150" s="20" t="n">
        <v>0</v>
      </c>
      <c r="D150" s="20" t="n">
        <v>0</v>
      </c>
      <c r="G150" s="20" t="n">
        <v>0</v>
      </c>
      <c r="H150" s="20" t="n">
        <v>0</v>
      </c>
      <c r="I150" s="20" t="n">
        <v>0</v>
      </c>
      <c r="J150" s="20" t="n">
        <v>0</v>
      </c>
      <c r="K150" s="20" t="n">
        <v>0</v>
      </c>
      <c r="L150" s="20" t="n">
        <v>0</v>
      </c>
      <c r="M150" s="20" t="n">
        <v>0</v>
      </c>
      <c r="N150" s="20" t="n">
        <v>0</v>
      </c>
      <c r="V150" s="20" t="n">
        <v>0</v>
      </c>
      <c r="W150" s="20" t="n">
        <v>0</v>
      </c>
      <c r="X150" s="20" t="n">
        <v>0</v>
      </c>
    </row>
    <row r="151">
      <c r="A151" s="18" t="inlineStr">
        <is>
          <t>식품 제조 사업 · 부문 간 내부매출·대체</t>
        </is>
      </c>
      <c r="G151" s="20" t="n">
        <v>1224</v>
      </c>
      <c r="H151" s="20" t="n">
        <v>1247</v>
      </c>
      <c r="I151" s="20" t="n">
        <v>1205</v>
      </c>
      <c r="J151" s="20" t="n">
        <v>1431</v>
      </c>
      <c r="K151" s="20" t="n">
        <v>1315</v>
      </c>
      <c r="L151" s="20" t="n">
        <v>1357</v>
      </c>
      <c r="M151" s="20" t="n">
        <v>1290</v>
      </c>
      <c r="N151" s="20" t="n">
        <v>1389</v>
      </c>
      <c r="W151" s="20" t="n">
        <v>1247</v>
      </c>
      <c r="X151" s="20" t="n">
        <v>1357</v>
      </c>
    </row>
    <row r="152">
      <c r="A152" s="18" t="inlineStr">
        <is>
          <t>합계 · 부문 간 내부매출·대체</t>
        </is>
      </c>
      <c r="C152" s="20" t="n">
        <v>1200</v>
      </c>
      <c r="D152" s="20" t="n">
        <v>1287</v>
      </c>
      <c r="G152" s="20" t="n">
        <v>1370</v>
      </c>
      <c r="H152" s="20" t="n">
        <v>1394</v>
      </c>
      <c r="V152" s="20" t="n">
        <v>1287</v>
      </c>
      <c r="W152" s="20" t="n">
        <v>1394</v>
      </c>
    </row>
    <row r="153">
      <c r="A153" s="18" t="inlineStr">
        <is>
          <t>보고부문 합계 · 부문 간 내부매출·대체</t>
        </is>
      </c>
      <c r="C153" s="20" t="n">
        <v>149</v>
      </c>
      <c r="G153" s="20" t="n">
        <v>1370</v>
      </c>
      <c r="I153" s="20" t="n">
        <v>1351</v>
      </c>
      <c r="J153" s="20" t="n">
        <v>1574</v>
      </c>
      <c r="K153" s="20" t="n">
        <v>1460</v>
      </c>
      <c r="M153" s="20" t="n">
        <v>1432</v>
      </c>
      <c r="N153" s="20" t="n">
        <v>1529</v>
      </c>
    </row>
    <row r="154">
      <c r="A154" s="18" t="inlineStr">
        <is>
          <t>기타 · 부문 간 내부매출·대체</t>
        </is>
      </c>
      <c r="C154" s="20" t="n">
        <v>1052</v>
      </c>
      <c r="G154" s="20" t="n">
        <v>1224</v>
      </c>
    </row>
    <row r="155">
      <c r="A155" s="18" t="inlineStr">
        <is>
          <t>조정액 · 부문 간 내부매출·대체</t>
        </is>
      </c>
      <c r="C155" s="20" t="n">
        <v>-1200</v>
      </c>
      <c r="D155" s="20" t="n">
        <v>-1287</v>
      </c>
      <c r="G155" s="20" t="n">
        <v>-1370</v>
      </c>
      <c r="H155" s="20" t="n">
        <v>-1394</v>
      </c>
      <c r="I155" s="20" t="n">
        <v>-1351</v>
      </c>
      <c r="J155" s="20" t="n">
        <v>-1574</v>
      </c>
      <c r="K155" s="20" t="n">
        <v>-1460</v>
      </c>
      <c r="L155" s="20" t="n">
        <v>-1512</v>
      </c>
      <c r="M155" s="20" t="n">
        <v>-1432</v>
      </c>
      <c r="N155" s="20" t="n">
        <v>-1529</v>
      </c>
      <c r="V155" s="20" t="n">
        <v>-1287</v>
      </c>
      <c r="W155" s="20" t="n">
        <v>-1394</v>
      </c>
      <c r="X155" s="20" t="n">
        <v>-1512</v>
      </c>
    </row>
    <row r="156">
      <c r="A156" s="18" t="inlineStr">
        <is>
          <t>부문 간 내부매출·대체</t>
        </is>
      </c>
      <c r="C156" s="20" t="n">
        <v>0</v>
      </c>
      <c r="D156" s="20" t="n">
        <v>0</v>
      </c>
      <c r="G156" s="20" t="n">
        <v>0</v>
      </c>
      <c r="H156" s="20" t="n">
        <v>0</v>
      </c>
      <c r="I156" s="20" t="n">
        <v>0</v>
      </c>
      <c r="J156" s="20" t="n">
        <v>0</v>
      </c>
      <c r="K156" s="20" t="n">
        <v>0</v>
      </c>
      <c r="L156" s="20" t="n">
        <v>0</v>
      </c>
      <c r="M156" s="20" t="n">
        <v>0</v>
      </c>
      <c r="N156" s="20" t="n">
        <v>0</v>
      </c>
      <c r="V156" s="20" t="n">
        <v>0</v>
      </c>
      <c r="W156" s="20" t="n">
        <v>0</v>
      </c>
      <c r="X156" s="20" t="n">
        <v>0</v>
      </c>
    </row>
    <row r="157">
      <c r="A157" s="18" t="inlineStr">
        <is>
          <t>슈퍼마켓 사업 · 계</t>
        </is>
      </c>
      <c r="C157" s="20" t="n">
        <v>22185</v>
      </c>
      <c r="D157" s="20" t="n">
        <v>22929</v>
      </c>
      <c r="G157" s="20" t="n">
        <v>21940</v>
      </c>
      <c r="H157" s="20" t="n">
        <v>23575</v>
      </c>
      <c r="I157" s="20" t="n">
        <v>22959</v>
      </c>
      <c r="J157" s="20" t="n">
        <v>23772</v>
      </c>
      <c r="K157" s="20" t="n">
        <v>22506</v>
      </c>
      <c r="L157" s="20" t="n">
        <v>23684</v>
      </c>
      <c r="M157" s="20" t="n">
        <v>21616</v>
      </c>
      <c r="N157" s="20" t="n">
        <v>21850</v>
      </c>
      <c r="V157" s="20" t="n">
        <v>22929</v>
      </c>
      <c r="W157" s="20" t="n">
        <v>23575</v>
      </c>
      <c r="X157" s="20" t="n">
        <v>23684</v>
      </c>
    </row>
    <row r="158">
      <c r="A158" s="18" t="inlineStr">
        <is>
          <t>드럭스토어 사업 · 계</t>
        </is>
      </c>
      <c r="C158" s="20" t="n">
        <v>3232</v>
      </c>
      <c r="D158" s="20" t="n">
        <v>3186</v>
      </c>
      <c r="G158" s="20" t="n">
        <v>3133</v>
      </c>
      <c r="H158" s="20" t="n">
        <v>3243</v>
      </c>
      <c r="I158" s="20" t="n">
        <v>3245</v>
      </c>
      <c r="J158" s="20" t="n">
        <v>3379</v>
      </c>
      <c r="K158" s="20" t="n">
        <v>3185</v>
      </c>
      <c r="L158" s="20" t="n">
        <v>3261</v>
      </c>
      <c r="M158" s="20" t="n">
        <v>3396</v>
      </c>
      <c r="N158" s="20" t="n">
        <v>3361</v>
      </c>
      <c r="V158" s="20" t="n">
        <v>3186</v>
      </c>
      <c r="W158" s="20" t="n">
        <v>3243</v>
      </c>
      <c r="X158" s="20" t="n">
        <v>3261</v>
      </c>
    </row>
    <row r="159">
      <c r="A159" s="18" t="inlineStr">
        <is>
          <t>식품 제조 사업 · 계</t>
        </is>
      </c>
      <c r="G159" s="20" t="n">
        <v>1225</v>
      </c>
      <c r="H159" s="20" t="n">
        <v>1249</v>
      </c>
      <c r="I159" s="20" t="n">
        <v>1210</v>
      </c>
      <c r="J159" s="20" t="n">
        <v>1442</v>
      </c>
      <c r="K159" s="20" t="n">
        <v>1323</v>
      </c>
      <c r="L159" s="20" t="n">
        <v>1335</v>
      </c>
      <c r="M159" s="20" t="n">
        <v>1291</v>
      </c>
      <c r="N159" s="20" t="n">
        <v>1390</v>
      </c>
      <c r="W159" s="20" t="n">
        <v>1249</v>
      </c>
      <c r="X159" s="20" t="n">
        <v>1335</v>
      </c>
    </row>
    <row r="160">
      <c r="A160" s="18" t="inlineStr">
        <is>
          <t>합계 · 계</t>
        </is>
      </c>
      <c r="C160" s="20" t="n">
        <v>26472</v>
      </c>
      <c r="D160" s="20" t="n">
        <v>27257</v>
      </c>
      <c r="G160" s="20" t="n">
        <v>26298</v>
      </c>
      <c r="H160" s="20" t="n">
        <v>28067</v>
      </c>
      <c r="V160" s="20" t="n">
        <v>27257</v>
      </c>
      <c r="W160" s="20" t="n">
        <v>28067</v>
      </c>
    </row>
    <row r="161">
      <c r="A161" s="18" t="inlineStr">
        <is>
          <t>보고부문 합계 · 계</t>
        </is>
      </c>
      <c r="C161" s="20" t="n">
        <v>25417</v>
      </c>
      <c r="G161" s="20" t="n">
        <v>26298</v>
      </c>
      <c r="I161" s="20" t="n">
        <v>27414</v>
      </c>
      <c r="J161" s="20" t="n">
        <v>28595</v>
      </c>
      <c r="K161" s="20" t="n">
        <v>27013</v>
      </c>
      <c r="M161" s="20" t="n">
        <v>26304</v>
      </c>
      <c r="N161" s="20" t="n">
        <v>26601</v>
      </c>
    </row>
    <row r="162">
      <c r="A162" s="18" t="inlineStr">
        <is>
          <t>기타 · 계</t>
        </is>
      </c>
      <c r="C162" s="20" t="n">
        <v>1054</v>
      </c>
      <c r="G162" s="20" t="n">
        <v>1225</v>
      </c>
    </row>
    <row r="163">
      <c r="A163" s="18" t="inlineStr">
        <is>
          <t>조정액 · 계</t>
        </is>
      </c>
      <c r="C163" s="20" t="n">
        <v>-1200</v>
      </c>
      <c r="D163" s="20" t="n">
        <v>-1287</v>
      </c>
      <c r="G163" s="20" t="n">
        <v>-1370</v>
      </c>
      <c r="H163" s="20" t="n">
        <v>-1394</v>
      </c>
      <c r="I163" s="20" t="n">
        <v>-1351</v>
      </c>
      <c r="J163" s="20" t="n">
        <v>-1574</v>
      </c>
      <c r="K163" s="20" t="n">
        <v>-1460</v>
      </c>
      <c r="L163" s="20" t="n">
        <v>-1512</v>
      </c>
      <c r="M163" s="20" t="n">
        <v>-1432</v>
      </c>
      <c r="N163" s="20" t="n">
        <v>-1529</v>
      </c>
      <c r="V163" s="20" t="n">
        <v>-1287</v>
      </c>
      <c r="W163" s="20" t="n">
        <v>-1394</v>
      </c>
      <c r="X163" s="20" t="n">
        <v>-1512</v>
      </c>
    </row>
    <row r="164">
      <c r="A164" s="9" t="inlineStr">
        <is>
          <t>계</t>
        </is>
      </c>
      <c r="C164" s="12" t="n">
        <v>25272</v>
      </c>
      <c r="D164" s="12" t="n">
        <v>25969</v>
      </c>
      <c r="G164" s="12" t="n">
        <v>24927</v>
      </c>
      <c r="H164" s="12" t="n">
        <v>26673</v>
      </c>
      <c r="I164" s="12" t="n">
        <v>26063</v>
      </c>
      <c r="J164" s="12" t="n">
        <v>27020</v>
      </c>
      <c r="K164" s="12" t="n">
        <v>25554</v>
      </c>
      <c r="L164" s="12" t="n">
        <v>26768</v>
      </c>
      <c r="M164" s="12" t="n">
        <v>24871</v>
      </c>
      <c r="N164" s="12" t="n">
        <v>25073</v>
      </c>
      <c r="V164" s="12" t="n">
        <v>25969</v>
      </c>
      <c r="W164" s="12" t="n">
        <v>26673</v>
      </c>
      <c r="X164" s="12" t="n">
        <v>26768</v>
      </c>
    </row>
    <row r="165">
      <c r="A165" s="18" t="inlineStr">
        <is>
          <t>슈퍼마켓 사업 · 부문 이익(손실)</t>
        </is>
      </c>
      <c r="C165" s="20" t="n">
        <v>7</v>
      </c>
      <c r="D165" s="20" t="n">
        <v>331</v>
      </c>
      <c r="G165" s="20" t="n">
        <v>-248</v>
      </c>
      <c r="H165" s="20" t="n">
        <v>334</v>
      </c>
      <c r="I165" s="20" t="n">
        <v>350</v>
      </c>
      <c r="J165" s="20" t="n">
        <v>388</v>
      </c>
      <c r="K165" s="20" t="n">
        <v>157</v>
      </c>
      <c r="L165" s="20" t="n">
        <v>544</v>
      </c>
      <c r="M165" s="20" t="n">
        <v>221</v>
      </c>
      <c r="N165" s="20" t="n">
        <v>477</v>
      </c>
      <c r="V165" s="20" t="n">
        <v>331</v>
      </c>
      <c r="W165" s="20" t="n">
        <v>334</v>
      </c>
      <c r="X165" s="20" t="n">
        <v>544</v>
      </c>
    </row>
    <row r="166">
      <c r="A166" s="18" t="inlineStr">
        <is>
          <t>드럭스토어 사업 · 부문 이익(손실)</t>
        </is>
      </c>
      <c r="C166" s="20" t="n">
        <v>14</v>
      </c>
      <c r="D166" s="20" t="n">
        <v>-13</v>
      </c>
      <c r="G166" s="20" t="n">
        <v>0</v>
      </c>
      <c r="H166" s="20" t="n">
        <v>-36</v>
      </c>
      <c r="I166" s="20" t="n">
        <v>-22</v>
      </c>
      <c r="J166" s="20" t="n">
        <v>-43</v>
      </c>
      <c r="K166" s="20" t="n">
        <v>-1</v>
      </c>
      <c r="L166" s="20" t="n">
        <v>-34</v>
      </c>
      <c r="M166" s="20" t="n">
        <v>9</v>
      </c>
      <c r="N166" s="20" t="n">
        <v>-40</v>
      </c>
      <c r="V166" s="20" t="n">
        <v>-13</v>
      </c>
      <c r="W166" s="20" t="n">
        <v>-36</v>
      </c>
      <c r="X166" s="20" t="n">
        <v>-34</v>
      </c>
    </row>
    <row r="167">
      <c r="A167" s="18" t="inlineStr">
        <is>
          <t>식품 제조 사업 · 부문 이익(손실)</t>
        </is>
      </c>
      <c r="G167" s="20" t="n">
        <v>-108</v>
      </c>
      <c r="H167" s="20" t="n">
        <v>-85</v>
      </c>
      <c r="I167" s="20" t="n">
        <v>-80</v>
      </c>
      <c r="J167" s="20" t="n">
        <v>-1</v>
      </c>
      <c r="K167" s="20" t="n">
        <v>-55</v>
      </c>
      <c r="L167" s="20" t="n">
        <v>-69</v>
      </c>
      <c r="M167" s="20" t="n">
        <v>-14</v>
      </c>
      <c r="N167" s="20" t="n">
        <v>21</v>
      </c>
      <c r="W167" s="20" t="n">
        <v>-85</v>
      </c>
      <c r="X167" s="20" t="n">
        <v>-69</v>
      </c>
    </row>
    <row r="168">
      <c r="A168" s="18" t="inlineStr">
        <is>
          <t>합계 · 부문 손실</t>
        </is>
      </c>
      <c r="C168" s="20" t="n">
        <v>-93</v>
      </c>
      <c r="D168" s="20" t="n">
        <v>181</v>
      </c>
      <c r="G168" s="20" t="n">
        <v>-356</v>
      </c>
      <c r="H168" s="20" t="n">
        <v>213</v>
      </c>
      <c r="V168" s="20" t="n">
        <v>181</v>
      </c>
      <c r="W168" s="20" t="n">
        <v>213</v>
      </c>
    </row>
    <row r="169">
      <c r="A169" s="18" t="inlineStr">
        <is>
          <t>보고부문 합계 · 부문 이익(손실)</t>
        </is>
      </c>
      <c r="C169" s="20" t="n">
        <v>21</v>
      </c>
      <c r="G169" s="20" t="n">
        <v>-356</v>
      </c>
      <c r="I169" s="20" t="n">
        <v>247</v>
      </c>
      <c r="J169" s="20" t="n">
        <v>344</v>
      </c>
      <c r="K169" s="20" t="n">
        <v>101</v>
      </c>
      <c r="M169" s="20" t="n">
        <v>216</v>
      </c>
      <c r="N169" s="20" t="n">
        <v>458</v>
      </c>
    </row>
    <row r="170">
      <c r="A170" s="18" t="inlineStr">
        <is>
          <t>기타 · 부문 이익(손실)</t>
        </is>
      </c>
      <c r="C170" s="20" t="n">
        <v>-114</v>
      </c>
      <c r="G170" s="20" t="n">
        <v>-108</v>
      </c>
    </row>
    <row r="171">
      <c r="A171" s="18" t="inlineStr">
        <is>
          <t>조정액 · 부문 이익(손실)</t>
        </is>
      </c>
      <c r="C171" s="20" t="n">
        <v>2</v>
      </c>
      <c r="D171" s="20" t="n">
        <v>3</v>
      </c>
      <c r="G171" s="20" t="n">
        <v>2</v>
      </c>
      <c r="H171" s="20" t="n">
        <v>3</v>
      </c>
      <c r="I171" s="20" t="n">
        <v>2</v>
      </c>
      <c r="J171" s="20" t="n">
        <v>2</v>
      </c>
      <c r="K171" s="20" t="n">
        <v>2</v>
      </c>
      <c r="L171" s="20" t="n">
        <v>2</v>
      </c>
      <c r="M171" s="20" t="n">
        <v>1</v>
      </c>
      <c r="N171" s="20" t="n">
        <v>4</v>
      </c>
      <c r="V171" s="20" t="n">
        <v>3</v>
      </c>
      <c r="W171" s="20" t="n">
        <v>3</v>
      </c>
      <c r="X171" s="20" t="n">
        <v>2</v>
      </c>
    </row>
    <row r="172">
      <c r="A172" s="9" t="inlineStr">
        <is>
          <t>부문 이익(손실)</t>
        </is>
      </c>
      <c r="C172" s="12" t="n">
        <v>-91</v>
      </c>
      <c r="D172" s="12" t="n">
        <v>184</v>
      </c>
      <c r="G172" s="12" t="n">
        <v>-354</v>
      </c>
      <c r="H172" s="12" t="n">
        <v>215</v>
      </c>
      <c r="I172" s="12" t="n">
        <v>249</v>
      </c>
      <c r="J172" s="12" t="n">
        <v>346</v>
      </c>
      <c r="K172" s="12" t="n">
        <v>104</v>
      </c>
      <c r="L172" s="12" t="n">
        <v>443</v>
      </c>
      <c r="M172" s="12" t="n">
        <v>217</v>
      </c>
      <c r="N172" s="12" t="n">
        <v>463</v>
      </c>
      <c r="V172" s="12" t="n">
        <v>184</v>
      </c>
      <c r="W172" s="12" t="n">
        <v>215</v>
      </c>
      <c r="X172" s="12" t="n">
        <v>443</v>
      </c>
    </row>
    <row r="174">
      <c r="A174" s="16" t="inlineStr">
        <is>
          <t>현금흐름표 · 전 항목</t>
        </is>
      </c>
      <c r="B174" s="42" t="inlineStr">
        <is>
          <t>분기 = 결산기 첫날부터 누계(공시 그대로)</t>
        </is>
      </c>
      <c r="C174" s="16" t="n"/>
      <c r="D174" s="16" t="n"/>
      <c r="E174" s="16" t="n"/>
      <c r="F174" s="16" t="n"/>
      <c r="G174" s="16" t="n"/>
      <c r="H174" s="16" t="n"/>
      <c r="I174" s="16" t="n"/>
      <c r="J174" s="16" t="n"/>
      <c r="K174" s="16" t="n"/>
      <c r="L174" s="16" t="n"/>
      <c r="M174" s="16" t="n"/>
      <c r="N174" s="16" t="n"/>
      <c r="O174" s="16" t="n"/>
      <c r="P174" s="16" t="n"/>
      <c r="Q174" s="16" t="n"/>
      <c r="R174" s="16" t="n"/>
      <c r="S174" s="16" t="n"/>
      <c r="T174" s="16" t="n"/>
      <c r="U174" s="16" t="n"/>
      <c r="V174" s="16" t="n"/>
      <c r="W174" s="16" t="n"/>
      <c r="X174" s="16" t="n"/>
      <c r="Y174" s="16" t="n"/>
      <c r="Z174" s="16" t="n"/>
      <c r="AA174" s="16" t="n"/>
      <c r="AB174" s="16" t="n"/>
      <c r="AC174" s="16" t="n"/>
    </row>
    <row r="175">
      <c r="A175" s="5" t="inlineStr">
        <is>
          <t>항목</t>
        </is>
      </c>
      <c r="B175" s="5" t="inlineStr">
        <is>
          <t>참고</t>
        </is>
      </c>
      <c r="C175" s="5" t="inlineStr">
        <is>
          <t>2024.3Q</t>
        </is>
      </c>
      <c r="D175" s="5" t="inlineStr">
        <is>
          <t>2024.4Q</t>
        </is>
      </c>
      <c r="E175" s="5" t="inlineStr">
        <is>
          <t>2025.1Q</t>
        </is>
      </c>
      <c r="F175" s="5" t="inlineStr">
        <is>
          <t>2025.2Q</t>
        </is>
      </c>
      <c r="G175" s="5" t="inlineStr">
        <is>
          <t>2025.3Q</t>
        </is>
      </c>
      <c r="H175" s="5" t="inlineStr">
        <is>
          <t>2025.4Q</t>
        </is>
      </c>
      <c r="I175" s="5" t="inlineStr">
        <is>
          <t>2026.1Q</t>
        </is>
      </c>
      <c r="J175" s="5" t="inlineStr">
        <is>
          <t>2026.2Q</t>
        </is>
      </c>
      <c r="K175" s="5" t="inlineStr">
        <is>
          <t>2026.3Q</t>
        </is>
      </c>
      <c r="L175" s="5" t="inlineStr">
        <is>
          <t>2026.4Q</t>
        </is>
      </c>
      <c r="M175" s="5" t="inlineStr">
        <is>
          <t>2027.1Q</t>
        </is>
      </c>
      <c r="N175" s="5" t="inlineStr">
        <is>
          <t>2027.2Q</t>
        </is>
      </c>
      <c r="O175" s="5" t="inlineStr">
        <is>
          <t>2017</t>
        </is>
      </c>
      <c r="P175" s="5" t="inlineStr">
        <is>
          <t>2018</t>
        </is>
      </c>
      <c r="Q175" s="5" t="inlineStr">
        <is>
          <t>2019</t>
        </is>
      </c>
      <c r="R175" s="5" t="inlineStr">
        <is>
          <t>2020</t>
        </is>
      </c>
      <c r="S175" s="5" t="inlineStr">
        <is>
          <t>2021</t>
        </is>
      </c>
      <c r="T175" s="5" t="inlineStr">
        <is>
          <t>2022</t>
        </is>
      </c>
      <c r="U175" s="5" t="inlineStr">
        <is>
          <t>2023</t>
        </is>
      </c>
      <c r="V175" s="5" t="inlineStr">
        <is>
          <t>2024</t>
        </is>
      </c>
      <c r="W175" s="5" t="inlineStr">
        <is>
          <t>2025</t>
        </is>
      </c>
      <c r="X175" s="5" t="inlineStr">
        <is>
          <t>2026</t>
        </is>
      </c>
      <c r="Y175" s="5" t="inlineStr">
        <is>
          <t>2027(MW)</t>
        </is>
      </c>
      <c r="Z175" s="5" t="inlineStr">
        <is>
          <t>2028(MW)</t>
        </is>
      </c>
      <c r="AA175" s="5" t="inlineStr">
        <is>
          <t>2029(MW)</t>
        </is>
      </c>
      <c r="AB175" s="5" t="inlineStr">
        <is>
          <t>2030(MW)</t>
        </is>
      </c>
      <c r="AC175" s="5" t="inlineStr">
        <is>
          <t>2031(MW)</t>
        </is>
      </c>
    </row>
    <row r="176">
      <c r="A176" s="9" t="inlineStr">
        <is>
          <t>법인세차감전 순이익</t>
        </is>
      </c>
      <c r="D176" s="12" t="n">
        <v>243</v>
      </c>
      <c r="F176" s="12" t="n">
        <v>-275</v>
      </c>
      <c r="H176" s="12" t="n">
        <v>-1911</v>
      </c>
      <c r="J176" s="12" t="n">
        <v>669</v>
      </c>
      <c r="L176" s="12" t="n">
        <v>1870</v>
      </c>
      <c r="N176" s="12" t="n">
        <v>803</v>
      </c>
      <c r="O176" s="12" t="n">
        <v>2659</v>
      </c>
      <c r="P176" s="12" t="n">
        <v>884</v>
      </c>
      <c r="Q176" s="12" t="n">
        <v>-115</v>
      </c>
      <c r="R176" s="12" t="n">
        <v>68</v>
      </c>
      <c r="S176" s="12" t="n">
        <v>1791</v>
      </c>
      <c r="T176" s="12" t="n">
        <v>778</v>
      </c>
      <c r="U176" s="12" t="n">
        <v>603</v>
      </c>
      <c r="V176" s="12" t="n">
        <v>243</v>
      </c>
      <c r="W176" s="12" t="n">
        <v>-1911</v>
      </c>
      <c r="X176" s="12" t="n">
        <v>1870</v>
      </c>
    </row>
    <row r="177">
      <c r="A177" s="18" t="inlineStr">
        <is>
          <t>감가상각비</t>
        </is>
      </c>
      <c r="D177" s="20" t="n">
        <v>3327</v>
      </c>
      <c r="F177" s="20" t="n">
        <v>1728</v>
      </c>
      <c r="H177" s="20" t="n">
        <v>3576</v>
      </c>
      <c r="J177" s="20" t="n">
        <v>1668</v>
      </c>
      <c r="L177" s="20" t="n">
        <v>3391</v>
      </c>
      <c r="N177" s="20" t="n">
        <v>1465</v>
      </c>
      <c r="O177" s="20" t="n">
        <v>2514</v>
      </c>
      <c r="P177" s="20" t="n">
        <v>2670</v>
      </c>
      <c r="Q177" s="20" t="n">
        <v>2654</v>
      </c>
      <c r="R177" s="20" t="n">
        <v>2519</v>
      </c>
      <c r="S177" s="20" t="n">
        <v>2579</v>
      </c>
      <c r="T177" s="20" t="n">
        <v>2847</v>
      </c>
      <c r="U177" s="20" t="n">
        <v>2845</v>
      </c>
      <c r="V177" s="20" t="n">
        <v>3327</v>
      </c>
      <c r="W177" s="20" t="n">
        <v>3576</v>
      </c>
      <c r="X177" s="20" t="n">
        <v>3391</v>
      </c>
    </row>
    <row r="178">
      <c r="A178" s="18" t="inlineStr">
        <is>
          <t>영업권 상각</t>
        </is>
      </c>
      <c r="D178" s="20" t="n">
        <v>11</v>
      </c>
      <c r="H178" s="20" t="n">
        <v>6</v>
      </c>
      <c r="L178" s="20" t="n">
        <v>0</v>
      </c>
      <c r="O178" s="20" t="n">
        <v>110</v>
      </c>
      <c r="P178" s="20" t="n">
        <v>110</v>
      </c>
      <c r="Q178" s="20" t="n">
        <v>110</v>
      </c>
      <c r="R178" s="20" t="n">
        <v>4</v>
      </c>
      <c r="S178" s="20" t="n">
        <v>11</v>
      </c>
      <c r="T178" s="20" t="n">
        <v>11</v>
      </c>
      <c r="U178" s="20" t="n">
        <v>11</v>
      </c>
      <c r="V178" s="20" t="n">
        <v>11</v>
      </c>
      <c r="W178" s="20" t="n">
        <v>6</v>
      </c>
      <c r="X178" s="20" t="n">
        <v>0</v>
      </c>
    </row>
    <row r="179">
      <c r="A179" s="18" t="inlineStr">
        <is>
          <t>손상차손</t>
        </is>
      </c>
      <c r="D179" s="20" t="n">
        <v>406</v>
      </c>
      <c r="H179" s="20" t="n">
        <v>1304</v>
      </c>
      <c r="L179" s="20" t="n">
        <v>560</v>
      </c>
      <c r="O179" s="20" t="n">
        <v>1108</v>
      </c>
      <c r="P179" s="20" t="n">
        <v>375</v>
      </c>
      <c r="Q179" s="20" t="n">
        <v>750</v>
      </c>
      <c r="R179" s="20" t="n">
        <v>644</v>
      </c>
      <c r="S179" s="20" t="n">
        <v>546</v>
      </c>
      <c r="T179" s="20" t="n">
        <v>356</v>
      </c>
      <c r="U179" s="20" t="n">
        <v>243</v>
      </c>
      <c r="V179" s="20" t="n">
        <v>406</v>
      </c>
      <c r="W179" s="20" t="n">
        <v>1304</v>
      </c>
      <c r="X179" s="20" t="n">
        <v>560</v>
      </c>
    </row>
    <row r="180">
      <c r="A180" s="18" t="inlineStr">
        <is>
          <t>투자유가증권 평가손익</t>
        </is>
      </c>
      <c r="Q180" s="20" t="n">
        <v>7</v>
      </c>
      <c r="R180" s="20" t="n">
        <v>98</v>
      </c>
      <c r="S180" s="20" t="n">
        <v>0</v>
      </c>
      <c r="T180" s="20" t="n">
        <v>0</v>
      </c>
      <c r="U180" s="20" t="n">
        <v>0</v>
      </c>
    </row>
    <row r="181">
      <c r="A181" s="18" t="inlineStr">
        <is>
          <t>사업분리 이전이익</t>
        </is>
      </c>
      <c r="H181" s="20" t="n">
        <v>0</v>
      </c>
      <c r="L181" s="20" t="n">
        <v>-1241</v>
      </c>
      <c r="W181" s="20" t="n">
        <v>0</v>
      </c>
      <c r="X181" s="20" t="n">
        <v>-1241</v>
      </c>
    </row>
    <row r="182">
      <c r="A182" s="18" t="inlineStr">
        <is>
          <t>퇴직급여부채 증감</t>
        </is>
      </c>
      <c r="D182" s="20" t="n">
        <v>-17</v>
      </c>
      <c r="H182" s="20" t="n">
        <v>24</v>
      </c>
      <c r="L182" s="20" t="n">
        <v>-63</v>
      </c>
      <c r="O182" s="20" t="n">
        <v>-9</v>
      </c>
      <c r="P182" s="20" t="n">
        <v>-0</v>
      </c>
      <c r="Q182" s="20" t="n">
        <v>-15</v>
      </c>
      <c r="R182" s="20" t="n">
        <v>-297</v>
      </c>
      <c r="S182" s="20" t="n">
        <v>38</v>
      </c>
      <c r="T182" s="20" t="n">
        <v>16</v>
      </c>
      <c r="U182" s="20" t="n">
        <v>-249</v>
      </c>
      <c r="V182" s="20" t="n">
        <v>-17</v>
      </c>
      <c r="W182" s="20" t="n">
        <v>24</v>
      </c>
      <c r="X182" s="20" t="n">
        <v>-63</v>
      </c>
    </row>
    <row r="183">
      <c r="A183" s="18" t="inlineStr">
        <is>
          <t>포인트 충당금 증감</t>
        </is>
      </c>
      <c r="D183" s="20" t="n">
        <v>0</v>
      </c>
      <c r="O183" s="20" t="n">
        <v>45</v>
      </c>
      <c r="P183" s="20" t="n">
        <v>33</v>
      </c>
      <c r="Q183" s="20" t="n">
        <v>-68</v>
      </c>
      <c r="R183" s="20" t="n">
        <v>12</v>
      </c>
      <c r="S183" s="20" t="n">
        <v>13</v>
      </c>
      <c r="T183" s="20" t="n">
        <v>-23</v>
      </c>
      <c r="U183" s="20" t="n">
        <v>-646</v>
      </c>
      <c r="V183" s="20" t="n">
        <v>0</v>
      </c>
    </row>
    <row r="184">
      <c r="A184" s="18" t="inlineStr">
        <is>
          <t>보조금 수입</t>
        </is>
      </c>
      <c r="D184" s="20" t="n">
        <v>0</v>
      </c>
      <c r="H184" s="20" t="n">
        <v>-150</v>
      </c>
      <c r="L184" s="20" t="n">
        <v>-11</v>
      </c>
      <c r="V184" s="20" t="n">
        <v>0</v>
      </c>
      <c r="W184" s="20" t="n">
        <v>-150</v>
      </c>
      <c r="X184" s="20" t="n">
        <v>-11</v>
      </c>
    </row>
    <row r="185">
      <c r="A185" s="18" t="inlineStr">
        <is>
          <t>상여충당금 증감</t>
        </is>
      </c>
      <c r="D185" s="20" t="n">
        <v>1</v>
      </c>
      <c r="H185" s="20" t="n">
        <v>-19</v>
      </c>
      <c r="L185" s="20" t="n">
        <v>-29</v>
      </c>
      <c r="O185" s="20" t="n">
        <v>-5</v>
      </c>
      <c r="P185" s="20" t="n">
        <v>-3</v>
      </c>
      <c r="Q185" s="20" t="n">
        <v>-10</v>
      </c>
      <c r="R185" s="20" t="n">
        <v>2</v>
      </c>
      <c r="S185" s="20" t="n">
        <v>-26</v>
      </c>
      <c r="T185" s="20" t="n">
        <v>5</v>
      </c>
      <c r="U185" s="20" t="n">
        <v>18</v>
      </c>
      <c r="V185" s="20" t="n">
        <v>1</v>
      </c>
      <c r="W185" s="20" t="n">
        <v>-19</v>
      </c>
      <c r="X185" s="20" t="n">
        <v>-29</v>
      </c>
    </row>
    <row r="186">
      <c r="A186" s="18" t="inlineStr">
        <is>
          <t>상품권 회수손실 충당금 증감</t>
        </is>
      </c>
      <c r="D186" s="20" t="n">
        <v>0</v>
      </c>
      <c r="O186" s="20" t="n">
        <v>-2</v>
      </c>
      <c r="P186" s="20" t="n">
        <v>2</v>
      </c>
      <c r="Q186" s="20" t="n">
        <v>0</v>
      </c>
      <c r="R186" s="20" t="n">
        <v>-2</v>
      </c>
      <c r="S186" s="20" t="n">
        <v>-1</v>
      </c>
      <c r="T186" s="20" t="n">
        <v>25</v>
      </c>
      <c r="U186" s="20" t="n">
        <v>-98</v>
      </c>
      <c r="V186" s="20" t="n">
        <v>0</v>
      </c>
    </row>
    <row r="187">
      <c r="A187" s="18" t="inlineStr">
        <is>
          <t>임원 상여충당금 증감</t>
        </is>
      </c>
      <c r="O187" s="20" t="n">
        <v>-21</v>
      </c>
      <c r="P187" s="20" t="n">
        <v>-1</v>
      </c>
      <c r="Q187" s="20" t="n">
        <v>-7</v>
      </c>
      <c r="R187" s="20" t="n">
        <v>-2</v>
      </c>
      <c r="S187" s="20" t="n">
        <v>-0</v>
      </c>
      <c r="T187" s="20" t="n">
        <v>-0</v>
      </c>
      <c r="U187" s="20" t="n">
        <v>0</v>
      </c>
    </row>
    <row r="188">
      <c r="A188" s="18" t="inlineStr">
        <is>
          <t>계약부채 증감</t>
        </is>
      </c>
      <c r="D188" s="20" t="n">
        <v>-1345</v>
      </c>
      <c r="U188" s="20" t="n">
        <v>846</v>
      </c>
      <c r="V188" s="20" t="n">
        <v>-1345</v>
      </c>
    </row>
    <row r="189">
      <c r="A189" s="18" t="inlineStr">
        <is>
          <t>계약부채 증감</t>
        </is>
      </c>
      <c r="D189" s="20" t="n">
        <v>-1345</v>
      </c>
      <c r="H189" s="20" t="n">
        <v>-271</v>
      </c>
      <c r="L189" s="20" t="n">
        <v>5</v>
      </c>
      <c r="V189" s="20" t="n">
        <v>-1345</v>
      </c>
      <c r="W189" s="20" t="n">
        <v>-271</v>
      </c>
      <c r="X189" s="20" t="n">
        <v>5</v>
      </c>
    </row>
    <row r="190">
      <c r="A190" s="18" t="inlineStr">
        <is>
          <t>이자·배당금 수익</t>
        </is>
      </c>
      <c r="D190" s="20" t="n">
        <v>-15</v>
      </c>
      <c r="F190" s="20" t="n">
        <v>-10</v>
      </c>
      <c r="H190" s="20" t="n">
        <v>-17</v>
      </c>
      <c r="J190" s="20" t="n">
        <v>-15</v>
      </c>
      <c r="L190" s="20" t="n">
        <v>-29</v>
      </c>
      <c r="N190" s="20" t="n">
        <v>-43</v>
      </c>
      <c r="O190" s="20" t="n">
        <v>-15</v>
      </c>
      <c r="P190" s="20" t="n">
        <v>-14</v>
      </c>
      <c r="Q190" s="20" t="n">
        <v>-14</v>
      </c>
      <c r="R190" s="20" t="n">
        <v>-15</v>
      </c>
      <c r="S190" s="20" t="n">
        <v>-12</v>
      </c>
      <c r="T190" s="20" t="n">
        <v>-11</v>
      </c>
      <c r="U190" s="20" t="n">
        <v>-12</v>
      </c>
      <c r="V190" s="20" t="n">
        <v>-15</v>
      </c>
      <c r="W190" s="20" t="n">
        <v>-17</v>
      </c>
      <c r="X190" s="20" t="n">
        <v>-29</v>
      </c>
    </row>
    <row r="191">
      <c r="A191" s="18" t="inlineStr">
        <is>
          <t>이자비용</t>
        </is>
      </c>
      <c r="D191" s="20" t="n">
        <v>37</v>
      </c>
      <c r="F191" s="20" t="n">
        <v>25</v>
      </c>
      <c r="H191" s="20" t="n">
        <v>58</v>
      </c>
      <c r="J191" s="20" t="n">
        <v>36</v>
      </c>
      <c r="L191" s="20" t="n">
        <v>67</v>
      </c>
      <c r="N191" s="20" t="n">
        <v>32</v>
      </c>
      <c r="O191" s="20" t="n">
        <v>21</v>
      </c>
      <c r="P191" s="20" t="n">
        <v>15</v>
      </c>
      <c r="Q191" s="20" t="n">
        <v>16</v>
      </c>
      <c r="R191" s="20" t="n">
        <v>13</v>
      </c>
      <c r="S191" s="20" t="n">
        <v>14</v>
      </c>
      <c r="T191" s="20" t="n">
        <v>13</v>
      </c>
      <c r="U191" s="20" t="n">
        <v>16</v>
      </c>
      <c r="V191" s="20" t="n">
        <v>37</v>
      </c>
      <c r="W191" s="20" t="n">
        <v>58</v>
      </c>
      <c r="X191" s="20" t="n">
        <v>67</v>
      </c>
    </row>
    <row r="192">
      <c r="A192" s="18" t="inlineStr">
        <is>
          <t>유형자산 매각이익</t>
        </is>
      </c>
      <c r="O192" s="20" t="n">
        <v>-2249</v>
      </c>
      <c r="P192" s="20" t="n">
        <v>-57</v>
      </c>
      <c r="Q192" s="20" t="n">
        <v>-395</v>
      </c>
      <c r="R192" s="20" t="n">
        <v>-127</v>
      </c>
    </row>
    <row r="193">
      <c r="A193" s="18" t="inlineStr">
        <is>
          <t>유형자산 매각손익</t>
        </is>
      </c>
      <c r="D193" s="20" t="n">
        <v>-47</v>
      </c>
      <c r="H193" s="20" t="n">
        <v>-0</v>
      </c>
      <c r="L193" s="20" t="n">
        <v>-1</v>
      </c>
      <c r="R193" s="20" t="n">
        <v>-127</v>
      </c>
      <c r="S193" s="20" t="n">
        <v>-238</v>
      </c>
      <c r="T193" s="20" t="n">
        <v>0</v>
      </c>
      <c r="U193" s="20" t="n">
        <v>-14</v>
      </c>
      <c r="V193" s="20" t="n">
        <v>-47</v>
      </c>
      <c r="W193" s="20" t="n">
        <v>-0</v>
      </c>
      <c r="X193" s="20" t="n">
        <v>-1</v>
      </c>
    </row>
    <row r="194">
      <c r="A194" s="18" t="inlineStr">
        <is>
          <t>유형자산 제각손실</t>
        </is>
      </c>
      <c r="D194" s="20" t="n">
        <v>77</v>
      </c>
      <c r="H194" s="20" t="n">
        <v>199</v>
      </c>
      <c r="L194" s="20" t="n">
        <v>69</v>
      </c>
      <c r="O194" s="20" t="n">
        <v>106</v>
      </c>
      <c r="P194" s="20" t="n">
        <v>29</v>
      </c>
      <c r="Q194" s="20" t="n">
        <v>37</v>
      </c>
      <c r="R194" s="20" t="n">
        <v>15</v>
      </c>
      <c r="S194" s="20" t="n">
        <v>310</v>
      </c>
      <c r="T194" s="20" t="n">
        <v>25</v>
      </c>
      <c r="U194" s="20" t="n">
        <v>70</v>
      </c>
      <c r="V194" s="20" t="n">
        <v>77</v>
      </c>
      <c r="W194" s="20" t="n">
        <v>199</v>
      </c>
      <c r="X194" s="20" t="n">
        <v>69</v>
      </c>
    </row>
    <row r="195">
      <c r="A195" s="18" t="inlineStr">
        <is>
          <t>유형자산 매각손실</t>
        </is>
      </c>
      <c r="O195" s="20" t="n">
        <v>0</v>
      </c>
      <c r="P195" s="20" t="n">
        <v>0</v>
      </c>
    </row>
    <row r="196">
      <c r="A196" s="18" t="inlineStr">
        <is>
          <t>유가증권 매각손익</t>
        </is>
      </c>
      <c r="T196" s="20" t="n">
        <v>0</v>
      </c>
      <c r="U196" s="20" t="n">
        <v>26</v>
      </c>
    </row>
    <row r="197">
      <c r="A197" s="18" t="inlineStr">
        <is>
          <t>투자유가증권 매각손익</t>
        </is>
      </c>
      <c r="D197" s="20" t="n">
        <v>-2</v>
      </c>
      <c r="H197" s="20" t="n">
        <v>0</v>
      </c>
      <c r="U197" s="20" t="n">
        <v>26</v>
      </c>
      <c r="V197" s="20" t="n">
        <v>-2</v>
      </c>
      <c r="W197" s="20" t="n">
        <v>0</v>
      </c>
    </row>
    <row r="198">
      <c r="A198" s="18" t="inlineStr">
        <is>
          <t>자회사 청산손익</t>
        </is>
      </c>
      <c r="H198" s="20" t="n">
        <v>0</v>
      </c>
      <c r="L198" s="20" t="n">
        <v>-26</v>
      </c>
      <c r="W198" s="20" t="n">
        <v>0</v>
      </c>
      <c r="X198" s="20" t="n">
        <v>-26</v>
      </c>
    </row>
    <row r="199">
      <c r="A199" s="18" t="inlineStr">
        <is>
          <t>매출채권 증감</t>
        </is>
      </c>
      <c r="D199" s="20" t="n">
        <v>-470</v>
      </c>
      <c r="H199" s="20" t="n">
        <v>-922</v>
      </c>
      <c r="L199" s="20" t="n">
        <v>55</v>
      </c>
      <c r="O199" s="20" t="n">
        <v>195</v>
      </c>
      <c r="P199" s="20" t="n">
        <v>-36</v>
      </c>
      <c r="Q199" s="20" t="n">
        <v>-24</v>
      </c>
      <c r="R199" s="20" t="n">
        <v>-58</v>
      </c>
      <c r="S199" s="20" t="n">
        <v>48</v>
      </c>
      <c r="T199" s="20" t="n">
        <v>-40</v>
      </c>
      <c r="U199" s="20" t="n">
        <v>-10</v>
      </c>
      <c r="V199" s="20" t="n">
        <v>-470</v>
      </c>
      <c r="W199" s="20" t="n">
        <v>-922</v>
      </c>
      <c r="X199" s="20" t="n">
        <v>55</v>
      </c>
    </row>
    <row r="200">
      <c r="A200" s="18" t="inlineStr">
        <is>
          <t>재고자산 증감</t>
        </is>
      </c>
      <c r="D200" s="20" t="n">
        <v>-230</v>
      </c>
      <c r="F200" s="20" t="n">
        <v>-125</v>
      </c>
      <c r="H200" s="20" t="n">
        <v>-170</v>
      </c>
      <c r="J200" s="20" t="n">
        <v>238</v>
      </c>
      <c r="L200" s="20" t="n">
        <v>51</v>
      </c>
      <c r="N200" s="20" t="n">
        <v>220</v>
      </c>
      <c r="O200" s="20" t="n">
        <v>-237</v>
      </c>
      <c r="P200" s="20" t="n">
        <v>-99</v>
      </c>
      <c r="Q200" s="20" t="n">
        <v>330</v>
      </c>
      <c r="R200" s="20" t="n">
        <v>132</v>
      </c>
      <c r="S200" s="20" t="n">
        <v>252</v>
      </c>
      <c r="T200" s="20" t="n">
        <v>37</v>
      </c>
      <c r="U200" s="20" t="n">
        <v>-335</v>
      </c>
      <c r="V200" s="20" t="n">
        <v>-230</v>
      </c>
      <c r="W200" s="20" t="n">
        <v>-170</v>
      </c>
      <c r="X200" s="20" t="n">
        <v>51</v>
      </c>
    </row>
    <row r="201">
      <c r="A201" s="18" t="inlineStr">
        <is>
          <t>미수금 증감</t>
        </is>
      </c>
      <c r="D201" s="20" t="n">
        <v>237</v>
      </c>
      <c r="H201" s="20" t="n">
        <v>398</v>
      </c>
      <c r="L201" s="20" t="n">
        <v>-389</v>
      </c>
      <c r="V201" s="20" t="n">
        <v>237</v>
      </c>
      <c r="W201" s="20" t="n">
        <v>398</v>
      </c>
      <c r="X201" s="20" t="n">
        <v>-389</v>
      </c>
    </row>
    <row r="202">
      <c r="A202" s="18" t="inlineStr">
        <is>
          <t>매입채무 증감</t>
        </is>
      </c>
      <c r="D202" s="20" t="n">
        <v>24</v>
      </c>
      <c r="F202" s="20" t="n">
        <v>2428</v>
      </c>
      <c r="H202" s="20" t="n">
        <v>185</v>
      </c>
      <c r="J202" s="20" t="n">
        <v>2438</v>
      </c>
      <c r="L202" s="20" t="n">
        <v>1417</v>
      </c>
      <c r="N202" s="20" t="n">
        <v>-314</v>
      </c>
      <c r="O202" s="20" t="n">
        <v>-152</v>
      </c>
      <c r="P202" s="20" t="n">
        <v>-292</v>
      </c>
      <c r="Q202" s="20" t="n">
        <v>-148</v>
      </c>
      <c r="R202" s="20" t="n">
        <v>1186</v>
      </c>
      <c r="S202" s="20" t="n">
        <v>-201</v>
      </c>
      <c r="T202" s="20" t="n">
        <v>-759</v>
      </c>
      <c r="U202" s="20" t="n">
        <v>-173</v>
      </c>
      <c r="V202" s="20" t="n">
        <v>24</v>
      </c>
      <c r="W202" s="20" t="n">
        <v>185</v>
      </c>
      <c r="X202" s="20" t="n">
        <v>1417</v>
      </c>
    </row>
    <row r="203">
      <c r="A203" s="18" t="inlineStr">
        <is>
          <t>예수금 증감</t>
        </is>
      </c>
      <c r="D203" s="20" t="n">
        <v>72</v>
      </c>
      <c r="H203" s="20" t="n">
        <v>777</v>
      </c>
      <c r="L203" s="20" t="n">
        <v>76</v>
      </c>
      <c r="V203" s="20" t="n">
        <v>72</v>
      </c>
      <c r="W203" s="20" t="n">
        <v>777</v>
      </c>
      <c r="X203" s="20" t="n">
        <v>76</v>
      </c>
    </row>
    <row r="204">
      <c r="A204" s="18" t="inlineStr">
        <is>
          <t>미지급 소비세 증감</t>
        </is>
      </c>
      <c r="D204" s="20" t="n">
        <v>189</v>
      </c>
      <c r="H204" s="20" t="n">
        <v>235</v>
      </c>
      <c r="L204" s="20" t="n">
        <v>93</v>
      </c>
      <c r="O204" s="20" t="n">
        <v>36</v>
      </c>
      <c r="P204" s="20" t="n">
        <v>-36</v>
      </c>
      <c r="Q204" s="20" t="n">
        <v>220</v>
      </c>
      <c r="R204" s="20" t="n">
        <v>-166</v>
      </c>
      <c r="S204" s="20" t="n">
        <v>32</v>
      </c>
      <c r="T204" s="20" t="n">
        <v>39</v>
      </c>
      <c r="U204" s="20" t="n">
        <v>-127</v>
      </c>
      <c r="V204" s="20" t="n">
        <v>189</v>
      </c>
      <c r="W204" s="20" t="n">
        <v>235</v>
      </c>
      <c r="X204" s="20" t="n">
        <v>93</v>
      </c>
    </row>
    <row r="205">
      <c r="A205" s="18" t="inlineStr">
        <is>
          <t>기타 유동자산 증감</t>
        </is>
      </c>
      <c r="D205" s="20" t="n">
        <v>-323</v>
      </c>
      <c r="H205" s="20" t="n">
        <v>30</v>
      </c>
      <c r="L205" s="20" t="n">
        <v>-140</v>
      </c>
      <c r="O205" s="20" t="n">
        <v>102</v>
      </c>
      <c r="P205" s="20" t="n">
        <v>-207</v>
      </c>
      <c r="Q205" s="20" t="n">
        <v>-65</v>
      </c>
      <c r="R205" s="20" t="n">
        <v>-144</v>
      </c>
      <c r="S205" s="20" t="n">
        <v>-154</v>
      </c>
      <c r="T205" s="20" t="n">
        <v>46</v>
      </c>
      <c r="U205" s="20" t="n">
        <v>-350</v>
      </c>
      <c r="V205" s="20" t="n">
        <v>-323</v>
      </c>
      <c r="W205" s="20" t="n">
        <v>30</v>
      </c>
      <c r="X205" s="20" t="n">
        <v>-140</v>
      </c>
    </row>
    <row r="206">
      <c r="A206" s="18" t="inlineStr">
        <is>
          <t>기타 유동부채 증감</t>
        </is>
      </c>
      <c r="D206" s="20" t="n">
        <v>-64</v>
      </c>
      <c r="H206" s="20" t="n">
        <v>-6</v>
      </c>
      <c r="L206" s="20" t="n">
        <v>362</v>
      </c>
      <c r="O206" s="20" t="n">
        <v>-179</v>
      </c>
      <c r="P206" s="20" t="n">
        <v>-27</v>
      </c>
      <c r="Q206" s="20" t="n">
        <v>385</v>
      </c>
      <c r="R206" s="20" t="n">
        <v>70</v>
      </c>
      <c r="S206" s="20" t="n">
        <v>724</v>
      </c>
      <c r="T206" s="20" t="n">
        <v>-244</v>
      </c>
      <c r="U206" s="20" t="n">
        <v>-195</v>
      </c>
      <c r="V206" s="20" t="n">
        <v>-64</v>
      </c>
      <c r="W206" s="20" t="n">
        <v>-6</v>
      </c>
      <c r="X206" s="20" t="n">
        <v>362</v>
      </c>
    </row>
    <row r="207">
      <c r="A207" s="18" t="inlineStr">
        <is>
          <t>기타</t>
        </is>
      </c>
      <c r="D207" s="20" t="n">
        <v>-37</v>
      </c>
      <c r="F207" s="20" t="n">
        <v>155</v>
      </c>
      <c r="H207" s="20" t="n">
        <v>-117</v>
      </c>
      <c r="J207" s="20" t="n">
        <v>92</v>
      </c>
      <c r="L207" s="20" t="n">
        <v>6</v>
      </c>
      <c r="N207" s="20" t="n">
        <v>-501</v>
      </c>
      <c r="O207" s="20" t="n">
        <v>28</v>
      </c>
      <c r="P207" s="20" t="n">
        <v>32</v>
      </c>
      <c r="Q207" s="20" t="n">
        <v>-414</v>
      </c>
      <c r="R207" s="20" t="n">
        <v>-22</v>
      </c>
      <c r="S207" s="20" t="n">
        <v>113</v>
      </c>
      <c r="T207" s="20" t="n">
        <v>38</v>
      </c>
      <c r="U207" s="20" t="n">
        <v>-187</v>
      </c>
      <c r="V207" s="20" t="n">
        <v>-37</v>
      </c>
      <c r="W207" s="20" t="n">
        <v>-117</v>
      </c>
      <c r="X207" s="20" t="n">
        <v>6</v>
      </c>
    </row>
    <row r="208">
      <c r="A208" s="18" t="inlineStr">
        <is>
          <t>소계</t>
        </is>
      </c>
      <c r="D208" s="20" t="n">
        <v>2075</v>
      </c>
      <c r="F208" s="20" t="n">
        <v>3925</v>
      </c>
      <c r="H208" s="20" t="n">
        <v>3208</v>
      </c>
      <c r="J208" s="20" t="n">
        <v>5129</v>
      </c>
      <c r="L208" s="20" t="n">
        <v>6096</v>
      </c>
      <c r="N208" s="20" t="n">
        <v>1662</v>
      </c>
      <c r="O208" s="20" t="n">
        <v>4054</v>
      </c>
      <c r="P208" s="20" t="n">
        <v>3373</v>
      </c>
      <c r="Q208" s="20" t="n">
        <v>3233</v>
      </c>
      <c r="R208" s="20" t="n">
        <v>3930</v>
      </c>
      <c r="S208" s="20" t="n">
        <v>5841</v>
      </c>
      <c r="T208" s="20" t="n">
        <v>3163</v>
      </c>
      <c r="U208" s="20" t="n">
        <v>2279</v>
      </c>
      <c r="V208" s="20" t="n">
        <v>2075</v>
      </c>
      <c r="W208" s="20" t="n">
        <v>3208</v>
      </c>
      <c r="X208" s="20" t="n">
        <v>6096</v>
      </c>
    </row>
    <row r="209">
      <c r="A209" s="18" t="inlineStr">
        <is>
          <t>이자·배당금 수취</t>
        </is>
      </c>
      <c r="D209" s="20" t="n">
        <v>15</v>
      </c>
      <c r="F209" s="20" t="n">
        <v>9</v>
      </c>
      <c r="H209" s="20" t="n">
        <v>14</v>
      </c>
      <c r="J209" s="20" t="n">
        <v>14</v>
      </c>
      <c r="L209" s="20" t="n">
        <v>25</v>
      </c>
      <c r="N209" s="20" t="n">
        <v>42</v>
      </c>
      <c r="O209" s="20" t="n">
        <v>12</v>
      </c>
      <c r="P209" s="20" t="n">
        <v>10</v>
      </c>
      <c r="Q209" s="20" t="n">
        <v>12</v>
      </c>
      <c r="R209" s="20" t="n">
        <v>13</v>
      </c>
      <c r="S209" s="20" t="n">
        <v>14</v>
      </c>
      <c r="T209" s="20" t="n">
        <v>11</v>
      </c>
      <c r="U209" s="20" t="n">
        <v>11</v>
      </c>
      <c r="V209" s="20" t="n">
        <v>15</v>
      </c>
      <c r="W209" s="20" t="n">
        <v>14</v>
      </c>
      <c r="X209" s="20" t="n">
        <v>25</v>
      </c>
    </row>
    <row r="210">
      <c r="A210" s="18" t="inlineStr">
        <is>
          <t>이자 지급</t>
        </is>
      </c>
      <c r="D210" s="20" t="n">
        <v>-35</v>
      </c>
      <c r="F210" s="20" t="n">
        <v>-26</v>
      </c>
      <c r="H210" s="20" t="n">
        <v>-59</v>
      </c>
      <c r="J210" s="20" t="n">
        <v>-36</v>
      </c>
      <c r="L210" s="20" t="n">
        <v>-67</v>
      </c>
      <c r="N210" s="20" t="n">
        <v>-34</v>
      </c>
      <c r="O210" s="20" t="n">
        <v>-21</v>
      </c>
      <c r="P210" s="20" t="n">
        <v>-15</v>
      </c>
      <c r="Q210" s="20" t="n">
        <v>-16</v>
      </c>
      <c r="R210" s="20" t="n">
        <v>-13</v>
      </c>
      <c r="S210" s="20" t="n">
        <v>-14</v>
      </c>
      <c r="T210" s="20" t="n">
        <v>-12</v>
      </c>
      <c r="U210" s="20" t="n">
        <v>-12</v>
      </c>
      <c r="V210" s="20" t="n">
        <v>-35</v>
      </c>
      <c r="W210" s="20" t="n">
        <v>-59</v>
      </c>
      <c r="X210" s="20" t="n">
        <v>-67</v>
      </c>
    </row>
    <row r="211">
      <c r="A211" s="18" t="inlineStr">
        <is>
          <t>법인세 납부</t>
        </is>
      </c>
      <c r="D211" s="20" t="n">
        <v>-427</v>
      </c>
      <c r="F211" s="20" t="n">
        <v>-33</v>
      </c>
      <c r="H211" s="20" t="n">
        <v>-38</v>
      </c>
      <c r="J211" s="20" t="n">
        <v>-70</v>
      </c>
      <c r="L211" s="20" t="n">
        <v>-104</v>
      </c>
      <c r="N211" s="20" t="n">
        <v>-240</v>
      </c>
      <c r="O211" s="20" t="n">
        <v>-872</v>
      </c>
      <c r="P211" s="20" t="n">
        <v>-1484</v>
      </c>
      <c r="Q211" s="20" t="n">
        <v>-367</v>
      </c>
      <c r="R211" s="20" t="n">
        <v>-547</v>
      </c>
      <c r="S211" s="20" t="n">
        <v>-191</v>
      </c>
      <c r="T211" s="20" t="n">
        <v>-908</v>
      </c>
      <c r="U211" s="20" t="n">
        <v>-345</v>
      </c>
      <c r="V211" s="20" t="n">
        <v>-427</v>
      </c>
      <c r="W211" s="20" t="n">
        <v>-38</v>
      </c>
      <c r="X211" s="20" t="n">
        <v>-104</v>
      </c>
    </row>
    <row r="212">
      <c r="A212" s="18" t="inlineStr">
        <is>
          <t>법인세 환급</t>
        </is>
      </c>
      <c r="D212" s="20" t="n">
        <v>0</v>
      </c>
      <c r="F212" s="20" t="n">
        <v>171</v>
      </c>
      <c r="H212" s="20" t="n">
        <v>191</v>
      </c>
      <c r="J212" s="20" t="n">
        <v>0</v>
      </c>
      <c r="L212" s="20" t="n">
        <v>0</v>
      </c>
      <c r="P212" s="20" t="n">
        <v>0</v>
      </c>
      <c r="Q212" s="20" t="n">
        <v>298</v>
      </c>
      <c r="R212" s="20" t="n">
        <v>0</v>
      </c>
      <c r="S212" s="20" t="n">
        <v>37</v>
      </c>
      <c r="T212" s="20" t="n">
        <v>0</v>
      </c>
      <c r="U212" s="20" t="n">
        <v>0</v>
      </c>
      <c r="V212" s="20" t="n">
        <v>0</v>
      </c>
      <c r="W212" s="20" t="n">
        <v>191</v>
      </c>
      <c r="X212" s="20" t="n">
        <v>0</v>
      </c>
    </row>
    <row r="213">
      <c r="A213" s="9" t="inlineStr">
        <is>
          <t>영업활동 현금흐름</t>
        </is>
      </c>
      <c r="D213" s="12" t="n">
        <v>1628</v>
      </c>
      <c r="F213" s="12" t="n">
        <v>4047</v>
      </c>
      <c r="H213" s="12" t="n">
        <v>3317</v>
      </c>
      <c r="J213" s="12" t="n">
        <v>5037</v>
      </c>
      <c r="L213" s="12" t="n">
        <v>5950</v>
      </c>
      <c r="N213" s="12" t="n">
        <v>1429</v>
      </c>
      <c r="O213" s="12" t="n">
        <v>3172</v>
      </c>
      <c r="P213" s="12" t="n">
        <v>1884</v>
      </c>
      <c r="Q213" s="12" t="n">
        <v>3161</v>
      </c>
      <c r="R213" s="12" t="n">
        <v>3382</v>
      </c>
      <c r="S213" s="12" t="n">
        <v>5688</v>
      </c>
      <c r="T213" s="12" t="n">
        <v>2253</v>
      </c>
      <c r="U213" s="12" t="n">
        <v>1931</v>
      </c>
      <c r="V213" s="12" t="n">
        <v>1628</v>
      </c>
      <c r="W213" s="12" t="n">
        <v>3317</v>
      </c>
      <c r="X213" s="12" t="n">
        <v>5950</v>
      </c>
    </row>
    <row r="214">
      <c r="A214" s="18" t="inlineStr">
        <is>
          <t>정기예금 순증감</t>
        </is>
      </c>
      <c r="D214" s="20" t="n">
        <v>5</v>
      </c>
      <c r="H214" s="20" t="n">
        <v>0</v>
      </c>
      <c r="O214" s="20" t="n">
        <v>-194</v>
      </c>
      <c r="P214" s="20" t="n">
        <v>166</v>
      </c>
      <c r="Q214" s="20" t="n">
        <v>-12</v>
      </c>
      <c r="R214" s="20" t="n">
        <v>35</v>
      </c>
      <c r="S214" s="20" t="n">
        <v>-0</v>
      </c>
      <c r="T214" s="20" t="n">
        <v>10</v>
      </c>
      <c r="U214" s="20" t="n">
        <v>0</v>
      </c>
      <c r="V214" s="20" t="n">
        <v>5</v>
      </c>
      <c r="W214" s="20" t="n">
        <v>0</v>
      </c>
    </row>
    <row r="215">
      <c r="A215" s="18" t="inlineStr">
        <is>
          <t>유가증권 취득</t>
        </is>
      </c>
      <c r="O215" s="20" t="n">
        <v>0</v>
      </c>
      <c r="P215" s="20" t="n">
        <v>-3</v>
      </c>
      <c r="Q215" s="20" t="n">
        <v>-1</v>
      </c>
      <c r="R215" s="20" t="n">
        <v>-1</v>
      </c>
      <c r="S215" s="20" t="n">
        <v>0</v>
      </c>
      <c r="T215" s="20" t="n">
        <v>-5</v>
      </c>
      <c r="U215" s="20" t="n">
        <v>0</v>
      </c>
    </row>
    <row r="216">
      <c r="A216" s="18" t="inlineStr">
        <is>
          <t>유가증권 매각</t>
        </is>
      </c>
      <c r="D216" s="20" t="n">
        <v>4</v>
      </c>
      <c r="H216" s="20" t="n">
        <v>0</v>
      </c>
      <c r="P216" s="20" t="n">
        <v>0</v>
      </c>
      <c r="Q216" s="20" t="n">
        <v>0</v>
      </c>
      <c r="R216" s="20" t="n">
        <v>5</v>
      </c>
      <c r="S216" s="20" t="n">
        <v>0</v>
      </c>
      <c r="T216" s="20" t="n">
        <v>3</v>
      </c>
      <c r="U216" s="20" t="n">
        <v>28</v>
      </c>
      <c r="V216" s="20" t="n">
        <v>4</v>
      </c>
      <c r="W216" s="20" t="n">
        <v>0</v>
      </c>
    </row>
    <row r="217">
      <c r="A217" s="18" t="inlineStr">
        <is>
          <t>자회사 청산 수입</t>
        </is>
      </c>
      <c r="H217" s="20" t="n">
        <v>0</v>
      </c>
      <c r="L217" s="20" t="n">
        <v>76</v>
      </c>
      <c r="W217" s="20" t="n">
        <v>0</v>
      </c>
      <c r="X217" s="20" t="n">
        <v>76</v>
      </c>
    </row>
    <row r="218">
      <c r="A218" s="18" t="inlineStr">
        <is>
          <t>유형자산 취득(설비투자)</t>
        </is>
      </c>
      <c r="D218" s="20" t="n">
        <v>-3491</v>
      </c>
      <c r="F218" s="20" t="n">
        <v>-1069</v>
      </c>
      <c r="H218" s="20" t="n">
        <v>-1606</v>
      </c>
      <c r="J218" s="20" t="n">
        <v>-320</v>
      </c>
      <c r="L218" s="20" t="n">
        <v>-527</v>
      </c>
      <c r="N218" s="20" t="n">
        <v>-590</v>
      </c>
      <c r="O218" s="20" t="n">
        <v>-2354</v>
      </c>
      <c r="P218" s="20" t="n">
        <v>-3566</v>
      </c>
      <c r="Q218" s="20" t="n">
        <v>-2319</v>
      </c>
      <c r="R218" s="20" t="n">
        <v>-2811</v>
      </c>
      <c r="S218" s="20" t="n">
        <v>-4278</v>
      </c>
      <c r="T218" s="20" t="n">
        <v>-2856</v>
      </c>
      <c r="U218" s="20" t="n">
        <v>-6173</v>
      </c>
      <c r="V218" s="20" t="n">
        <v>-3491</v>
      </c>
      <c r="W218" s="20" t="n">
        <v>-1606</v>
      </c>
      <c r="X218" s="20" t="n">
        <v>-527</v>
      </c>
    </row>
    <row r="219">
      <c r="A219" s="18" t="inlineStr">
        <is>
          <t>유형자산 매각</t>
        </is>
      </c>
      <c r="D219" s="20" t="n">
        <v>107</v>
      </c>
      <c r="H219" s="20" t="n">
        <v>37</v>
      </c>
      <c r="L219" s="20" t="n">
        <v>9</v>
      </c>
      <c r="O219" s="20" t="n">
        <v>3286</v>
      </c>
      <c r="P219" s="20" t="n">
        <v>68</v>
      </c>
      <c r="Q219" s="20" t="n">
        <v>1650</v>
      </c>
      <c r="R219" s="20" t="n">
        <v>573</v>
      </c>
      <c r="S219" s="20" t="n">
        <v>715</v>
      </c>
      <c r="T219" s="20" t="n">
        <v>5</v>
      </c>
      <c r="U219" s="20" t="n">
        <v>25</v>
      </c>
      <c r="V219" s="20" t="n">
        <v>107</v>
      </c>
      <c r="W219" s="20" t="n">
        <v>37</v>
      </c>
      <c r="X219" s="20" t="n">
        <v>9</v>
      </c>
    </row>
    <row r="220">
      <c r="A220" s="18" t="inlineStr">
        <is>
          <t>기타 무형자산 취득</t>
        </is>
      </c>
      <c r="D220" s="20" t="n">
        <v>-929</v>
      </c>
      <c r="H220" s="20" t="n">
        <v>-994</v>
      </c>
      <c r="O220" s="20" t="n">
        <v>-72</v>
      </c>
      <c r="P220" s="20" t="n">
        <v>-157</v>
      </c>
      <c r="Q220" s="20" t="n">
        <v>-82</v>
      </c>
      <c r="R220" s="20" t="n">
        <v>-214</v>
      </c>
      <c r="S220" s="20" t="n">
        <v>-138</v>
      </c>
      <c r="T220" s="20" t="n">
        <v>-284</v>
      </c>
      <c r="U220" s="20" t="n">
        <v>-128</v>
      </c>
      <c r="V220" s="20" t="n">
        <v>-929</v>
      </c>
      <c r="W220" s="20" t="n">
        <v>-994</v>
      </c>
    </row>
    <row r="221">
      <c r="A221" s="18" t="inlineStr">
        <is>
          <t>대여</t>
        </is>
      </c>
      <c r="D221" s="20" t="n">
        <v>-0</v>
      </c>
      <c r="H221" s="20" t="n">
        <v>0</v>
      </c>
      <c r="R221" s="20" t="n">
        <v>0</v>
      </c>
      <c r="S221" s="20" t="n">
        <v>-2</v>
      </c>
      <c r="T221" s="20" t="n">
        <v>0</v>
      </c>
      <c r="U221" s="20" t="n">
        <v>-213</v>
      </c>
      <c r="V221" s="20" t="n">
        <v>-0</v>
      </c>
      <c r="W221" s="20" t="n">
        <v>0</v>
      </c>
    </row>
    <row r="222">
      <c r="A222" s="18" t="inlineStr">
        <is>
          <t>무형자산 취득</t>
        </is>
      </c>
      <c r="H222" s="20" t="n">
        <v>-994</v>
      </c>
      <c r="L222" s="20" t="n">
        <v>-540</v>
      </c>
      <c r="W222" s="20" t="n">
        <v>-994</v>
      </c>
      <c r="X222" s="20" t="n">
        <v>-540</v>
      </c>
    </row>
    <row r="223">
      <c r="A223" s="18" t="inlineStr">
        <is>
          <t>대여금 회수</t>
        </is>
      </c>
      <c r="D223" s="20" t="n">
        <v>22</v>
      </c>
      <c r="H223" s="20" t="n">
        <v>15</v>
      </c>
      <c r="L223" s="20" t="n">
        <v>40</v>
      </c>
      <c r="O223" s="20" t="n">
        <v>0</v>
      </c>
      <c r="P223" s="20" t="n">
        <v>0</v>
      </c>
      <c r="Q223" s="20" t="n">
        <v>0</v>
      </c>
      <c r="R223" s="20" t="n">
        <v>0</v>
      </c>
      <c r="S223" s="20" t="n">
        <v>0</v>
      </c>
      <c r="T223" s="20" t="n">
        <v>0</v>
      </c>
      <c r="U223" s="20" t="n">
        <v>0</v>
      </c>
      <c r="V223" s="20" t="n">
        <v>22</v>
      </c>
      <c r="W223" s="20" t="n">
        <v>15</v>
      </c>
      <c r="X223" s="20" t="n">
        <v>40</v>
      </c>
    </row>
    <row r="224">
      <c r="A224" s="18" t="inlineStr">
        <is>
          <t>임차보증금·보증금 납입</t>
        </is>
      </c>
      <c r="D224" s="20" t="n">
        <v>-55</v>
      </c>
      <c r="F224" s="20" t="n">
        <v>-153</v>
      </c>
      <c r="H224" s="20" t="n">
        <v>-154</v>
      </c>
      <c r="J224" s="20" t="n">
        <v>-4</v>
      </c>
      <c r="L224" s="20" t="n">
        <v>-15</v>
      </c>
      <c r="N224" s="20" t="n">
        <v>-159</v>
      </c>
      <c r="O224" s="20" t="n">
        <v>-25</v>
      </c>
      <c r="P224" s="20" t="n">
        <v>-9</v>
      </c>
      <c r="Q224" s="20" t="n">
        <v>-14</v>
      </c>
      <c r="R224" s="20" t="n">
        <v>-68</v>
      </c>
      <c r="S224" s="20" t="n">
        <v>-32</v>
      </c>
      <c r="T224" s="20" t="n">
        <v>-26</v>
      </c>
      <c r="U224" s="20" t="n">
        <v>-831</v>
      </c>
      <c r="V224" s="20" t="n">
        <v>-55</v>
      </c>
      <c r="W224" s="20" t="n">
        <v>-154</v>
      </c>
      <c r="X224" s="20" t="n">
        <v>-15</v>
      </c>
    </row>
    <row r="225">
      <c r="A225" s="18" t="inlineStr">
        <is>
          <t>임차보증금·보증금 회수</t>
        </is>
      </c>
      <c r="D225" s="20" t="n">
        <v>795</v>
      </c>
      <c r="F225" s="20" t="n">
        <v>1</v>
      </c>
      <c r="H225" s="20" t="n">
        <v>4</v>
      </c>
      <c r="J225" s="20" t="n">
        <v>2</v>
      </c>
      <c r="L225" s="20" t="n">
        <v>20</v>
      </c>
      <c r="N225" s="20" t="n">
        <v>3</v>
      </c>
      <c r="O225" s="20" t="n">
        <v>53</v>
      </c>
      <c r="P225" s="20" t="n">
        <v>81</v>
      </c>
      <c r="Q225" s="20" t="n">
        <v>70</v>
      </c>
      <c r="R225" s="20" t="n">
        <v>50</v>
      </c>
      <c r="S225" s="20" t="n">
        <v>140</v>
      </c>
      <c r="T225" s="20" t="n">
        <v>45</v>
      </c>
      <c r="U225" s="20" t="n">
        <v>32</v>
      </c>
      <c r="V225" s="20" t="n">
        <v>795</v>
      </c>
      <c r="W225" s="20" t="n">
        <v>4</v>
      </c>
      <c r="X225" s="20" t="n">
        <v>20</v>
      </c>
    </row>
    <row r="226">
      <c r="A226" s="18" t="inlineStr">
        <is>
          <t>보험적립금 적립</t>
        </is>
      </c>
      <c r="D226" s="20" t="n">
        <v>0</v>
      </c>
      <c r="O226" s="20" t="n">
        <v>-7</v>
      </c>
      <c r="P226" s="20" t="n">
        <v>-7</v>
      </c>
      <c r="Q226" s="20" t="n">
        <v>-6</v>
      </c>
      <c r="R226" s="20" t="n">
        <v>-6</v>
      </c>
      <c r="S226" s="20" t="n">
        <v>-5</v>
      </c>
      <c r="T226" s="20" t="n">
        <v>-5</v>
      </c>
      <c r="U226" s="20" t="n">
        <v>-0</v>
      </c>
      <c r="V226" s="20" t="n">
        <v>0</v>
      </c>
    </row>
    <row r="227">
      <c r="A227" s="18" t="inlineStr">
        <is>
          <t>보험적립금 환급</t>
        </is>
      </c>
      <c r="D227" s="20" t="n">
        <v>0</v>
      </c>
      <c r="O227" s="20" t="n">
        <v>5</v>
      </c>
      <c r="P227" s="20" t="n">
        <v>5</v>
      </c>
      <c r="Q227" s="20" t="n">
        <v>7</v>
      </c>
      <c r="R227" s="20" t="n">
        <v>4</v>
      </c>
      <c r="S227" s="20" t="n">
        <v>2</v>
      </c>
      <c r="T227" s="20" t="n">
        <v>0</v>
      </c>
      <c r="U227" s="20" t="n">
        <v>133</v>
      </c>
      <c r="V227" s="20" t="n">
        <v>0</v>
      </c>
    </row>
    <row r="228">
      <c r="A228" s="18" t="inlineStr">
        <is>
          <t>출자금 납입</t>
        </is>
      </c>
      <c r="Q228" s="20" t="n">
        <v>0</v>
      </c>
      <c r="R228" s="20" t="n">
        <v>-0</v>
      </c>
      <c r="S228" s="20" t="n">
        <v>0</v>
      </c>
    </row>
    <row r="229">
      <c r="A229" s="18" t="inlineStr">
        <is>
          <t>자산복구부채 이행 지출</t>
        </is>
      </c>
      <c r="O229" s="20" t="n">
        <v>0</v>
      </c>
      <c r="P229" s="20" t="n">
        <v>-15</v>
      </c>
      <c r="Q229" s="20" t="n">
        <v>-12</v>
      </c>
      <c r="R229" s="20" t="n">
        <v>0</v>
      </c>
    </row>
    <row r="230">
      <c r="A230" s="18" t="inlineStr">
        <is>
          <t>보조금 수취</t>
        </is>
      </c>
      <c r="D230" s="20" t="n">
        <v>0</v>
      </c>
      <c r="H230" s="20" t="n">
        <v>150</v>
      </c>
      <c r="L230" s="20" t="n">
        <v>11</v>
      </c>
      <c r="V230" s="20" t="n">
        <v>0</v>
      </c>
      <c r="W230" s="20" t="n">
        <v>150</v>
      </c>
      <c r="X230" s="20" t="n">
        <v>11</v>
      </c>
    </row>
    <row r="231">
      <c r="A231" s="18" t="inlineStr">
        <is>
          <t>지원금 수입</t>
        </is>
      </c>
      <c r="D231" s="20" t="n">
        <v>0</v>
      </c>
      <c r="H231" s="20" t="n">
        <v>150</v>
      </c>
      <c r="L231" s="20" t="n">
        <v>0</v>
      </c>
      <c r="V231" s="20" t="n">
        <v>0</v>
      </c>
      <c r="W231" s="20" t="n">
        <v>150</v>
      </c>
      <c r="X231" s="20" t="n">
        <v>0</v>
      </c>
    </row>
    <row r="232">
      <c r="A232" s="18" t="inlineStr">
        <is>
          <t>사업분리 수입</t>
        </is>
      </c>
      <c r="H232" s="20" t="n">
        <v>0</v>
      </c>
      <c r="L232" s="20" t="n">
        <v>2193</v>
      </c>
      <c r="W232" s="20" t="n">
        <v>0</v>
      </c>
      <c r="X232" s="20" t="n">
        <v>2193</v>
      </c>
    </row>
    <row r="233">
      <c r="A233" s="18" t="inlineStr">
        <is>
          <t>기타</t>
        </is>
      </c>
      <c r="D233" s="20" t="n">
        <v>0</v>
      </c>
      <c r="F233" s="20" t="n">
        <v>14</v>
      </c>
      <c r="H233" s="20" t="n">
        <v>0</v>
      </c>
      <c r="J233" s="20" t="n">
        <v>-83</v>
      </c>
      <c r="L233" s="20" t="n">
        <v>-208</v>
      </c>
      <c r="N233" s="20" t="n">
        <v>306</v>
      </c>
      <c r="U233" s="20" t="n">
        <v>0</v>
      </c>
      <c r="V233" s="20" t="n">
        <v>0</v>
      </c>
      <c r="W233" s="20" t="n">
        <v>0</v>
      </c>
      <c r="X233" s="20" t="n">
        <v>-208</v>
      </c>
    </row>
    <row r="234">
      <c r="A234" s="9" t="inlineStr">
        <is>
          <t>투자활동 현금흐름</t>
        </is>
      </c>
      <c r="D234" s="12" t="n">
        <v>-3542</v>
      </c>
      <c r="F234" s="12" t="n">
        <v>-1207</v>
      </c>
      <c r="H234" s="12" t="n">
        <v>-2396</v>
      </c>
      <c r="J234" s="12" t="n">
        <v>-407</v>
      </c>
      <c r="L234" s="12" t="n">
        <v>1059</v>
      </c>
      <c r="N234" s="12" t="n">
        <v>-440</v>
      </c>
      <c r="O234" s="12" t="n">
        <v>691</v>
      </c>
      <c r="P234" s="12" t="n">
        <v>-3437</v>
      </c>
      <c r="Q234" s="12" t="n">
        <v>-718</v>
      </c>
      <c r="R234" s="12" t="n">
        <v>-2433</v>
      </c>
      <c r="S234" s="12" t="n">
        <v>-3599</v>
      </c>
      <c r="T234" s="12" t="n">
        <v>-3113</v>
      </c>
      <c r="U234" s="12" t="n">
        <v>-7128</v>
      </c>
      <c r="V234" s="12" t="n">
        <v>-3542</v>
      </c>
      <c r="W234" s="12" t="n">
        <v>-2396</v>
      </c>
      <c r="X234" s="12" t="n">
        <v>1059</v>
      </c>
    </row>
    <row r="235">
      <c r="A235" s="18" t="inlineStr">
        <is>
          <t>단기차입금 순증감</t>
        </is>
      </c>
      <c r="D235" s="20" t="n">
        <v>600</v>
      </c>
      <c r="F235" s="20" t="n">
        <v>-1700</v>
      </c>
      <c r="H235" s="20" t="n">
        <v>100</v>
      </c>
      <c r="J235" s="20" t="n">
        <v>-3500</v>
      </c>
      <c r="L235" s="20" t="n">
        <v>-5900</v>
      </c>
      <c r="N235" s="20" t="n">
        <v>-900</v>
      </c>
      <c r="O235" s="20" t="n">
        <v>-2100</v>
      </c>
      <c r="P235" s="20" t="n">
        <v>970</v>
      </c>
      <c r="Q235" s="20" t="n">
        <v>-350</v>
      </c>
      <c r="R235" s="20" t="n">
        <v>630</v>
      </c>
      <c r="S235" s="20" t="n">
        <v>-1150</v>
      </c>
      <c r="T235" s="20" t="n">
        <v>-400</v>
      </c>
      <c r="U235" s="20" t="n">
        <v>4400</v>
      </c>
      <c r="V235" s="20" t="n">
        <v>600</v>
      </c>
      <c r="W235" s="20" t="n">
        <v>100</v>
      </c>
      <c r="X235" s="20" t="n">
        <v>-5900</v>
      </c>
    </row>
    <row r="236">
      <c r="A236" s="18" t="inlineStr">
        <is>
          <t>장기차입</t>
        </is>
      </c>
      <c r="F236" s="20" t="n">
        <v>0</v>
      </c>
      <c r="H236" s="20" t="n">
        <v>0</v>
      </c>
      <c r="J236" s="20" t="n">
        <v>120</v>
      </c>
      <c r="L236" s="20" t="n">
        <v>690</v>
      </c>
      <c r="N236" s="20" t="n">
        <v>0</v>
      </c>
      <c r="W236" s="20" t="n">
        <v>0</v>
      </c>
      <c r="X236" s="20" t="n">
        <v>690</v>
      </c>
    </row>
    <row r="237">
      <c r="A237" s="18" t="inlineStr">
        <is>
          <t>장기차입금 상환</t>
        </is>
      </c>
      <c r="D237" s="20" t="n">
        <v>-466</v>
      </c>
      <c r="H237" s="20" t="n">
        <v>-525</v>
      </c>
      <c r="L237" s="20" t="n">
        <v>-717</v>
      </c>
      <c r="O237" s="20" t="n">
        <v>-859</v>
      </c>
      <c r="P237" s="20" t="n">
        <v>-365</v>
      </c>
      <c r="Q237" s="20" t="n">
        <v>-335</v>
      </c>
      <c r="R237" s="20" t="n">
        <v>-195</v>
      </c>
      <c r="S237" s="20" t="n">
        <v>-206</v>
      </c>
      <c r="T237" s="20" t="n">
        <v>-164</v>
      </c>
      <c r="U237" s="20" t="n">
        <v>-230</v>
      </c>
      <c r="V237" s="20" t="n">
        <v>-466</v>
      </c>
      <c r="W237" s="20" t="n">
        <v>-525</v>
      </c>
      <c r="X237" s="20" t="n">
        <v>-717</v>
      </c>
    </row>
    <row r="238">
      <c r="A238" s="18" t="inlineStr">
        <is>
          <t>장기차입</t>
        </is>
      </c>
      <c r="D238" s="20" t="n">
        <v>3130</v>
      </c>
      <c r="H238" s="20" t="n">
        <v>0</v>
      </c>
      <c r="O238" s="20" t="n">
        <v>600</v>
      </c>
      <c r="P238" s="20" t="n">
        <v>0</v>
      </c>
      <c r="Q238" s="20" t="n">
        <v>200</v>
      </c>
      <c r="R238" s="20" t="n">
        <v>45</v>
      </c>
      <c r="S238" s="20" t="n">
        <v>500</v>
      </c>
      <c r="T238" s="20" t="n">
        <v>500</v>
      </c>
      <c r="U238" s="20" t="n">
        <v>1000</v>
      </c>
      <c r="V238" s="20" t="n">
        <v>3130</v>
      </c>
      <c r="W238" s="20" t="n">
        <v>0</v>
      </c>
    </row>
    <row r="239">
      <c r="A239" s="18" t="inlineStr">
        <is>
          <t>자기주식 취득</t>
        </is>
      </c>
      <c r="D239" s="20" t="n">
        <v>-0</v>
      </c>
      <c r="H239" s="20" t="n">
        <v>-0</v>
      </c>
      <c r="L239" s="20" t="n">
        <v>-543</v>
      </c>
      <c r="O239" s="20" t="n">
        <v>-0</v>
      </c>
      <c r="P239" s="20" t="n">
        <v>-0</v>
      </c>
      <c r="Q239" s="20" t="n">
        <v>-0</v>
      </c>
      <c r="R239" s="20" t="n">
        <v>-0</v>
      </c>
      <c r="S239" s="20" t="n">
        <v>-0</v>
      </c>
      <c r="T239" s="20" t="n">
        <v>-0</v>
      </c>
      <c r="U239" s="20" t="n">
        <v>-185</v>
      </c>
      <c r="V239" s="20" t="n">
        <v>-0</v>
      </c>
      <c r="W239" s="20" t="n">
        <v>-0</v>
      </c>
      <c r="X239" s="20" t="n">
        <v>-543</v>
      </c>
    </row>
    <row r="240">
      <c r="A240" s="18" t="inlineStr">
        <is>
          <t>자기주식 처분</t>
        </is>
      </c>
      <c r="D240" s="20" t="n">
        <v>0</v>
      </c>
      <c r="O240" s="20" t="n">
        <v>0</v>
      </c>
      <c r="P240" s="20" t="n">
        <v>0</v>
      </c>
      <c r="Q240" s="20" t="n">
        <v>0</v>
      </c>
      <c r="R240" s="20" t="n">
        <v>0</v>
      </c>
      <c r="S240" s="20" t="n">
        <v>0</v>
      </c>
      <c r="T240" s="20" t="n">
        <v>0</v>
      </c>
      <c r="U240" s="20" t="n">
        <v>6</v>
      </c>
      <c r="V240" s="20" t="n">
        <v>0</v>
      </c>
    </row>
    <row r="241">
      <c r="A241" s="18" t="inlineStr">
        <is>
          <t>배당금 지급</t>
        </is>
      </c>
      <c r="D241" s="20" t="n">
        <v>-290</v>
      </c>
      <c r="F241" s="20" t="n">
        <v>-145</v>
      </c>
      <c r="H241" s="20" t="n">
        <v>-291</v>
      </c>
      <c r="J241" s="20" t="n">
        <v>-145</v>
      </c>
      <c r="L241" s="20" t="n">
        <v>-291</v>
      </c>
      <c r="N241" s="20" t="n">
        <v>-138</v>
      </c>
      <c r="O241" s="20" t="n">
        <v>-359</v>
      </c>
      <c r="P241" s="20" t="n">
        <v>-359</v>
      </c>
      <c r="Q241" s="20" t="n">
        <v>-359</v>
      </c>
      <c r="R241" s="20" t="n">
        <v>-294</v>
      </c>
      <c r="S241" s="20" t="n">
        <v>-294</v>
      </c>
      <c r="T241" s="20" t="n">
        <v>-294</v>
      </c>
      <c r="U241" s="20" t="n">
        <v>-294</v>
      </c>
      <c r="V241" s="20" t="n">
        <v>-290</v>
      </c>
      <c r="W241" s="20" t="n">
        <v>-291</v>
      </c>
      <c r="X241" s="20" t="n">
        <v>-291</v>
      </c>
    </row>
    <row r="242">
      <c r="A242" s="18" t="inlineStr">
        <is>
          <t>금융리스부채 상환</t>
        </is>
      </c>
      <c r="D242" s="20" t="n">
        <v>-373</v>
      </c>
      <c r="H242" s="20" t="n">
        <v>-484</v>
      </c>
      <c r="L242" s="20" t="n">
        <v>-629</v>
      </c>
      <c r="O242" s="20" t="n">
        <v>-456</v>
      </c>
      <c r="P242" s="20" t="n">
        <v>-302</v>
      </c>
      <c r="Q242" s="20" t="n">
        <v>-261</v>
      </c>
      <c r="R242" s="20" t="n">
        <v>-320</v>
      </c>
      <c r="S242" s="20" t="n">
        <v>-399</v>
      </c>
      <c r="T242" s="20" t="n">
        <v>-340</v>
      </c>
      <c r="U242" s="20" t="n">
        <v>-294</v>
      </c>
      <c r="V242" s="20" t="n">
        <v>-373</v>
      </c>
      <c r="W242" s="20" t="n">
        <v>-484</v>
      </c>
      <c r="X242" s="20" t="n">
        <v>-629</v>
      </c>
    </row>
    <row r="243">
      <c r="A243" s="18" t="inlineStr">
        <is>
          <t>기타</t>
        </is>
      </c>
      <c r="F243" s="20" t="n">
        <v>-498</v>
      </c>
      <c r="J243" s="20" t="n">
        <v>-568</v>
      </c>
      <c r="N243" s="20" t="n">
        <v>-1064</v>
      </c>
    </row>
    <row r="244">
      <c r="A244" s="9" t="inlineStr">
        <is>
          <t>재무활동 현금흐름</t>
        </is>
      </c>
      <c r="D244" s="12" t="n">
        <v>2599</v>
      </c>
      <c r="F244" s="12" t="n">
        <v>-2343</v>
      </c>
      <c r="H244" s="12" t="n">
        <v>-1200</v>
      </c>
      <c r="J244" s="12" t="n">
        <v>-4094</v>
      </c>
      <c r="L244" s="12" t="n">
        <v>-7392</v>
      </c>
      <c r="N244" s="12" t="n">
        <v>-2103</v>
      </c>
      <c r="O244" s="12" t="n">
        <v>-3175</v>
      </c>
      <c r="P244" s="12" t="n">
        <v>-57</v>
      </c>
      <c r="Q244" s="12" t="n">
        <v>-1106</v>
      </c>
      <c r="R244" s="12" t="n">
        <v>-136</v>
      </c>
      <c r="S244" s="12" t="n">
        <v>-1550</v>
      </c>
      <c r="T244" s="12" t="n">
        <v>-699</v>
      </c>
      <c r="U244" s="12" t="n">
        <v>4402</v>
      </c>
      <c r="V244" s="12" t="n">
        <v>2599</v>
      </c>
      <c r="W244" s="12" t="n">
        <v>-1200</v>
      </c>
      <c r="X244" s="12" t="n">
        <v>-7392</v>
      </c>
    </row>
    <row r="245">
      <c r="A245" s="18" t="inlineStr">
        <is>
          <t>현금성자산 증감</t>
        </is>
      </c>
      <c r="D245" s="20" t="n">
        <v>685</v>
      </c>
      <c r="F245" s="20" t="n">
        <v>496</v>
      </c>
      <c r="H245" s="20" t="n">
        <v>-279</v>
      </c>
      <c r="J245" s="20" t="n">
        <v>535</v>
      </c>
      <c r="L245" s="20" t="n">
        <v>-382</v>
      </c>
      <c r="N245" s="20" t="n">
        <v>-1114</v>
      </c>
      <c r="O245" s="20" t="n">
        <v>688</v>
      </c>
      <c r="P245" s="20" t="n">
        <v>-1609</v>
      </c>
      <c r="Q245" s="20" t="n">
        <v>1336</v>
      </c>
      <c r="R245" s="20" t="n">
        <v>813</v>
      </c>
      <c r="S245" s="20" t="n">
        <v>538</v>
      </c>
      <c r="T245" s="20" t="n">
        <v>-1559</v>
      </c>
      <c r="U245" s="20" t="n">
        <v>-794</v>
      </c>
      <c r="V245" s="20" t="n">
        <v>685</v>
      </c>
      <c r="W245" s="20" t="n">
        <v>-279</v>
      </c>
      <c r="X245" s="20" t="n">
        <v>-382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41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야마자와 재무상태표</t>
        </is>
      </c>
    </row>
    <row r="2">
      <c r="A2" s="43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2026.2Q</t>
        </is>
      </c>
      <c r="D3" s="5" t="inlineStr">
        <is>
          <t>2026.3Q</t>
        </is>
      </c>
      <c r="E3" s="5" t="inlineStr">
        <is>
          <t>2026.4Q</t>
        </is>
      </c>
      <c r="F3" s="5" t="inlineStr">
        <is>
          <t>2027.1Q</t>
        </is>
      </c>
      <c r="G3" s="5" t="inlineStr">
        <is>
          <t>2027.2Q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15031</v>
      </c>
      <c r="D5" s="12" t="n">
        <v>15440</v>
      </c>
      <c r="E5" s="12" t="n">
        <v>14433</v>
      </c>
      <c r="F5" s="12" t="n">
        <v>15155</v>
      </c>
      <c r="G5" s="12" t="n">
        <v>12932</v>
      </c>
      <c r="H5" s="11" t="n">
        <v>12393</v>
      </c>
      <c r="I5" s="12" t="n">
        <v>12996</v>
      </c>
      <c r="J5" s="12" t="n">
        <v>14099</v>
      </c>
      <c r="K5" s="12" t="n">
        <v>14294</v>
      </c>
      <c r="L5" s="12" t="n">
        <v>14433</v>
      </c>
    </row>
    <row r="6">
      <c r="A6" s="18" t="inlineStr">
        <is>
          <t>현금및현금성자산</t>
        </is>
      </c>
      <c r="B6" s="10" t="n"/>
      <c r="C6" s="19" t="n">
        <v>6288</v>
      </c>
      <c r="D6" s="20" t="n">
        <v>6372</v>
      </c>
      <c r="E6" s="20" t="n">
        <v>5370</v>
      </c>
      <c r="F6" s="20" t="n">
        <v>6839</v>
      </c>
      <c r="G6" s="20" t="n">
        <v>4256</v>
      </c>
      <c r="H6" s="19" t="n">
        <v>6147</v>
      </c>
      <c r="I6" s="20" t="n">
        <v>5352</v>
      </c>
      <c r="J6" s="20" t="n">
        <v>6033</v>
      </c>
      <c r="K6" s="20" t="n">
        <v>5753</v>
      </c>
      <c r="L6" s="20" t="n">
        <v>5370</v>
      </c>
    </row>
    <row r="7">
      <c r="A7" s="18" t="inlineStr">
        <is>
          <t>단기금융상품</t>
        </is>
      </c>
      <c r="B7" s="10" t="n"/>
      <c r="C7" s="19" t="n"/>
      <c r="D7" s="20" t="n"/>
      <c r="E7" s="20" t="n"/>
      <c r="F7" s="20" t="n"/>
      <c r="G7" s="20" t="n"/>
      <c r="H7" s="19" t="n"/>
      <c r="I7" s="20" t="n"/>
      <c r="J7" s="20" t="n"/>
      <c r="K7" s="20" t="n"/>
      <c r="L7" s="20" t="n"/>
    </row>
    <row r="8">
      <c r="A8" s="18" t="inlineStr">
        <is>
          <t>매출채권</t>
        </is>
      </c>
      <c r="B8" s="10" t="n"/>
      <c r="C8" s="19" t="n">
        <v>865</v>
      </c>
      <c r="D8" s="20" t="n">
        <v>850</v>
      </c>
      <c r="E8" s="20" t="n">
        <v>837</v>
      </c>
      <c r="F8" s="20" t="n">
        <v>914</v>
      </c>
      <c r="G8" s="20" t="n">
        <v>935</v>
      </c>
      <c r="H8" s="19" t="n">
        <v>741</v>
      </c>
      <c r="I8" s="20" t="n">
        <v>751</v>
      </c>
      <c r="J8" s="20" t="n">
        <v>788</v>
      </c>
      <c r="K8" s="20" t="n">
        <v>813</v>
      </c>
      <c r="L8" s="20" t="n">
        <v>837</v>
      </c>
    </row>
    <row r="9">
      <c r="A9" s="18" t="inlineStr">
        <is>
          <t>재고자산</t>
        </is>
      </c>
      <c r="B9" s="10" t="n"/>
      <c r="C9" s="19" t="n">
        <v>4433</v>
      </c>
      <c r="D9" s="20" t="n">
        <v>5093</v>
      </c>
      <c r="E9" s="20" t="n">
        <v>4516</v>
      </c>
      <c r="F9" s="20" t="n">
        <v>4276</v>
      </c>
      <c r="G9" s="20" t="n">
        <v>4295</v>
      </c>
      <c r="H9" s="19" t="n">
        <v>3936</v>
      </c>
      <c r="I9" s="20" t="n">
        <v>4271</v>
      </c>
      <c r="J9" s="20" t="n">
        <v>4502</v>
      </c>
      <c r="K9" s="20" t="n">
        <v>4672</v>
      </c>
      <c r="L9" s="20" t="n">
        <v>4516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41075</v>
      </c>
      <c r="D11" s="12" t="n">
        <v>41000</v>
      </c>
      <c r="E11" s="12" t="n">
        <v>37525</v>
      </c>
      <c r="F11" s="12" t="n">
        <v>37541</v>
      </c>
      <c r="G11" s="12" t="n">
        <v>37326</v>
      </c>
      <c r="H11" s="11" t="n">
        <v>36980</v>
      </c>
      <c r="I11" s="12" t="n">
        <v>41262</v>
      </c>
      <c r="J11" s="12" t="n">
        <v>44086</v>
      </c>
      <c r="K11" s="12" t="n">
        <v>41282</v>
      </c>
      <c r="L11" s="12" t="n">
        <v>37525</v>
      </c>
    </row>
    <row r="12">
      <c r="A12" s="18" t="inlineStr">
        <is>
          <t>유형자산</t>
        </is>
      </c>
      <c r="B12" s="10" t="n"/>
      <c r="C12" s="19" t="n">
        <v>34363</v>
      </c>
      <c r="D12" s="20" t="n">
        <v>34196</v>
      </c>
      <c r="E12" s="20" t="n">
        <v>31433</v>
      </c>
      <c r="F12" s="20" t="n">
        <v>31169</v>
      </c>
      <c r="G12" s="20" t="n">
        <v>30760</v>
      </c>
      <c r="H12" s="19" t="n">
        <v>31728</v>
      </c>
      <c r="I12" s="20" t="n">
        <v>35767</v>
      </c>
      <c r="J12" s="20" t="n">
        <v>37658</v>
      </c>
      <c r="K12" s="20" t="n">
        <v>34964</v>
      </c>
      <c r="L12" s="20" t="n">
        <v>31433</v>
      </c>
    </row>
    <row r="13">
      <c r="A13" s="18" t="inlineStr">
        <is>
          <t>무형자산</t>
        </is>
      </c>
      <c r="B13" s="10" t="n"/>
      <c r="C13" s="19" t="n">
        <v>2468</v>
      </c>
      <c r="D13" s="20" t="n">
        <v>2452</v>
      </c>
      <c r="E13" s="20" t="n">
        <v>2483</v>
      </c>
      <c r="F13" s="20" t="n">
        <v>2422</v>
      </c>
      <c r="G13" s="20" t="n">
        <v>2588</v>
      </c>
      <c r="H13" s="19" t="n">
        <v>1367</v>
      </c>
      <c r="I13" s="20" t="n">
        <v>1245</v>
      </c>
      <c r="J13" s="20" t="n">
        <v>1921</v>
      </c>
      <c r="K13" s="20" t="n">
        <v>2295</v>
      </c>
      <c r="L13" s="20" t="n">
        <v>2483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56106</v>
      </c>
      <c r="D16" s="12" t="n">
        <v>56441</v>
      </c>
      <c r="E16" s="12" t="n">
        <v>51958</v>
      </c>
      <c r="F16" s="12" t="n">
        <v>52696</v>
      </c>
      <c r="G16" s="12" t="n">
        <v>50258</v>
      </c>
      <c r="H16" s="11" t="n">
        <v>49373</v>
      </c>
      <c r="I16" s="12" t="n">
        <v>54259</v>
      </c>
      <c r="J16" s="12" t="n">
        <v>58186</v>
      </c>
      <c r="K16" s="12" t="n">
        <v>55577</v>
      </c>
      <c r="L16" s="12" t="n">
        <v>51958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20865</v>
      </c>
      <c r="D18" s="12" t="n">
        <v>21174</v>
      </c>
      <c r="E18" s="12" t="n">
        <v>17196</v>
      </c>
      <c r="F18" s="12" t="n">
        <v>17886</v>
      </c>
      <c r="G18" s="12" t="n">
        <v>15152</v>
      </c>
      <c r="H18" s="11" t="n">
        <v>16327</v>
      </c>
      <c r="I18" s="12" t="n">
        <v>20924</v>
      </c>
      <c r="J18" s="12" t="n">
        <v>20386</v>
      </c>
      <c r="K18" s="12" t="n">
        <v>21076</v>
      </c>
      <c r="L18" s="12" t="n">
        <v>17196</v>
      </c>
    </row>
    <row r="19">
      <c r="A19" s="18" t="inlineStr">
        <is>
          <t>매입채무</t>
        </is>
      </c>
      <c r="B19" s="10" t="n"/>
      <c r="C19" s="19" t="n">
        <v>9390</v>
      </c>
      <c r="D19" s="20" t="n">
        <v>9195</v>
      </c>
      <c r="E19" s="20" t="n">
        <v>7882</v>
      </c>
      <c r="F19" s="20" t="n">
        <v>8229</v>
      </c>
      <c r="G19" s="20" t="n">
        <v>7568</v>
      </c>
      <c r="H19" s="19" t="n">
        <v>6914</v>
      </c>
      <c r="I19" s="20" t="n">
        <v>6741</v>
      </c>
      <c r="J19" s="20" t="n">
        <v>6766</v>
      </c>
      <c r="K19" s="20" t="n">
        <v>6951</v>
      </c>
      <c r="L19" s="20" t="n">
        <v>7882</v>
      </c>
    </row>
    <row r="20">
      <c r="A20" s="18" t="inlineStr">
        <is>
          <t>단기차입금</t>
        </is>
      </c>
      <c r="B20" s="10" t="n"/>
      <c r="C20" s="19" t="n">
        <v>4600</v>
      </c>
      <c r="D20" s="20" t="n">
        <v>4600</v>
      </c>
      <c r="E20" s="20" t="n">
        <v>2200</v>
      </c>
      <c r="F20" s="20" t="n">
        <v>2100</v>
      </c>
      <c r="G20" s="20" t="n">
        <v>1300</v>
      </c>
      <c r="H20" s="19" t="n">
        <v>3000</v>
      </c>
      <c r="I20" s="20" t="n">
        <v>7400</v>
      </c>
      <c r="J20" s="20" t="n">
        <v>8000</v>
      </c>
      <c r="K20" s="20" t="n">
        <v>8100</v>
      </c>
      <c r="L20" s="20" t="n">
        <v>2200</v>
      </c>
    </row>
    <row r="21">
      <c r="A21" s="18" t="inlineStr">
        <is>
          <t>유동성장기부채</t>
        </is>
      </c>
      <c r="B21" s="10" t="n"/>
      <c r="C21" s="19" t="n">
        <v>491</v>
      </c>
      <c r="D21" s="20" t="n">
        <v>477</v>
      </c>
      <c r="E21" s="20" t="n">
        <v>984</v>
      </c>
      <c r="F21" s="20" t="n">
        <v>984</v>
      </c>
      <c r="G21" s="20" t="n">
        <v>484</v>
      </c>
      <c r="H21" s="19" t="n">
        <v>156</v>
      </c>
      <c r="I21" s="20" t="n">
        <v>234</v>
      </c>
      <c r="J21" s="20" t="n">
        <v>447</v>
      </c>
      <c r="K21" s="20" t="n">
        <v>508</v>
      </c>
      <c r="L21" s="20" t="n">
        <v>984</v>
      </c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8622</v>
      </c>
      <c r="D23" s="12" t="n">
        <v>8644</v>
      </c>
      <c r="E23" s="12" t="n">
        <v>8017</v>
      </c>
      <c r="F23" s="12" t="n">
        <v>7900</v>
      </c>
      <c r="G23" s="12" t="n">
        <v>7719</v>
      </c>
      <c r="H23" s="11" t="n">
        <v>4233</v>
      </c>
      <c r="I23" s="12" t="n">
        <v>4697</v>
      </c>
      <c r="J23" s="12" t="n">
        <v>8939</v>
      </c>
      <c r="K23" s="12" t="n">
        <v>8531</v>
      </c>
      <c r="L23" s="12" t="n">
        <v>8017</v>
      </c>
    </row>
    <row r="24">
      <c r="A24" s="18" t="inlineStr">
        <is>
          <t>장기차입금</t>
        </is>
      </c>
      <c r="B24" s="10" t="n"/>
      <c r="C24" s="19" t="n">
        <v>3493</v>
      </c>
      <c r="D24" s="20" t="n">
        <v>3374</v>
      </c>
      <c r="E24" s="20" t="n">
        <v>3117</v>
      </c>
      <c r="F24" s="20" t="n">
        <v>2996</v>
      </c>
      <c r="G24" s="20" t="n">
        <v>2861</v>
      </c>
      <c r="H24" s="19" t="n">
        <v>1039</v>
      </c>
      <c r="I24" s="20" t="n">
        <v>1756</v>
      </c>
      <c r="J24" s="20" t="n">
        <v>4206</v>
      </c>
      <c r="K24" s="20" t="n">
        <v>3620</v>
      </c>
      <c r="L24" s="20" t="n">
        <v>3117</v>
      </c>
    </row>
    <row r="25">
      <c r="A25" s="18" t="inlineStr">
        <is>
          <t>사채</t>
        </is>
      </c>
      <c r="B25" s="10" t="n"/>
      <c r="C25" s="19" t="n"/>
      <c r="D25" s="20" t="n"/>
      <c r="E25" s="20" t="n"/>
      <c r="F25" s="20" t="n"/>
      <c r="G25" s="20" t="n"/>
      <c r="H25" s="19" t="n"/>
      <c r="I25" s="20" t="n"/>
      <c r="J25" s="20" t="n"/>
      <c r="K25" s="20" t="n"/>
      <c r="L25" s="20" t="n"/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29487</v>
      </c>
      <c r="D27" s="12" t="n">
        <v>29819</v>
      </c>
      <c r="E27" s="12" t="n">
        <v>25213</v>
      </c>
      <c r="F27" s="12" t="n">
        <v>25786</v>
      </c>
      <c r="G27" s="12" t="n">
        <v>22871</v>
      </c>
      <c r="H27" s="11" t="n">
        <v>20561</v>
      </c>
      <c r="I27" s="12" t="n">
        <v>25622</v>
      </c>
      <c r="J27" s="12" t="n">
        <v>29326</v>
      </c>
      <c r="K27" s="12" t="n">
        <v>29608</v>
      </c>
      <c r="L27" s="12" t="n">
        <v>25213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26609</v>
      </c>
      <c r="D31" s="12" t="n">
        <v>26611</v>
      </c>
      <c r="E31" s="12" t="n">
        <v>26734</v>
      </c>
      <c r="F31" s="12" t="n">
        <v>26900</v>
      </c>
      <c r="G31" s="12" t="n">
        <v>27376</v>
      </c>
      <c r="H31" s="11" t="n">
        <v>28800</v>
      </c>
      <c r="I31" s="12" t="n">
        <v>28624</v>
      </c>
      <c r="J31" s="12" t="n">
        <v>28849</v>
      </c>
      <c r="K31" s="12" t="n">
        <v>25959</v>
      </c>
      <c r="L31" s="12" t="n">
        <v>26734</v>
      </c>
    </row>
    <row r="32">
      <c r="A32" s="18" t="inlineStr">
        <is>
          <t>자본금</t>
        </is>
      </c>
      <c r="B32" s="10" t="n"/>
      <c r="C32" s="19" t="n">
        <v>2388</v>
      </c>
      <c r="D32" s="20" t="n">
        <v>2388</v>
      </c>
      <c r="E32" s="20" t="n">
        <v>2388</v>
      </c>
      <c r="F32" s="20" t="n">
        <v>2388</v>
      </c>
      <c r="G32" s="20" t="n">
        <v>2388</v>
      </c>
      <c r="H32" s="19" t="n">
        <v>2388</v>
      </c>
      <c r="I32" s="20" t="n">
        <v>2388</v>
      </c>
      <c r="J32" s="20" t="n">
        <v>2388</v>
      </c>
      <c r="K32" s="20" t="n">
        <v>2388</v>
      </c>
      <c r="L32" s="20" t="n">
        <v>2388</v>
      </c>
    </row>
    <row r="33">
      <c r="A33" s="18" t="inlineStr">
        <is>
          <t>이익잉여금</t>
        </is>
      </c>
      <c r="B33" s="10" t="n"/>
      <c r="C33" s="19" t="n">
        <v>22068</v>
      </c>
      <c r="D33" s="20" t="n">
        <v>22028</v>
      </c>
      <c r="E33" s="20" t="n">
        <v>22546</v>
      </c>
      <c r="F33" s="20" t="n">
        <v>22705</v>
      </c>
      <c r="G33" s="20" t="n">
        <v>23064</v>
      </c>
      <c r="H33" s="19" t="n">
        <v>24247</v>
      </c>
      <c r="I33" s="20" t="n">
        <v>24207</v>
      </c>
      <c r="J33" s="20" t="n">
        <v>24368</v>
      </c>
      <c r="K33" s="20" t="n">
        <v>21459</v>
      </c>
      <c r="L33" s="20" t="n">
        <v>22546</v>
      </c>
    </row>
    <row r="34">
      <c r="A34" s="18" t="inlineStr">
        <is>
          <t>비지배지분</t>
        </is>
      </c>
      <c r="B34" s="10" t="n"/>
      <c r="C34" s="19" t="n"/>
      <c r="D34" s="20" t="n"/>
      <c r="E34" s="20" t="n"/>
      <c r="F34" s="20" t="n"/>
      <c r="G34" s="20" t="n"/>
      <c r="H34" s="19" t="n"/>
      <c r="I34" s="20" t="n"/>
      <c r="J34" s="20" t="n"/>
      <c r="K34" s="20" t="n"/>
      <c r="L34" s="20" t="n"/>
    </row>
    <row r="35">
      <c r="A35" s="9" t="inlineStr">
        <is>
          <t>자본총계</t>
        </is>
      </c>
      <c r="B35" s="10" t="n"/>
      <c r="C35" s="11" t="n">
        <v>26619</v>
      </c>
      <c r="D35" s="12" t="n">
        <v>26621</v>
      </c>
      <c r="E35" s="12" t="n">
        <v>26744</v>
      </c>
      <c r="F35" s="12" t="n">
        <v>26910</v>
      </c>
      <c r="G35" s="12" t="n">
        <v>27386</v>
      </c>
      <c r="H35" s="11" t="n">
        <v>28812</v>
      </c>
      <c r="I35" s="12" t="n">
        <v>28636</v>
      </c>
      <c r="J35" s="12" t="n">
        <v>28859</v>
      </c>
      <c r="K35" s="12" t="n">
        <v>25969</v>
      </c>
      <c r="L35" s="12" t="n">
        <v>26744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>
        <v>4307</v>
      </c>
      <c r="D37" s="12" t="n"/>
      <c r="E37" s="12" t="n">
        <v>5950</v>
      </c>
      <c r="F37" s="12" t="n"/>
      <c r="G37" s="12" t="n">
        <v>2342</v>
      </c>
      <c r="H37" s="11" t="n">
        <v>2253</v>
      </c>
      <c r="I37" s="12" t="n">
        <v>1931</v>
      </c>
      <c r="J37" s="12" t="n">
        <v>1628</v>
      </c>
      <c r="K37" s="12" t="n">
        <v>3317</v>
      </c>
      <c r="L37" s="12" t="n">
        <v>5950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>
        <v>857</v>
      </c>
      <c r="D38" s="20" t="n"/>
      <c r="E38" s="20" t="n">
        <v>1067</v>
      </c>
      <c r="F38" s="20" t="n"/>
      <c r="G38" s="20" t="n">
        <v>797</v>
      </c>
      <c r="H38" s="19" t="n">
        <v>2856</v>
      </c>
      <c r="I38" s="20" t="n">
        <v>6173</v>
      </c>
      <c r="J38" s="20" t="n">
        <v>3491</v>
      </c>
      <c r="K38" s="20" t="n">
        <v>2600</v>
      </c>
      <c r="L38" s="20" t="n">
        <v>1067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>
        <v>291</v>
      </c>
      <c r="D40" s="20" t="n"/>
      <c r="E40" s="20" t="n">
        <v>291</v>
      </c>
      <c r="F40" s="20" t="n"/>
      <c r="G40" s="20" t="n">
        <v>284</v>
      </c>
      <c r="H40" s="19" t="n">
        <v>294</v>
      </c>
      <c r="I40" s="20" t="n">
        <v>294</v>
      </c>
      <c r="J40" s="20" t="n">
        <v>290</v>
      </c>
      <c r="K40" s="20" t="n">
        <v>291</v>
      </c>
      <c r="L40" s="20" t="n">
        <v>291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4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4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4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4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4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4" t="inlineStr">
        <is>
          <t>이자보상배율</t>
        </is>
      </c>
      <c r="B48" s="10" t="inlineStr">
        <is>
          <t>5x↑ (금융원가 기준)</t>
        </is>
      </c>
      <c r="C48" s="30">
        <f>IFERROR((IF(COUNT('연간'!G25:J25)&lt;4,"",SUM('연간'!G25:J25)))/(IF(COUNT('연간'!G47:J47)&lt;4,"",SUM('연간'!G47:J47))),"")</f>
        <v/>
      </c>
      <c r="D48" s="31">
        <f>IFERROR((IF(COUNT('연간'!H25:K25)&lt;4,"",SUM('연간'!H25:K25)))/(IF(COUNT('연간'!H47:K47)&lt;4,"",SUM('연간'!H47:K47))),"")</f>
        <v/>
      </c>
      <c r="E48" s="31">
        <f>IFERROR((IF(COUNT('연간'!I25:L25)&lt;4,"",SUM('연간'!I25:L25)))/(IF(COUNT('연간'!I47:L47)&lt;4,"",SUM('연간'!I47:L47))),"")</f>
        <v/>
      </c>
      <c r="F48" s="31">
        <f>IFERROR((IF(COUNT('연간'!J25:M25)&lt;4,"",SUM('연간'!J25:M25)))/(IF(COUNT('연간'!J47:M47)&lt;4,"",SUM('연간'!J47:M47))),"")</f>
        <v/>
      </c>
      <c r="G48" s="31">
        <f>IFERROR((IF(COUNT('연간'!K25:N25)&lt;4,"",SUM('연간'!K25:N25)))/(IF(COUNT('연간'!K47:N47)&lt;4,"",SUM('연간'!K47:N47))),"")</f>
        <v/>
      </c>
      <c r="H48" s="30">
        <f>IFERROR(('연간'!T25)/('연간'!T47),"")</f>
        <v/>
      </c>
      <c r="I48" s="31">
        <f>IFERROR(('연간'!U25)/('연간'!U47),"")</f>
        <v/>
      </c>
      <c r="J48" s="31">
        <f>IFERROR(('연간'!V25)/('연간'!V47),"")</f>
        <v/>
      </c>
      <c r="K48" s="31">
        <f>IFERROR(('연간'!W25)/('연간'!W47),"")</f>
        <v/>
      </c>
      <c r="L48" s="31">
        <f>IFERROR(('연간'!X25)/('연간'!X47),"")</f>
        <v/>
      </c>
    </row>
    <row r="49">
      <c r="A49" s="44" t="inlineStr">
        <is>
          <t>차입금 상환연수</t>
        </is>
      </c>
      <c r="B49" s="10" t="inlineStr">
        <is>
          <t>4년↓ (버핏)</t>
        </is>
      </c>
      <c r="C49" s="45">
        <f>IFERROR(IF((IF(COUNT('연간'!G53:J53)&lt;4,"",SUM('연간'!G53:J53)))&lt;=0,"적자",C28/(IF(COUNT('연간'!G53:J53)&lt;4,"",SUM('연간'!G53:J53)))),"")</f>
        <v/>
      </c>
      <c r="D49" s="46">
        <f>IFERROR(IF((IF(COUNT('연간'!H53:K53)&lt;4,"",SUM('연간'!H53:K53)))&lt;=0,"적자",D28/(IF(COUNT('연간'!H53:K53)&lt;4,"",SUM('연간'!H53:K53)))),"")</f>
        <v/>
      </c>
      <c r="E49" s="46">
        <f>IFERROR(IF((IF(COUNT('연간'!I53:L53)&lt;4,"",SUM('연간'!I53:L53)))&lt;=0,"적자",E28/(IF(COUNT('연간'!I53:L53)&lt;4,"",SUM('연간'!I53:L53)))),"")</f>
        <v/>
      </c>
      <c r="F49" s="46">
        <f>IFERROR(IF((IF(COUNT('연간'!J53:M53)&lt;4,"",SUM('연간'!J53:M53)))&lt;=0,"적자",F28/(IF(COUNT('연간'!J53:M53)&lt;4,"",SUM('연간'!J53:M53)))),"")</f>
        <v/>
      </c>
      <c r="G49" s="46">
        <f>IFERROR(IF((IF(COUNT('연간'!K53:N53)&lt;4,"",SUM('연간'!K53:N53)))&lt;=0,"적자",G28/(IF(COUNT('연간'!K53:N53)&lt;4,"",SUM('연간'!K53:N53)))),"")</f>
        <v/>
      </c>
      <c r="H49" s="45">
        <f>IFERROR(IF(('연간'!T53)&lt;=0,"적자",H28/('연간'!T53)),"")</f>
        <v/>
      </c>
      <c r="I49" s="46">
        <f>IFERROR(IF(('연간'!U53)&lt;=0,"적자",I28/('연간'!U53)),"")</f>
        <v/>
      </c>
      <c r="J49" s="46">
        <f>IFERROR(IF(('연간'!V53)&lt;=0,"적자",J28/('연간'!V53)),"")</f>
        <v/>
      </c>
      <c r="K49" s="46">
        <f>IFERROR(IF(('연간'!W53)&lt;=0,"적자",K28/('연간'!W53)),"")</f>
        <v/>
      </c>
      <c r="L49" s="46">
        <f>IFERROR(IF(('연간'!X53)&lt;=0,"적자",L28/('연간'!X53)),"")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4" t="inlineStr">
        <is>
          <t>ROE</t>
        </is>
      </c>
      <c r="B51" s="10" t="inlineStr">
        <is>
          <t>15%↑ (버핏)</t>
        </is>
      </c>
      <c r="C51" s="35">
        <f>IFERROR((IF(COUNT('연간'!G53:J53)&lt;4,"",SUM('연간'!G53:J53)))/C31,"")</f>
        <v/>
      </c>
      <c r="D51" s="36">
        <f>IFERROR((IF(COUNT('연간'!H53:K53)&lt;4,"",SUM('연간'!H53:K53)))/D31,"")</f>
        <v/>
      </c>
      <c r="E51" s="36">
        <f>IFERROR((IF(COUNT('연간'!I53:L53)&lt;4,"",SUM('연간'!I53:L53)))/E31,"")</f>
        <v/>
      </c>
      <c r="F51" s="36">
        <f>IFERROR((IF(COUNT('연간'!J53:M53)&lt;4,"",SUM('연간'!J53:M53)))/F31,"")</f>
        <v/>
      </c>
      <c r="G51" s="36">
        <f>IFERROR((IF(COUNT('연간'!K53:N53)&lt;4,"",SUM('연간'!K53:N53)))/G31,"")</f>
        <v/>
      </c>
      <c r="H51" s="35">
        <f>IFERROR(('연간'!T53)/H31,"")</f>
        <v/>
      </c>
      <c r="I51" s="36">
        <f>IFERROR(('연간'!U53)/I31,"")</f>
        <v/>
      </c>
      <c r="J51" s="36">
        <f>IFERROR(('연간'!V53)/J31,"")</f>
        <v/>
      </c>
      <c r="K51" s="36">
        <f>IFERROR(('연간'!W53)/K31,"")</f>
        <v/>
      </c>
      <c r="L51" s="36">
        <f>IFERROR(('연간'!X53)/L31,"")</f>
        <v/>
      </c>
    </row>
    <row r="52">
      <c r="A52" s="44" t="inlineStr">
        <is>
          <t>ROA</t>
        </is>
      </c>
      <c r="B52" s="10" t="inlineStr">
        <is>
          <t>5%↑</t>
        </is>
      </c>
      <c r="C52" s="35">
        <f>IFERROR((IF(COUNT('연간'!G52:J52)&lt;4,"",SUM('연간'!G52:J52)))/C16,"")</f>
        <v/>
      </c>
      <c r="D52" s="36">
        <f>IFERROR((IF(COUNT('연간'!H52:K52)&lt;4,"",SUM('연간'!H52:K52)))/D16,"")</f>
        <v/>
      </c>
      <c r="E52" s="36">
        <f>IFERROR((IF(COUNT('연간'!I52:L52)&lt;4,"",SUM('연간'!I52:L52)))/E16,"")</f>
        <v/>
      </c>
      <c r="F52" s="36">
        <f>IFERROR((IF(COUNT('연간'!J52:M52)&lt;4,"",SUM('연간'!J52:M52)))/F16,"")</f>
        <v/>
      </c>
      <c r="G52" s="36">
        <f>IFERROR((IF(COUNT('연간'!K52:N52)&lt;4,"",SUM('연간'!K52:N52)))/G16,"")</f>
        <v/>
      </c>
      <c r="H52" s="35">
        <f>IFERROR(('연간'!T52)/H16,"")</f>
        <v/>
      </c>
      <c r="I52" s="36">
        <f>IFERROR(('연간'!U52)/I16,"")</f>
        <v/>
      </c>
      <c r="J52" s="36">
        <f>IFERROR(('연간'!V52)/J16,"")</f>
        <v/>
      </c>
      <c r="K52" s="36">
        <f>IFERROR(('연간'!W52)/K16,"")</f>
        <v/>
      </c>
      <c r="L52" s="36">
        <f>IFERROR(('연간'!X52)/L16,"")</f>
        <v/>
      </c>
    </row>
    <row r="53">
      <c r="A53" s="44" t="inlineStr">
        <is>
          <t>ROIC</t>
        </is>
      </c>
      <c r="B53" s="10" t="inlineStr">
        <is>
          <t>10%↑ (세후영업이익 기준)</t>
        </is>
      </c>
      <c r="C53" s="35">
        <f>IFERROR((IF(COUNT('연간'!G25:J25)&lt;4,"",SUM('연간'!G25:J25)))*(1-0.3)/(C35+C29),"")</f>
        <v/>
      </c>
      <c r="D53" s="36">
        <f>IFERROR((IF(COUNT('연간'!H25:K25)&lt;4,"",SUM('연간'!H25:K25)))*(1-0.3)/(D35+D29),"")</f>
        <v/>
      </c>
      <c r="E53" s="36">
        <f>IFERROR((IF(COUNT('연간'!I25:L25)&lt;4,"",SUM('연간'!I25:L25)))*(1-0.3)/(E35+E29),"")</f>
        <v/>
      </c>
      <c r="F53" s="36">
        <f>IFERROR((IF(COUNT('연간'!J25:M25)&lt;4,"",SUM('연간'!J25:M25)))*(1-0.3)/(F35+F29),"")</f>
        <v/>
      </c>
      <c r="G53" s="36">
        <f>IFERROR((IF(COUNT('연간'!K25:N25)&lt;4,"",SUM('연간'!K25:N25)))*(1-0.3)/(G35+G29),"")</f>
        <v/>
      </c>
      <c r="H53" s="35">
        <f>IFERROR(('연간'!T25)*(1-0.3)/(H35+H29),"")</f>
        <v/>
      </c>
      <c r="I53" s="36">
        <f>IFERROR(('연간'!U25)*(1-0.3)/(I35+I29),"")</f>
        <v/>
      </c>
      <c r="J53" s="36">
        <f>IFERROR(('연간'!V25)*(1-0.3)/(J35+J29),"")</f>
        <v/>
      </c>
      <c r="K53" s="36">
        <f>IFERROR(('연간'!W25)*(1-0.3)/(K35+K29),"")</f>
        <v/>
      </c>
      <c r="L53" s="36">
        <f>IFERROR(('연간'!X25)*(1-0.3)/(L35+L29),"")</f>
        <v/>
      </c>
    </row>
    <row r="54">
      <c r="A54" s="44" t="inlineStr">
        <is>
          <t>매출총이익률 (GPM)</t>
        </is>
      </c>
      <c r="B54" s="10" t="inlineStr">
        <is>
          <t>40%↑ (해자 신호)</t>
        </is>
      </c>
      <c r="C54" s="35">
        <f>IFERROR((IF(COUNT('연간'!G21:J21)&lt;4,"",SUM('연간'!G21:J21)))/(IF(COUNT('연간'!G4:J4)&lt;4,"",SUM('연간'!G4:J4))),"")</f>
        <v/>
      </c>
      <c r="D54" s="36">
        <f>IFERROR((IF(COUNT('연간'!H21:K21)&lt;4,"",SUM('연간'!H21:K21)))/(IF(COUNT('연간'!H4:K4)&lt;4,"",SUM('연간'!H4:K4))),"")</f>
        <v/>
      </c>
      <c r="E54" s="36">
        <f>IFERROR((IF(COUNT('연간'!I21:L21)&lt;4,"",SUM('연간'!I21:L21)))/(IF(COUNT('연간'!I4:L4)&lt;4,"",SUM('연간'!I4:L4))),"")</f>
        <v/>
      </c>
      <c r="F54" s="36">
        <f>IFERROR((IF(COUNT('연간'!J21:M21)&lt;4,"",SUM('연간'!J21:M21)))/(IF(COUNT('연간'!J4:M4)&lt;4,"",SUM('연간'!J4:M4))),"")</f>
        <v/>
      </c>
      <c r="G54" s="36">
        <f>IFERROR((IF(COUNT('연간'!K21:N21)&lt;4,"",SUM('연간'!K21:N21)))/(IF(COUNT('연간'!K4:N4)&lt;4,"",SUM('연간'!K4:N4))),"")</f>
        <v/>
      </c>
      <c r="H54" s="35">
        <f>IFERROR(('연간'!T21)/('연간'!T4),"")</f>
        <v/>
      </c>
      <c r="I54" s="36">
        <f>IFERROR(('연간'!U21)/('연간'!U4),"")</f>
        <v/>
      </c>
      <c r="J54" s="36">
        <f>IFERROR(('연간'!V21)/('연간'!V4),"")</f>
        <v/>
      </c>
      <c r="K54" s="36">
        <f>IFERROR(('연간'!W21)/('연간'!W4),"")</f>
        <v/>
      </c>
      <c r="L54" s="36">
        <f>IFERROR(('연간'!X21)/('연간'!X4),"")</f>
        <v/>
      </c>
    </row>
    <row r="55">
      <c r="A55" s="44" t="inlineStr">
        <is>
          <t>영업이익률 (OPM)</t>
        </is>
      </c>
      <c r="B55" s="10" t="inlineStr">
        <is>
          <t>15%↑</t>
        </is>
      </c>
      <c r="C55" s="35">
        <f>IFERROR((IF(COUNT('연간'!G25:J25)&lt;4,"",SUM('연간'!G25:J25)))/(IF(COUNT('연간'!G4:J4)&lt;4,"",SUM('연간'!G4:J4))),"")</f>
        <v/>
      </c>
      <c r="D55" s="36">
        <f>IFERROR((IF(COUNT('연간'!H25:K25)&lt;4,"",SUM('연간'!H25:K25)))/(IF(COUNT('연간'!H4:K4)&lt;4,"",SUM('연간'!H4:K4))),"")</f>
        <v/>
      </c>
      <c r="E55" s="36">
        <f>IFERROR((IF(COUNT('연간'!I25:L25)&lt;4,"",SUM('연간'!I25:L25)))/(IF(COUNT('연간'!I4:L4)&lt;4,"",SUM('연간'!I4:L4))),"")</f>
        <v/>
      </c>
      <c r="F55" s="36">
        <f>IFERROR((IF(COUNT('연간'!J25:M25)&lt;4,"",SUM('연간'!J25:M25)))/(IF(COUNT('연간'!J4:M4)&lt;4,"",SUM('연간'!J4:M4))),"")</f>
        <v/>
      </c>
      <c r="G55" s="36">
        <f>IFERROR((IF(COUNT('연간'!K25:N25)&lt;4,"",SUM('연간'!K25:N25)))/(IF(COUNT('연간'!K4:N4)&lt;4,"",SUM('연간'!K4:N4))),"")</f>
        <v/>
      </c>
      <c r="H55" s="35">
        <f>IFERROR(('연간'!T25)/('연간'!T4),"")</f>
        <v/>
      </c>
      <c r="I55" s="36">
        <f>IFERROR(('연간'!U25)/('연간'!U4),"")</f>
        <v/>
      </c>
      <c r="J55" s="36">
        <f>IFERROR(('연간'!V25)/('연간'!V4),"")</f>
        <v/>
      </c>
      <c r="K55" s="36">
        <f>IFERROR(('연간'!W25)/('연간'!W4),"")</f>
        <v/>
      </c>
      <c r="L55" s="36">
        <f>IFERROR(('연간'!X25)/('연간'!X4),"")</f>
        <v/>
      </c>
    </row>
    <row r="56">
      <c r="A56" s="44" t="inlineStr">
        <is>
          <t>순이익률</t>
        </is>
      </c>
      <c r="B56" s="10" t="inlineStr">
        <is>
          <t>10%↑</t>
        </is>
      </c>
      <c r="C56" s="35">
        <f>IFERROR((IF(COUNT('연간'!G52:J52)&lt;4,"",SUM('연간'!G52:J52)))/(IF(COUNT('연간'!G4:J4)&lt;4,"",SUM('연간'!G4:J4))),"")</f>
        <v/>
      </c>
      <c r="D56" s="36">
        <f>IFERROR((IF(COUNT('연간'!H52:K52)&lt;4,"",SUM('연간'!H52:K52)))/(IF(COUNT('연간'!H4:K4)&lt;4,"",SUM('연간'!H4:K4))),"")</f>
        <v/>
      </c>
      <c r="E56" s="36">
        <f>IFERROR((IF(COUNT('연간'!I52:L52)&lt;4,"",SUM('연간'!I52:L52)))/(IF(COUNT('연간'!I4:L4)&lt;4,"",SUM('연간'!I4:L4))),"")</f>
        <v/>
      </c>
      <c r="F56" s="36">
        <f>IFERROR((IF(COUNT('연간'!J52:M52)&lt;4,"",SUM('연간'!J52:M52)))/(IF(COUNT('연간'!J4:M4)&lt;4,"",SUM('연간'!J4:M4))),"")</f>
        <v/>
      </c>
      <c r="G56" s="36">
        <f>IFERROR((IF(COUNT('연간'!K52:N52)&lt;4,"",SUM('연간'!K52:N52)))/(IF(COUNT('연간'!K4:N4)&lt;4,"",SUM('연간'!K4:N4))),"")</f>
        <v/>
      </c>
      <c r="H56" s="35">
        <f>IFERROR(('연간'!T52)/('연간'!T4),"")</f>
        <v/>
      </c>
      <c r="I56" s="36">
        <f>IFERROR(('연간'!U52)/('연간'!U4),"")</f>
        <v/>
      </c>
      <c r="J56" s="36">
        <f>IFERROR(('연간'!V52)/('연간'!V4),"")</f>
        <v/>
      </c>
      <c r="K56" s="36">
        <f>IFERROR(('연간'!W52)/('연간'!W4),"")</f>
        <v/>
      </c>
      <c r="L56" s="36">
        <f>IFERROR(('연간'!X52)/('연간'!X4),"")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4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4" t="inlineStr">
        <is>
          <t>매출채권회전일수</t>
        </is>
      </c>
      <c r="B59" s="10" t="inlineStr">
        <is>
          <t>짧을수록↑</t>
        </is>
      </c>
      <c r="C59" s="47">
        <f>IFERROR(C8/(IF(COUNT('연간'!G4:J4)&lt;4,"",SUM('연간'!G4:J4)))*365,"")</f>
        <v/>
      </c>
      <c r="D59" s="48">
        <f>IFERROR(D8/(IF(COUNT('연간'!H4:K4)&lt;4,"",SUM('연간'!H4:K4)))*365,"")</f>
        <v/>
      </c>
      <c r="E59" s="48">
        <f>IFERROR(E8/(IF(COUNT('연간'!I4:L4)&lt;4,"",SUM('연간'!I4:L4)))*365,"")</f>
        <v/>
      </c>
      <c r="F59" s="48">
        <f>IFERROR(F8/(IF(COUNT('연간'!J4:M4)&lt;4,"",SUM('연간'!J4:M4)))*365,"")</f>
        <v/>
      </c>
      <c r="G59" s="48">
        <f>IFERROR(G8/(IF(COUNT('연간'!K4:N4)&lt;4,"",SUM('연간'!K4:N4)))*365,"")</f>
        <v/>
      </c>
      <c r="H59" s="47">
        <f>IFERROR(H8/('연간'!T4)*365,"")</f>
        <v/>
      </c>
      <c r="I59" s="48">
        <f>IFERROR(I8/('연간'!U4)*365,"")</f>
        <v/>
      </c>
      <c r="J59" s="48">
        <f>IFERROR(J8/('연간'!V4)*365,"")</f>
        <v/>
      </c>
      <c r="K59" s="48">
        <f>IFERROR(K8/('연간'!W4)*365,"")</f>
        <v/>
      </c>
      <c r="L59" s="48">
        <f>IFERROR(L8/('연간'!X4)*365,"")</f>
        <v/>
      </c>
    </row>
    <row r="60">
      <c r="A60" s="44" t="inlineStr">
        <is>
          <t>재고자산회전일수</t>
        </is>
      </c>
      <c r="B60" s="10" t="inlineStr">
        <is>
          <t>짧을수록↑</t>
        </is>
      </c>
      <c r="C60" s="47">
        <f>IFERROR(C9/(IF(COUNT('연간'!G20:J20)&lt;4,"",SUM('연간'!G20:J20)))*365,"")</f>
        <v/>
      </c>
      <c r="D60" s="48">
        <f>IFERROR(D9/(IF(COUNT('연간'!H20:K20)&lt;4,"",SUM('연간'!H20:K20)))*365,"")</f>
        <v/>
      </c>
      <c r="E60" s="48">
        <f>IFERROR(E9/(IF(COUNT('연간'!I20:L20)&lt;4,"",SUM('연간'!I20:L20)))*365,"")</f>
        <v/>
      </c>
      <c r="F60" s="48">
        <f>IFERROR(F9/(IF(COUNT('연간'!J20:M20)&lt;4,"",SUM('연간'!J20:M20)))*365,"")</f>
        <v/>
      </c>
      <c r="G60" s="48">
        <f>IFERROR(G9/(IF(COUNT('연간'!K20:N20)&lt;4,"",SUM('연간'!K20:N20)))*365,"")</f>
        <v/>
      </c>
      <c r="H60" s="47">
        <f>IFERROR(H9/('연간'!T20)*365,"")</f>
        <v/>
      </c>
      <c r="I60" s="48">
        <f>IFERROR(I9/('연간'!U20)*365,"")</f>
        <v/>
      </c>
      <c r="J60" s="48">
        <f>IFERROR(J9/('연간'!V20)*365,"")</f>
        <v/>
      </c>
      <c r="K60" s="48">
        <f>IFERROR(K9/('연간'!W20)*365,"")</f>
        <v/>
      </c>
      <c r="L60" s="48">
        <f>IFERROR(L9/('연간'!X20)*365,"")</f>
        <v/>
      </c>
    </row>
    <row r="61">
      <c r="A61" s="44" t="inlineStr">
        <is>
          <t>매입채무회전일수</t>
        </is>
      </c>
      <c r="B61" s="10" t="inlineStr">
        <is>
          <t>길수록 유리</t>
        </is>
      </c>
      <c r="C61" s="47">
        <f>IFERROR(C19/(IF(COUNT('연간'!G20:J20)&lt;4,"",SUM('연간'!G20:J20)))*365,"")</f>
        <v/>
      </c>
      <c r="D61" s="48">
        <f>IFERROR(D19/(IF(COUNT('연간'!H20:K20)&lt;4,"",SUM('연간'!H20:K20)))*365,"")</f>
        <v/>
      </c>
      <c r="E61" s="48">
        <f>IFERROR(E19/(IF(COUNT('연간'!I20:L20)&lt;4,"",SUM('연간'!I20:L20)))*365,"")</f>
        <v/>
      </c>
      <c r="F61" s="48">
        <f>IFERROR(F19/(IF(COUNT('연간'!J20:M20)&lt;4,"",SUM('연간'!J20:M20)))*365,"")</f>
        <v/>
      </c>
      <c r="G61" s="48">
        <f>IFERROR(G19/(IF(COUNT('연간'!K20:N20)&lt;4,"",SUM('연간'!K20:N20)))*365,"")</f>
        <v/>
      </c>
      <c r="H61" s="47">
        <f>IFERROR(H19/('연간'!T20)*365,"")</f>
        <v/>
      </c>
      <c r="I61" s="48">
        <f>IFERROR(I19/('연간'!U20)*365,"")</f>
        <v/>
      </c>
      <c r="J61" s="48">
        <f>IFERROR(J19/('연간'!V20)*365,"")</f>
        <v/>
      </c>
      <c r="K61" s="48">
        <f>IFERROR(K19/('연간'!W20)*365,"")</f>
        <v/>
      </c>
      <c r="L61" s="48">
        <f>IFERROR(L19/('연간'!X20)*365,"")</f>
        <v/>
      </c>
    </row>
    <row r="62">
      <c r="A62" s="44" t="inlineStr">
        <is>
          <t>현금전환주기 (CCC)</t>
        </is>
      </c>
      <c r="B62" s="10" t="inlineStr">
        <is>
          <t>짧을수록↑</t>
        </is>
      </c>
      <c r="C62" s="47">
        <f>IF(OR(C59="",C60="",C61=""),"",IFERROR(C59+C60-C61,""))</f>
        <v/>
      </c>
      <c r="D62" s="48">
        <f>IF(OR(D59="",D60="",D61=""),"",IFERROR(D59+D60-D61,""))</f>
        <v/>
      </c>
      <c r="E62" s="48">
        <f>IF(OR(E59="",E60="",E61=""),"",IFERROR(E59+E60-E61,""))</f>
        <v/>
      </c>
      <c r="F62" s="48">
        <f>IF(OR(F59="",F60="",F61=""),"",IFERROR(F59+F60-F61,""))</f>
        <v/>
      </c>
      <c r="G62" s="48">
        <f>IF(OR(G59="",G60="",G61=""),"",IFERROR(G59+G60-G61,""))</f>
        <v/>
      </c>
      <c r="H62" s="47">
        <f>IF(OR(H59="",H60="",H61=""),"",IFERROR(H59+H60-H61,""))</f>
        <v/>
      </c>
      <c r="I62" s="48">
        <f>IF(OR(I59="",I60="",I61=""),"",IFERROR(I59+I60-I61,""))</f>
        <v/>
      </c>
      <c r="J62" s="48">
        <f>IF(OR(J59="",J60="",J61=""),"",IFERROR(J59+J60-J61,""))</f>
        <v/>
      </c>
      <c r="K62" s="48">
        <f>IF(OR(K59="",K60="",K61=""),"",IFERROR(K59+K60-K61,""))</f>
        <v/>
      </c>
      <c r="L62" s="48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4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IF(C37="","",IFERROR(C37/(IF(COUNT('연간'!G52:J52)&lt;4,"",SUM('연간'!G52:J52))),""))</f>
        <v/>
      </c>
      <c r="D64" s="31">
        <f>IF(D37="","",IFERROR(D37/(IF(COUNT('연간'!H52:K52)&lt;4,"",SUM('연간'!H52:K52))),""))</f>
        <v/>
      </c>
      <c r="E64" s="31">
        <f>IF(E37="","",IFERROR(E37/(IF(COUNT('연간'!I52:L52)&lt;4,"",SUM('연간'!I52:L52))),""))</f>
        <v/>
      </c>
      <c r="F64" s="31">
        <f>IF(F37="","",IFERROR(F37/(IF(COUNT('연간'!J52:M52)&lt;4,"",SUM('연간'!J52:M52))),""))</f>
        <v/>
      </c>
      <c r="G64" s="31">
        <f>IF(G37="","",IFERROR(G37/(IF(COUNT('연간'!K52:N52)&lt;4,"",SUM('연간'!K52:N52))),""))</f>
        <v/>
      </c>
      <c r="H64" s="30">
        <f>IF(H37="","",IFERROR(H37/('연간'!T52),""))</f>
        <v/>
      </c>
      <c r="I64" s="31">
        <f>IF(I37="","",IFERROR(I37/('연간'!U52),""))</f>
        <v/>
      </c>
      <c r="J64" s="31">
        <f>IF(J37="","",IFERROR(J37/('연간'!V52),""))</f>
        <v/>
      </c>
      <c r="K64" s="31">
        <f>IF(K37="","",IFERROR(K37/('연간'!W52),""))</f>
        <v/>
      </c>
      <c r="L64" s="31">
        <f>IF(L37="","",IFERROR(L37/('연간'!X52),""))</f>
        <v/>
      </c>
    </row>
    <row r="65">
      <c r="A65" s="44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4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4" t="inlineStr">
        <is>
          <t>배당성향</t>
        </is>
      </c>
      <c r="B67" s="10" t="inlineStr">
        <is>
          <t>참고</t>
        </is>
      </c>
      <c r="C67" s="35">
        <f>IF(C40="","",IFERROR(C40/(IF(COUNT('연간'!G53:J53)&lt;4,"",SUM('연간'!G53:J53))),""))</f>
        <v/>
      </c>
      <c r="D67" s="36">
        <f>IF(D40="","",IFERROR(D40/(IF(COUNT('연간'!H53:K53)&lt;4,"",SUM('연간'!H53:K53))),""))</f>
        <v/>
      </c>
      <c r="E67" s="36">
        <f>IF(E40="","",IFERROR(E40/(IF(COUNT('연간'!I53:L53)&lt;4,"",SUM('연간'!I53:L53))),""))</f>
        <v/>
      </c>
      <c r="F67" s="36">
        <f>IF(F40="","",IFERROR(F40/(IF(COUNT('연간'!J53:M53)&lt;4,"",SUM('연간'!J53:M53))),""))</f>
        <v/>
      </c>
      <c r="G67" s="36">
        <f>IF(G40="","",IFERROR(G40/(IF(COUNT('연간'!K53:N53)&lt;4,"",SUM('연간'!K53:N53))),""))</f>
        <v/>
      </c>
      <c r="H67" s="35">
        <f>IF(H40="","",IFERROR(H40/('연간'!T53),""))</f>
        <v/>
      </c>
      <c r="I67" s="36">
        <f>IF(I40="","",IFERROR(I40/('연간'!U53),""))</f>
        <v/>
      </c>
      <c r="J67" s="36">
        <f>IF(J40="","",IFERROR(J40/('연간'!V53),""))</f>
        <v/>
      </c>
      <c r="K67" s="36">
        <f>IF(K40="","",IFERROR(K40/('연간'!W53),""))</f>
        <v/>
      </c>
      <c r="L67" s="36">
        <f>IF(L40="","",IFERROR(L40/('연간'!X53),""))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2026.2Q</t>
        </is>
      </c>
      <c r="D70" s="5" t="inlineStr">
        <is>
          <t>2026.3Q</t>
        </is>
      </c>
      <c r="E70" s="5" t="inlineStr">
        <is>
          <t>2026.4Q</t>
        </is>
      </c>
      <c r="F70" s="5" t="inlineStr">
        <is>
          <t>2027.1Q</t>
        </is>
      </c>
      <c r="G70" s="5" t="inlineStr">
        <is>
          <t>2027.2Q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18" t="inlineStr">
        <is>
          <t>현금 및 예금</t>
        </is>
      </c>
      <c r="C71" s="20" t="n">
        <v>6288</v>
      </c>
      <c r="D71" s="20" t="n">
        <v>6372</v>
      </c>
      <c r="E71" s="20" t="n">
        <v>5370</v>
      </c>
      <c r="F71" s="20" t="n">
        <v>6839</v>
      </c>
      <c r="G71" s="20" t="n">
        <v>4256</v>
      </c>
      <c r="H71" s="20" t="n">
        <v>6147</v>
      </c>
      <c r="I71" s="20" t="n">
        <v>5352</v>
      </c>
      <c r="J71" s="20" t="n">
        <v>6033</v>
      </c>
      <c r="K71" s="20" t="n">
        <v>5753</v>
      </c>
      <c r="L71" s="20" t="n">
        <v>5370</v>
      </c>
    </row>
    <row r="72">
      <c r="A72" s="18" t="inlineStr">
        <is>
          <t>받을어음·매출채권</t>
        </is>
      </c>
      <c r="E72" s="20" t="n">
        <v>837</v>
      </c>
      <c r="H72" s="20" t="n">
        <v>741</v>
      </c>
      <c r="I72" s="20" t="n">
        <v>751</v>
      </c>
      <c r="J72" s="20" t="n">
        <v>788</v>
      </c>
      <c r="K72" s="20" t="n">
        <v>813</v>
      </c>
      <c r="L72" s="20" t="n">
        <v>837</v>
      </c>
    </row>
    <row r="73">
      <c r="A73" s="18" t="inlineStr">
        <is>
          <t>매출채권</t>
        </is>
      </c>
      <c r="C73" s="20" t="n">
        <v>865</v>
      </c>
      <c r="D73" s="20" t="n">
        <v>850</v>
      </c>
      <c r="E73" s="20" t="n">
        <v>837</v>
      </c>
      <c r="F73" s="20" t="n">
        <v>914</v>
      </c>
      <c r="G73" s="20" t="n">
        <v>935</v>
      </c>
      <c r="K73" s="20" t="n">
        <v>813</v>
      </c>
      <c r="L73" s="20" t="n">
        <v>837</v>
      </c>
    </row>
    <row r="74">
      <c r="A74" s="18" t="inlineStr">
        <is>
          <t>상품·제품</t>
        </is>
      </c>
      <c r="C74" s="20" t="n">
        <v>4313</v>
      </c>
      <c r="D74" s="20" t="n">
        <v>4966</v>
      </c>
      <c r="E74" s="20" t="n">
        <v>4392</v>
      </c>
      <c r="F74" s="20" t="n">
        <v>4170</v>
      </c>
      <c r="G74" s="20" t="n">
        <v>4170</v>
      </c>
      <c r="H74" s="20" t="n">
        <v>3830</v>
      </c>
      <c r="I74" s="20" t="n">
        <v>4148</v>
      </c>
      <c r="J74" s="20" t="n">
        <v>4376</v>
      </c>
      <c r="K74" s="20" t="n">
        <v>4531</v>
      </c>
      <c r="L74" s="20" t="n">
        <v>4392</v>
      </c>
    </row>
    <row r="75">
      <c r="A75" s="18" t="inlineStr">
        <is>
          <t>재공품</t>
        </is>
      </c>
      <c r="C75" s="20" t="n">
        <v>0</v>
      </c>
      <c r="D75" s="20" t="n">
        <v>0</v>
      </c>
      <c r="E75" s="20" t="n">
        <v>1</v>
      </c>
      <c r="F75" s="20" t="n">
        <v>0</v>
      </c>
      <c r="G75" s="20" t="n">
        <v>0</v>
      </c>
      <c r="H75" s="20" t="n">
        <v>0</v>
      </c>
      <c r="I75" s="20" t="n">
        <v>0</v>
      </c>
      <c r="J75" s="20" t="n">
        <v>0</v>
      </c>
      <c r="K75" s="20" t="n">
        <v>0</v>
      </c>
      <c r="L75" s="20" t="n">
        <v>1</v>
      </c>
    </row>
    <row r="76">
      <c r="A76" s="18" t="inlineStr">
        <is>
          <t>원재료·저장품</t>
        </is>
      </c>
      <c r="C76" s="20" t="n">
        <v>120</v>
      </c>
      <c r="D76" s="20" t="n">
        <v>127</v>
      </c>
      <c r="E76" s="20" t="n">
        <v>123</v>
      </c>
      <c r="F76" s="20" t="n">
        <v>106</v>
      </c>
      <c r="G76" s="20" t="n">
        <v>125</v>
      </c>
      <c r="H76" s="20" t="n">
        <v>106</v>
      </c>
      <c r="I76" s="20" t="n">
        <v>123</v>
      </c>
      <c r="J76" s="20" t="n">
        <v>126</v>
      </c>
      <c r="K76" s="20" t="n">
        <v>141</v>
      </c>
      <c r="L76" s="20" t="n">
        <v>123</v>
      </c>
    </row>
    <row r="77">
      <c r="A77" s="18" t="inlineStr">
        <is>
          <t>미수금</t>
        </is>
      </c>
      <c r="E77" s="20" t="n">
        <v>3406</v>
      </c>
      <c r="F77" s="20" t="n">
        <v>2825</v>
      </c>
      <c r="G77" s="20" t="n">
        <v>3197</v>
      </c>
      <c r="K77" s="20" t="n">
        <v>2792</v>
      </c>
      <c r="L77" s="20" t="n">
        <v>3406</v>
      </c>
    </row>
    <row r="78">
      <c r="A78" s="18" t="inlineStr">
        <is>
          <t>기타</t>
        </is>
      </c>
      <c r="C78" s="20" t="n">
        <v>3441</v>
      </c>
      <c r="D78" s="20" t="n">
        <v>3124</v>
      </c>
      <c r="E78" s="20" t="n">
        <v>300</v>
      </c>
      <c r="F78" s="20" t="n">
        <v>298</v>
      </c>
      <c r="G78" s="20" t="n">
        <v>246</v>
      </c>
      <c r="H78" s="20" t="n">
        <v>1567</v>
      </c>
      <c r="I78" s="20" t="n">
        <v>2618</v>
      </c>
      <c r="J78" s="20" t="n">
        <v>2774</v>
      </c>
      <c r="K78" s="20" t="n">
        <v>261</v>
      </c>
      <c r="L78" s="20" t="n">
        <v>300</v>
      </c>
    </row>
    <row r="79">
      <c r="A79" s="9" t="inlineStr">
        <is>
          <t>유동자산 합계</t>
        </is>
      </c>
      <c r="C79" s="12" t="n">
        <v>15031</v>
      </c>
      <c r="D79" s="12" t="n">
        <v>15440</v>
      </c>
      <c r="E79" s="12" t="n">
        <v>14433</v>
      </c>
      <c r="F79" s="12" t="n">
        <v>15155</v>
      </c>
      <c r="G79" s="12" t="n">
        <v>12932</v>
      </c>
      <c r="H79" s="12" t="n">
        <v>12393</v>
      </c>
      <c r="I79" s="12" t="n">
        <v>12996</v>
      </c>
      <c r="J79" s="12" t="n">
        <v>14099</v>
      </c>
      <c r="K79" s="12" t="n">
        <v>14294</v>
      </c>
      <c r="L79" s="12" t="n">
        <v>14433</v>
      </c>
    </row>
    <row r="80">
      <c r="A80" s="18" t="inlineStr">
        <is>
          <t>건물·구축물</t>
        </is>
      </c>
      <c r="E80" s="20" t="n">
        <v>49610</v>
      </c>
      <c r="H80" s="20" t="n">
        <v>47703</v>
      </c>
      <c r="I80" s="20" t="n">
        <v>50275</v>
      </c>
      <c r="J80" s="20" t="n">
        <v>54687</v>
      </c>
      <c r="K80" s="20" t="n">
        <v>54286</v>
      </c>
      <c r="L80" s="20" t="n">
        <v>49610</v>
      </c>
    </row>
    <row r="81">
      <c r="A81" s="18" t="inlineStr">
        <is>
          <t>감가상각누계액</t>
        </is>
      </c>
      <c r="E81" s="20" t="n">
        <v>-34318</v>
      </c>
      <c r="H81" s="20" t="n">
        <v>-31202</v>
      </c>
      <c r="I81" s="20" t="n">
        <v>-32081</v>
      </c>
      <c r="J81" s="20" t="n">
        <v>-34007</v>
      </c>
      <c r="K81" s="20" t="n">
        <v>-35972</v>
      </c>
      <c r="L81" s="20" t="n">
        <v>-34318</v>
      </c>
    </row>
    <row r="82">
      <c r="A82" s="18" t="inlineStr">
        <is>
          <t>건물·구축물(순액)</t>
        </is>
      </c>
      <c r="C82" s="20" t="n">
        <v>17567</v>
      </c>
      <c r="D82" s="20" t="n">
        <v>17320</v>
      </c>
      <c r="E82" s="20" t="n">
        <v>15291</v>
      </c>
      <c r="F82" s="20" t="n">
        <v>15048</v>
      </c>
      <c r="G82" s="20" t="n">
        <v>14739</v>
      </c>
      <c r="H82" s="20" t="n">
        <v>16501</v>
      </c>
      <c r="I82" s="20" t="n">
        <v>18193</v>
      </c>
      <c r="J82" s="20" t="n">
        <v>20679</v>
      </c>
      <c r="K82" s="20" t="n">
        <v>18314</v>
      </c>
      <c r="L82" s="20" t="n">
        <v>15291</v>
      </c>
    </row>
    <row r="83">
      <c r="A83" s="18" t="inlineStr">
        <is>
          <t>토지</t>
        </is>
      </c>
      <c r="C83" s="20" t="n">
        <v>12397</v>
      </c>
      <c r="D83" s="20" t="n">
        <v>12397</v>
      </c>
      <c r="E83" s="20" t="n">
        <v>12039</v>
      </c>
      <c r="F83" s="20" t="n">
        <v>11994</v>
      </c>
      <c r="G83" s="20" t="n">
        <v>11994</v>
      </c>
      <c r="H83" s="20" t="n">
        <v>12829</v>
      </c>
      <c r="I83" s="20" t="n">
        <v>12719</v>
      </c>
      <c r="J83" s="20" t="n">
        <v>12684</v>
      </c>
      <c r="K83" s="20" t="n">
        <v>12405</v>
      </c>
      <c r="L83" s="20" t="n">
        <v>12039</v>
      </c>
    </row>
    <row r="84">
      <c r="A84" s="18" t="inlineStr">
        <is>
          <t>리스자산</t>
        </is>
      </c>
      <c r="E84" s="20" t="n">
        <v>4369</v>
      </c>
      <c r="H84" s="20" t="n">
        <v>2561</v>
      </c>
      <c r="I84" s="20" t="n">
        <v>2685</v>
      </c>
      <c r="J84" s="20" t="n">
        <v>4685</v>
      </c>
      <c r="K84" s="20" t="n">
        <v>5117</v>
      </c>
      <c r="L84" s="20" t="n">
        <v>4369</v>
      </c>
    </row>
    <row r="85">
      <c r="A85" s="18" t="inlineStr">
        <is>
          <t>감가상각누계액</t>
        </is>
      </c>
      <c r="E85" s="20" t="n">
        <v>-1410</v>
      </c>
      <c r="H85" s="20" t="n">
        <v>-1812</v>
      </c>
      <c r="I85" s="20" t="n">
        <v>-1988</v>
      </c>
      <c r="J85" s="20" t="n">
        <v>-2216</v>
      </c>
      <c r="K85" s="20" t="n">
        <v>-2454</v>
      </c>
      <c r="L85" s="20" t="n">
        <v>-1410</v>
      </c>
    </row>
    <row r="86">
      <c r="A86" s="18" t="inlineStr">
        <is>
          <t>리스자산(순액)</t>
        </is>
      </c>
      <c r="E86" s="20" t="n">
        <v>2959</v>
      </c>
      <c r="H86" s="20" t="n">
        <v>748</v>
      </c>
      <c r="I86" s="20" t="n">
        <v>696</v>
      </c>
      <c r="J86" s="20" t="n">
        <v>2469</v>
      </c>
      <c r="K86" s="20" t="n">
        <v>2662</v>
      </c>
      <c r="L86" s="20" t="n">
        <v>2959</v>
      </c>
    </row>
    <row r="87">
      <c r="A87" s="18" t="inlineStr">
        <is>
          <t>건설중인자산</t>
        </is>
      </c>
      <c r="E87" s="20" t="n">
        <v>0</v>
      </c>
      <c r="H87" s="20" t="n">
        <v>108</v>
      </c>
      <c r="I87" s="20" t="n">
        <v>2340</v>
      </c>
      <c r="J87" s="20" t="n">
        <v>2</v>
      </c>
      <c r="K87" s="20" t="n">
        <v>0</v>
      </c>
      <c r="L87" s="20" t="n">
        <v>0</v>
      </c>
    </row>
    <row r="88">
      <c r="A88" s="18" t="inlineStr">
        <is>
          <t>기타</t>
        </is>
      </c>
      <c r="E88" s="20" t="n">
        <v>7500</v>
      </c>
      <c r="H88" s="20" t="n">
        <v>6454</v>
      </c>
      <c r="I88" s="20" t="n">
        <v>7295</v>
      </c>
      <c r="J88" s="20" t="n">
        <v>7875</v>
      </c>
      <c r="K88" s="20" t="n">
        <v>8222</v>
      </c>
      <c r="L88" s="20" t="n">
        <v>7500</v>
      </c>
    </row>
    <row r="89">
      <c r="A89" s="18" t="inlineStr">
        <is>
          <t>감가상각누계액</t>
        </is>
      </c>
      <c r="E89" s="20" t="n">
        <v>-6358</v>
      </c>
      <c r="H89" s="20" t="n">
        <v>-4912</v>
      </c>
      <c r="I89" s="20" t="n">
        <v>-5479</v>
      </c>
      <c r="J89" s="20" t="n">
        <v>-6054</v>
      </c>
      <c r="K89" s="20" t="n">
        <v>-6640</v>
      </c>
      <c r="L89" s="20" t="n">
        <v>-6358</v>
      </c>
    </row>
    <row r="90">
      <c r="A90" s="18" t="inlineStr">
        <is>
          <t>기타(순액)</t>
        </is>
      </c>
      <c r="C90" s="20" t="n">
        <v>4398</v>
      </c>
      <c r="D90" s="20" t="n">
        <v>4478</v>
      </c>
      <c r="E90" s="20" t="n">
        <v>4102</v>
      </c>
      <c r="F90" s="20" t="n">
        <v>4127</v>
      </c>
      <c r="G90" s="20" t="n">
        <v>4027</v>
      </c>
      <c r="H90" s="20" t="n">
        <v>1541</v>
      </c>
      <c r="I90" s="20" t="n">
        <v>1816</v>
      </c>
      <c r="J90" s="20" t="n">
        <v>1821</v>
      </c>
      <c r="K90" s="20" t="n">
        <v>1581</v>
      </c>
      <c r="L90" s="20" t="n">
        <v>4102</v>
      </c>
    </row>
    <row r="91">
      <c r="A91" s="18" t="inlineStr">
        <is>
          <t>유형자산 합계</t>
        </is>
      </c>
      <c r="C91" s="20" t="n">
        <v>34363</v>
      </c>
      <c r="D91" s="20" t="n">
        <v>34196</v>
      </c>
      <c r="E91" s="20" t="n">
        <v>31433</v>
      </c>
      <c r="F91" s="20" t="n">
        <v>31169</v>
      </c>
      <c r="G91" s="20" t="n">
        <v>30760</v>
      </c>
      <c r="H91" s="20" t="n">
        <v>31728</v>
      </c>
      <c r="I91" s="20" t="n">
        <v>35767</v>
      </c>
      <c r="J91" s="20" t="n">
        <v>37658</v>
      </c>
      <c r="K91" s="20" t="n">
        <v>34964</v>
      </c>
      <c r="L91" s="20" t="n">
        <v>31433</v>
      </c>
    </row>
    <row r="92">
      <c r="A92" s="18" t="inlineStr">
        <is>
          <t>차지권</t>
        </is>
      </c>
      <c r="E92" s="20" t="n">
        <v>780</v>
      </c>
      <c r="H92" s="20" t="n">
        <v>908</v>
      </c>
      <c r="I92" s="20" t="n">
        <v>806</v>
      </c>
      <c r="J92" s="20" t="n">
        <v>836</v>
      </c>
      <c r="K92" s="20" t="n">
        <v>785</v>
      </c>
      <c r="L92" s="20" t="n">
        <v>780</v>
      </c>
    </row>
    <row r="93">
      <c r="A93" s="18" t="inlineStr">
        <is>
          <t>영업권</t>
        </is>
      </c>
      <c r="H93" s="20" t="n">
        <v>29</v>
      </c>
      <c r="I93" s="20" t="n">
        <v>18</v>
      </c>
      <c r="J93" s="20" t="n">
        <v>6</v>
      </c>
      <c r="K93" s="20" t="n">
        <v>0</v>
      </c>
    </row>
    <row r="94">
      <c r="A94" s="18" t="inlineStr">
        <is>
          <t>기타</t>
        </is>
      </c>
      <c r="E94" s="20" t="n">
        <v>1702</v>
      </c>
      <c r="H94" s="20" t="n">
        <v>429</v>
      </c>
      <c r="I94" s="20" t="n">
        <v>421</v>
      </c>
      <c r="J94" s="20" t="n">
        <v>1078</v>
      </c>
      <c r="K94" s="20" t="n">
        <v>1510</v>
      </c>
      <c r="L94" s="20" t="n">
        <v>1702</v>
      </c>
    </row>
    <row r="95">
      <c r="A95" s="18" t="inlineStr">
        <is>
          <t>무형자산</t>
        </is>
      </c>
      <c r="C95" s="20" t="n">
        <v>2468</v>
      </c>
      <c r="D95" s="20" t="n">
        <v>2452</v>
      </c>
      <c r="E95" s="20" t="n">
        <v>2483</v>
      </c>
      <c r="F95" s="20" t="n">
        <v>2422</v>
      </c>
      <c r="G95" s="20" t="n">
        <v>2588</v>
      </c>
      <c r="H95" s="20" t="n">
        <v>1367</v>
      </c>
      <c r="I95" s="20" t="n">
        <v>1245</v>
      </c>
      <c r="J95" s="20" t="n">
        <v>1921</v>
      </c>
      <c r="K95" s="20" t="n">
        <v>2295</v>
      </c>
      <c r="L95" s="20" t="n">
        <v>2483</v>
      </c>
    </row>
    <row r="96">
      <c r="A96" s="18" t="inlineStr">
        <is>
          <t>투자유가증권</t>
        </is>
      </c>
      <c r="E96" s="20" t="n">
        <v>603</v>
      </c>
      <c r="H96" s="20" t="n">
        <v>357</v>
      </c>
      <c r="I96" s="20" t="n">
        <v>382</v>
      </c>
      <c r="J96" s="20" t="n">
        <v>424</v>
      </c>
      <c r="K96" s="20" t="n">
        <v>437</v>
      </c>
      <c r="L96" s="20" t="n">
        <v>603</v>
      </c>
    </row>
    <row r="97">
      <c r="A97" s="18" t="inlineStr">
        <is>
          <t>장기대여금</t>
        </is>
      </c>
      <c r="E97" s="20" t="n">
        <v>249</v>
      </c>
      <c r="H97" s="20" t="n">
        <v>18</v>
      </c>
      <c r="I97" s="20" t="n">
        <v>254</v>
      </c>
      <c r="J97" s="20" t="n">
        <v>239</v>
      </c>
      <c r="K97" s="20" t="n">
        <v>260</v>
      </c>
      <c r="L97" s="20" t="n">
        <v>249</v>
      </c>
    </row>
    <row r="98">
      <c r="A98" s="18" t="inlineStr">
        <is>
          <t>보험적립금</t>
        </is>
      </c>
      <c r="H98" s="20" t="n">
        <v>75</v>
      </c>
      <c r="I98" s="20" t="n">
        <v>0</v>
      </c>
    </row>
    <row r="99">
      <c r="A99" s="18" t="inlineStr">
        <is>
          <t>임차보증금·보증금</t>
        </is>
      </c>
      <c r="E99" s="20" t="n">
        <v>1337</v>
      </c>
      <c r="H99" s="20" t="n">
        <v>1271</v>
      </c>
      <c r="I99" s="20" t="n">
        <v>1347</v>
      </c>
      <c r="J99" s="20" t="n">
        <v>1307</v>
      </c>
      <c r="K99" s="20" t="n">
        <v>1417</v>
      </c>
      <c r="L99" s="20" t="n">
        <v>1337</v>
      </c>
    </row>
    <row r="100">
      <c r="A100" s="18" t="inlineStr">
        <is>
          <t>이연법인세자산</t>
        </is>
      </c>
      <c r="E100" s="20" t="n">
        <v>1358</v>
      </c>
      <c r="H100" s="20" t="n">
        <v>2122</v>
      </c>
      <c r="I100" s="20" t="n">
        <v>2174</v>
      </c>
      <c r="J100" s="20" t="n">
        <v>2451</v>
      </c>
      <c r="K100" s="20" t="n">
        <v>1820</v>
      </c>
      <c r="L100" s="20" t="n">
        <v>1358</v>
      </c>
    </row>
    <row r="101">
      <c r="A101" s="18" t="inlineStr">
        <is>
          <t>기타</t>
        </is>
      </c>
      <c r="E101" s="20" t="n">
        <v>89</v>
      </c>
      <c r="H101" s="20" t="n">
        <v>43</v>
      </c>
      <c r="I101" s="20" t="n">
        <v>90</v>
      </c>
      <c r="J101" s="20" t="n">
        <v>84</v>
      </c>
      <c r="K101" s="20" t="n">
        <v>87</v>
      </c>
      <c r="L101" s="20" t="n">
        <v>89</v>
      </c>
    </row>
    <row r="102">
      <c r="A102" s="18" t="inlineStr">
        <is>
          <t>대손충당금</t>
        </is>
      </c>
      <c r="H102" s="20" t="n">
        <v>-4</v>
      </c>
      <c r="I102" s="20" t="n">
        <v>0</v>
      </c>
    </row>
    <row r="103">
      <c r="A103" s="18" t="inlineStr">
        <is>
          <t>투자 및 기타자산</t>
        </is>
      </c>
      <c r="D103" s="20" t="n">
        <v>4351</v>
      </c>
      <c r="E103" s="20" t="n">
        <v>3608</v>
      </c>
      <c r="F103" s="20" t="n">
        <v>3948</v>
      </c>
      <c r="H103" s="20" t="n">
        <v>3884</v>
      </c>
      <c r="I103" s="20" t="n">
        <v>4249</v>
      </c>
      <c r="J103" s="20" t="n">
        <v>4507</v>
      </c>
      <c r="K103" s="20" t="n">
        <v>4022</v>
      </c>
      <c r="L103" s="20" t="n">
        <v>3608</v>
      </c>
    </row>
    <row r="104">
      <c r="A104" s="18" t="inlineStr">
        <is>
          <t>투자 및 기타자산</t>
        </is>
      </c>
      <c r="C104" s="20" t="n">
        <v>4242</v>
      </c>
      <c r="E104" s="20" t="n">
        <v>3608</v>
      </c>
      <c r="G104" s="20" t="n">
        <v>3977</v>
      </c>
      <c r="K104" s="20" t="n">
        <v>4022</v>
      </c>
      <c r="L104" s="20" t="n">
        <v>3608</v>
      </c>
    </row>
    <row r="105">
      <c r="A105" s="9" t="inlineStr">
        <is>
          <t>비유동자산 합계</t>
        </is>
      </c>
      <c r="C105" s="12" t="n">
        <v>41075</v>
      </c>
      <c r="D105" s="12" t="n">
        <v>41000</v>
      </c>
      <c r="E105" s="12" t="n">
        <v>37525</v>
      </c>
      <c r="F105" s="12" t="n">
        <v>37541</v>
      </c>
      <c r="G105" s="12" t="n">
        <v>37326</v>
      </c>
      <c r="H105" s="12" t="n">
        <v>36980</v>
      </c>
      <c r="I105" s="12" t="n">
        <v>41262</v>
      </c>
      <c r="J105" s="12" t="n">
        <v>44086</v>
      </c>
      <c r="K105" s="12" t="n">
        <v>41282</v>
      </c>
      <c r="L105" s="12" t="n">
        <v>37525</v>
      </c>
    </row>
    <row r="106">
      <c r="A106" s="9" t="inlineStr">
        <is>
          <t>자산 합계</t>
        </is>
      </c>
      <c r="C106" s="12" t="n">
        <v>56106</v>
      </c>
      <c r="D106" s="12" t="n">
        <v>56441</v>
      </c>
      <c r="E106" s="12" t="n">
        <v>51958</v>
      </c>
      <c r="F106" s="12" t="n">
        <v>52696</v>
      </c>
      <c r="G106" s="12" t="n">
        <v>50258</v>
      </c>
      <c r="H106" s="12" t="n">
        <v>49373</v>
      </c>
      <c r="I106" s="12" t="n">
        <v>54259</v>
      </c>
      <c r="J106" s="12" t="n">
        <v>58186</v>
      </c>
      <c r="K106" s="12" t="n">
        <v>55577</v>
      </c>
      <c r="L106" s="12" t="n">
        <v>51958</v>
      </c>
    </row>
    <row r="107">
      <c r="A107" s="18" t="inlineStr">
        <is>
          <t>지급어음·매입채무</t>
        </is>
      </c>
      <c r="E107" s="20" t="n">
        <v>7882</v>
      </c>
      <c r="H107" s="20" t="n">
        <v>6914</v>
      </c>
      <c r="I107" s="20" t="n">
        <v>6741</v>
      </c>
      <c r="J107" s="20" t="n">
        <v>6766</v>
      </c>
      <c r="K107" s="20" t="n">
        <v>6951</v>
      </c>
      <c r="L107" s="20" t="n">
        <v>7882</v>
      </c>
    </row>
    <row r="108">
      <c r="A108" s="18" t="inlineStr">
        <is>
          <t>매입채무</t>
        </is>
      </c>
      <c r="C108" s="20" t="n">
        <v>9390</v>
      </c>
      <c r="D108" s="20" t="n">
        <v>9195</v>
      </c>
      <c r="E108" s="20" t="n">
        <v>7882</v>
      </c>
      <c r="F108" s="20" t="n">
        <v>8229</v>
      </c>
      <c r="G108" s="20" t="n">
        <v>7568</v>
      </c>
      <c r="K108" s="20" t="n">
        <v>6951</v>
      </c>
      <c r="L108" s="20" t="n">
        <v>7882</v>
      </c>
    </row>
    <row r="109">
      <c r="A109" s="18" t="inlineStr">
        <is>
          <t>단기차입금</t>
        </is>
      </c>
      <c r="C109" s="20" t="n">
        <v>4600</v>
      </c>
      <c r="D109" s="20" t="n">
        <v>4600</v>
      </c>
      <c r="E109" s="20" t="n">
        <v>2200</v>
      </c>
      <c r="F109" s="20" t="n">
        <v>2100</v>
      </c>
      <c r="G109" s="20" t="n">
        <v>1300</v>
      </c>
      <c r="H109" s="20" t="n">
        <v>3000</v>
      </c>
      <c r="I109" s="20" t="n">
        <v>7400</v>
      </c>
      <c r="J109" s="20" t="n">
        <v>8000</v>
      </c>
      <c r="K109" s="20" t="n">
        <v>8100</v>
      </c>
      <c r="L109" s="20" t="n">
        <v>2200</v>
      </c>
    </row>
    <row r="110">
      <c r="A110" s="18" t="inlineStr">
        <is>
          <t>1년 내 상환 장기차입금</t>
        </is>
      </c>
      <c r="C110" s="20" t="n">
        <v>491</v>
      </c>
      <c r="D110" s="20" t="n">
        <v>477</v>
      </c>
      <c r="E110" s="20" t="n">
        <v>984</v>
      </c>
      <c r="F110" s="20" t="n">
        <v>984</v>
      </c>
      <c r="G110" s="20" t="n">
        <v>484</v>
      </c>
      <c r="H110" s="20" t="n">
        <v>156</v>
      </c>
      <c r="I110" s="20" t="n">
        <v>234</v>
      </c>
      <c r="J110" s="20" t="n">
        <v>447</v>
      </c>
      <c r="K110" s="20" t="n">
        <v>508</v>
      </c>
      <c r="L110" s="20" t="n">
        <v>984</v>
      </c>
    </row>
    <row r="111">
      <c r="A111" s="18" t="inlineStr">
        <is>
          <t>미지급금</t>
        </is>
      </c>
      <c r="E111" s="20" t="n">
        <v>2982</v>
      </c>
      <c r="H111" s="20" t="n">
        <v>2583</v>
      </c>
      <c r="I111" s="20" t="n">
        <v>3309</v>
      </c>
      <c r="J111" s="20" t="n">
        <v>3042</v>
      </c>
      <c r="K111" s="20" t="n">
        <v>2346</v>
      </c>
      <c r="L111" s="20" t="n">
        <v>2982</v>
      </c>
    </row>
    <row r="112">
      <c r="A112" s="18" t="inlineStr">
        <is>
          <t>리스부채</t>
        </is>
      </c>
      <c r="E112" s="20" t="n">
        <v>576</v>
      </c>
      <c r="H112" s="20" t="n">
        <v>242</v>
      </c>
      <c r="I112" s="20" t="n">
        <v>251</v>
      </c>
      <c r="J112" s="20" t="n">
        <v>449</v>
      </c>
      <c r="K112" s="20" t="n">
        <v>507</v>
      </c>
      <c r="L112" s="20" t="n">
        <v>576</v>
      </c>
    </row>
    <row r="113">
      <c r="A113" s="18" t="inlineStr">
        <is>
          <t>미지급법인세</t>
        </is>
      </c>
      <c r="C113" s="20" t="n">
        <v>226</v>
      </c>
      <c r="D113" s="20" t="n">
        <v>250</v>
      </c>
      <c r="E113" s="20" t="n">
        <v>310</v>
      </c>
      <c r="F113" s="20" t="n">
        <v>117</v>
      </c>
      <c r="G113" s="20" t="n">
        <v>218</v>
      </c>
      <c r="H113" s="20" t="n">
        <v>264</v>
      </c>
      <c r="I113" s="20" t="n">
        <v>276</v>
      </c>
      <c r="J113" s="20" t="n">
        <v>97</v>
      </c>
      <c r="K113" s="20" t="n">
        <v>133</v>
      </c>
      <c r="L113" s="20" t="n">
        <v>310</v>
      </c>
    </row>
    <row r="114">
      <c r="A114" s="18" t="inlineStr">
        <is>
          <t>미지급 소비세</t>
        </is>
      </c>
      <c r="E114" s="20" t="n">
        <v>429</v>
      </c>
      <c r="H114" s="20" t="n">
        <v>233</v>
      </c>
      <c r="I114" s="20" t="n">
        <v>90</v>
      </c>
      <c r="J114" s="20" t="n">
        <v>242</v>
      </c>
      <c r="K114" s="20" t="n">
        <v>419</v>
      </c>
      <c r="L114" s="20" t="n">
        <v>429</v>
      </c>
    </row>
    <row r="115">
      <c r="A115" s="18" t="inlineStr">
        <is>
          <t>상여충당금</t>
        </is>
      </c>
      <c r="C115" s="20" t="n">
        <v>299</v>
      </c>
      <c r="D115" s="20" t="n">
        <v>0</v>
      </c>
      <c r="E115" s="20" t="n">
        <v>270</v>
      </c>
      <c r="F115" s="20" t="n">
        <v>0</v>
      </c>
      <c r="G115" s="20" t="n">
        <v>270</v>
      </c>
      <c r="H115" s="20" t="n">
        <v>299</v>
      </c>
      <c r="I115" s="20" t="n">
        <v>318</v>
      </c>
      <c r="J115" s="20" t="n">
        <v>319</v>
      </c>
      <c r="K115" s="20" t="n">
        <v>299</v>
      </c>
      <c r="L115" s="20" t="n">
        <v>270</v>
      </c>
    </row>
    <row r="116">
      <c r="A116" s="18" t="inlineStr">
        <is>
          <t>임원 상여충당금</t>
        </is>
      </c>
      <c r="H116" s="20" t="n">
        <v>0</v>
      </c>
    </row>
    <row r="117">
      <c r="A117" s="18" t="inlineStr">
        <is>
          <t>포인트 충당금</t>
        </is>
      </c>
      <c r="H117" s="20" t="n">
        <v>646</v>
      </c>
      <c r="I117" s="20" t="n">
        <v>0</v>
      </c>
    </row>
    <row r="118">
      <c r="A118" s="18" t="inlineStr">
        <is>
          <t>상품권 회수손실 충당금</t>
        </is>
      </c>
      <c r="H118" s="20" t="n">
        <v>98</v>
      </c>
    </row>
    <row r="119">
      <c r="A119" s="18" t="inlineStr">
        <is>
          <t>상품권 회수손실 충당금</t>
        </is>
      </c>
      <c r="H119" s="20" t="n">
        <v>98</v>
      </c>
      <c r="I119" s="20" t="n">
        <v>0</v>
      </c>
    </row>
    <row r="120">
      <c r="A120" s="18" t="inlineStr">
        <is>
          <t>자산복구부채</t>
        </is>
      </c>
      <c r="E120" s="20" t="n">
        <v>28</v>
      </c>
      <c r="K120" s="20" t="n">
        <v>0</v>
      </c>
      <c r="L120" s="20" t="n">
        <v>28</v>
      </c>
    </row>
    <row r="121">
      <c r="A121" s="18" t="inlineStr">
        <is>
          <t>계약부채</t>
        </is>
      </c>
      <c r="C121" s="20" t="n">
        <v>549</v>
      </c>
      <c r="D121" s="20" t="n">
        <v>534</v>
      </c>
      <c r="E121" s="20" t="n">
        <v>461</v>
      </c>
      <c r="F121" s="20" t="n">
        <v>662</v>
      </c>
      <c r="G121" s="20" t="n">
        <v>564</v>
      </c>
      <c r="H121" s="20" t="n">
        <v>0</v>
      </c>
      <c r="I121" s="20" t="n">
        <v>2073</v>
      </c>
      <c r="J121" s="20" t="n">
        <v>727</v>
      </c>
      <c r="K121" s="20" t="n">
        <v>456</v>
      </c>
      <c r="L121" s="20" t="n">
        <v>461</v>
      </c>
    </row>
    <row r="122">
      <c r="A122" s="18" t="inlineStr">
        <is>
          <t>기타</t>
        </is>
      </c>
      <c r="C122" s="20" t="n">
        <v>5307</v>
      </c>
      <c r="D122" s="20" t="n">
        <v>6116</v>
      </c>
      <c r="E122" s="20" t="n">
        <v>5086</v>
      </c>
      <c r="F122" s="20" t="n">
        <v>5793</v>
      </c>
      <c r="G122" s="20" t="n">
        <v>4746</v>
      </c>
      <c r="H122" s="20" t="n">
        <v>1886</v>
      </c>
      <c r="I122" s="20" t="n">
        <v>229</v>
      </c>
      <c r="J122" s="20" t="n">
        <v>294</v>
      </c>
      <c r="K122" s="20" t="n">
        <v>1354</v>
      </c>
      <c r="L122" s="20" t="n">
        <v>5086</v>
      </c>
    </row>
    <row r="123">
      <c r="A123" s="9" t="inlineStr">
        <is>
          <t>유동부채 합계</t>
        </is>
      </c>
      <c r="C123" s="12" t="n">
        <v>20865</v>
      </c>
      <c r="D123" s="12" t="n">
        <v>21174</v>
      </c>
      <c r="E123" s="12" t="n">
        <v>17196</v>
      </c>
      <c r="F123" s="12" t="n">
        <v>17886</v>
      </c>
      <c r="G123" s="12" t="n">
        <v>15152</v>
      </c>
      <c r="H123" s="12" t="n">
        <v>16327</v>
      </c>
      <c r="I123" s="12" t="n">
        <v>20924</v>
      </c>
      <c r="J123" s="12" t="n">
        <v>20386</v>
      </c>
      <c r="K123" s="12" t="n">
        <v>21076</v>
      </c>
      <c r="L123" s="12" t="n">
        <v>17196</v>
      </c>
    </row>
    <row r="124">
      <c r="A124" s="18" t="inlineStr">
        <is>
          <t>장기차입금</t>
        </is>
      </c>
      <c r="C124" s="20" t="n">
        <v>3493</v>
      </c>
      <c r="D124" s="20" t="n">
        <v>3374</v>
      </c>
      <c r="E124" s="20" t="n">
        <v>3117</v>
      </c>
      <c r="F124" s="20" t="n">
        <v>2996</v>
      </c>
      <c r="G124" s="20" t="n">
        <v>2861</v>
      </c>
      <c r="H124" s="20" t="n">
        <v>1039</v>
      </c>
      <c r="I124" s="20" t="n">
        <v>1756</v>
      </c>
      <c r="J124" s="20" t="n">
        <v>4206</v>
      </c>
      <c r="K124" s="20" t="n">
        <v>3620</v>
      </c>
      <c r="L124" s="20" t="n">
        <v>3117</v>
      </c>
    </row>
    <row r="125">
      <c r="A125" s="18" t="inlineStr">
        <is>
          <t>퇴직급여부채</t>
        </is>
      </c>
      <c r="C125" s="20" t="n">
        <v>187</v>
      </c>
      <c r="D125" s="20" t="n">
        <v>194</v>
      </c>
      <c r="E125" s="20" t="n">
        <v>135</v>
      </c>
      <c r="F125" s="20" t="n">
        <v>217</v>
      </c>
      <c r="G125" s="20" t="n">
        <v>227</v>
      </c>
      <c r="H125" s="20" t="n">
        <v>441</v>
      </c>
      <c r="I125" s="20" t="n">
        <v>192</v>
      </c>
      <c r="J125" s="20" t="n">
        <v>174</v>
      </c>
      <c r="K125" s="20" t="n">
        <v>199</v>
      </c>
      <c r="L125" s="20" t="n">
        <v>135</v>
      </c>
    </row>
    <row r="126">
      <c r="A126" s="18" t="inlineStr">
        <is>
          <t>자산복구부채</t>
        </is>
      </c>
      <c r="C126" s="20" t="n">
        <v>1379</v>
      </c>
      <c r="D126" s="20" t="n">
        <v>1378</v>
      </c>
      <c r="E126" s="20" t="n">
        <v>1254</v>
      </c>
      <c r="F126" s="20" t="n">
        <v>1260</v>
      </c>
      <c r="G126" s="20" t="n">
        <v>1263</v>
      </c>
      <c r="H126" s="20" t="n">
        <v>1199</v>
      </c>
      <c r="I126" s="20" t="n">
        <v>1246</v>
      </c>
      <c r="J126" s="20" t="n">
        <v>1287</v>
      </c>
      <c r="K126" s="20" t="n">
        <v>1367</v>
      </c>
      <c r="L126" s="20" t="n">
        <v>1254</v>
      </c>
    </row>
    <row r="127">
      <c r="A127" s="18" t="inlineStr">
        <is>
          <t>리스부채</t>
        </is>
      </c>
      <c r="C127" s="20" t="n">
        <v>2793</v>
      </c>
      <c r="D127" s="20" t="n">
        <v>2928</v>
      </c>
      <c r="E127" s="20" t="n">
        <v>2717</v>
      </c>
      <c r="F127" s="20" t="n">
        <v>2633</v>
      </c>
      <c r="G127" s="20" t="n">
        <v>2578</v>
      </c>
      <c r="H127" s="20" t="n">
        <v>857</v>
      </c>
      <c r="I127" s="20" t="n">
        <v>775</v>
      </c>
      <c r="J127" s="20" t="n">
        <v>2474</v>
      </c>
      <c r="K127" s="20" t="n">
        <v>2575</v>
      </c>
      <c r="L127" s="20" t="n">
        <v>2717</v>
      </c>
    </row>
    <row r="128">
      <c r="A128" s="18" t="inlineStr">
        <is>
          <t>기타</t>
        </is>
      </c>
      <c r="C128" s="20" t="n">
        <v>768</v>
      </c>
      <c r="D128" s="20" t="n">
        <v>768</v>
      </c>
      <c r="E128" s="20" t="n">
        <v>791</v>
      </c>
      <c r="F128" s="20" t="n">
        <v>792</v>
      </c>
      <c r="G128" s="20" t="n">
        <v>787</v>
      </c>
      <c r="H128" s="20" t="n">
        <v>695</v>
      </c>
      <c r="I128" s="20" t="n">
        <v>727</v>
      </c>
      <c r="J128" s="20" t="n">
        <v>795</v>
      </c>
      <c r="K128" s="20" t="n">
        <v>768</v>
      </c>
      <c r="L128" s="20" t="n">
        <v>791</v>
      </c>
    </row>
    <row r="129">
      <c r="A129" s="9" t="inlineStr">
        <is>
          <t>비유동부채 합계</t>
        </is>
      </c>
      <c r="C129" s="12" t="n">
        <v>8622</v>
      </c>
      <c r="D129" s="12" t="n">
        <v>8644</v>
      </c>
      <c r="E129" s="12" t="n">
        <v>8017</v>
      </c>
      <c r="F129" s="12" t="n">
        <v>7900</v>
      </c>
      <c r="G129" s="12" t="n">
        <v>7719</v>
      </c>
      <c r="H129" s="12" t="n">
        <v>4233</v>
      </c>
      <c r="I129" s="12" t="n">
        <v>4697</v>
      </c>
      <c r="J129" s="12" t="n">
        <v>8939</v>
      </c>
      <c r="K129" s="12" t="n">
        <v>8531</v>
      </c>
      <c r="L129" s="12" t="n">
        <v>8017</v>
      </c>
    </row>
    <row r="130">
      <c r="A130" s="9" t="inlineStr">
        <is>
          <t>부채 합계</t>
        </is>
      </c>
      <c r="C130" s="12" t="n">
        <v>29487</v>
      </c>
      <c r="D130" s="12" t="n">
        <v>29819</v>
      </c>
      <c r="E130" s="12" t="n">
        <v>25213</v>
      </c>
      <c r="F130" s="12" t="n">
        <v>25786</v>
      </c>
      <c r="G130" s="12" t="n">
        <v>22871</v>
      </c>
      <c r="H130" s="12" t="n">
        <v>20561</v>
      </c>
      <c r="I130" s="12" t="n">
        <v>25622</v>
      </c>
      <c r="J130" s="12" t="n">
        <v>29326</v>
      </c>
      <c r="K130" s="12" t="n">
        <v>29608</v>
      </c>
      <c r="L130" s="12" t="n">
        <v>25213</v>
      </c>
    </row>
    <row r="131">
      <c r="A131" s="18" t="inlineStr">
        <is>
          <t>자본금</t>
        </is>
      </c>
      <c r="C131" s="20" t="n">
        <v>2388</v>
      </c>
      <c r="D131" s="20" t="n">
        <v>2388</v>
      </c>
      <c r="E131" s="20" t="n">
        <v>2388</v>
      </c>
      <c r="F131" s="20" t="n">
        <v>2388</v>
      </c>
      <c r="G131" s="20" t="n">
        <v>2388</v>
      </c>
      <c r="H131" s="20" t="n">
        <v>2388</v>
      </c>
      <c r="I131" s="20" t="n">
        <v>2388</v>
      </c>
      <c r="J131" s="20" t="n">
        <v>2388</v>
      </c>
      <c r="K131" s="20" t="n">
        <v>2388</v>
      </c>
      <c r="L131" s="20" t="n">
        <v>2388</v>
      </c>
    </row>
    <row r="132">
      <c r="A132" s="18" t="inlineStr">
        <is>
          <t>자본잉여금</t>
        </is>
      </c>
      <c r="C132" s="20" t="n">
        <v>2204</v>
      </c>
      <c r="D132" s="20" t="n">
        <v>2206</v>
      </c>
      <c r="E132" s="20" t="n">
        <v>2208</v>
      </c>
      <c r="F132" s="20" t="n">
        <v>2210</v>
      </c>
      <c r="G132" s="20" t="n">
        <v>2204</v>
      </c>
      <c r="H132" s="20" t="n">
        <v>2209</v>
      </c>
      <c r="I132" s="20" t="n">
        <v>2211</v>
      </c>
      <c r="J132" s="20" t="n">
        <v>2210</v>
      </c>
      <c r="K132" s="20" t="n">
        <v>2209</v>
      </c>
      <c r="L132" s="20" t="n">
        <v>2208</v>
      </c>
    </row>
    <row r="133">
      <c r="A133" s="18" t="inlineStr">
        <is>
          <t>이익잉여금</t>
        </is>
      </c>
      <c r="C133" s="20" t="n">
        <v>22068</v>
      </c>
      <c r="D133" s="20" t="n">
        <v>22028</v>
      </c>
      <c r="E133" s="20" t="n">
        <v>22546</v>
      </c>
      <c r="F133" s="20" t="n">
        <v>22705</v>
      </c>
      <c r="G133" s="20" t="n">
        <v>23064</v>
      </c>
      <c r="H133" s="20" t="n">
        <v>24247</v>
      </c>
      <c r="I133" s="20" t="n">
        <v>24207</v>
      </c>
      <c r="J133" s="20" t="n">
        <v>24368</v>
      </c>
      <c r="K133" s="20" t="n">
        <v>21459</v>
      </c>
      <c r="L133" s="20" t="n">
        <v>22546</v>
      </c>
    </row>
    <row r="134">
      <c r="A134" s="18" t="inlineStr">
        <is>
          <t>자기주식</t>
        </is>
      </c>
      <c r="C134" s="20" t="n">
        <v>-217</v>
      </c>
      <c r="D134" s="20" t="n">
        <v>-217</v>
      </c>
      <c r="E134" s="20" t="n">
        <v>-761</v>
      </c>
      <c r="F134" s="20" t="n">
        <v>-761</v>
      </c>
      <c r="G134" s="20" t="n">
        <v>-752</v>
      </c>
      <c r="H134" s="20" t="n">
        <v>-67</v>
      </c>
      <c r="I134" s="20" t="n">
        <v>-246</v>
      </c>
      <c r="J134" s="20" t="n">
        <v>-235</v>
      </c>
      <c r="K134" s="20" t="n">
        <v>-227</v>
      </c>
      <c r="L134" s="20" t="n">
        <v>-761</v>
      </c>
    </row>
    <row r="135">
      <c r="A135" s="9" t="inlineStr">
        <is>
          <t>주주자본 합계</t>
        </is>
      </c>
      <c r="C135" s="12" t="n">
        <v>26444</v>
      </c>
      <c r="D135" s="12" t="n">
        <v>26406</v>
      </c>
      <c r="E135" s="12" t="n">
        <v>26382</v>
      </c>
      <c r="F135" s="12" t="n">
        <v>26543</v>
      </c>
      <c r="G135" s="12" t="n">
        <v>26905</v>
      </c>
      <c r="H135" s="12" t="n">
        <v>28778</v>
      </c>
      <c r="I135" s="12" t="n">
        <v>28561</v>
      </c>
      <c r="J135" s="12" t="n">
        <v>28731</v>
      </c>
      <c r="K135" s="12" t="n">
        <v>25830</v>
      </c>
      <c r="L135" s="12" t="n">
        <v>26382</v>
      </c>
    </row>
    <row r="136">
      <c r="A136" s="18" t="inlineStr">
        <is>
          <t>기타유가증권 평가차액</t>
        </is>
      </c>
      <c r="C136" s="20" t="n">
        <v>148</v>
      </c>
      <c r="D136" s="20" t="n">
        <v>190</v>
      </c>
      <c r="E136" s="20" t="n">
        <v>291</v>
      </c>
      <c r="F136" s="20" t="n">
        <v>296</v>
      </c>
      <c r="G136" s="20" t="n">
        <v>417</v>
      </c>
      <c r="H136" s="20" t="n">
        <v>10</v>
      </c>
      <c r="I136" s="20" t="n">
        <v>59</v>
      </c>
      <c r="J136" s="20" t="n">
        <v>98</v>
      </c>
      <c r="K136" s="20" t="n">
        <v>110</v>
      </c>
      <c r="L136" s="20" t="n">
        <v>291</v>
      </c>
    </row>
    <row r="137">
      <c r="A137" s="18" t="inlineStr">
        <is>
          <t>퇴직급여 조정누계액</t>
        </is>
      </c>
      <c r="C137" s="20" t="n">
        <v>15</v>
      </c>
      <c r="D137" s="20" t="n">
        <v>14</v>
      </c>
      <c r="E137" s="20" t="n">
        <v>61</v>
      </c>
      <c r="F137" s="20" t="n">
        <v>59</v>
      </c>
      <c r="G137" s="20" t="n">
        <v>53</v>
      </c>
      <c r="H137" s="20" t="n">
        <v>11</v>
      </c>
      <c r="I137" s="20" t="n">
        <v>3</v>
      </c>
      <c r="J137" s="20" t="n">
        <v>19</v>
      </c>
      <c r="K137" s="20" t="n">
        <v>17</v>
      </c>
      <c r="L137" s="20" t="n">
        <v>61</v>
      </c>
    </row>
    <row r="138">
      <c r="A138" s="18" t="inlineStr">
        <is>
          <t>기타포괄손익누계액 합계</t>
        </is>
      </c>
      <c r="C138" s="20" t="n">
        <v>164</v>
      </c>
      <c r="D138" s="20" t="n">
        <v>205</v>
      </c>
      <c r="E138" s="20" t="n">
        <v>352</v>
      </c>
      <c r="F138" s="20" t="n">
        <v>356</v>
      </c>
      <c r="G138" s="20" t="n">
        <v>471</v>
      </c>
      <c r="H138" s="20" t="n">
        <v>21</v>
      </c>
      <c r="I138" s="20" t="n">
        <v>62</v>
      </c>
      <c r="J138" s="20" t="n">
        <v>117</v>
      </c>
      <c r="K138" s="20" t="n">
        <v>128</v>
      </c>
      <c r="L138" s="20" t="n">
        <v>352</v>
      </c>
    </row>
    <row r="139">
      <c r="A139" s="18" t="inlineStr">
        <is>
          <t>신주예약권</t>
        </is>
      </c>
      <c r="C139" s="20" t="n">
        <v>10</v>
      </c>
      <c r="D139" s="20" t="n">
        <v>10</v>
      </c>
      <c r="E139" s="20" t="n">
        <v>10</v>
      </c>
      <c r="F139" s="20" t="n">
        <v>10</v>
      </c>
      <c r="G139" s="20" t="n">
        <v>10</v>
      </c>
      <c r="H139" s="20" t="n">
        <v>12</v>
      </c>
      <c r="I139" s="20" t="n">
        <v>12</v>
      </c>
      <c r="J139" s="20" t="n">
        <v>10</v>
      </c>
      <c r="K139" s="20" t="n">
        <v>10</v>
      </c>
      <c r="L139" s="20" t="n">
        <v>10</v>
      </c>
    </row>
    <row r="140">
      <c r="A140" s="9" t="inlineStr">
        <is>
          <t>순자산 합계</t>
        </is>
      </c>
      <c r="C140" s="12" t="n">
        <v>26619</v>
      </c>
      <c r="D140" s="12" t="n">
        <v>26621</v>
      </c>
      <c r="E140" s="12" t="n">
        <v>26744</v>
      </c>
      <c r="F140" s="12" t="n">
        <v>26910</v>
      </c>
      <c r="G140" s="12" t="n">
        <v>27386</v>
      </c>
      <c r="H140" s="12" t="n">
        <v>28812</v>
      </c>
      <c r="I140" s="12" t="n">
        <v>28636</v>
      </c>
      <c r="J140" s="12" t="n">
        <v>28859</v>
      </c>
      <c r="K140" s="12" t="n">
        <v>25969</v>
      </c>
      <c r="L140" s="12" t="n">
        <v>26744</v>
      </c>
    </row>
    <row r="141">
      <c r="A141" s="9" t="inlineStr">
        <is>
          <t>부채·순자산 합계</t>
        </is>
      </c>
      <c r="C141" s="12" t="n">
        <v>56106</v>
      </c>
      <c r="D141" s="12" t="n">
        <v>56441</v>
      </c>
      <c r="E141" s="12" t="n">
        <v>51958</v>
      </c>
      <c r="F141" s="12" t="n">
        <v>52696</v>
      </c>
      <c r="G141" s="12" t="n">
        <v>50258</v>
      </c>
      <c r="H141" s="12" t="n">
        <v>49373</v>
      </c>
      <c r="I141" s="12" t="n">
        <v>54259</v>
      </c>
      <c r="J141" s="12" t="n">
        <v>58186</v>
      </c>
      <c r="K141" s="12" t="n">
        <v>55577</v>
      </c>
      <c r="L141" s="12" t="n">
        <v>51958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44" customWidth="1" min="15" max="15"/>
  </cols>
  <sheetData>
    <row r="1">
      <c r="A1" s="49" t="inlineStr">
        <is>
          <t>야마자와 섹터·사업 데이터</t>
        </is>
      </c>
    </row>
    <row r="2">
      <c r="A2" s="50" t="inlineStr">
        <is>
          <t>2단계 보고서를 만들 때 모은 자료 · 월차 · 출처는 맨 오른쪽</t>
        </is>
      </c>
    </row>
    <row r="4">
      <c r="A4" s="51" t="inlineStr">
        <is>
          <t>월차</t>
        </is>
      </c>
      <c r="B4" s="51" t="n"/>
      <c r="C4" s="51" t="n"/>
      <c r="D4" s="51" t="n"/>
      <c r="E4" s="51" t="n"/>
      <c r="F4" s="51" t="n"/>
      <c r="G4" s="51" t="n"/>
      <c r="H4" s="51" t="n"/>
      <c r="I4" s="51" t="n"/>
      <c r="J4" s="51" t="n"/>
      <c r="K4" s="51" t="n"/>
      <c r="L4" s="51" t="n"/>
      <c r="M4" s="51" t="n"/>
      <c r="N4" s="51" t="n"/>
      <c r="O4" s="51" t="n"/>
    </row>
    <row r="5">
      <c r="A5" s="52" t="inlineStr">
        <is>
          <t>항목</t>
        </is>
      </c>
      <c r="B5" s="52" t="inlineStr">
        <is>
          <t>2025-09</t>
        </is>
      </c>
      <c r="C5" s="52" t="inlineStr">
        <is>
          <t>2025-10</t>
        </is>
      </c>
      <c r="D5" s="52" t="inlineStr">
        <is>
          <t>2025-11</t>
        </is>
      </c>
      <c r="E5" s="52" t="inlineStr">
        <is>
          <t>2025-12</t>
        </is>
      </c>
      <c r="F5" s="52" t="inlineStr">
        <is>
          <t>2026-01</t>
        </is>
      </c>
      <c r="G5" s="52" t="inlineStr">
        <is>
          <t>2026-02</t>
        </is>
      </c>
      <c r="H5" s="52" t="inlineStr">
        <is>
          <t>2026-03</t>
        </is>
      </c>
      <c r="I5" s="52" t="inlineStr">
        <is>
          <t>2026-04</t>
        </is>
      </c>
      <c r="J5" s="52" t="inlineStr">
        <is>
          <t>2026-05</t>
        </is>
      </c>
      <c r="K5" s="52" t="inlineStr">
        <is>
          <t>2026-06</t>
        </is>
      </c>
      <c r="L5" s="52" t="inlineStr">
        <is>
          <t>2026-07</t>
        </is>
      </c>
      <c r="M5" s="52" t="inlineStr">
        <is>
          <t>2026-08</t>
        </is>
      </c>
      <c r="N5" s="52" t="inlineStr">
        <is>
          <t>2026-09</t>
        </is>
      </c>
      <c r="O5" s="52" t="inlineStr">
        <is>
          <t>출처</t>
        </is>
      </c>
    </row>
    <row r="6">
      <c r="A6" s="53" t="inlineStr">
        <is>
          <t>전점 매출 전년 대비</t>
        </is>
      </c>
      <c r="B6" s="54" t="n">
        <v>101.2</v>
      </c>
      <c r="C6" s="54" t="n">
        <v>101.1</v>
      </c>
      <c r="D6" s="54" t="n">
        <v>104.7</v>
      </c>
      <c r="E6" s="54" t="n">
        <v>101.5</v>
      </c>
      <c r="F6" s="54" t="n">
        <v>102.5</v>
      </c>
      <c r="G6" s="54" t="n">
        <v>97.7</v>
      </c>
      <c r="H6" s="54" t="n">
        <v>92.40000000000001</v>
      </c>
      <c r="I6" s="54" t="n">
        <v>93.2</v>
      </c>
      <c r="J6" s="54" t="n">
        <v>97.2</v>
      </c>
      <c r="K6" s="54" t="n">
        <v>91.3</v>
      </c>
      <c r="L6" s="54" t="n">
        <v>92.59999999999999</v>
      </c>
      <c r="M6" s="54" t="n">
        <v>90.90000000000001</v>
      </c>
      <c r="N6" s="54" t="n">
        <v>92.3</v>
      </c>
      <c r="O6" s="55" t="inlineStr">
        <is>
          <t>회사 월차 공시 · 전점 매출 감소는 2026년 3월 아키타 6개 점포(요네야) 분리 때문 — 기존점 기준이 실제 흐름</t>
        </is>
      </c>
    </row>
    <row r="7">
      <c r="A7" s="53" t="inlineStr">
        <is>
          <t>전점 객단가 전년 대비</t>
        </is>
      </c>
      <c r="B7" s="54" t="n">
        <v>101.7</v>
      </c>
      <c r="C7" s="54" t="n">
        <v>102.5</v>
      </c>
      <c r="D7" s="54" t="n">
        <v>104</v>
      </c>
      <c r="E7" s="54" t="n">
        <v>99.2</v>
      </c>
      <c r="F7" s="54" t="n">
        <v>103.5</v>
      </c>
      <c r="G7" s="54" t="n">
        <v>98.09999999999999</v>
      </c>
      <c r="H7" s="54" t="n">
        <v>99.2</v>
      </c>
      <c r="I7" s="54" t="n">
        <v>101.3</v>
      </c>
      <c r="J7" s="54" t="n">
        <v>102.3</v>
      </c>
      <c r="K7" s="54" t="n">
        <v>99.5</v>
      </c>
      <c r="L7" s="54" t="n">
        <v>99.8</v>
      </c>
      <c r="M7" s="54" t="n">
        <v>100.2</v>
      </c>
      <c r="N7" s="54" t="n">
        <v>100.8</v>
      </c>
    </row>
    <row r="8">
      <c r="A8" s="53" t="inlineStr">
        <is>
          <t>전점 객수 전년 대비</t>
        </is>
      </c>
      <c r="B8" s="54" t="n">
        <v>99.7</v>
      </c>
      <c r="C8" s="54" t="n">
        <v>98.2</v>
      </c>
      <c r="D8" s="54" t="n">
        <v>101</v>
      </c>
      <c r="E8" s="54" t="n">
        <v>101.5</v>
      </c>
      <c r="F8" s="54" t="n">
        <v>99.09999999999999</v>
      </c>
      <c r="G8" s="54" t="n">
        <v>99</v>
      </c>
      <c r="H8" s="54" t="n">
        <v>93.2</v>
      </c>
      <c r="I8" s="54" t="n">
        <v>92.3</v>
      </c>
      <c r="J8" s="54" t="n">
        <v>94.7</v>
      </c>
      <c r="K8" s="54" t="n">
        <v>92.09999999999999</v>
      </c>
      <c r="L8" s="54" t="n">
        <v>91.09999999999999</v>
      </c>
      <c r="M8" s="54" t="n">
        <v>91.5</v>
      </c>
      <c r="N8" s="54" t="n">
        <v>91.5</v>
      </c>
    </row>
    <row r="9">
      <c r="A9" s="53" t="inlineStr">
        <is>
          <t>기존점 매출 전년 대비</t>
        </is>
      </c>
      <c r="B9" s="54" t="n">
        <v>101.2</v>
      </c>
      <c r="C9" s="54" t="n">
        <v>102.1</v>
      </c>
      <c r="D9" s="54" t="n">
        <v>106.1</v>
      </c>
      <c r="E9" s="54" t="n">
        <v>102.7</v>
      </c>
      <c r="F9" s="54" t="n">
        <v>103.8</v>
      </c>
      <c r="G9" s="54" t="n">
        <v>101.8</v>
      </c>
      <c r="H9" s="54" t="n">
        <v>100</v>
      </c>
      <c r="I9" s="54" t="n">
        <v>101.1</v>
      </c>
      <c r="J9" s="54" t="n">
        <v>105.6</v>
      </c>
      <c r="K9" s="54" t="n">
        <v>99.2</v>
      </c>
      <c r="L9" s="54" t="n">
        <v>100.7</v>
      </c>
      <c r="M9" s="54" t="n">
        <v>98.90000000000001</v>
      </c>
      <c r="N9" s="54" t="n">
        <v>100.3</v>
      </c>
    </row>
    <row r="10">
      <c r="A10" s="53" t="inlineStr">
        <is>
          <t>기존점 객단가 전년 대비</t>
        </is>
      </c>
      <c r="B10" s="54" t="n">
        <v>101.7</v>
      </c>
      <c r="C10" s="54" t="n">
        <v>102.3</v>
      </c>
      <c r="D10" s="54" t="n">
        <v>103.7</v>
      </c>
      <c r="E10" s="54" t="n">
        <v>99</v>
      </c>
      <c r="F10" s="54" t="n">
        <v>103.2</v>
      </c>
      <c r="G10" s="54" t="n">
        <v>97.5</v>
      </c>
      <c r="H10" s="54" t="n">
        <v>98.2</v>
      </c>
      <c r="I10" s="54" t="n">
        <v>100.4</v>
      </c>
      <c r="J10" s="54" t="n">
        <v>101.5</v>
      </c>
      <c r="K10" s="54" t="n">
        <v>98.59999999999999</v>
      </c>
      <c r="L10" s="54" t="n">
        <v>99.09999999999999</v>
      </c>
      <c r="M10" s="54" t="n">
        <v>99.7</v>
      </c>
      <c r="N10" s="54" t="n">
        <v>99.90000000000001</v>
      </c>
    </row>
    <row r="11">
      <c r="A11" s="53" t="inlineStr">
        <is>
          <t>기존점 객수 전년 대비</t>
        </is>
      </c>
      <c r="B11" s="54" t="n">
        <v>99.7</v>
      </c>
      <c r="C11" s="54" t="n">
        <v>99.40000000000001</v>
      </c>
      <c r="D11" s="54" t="n">
        <v>102.6</v>
      </c>
      <c r="E11" s="54" t="n">
        <v>103.1</v>
      </c>
      <c r="F11" s="54" t="n">
        <v>100.5</v>
      </c>
      <c r="G11" s="54" t="n">
        <v>103.8</v>
      </c>
      <c r="H11" s="54" t="n">
        <v>102</v>
      </c>
      <c r="I11" s="54" t="n">
        <v>101</v>
      </c>
      <c r="J11" s="54" t="n">
        <v>103.7</v>
      </c>
      <c r="K11" s="54" t="n">
        <v>101</v>
      </c>
      <c r="L11" s="54" t="n">
        <v>99.7</v>
      </c>
      <c r="M11" s="54" t="n">
        <v>100.2</v>
      </c>
      <c r="N11" s="54" t="n">
        <v>100.2</v>
      </c>
    </row>
    <row r="13">
      <c r="A13" s="51" t="inlineStr">
        <is>
          <t>guidance · FY2/27_initial_26.4</t>
        </is>
      </c>
      <c r="B13" s="51" t="n"/>
      <c r="C13" s="51" t="n"/>
      <c r="D13" s="51" t="n"/>
      <c r="E13" s="51" t="n"/>
      <c r="F13" s="51" t="n"/>
      <c r="G13" s="51" t="n"/>
      <c r="H13" s="51" t="n"/>
      <c r="I13" s="51" t="n"/>
      <c r="J13" s="51" t="n"/>
      <c r="K13" s="51" t="n"/>
      <c r="L13" s="51" t="n"/>
      <c r="M13" s="51" t="n"/>
      <c r="N13" s="51" t="n"/>
      <c r="O13" s="51" t="n"/>
    </row>
    <row r="14">
      <c r="A14" s="52" t="inlineStr">
        <is>
          <t>항목</t>
        </is>
      </c>
      <c r="B14" s="52" t="inlineStr">
        <is>
          <t>값</t>
        </is>
      </c>
      <c r="O14" s="52" t="inlineStr">
        <is>
          <t>출처</t>
        </is>
      </c>
    </row>
    <row r="15">
      <c r="A15" s="53" t="inlineStr">
        <is>
          <t>매출</t>
        </is>
      </c>
      <c r="B15" s="56" t="n">
        <v>997</v>
      </c>
      <c r="O15" s="55" t="inlineStr">
        <is>
          <t>2단계 보고서 자료(회사 설명회 자료·공시)</t>
        </is>
      </c>
    </row>
    <row r="16">
      <c r="A16" s="53" t="inlineStr">
        <is>
          <t>영업이익</t>
        </is>
      </c>
      <c r="B16" s="56" t="n">
        <v>7</v>
      </c>
    </row>
    <row r="17">
      <c r="A17" s="53" t="inlineStr">
        <is>
          <t>ord</t>
        </is>
      </c>
      <c r="B17" s="56" t="n">
        <v>8</v>
      </c>
    </row>
    <row r="18">
      <c r="A18" s="53" t="inlineStr">
        <is>
          <t>순이익</t>
        </is>
      </c>
      <c r="B18" s="54" t="n">
        <v>4.5</v>
      </c>
    </row>
    <row r="19">
      <c r="A19" s="53" t="inlineStr">
        <is>
          <t>EPS</t>
        </is>
      </c>
      <c r="B19" s="54" t="n">
        <v>42.08</v>
      </c>
    </row>
    <row r="20">
      <c r="A20" s="53" t="inlineStr">
        <is>
          <t>상반기 매출</t>
        </is>
      </c>
      <c r="B20" s="56" t="n">
        <v>499</v>
      </c>
    </row>
    <row r="21">
      <c r="A21" s="53" t="inlineStr">
        <is>
          <t>상반기 영업이익</t>
        </is>
      </c>
      <c r="B21" s="54" t="n">
        <v>2.9</v>
      </c>
    </row>
    <row r="22">
      <c r="A22" s="53" t="inlineStr">
        <is>
          <t>상반기 순이익</t>
        </is>
      </c>
      <c r="B22" s="54" t="n">
        <v>1.9</v>
      </c>
    </row>
    <row r="24">
      <c r="A24" s="51" t="inlineStr">
        <is>
          <t>guidance · FY2/27_revised_26.10.14</t>
        </is>
      </c>
      <c r="B24" s="51" t="n"/>
      <c r="C24" s="51" t="n"/>
      <c r="D24" s="51" t="n"/>
      <c r="E24" s="51" t="n"/>
      <c r="F24" s="51" t="n"/>
      <c r="G24" s="51" t="n"/>
      <c r="H24" s="51" t="n"/>
      <c r="I24" s="51" t="n"/>
      <c r="J24" s="51" t="n"/>
      <c r="K24" s="51" t="n"/>
      <c r="L24" s="51" t="n"/>
      <c r="M24" s="51" t="n"/>
      <c r="N24" s="51" t="n"/>
      <c r="O24" s="51" t="n"/>
    </row>
    <row r="25">
      <c r="A25" s="52" t="inlineStr">
        <is>
          <t>항목</t>
        </is>
      </c>
      <c r="B25" s="52" t="inlineStr">
        <is>
          <t>값</t>
        </is>
      </c>
      <c r="O25" s="52" t="inlineStr">
        <is>
          <t>출처</t>
        </is>
      </c>
    </row>
    <row r="26">
      <c r="A26" s="53" t="inlineStr">
        <is>
          <t>매출</t>
        </is>
      </c>
      <c r="B26" s="56" t="n">
        <v>997</v>
      </c>
      <c r="O26" s="55" t="inlineStr">
        <is>
          <t>2단계 보고서 자료(회사 설명회 자료·공시)</t>
        </is>
      </c>
    </row>
    <row r="27">
      <c r="A27" s="53" t="inlineStr">
        <is>
          <t>영업이익</t>
        </is>
      </c>
      <c r="B27" s="56" t="n">
        <v>11</v>
      </c>
    </row>
    <row r="28">
      <c r="A28" s="53" t="inlineStr">
        <is>
          <t>ord</t>
        </is>
      </c>
      <c r="B28" s="56" t="n">
        <v>12</v>
      </c>
    </row>
    <row r="29">
      <c r="A29" s="53" t="inlineStr">
        <is>
          <t>순이익</t>
        </is>
      </c>
      <c r="B29" s="54" t="n">
        <v>7.5</v>
      </c>
    </row>
    <row r="30">
      <c r="A30" s="53" t="inlineStr">
        <is>
          <t>EPS</t>
        </is>
      </c>
      <c r="B30" s="54" t="n">
        <v>70.16</v>
      </c>
    </row>
    <row r="32">
      <c r="A32" s="51" t="inlineStr">
        <is>
          <t>가이던스 · 상반기 실적</t>
        </is>
      </c>
      <c r="B32" s="51" t="n"/>
      <c r="C32" s="51" t="n"/>
      <c r="D32" s="51" t="n"/>
      <c r="E32" s="51" t="n"/>
      <c r="F32" s="51" t="n"/>
      <c r="G32" s="51" t="n"/>
      <c r="H32" s="51" t="n"/>
      <c r="I32" s="51" t="n"/>
      <c r="J32" s="51" t="n"/>
      <c r="K32" s="51" t="n"/>
      <c r="L32" s="51" t="n"/>
      <c r="M32" s="51" t="n"/>
      <c r="N32" s="51" t="n"/>
      <c r="O32" s="51" t="n"/>
    </row>
    <row r="33">
      <c r="A33" s="52" t="inlineStr">
        <is>
          <t>항목</t>
        </is>
      </c>
      <c r="B33" s="52" t="inlineStr">
        <is>
          <t>값</t>
        </is>
      </c>
      <c r="O33" s="52" t="inlineStr">
        <is>
          <t>출처</t>
        </is>
      </c>
    </row>
    <row r="34">
      <c r="A34" s="53" t="inlineStr">
        <is>
          <t>매출</t>
        </is>
      </c>
      <c r="B34" s="54" t="n">
        <v>499.44</v>
      </c>
      <c r="O34" s="55" t="inlineStr">
        <is>
          <t>2단계 보고서 자료(회사 설명회 자료·공시)</t>
        </is>
      </c>
    </row>
    <row r="35">
      <c r="A35" s="53" t="inlineStr">
        <is>
          <t>영업이익</t>
        </is>
      </c>
      <c r="B35" s="54" t="n">
        <v>6.8</v>
      </c>
    </row>
    <row r="36">
      <c r="A36" s="53" t="inlineStr">
        <is>
          <t>ord</t>
        </is>
      </c>
      <c r="B36" s="54" t="n">
        <v>7.9</v>
      </c>
    </row>
    <row r="37">
      <c r="A37" s="53" t="inlineStr">
        <is>
          <t>순이익</t>
        </is>
      </c>
      <c r="B37" s="54" t="n">
        <v>6.57</v>
      </c>
    </row>
    <row r="38">
      <c r="A38" s="53" t="inlineStr">
        <is>
          <t>EPS</t>
        </is>
      </c>
      <c r="B38" s="54" t="n">
        <v>64.02</v>
      </c>
    </row>
    <row r="40">
      <c r="A40" s="51" t="inlineStr">
        <is>
          <t>부문별 Q · 2027-Q1</t>
        </is>
      </c>
      <c r="B40" s="51" t="n"/>
      <c r="C40" s="51" t="n"/>
      <c r="D40" s="51" t="n"/>
      <c r="E40" s="51" t="n"/>
      <c r="F40" s="51" t="n"/>
      <c r="G40" s="51" t="n"/>
      <c r="H40" s="51" t="n"/>
      <c r="I40" s="51" t="n"/>
      <c r="J40" s="51" t="n"/>
      <c r="K40" s="51" t="n"/>
      <c r="L40" s="51" t="n"/>
      <c r="M40" s="51" t="n"/>
      <c r="N40" s="51" t="n"/>
      <c r="O40" s="51" t="n"/>
    </row>
    <row r="41">
      <c r="A41" s="52" t="inlineStr">
        <is>
          <t>항목</t>
        </is>
      </c>
      <c r="B41" s="52" t="inlineStr">
        <is>
          <t>값</t>
        </is>
      </c>
      <c r="O41" s="52" t="inlineStr">
        <is>
          <t>출처</t>
        </is>
      </c>
    </row>
    <row r="42">
      <c r="A42" s="53" t="inlineStr">
        <is>
          <t>SM ext</t>
        </is>
      </c>
      <c r="B42" s="54" t="n">
        <v>214.74</v>
      </c>
      <c r="O42" s="55" t="inlineStr">
        <is>
          <t>2단계 보고서 자료(회사 설명회 자료·공시)</t>
        </is>
      </c>
    </row>
    <row r="43">
      <c r="A43" s="53" t="inlineStr">
        <is>
          <t>SM 영업이익</t>
        </is>
      </c>
      <c r="B43" s="54" t="n">
        <v>2.21</v>
      </c>
    </row>
    <row r="44">
      <c r="A44" s="53" t="inlineStr">
        <is>
          <t>DS ext</t>
        </is>
      </c>
      <c r="B44" s="54" t="n">
        <v>33.96</v>
      </c>
    </row>
    <row r="45">
      <c r="A45" s="53" t="inlineStr">
        <is>
          <t>DS 영업이익</t>
        </is>
      </c>
      <c r="B45" s="54" t="n">
        <v>0.09</v>
      </c>
    </row>
    <row r="46">
      <c r="A46" s="53" t="inlineStr">
        <is>
          <t>Food 영업이익</t>
        </is>
      </c>
      <c r="B46" s="54" t="n">
        <v>-0.14</v>
      </c>
    </row>
    <row r="48">
      <c r="A48" s="51" t="inlineStr">
        <is>
          <t>부문별 Q · 2026-Q1</t>
        </is>
      </c>
      <c r="B48" s="51" t="n"/>
      <c r="C48" s="51" t="n"/>
      <c r="D48" s="51" t="n"/>
      <c r="E48" s="51" t="n"/>
      <c r="F48" s="51" t="n"/>
      <c r="G48" s="51" t="n"/>
      <c r="H48" s="51" t="n"/>
      <c r="I48" s="51" t="n"/>
      <c r="J48" s="51" t="n"/>
      <c r="K48" s="51" t="n"/>
      <c r="L48" s="51" t="n"/>
      <c r="M48" s="51" t="n"/>
      <c r="N48" s="51" t="n"/>
      <c r="O48" s="51" t="n"/>
    </row>
    <row r="49">
      <c r="A49" s="52" t="inlineStr">
        <is>
          <t>항목</t>
        </is>
      </c>
      <c r="B49" s="52" t="inlineStr">
        <is>
          <t>값</t>
        </is>
      </c>
      <c r="O49" s="52" t="inlineStr">
        <is>
          <t>출처</t>
        </is>
      </c>
    </row>
    <row r="50">
      <c r="A50" s="53" t="inlineStr">
        <is>
          <t>SM ext</t>
        </is>
      </c>
      <c r="B50" s="54" t="n">
        <v>228.12</v>
      </c>
      <c r="O50" s="55" t="inlineStr">
        <is>
          <t>2단계 보고서 자료(회사 설명회 자료·공시)</t>
        </is>
      </c>
    </row>
    <row r="51">
      <c r="A51" s="53" t="inlineStr">
        <is>
          <t>SM 영업이익</t>
        </is>
      </c>
      <c r="B51" s="54" t="n">
        <v>3.5</v>
      </c>
    </row>
    <row r="52">
      <c r="A52" s="53" t="inlineStr">
        <is>
          <t>DS ext</t>
        </is>
      </c>
      <c r="B52" s="54" t="n">
        <v>32.45</v>
      </c>
    </row>
    <row r="53">
      <c r="A53" s="53" t="inlineStr">
        <is>
          <t>DS 영업이익</t>
        </is>
      </c>
      <c r="B53" s="54" t="n">
        <v>-0.22</v>
      </c>
    </row>
    <row r="54">
      <c r="A54" s="53" t="inlineStr">
        <is>
          <t>Food 영업이익</t>
        </is>
      </c>
      <c r="B54" s="54" t="n">
        <v>-0.8</v>
      </c>
    </row>
    <row r="56">
      <c r="A56" s="51" t="inlineStr">
        <is>
          <t>부문별 Q · 2027-Q2</t>
        </is>
      </c>
      <c r="B56" s="51" t="n"/>
      <c r="C56" s="51" t="n"/>
      <c r="D56" s="51" t="n"/>
      <c r="E56" s="51" t="n"/>
      <c r="F56" s="51" t="n"/>
      <c r="G56" s="51" t="n"/>
      <c r="H56" s="51" t="n"/>
      <c r="I56" s="51" t="n"/>
      <c r="J56" s="51" t="n"/>
      <c r="K56" s="51" t="n"/>
      <c r="L56" s="51" t="n"/>
      <c r="M56" s="51" t="n"/>
      <c r="N56" s="51" t="n"/>
      <c r="O56" s="51" t="n"/>
    </row>
    <row r="57">
      <c r="A57" s="52" t="inlineStr">
        <is>
          <t>항목</t>
        </is>
      </c>
      <c r="B57" s="52" t="inlineStr">
        <is>
          <t>값</t>
        </is>
      </c>
      <c r="O57" s="52" t="inlineStr">
        <is>
          <t>출처</t>
        </is>
      </c>
    </row>
    <row r="58">
      <c r="A58" s="53" t="inlineStr">
        <is>
          <t>SM ext</t>
        </is>
      </c>
      <c r="B58" s="54" t="n">
        <v>217.1</v>
      </c>
      <c r="O58" s="55" t="inlineStr">
        <is>
          <t>2단계 보고서 자료(회사 설명회 자료·공시)</t>
        </is>
      </c>
    </row>
    <row r="59">
      <c r="A59" s="53" t="inlineStr">
        <is>
          <t>SM 영업이익</t>
        </is>
      </c>
      <c r="B59" s="54" t="n">
        <v>4.77</v>
      </c>
    </row>
    <row r="60">
      <c r="A60" s="53" t="inlineStr">
        <is>
          <t>DS ext</t>
        </is>
      </c>
      <c r="B60" s="54" t="n">
        <v>33.61</v>
      </c>
    </row>
    <row r="61">
      <c r="A61" s="53" t="inlineStr">
        <is>
          <t>DS 영업이익</t>
        </is>
      </c>
      <c r="B61" s="54" t="n">
        <v>-0.4</v>
      </c>
    </row>
    <row r="62">
      <c r="A62" s="53" t="inlineStr">
        <is>
          <t>Food 영업이익</t>
        </is>
      </c>
      <c r="B62" s="54" t="n">
        <v>0.21</v>
      </c>
    </row>
    <row r="64">
      <c r="A64" s="51" t="inlineStr">
        <is>
          <t>부문별 Q · 2026-Q2</t>
        </is>
      </c>
      <c r="B64" s="51" t="n"/>
      <c r="C64" s="51" t="n"/>
      <c r="D64" s="51" t="n"/>
      <c r="E64" s="51" t="n"/>
      <c r="F64" s="51" t="n"/>
      <c r="G64" s="51" t="n"/>
      <c r="H64" s="51" t="n"/>
      <c r="I64" s="51" t="n"/>
      <c r="J64" s="51" t="n"/>
      <c r="K64" s="51" t="n"/>
      <c r="L64" s="51" t="n"/>
      <c r="M64" s="51" t="n"/>
      <c r="N64" s="51" t="n"/>
      <c r="O64" s="51" t="n"/>
    </row>
    <row r="65">
      <c r="A65" s="52" t="inlineStr">
        <is>
          <t>항목</t>
        </is>
      </c>
      <c r="B65" s="52" t="inlineStr">
        <is>
          <t>값</t>
        </is>
      </c>
      <c r="O65" s="52" t="inlineStr">
        <is>
          <t>출처</t>
        </is>
      </c>
    </row>
    <row r="66">
      <c r="A66" s="53" t="inlineStr">
        <is>
          <t>SM ext</t>
        </is>
      </c>
      <c r="B66" s="54" t="n">
        <v>236.29</v>
      </c>
      <c r="O66" s="55" t="inlineStr">
        <is>
          <t>2단계 보고서 자료(회사 설명회 자료·공시)</t>
        </is>
      </c>
    </row>
    <row r="67">
      <c r="A67" s="53" t="inlineStr">
        <is>
          <t>SM 영업이익</t>
        </is>
      </c>
      <c r="B67" s="54" t="n">
        <v>3.88</v>
      </c>
    </row>
    <row r="68">
      <c r="A68" s="53" t="inlineStr">
        <is>
          <t>DS ext</t>
        </is>
      </c>
      <c r="B68" s="54" t="n">
        <v>33.79</v>
      </c>
    </row>
    <row r="69">
      <c r="A69" s="53" t="inlineStr">
        <is>
          <t>DS 영업이익</t>
        </is>
      </c>
      <c r="B69" s="54" t="n">
        <v>-0.43</v>
      </c>
    </row>
    <row r="70">
      <c r="A70" s="53" t="inlineStr">
        <is>
          <t>Food 영업이익</t>
        </is>
      </c>
      <c r="B70" s="54" t="n">
        <v>-0.01</v>
      </c>
    </row>
    <row r="72">
      <c r="A72" s="51" t="inlineStr">
        <is>
          <t>밸류에이션</t>
        </is>
      </c>
      <c r="B72" s="51" t="n"/>
      <c r="C72" s="51" t="n"/>
      <c r="D72" s="51" t="n"/>
      <c r="E72" s="51" t="n"/>
      <c r="F72" s="51" t="n"/>
      <c r="G72" s="51" t="n"/>
      <c r="H72" s="51" t="n"/>
      <c r="I72" s="51" t="n"/>
      <c r="J72" s="51" t="n"/>
      <c r="K72" s="51" t="n"/>
      <c r="L72" s="51" t="n"/>
      <c r="M72" s="51" t="n"/>
      <c r="N72" s="51" t="n"/>
      <c r="O72" s="51" t="n"/>
    </row>
    <row r="73">
      <c r="A73" s="52" t="inlineStr">
        <is>
          <t>항목</t>
        </is>
      </c>
      <c r="B73" s="52" t="inlineStr">
        <is>
          <t>값</t>
        </is>
      </c>
      <c r="O73" s="52" t="inlineStr">
        <is>
          <t>출처</t>
        </is>
      </c>
    </row>
    <row r="74">
      <c r="A74" s="53" t="inlineStr">
        <is>
          <t>shares ex treasury</t>
        </is>
      </c>
      <c r="B74" s="56" t="n">
        <v>10274943</v>
      </c>
      <c r="O74" s="55" t="inlineStr">
        <is>
          <t>TTM EPS에 아키타 분리 이전이익 14.45억(주당 약 140엔) 포함</t>
        </is>
      </c>
    </row>
    <row r="75">
      <c r="A75" s="53" t="inlineStr">
        <is>
          <t>mcap</t>
        </is>
      </c>
      <c r="B75" s="54" t="n">
        <v>117.2</v>
      </c>
    </row>
    <row r="76">
      <c r="A76" s="53" t="inlineStr">
        <is>
          <t>equity</t>
        </is>
      </c>
      <c r="B76" s="54" t="n">
        <v>273.76</v>
      </c>
    </row>
    <row r="77">
      <c r="A77" s="53" t="inlineStr">
        <is>
          <t>bps</t>
        </is>
      </c>
      <c r="B77" s="56" t="n">
        <v>2664</v>
      </c>
    </row>
    <row r="78">
      <c r="A78" s="53" t="inlineStr">
        <is>
          <t>PBR</t>
        </is>
      </c>
      <c r="B78" s="54" t="n">
        <v>0.43</v>
      </c>
    </row>
    <row r="79">
      <c r="A79" s="53" t="inlineStr">
        <is>
          <t>ttm EPS</t>
        </is>
      </c>
      <c r="B79" s="54" t="n">
        <v>122.9</v>
      </c>
    </row>
    <row r="80">
      <c r="A80" s="53" t="inlineStr">
        <is>
          <t>ttm PER</t>
        </is>
      </c>
      <c r="B80" s="54" t="n">
        <v>9.300000000000001</v>
      </c>
    </row>
    <row r="81">
      <c r="A81" s="53" t="inlineStr">
        <is>
          <t>guid EPS</t>
        </is>
      </c>
      <c r="B81" s="54" t="n">
        <v>70.16</v>
      </c>
    </row>
    <row r="82">
      <c r="A82" s="53" t="inlineStr">
        <is>
          <t>guid PER</t>
        </is>
      </c>
      <c r="B82" s="54" t="n">
        <v>16.3</v>
      </c>
    </row>
    <row r="83">
      <c r="A83" s="53" t="inlineStr">
        <is>
          <t>dps</t>
        </is>
      </c>
      <c r="B83" s="56" t="n">
        <v>27</v>
      </c>
    </row>
    <row r="84">
      <c r="A84" s="53" t="inlineStr">
        <is>
          <t>yield</t>
        </is>
      </c>
      <c r="B84" s="54" t="n">
        <v>2.4</v>
      </c>
    </row>
    <row r="85">
      <c r="A85" s="53" t="inlineStr">
        <is>
          <t>net assets ratio</t>
        </is>
      </c>
      <c r="B85" s="54" t="n">
        <v>54.5</v>
      </c>
    </row>
    <row r="87">
      <c r="A87" s="51" t="inlineStr">
        <is>
          <t>peers · 9948 아크스</t>
        </is>
      </c>
      <c r="B87" s="51" t="n"/>
      <c r="C87" s="51" t="n"/>
      <c r="D87" s="51" t="n"/>
      <c r="E87" s="51" t="n"/>
      <c r="F87" s="51" t="n"/>
      <c r="G87" s="51" t="n"/>
      <c r="H87" s="51" t="n"/>
      <c r="I87" s="51" t="n"/>
      <c r="J87" s="51" t="n"/>
      <c r="K87" s="51" t="n"/>
      <c r="L87" s="51" t="n"/>
      <c r="M87" s="51" t="n"/>
      <c r="N87" s="51" t="n"/>
      <c r="O87" s="51" t="n"/>
    </row>
    <row r="88">
      <c r="A88" s="52" t="inlineStr">
        <is>
          <t>항목</t>
        </is>
      </c>
      <c r="B88" s="52" t="inlineStr">
        <is>
          <t>값</t>
        </is>
      </c>
      <c r="O88" s="52" t="inlineStr">
        <is>
          <t>출처</t>
        </is>
      </c>
    </row>
    <row r="89">
      <c r="A89" s="53" t="inlineStr">
        <is>
          <t>가격</t>
        </is>
      </c>
      <c r="B89" s="56" t="n">
        <v>3500</v>
      </c>
      <c r="O89" s="55" t="inlineStr">
        <is>
          <t>2단계 보고서 자료(회사 설명회 자료·공시)</t>
        </is>
      </c>
    </row>
    <row r="90">
      <c r="A90" s="53" t="inlineStr">
        <is>
          <t>EPS fc</t>
        </is>
      </c>
      <c r="B90" s="54" t="n">
        <v>232.73</v>
      </c>
    </row>
    <row r="92">
      <c r="A92" s="51" t="inlineStr">
        <is>
          <t>peers · 8167 리테일파트너즈</t>
        </is>
      </c>
      <c r="B92" s="51" t="n"/>
      <c r="C92" s="51" t="n"/>
      <c r="D92" s="51" t="n"/>
      <c r="E92" s="51" t="n"/>
      <c r="F92" s="51" t="n"/>
      <c r="G92" s="51" t="n"/>
      <c r="H92" s="51" t="n"/>
      <c r="I92" s="51" t="n"/>
      <c r="J92" s="51" t="n"/>
      <c r="K92" s="51" t="n"/>
      <c r="L92" s="51" t="n"/>
      <c r="M92" s="51" t="n"/>
      <c r="N92" s="51" t="n"/>
      <c r="O92" s="51" t="n"/>
    </row>
    <row r="93">
      <c r="A93" s="52" t="inlineStr">
        <is>
          <t>항목</t>
        </is>
      </c>
      <c r="B93" s="52" t="inlineStr">
        <is>
          <t>값</t>
        </is>
      </c>
      <c r="O93" s="52" t="inlineStr">
        <is>
          <t>출처</t>
        </is>
      </c>
    </row>
    <row r="94">
      <c r="A94" s="53" t="inlineStr">
        <is>
          <t>가격</t>
        </is>
      </c>
      <c r="B94" s="56" t="n">
        <v>1411</v>
      </c>
      <c r="O94" s="55" t="inlineStr">
        <is>
          <t>2단계 보고서 자료(회사 설명회 자료·공시)</t>
        </is>
      </c>
    </row>
    <row r="95">
      <c r="A95" s="53" t="inlineStr">
        <is>
          <t>EPS fc</t>
        </is>
      </c>
      <c r="B95" s="54" t="n">
        <v>124.62</v>
      </c>
    </row>
    <row r="97">
      <c r="A97" s="51" t="inlineStr">
        <is>
          <t>peers · 8278 후지</t>
        </is>
      </c>
      <c r="B97" s="51" t="n"/>
      <c r="C97" s="51" t="n"/>
      <c r="D97" s="51" t="n"/>
      <c r="E97" s="51" t="n"/>
      <c r="F97" s="51" t="n"/>
      <c r="G97" s="51" t="n"/>
      <c r="H97" s="51" t="n"/>
      <c r="I97" s="51" t="n"/>
      <c r="J97" s="51" t="n"/>
      <c r="K97" s="51" t="n"/>
      <c r="L97" s="51" t="n"/>
      <c r="M97" s="51" t="n"/>
      <c r="N97" s="51" t="n"/>
      <c r="O97" s="51" t="n"/>
    </row>
    <row r="98">
      <c r="A98" s="52" t="inlineStr">
        <is>
          <t>항목</t>
        </is>
      </c>
      <c r="B98" s="52" t="inlineStr">
        <is>
          <t>값</t>
        </is>
      </c>
      <c r="O98" s="52" t="inlineStr">
        <is>
          <t>출처</t>
        </is>
      </c>
    </row>
    <row r="99">
      <c r="A99" s="53" t="inlineStr">
        <is>
          <t>가격</t>
        </is>
      </c>
      <c r="B99" s="56" t="n">
        <v>1982</v>
      </c>
      <c r="O99" s="55" t="inlineStr">
        <is>
          <t>2단계 보고서 자료(회사 설명회 자료·공시)</t>
        </is>
      </c>
    </row>
    <row r="100">
      <c r="A100" s="53" t="inlineStr">
        <is>
          <t>EPS fc</t>
        </is>
      </c>
      <c r="B100" s="54" t="n">
        <v>80.76000000000001</v>
      </c>
    </row>
    <row r="102">
      <c r="A102" s="51" t="inlineStr">
        <is>
          <t>peers · 8255 액시얼 리테일링</t>
        </is>
      </c>
      <c r="B102" s="51" t="n"/>
      <c r="C102" s="51" t="n"/>
      <c r="D102" s="51" t="n"/>
      <c r="E102" s="51" t="n"/>
      <c r="F102" s="51" t="n"/>
      <c r="G102" s="51" t="n"/>
      <c r="H102" s="51" t="n"/>
      <c r="I102" s="51" t="n"/>
      <c r="J102" s="51" t="n"/>
      <c r="K102" s="51" t="n"/>
      <c r="L102" s="51" t="n"/>
      <c r="M102" s="51" t="n"/>
      <c r="N102" s="51" t="n"/>
      <c r="O102" s="51" t="n"/>
    </row>
    <row r="103">
      <c r="A103" s="52" t="inlineStr">
        <is>
          <t>항목</t>
        </is>
      </c>
      <c r="B103" s="52" t="inlineStr">
        <is>
          <t>값</t>
        </is>
      </c>
      <c r="O103" s="52" t="inlineStr">
        <is>
          <t>출처</t>
        </is>
      </c>
    </row>
    <row r="104">
      <c r="A104" s="53" t="inlineStr">
        <is>
          <t>가격</t>
        </is>
      </c>
      <c r="B104" s="56" t="n">
        <v>1314</v>
      </c>
      <c r="O104" s="55" t="inlineStr">
        <is>
          <t>2단계 보고서 자료(회사 설명회 자료·공시)</t>
        </is>
      </c>
    </row>
    <row r="105">
      <c r="A105" s="53" t="inlineStr">
        <is>
          <t>EPS fc</t>
        </is>
      </c>
      <c r="B105" s="54" t="n">
        <v>90.31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49" t="inlineStr">
        <is>
          <t>출처 · 쓴 결산단신</t>
        </is>
      </c>
    </row>
    <row r="3">
      <c r="A3" s="57" t="inlineStr">
        <is>
          <t>공시일</t>
        </is>
      </c>
      <c r="B3" s="57" t="inlineStr">
        <is>
          <t>문서</t>
        </is>
      </c>
      <c r="C3" s="57" t="inlineStr">
        <is>
          <t>PDF</t>
        </is>
      </c>
    </row>
    <row r="4">
      <c r="A4" t="inlineStr">
        <is>
          <t>2026-10-14</t>
        </is>
      </c>
      <c r="B4" t="inlineStr">
        <is>
          <t>2027년 2월 결산기 ２분기 결산단신</t>
        </is>
      </c>
      <c r="C4" t="inlineStr">
        <is>
          <t>https://www2.jpx.co.jp/disc/99930/140120261014550200.pdf</t>
        </is>
      </c>
    </row>
    <row r="5">
      <c r="A5" t="inlineStr">
        <is>
          <t>2026-07-14</t>
        </is>
      </c>
      <c r="B5" t="inlineStr">
        <is>
          <t>2027년 2월 결산기 １분기 결산단신</t>
        </is>
      </c>
      <c r="C5" t="inlineStr">
        <is>
          <t>https://www2.jpx.co.jp/disc/99930/140120260713592236.pdf</t>
        </is>
      </c>
    </row>
    <row r="6">
      <c r="A6" t="inlineStr">
        <is>
          <t>2026-04-20</t>
        </is>
      </c>
      <c r="B6" t="inlineStr">
        <is>
          <t>2026년 2월 결산기 연간 결산단신</t>
        </is>
      </c>
      <c r="C6" t="inlineStr">
        <is>
          <t>https://www2.jpx.co.jp/disc/99930/140120260420506871.pdf</t>
        </is>
      </c>
    </row>
    <row r="7">
      <c r="A7" t="inlineStr">
        <is>
          <t>2026-01-14</t>
        </is>
      </c>
      <c r="B7" t="inlineStr">
        <is>
          <t>2026년 2월 결산기 ３분기 결산단신</t>
        </is>
      </c>
      <c r="C7" t="inlineStr">
        <is>
          <t>https://www2.jpx.co.jp/disc/99930/140120260114533127.pdf</t>
        </is>
      </c>
    </row>
    <row r="8">
      <c r="A8" t="inlineStr">
        <is>
          <t>2025-10-10</t>
        </is>
      </c>
      <c r="B8" t="inlineStr">
        <is>
          <t>2026년 2월 결산기 ２분기 결산단신</t>
        </is>
      </c>
      <c r="C8" t="inlineStr">
        <is>
          <t>https://www2.jpx.co.jp/disc/99930/140120251010571625.pdf</t>
        </is>
      </c>
    </row>
    <row r="9">
      <c r="A9" t="inlineStr">
        <is>
          <t>2025-04-14</t>
        </is>
      </c>
      <c r="B9" t="inlineStr">
        <is>
          <t>2025년 2월 결산기 연간 결산단신</t>
        </is>
      </c>
      <c r="C9" t="inlineStr">
        <is>
          <t>https://www2.jpx.co.jp/disc/99930/140120250414515281.pdf</t>
        </is>
      </c>
    </row>
    <row r="10">
      <c r="A10" t="inlineStr">
        <is>
          <t>2025-01-10</t>
        </is>
      </c>
      <c r="B10" t="inlineStr">
        <is>
          <t>2025년 2월 결산기 ３분기 결산단신</t>
        </is>
      </c>
      <c r="C10" t="inlineStr">
        <is>
          <t>https://www2.jpx.co.jp/disc/99930/140120250110548922.pdf</t>
        </is>
      </c>
    </row>
    <row r="11">
      <c r="A11" t="inlineStr">
        <is>
          <t>2024-10-10</t>
        </is>
      </c>
      <c r="B11" t="inlineStr">
        <is>
          <t>2025년 2월 결산기 ２분기 결산단신</t>
        </is>
      </c>
      <c r="C11" t="inlineStr">
        <is>
          <t>https://www2.jpx.co.jp/disc/99930/140120241010596167.pdf</t>
        </is>
      </c>
    </row>
    <row r="12">
      <c r="A12" t="inlineStr">
        <is>
          <t>2024-07-11</t>
        </is>
      </c>
      <c r="B12" t="inlineStr">
        <is>
          <t>2025년 2월 결산기 １분기 결산단신</t>
        </is>
      </c>
      <c r="C12" t="inlineStr">
        <is>
          <t>https://www2.jpx.co.jp/disc/99930/140120240711547445.pdf</t>
        </is>
      </c>
    </row>
    <row r="13">
      <c r="A13" t="inlineStr">
        <is>
          <t>2024-04-15</t>
        </is>
      </c>
      <c r="B13" t="inlineStr">
        <is>
          <t>2024년 2월 결산기 연간 결산단신</t>
        </is>
      </c>
      <c r="C13" t="inlineStr">
        <is>
          <t>https://www2.jpx.co.jp/disc/99930/140120240415570986.pdf</t>
        </is>
      </c>
    </row>
    <row r="14">
      <c r="A14" t="inlineStr">
        <is>
          <t>2024-01-11</t>
        </is>
      </c>
      <c r="B14" t="inlineStr">
        <is>
          <t>2024년 2월 결산기 ３분기 결산단신</t>
        </is>
      </c>
      <c r="C14" t="inlineStr">
        <is>
          <t>https://www2.jpx.co.jp/disc/99930/140120240111513312.pdf</t>
        </is>
      </c>
    </row>
    <row r="15">
      <c r="A15" t="inlineStr">
        <is>
          <t>2023-10-11</t>
        </is>
      </c>
      <c r="B15" t="inlineStr">
        <is>
          <t>2024년 2월 결산기 ２분기 결산단신</t>
        </is>
      </c>
      <c r="C15" t="inlineStr">
        <is>
          <t>https://www2.jpx.co.jp/disc/99930/140120231011564852.pdf</t>
        </is>
      </c>
    </row>
    <row r="16">
      <c r="A16" t="inlineStr">
        <is>
          <t>2023-07-12</t>
        </is>
      </c>
      <c r="B16" t="inlineStr">
        <is>
          <t>2024년 2월 결산기 １분기 결산단신</t>
        </is>
      </c>
      <c r="C16" t="inlineStr">
        <is>
          <t>https://www2.jpx.co.jp/disc/99930/140120230712520867.pdf</t>
        </is>
      </c>
    </row>
    <row r="17">
      <c r="A17" t="inlineStr">
        <is>
          <t>2023-04-14</t>
        </is>
      </c>
      <c r="B17" t="inlineStr">
        <is>
          <t>2023년 2월 결산기 연간 결산단신</t>
        </is>
      </c>
      <c r="C17" t="inlineStr">
        <is>
          <t>https://www2.jpx.co.jp/disc/99930/140120230414547869.pdf</t>
        </is>
      </c>
    </row>
    <row r="18">
      <c r="A18" t="inlineStr">
        <is>
          <t>2023-01-12</t>
        </is>
      </c>
      <c r="B18" t="inlineStr">
        <is>
          <t>2023년 2월 결산기 ３분기 결산단신</t>
        </is>
      </c>
      <c r="C18" t="inlineStr">
        <is>
          <t>https://www2.jpx.co.jp/disc/99930/140120230112588130.pdf</t>
        </is>
      </c>
    </row>
    <row r="19">
      <c r="A19" t="inlineStr">
        <is>
          <t>2022-10-12</t>
        </is>
      </c>
      <c r="B19" t="inlineStr">
        <is>
          <t>2023년 2월 결산기 ２분기 결산단신</t>
        </is>
      </c>
      <c r="C19" t="inlineStr">
        <is>
          <t>https://www2.jpx.co.jp/disc/99930/140120221012543163.pdf</t>
        </is>
      </c>
    </row>
    <row r="20">
      <c r="A20" t="inlineStr">
        <is>
          <t>2022-04-12</t>
        </is>
      </c>
      <c r="B20" t="inlineStr">
        <is>
          <t>2022년 2월 결산기 연간 결산단신</t>
        </is>
      </c>
      <c r="C20" t="inlineStr">
        <is>
          <t>https://www2.jpx.co.jp/disc/99930/140120220412520467.pdf</t>
        </is>
      </c>
    </row>
    <row r="21">
      <c r="A21" t="inlineStr">
        <is>
          <t>2021-04-12</t>
        </is>
      </c>
      <c r="B21" t="inlineStr">
        <is>
          <t>2021년 2월 결산기 연간 결산단신</t>
        </is>
      </c>
      <c r="C21" t="inlineStr">
        <is>
          <t>https://www2.jpx.co.jp/disc/99930/140120210412492950.pdf</t>
        </is>
      </c>
    </row>
    <row r="22">
      <c r="A22" t="inlineStr">
        <is>
          <t>2020-04-10</t>
        </is>
      </c>
      <c r="B22" t="inlineStr">
        <is>
          <t>2020년 2월 결산기 연간 결산단신</t>
        </is>
      </c>
      <c r="C22" t="inlineStr">
        <is>
          <t>https://www2.jpx.co.jp/disc/99930/140120200410492181.pdf</t>
        </is>
      </c>
    </row>
    <row r="23">
      <c r="A23" t="inlineStr">
        <is>
          <t>2019-04-11</t>
        </is>
      </c>
      <c r="B23" t="inlineStr">
        <is>
          <t>2019년 2월 결산기 연간 결산단신</t>
        </is>
      </c>
      <c r="C23" t="inlineStr">
        <is>
          <t>https://www2.jpx.co.jp/disc/99930/140120190410402456.pdf</t>
        </is>
      </c>
    </row>
    <row r="24">
      <c r="A24" t="inlineStr">
        <is>
          <t>2018-04-12</t>
        </is>
      </c>
      <c r="B24" t="inlineStr">
        <is>
          <t>연간 결산단신</t>
        </is>
      </c>
      <c r="C24" t="inlineStr">
        <is>
          <t>https://www2.jpx.co.jp/disc/99930/140120180410408782.pdf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2026-10-25T07:48:23Z</dcterms:created>
  <dcterms:modified xmlns:dcterms="http://purl.org/dc/terms/" xmlns:xsi="http://www.w3.org/2001/XMLSchema-instance" xsi:type="dcterms:W3CDTF">2026-10-25T07:48:23Z</dcterms:modified>
</cp:coreProperties>
</file>