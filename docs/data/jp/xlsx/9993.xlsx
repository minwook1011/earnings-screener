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손익계산서" sheetId="1" state="visible" r:id="rId1"/>
    <sheet xmlns:r="http://schemas.openxmlformats.org/officeDocument/2006/relationships" name="포괄손익" sheetId="2" state="visible" r:id="rId2"/>
    <sheet xmlns:r="http://schemas.openxmlformats.org/officeDocument/2006/relationships" name="재무상태표" sheetId="3" state="visible" r:id="rId3"/>
    <sheet xmlns:r="http://schemas.openxmlformats.org/officeDocument/2006/relationships" name="현금흐름표" sheetId="4" state="visible" r:id="rId4"/>
    <sheet xmlns:r="http://schemas.openxmlformats.org/officeDocument/2006/relationships" name="부문" sheetId="5" state="visible" r:id="rId5"/>
    <sheet xmlns:r="http://schemas.openxmlformats.org/officeDocument/2006/relationships" name="섹터 데이터" sheetId="6" state="visible" r:id="rId6"/>
    <sheet xmlns:r="http://schemas.openxmlformats.org/officeDocument/2006/relationships" name="출처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;\(#,##0.0\);&quot;-&quot;"/>
    <numFmt numFmtId="165" formatCode="0.0%;\-0.0%;&quot;-&quot;"/>
  </numFmts>
  <fonts count="9">
    <font>
      <name val="Calibri"/>
      <family val="2"/>
      <color theme="1"/>
      <sz val="11"/>
      <scheme val="minor"/>
    </font>
    <font>
      <name val="맑은 고딕"/>
      <b val="1"/>
      <sz val="20"/>
    </font>
    <font>
      <name val="맑은 고딕"/>
      <color rgb="FFFF0000"/>
      <sz val="9"/>
    </font>
    <font>
      <name val="맑은 고딕"/>
      <color rgb="FF808080"/>
      <sz val="9"/>
    </font>
    <font>
      <name val="맑은 고딕"/>
      <b val="1"/>
      <sz val="10"/>
    </font>
    <font>
      <name val="맑은 고딕"/>
      <b val="1"/>
      <sz val="11"/>
    </font>
    <font>
      <name val="맑은 고딕"/>
      <color rgb="FF808080"/>
      <sz val="11"/>
    </font>
    <font>
      <name val="맑은 고딕"/>
      <sz val="11"/>
    </font>
    <font>
      <name val="맑은 고딕"/>
      <b val="1"/>
      <color rgb="FFFFFFFF"/>
      <sz val="11"/>
    </font>
  </fonts>
  <fills count="4">
    <fill>
      <patternFill/>
    </fill>
    <fill>
      <patternFill patternType="gray125"/>
    </fill>
    <fill>
      <patternFill patternType="solid">
        <fgColor rgb="FFD9D9D9"/>
      </patternFill>
    </fill>
    <fill>
      <patternFill patternType="solid">
        <fgColor rgb="FF808080"/>
      </patternFill>
    </fill>
  </fills>
  <borders count="2">
    <border>
      <left/>
      <right/>
      <top/>
      <bottom/>
      <diagonal/>
    </border>
    <border>
      <top style="thin">
        <color rgb="FFBFBFBF"/>
      </top>
      <bottom style="thin">
        <color rgb="FF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/>
    </xf>
    <xf numFmtId="0" fontId="5" fillId="0" borderId="0" applyAlignment="1" pivotButton="0" quotePrefix="0" xfId="0">
      <alignment horizontal="left" vertical="center"/>
    </xf>
    <xf numFmtId="164" fontId="5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vertical="top" wrapText="1"/>
    </xf>
    <xf numFmtId="0" fontId="6" fillId="0" borderId="0" applyAlignment="1" pivotButton="0" quotePrefix="0" xfId="0">
      <alignment horizontal="left" vertical="center"/>
    </xf>
    <xf numFmtId="165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164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7" fillId="0" borderId="0" pivotButton="0" quotePrefix="0" xfId="0"/>
    <xf numFmtId="3" fontId="7" fillId="0" borderId="0" applyAlignment="1" pivotButton="0" quotePrefix="0" xfId="0">
      <alignment horizontal="center" vertical="center"/>
    </xf>
    <xf numFmtId="0" fontId="4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F76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2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40" customWidth="1" min="32" max="32"/>
  </cols>
  <sheetData>
    <row r="1">
      <c r="A1" s="1" t="inlineStr">
        <is>
          <t>야마자와 손익계산서</t>
        </is>
      </c>
    </row>
    <row r="2">
      <c r="A2" s="2" t="inlineStr">
        <is>
          <t>결산기 기준(27.2Q = 2027년 결산기 2분기) · 2월 결산 · 연결 · 분기 단독(누계 차분) · 오른쪽 FY = 연간</t>
        </is>
      </c>
      <c r="B2" s="3" t="inlineStr">
        <is>
          <t>(단위: 억엔)</t>
        </is>
      </c>
    </row>
    <row r="3">
      <c r="A3" s="4" t="inlineStr">
        <is>
          <t>항목</t>
        </is>
      </c>
      <c r="B3" s="4" t="inlineStr">
        <is>
          <t>참고</t>
        </is>
      </c>
      <c r="C3" s="4" t="inlineStr">
        <is>
          <t>22.3Q</t>
        </is>
      </c>
      <c r="D3" s="4" t="inlineStr">
        <is>
          <t>22.4Q</t>
        </is>
      </c>
      <c r="E3" s="4" t="inlineStr">
        <is>
          <t>23.1Q</t>
        </is>
      </c>
      <c r="F3" s="4" t="inlineStr">
        <is>
          <t>23.2Q</t>
        </is>
      </c>
      <c r="G3" s="4" t="inlineStr">
        <is>
          <t>23.3Q</t>
        </is>
      </c>
      <c r="H3" s="4" t="inlineStr">
        <is>
          <t>23.4Q</t>
        </is>
      </c>
      <c r="I3" s="4" t="inlineStr">
        <is>
          <t>24.1Q</t>
        </is>
      </c>
      <c r="J3" s="4" t="inlineStr">
        <is>
          <t>24.2Q</t>
        </is>
      </c>
      <c r="K3" s="4" t="inlineStr">
        <is>
          <t>24.3Q</t>
        </is>
      </c>
      <c r="L3" s="4" t="inlineStr">
        <is>
          <t>24.4Q</t>
        </is>
      </c>
      <c r="M3" s="4" t="inlineStr">
        <is>
          <t>25.1Q</t>
        </is>
      </c>
      <c r="N3" s="4" t="inlineStr">
        <is>
          <t>25.2Q</t>
        </is>
      </c>
      <c r="O3" s="4" t="inlineStr">
        <is>
          <t>25.3Q</t>
        </is>
      </c>
      <c r="P3" s="4" t="inlineStr">
        <is>
          <t>25.4Q</t>
        </is>
      </c>
      <c r="Q3" s="4" t="inlineStr">
        <is>
          <t>26.1Q</t>
        </is>
      </c>
      <c r="R3" s="4" t="inlineStr">
        <is>
          <t>26.2Q</t>
        </is>
      </c>
      <c r="S3" s="4" t="inlineStr">
        <is>
          <t>26.3Q</t>
        </is>
      </c>
      <c r="T3" s="4" t="inlineStr">
        <is>
          <t>26.4Q</t>
        </is>
      </c>
      <c r="U3" s="4" t="inlineStr">
        <is>
          <t>27.1Q</t>
        </is>
      </c>
      <c r="V3" s="4" t="inlineStr">
        <is>
          <t>27.2Q</t>
        </is>
      </c>
      <c r="W3" s="4" t="inlineStr">
        <is>
          <t>FY18</t>
        </is>
      </c>
      <c r="X3" s="4" t="inlineStr">
        <is>
          <t>FY19</t>
        </is>
      </c>
      <c r="Y3" s="4" t="inlineStr">
        <is>
          <t>FY20</t>
        </is>
      </c>
      <c r="Z3" s="4" t="inlineStr">
        <is>
          <t>FY21</t>
        </is>
      </c>
      <c r="AA3" s="4" t="inlineStr">
        <is>
          <t>FY22</t>
        </is>
      </c>
      <c r="AB3" s="4" t="inlineStr">
        <is>
          <t>FY23</t>
        </is>
      </c>
      <c r="AC3" s="4" t="inlineStr">
        <is>
          <t>FY24</t>
        </is>
      </c>
      <c r="AD3" s="4" t="inlineStr">
        <is>
          <t>FY25</t>
        </is>
      </c>
      <c r="AE3" s="4" t="inlineStr">
        <is>
          <t>FY26</t>
        </is>
      </c>
      <c r="AF3" s="4" t="inlineStr">
        <is>
          <t>출처</t>
        </is>
      </c>
    </row>
    <row r="4">
      <c r="A4" s="5" t="inlineStr">
        <is>
          <t>매출액</t>
        </is>
      </c>
      <c r="C4" s="6" t="n">
        <v>265.55</v>
      </c>
      <c r="D4" s="6" t="n">
        <v>288.91</v>
      </c>
      <c r="E4" s="6" t="n">
        <v>248.84</v>
      </c>
      <c r="F4" s="6" t="n">
        <v>254.25</v>
      </c>
      <c r="G4" s="6" t="n">
        <v>235.37</v>
      </c>
      <c r="H4" s="6" t="n">
        <v>256.11</v>
      </c>
      <c r="I4" s="6" t="n">
        <v>245.21</v>
      </c>
      <c r="J4" s="6" t="n">
        <v>261.29</v>
      </c>
      <c r="K4" s="6" t="n">
        <v>252.72</v>
      </c>
      <c r="L4" s="6" t="n">
        <v>259.69</v>
      </c>
      <c r="M4" s="6" t="n">
        <v>249.69</v>
      </c>
      <c r="N4" s="6" t="n">
        <v>259.89</v>
      </c>
      <c r="O4" s="6" t="n">
        <v>249.27</v>
      </c>
      <c r="P4" s="6" t="n">
        <v>266.73</v>
      </c>
      <c r="Q4" s="6" t="n">
        <v>260.63</v>
      </c>
      <c r="R4" s="6" t="n">
        <v>270.2</v>
      </c>
      <c r="S4" s="6" t="n">
        <v>255.54</v>
      </c>
      <c r="T4" s="6" t="n">
        <v>267.68</v>
      </c>
      <c r="U4" s="6" t="n">
        <v>248.71</v>
      </c>
      <c r="V4" s="6" t="n">
        <v>250.73</v>
      </c>
      <c r="W4" s="6" t="n">
        <v>1143.03</v>
      </c>
      <c r="X4" s="6" t="n">
        <v>1106.88</v>
      </c>
      <c r="Y4" s="6" t="n">
        <v>1097.09</v>
      </c>
      <c r="Z4" s="6" t="n">
        <v>1129.38</v>
      </c>
      <c r="AA4" s="6" t="n">
        <v>1106.73</v>
      </c>
      <c r="AB4" s="6" t="n">
        <v>994.5700000000001</v>
      </c>
      <c r="AC4" s="6" t="n">
        <v>1018.91</v>
      </c>
      <c r="AD4" s="6" t="n">
        <v>1025.58</v>
      </c>
      <c r="AE4" s="6" t="n">
        <v>1054.05</v>
      </c>
      <c r="AF4" s="7" t="inlineStr">
        <is>
          <t>결산단신 XBRL(거래소 공시, TDnet·JPX 보관소). 쓴 문서: 2026-10-14, 2026-07-14, 2026-04-20, 2026-01-14 외 26건 — '출처' 시트에 전부</t>
        </is>
      </c>
    </row>
    <row r="5">
      <c r="A5" s="8" t="inlineStr">
        <is>
          <t>YoY</t>
        </is>
      </c>
      <c r="G5" s="9">
        <f>IF(OR(G4="",C4=""),"",IFERROR(G4/C4-1,""))</f>
        <v/>
      </c>
      <c r="H5" s="9">
        <f>IF(OR(H4="",D4=""),"",IFERROR(H4/D4-1,""))</f>
        <v/>
      </c>
      <c r="I5" s="9">
        <f>IF(OR(I4="",E4=""),"",IFERROR(I4/E4-1,""))</f>
        <v/>
      </c>
      <c r="J5" s="9">
        <f>IF(OR(J4="",F4=""),"",IFERROR(J4/F4-1,""))</f>
        <v/>
      </c>
      <c r="K5" s="9">
        <f>IF(OR(K4="",G4=""),"",IFERROR(K4/G4-1,""))</f>
        <v/>
      </c>
      <c r="L5" s="9">
        <f>IF(OR(L4="",H4=""),"",IFERROR(L4/H4-1,""))</f>
        <v/>
      </c>
      <c r="M5" s="9">
        <f>IF(OR(M4="",I4=""),"",IFERROR(M4/I4-1,""))</f>
        <v/>
      </c>
      <c r="N5" s="9">
        <f>IF(OR(N4="",J4=""),"",IFERROR(N4/J4-1,""))</f>
        <v/>
      </c>
      <c r="O5" s="9">
        <f>IF(OR(O4="",K4=""),"",IFERROR(O4/K4-1,""))</f>
        <v/>
      </c>
      <c r="P5" s="9">
        <f>IF(OR(P4="",L4=""),"",IFERROR(P4/L4-1,""))</f>
        <v/>
      </c>
      <c r="Q5" s="9">
        <f>IF(OR(Q4="",M4=""),"",IFERROR(Q4/M4-1,""))</f>
        <v/>
      </c>
      <c r="R5" s="9">
        <f>IF(OR(R4="",N4=""),"",IFERROR(R4/N4-1,""))</f>
        <v/>
      </c>
      <c r="S5" s="9">
        <f>IF(OR(S4="",O4=""),"",IFERROR(S4/O4-1,""))</f>
        <v/>
      </c>
      <c r="T5" s="9">
        <f>IF(OR(T4="",P4=""),"",IFERROR(T4/P4-1,""))</f>
        <v/>
      </c>
      <c r="U5" s="9">
        <f>IF(OR(U4="",Q4=""),"",IFERROR(U4/Q4-1,""))</f>
        <v/>
      </c>
      <c r="V5" s="9">
        <f>IF(OR(V4="",R4=""),"",IFERROR(V4/R4-1,""))</f>
        <v/>
      </c>
      <c r="X5" s="9">
        <f>IF(OR(X4="",W4=""),"",IFERROR(X4/W4-1,""))</f>
        <v/>
      </c>
      <c r="Y5" s="9">
        <f>IF(OR(Y4="",X4=""),"",IFERROR(Y4/X4-1,""))</f>
        <v/>
      </c>
      <c r="Z5" s="9">
        <f>IF(OR(Z4="",Y4=""),"",IFERROR(Z4/Y4-1,""))</f>
        <v/>
      </c>
      <c r="AA5" s="9">
        <f>IF(OR(AA4="",Z4=""),"",IFERROR(AA4/Z4-1,""))</f>
        <v/>
      </c>
      <c r="AB5" s="9">
        <f>IF(OR(AB4="",AA4=""),"",IFERROR(AB4/AA4-1,""))</f>
        <v/>
      </c>
      <c r="AC5" s="9">
        <f>IF(OR(AC4="",AB4=""),"",IFERROR(AC4/AB4-1,""))</f>
        <v/>
      </c>
      <c r="AD5" s="9">
        <f>IF(OR(AD4="",AC4=""),"",IFERROR(AD4/AC4-1,""))</f>
        <v/>
      </c>
      <c r="AE5" s="9">
        <f>IF(OR(AE4="",AD4=""),"",IFERROR(AE4/AD4-1,""))</f>
        <v/>
      </c>
    </row>
    <row r="6">
      <c r="A6" s="5" t="inlineStr">
        <is>
          <t>매출원가</t>
        </is>
      </c>
      <c r="C6" s="6" t="n">
        <v>189.75</v>
      </c>
      <c r="D6" s="6" t="n">
        <v>204.39</v>
      </c>
      <c r="E6" s="6" t="n">
        <v>183.06</v>
      </c>
      <c r="F6" s="6" t="n">
        <v>183.06</v>
      </c>
      <c r="G6" s="6" t="n">
        <v>169.31</v>
      </c>
      <c r="H6" s="6" t="n">
        <v>183.07</v>
      </c>
      <c r="I6" s="6" t="n">
        <v>178.09</v>
      </c>
      <c r="J6" s="6" t="n">
        <v>187.72</v>
      </c>
      <c r="K6" s="6" t="n">
        <v>184.89</v>
      </c>
      <c r="L6" s="6" t="n">
        <v>186.81</v>
      </c>
      <c r="M6" s="6" t="n">
        <v>182.33</v>
      </c>
      <c r="N6" s="6" t="n">
        <v>186.62</v>
      </c>
      <c r="O6" s="6" t="n">
        <v>181.57</v>
      </c>
      <c r="P6" s="6" t="n">
        <v>189.11</v>
      </c>
      <c r="Q6" s="6" t="n">
        <v>188.86</v>
      </c>
      <c r="R6" s="6" t="n">
        <v>193.6</v>
      </c>
      <c r="S6" s="6" t="n">
        <v>185.22</v>
      </c>
      <c r="T6" s="6" t="n">
        <v>190.03</v>
      </c>
      <c r="U6" s="6" t="n">
        <v>180.56</v>
      </c>
      <c r="V6" s="6" t="n">
        <v>177.08</v>
      </c>
      <c r="W6" s="6" t="n">
        <v>824.04</v>
      </c>
      <c r="X6" s="6" t="n">
        <v>803.22</v>
      </c>
      <c r="Y6" s="6" t="n">
        <v>795.0599999999999</v>
      </c>
      <c r="Z6" s="6" t="n">
        <v>804.58</v>
      </c>
      <c r="AA6" s="6" t="n">
        <v>789.9299999999999</v>
      </c>
      <c r="AB6" s="6" t="n">
        <v>718.5</v>
      </c>
      <c r="AC6" s="6" t="n">
        <v>737.51</v>
      </c>
      <c r="AD6" s="6" t="n">
        <v>739.63</v>
      </c>
      <c r="AE6" s="6" t="n">
        <v>757.71</v>
      </c>
    </row>
    <row r="7">
      <c r="A7" s="5" t="inlineStr">
        <is>
          <t>매출총이익</t>
        </is>
      </c>
      <c r="C7" s="6" t="n">
        <v>75.8</v>
      </c>
      <c r="D7" s="6" t="n">
        <v>84.52</v>
      </c>
      <c r="E7" s="6" t="n">
        <v>65.77</v>
      </c>
      <c r="F7" s="6" t="n">
        <v>71.19</v>
      </c>
      <c r="G7" s="6" t="n">
        <v>66.06999999999999</v>
      </c>
      <c r="H7" s="6" t="n">
        <v>73.03</v>
      </c>
      <c r="I7" s="6" t="n">
        <v>67.12</v>
      </c>
      <c r="J7" s="6" t="n">
        <v>73.56</v>
      </c>
      <c r="K7" s="6" t="n">
        <v>67.83</v>
      </c>
      <c r="L7" s="6" t="n">
        <v>72.89</v>
      </c>
      <c r="M7" s="6" t="n">
        <v>67.34999999999999</v>
      </c>
      <c r="N7" s="6" t="n">
        <v>73.27</v>
      </c>
      <c r="O7" s="6" t="n">
        <v>67.7</v>
      </c>
      <c r="P7" s="6" t="n">
        <v>77.63</v>
      </c>
      <c r="Q7" s="6" t="n">
        <v>71.76000000000001</v>
      </c>
      <c r="R7" s="6" t="n">
        <v>76.59999999999999</v>
      </c>
      <c r="S7" s="6" t="n">
        <v>70.31999999999999</v>
      </c>
      <c r="T7" s="6" t="n">
        <v>77.66</v>
      </c>
      <c r="U7" s="6" t="n">
        <v>68.15000000000001</v>
      </c>
      <c r="V7" s="6" t="n">
        <v>73.65000000000001</v>
      </c>
      <c r="W7" s="6" t="n">
        <v>318.99</v>
      </c>
      <c r="X7" s="6" t="n">
        <v>303.66</v>
      </c>
      <c r="Y7" s="6" t="n">
        <v>302.03</v>
      </c>
      <c r="Z7" s="6" t="n">
        <v>324.8</v>
      </c>
      <c r="AA7" s="6" t="n">
        <v>316.79</v>
      </c>
      <c r="AB7" s="6" t="n">
        <v>276.06</v>
      </c>
      <c r="AC7" s="6" t="n">
        <v>281.4</v>
      </c>
      <c r="AD7" s="6" t="n">
        <v>285.95</v>
      </c>
      <c r="AE7" s="6" t="n">
        <v>296.34</v>
      </c>
    </row>
    <row r="8">
      <c r="A8" s="8" t="inlineStr">
        <is>
          <t>매출총이익률</t>
        </is>
      </c>
      <c r="C8" s="9">
        <f>IF(OR(C7="",C4=""),"",IFERROR(C7/C4,""))</f>
        <v/>
      </c>
      <c r="D8" s="9">
        <f>IF(OR(D7="",D4=""),"",IFERROR(D7/D4,""))</f>
        <v/>
      </c>
      <c r="E8" s="9">
        <f>IF(OR(E7="",E4=""),"",IFERROR(E7/E4,""))</f>
        <v/>
      </c>
      <c r="F8" s="9">
        <f>IF(OR(F7="",F4=""),"",IFERROR(F7/F4,""))</f>
        <v/>
      </c>
      <c r="G8" s="9">
        <f>IF(OR(G7="",G4=""),"",IFERROR(G7/G4,""))</f>
        <v/>
      </c>
      <c r="H8" s="9">
        <f>IF(OR(H7="",H4=""),"",IFERROR(H7/H4,""))</f>
        <v/>
      </c>
      <c r="I8" s="9">
        <f>IF(OR(I7="",I4=""),"",IFERROR(I7/I4,""))</f>
        <v/>
      </c>
      <c r="J8" s="9">
        <f>IF(OR(J7="",J4=""),"",IFERROR(J7/J4,""))</f>
        <v/>
      </c>
      <c r="K8" s="9">
        <f>IF(OR(K7="",K4=""),"",IFERROR(K7/K4,""))</f>
        <v/>
      </c>
      <c r="L8" s="9">
        <f>IF(OR(L7="",L4=""),"",IFERROR(L7/L4,""))</f>
        <v/>
      </c>
      <c r="M8" s="9">
        <f>IF(OR(M7="",M4=""),"",IFERROR(M7/M4,""))</f>
        <v/>
      </c>
      <c r="N8" s="9">
        <f>IF(OR(N7="",N4=""),"",IFERROR(N7/N4,""))</f>
        <v/>
      </c>
      <c r="O8" s="9">
        <f>IF(OR(O7="",O4=""),"",IFERROR(O7/O4,""))</f>
        <v/>
      </c>
      <c r="P8" s="9">
        <f>IF(OR(P7="",P4=""),"",IFERROR(P7/P4,""))</f>
        <v/>
      </c>
      <c r="Q8" s="9">
        <f>IF(OR(Q7="",Q4=""),"",IFERROR(Q7/Q4,""))</f>
        <v/>
      </c>
      <c r="R8" s="9">
        <f>IF(OR(R7="",R4=""),"",IFERROR(R7/R4,""))</f>
        <v/>
      </c>
      <c r="S8" s="9">
        <f>IF(OR(S7="",S4=""),"",IFERROR(S7/S4,""))</f>
        <v/>
      </c>
      <c r="T8" s="9">
        <f>IF(OR(T7="",T4=""),"",IFERROR(T7/T4,""))</f>
        <v/>
      </c>
      <c r="U8" s="9">
        <f>IF(OR(U7="",U4=""),"",IFERROR(U7/U4,""))</f>
        <v/>
      </c>
      <c r="V8" s="9">
        <f>IF(OR(V7="",V4=""),"",IFERROR(V7/V4,""))</f>
        <v/>
      </c>
      <c r="W8" s="9">
        <f>IF(OR(W7="",W4=""),"",IFERROR(W7/W4,""))</f>
        <v/>
      </c>
      <c r="X8" s="9">
        <f>IF(OR(X7="",X4=""),"",IFERROR(X7/X4,""))</f>
        <v/>
      </c>
      <c r="Y8" s="9">
        <f>IF(OR(Y7="",Y4=""),"",IFERROR(Y7/Y4,""))</f>
        <v/>
      </c>
      <c r="Z8" s="9">
        <f>IF(OR(Z7="",Z4=""),"",IFERROR(Z7/Z4,""))</f>
        <v/>
      </c>
      <c r="AA8" s="9">
        <f>IF(OR(AA7="",AA4=""),"",IFERROR(AA7/AA4,""))</f>
        <v/>
      </c>
      <c r="AB8" s="9">
        <f>IF(OR(AB7="",AB4=""),"",IFERROR(AB7/AB4,""))</f>
        <v/>
      </c>
      <c r="AC8" s="9">
        <f>IF(OR(AC7="",AC4=""),"",IFERROR(AC7/AC4,""))</f>
        <v/>
      </c>
      <c r="AD8" s="9">
        <f>IF(OR(AD7="",AD4=""),"",IFERROR(AD7/AD4,""))</f>
        <v/>
      </c>
      <c r="AE8" s="9">
        <f>IF(OR(AE7="",AE4=""),"",IFERROR(AE7/AE4,""))</f>
        <v/>
      </c>
    </row>
    <row r="9">
      <c r="A9" s="10" t="inlineStr">
        <is>
          <t>광고선전비</t>
        </is>
      </c>
      <c r="W9" s="11" t="n">
        <v>23.17</v>
      </c>
      <c r="X9" s="11" t="n">
        <v>22.32</v>
      </c>
      <c r="Y9" s="11" t="n">
        <v>22.14</v>
      </c>
      <c r="Z9" s="11" t="n">
        <v>21.57</v>
      </c>
      <c r="AA9" s="11" t="n">
        <v>20.86</v>
      </c>
      <c r="AB9" s="11" t="n">
        <v>8.73</v>
      </c>
      <c r="AC9" s="11" t="n">
        <v>7.65</v>
      </c>
      <c r="AD9" s="11" t="n">
        <v>9.51</v>
      </c>
      <c r="AE9" s="11" t="n">
        <v>8.970000000000001</v>
      </c>
    </row>
    <row r="10">
      <c r="A10" s="10" t="inlineStr">
        <is>
          <t>임원 보수</t>
        </is>
      </c>
      <c r="W10" s="11" t="n">
        <v>1.64</v>
      </c>
      <c r="X10" s="11" t="n">
        <v>1.59</v>
      </c>
      <c r="Y10" s="11" t="n">
        <v>1.96</v>
      </c>
      <c r="Z10" s="11" t="n">
        <v>1.91</v>
      </c>
      <c r="AA10" s="11" t="n">
        <v>1.71</v>
      </c>
      <c r="AB10" s="11" t="n">
        <v>1.62</v>
      </c>
      <c r="AC10" s="11" t="n">
        <v>1.4</v>
      </c>
      <c r="AD10" s="11" t="n">
        <v>1.49</v>
      </c>
      <c r="AE10" s="11" t="n">
        <v>1.36</v>
      </c>
    </row>
    <row r="11">
      <c r="A11" s="10" t="inlineStr">
        <is>
          <t>급여·수당</t>
        </is>
      </c>
      <c r="W11" s="11" t="n">
        <v>109.28</v>
      </c>
      <c r="X11" s="11" t="n">
        <v>109.18</v>
      </c>
      <c r="Y11" s="11" t="n">
        <v>108.26</v>
      </c>
      <c r="Z11" s="11" t="n">
        <v>108.01</v>
      </c>
      <c r="AA11" s="11" t="n">
        <v>108.45</v>
      </c>
      <c r="AB11" s="11" t="n">
        <v>108.02</v>
      </c>
      <c r="AC11" s="11" t="n">
        <v>112.51</v>
      </c>
      <c r="AD11" s="11" t="n">
        <v>115.29</v>
      </c>
      <c r="AE11" s="11" t="n">
        <v>116.38</v>
      </c>
    </row>
    <row r="12">
      <c r="A12" s="10" t="inlineStr">
        <is>
          <t>종업원 상여</t>
        </is>
      </c>
      <c r="W12" s="11" t="n">
        <v>8.73</v>
      </c>
      <c r="X12" s="11" t="n">
        <v>8.140000000000001</v>
      </c>
      <c r="Y12" s="11" t="n">
        <v>7.69</v>
      </c>
      <c r="Z12" s="11" t="n">
        <v>8.32</v>
      </c>
      <c r="AA12" s="11" t="n">
        <v>8.880000000000001</v>
      </c>
      <c r="AB12" s="11" t="n">
        <v>8.93</v>
      </c>
      <c r="AC12" s="11" t="n">
        <v>8.32</v>
      </c>
      <c r="AD12" s="11" t="n">
        <v>7.98</v>
      </c>
      <c r="AE12" s="11" t="n">
        <v>8.050000000000001</v>
      </c>
    </row>
    <row r="13">
      <c r="A13" s="10" t="inlineStr">
        <is>
          <t>급여</t>
        </is>
      </c>
      <c r="C13" s="11" t="n">
        <v>26.96</v>
      </c>
      <c r="E13" s="11" t="n">
        <v>27.04</v>
      </c>
      <c r="F13" s="11" t="n">
        <v>27.14</v>
      </c>
      <c r="G13" s="11" t="n">
        <v>26.75</v>
      </c>
      <c r="I13" s="11" t="n">
        <v>27.58</v>
      </c>
      <c r="J13" s="11" t="n">
        <v>27.91</v>
      </c>
      <c r="K13" s="11" t="n">
        <v>28.33</v>
      </c>
      <c r="M13" s="11" t="n">
        <v>28.54</v>
      </c>
      <c r="N13" s="11" t="n">
        <v>29.03</v>
      </c>
      <c r="O13" s="11" t="n">
        <v>28.77</v>
      </c>
      <c r="Q13" s="11" t="n">
        <v>29.06</v>
      </c>
      <c r="R13" s="11" t="n">
        <v>29.26</v>
      </c>
      <c r="S13" s="11" t="n">
        <v>28.79</v>
      </c>
      <c r="U13" s="11" t="n">
        <v>27.98</v>
      </c>
      <c r="V13" s="11" t="n">
        <v>28.16</v>
      </c>
    </row>
    <row r="14">
      <c r="A14" s="10" t="inlineStr">
        <is>
          <t>상여충당금 전입</t>
        </is>
      </c>
      <c r="C14" s="11" t="n">
        <v>3.03</v>
      </c>
      <c r="D14" s="11" t="n">
        <v>-2.97</v>
      </c>
      <c r="E14" s="11" t="n">
        <v>2.9</v>
      </c>
      <c r="F14" s="11" t="n">
        <v>0.06</v>
      </c>
      <c r="G14" s="11" t="n">
        <v>3.14</v>
      </c>
      <c r="H14" s="11" t="n">
        <v>-2.95</v>
      </c>
      <c r="I14" s="11" t="n">
        <v>2.69</v>
      </c>
      <c r="J14" s="11" t="n">
        <v>0.45</v>
      </c>
      <c r="K14" s="11" t="n">
        <v>2.9</v>
      </c>
      <c r="L14" s="11" t="n">
        <v>-2.9</v>
      </c>
      <c r="M14" s="11" t="n">
        <v>2.67</v>
      </c>
      <c r="N14" s="11" t="n">
        <v>0.49</v>
      </c>
      <c r="O14" s="11" t="n">
        <v>2.26</v>
      </c>
      <c r="P14" s="11" t="n">
        <v>-2.45</v>
      </c>
      <c r="Q14" s="11" t="n">
        <v>2.35</v>
      </c>
      <c r="R14" s="11" t="n">
        <v>0.61</v>
      </c>
      <c r="S14" s="11" t="n">
        <v>2.74</v>
      </c>
      <c r="T14" s="11" t="n">
        <v>-3.12</v>
      </c>
      <c r="U14" s="11" t="n">
        <v>2.51</v>
      </c>
      <c r="V14" s="11" t="n">
        <v>0.14</v>
      </c>
      <c r="W14" s="11" t="n">
        <v>3.22</v>
      </c>
      <c r="X14" s="11" t="n">
        <v>3.13</v>
      </c>
      <c r="Y14" s="11" t="n">
        <v>3.16</v>
      </c>
      <c r="Z14" s="11" t="n">
        <v>2.92</v>
      </c>
      <c r="AA14" s="11" t="n">
        <v>2.97</v>
      </c>
      <c r="AB14" s="11" t="n">
        <v>3.15</v>
      </c>
      <c r="AC14" s="11" t="n">
        <v>3.14</v>
      </c>
      <c r="AD14" s="11" t="n">
        <v>2.97</v>
      </c>
      <c r="AE14" s="11" t="n">
        <v>2.58</v>
      </c>
    </row>
    <row r="15">
      <c r="A15" s="10" t="inlineStr">
        <is>
          <t>임원 상여충당금 전입</t>
        </is>
      </c>
      <c r="C15" s="11" t="n">
        <v>0</v>
      </c>
      <c r="D15" s="11" t="n">
        <v>0</v>
      </c>
      <c r="W15" s="11" t="n">
        <v>0.1</v>
      </c>
      <c r="X15" s="11" t="n">
        <v>0.03</v>
      </c>
      <c r="Y15" s="11" t="n">
        <v>0</v>
      </c>
      <c r="Z15" s="11" t="n">
        <v>0</v>
      </c>
      <c r="AA15" s="11" t="n">
        <v>0</v>
      </c>
    </row>
    <row r="16">
      <c r="A16" s="10" t="inlineStr">
        <is>
          <t>포인트 충당금 전입</t>
        </is>
      </c>
      <c r="C16" s="11" t="n">
        <v>0.02</v>
      </c>
      <c r="D16" s="11" t="n">
        <v>-0.04</v>
      </c>
      <c r="E16" s="11" t="n">
        <v>0</v>
      </c>
      <c r="F16" s="11" t="n">
        <v>0</v>
      </c>
      <c r="G16" s="11" t="n">
        <v>0</v>
      </c>
      <c r="H16" s="11" t="n">
        <v>0</v>
      </c>
      <c r="W16" s="11" t="n">
        <v>7.12</v>
      </c>
      <c r="X16" s="11" t="n">
        <v>6.44</v>
      </c>
      <c r="Y16" s="11" t="n">
        <v>6.56</v>
      </c>
      <c r="Z16" s="11" t="n">
        <v>6.7</v>
      </c>
      <c r="AA16" s="11" t="n">
        <v>6.46</v>
      </c>
      <c r="AB16" s="11" t="n">
        <v>0</v>
      </c>
    </row>
    <row r="17">
      <c r="A17" s="10" t="inlineStr">
        <is>
          <t>퇴직급여비용</t>
        </is>
      </c>
      <c r="C17" s="11" t="n">
        <v>0.33</v>
      </c>
      <c r="D17" s="11" t="n">
        <v>0.42</v>
      </c>
      <c r="E17" s="11" t="n">
        <v>0.33</v>
      </c>
      <c r="F17" s="11" t="n">
        <v>0.17</v>
      </c>
      <c r="G17" s="11" t="n">
        <v>0.34</v>
      </c>
      <c r="H17" s="11" t="n">
        <v>0.48</v>
      </c>
      <c r="I17" s="11" t="n">
        <v>0.29</v>
      </c>
      <c r="J17" s="11" t="n">
        <v>0.33</v>
      </c>
      <c r="K17" s="11" t="n">
        <v>0.29</v>
      </c>
      <c r="L17" s="11" t="n">
        <v>0.28</v>
      </c>
      <c r="M17" s="11" t="n">
        <v>0.45</v>
      </c>
      <c r="N17" s="11" t="n">
        <v>0.16</v>
      </c>
      <c r="O17" s="11" t="n">
        <v>0.25</v>
      </c>
      <c r="P17" s="11" t="n">
        <v>0.32</v>
      </c>
      <c r="Q17" s="11" t="n">
        <v>0.25</v>
      </c>
      <c r="R17" s="11" t="n">
        <v>0.35</v>
      </c>
      <c r="S17" s="11" t="n">
        <v>0.26</v>
      </c>
      <c r="T17" s="11" t="n">
        <v>0.31</v>
      </c>
      <c r="U17" s="11" t="n">
        <v>0.24</v>
      </c>
      <c r="V17" s="11" t="n">
        <v>0.26</v>
      </c>
      <c r="W17" s="11" t="n">
        <v>1.26</v>
      </c>
      <c r="X17" s="11" t="n">
        <v>1.35</v>
      </c>
      <c r="Y17" s="11" t="n">
        <v>1.15</v>
      </c>
      <c r="Z17" s="11" t="n">
        <v>1.22</v>
      </c>
      <c r="AA17" s="11" t="n">
        <v>1.28</v>
      </c>
      <c r="AB17" s="11" t="n">
        <v>1.32</v>
      </c>
      <c r="AC17" s="11" t="n">
        <v>1.19</v>
      </c>
      <c r="AD17" s="11" t="n">
        <v>1.18</v>
      </c>
      <c r="AE17" s="11" t="n">
        <v>1.17</v>
      </c>
    </row>
    <row r="18">
      <c r="A18" s="10" t="inlineStr">
        <is>
          <t>법정복리비</t>
        </is>
      </c>
      <c r="W18" s="11" t="n">
        <v>15.05</v>
      </c>
      <c r="X18" s="11" t="n">
        <v>15.26</v>
      </c>
      <c r="Y18" s="11" t="n">
        <v>15.41</v>
      </c>
      <c r="Z18" s="11" t="n">
        <v>15.81</v>
      </c>
      <c r="AA18" s="11" t="n">
        <v>16.55</v>
      </c>
      <c r="AB18" s="11" t="n">
        <v>16.64</v>
      </c>
      <c r="AC18" s="11" t="n">
        <v>16.54</v>
      </c>
      <c r="AD18" s="11" t="n">
        <v>18.2</v>
      </c>
      <c r="AE18" s="11" t="n">
        <v>18.41</v>
      </c>
    </row>
    <row r="19">
      <c r="A19" s="10" t="inlineStr">
        <is>
          <t>복리후생비</t>
        </is>
      </c>
      <c r="W19" s="11" t="n">
        <v>2.3</v>
      </c>
      <c r="X19" s="11" t="n">
        <v>2.4</v>
      </c>
      <c r="Y19" s="11" t="n">
        <v>2.38</v>
      </c>
      <c r="Z19" s="11" t="n">
        <v>2.55</v>
      </c>
      <c r="AA19" s="11" t="n">
        <v>2.47</v>
      </c>
      <c r="AB19" s="11" t="n">
        <v>2.53</v>
      </c>
      <c r="AC19" s="11" t="n">
        <v>1.55</v>
      </c>
      <c r="AD19" s="11" t="n">
        <v>3.03</v>
      </c>
      <c r="AE19" s="11" t="n">
        <v>3.34</v>
      </c>
    </row>
    <row r="20">
      <c r="A20" s="10" t="inlineStr">
        <is>
          <t>세금과공과</t>
        </is>
      </c>
      <c r="W20" s="11" t="n">
        <v>7.97</v>
      </c>
      <c r="X20" s="11" t="n">
        <v>7.35</v>
      </c>
      <c r="Y20" s="11" t="n">
        <v>7.68</v>
      </c>
      <c r="Z20" s="11" t="n">
        <v>7.96</v>
      </c>
      <c r="AA20" s="11" t="n">
        <v>7.9</v>
      </c>
      <c r="AB20" s="11" t="n">
        <v>8.52</v>
      </c>
      <c r="AC20" s="11" t="n">
        <v>9.01</v>
      </c>
      <c r="AD20" s="11" t="n">
        <v>8.34</v>
      </c>
      <c r="AE20" s="11" t="n">
        <v>8.43</v>
      </c>
    </row>
    <row r="21">
      <c r="A21" s="10" t="inlineStr">
        <is>
          <t>지대·임차료</t>
        </is>
      </c>
      <c r="W21" s="11" t="n">
        <v>18.05</v>
      </c>
      <c r="X21" s="11" t="n">
        <v>17.73</v>
      </c>
      <c r="Y21" s="11" t="n">
        <v>17.17</v>
      </c>
      <c r="Z21" s="11" t="n">
        <v>17.23</v>
      </c>
      <c r="AA21" s="11" t="n">
        <v>17.04</v>
      </c>
      <c r="AB21" s="11" t="n">
        <v>17.23</v>
      </c>
      <c r="AC21" s="11" t="n">
        <v>17.93</v>
      </c>
      <c r="AD21" s="11" t="n">
        <v>17.19</v>
      </c>
      <c r="AE21" s="11" t="n">
        <v>16.83</v>
      </c>
    </row>
    <row r="22">
      <c r="A22" s="5" t="inlineStr">
        <is>
          <t>리스료</t>
        </is>
      </c>
      <c r="W22" s="6" t="n">
        <v>0.26</v>
      </c>
      <c r="X22" s="6" t="n">
        <v>0.16</v>
      </c>
      <c r="Y22" s="6" t="n">
        <v>0.08</v>
      </c>
      <c r="Z22" s="6" t="n">
        <v>0.1</v>
      </c>
      <c r="AA22" s="6" t="n">
        <v>0.12</v>
      </c>
      <c r="AB22" s="6" t="n">
        <v>0.1</v>
      </c>
      <c r="AC22" s="6" t="n">
        <v>0.07000000000000001</v>
      </c>
      <c r="AD22" s="6" t="n">
        <v>0.02</v>
      </c>
      <c r="AE22" s="6" t="n">
        <v>0.02</v>
      </c>
    </row>
    <row r="23">
      <c r="A23" s="10" t="inlineStr">
        <is>
          <t>수도광열비</t>
        </is>
      </c>
      <c r="W23" s="11" t="n">
        <v>22.21</v>
      </c>
      <c r="X23" s="11" t="n">
        <v>21.9</v>
      </c>
      <c r="Y23" s="11" t="n">
        <v>21.34</v>
      </c>
      <c r="Z23" s="11" t="n">
        <v>18.38</v>
      </c>
      <c r="AA23" s="11" t="n">
        <v>19.81</v>
      </c>
      <c r="AB23" s="11" t="n">
        <v>25.95</v>
      </c>
      <c r="AC23" s="11" t="n">
        <v>25.83</v>
      </c>
      <c r="AD23" s="11" t="n">
        <v>27.79</v>
      </c>
      <c r="AE23" s="11" t="n">
        <v>21.72</v>
      </c>
    </row>
    <row r="24">
      <c r="A24" s="10" t="inlineStr">
        <is>
          <t>점포 관리비</t>
        </is>
      </c>
      <c r="W24" s="11" t="n">
        <v>36.37</v>
      </c>
      <c r="X24" s="11" t="n">
        <v>35.56</v>
      </c>
      <c r="Y24" s="11" t="n">
        <v>35.01</v>
      </c>
      <c r="Z24" s="11" t="n">
        <v>36.67</v>
      </c>
      <c r="AA24" s="11" t="n">
        <v>37.07</v>
      </c>
      <c r="AB24" s="11" t="n">
        <v>11.96</v>
      </c>
      <c r="AC24" s="11" t="n">
        <v>13.63</v>
      </c>
      <c r="AD24" s="11" t="n">
        <v>16.66</v>
      </c>
      <c r="AE24" s="11" t="n">
        <v>16.12</v>
      </c>
    </row>
    <row r="25">
      <c r="A25" s="10" t="inlineStr">
        <is>
          <t>감가상각비</t>
        </is>
      </c>
      <c r="C25" s="11" t="n">
        <v>7.56</v>
      </c>
      <c r="D25" s="11" t="n">
        <v>7.49</v>
      </c>
      <c r="E25" s="11" t="n">
        <v>6.47</v>
      </c>
      <c r="F25" s="11" t="n">
        <v>6.62</v>
      </c>
      <c r="G25" s="11" t="n">
        <v>6.96</v>
      </c>
      <c r="H25" s="11" t="n">
        <v>7.84</v>
      </c>
      <c r="I25" s="11" t="n">
        <v>7.26</v>
      </c>
      <c r="J25" s="11" t="n">
        <v>7.54</v>
      </c>
      <c r="K25" s="11" t="n">
        <v>8.17</v>
      </c>
      <c r="L25" s="11" t="n">
        <v>8.41</v>
      </c>
      <c r="M25" s="11" t="n">
        <v>7.57</v>
      </c>
      <c r="N25" s="11" t="n">
        <v>7.86</v>
      </c>
      <c r="O25" s="11" t="n">
        <v>7.91</v>
      </c>
      <c r="P25" s="11" t="n">
        <v>8.74</v>
      </c>
      <c r="Q25" s="11" t="n">
        <v>7.47</v>
      </c>
      <c r="R25" s="11" t="n">
        <v>7.79</v>
      </c>
      <c r="S25" s="11" t="n">
        <v>7.74</v>
      </c>
      <c r="T25" s="11" t="n">
        <v>8.06</v>
      </c>
      <c r="U25" s="11" t="n">
        <v>6.38</v>
      </c>
      <c r="V25" s="11" t="n">
        <v>7.01</v>
      </c>
      <c r="W25" s="11" t="n">
        <v>25.82</v>
      </c>
      <c r="X25" s="11" t="n">
        <v>25.7</v>
      </c>
      <c r="Y25" s="11" t="n">
        <v>24.41</v>
      </c>
      <c r="Z25" s="11" t="n">
        <v>25.03</v>
      </c>
      <c r="AA25" s="11" t="n">
        <v>27.82</v>
      </c>
      <c r="AB25" s="11" t="n">
        <v>27.89</v>
      </c>
      <c r="AC25" s="11" t="n">
        <v>31.38</v>
      </c>
      <c r="AD25" s="11" t="n">
        <v>32.08</v>
      </c>
      <c r="AE25" s="11" t="n">
        <v>31.06</v>
      </c>
    </row>
    <row r="26">
      <c r="A26" s="10" t="inlineStr">
        <is>
          <t>대손충당금 전입</t>
        </is>
      </c>
      <c r="W26" s="11" t="n">
        <v>0</v>
      </c>
      <c r="X26" s="11" t="n">
        <v>0</v>
      </c>
      <c r="Y26" s="11" t="n">
        <v>0</v>
      </c>
    </row>
    <row r="27">
      <c r="A27" s="10" t="inlineStr">
        <is>
          <t>영업권 상각</t>
        </is>
      </c>
      <c r="W27" s="11" t="n">
        <v>1.1</v>
      </c>
      <c r="X27" s="11" t="n">
        <v>1.1</v>
      </c>
      <c r="Y27" s="11" t="n">
        <v>0.04</v>
      </c>
      <c r="Z27" s="11" t="n">
        <v>0.11</v>
      </c>
      <c r="AA27" s="11" t="n">
        <v>0.11</v>
      </c>
      <c r="AB27" s="11" t="n">
        <v>0.11</v>
      </c>
      <c r="AC27" s="11" t="n">
        <v>0.11</v>
      </c>
      <c r="AD27" s="11" t="n">
        <v>0.06</v>
      </c>
      <c r="AE27" s="11" t="n">
        <v>0</v>
      </c>
    </row>
    <row r="28">
      <c r="A28" s="10" t="inlineStr">
        <is>
          <t>기타</t>
        </is>
      </c>
      <c r="C28" s="11" t="n">
        <v>37.58</v>
      </c>
      <c r="D28" s="11" t="n">
        <v>-85.12</v>
      </c>
      <c r="E28" s="11" t="n">
        <v>25.87</v>
      </c>
      <c r="F28" s="11" t="n">
        <v>33.5</v>
      </c>
      <c r="G28" s="11" t="n">
        <v>29.17</v>
      </c>
      <c r="H28" s="11" t="n">
        <v>-62.35</v>
      </c>
      <c r="I28" s="11" t="n">
        <v>28.49</v>
      </c>
      <c r="J28" s="11" t="n">
        <v>32.79</v>
      </c>
      <c r="K28" s="11" t="n">
        <v>29.04</v>
      </c>
      <c r="L28" s="11" t="n">
        <v>-65.53</v>
      </c>
      <c r="M28" s="11" t="n">
        <v>32.2</v>
      </c>
      <c r="N28" s="11" t="n">
        <v>38.47</v>
      </c>
      <c r="O28" s="11" t="n">
        <v>32.04</v>
      </c>
      <c r="P28" s="11" t="n">
        <v>-70.41</v>
      </c>
      <c r="Q28" s="11" t="n">
        <v>30.11</v>
      </c>
      <c r="R28" s="11" t="n">
        <v>35.15</v>
      </c>
      <c r="S28" s="11" t="n">
        <v>29.73</v>
      </c>
      <c r="T28" s="11" t="n">
        <v>-64.58</v>
      </c>
      <c r="U28" s="11" t="n">
        <v>28.84</v>
      </c>
      <c r="V28" s="11" t="n">
        <v>33.45</v>
      </c>
      <c r="W28" s="11" t="n">
        <v>23.66</v>
      </c>
      <c r="X28" s="11" t="n">
        <v>22.03</v>
      </c>
      <c r="Y28" s="11" t="n">
        <v>21.21</v>
      </c>
      <c r="Z28" s="11" t="n">
        <v>25.62</v>
      </c>
      <c r="AA28" s="11" t="n">
        <v>26.21</v>
      </c>
      <c r="AB28" s="11" t="n">
        <v>26.19</v>
      </c>
      <c r="AC28" s="11" t="n">
        <v>24.79</v>
      </c>
      <c r="AD28" s="11" t="n">
        <v>32.3</v>
      </c>
      <c r="AE28" s="11" t="n">
        <v>30.41</v>
      </c>
    </row>
    <row r="29">
      <c r="A29" s="10" t="inlineStr">
        <is>
          <t>판매비와 관리비 합계</t>
        </is>
      </c>
      <c r="C29" s="11" t="n">
        <v>75.48999999999999</v>
      </c>
      <c r="D29" s="11" t="n">
        <v>79.63</v>
      </c>
      <c r="E29" s="11" t="n">
        <v>62.63</v>
      </c>
      <c r="F29" s="11" t="n">
        <v>67.48999999999999</v>
      </c>
      <c r="G29" s="11" t="n">
        <v>66.36</v>
      </c>
      <c r="H29" s="11" t="n">
        <v>72.47</v>
      </c>
      <c r="I29" s="11" t="n">
        <v>66.33</v>
      </c>
      <c r="J29" s="11" t="n">
        <v>69.03</v>
      </c>
      <c r="K29" s="11" t="n">
        <v>68.73</v>
      </c>
      <c r="L29" s="11" t="n">
        <v>71.05</v>
      </c>
      <c r="M29" s="11" t="n">
        <v>71.44</v>
      </c>
      <c r="N29" s="11" t="n">
        <v>76.01000000000001</v>
      </c>
      <c r="O29" s="11" t="n">
        <v>71.23999999999999</v>
      </c>
      <c r="P29" s="11" t="n">
        <v>75.47</v>
      </c>
      <c r="Q29" s="11" t="n">
        <v>69.26000000000001</v>
      </c>
      <c r="R29" s="11" t="n">
        <v>73.15000000000001</v>
      </c>
      <c r="S29" s="11" t="n">
        <v>69.27</v>
      </c>
      <c r="T29" s="11" t="n">
        <v>73.23</v>
      </c>
      <c r="U29" s="11" t="n">
        <v>65.97</v>
      </c>
      <c r="V29" s="11" t="n">
        <v>69.03</v>
      </c>
      <c r="W29" s="11" t="n">
        <v>307.4</v>
      </c>
      <c r="X29" s="11" t="n">
        <v>301.45</v>
      </c>
      <c r="Y29" s="11" t="n">
        <v>295.76</v>
      </c>
      <c r="Z29" s="11" t="n">
        <v>300.2</v>
      </c>
      <c r="AA29" s="11" t="n">
        <v>305.79</v>
      </c>
      <c r="AB29" s="11" t="n">
        <v>268.95</v>
      </c>
      <c r="AC29" s="11" t="n">
        <v>275.14</v>
      </c>
      <c r="AD29" s="11" t="n">
        <v>294.16</v>
      </c>
      <c r="AE29" s="11" t="n">
        <v>284.91</v>
      </c>
    </row>
    <row r="30">
      <c r="A30" s="5" t="inlineStr">
        <is>
          <t>영업이익</t>
        </is>
      </c>
      <c r="C30" s="6" t="n">
        <v>0.32</v>
      </c>
      <c r="D30" s="6" t="n">
        <v>4.89</v>
      </c>
      <c r="E30" s="6" t="n">
        <v>3.14</v>
      </c>
      <c r="F30" s="6" t="n">
        <v>3.69</v>
      </c>
      <c r="G30" s="6" t="n">
        <v>-0.28</v>
      </c>
      <c r="H30" s="6" t="n">
        <v>0.55</v>
      </c>
      <c r="I30" s="6" t="n">
        <v>0.78</v>
      </c>
      <c r="J30" s="6" t="n">
        <v>4.54</v>
      </c>
      <c r="K30" s="6" t="n">
        <v>-0.91</v>
      </c>
      <c r="L30" s="6" t="n">
        <v>1.84</v>
      </c>
      <c r="M30" s="6" t="n">
        <v>-4.08</v>
      </c>
      <c r="N30" s="6" t="n">
        <v>-2.74</v>
      </c>
      <c r="O30" s="6" t="n">
        <v>-3.54</v>
      </c>
      <c r="P30" s="6" t="n">
        <v>2.15</v>
      </c>
      <c r="Q30" s="6" t="n">
        <v>2.49</v>
      </c>
      <c r="R30" s="6" t="n">
        <v>3.46</v>
      </c>
      <c r="S30" s="6" t="n">
        <v>1.04</v>
      </c>
      <c r="T30" s="6" t="n">
        <v>4.43</v>
      </c>
      <c r="U30" s="6" t="n">
        <v>2.17</v>
      </c>
      <c r="V30" s="6" t="n">
        <v>4.63</v>
      </c>
      <c r="W30" s="6" t="n">
        <v>11.59</v>
      </c>
      <c r="X30" s="6" t="n">
        <v>2.2</v>
      </c>
      <c r="Y30" s="6" t="n">
        <v>6.27</v>
      </c>
      <c r="Z30" s="6" t="n">
        <v>24.59</v>
      </c>
      <c r="AA30" s="6" t="n">
        <v>11</v>
      </c>
      <c r="AB30" s="6" t="n">
        <v>7.1</v>
      </c>
      <c r="AC30" s="6" t="n">
        <v>6.25</v>
      </c>
      <c r="AD30" s="6" t="n">
        <v>-8.210000000000001</v>
      </c>
      <c r="AE30" s="6" t="n">
        <v>11.42</v>
      </c>
    </row>
    <row r="31">
      <c r="A31" s="8" t="inlineStr">
        <is>
          <t>영업이익률</t>
        </is>
      </c>
      <c r="C31" s="9">
        <f>IF(OR(C30="",C4=""),"",IFERROR(C30/C4,""))</f>
        <v/>
      </c>
      <c r="D31" s="9">
        <f>IF(OR(D30="",D4=""),"",IFERROR(D30/D4,""))</f>
        <v/>
      </c>
      <c r="E31" s="9">
        <f>IF(OR(E30="",E4=""),"",IFERROR(E30/E4,""))</f>
        <v/>
      </c>
      <c r="F31" s="9">
        <f>IF(OR(F30="",F4=""),"",IFERROR(F30/F4,""))</f>
        <v/>
      </c>
      <c r="G31" s="9">
        <f>IF(OR(G30="",G4=""),"",IFERROR(G30/G4,""))</f>
        <v/>
      </c>
      <c r="H31" s="9">
        <f>IF(OR(H30="",H4=""),"",IFERROR(H30/H4,""))</f>
        <v/>
      </c>
      <c r="I31" s="9">
        <f>IF(OR(I30="",I4=""),"",IFERROR(I30/I4,""))</f>
        <v/>
      </c>
      <c r="J31" s="9">
        <f>IF(OR(J30="",J4=""),"",IFERROR(J30/J4,""))</f>
        <v/>
      </c>
      <c r="K31" s="9">
        <f>IF(OR(K30="",K4=""),"",IFERROR(K30/K4,""))</f>
        <v/>
      </c>
      <c r="L31" s="9">
        <f>IF(OR(L30="",L4=""),"",IFERROR(L30/L4,""))</f>
        <v/>
      </c>
      <c r="M31" s="9">
        <f>IF(OR(M30="",M4=""),"",IFERROR(M30/M4,""))</f>
        <v/>
      </c>
      <c r="N31" s="9">
        <f>IF(OR(N30="",N4=""),"",IFERROR(N30/N4,""))</f>
        <v/>
      </c>
      <c r="O31" s="9">
        <f>IF(OR(O30="",O4=""),"",IFERROR(O30/O4,""))</f>
        <v/>
      </c>
      <c r="P31" s="9">
        <f>IF(OR(P30="",P4=""),"",IFERROR(P30/P4,""))</f>
        <v/>
      </c>
      <c r="Q31" s="9">
        <f>IF(OR(Q30="",Q4=""),"",IFERROR(Q30/Q4,""))</f>
        <v/>
      </c>
      <c r="R31" s="9">
        <f>IF(OR(R30="",R4=""),"",IFERROR(R30/R4,""))</f>
        <v/>
      </c>
      <c r="S31" s="9">
        <f>IF(OR(S30="",S4=""),"",IFERROR(S30/S4,""))</f>
        <v/>
      </c>
      <c r="T31" s="9">
        <f>IF(OR(T30="",T4=""),"",IFERROR(T30/T4,""))</f>
        <v/>
      </c>
      <c r="U31" s="9">
        <f>IF(OR(U30="",U4=""),"",IFERROR(U30/U4,""))</f>
        <v/>
      </c>
      <c r="V31" s="9">
        <f>IF(OR(V30="",V4=""),"",IFERROR(V30/V4,""))</f>
        <v/>
      </c>
      <c r="W31" s="9">
        <f>IF(OR(W30="",W4=""),"",IFERROR(W30/W4,""))</f>
        <v/>
      </c>
      <c r="X31" s="9">
        <f>IF(OR(X30="",X4=""),"",IFERROR(X30/X4,""))</f>
        <v/>
      </c>
      <c r="Y31" s="9">
        <f>IF(OR(Y30="",Y4=""),"",IFERROR(Y30/Y4,""))</f>
        <v/>
      </c>
      <c r="Z31" s="9">
        <f>IF(OR(Z30="",Z4=""),"",IFERROR(Z30/Z4,""))</f>
        <v/>
      </c>
      <c r="AA31" s="9">
        <f>IF(OR(AA30="",AA4=""),"",IFERROR(AA30/AA4,""))</f>
        <v/>
      </c>
      <c r="AB31" s="9">
        <f>IF(OR(AB30="",AB4=""),"",IFERROR(AB30/AB4,""))</f>
        <v/>
      </c>
      <c r="AC31" s="9">
        <f>IF(OR(AC30="",AC4=""),"",IFERROR(AC30/AC4,""))</f>
        <v/>
      </c>
      <c r="AD31" s="9">
        <f>IF(OR(AD30="",AD4=""),"",IFERROR(AD30/AD4,""))</f>
        <v/>
      </c>
      <c r="AE31" s="9">
        <f>IF(OR(AE30="",AE4=""),"",IFERROR(AE30/AE4,""))</f>
        <v/>
      </c>
    </row>
    <row r="32">
      <c r="A32" s="8" t="inlineStr">
        <is>
          <t>YoY</t>
        </is>
      </c>
      <c r="G32" s="9">
        <f>IF(OR(G30="",C30=""),"",IFERROR(G30/C30-1,""))</f>
        <v/>
      </c>
      <c r="H32" s="9">
        <f>IF(OR(H30="",D30=""),"",IFERROR(H30/D30-1,""))</f>
        <v/>
      </c>
      <c r="I32" s="9">
        <f>IF(OR(I30="",E30=""),"",IFERROR(I30/E30-1,""))</f>
        <v/>
      </c>
      <c r="J32" s="9">
        <f>IF(OR(J30="",F30=""),"",IFERROR(J30/F30-1,""))</f>
        <v/>
      </c>
      <c r="K32" s="9">
        <f>IF(OR(K30="",G30=""),"",IFERROR(K30/G30-1,""))</f>
        <v/>
      </c>
      <c r="L32" s="9">
        <f>IF(OR(L30="",H30=""),"",IFERROR(L30/H30-1,""))</f>
        <v/>
      </c>
      <c r="M32" s="9">
        <f>IF(OR(M30="",I30=""),"",IFERROR(M30/I30-1,""))</f>
        <v/>
      </c>
      <c r="N32" s="9">
        <f>IF(OR(N30="",J30=""),"",IFERROR(N30/J30-1,""))</f>
        <v/>
      </c>
      <c r="O32" s="9">
        <f>IF(OR(O30="",K30=""),"",IFERROR(O30/K30-1,""))</f>
        <v/>
      </c>
      <c r="P32" s="9">
        <f>IF(OR(P30="",L30=""),"",IFERROR(P30/L30-1,""))</f>
        <v/>
      </c>
      <c r="Q32" s="9">
        <f>IF(OR(Q30="",M30=""),"",IFERROR(Q30/M30-1,""))</f>
        <v/>
      </c>
      <c r="R32" s="9">
        <f>IF(OR(R30="",N30=""),"",IFERROR(R30/N30-1,""))</f>
        <v/>
      </c>
      <c r="S32" s="9">
        <f>IF(OR(S30="",O30=""),"",IFERROR(S30/O30-1,""))</f>
        <v/>
      </c>
      <c r="T32" s="9">
        <f>IF(OR(T30="",P30=""),"",IFERROR(T30/P30-1,""))</f>
        <v/>
      </c>
      <c r="U32" s="9">
        <f>IF(OR(U30="",Q30=""),"",IFERROR(U30/Q30-1,""))</f>
        <v/>
      </c>
      <c r="V32" s="9">
        <f>IF(OR(V30="",R30=""),"",IFERROR(V30/R30-1,""))</f>
        <v/>
      </c>
      <c r="X32" s="9">
        <f>IF(OR(X30="",W30=""),"",IFERROR(X30/W30-1,""))</f>
        <v/>
      </c>
      <c r="Y32" s="9">
        <f>IF(OR(Y30="",X30=""),"",IFERROR(Y30/X30-1,""))</f>
        <v/>
      </c>
      <c r="Z32" s="9">
        <f>IF(OR(Z30="",Y30=""),"",IFERROR(Z30/Y30-1,""))</f>
        <v/>
      </c>
      <c r="AA32" s="9">
        <f>IF(OR(AA30="",Z30=""),"",IFERROR(AA30/Z30-1,""))</f>
        <v/>
      </c>
      <c r="AB32" s="9">
        <f>IF(OR(AB30="",AA30=""),"",IFERROR(AB30/AA30-1,""))</f>
        <v/>
      </c>
      <c r="AC32" s="9">
        <f>IF(OR(AC30="",AB30=""),"",IFERROR(AC30/AB30-1,""))</f>
        <v/>
      </c>
      <c r="AD32" s="9">
        <f>IF(OR(AD30="",AC30=""),"",IFERROR(AD30/AC30-1,""))</f>
        <v/>
      </c>
      <c r="AE32" s="9">
        <f>IF(OR(AE30="",AD30=""),"",IFERROR(AE30/AD30-1,""))</f>
        <v/>
      </c>
    </row>
    <row r="33">
      <c r="A33" s="10" t="inlineStr">
        <is>
          <t>이자수익</t>
        </is>
      </c>
      <c r="C33" s="11" t="n">
        <v>0</v>
      </c>
      <c r="D33" s="11" t="n">
        <v>0</v>
      </c>
      <c r="E33" s="11" t="n">
        <v>0</v>
      </c>
      <c r="F33" s="11" t="n">
        <v>0</v>
      </c>
      <c r="G33" s="11" t="n">
        <v>0</v>
      </c>
      <c r="H33" s="11" t="n">
        <v>0.01</v>
      </c>
      <c r="I33" s="11" t="n">
        <v>0</v>
      </c>
      <c r="J33" s="11" t="n">
        <v>0.01</v>
      </c>
      <c r="K33" s="11" t="n">
        <v>0.01</v>
      </c>
      <c r="L33" s="11" t="n">
        <v>0.01</v>
      </c>
      <c r="M33" s="11" t="n">
        <v>0</v>
      </c>
      <c r="N33" s="11" t="n">
        <v>0.02</v>
      </c>
      <c r="O33" s="11" t="n">
        <v>0</v>
      </c>
      <c r="P33" s="11" t="n">
        <v>0.03</v>
      </c>
      <c r="Q33" s="11" t="n">
        <v>0.01</v>
      </c>
      <c r="R33" s="11" t="n">
        <v>0.05</v>
      </c>
      <c r="S33" s="11" t="n">
        <v>0.01</v>
      </c>
      <c r="T33" s="11" t="n">
        <v>0.06</v>
      </c>
      <c r="U33" s="11" t="n">
        <v>0.01</v>
      </c>
      <c r="V33" s="11" t="n">
        <v>0.07000000000000001</v>
      </c>
      <c r="W33" s="11" t="n">
        <v>0.03</v>
      </c>
      <c r="X33" s="11" t="n">
        <v>0.03</v>
      </c>
      <c r="Y33" s="11" t="n">
        <v>0.02</v>
      </c>
      <c r="Z33" s="11" t="n">
        <v>0.02</v>
      </c>
      <c r="AA33" s="11" t="n">
        <v>0</v>
      </c>
      <c r="AB33" s="11" t="n">
        <v>0.01</v>
      </c>
      <c r="AC33" s="11" t="n">
        <v>0.03</v>
      </c>
      <c r="AD33" s="11" t="n">
        <v>0.05</v>
      </c>
      <c r="AE33" s="11" t="n">
        <v>0.13</v>
      </c>
    </row>
    <row r="34">
      <c r="A34" s="10" t="inlineStr">
        <is>
          <t>배당금수익</t>
        </is>
      </c>
      <c r="C34" s="11" t="n">
        <v>0</v>
      </c>
      <c r="D34" s="11" t="n">
        <v>0.03</v>
      </c>
      <c r="E34" s="11" t="n">
        <v>0.04</v>
      </c>
      <c r="F34" s="11" t="n">
        <v>0.03</v>
      </c>
      <c r="G34" s="11" t="n">
        <v>0</v>
      </c>
      <c r="H34" s="11" t="n">
        <v>0.04</v>
      </c>
      <c r="I34" s="11" t="n">
        <v>0.04</v>
      </c>
      <c r="J34" s="11" t="n">
        <v>0.03</v>
      </c>
      <c r="K34" s="11" t="n">
        <v>0</v>
      </c>
      <c r="L34" s="11" t="n">
        <v>0.04</v>
      </c>
      <c r="M34" s="11" t="n">
        <v>0.04</v>
      </c>
      <c r="N34" s="11" t="n">
        <v>0.04</v>
      </c>
      <c r="O34" s="11" t="n">
        <v>0.01</v>
      </c>
      <c r="P34" s="11" t="n">
        <v>0.03</v>
      </c>
      <c r="Q34" s="11" t="n">
        <v>0.04</v>
      </c>
      <c r="R34" s="11" t="n">
        <v>0.05</v>
      </c>
      <c r="S34" s="11" t="n">
        <v>0.01</v>
      </c>
      <c r="T34" s="11" t="n">
        <v>0.05</v>
      </c>
      <c r="U34" s="11" t="n">
        <v>0.26</v>
      </c>
      <c r="V34" s="11" t="n">
        <v>0.08</v>
      </c>
      <c r="W34" s="11" t="n">
        <v>0.11</v>
      </c>
      <c r="X34" s="11" t="n">
        <v>0.11</v>
      </c>
      <c r="Y34" s="11" t="n">
        <v>0.12</v>
      </c>
      <c r="Z34" s="11" t="n">
        <v>0.1</v>
      </c>
      <c r="AA34" s="11" t="n">
        <v>0.1</v>
      </c>
      <c r="AB34" s="11" t="n">
        <v>0.11</v>
      </c>
      <c r="AC34" s="11" t="n">
        <v>0.11</v>
      </c>
      <c r="AD34" s="11" t="n">
        <v>0.12</v>
      </c>
      <c r="AE34" s="11" t="n">
        <v>0.15</v>
      </c>
    </row>
    <row r="35">
      <c r="A35" s="10" t="inlineStr">
        <is>
          <t>보험금 수익</t>
        </is>
      </c>
      <c r="X35" s="11" t="n">
        <v>0.09</v>
      </c>
      <c r="Y35" s="11" t="n">
        <v>0.16</v>
      </c>
      <c r="Z35" s="11" t="n">
        <v>0.03</v>
      </c>
      <c r="AA35" s="11" t="n">
        <v>0.06</v>
      </c>
      <c r="AB35" s="11" t="n">
        <v>0.03</v>
      </c>
      <c r="AC35" s="11" t="n">
        <v>0.03</v>
      </c>
      <c r="AD35" s="11" t="n">
        <v>0.04</v>
      </c>
      <c r="AE35" s="11" t="n">
        <v>0.03</v>
      </c>
    </row>
    <row r="36">
      <c r="A36" s="5" t="inlineStr">
        <is>
          <t>데이터 제공료</t>
        </is>
      </c>
      <c r="W36" s="6" t="n">
        <v>0.11</v>
      </c>
      <c r="X36" s="6" t="n">
        <v>0.12</v>
      </c>
      <c r="Y36" s="6" t="n">
        <v>0.19</v>
      </c>
      <c r="Z36" s="6" t="n">
        <v>0.27</v>
      </c>
      <c r="AA36" s="6" t="n">
        <v>0.27</v>
      </c>
      <c r="AB36" s="6" t="n">
        <v>0.28</v>
      </c>
      <c r="AC36" s="6" t="n">
        <v>0.25</v>
      </c>
      <c r="AD36" s="6" t="n">
        <v>0.26</v>
      </c>
      <c r="AE36" s="6" t="n">
        <v>0.28</v>
      </c>
    </row>
    <row r="37">
      <c r="A37" s="10" t="inlineStr">
        <is>
          <t>미회수 상품권 이익</t>
        </is>
      </c>
      <c r="W37" s="11" t="n">
        <v>0.41</v>
      </c>
      <c r="X37" s="11" t="n">
        <v>0.41</v>
      </c>
      <c r="Y37" s="11" t="n">
        <v>0.38</v>
      </c>
      <c r="Z37" s="11" t="n">
        <v>0.38</v>
      </c>
      <c r="AA37" s="11" t="n">
        <v>0.4</v>
      </c>
      <c r="AB37" s="11" t="n">
        <v>0.04</v>
      </c>
      <c r="AC37" s="11" t="n">
        <v>0.04</v>
      </c>
      <c r="AD37" s="11" t="n">
        <v>0.03</v>
      </c>
      <c r="AE37" s="11" t="n">
        <v>0.04</v>
      </c>
    </row>
    <row r="38">
      <c r="A38" s="10" t="inlineStr">
        <is>
          <t>코로나19 보조금 수입</t>
        </is>
      </c>
      <c r="Y38" s="11" t="n">
        <v>0</v>
      </c>
      <c r="Z38" s="11" t="n">
        <v>0.17</v>
      </c>
      <c r="AA38" s="11" t="n">
        <v>0.05</v>
      </c>
      <c r="AB38" s="11" t="n">
        <v>0.01</v>
      </c>
      <c r="AC38" s="11" t="n">
        <v>0</v>
      </c>
    </row>
    <row r="39">
      <c r="A39" s="10" t="inlineStr">
        <is>
          <t>보조금 수입</t>
        </is>
      </c>
      <c r="I39" s="11" t="n">
        <v>0</v>
      </c>
      <c r="J39" s="11" t="n">
        <v>0</v>
      </c>
      <c r="K39" s="11" t="n">
        <v>0</v>
      </c>
      <c r="L39" s="11" t="n">
        <v>0</v>
      </c>
      <c r="M39" s="11" t="n">
        <v>1.5</v>
      </c>
      <c r="N39" s="11" t="n">
        <v>0</v>
      </c>
      <c r="O39" s="11" t="n">
        <v>0</v>
      </c>
      <c r="P39" s="11" t="n">
        <v>0</v>
      </c>
      <c r="S39" s="11" t="n">
        <v>0</v>
      </c>
      <c r="T39" s="11" t="n">
        <v>0.11</v>
      </c>
      <c r="AC39" s="11" t="n">
        <v>0</v>
      </c>
      <c r="AD39" s="11" t="n">
        <v>1.5</v>
      </c>
      <c r="AE39" s="11" t="n">
        <v>0.11</v>
      </c>
    </row>
    <row r="40">
      <c r="A40" s="10" t="inlineStr">
        <is>
          <t>지원금 수입</t>
        </is>
      </c>
      <c r="AC40" s="11" t="n">
        <v>0</v>
      </c>
      <c r="AD40" s="11" t="n">
        <v>0.74</v>
      </c>
      <c r="AE40" s="11" t="n">
        <v>0.65</v>
      </c>
    </row>
    <row r="41">
      <c r="A41" s="10" t="inlineStr">
        <is>
          <t>전자화폐 미사용 이익</t>
        </is>
      </c>
      <c r="AC41" s="11" t="n">
        <v>0</v>
      </c>
      <c r="AD41" s="11" t="n">
        <v>1.78</v>
      </c>
      <c r="AE41" s="11" t="n">
        <v>0</v>
      </c>
    </row>
    <row r="42">
      <c r="A42" s="10" t="inlineStr">
        <is>
          <t>데이터 제공료</t>
        </is>
      </c>
      <c r="C42" s="11" t="n">
        <v>0.07000000000000001</v>
      </c>
      <c r="E42" s="11" t="n">
        <v>0.07000000000000001</v>
      </c>
      <c r="F42" s="11" t="n">
        <v>0.07000000000000001</v>
      </c>
      <c r="G42" s="11" t="n">
        <v>0.07000000000000001</v>
      </c>
      <c r="I42" s="11" t="n">
        <v>0.06</v>
      </c>
      <c r="J42" s="11" t="n">
        <v>0.06</v>
      </c>
      <c r="K42" s="11" t="n">
        <v>0.06</v>
      </c>
      <c r="M42" s="11" t="n">
        <v>0.06</v>
      </c>
      <c r="Q42" s="11" t="n">
        <v>0.06</v>
      </c>
      <c r="U42" s="11" t="n">
        <v>0.06</v>
      </c>
    </row>
    <row r="43">
      <c r="A43" s="10" t="inlineStr">
        <is>
          <t>지원금 수입</t>
        </is>
      </c>
      <c r="Q43" s="11" t="n">
        <v>0.17</v>
      </c>
      <c r="U43" s="11" t="n">
        <v>0.16</v>
      </c>
    </row>
    <row r="44">
      <c r="A44" s="10" t="inlineStr">
        <is>
          <t>기타</t>
        </is>
      </c>
      <c r="C44" s="11" t="n">
        <v>0.19</v>
      </c>
      <c r="D44" s="11" t="n">
        <v>0.18</v>
      </c>
      <c r="E44" s="11" t="n">
        <v>0.14</v>
      </c>
      <c r="F44" s="11" t="n">
        <v>0.14</v>
      </c>
      <c r="G44" s="11" t="n">
        <v>0.25</v>
      </c>
      <c r="H44" s="11" t="n">
        <v>1.47</v>
      </c>
      <c r="I44" s="11" t="n">
        <v>0.17</v>
      </c>
      <c r="J44" s="11" t="n">
        <v>0.2</v>
      </c>
      <c r="K44" s="11" t="n">
        <v>0.21</v>
      </c>
      <c r="L44" s="11" t="n">
        <v>0.1</v>
      </c>
      <c r="M44" s="11" t="n">
        <v>0.39</v>
      </c>
      <c r="N44" s="11" t="n">
        <v>0.44</v>
      </c>
      <c r="O44" s="11" t="n">
        <v>0.27</v>
      </c>
      <c r="P44" s="11" t="n">
        <v>-0.42</v>
      </c>
      <c r="Q44" s="11" t="n">
        <v>0.07000000000000001</v>
      </c>
      <c r="R44" s="11" t="n">
        <v>0.27</v>
      </c>
      <c r="S44" s="11" t="n">
        <v>0.26</v>
      </c>
      <c r="T44" s="11" t="n">
        <v>-0.14</v>
      </c>
      <c r="U44" s="11" t="n">
        <v>0.28</v>
      </c>
      <c r="V44" s="11" t="n">
        <v>0.33</v>
      </c>
      <c r="W44" s="11" t="n">
        <v>0.53</v>
      </c>
      <c r="X44" s="11" t="n">
        <v>0.55</v>
      </c>
      <c r="Y44" s="11" t="n">
        <v>0.43</v>
      </c>
      <c r="Z44" s="11" t="n">
        <v>0.62</v>
      </c>
      <c r="AA44" s="11" t="n">
        <v>0.61</v>
      </c>
      <c r="AB44" s="11" t="n">
        <v>2</v>
      </c>
      <c r="AC44" s="11" t="n">
        <v>0.68</v>
      </c>
      <c r="AD44" s="11" t="n">
        <v>0.68</v>
      </c>
      <c r="AE44" s="11" t="n">
        <v>0.46</v>
      </c>
    </row>
    <row r="45">
      <c r="A45" s="5" t="inlineStr">
        <is>
          <t>영업외수익 합계</t>
        </is>
      </c>
      <c r="C45" s="6" t="n">
        <v>0.26</v>
      </c>
      <c r="D45" s="6" t="n">
        <v>0.8</v>
      </c>
      <c r="E45" s="6" t="n">
        <v>0.25</v>
      </c>
      <c r="F45" s="6" t="n">
        <v>0.25</v>
      </c>
      <c r="G45" s="6" t="n">
        <v>0.32</v>
      </c>
      <c r="H45" s="6" t="n">
        <v>1.68</v>
      </c>
      <c r="I45" s="6" t="n">
        <v>0.29</v>
      </c>
      <c r="J45" s="6" t="n">
        <v>0.3</v>
      </c>
      <c r="K45" s="6" t="n">
        <v>0.29</v>
      </c>
      <c r="L45" s="6" t="n">
        <v>0.29</v>
      </c>
      <c r="M45" s="6" t="n">
        <v>2.01</v>
      </c>
      <c r="N45" s="6" t="n">
        <v>2.37</v>
      </c>
      <c r="O45" s="6" t="n">
        <v>0.33</v>
      </c>
      <c r="P45" s="6" t="n">
        <v>0.52</v>
      </c>
      <c r="Q45" s="6" t="n">
        <v>0.36</v>
      </c>
      <c r="R45" s="6" t="n">
        <v>0.62</v>
      </c>
      <c r="S45" s="6" t="n">
        <v>0.51</v>
      </c>
      <c r="T45" s="6" t="n">
        <v>0.39</v>
      </c>
      <c r="U45" s="6" t="n">
        <v>0.78</v>
      </c>
      <c r="V45" s="6" t="n">
        <v>0.71</v>
      </c>
      <c r="W45" s="6" t="n">
        <v>1.22</v>
      </c>
      <c r="X45" s="6" t="n">
        <v>1.33</v>
      </c>
      <c r="Y45" s="6" t="n">
        <v>1.35</v>
      </c>
      <c r="Z45" s="6" t="n">
        <v>1.62</v>
      </c>
      <c r="AA45" s="6" t="n">
        <v>1.52</v>
      </c>
      <c r="AB45" s="6" t="n">
        <v>2.5</v>
      </c>
      <c r="AC45" s="6" t="n">
        <v>1.17</v>
      </c>
      <c r="AD45" s="6" t="n">
        <v>5.23</v>
      </c>
      <c r="AE45" s="6" t="n">
        <v>1.88</v>
      </c>
    </row>
    <row r="46">
      <c r="A46" s="10" t="inlineStr">
        <is>
          <t>이자비용</t>
        </is>
      </c>
      <c r="C46" s="11" t="n">
        <v>0.04</v>
      </c>
      <c r="D46" s="11" t="n">
        <v>0.03</v>
      </c>
      <c r="E46" s="11" t="n">
        <v>0.03</v>
      </c>
      <c r="F46" s="11" t="n">
        <v>0.02</v>
      </c>
      <c r="G46" s="11" t="n">
        <v>0.04</v>
      </c>
      <c r="H46" s="11" t="n">
        <v>0.05</v>
      </c>
      <c r="I46" s="11" t="n">
        <v>0.09</v>
      </c>
      <c r="J46" s="11" t="n">
        <v>0.09</v>
      </c>
      <c r="K46" s="11" t="n">
        <v>0.1</v>
      </c>
      <c r="L46" s="11" t="n">
        <v>0.09</v>
      </c>
      <c r="M46" s="11" t="n">
        <v>0.12</v>
      </c>
      <c r="N46" s="11" t="n">
        <v>0.13</v>
      </c>
      <c r="O46" s="11" t="n">
        <v>0.15</v>
      </c>
      <c r="P46" s="11" t="n">
        <v>0.18</v>
      </c>
      <c r="Q46" s="11" t="n">
        <v>0.19</v>
      </c>
      <c r="R46" s="11" t="n">
        <v>0.17</v>
      </c>
      <c r="S46" s="11" t="n">
        <v>0.17</v>
      </c>
      <c r="T46" s="11" t="n">
        <v>0.14</v>
      </c>
      <c r="U46" s="11" t="n">
        <v>0.17</v>
      </c>
      <c r="V46" s="11" t="n">
        <v>0.15</v>
      </c>
      <c r="W46" s="11" t="n">
        <v>0.15</v>
      </c>
      <c r="X46" s="11" t="n">
        <v>0.16</v>
      </c>
      <c r="Y46" s="11" t="n">
        <v>0.13</v>
      </c>
      <c r="Z46" s="11" t="n">
        <v>0.14</v>
      </c>
      <c r="AA46" s="11" t="n">
        <v>0.13</v>
      </c>
      <c r="AB46" s="11" t="n">
        <v>0.14</v>
      </c>
      <c r="AC46" s="11" t="n">
        <v>0.37</v>
      </c>
      <c r="AD46" s="11" t="n">
        <v>0.58</v>
      </c>
      <c r="AE46" s="11" t="n">
        <v>0.67</v>
      </c>
    </row>
    <row r="47">
      <c r="A47" s="10" t="inlineStr">
        <is>
          <t>대손충당금 전입</t>
        </is>
      </c>
      <c r="C47" s="11" t="n">
        <v>0</v>
      </c>
      <c r="D47" s="11" t="n">
        <v>0</v>
      </c>
      <c r="E47" s="11" t="n">
        <v>0</v>
      </c>
      <c r="F47" s="11" t="n">
        <v>0</v>
      </c>
      <c r="G47" s="11" t="n">
        <v>0</v>
      </c>
      <c r="H47" s="11" t="n">
        <v>0</v>
      </c>
      <c r="Y47" s="11" t="n">
        <v>0</v>
      </c>
      <c r="Z47" s="11" t="n">
        <v>0.47</v>
      </c>
      <c r="AA47" s="11" t="n">
        <v>0.12</v>
      </c>
      <c r="AB47" s="11" t="n">
        <v>0</v>
      </c>
    </row>
    <row r="48">
      <c r="A48" s="10" t="inlineStr">
        <is>
          <t>임대차계약 해약손실</t>
        </is>
      </c>
      <c r="C48" s="11" t="n">
        <v>0</v>
      </c>
    </row>
    <row r="49">
      <c r="A49" s="10" t="inlineStr">
        <is>
          <t>상품권 회수손실 충당금 전입</t>
        </is>
      </c>
      <c r="W49" s="11" t="n">
        <v>0.31</v>
      </c>
      <c r="X49" s="11" t="n">
        <v>0.32</v>
      </c>
      <c r="Y49" s="11" t="n">
        <v>0.3</v>
      </c>
      <c r="Z49" s="11" t="n">
        <v>0.32</v>
      </c>
      <c r="AA49" s="11" t="n">
        <v>0.53</v>
      </c>
      <c r="AB49" s="11" t="n">
        <v>0</v>
      </c>
    </row>
    <row r="50">
      <c r="A50" s="10" t="inlineStr">
        <is>
          <t>임대차계약 해약손실</t>
        </is>
      </c>
      <c r="W50" s="11" t="n">
        <v>0</v>
      </c>
      <c r="X50" s="11" t="n">
        <v>0.12</v>
      </c>
      <c r="Y50" s="11" t="n">
        <v>0.15</v>
      </c>
      <c r="Z50" s="11" t="n">
        <v>0.6899999999999999</v>
      </c>
      <c r="AA50" s="11" t="n">
        <v>0</v>
      </c>
    </row>
    <row r="51">
      <c r="A51" s="10" t="inlineStr">
        <is>
          <t>위약금</t>
        </is>
      </c>
      <c r="AB51" s="11" t="n">
        <v>0</v>
      </c>
      <c r="AC51" s="11" t="n">
        <v>0.18</v>
      </c>
      <c r="AD51" s="11" t="n">
        <v>0</v>
      </c>
    </row>
    <row r="52">
      <c r="A52" s="10" t="inlineStr">
        <is>
          <t>손해배상금</t>
        </is>
      </c>
      <c r="AC52" s="11" t="n">
        <v>0</v>
      </c>
      <c r="AD52" s="11" t="n">
        <v>0.32</v>
      </c>
      <c r="AE52" s="11" t="n">
        <v>0</v>
      </c>
    </row>
    <row r="53">
      <c r="A53" s="10" t="inlineStr">
        <is>
          <t>기타</t>
        </is>
      </c>
      <c r="C53" s="11" t="n">
        <v>0.01</v>
      </c>
      <c r="D53" s="11" t="n">
        <v>0.08</v>
      </c>
      <c r="E53" s="11" t="n">
        <v>0</v>
      </c>
      <c r="F53" s="11" t="n">
        <v>0.02</v>
      </c>
      <c r="G53" s="11" t="n">
        <v>0.01</v>
      </c>
      <c r="H53" s="11" t="n">
        <v>0.14</v>
      </c>
      <c r="I53" s="11" t="n">
        <v>0.01</v>
      </c>
      <c r="J53" s="11" t="n">
        <v>0.02</v>
      </c>
      <c r="K53" s="11" t="n">
        <v>0.03</v>
      </c>
      <c r="L53" s="11" t="n">
        <v>0.03</v>
      </c>
      <c r="M53" s="11" t="n">
        <v>0.03</v>
      </c>
      <c r="N53" s="11" t="n">
        <v>0.02</v>
      </c>
      <c r="O53" s="11" t="n">
        <v>0.11</v>
      </c>
      <c r="P53" s="11" t="n">
        <v>0.02</v>
      </c>
      <c r="Q53" s="11" t="n">
        <v>0.02</v>
      </c>
      <c r="R53" s="11" t="n">
        <v>0.05</v>
      </c>
      <c r="S53" s="11" t="n">
        <v>0.1</v>
      </c>
      <c r="T53" s="11" t="n">
        <v>0.14</v>
      </c>
      <c r="U53" s="11" t="n">
        <v>0.04</v>
      </c>
      <c r="V53" s="11" t="n">
        <v>0.02</v>
      </c>
      <c r="W53" s="11" t="n">
        <v>0.03</v>
      </c>
      <c r="X53" s="11" t="n">
        <v>0.1</v>
      </c>
      <c r="Y53" s="11" t="n">
        <v>0.04</v>
      </c>
      <c r="Z53" s="11" t="n">
        <v>0.49</v>
      </c>
      <c r="AA53" s="11" t="n">
        <v>0.12</v>
      </c>
      <c r="AB53" s="11" t="n">
        <v>0.17</v>
      </c>
      <c r="AC53" s="11" t="n">
        <v>0.09</v>
      </c>
      <c r="AD53" s="11" t="n">
        <v>0.18</v>
      </c>
      <c r="AE53" s="11" t="n">
        <v>0.31</v>
      </c>
    </row>
    <row r="54">
      <c r="A54" s="10" t="inlineStr">
        <is>
          <t>영업외비용 합계</t>
        </is>
      </c>
      <c r="C54" s="11" t="n">
        <v>0.05</v>
      </c>
      <c r="D54" s="11" t="n">
        <v>0.64</v>
      </c>
      <c r="E54" s="11" t="n">
        <v>0.04</v>
      </c>
      <c r="F54" s="11" t="n">
        <v>0.03</v>
      </c>
      <c r="G54" s="11" t="n">
        <v>0.05</v>
      </c>
      <c r="H54" s="11" t="n">
        <v>0.2</v>
      </c>
      <c r="I54" s="11" t="n">
        <v>0.1</v>
      </c>
      <c r="J54" s="11" t="n">
        <v>0.11</v>
      </c>
      <c r="K54" s="11" t="n">
        <v>0.24</v>
      </c>
      <c r="L54" s="11" t="n">
        <v>0.2</v>
      </c>
      <c r="M54" s="11" t="n">
        <v>0.16</v>
      </c>
      <c r="N54" s="11" t="n">
        <v>0.14</v>
      </c>
      <c r="O54" s="11" t="n">
        <v>0.57</v>
      </c>
      <c r="P54" s="11" t="n">
        <v>0.22</v>
      </c>
      <c r="Q54" s="11" t="n">
        <v>0.22</v>
      </c>
      <c r="R54" s="11" t="n">
        <v>0.22</v>
      </c>
      <c r="S54" s="11" t="n">
        <v>0.26</v>
      </c>
      <c r="T54" s="11" t="n">
        <v>0.29</v>
      </c>
      <c r="U54" s="11" t="n">
        <v>0.21</v>
      </c>
      <c r="V54" s="11" t="n">
        <v>0.17</v>
      </c>
      <c r="W54" s="11" t="n">
        <v>0.5</v>
      </c>
      <c r="X54" s="11" t="n">
        <v>0.71</v>
      </c>
      <c r="Y54" s="11" t="n">
        <v>0.63</v>
      </c>
      <c r="Z54" s="11" t="n">
        <v>2.12</v>
      </c>
      <c r="AA54" s="11" t="n">
        <v>0.91</v>
      </c>
      <c r="AB54" s="11" t="n">
        <v>0.32</v>
      </c>
      <c r="AC54" s="11" t="n">
        <v>0.65</v>
      </c>
      <c r="AD54" s="11" t="n">
        <v>1.09</v>
      </c>
      <c r="AE54" s="11" t="n">
        <v>0.99</v>
      </c>
    </row>
    <row r="55">
      <c r="A55" s="5" t="inlineStr">
        <is>
          <t>경상이익</t>
        </is>
      </c>
      <c r="C55" s="6" t="n">
        <v>0.53</v>
      </c>
      <c r="D55" s="6" t="n">
        <v>5.06</v>
      </c>
      <c r="E55" s="6" t="n">
        <v>3.35</v>
      </c>
      <c r="F55" s="6" t="n">
        <v>3.91</v>
      </c>
      <c r="G55" s="6" t="n">
        <v>-0.01</v>
      </c>
      <c r="H55" s="6" t="n">
        <v>2.03</v>
      </c>
      <c r="I55" s="6" t="n">
        <v>0.97</v>
      </c>
      <c r="J55" s="6" t="n">
        <v>4.73</v>
      </c>
      <c r="K55" s="6" t="n">
        <v>-0.86</v>
      </c>
      <c r="L55" s="6" t="n">
        <v>1.93</v>
      </c>
      <c r="M55" s="6" t="n">
        <v>-2.23</v>
      </c>
      <c r="N55" s="6" t="n">
        <v>-0.52</v>
      </c>
      <c r="O55" s="6" t="n">
        <v>-3.77</v>
      </c>
      <c r="P55" s="6" t="n">
        <v>2.45</v>
      </c>
      <c r="Q55" s="6" t="n">
        <v>2.64</v>
      </c>
      <c r="R55" s="6" t="n">
        <v>3.86</v>
      </c>
      <c r="S55" s="6" t="n">
        <v>1.28</v>
      </c>
      <c r="T55" s="6" t="n">
        <v>4.53</v>
      </c>
      <c r="U55" s="6" t="n">
        <v>2.74</v>
      </c>
      <c r="V55" s="6" t="n">
        <v>5.16</v>
      </c>
      <c r="W55" s="6" t="n">
        <v>12.31</v>
      </c>
      <c r="X55" s="6" t="n">
        <v>2.83</v>
      </c>
      <c r="Y55" s="6" t="n">
        <v>6.98</v>
      </c>
      <c r="Z55" s="6" t="n">
        <v>24.09</v>
      </c>
      <c r="AA55" s="6" t="n">
        <v>11.61</v>
      </c>
      <c r="AB55" s="6" t="n">
        <v>9.279999999999999</v>
      </c>
      <c r="AC55" s="6" t="n">
        <v>6.77</v>
      </c>
      <c r="AD55" s="6" t="n">
        <v>-4.07</v>
      </c>
      <c r="AE55" s="6" t="n">
        <v>12.31</v>
      </c>
    </row>
    <row r="56">
      <c r="A56" s="8" t="inlineStr">
        <is>
          <t>경상이익률</t>
        </is>
      </c>
      <c r="C56" s="9">
        <f>IF(OR(C55="",C4=""),"",IFERROR(C55/C4,""))</f>
        <v/>
      </c>
      <c r="D56" s="9">
        <f>IF(OR(D55="",D4=""),"",IFERROR(D55/D4,""))</f>
        <v/>
      </c>
      <c r="E56" s="9">
        <f>IF(OR(E55="",E4=""),"",IFERROR(E55/E4,""))</f>
        <v/>
      </c>
      <c r="F56" s="9">
        <f>IF(OR(F55="",F4=""),"",IFERROR(F55/F4,""))</f>
        <v/>
      </c>
      <c r="G56" s="9">
        <f>IF(OR(G55="",G4=""),"",IFERROR(G55/G4,""))</f>
        <v/>
      </c>
      <c r="H56" s="9">
        <f>IF(OR(H55="",H4=""),"",IFERROR(H55/H4,""))</f>
        <v/>
      </c>
      <c r="I56" s="9">
        <f>IF(OR(I55="",I4=""),"",IFERROR(I55/I4,""))</f>
        <v/>
      </c>
      <c r="J56" s="9">
        <f>IF(OR(J55="",J4=""),"",IFERROR(J55/J4,""))</f>
        <v/>
      </c>
      <c r="K56" s="9">
        <f>IF(OR(K55="",K4=""),"",IFERROR(K55/K4,""))</f>
        <v/>
      </c>
      <c r="L56" s="9">
        <f>IF(OR(L55="",L4=""),"",IFERROR(L55/L4,""))</f>
        <v/>
      </c>
      <c r="M56" s="9">
        <f>IF(OR(M55="",M4=""),"",IFERROR(M55/M4,""))</f>
        <v/>
      </c>
      <c r="N56" s="9">
        <f>IF(OR(N55="",N4=""),"",IFERROR(N55/N4,""))</f>
        <v/>
      </c>
      <c r="O56" s="9">
        <f>IF(OR(O55="",O4=""),"",IFERROR(O55/O4,""))</f>
        <v/>
      </c>
      <c r="P56" s="9">
        <f>IF(OR(P55="",P4=""),"",IFERROR(P55/P4,""))</f>
        <v/>
      </c>
      <c r="Q56" s="9">
        <f>IF(OR(Q55="",Q4=""),"",IFERROR(Q55/Q4,""))</f>
        <v/>
      </c>
      <c r="R56" s="9">
        <f>IF(OR(R55="",R4=""),"",IFERROR(R55/R4,""))</f>
        <v/>
      </c>
      <c r="S56" s="9">
        <f>IF(OR(S55="",S4=""),"",IFERROR(S55/S4,""))</f>
        <v/>
      </c>
      <c r="T56" s="9">
        <f>IF(OR(T55="",T4=""),"",IFERROR(T55/T4,""))</f>
        <v/>
      </c>
      <c r="U56" s="9">
        <f>IF(OR(U55="",U4=""),"",IFERROR(U55/U4,""))</f>
        <v/>
      </c>
      <c r="V56" s="9">
        <f>IF(OR(V55="",V4=""),"",IFERROR(V55/V4,""))</f>
        <v/>
      </c>
      <c r="W56" s="9">
        <f>IF(OR(W55="",W4=""),"",IFERROR(W55/W4,""))</f>
        <v/>
      </c>
      <c r="X56" s="9">
        <f>IF(OR(X55="",X4=""),"",IFERROR(X55/X4,""))</f>
        <v/>
      </c>
      <c r="Y56" s="9">
        <f>IF(OR(Y55="",Y4=""),"",IFERROR(Y55/Y4,""))</f>
        <v/>
      </c>
      <c r="Z56" s="9">
        <f>IF(OR(Z55="",Z4=""),"",IFERROR(Z55/Z4,""))</f>
        <v/>
      </c>
      <c r="AA56" s="9">
        <f>IF(OR(AA55="",AA4=""),"",IFERROR(AA55/AA4,""))</f>
        <v/>
      </c>
      <c r="AB56" s="9">
        <f>IF(OR(AB55="",AB4=""),"",IFERROR(AB55/AB4,""))</f>
        <v/>
      </c>
      <c r="AC56" s="9">
        <f>IF(OR(AC55="",AC4=""),"",IFERROR(AC55/AC4,""))</f>
        <v/>
      </c>
      <c r="AD56" s="9">
        <f>IF(OR(AD55="",AD4=""),"",IFERROR(AD55/AD4,""))</f>
        <v/>
      </c>
      <c r="AE56" s="9">
        <f>IF(OR(AE55="",AE4=""),"",IFERROR(AE55/AE4,""))</f>
        <v/>
      </c>
    </row>
    <row r="57">
      <c r="A57" s="10" t="inlineStr">
        <is>
          <t>고정자산 매각이익</t>
        </is>
      </c>
      <c r="C57" s="11" t="n">
        <v>0</v>
      </c>
      <c r="D57" s="11" t="n">
        <v>0</v>
      </c>
      <c r="E57" s="11" t="n">
        <v>0</v>
      </c>
      <c r="F57" s="11" t="n">
        <v>0.04</v>
      </c>
      <c r="G57" s="11" t="n">
        <v>0.04</v>
      </c>
      <c r="H57" s="11" t="n">
        <v>0.08</v>
      </c>
      <c r="I57" s="11" t="n">
        <v>0.26</v>
      </c>
      <c r="J57" s="11" t="n">
        <v>0.21</v>
      </c>
      <c r="K57" s="11" t="n">
        <v>0</v>
      </c>
      <c r="L57" s="11" t="n">
        <v>0</v>
      </c>
      <c r="M57" s="11" t="n">
        <v>0</v>
      </c>
      <c r="N57" s="11" t="n">
        <v>0</v>
      </c>
      <c r="O57" s="11" t="n">
        <v>0</v>
      </c>
      <c r="P57" s="11" t="n">
        <v>0</v>
      </c>
      <c r="Q57" s="11" t="n">
        <v>0</v>
      </c>
      <c r="R57" s="11" t="n">
        <v>0</v>
      </c>
      <c r="S57" s="11" t="n">
        <v>0</v>
      </c>
      <c r="T57" s="11" t="n">
        <v>0.01</v>
      </c>
      <c r="U57" s="11" t="n">
        <v>0.15</v>
      </c>
      <c r="V57" s="11" t="n">
        <v>0.02</v>
      </c>
      <c r="W57" s="11" t="n">
        <v>0.57</v>
      </c>
      <c r="X57" s="11" t="n">
        <v>3.95</v>
      </c>
      <c r="Y57" s="11" t="n">
        <v>1.27</v>
      </c>
      <c r="Z57" s="11" t="n">
        <v>2.96</v>
      </c>
      <c r="AA57" s="11" t="n">
        <v>0</v>
      </c>
      <c r="AB57" s="11" t="n">
        <v>0.16</v>
      </c>
      <c r="AC57" s="11" t="n">
        <v>0.47</v>
      </c>
      <c r="AD57" s="11" t="n">
        <v>0</v>
      </c>
      <c r="AE57" s="11" t="n">
        <v>0.01</v>
      </c>
    </row>
    <row r="58">
      <c r="A58" s="10" t="inlineStr">
        <is>
          <t>투자유가증권 매각이익</t>
        </is>
      </c>
      <c r="AB58" s="11" t="n">
        <v>0</v>
      </c>
      <c r="AC58" s="11" t="n">
        <v>0.02</v>
      </c>
      <c r="AD58" s="11" t="n">
        <v>0</v>
      </c>
    </row>
    <row r="59">
      <c r="A59" s="10" t="inlineStr">
        <is>
          <t>자회사 청산이익</t>
        </is>
      </c>
      <c r="O59" s="11" t="n">
        <v>0</v>
      </c>
      <c r="P59" s="11" t="n">
        <v>0</v>
      </c>
      <c r="S59" s="11" t="n">
        <v>0</v>
      </c>
      <c r="T59" s="11" t="n">
        <v>0</v>
      </c>
      <c r="AD59" s="11" t="n">
        <v>0</v>
      </c>
      <c r="AE59" s="11" t="n">
        <v>0.26</v>
      </c>
    </row>
    <row r="60">
      <c r="A60" s="10" t="inlineStr">
        <is>
          <t>사업분리 이전이익</t>
        </is>
      </c>
      <c r="AD60" s="11" t="n">
        <v>0</v>
      </c>
      <c r="AE60" s="11" t="n">
        <v>12.41</v>
      </c>
    </row>
    <row r="61">
      <c r="A61" s="10" t="inlineStr">
        <is>
          <t>특별이익 합계</t>
        </is>
      </c>
      <c r="C61" s="11" t="n">
        <v>0</v>
      </c>
      <c r="D61" s="11" t="n">
        <v>0</v>
      </c>
      <c r="E61" s="11" t="n">
        <v>0</v>
      </c>
      <c r="F61" s="11" t="n">
        <v>0.04</v>
      </c>
      <c r="G61" s="11" t="n">
        <v>0.04</v>
      </c>
      <c r="H61" s="11" t="n">
        <v>0.08</v>
      </c>
      <c r="I61" s="11" t="n">
        <v>0.26</v>
      </c>
      <c r="J61" s="11" t="n">
        <v>0.21</v>
      </c>
      <c r="K61" s="11" t="n">
        <v>0</v>
      </c>
      <c r="L61" s="11" t="n">
        <v>0.03</v>
      </c>
      <c r="M61" s="11" t="n">
        <v>0</v>
      </c>
      <c r="N61" s="11" t="n">
        <v>0</v>
      </c>
      <c r="O61" s="11" t="n">
        <v>0</v>
      </c>
      <c r="P61" s="11" t="n">
        <v>0</v>
      </c>
      <c r="Q61" s="11" t="n">
        <v>0</v>
      </c>
      <c r="R61" s="11" t="n">
        <v>0.26</v>
      </c>
      <c r="S61" s="11" t="n">
        <v>0.01</v>
      </c>
      <c r="T61" s="11" t="n">
        <v>12.42</v>
      </c>
      <c r="U61" s="11" t="n">
        <v>0.15</v>
      </c>
      <c r="V61" s="11" t="n">
        <v>0.02</v>
      </c>
      <c r="W61" s="11" t="n">
        <v>0.57</v>
      </c>
      <c r="X61" s="11" t="n">
        <v>3.95</v>
      </c>
      <c r="Y61" s="11" t="n">
        <v>1.27</v>
      </c>
      <c r="Z61" s="11" t="n">
        <v>2.96</v>
      </c>
      <c r="AA61" s="11" t="n">
        <v>0</v>
      </c>
      <c r="AB61" s="11" t="n">
        <v>0.16</v>
      </c>
      <c r="AC61" s="11" t="n">
        <v>0.5</v>
      </c>
      <c r="AD61" s="11" t="n">
        <v>0</v>
      </c>
      <c r="AE61" s="11" t="n">
        <v>12.69</v>
      </c>
    </row>
    <row r="62">
      <c r="A62" s="10" t="inlineStr">
        <is>
          <t>고정자산 매각손실</t>
        </is>
      </c>
      <c r="C62" s="11" t="n">
        <v>0</v>
      </c>
      <c r="D62" s="11" t="n">
        <v>0</v>
      </c>
      <c r="E62" s="11" t="n">
        <v>0</v>
      </c>
      <c r="F62" s="11" t="n">
        <v>0</v>
      </c>
      <c r="G62" s="11" t="n">
        <v>0</v>
      </c>
      <c r="H62" s="11" t="n">
        <v>0.01</v>
      </c>
      <c r="L62" s="11" t="n">
        <v>0</v>
      </c>
      <c r="O62" s="11" t="n">
        <v>0</v>
      </c>
      <c r="P62" s="11" t="n">
        <v>0</v>
      </c>
      <c r="Q62" s="11" t="n">
        <v>0</v>
      </c>
      <c r="R62" s="11" t="n">
        <v>0</v>
      </c>
      <c r="S62" s="11" t="n">
        <v>0</v>
      </c>
      <c r="T62" s="11" t="n">
        <v>0</v>
      </c>
      <c r="U62" s="11" t="n">
        <v>0</v>
      </c>
      <c r="V62" s="11" t="n">
        <v>0</v>
      </c>
      <c r="Y62" s="11" t="n">
        <v>0</v>
      </c>
      <c r="Z62" s="11" t="n">
        <v>0.58</v>
      </c>
      <c r="AA62" s="11" t="n">
        <v>0</v>
      </c>
      <c r="AB62" s="11" t="n">
        <v>0.01</v>
      </c>
      <c r="AC62" s="11" t="n">
        <v>0</v>
      </c>
      <c r="AD62" s="11" t="n">
        <v>0</v>
      </c>
      <c r="AE62" s="11" t="n">
        <v>0</v>
      </c>
    </row>
    <row r="63">
      <c r="A63" s="10" t="inlineStr">
        <is>
          <t>고정자산 제각손실</t>
        </is>
      </c>
      <c r="C63" s="11" t="n">
        <v>0.01</v>
      </c>
      <c r="D63" s="11" t="n">
        <v>0.18</v>
      </c>
      <c r="E63" s="11" t="n">
        <v>0.35</v>
      </c>
      <c r="F63" s="11" t="n">
        <v>0.1</v>
      </c>
      <c r="G63" s="11" t="n">
        <v>0.12</v>
      </c>
      <c r="H63" s="11" t="n">
        <v>0.13</v>
      </c>
      <c r="I63" s="11" t="n">
        <v>0.27</v>
      </c>
      <c r="J63" s="11" t="n">
        <v>0.04</v>
      </c>
      <c r="K63" s="11" t="n">
        <v>0.1</v>
      </c>
      <c r="L63" s="11" t="n">
        <v>0.36</v>
      </c>
      <c r="M63" s="11" t="n">
        <v>0</v>
      </c>
      <c r="N63" s="11" t="n">
        <v>0</v>
      </c>
      <c r="O63" s="11" t="n">
        <v>0.28</v>
      </c>
      <c r="P63" s="11" t="n">
        <v>1.71</v>
      </c>
      <c r="Q63" s="11" t="n">
        <v>0</v>
      </c>
      <c r="R63" s="11" t="n">
        <v>0.07000000000000001</v>
      </c>
      <c r="S63" s="11" t="n">
        <v>0.14</v>
      </c>
      <c r="T63" s="11" t="n">
        <v>0.48</v>
      </c>
      <c r="U63" s="11" t="n">
        <v>0</v>
      </c>
      <c r="V63" s="11" t="n">
        <v>0.04</v>
      </c>
      <c r="W63" s="11" t="n">
        <v>0.29</v>
      </c>
      <c r="X63" s="11" t="n">
        <v>0.37</v>
      </c>
      <c r="Y63" s="11" t="n">
        <v>0.15</v>
      </c>
      <c r="Z63" s="11" t="n">
        <v>3.1</v>
      </c>
      <c r="AA63" s="11" t="n">
        <v>0.25</v>
      </c>
      <c r="AB63" s="11" t="n">
        <v>0.7</v>
      </c>
      <c r="AC63" s="11" t="n">
        <v>0.77</v>
      </c>
      <c r="AD63" s="11" t="n">
        <v>1.99</v>
      </c>
      <c r="AE63" s="11" t="n">
        <v>0.6899999999999999</v>
      </c>
    </row>
    <row r="64">
      <c r="A64" s="10" t="inlineStr">
        <is>
          <t>손상차손</t>
        </is>
      </c>
      <c r="C64" s="11" t="n">
        <v>0</v>
      </c>
      <c r="D64" s="11" t="n">
        <v>3.56</v>
      </c>
      <c r="G64" s="11" t="n">
        <v>0.24</v>
      </c>
      <c r="H64" s="11" t="n">
        <v>2.07</v>
      </c>
      <c r="K64" s="11" t="n">
        <v>0</v>
      </c>
      <c r="L64" s="11" t="n">
        <v>4.06</v>
      </c>
      <c r="W64" s="11" t="n">
        <v>3.75</v>
      </c>
      <c r="X64" s="11" t="n">
        <v>7.5</v>
      </c>
      <c r="Y64" s="11" t="n">
        <v>6.44</v>
      </c>
      <c r="Z64" s="11" t="n">
        <v>5.46</v>
      </c>
      <c r="AA64" s="11" t="n">
        <v>3.56</v>
      </c>
      <c r="AB64" s="11" t="n">
        <v>2.43</v>
      </c>
      <c r="AC64" s="11" t="n">
        <v>4.06</v>
      </c>
      <c r="AD64" s="11" t="n">
        <v>13.04</v>
      </c>
      <c r="AE64" s="11" t="n">
        <v>5.6</v>
      </c>
    </row>
    <row r="65">
      <c r="A65" s="10" t="inlineStr">
        <is>
          <t>투자유가증권 평가손실</t>
        </is>
      </c>
      <c r="C65" s="11" t="n">
        <v>0.02</v>
      </c>
      <c r="D65" s="11" t="n">
        <v>-0.21</v>
      </c>
      <c r="G65" s="11" t="n">
        <v>0</v>
      </c>
      <c r="H65" s="11" t="n">
        <v>0</v>
      </c>
      <c r="W65" s="11" t="n">
        <v>0</v>
      </c>
      <c r="X65" s="11" t="n">
        <v>0.07000000000000001</v>
      </c>
      <c r="Y65" s="11" t="n">
        <v>0.98</v>
      </c>
      <c r="Z65" s="11" t="n">
        <v>0</v>
      </c>
      <c r="AA65" s="11" t="n">
        <v>0</v>
      </c>
      <c r="AB65" s="11" t="n">
        <v>0</v>
      </c>
    </row>
    <row r="66">
      <c r="A66" s="10" t="inlineStr">
        <is>
          <t>투자유가증권 매각손실</t>
        </is>
      </c>
      <c r="C66" s="11" t="n">
        <v>0</v>
      </c>
      <c r="G66" s="11" t="n">
        <v>0</v>
      </c>
      <c r="K66" s="11" t="n">
        <v>0</v>
      </c>
    </row>
    <row r="67">
      <c r="A67" s="10" t="inlineStr">
        <is>
          <t>기타</t>
        </is>
      </c>
      <c r="AA67" s="11" t="n">
        <v>0</v>
      </c>
      <c r="AB67" s="11" t="n">
        <v>0.26</v>
      </c>
      <c r="AC67" s="11" t="n">
        <v>0</v>
      </c>
    </row>
    <row r="68">
      <c r="A68" s="10" t="inlineStr">
        <is>
          <t>특별손실 합계</t>
        </is>
      </c>
      <c r="C68" s="11" t="n">
        <v>0.03</v>
      </c>
      <c r="D68" s="11" t="n">
        <v>3.53</v>
      </c>
      <c r="E68" s="11" t="n">
        <v>0.35</v>
      </c>
      <c r="F68" s="11" t="n">
        <v>0.32</v>
      </c>
      <c r="G68" s="11" t="n">
        <v>0.37</v>
      </c>
      <c r="H68" s="11" t="n">
        <v>2.37</v>
      </c>
      <c r="I68" s="11" t="n">
        <v>0.27</v>
      </c>
      <c r="J68" s="11" t="n">
        <v>0.04</v>
      </c>
      <c r="K68" s="11" t="n">
        <v>0.1</v>
      </c>
      <c r="L68" s="11" t="n">
        <v>4.43</v>
      </c>
      <c r="M68" s="11" t="n">
        <v>0</v>
      </c>
      <c r="N68" s="11" t="n">
        <v>0</v>
      </c>
      <c r="O68" s="11" t="n">
        <v>0.28</v>
      </c>
      <c r="P68" s="11" t="n">
        <v>14.76</v>
      </c>
      <c r="Q68" s="11" t="n">
        <v>0</v>
      </c>
      <c r="R68" s="11" t="n">
        <v>0.07000000000000001</v>
      </c>
      <c r="S68" s="11" t="n">
        <v>0.14</v>
      </c>
      <c r="T68" s="11" t="n">
        <v>6.09</v>
      </c>
      <c r="U68" s="11" t="n">
        <v>0</v>
      </c>
      <c r="V68" s="11" t="n">
        <v>0.04</v>
      </c>
      <c r="W68" s="11" t="n">
        <v>4.04</v>
      </c>
      <c r="X68" s="11" t="n">
        <v>7.94</v>
      </c>
      <c r="Y68" s="11" t="n">
        <v>7.57</v>
      </c>
      <c r="Z68" s="11" t="n">
        <v>9.140000000000001</v>
      </c>
      <c r="AA68" s="11" t="n">
        <v>3.82</v>
      </c>
      <c r="AB68" s="11" t="n">
        <v>3.41</v>
      </c>
      <c r="AC68" s="11" t="n">
        <v>4.84</v>
      </c>
      <c r="AD68" s="11" t="n">
        <v>15.04</v>
      </c>
      <c r="AE68" s="11" t="n">
        <v>6.3</v>
      </c>
    </row>
    <row r="69">
      <c r="A69" s="10" t="inlineStr">
        <is>
          <t>법인세차감전 순이익</t>
        </is>
      </c>
      <c r="C69" s="11" t="n">
        <v>0.5</v>
      </c>
      <c r="D69" s="11" t="n">
        <v>1.52</v>
      </c>
      <c r="E69" s="11" t="n">
        <v>3</v>
      </c>
      <c r="F69" s="11" t="n">
        <v>3.63</v>
      </c>
      <c r="G69" s="11" t="n">
        <v>-0.35</v>
      </c>
      <c r="H69" s="11" t="n">
        <v>-0.25</v>
      </c>
      <c r="I69" s="11" t="n">
        <v>0.95</v>
      </c>
      <c r="J69" s="11" t="n">
        <v>4.92</v>
      </c>
      <c r="K69" s="11" t="n">
        <v>-0.97</v>
      </c>
      <c r="L69" s="11" t="n">
        <v>-2.47</v>
      </c>
      <c r="M69" s="11" t="n">
        <v>-2.23</v>
      </c>
      <c r="N69" s="11" t="n">
        <v>-0.52</v>
      </c>
      <c r="O69" s="11" t="n">
        <v>-4.05</v>
      </c>
      <c r="P69" s="11" t="n">
        <v>-12.31</v>
      </c>
      <c r="Q69" s="11" t="n">
        <v>2.65</v>
      </c>
      <c r="R69" s="11" t="n">
        <v>4.04</v>
      </c>
      <c r="S69" s="11" t="n">
        <v>1.15</v>
      </c>
      <c r="T69" s="11" t="n">
        <v>10.86</v>
      </c>
      <c r="U69" s="11" t="n">
        <v>2.9</v>
      </c>
      <c r="V69" s="11" t="n">
        <v>5.13</v>
      </c>
      <c r="W69" s="11" t="n">
        <v>8.84</v>
      </c>
      <c r="X69" s="11" t="n">
        <v>-1.15</v>
      </c>
      <c r="Y69" s="11" t="n">
        <v>0.68</v>
      </c>
      <c r="Z69" s="11" t="n">
        <v>17.91</v>
      </c>
      <c r="AA69" s="11" t="n">
        <v>7.78</v>
      </c>
      <c r="AB69" s="11" t="n">
        <v>6.03</v>
      </c>
      <c r="AC69" s="11" t="n">
        <v>2.43</v>
      </c>
      <c r="AD69" s="11" t="n">
        <v>-19.11</v>
      </c>
      <c r="AE69" s="11" t="n">
        <v>18.7</v>
      </c>
    </row>
    <row r="70">
      <c r="A70" s="10" t="inlineStr">
        <is>
          <t>법인세·주민세·사업세</t>
        </is>
      </c>
      <c r="C70" s="11" t="n">
        <v>1.43</v>
      </c>
      <c r="D70" s="11" t="n">
        <v>1.68</v>
      </c>
      <c r="E70" s="11" t="n">
        <v>1.61</v>
      </c>
      <c r="F70" s="11" t="n">
        <v>0.64</v>
      </c>
      <c r="G70" s="11" t="n">
        <v>0.88</v>
      </c>
      <c r="H70" s="11" t="n">
        <v>1.37</v>
      </c>
      <c r="I70" s="11" t="n">
        <v>0.47</v>
      </c>
      <c r="J70" s="11" t="n">
        <v>0.25</v>
      </c>
      <c r="K70" s="11" t="n">
        <v>0.38</v>
      </c>
      <c r="L70" s="11" t="n">
        <v>-0.39</v>
      </c>
      <c r="M70" s="11" t="n">
        <v>0.33</v>
      </c>
      <c r="N70" s="11" t="n">
        <v>0.06</v>
      </c>
      <c r="O70" s="11" t="n">
        <v>0.1</v>
      </c>
      <c r="P70" s="11" t="n">
        <v>0.25</v>
      </c>
      <c r="Q70" s="11" t="n">
        <v>1.02</v>
      </c>
      <c r="R70" s="11" t="n">
        <v>0.52</v>
      </c>
      <c r="S70" s="11" t="n">
        <v>0.83</v>
      </c>
      <c r="T70" s="11" t="n">
        <v>-0.02</v>
      </c>
      <c r="U70" s="11" t="n">
        <v>0.86</v>
      </c>
      <c r="V70" s="11" t="n">
        <v>0.67</v>
      </c>
      <c r="W70" s="11" t="n">
        <v>5.28</v>
      </c>
      <c r="X70" s="11" t="n">
        <v>5.25</v>
      </c>
      <c r="Y70" s="11" t="n">
        <v>2.75</v>
      </c>
      <c r="Z70" s="11" t="n">
        <v>7.06</v>
      </c>
      <c r="AA70" s="11" t="n">
        <v>5.35</v>
      </c>
      <c r="AB70" s="11" t="n">
        <v>4.5</v>
      </c>
      <c r="AC70" s="11" t="n">
        <v>0.71</v>
      </c>
      <c r="AD70" s="11" t="n">
        <v>0.74</v>
      </c>
      <c r="AE70" s="11" t="n">
        <v>2.35</v>
      </c>
    </row>
    <row r="71">
      <c r="A71" s="10" t="inlineStr">
        <is>
          <t>법인세 조정액</t>
        </is>
      </c>
      <c r="C71" s="11" t="n">
        <v>-0.98</v>
      </c>
      <c r="D71" s="11" t="n">
        <v>-0.1</v>
      </c>
      <c r="E71" s="11" t="n">
        <v>-0.43</v>
      </c>
      <c r="F71" s="11" t="n">
        <v>0.47</v>
      </c>
      <c r="G71" s="11" t="n">
        <v>-0.71</v>
      </c>
      <c r="H71" s="11" t="n">
        <v>0.14</v>
      </c>
      <c r="I71" s="11" t="n">
        <v>-6.28</v>
      </c>
      <c r="J71" s="11" t="n">
        <v>1.18</v>
      </c>
      <c r="K71" s="11" t="n">
        <v>-0.36</v>
      </c>
      <c r="L71" s="11" t="n">
        <v>2.67</v>
      </c>
      <c r="M71" s="11" t="n">
        <v>-0.71</v>
      </c>
      <c r="N71" s="11" t="n">
        <v>8.119999999999999</v>
      </c>
      <c r="O71" s="11" t="n">
        <v>-1.2</v>
      </c>
      <c r="P71" s="11" t="n">
        <v>0.1</v>
      </c>
      <c r="Q71" s="11" t="n">
        <v>-0.08</v>
      </c>
      <c r="R71" s="11" t="n">
        <v>-2.31</v>
      </c>
      <c r="S71" s="11" t="n">
        <v>-0.74</v>
      </c>
      <c r="T71" s="11" t="n">
        <v>7.11</v>
      </c>
      <c r="U71" s="11" t="n">
        <v>-0.9399999999999999</v>
      </c>
      <c r="V71" s="11" t="n">
        <v>0.87</v>
      </c>
      <c r="W71" s="11" t="n">
        <v>-0.33</v>
      </c>
      <c r="X71" s="11" t="n">
        <v>-3.96</v>
      </c>
      <c r="Y71" s="11" t="n">
        <v>0.13</v>
      </c>
      <c r="Z71" s="11" t="n">
        <v>2.06</v>
      </c>
      <c r="AA71" s="11" t="n">
        <v>-1.24</v>
      </c>
      <c r="AB71" s="11" t="n">
        <v>-0.53</v>
      </c>
      <c r="AC71" s="11" t="n">
        <v>-2.79</v>
      </c>
      <c r="AD71" s="11" t="n">
        <v>6.31</v>
      </c>
      <c r="AE71" s="11" t="n">
        <v>3.98</v>
      </c>
    </row>
    <row r="72">
      <c r="A72" s="10" t="inlineStr">
        <is>
          <t>법인세 등 합계</t>
        </is>
      </c>
      <c r="C72" s="11" t="n">
        <v>0.44</v>
      </c>
      <c r="D72" s="11" t="n">
        <v>1.58</v>
      </c>
      <c r="E72" s="11" t="n">
        <v>1.18</v>
      </c>
      <c r="F72" s="11" t="n">
        <v>1.11</v>
      </c>
      <c r="G72" s="11" t="n">
        <v>0.17</v>
      </c>
      <c r="H72" s="11" t="n">
        <v>1.51</v>
      </c>
      <c r="I72" s="11" t="n">
        <v>-5.8</v>
      </c>
      <c r="J72" s="11" t="n">
        <v>1.43</v>
      </c>
      <c r="K72" s="11" t="n">
        <v>0.02</v>
      </c>
      <c r="L72" s="11" t="n">
        <v>2.28</v>
      </c>
      <c r="M72" s="11" t="n">
        <v>-0.37</v>
      </c>
      <c r="N72" s="11" t="n">
        <v>8.17</v>
      </c>
      <c r="O72" s="11" t="n">
        <v>-1.1</v>
      </c>
      <c r="P72" s="11" t="n">
        <v>0.36</v>
      </c>
      <c r="Q72" s="11" t="n">
        <v>0.93</v>
      </c>
      <c r="R72" s="11" t="n">
        <v>-1.78</v>
      </c>
      <c r="S72" s="11" t="n">
        <v>0.09</v>
      </c>
      <c r="T72" s="11" t="n">
        <v>7.09</v>
      </c>
      <c r="U72" s="11" t="n">
        <v>-0.08</v>
      </c>
      <c r="V72" s="11" t="n">
        <v>1.54</v>
      </c>
      <c r="W72" s="11" t="n">
        <v>4.95</v>
      </c>
      <c r="X72" s="11" t="n">
        <v>1.29</v>
      </c>
      <c r="Y72" s="11" t="n">
        <v>2.89</v>
      </c>
      <c r="Z72" s="11" t="n">
        <v>9.130000000000001</v>
      </c>
      <c r="AA72" s="11" t="n">
        <v>4.1</v>
      </c>
      <c r="AB72" s="11" t="n">
        <v>3.97</v>
      </c>
      <c r="AC72" s="11" t="n">
        <v>-2.07</v>
      </c>
      <c r="AD72" s="11" t="n">
        <v>7.06</v>
      </c>
      <c r="AE72" s="11" t="n">
        <v>6.33</v>
      </c>
    </row>
    <row r="73">
      <c r="A73" s="5" t="inlineStr">
        <is>
          <t>순이익</t>
        </is>
      </c>
      <c r="C73" s="6" t="n">
        <v>0.07000000000000001</v>
      </c>
      <c r="D73" s="6" t="n">
        <v>-0.06</v>
      </c>
      <c r="E73" s="6" t="n">
        <v>1.82</v>
      </c>
      <c r="F73" s="6" t="n">
        <v>2.51</v>
      </c>
      <c r="G73" s="6" t="n">
        <v>-0.51</v>
      </c>
      <c r="H73" s="6" t="n">
        <v>-1.77</v>
      </c>
      <c r="I73" s="6" t="n">
        <v>6.76</v>
      </c>
      <c r="J73" s="6" t="n">
        <v>3.48</v>
      </c>
      <c r="K73" s="6" t="n">
        <v>-0.98</v>
      </c>
      <c r="L73" s="6" t="n">
        <v>-4.75</v>
      </c>
      <c r="M73" s="6" t="n">
        <v>-1.86</v>
      </c>
      <c r="N73" s="6" t="n">
        <v>-8.699999999999999</v>
      </c>
      <c r="O73" s="6" t="n">
        <v>-2.95</v>
      </c>
      <c r="P73" s="6" t="n">
        <v>-12.66</v>
      </c>
      <c r="Q73" s="6" t="n">
        <v>1.71</v>
      </c>
      <c r="R73" s="6" t="n">
        <v>5.84</v>
      </c>
      <c r="S73" s="6" t="n">
        <v>1.05</v>
      </c>
      <c r="T73" s="6" t="n">
        <v>3.77</v>
      </c>
      <c r="U73" s="6" t="n">
        <v>2.98</v>
      </c>
      <c r="V73" s="6" t="n">
        <v>3.59</v>
      </c>
      <c r="W73" s="6" t="n">
        <v>3.89</v>
      </c>
      <c r="X73" s="6" t="n">
        <v>-2.45</v>
      </c>
      <c r="Y73" s="6" t="n">
        <v>-2.2</v>
      </c>
      <c r="Z73" s="6" t="n">
        <v>8.779999999999999</v>
      </c>
      <c r="AA73" s="6" t="n">
        <v>3.68</v>
      </c>
      <c r="AB73" s="6" t="n">
        <v>2.05</v>
      </c>
      <c r="AC73" s="6" t="n">
        <v>4.51</v>
      </c>
      <c r="AD73" s="6" t="n">
        <v>-26.17</v>
      </c>
      <c r="AE73" s="6" t="n">
        <v>12.37</v>
      </c>
    </row>
    <row r="74">
      <c r="A74" s="5" t="inlineStr">
        <is>
          <t>지배주주 순이익</t>
        </is>
      </c>
      <c r="C74" s="6" t="n">
        <v>0.07000000000000001</v>
      </c>
      <c r="D74" s="6" t="n">
        <v>-0.06</v>
      </c>
      <c r="E74" s="6" t="n">
        <v>1.82</v>
      </c>
      <c r="F74" s="6" t="n">
        <v>2.51</v>
      </c>
      <c r="G74" s="6" t="n">
        <v>-0.51</v>
      </c>
      <c r="H74" s="6" t="n">
        <v>-1.77</v>
      </c>
      <c r="I74" s="6" t="n">
        <v>6.76</v>
      </c>
      <c r="J74" s="6" t="n">
        <v>3.48</v>
      </c>
      <c r="K74" s="6" t="n">
        <v>-0.98</v>
      </c>
      <c r="L74" s="6" t="n">
        <v>-4.75</v>
      </c>
      <c r="M74" s="6" t="n">
        <v>-1.86</v>
      </c>
      <c r="N74" s="6" t="n">
        <v>-8.699999999999999</v>
      </c>
      <c r="O74" s="6" t="n">
        <v>-2.95</v>
      </c>
      <c r="P74" s="6" t="n">
        <v>-12.66</v>
      </c>
      <c r="Q74" s="6" t="n">
        <v>1.71</v>
      </c>
      <c r="R74" s="6" t="n">
        <v>5.84</v>
      </c>
      <c r="S74" s="6" t="n">
        <v>1.05</v>
      </c>
      <c r="T74" s="6" t="n">
        <v>3.77</v>
      </c>
      <c r="U74" s="6" t="n">
        <v>2.98</v>
      </c>
      <c r="V74" s="6" t="n">
        <v>3.59</v>
      </c>
      <c r="W74" s="6" t="n">
        <v>3.89</v>
      </c>
      <c r="X74" s="6" t="n">
        <v>-2.45</v>
      </c>
      <c r="Y74" s="6" t="n">
        <v>-2.2</v>
      </c>
      <c r="Z74" s="6" t="n">
        <v>8.779999999999999</v>
      </c>
      <c r="AA74" s="6" t="n">
        <v>3.68</v>
      </c>
      <c r="AB74" s="6" t="n">
        <v>2.05</v>
      </c>
      <c r="AC74" s="6" t="n">
        <v>4.51</v>
      </c>
      <c r="AD74" s="6" t="n">
        <v>-26.17</v>
      </c>
      <c r="AE74" s="6" t="n">
        <v>12.37</v>
      </c>
    </row>
    <row r="75">
      <c r="A75" s="8" t="inlineStr">
        <is>
          <t>순이익률</t>
        </is>
      </c>
      <c r="C75" s="9">
        <f>IF(OR(C74="",C4=""),"",IFERROR(C74/C4,""))</f>
        <v/>
      </c>
      <c r="D75" s="9">
        <f>IF(OR(D74="",D4=""),"",IFERROR(D74/D4,""))</f>
        <v/>
      </c>
      <c r="E75" s="9">
        <f>IF(OR(E74="",E4=""),"",IFERROR(E74/E4,""))</f>
        <v/>
      </c>
      <c r="F75" s="9">
        <f>IF(OR(F74="",F4=""),"",IFERROR(F74/F4,""))</f>
        <v/>
      </c>
      <c r="G75" s="9">
        <f>IF(OR(G74="",G4=""),"",IFERROR(G74/G4,""))</f>
        <v/>
      </c>
      <c r="H75" s="9">
        <f>IF(OR(H74="",H4=""),"",IFERROR(H74/H4,""))</f>
        <v/>
      </c>
      <c r="I75" s="9">
        <f>IF(OR(I74="",I4=""),"",IFERROR(I74/I4,""))</f>
        <v/>
      </c>
      <c r="J75" s="9">
        <f>IF(OR(J74="",J4=""),"",IFERROR(J74/J4,""))</f>
        <v/>
      </c>
      <c r="K75" s="9">
        <f>IF(OR(K74="",K4=""),"",IFERROR(K74/K4,""))</f>
        <v/>
      </c>
      <c r="L75" s="9">
        <f>IF(OR(L74="",L4=""),"",IFERROR(L74/L4,""))</f>
        <v/>
      </c>
      <c r="M75" s="9">
        <f>IF(OR(M74="",M4=""),"",IFERROR(M74/M4,""))</f>
        <v/>
      </c>
      <c r="N75" s="9">
        <f>IF(OR(N74="",N4=""),"",IFERROR(N74/N4,""))</f>
        <v/>
      </c>
      <c r="O75" s="9">
        <f>IF(OR(O74="",O4=""),"",IFERROR(O74/O4,""))</f>
        <v/>
      </c>
      <c r="P75" s="9">
        <f>IF(OR(P74="",P4=""),"",IFERROR(P74/P4,""))</f>
        <v/>
      </c>
      <c r="Q75" s="9">
        <f>IF(OR(Q74="",Q4=""),"",IFERROR(Q74/Q4,""))</f>
        <v/>
      </c>
      <c r="R75" s="9">
        <f>IF(OR(R74="",R4=""),"",IFERROR(R74/R4,""))</f>
        <v/>
      </c>
      <c r="S75" s="9">
        <f>IF(OR(S74="",S4=""),"",IFERROR(S74/S4,""))</f>
        <v/>
      </c>
      <c r="T75" s="9">
        <f>IF(OR(T74="",T4=""),"",IFERROR(T74/T4,""))</f>
        <v/>
      </c>
      <c r="U75" s="9">
        <f>IF(OR(U74="",U4=""),"",IFERROR(U74/U4,""))</f>
        <v/>
      </c>
      <c r="V75" s="9">
        <f>IF(OR(V74="",V4=""),"",IFERROR(V74/V4,""))</f>
        <v/>
      </c>
      <c r="W75" s="9">
        <f>IF(OR(W74="",W4=""),"",IFERROR(W74/W4,""))</f>
        <v/>
      </c>
      <c r="X75" s="9">
        <f>IF(OR(X74="",X4=""),"",IFERROR(X74/X4,""))</f>
        <v/>
      </c>
      <c r="Y75" s="9">
        <f>IF(OR(Y74="",Y4=""),"",IFERROR(Y74/Y4,""))</f>
        <v/>
      </c>
      <c r="Z75" s="9">
        <f>IF(OR(Z74="",Z4=""),"",IFERROR(Z74/Z4,""))</f>
        <v/>
      </c>
      <c r="AA75" s="9">
        <f>IF(OR(AA74="",AA4=""),"",IFERROR(AA74/AA4,""))</f>
        <v/>
      </c>
      <c r="AB75" s="9">
        <f>IF(OR(AB74="",AB4=""),"",IFERROR(AB74/AB4,""))</f>
        <v/>
      </c>
      <c r="AC75" s="9">
        <f>IF(OR(AC74="",AC4=""),"",IFERROR(AC74/AC4,""))</f>
        <v/>
      </c>
      <c r="AD75" s="9">
        <f>IF(OR(AD74="",AD4=""),"",IFERROR(AD74/AD4,""))</f>
        <v/>
      </c>
      <c r="AE75" s="9">
        <f>IF(OR(AE74="",AE4=""),"",IFERROR(AE74/AE4,""))</f>
        <v/>
      </c>
    </row>
    <row r="76">
      <c r="A76" s="8" t="inlineStr">
        <is>
          <t>YoY</t>
        </is>
      </c>
      <c r="G76" s="9">
        <f>IF(OR(G74="",C74=""),"",IFERROR(G74/C74-1,""))</f>
        <v/>
      </c>
      <c r="H76" s="9">
        <f>IF(OR(H74="",D74=""),"",IFERROR(H74/D74-1,""))</f>
        <v/>
      </c>
      <c r="I76" s="9">
        <f>IF(OR(I74="",E74=""),"",IFERROR(I74/E74-1,""))</f>
        <v/>
      </c>
      <c r="J76" s="9">
        <f>IF(OR(J74="",F74=""),"",IFERROR(J74/F74-1,""))</f>
        <v/>
      </c>
      <c r="K76" s="9">
        <f>IF(OR(K74="",G74=""),"",IFERROR(K74/G74-1,""))</f>
        <v/>
      </c>
      <c r="L76" s="9">
        <f>IF(OR(L74="",H74=""),"",IFERROR(L74/H74-1,""))</f>
        <v/>
      </c>
      <c r="M76" s="9">
        <f>IF(OR(M74="",I74=""),"",IFERROR(M74/I74-1,""))</f>
        <v/>
      </c>
      <c r="N76" s="9">
        <f>IF(OR(N74="",J74=""),"",IFERROR(N74/J74-1,""))</f>
        <v/>
      </c>
      <c r="O76" s="9">
        <f>IF(OR(O74="",K74=""),"",IFERROR(O74/K74-1,""))</f>
        <v/>
      </c>
      <c r="P76" s="9">
        <f>IF(OR(P74="",L74=""),"",IFERROR(P74/L74-1,""))</f>
        <v/>
      </c>
      <c r="Q76" s="9">
        <f>IF(OR(Q74="",M74=""),"",IFERROR(Q74/M74-1,""))</f>
        <v/>
      </c>
      <c r="R76" s="9">
        <f>IF(OR(R74="",N74=""),"",IFERROR(R74/N74-1,""))</f>
        <v/>
      </c>
      <c r="S76" s="9">
        <f>IF(OR(S74="",O74=""),"",IFERROR(S74/O74-1,""))</f>
        <v/>
      </c>
      <c r="T76" s="9">
        <f>IF(OR(T74="",P74=""),"",IFERROR(T74/P74-1,""))</f>
        <v/>
      </c>
      <c r="U76" s="9">
        <f>IF(OR(U74="",Q74=""),"",IFERROR(U74/Q74-1,""))</f>
        <v/>
      </c>
      <c r="V76" s="9">
        <f>IF(OR(V74="",R74=""),"",IFERROR(V74/R74-1,""))</f>
        <v/>
      </c>
      <c r="X76" s="9">
        <f>IF(OR(X74="",W74=""),"",IFERROR(X74/W74-1,""))</f>
        <v/>
      </c>
      <c r="Y76" s="9">
        <f>IF(OR(Y74="",X74=""),"",IFERROR(Y74/X74-1,""))</f>
        <v/>
      </c>
      <c r="Z76" s="9">
        <f>IF(OR(Z74="",Y74=""),"",IFERROR(Z74/Y74-1,""))</f>
        <v/>
      </c>
      <c r="AA76" s="9">
        <f>IF(OR(AA74="",Z74=""),"",IFERROR(AA74/Z74-1,""))</f>
        <v/>
      </c>
      <c r="AB76" s="9">
        <f>IF(OR(AB74="",AA74=""),"",IFERROR(AB74/AA74-1,""))</f>
        <v/>
      </c>
      <c r="AC76" s="9">
        <f>IF(OR(AC74="",AB74=""),"",IFERROR(AC74/AB74-1,""))</f>
        <v/>
      </c>
      <c r="AD76" s="9">
        <f>IF(OR(AD74="",AC74=""),"",IFERROR(AD74/AC74-1,""))</f>
        <v/>
      </c>
      <c r="AE76" s="9">
        <f>IF(OR(AE74="",AD74=""),"",IFERROR(AE74/AD74-1,""))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F10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2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40" customWidth="1" min="32" max="32"/>
  </cols>
  <sheetData>
    <row r="1">
      <c r="A1" s="1" t="inlineStr">
        <is>
          <t>야마자와 포괄손익</t>
        </is>
      </c>
    </row>
    <row r="2">
      <c r="A2" s="2" t="inlineStr">
        <is>
          <t>결산기 기준(27.2Q = 2027년 결산기 2분기) · 2월 결산 · 연결 · 분기 단독(누계 차분) · 오른쪽 FY = 연간</t>
        </is>
      </c>
      <c r="B2" s="3" t="inlineStr">
        <is>
          <t>(단위: 억엔)</t>
        </is>
      </c>
    </row>
    <row r="3">
      <c r="A3" s="4" t="inlineStr">
        <is>
          <t>항목</t>
        </is>
      </c>
      <c r="B3" s="4" t="inlineStr">
        <is>
          <t>참고</t>
        </is>
      </c>
      <c r="C3" s="4" t="inlineStr">
        <is>
          <t>22.3Q</t>
        </is>
      </c>
      <c r="D3" s="4" t="inlineStr">
        <is>
          <t>22.4Q</t>
        </is>
      </c>
      <c r="E3" s="4" t="inlineStr">
        <is>
          <t>23.1Q</t>
        </is>
      </c>
      <c r="F3" s="4" t="inlineStr">
        <is>
          <t>23.2Q</t>
        </is>
      </c>
      <c r="G3" s="4" t="inlineStr">
        <is>
          <t>23.3Q</t>
        </is>
      </c>
      <c r="H3" s="4" t="inlineStr">
        <is>
          <t>23.4Q</t>
        </is>
      </c>
      <c r="I3" s="4" t="inlineStr">
        <is>
          <t>24.1Q</t>
        </is>
      </c>
      <c r="J3" s="4" t="inlineStr">
        <is>
          <t>24.2Q</t>
        </is>
      </c>
      <c r="K3" s="4" t="inlineStr">
        <is>
          <t>24.3Q</t>
        </is>
      </c>
      <c r="L3" s="4" t="inlineStr">
        <is>
          <t>24.4Q</t>
        </is>
      </c>
      <c r="M3" s="4" t="inlineStr">
        <is>
          <t>25.1Q</t>
        </is>
      </c>
      <c r="N3" s="4" t="inlineStr">
        <is>
          <t>25.2Q</t>
        </is>
      </c>
      <c r="O3" s="4" t="inlineStr">
        <is>
          <t>25.3Q</t>
        </is>
      </c>
      <c r="P3" s="4" t="inlineStr">
        <is>
          <t>25.4Q</t>
        </is>
      </c>
      <c r="Q3" s="4" t="inlineStr">
        <is>
          <t>26.1Q</t>
        </is>
      </c>
      <c r="R3" s="4" t="inlineStr">
        <is>
          <t>26.2Q</t>
        </is>
      </c>
      <c r="S3" s="4" t="inlineStr">
        <is>
          <t>26.3Q</t>
        </is>
      </c>
      <c r="T3" s="4" t="inlineStr">
        <is>
          <t>26.4Q</t>
        </is>
      </c>
      <c r="U3" s="4" t="inlineStr">
        <is>
          <t>27.1Q</t>
        </is>
      </c>
      <c r="V3" s="4" t="inlineStr">
        <is>
          <t>27.2Q</t>
        </is>
      </c>
      <c r="W3" s="4" t="inlineStr">
        <is>
          <t>FY18</t>
        </is>
      </c>
      <c r="X3" s="4" t="inlineStr">
        <is>
          <t>FY19</t>
        </is>
      </c>
      <c r="Y3" s="4" t="inlineStr">
        <is>
          <t>FY20</t>
        </is>
      </c>
      <c r="Z3" s="4" t="inlineStr">
        <is>
          <t>FY21</t>
        </is>
      </c>
      <c r="AA3" s="4" t="inlineStr">
        <is>
          <t>FY22</t>
        </is>
      </c>
      <c r="AB3" s="4" t="inlineStr">
        <is>
          <t>FY23</t>
        </is>
      </c>
      <c r="AC3" s="4" t="inlineStr">
        <is>
          <t>FY24</t>
        </is>
      </c>
      <c r="AD3" s="4" t="inlineStr">
        <is>
          <t>FY25</t>
        </is>
      </c>
      <c r="AE3" s="4" t="inlineStr">
        <is>
          <t>FY26</t>
        </is>
      </c>
      <c r="AF3" s="4" t="inlineStr">
        <is>
          <t>출처</t>
        </is>
      </c>
    </row>
    <row r="4">
      <c r="A4" s="5" t="inlineStr">
        <is>
          <t>순이익</t>
        </is>
      </c>
      <c r="C4" s="6" t="n">
        <v>0.07000000000000001</v>
      </c>
      <c r="D4" s="6" t="n">
        <v>-0.06</v>
      </c>
      <c r="E4" s="6" t="n">
        <v>1.82</v>
      </c>
      <c r="F4" s="6" t="n">
        <v>2.51</v>
      </c>
      <c r="G4" s="6" t="n">
        <v>-0.51</v>
      </c>
      <c r="H4" s="6" t="n">
        <v>-1.77</v>
      </c>
      <c r="I4" s="6" t="n">
        <v>6.76</v>
      </c>
      <c r="J4" s="6" t="n">
        <v>3.48</v>
      </c>
      <c r="K4" s="6" t="n">
        <v>-0.98</v>
      </c>
      <c r="L4" s="6" t="n">
        <v>-4.75</v>
      </c>
      <c r="M4" s="6" t="n">
        <v>-1.86</v>
      </c>
      <c r="N4" s="6" t="n">
        <v>-8.699999999999999</v>
      </c>
      <c r="O4" s="6" t="n">
        <v>-2.95</v>
      </c>
      <c r="P4" s="6" t="n">
        <v>-12.66</v>
      </c>
      <c r="Q4" s="6" t="n">
        <v>1.71</v>
      </c>
      <c r="R4" s="6" t="n">
        <v>5.84</v>
      </c>
      <c r="S4" s="6" t="n">
        <v>1.05</v>
      </c>
      <c r="T4" s="6" t="n">
        <v>3.77</v>
      </c>
      <c r="U4" s="6" t="n">
        <v>2.98</v>
      </c>
      <c r="V4" s="6" t="n">
        <v>3.59</v>
      </c>
      <c r="W4" s="6" t="n">
        <v>3.89</v>
      </c>
      <c r="X4" s="6" t="n">
        <v>-2.45</v>
      </c>
      <c r="Y4" s="6" t="n">
        <v>-2.2</v>
      </c>
      <c r="Z4" s="6" t="n">
        <v>8.779999999999999</v>
      </c>
      <c r="AA4" s="6" t="n">
        <v>3.68</v>
      </c>
      <c r="AB4" s="6" t="n">
        <v>2.05</v>
      </c>
      <c r="AC4" s="6" t="n">
        <v>4.51</v>
      </c>
      <c r="AD4" s="6" t="n">
        <v>-26.17</v>
      </c>
      <c r="AE4" s="6" t="n">
        <v>12.37</v>
      </c>
      <c r="AF4" s="7" t="inlineStr">
        <is>
          <t>결산단신 XBRL(거래소 공시, TDnet·JPX 보관소). 쓴 문서: 2026-10-14, 2026-07-14, 2026-04-20, 2026-01-14 외 26건 — '출처' 시트에 전부</t>
        </is>
      </c>
    </row>
    <row r="5">
      <c r="A5" s="10" t="inlineStr">
        <is>
          <t>기타유가증권 평가차액</t>
        </is>
      </c>
      <c r="C5" s="11" t="n">
        <v>-0.05</v>
      </c>
      <c r="D5" s="11" t="n">
        <v>0.05</v>
      </c>
      <c r="E5" s="11" t="n">
        <v>-0.05</v>
      </c>
      <c r="F5" s="11" t="n">
        <v>0.16</v>
      </c>
      <c r="G5" s="11" t="n">
        <v>0.22</v>
      </c>
      <c r="H5" s="11" t="n">
        <v>0.16</v>
      </c>
      <c r="I5" s="11" t="n">
        <v>-0.12</v>
      </c>
      <c r="J5" s="11" t="n">
        <v>0.25</v>
      </c>
      <c r="K5" s="11" t="n">
        <v>0.05</v>
      </c>
      <c r="L5" s="11" t="n">
        <v>0.2</v>
      </c>
      <c r="M5" s="11" t="n">
        <v>0.06</v>
      </c>
      <c r="N5" s="11" t="n">
        <v>-0.13</v>
      </c>
      <c r="O5" s="11" t="n">
        <v>-0.06</v>
      </c>
      <c r="P5" s="11" t="n">
        <v>0.25</v>
      </c>
      <c r="Q5" s="11" t="n">
        <v>0.16</v>
      </c>
      <c r="R5" s="11" t="n">
        <v>0.22</v>
      </c>
      <c r="S5" s="11" t="n">
        <v>0.42</v>
      </c>
      <c r="T5" s="11" t="n">
        <v>1</v>
      </c>
      <c r="U5" s="11" t="n">
        <v>0.05</v>
      </c>
      <c r="V5" s="11" t="n">
        <v>1.21</v>
      </c>
      <c r="W5" s="11" t="n">
        <v>-0.04</v>
      </c>
      <c r="X5" s="11" t="n">
        <v>-0.4</v>
      </c>
      <c r="Y5" s="11" t="n">
        <v>0.08</v>
      </c>
      <c r="Z5" s="11" t="n">
        <v>-0.03</v>
      </c>
      <c r="AA5" s="11" t="n">
        <v>0.02</v>
      </c>
      <c r="AB5" s="11" t="n">
        <v>0.49</v>
      </c>
      <c r="AC5" s="11" t="n">
        <v>0.38</v>
      </c>
      <c r="AD5" s="11" t="n">
        <v>0.12</v>
      </c>
      <c r="AE5" s="11" t="n">
        <v>1.8</v>
      </c>
    </row>
    <row r="6">
      <c r="A6" s="10" t="inlineStr">
        <is>
          <t>퇴직급여 조정액</t>
        </is>
      </c>
      <c r="C6" s="11" t="n">
        <v>-0.01</v>
      </c>
      <c r="D6" s="11" t="n">
        <v>0.06</v>
      </c>
      <c r="E6" s="11" t="n">
        <v>-0</v>
      </c>
      <c r="F6" s="11" t="n">
        <v>-0.01</v>
      </c>
      <c r="G6" s="11" t="n">
        <v>-0.01</v>
      </c>
      <c r="H6" s="11" t="n">
        <v>-0.06</v>
      </c>
      <c r="I6" s="11" t="n">
        <v>-0</v>
      </c>
      <c r="J6" s="11" t="n">
        <v>-0.01</v>
      </c>
      <c r="K6" s="11" t="n">
        <v>-0.01</v>
      </c>
      <c r="L6" s="11" t="n">
        <v>0.18</v>
      </c>
      <c r="M6" s="11" t="n">
        <v>-0.01</v>
      </c>
      <c r="N6" s="11" t="n">
        <v>-0.01</v>
      </c>
      <c r="O6" s="11" t="n">
        <v>-0.01</v>
      </c>
      <c r="P6" s="11" t="n">
        <v>0.01</v>
      </c>
      <c r="Q6" s="11" t="n">
        <v>-0.01</v>
      </c>
      <c r="R6" s="11" t="n">
        <v>-0.01</v>
      </c>
      <c r="S6" s="11" t="n">
        <v>-0.01</v>
      </c>
      <c r="T6" s="11" t="n">
        <v>0.46</v>
      </c>
      <c r="U6" s="11" t="n">
        <v>-0.01</v>
      </c>
      <c r="V6" s="11" t="n">
        <v>-0.06</v>
      </c>
      <c r="W6" s="11" t="n">
        <v>0.03</v>
      </c>
      <c r="X6" s="11" t="n">
        <v>0.02</v>
      </c>
      <c r="Y6" s="11" t="n">
        <v>0.07000000000000001</v>
      </c>
      <c r="Z6" s="11" t="n">
        <v>-0.1</v>
      </c>
      <c r="AA6" s="11" t="n">
        <v>0.04</v>
      </c>
      <c r="AB6" s="11" t="n">
        <v>-0.08</v>
      </c>
      <c r="AC6" s="11" t="n">
        <v>0.16</v>
      </c>
      <c r="AD6" s="11" t="n">
        <v>-0.02</v>
      </c>
      <c r="AE6" s="11" t="n">
        <v>0.43</v>
      </c>
    </row>
    <row r="7">
      <c r="A7" s="10" t="inlineStr">
        <is>
          <t>기타포괄손익 합계</t>
        </is>
      </c>
      <c r="C7" s="11" t="n">
        <v>-0.07000000000000001</v>
      </c>
      <c r="D7" s="11" t="n">
        <v>0.12</v>
      </c>
      <c r="E7" s="11" t="n">
        <v>-0.06</v>
      </c>
      <c r="F7" s="11" t="n">
        <v>0.15</v>
      </c>
      <c r="G7" s="11" t="n">
        <v>0.21</v>
      </c>
      <c r="H7" s="11" t="n">
        <v>0.11</v>
      </c>
      <c r="I7" s="11" t="n">
        <v>-0.12</v>
      </c>
      <c r="J7" s="11" t="n">
        <v>0.23</v>
      </c>
      <c r="K7" s="11" t="n">
        <v>0.05</v>
      </c>
      <c r="L7" s="11" t="n">
        <v>0.39</v>
      </c>
      <c r="M7" s="11" t="n">
        <v>0.05</v>
      </c>
      <c r="N7" s="11" t="n">
        <v>-0.15</v>
      </c>
      <c r="O7" s="11" t="n">
        <v>-0.06</v>
      </c>
      <c r="P7" s="11" t="n">
        <v>0.26</v>
      </c>
      <c r="Q7" s="11" t="n">
        <v>0.15</v>
      </c>
      <c r="R7" s="11" t="n">
        <v>0.2</v>
      </c>
      <c r="S7" s="11" t="n">
        <v>0.41</v>
      </c>
      <c r="T7" s="11" t="n">
        <v>1.48</v>
      </c>
      <c r="U7" s="11" t="n">
        <v>0.03</v>
      </c>
      <c r="V7" s="11" t="n">
        <v>1.15</v>
      </c>
      <c r="W7" s="11" t="n">
        <v>-0</v>
      </c>
      <c r="X7" s="11" t="n">
        <v>-0.37</v>
      </c>
      <c r="Y7" s="11" t="n">
        <v>0.15</v>
      </c>
      <c r="Z7" s="11" t="n">
        <v>-0.14</v>
      </c>
      <c r="AA7" s="11" t="n">
        <v>0.06</v>
      </c>
      <c r="AB7" s="11" t="n">
        <v>0.41</v>
      </c>
      <c r="AC7" s="11" t="n">
        <v>0.55</v>
      </c>
      <c r="AD7" s="11" t="n">
        <v>0.1</v>
      </c>
      <c r="AE7" s="11" t="n">
        <v>2.24</v>
      </c>
    </row>
    <row r="8">
      <c r="A8" s="10" t="inlineStr">
        <is>
          <t>포괄이익</t>
        </is>
      </c>
      <c r="C8" s="11" t="n">
        <v>-0.01</v>
      </c>
      <c r="D8" s="11" t="n">
        <v>0.07000000000000001</v>
      </c>
      <c r="E8" s="11" t="n">
        <v>1.75</v>
      </c>
      <c r="F8" s="11" t="n">
        <v>2.68</v>
      </c>
      <c r="G8" s="11" t="n">
        <v>-0.3</v>
      </c>
      <c r="H8" s="11" t="n">
        <v>-1.67</v>
      </c>
      <c r="I8" s="11" t="n">
        <v>6.63</v>
      </c>
      <c r="J8" s="11" t="n">
        <v>3.73</v>
      </c>
      <c r="K8" s="11" t="n">
        <v>-0.9399999999999999</v>
      </c>
      <c r="L8" s="11" t="n">
        <v>-4.36</v>
      </c>
      <c r="M8" s="11" t="n">
        <v>-1.8</v>
      </c>
      <c r="N8" s="11" t="n">
        <v>-8.859999999999999</v>
      </c>
      <c r="O8" s="11" t="n">
        <v>-3.02</v>
      </c>
      <c r="P8" s="11" t="n">
        <v>-12.39</v>
      </c>
      <c r="Q8" s="11" t="n">
        <v>1.86</v>
      </c>
      <c r="R8" s="11" t="n">
        <v>6.05</v>
      </c>
      <c r="S8" s="11" t="n">
        <v>1.46</v>
      </c>
      <c r="T8" s="11" t="n">
        <v>5.24</v>
      </c>
      <c r="U8" s="11" t="n">
        <v>3.02</v>
      </c>
      <c r="V8" s="11" t="n">
        <v>4.74</v>
      </c>
      <c r="W8" s="11" t="n">
        <v>3.88</v>
      </c>
      <c r="X8" s="11" t="n">
        <v>-2.82</v>
      </c>
      <c r="Y8" s="11" t="n">
        <v>-2.05</v>
      </c>
      <c r="Z8" s="11" t="n">
        <v>8.630000000000001</v>
      </c>
      <c r="AA8" s="11" t="n">
        <v>3.74</v>
      </c>
      <c r="AB8" s="11" t="n">
        <v>2.46</v>
      </c>
      <c r="AC8" s="11" t="n">
        <v>5.06</v>
      </c>
      <c r="AD8" s="11" t="n">
        <v>-26.07</v>
      </c>
      <c r="AE8" s="11" t="n">
        <v>14.61</v>
      </c>
    </row>
    <row r="9">
      <c r="A9" s="10" t="inlineStr">
        <is>
          <t>지배주주 포괄이익</t>
        </is>
      </c>
      <c r="C9" s="11" t="n">
        <v>-0.01</v>
      </c>
      <c r="D9" s="11" t="n">
        <v>0.07000000000000001</v>
      </c>
      <c r="E9" s="11" t="n">
        <v>1.75</v>
      </c>
      <c r="F9" s="11" t="n">
        <v>2.68</v>
      </c>
      <c r="G9" s="11" t="n">
        <v>-0.3</v>
      </c>
      <c r="H9" s="11" t="n">
        <v>-1.67</v>
      </c>
      <c r="I9" s="11" t="n">
        <v>6.63</v>
      </c>
      <c r="J9" s="11" t="n">
        <v>3.73</v>
      </c>
      <c r="K9" s="11" t="n">
        <v>-0.9399999999999999</v>
      </c>
      <c r="L9" s="11" t="n">
        <v>-4.36</v>
      </c>
      <c r="M9" s="11" t="n">
        <v>-1.8</v>
      </c>
      <c r="N9" s="11" t="n">
        <v>-8.859999999999999</v>
      </c>
      <c r="O9" s="11" t="n">
        <v>-3.02</v>
      </c>
      <c r="P9" s="11" t="n">
        <v>-12.39</v>
      </c>
      <c r="Q9" s="11" t="n">
        <v>1.86</v>
      </c>
      <c r="R9" s="11" t="n">
        <v>6.05</v>
      </c>
      <c r="S9" s="11" t="n">
        <v>1.46</v>
      </c>
      <c r="T9" s="11" t="n">
        <v>5.24</v>
      </c>
      <c r="U9" s="11" t="n">
        <v>3.02</v>
      </c>
      <c r="V9" s="11" t="n">
        <v>4.74</v>
      </c>
      <c r="W9" s="11" t="n">
        <v>3.88</v>
      </c>
      <c r="X9" s="11" t="n">
        <v>-2.82</v>
      </c>
      <c r="Y9" s="11" t="n">
        <v>-2.05</v>
      </c>
      <c r="Z9" s="11" t="n">
        <v>8.630000000000001</v>
      </c>
      <c r="AA9" s="11" t="n">
        <v>3.74</v>
      </c>
      <c r="AB9" s="11" t="n">
        <v>2.46</v>
      </c>
      <c r="AC9" s="11" t="n">
        <v>5.06</v>
      </c>
      <c r="AD9" s="11" t="n">
        <v>-26.07</v>
      </c>
      <c r="AE9" s="11" t="n">
        <v>14.61</v>
      </c>
    </row>
    <row r="10">
      <c r="A10" s="10" t="inlineStr">
        <is>
          <t>비지배주주 포괄이익</t>
        </is>
      </c>
      <c r="C10" s="11" t="n">
        <v>0</v>
      </c>
      <c r="D10" s="11" t="n">
        <v>0</v>
      </c>
      <c r="E10" s="11" t="n">
        <v>0</v>
      </c>
      <c r="F10" s="11" t="n">
        <v>0</v>
      </c>
      <c r="G10" s="11" t="n">
        <v>0</v>
      </c>
      <c r="H10" s="11" t="n">
        <v>0</v>
      </c>
      <c r="I10" s="11" t="n">
        <v>0</v>
      </c>
      <c r="J10" s="11" t="n">
        <v>0</v>
      </c>
      <c r="K10" s="11" t="n">
        <v>0</v>
      </c>
      <c r="L10" s="11" t="n">
        <v>0</v>
      </c>
      <c r="M10" s="11" t="n">
        <v>0</v>
      </c>
      <c r="N10" s="11" t="n">
        <v>0</v>
      </c>
      <c r="O10" s="11" t="n">
        <v>0</v>
      </c>
      <c r="P10" s="11" t="n">
        <v>0</v>
      </c>
      <c r="W10" s="11" t="n">
        <v>0</v>
      </c>
      <c r="X10" s="11" t="n">
        <v>0</v>
      </c>
      <c r="Y10" s="11" t="n">
        <v>0</v>
      </c>
      <c r="Z10" s="11" t="n">
        <v>0</v>
      </c>
      <c r="AA10" s="11" t="n">
        <v>0</v>
      </c>
      <c r="AB10" s="11" t="n">
        <v>0</v>
      </c>
      <c r="AC10" s="11" t="n">
        <v>0</v>
      </c>
      <c r="AD10" s="11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F78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2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40" customWidth="1" min="32" max="32"/>
  </cols>
  <sheetData>
    <row r="1">
      <c r="A1" s="1" t="inlineStr">
        <is>
          <t>야마자와 재무상태표</t>
        </is>
      </c>
    </row>
    <row r="2">
      <c r="A2" s="2" t="inlineStr">
        <is>
          <t>결산기 기준(27.2Q = 2027년 결산기 2분기) · 2월 결산 · 연결 · 분기 말 잔액 · 오른쪽 FY = 연간</t>
        </is>
      </c>
      <c r="B2" s="3" t="inlineStr">
        <is>
          <t>(단위: 억엔)</t>
        </is>
      </c>
    </row>
    <row r="3">
      <c r="A3" s="4" t="inlineStr">
        <is>
          <t>항목</t>
        </is>
      </c>
      <c r="B3" s="4" t="inlineStr">
        <is>
          <t>참고</t>
        </is>
      </c>
      <c r="C3" s="4" t="inlineStr">
        <is>
          <t>22.3Q</t>
        </is>
      </c>
      <c r="D3" s="4" t="inlineStr">
        <is>
          <t>22.4Q</t>
        </is>
      </c>
      <c r="E3" s="4" t="inlineStr">
        <is>
          <t>23.1Q</t>
        </is>
      </c>
      <c r="F3" s="4" t="inlineStr">
        <is>
          <t>23.2Q</t>
        </is>
      </c>
      <c r="G3" s="4" t="inlineStr">
        <is>
          <t>23.3Q</t>
        </is>
      </c>
      <c r="H3" s="4" t="inlineStr">
        <is>
          <t>23.4Q</t>
        </is>
      </c>
      <c r="I3" s="4" t="inlineStr">
        <is>
          <t>24.1Q</t>
        </is>
      </c>
      <c r="J3" s="4" t="inlineStr">
        <is>
          <t>24.2Q</t>
        </is>
      </c>
      <c r="K3" s="4" t="inlineStr">
        <is>
          <t>24.3Q</t>
        </is>
      </c>
      <c r="L3" s="4" t="inlineStr">
        <is>
          <t>24.4Q</t>
        </is>
      </c>
      <c r="M3" s="4" t="inlineStr">
        <is>
          <t>25.1Q</t>
        </is>
      </c>
      <c r="N3" s="4" t="inlineStr">
        <is>
          <t>25.2Q</t>
        </is>
      </c>
      <c r="O3" s="4" t="inlineStr">
        <is>
          <t>25.3Q</t>
        </is>
      </c>
      <c r="P3" s="4" t="inlineStr">
        <is>
          <t>25.4Q</t>
        </is>
      </c>
      <c r="Q3" s="4" t="inlineStr">
        <is>
          <t>26.1Q</t>
        </is>
      </c>
      <c r="R3" s="4" t="inlineStr">
        <is>
          <t>26.2Q</t>
        </is>
      </c>
      <c r="S3" s="4" t="inlineStr">
        <is>
          <t>26.3Q</t>
        </is>
      </c>
      <c r="T3" s="4" t="inlineStr">
        <is>
          <t>26.4Q</t>
        </is>
      </c>
      <c r="U3" s="4" t="inlineStr">
        <is>
          <t>27.1Q</t>
        </is>
      </c>
      <c r="V3" s="4" t="inlineStr">
        <is>
          <t>27.2Q</t>
        </is>
      </c>
      <c r="W3" s="4" t="inlineStr">
        <is>
          <t>FY18</t>
        </is>
      </c>
      <c r="X3" s="4" t="inlineStr">
        <is>
          <t>FY19</t>
        </is>
      </c>
      <c r="Y3" s="4" t="inlineStr">
        <is>
          <t>FY20</t>
        </is>
      </c>
      <c r="Z3" s="4" t="inlineStr">
        <is>
          <t>FY21</t>
        </is>
      </c>
      <c r="AA3" s="4" t="inlineStr">
        <is>
          <t>FY22</t>
        </is>
      </c>
      <c r="AB3" s="4" t="inlineStr">
        <is>
          <t>FY23</t>
        </is>
      </c>
      <c r="AC3" s="4" t="inlineStr">
        <is>
          <t>FY24</t>
        </is>
      </c>
      <c r="AD3" s="4" t="inlineStr">
        <is>
          <t>FY25</t>
        </is>
      </c>
      <c r="AE3" s="4" t="inlineStr">
        <is>
          <t>FY26</t>
        </is>
      </c>
      <c r="AF3" s="4" t="inlineStr">
        <is>
          <t>출처</t>
        </is>
      </c>
    </row>
    <row r="4">
      <c r="A4" s="10" t="inlineStr">
        <is>
          <t>현금 및 예금</t>
        </is>
      </c>
      <c r="C4" s="11" t="n">
        <v>61.89</v>
      </c>
      <c r="D4" s="11" t="n">
        <v>61.47</v>
      </c>
      <c r="E4" s="11" t="n">
        <v>59.53</v>
      </c>
      <c r="F4" s="11" t="n">
        <v>56.5</v>
      </c>
      <c r="G4" s="11" t="n">
        <v>67.48999999999999</v>
      </c>
      <c r="H4" s="11" t="n">
        <v>53.52</v>
      </c>
      <c r="I4" s="11" t="n">
        <v>53.71</v>
      </c>
      <c r="J4" s="11" t="n">
        <v>64.42</v>
      </c>
      <c r="K4" s="11" t="n">
        <v>54.47</v>
      </c>
      <c r="L4" s="11" t="n">
        <v>60.33</v>
      </c>
      <c r="M4" s="11" t="n">
        <v>56.8</v>
      </c>
      <c r="N4" s="11" t="n">
        <v>65.29000000000001</v>
      </c>
      <c r="O4" s="11" t="n">
        <v>64.88</v>
      </c>
      <c r="P4" s="11" t="n">
        <v>57.53</v>
      </c>
      <c r="R4" s="11" t="n">
        <v>62.88</v>
      </c>
      <c r="S4" s="11" t="n">
        <v>63.72</v>
      </c>
      <c r="T4" s="11" t="n">
        <v>53.7</v>
      </c>
      <c r="U4" s="11" t="n">
        <v>68.39</v>
      </c>
      <c r="V4" s="11" t="n">
        <v>42.56</v>
      </c>
      <c r="W4" s="11" t="n">
        <v>50.52</v>
      </c>
      <c r="X4" s="11" t="n">
        <v>64</v>
      </c>
      <c r="Y4" s="11" t="n">
        <v>71.78</v>
      </c>
      <c r="Z4" s="11" t="n">
        <v>77.16</v>
      </c>
      <c r="AA4" s="11" t="n">
        <v>61.47</v>
      </c>
      <c r="AB4" s="11" t="n">
        <v>53.52</v>
      </c>
      <c r="AC4" s="11" t="n">
        <v>60.33</v>
      </c>
      <c r="AD4" s="11" t="n">
        <v>57.53</v>
      </c>
      <c r="AE4" s="11" t="n">
        <v>53.7</v>
      </c>
      <c r="AF4" s="7" t="inlineStr">
        <is>
          <t>결산단신 XBRL(거래소 공시, TDnet·JPX 보관소). 쓴 문서: 2026-10-14, 2026-07-14, 2026-04-20, 2026-01-14 외 26건 — '출처' 시트에 전부</t>
        </is>
      </c>
    </row>
    <row r="5">
      <c r="A5" s="10" t="inlineStr">
        <is>
          <t>받을어음·매출채권</t>
        </is>
      </c>
      <c r="C5" s="11" t="n">
        <v>7.91</v>
      </c>
      <c r="D5" s="11" t="n">
        <v>7.41</v>
      </c>
      <c r="E5" s="11" t="n">
        <v>7.69</v>
      </c>
      <c r="F5" s="11" t="n">
        <v>8.94</v>
      </c>
      <c r="G5" s="11" t="n">
        <v>9.460000000000001</v>
      </c>
      <c r="H5" s="11" t="n">
        <v>7.51</v>
      </c>
      <c r="I5" s="11" t="n">
        <v>7.84</v>
      </c>
      <c r="J5" s="11" t="n">
        <v>7.96</v>
      </c>
      <c r="K5" s="11" t="n">
        <v>8.81</v>
      </c>
      <c r="L5" s="11" t="n">
        <v>7.88</v>
      </c>
      <c r="M5" s="11" t="n">
        <v>8.220000000000001</v>
      </c>
      <c r="N5" s="11" t="n">
        <v>8.210000000000001</v>
      </c>
      <c r="O5" s="11" t="n">
        <v>8.81</v>
      </c>
      <c r="P5" s="11" t="n">
        <v>8.130000000000001</v>
      </c>
      <c r="T5" s="11" t="n">
        <v>8.369999999999999</v>
      </c>
      <c r="W5" s="11" t="n">
        <v>6.66</v>
      </c>
      <c r="X5" s="11" t="n">
        <v>6.9</v>
      </c>
      <c r="Y5" s="11" t="n">
        <v>7.49</v>
      </c>
      <c r="Z5" s="11" t="n">
        <v>7</v>
      </c>
      <c r="AA5" s="11" t="n">
        <v>7.41</v>
      </c>
      <c r="AB5" s="11" t="n">
        <v>7.51</v>
      </c>
      <c r="AC5" s="11" t="n">
        <v>7.88</v>
      </c>
      <c r="AD5" s="11" t="n">
        <v>8.130000000000001</v>
      </c>
      <c r="AE5" s="11" t="n">
        <v>8.369999999999999</v>
      </c>
    </row>
    <row r="6">
      <c r="A6" s="10" t="inlineStr">
        <is>
          <t>매출채권</t>
        </is>
      </c>
      <c r="P6" s="11" t="n">
        <v>8.130000000000001</v>
      </c>
      <c r="R6" s="11" t="n">
        <v>8.65</v>
      </c>
      <c r="S6" s="11" t="n">
        <v>8.5</v>
      </c>
      <c r="T6" s="11" t="n">
        <v>8.369999999999999</v>
      </c>
      <c r="U6" s="11" t="n">
        <v>9.140000000000001</v>
      </c>
      <c r="V6" s="11" t="n">
        <v>9.35</v>
      </c>
      <c r="AD6" s="11" t="n">
        <v>8.130000000000001</v>
      </c>
      <c r="AE6" s="11" t="n">
        <v>8.369999999999999</v>
      </c>
    </row>
    <row r="7">
      <c r="A7" s="10" t="inlineStr">
        <is>
          <t>상품·제품</t>
        </is>
      </c>
      <c r="C7" s="11" t="n">
        <v>46.09</v>
      </c>
      <c r="D7" s="11" t="n">
        <v>38.3</v>
      </c>
      <c r="E7" s="11" t="n">
        <v>39.58</v>
      </c>
      <c r="F7" s="11" t="n">
        <v>40.12</v>
      </c>
      <c r="G7" s="11" t="n">
        <v>47.97</v>
      </c>
      <c r="H7" s="11" t="n">
        <v>41.48</v>
      </c>
      <c r="I7" s="11" t="n">
        <v>42.61</v>
      </c>
      <c r="J7" s="11" t="n">
        <v>43.55</v>
      </c>
      <c r="K7" s="11" t="n">
        <v>51.07</v>
      </c>
      <c r="L7" s="11" t="n">
        <v>43.76</v>
      </c>
      <c r="M7" s="11" t="n">
        <v>44.73</v>
      </c>
      <c r="N7" s="11" t="n">
        <v>45.2</v>
      </c>
      <c r="O7" s="11" t="n">
        <v>52.02</v>
      </c>
      <c r="P7" s="11" t="n">
        <v>45.31</v>
      </c>
      <c r="R7" s="11" t="n">
        <v>43.13</v>
      </c>
      <c r="S7" s="11" t="n">
        <v>49.66</v>
      </c>
      <c r="T7" s="11" t="n">
        <v>43.92</v>
      </c>
      <c r="U7" s="11" t="n">
        <v>41.7</v>
      </c>
      <c r="V7" s="11" t="n">
        <v>41.7</v>
      </c>
      <c r="W7" s="11" t="n">
        <v>45.98</v>
      </c>
      <c r="X7" s="11" t="n">
        <v>42.62</v>
      </c>
      <c r="Y7" s="11" t="n">
        <v>41.29</v>
      </c>
      <c r="Z7" s="11" t="n">
        <v>38.68</v>
      </c>
      <c r="AA7" s="11" t="n">
        <v>38.3</v>
      </c>
      <c r="AB7" s="11" t="n">
        <v>41.48</v>
      </c>
      <c r="AC7" s="11" t="n">
        <v>43.76</v>
      </c>
      <c r="AD7" s="11" t="n">
        <v>45.31</v>
      </c>
      <c r="AE7" s="11" t="n">
        <v>43.92</v>
      </c>
    </row>
    <row r="8">
      <c r="A8" s="10" t="inlineStr">
        <is>
          <t>재공품</t>
        </is>
      </c>
      <c r="C8" s="11" t="n">
        <v>0</v>
      </c>
      <c r="D8" s="11" t="n">
        <v>0</v>
      </c>
      <c r="E8" s="11" t="n">
        <v>0</v>
      </c>
      <c r="F8" s="11" t="n">
        <v>0</v>
      </c>
      <c r="G8" s="11" t="n">
        <v>0</v>
      </c>
      <c r="H8" s="11" t="n">
        <v>0</v>
      </c>
      <c r="I8" s="11" t="n">
        <v>0</v>
      </c>
      <c r="J8" s="11" t="n">
        <v>0</v>
      </c>
      <c r="K8" s="11" t="n">
        <v>0</v>
      </c>
      <c r="L8" s="11" t="n">
        <v>0</v>
      </c>
      <c r="M8" s="11" t="n">
        <v>0</v>
      </c>
      <c r="N8" s="11" t="n">
        <v>0</v>
      </c>
      <c r="O8" s="11" t="n">
        <v>0</v>
      </c>
      <c r="P8" s="11" t="n">
        <v>0</v>
      </c>
      <c r="R8" s="11" t="n">
        <v>0</v>
      </c>
      <c r="S8" s="11" t="n">
        <v>0</v>
      </c>
      <c r="T8" s="11" t="n">
        <v>0.01</v>
      </c>
      <c r="U8" s="11" t="n">
        <v>0</v>
      </c>
      <c r="V8" s="11" t="n">
        <v>0</v>
      </c>
      <c r="W8" s="11" t="n">
        <v>0</v>
      </c>
      <c r="X8" s="11" t="n">
        <v>0.01</v>
      </c>
      <c r="Y8" s="11" t="n">
        <v>0</v>
      </c>
      <c r="Z8" s="11" t="n">
        <v>0</v>
      </c>
      <c r="AA8" s="11" t="n">
        <v>0</v>
      </c>
      <c r="AB8" s="11" t="n">
        <v>0</v>
      </c>
      <c r="AC8" s="11" t="n">
        <v>0</v>
      </c>
      <c r="AD8" s="11" t="n">
        <v>0</v>
      </c>
      <c r="AE8" s="11" t="n">
        <v>0.01</v>
      </c>
    </row>
    <row r="9">
      <c r="A9" s="10" t="inlineStr">
        <is>
          <t>원재료·저장품</t>
        </is>
      </c>
      <c r="C9" s="11" t="n">
        <v>1.01</v>
      </c>
      <c r="D9" s="11" t="n">
        <v>1.06</v>
      </c>
      <c r="E9" s="11" t="n">
        <v>1.12</v>
      </c>
      <c r="F9" s="11" t="n">
        <v>1.37</v>
      </c>
      <c r="G9" s="11" t="n">
        <v>1.31</v>
      </c>
      <c r="H9" s="11" t="n">
        <v>1.23</v>
      </c>
      <c r="I9" s="11" t="n">
        <v>1.42</v>
      </c>
      <c r="J9" s="11" t="n">
        <v>1.42</v>
      </c>
      <c r="K9" s="11" t="n">
        <v>1.49</v>
      </c>
      <c r="L9" s="11" t="n">
        <v>1.26</v>
      </c>
      <c r="M9" s="11" t="n">
        <v>1.7</v>
      </c>
      <c r="N9" s="11" t="n">
        <v>1.08</v>
      </c>
      <c r="O9" s="11" t="n">
        <v>0.97</v>
      </c>
      <c r="P9" s="11" t="n">
        <v>1.41</v>
      </c>
      <c r="R9" s="11" t="n">
        <v>1.2</v>
      </c>
      <c r="S9" s="11" t="n">
        <v>1.27</v>
      </c>
      <c r="T9" s="11" t="n">
        <v>1.23</v>
      </c>
      <c r="U9" s="11" t="n">
        <v>1.06</v>
      </c>
      <c r="V9" s="11" t="n">
        <v>1.25</v>
      </c>
      <c r="W9" s="11" t="n">
        <v>0.92</v>
      </c>
      <c r="X9" s="11" t="n">
        <v>0.96</v>
      </c>
      <c r="Y9" s="11" t="n">
        <v>0.97</v>
      </c>
      <c r="Z9" s="11" t="n">
        <v>1.06</v>
      </c>
      <c r="AA9" s="11" t="n">
        <v>1.06</v>
      </c>
      <c r="AB9" s="11" t="n">
        <v>1.23</v>
      </c>
      <c r="AC9" s="11" t="n">
        <v>1.26</v>
      </c>
      <c r="AD9" s="11" t="n">
        <v>1.41</v>
      </c>
      <c r="AE9" s="11" t="n">
        <v>1.23</v>
      </c>
    </row>
    <row r="10">
      <c r="A10" s="10" t="inlineStr">
        <is>
          <t>이연법인세자산</t>
        </is>
      </c>
      <c r="W10" s="11" t="n">
        <v>4.09</v>
      </c>
      <c r="X10" s="11" t="n">
        <v>7</v>
      </c>
    </row>
    <row r="11">
      <c r="A11" s="10" t="inlineStr">
        <is>
          <t>미수금</t>
        </is>
      </c>
      <c r="P11" s="11" t="n">
        <v>27.92</v>
      </c>
      <c r="T11" s="11" t="n">
        <v>34.06</v>
      </c>
      <c r="U11" s="11" t="n">
        <v>28.25</v>
      </c>
      <c r="V11" s="11" t="n">
        <v>31.97</v>
      </c>
      <c r="AD11" s="11" t="n">
        <v>27.92</v>
      </c>
      <c r="AE11" s="11" t="n">
        <v>34.06</v>
      </c>
    </row>
    <row r="12">
      <c r="A12" s="10" t="inlineStr">
        <is>
          <t>기타</t>
        </is>
      </c>
      <c r="C12" s="11" t="n">
        <v>12.82</v>
      </c>
      <c r="D12" s="11" t="n">
        <v>15.67</v>
      </c>
      <c r="E12" s="11" t="n">
        <v>12.74</v>
      </c>
      <c r="F12" s="11" t="n">
        <v>15.57</v>
      </c>
      <c r="G12" s="11" t="n">
        <v>14.06</v>
      </c>
      <c r="H12" s="11" t="n">
        <v>26.18</v>
      </c>
      <c r="I12" s="11" t="n">
        <v>24.09</v>
      </c>
      <c r="J12" s="11" t="n">
        <v>25.72</v>
      </c>
      <c r="K12" s="11" t="n">
        <v>27.86</v>
      </c>
      <c r="L12" s="11" t="n">
        <v>27.74</v>
      </c>
      <c r="M12" s="11" t="n">
        <v>29.83</v>
      </c>
      <c r="N12" s="11" t="n">
        <v>33.13</v>
      </c>
      <c r="O12" s="11" t="n">
        <v>29.78</v>
      </c>
      <c r="P12" s="11" t="n">
        <v>2.61</v>
      </c>
      <c r="R12" s="11" t="n">
        <v>34.41</v>
      </c>
      <c r="S12" s="11" t="n">
        <v>31.24</v>
      </c>
      <c r="T12" s="11" t="n">
        <v>3</v>
      </c>
      <c r="U12" s="11" t="n">
        <v>2.98</v>
      </c>
      <c r="V12" s="11" t="n">
        <v>2.46</v>
      </c>
      <c r="W12" s="11" t="n">
        <v>15.5</v>
      </c>
      <c r="X12" s="11" t="n">
        <v>13.16</v>
      </c>
      <c r="Y12" s="11" t="n">
        <v>14.61</v>
      </c>
      <c r="Z12" s="11" t="n">
        <v>16.15</v>
      </c>
      <c r="AA12" s="11" t="n">
        <v>15.67</v>
      </c>
      <c r="AB12" s="11" t="n">
        <v>26.18</v>
      </c>
      <c r="AC12" s="11" t="n">
        <v>27.74</v>
      </c>
      <c r="AD12" s="11" t="n">
        <v>2.61</v>
      </c>
      <c r="AE12" s="11" t="n">
        <v>3</v>
      </c>
    </row>
    <row r="13">
      <c r="A13" s="10" t="inlineStr">
        <is>
          <t>대손충당금</t>
        </is>
      </c>
      <c r="W13" s="11" t="n">
        <v>-0.01</v>
      </c>
      <c r="X13" s="11" t="n">
        <v>-0.01</v>
      </c>
      <c r="Y13" s="11" t="n">
        <v>-0.01</v>
      </c>
      <c r="Z13" s="11" t="n">
        <v>0</v>
      </c>
    </row>
    <row r="14">
      <c r="A14" s="10" t="inlineStr">
        <is>
          <t>유동자산 합계</t>
        </is>
      </c>
      <c r="C14" s="11" t="n">
        <v>129.76</v>
      </c>
      <c r="D14" s="11" t="n">
        <v>123.93</v>
      </c>
      <c r="E14" s="11" t="n">
        <v>120.69</v>
      </c>
      <c r="F14" s="11" t="n">
        <v>122.54</v>
      </c>
      <c r="G14" s="11" t="n">
        <v>140.32</v>
      </c>
      <c r="H14" s="11" t="n">
        <v>129.96</v>
      </c>
      <c r="I14" s="11" t="n">
        <v>129.69</v>
      </c>
      <c r="J14" s="11" t="n">
        <v>143.09</v>
      </c>
      <c r="K14" s="11" t="n">
        <v>143.74</v>
      </c>
      <c r="L14" s="11" t="n">
        <v>140.99</v>
      </c>
      <c r="M14" s="11" t="n">
        <v>141.31</v>
      </c>
      <c r="N14" s="11" t="n">
        <v>152.94</v>
      </c>
      <c r="O14" s="11" t="n">
        <v>156.49</v>
      </c>
      <c r="P14" s="11" t="n">
        <v>142.94</v>
      </c>
      <c r="R14" s="11" t="n">
        <v>150.31</v>
      </c>
      <c r="S14" s="11" t="n">
        <v>154.4</v>
      </c>
      <c r="T14" s="11" t="n">
        <v>144.33</v>
      </c>
      <c r="U14" s="11" t="n">
        <v>151.55</v>
      </c>
      <c r="V14" s="11" t="n">
        <v>129.32</v>
      </c>
      <c r="W14" s="11" t="n">
        <v>123.68</v>
      </c>
      <c r="X14" s="11" t="n">
        <v>127.66</v>
      </c>
      <c r="Y14" s="11" t="n">
        <v>136.15</v>
      </c>
      <c r="Z14" s="11" t="n">
        <v>140.08</v>
      </c>
      <c r="AA14" s="11" t="n">
        <v>123.93</v>
      </c>
      <c r="AB14" s="11" t="n">
        <v>129.96</v>
      </c>
      <c r="AC14" s="11" t="n">
        <v>140.99</v>
      </c>
      <c r="AD14" s="11" t="n">
        <v>142.94</v>
      </c>
      <c r="AE14" s="11" t="n">
        <v>144.33</v>
      </c>
    </row>
    <row r="15">
      <c r="A15" s="10" t="inlineStr">
        <is>
          <t>건물·구축물</t>
        </is>
      </c>
      <c r="D15" s="11" t="n">
        <v>477.03</v>
      </c>
      <c r="H15" s="11" t="n">
        <v>502.75</v>
      </c>
      <c r="L15" s="11" t="n">
        <v>546.87</v>
      </c>
      <c r="P15" s="11" t="n">
        <v>542.86</v>
      </c>
      <c r="T15" s="11" t="n">
        <v>496.1</v>
      </c>
      <c r="W15" s="11" t="n">
        <v>452.25</v>
      </c>
      <c r="X15" s="11" t="n">
        <v>450.99</v>
      </c>
      <c r="Y15" s="11" t="n">
        <v>455.49</v>
      </c>
      <c r="Z15" s="11" t="n">
        <v>460.17</v>
      </c>
      <c r="AA15" s="11" t="n">
        <v>477.03</v>
      </c>
      <c r="AB15" s="11" t="n">
        <v>502.75</v>
      </c>
      <c r="AC15" s="11" t="n">
        <v>546.87</v>
      </c>
      <c r="AD15" s="11" t="n">
        <v>542.86</v>
      </c>
      <c r="AE15" s="11" t="n">
        <v>496.1</v>
      </c>
    </row>
    <row r="16">
      <c r="A16" s="10" t="inlineStr">
        <is>
          <t>감가상각누계액</t>
        </is>
      </c>
      <c r="D16" s="11" t="n">
        <v>-312.02</v>
      </c>
      <c r="H16" s="11" t="n">
        <v>-320.81</v>
      </c>
      <c r="L16" s="11" t="n">
        <v>-340.07</v>
      </c>
      <c r="P16" s="11" t="n">
        <v>-359.72</v>
      </c>
      <c r="T16" s="11" t="n">
        <v>-343.18</v>
      </c>
      <c r="W16" s="11" t="n">
        <v>-286.84</v>
      </c>
      <c r="X16" s="11" t="n">
        <v>-298.19</v>
      </c>
      <c r="Y16" s="11" t="n">
        <v>-306.65</v>
      </c>
      <c r="Z16" s="11" t="n">
        <v>-295.29</v>
      </c>
      <c r="AA16" s="11" t="n">
        <v>-312.02</v>
      </c>
      <c r="AB16" s="11" t="n">
        <v>-320.81</v>
      </c>
      <c r="AC16" s="11" t="n">
        <v>-340.07</v>
      </c>
      <c r="AD16" s="11" t="n">
        <v>-359.72</v>
      </c>
      <c r="AE16" s="11" t="n">
        <v>-343.18</v>
      </c>
    </row>
    <row r="17">
      <c r="A17" s="10" t="inlineStr">
        <is>
          <t>건물·구축물(순액)</t>
        </is>
      </c>
      <c r="C17" s="11" t="n">
        <v>168.51</v>
      </c>
      <c r="D17" s="11" t="n">
        <v>165.01</v>
      </c>
      <c r="E17" s="11" t="n">
        <v>161.83</v>
      </c>
      <c r="F17" s="11" t="n">
        <v>163.3</v>
      </c>
      <c r="G17" s="11" t="n">
        <v>167.98</v>
      </c>
      <c r="H17" s="11" t="n">
        <v>181.93</v>
      </c>
      <c r="I17" s="11" t="n">
        <v>186.74</v>
      </c>
      <c r="J17" s="11" t="n">
        <v>183.48</v>
      </c>
      <c r="K17" s="11" t="n">
        <v>211.59</v>
      </c>
      <c r="L17" s="11" t="n">
        <v>206.79</v>
      </c>
      <c r="M17" s="11" t="n">
        <v>205.66</v>
      </c>
      <c r="N17" s="11" t="n">
        <v>202.2</v>
      </c>
      <c r="O17" s="11" t="n">
        <v>197.88</v>
      </c>
      <c r="P17" s="11" t="n">
        <v>183.14</v>
      </c>
      <c r="R17" s="11" t="n">
        <v>175.67</v>
      </c>
      <c r="S17" s="11" t="n">
        <v>173.2</v>
      </c>
      <c r="T17" s="11" t="n">
        <v>152.91</v>
      </c>
      <c r="U17" s="11" t="n">
        <v>150.48</v>
      </c>
      <c r="V17" s="11" t="n">
        <v>147.39</v>
      </c>
      <c r="W17" s="11" t="n">
        <v>165.41</v>
      </c>
      <c r="X17" s="11" t="n">
        <v>152.8</v>
      </c>
      <c r="Y17" s="11" t="n">
        <v>148.83</v>
      </c>
      <c r="Z17" s="11" t="n">
        <v>164.87</v>
      </c>
      <c r="AA17" s="11" t="n">
        <v>165.01</v>
      </c>
      <c r="AB17" s="11" t="n">
        <v>181.93</v>
      </c>
      <c r="AC17" s="11" t="n">
        <v>206.79</v>
      </c>
      <c r="AD17" s="11" t="n">
        <v>183.14</v>
      </c>
      <c r="AE17" s="11" t="n">
        <v>152.91</v>
      </c>
    </row>
    <row r="18">
      <c r="A18" s="10" t="inlineStr">
        <is>
          <t>토지</t>
        </is>
      </c>
      <c r="C18" s="11" t="n">
        <v>128.36</v>
      </c>
      <c r="D18" s="11" t="n">
        <v>128.29</v>
      </c>
      <c r="E18" s="11" t="n">
        <v>128.36</v>
      </c>
      <c r="F18" s="11" t="n">
        <v>128.27</v>
      </c>
      <c r="G18" s="11" t="n">
        <v>128.13</v>
      </c>
      <c r="H18" s="11" t="n">
        <v>127.19</v>
      </c>
      <c r="I18" s="11" t="n">
        <v>127.59</v>
      </c>
      <c r="J18" s="11" t="n">
        <v>127.28</v>
      </c>
      <c r="K18" s="11" t="n">
        <v>127.28</v>
      </c>
      <c r="L18" s="11" t="n">
        <v>126.84</v>
      </c>
      <c r="M18" s="11" t="n">
        <v>126.84</v>
      </c>
      <c r="N18" s="11" t="n">
        <v>126.84</v>
      </c>
      <c r="O18" s="11" t="n">
        <v>126.85</v>
      </c>
      <c r="P18" s="11" t="n">
        <v>124.05</v>
      </c>
      <c r="R18" s="11" t="n">
        <v>123.97</v>
      </c>
      <c r="S18" s="11" t="n">
        <v>123.97</v>
      </c>
      <c r="T18" s="11" t="n">
        <v>120.39</v>
      </c>
      <c r="U18" s="11" t="n">
        <v>119.94</v>
      </c>
      <c r="V18" s="11" t="n">
        <v>119.94</v>
      </c>
      <c r="W18" s="11" t="n">
        <v>144.53</v>
      </c>
      <c r="X18" s="11" t="n">
        <v>132.31</v>
      </c>
      <c r="Y18" s="11" t="n">
        <v>132.59</v>
      </c>
      <c r="Z18" s="11" t="n">
        <v>128.42</v>
      </c>
      <c r="AA18" s="11" t="n">
        <v>128.29</v>
      </c>
      <c r="AB18" s="11" t="n">
        <v>127.19</v>
      </c>
      <c r="AC18" s="11" t="n">
        <v>126.84</v>
      </c>
      <c r="AD18" s="11" t="n">
        <v>124.05</v>
      </c>
      <c r="AE18" s="11" t="n">
        <v>120.39</v>
      </c>
    </row>
    <row r="19">
      <c r="A19" s="10" t="inlineStr">
        <is>
          <t>리스자산</t>
        </is>
      </c>
      <c r="D19" s="11" t="n">
        <v>25.61</v>
      </c>
      <c r="H19" s="11" t="n">
        <v>26.85</v>
      </c>
      <c r="L19" s="11" t="n">
        <v>46.85</v>
      </c>
      <c r="P19" s="11" t="n">
        <v>51.17</v>
      </c>
      <c r="T19" s="11" t="n">
        <v>43.69</v>
      </c>
      <c r="W19" s="11" t="n">
        <v>25.51</v>
      </c>
      <c r="X19" s="11" t="n">
        <v>24.5</v>
      </c>
      <c r="Y19" s="11" t="n">
        <v>27.6</v>
      </c>
      <c r="Z19" s="11" t="n">
        <v>24.99</v>
      </c>
      <c r="AA19" s="11" t="n">
        <v>25.61</v>
      </c>
      <c r="AB19" s="11" t="n">
        <v>26.85</v>
      </c>
      <c r="AC19" s="11" t="n">
        <v>46.85</v>
      </c>
      <c r="AD19" s="11" t="n">
        <v>51.17</v>
      </c>
      <c r="AE19" s="11" t="n">
        <v>43.69</v>
      </c>
    </row>
    <row r="20">
      <c r="A20" s="10" t="inlineStr">
        <is>
          <t>감가상각누계액</t>
        </is>
      </c>
      <c r="D20" s="11" t="n">
        <v>-18.12</v>
      </c>
      <c r="H20" s="11" t="n">
        <v>-19.88</v>
      </c>
      <c r="L20" s="11" t="n">
        <v>-22.16</v>
      </c>
      <c r="P20" s="11" t="n">
        <v>-24.54</v>
      </c>
      <c r="T20" s="11" t="n">
        <v>-14.1</v>
      </c>
      <c r="W20" s="11" t="n">
        <v>-18.96</v>
      </c>
      <c r="X20" s="11" t="n">
        <v>-14.62</v>
      </c>
      <c r="Y20" s="11" t="n">
        <v>-14.84</v>
      </c>
      <c r="Z20" s="11" t="n">
        <v>-16.58</v>
      </c>
      <c r="AA20" s="11" t="n">
        <v>-18.12</v>
      </c>
      <c r="AB20" s="11" t="n">
        <v>-19.88</v>
      </c>
      <c r="AC20" s="11" t="n">
        <v>-22.16</v>
      </c>
      <c r="AD20" s="11" t="n">
        <v>-24.54</v>
      </c>
      <c r="AE20" s="11" t="n">
        <v>-14.1</v>
      </c>
    </row>
    <row r="21">
      <c r="A21" s="10" t="inlineStr">
        <is>
          <t>리스자산(순액)</t>
        </is>
      </c>
      <c r="D21" s="11" t="n">
        <v>7.48</v>
      </c>
      <c r="H21" s="11" t="n">
        <v>6.96</v>
      </c>
      <c r="L21" s="11" t="n">
        <v>24.69</v>
      </c>
      <c r="P21" s="11" t="n">
        <v>26.62</v>
      </c>
      <c r="T21" s="11" t="n">
        <v>29.59</v>
      </c>
      <c r="W21" s="11" t="n">
        <v>6.54</v>
      </c>
      <c r="X21" s="11" t="n">
        <v>9.880000000000001</v>
      </c>
      <c r="Y21" s="11" t="n">
        <v>12.76</v>
      </c>
      <c r="Z21" s="11" t="n">
        <v>8.4</v>
      </c>
      <c r="AA21" s="11" t="n">
        <v>7.48</v>
      </c>
      <c r="AB21" s="11" t="n">
        <v>6.96</v>
      </c>
      <c r="AC21" s="11" t="n">
        <v>24.69</v>
      </c>
      <c r="AD21" s="11" t="n">
        <v>26.62</v>
      </c>
      <c r="AE21" s="11" t="n">
        <v>29.59</v>
      </c>
    </row>
    <row r="22">
      <c r="A22" s="10" t="inlineStr">
        <is>
          <t>건설중인자산</t>
        </is>
      </c>
      <c r="D22" s="11" t="n">
        <v>1.08</v>
      </c>
      <c r="H22" s="11" t="n">
        <v>23.4</v>
      </c>
      <c r="L22" s="11" t="n">
        <v>0.02</v>
      </c>
      <c r="P22" s="11" t="n">
        <v>0</v>
      </c>
      <c r="T22" s="11" t="n">
        <v>0</v>
      </c>
      <c r="W22" s="11" t="n">
        <v>1.94</v>
      </c>
      <c r="X22" s="11" t="n">
        <v>1.83</v>
      </c>
      <c r="Y22" s="11" t="n">
        <v>7.17</v>
      </c>
      <c r="Z22" s="11" t="n">
        <v>3.94</v>
      </c>
      <c r="AA22" s="11" t="n">
        <v>1.08</v>
      </c>
      <c r="AB22" s="11" t="n">
        <v>23.4</v>
      </c>
      <c r="AC22" s="11" t="n">
        <v>0.02</v>
      </c>
      <c r="AD22" s="11" t="n">
        <v>0</v>
      </c>
      <c r="AE22" s="11" t="n">
        <v>0</v>
      </c>
    </row>
    <row r="23">
      <c r="A23" s="10" t="inlineStr">
        <is>
          <t>기타</t>
        </is>
      </c>
      <c r="D23" s="11" t="n">
        <v>64.54000000000001</v>
      </c>
      <c r="H23" s="11" t="n">
        <v>72.95</v>
      </c>
      <c r="L23" s="11" t="n">
        <v>78.75</v>
      </c>
      <c r="P23" s="11" t="n">
        <v>82.22</v>
      </c>
      <c r="T23" s="11" t="n">
        <v>75</v>
      </c>
      <c r="W23" s="11" t="n">
        <v>44.05</v>
      </c>
      <c r="X23" s="11" t="n">
        <v>48.42</v>
      </c>
      <c r="Y23" s="11" t="n">
        <v>51.07</v>
      </c>
      <c r="Z23" s="11" t="n">
        <v>57.58</v>
      </c>
      <c r="AA23" s="11" t="n">
        <v>64.54000000000001</v>
      </c>
      <c r="AB23" s="11" t="n">
        <v>72.95</v>
      </c>
      <c r="AC23" s="11" t="n">
        <v>78.75</v>
      </c>
      <c r="AD23" s="11" t="n">
        <v>82.22</v>
      </c>
      <c r="AE23" s="11" t="n">
        <v>75</v>
      </c>
    </row>
    <row r="24">
      <c r="A24" s="10" t="inlineStr">
        <is>
          <t>감가상각누계액</t>
        </is>
      </c>
      <c r="D24" s="11" t="n">
        <v>-49.12</v>
      </c>
      <c r="H24" s="11" t="n">
        <v>-54.79</v>
      </c>
      <c r="L24" s="11" t="n">
        <v>-60.54</v>
      </c>
      <c r="P24" s="11" t="n">
        <v>-66.40000000000001</v>
      </c>
      <c r="T24" s="11" t="n">
        <v>-63.58</v>
      </c>
      <c r="W24" s="11" t="n">
        <v>-29.66</v>
      </c>
      <c r="X24" s="11" t="n">
        <v>-34.65</v>
      </c>
      <c r="Y24" s="11" t="n">
        <v>-39.36</v>
      </c>
      <c r="Z24" s="11" t="n">
        <v>-43.69</v>
      </c>
      <c r="AA24" s="11" t="n">
        <v>-49.12</v>
      </c>
      <c r="AB24" s="11" t="n">
        <v>-54.79</v>
      </c>
      <c r="AC24" s="11" t="n">
        <v>-60.54</v>
      </c>
      <c r="AD24" s="11" t="n">
        <v>-66.40000000000001</v>
      </c>
      <c r="AE24" s="11" t="n">
        <v>-63.58</v>
      </c>
    </row>
    <row r="25">
      <c r="A25" s="10" t="inlineStr">
        <is>
          <t>기타(순액)</t>
        </is>
      </c>
      <c r="C25" s="11" t="n">
        <v>26.37</v>
      </c>
      <c r="D25" s="11" t="n">
        <v>15.41</v>
      </c>
      <c r="E25" s="11" t="n">
        <v>26.93</v>
      </c>
      <c r="F25" s="11" t="n">
        <v>36.44</v>
      </c>
      <c r="G25" s="11" t="n">
        <v>43.44</v>
      </c>
      <c r="H25" s="11" t="n">
        <v>18.16</v>
      </c>
      <c r="I25" s="11" t="n">
        <v>43.68</v>
      </c>
      <c r="J25" s="11" t="n">
        <v>43.13</v>
      </c>
      <c r="K25" s="11" t="n">
        <v>44.51</v>
      </c>
      <c r="L25" s="11" t="n">
        <v>18.21</v>
      </c>
      <c r="M25" s="11" t="n">
        <v>43.49</v>
      </c>
      <c r="N25" s="11" t="n">
        <v>42.53</v>
      </c>
      <c r="O25" s="11" t="n">
        <v>45.17</v>
      </c>
      <c r="P25" s="11" t="n">
        <v>15.81</v>
      </c>
      <c r="R25" s="11" t="n">
        <v>43.98</v>
      </c>
      <c r="S25" s="11" t="n">
        <v>44.78</v>
      </c>
      <c r="T25" s="11" t="n">
        <v>41.02</v>
      </c>
      <c r="U25" s="11" t="n">
        <v>41.27</v>
      </c>
      <c r="V25" s="11" t="n">
        <v>40.27</v>
      </c>
      <c r="W25" s="11" t="n">
        <v>14.39</v>
      </c>
      <c r="X25" s="11" t="n">
        <v>13.77</v>
      </c>
      <c r="Y25" s="11" t="n">
        <v>11.7</v>
      </c>
      <c r="Z25" s="11" t="n">
        <v>13.89</v>
      </c>
      <c r="AA25" s="11" t="n">
        <v>15.41</v>
      </c>
      <c r="AB25" s="11" t="n">
        <v>18.16</v>
      </c>
      <c r="AC25" s="11" t="n">
        <v>18.21</v>
      </c>
      <c r="AD25" s="11" t="n">
        <v>15.81</v>
      </c>
      <c r="AE25" s="11" t="n">
        <v>41.02</v>
      </c>
    </row>
    <row r="26">
      <c r="A26" s="10" t="inlineStr">
        <is>
          <t>유형자산 합계</t>
        </is>
      </c>
      <c r="C26" s="11" t="n">
        <v>323.25</v>
      </c>
      <c r="D26" s="11" t="n">
        <v>317.28</v>
      </c>
      <c r="E26" s="11" t="n">
        <v>317.13</v>
      </c>
      <c r="F26" s="11" t="n">
        <v>328.02</v>
      </c>
      <c r="G26" s="11" t="n">
        <v>339.55</v>
      </c>
      <c r="H26" s="11" t="n">
        <v>357.67</v>
      </c>
      <c r="I26" s="11" t="n">
        <v>358.02</v>
      </c>
      <c r="J26" s="11" t="n">
        <v>353.9</v>
      </c>
      <c r="K26" s="11" t="n">
        <v>383.4</v>
      </c>
      <c r="L26" s="11" t="n">
        <v>376.58</v>
      </c>
      <c r="M26" s="11" t="n">
        <v>376</v>
      </c>
      <c r="N26" s="11" t="n">
        <v>371.58</v>
      </c>
      <c r="O26" s="11" t="n">
        <v>369.91</v>
      </c>
      <c r="P26" s="11" t="n">
        <v>349.64</v>
      </c>
      <c r="R26" s="11" t="n">
        <v>343.63</v>
      </c>
      <c r="S26" s="11" t="n">
        <v>341.96</v>
      </c>
      <c r="T26" s="11" t="n">
        <v>314.33</v>
      </c>
      <c r="U26" s="11" t="n">
        <v>311.69</v>
      </c>
      <c r="V26" s="11" t="n">
        <v>307.6</v>
      </c>
      <c r="W26" s="11" t="n">
        <v>332.84</v>
      </c>
      <c r="X26" s="11" t="n">
        <v>310.61</v>
      </c>
      <c r="Y26" s="11" t="n">
        <v>313.07</v>
      </c>
      <c r="Z26" s="11" t="n">
        <v>319.54</v>
      </c>
      <c r="AA26" s="11" t="n">
        <v>317.28</v>
      </c>
      <c r="AB26" s="11" t="n">
        <v>357.67</v>
      </c>
      <c r="AC26" s="11" t="n">
        <v>376.58</v>
      </c>
      <c r="AD26" s="11" t="n">
        <v>349.64</v>
      </c>
      <c r="AE26" s="11" t="n">
        <v>314.33</v>
      </c>
    </row>
    <row r="27">
      <c r="A27" s="10" t="inlineStr">
        <is>
          <t>차지권</t>
        </is>
      </c>
      <c r="D27" s="11" t="n">
        <v>9.08</v>
      </c>
      <c r="H27" s="11" t="n">
        <v>8.06</v>
      </c>
      <c r="L27" s="11" t="n">
        <v>8.359999999999999</v>
      </c>
      <c r="P27" s="11" t="n">
        <v>7.85</v>
      </c>
      <c r="T27" s="11" t="n">
        <v>7.8</v>
      </c>
      <c r="W27" s="11" t="n">
        <v>10.27</v>
      </c>
      <c r="X27" s="11" t="n">
        <v>8.99</v>
      </c>
      <c r="Y27" s="11" t="n">
        <v>7.93</v>
      </c>
      <c r="Z27" s="11" t="n">
        <v>9.029999999999999</v>
      </c>
      <c r="AA27" s="11" t="n">
        <v>9.08</v>
      </c>
      <c r="AB27" s="11" t="n">
        <v>8.06</v>
      </c>
      <c r="AC27" s="11" t="n">
        <v>8.359999999999999</v>
      </c>
      <c r="AD27" s="11" t="n">
        <v>7.85</v>
      </c>
      <c r="AE27" s="11" t="n">
        <v>7.8</v>
      </c>
    </row>
    <row r="28">
      <c r="A28" s="10" t="inlineStr">
        <is>
          <t>리스자산</t>
        </is>
      </c>
      <c r="W28" s="11" t="n">
        <v>0.76</v>
      </c>
      <c r="X28" s="11" t="n">
        <v>0.47</v>
      </c>
      <c r="Y28" s="11" t="n">
        <v>0.19</v>
      </c>
      <c r="Z28" s="11" t="n">
        <v>0</v>
      </c>
    </row>
    <row r="29">
      <c r="A29" s="10" t="inlineStr">
        <is>
          <t>영업권</t>
        </is>
      </c>
      <c r="D29" s="11" t="n">
        <v>0.29</v>
      </c>
      <c r="H29" s="11" t="n">
        <v>0.18</v>
      </c>
      <c r="L29" s="11" t="n">
        <v>0.06</v>
      </c>
      <c r="P29" s="11" t="n">
        <v>0</v>
      </c>
      <c r="W29" s="11" t="n">
        <v>1.1</v>
      </c>
      <c r="X29" s="11" t="n">
        <v>0</v>
      </c>
      <c r="Y29" s="11" t="n">
        <v>0.52</v>
      </c>
      <c r="Z29" s="11" t="n">
        <v>0.41</v>
      </c>
      <c r="AA29" s="11" t="n">
        <v>0.29</v>
      </c>
      <c r="AB29" s="11" t="n">
        <v>0.18</v>
      </c>
      <c r="AC29" s="11" t="n">
        <v>0.06</v>
      </c>
      <c r="AD29" s="11" t="n">
        <v>0</v>
      </c>
    </row>
    <row r="30">
      <c r="A30" s="10" t="inlineStr">
        <is>
          <t>기타</t>
        </is>
      </c>
      <c r="D30" s="11" t="n">
        <v>4.29</v>
      </c>
      <c r="H30" s="11" t="n">
        <v>4.21</v>
      </c>
      <c r="L30" s="11" t="n">
        <v>10.78</v>
      </c>
      <c r="P30" s="11" t="n">
        <v>15.1</v>
      </c>
      <c r="T30" s="11" t="n">
        <v>17.02</v>
      </c>
      <c r="W30" s="11" t="n">
        <v>5.5</v>
      </c>
      <c r="X30" s="11" t="n">
        <v>4.11</v>
      </c>
      <c r="Y30" s="11" t="n">
        <v>3.78</v>
      </c>
      <c r="Z30" s="11" t="n">
        <v>2.65</v>
      </c>
      <c r="AA30" s="11" t="n">
        <v>4.29</v>
      </c>
      <c r="AB30" s="11" t="n">
        <v>4.21</v>
      </c>
      <c r="AC30" s="11" t="n">
        <v>10.78</v>
      </c>
      <c r="AD30" s="11" t="n">
        <v>15.1</v>
      </c>
      <c r="AE30" s="11" t="n">
        <v>17.02</v>
      </c>
    </row>
    <row r="31">
      <c r="A31" s="10" t="inlineStr">
        <is>
          <t>무형자산</t>
        </is>
      </c>
      <c r="C31" s="11" t="n">
        <v>13.08</v>
      </c>
      <c r="D31" s="11" t="n">
        <v>13.67</v>
      </c>
      <c r="E31" s="11" t="n">
        <v>13.51</v>
      </c>
      <c r="F31" s="11" t="n">
        <v>13.66</v>
      </c>
      <c r="G31" s="11" t="n">
        <v>13.68</v>
      </c>
      <c r="H31" s="11" t="n">
        <v>12.45</v>
      </c>
      <c r="I31" s="11" t="n">
        <v>13.38</v>
      </c>
      <c r="J31" s="11" t="n">
        <v>15.44</v>
      </c>
      <c r="K31" s="11" t="n">
        <v>16.31</v>
      </c>
      <c r="L31" s="11" t="n">
        <v>19.21</v>
      </c>
      <c r="M31" s="11" t="n">
        <v>19.48</v>
      </c>
      <c r="N31" s="11" t="n">
        <v>19.72</v>
      </c>
      <c r="O31" s="11" t="n">
        <v>19.41</v>
      </c>
      <c r="P31" s="11" t="n">
        <v>22.95</v>
      </c>
      <c r="R31" s="11" t="n">
        <v>24.68</v>
      </c>
      <c r="S31" s="11" t="n">
        <v>24.52</v>
      </c>
      <c r="T31" s="11" t="n">
        <v>24.83</v>
      </c>
      <c r="U31" s="11" t="n">
        <v>24.22</v>
      </c>
      <c r="V31" s="11" t="n">
        <v>25.88</v>
      </c>
      <c r="W31" s="11" t="n">
        <v>17.64</v>
      </c>
      <c r="X31" s="11" t="n">
        <v>13.58</v>
      </c>
      <c r="Y31" s="11" t="n">
        <v>12.43</v>
      </c>
      <c r="Z31" s="11" t="n">
        <v>12.1</v>
      </c>
      <c r="AA31" s="11" t="n">
        <v>13.67</v>
      </c>
      <c r="AB31" s="11" t="n">
        <v>12.45</v>
      </c>
      <c r="AC31" s="11" t="n">
        <v>19.21</v>
      </c>
      <c r="AD31" s="11" t="n">
        <v>22.95</v>
      </c>
      <c r="AE31" s="11" t="n">
        <v>24.83</v>
      </c>
    </row>
    <row r="32">
      <c r="A32" s="10" t="inlineStr">
        <is>
          <t>투자유가증권</t>
        </is>
      </c>
      <c r="D32" s="11" t="n">
        <v>3.57</v>
      </c>
      <c r="H32" s="11" t="n">
        <v>3.82</v>
      </c>
      <c r="L32" s="11" t="n">
        <v>4.24</v>
      </c>
      <c r="P32" s="11" t="n">
        <v>4.37</v>
      </c>
      <c r="T32" s="11" t="n">
        <v>6.03</v>
      </c>
      <c r="W32" s="11" t="n">
        <v>5.01</v>
      </c>
      <c r="X32" s="11" t="n">
        <v>4.36</v>
      </c>
      <c r="Y32" s="11" t="n">
        <v>3.53</v>
      </c>
      <c r="Z32" s="11" t="n">
        <v>3.5</v>
      </c>
      <c r="AA32" s="11" t="n">
        <v>3.57</v>
      </c>
      <c r="AB32" s="11" t="n">
        <v>3.82</v>
      </c>
      <c r="AC32" s="11" t="n">
        <v>4.24</v>
      </c>
      <c r="AD32" s="11" t="n">
        <v>4.37</v>
      </c>
      <c r="AE32" s="11" t="n">
        <v>6.03</v>
      </c>
    </row>
    <row r="33">
      <c r="A33" s="10" t="inlineStr">
        <is>
          <t>장기대여금</t>
        </is>
      </c>
      <c r="D33" s="11" t="n">
        <v>0.18</v>
      </c>
      <c r="H33" s="11" t="n">
        <v>2.54</v>
      </c>
      <c r="L33" s="11" t="n">
        <v>2.39</v>
      </c>
      <c r="P33" s="11" t="n">
        <v>2.6</v>
      </c>
      <c r="T33" s="11" t="n">
        <v>2.49</v>
      </c>
      <c r="W33" s="11" t="n">
        <v>0.17</v>
      </c>
      <c r="X33" s="11" t="n">
        <v>0.16</v>
      </c>
      <c r="Y33" s="11" t="n">
        <v>0.16</v>
      </c>
      <c r="Z33" s="11" t="n">
        <v>0.18</v>
      </c>
      <c r="AA33" s="11" t="n">
        <v>0.18</v>
      </c>
      <c r="AB33" s="11" t="n">
        <v>2.54</v>
      </c>
      <c r="AC33" s="11" t="n">
        <v>2.39</v>
      </c>
      <c r="AD33" s="11" t="n">
        <v>2.6</v>
      </c>
      <c r="AE33" s="11" t="n">
        <v>2.49</v>
      </c>
    </row>
    <row r="34">
      <c r="A34" s="10" t="inlineStr">
        <is>
          <t>보험적립금</t>
        </is>
      </c>
      <c r="D34" s="11" t="n">
        <v>0.75</v>
      </c>
      <c r="H34" s="11" t="n">
        <v>0</v>
      </c>
      <c r="W34" s="11" t="n">
        <v>0.67</v>
      </c>
      <c r="X34" s="11" t="n">
        <v>0.66</v>
      </c>
      <c r="Y34" s="11" t="n">
        <v>0.67</v>
      </c>
      <c r="Z34" s="11" t="n">
        <v>0.7</v>
      </c>
      <c r="AA34" s="11" t="n">
        <v>0.75</v>
      </c>
      <c r="AB34" s="11" t="n">
        <v>0</v>
      </c>
    </row>
    <row r="35">
      <c r="A35" s="10" t="inlineStr">
        <is>
          <t>임차보증금·보증금</t>
        </is>
      </c>
      <c r="D35" s="11" t="n">
        <v>12.71</v>
      </c>
      <c r="H35" s="11" t="n">
        <v>13.47</v>
      </c>
      <c r="L35" s="11" t="n">
        <v>13.07</v>
      </c>
      <c r="P35" s="11" t="n">
        <v>14.17</v>
      </c>
      <c r="T35" s="11" t="n">
        <v>13.37</v>
      </c>
      <c r="W35" s="11" t="n">
        <v>14.63</v>
      </c>
      <c r="X35" s="11" t="n">
        <v>14.03</v>
      </c>
      <c r="Y35" s="11" t="n">
        <v>14.23</v>
      </c>
      <c r="Z35" s="11" t="n">
        <v>12.9</v>
      </c>
      <c r="AA35" s="11" t="n">
        <v>12.71</v>
      </c>
      <c r="AB35" s="11" t="n">
        <v>13.47</v>
      </c>
      <c r="AC35" s="11" t="n">
        <v>13.07</v>
      </c>
      <c r="AD35" s="11" t="n">
        <v>14.17</v>
      </c>
      <c r="AE35" s="11" t="n">
        <v>13.37</v>
      </c>
    </row>
    <row r="36">
      <c r="A36" s="10" t="inlineStr">
        <is>
          <t>이연법인세자산</t>
        </is>
      </c>
      <c r="W36" s="11" t="n">
        <v>14.07</v>
      </c>
      <c r="X36" s="11" t="n">
        <v>22.3</v>
      </c>
      <c r="Y36" s="11" t="n">
        <v>22.04</v>
      </c>
    </row>
    <row r="37">
      <c r="A37" s="10" t="inlineStr">
        <is>
          <t>이연법인세자산</t>
        </is>
      </c>
      <c r="D37" s="11" t="n">
        <v>21.22</v>
      </c>
      <c r="H37" s="11" t="n">
        <v>21.74</v>
      </c>
      <c r="L37" s="11" t="n">
        <v>24.51</v>
      </c>
      <c r="P37" s="11" t="n">
        <v>18.2</v>
      </c>
      <c r="T37" s="11" t="n">
        <v>13.58</v>
      </c>
      <c r="Y37" s="11" t="n">
        <v>22.04</v>
      </c>
      <c r="Z37" s="11" t="n">
        <v>20.02</v>
      </c>
      <c r="AA37" s="11" t="n">
        <v>21.22</v>
      </c>
      <c r="AB37" s="11" t="n">
        <v>21.74</v>
      </c>
      <c r="AC37" s="11" t="n">
        <v>24.51</v>
      </c>
      <c r="AD37" s="11" t="n">
        <v>18.2</v>
      </c>
      <c r="AE37" s="11" t="n">
        <v>13.58</v>
      </c>
    </row>
    <row r="38">
      <c r="A38" s="10" t="inlineStr">
        <is>
          <t>기타</t>
        </is>
      </c>
      <c r="C38" s="11" t="n">
        <v>38.56</v>
      </c>
      <c r="D38" s="11" t="n">
        <v>0.43</v>
      </c>
      <c r="E38" s="11" t="n">
        <v>41.39</v>
      </c>
      <c r="F38" s="11" t="n">
        <v>40.74</v>
      </c>
      <c r="G38" s="11" t="n">
        <v>43.34</v>
      </c>
      <c r="H38" s="11" t="n">
        <v>0.9</v>
      </c>
      <c r="I38" s="11" t="n">
        <v>48.63</v>
      </c>
      <c r="J38" s="11" t="n">
        <v>47.87</v>
      </c>
      <c r="K38" s="11" t="n">
        <v>47.89</v>
      </c>
      <c r="L38" s="11" t="n">
        <v>0.84</v>
      </c>
      <c r="M38" s="11" t="n">
        <v>47.41</v>
      </c>
      <c r="N38" s="11" t="n">
        <v>39.1</v>
      </c>
      <c r="O38" s="11" t="n">
        <v>40.18</v>
      </c>
      <c r="P38" s="11" t="n">
        <v>0.87</v>
      </c>
      <c r="T38" s="11" t="n">
        <v>0.89</v>
      </c>
      <c r="W38" s="11" t="n">
        <v>0.36</v>
      </c>
      <c r="X38" s="11" t="n">
        <v>0.61</v>
      </c>
      <c r="Y38" s="11" t="n">
        <v>0.55</v>
      </c>
      <c r="Z38" s="11" t="n">
        <v>0.47</v>
      </c>
      <c r="AA38" s="11" t="n">
        <v>0.43</v>
      </c>
      <c r="AB38" s="11" t="n">
        <v>0.9</v>
      </c>
      <c r="AC38" s="11" t="n">
        <v>0.84</v>
      </c>
      <c r="AD38" s="11" t="n">
        <v>0.87</v>
      </c>
      <c r="AE38" s="11" t="n">
        <v>0.89</v>
      </c>
    </row>
    <row r="39">
      <c r="A39" s="10" t="inlineStr">
        <is>
          <t>대손충당금</t>
        </is>
      </c>
      <c r="C39" s="11" t="n">
        <v>-0.04</v>
      </c>
      <c r="D39" s="11" t="n">
        <v>-0.04</v>
      </c>
      <c r="E39" s="11" t="n">
        <v>-0.04</v>
      </c>
      <c r="F39" s="11" t="n">
        <v>-0.04</v>
      </c>
      <c r="G39" s="11" t="n">
        <v>-0.04</v>
      </c>
      <c r="H39" s="11" t="n">
        <v>0</v>
      </c>
      <c r="W39" s="11" t="n">
        <v>-0.04</v>
      </c>
      <c r="X39" s="11" t="n">
        <v>-0.04</v>
      </c>
      <c r="Y39" s="11" t="n">
        <v>-0.04</v>
      </c>
      <c r="Z39" s="11" t="n">
        <v>-0.51</v>
      </c>
      <c r="AA39" s="11" t="n">
        <v>-0.04</v>
      </c>
      <c r="AB39" s="11" t="n">
        <v>0</v>
      </c>
    </row>
    <row r="40">
      <c r="A40" s="10" t="inlineStr">
        <is>
          <t>투자 및 기타자산</t>
        </is>
      </c>
      <c r="C40" s="11" t="n">
        <v>38.52</v>
      </c>
      <c r="D40" s="11" t="n">
        <v>38.84</v>
      </c>
      <c r="E40" s="11" t="n">
        <v>41.35</v>
      </c>
      <c r="F40" s="11" t="n">
        <v>40.7</v>
      </c>
      <c r="G40" s="11" t="n">
        <v>43.3</v>
      </c>
      <c r="H40" s="11" t="n">
        <v>42.49</v>
      </c>
      <c r="I40" s="11" t="n">
        <v>48.63</v>
      </c>
      <c r="J40" s="11" t="n">
        <v>47.87</v>
      </c>
      <c r="K40" s="11" t="n">
        <v>47.89</v>
      </c>
      <c r="L40" s="11" t="n">
        <v>45.07</v>
      </c>
      <c r="M40" s="11" t="n">
        <v>47.41</v>
      </c>
      <c r="N40" s="11" t="n">
        <v>39.1</v>
      </c>
      <c r="O40" s="11" t="n">
        <v>40.18</v>
      </c>
      <c r="P40" s="11" t="n">
        <v>40.22</v>
      </c>
      <c r="S40" s="11" t="n">
        <v>43.51</v>
      </c>
      <c r="T40" s="11" t="n">
        <v>36.08</v>
      </c>
      <c r="U40" s="11" t="n">
        <v>39.48</v>
      </c>
      <c r="W40" s="11" t="n">
        <v>34.89</v>
      </c>
      <c r="X40" s="11" t="n">
        <v>42.1</v>
      </c>
      <c r="Y40" s="11" t="n">
        <v>41.17</v>
      </c>
      <c r="Z40" s="11" t="n">
        <v>37.28</v>
      </c>
      <c r="AA40" s="11" t="n">
        <v>38.84</v>
      </c>
      <c r="AB40" s="11" t="n">
        <v>42.49</v>
      </c>
      <c r="AC40" s="11" t="n">
        <v>45.07</v>
      </c>
      <c r="AD40" s="11" t="n">
        <v>40.22</v>
      </c>
      <c r="AE40" s="11" t="n">
        <v>36.08</v>
      </c>
    </row>
    <row r="41">
      <c r="A41" s="10" t="inlineStr">
        <is>
          <t>투자 및 기타자산</t>
        </is>
      </c>
      <c r="P41" s="11" t="n">
        <v>40.22</v>
      </c>
      <c r="R41" s="11" t="n">
        <v>42.42</v>
      </c>
      <c r="T41" s="11" t="n">
        <v>36.08</v>
      </c>
      <c r="V41" s="11" t="n">
        <v>39.77</v>
      </c>
      <c r="AD41" s="11" t="n">
        <v>40.22</v>
      </c>
      <c r="AE41" s="11" t="n">
        <v>36.08</v>
      </c>
    </row>
    <row r="42">
      <c r="A42" s="10" t="inlineStr">
        <is>
          <t>비유동자산 합계</t>
        </is>
      </c>
      <c r="C42" s="11" t="n">
        <v>374.86</v>
      </c>
      <c r="D42" s="11" t="n">
        <v>369.8</v>
      </c>
      <c r="E42" s="11" t="n">
        <v>372</v>
      </c>
      <c r="F42" s="11" t="n">
        <v>382.38</v>
      </c>
      <c r="G42" s="11" t="n">
        <v>396.54</v>
      </c>
      <c r="H42" s="11" t="n">
        <v>412.62</v>
      </c>
      <c r="I42" s="11" t="n">
        <v>420.04</v>
      </c>
      <c r="J42" s="11" t="n">
        <v>417.22</v>
      </c>
      <c r="K42" s="11" t="n">
        <v>447.61</v>
      </c>
      <c r="L42" s="11" t="n">
        <v>440.86</v>
      </c>
      <c r="M42" s="11" t="n">
        <v>442.9</v>
      </c>
      <c r="N42" s="11" t="n">
        <v>430.41</v>
      </c>
      <c r="O42" s="11" t="n">
        <v>429.51</v>
      </c>
      <c r="P42" s="11" t="n">
        <v>412.82</v>
      </c>
      <c r="R42" s="11" t="n">
        <v>410.75</v>
      </c>
      <c r="S42" s="11" t="n">
        <v>410</v>
      </c>
      <c r="T42" s="11" t="n">
        <v>375.25</v>
      </c>
      <c r="U42" s="11" t="n">
        <v>375.41</v>
      </c>
      <c r="V42" s="11" t="n">
        <v>373.26</v>
      </c>
      <c r="W42" s="11" t="n">
        <v>385.38</v>
      </c>
      <c r="X42" s="11" t="n">
        <v>366.3</v>
      </c>
      <c r="Y42" s="11" t="n">
        <v>366.68</v>
      </c>
      <c r="Z42" s="11" t="n">
        <v>368.94</v>
      </c>
      <c r="AA42" s="11" t="n">
        <v>369.8</v>
      </c>
      <c r="AB42" s="11" t="n">
        <v>412.62</v>
      </c>
      <c r="AC42" s="11" t="n">
        <v>440.86</v>
      </c>
      <c r="AD42" s="11" t="n">
        <v>412.82</v>
      </c>
      <c r="AE42" s="11" t="n">
        <v>375.25</v>
      </c>
    </row>
    <row r="43">
      <c r="A43" s="10" t="inlineStr">
        <is>
          <t>자산 합계</t>
        </is>
      </c>
      <c r="C43" s="11" t="n">
        <v>504.63</v>
      </c>
      <c r="D43" s="11" t="n">
        <v>493.73</v>
      </c>
      <c r="E43" s="11" t="n">
        <v>492.69</v>
      </c>
      <c r="F43" s="11" t="n">
        <v>504.93</v>
      </c>
      <c r="G43" s="11" t="n">
        <v>536.86</v>
      </c>
      <c r="H43" s="11" t="n">
        <v>542.59</v>
      </c>
      <c r="I43" s="11" t="n">
        <v>549.74</v>
      </c>
      <c r="J43" s="11" t="n">
        <v>560.3099999999999</v>
      </c>
      <c r="K43" s="11" t="n">
        <v>591.36</v>
      </c>
      <c r="L43" s="11" t="n">
        <v>581.86</v>
      </c>
      <c r="M43" s="11" t="n">
        <v>584.22</v>
      </c>
      <c r="N43" s="11" t="n">
        <v>583.35</v>
      </c>
      <c r="O43" s="11" t="n">
        <v>586.01</v>
      </c>
      <c r="P43" s="11" t="n">
        <v>555.77</v>
      </c>
      <c r="R43" s="11" t="n">
        <v>561.0599999999999</v>
      </c>
      <c r="S43" s="11" t="n">
        <v>564.41</v>
      </c>
      <c r="T43" s="11" t="n">
        <v>519.58</v>
      </c>
      <c r="U43" s="11" t="n">
        <v>526.96</v>
      </c>
      <c r="V43" s="11" t="n">
        <v>502.58</v>
      </c>
      <c r="W43" s="11" t="n">
        <v>509.06</v>
      </c>
      <c r="X43" s="11" t="n">
        <v>493.97</v>
      </c>
      <c r="Y43" s="11" t="n">
        <v>502.84</v>
      </c>
      <c r="Z43" s="11" t="n">
        <v>509.02</v>
      </c>
      <c r="AA43" s="11" t="n">
        <v>493.73</v>
      </c>
      <c r="AB43" s="11" t="n">
        <v>542.59</v>
      </c>
      <c r="AC43" s="11" t="n">
        <v>581.86</v>
      </c>
      <c r="AD43" s="11" t="n">
        <v>555.77</v>
      </c>
      <c r="AE43" s="11" t="n">
        <v>519.58</v>
      </c>
    </row>
    <row r="44">
      <c r="A44" s="10" t="inlineStr">
        <is>
          <t>지급어음·매입채무</t>
        </is>
      </c>
      <c r="C44" s="11" t="n">
        <v>79.69</v>
      </c>
      <c r="D44" s="11" t="n">
        <v>69.14</v>
      </c>
      <c r="E44" s="11" t="n">
        <v>74.13</v>
      </c>
      <c r="F44" s="11" t="n">
        <v>77.98999999999999</v>
      </c>
      <c r="G44" s="11" t="n">
        <v>80.33</v>
      </c>
      <c r="H44" s="11" t="n">
        <v>67.41</v>
      </c>
      <c r="I44" s="11" t="n">
        <v>74.44</v>
      </c>
      <c r="J44" s="11" t="n">
        <v>81.05</v>
      </c>
      <c r="K44" s="11" t="n">
        <v>81.38</v>
      </c>
      <c r="L44" s="11" t="n">
        <v>67.66</v>
      </c>
      <c r="M44" s="11" t="n">
        <v>74.38</v>
      </c>
      <c r="N44" s="11" t="n">
        <v>91.94</v>
      </c>
      <c r="O44" s="11" t="n">
        <v>90.43000000000001</v>
      </c>
      <c r="P44" s="11" t="n">
        <v>69.51000000000001</v>
      </c>
      <c r="T44" s="11" t="n">
        <v>78.81999999999999</v>
      </c>
      <c r="W44" s="11" t="n">
        <v>68.37</v>
      </c>
      <c r="X44" s="11" t="n">
        <v>66.89</v>
      </c>
      <c r="Y44" s="11" t="n">
        <v>78.75</v>
      </c>
      <c r="Z44" s="11" t="n">
        <v>76.73999999999999</v>
      </c>
      <c r="AA44" s="11" t="n">
        <v>69.14</v>
      </c>
      <c r="AB44" s="11" t="n">
        <v>67.41</v>
      </c>
      <c r="AC44" s="11" t="n">
        <v>67.66</v>
      </c>
      <c r="AD44" s="11" t="n">
        <v>69.51000000000001</v>
      </c>
      <c r="AE44" s="11" t="n">
        <v>78.81999999999999</v>
      </c>
    </row>
    <row r="45">
      <c r="A45" s="10" t="inlineStr">
        <is>
          <t>매입채무</t>
        </is>
      </c>
      <c r="P45" s="11" t="n">
        <v>69.51000000000001</v>
      </c>
      <c r="R45" s="11" t="n">
        <v>93.90000000000001</v>
      </c>
      <c r="S45" s="11" t="n">
        <v>91.95</v>
      </c>
      <c r="T45" s="11" t="n">
        <v>78.81999999999999</v>
      </c>
      <c r="U45" s="11" t="n">
        <v>82.29000000000001</v>
      </c>
      <c r="V45" s="11" t="n">
        <v>75.68000000000001</v>
      </c>
      <c r="AD45" s="11" t="n">
        <v>69.51000000000001</v>
      </c>
      <c r="AE45" s="11" t="n">
        <v>78.81999999999999</v>
      </c>
    </row>
    <row r="46">
      <c r="A46" s="10" t="inlineStr">
        <is>
          <t>단기차입금</t>
        </is>
      </c>
      <c r="C46" s="11" t="n">
        <v>27</v>
      </c>
      <c r="D46" s="11" t="n">
        <v>30</v>
      </c>
      <c r="E46" s="11" t="n">
        <v>23</v>
      </c>
      <c r="F46" s="11" t="n">
        <v>19</v>
      </c>
      <c r="G46" s="11" t="n">
        <v>39</v>
      </c>
      <c r="H46" s="11" t="n">
        <v>74</v>
      </c>
      <c r="I46" s="11" t="n">
        <v>39</v>
      </c>
      <c r="J46" s="11" t="n">
        <v>46</v>
      </c>
      <c r="K46" s="11" t="n">
        <v>53</v>
      </c>
      <c r="L46" s="11" t="n">
        <v>80</v>
      </c>
      <c r="M46" s="11" t="n">
        <v>63</v>
      </c>
      <c r="N46" s="11" t="n">
        <v>63</v>
      </c>
      <c r="O46" s="11" t="n">
        <v>70</v>
      </c>
      <c r="P46" s="11" t="n">
        <v>81</v>
      </c>
      <c r="R46" s="11" t="n">
        <v>46</v>
      </c>
      <c r="S46" s="11" t="n">
        <v>46</v>
      </c>
      <c r="T46" s="11" t="n">
        <v>22</v>
      </c>
      <c r="U46" s="11" t="n">
        <v>21</v>
      </c>
      <c r="V46" s="11" t="n">
        <v>13</v>
      </c>
      <c r="W46" s="11" t="n">
        <v>42.7</v>
      </c>
      <c r="X46" s="11" t="n">
        <v>39.2</v>
      </c>
      <c r="Y46" s="11" t="n">
        <v>45.5</v>
      </c>
      <c r="Z46" s="11" t="n">
        <v>34</v>
      </c>
      <c r="AA46" s="11" t="n">
        <v>30</v>
      </c>
      <c r="AB46" s="11" t="n">
        <v>74</v>
      </c>
      <c r="AC46" s="11" t="n">
        <v>80</v>
      </c>
      <c r="AD46" s="11" t="n">
        <v>81</v>
      </c>
      <c r="AE46" s="11" t="n">
        <v>22</v>
      </c>
    </row>
    <row r="47">
      <c r="A47" s="10" t="inlineStr">
        <is>
          <t>1년 내 상환 장기차입금</t>
        </is>
      </c>
      <c r="C47" s="11" t="n">
        <v>1.54</v>
      </c>
      <c r="D47" s="11" t="n">
        <v>1.56</v>
      </c>
      <c r="E47" s="11" t="n">
        <v>1.54</v>
      </c>
      <c r="F47" s="11" t="n">
        <v>2.56</v>
      </c>
      <c r="G47" s="11" t="n">
        <v>2.44</v>
      </c>
      <c r="H47" s="11" t="n">
        <v>2.34</v>
      </c>
      <c r="I47" s="11" t="n">
        <v>1.64</v>
      </c>
      <c r="J47" s="11" t="n">
        <v>5.21</v>
      </c>
      <c r="K47" s="11" t="n">
        <v>3.9</v>
      </c>
      <c r="L47" s="11" t="n">
        <v>4.47</v>
      </c>
      <c r="M47" s="11" t="n">
        <v>4.44</v>
      </c>
      <c r="N47" s="11" t="n">
        <v>5.22</v>
      </c>
      <c r="O47" s="11" t="n">
        <v>5.22</v>
      </c>
      <c r="P47" s="11" t="n">
        <v>5.08</v>
      </c>
      <c r="R47" s="11" t="n">
        <v>4.91</v>
      </c>
      <c r="S47" s="11" t="n">
        <v>4.77</v>
      </c>
      <c r="T47" s="11" t="n">
        <v>9.84</v>
      </c>
      <c r="U47" s="11" t="n">
        <v>9.84</v>
      </c>
      <c r="V47" s="11" t="n">
        <v>4.84</v>
      </c>
      <c r="W47" s="11" t="n">
        <v>3.15</v>
      </c>
      <c r="X47" s="11" t="n">
        <v>1.91</v>
      </c>
      <c r="Y47" s="11" t="n">
        <v>1.56</v>
      </c>
      <c r="Z47" s="11" t="n">
        <v>1.64</v>
      </c>
      <c r="AA47" s="11" t="n">
        <v>1.56</v>
      </c>
      <c r="AB47" s="11" t="n">
        <v>2.34</v>
      </c>
      <c r="AC47" s="11" t="n">
        <v>4.47</v>
      </c>
      <c r="AD47" s="11" t="n">
        <v>5.08</v>
      </c>
      <c r="AE47" s="11" t="n">
        <v>9.84</v>
      </c>
    </row>
    <row r="48">
      <c r="A48" s="10" t="inlineStr">
        <is>
          <t>미지급금</t>
        </is>
      </c>
      <c r="D48" s="11" t="n">
        <v>25.83</v>
      </c>
      <c r="H48" s="11" t="n">
        <v>33.09</v>
      </c>
      <c r="L48" s="11" t="n">
        <v>30.42</v>
      </c>
      <c r="P48" s="11" t="n">
        <v>23.46</v>
      </c>
      <c r="T48" s="11" t="n">
        <v>29.82</v>
      </c>
      <c r="W48" s="11" t="n">
        <v>28.92</v>
      </c>
      <c r="X48" s="11" t="n">
        <v>23.17</v>
      </c>
      <c r="Y48" s="11" t="n">
        <v>23</v>
      </c>
      <c r="Z48" s="11" t="n">
        <v>28.89</v>
      </c>
      <c r="AA48" s="11" t="n">
        <v>25.83</v>
      </c>
      <c r="AB48" s="11" t="n">
        <v>33.09</v>
      </c>
      <c r="AC48" s="11" t="n">
        <v>30.42</v>
      </c>
      <c r="AD48" s="11" t="n">
        <v>23.46</v>
      </c>
      <c r="AE48" s="11" t="n">
        <v>29.82</v>
      </c>
    </row>
    <row r="49">
      <c r="A49" s="10" t="inlineStr">
        <is>
          <t>리스부채</t>
        </is>
      </c>
      <c r="D49" s="11" t="n">
        <v>2.42</v>
      </c>
      <c r="H49" s="11" t="n">
        <v>2.51</v>
      </c>
      <c r="L49" s="11" t="n">
        <v>4.49</v>
      </c>
      <c r="P49" s="11" t="n">
        <v>5.07</v>
      </c>
      <c r="T49" s="11" t="n">
        <v>5.76</v>
      </c>
      <c r="W49" s="11" t="n">
        <v>2.47</v>
      </c>
      <c r="X49" s="11" t="n">
        <v>2.89</v>
      </c>
      <c r="Y49" s="11" t="n">
        <v>2.9</v>
      </c>
      <c r="Z49" s="11" t="n">
        <v>2.43</v>
      </c>
      <c r="AA49" s="11" t="n">
        <v>2.42</v>
      </c>
      <c r="AB49" s="11" t="n">
        <v>2.51</v>
      </c>
      <c r="AC49" s="11" t="n">
        <v>4.49</v>
      </c>
      <c r="AD49" s="11" t="n">
        <v>5.07</v>
      </c>
      <c r="AE49" s="11" t="n">
        <v>5.76</v>
      </c>
    </row>
    <row r="50">
      <c r="A50" s="10" t="inlineStr">
        <is>
          <t>미지급법인세</t>
        </is>
      </c>
      <c r="C50" s="11" t="n">
        <v>0.52</v>
      </c>
      <c r="D50" s="11" t="n">
        <v>2.64</v>
      </c>
      <c r="E50" s="11" t="n">
        <v>1.98</v>
      </c>
      <c r="F50" s="11" t="n">
        <v>2.94</v>
      </c>
      <c r="G50" s="11" t="n">
        <v>1.18</v>
      </c>
      <c r="H50" s="11" t="n">
        <v>2.76</v>
      </c>
      <c r="I50" s="11" t="n">
        <v>0.83</v>
      </c>
      <c r="J50" s="11" t="n">
        <v>1.44</v>
      </c>
      <c r="K50" s="11" t="n">
        <v>0.1</v>
      </c>
      <c r="L50" s="11" t="n">
        <v>0.97</v>
      </c>
      <c r="M50" s="11" t="n">
        <v>0.7</v>
      </c>
      <c r="N50" s="11" t="n">
        <v>1.11</v>
      </c>
      <c r="O50" s="11" t="n">
        <v>0.92</v>
      </c>
      <c r="P50" s="11" t="n">
        <v>1.33</v>
      </c>
      <c r="R50" s="11" t="n">
        <v>2.26</v>
      </c>
      <c r="S50" s="11" t="n">
        <v>2.5</v>
      </c>
      <c r="T50" s="11" t="n">
        <v>3.1</v>
      </c>
      <c r="U50" s="11" t="n">
        <v>1.17</v>
      </c>
      <c r="V50" s="11" t="n">
        <v>2.18</v>
      </c>
      <c r="W50" s="11" t="n">
        <v>1.03</v>
      </c>
      <c r="X50" s="11" t="n">
        <v>3.41</v>
      </c>
      <c r="Y50" s="11" t="n">
        <v>0.61</v>
      </c>
      <c r="Z50" s="11" t="n">
        <v>6.42</v>
      </c>
      <c r="AA50" s="11" t="n">
        <v>2.64</v>
      </c>
      <c r="AB50" s="11" t="n">
        <v>2.76</v>
      </c>
      <c r="AC50" s="11" t="n">
        <v>0.97</v>
      </c>
      <c r="AD50" s="11" t="n">
        <v>1.33</v>
      </c>
      <c r="AE50" s="11" t="n">
        <v>3.1</v>
      </c>
    </row>
    <row r="51">
      <c r="A51" s="10" t="inlineStr">
        <is>
          <t>미지급 소비세</t>
        </is>
      </c>
      <c r="D51" s="11" t="n">
        <v>2.33</v>
      </c>
      <c r="H51" s="11" t="n">
        <v>0.9</v>
      </c>
      <c r="L51" s="11" t="n">
        <v>2.42</v>
      </c>
      <c r="P51" s="11" t="n">
        <v>4.19</v>
      </c>
      <c r="T51" s="11" t="n">
        <v>4.29</v>
      </c>
      <c r="W51" s="11" t="n">
        <v>1.58</v>
      </c>
      <c r="X51" s="11" t="n">
        <v>3.29</v>
      </c>
      <c r="Y51" s="11" t="n">
        <v>1.15</v>
      </c>
      <c r="Z51" s="11" t="n">
        <v>1.84</v>
      </c>
      <c r="AA51" s="11" t="n">
        <v>2.33</v>
      </c>
      <c r="AB51" s="11" t="n">
        <v>0.9</v>
      </c>
      <c r="AC51" s="11" t="n">
        <v>2.42</v>
      </c>
      <c r="AD51" s="11" t="n">
        <v>4.19</v>
      </c>
      <c r="AE51" s="11" t="n">
        <v>4.29</v>
      </c>
    </row>
    <row r="52">
      <c r="A52" s="10" t="inlineStr">
        <is>
          <t>상여충당금</t>
        </is>
      </c>
      <c r="C52" s="11" t="n">
        <v>0</v>
      </c>
      <c r="D52" s="11" t="n">
        <v>2.99</v>
      </c>
      <c r="E52" s="11" t="n">
        <v>0</v>
      </c>
      <c r="F52" s="11" t="n">
        <v>3</v>
      </c>
      <c r="G52" s="11" t="n">
        <v>0</v>
      </c>
      <c r="H52" s="11" t="n">
        <v>3.18</v>
      </c>
      <c r="I52" s="11" t="n">
        <v>0</v>
      </c>
      <c r="J52" s="11" t="n">
        <v>3.18</v>
      </c>
      <c r="K52" s="11" t="n">
        <v>0</v>
      </c>
      <c r="L52" s="11" t="n">
        <v>3.19</v>
      </c>
      <c r="M52" s="11" t="n">
        <v>0</v>
      </c>
      <c r="N52" s="11" t="n">
        <v>3.21</v>
      </c>
      <c r="O52" s="11" t="n">
        <v>0</v>
      </c>
      <c r="P52" s="11" t="n">
        <v>2.99</v>
      </c>
      <c r="R52" s="11" t="n">
        <v>2.99</v>
      </c>
      <c r="S52" s="11" t="n">
        <v>0</v>
      </c>
      <c r="T52" s="11" t="n">
        <v>2.7</v>
      </c>
      <c r="U52" s="11" t="n">
        <v>0</v>
      </c>
      <c r="V52" s="11" t="n">
        <v>2.7</v>
      </c>
      <c r="W52" s="11" t="n">
        <v>3.28</v>
      </c>
      <c r="X52" s="11" t="n">
        <v>3.18</v>
      </c>
      <c r="Y52" s="11" t="n">
        <v>3.21</v>
      </c>
      <c r="Z52" s="11" t="n">
        <v>2.94</v>
      </c>
      <c r="AA52" s="11" t="n">
        <v>2.99</v>
      </c>
      <c r="AB52" s="11" t="n">
        <v>3.18</v>
      </c>
      <c r="AC52" s="11" t="n">
        <v>3.19</v>
      </c>
      <c r="AD52" s="11" t="n">
        <v>2.99</v>
      </c>
      <c r="AE52" s="11" t="n">
        <v>2.7</v>
      </c>
    </row>
    <row r="53">
      <c r="A53" s="10" t="inlineStr">
        <is>
          <t>임원 상여충당금</t>
        </is>
      </c>
      <c r="C53" s="11" t="n">
        <v>0</v>
      </c>
      <c r="D53" s="11" t="n">
        <v>0</v>
      </c>
      <c r="W53" s="11" t="n">
        <v>0.1</v>
      </c>
      <c r="X53" s="11" t="n">
        <v>0.03</v>
      </c>
      <c r="Y53" s="11" t="n">
        <v>0</v>
      </c>
      <c r="Z53" s="11" t="n">
        <v>0</v>
      </c>
      <c r="AA53" s="11" t="n">
        <v>0</v>
      </c>
    </row>
    <row r="54">
      <c r="A54" s="10" t="inlineStr">
        <is>
          <t>포인트 충당금</t>
        </is>
      </c>
      <c r="C54" s="11" t="n">
        <v>6.5</v>
      </c>
      <c r="D54" s="11" t="n">
        <v>6.46</v>
      </c>
      <c r="E54" s="11" t="n">
        <v>0</v>
      </c>
      <c r="F54" s="11" t="n">
        <v>0</v>
      </c>
      <c r="G54" s="11" t="n">
        <v>0</v>
      </c>
      <c r="H54" s="11" t="n">
        <v>0</v>
      </c>
      <c r="W54" s="11" t="n">
        <v>7.12</v>
      </c>
      <c r="X54" s="11" t="n">
        <v>6.44</v>
      </c>
      <c r="Y54" s="11" t="n">
        <v>6.56</v>
      </c>
      <c r="Z54" s="11" t="n">
        <v>6.7</v>
      </c>
      <c r="AA54" s="11" t="n">
        <v>6.46</v>
      </c>
      <c r="AB54" s="11" t="n">
        <v>0</v>
      </c>
    </row>
    <row r="55">
      <c r="A55" s="10" t="inlineStr">
        <is>
          <t>상품권 회수손실 충당금</t>
        </is>
      </c>
      <c r="C55" s="11" t="n">
        <v>0.58</v>
      </c>
      <c r="D55" s="11" t="n">
        <v>0.98</v>
      </c>
      <c r="E55" s="11" t="n">
        <v>0</v>
      </c>
      <c r="F55" s="11" t="n">
        <v>0</v>
      </c>
      <c r="G55" s="11" t="n">
        <v>0</v>
      </c>
      <c r="X55" s="11" t="n">
        <v>0.77</v>
      </c>
      <c r="Y55" s="11" t="n">
        <v>0.75</v>
      </c>
      <c r="Z55" s="11" t="n">
        <v>0.73</v>
      </c>
      <c r="AA55" s="11" t="n">
        <v>0.98</v>
      </c>
    </row>
    <row r="56">
      <c r="A56" s="10" t="inlineStr">
        <is>
          <t>상품권 회수손실 충당금</t>
        </is>
      </c>
      <c r="D56" s="11" t="n">
        <v>0.98</v>
      </c>
      <c r="H56" s="11" t="n">
        <v>0</v>
      </c>
      <c r="W56" s="11" t="n">
        <v>0.77</v>
      </c>
      <c r="X56" s="11" t="n">
        <v>0.77</v>
      </c>
      <c r="Y56" s="11" t="n">
        <v>0.75</v>
      </c>
      <c r="Z56" s="11" t="n">
        <v>0.73</v>
      </c>
      <c r="AA56" s="11" t="n">
        <v>0.98</v>
      </c>
      <c r="AB56" s="11" t="n">
        <v>0</v>
      </c>
    </row>
    <row r="57">
      <c r="A57" s="10" t="inlineStr">
        <is>
          <t>자산복구부채</t>
        </is>
      </c>
      <c r="P57" s="11" t="n">
        <v>0</v>
      </c>
      <c r="T57" s="11" t="n">
        <v>0.28</v>
      </c>
      <c r="AD57" s="11" t="n">
        <v>0</v>
      </c>
      <c r="AE57" s="11" t="n">
        <v>0.28</v>
      </c>
    </row>
    <row r="58">
      <c r="A58" s="10" t="inlineStr">
        <is>
          <t>계약부채</t>
        </is>
      </c>
      <c r="D58" s="11" t="n">
        <v>0</v>
      </c>
      <c r="E58" s="11" t="n">
        <v>25.28</v>
      </c>
      <c r="F58" s="11" t="n">
        <v>23.32</v>
      </c>
      <c r="G58" s="11" t="n">
        <v>21.77</v>
      </c>
      <c r="H58" s="11" t="n">
        <v>20.73</v>
      </c>
      <c r="I58" s="11" t="n">
        <v>21.86</v>
      </c>
      <c r="J58" s="11" t="n">
        <v>20.06</v>
      </c>
      <c r="K58" s="11" t="n">
        <v>18.94</v>
      </c>
      <c r="L58" s="11" t="n">
        <v>7.27</v>
      </c>
      <c r="M58" s="11" t="n">
        <v>8.44</v>
      </c>
      <c r="N58" s="11" t="n">
        <v>4.99</v>
      </c>
      <c r="O58" s="11" t="n">
        <v>5.19</v>
      </c>
      <c r="P58" s="11" t="n">
        <v>4.56</v>
      </c>
      <c r="R58" s="11" t="n">
        <v>5.49</v>
      </c>
      <c r="S58" s="11" t="n">
        <v>5.34</v>
      </c>
      <c r="T58" s="11" t="n">
        <v>4.61</v>
      </c>
      <c r="U58" s="11" t="n">
        <v>6.62</v>
      </c>
      <c r="V58" s="11" t="n">
        <v>5.64</v>
      </c>
      <c r="AA58" s="11" t="n">
        <v>0</v>
      </c>
      <c r="AB58" s="11" t="n">
        <v>20.73</v>
      </c>
      <c r="AC58" s="11" t="n">
        <v>7.27</v>
      </c>
      <c r="AD58" s="11" t="n">
        <v>4.56</v>
      </c>
      <c r="AE58" s="11" t="n">
        <v>4.61</v>
      </c>
    </row>
    <row r="59">
      <c r="A59" s="10" t="inlineStr">
        <is>
          <t>기타</t>
        </is>
      </c>
      <c r="C59" s="11" t="n">
        <v>57.35</v>
      </c>
      <c r="D59" s="11" t="n">
        <v>18.86</v>
      </c>
      <c r="E59" s="11" t="n">
        <v>36.65</v>
      </c>
      <c r="F59" s="11" t="n">
        <v>34.85</v>
      </c>
      <c r="G59" s="11" t="n">
        <v>52.6</v>
      </c>
      <c r="H59" s="11" t="n">
        <v>2.29</v>
      </c>
      <c r="I59" s="11" t="n">
        <v>42.83</v>
      </c>
      <c r="J59" s="11" t="n">
        <v>34.54</v>
      </c>
      <c r="K59" s="11" t="n">
        <v>49.87</v>
      </c>
      <c r="L59" s="11" t="n">
        <v>2.94</v>
      </c>
      <c r="M59" s="11" t="n">
        <v>60.13</v>
      </c>
      <c r="N59" s="11" t="n">
        <v>52.33</v>
      </c>
      <c r="O59" s="11" t="n">
        <v>54.7</v>
      </c>
      <c r="P59" s="11" t="n">
        <v>13.54</v>
      </c>
      <c r="R59" s="11" t="n">
        <v>53.07</v>
      </c>
      <c r="S59" s="11" t="n">
        <v>61.16</v>
      </c>
      <c r="T59" s="11" t="n">
        <v>50.86</v>
      </c>
      <c r="U59" s="11" t="n">
        <v>57.93</v>
      </c>
      <c r="V59" s="11" t="n">
        <v>47.46</v>
      </c>
      <c r="W59" s="11" t="n">
        <v>17.21</v>
      </c>
      <c r="X59" s="11" t="n">
        <v>17.97</v>
      </c>
      <c r="Y59" s="11" t="n">
        <v>20.21</v>
      </c>
      <c r="Z59" s="11" t="n">
        <v>20.26</v>
      </c>
      <c r="AA59" s="11" t="n">
        <v>18.86</v>
      </c>
      <c r="AB59" s="11" t="n">
        <v>2.29</v>
      </c>
      <c r="AC59" s="11" t="n">
        <v>2.94</v>
      </c>
      <c r="AD59" s="11" t="n">
        <v>13.54</v>
      </c>
      <c r="AE59" s="11" t="n">
        <v>50.86</v>
      </c>
    </row>
    <row r="60">
      <c r="A60" s="10" t="inlineStr">
        <is>
          <t>유동부채 합계</t>
        </is>
      </c>
      <c r="C60" s="11" t="n">
        <v>173.2</v>
      </c>
      <c r="D60" s="11" t="n">
        <v>163.27</v>
      </c>
      <c r="E60" s="11" t="n">
        <v>162.61</v>
      </c>
      <c r="F60" s="11" t="n">
        <v>163.69</v>
      </c>
      <c r="G60" s="11" t="n">
        <v>197.34</v>
      </c>
      <c r="H60" s="11" t="n">
        <v>209.24</v>
      </c>
      <c r="I60" s="11" t="n">
        <v>180.63</v>
      </c>
      <c r="J60" s="11" t="n">
        <v>191.51</v>
      </c>
      <c r="K60" s="11" t="n">
        <v>207.22</v>
      </c>
      <c r="L60" s="11" t="n">
        <v>203.86</v>
      </c>
      <c r="M60" s="11" t="n">
        <v>211.11</v>
      </c>
      <c r="N60" s="11" t="n">
        <v>221.82</v>
      </c>
      <c r="O60" s="11" t="n">
        <v>226.47</v>
      </c>
      <c r="P60" s="11" t="n">
        <v>210.76</v>
      </c>
      <c r="R60" s="11" t="n">
        <v>208.65</v>
      </c>
      <c r="S60" s="11" t="n">
        <v>211.74</v>
      </c>
      <c r="T60" s="11" t="n">
        <v>171.96</v>
      </c>
      <c r="U60" s="11" t="n">
        <v>178.86</v>
      </c>
      <c r="V60" s="11" t="n">
        <v>151.52</v>
      </c>
      <c r="W60" s="11" t="n">
        <v>176.74</v>
      </c>
      <c r="X60" s="11" t="n">
        <v>169.18</v>
      </c>
      <c r="Y60" s="11" t="n">
        <v>184.25</v>
      </c>
      <c r="Z60" s="11" t="n">
        <v>182.65</v>
      </c>
      <c r="AA60" s="11" t="n">
        <v>163.27</v>
      </c>
      <c r="AB60" s="11" t="n">
        <v>209.24</v>
      </c>
      <c r="AC60" s="11" t="n">
        <v>203.86</v>
      </c>
      <c r="AD60" s="11" t="n">
        <v>210.76</v>
      </c>
      <c r="AE60" s="11" t="n">
        <v>171.96</v>
      </c>
    </row>
    <row r="61">
      <c r="A61" s="10" t="inlineStr">
        <is>
          <t>장기차입금</t>
        </is>
      </c>
      <c r="C61" s="11" t="n">
        <v>10.8</v>
      </c>
      <c r="D61" s="11" t="n">
        <v>10.39</v>
      </c>
      <c r="E61" s="11" t="n">
        <v>10.02</v>
      </c>
      <c r="F61" s="11" t="n">
        <v>18.6</v>
      </c>
      <c r="G61" s="11" t="n">
        <v>18.09</v>
      </c>
      <c r="H61" s="11" t="n">
        <v>17.56</v>
      </c>
      <c r="I61" s="11" t="n">
        <v>47.52</v>
      </c>
      <c r="J61" s="11" t="n">
        <v>43.14</v>
      </c>
      <c r="K61" s="11" t="n">
        <v>43.14</v>
      </c>
      <c r="L61" s="11" t="n">
        <v>42.06</v>
      </c>
      <c r="M61" s="11" t="n">
        <v>40.75</v>
      </c>
      <c r="N61" s="11" t="n">
        <v>38.67</v>
      </c>
      <c r="O61" s="11" t="n">
        <v>37.37</v>
      </c>
      <c r="P61" s="11" t="n">
        <v>36.2</v>
      </c>
      <c r="R61" s="11" t="n">
        <v>34.93</v>
      </c>
      <c r="S61" s="11" t="n">
        <v>33.74</v>
      </c>
      <c r="T61" s="11" t="n">
        <v>31.17</v>
      </c>
      <c r="U61" s="11" t="n">
        <v>29.96</v>
      </c>
      <c r="V61" s="11" t="n">
        <v>28.61</v>
      </c>
      <c r="W61" s="11" t="n">
        <v>5.37</v>
      </c>
      <c r="X61" s="11" t="n">
        <v>5.26</v>
      </c>
      <c r="Y61" s="11" t="n">
        <v>4.1</v>
      </c>
      <c r="Z61" s="11" t="n">
        <v>6.95</v>
      </c>
      <c r="AA61" s="11" t="n">
        <v>10.39</v>
      </c>
      <c r="AB61" s="11" t="n">
        <v>17.56</v>
      </c>
      <c r="AC61" s="11" t="n">
        <v>42.06</v>
      </c>
      <c r="AD61" s="11" t="n">
        <v>36.2</v>
      </c>
      <c r="AE61" s="11" t="n">
        <v>31.17</v>
      </c>
    </row>
    <row r="62">
      <c r="A62" s="10" t="inlineStr">
        <is>
          <t>퇴직급여부채</t>
        </is>
      </c>
      <c r="C62" s="11" t="n">
        <v>4.42</v>
      </c>
      <c r="D62" s="11" t="n">
        <v>4.41</v>
      </c>
      <c r="E62" s="11" t="n">
        <v>4.3</v>
      </c>
      <c r="F62" s="11" t="n">
        <v>4.17</v>
      </c>
      <c r="G62" s="11" t="n">
        <v>4.35</v>
      </c>
      <c r="H62" s="11" t="n">
        <v>1.92</v>
      </c>
      <c r="I62" s="11" t="n">
        <v>1.83</v>
      </c>
      <c r="J62" s="11" t="n">
        <v>1.94</v>
      </c>
      <c r="K62" s="11" t="n">
        <v>2.06</v>
      </c>
      <c r="L62" s="11" t="n">
        <v>1.74</v>
      </c>
      <c r="M62" s="11" t="n">
        <v>1.9</v>
      </c>
      <c r="N62" s="11" t="n">
        <v>1.88</v>
      </c>
      <c r="O62" s="11" t="n">
        <v>1.93</v>
      </c>
      <c r="P62" s="11" t="n">
        <v>1.99</v>
      </c>
      <c r="R62" s="11" t="n">
        <v>1.87</v>
      </c>
      <c r="S62" s="11" t="n">
        <v>1.94</v>
      </c>
      <c r="T62" s="11" t="n">
        <v>1.35</v>
      </c>
      <c r="U62" s="11" t="n">
        <v>2.17</v>
      </c>
      <c r="V62" s="11" t="n">
        <v>2.27</v>
      </c>
      <c r="W62" s="11" t="n">
        <v>6.98</v>
      </c>
      <c r="X62" s="11" t="n">
        <v>6.83</v>
      </c>
      <c r="Y62" s="11" t="n">
        <v>3.86</v>
      </c>
      <c r="Z62" s="11" t="n">
        <v>4.25</v>
      </c>
      <c r="AA62" s="11" t="n">
        <v>4.41</v>
      </c>
      <c r="AB62" s="11" t="n">
        <v>1.92</v>
      </c>
      <c r="AC62" s="11" t="n">
        <v>1.74</v>
      </c>
      <c r="AD62" s="11" t="n">
        <v>1.99</v>
      </c>
      <c r="AE62" s="11" t="n">
        <v>1.35</v>
      </c>
    </row>
    <row r="63">
      <c r="A63" s="10" t="inlineStr">
        <is>
          <t>자산복구부채</t>
        </is>
      </c>
      <c r="C63" s="11" t="n">
        <v>12.34</v>
      </c>
      <c r="D63" s="11" t="n">
        <v>11.99</v>
      </c>
      <c r="E63" s="11" t="n">
        <v>12.04</v>
      </c>
      <c r="F63" s="11" t="n">
        <v>12.04</v>
      </c>
      <c r="G63" s="11" t="n">
        <v>12.2</v>
      </c>
      <c r="H63" s="11" t="n">
        <v>12.46</v>
      </c>
      <c r="I63" s="11" t="n">
        <v>12.66</v>
      </c>
      <c r="J63" s="11" t="n">
        <v>12.6</v>
      </c>
      <c r="K63" s="11" t="n">
        <v>12.8</v>
      </c>
      <c r="L63" s="11" t="n">
        <v>12.87</v>
      </c>
      <c r="M63" s="11" t="n">
        <v>12.75</v>
      </c>
      <c r="N63" s="11" t="n">
        <v>12.81</v>
      </c>
      <c r="O63" s="11" t="n">
        <v>12.87</v>
      </c>
      <c r="P63" s="11" t="n">
        <v>13.67</v>
      </c>
      <c r="R63" s="11" t="n">
        <v>13.79</v>
      </c>
      <c r="S63" s="11" t="n">
        <v>13.78</v>
      </c>
      <c r="T63" s="11" t="n">
        <v>12.54</v>
      </c>
      <c r="U63" s="11" t="n">
        <v>12.6</v>
      </c>
      <c r="V63" s="11" t="n">
        <v>12.63</v>
      </c>
      <c r="W63" s="11" t="n">
        <v>11.37</v>
      </c>
      <c r="X63" s="11" t="n">
        <v>11.42</v>
      </c>
      <c r="Y63" s="11" t="n">
        <v>11.65</v>
      </c>
      <c r="Z63" s="11" t="n">
        <v>11.97</v>
      </c>
      <c r="AA63" s="11" t="n">
        <v>11.99</v>
      </c>
      <c r="AB63" s="11" t="n">
        <v>12.46</v>
      </c>
      <c r="AC63" s="11" t="n">
        <v>12.87</v>
      </c>
      <c r="AD63" s="11" t="n">
        <v>13.67</v>
      </c>
      <c r="AE63" s="11" t="n">
        <v>12.54</v>
      </c>
    </row>
    <row r="64">
      <c r="A64" s="10" t="inlineStr">
        <is>
          <t>리스부채</t>
        </is>
      </c>
      <c r="D64" s="11" t="n">
        <v>8.57</v>
      </c>
      <c r="H64" s="11" t="n">
        <v>7.75</v>
      </c>
      <c r="K64" s="11" t="n">
        <v>25.25</v>
      </c>
      <c r="L64" s="11" t="n">
        <v>24.74</v>
      </c>
      <c r="M64" s="11" t="n">
        <v>24.42</v>
      </c>
      <c r="N64" s="11" t="n">
        <v>23.89</v>
      </c>
      <c r="O64" s="11" t="n">
        <v>27.57</v>
      </c>
      <c r="P64" s="11" t="n">
        <v>25.75</v>
      </c>
      <c r="R64" s="11" t="n">
        <v>27.93</v>
      </c>
      <c r="S64" s="11" t="n">
        <v>29.28</v>
      </c>
      <c r="T64" s="11" t="n">
        <v>27.17</v>
      </c>
      <c r="U64" s="11" t="n">
        <v>26.33</v>
      </c>
      <c r="V64" s="11" t="n">
        <v>25.78</v>
      </c>
      <c r="W64" s="11" t="n">
        <v>5.06</v>
      </c>
      <c r="X64" s="11" t="n">
        <v>8.31</v>
      </c>
      <c r="Y64" s="11" t="n">
        <v>11.11</v>
      </c>
      <c r="Z64" s="11" t="n">
        <v>9.76</v>
      </c>
      <c r="AA64" s="11" t="n">
        <v>8.57</v>
      </c>
      <c r="AB64" s="11" t="n">
        <v>7.75</v>
      </c>
      <c r="AC64" s="11" t="n">
        <v>24.74</v>
      </c>
      <c r="AD64" s="11" t="n">
        <v>25.75</v>
      </c>
      <c r="AE64" s="11" t="n">
        <v>27.17</v>
      </c>
    </row>
    <row r="65">
      <c r="A65" s="10" t="inlineStr">
        <is>
          <t>기타</t>
        </is>
      </c>
      <c r="C65" s="11" t="n">
        <v>15.79</v>
      </c>
      <c r="D65" s="11" t="n">
        <v>6.95</v>
      </c>
      <c r="E65" s="11" t="n">
        <v>14.9</v>
      </c>
      <c r="F65" s="11" t="n">
        <v>14.84</v>
      </c>
      <c r="G65" s="11" t="n">
        <v>15</v>
      </c>
      <c r="H65" s="11" t="n">
        <v>7.27</v>
      </c>
      <c r="I65" s="11" t="n">
        <v>15.5</v>
      </c>
      <c r="J65" s="11" t="n">
        <v>15.77</v>
      </c>
      <c r="K65" s="11" t="n">
        <v>7.92</v>
      </c>
      <c r="L65" s="11" t="n">
        <v>7.95</v>
      </c>
      <c r="M65" s="11" t="n">
        <v>7.9</v>
      </c>
      <c r="N65" s="11" t="n">
        <v>7.74</v>
      </c>
      <c r="O65" s="11" t="n">
        <v>7.71</v>
      </c>
      <c r="P65" s="11" t="n">
        <v>7.68</v>
      </c>
      <c r="R65" s="11" t="n">
        <v>7.68</v>
      </c>
      <c r="S65" s="11" t="n">
        <v>7.68</v>
      </c>
      <c r="T65" s="11" t="n">
        <v>7.91</v>
      </c>
      <c r="U65" s="11" t="n">
        <v>7.92</v>
      </c>
      <c r="V65" s="11" t="n">
        <v>7.87</v>
      </c>
      <c r="W65" s="11" t="n">
        <v>10.52</v>
      </c>
      <c r="X65" s="11" t="n">
        <v>6.34</v>
      </c>
      <c r="Y65" s="11" t="n">
        <v>6.22</v>
      </c>
      <c r="Z65" s="11" t="n">
        <v>6.1</v>
      </c>
      <c r="AA65" s="11" t="n">
        <v>6.95</v>
      </c>
      <c r="AB65" s="11" t="n">
        <v>7.27</v>
      </c>
      <c r="AC65" s="11" t="n">
        <v>7.95</v>
      </c>
      <c r="AD65" s="11" t="n">
        <v>7.68</v>
      </c>
      <c r="AE65" s="11" t="n">
        <v>7.91</v>
      </c>
    </row>
    <row r="66">
      <c r="A66" s="10" t="inlineStr">
        <is>
          <t>비유동부채 합계</t>
        </is>
      </c>
      <c r="C66" s="11" t="n">
        <v>43.37</v>
      </c>
      <c r="D66" s="11" t="n">
        <v>42.33</v>
      </c>
      <c r="E66" s="11" t="n">
        <v>41.28</v>
      </c>
      <c r="F66" s="11" t="n">
        <v>49.66</v>
      </c>
      <c r="G66" s="11" t="n">
        <v>49.65</v>
      </c>
      <c r="H66" s="11" t="n">
        <v>46.97</v>
      </c>
      <c r="I66" s="11" t="n">
        <v>77.52</v>
      </c>
      <c r="J66" s="11" t="n">
        <v>73.47</v>
      </c>
      <c r="K66" s="11" t="n">
        <v>91.19</v>
      </c>
      <c r="L66" s="11" t="n">
        <v>89.39</v>
      </c>
      <c r="M66" s="11" t="n">
        <v>87.75</v>
      </c>
      <c r="N66" s="11" t="n">
        <v>85.02</v>
      </c>
      <c r="O66" s="11" t="n">
        <v>87.47</v>
      </c>
      <c r="P66" s="11" t="n">
        <v>85.31</v>
      </c>
      <c r="R66" s="11" t="n">
        <v>86.22</v>
      </c>
      <c r="S66" s="11" t="n">
        <v>86.44</v>
      </c>
      <c r="T66" s="11" t="n">
        <v>80.17</v>
      </c>
      <c r="U66" s="11" t="n">
        <v>79</v>
      </c>
      <c r="V66" s="11" t="n">
        <v>77.19</v>
      </c>
      <c r="W66" s="11" t="n">
        <v>39.33</v>
      </c>
      <c r="X66" s="11" t="n">
        <v>38.19</v>
      </c>
      <c r="Y66" s="11" t="n">
        <v>36.96</v>
      </c>
      <c r="Z66" s="11" t="n">
        <v>39.05</v>
      </c>
      <c r="AA66" s="11" t="n">
        <v>42.33</v>
      </c>
      <c r="AB66" s="11" t="n">
        <v>46.97</v>
      </c>
      <c r="AC66" s="11" t="n">
        <v>89.39</v>
      </c>
      <c r="AD66" s="11" t="n">
        <v>85.31</v>
      </c>
      <c r="AE66" s="11" t="n">
        <v>80.17</v>
      </c>
    </row>
    <row r="67">
      <c r="A67" s="10" t="inlineStr">
        <is>
          <t>부채 합계</t>
        </is>
      </c>
      <c r="C67" s="11" t="n">
        <v>216.57</v>
      </c>
      <c r="D67" s="11" t="n">
        <v>205.61</v>
      </c>
      <c r="E67" s="11" t="n">
        <v>203.89</v>
      </c>
      <c r="F67" s="11" t="n">
        <v>213.35</v>
      </c>
      <c r="G67" s="11" t="n">
        <v>247</v>
      </c>
      <c r="H67" s="11" t="n">
        <v>256.22</v>
      </c>
      <c r="I67" s="11" t="n">
        <v>258.16</v>
      </c>
      <c r="J67" s="11" t="n">
        <v>264.98</v>
      </c>
      <c r="K67" s="11" t="n">
        <v>298.41</v>
      </c>
      <c r="L67" s="11" t="n">
        <v>293.26</v>
      </c>
      <c r="M67" s="11" t="n">
        <v>298.86</v>
      </c>
      <c r="N67" s="11" t="n">
        <v>306.84</v>
      </c>
      <c r="O67" s="11" t="n">
        <v>313.94</v>
      </c>
      <c r="P67" s="11" t="n">
        <v>296.08</v>
      </c>
      <c r="R67" s="11" t="n">
        <v>294.87</v>
      </c>
      <c r="S67" s="11" t="n">
        <v>298.19</v>
      </c>
      <c r="T67" s="11" t="n">
        <v>252.13</v>
      </c>
      <c r="U67" s="11" t="n">
        <v>257.86</v>
      </c>
      <c r="V67" s="11" t="n">
        <v>228.71</v>
      </c>
      <c r="W67" s="11" t="n">
        <v>216.08</v>
      </c>
      <c r="X67" s="11" t="n">
        <v>207.38</v>
      </c>
      <c r="Y67" s="11" t="n">
        <v>221.21</v>
      </c>
      <c r="Z67" s="11" t="n">
        <v>221.7</v>
      </c>
      <c r="AA67" s="11" t="n">
        <v>205.61</v>
      </c>
      <c r="AB67" s="11" t="n">
        <v>256.22</v>
      </c>
      <c r="AC67" s="11" t="n">
        <v>293.26</v>
      </c>
      <c r="AD67" s="11" t="n">
        <v>296.08</v>
      </c>
      <c r="AE67" s="11" t="n">
        <v>252.13</v>
      </c>
    </row>
    <row r="68">
      <c r="A68" s="10" t="inlineStr">
        <is>
          <t>자본금</t>
        </is>
      </c>
      <c r="C68" s="11" t="n">
        <v>23.88</v>
      </c>
      <c r="D68" s="11" t="n">
        <v>23.88</v>
      </c>
      <c r="E68" s="11" t="n">
        <v>23.88</v>
      </c>
      <c r="F68" s="11" t="n">
        <v>23.88</v>
      </c>
      <c r="G68" s="11" t="n">
        <v>23.88</v>
      </c>
      <c r="H68" s="11" t="n">
        <v>23.88</v>
      </c>
      <c r="I68" s="11" t="n">
        <v>23.88</v>
      </c>
      <c r="J68" s="11" t="n">
        <v>23.88</v>
      </c>
      <c r="K68" s="11" t="n">
        <v>23.88</v>
      </c>
      <c r="L68" s="11" t="n">
        <v>23.88</v>
      </c>
      <c r="M68" s="11" t="n">
        <v>23.88</v>
      </c>
      <c r="N68" s="11" t="n">
        <v>23.88</v>
      </c>
      <c r="O68" s="11" t="n">
        <v>23.88</v>
      </c>
      <c r="P68" s="11" t="n">
        <v>23.88</v>
      </c>
      <c r="R68" s="11" t="n">
        <v>23.88</v>
      </c>
      <c r="S68" s="11" t="n">
        <v>23.88</v>
      </c>
      <c r="T68" s="11" t="n">
        <v>23.88</v>
      </c>
      <c r="U68" s="11" t="n">
        <v>23.88</v>
      </c>
      <c r="V68" s="11" t="n">
        <v>23.88</v>
      </c>
      <c r="W68" s="11" t="n">
        <v>23.88</v>
      </c>
      <c r="X68" s="11" t="n">
        <v>23.88</v>
      </c>
      <c r="Y68" s="11" t="n">
        <v>23.88</v>
      </c>
      <c r="Z68" s="11" t="n">
        <v>23.88</v>
      </c>
      <c r="AA68" s="11" t="n">
        <v>23.88</v>
      </c>
      <c r="AB68" s="11" t="n">
        <v>23.88</v>
      </c>
      <c r="AC68" s="11" t="n">
        <v>23.88</v>
      </c>
      <c r="AD68" s="11" t="n">
        <v>23.88</v>
      </c>
      <c r="AE68" s="11" t="n">
        <v>23.88</v>
      </c>
    </row>
    <row r="69">
      <c r="A69" s="10" t="inlineStr">
        <is>
          <t>자본잉여금</t>
        </is>
      </c>
      <c r="C69" s="11" t="n">
        <v>22.09</v>
      </c>
      <c r="D69" s="11" t="n">
        <v>22.09</v>
      </c>
      <c r="E69" s="11" t="n">
        <v>22.09</v>
      </c>
      <c r="F69" s="11" t="n">
        <v>22.11</v>
      </c>
      <c r="G69" s="11" t="n">
        <v>22.11</v>
      </c>
      <c r="H69" s="11" t="n">
        <v>22.11</v>
      </c>
      <c r="I69" s="11" t="n">
        <v>22.12</v>
      </c>
      <c r="J69" s="11" t="n">
        <v>22.07</v>
      </c>
      <c r="K69" s="11" t="n">
        <v>22.09</v>
      </c>
      <c r="L69" s="11" t="n">
        <v>22.1</v>
      </c>
      <c r="M69" s="11" t="n">
        <v>22.12</v>
      </c>
      <c r="N69" s="11" t="n">
        <v>22.05</v>
      </c>
      <c r="O69" s="11" t="n">
        <v>22.07</v>
      </c>
      <c r="P69" s="11" t="n">
        <v>22.09</v>
      </c>
      <c r="R69" s="11" t="n">
        <v>22.04</v>
      </c>
      <c r="S69" s="11" t="n">
        <v>22.06</v>
      </c>
      <c r="T69" s="11" t="n">
        <v>22.08</v>
      </c>
      <c r="U69" s="11" t="n">
        <v>22.1</v>
      </c>
      <c r="V69" s="11" t="n">
        <v>22.04</v>
      </c>
      <c r="W69" s="11" t="n">
        <v>22.06</v>
      </c>
      <c r="X69" s="11" t="n">
        <v>22.06</v>
      </c>
      <c r="Y69" s="11" t="n">
        <v>22.08</v>
      </c>
      <c r="Z69" s="11" t="n">
        <v>22.08</v>
      </c>
      <c r="AA69" s="11" t="n">
        <v>22.09</v>
      </c>
      <c r="AB69" s="11" t="n">
        <v>22.11</v>
      </c>
      <c r="AC69" s="11" t="n">
        <v>22.1</v>
      </c>
      <c r="AD69" s="11" t="n">
        <v>22.09</v>
      </c>
      <c r="AE69" s="11" t="n">
        <v>22.08</v>
      </c>
    </row>
    <row r="70">
      <c r="A70" s="10" t="inlineStr">
        <is>
          <t>이익잉여금</t>
        </is>
      </c>
      <c r="C70" s="11" t="n">
        <v>242.53</v>
      </c>
      <c r="D70" s="11" t="n">
        <v>242.47</v>
      </c>
      <c r="E70" s="11" t="n">
        <v>243.22</v>
      </c>
      <c r="F70" s="11" t="n">
        <v>245.74</v>
      </c>
      <c r="G70" s="11" t="n">
        <v>243.82</v>
      </c>
      <c r="H70" s="11" t="n">
        <v>242.07</v>
      </c>
      <c r="I70" s="11" t="n">
        <v>247.38</v>
      </c>
      <c r="J70" s="11" t="n">
        <v>250.86</v>
      </c>
      <c r="K70" s="11" t="n">
        <v>248.42</v>
      </c>
      <c r="L70" s="11" t="n">
        <v>243.68</v>
      </c>
      <c r="M70" s="11" t="n">
        <v>240.36</v>
      </c>
      <c r="N70" s="11" t="n">
        <v>231.66</v>
      </c>
      <c r="O70" s="11" t="n">
        <v>227.25</v>
      </c>
      <c r="P70" s="11" t="n">
        <v>214.59</v>
      </c>
      <c r="R70" s="11" t="n">
        <v>220.68</v>
      </c>
      <c r="S70" s="11" t="n">
        <v>220.28</v>
      </c>
      <c r="T70" s="11" t="n">
        <v>225.46</v>
      </c>
      <c r="U70" s="11" t="n">
        <v>227.05</v>
      </c>
      <c r="V70" s="11" t="n">
        <v>230.64</v>
      </c>
      <c r="W70" s="11" t="n">
        <v>247.09</v>
      </c>
      <c r="X70" s="11" t="n">
        <v>241.04</v>
      </c>
      <c r="Y70" s="11" t="n">
        <v>235.9</v>
      </c>
      <c r="Z70" s="11" t="n">
        <v>241.73</v>
      </c>
      <c r="AA70" s="11" t="n">
        <v>242.47</v>
      </c>
      <c r="AB70" s="11" t="n">
        <v>242.07</v>
      </c>
      <c r="AC70" s="11" t="n">
        <v>243.68</v>
      </c>
      <c r="AD70" s="11" t="n">
        <v>214.59</v>
      </c>
      <c r="AE70" s="11" t="n">
        <v>225.46</v>
      </c>
    </row>
    <row r="71">
      <c r="A71" s="10" t="inlineStr">
        <is>
          <t>자기주식</t>
        </is>
      </c>
      <c r="C71" s="11" t="n">
        <v>-0.67</v>
      </c>
      <c r="D71" s="11" t="n">
        <v>-0.67</v>
      </c>
      <c r="E71" s="11" t="n">
        <v>-0.67</v>
      </c>
      <c r="F71" s="11" t="n">
        <v>-0.6</v>
      </c>
      <c r="G71" s="11" t="n">
        <v>-0.6</v>
      </c>
      <c r="H71" s="11" t="n">
        <v>-2.46</v>
      </c>
      <c r="I71" s="11" t="n">
        <v>-2.41</v>
      </c>
      <c r="J71" s="11" t="n">
        <v>-2.35</v>
      </c>
      <c r="K71" s="11" t="n">
        <v>-2.35</v>
      </c>
      <c r="L71" s="11" t="n">
        <v>-2.35</v>
      </c>
      <c r="M71" s="11" t="n">
        <v>-2.35</v>
      </c>
      <c r="N71" s="11" t="n">
        <v>-2.27</v>
      </c>
      <c r="O71" s="11" t="n">
        <v>-2.27</v>
      </c>
      <c r="P71" s="11" t="n">
        <v>-2.27</v>
      </c>
      <c r="R71" s="11" t="n">
        <v>-2.17</v>
      </c>
      <c r="S71" s="11" t="n">
        <v>-2.17</v>
      </c>
      <c r="T71" s="11" t="n">
        <v>-7.61</v>
      </c>
      <c r="U71" s="11" t="n">
        <v>-7.61</v>
      </c>
      <c r="V71" s="11" t="n">
        <v>-7.52</v>
      </c>
      <c r="W71" s="11" t="n">
        <v>-0.82</v>
      </c>
      <c r="X71" s="11" t="n">
        <v>-0.8</v>
      </c>
      <c r="Y71" s="11" t="n">
        <v>-0.6899999999999999</v>
      </c>
      <c r="Z71" s="11" t="n">
        <v>-0.7</v>
      </c>
      <c r="AA71" s="11" t="n">
        <v>-0.67</v>
      </c>
      <c r="AB71" s="11" t="n">
        <v>-2.46</v>
      </c>
      <c r="AC71" s="11" t="n">
        <v>-2.35</v>
      </c>
      <c r="AD71" s="11" t="n">
        <v>-2.27</v>
      </c>
      <c r="AE71" s="11" t="n">
        <v>-7.61</v>
      </c>
    </row>
    <row r="72">
      <c r="A72" s="10" t="inlineStr">
        <is>
          <t>주주자본 합계</t>
        </is>
      </c>
      <c r="C72" s="11" t="n">
        <v>287.84</v>
      </c>
      <c r="D72" s="11" t="n">
        <v>287.78</v>
      </c>
      <c r="E72" s="11" t="n">
        <v>288.52</v>
      </c>
      <c r="F72" s="11" t="n">
        <v>291.13</v>
      </c>
      <c r="G72" s="11" t="n">
        <v>289.21</v>
      </c>
      <c r="H72" s="11" t="n">
        <v>285.61</v>
      </c>
      <c r="I72" s="11" t="n">
        <v>290.97</v>
      </c>
      <c r="J72" s="11" t="n">
        <v>294.47</v>
      </c>
      <c r="K72" s="11" t="n">
        <v>292.04</v>
      </c>
      <c r="L72" s="11" t="n">
        <v>287.31</v>
      </c>
      <c r="M72" s="11" t="n">
        <v>284.01</v>
      </c>
      <c r="N72" s="11" t="n">
        <v>275.33</v>
      </c>
      <c r="O72" s="11" t="n">
        <v>270.94</v>
      </c>
      <c r="P72" s="11" t="n">
        <v>258.3</v>
      </c>
      <c r="R72" s="11" t="n">
        <v>264.44</v>
      </c>
      <c r="S72" s="11" t="n">
        <v>264.06</v>
      </c>
      <c r="T72" s="11" t="n">
        <v>263.82</v>
      </c>
      <c r="U72" s="11" t="n">
        <v>265.43</v>
      </c>
      <c r="V72" s="11" t="n">
        <v>269.05</v>
      </c>
      <c r="W72" s="11" t="n">
        <v>292.21</v>
      </c>
      <c r="X72" s="11" t="n">
        <v>286.19</v>
      </c>
      <c r="Y72" s="11" t="n">
        <v>281.17</v>
      </c>
      <c r="Z72" s="11" t="n">
        <v>287.01</v>
      </c>
      <c r="AA72" s="11" t="n">
        <v>287.78</v>
      </c>
      <c r="AB72" s="11" t="n">
        <v>285.61</v>
      </c>
      <c r="AC72" s="11" t="n">
        <v>287.31</v>
      </c>
      <c r="AD72" s="11" t="n">
        <v>258.3</v>
      </c>
      <c r="AE72" s="11" t="n">
        <v>263.82</v>
      </c>
    </row>
    <row r="73">
      <c r="A73" s="10" t="inlineStr">
        <is>
          <t>기타유가증권 평가차액</t>
        </is>
      </c>
      <c r="C73" s="11" t="n">
        <v>0.04</v>
      </c>
      <c r="D73" s="11" t="n">
        <v>0.1</v>
      </c>
      <c r="E73" s="11" t="n">
        <v>0.04</v>
      </c>
      <c r="F73" s="11" t="n">
        <v>0.21</v>
      </c>
      <c r="G73" s="11" t="n">
        <v>0.43</v>
      </c>
      <c r="H73" s="11" t="n">
        <v>0.59</v>
      </c>
      <c r="I73" s="11" t="n">
        <v>0.47</v>
      </c>
      <c r="J73" s="11" t="n">
        <v>0.72</v>
      </c>
      <c r="K73" s="11" t="n">
        <v>0.78</v>
      </c>
      <c r="L73" s="11" t="n">
        <v>0.98</v>
      </c>
      <c r="M73" s="11" t="n">
        <v>1.05</v>
      </c>
      <c r="N73" s="11" t="n">
        <v>0.9</v>
      </c>
      <c r="O73" s="11" t="n">
        <v>0.85</v>
      </c>
      <c r="P73" s="11" t="n">
        <v>1.1</v>
      </c>
      <c r="R73" s="11" t="n">
        <v>1.48</v>
      </c>
      <c r="S73" s="11" t="n">
        <v>1.9</v>
      </c>
      <c r="T73" s="11" t="n">
        <v>2.91</v>
      </c>
      <c r="U73" s="11" t="n">
        <v>2.96</v>
      </c>
      <c r="V73" s="11" t="n">
        <v>4.17</v>
      </c>
      <c r="W73" s="11" t="n">
        <v>0.43</v>
      </c>
      <c r="X73" s="11" t="n">
        <v>0.02</v>
      </c>
      <c r="Y73" s="11" t="n">
        <v>0.11</v>
      </c>
      <c r="Z73" s="11" t="n">
        <v>0.08</v>
      </c>
      <c r="AA73" s="11" t="n">
        <v>0.1</v>
      </c>
      <c r="AB73" s="11" t="n">
        <v>0.59</v>
      </c>
      <c r="AC73" s="11" t="n">
        <v>0.98</v>
      </c>
      <c r="AD73" s="11" t="n">
        <v>1.1</v>
      </c>
      <c r="AE73" s="11" t="n">
        <v>2.91</v>
      </c>
    </row>
    <row r="74">
      <c r="A74" s="10" t="inlineStr">
        <is>
          <t>퇴직급여 조정누계액</t>
        </is>
      </c>
      <c r="C74" s="11" t="n">
        <v>0.04</v>
      </c>
      <c r="D74" s="11" t="n">
        <v>0.11</v>
      </c>
      <c r="E74" s="11" t="n">
        <v>0.1</v>
      </c>
      <c r="F74" s="11" t="n">
        <v>0.09</v>
      </c>
      <c r="G74" s="11" t="n">
        <v>0.09</v>
      </c>
      <c r="H74" s="11" t="n">
        <v>0.03</v>
      </c>
      <c r="I74" s="11" t="n">
        <v>0.02</v>
      </c>
      <c r="J74" s="11" t="n">
        <v>0.02</v>
      </c>
      <c r="K74" s="11" t="n">
        <v>0.01</v>
      </c>
      <c r="L74" s="11" t="n">
        <v>0.19</v>
      </c>
      <c r="M74" s="11" t="n">
        <v>0.18</v>
      </c>
      <c r="N74" s="11" t="n">
        <v>0.17</v>
      </c>
      <c r="O74" s="11" t="n">
        <v>0.15</v>
      </c>
      <c r="P74" s="11" t="n">
        <v>0.17</v>
      </c>
      <c r="R74" s="11" t="n">
        <v>0.15</v>
      </c>
      <c r="S74" s="11" t="n">
        <v>0.14</v>
      </c>
      <c r="T74" s="11" t="n">
        <v>0.61</v>
      </c>
      <c r="U74" s="11" t="n">
        <v>0.59</v>
      </c>
      <c r="V74" s="11" t="n">
        <v>0.53</v>
      </c>
      <c r="W74" s="11" t="n">
        <v>0.07000000000000001</v>
      </c>
      <c r="X74" s="11" t="n">
        <v>0.1</v>
      </c>
      <c r="Y74" s="11" t="n">
        <v>0.17</v>
      </c>
      <c r="Z74" s="11" t="n">
        <v>0.06</v>
      </c>
      <c r="AA74" s="11" t="n">
        <v>0.11</v>
      </c>
      <c r="AB74" s="11" t="n">
        <v>0.03</v>
      </c>
      <c r="AC74" s="11" t="n">
        <v>0.19</v>
      </c>
      <c r="AD74" s="11" t="n">
        <v>0.17</v>
      </c>
      <c r="AE74" s="11" t="n">
        <v>0.61</v>
      </c>
    </row>
    <row r="75">
      <c r="A75" s="10" t="inlineStr">
        <is>
          <t>기타포괄손익누계액 합계</t>
        </is>
      </c>
      <c r="C75" s="11" t="n">
        <v>0.08</v>
      </c>
      <c r="D75" s="11" t="n">
        <v>0.21</v>
      </c>
      <c r="E75" s="11" t="n">
        <v>0.15</v>
      </c>
      <c r="F75" s="11" t="n">
        <v>0.31</v>
      </c>
      <c r="G75" s="11" t="n">
        <v>0.52</v>
      </c>
      <c r="H75" s="11" t="n">
        <v>0.62</v>
      </c>
      <c r="I75" s="11" t="n">
        <v>0.5</v>
      </c>
      <c r="J75" s="11" t="n">
        <v>0.74</v>
      </c>
      <c r="K75" s="11" t="n">
        <v>0.79</v>
      </c>
      <c r="L75" s="11" t="n">
        <v>1.17</v>
      </c>
      <c r="M75" s="11" t="n">
        <v>1.23</v>
      </c>
      <c r="N75" s="11" t="n">
        <v>1.07</v>
      </c>
      <c r="O75" s="11" t="n">
        <v>1.01</v>
      </c>
      <c r="P75" s="11" t="n">
        <v>1.28</v>
      </c>
      <c r="R75" s="11" t="n">
        <v>1.64</v>
      </c>
      <c r="S75" s="11" t="n">
        <v>2.05</v>
      </c>
      <c r="T75" s="11" t="n">
        <v>3.52</v>
      </c>
      <c r="U75" s="11" t="n">
        <v>3.56</v>
      </c>
      <c r="V75" s="11" t="n">
        <v>4.71</v>
      </c>
      <c r="W75" s="11" t="n">
        <v>0.51</v>
      </c>
      <c r="X75" s="11" t="n">
        <v>0.13</v>
      </c>
      <c r="Y75" s="11" t="n">
        <v>0.29</v>
      </c>
      <c r="Z75" s="11" t="n">
        <v>0.15</v>
      </c>
      <c r="AA75" s="11" t="n">
        <v>0.21</v>
      </c>
      <c r="AB75" s="11" t="n">
        <v>0.62</v>
      </c>
      <c r="AC75" s="11" t="n">
        <v>1.17</v>
      </c>
      <c r="AD75" s="11" t="n">
        <v>1.28</v>
      </c>
      <c r="AE75" s="11" t="n">
        <v>3.52</v>
      </c>
    </row>
    <row r="76">
      <c r="A76" s="10" t="inlineStr">
        <is>
          <t>신주예약권</t>
        </is>
      </c>
      <c r="C76" s="11" t="n">
        <v>0.12</v>
      </c>
      <c r="D76" s="11" t="n">
        <v>0.12</v>
      </c>
      <c r="E76" s="11" t="n">
        <v>0.12</v>
      </c>
      <c r="F76" s="11" t="n">
        <v>0.12</v>
      </c>
      <c r="G76" s="11" t="n">
        <v>0.12</v>
      </c>
      <c r="H76" s="11" t="n">
        <v>0.12</v>
      </c>
      <c r="I76" s="11" t="n">
        <v>0.1</v>
      </c>
      <c r="J76" s="11" t="n">
        <v>0.1</v>
      </c>
      <c r="K76" s="11" t="n">
        <v>0.1</v>
      </c>
      <c r="L76" s="11" t="n">
        <v>0.1</v>
      </c>
      <c r="M76" s="11" t="n">
        <v>0.1</v>
      </c>
      <c r="N76" s="11" t="n">
        <v>0.1</v>
      </c>
      <c r="O76" s="11" t="n">
        <v>0.1</v>
      </c>
      <c r="P76" s="11" t="n">
        <v>0.1</v>
      </c>
      <c r="R76" s="11" t="n">
        <v>0.1</v>
      </c>
      <c r="S76" s="11" t="n">
        <v>0.1</v>
      </c>
      <c r="T76" s="11" t="n">
        <v>0.1</v>
      </c>
      <c r="U76" s="11" t="n">
        <v>0.1</v>
      </c>
      <c r="V76" s="11" t="n">
        <v>0.1</v>
      </c>
      <c r="W76" s="11" t="n">
        <v>0.24</v>
      </c>
      <c r="X76" s="11" t="n">
        <v>0.25</v>
      </c>
      <c r="Y76" s="11" t="n">
        <v>0.15</v>
      </c>
      <c r="Z76" s="11" t="n">
        <v>0.15</v>
      </c>
      <c r="AA76" s="11" t="n">
        <v>0.12</v>
      </c>
      <c r="AB76" s="11" t="n">
        <v>0.12</v>
      </c>
      <c r="AC76" s="11" t="n">
        <v>0.1</v>
      </c>
      <c r="AD76" s="11" t="n">
        <v>0.1</v>
      </c>
      <c r="AE76" s="11" t="n">
        <v>0.1</v>
      </c>
    </row>
    <row r="77">
      <c r="A77" s="10" t="inlineStr">
        <is>
          <t>순자산 합계</t>
        </is>
      </c>
      <c r="C77" s="11" t="n">
        <v>288.05</v>
      </c>
      <c r="D77" s="11" t="n">
        <v>288.12</v>
      </c>
      <c r="E77" s="11" t="n">
        <v>288.8</v>
      </c>
      <c r="F77" s="11" t="n">
        <v>291.57</v>
      </c>
      <c r="G77" s="11" t="n">
        <v>289.86</v>
      </c>
      <c r="H77" s="11" t="n">
        <v>286.36</v>
      </c>
      <c r="I77" s="11" t="n">
        <v>291.58</v>
      </c>
      <c r="J77" s="11" t="n">
        <v>295.32</v>
      </c>
      <c r="K77" s="11" t="n">
        <v>292.94</v>
      </c>
      <c r="L77" s="11" t="n">
        <v>288.59</v>
      </c>
      <c r="M77" s="11" t="n">
        <v>285.35</v>
      </c>
      <c r="N77" s="11" t="n">
        <v>276.51</v>
      </c>
      <c r="O77" s="11" t="n">
        <v>272.06</v>
      </c>
      <c r="P77" s="11" t="n">
        <v>259.69</v>
      </c>
      <c r="R77" s="11" t="n">
        <v>266.19</v>
      </c>
      <c r="S77" s="11" t="n">
        <v>266.21</v>
      </c>
      <c r="T77" s="11" t="n">
        <v>267.44</v>
      </c>
      <c r="U77" s="11" t="n">
        <v>269.1</v>
      </c>
      <c r="V77" s="11" t="n">
        <v>273.86</v>
      </c>
      <c r="W77" s="11" t="n">
        <v>292.97</v>
      </c>
      <c r="X77" s="11" t="n">
        <v>286.58</v>
      </c>
      <c r="Y77" s="11" t="n">
        <v>281.62</v>
      </c>
      <c r="Z77" s="11" t="n">
        <v>287.32</v>
      </c>
      <c r="AA77" s="11" t="n">
        <v>288.12</v>
      </c>
      <c r="AB77" s="11" t="n">
        <v>286.36</v>
      </c>
      <c r="AC77" s="11" t="n">
        <v>288.59</v>
      </c>
      <c r="AD77" s="11" t="n">
        <v>259.69</v>
      </c>
      <c r="AE77" s="11" t="n">
        <v>267.44</v>
      </c>
    </row>
    <row r="78">
      <c r="A78" s="10" t="inlineStr">
        <is>
          <t>부채·순자산 합계</t>
        </is>
      </c>
      <c r="C78" s="11" t="n">
        <v>504.63</v>
      </c>
      <c r="D78" s="11" t="n">
        <v>493.73</v>
      </c>
      <c r="E78" s="11" t="n">
        <v>492.69</v>
      </c>
      <c r="F78" s="11" t="n">
        <v>504.93</v>
      </c>
      <c r="G78" s="11" t="n">
        <v>536.86</v>
      </c>
      <c r="H78" s="11" t="n">
        <v>542.59</v>
      </c>
      <c r="I78" s="11" t="n">
        <v>549.74</v>
      </c>
      <c r="J78" s="11" t="n">
        <v>560.3099999999999</v>
      </c>
      <c r="K78" s="11" t="n">
        <v>591.36</v>
      </c>
      <c r="L78" s="11" t="n">
        <v>581.86</v>
      </c>
      <c r="M78" s="11" t="n">
        <v>584.22</v>
      </c>
      <c r="N78" s="11" t="n">
        <v>583.35</v>
      </c>
      <c r="O78" s="11" t="n">
        <v>586.01</v>
      </c>
      <c r="P78" s="11" t="n">
        <v>555.77</v>
      </c>
      <c r="R78" s="11" t="n">
        <v>561.0599999999999</v>
      </c>
      <c r="S78" s="11" t="n">
        <v>564.41</v>
      </c>
      <c r="T78" s="11" t="n">
        <v>519.58</v>
      </c>
      <c r="U78" s="11" t="n">
        <v>526.96</v>
      </c>
      <c r="V78" s="11" t="n">
        <v>502.58</v>
      </c>
      <c r="W78" s="11" t="n">
        <v>509.06</v>
      </c>
      <c r="X78" s="11" t="n">
        <v>493.97</v>
      </c>
      <c r="Y78" s="11" t="n">
        <v>502.84</v>
      </c>
      <c r="Z78" s="11" t="n">
        <v>509.02</v>
      </c>
      <c r="AA78" s="11" t="n">
        <v>493.73</v>
      </c>
      <c r="AB78" s="11" t="n">
        <v>542.59</v>
      </c>
      <c r="AC78" s="11" t="n">
        <v>581.86</v>
      </c>
      <c r="AD78" s="11" t="n">
        <v>555.77</v>
      </c>
      <c r="AE78" s="11" t="n">
        <v>519.58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72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2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40" customWidth="1" min="32" max="32"/>
  </cols>
  <sheetData>
    <row r="1">
      <c r="A1" s="1" t="inlineStr">
        <is>
          <t>야마자와 현금흐름표</t>
        </is>
      </c>
    </row>
    <row r="2">
      <c r="A2" s="2" t="inlineStr">
        <is>
          <t>결산기 기준(27.2Q = 2027년 결산기 2분기) · 2월 결산 · 연결 · 누계(그 분기까지) · 오른쪽 FY = 연간</t>
        </is>
      </c>
      <c r="B2" s="3" t="inlineStr">
        <is>
          <t>(단위: 억엔)</t>
        </is>
      </c>
    </row>
    <row r="3">
      <c r="A3" s="4" t="inlineStr">
        <is>
          <t>항목</t>
        </is>
      </c>
      <c r="B3" s="4" t="inlineStr">
        <is>
          <t>참고</t>
        </is>
      </c>
      <c r="C3" s="4" t="inlineStr">
        <is>
          <t>22.3Q</t>
        </is>
      </c>
      <c r="D3" s="4" t="inlineStr">
        <is>
          <t>22.4Q</t>
        </is>
      </c>
      <c r="E3" s="4" t="inlineStr">
        <is>
          <t>23.1Q</t>
        </is>
      </c>
      <c r="F3" s="4" t="inlineStr">
        <is>
          <t>23.2Q</t>
        </is>
      </c>
      <c r="G3" s="4" t="inlineStr">
        <is>
          <t>23.3Q</t>
        </is>
      </c>
      <c r="H3" s="4" t="inlineStr">
        <is>
          <t>23.4Q</t>
        </is>
      </c>
      <c r="I3" s="4" t="inlineStr">
        <is>
          <t>24.1Q</t>
        </is>
      </c>
      <c r="J3" s="4" t="inlineStr">
        <is>
          <t>24.2Q</t>
        </is>
      </c>
      <c r="K3" s="4" t="inlineStr">
        <is>
          <t>24.3Q</t>
        </is>
      </c>
      <c r="L3" s="4" t="inlineStr">
        <is>
          <t>24.4Q</t>
        </is>
      </c>
      <c r="M3" s="4" t="inlineStr">
        <is>
          <t>25.1Q</t>
        </is>
      </c>
      <c r="N3" s="4" t="inlineStr">
        <is>
          <t>25.2Q</t>
        </is>
      </c>
      <c r="O3" s="4" t="inlineStr">
        <is>
          <t>25.3Q</t>
        </is>
      </c>
      <c r="P3" s="4" t="inlineStr">
        <is>
          <t>25.4Q</t>
        </is>
      </c>
      <c r="Q3" s="4" t="inlineStr">
        <is>
          <t>26.1Q</t>
        </is>
      </c>
      <c r="R3" s="4" t="inlineStr">
        <is>
          <t>26.2Q</t>
        </is>
      </c>
      <c r="S3" s="4" t="inlineStr">
        <is>
          <t>26.3Q</t>
        </is>
      </c>
      <c r="T3" s="4" t="inlineStr">
        <is>
          <t>26.4Q</t>
        </is>
      </c>
      <c r="U3" s="4" t="inlineStr">
        <is>
          <t>27.1Q</t>
        </is>
      </c>
      <c r="V3" s="4" t="inlineStr">
        <is>
          <t>27.2Q</t>
        </is>
      </c>
      <c r="W3" s="4" t="inlineStr">
        <is>
          <t>FY18</t>
        </is>
      </c>
      <c r="X3" s="4" t="inlineStr">
        <is>
          <t>FY19</t>
        </is>
      </c>
      <c r="Y3" s="4" t="inlineStr">
        <is>
          <t>FY20</t>
        </is>
      </c>
      <c r="Z3" s="4" t="inlineStr">
        <is>
          <t>FY21</t>
        </is>
      </c>
      <c r="AA3" s="4" t="inlineStr">
        <is>
          <t>FY22</t>
        </is>
      </c>
      <c r="AB3" s="4" t="inlineStr">
        <is>
          <t>FY23</t>
        </is>
      </c>
      <c r="AC3" s="4" t="inlineStr">
        <is>
          <t>FY24</t>
        </is>
      </c>
      <c r="AD3" s="4" t="inlineStr">
        <is>
          <t>FY25</t>
        </is>
      </c>
      <c r="AE3" s="4" t="inlineStr">
        <is>
          <t>FY26</t>
        </is>
      </c>
      <c r="AF3" s="4" t="inlineStr">
        <is>
          <t>출처</t>
        </is>
      </c>
    </row>
    <row r="4">
      <c r="A4" s="10" t="inlineStr">
        <is>
          <t>법인세차감전 순이익</t>
        </is>
      </c>
      <c r="D4" s="11" t="n">
        <v>7.78</v>
      </c>
      <c r="F4" s="11" t="n">
        <v>6.63</v>
      </c>
      <c r="H4" s="11" t="n">
        <v>6.03</v>
      </c>
      <c r="J4" s="11" t="n">
        <v>5.87</v>
      </c>
      <c r="L4" s="11" t="n">
        <v>2.43</v>
      </c>
      <c r="N4" s="11" t="n">
        <v>-2.75</v>
      </c>
      <c r="P4" s="11" t="n">
        <v>-19.11</v>
      </c>
      <c r="R4" s="11" t="n">
        <v>6.69</v>
      </c>
      <c r="T4" s="11" t="n">
        <v>18.7</v>
      </c>
      <c r="V4" s="11" t="n">
        <v>8.029999999999999</v>
      </c>
      <c r="W4" s="11" t="n">
        <v>8.84</v>
      </c>
      <c r="X4" s="11" t="n">
        <v>-1.15</v>
      </c>
      <c r="Y4" s="11" t="n">
        <v>0.68</v>
      </c>
      <c r="Z4" s="11" t="n">
        <v>17.91</v>
      </c>
      <c r="AA4" s="11" t="n">
        <v>7.78</v>
      </c>
      <c r="AB4" s="11" t="n">
        <v>6.03</v>
      </c>
      <c r="AC4" s="11" t="n">
        <v>2.43</v>
      </c>
      <c r="AD4" s="11" t="n">
        <v>-19.11</v>
      </c>
      <c r="AE4" s="11" t="n">
        <v>18.7</v>
      </c>
      <c r="AF4" s="7" t="inlineStr">
        <is>
          <t>결산단신 XBRL(거래소 공시, TDnet·JPX 보관소). 쓴 문서: 2026-10-14, 2026-07-14, 2026-04-20, 2026-01-14 외 26건 — '출처' 시트에 전부</t>
        </is>
      </c>
    </row>
    <row r="5">
      <c r="A5" s="10" t="inlineStr">
        <is>
          <t>감가상각비</t>
        </is>
      </c>
      <c r="D5" s="11" t="n">
        <v>28.47</v>
      </c>
      <c r="F5" s="11" t="n">
        <v>13.37</v>
      </c>
      <c r="H5" s="11" t="n">
        <v>28.45</v>
      </c>
      <c r="J5" s="11" t="n">
        <v>15.04</v>
      </c>
      <c r="L5" s="11" t="n">
        <v>33.27</v>
      </c>
      <c r="N5" s="11" t="n">
        <v>17.28</v>
      </c>
      <c r="P5" s="11" t="n">
        <v>35.76</v>
      </c>
      <c r="R5" s="11" t="n">
        <v>16.68</v>
      </c>
      <c r="T5" s="11" t="n">
        <v>33.91</v>
      </c>
      <c r="V5" s="11" t="n">
        <v>14.65</v>
      </c>
      <c r="W5" s="11" t="n">
        <v>26.7</v>
      </c>
      <c r="X5" s="11" t="n">
        <v>26.54</v>
      </c>
      <c r="Y5" s="11" t="n">
        <v>25.19</v>
      </c>
      <c r="Z5" s="11" t="n">
        <v>25.79</v>
      </c>
      <c r="AA5" s="11" t="n">
        <v>28.47</v>
      </c>
      <c r="AB5" s="11" t="n">
        <v>28.45</v>
      </c>
      <c r="AC5" s="11" t="n">
        <v>33.27</v>
      </c>
      <c r="AD5" s="11" t="n">
        <v>35.76</v>
      </c>
      <c r="AE5" s="11" t="n">
        <v>33.91</v>
      </c>
    </row>
    <row r="6">
      <c r="A6" s="10" t="inlineStr">
        <is>
          <t>영업권 상각</t>
        </is>
      </c>
      <c r="D6" s="11" t="n">
        <v>0.11</v>
      </c>
      <c r="H6" s="11" t="n">
        <v>0.11</v>
      </c>
      <c r="L6" s="11" t="n">
        <v>0.11</v>
      </c>
      <c r="P6" s="11" t="n">
        <v>0.06</v>
      </c>
      <c r="T6" s="11" t="n">
        <v>0</v>
      </c>
      <c r="W6" s="11" t="n">
        <v>1.1</v>
      </c>
      <c r="X6" s="11" t="n">
        <v>1.1</v>
      </c>
      <c r="Y6" s="11" t="n">
        <v>0.04</v>
      </c>
      <c r="Z6" s="11" t="n">
        <v>0.11</v>
      </c>
      <c r="AA6" s="11" t="n">
        <v>0.11</v>
      </c>
      <c r="AB6" s="11" t="n">
        <v>0.11</v>
      </c>
      <c r="AC6" s="11" t="n">
        <v>0.11</v>
      </c>
      <c r="AD6" s="11" t="n">
        <v>0.06</v>
      </c>
      <c r="AE6" s="11" t="n">
        <v>0</v>
      </c>
    </row>
    <row r="7">
      <c r="A7" s="10" t="inlineStr">
        <is>
          <t>손상차손</t>
        </is>
      </c>
      <c r="D7" s="11" t="n">
        <v>3.56</v>
      </c>
      <c r="F7" s="11" t="n">
        <v>0.12</v>
      </c>
      <c r="H7" s="11" t="n">
        <v>2.43</v>
      </c>
      <c r="J7" s="11" t="n">
        <v>0</v>
      </c>
      <c r="L7" s="11" t="n">
        <v>4.06</v>
      </c>
      <c r="P7" s="11" t="n">
        <v>13.04</v>
      </c>
      <c r="T7" s="11" t="n">
        <v>5.6</v>
      </c>
      <c r="W7" s="11" t="n">
        <v>3.75</v>
      </c>
      <c r="X7" s="11" t="n">
        <v>7.5</v>
      </c>
      <c r="Y7" s="11" t="n">
        <v>6.44</v>
      </c>
      <c r="Z7" s="11" t="n">
        <v>5.46</v>
      </c>
      <c r="AA7" s="11" t="n">
        <v>3.56</v>
      </c>
      <c r="AB7" s="11" t="n">
        <v>2.43</v>
      </c>
      <c r="AC7" s="11" t="n">
        <v>4.06</v>
      </c>
      <c r="AD7" s="11" t="n">
        <v>13.04</v>
      </c>
      <c r="AE7" s="11" t="n">
        <v>5.6</v>
      </c>
    </row>
    <row r="8">
      <c r="A8" s="10" t="inlineStr">
        <is>
          <t>투자유가증권 평가손익</t>
        </is>
      </c>
      <c r="D8" s="11" t="n">
        <v>0</v>
      </c>
      <c r="H8" s="11" t="n">
        <v>0</v>
      </c>
      <c r="X8" s="11" t="n">
        <v>0.07000000000000001</v>
      </c>
      <c r="Y8" s="11" t="n">
        <v>0.98</v>
      </c>
      <c r="Z8" s="11" t="n">
        <v>0</v>
      </c>
      <c r="AA8" s="11" t="n">
        <v>0</v>
      </c>
      <c r="AB8" s="11" t="n">
        <v>0</v>
      </c>
    </row>
    <row r="9">
      <c r="A9" s="10" t="inlineStr">
        <is>
          <t>사업분리 이전이익</t>
        </is>
      </c>
      <c r="P9" s="11" t="n">
        <v>0</v>
      </c>
      <c r="T9" s="11" t="n">
        <v>-12.41</v>
      </c>
      <c r="AD9" s="11" t="n">
        <v>0</v>
      </c>
      <c r="AE9" s="11" t="n">
        <v>-12.41</v>
      </c>
    </row>
    <row r="10">
      <c r="A10" s="10" t="inlineStr">
        <is>
          <t>퇴직급여부채 증감</t>
        </is>
      </c>
      <c r="D10" s="11" t="n">
        <v>0.16</v>
      </c>
      <c r="H10" s="11" t="n">
        <v>-2.49</v>
      </c>
      <c r="L10" s="11" t="n">
        <v>-0.17</v>
      </c>
      <c r="P10" s="11" t="n">
        <v>0.24</v>
      </c>
      <c r="T10" s="11" t="n">
        <v>-0.63</v>
      </c>
      <c r="W10" s="11" t="n">
        <v>-0</v>
      </c>
      <c r="X10" s="11" t="n">
        <v>-0.15</v>
      </c>
      <c r="Y10" s="11" t="n">
        <v>-2.97</v>
      </c>
      <c r="Z10" s="11" t="n">
        <v>0.38</v>
      </c>
      <c r="AA10" s="11" t="n">
        <v>0.16</v>
      </c>
      <c r="AB10" s="11" t="n">
        <v>-2.49</v>
      </c>
      <c r="AC10" s="11" t="n">
        <v>-0.17</v>
      </c>
      <c r="AD10" s="11" t="n">
        <v>0.24</v>
      </c>
      <c r="AE10" s="11" t="n">
        <v>-0.63</v>
      </c>
    </row>
    <row r="11">
      <c r="A11" s="10" t="inlineStr">
        <is>
          <t>포인트 충당금 증감</t>
        </is>
      </c>
      <c r="D11" s="11" t="n">
        <v>-0.23</v>
      </c>
      <c r="H11" s="11" t="n">
        <v>-6.46</v>
      </c>
      <c r="L11" s="11" t="n">
        <v>0</v>
      </c>
      <c r="W11" s="11" t="n">
        <v>0.33</v>
      </c>
      <c r="X11" s="11" t="n">
        <v>-0.68</v>
      </c>
      <c r="Y11" s="11" t="n">
        <v>0.12</v>
      </c>
      <c r="Z11" s="11" t="n">
        <v>0.13</v>
      </c>
      <c r="AA11" s="11" t="n">
        <v>-0.23</v>
      </c>
      <c r="AB11" s="11" t="n">
        <v>-6.46</v>
      </c>
      <c r="AC11" s="11" t="n">
        <v>0</v>
      </c>
    </row>
    <row r="12">
      <c r="A12" s="10" t="inlineStr">
        <is>
          <t>보조금 수입</t>
        </is>
      </c>
      <c r="L12" s="11" t="n">
        <v>0</v>
      </c>
      <c r="P12" s="11" t="n">
        <v>-1.5</v>
      </c>
      <c r="T12" s="11" t="n">
        <v>-0.11</v>
      </c>
      <c r="AC12" s="11" t="n">
        <v>0</v>
      </c>
      <c r="AD12" s="11" t="n">
        <v>-1.5</v>
      </c>
      <c r="AE12" s="11" t="n">
        <v>-0.11</v>
      </c>
    </row>
    <row r="13">
      <c r="A13" s="10" t="inlineStr">
        <is>
          <t>상여충당금 증감</t>
        </is>
      </c>
      <c r="D13" s="11" t="n">
        <v>0.05</v>
      </c>
      <c r="H13" s="11" t="n">
        <v>0.18</v>
      </c>
      <c r="L13" s="11" t="n">
        <v>0.01</v>
      </c>
      <c r="P13" s="11" t="n">
        <v>-0.19</v>
      </c>
      <c r="T13" s="11" t="n">
        <v>-0.29</v>
      </c>
      <c r="W13" s="11" t="n">
        <v>-0.03</v>
      </c>
      <c r="X13" s="11" t="n">
        <v>-0.1</v>
      </c>
      <c r="Y13" s="11" t="n">
        <v>0.02</v>
      </c>
      <c r="Z13" s="11" t="n">
        <v>-0.26</v>
      </c>
      <c r="AA13" s="11" t="n">
        <v>0.05</v>
      </c>
      <c r="AB13" s="11" t="n">
        <v>0.18</v>
      </c>
      <c r="AC13" s="11" t="n">
        <v>0.01</v>
      </c>
      <c r="AD13" s="11" t="n">
        <v>-0.19</v>
      </c>
      <c r="AE13" s="11" t="n">
        <v>-0.29</v>
      </c>
    </row>
    <row r="14">
      <c r="A14" s="10" t="inlineStr">
        <is>
          <t>상품권 회수손실 충당금 증감</t>
        </is>
      </c>
      <c r="D14" s="11" t="n">
        <v>0.25</v>
      </c>
      <c r="H14" s="11" t="n">
        <v>-0.98</v>
      </c>
      <c r="L14" s="11" t="n">
        <v>0</v>
      </c>
      <c r="W14" s="11" t="n">
        <v>0.02</v>
      </c>
      <c r="X14" s="11" t="n">
        <v>0</v>
      </c>
      <c r="Y14" s="11" t="n">
        <v>-0.02</v>
      </c>
      <c r="Z14" s="11" t="n">
        <v>-0.01</v>
      </c>
      <c r="AA14" s="11" t="n">
        <v>0.25</v>
      </c>
      <c r="AB14" s="11" t="n">
        <v>-0.98</v>
      </c>
      <c r="AC14" s="11" t="n">
        <v>0</v>
      </c>
    </row>
    <row r="15">
      <c r="A15" s="10" t="inlineStr">
        <is>
          <t>임원 상여충당금 증감</t>
        </is>
      </c>
      <c r="D15" s="11" t="n">
        <v>-0</v>
      </c>
      <c r="H15" s="11" t="n">
        <v>0</v>
      </c>
      <c r="W15" s="11" t="n">
        <v>-0.01</v>
      </c>
      <c r="X15" s="11" t="n">
        <v>-0.07000000000000001</v>
      </c>
      <c r="Y15" s="11" t="n">
        <v>-0.02</v>
      </c>
      <c r="Z15" s="11" t="n">
        <v>-0</v>
      </c>
      <c r="AA15" s="11" t="n">
        <v>-0</v>
      </c>
      <c r="AB15" s="11" t="n">
        <v>0</v>
      </c>
    </row>
    <row r="16">
      <c r="A16" s="10" t="inlineStr">
        <is>
          <t>계약부채 증감</t>
        </is>
      </c>
      <c r="H16" s="11" t="n">
        <v>8.460000000000001</v>
      </c>
      <c r="L16" s="11" t="n">
        <v>-13.45</v>
      </c>
      <c r="AB16" s="11" t="n">
        <v>8.460000000000001</v>
      </c>
      <c r="AC16" s="11" t="n">
        <v>-13.45</v>
      </c>
    </row>
    <row r="17">
      <c r="A17" s="10" t="inlineStr">
        <is>
          <t>계약부채 증감</t>
        </is>
      </c>
      <c r="L17" s="11" t="n">
        <v>-13.45</v>
      </c>
      <c r="P17" s="11" t="n">
        <v>-2.71</v>
      </c>
      <c r="T17" s="11" t="n">
        <v>0.05</v>
      </c>
      <c r="AC17" s="11" t="n">
        <v>-13.45</v>
      </c>
      <c r="AD17" s="11" t="n">
        <v>-2.71</v>
      </c>
      <c r="AE17" s="11" t="n">
        <v>0.05</v>
      </c>
    </row>
    <row r="18">
      <c r="A18" s="10" t="inlineStr">
        <is>
          <t>이자·배당금 수익</t>
        </is>
      </c>
      <c r="D18" s="11" t="n">
        <v>-0.11</v>
      </c>
      <c r="F18" s="11" t="n">
        <v>-0.08</v>
      </c>
      <c r="H18" s="11" t="n">
        <v>-0.12</v>
      </c>
      <c r="J18" s="11" t="n">
        <v>-0.09</v>
      </c>
      <c r="L18" s="11" t="n">
        <v>-0.15</v>
      </c>
      <c r="N18" s="11" t="n">
        <v>-0.1</v>
      </c>
      <c r="P18" s="11" t="n">
        <v>-0.17</v>
      </c>
      <c r="R18" s="11" t="n">
        <v>-0.15</v>
      </c>
      <c r="T18" s="11" t="n">
        <v>-0.29</v>
      </c>
      <c r="V18" s="11" t="n">
        <v>-0.43</v>
      </c>
      <c r="W18" s="11" t="n">
        <v>-0.14</v>
      </c>
      <c r="X18" s="11" t="n">
        <v>-0.14</v>
      </c>
      <c r="Y18" s="11" t="n">
        <v>-0.15</v>
      </c>
      <c r="Z18" s="11" t="n">
        <v>-0.12</v>
      </c>
      <c r="AA18" s="11" t="n">
        <v>-0.11</v>
      </c>
      <c r="AB18" s="11" t="n">
        <v>-0.12</v>
      </c>
      <c r="AC18" s="11" t="n">
        <v>-0.15</v>
      </c>
      <c r="AD18" s="11" t="n">
        <v>-0.17</v>
      </c>
      <c r="AE18" s="11" t="n">
        <v>-0.29</v>
      </c>
    </row>
    <row r="19">
      <c r="A19" s="10" t="inlineStr">
        <is>
          <t>이자비용</t>
        </is>
      </c>
      <c r="D19" s="11" t="n">
        <v>0.13</v>
      </c>
      <c r="F19" s="11" t="n">
        <v>0.06</v>
      </c>
      <c r="H19" s="11" t="n">
        <v>0.16</v>
      </c>
      <c r="J19" s="11" t="n">
        <v>0.18</v>
      </c>
      <c r="L19" s="11" t="n">
        <v>0.37</v>
      </c>
      <c r="N19" s="11" t="n">
        <v>0.25</v>
      </c>
      <c r="P19" s="11" t="n">
        <v>0.58</v>
      </c>
      <c r="R19" s="11" t="n">
        <v>0.36</v>
      </c>
      <c r="T19" s="11" t="n">
        <v>0.67</v>
      </c>
      <c r="V19" s="11" t="n">
        <v>0.32</v>
      </c>
      <c r="W19" s="11" t="n">
        <v>0.15</v>
      </c>
      <c r="X19" s="11" t="n">
        <v>0.16</v>
      </c>
      <c r="Y19" s="11" t="n">
        <v>0.13</v>
      </c>
      <c r="Z19" s="11" t="n">
        <v>0.14</v>
      </c>
      <c r="AA19" s="11" t="n">
        <v>0.13</v>
      </c>
      <c r="AB19" s="11" t="n">
        <v>0.16</v>
      </c>
      <c r="AC19" s="11" t="n">
        <v>0.37</v>
      </c>
      <c r="AD19" s="11" t="n">
        <v>0.58</v>
      </c>
      <c r="AE19" s="11" t="n">
        <v>0.67</v>
      </c>
    </row>
    <row r="20">
      <c r="A20" s="10" t="inlineStr">
        <is>
          <t>유형자산 매각이익</t>
        </is>
      </c>
      <c r="W20" s="11" t="n">
        <v>-0.57</v>
      </c>
      <c r="X20" s="11" t="n">
        <v>-3.95</v>
      </c>
      <c r="Y20" s="11" t="n">
        <v>-1.27</v>
      </c>
    </row>
    <row r="21">
      <c r="A21" s="10" t="inlineStr">
        <is>
          <t>유형자산 매각손익</t>
        </is>
      </c>
      <c r="D21" s="11" t="n">
        <v>0</v>
      </c>
      <c r="H21" s="11" t="n">
        <v>-0.14</v>
      </c>
      <c r="L21" s="11" t="n">
        <v>-0.47</v>
      </c>
      <c r="P21" s="11" t="n">
        <v>-0</v>
      </c>
      <c r="T21" s="11" t="n">
        <v>-0.01</v>
      </c>
      <c r="Y21" s="11" t="n">
        <v>-1.27</v>
      </c>
      <c r="Z21" s="11" t="n">
        <v>-2.38</v>
      </c>
      <c r="AA21" s="11" t="n">
        <v>0</v>
      </c>
      <c r="AB21" s="11" t="n">
        <v>-0.14</v>
      </c>
      <c r="AC21" s="11" t="n">
        <v>-0.47</v>
      </c>
      <c r="AD21" s="11" t="n">
        <v>-0</v>
      </c>
      <c r="AE21" s="11" t="n">
        <v>-0.01</v>
      </c>
    </row>
    <row r="22">
      <c r="A22" s="10" t="inlineStr">
        <is>
          <t>유형자산 제각손실</t>
        </is>
      </c>
      <c r="D22" s="11" t="n">
        <v>0.25</v>
      </c>
      <c r="H22" s="11" t="n">
        <v>0.7</v>
      </c>
      <c r="L22" s="11" t="n">
        <v>0.77</v>
      </c>
      <c r="P22" s="11" t="n">
        <v>1.99</v>
      </c>
      <c r="T22" s="11" t="n">
        <v>0.6899999999999999</v>
      </c>
      <c r="W22" s="11" t="n">
        <v>0.29</v>
      </c>
      <c r="X22" s="11" t="n">
        <v>0.37</v>
      </c>
      <c r="Y22" s="11" t="n">
        <v>0.15</v>
      </c>
      <c r="Z22" s="11" t="n">
        <v>3.1</v>
      </c>
      <c r="AA22" s="11" t="n">
        <v>0.25</v>
      </c>
      <c r="AB22" s="11" t="n">
        <v>0.7</v>
      </c>
      <c r="AC22" s="11" t="n">
        <v>0.77</v>
      </c>
      <c r="AD22" s="11" t="n">
        <v>1.99</v>
      </c>
      <c r="AE22" s="11" t="n">
        <v>0.6899999999999999</v>
      </c>
    </row>
    <row r="23">
      <c r="A23" s="10" t="inlineStr">
        <is>
          <t>유가증권 매각손익</t>
        </is>
      </c>
      <c r="D23" s="11" t="n">
        <v>0</v>
      </c>
      <c r="H23" s="11" t="n">
        <v>0.26</v>
      </c>
      <c r="AA23" s="11" t="n">
        <v>0</v>
      </c>
      <c r="AB23" s="11" t="n">
        <v>0.26</v>
      </c>
    </row>
    <row r="24">
      <c r="A24" s="10" t="inlineStr">
        <is>
          <t>투자유가증권 매각손익</t>
        </is>
      </c>
      <c r="H24" s="11" t="n">
        <v>0.26</v>
      </c>
      <c r="L24" s="11" t="n">
        <v>-0.02</v>
      </c>
      <c r="P24" s="11" t="n">
        <v>0</v>
      </c>
      <c r="AB24" s="11" t="n">
        <v>0.26</v>
      </c>
      <c r="AC24" s="11" t="n">
        <v>-0.02</v>
      </c>
      <c r="AD24" s="11" t="n">
        <v>0</v>
      </c>
    </row>
    <row r="25">
      <c r="A25" s="10" t="inlineStr">
        <is>
          <t>자회사 청산손익</t>
        </is>
      </c>
      <c r="P25" s="11" t="n">
        <v>0</v>
      </c>
      <c r="T25" s="11" t="n">
        <v>-0.26</v>
      </c>
      <c r="AD25" s="11" t="n">
        <v>0</v>
      </c>
      <c r="AE25" s="11" t="n">
        <v>-0.26</v>
      </c>
    </row>
    <row r="26">
      <c r="A26" s="10" t="inlineStr">
        <is>
          <t>매출채권 증감</t>
        </is>
      </c>
      <c r="D26" s="11" t="n">
        <v>-0.4</v>
      </c>
      <c r="H26" s="11" t="n">
        <v>-0.1</v>
      </c>
      <c r="L26" s="11" t="n">
        <v>-4.7</v>
      </c>
      <c r="P26" s="11" t="n">
        <v>-9.220000000000001</v>
      </c>
      <c r="T26" s="11" t="n">
        <v>0.55</v>
      </c>
      <c r="W26" s="11" t="n">
        <v>-0.36</v>
      </c>
      <c r="X26" s="11" t="n">
        <v>-0.24</v>
      </c>
      <c r="Y26" s="11" t="n">
        <v>-0.58</v>
      </c>
      <c r="Z26" s="11" t="n">
        <v>0.48</v>
      </c>
      <c r="AA26" s="11" t="n">
        <v>-0.4</v>
      </c>
      <c r="AB26" s="11" t="n">
        <v>-0.1</v>
      </c>
      <c r="AC26" s="11" t="n">
        <v>-4.7</v>
      </c>
      <c r="AD26" s="11" t="n">
        <v>-9.220000000000001</v>
      </c>
      <c r="AE26" s="11" t="n">
        <v>0.55</v>
      </c>
    </row>
    <row r="27">
      <c r="A27" s="10" t="inlineStr">
        <is>
          <t>재고자산 증감</t>
        </is>
      </c>
      <c r="D27" s="11" t="n">
        <v>0.37</v>
      </c>
      <c r="F27" s="11" t="n">
        <v>-2.13</v>
      </c>
      <c r="H27" s="11" t="n">
        <v>-3.35</v>
      </c>
      <c r="J27" s="11" t="n">
        <v>-2.25</v>
      </c>
      <c r="L27" s="11" t="n">
        <v>-2.3</v>
      </c>
      <c r="N27" s="11" t="n">
        <v>-1.25</v>
      </c>
      <c r="P27" s="11" t="n">
        <v>-1.7</v>
      </c>
      <c r="R27" s="11" t="n">
        <v>2.38</v>
      </c>
      <c r="T27" s="11" t="n">
        <v>0.51</v>
      </c>
      <c r="V27" s="11" t="n">
        <v>2.2</v>
      </c>
      <c r="W27" s="11" t="n">
        <v>-0.99</v>
      </c>
      <c r="X27" s="11" t="n">
        <v>3.3</v>
      </c>
      <c r="Y27" s="11" t="n">
        <v>1.32</v>
      </c>
      <c r="Z27" s="11" t="n">
        <v>2.52</v>
      </c>
      <c r="AA27" s="11" t="n">
        <v>0.37</v>
      </c>
      <c r="AB27" s="11" t="n">
        <v>-3.35</v>
      </c>
      <c r="AC27" s="11" t="n">
        <v>-2.3</v>
      </c>
      <c r="AD27" s="11" t="n">
        <v>-1.7</v>
      </c>
      <c r="AE27" s="11" t="n">
        <v>0.51</v>
      </c>
    </row>
    <row r="28">
      <c r="A28" s="10" t="inlineStr">
        <is>
          <t>미수금 증감</t>
        </is>
      </c>
      <c r="L28" s="11" t="n">
        <v>2.37</v>
      </c>
      <c r="P28" s="11" t="n">
        <v>3.98</v>
      </c>
      <c r="T28" s="11" t="n">
        <v>-3.89</v>
      </c>
      <c r="AC28" s="11" t="n">
        <v>2.37</v>
      </c>
      <c r="AD28" s="11" t="n">
        <v>3.98</v>
      </c>
      <c r="AE28" s="11" t="n">
        <v>-3.89</v>
      </c>
    </row>
    <row r="29">
      <c r="A29" s="10" t="inlineStr">
        <is>
          <t>매입채무 증감</t>
        </is>
      </c>
      <c r="D29" s="11" t="n">
        <v>-7.59</v>
      </c>
      <c r="F29" s="11" t="n">
        <v>8.85</v>
      </c>
      <c r="H29" s="11" t="n">
        <v>-1.73</v>
      </c>
      <c r="J29" s="11" t="n">
        <v>13.63</v>
      </c>
      <c r="L29" s="11" t="n">
        <v>0.24</v>
      </c>
      <c r="N29" s="11" t="n">
        <v>24.28</v>
      </c>
      <c r="P29" s="11" t="n">
        <v>1.85</v>
      </c>
      <c r="R29" s="11" t="n">
        <v>24.38</v>
      </c>
      <c r="T29" s="11" t="n">
        <v>14.17</v>
      </c>
      <c r="V29" s="11" t="n">
        <v>-3.14</v>
      </c>
      <c r="W29" s="11" t="n">
        <v>-2.92</v>
      </c>
      <c r="X29" s="11" t="n">
        <v>-1.48</v>
      </c>
      <c r="Y29" s="11" t="n">
        <v>11.86</v>
      </c>
      <c r="Z29" s="11" t="n">
        <v>-2.01</v>
      </c>
      <c r="AA29" s="11" t="n">
        <v>-7.59</v>
      </c>
      <c r="AB29" s="11" t="n">
        <v>-1.73</v>
      </c>
      <c r="AC29" s="11" t="n">
        <v>0.24</v>
      </c>
      <c r="AD29" s="11" t="n">
        <v>1.85</v>
      </c>
      <c r="AE29" s="11" t="n">
        <v>14.17</v>
      </c>
    </row>
    <row r="30">
      <c r="A30" s="10" t="inlineStr">
        <is>
          <t>예수금 증감</t>
        </is>
      </c>
      <c r="L30" s="11" t="n">
        <v>0.72</v>
      </c>
      <c r="P30" s="11" t="n">
        <v>7.77</v>
      </c>
      <c r="T30" s="11" t="n">
        <v>0.76</v>
      </c>
      <c r="AC30" s="11" t="n">
        <v>0.72</v>
      </c>
      <c r="AD30" s="11" t="n">
        <v>7.77</v>
      </c>
      <c r="AE30" s="11" t="n">
        <v>0.76</v>
      </c>
    </row>
    <row r="31">
      <c r="A31" s="10" t="inlineStr">
        <is>
          <t>미지급 소비세 증감</t>
        </is>
      </c>
      <c r="D31" s="11" t="n">
        <v>0.39</v>
      </c>
      <c r="H31" s="11" t="n">
        <v>-1.27</v>
      </c>
      <c r="L31" s="11" t="n">
        <v>1.89</v>
      </c>
      <c r="P31" s="11" t="n">
        <v>2.35</v>
      </c>
      <c r="T31" s="11" t="n">
        <v>0.93</v>
      </c>
      <c r="W31" s="11" t="n">
        <v>-0.36</v>
      </c>
      <c r="X31" s="11" t="n">
        <v>2.2</v>
      </c>
      <c r="Y31" s="11" t="n">
        <v>-1.66</v>
      </c>
      <c r="Z31" s="11" t="n">
        <v>0.32</v>
      </c>
      <c r="AA31" s="11" t="n">
        <v>0.39</v>
      </c>
      <c r="AB31" s="11" t="n">
        <v>-1.27</v>
      </c>
      <c r="AC31" s="11" t="n">
        <v>1.89</v>
      </c>
      <c r="AD31" s="11" t="n">
        <v>2.35</v>
      </c>
      <c r="AE31" s="11" t="n">
        <v>0.93</v>
      </c>
    </row>
    <row r="32">
      <c r="A32" s="10" t="inlineStr">
        <is>
          <t>기타 유동자산 증감</t>
        </is>
      </c>
      <c r="D32" s="11" t="n">
        <v>0.46</v>
      </c>
      <c r="H32" s="11" t="n">
        <v>-3.5</v>
      </c>
      <c r="L32" s="11" t="n">
        <v>-3.23</v>
      </c>
      <c r="P32" s="11" t="n">
        <v>0.3</v>
      </c>
      <c r="T32" s="11" t="n">
        <v>-1.4</v>
      </c>
      <c r="W32" s="11" t="n">
        <v>-2.07</v>
      </c>
      <c r="X32" s="11" t="n">
        <v>-0.65</v>
      </c>
      <c r="Y32" s="11" t="n">
        <v>-1.44</v>
      </c>
      <c r="Z32" s="11" t="n">
        <v>-1.54</v>
      </c>
      <c r="AA32" s="11" t="n">
        <v>0.46</v>
      </c>
      <c r="AB32" s="11" t="n">
        <v>-3.5</v>
      </c>
      <c r="AC32" s="11" t="n">
        <v>-3.23</v>
      </c>
      <c r="AD32" s="11" t="n">
        <v>0.3</v>
      </c>
      <c r="AE32" s="11" t="n">
        <v>-1.4</v>
      </c>
    </row>
    <row r="33">
      <c r="A33" s="10" t="inlineStr">
        <is>
          <t>기타 유동부채 증감</t>
        </is>
      </c>
      <c r="D33" s="11" t="n">
        <v>-2.44</v>
      </c>
      <c r="H33" s="11" t="n">
        <v>-1.95</v>
      </c>
      <c r="L33" s="11" t="n">
        <v>-0.64</v>
      </c>
      <c r="P33" s="11" t="n">
        <v>-0.06</v>
      </c>
      <c r="T33" s="11" t="n">
        <v>3.62</v>
      </c>
      <c r="W33" s="11" t="n">
        <v>-0.27</v>
      </c>
      <c r="X33" s="11" t="n">
        <v>3.85</v>
      </c>
      <c r="Y33" s="11" t="n">
        <v>0.7</v>
      </c>
      <c r="Z33" s="11" t="n">
        <v>7.24</v>
      </c>
      <c r="AA33" s="11" t="n">
        <v>-2.44</v>
      </c>
      <c r="AB33" s="11" t="n">
        <v>-1.95</v>
      </c>
      <c r="AC33" s="11" t="n">
        <v>-0.64</v>
      </c>
      <c r="AD33" s="11" t="n">
        <v>-0.06</v>
      </c>
      <c r="AE33" s="11" t="n">
        <v>3.62</v>
      </c>
    </row>
    <row r="34">
      <c r="A34" s="10" t="inlineStr">
        <is>
          <t>기타</t>
        </is>
      </c>
      <c r="D34" s="11" t="n">
        <v>0.38</v>
      </c>
      <c r="F34" s="11" t="n">
        <v>-2.37</v>
      </c>
      <c r="H34" s="11" t="n">
        <v>-1.87</v>
      </c>
      <c r="J34" s="11" t="n">
        <v>1.21</v>
      </c>
      <c r="L34" s="11" t="n">
        <v>-0.37</v>
      </c>
      <c r="N34" s="11" t="n">
        <v>1.55</v>
      </c>
      <c r="P34" s="11" t="n">
        <v>-1.17</v>
      </c>
      <c r="R34" s="11" t="n">
        <v>0.92</v>
      </c>
      <c r="T34" s="11" t="n">
        <v>0.06</v>
      </c>
      <c r="V34" s="11" t="n">
        <v>-5.01</v>
      </c>
      <c r="W34" s="11" t="n">
        <v>0.32</v>
      </c>
      <c r="X34" s="11" t="n">
        <v>-4.14</v>
      </c>
      <c r="Y34" s="11" t="n">
        <v>-0.22</v>
      </c>
      <c r="Z34" s="11" t="n">
        <v>1.13</v>
      </c>
      <c r="AA34" s="11" t="n">
        <v>0.38</v>
      </c>
      <c r="AB34" s="11" t="n">
        <v>-1.87</v>
      </c>
      <c r="AC34" s="11" t="n">
        <v>-0.37</v>
      </c>
      <c r="AD34" s="11" t="n">
        <v>-1.17</v>
      </c>
      <c r="AE34" s="11" t="n">
        <v>0.06</v>
      </c>
    </row>
    <row r="35">
      <c r="A35" s="10" t="inlineStr">
        <is>
          <t>소계</t>
        </is>
      </c>
      <c r="D35" s="11" t="n">
        <v>31.63</v>
      </c>
      <c r="F35" s="11" t="n">
        <v>24.45</v>
      </c>
      <c r="H35" s="11" t="n">
        <v>22.79</v>
      </c>
      <c r="J35" s="11" t="n">
        <v>33.59</v>
      </c>
      <c r="L35" s="11" t="n">
        <v>20.75</v>
      </c>
      <c r="N35" s="11" t="n">
        <v>39.25</v>
      </c>
      <c r="P35" s="11" t="n">
        <v>32.08</v>
      </c>
      <c r="R35" s="11" t="n">
        <v>51.29</v>
      </c>
      <c r="T35" s="11" t="n">
        <v>60.96</v>
      </c>
      <c r="V35" s="11" t="n">
        <v>16.62</v>
      </c>
      <c r="W35" s="11" t="n">
        <v>33.73</v>
      </c>
      <c r="X35" s="11" t="n">
        <v>32.33</v>
      </c>
      <c r="Y35" s="11" t="n">
        <v>39.3</v>
      </c>
      <c r="Z35" s="11" t="n">
        <v>58.41</v>
      </c>
      <c r="AA35" s="11" t="n">
        <v>31.63</v>
      </c>
      <c r="AB35" s="11" t="n">
        <v>22.79</v>
      </c>
      <c r="AC35" s="11" t="n">
        <v>20.75</v>
      </c>
      <c r="AD35" s="11" t="n">
        <v>32.08</v>
      </c>
      <c r="AE35" s="11" t="n">
        <v>60.96</v>
      </c>
    </row>
    <row r="36">
      <c r="A36" s="10" t="inlineStr">
        <is>
          <t>이자·배당금 수취</t>
        </is>
      </c>
      <c r="D36" s="11" t="n">
        <v>0.11</v>
      </c>
      <c r="F36" s="11" t="n">
        <v>0.07000000000000001</v>
      </c>
      <c r="H36" s="11" t="n">
        <v>0.11</v>
      </c>
      <c r="J36" s="11" t="n">
        <v>0.09</v>
      </c>
      <c r="L36" s="11" t="n">
        <v>0.15</v>
      </c>
      <c r="N36" s="11" t="n">
        <v>0.09</v>
      </c>
      <c r="P36" s="11" t="n">
        <v>0.14</v>
      </c>
      <c r="R36" s="11" t="n">
        <v>0.14</v>
      </c>
      <c r="T36" s="11" t="n">
        <v>0.25</v>
      </c>
      <c r="V36" s="11" t="n">
        <v>0.42</v>
      </c>
      <c r="W36" s="11" t="n">
        <v>0.1</v>
      </c>
      <c r="X36" s="11" t="n">
        <v>0.12</v>
      </c>
      <c r="Y36" s="11" t="n">
        <v>0.13</v>
      </c>
      <c r="Z36" s="11" t="n">
        <v>0.14</v>
      </c>
      <c r="AA36" s="11" t="n">
        <v>0.11</v>
      </c>
      <c r="AB36" s="11" t="n">
        <v>0.11</v>
      </c>
      <c r="AC36" s="11" t="n">
        <v>0.15</v>
      </c>
      <c r="AD36" s="11" t="n">
        <v>0.14</v>
      </c>
      <c r="AE36" s="11" t="n">
        <v>0.25</v>
      </c>
    </row>
    <row r="37">
      <c r="A37" s="10" t="inlineStr">
        <is>
          <t>이자 지급</t>
        </is>
      </c>
      <c r="D37" s="11" t="n">
        <v>-0.12</v>
      </c>
      <c r="F37" s="11" t="n">
        <v>-0.04</v>
      </c>
      <c r="H37" s="11" t="n">
        <v>-0.12</v>
      </c>
      <c r="J37" s="11" t="n">
        <v>-0.16</v>
      </c>
      <c r="L37" s="11" t="n">
        <v>-0.35</v>
      </c>
      <c r="N37" s="11" t="n">
        <v>-0.26</v>
      </c>
      <c r="P37" s="11" t="n">
        <v>-0.59</v>
      </c>
      <c r="R37" s="11" t="n">
        <v>-0.36</v>
      </c>
      <c r="T37" s="11" t="n">
        <v>-0.67</v>
      </c>
      <c r="V37" s="11" t="n">
        <v>-0.34</v>
      </c>
      <c r="W37" s="11" t="n">
        <v>-0.15</v>
      </c>
      <c r="X37" s="11" t="n">
        <v>-0.16</v>
      </c>
      <c r="Y37" s="11" t="n">
        <v>-0.13</v>
      </c>
      <c r="Z37" s="11" t="n">
        <v>-0.14</v>
      </c>
      <c r="AA37" s="11" t="n">
        <v>-0.12</v>
      </c>
      <c r="AB37" s="11" t="n">
        <v>-0.12</v>
      </c>
      <c r="AC37" s="11" t="n">
        <v>-0.35</v>
      </c>
      <c r="AD37" s="11" t="n">
        <v>-0.59</v>
      </c>
      <c r="AE37" s="11" t="n">
        <v>-0.67</v>
      </c>
    </row>
    <row r="38">
      <c r="A38" s="10" t="inlineStr">
        <is>
          <t>법인세 납부</t>
        </is>
      </c>
      <c r="D38" s="11" t="n">
        <v>-9.08</v>
      </c>
      <c r="F38" s="11" t="n">
        <v>-2.02</v>
      </c>
      <c r="H38" s="11" t="n">
        <v>-3.45</v>
      </c>
      <c r="J38" s="11" t="n">
        <v>-2.77</v>
      </c>
      <c r="L38" s="11" t="n">
        <v>-4.27</v>
      </c>
      <c r="N38" s="11" t="n">
        <v>-0.33</v>
      </c>
      <c r="P38" s="11" t="n">
        <v>-0.38</v>
      </c>
      <c r="R38" s="11" t="n">
        <v>-0.7</v>
      </c>
      <c r="T38" s="11" t="n">
        <v>-1.04</v>
      </c>
      <c r="V38" s="11" t="n">
        <v>-2.4</v>
      </c>
      <c r="W38" s="11" t="n">
        <v>-14.84</v>
      </c>
      <c r="X38" s="11" t="n">
        <v>-3.67</v>
      </c>
      <c r="Y38" s="11" t="n">
        <v>-5.47</v>
      </c>
      <c r="Z38" s="11" t="n">
        <v>-1.91</v>
      </c>
      <c r="AA38" s="11" t="n">
        <v>-9.08</v>
      </c>
      <c r="AB38" s="11" t="n">
        <v>-3.45</v>
      </c>
      <c r="AC38" s="11" t="n">
        <v>-4.27</v>
      </c>
      <c r="AD38" s="11" t="n">
        <v>-0.38</v>
      </c>
      <c r="AE38" s="11" t="n">
        <v>-1.04</v>
      </c>
    </row>
    <row r="39">
      <c r="A39" s="10" t="inlineStr">
        <is>
          <t>법인세 환급</t>
        </is>
      </c>
      <c r="D39" s="11" t="n">
        <v>0</v>
      </c>
      <c r="F39" s="11" t="n">
        <v>0</v>
      </c>
      <c r="H39" s="11" t="n">
        <v>0</v>
      </c>
      <c r="J39" s="11" t="n">
        <v>0</v>
      </c>
      <c r="L39" s="11" t="n">
        <v>0</v>
      </c>
      <c r="N39" s="11" t="n">
        <v>1.71</v>
      </c>
      <c r="P39" s="11" t="n">
        <v>1.91</v>
      </c>
      <c r="R39" s="11" t="n">
        <v>0</v>
      </c>
      <c r="T39" s="11" t="n">
        <v>0</v>
      </c>
      <c r="W39" s="11" t="n">
        <v>0</v>
      </c>
      <c r="X39" s="11" t="n">
        <v>2.98</v>
      </c>
      <c r="Y39" s="11" t="n">
        <v>0</v>
      </c>
      <c r="Z39" s="11" t="n">
        <v>0.37</v>
      </c>
      <c r="AA39" s="11" t="n">
        <v>0</v>
      </c>
      <c r="AB39" s="11" t="n">
        <v>0</v>
      </c>
      <c r="AC39" s="11" t="n">
        <v>0</v>
      </c>
      <c r="AD39" s="11" t="n">
        <v>1.91</v>
      </c>
      <c r="AE39" s="11" t="n">
        <v>0</v>
      </c>
    </row>
    <row r="40">
      <c r="A40" s="10" t="inlineStr">
        <is>
          <t>영업활동 현금흐름</t>
        </is>
      </c>
      <c r="D40" s="11" t="n">
        <v>22.53</v>
      </c>
      <c r="F40" s="11" t="n">
        <v>22.45</v>
      </c>
      <c r="H40" s="11" t="n">
        <v>19.31</v>
      </c>
      <c r="J40" s="11" t="n">
        <v>30.75</v>
      </c>
      <c r="L40" s="11" t="n">
        <v>16.28</v>
      </c>
      <c r="N40" s="11" t="n">
        <v>40.47</v>
      </c>
      <c r="P40" s="11" t="n">
        <v>33.17</v>
      </c>
      <c r="R40" s="11" t="n">
        <v>50.37</v>
      </c>
      <c r="T40" s="11" t="n">
        <v>59.5</v>
      </c>
      <c r="V40" s="11" t="n">
        <v>14.29</v>
      </c>
      <c r="W40" s="11" t="n">
        <v>18.84</v>
      </c>
      <c r="X40" s="11" t="n">
        <v>31.61</v>
      </c>
      <c r="Y40" s="11" t="n">
        <v>33.82</v>
      </c>
      <c r="Z40" s="11" t="n">
        <v>56.88</v>
      </c>
      <c r="AA40" s="11" t="n">
        <v>22.53</v>
      </c>
      <c r="AB40" s="11" t="n">
        <v>19.31</v>
      </c>
      <c r="AC40" s="11" t="n">
        <v>16.28</v>
      </c>
      <c r="AD40" s="11" t="n">
        <v>33.17</v>
      </c>
      <c r="AE40" s="11" t="n">
        <v>59.5</v>
      </c>
    </row>
    <row r="41">
      <c r="A41" s="10" t="inlineStr">
        <is>
          <t>정기예금 순증감</t>
        </is>
      </c>
      <c r="D41" s="11" t="n">
        <v>0.1</v>
      </c>
      <c r="H41" s="11" t="n">
        <v>0</v>
      </c>
      <c r="L41" s="11" t="n">
        <v>0.05</v>
      </c>
      <c r="P41" s="11" t="n">
        <v>0</v>
      </c>
      <c r="W41" s="11" t="n">
        <v>1.66</v>
      </c>
      <c r="X41" s="11" t="n">
        <v>-0.12</v>
      </c>
      <c r="Y41" s="11" t="n">
        <v>0.35</v>
      </c>
      <c r="Z41" s="11" t="n">
        <v>-0</v>
      </c>
      <c r="AA41" s="11" t="n">
        <v>0.1</v>
      </c>
      <c r="AB41" s="11" t="n">
        <v>0</v>
      </c>
      <c r="AC41" s="11" t="n">
        <v>0.05</v>
      </c>
      <c r="AD41" s="11" t="n">
        <v>0</v>
      </c>
    </row>
    <row r="42">
      <c r="A42" s="10" t="inlineStr">
        <is>
          <t>유가증권 취득</t>
        </is>
      </c>
      <c r="D42" s="11" t="n">
        <v>-0.05</v>
      </c>
      <c r="H42" s="11" t="n">
        <v>0</v>
      </c>
      <c r="W42" s="11" t="n">
        <v>-0.03</v>
      </c>
      <c r="X42" s="11" t="n">
        <v>-0.01</v>
      </c>
      <c r="Y42" s="11" t="n">
        <v>-0.01</v>
      </c>
      <c r="Z42" s="11" t="n">
        <v>0</v>
      </c>
      <c r="AA42" s="11" t="n">
        <v>-0.05</v>
      </c>
      <c r="AB42" s="11" t="n">
        <v>0</v>
      </c>
    </row>
    <row r="43">
      <c r="A43" s="10" t="inlineStr">
        <is>
          <t>유가증권 매각</t>
        </is>
      </c>
      <c r="D43" s="11" t="n">
        <v>0.03</v>
      </c>
      <c r="H43" s="11" t="n">
        <v>0.28</v>
      </c>
      <c r="L43" s="11" t="n">
        <v>0.04</v>
      </c>
      <c r="P43" s="11" t="n">
        <v>0</v>
      </c>
      <c r="W43" s="11" t="n">
        <v>0</v>
      </c>
      <c r="X43" s="11" t="n">
        <v>0</v>
      </c>
      <c r="Y43" s="11" t="n">
        <v>0.05</v>
      </c>
      <c r="Z43" s="11" t="n">
        <v>0</v>
      </c>
      <c r="AA43" s="11" t="n">
        <v>0.03</v>
      </c>
      <c r="AB43" s="11" t="n">
        <v>0.28</v>
      </c>
      <c r="AC43" s="11" t="n">
        <v>0.04</v>
      </c>
      <c r="AD43" s="11" t="n">
        <v>0</v>
      </c>
    </row>
    <row r="44">
      <c r="A44" s="10" t="inlineStr">
        <is>
          <t>자회사 청산 수입</t>
        </is>
      </c>
      <c r="P44" s="11" t="n">
        <v>0</v>
      </c>
      <c r="T44" s="11" t="n">
        <v>0.76</v>
      </c>
      <c r="AD44" s="11" t="n">
        <v>0</v>
      </c>
      <c r="AE44" s="11" t="n">
        <v>0.76</v>
      </c>
    </row>
    <row r="45">
      <c r="A45" s="10" t="inlineStr">
        <is>
          <t>유형자산 취득(설비투자)</t>
        </is>
      </c>
      <c r="D45" s="11" t="n">
        <v>-28.56</v>
      </c>
      <c r="F45" s="11" t="n">
        <v>-20.09</v>
      </c>
      <c r="H45" s="11" t="n">
        <v>-61.73</v>
      </c>
      <c r="J45" s="11" t="n">
        <v>-15.32</v>
      </c>
      <c r="L45" s="11" t="n">
        <v>-34.91</v>
      </c>
      <c r="N45" s="11" t="n">
        <v>-10.69</v>
      </c>
      <c r="P45" s="11" t="n">
        <v>-16.06</v>
      </c>
      <c r="R45" s="11" t="n">
        <v>-3.2</v>
      </c>
      <c r="T45" s="11" t="n">
        <v>-5.27</v>
      </c>
      <c r="V45" s="11" t="n">
        <v>-5.9</v>
      </c>
      <c r="W45" s="11" t="n">
        <v>-35.66</v>
      </c>
      <c r="X45" s="11" t="n">
        <v>-23.19</v>
      </c>
      <c r="Y45" s="11" t="n">
        <v>-28.11</v>
      </c>
      <c r="Z45" s="11" t="n">
        <v>-42.78</v>
      </c>
      <c r="AA45" s="11" t="n">
        <v>-28.56</v>
      </c>
      <c r="AB45" s="11" t="n">
        <v>-61.73</v>
      </c>
      <c r="AC45" s="11" t="n">
        <v>-34.91</v>
      </c>
      <c r="AD45" s="11" t="n">
        <v>-16.06</v>
      </c>
      <c r="AE45" s="11" t="n">
        <v>-5.27</v>
      </c>
    </row>
    <row r="46">
      <c r="A46" s="10" t="inlineStr">
        <is>
          <t>유형자산 매각</t>
        </is>
      </c>
      <c r="D46" s="11" t="n">
        <v>0.05</v>
      </c>
      <c r="H46" s="11" t="n">
        <v>0.25</v>
      </c>
      <c r="L46" s="11" t="n">
        <v>1.07</v>
      </c>
      <c r="P46" s="11" t="n">
        <v>0.37</v>
      </c>
      <c r="T46" s="11" t="n">
        <v>0.09</v>
      </c>
      <c r="W46" s="11" t="n">
        <v>0.68</v>
      </c>
      <c r="X46" s="11" t="n">
        <v>16.5</v>
      </c>
      <c r="Y46" s="11" t="n">
        <v>5.73</v>
      </c>
      <c r="Z46" s="11" t="n">
        <v>7.15</v>
      </c>
      <c r="AA46" s="11" t="n">
        <v>0.05</v>
      </c>
      <c r="AB46" s="11" t="n">
        <v>0.25</v>
      </c>
      <c r="AC46" s="11" t="n">
        <v>1.07</v>
      </c>
      <c r="AD46" s="11" t="n">
        <v>0.37</v>
      </c>
      <c r="AE46" s="11" t="n">
        <v>0.09</v>
      </c>
    </row>
    <row r="47">
      <c r="A47" s="10" t="inlineStr">
        <is>
          <t>기타 무형자산 취득</t>
        </is>
      </c>
      <c r="D47" s="11" t="n">
        <v>-2.84</v>
      </c>
      <c r="H47" s="11" t="n">
        <v>-1.28</v>
      </c>
      <c r="L47" s="11" t="n">
        <v>-9.289999999999999</v>
      </c>
      <c r="P47" s="11" t="n">
        <v>-9.94</v>
      </c>
      <c r="W47" s="11" t="n">
        <v>-1.57</v>
      </c>
      <c r="X47" s="11" t="n">
        <v>-0.82</v>
      </c>
      <c r="Y47" s="11" t="n">
        <v>-2.14</v>
      </c>
      <c r="Z47" s="11" t="n">
        <v>-1.38</v>
      </c>
      <c r="AA47" s="11" t="n">
        <v>-2.84</v>
      </c>
      <c r="AB47" s="11" t="n">
        <v>-1.28</v>
      </c>
      <c r="AC47" s="11" t="n">
        <v>-9.289999999999999</v>
      </c>
      <c r="AD47" s="11" t="n">
        <v>-9.94</v>
      </c>
    </row>
    <row r="48">
      <c r="A48" s="10" t="inlineStr">
        <is>
          <t>대여</t>
        </is>
      </c>
      <c r="D48" s="11" t="n">
        <v>0</v>
      </c>
      <c r="H48" s="11" t="n">
        <v>-2.13</v>
      </c>
      <c r="L48" s="11" t="n">
        <v>-0</v>
      </c>
      <c r="P48" s="11" t="n">
        <v>0</v>
      </c>
      <c r="Y48" s="11" t="n">
        <v>0</v>
      </c>
      <c r="Z48" s="11" t="n">
        <v>-0.02</v>
      </c>
      <c r="AA48" s="11" t="n">
        <v>0</v>
      </c>
      <c r="AB48" s="11" t="n">
        <v>-2.13</v>
      </c>
      <c r="AC48" s="11" t="n">
        <v>-0</v>
      </c>
      <c r="AD48" s="11" t="n">
        <v>0</v>
      </c>
    </row>
    <row r="49">
      <c r="A49" s="10" t="inlineStr">
        <is>
          <t>무형자산 취득</t>
        </is>
      </c>
      <c r="P49" s="11" t="n">
        <v>-9.94</v>
      </c>
      <c r="T49" s="11" t="n">
        <v>-5.4</v>
      </c>
      <c r="AD49" s="11" t="n">
        <v>-9.94</v>
      </c>
      <c r="AE49" s="11" t="n">
        <v>-5.4</v>
      </c>
    </row>
    <row r="50">
      <c r="A50" s="10" t="inlineStr">
        <is>
          <t>대여금 회수</t>
        </is>
      </c>
      <c r="D50" s="11" t="n">
        <v>0</v>
      </c>
      <c r="H50" s="11" t="n">
        <v>0</v>
      </c>
      <c r="L50" s="11" t="n">
        <v>0.22</v>
      </c>
      <c r="P50" s="11" t="n">
        <v>0.15</v>
      </c>
      <c r="T50" s="11" t="n">
        <v>0.4</v>
      </c>
      <c r="W50" s="11" t="n">
        <v>0</v>
      </c>
      <c r="X50" s="11" t="n">
        <v>0</v>
      </c>
      <c r="Y50" s="11" t="n">
        <v>0</v>
      </c>
      <c r="Z50" s="11" t="n">
        <v>0</v>
      </c>
      <c r="AA50" s="11" t="n">
        <v>0</v>
      </c>
      <c r="AB50" s="11" t="n">
        <v>0</v>
      </c>
      <c r="AC50" s="11" t="n">
        <v>0.22</v>
      </c>
      <c r="AD50" s="11" t="n">
        <v>0.15</v>
      </c>
      <c r="AE50" s="11" t="n">
        <v>0.4</v>
      </c>
    </row>
    <row r="51">
      <c r="A51" s="10" t="inlineStr">
        <is>
          <t>임차보증금·보증금 납입</t>
        </is>
      </c>
      <c r="D51" s="11" t="n">
        <v>-0.26</v>
      </c>
      <c r="F51" s="11" t="n">
        <v>-0.89</v>
      </c>
      <c r="H51" s="11" t="n">
        <v>-8.31</v>
      </c>
      <c r="J51" s="11" t="n">
        <v>-0.19</v>
      </c>
      <c r="L51" s="11" t="n">
        <v>-0.55</v>
      </c>
      <c r="N51" s="11" t="n">
        <v>-1.53</v>
      </c>
      <c r="P51" s="11" t="n">
        <v>-1.54</v>
      </c>
      <c r="R51" s="11" t="n">
        <v>-0.04</v>
      </c>
      <c r="T51" s="11" t="n">
        <v>-0.15</v>
      </c>
      <c r="V51" s="11" t="n">
        <v>-1.59</v>
      </c>
      <c r="W51" s="11" t="n">
        <v>-0.09</v>
      </c>
      <c r="X51" s="11" t="n">
        <v>-0.14</v>
      </c>
      <c r="Y51" s="11" t="n">
        <v>-0.68</v>
      </c>
      <c r="Z51" s="11" t="n">
        <v>-0.32</v>
      </c>
      <c r="AA51" s="11" t="n">
        <v>-0.26</v>
      </c>
      <c r="AB51" s="11" t="n">
        <v>-8.31</v>
      </c>
      <c r="AC51" s="11" t="n">
        <v>-0.55</v>
      </c>
      <c r="AD51" s="11" t="n">
        <v>-1.54</v>
      </c>
      <c r="AE51" s="11" t="n">
        <v>-0.15</v>
      </c>
    </row>
    <row r="52">
      <c r="A52" s="10" t="inlineStr">
        <is>
          <t>임차보증금·보증금 회수</t>
        </is>
      </c>
      <c r="D52" s="11" t="n">
        <v>0.45</v>
      </c>
      <c r="F52" s="11" t="n">
        <v>0.13</v>
      </c>
      <c r="H52" s="11" t="n">
        <v>0.32</v>
      </c>
      <c r="J52" s="11" t="n">
        <v>0.13</v>
      </c>
      <c r="L52" s="11" t="n">
        <v>7.95</v>
      </c>
      <c r="N52" s="11" t="n">
        <v>0.01</v>
      </c>
      <c r="P52" s="11" t="n">
        <v>0.04</v>
      </c>
      <c r="R52" s="11" t="n">
        <v>0.02</v>
      </c>
      <c r="T52" s="11" t="n">
        <v>0.2</v>
      </c>
      <c r="V52" s="11" t="n">
        <v>0.03</v>
      </c>
      <c r="W52" s="11" t="n">
        <v>0.8100000000000001</v>
      </c>
      <c r="X52" s="11" t="n">
        <v>0.7</v>
      </c>
      <c r="Y52" s="11" t="n">
        <v>0.5</v>
      </c>
      <c r="Z52" s="11" t="n">
        <v>1.4</v>
      </c>
      <c r="AA52" s="11" t="n">
        <v>0.45</v>
      </c>
      <c r="AB52" s="11" t="n">
        <v>0.32</v>
      </c>
      <c r="AC52" s="11" t="n">
        <v>7.95</v>
      </c>
      <c r="AD52" s="11" t="n">
        <v>0.04</v>
      </c>
      <c r="AE52" s="11" t="n">
        <v>0.2</v>
      </c>
    </row>
    <row r="53">
      <c r="A53" s="10" t="inlineStr">
        <is>
          <t>보험적립금 적립</t>
        </is>
      </c>
      <c r="D53" s="11" t="n">
        <v>-0.05</v>
      </c>
      <c r="H53" s="11" t="n">
        <v>-0</v>
      </c>
      <c r="L53" s="11" t="n">
        <v>0</v>
      </c>
      <c r="W53" s="11" t="n">
        <v>-0.07000000000000001</v>
      </c>
      <c r="X53" s="11" t="n">
        <v>-0.06</v>
      </c>
      <c r="Y53" s="11" t="n">
        <v>-0.06</v>
      </c>
      <c r="Z53" s="11" t="n">
        <v>-0.05</v>
      </c>
      <c r="AA53" s="11" t="n">
        <v>-0.05</v>
      </c>
      <c r="AB53" s="11" t="n">
        <v>-0</v>
      </c>
      <c r="AC53" s="11" t="n">
        <v>0</v>
      </c>
    </row>
    <row r="54">
      <c r="A54" s="10" t="inlineStr">
        <is>
          <t>보험적립금 환급</t>
        </is>
      </c>
      <c r="D54" s="11" t="n">
        <v>0</v>
      </c>
      <c r="H54" s="11" t="n">
        <v>1.33</v>
      </c>
      <c r="L54" s="11" t="n">
        <v>0</v>
      </c>
      <c r="W54" s="11" t="n">
        <v>0.05</v>
      </c>
      <c r="X54" s="11" t="n">
        <v>0.07000000000000001</v>
      </c>
      <c r="Y54" s="11" t="n">
        <v>0.04</v>
      </c>
      <c r="Z54" s="11" t="n">
        <v>0.02</v>
      </c>
      <c r="AA54" s="11" t="n">
        <v>0</v>
      </c>
      <c r="AB54" s="11" t="n">
        <v>1.33</v>
      </c>
      <c r="AC54" s="11" t="n">
        <v>0</v>
      </c>
    </row>
    <row r="55">
      <c r="A55" s="10" t="inlineStr">
        <is>
          <t>출자금 납입</t>
        </is>
      </c>
      <c r="X55" s="11" t="n">
        <v>0</v>
      </c>
      <c r="Y55" s="11" t="n">
        <v>-0</v>
      </c>
      <c r="Z55" s="11" t="n">
        <v>0</v>
      </c>
    </row>
    <row r="56">
      <c r="A56" s="10" t="inlineStr">
        <is>
          <t>자산복구부채 이행 지출</t>
        </is>
      </c>
      <c r="W56" s="11" t="n">
        <v>-0.15</v>
      </c>
      <c r="X56" s="11" t="n">
        <v>-0.12</v>
      </c>
      <c r="Y56" s="11" t="n">
        <v>0</v>
      </c>
    </row>
    <row r="57">
      <c r="A57" s="10" t="inlineStr">
        <is>
          <t>보조금 수취</t>
        </is>
      </c>
      <c r="L57" s="11" t="n">
        <v>0</v>
      </c>
      <c r="P57" s="11" t="n">
        <v>1.5</v>
      </c>
      <c r="T57" s="11" t="n">
        <v>0.11</v>
      </c>
      <c r="AC57" s="11" t="n">
        <v>0</v>
      </c>
      <c r="AD57" s="11" t="n">
        <v>1.5</v>
      </c>
      <c r="AE57" s="11" t="n">
        <v>0.11</v>
      </c>
    </row>
    <row r="58">
      <c r="A58" s="10" t="inlineStr">
        <is>
          <t>지원금 수입</t>
        </is>
      </c>
      <c r="L58" s="11" t="n">
        <v>0</v>
      </c>
      <c r="P58" s="11" t="n">
        <v>1.5</v>
      </c>
      <c r="T58" s="11" t="n">
        <v>0</v>
      </c>
      <c r="AC58" s="11" t="n">
        <v>0</v>
      </c>
      <c r="AD58" s="11" t="n">
        <v>1.5</v>
      </c>
      <c r="AE58" s="11" t="n">
        <v>0</v>
      </c>
    </row>
    <row r="59">
      <c r="A59" s="10" t="inlineStr">
        <is>
          <t>사업분리 수입</t>
        </is>
      </c>
      <c r="P59" s="11" t="n">
        <v>0</v>
      </c>
      <c r="T59" s="11" t="n">
        <v>21.93</v>
      </c>
      <c r="AD59" s="11" t="n">
        <v>0</v>
      </c>
      <c r="AE59" s="11" t="n">
        <v>21.93</v>
      </c>
    </row>
    <row r="60">
      <c r="A60" s="10" t="inlineStr">
        <is>
          <t>기타</t>
        </is>
      </c>
      <c r="F60" s="11" t="n">
        <v>-1.72</v>
      </c>
      <c r="H60" s="11" t="n">
        <v>0</v>
      </c>
      <c r="J60" s="11" t="n">
        <v>-2.64</v>
      </c>
      <c r="L60" s="11" t="n">
        <v>0</v>
      </c>
      <c r="N60" s="11" t="n">
        <v>0.14</v>
      </c>
      <c r="P60" s="11" t="n">
        <v>0</v>
      </c>
      <c r="R60" s="11" t="n">
        <v>-0.83</v>
      </c>
      <c r="T60" s="11" t="n">
        <v>-2.08</v>
      </c>
      <c r="V60" s="11" t="n">
        <v>3.06</v>
      </c>
      <c r="AB60" s="11" t="n">
        <v>0</v>
      </c>
      <c r="AC60" s="11" t="n">
        <v>0</v>
      </c>
      <c r="AD60" s="11" t="n">
        <v>0</v>
      </c>
      <c r="AE60" s="11" t="n">
        <v>-2.08</v>
      </c>
    </row>
    <row r="61">
      <c r="A61" s="10" t="inlineStr">
        <is>
          <t>투자활동 현금흐름</t>
        </is>
      </c>
      <c r="D61" s="11" t="n">
        <v>-31.13</v>
      </c>
      <c r="F61" s="11" t="n">
        <v>-22.59</v>
      </c>
      <c r="H61" s="11" t="n">
        <v>-71.28</v>
      </c>
      <c r="J61" s="11" t="n">
        <v>-18.03</v>
      </c>
      <c r="L61" s="11" t="n">
        <v>-35.42</v>
      </c>
      <c r="N61" s="11" t="n">
        <v>-12.07</v>
      </c>
      <c r="P61" s="11" t="n">
        <v>-23.96</v>
      </c>
      <c r="R61" s="11" t="n">
        <v>-4.07</v>
      </c>
      <c r="T61" s="11" t="n">
        <v>10.59</v>
      </c>
      <c r="V61" s="11" t="n">
        <v>-4.4</v>
      </c>
      <c r="W61" s="11" t="n">
        <v>-34.37</v>
      </c>
      <c r="X61" s="11" t="n">
        <v>-7.18</v>
      </c>
      <c r="Y61" s="11" t="n">
        <v>-24.33</v>
      </c>
      <c r="Z61" s="11" t="n">
        <v>-35.99</v>
      </c>
      <c r="AA61" s="11" t="n">
        <v>-31.13</v>
      </c>
      <c r="AB61" s="11" t="n">
        <v>-71.28</v>
      </c>
      <c r="AC61" s="11" t="n">
        <v>-35.42</v>
      </c>
      <c r="AD61" s="11" t="n">
        <v>-23.96</v>
      </c>
      <c r="AE61" s="11" t="n">
        <v>10.59</v>
      </c>
    </row>
    <row r="62">
      <c r="A62" s="10" t="inlineStr">
        <is>
          <t>단기차입금 순증감</t>
        </is>
      </c>
      <c r="D62" s="11" t="n">
        <v>-4</v>
      </c>
      <c r="F62" s="11" t="n">
        <v>-11</v>
      </c>
      <c r="H62" s="11" t="n">
        <v>44</v>
      </c>
      <c r="J62" s="11" t="n">
        <v>-28</v>
      </c>
      <c r="L62" s="11" t="n">
        <v>6</v>
      </c>
      <c r="N62" s="11" t="n">
        <v>-17</v>
      </c>
      <c r="P62" s="11" t="n">
        <v>1</v>
      </c>
      <c r="R62" s="11" t="n">
        <v>-35</v>
      </c>
      <c r="T62" s="11" t="n">
        <v>-59</v>
      </c>
      <c r="V62" s="11" t="n">
        <v>-9</v>
      </c>
      <c r="W62" s="11" t="n">
        <v>9.699999999999999</v>
      </c>
      <c r="X62" s="11" t="n">
        <v>-3.5</v>
      </c>
      <c r="Y62" s="11" t="n">
        <v>6.3</v>
      </c>
      <c r="Z62" s="11" t="n">
        <v>-11.5</v>
      </c>
      <c r="AA62" s="11" t="n">
        <v>-4</v>
      </c>
      <c r="AB62" s="11" t="n">
        <v>44</v>
      </c>
      <c r="AC62" s="11" t="n">
        <v>6</v>
      </c>
      <c r="AD62" s="11" t="n">
        <v>1</v>
      </c>
      <c r="AE62" s="11" t="n">
        <v>-59</v>
      </c>
    </row>
    <row r="63">
      <c r="A63" s="10" t="inlineStr">
        <is>
          <t>장기차입</t>
        </is>
      </c>
      <c r="F63" s="11" t="n">
        <v>10</v>
      </c>
      <c r="J63" s="11" t="n">
        <v>30.5</v>
      </c>
      <c r="N63" s="11" t="n">
        <v>0</v>
      </c>
      <c r="P63" s="11" t="n">
        <v>0</v>
      </c>
      <c r="R63" s="11" t="n">
        <v>1.2</v>
      </c>
      <c r="T63" s="11" t="n">
        <v>6.9</v>
      </c>
      <c r="V63" s="11" t="n">
        <v>0</v>
      </c>
      <c r="AD63" s="11" t="n">
        <v>0</v>
      </c>
      <c r="AE63" s="11" t="n">
        <v>6.9</v>
      </c>
    </row>
    <row r="64">
      <c r="A64" s="10" t="inlineStr">
        <is>
          <t>장기차입금 상환</t>
        </is>
      </c>
      <c r="D64" s="11" t="n">
        <v>-1.64</v>
      </c>
      <c r="H64" s="11" t="n">
        <v>-2.3</v>
      </c>
      <c r="L64" s="11" t="n">
        <v>-4.66</v>
      </c>
      <c r="P64" s="11" t="n">
        <v>-5.25</v>
      </c>
      <c r="T64" s="11" t="n">
        <v>-7.17</v>
      </c>
      <c r="W64" s="11" t="n">
        <v>-3.65</v>
      </c>
      <c r="X64" s="11" t="n">
        <v>-3.35</v>
      </c>
      <c r="Y64" s="11" t="n">
        <v>-1.95</v>
      </c>
      <c r="Z64" s="11" t="n">
        <v>-2.06</v>
      </c>
      <c r="AA64" s="11" t="n">
        <v>-1.64</v>
      </c>
      <c r="AB64" s="11" t="n">
        <v>-2.3</v>
      </c>
      <c r="AC64" s="11" t="n">
        <v>-4.66</v>
      </c>
      <c r="AD64" s="11" t="n">
        <v>-5.25</v>
      </c>
      <c r="AE64" s="11" t="n">
        <v>-7.17</v>
      </c>
    </row>
    <row r="65">
      <c r="A65" s="10" t="inlineStr">
        <is>
          <t>장기차입</t>
        </is>
      </c>
      <c r="D65" s="11" t="n">
        <v>5</v>
      </c>
      <c r="H65" s="11" t="n">
        <v>10</v>
      </c>
      <c r="L65" s="11" t="n">
        <v>31.3</v>
      </c>
      <c r="P65" s="11" t="n">
        <v>0</v>
      </c>
      <c r="W65" s="11" t="n">
        <v>0</v>
      </c>
      <c r="X65" s="11" t="n">
        <v>2</v>
      </c>
      <c r="Y65" s="11" t="n">
        <v>0.45</v>
      </c>
      <c r="Z65" s="11" t="n">
        <v>5</v>
      </c>
      <c r="AA65" s="11" t="n">
        <v>5</v>
      </c>
      <c r="AB65" s="11" t="n">
        <v>10</v>
      </c>
      <c r="AC65" s="11" t="n">
        <v>31.3</v>
      </c>
      <c r="AD65" s="11" t="n">
        <v>0</v>
      </c>
    </row>
    <row r="66">
      <c r="A66" s="10" t="inlineStr">
        <is>
          <t>자기주식 취득</t>
        </is>
      </c>
      <c r="D66" s="11" t="n">
        <v>-0</v>
      </c>
      <c r="H66" s="11" t="n">
        <v>-1.85</v>
      </c>
      <c r="L66" s="11" t="n">
        <v>-0</v>
      </c>
      <c r="P66" s="11" t="n">
        <v>-0</v>
      </c>
      <c r="T66" s="11" t="n">
        <v>-5.43</v>
      </c>
      <c r="W66" s="11" t="n">
        <v>-0</v>
      </c>
      <c r="X66" s="11" t="n">
        <v>-0</v>
      </c>
      <c r="Y66" s="11" t="n">
        <v>-0</v>
      </c>
      <c r="Z66" s="11" t="n">
        <v>-0</v>
      </c>
      <c r="AA66" s="11" t="n">
        <v>-0</v>
      </c>
      <c r="AB66" s="11" t="n">
        <v>-1.85</v>
      </c>
      <c r="AC66" s="11" t="n">
        <v>-0</v>
      </c>
      <c r="AD66" s="11" t="n">
        <v>-0</v>
      </c>
      <c r="AE66" s="11" t="n">
        <v>-5.43</v>
      </c>
    </row>
    <row r="67">
      <c r="A67" s="10" t="inlineStr">
        <is>
          <t>자기주식 처분</t>
        </is>
      </c>
      <c r="D67" s="11" t="n">
        <v>0</v>
      </c>
      <c r="H67" s="11" t="n">
        <v>0.06</v>
      </c>
      <c r="L67" s="11" t="n">
        <v>0</v>
      </c>
      <c r="W67" s="11" t="n">
        <v>0</v>
      </c>
      <c r="X67" s="11" t="n">
        <v>0</v>
      </c>
      <c r="Y67" s="11" t="n">
        <v>0</v>
      </c>
      <c r="Z67" s="11" t="n">
        <v>0</v>
      </c>
      <c r="AA67" s="11" t="n">
        <v>0</v>
      </c>
      <c r="AB67" s="11" t="n">
        <v>0.06</v>
      </c>
      <c r="AC67" s="11" t="n">
        <v>0</v>
      </c>
    </row>
    <row r="68">
      <c r="A68" s="10" t="inlineStr">
        <is>
          <t>배당금 지급</t>
        </is>
      </c>
      <c r="D68" s="11" t="n">
        <v>-2.94</v>
      </c>
      <c r="F68" s="11" t="n">
        <v>-1.47</v>
      </c>
      <c r="H68" s="11" t="n">
        <v>-2.94</v>
      </c>
      <c r="J68" s="11" t="n">
        <v>-1.45</v>
      </c>
      <c r="L68" s="11" t="n">
        <v>-2.9</v>
      </c>
      <c r="N68" s="11" t="n">
        <v>-1.45</v>
      </c>
      <c r="P68" s="11" t="n">
        <v>-2.91</v>
      </c>
      <c r="R68" s="11" t="n">
        <v>-1.45</v>
      </c>
      <c r="T68" s="11" t="n">
        <v>-2.91</v>
      </c>
      <c r="V68" s="11" t="n">
        <v>-1.38</v>
      </c>
      <c r="W68" s="11" t="n">
        <v>-3.59</v>
      </c>
      <c r="X68" s="11" t="n">
        <v>-3.59</v>
      </c>
      <c r="Y68" s="11" t="n">
        <v>-2.94</v>
      </c>
      <c r="Z68" s="11" t="n">
        <v>-2.94</v>
      </c>
      <c r="AA68" s="11" t="n">
        <v>-2.94</v>
      </c>
      <c r="AB68" s="11" t="n">
        <v>-2.94</v>
      </c>
      <c r="AC68" s="11" t="n">
        <v>-2.9</v>
      </c>
      <c r="AD68" s="11" t="n">
        <v>-2.91</v>
      </c>
      <c r="AE68" s="11" t="n">
        <v>-2.91</v>
      </c>
    </row>
    <row r="69">
      <c r="A69" s="10" t="inlineStr">
        <is>
          <t>금융리스부채 상환</t>
        </is>
      </c>
      <c r="D69" s="11" t="n">
        <v>-3.4</v>
      </c>
      <c r="H69" s="11" t="n">
        <v>-2.94</v>
      </c>
      <c r="L69" s="11" t="n">
        <v>-3.73</v>
      </c>
      <c r="P69" s="11" t="n">
        <v>-4.84</v>
      </c>
      <c r="T69" s="11" t="n">
        <v>-6.29</v>
      </c>
      <c r="W69" s="11" t="n">
        <v>-3.02</v>
      </c>
      <c r="X69" s="11" t="n">
        <v>-2.61</v>
      </c>
      <c r="Y69" s="11" t="n">
        <v>-3.2</v>
      </c>
      <c r="Z69" s="11" t="n">
        <v>-3.99</v>
      </c>
      <c r="AA69" s="11" t="n">
        <v>-3.4</v>
      </c>
      <c r="AB69" s="11" t="n">
        <v>-2.94</v>
      </c>
      <c r="AC69" s="11" t="n">
        <v>-3.73</v>
      </c>
      <c r="AD69" s="11" t="n">
        <v>-4.84</v>
      </c>
      <c r="AE69" s="11" t="n">
        <v>-6.29</v>
      </c>
    </row>
    <row r="70">
      <c r="A70" s="10" t="inlineStr">
        <is>
          <t>기타</t>
        </is>
      </c>
      <c r="F70" s="11" t="n">
        <v>-2.35</v>
      </c>
      <c r="J70" s="11" t="n">
        <v>-2.82</v>
      </c>
      <c r="N70" s="11" t="n">
        <v>-4.98</v>
      </c>
      <c r="R70" s="11" t="n">
        <v>-5.68</v>
      </c>
      <c r="V70" s="11" t="n">
        <v>-10.64</v>
      </c>
    </row>
    <row r="71">
      <c r="A71" s="10" t="inlineStr">
        <is>
          <t>재무활동 현금흐름</t>
        </is>
      </c>
      <c r="D71" s="11" t="n">
        <v>-6.99</v>
      </c>
      <c r="F71" s="11" t="n">
        <v>-4.83</v>
      </c>
      <c r="H71" s="11" t="n">
        <v>44.02</v>
      </c>
      <c r="J71" s="11" t="n">
        <v>-1.77</v>
      </c>
      <c r="L71" s="11" t="n">
        <v>25.99</v>
      </c>
      <c r="N71" s="11" t="n">
        <v>-23.43</v>
      </c>
      <c r="P71" s="11" t="n">
        <v>-12</v>
      </c>
      <c r="R71" s="11" t="n">
        <v>-40.94</v>
      </c>
      <c r="T71" s="11" t="n">
        <v>-73.92</v>
      </c>
      <c r="V71" s="11" t="n">
        <v>-21.03</v>
      </c>
      <c r="W71" s="11" t="n">
        <v>-0.57</v>
      </c>
      <c r="X71" s="11" t="n">
        <v>-11.06</v>
      </c>
      <c r="Y71" s="11" t="n">
        <v>-1.36</v>
      </c>
      <c r="Z71" s="11" t="n">
        <v>-15.5</v>
      </c>
      <c r="AA71" s="11" t="n">
        <v>-6.99</v>
      </c>
      <c r="AB71" s="11" t="n">
        <v>44.02</v>
      </c>
      <c r="AC71" s="11" t="n">
        <v>25.99</v>
      </c>
      <c r="AD71" s="11" t="n">
        <v>-12</v>
      </c>
      <c r="AE71" s="11" t="n">
        <v>-73.92</v>
      </c>
    </row>
    <row r="72">
      <c r="A72" s="10" t="inlineStr">
        <is>
          <t>현금성자산 증감</t>
        </is>
      </c>
      <c r="D72" s="11" t="n">
        <v>-15.59</v>
      </c>
      <c r="F72" s="11" t="n">
        <v>-4.96</v>
      </c>
      <c r="H72" s="11" t="n">
        <v>-7.94</v>
      </c>
      <c r="J72" s="11" t="n">
        <v>10.94</v>
      </c>
      <c r="L72" s="11" t="n">
        <v>6.85</v>
      </c>
      <c r="N72" s="11" t="n">
        <v>4.96</v>
      </c>
      <c r="P72" s="11" t="n">
        <v>-2.79</v>
      </c>
      <c r="R72" s="11" t="n">
        <v>5.35</v>
      </c>
      <c r="T72" s="11" t="n">
        <v>-3.82</v>
      </c>
      <c r="V72" s="11" t="n">
        <v>-11.14</v>
      </c>
      <c r="W72" s="11" t="n">
        <v>-16.09</v>
      </c>
      <c r="X72" s="11" t="n">
        <v>13.36</v>
      </c>
      <c r="Y72" s="11" t="n">
        <v>8.130000000000001</v>
      </c>
      <c r="Z72" s="11" t="n">
        <v>5.38</v>
      </c>
      <c r="AA72" s="11" t="n">
        <v>-15.59</v>
      </c>
      <c r="AB72" s="11" t="n">
        <v>-7.94</v>
      </c>
      <c r="AC72" s="11" t="n">
        <v>6.85</v>
      </c>
      <c r="AD72" s="11" t="n">
        <v>-2.79</v>
      </c>
      <c r="AE72" s="11" t="n">
        <v>-3.82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F69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2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40" customWidth="1" min="32" max="32"/>
  </cols>
  <sheetData>
    <row r="1">
      <c r="A1" s="1" t="inlineStr">
        <is>
          <t>야마자와 부문</t>
        </is>
      </c>
    </row>
    <row r="2">
      <c r="A2" s="2" t="inlineStr">
        <is>
          <t>결산기 기준(27.2Q = 2027년 결산기 2분기) · 2월 결산 · 연결 · 분기 단독(누계 차분) · 오른쪽 FY = 연간</t>
        </is>
      </c>
      <c r="B2" s="3" t="inlineStr">
        <is>
          <t>(단위: 억엔)</t>
        </is>
      </c>
    </row>
    <row r="3">
      <c r="A3" s="4" t="inlineStr">
        <is>
          <t>항목</t>
        </is>
      </c>
      <c r="B3" s="4" t="inlineStr">
        <is>
          <t>참고</t>
        </is>
      </c>
      <c r="C3" s="4" t="inlineStr">
        <is>
          <t>22.3Q</t>
        </is>
      </c>
      <c r="D3" s="4" t="inlineStr">
        <is>
          <t>22.4Q</t>
        </is>
      </c>
      <c r="E3" s="4" t="inlineStr">
        <is>
          <t>23.1Q</t>
        </is>
      </c>
      <c r="F3" s="4" t="inlineStr">
        <is>
          <t>23.2Q</t>
        </is>
      </c>
      <c r="G3" s="4" t="inlineStr">
        <is>
          <t>23.3Q</t>
        </is>
      </c>
      <c r="H3" s="4" t="inlineStr">
        <is>
          <t>23.4Q</t>
        </is>
      </c>
      <c r="I3" s="4" t="inlineStr">
        <is>
          <t>24.1Q</t>
        </is>
      </c>
      <c r="J3" s="4" t="inlineStr">
        <is>
          <t>24.2Q</t>
        </is>
      </c>
      <c r="K3" s="4" t="inlineStr">
        <is>
          <t>24.3Q</t>
        </is>
      </c>
      <c r="L3" s="4" t="inlineStr">
        <is>
          <t>24.4Q</t>
        </is>
      </c>
      <c r="M3" s="4" t="inlineStr">
        <is>
          <t>25.1Q</t>
        </is>
      </c>
      <c r="N3" s="4" t="inlineStr">
        <is>
          <t>25.2Q</t>
        </is>
      </c>
      <c r="O3" s="4" t="inlineStr">
        <is>
          <t>25.3Q</t>
        </is>
      </c>
      <c r="P3" s="4" t="inlineStr">
        <is>
          <t>25.4Q</t>
        </is>
      </c>
      <c r="Q3" s="4" t="inlineStr">
        <is>
          <t>26.1Q</t>
        </is>
      </c>
      <c r="R3" s="4" t="inlineStr">
        <is>
          <t>26.2Q</t>
        </is>
      </c>
      <c r="S3" s="4" t="inlineStr">
        <is>
          <t>26.3Q</t>
        </is>
      </c>
      <c r="T3" s="4" t="inlineStr">
        <is>
          <t>26.4Q</t>
        </is>
      </c>
      <c r="U3" s="4" t="inlineStr">
        <is>
          <t>27.1Q</t>
        </is>
      </c>
      <c r="V3" s="4" t="inlineStr">
        <is>
          <t>27.2Q</t>
        </is>
      </c>
      <c r="W3" s="4" t="inlineStr">
        <is>
          <t>FY18</t>
        </is>
      </c>
      <c r="X3" s="4" t="inlineStr">
        <is>
          <t>FY19</t>
        </is>
      </c>
      <c r="Y3" s="4" t="inlineStr">
        <is>
          <t>FY20</t>
        </is>
      </c>
      <c r="Z3" s="4" t="inlineStr">
        <is>
          <t>FY21</t>
        </is>
      </c>
      <c r="AA3" s="4" t="inlineStr">
        <is>
          <t>FY22</t>
        </is>
      </c>
      <c r="AB3" s="4" t="inlineStr">
        <is>
          <t>FY23</t>
        </is>
      </c>
      <c r="AC3" s="4" t="inlineStr">
        <is>
          <t>FY24</t>
        </is>
      </c>
      <c r="AD3" s="4" t="inlineStr">
        <is>
          <t>FY25</t>
        </is>
      </c>
      <c r="AE3" s="4" t="inlineStr">
        <is>
          <t>FY26</t>
        </is>
      </c>
      <c r="AF3" s="4" t="inlineStr">
        <is>
          <t>출처</t>
        </is>
      </c>
    </row>
    <row r="4">
      <c r="A4" s="10" t="inlineStr">
        <is>
          <t>ReportableSegmentsMember · 외부 고객 매출</t>
        </is>
      </c>
      <c r="K4" s="11" t="n">
        <v>252.68</v>
      </c>
      <c r="O4" s="11" t="n">
        <v>249.27</v>
      </c>
      <c r="Q4" s="11" t="n">
        <v>260.63</v>
      </c>
      <c r="R4" s="11" t="n">
        <v>270.2</v>
      </c>
      <c r="S4" s="11" t="n">
        <v>255.54</v>
      </c>
      <c r="U4" s="11" t="n">
        <v>248.71</v>
      </c>
      <c r="V4" s="11" t="n">
        <v>250.73</v>
      </c>
      <c r="AF4" s="7" t="inlineStr">
        <is>
          <t>결산단신 XBRL(거래소 공시, TDnet·JPX 보관소). 쓴 문서: 2026-10-14, 2026-07-14, 2026-04-20, 2026-01-14 외 26건 — '출처' 시트에 전부</t>
        </is>
      </c>
    </row>
    <row r="5">
      <c r="A5" s="10" t="inlineStr">
        <is>
          <t>OperatingSegmentsNotIncludedInReportableSegmentsAndOtherRevenueGeneratingBusinessActivitiesMember · 외부 고객 매출</t>
        </is>
      </c>
      <c r="K5" s="11" t="n">
        <v>0.03</v>
      </c>
      <c r="O5" s="11" t="n">
        <v>0.01</v>
      </c>
    </row>
    <row r="6">
      <c r="A6" s="10" t="inlineStr">
        <is>
          <t>ReconcilingItemsMember · 외부 고객 매출</t>
        </is>
      </c>
      <c r="K6" s="11" t="n">
        <v>0</v>
      </c>
      <c r="L6" s="11" t="n">
        <v>0</v>
      </c>
      <c r="O6" s="11" t="n">
        <v>0</v>
      </c>
      <c r="P6" s="11" t="n">
        <v>0</v>
      </c>
      <c r="Q6" s="11" t="n">
        <v>0</v>
      </c>
      <c r="R6" s="11" t="n">
        <v>0</v>
      </c>
      <c r="S6" s="11" t="n">
        <v>0</v>
      </c>
      <c r="T6" s="11" t="n">
        <v>0</v>
      </c>
      <c r="U6" s="11" t="n">
        <v>0</v>
      </c>
      <c r="V6" s="11" t="n">
        <v>0</v>
      </c>
      <c r="AC6" s="11" t="n">
        <v>0</v>
      </c>
      <c r="AD6" s="11" t="n">
        <v>0</v>
      </c>
      <c r="AE6" s="11" t="n">
        <v>0</v>
      </c>
    </row>
    <row r="7">
      <c r="A7" s="5" t="inlineStr">
        <is>
          <t>외부 고객 매출</t>
        </is>
      </c>
      <c r="K7" s="6" t="n">
        <v>252.72</v>
      </c>
      <c r="L7" s="6" t="n">
        <v>259.69</v>
      </c>
      <c r="O7" s="6" t="n">
        <v>249.27</v>
      </c>
      <c r="P7" s="6" t="n">
        <v>266.73</v>
      </c>
      <c r="Q7" s="6" t="n">
        <v>260.63</v>
      </c>
      <c r="R7" s="6" t="n">
        <v>270.2</v>
      </c>
      <c r="S7" s="6" t="n">
        <v>255.54</v>
      </c>
      <c r="T7" s="6" t="n">
        <v>267.68</v>
      </c>
      <c r="U7" s="6" t="n">
        <v>248.71</v>
      </c>
      <c r="V7" s="6" t="n">
        <v>250.73</v>
      </c>
      <c r="AC7" s="6" t="n">
        <v>1018.91</v>
      </c>
      <c r="AD7" s="6" t="n">
        <v>1025.58</v>
      </c>
      <c r="AE7" s="6" t="n">
        <v>1054.05</v>
      </c>
    </row>
    <row r="8">
      <c r="A8" s="10" t="inlineStr">
        <is>
          <t>SupermarketBusinessReportableSegmentsMember · 부문 간 내부매출·대체</t>
        </is>
      </c>
      <c r="AC8" s="11" t="n">
        <v>5.93</v>
      </c>
      <c r="AD8" s="11" t="n">
        <v>5.85</v>
      </c>
      <c r="AE8" s="11" t="n">
        <v>5.88</v>
      </c>
    </row>
    <row r="9">
      <c r="A9" s="10" t="inlineStr">
        <is>
          <t>DrugstoreBusinessReportableSegmentsMember · 부문 간 내부매출·대체</t>
        </is>
      </c>
      <c r="AC9" s="11" t="n">
        <v>0</v>
      </c>
      <c r="AD9" s="11" t="n">
        <v>0</v>
      </c>
      <c r="AE9" s="11" t="n">
        <v>0</v>
      </c>
    </row>
    <row r="10">
      <c r="A10" s="10" t="inlineStr">
        <is>
          <t>FoodManufacturingBusinessReportableSegmentMember · 부문 간 내부매출·대체</t>
        </is>
      </c>
      <c r="AC10" s="11" t="n">
        <v>43.78</v>
      </c>
      <c r="AD10" s="11" t="n">
        <v>50</v>
      </c>
      <c r="AE10" s="11" t="n">
        <v>53.08</v>
      </c>
    </row>
    <row r="11">
      <c r="A11" s="10" t="inlineStr">
        <is>
          <t>TotalOfReportableSegmentsAndOthersMember · 부문 간 내부매출·대체</t>
        </is>
      </c>
      <c r="K11" s="11" t="n">
        <v>12</v>
      </c>
      <c r="L11" s="11" t="n">
        <v>12.87</v>
      </c>
      <c r="O11" s="11" t="n">
        <v>13.7</v>
      </c>
      <c r="P11" s="11" t="n">
        <v>13.94</v>
      </c>
      <c r="AC11" s="11" t="n">
        <v>49.72</v>
      </c>
      <c r="AD11" s="11" t="n">
        <v>55.86</v>
      </c>
      <c r="AE11" s="11" t="n">
        <v>58.97</v>
      </c>
    </row>
    <row r="12">
      <c r="A12" s="10" t="inlineStr">
        <is>
          <t>SupermarketBusinessReportableSegmentsMember · 부문 간 내부매출·대체</t>
        </is>
      </c>
      <c r="Q12" s="11" t="n">
        <v>1.46</v>
      </c>
      <c r="U12" s="11" t="n">
        <v>1.41</v>
      </c>
    </row>
    <row r="13">
      <c r="A13" s="10" t="inlineStr">
        <is>
          <t>DrugstoreBusinessReportableSegmentsMember · 부문 간 내부매출·대체</t>
        </is>
      </c>
      <c r="Q13" s="11" t="n">
        <v>0</v>
      </c>
      <c r="U13" s="11" t="n">
        <v>0</v>
      </c>
    </row>
    <row r="14">
      <c r="A14" s="10" t="inlineStr">
        <is>
          <t>FoodManufacturingBusinessReportableSegmentMember · 부문 간 내부매출·대체</t>
        </is>
      </c>
      <c r="Q14" s="11" t="n">
        <v>12.05</v>
      </c>
      <c r="U14" s="11" t="n">
        <v>12.9</v>
      </c>
    </row>
    <row r="15">
      <c r="A15" s="10" t="inlineStr">
        <is>
          <t>ReportableSegmentsMember · 부문 간 내부매출·대체</t>
        </is>
      </c>
      <c r="K15" s="11" t="n">
        <v>1.49</v>
      </c>
      <c r="O15" s="11" t="n">
        <v>13.7</v>
      </c>
      <c r="Q15" s="11" t="n">
        <v>13.51</v>
      </c>
      <c r="R15" s="11" t="n">
        <v>15.74</v>
      </c>
      <c r="S15" s="11" t="n">
        <v>14.6</v>
      </c>
      <c r="U15" s="11" t="n">
        <v>14.32</v>
      </c>
      <c r="V15" s="11" t="n">
        <v>15.29</v>
      </c>
    </row>
    <row r="16">
      <c r="A16" s="10" t="inlineStr">
        <is>
          <t>OperatingSegmentsNotIncludedInReportableSegmentsAndOtherRevenueGeneratingBusinessActivitiesMember · 부문 간 내부매출·대체</t>
        </is>
      </c>
      <c r="K16" s="11" t="n">
        <v>10.52</v>
      </c>
      <c r="O16" s="11" t="n">
        <v>12.24</v>
      </c>
    </row>
    <row r="17">
      <c r="A17" s="10" t="inlineStr">
        <is>
          <t>ReconcilingItemsMember · 부문 간 내부매출·대체</t>
        </is>
      </c>
      <c r="K17" s="11" t="n">
        <v>-12</v>
      </c>
      <c r="L17" s="11" t="n">
        <v>-12.87</v>
      </c>
      <c r="O17" s="11" t="n">
        <v>-13.7</v>
      </c>
      <c r="P17" s="11" t="n">
        <v>-13.94</v>
      </c>
      <c r="Q17" s="11" t="n">
        <v>-13.51</v>
      </c>
      <c r="R17" s="11" t="n">
        <v>-15.74</v>
      </c>
      <c r="S17" s="11" t="n">
        <v>-14.6</v>
      </c>
      <c r="T17" s="11" t="n">
        <v>-15.12</v>
      </c>
      <c r="U17" s="11" t="n">
        <v>-14.32</v>
      </c>
      <c r="V17" s="11" t="n">
        <v>-15.29</v>
      </c>
      <c r="AC17" s="11" t="n">
        <v>-49.72</v>
      </c>
      <c r="AD17" s="11" t="n">
        <v>-55.86</v>
      </c>
      <c r="AE17" s="11" t="n">
        <v>-58.97</v>
      </c>
    </row>
    <row r="18">
      <c r="A18" s="10" t="inlineStr">
        <is>
          <t>부문 간 내부매출·대체</t>
        </is>
      </c>
      <c r="K18" s="11" t="n">
        <v>0</v>
      </c>
      <c r="L18" s="11" t="n">
        <v>0</v>
      </c>
      <c r="O18" s="11" t="n">
        <v>0</v>
      </c>
      <c r="P18" s="11" t="n">
        <v>0</v>
      </c>
      <c r="Q18" s="11" t="n">
        <v>0</v>
      </c>
      <c r="R18" s="11" t="n">
        <v>0</v>
      </c>
      <c r="S18" s="11" t="n">
        <v>0</v>
      </c>
      <c r="T18" s="11" t="n">
        <v>0</v>
      </c>
      <c r="U18" s="11" t="n">
        <v>0</v>
      </c>
      <c r="V18" s="11" t="n">
        <v>0</v>
      </c>
      <c r="AC18" s="11" t="n">
        <v>0</v>
      </c>
      <c r="AD18" s="11" t="n">
        <v>0</v>
      </c>
      <c r="AE18" s="11" t="n">
        <v>0</v>
      </c>
    </row>
    <row r="19">
      <c r="A19" s="10" t="inlineStr">
        <is>
          <t>SupermarketBusinessReportableSegmentsMember · 계</t>
        </is>
      </c>
      <c r="AC19" s="11" t="n">
        <v>895.6799999999999</v>
      </c>
      <c r="AD19" s="11" t="n">
        <v>903.16</v>
      </c>
      <c r="AE19" s="11" t="n">
        <v>929.21</v>
      </c>
    </row>
    <row r="20">
      <c r="A20" s="10" t="inlineStr">
        <is>
          <t>DrugstoreBusinessReportableSegmentsMember · 계</t>
        </is>
      </c>
      <c r="AC20" s="11" t="n">
        <v>129.07</v>
      </c>
      <c r="AD20" s="11" t="n">
        <v>128.21</v>
      </c>
      <c r="AE20" s="11" t="n">
        <v>130.7</v>
      </c>
    </row>
    <row r="21">
      <c r="A21" s="10" t="inlineStr">
        <is>
          <t>FoodManufacturingBusinessReportableSegmentMember · 계</t>
        </is>
      </c>
      <c r="AC21" s="11" t="n">
        <v>43.87</v>
      </c>
      <c r="AD21" s="11" t="n">
        <v>50.07</v>
      </c>
      <c r="AE21" s="11" t="n">
        <v>53.1</v>
      </c>
    </row>
    <row r="22">
      <c r="A22" s="10" t="inlineStr">
        <is>
          <t>TotalOfReportableSegmentsAndOthersMember · 계</t>
        </is>
      </c>
      <c r="K22" s="11" t="n">
        <v>264.72</v>
      </c>
      <c r="L22" s="11" t="n">
        <v>272.57</v>
      </c>
      <c r="O22" s="11" t="n">
        <v>262.98</v>
      </c>
      <c r="P22" s="11" t="n">
        <v>280.67</v>
      </c>
      <c r="AC22" s="11" t="n">
        <v>1068.64</v>
      </c>
      <c r="AD22" s="11" t="n">
        <v>1081.45</v>
      </c>
      <c r="AE22" s="11" t="n">
        <v>1113.02</v>
      </c>
    </row>
    <row r="23">
      <c r="A23" s="10" t="inlineStr">
        <is>
          <t>SupermarketBusinessReportableSegmentsMember · 계</t>
        </is>
      </c>
      <c r="Q23" s="11" t="n">
        <v>229.59</v>
      </c>
      <c r="U23" s="11" t="n">
        <v>216.16</v>
      </c>
    </row>
    <row r="24">
      <c r="A24" s="10" t="inlineStr">
        <is>
          <t>DrugstoreBusinessReportableSegmentsMember · 계</t>
        </is>
      </c>
      <c r="Q24" s="11" t="n">
        <v>32.45</v>
      </c>
      <c r="U24" s="11" t="n">
        <v>33.96</v>
      </c>
    </row>
    <row r="25">
      <c r="A25" s="10" t="inlineStr">
        <is>
          <t>FoodManufacturingBusinessReportableSegmentMember · 계</t>
        </is>
      </c>
      <c r="Q25" s="11" t="n">
        <v>12.1</v>
      </c>
      <c r="U25" s="11" t="n">
        <v>12.91</v>
      </c>
    </row>
    <row r="26">
      <c r="A26" s="10" t="inlineStr">
        <is>
          <t>ReportableSegmentsMember · 계</t>
        </is>
      </c>
      <c r="K26" s="11" t="n">
        <v>254.17</v>
      </c>
      <c r="O26" s="11" t="n">
        <v>262.98</v>
      </c>
      <c r="Q26" s="11" t="n">
        <v>274.14</v>
      </c>
      <c r="R26" s="11" t="n">
        <v>285.95</v>
      </c>
      <c r="S26" s="11" t="n">
        <v>270.13</v>
      </c>
      <c r="U26" s="11" t="n">
        <v>263.04</v>
      </c>
      <c r="V26" s="11" t="n">
        <v>266.01</v>
      </c>
    </row>
    <row r="27">
      <c r="A27" s="10" t="inlineStr">
        <is>
          <t>OperatingSegmentsNotIncludedInReportableSegmentsAndOtherRevenueGeneratingBusinessActivitiesMember · 계</t>
        </is>
      </c>
      <c r="K27" s="11" t="n">
        <v>10.54</v>
      </c>
      <c r="O27" s="11" t="n">
        <v>12.25</v>
      </c>
    </row>
    <row r="28">
      <c r="A28" s="10" t="inlineStr">
        <is>
          <t>ReconcilingItemsMember · 계</t>
        </is>
      </c>
      <c r="K28" s="11" t="n">
        <v>-12</v>
      </c>
      <c r="L28" s="11" t="n">
        <v>-12.87</v>
      </c>
      <c r="O28" s="11" t="n">
        <v>-13.7</v>
      </c>
      <c r="P28" s="11" t="n">
        <v>-13.94</v>
      </c>
      <c r="Q28" s="11" t="n">
        <v>-13.51</v>
      </c>
      <c r="R28" s="11" t="n">
        <v>-15.74</v>
      </c>
      <c r="S28" s="11" t="n">
        <v>-14.6</v>
      </c>
      <c r="T28" s="11" t="n">
        <v>-15.12</v>
      </c>
      <c r="U28" s="11" t="n">
        <v>-14.32</v>
      </c>
      <c r="V28" s="11" t="n">
        <v>-15.29</v>
      </c>
      <c r="AC28" s="11" t="n">
        <v>-49.72</v>
      </c>
      <c r="AD28" s="11" t="n">
        <v>-55.86</v>
      </c>
      <c r="AE28" s="11" t="n">
        <v>-58.97</v>
      </c>
    </row>
    <row r="29">
      <c r="A29" s="5" t="inlineStr">
        <is>
          <t>계</t>
        </is>
      </c>
      <c r="K29" s="6" t="n">
        <v>252.72</v>
      </c>
      <c r="L29" s="6" t="n">
        <v>259.69</v>
      </c>
      <c r="O29" s="6" t="n">
        <v>249.27</v>
      </c>
      <c r="P29" s="6" t="n">
        <v>266.73</v>
      </c>
      <c r="Q29" s="6" t="n">
        <v>260.63</v>
      </c>
      <c r="R29" s="6" t="n">
        <v>270.2</v>
      </c>
      <c r="S29" s="6" t="n">
        <v>255.54</v>
      </c>
      <c r="T29" s="6" t="n">
        <v>267.68</v>
      </c>
      <c r="U29" s="6" t="n">
        <v>248.71</v>
      </c>
      <c r="V29" s="6" t="n">
        <v>250.73</v>
      </c>
      <c r="AC29" s="6" t="n">
        <v>1018.91</v>
      </c>
      <c r="AD29" s="6" t="n">
        <v>1025.58</v>
      </c>
      <c r="AE29" s="6" t="n">
        <v>1054.05</v>
      </c>
    </row>
    <row r="30">
      <c r="A30" s="10" t="inlineStr">
        <is>
          <t>SupermarketBusinessReportableSegmentsMember · 부문 손실</t>
        </is>
      </c>
      <c r="AC30" s="11" t="n">
        <v>7.5</v>
      </c>
      <c r="AD30" s="11" t="n">
        <v>-3.08</v>
      </c>
      <c r="AE30" s="11" t="n">
        <v>14.39</v>
      </c>
    </row>
    <row r="31">
      <c r="A31" s="10" t="inlineStr">
        <is>
          <t>DrugstoreBusinessReportableSegmentsMember · 부문 손실</t>
        </is>
      </c>
      <c r="AC31" s="11" t="n">
        <v>0.37</v>
      </c>
      <c r="AD31" s="11" t="n">
        <v>-1.63</v>
      </c>
      <c r="AE31" s="11" t="n">
        <v>-1</v>
      </c>
    </row>
    <row r="32">
      <c r="A32" s="10" t="inlineStr">
        <is>
          <t>FoodManufacturingBusinessReportableSegmentMember · 부문 손실</t>
        </is>
      </c>
      <c r="AC32" s="11" t="n">
        <v>-1.72</v>
      </c>
      <c r="AD32" s="11" t="n">
        <v>-3.58</v>
      </c>
      <c r="AE32" s="11" t="n">
        <v>-2.05</v>
      </c>
    </row>
    <row r="33">
      <c r="A33" s="10" t="inlineStr">
        <is>
          <t>TotalOfReportableSegmentsAndOthersMember · 부문 손실</t>
        </is>
      </c>
      <c r="K33" s="11" t="n">
        <v>-0.93</v>
      </c>
      <c r="L33" s="11" t="n">
        <v>1.81</v>
      </c>
      <c r="O33" s="11" t="n">
        <v>-3.56</v>
      </c>
      <c r="P33" s="11" t="n">
        <v>2.13</v>
      </c>
      <c r="AC33" s="11" t="n">
        <v>6.15</v>
      </c>
      <c r="AD33" s="11" t="n">
        <v>-8.300000000000001</v>
      </c>
      <c r="AE33" s="11" t="n">
        <v>11.33</v>
      </c>
    </row>
    <row r="34">
      <c r="A34" s="10" t="inlineStr">
        <is>
          <t>SupermarketBusinessReportableSegmentsMember · 부문 이익(손실)</t>
        </is>
      </c>
      <c r="Q34" s="11" t="n">
        <v>3.5</v>
      </c>
      <c r="U34" s="11" t="n">
        <v>2.21</v>
      </c>
    </row>
    <row r="35">
      <c r="A35" s="10" t="inlineStr">
        <is>
          <t>DrugstoreBusinessReportableSegmentsMember · 부문 이익(손실)</t>
        </is>
      </c>
      <c r="Q35" s="11" t="n">
        <v>-0.22</v>
      </c>
      <c r="U35" s="11" t="n">
        <v>0.09</v>
      </c>
    </row>
    <row r="36">
      <c r="A36" s="10" t="inlineStr">
        <is>
          <t>FoodManufacturingBusinessReportableSegmentMember · 부문 이익(손실)</t>
        </is>
      </c>
      <c r="Q36" s="11" t="n">
        <v>-0.8</v>
      </c>
      <c r="U36" s="11" t="n">
        <v>-0.14</v>
      </c>
    </row>
    <row r="37">
      <c r="A37" s="10" t="inlineStr">
        <is>
          <t>ReportableSegmentsMember · 부문 이익(손실)</t>
        </is>
      </c>
      <c r="K37" s="11" t="n">
        <v>0.21</v>
      </c>
      <c r="O37" s="11" t="n">
        <v>-3.56</v>
      </c>
      <c r="Q37" s="11" t="n">
        <v>2.47</v>
      </c>
      <c r="R37" s="11" t="n">
        <v>3.44</v>
      </c>
      <c r="S37" s="11" t="n">
        <v>1.01</v>
      </c>
      <c r="U37" s="11" t="n">
        <v>2.16</v>
      </c>
      <c r="V37" s="11" t="n">
        <v>4.58</v>
      </c>
    </row>
    <row r="38">
      <c r="A38" s="10" t="inlineStr">
        <is>
          <t>OperatingSegmentsNotIncludedInReportableSegmentsAndOtherRevenueGeneratingBusinessActivitiesMember · 부문 이익(손실)</t>
        </is>
      </c>
      <c r="K38" s="11" t="n">
        <v>-1.14</v>
      </c>
      <c r="O38" s="11" t="n">
        <v>-1.08</v>
      </c>
    </row>
    <row r="39">
      <c r="A39" s="10" t="inlineStr">
        <is>
          <t>ReconcilingItemsMember · 부문 이익(손실)</t>
        </is>
      </c>
      <c r="K39" s="11" t="n">
        <v>0.02</v>
      </c>
      <c r="L39" s="11" t="n">
        <v>0.03</v>
      </c>
      <c r="O39" s="11" t="n">
        <v>0.02</v>
      </c>
      <c r="P39" s="11" t="n">
        <v>0.03</v>
      </c>
      <c r="Q39" s="11" t="n">
        <v>0.02</v>
      </c>
      <c r="R39" s="11" t="n">
        <v>0.02</v>
      </c>
      <c r="S39" s="11" t="n">
        <v>0.02</v>
      </c>
      <c r="T39" s="11" t="n">
        <v>0.02</v>
      </c>
      <c r="U39" s="11" t="n">
        <v>0.01</v>
      </c>
      <c r="V39" s="11" t="n">
        <v>0.04</v>
      </c>
      <c r="AC39" s="11" t="n">
        <v>0.1</v>
      </c>
      <c r="AD39" s="11" t="n">
        <v>0.09</v>
      </c>
      <c r="AE39" s="11" t="n">
        <v>0.08</v>
      </c>
    </row>
    <row r="40">
      <c r="A40" s="5" t="inlineStr">
        <is>
          <t>부문 이익(손실)</t>
        </is>
      </c>
      <c r="K40" s="6" t="n">
        <v>-0.91</v>
      </c>
      <c r="L40" s="6" t="n">
        <v>1.84</v>
      </c>
      <c r="O40" s="6" t="n">
        <v>-3.54</v>
      </c>
      <c r="P40" s="6" t="n">
        <v>2.15</v>
      </c>
      <c r="Q40" s="6" t="n">
        <v>2.49</v>
      </c>
      <c r="R40" s="6" t="n">
        <v>3.46</v>
      </c>
      <c r="S40" s="6" t="n">
        <v>1.04</v>
      </c>
      <c r="T40" s="6" t="n">
        <v>4.43</v>
      </c>
      <c r="U40" s="6" t="n">
        <v>2.17</v>
      </c>
      <c r="V40" s="6" t="n">
        <v>4.63</v>
      </c>
      <c r="AC40" s="6" t="n">
        <v>6.25</v>
      </c>
      <c r="AD40" s="6" t="n">
        <v>-8.210000000000001</v>
      </c>
      <c r="AE40" s="6" t="n">
        <v>11.42</v>
      </c>
    </row>
    <row r="41">
      <c r="A41" s="10" t="inlineStr">
        <is>
          <t>SupermarketBusinessReportableSegmentsMember · 감가상각비</t>
        </is>
      </c>
      <c r="AC41" s="11" t="n">
        <v>29.87</v>
      </c>
      <c r="AD41" s="11" t="n">
        <v>30.52</v>
      </c>
      <c r="AE41" s="11" t="n">
        <v>29.52</v>
      </c>
    </row>
    <row r="42">
      <c r="A42" s="10" t="inlineStr">
        <is>
          <t>DrugstoreBusinessReportableSegmentsMember · 감가상각비</t>
        </is>
      </c>
      <c r="AC42" s="11" t="n">
        <v>1.32</v>
      </c>
      <c r="AD42" s="11" t="n">
        <v>1.35</v>
      </c>
      <c r="AE42" s="11" t="n">
        <v>1.29</v>
      </c>
    </row>
    <row r="43">
      <c r="A43" s="10" t="inlineStr">
        <is>
          <t>FoodManufacturingBusinessReportableSegmentMember · 감가상각비</t>
        </is>
      </c>
      <c r="AC43" s="11" t="n">
        <v>2.08</v>
      </c>
      <c r="AD43" s="11" t="n">
        <v>3.88</v>
      </c>
      <c r="AE43" s="11" t="n">
        <v>3.09</v>
      </c>
    </row>
    <row r="44">
      <c r="A44" s="10" t="inlineStr">
        <is>
          <t>TotalOfReportableSegmentsAndOthersMember · 감가상각비</t>
        </is>
      </c>
      <c r="AC44" s="11" t="n">
        <v>33.27</v>
      </c>
      <c r="AD44" s="11" t="n">
        <v>35.76</v>
      </c>
      <c r="AE44" s="11" t="n">
        <v>33.91</v>
      </c>
    </row>
    <row r="45">
      <c r="A45" s="10" t="inlineStr">
        <is>
          <t>ReconcilingItemsMember · 감가상각비</t>
        </is>
      </c>
      <c r="AC45" s="11" t="n">
        <v>0</v>
      </c>
      <c r="AD45" s="11" t="n">
        <v>0</v>
      </c>
      <c r="AE45" s="11" t="n">
        <v>0</v>
      </c>
    </row>
    <row r="46">
      <c r="A46" s="10" t="inlineStr">
        <is>
          <t>감가상각비</t>
        </is>
      </c>
      <c r="AC46" s="11" t="n">
        <v>33.27</v>
      </c>
      <c r="AD46" s="11" t="n">
        <v>35.76</v>
      </c>
      <c r="AE46" s="11" t="n">
        <v>33.91</v>
      </c>
    </row>
    <row r="47">
      <c r="A47" s="10" t="inlineStr">
        <is>
          <t>SupermarketBusinessReportableSegmentsMember · 유형·무형자산 증가액</t>
        </is>
      </c>
      <c r="AC47" s="11" t="n">
        <v>36.57</v>
      </c>
      <c r="AD47" s="11" t="n">
        <v>27.11</v>
      </c>
      <c r="AE47" s="11" t="n">
        <v>19.53</v>
      </c>
    </row>
    <row r="48">
      <c r="A48" s="10" t="inlineStr">
        <is>
          <t>DrugstoreBusinessReportableSegmentsMember · 유형·무형자산 증가액</t>
        </is>
      </c>
      <c r="AC48" s="11" t="n">
        <v>1.91</v>
      </c>
      <c r="AD48" s="11" t="n">
        <v>0.62</v>
      </c>
      <c r="AE48" s="11" t="n">
        <v>1.7</v>
      </c>
    </row>
    <row r="49">
      <c r="A49" s="10" t="inlineStr">
        <is>
          <t>FoodManufacturingBusinessReportableSegmentMember · 유형·무형자산 증가액</t>
        </is>
      </c>
      <c r="AC49" s="11" t="n">
        <v>25.35</v>
      </c>
      <c r="AD49" s="11" t="n">
        <v>0.24</v>
      </c>
      <c r="AE49" s="11" t="n">
        <v>0.34</v>
      </c>
    </row>
    <row r="50">
      <c r="A50" s="10" t="inlineStr">
        <is>
          <t>TotalOfReportableSegmentsAndOthersMember · 유형·무형자산 증가액</t>
        </is>
      </c>
      <c r="AC50" s="11" t="n">
        <v>63.83</v>
      </c>
      <c r="AD50" s="11" t="n">
        <v>27.97</v>
      </c>
      <c r="AE50" s="11" t="n">
        <v>21.58</v>
      </c>
    </row>
    <row r="51">
      <c r="A51" s="10" t="inlineStr">
        <is>
          <t>ReconcilingItemsMember · 유형·무형자산 증가액</t>
        </is>
      </c>
      <c r="AC51" s="11" t="n">
        <v>0</v>
      </c>
      <c r="AD51" s="11" t="n">
        <v>0</v>
      </c>
      <c r="AE51" s="11" t="n">
        <v>0</v>
      </c>
    </row>
    <row r="52">
      <c r="A52" s="10" t="inlineStr">
        <is>
          <t>유형·무형자산 증가액</t>
        </is>
      </c>
      <c r="AC52" s="11" t="n">
        <v>63.83</v>
      </c>
      <c r="AD52" s="11" t="n">
        <v>27.97</v>
      </c>
      <c r="AE52" s="11" t="n">
        <v>21.58</v>
      </c>
    </row>
    <row r="53">
      <c r="A53" s="10" t="inlineStr">
        <is>
          <t>SupermarketBusinessReportableSegmentsMember · 손상차손</t>
        </is>
      </c>
      <c r="AC53" s="11" t="n">
        <v>3.72</v>
      </c>
      <c r="AD53" s="11" t="n">
        <v>6.59</v>
      </c>
      <c r="AE53" s="11" t="n">
        <v>5.23</v>
      </c>
    </row>
    <row r="54">
      <c r="A54" s="10" t="inlineStr">
        <is>
          <t>DrugstoreBusinessReportableSegmentsMember · 손상차손</t>
        </is>
      </c>
      <c r="AC54" s="11" t="n">
        <v>0.33</v>
      </c>
      <c r="AD54" s="11" t="n">
        <v>0.21</v>
      </c>
      <c r="AE54" s="11" t="n">
        <v>0.04</v>
      </c>
    </row>
    <row r="55">
      <c r="A55" s="10" t="inlineStr">
        <is>
          <t>OperatingSegmentsNotIncludedInReportableSegmentsAndOtherRevenueGeneratingBusinessActivitiesMember · 손상차손</t>
        </is>
      </c>
      <c r="AC55" s="11" t="n">
        <v>0</v>
      </c>
      <c r="AD55" s="11" t="n">
        <v>6.24</v>
      </c>
    </row>
    <row r="56">
      <c r="A56" s="10" t="inlineStr">
        <is>
          <t>FoodManufacturingBusinessReportableSegmentsMember · 손상차손</t>
        </is>
      </c>
      <c r="AD56" s="11" t="n">
        <v>6.24</v>
      </c>
      <c r="AE56" s="11" t="n">
        <v>0.32</v>
      </c>
    </row>
    <row r="57">
      <c r="A57" s="10" t="inlineStr">
        <is>
          <t>손상차손</t>
        </is>
      </c>
      <c r="AC57" s="11" t="n">
        <v>4.06</v>
      </c>
      <c r="AD57" s="11" t="n">
        <v>13.04</v>
      </c>
      <c r="AE57" s="11" t="n">
        <v>5.6</v>
      </c>
    </row>
    <row r="58">
      <c r="A58" s="10" t="inlineStr">
        <is>
          <t>SupermarketBusinessReportableSegmentsMember · 상각액</t>
        </is>
      </c>
      <c r="AC58" s="11" t="n">
        <v>0</v>
      </c>
      <c r="AD58" s="11" t="n">
        <v>0</v>
      </c>
      <c r="AE58" s="11" t="n">
        <v>0</v>
      </c>
    </row>
    <row r="59">
      <c r="A59" s="10" t="inlineStr">
        <is>
          <t>DrugstoreBusinessReportableSegmentsMember · 상각액</t>
        </is>
      </c>
      <c r="AC59" s="11" t="n">
        <v>0.11</v>
      </c>
      <c r="AD59" s="11" t="n">
        <v>0.06</v>
      </c>
      <c r="AE59" s="11" t="n">
        <v>0</v>
      </c>
    </row>
    <row r="60">
      <c r="A60" s="10" t="inlineStr">
        <is>
          <t>OperatingSegmentsNotIncludedInReportableSegmentsAndOtherRevenueGeneratingBusinessActivitiesMember · 상각액</t>
        </is>
      </c>
      <c r="AC60" s="11" t="n">
        <v>0</v>
      </c>
      <c r="AD60" s="11" t="n">
        <v>0</v>
      </c>
    </row>
    <row r="61">
      <c r="A61" s="10" t="inlineStr">
        <is>
          <t>FoodManufacturingBusinessReportableSegmentsMember · 상각액</t>
        </is>
      </c>
      <c r="AD61" s="11" t="n">
        <v>0</v>
      </c>
      <c r="AE61" s="11" t="n">
        <v>0</v>
      </c>
    </row>
    <row r="62">
      <c r="A62" s="10" t="inlineStr">
        <is>
          <t>상각액</t>
        </is>
      </c>
      <c r="AC62" s="11" t="n">
        <v>0.11</v>
      </c>
      <c r="AD62" s="11" t="n">
        <v>0.06</v>
      </c>
      <c r="AE62" s="11" t="n">
        <v>0</v>
      </c>
    </row>
    <row r="63">
      <c r="A63" s="10" t="inlineStr">
        <is>
          <t>SupermarketBusinessReportableSegmentsMember · 외부 고객 매출</t>
        </is>
      </c>
      <c r="Q63" s="11" t="n">
        <v>228.12</v>
      </c>
      <c r="U63" s="11" t="n">
        <v>214.74</v>
      </c>
    </row>
    <row r="64">
      <c r="A64" s="10" t="inlineStr">
        <is>
          <t>DrugstoreBusinessReportableSegmentsMember · 외부 고객 매출</t>
        </is>
      </c>
      <c r="Q64" s="11" t="n">
        <v>32.45</v>
      </c>
      <c r="U64" s="11" t="n">
        <v>33.96</v>
      </c>
    </row>
    <row r="65">
      <c r="A65" s="10" t="inlineStr">
        <is>
          <t>FoodManufacturingBusinessReportableSegmentMember · 외부 고객 매출</t>
        </is>
      </c>
      <c r="Q65" s="11" t="n">
        <v>0.05</v>
      </c>
      <c r="U65" s="11" t="n">
        <v>0</v>
      </c>
    </row>
    <row r="66">
      <c r="A66" s="10" t="inlineStr">
        <is>
          <t>SupermarketBusinessReportableSegmentsMember · 외부 고객 매출</t>
        </is>
      </c>
      <c r="AC66" s="11" t="n">
        <v>889.75</v>
      </c>
      <c r="AD66" s="11" t="n">
        <v>897.3099999999999</v>
      </c>
      <c r="AE66" s="11" t="n">
        <v>923.33</v>
      </c>
    </row>
    <row r="67">
      <c r="A67" s="10" t="inlineStr">
        <is>
          <t>DrugstoreBusinessReportableSegmentsMember · 외부 고객 매출</t>
        </is>
      </c>
      <c r="AC67" s="11" t="n">
        <v>129.07</v>
      </c>
      <c r="AD67" s="11" t="n">
        <v>128.21</v>
      </c>
      <c r="AE67" s="11" t="n">
        <v>130.7</v>
      </c>
    </row>
    <row r="68">
      <c r="A68" s="10" t="inlineStr">
        <is>
          <t>FoodManufacturingBusinessReportableSegmentMember · 외부 고객 매출</t>
        </is>
      </c>
      <c r="AC68" s="11" t="n">
        <v>0.08</v>
      </c>
      <c r="AD68" s="11" t="n">
        <v>0.06</v>
      </c>
      <c r="AE68" s="11" t="n">
        <v>0.02</v>
      </c>
    </row>
    <row r="69">
      <c r="A69" s="10" t="inlineStr">
        <is>
          <t>TotalOfReportableSegmentsAndOthersMember · 외부 고객 매출</t>
        </is>
      </c>
      <c r="K69" s="11" t="n">
        <v>252.72</v>
      </c>
      <c r="L69" s="11" t="n">
        <v>259.69</v>
      </c>
      <c r="O69" s="11" t="n">
        <v>249.27</v>
      </c>
      <c r="P69" s="11" t="n">
        <v>266.73</v>
      </c>
      <c r="AC69" s="11" t="n">
        <v>1018.91</v>
      </c>
      <c r="AD69" s="11" t="n">
        <v>1025.58</v>
      </c>
      <c r="AE69" s="11" t="n">
        <v>1054.05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O105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44" customWidth="1" min="15" max="15"/>
  </cols>
  <sheetData>
    <row r="1">
      <c r="A1" s="1" t="inlineStr">
        <is>
          <t>야마자와 섹터·사업 데이터</t>
        </is>
      </c>
    </row>
    <row r="2">
      <c r="A2" s="2" t="inlineStr">
        <is>
          <t>2단계 보고서를 만들 때 모은 자료 · 월차 · 출처는 맨 오른쪽</t>
        </is>
      </c>
    </row>
    <row r="4">
      <c r="A4" s="12" t="inlineStr">
        <is>
          <t>월차</t>
        </is>
      </c>
      <c r="B4" s="12" t="n"/>
      <c r="C4" s="12" t="n"/>
      <c r="D4" s="12" t="n"/>
      <c r="E4" s="12" t="n"/>
      <c r="F4" s="12" t="n"/>
      <c r="G4" s="12" t="n"/>
      <c r="H4" s="12" t="n"/>
      <c r="I4" s="12" t="n"/>
      <c r="J4" s="12" t="n"/>
      <c r="K4" s="12" t="n"/>
      <c r="L4" s="12" t="n"/>
      <c r="M4" s="12" t="n"/>
      <c r="N4" s="12" t="n"/>
      <c r="O4" s="12" t="n"/>
    </row>
    <row r="5">
      <c r="A5" s="13" t="inlineStr">
        <is>
          <t>항목</t>
        </is>
      </c>
      <c r="B5" s="13" t="inlineStr">
        <is>
          <t>2025-09</t>
        </is>
      </c>
      <c r="C5" s="13" t="inlineStr">
        <is>
          <t>2025-10</t>
        </is>
      </c>
      <c r="D5" s="13" t="inlineStr">
        <is>
          <t>2025-11</t>
        </is>
      </c>
      <c r="E5" s="13" t="inlineStr">
        <is>
          <t>2025-12</t>
        </is>
      </c>
      <c r="F5" s="13" t="inlineStr">
        <is>
          <t>2026-01</t>
        </is>
      </c>
      <c r="G5" s="13" t="inlineStr">
        <is>
          <t>2026-02</t>
        </is>
      </c>
      <c r="H5" s="13" t="inlineStr">
        <is>
          <t>2026-03</t>
        </is>
      </c>
      <c r="I5" s="13" t="inlineStr">
        <is>
          <t>2026-04</t>
        </is>
      </c>
      <c r="J5" s="13" t="inlineStr">
        <is>
          <t>2026-05</t>
        </is>
      </c>
      <c r="K5" s="13" t="inlineStr">
        <is>
          <t>2026-06</t>
        </is>
      </c>
      <c r="L5" s="13" t="inlineStr">
        <is>
          <t>2026-07</t>
        </is>
      </c>
      <c r="M5" s="13" t="inlineStr">
        <is>
          <t>2026-08</t>
        </is>
      </c>
      <c r="N5" s="13" t="inlineStr">
        <is>
          <t>2026-09</t>
        </is>
      </c>
      <c r="O5" s="13" t="inlineStr">
        <is>
          <t>출처</t>
        </is>
      </c>
    </row>
    <row r="6">
      <c r="A6" s="14" t="inlineStr">
        <is>
          <t>전점 매출 전년 대비</t>
        </is>
      </c>
      <c r="B6" s="11" t="n">
        <v>101.2</v>
      </c>
      <c r="C6" s="11" t="n">
        <v>101.1</v>
      </c>
      <c r="D6" s="11" t="n">
        <v>104.7</v>
      </c>
      <c r="E6" s="11" t="n">
        <v>101.5</v>
      </c>
      <c r="F6" s="11" t="n">
        <v>102.5</v>
      </c>
      <c r="G6" s="11" t="n">
        <v>97.7</v>
      </c>
      <c r="H6" s="11" t="n">
        <v>92.40000000000001</v>
      </c>
      <c r="I6" s="11" t="n">
        <v>93.2</v>
      </c>
      <c r="J6" s="11" t="n">
        <v>97.2</v>
      </c>
      <c r="K6" s="11" t="n">
        <v>91.3</v>
      </c>
      <c r="L6" s="11" t="n">
        <v>92.59999999999999</v>
      </c>
      <c r="M6" s="11" t="n">
        <v>90.90000000000001</v>
      </c>
      <c r="N6" s="11" t="n">
        <v>92.3</v>
      </c>
      <c r="O6" s="3" t="inlineStr">
        <is>
          <t>회사 월차 공시 · 전점 매출 감소는 2026년 3월 아키타 6개 점포(요네야) 분리 때문 — 기존점 기준이 실제 흐름</t>
        </is>
      </c>
    </row>
    <row r="7">
      <c r="A7" s="14" t="inlineStr">
        <is>
          <t>전점 객단가 전년 대비</t>
        </is>
      </c>
      <c r="B7" s="11" t="n">
        <v>101.7</v>
      </c>
      <c r="C7" s="11" t="n">
        <v>102.5</v>
      </c>
      <c r="D7" s="11" t="n">
        <v>104</v>
      </c>
      <c r="E7" s="11" t="n">
        <v>99.2</v>
      </c>
      <c r="F7" s="11" t="n">
        <v>103.5</v>
      </c>
      <c r="G7" s="11" t="n">
        <v>98.09999999999999</v>
      </c>
      <c r="H7" s="11" t="n">
        <v>99.2</v>
      </c>
      <c r="I7" s="11" t="n">
        <v>101.3</v>
      </c>
      <c r="J7" s="11" t="n">
        <v>102.3</v>
      </c>
      <c r="K7" s="11" t="n">
        <v>99.5</v>
      </c>
      <c r="L7" s="11" t="n">
        <v>99.8</v>
      </c>
      <c r="M7" s="11" t="n">
        <v>100.2</v>
      </c>
      <c r="N7" s="11" t="n">
        <v>100.8</v>
      </c>
    </row>
    <row r="8">
      <c r="A8" s="14" t="inlineStr">
        <is>
          <t>전점 객수 전년 대비</t>
        </is>
      </c>
      <c r="B8" s="11" t="n">
        <v>99.7</v>
      </c>
      <c r="C8" s="11" t="n">
        <v>98.2</v>
      </c>
      <c r="D8" s="11" t="n">
        <v>101</v>
      </c>
      <c r="E8" s="11" t="n">
        <v>101.5</v>
      </c>
      <c r="F8" s="11" t="n">
        <v>99.09999999999999</v>
      </c>
      <c r="G8" s="11" t="n">
        <v>99</v>
      </c>
      <c r="H8" s="11" t="n">
        <v>93.2</v>
      </c>
      <c r="I8" s="11" t="n">
        <v>92.3</v>
      </c>
      <c r="J8" s="11" t="n">
        <v>94.7</v>
      </c>
      <c r="K8" s="11" t="n">
        <v>92.09999999999999</v>
      </c>
      <c r="L8" s="11" t="n">
        <v>91.09999999999999</v>
      </c>
      <c r="M8" s="11" t="n">
        <v>91.5</v>
      </c>
      <c r="N8" s="11" t="n">
        <v>91.5</v>
      </c>
    </row>
    <row r="9">
      <c r="A9" s="14" t="inlineStr">
        <is>
          <t>기존점 매출 전년 대비</t>
        </is>
      </c>
      <c r="B9" s="11" t="n">
        <v>101.2</v>
      </c>
      <c r="C9" s="11" t="n">
        <v>102.1</v>
      </c>
      <c r="D9" s="11" t="n">
        <v>106.1</v>
      </c>
      <c r="E9" s="11" t="n">
        <v>102.7</v>
      </c>
      <c r="F9" s="11" t="n">
        <v>103.8</v>
      </c>
      <c r="G9" s="11" t="n">
        <v>101.8</v>
      </c>
      <c r="H9" s="11" t="n">
        <v>100</v>
      </c>
      <c r="I9" s="11" t="n">
        <v>101.1</v>
      </c>
      <c r="J9" s="11" t="n">
        <v>105.6</v>
      </c>
      <c r="K9" s="11" t="n">
        <v>99.2</v>
      </c>
      <c r="L9" s="11" t="n">
        <v>100.7</v>
      </c>
      <c r="M9" s="11" t="n">
        <v>98.90000000000001</v>
      </c>
      <c r="N9" s="11" t="n">
        <v>100.3</v>
      </c>
    </row>
    <row r="10">
      <c r="A10" s="14" t="inlineStr">
        <is>
          <t>기존점 객단가 전년 대비</t>
        </is>
      </c>
      <c r="B10" s="11" t="n">
        <v>101.7</v>
      </c>
      <c r="C10" s="11" t="n">
        <v>102.3</v>
      </c>
      <c r="D10" s="11" t="n">
        <v>103.7</v>
      </c>
      <c r="E10" s="11" t="n">
        <v>99</v>
      </c>
      <c r="F10" s="11" t="n">
        <v>103.2</v>
      </c>
      <c r="G10" s="11" t="n">
        <v>97.5</v>
      </c>
      <c r="H10" s="11" t="n">
        <v>98.2</v>
      </c>
      <c r="I10" s="11" t="n">
        <v>100.4</v>
      </c>
      <c r="J10" s="11" t="n">
        <v>101.5</v>
      </c>
      <c r="K10" s="11" t="n">
        <v>98.59999999999999</v>
      </c>
      <c r="L10" s="11" t="n">
        <v>99.09999999999999</v>
      </c>
      <c r="M10" s="11" t="n">
        <v>99.7</v>
      </c>
      <c r="N10" s="11" t="n">
        <v>99.90000000000001</v>
      </c>
    </row>
    <row r="11">
      <c r="A11" s="14" t="inlineStr">
        <is>
          <t>기존점 객수 전년 대비</t>
        </is>
      </c>
      <c r="B11" s="11" t="n">
        <v>99.7</v>
      </c>
      <c r="C11" s="11" t="n">
        <v>99.40000000000001</v>
      </c>
      <c r="D11" s="11" t="n">
        <v>102.6</v>
      </c>
      <c r="E11" s="11" t="n">
        <v>103.1</v>
      </c>
      <c r="F11" s="11" t="n">
        <v>100.5</v>
      </c>
      <c r="G11" s="11" t="n">
        <v>103.8</v>
      </c>
      <c r="H11" s="11" t="n">
        <v>102</v>
      </c>
      <c r="I11" s="11" t="n">
        <v>101</v>
      </c>
      <c r="J11" s="11" t="n">
        <v>103.7</v>
      </c>
      <c r="K11" s="11" t="n">
        <v>101</v>
      </c>
      <c r="L11" s="11" t="n">
        <v>99.7</v>
      </c>
      <c r="M11" s="11" t="n">
        <v>100.2</v>
      </c>
      <c r="N11" s="11" t="n">
        <v>100.2</v>
      </c>
    </row>
    <row r="13">
      <c r="A13" s="12" t="inlineStr">
        <is>
          <t>guidance · FY2/27_initial_26.4</t>
        </is>
      </c>
      <c r="B13" s="12" t="n"/>
      <c r="C13" s="12" t="n"/>
      <c r="D13" s="12" t="n"/>
      <c r="E13" s="12" t="n"/>
      <c r="F13" s="12" t="n"/>
      <c r="G13" s="12" t="n"/>
      <c r="H13" s="12" t="n"/>
      <c r="I13" s="12" t="n"/>
      <c r="J13" s="12" t="n"/>
      <c r="K13" s="12" t="n"/>
      <c r="L13" s="12" t="n"/>
      <c r="M13" s="12" t="n"/>
      <c r="N13" s="12" t="n"/>
      <c r="O13" s="12" t="n"/>
    </row>
    <row r="14">
      <c r="A14" s="13" t="inlineStr">
        <is>
          <t>항목</t>
        </is>
      </c>
      <c r="B14" s="13" t="inlineStr">
        <is>
          <t>값</t>
        </is>
      </c>
      <c r="O14" s="13" t="inlineStr">
        <is>
          <t>출처</t>
        </is>
      </c>
    </row>
    <row r="15">
      <c r="A15" s="14" t="inlineStr">
        <is>
          <t>매출</t>
        </is>
      </c>
      <c r="B15" s="15" t="n">
        <v>997</v>
      </c>
      <c r="O15" s="3" t="inlineStr">
        <is>
          <t>2단계 보고서 자료(회사 설명회 자료·공시)</t>
        </is>
      </c>
    </row>
    <row r="16">
      <c r="A16" s="14" t="inlineStr">
        <is>
          <t>영업이익</t>
        </is>
      </c>
      <c r="B16" s="15" t="n">
        <v>7</v>
      </c>
    </row>
    <row r="17">
      <c r="A17" s="14" t="inlineStr">
        <is>
          <t>ord</t>
        </is>
      </c>
      <c r="B17" s="15" t="n">
        <v>8</v>
      </c>
    </row>
    <row r="18">
      <c r="A18" s="14" t="inlineStr">
        <is>
          <t>순이익</t>
        </is>
      </c>
      <c r="B18" s="11" t="n">
        <v>4.5</v>
      </c>
    </row>
    <row r="19">
      <c r="A19" s="14" t="inlineStr">
        <is>
          <t>EPS</t>
        </is>
      </c>
      <c r="B19" s="11" t="n">
        <v>42.08</v>
      </c>
    </row>
    <row r="20">
      <c r="A20" s="14" t="inlineStr">
        <is>
          <t>상반기 매출</t>
        </is>
      </c>
      <c r="B20" s="15" t="n">
        <v>499</v>
      </c>
    </row>
    <row r="21">
      <c r="A21" s="14" t="inlineStr">
        <is>
          <t>상반기 영업이익</t>
        </is>
      </c>
      <c r="B21" s="11" t="n">
        <v>2.9</v>
      </c>
    </row>
    <row r="22">
      <c r="A22" s="14" t="inlineStr">
        <is>
          <t>상반기 순이익</t>
        </is>
      </c>
      <c r="B22" s="11" t="n">
        <v>1.9</v>
      </c>
    </row>
    <row r="24">
      <c r="A24" s="12" t="inlineStr">
        <is>
          <t>guidance · FY2/27_revised_26.10.14</t>
        </is>
      </c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  <c r="K24" s="12" t="n"/>
      <c r="L24" s="12" t="n"/>
      <c r="M24" s="12" t="n"/>
      <c r="N24" s="12" t="n"/>
      <c r="O24" s="12" t="n"/>
    </row>
    <row r="25">
      <c r="A25" s="13" t="inlineStr">
        <is>
          <t>항목</t>
        </is>
      </c>
      <c r="B25" s="13" t="inlineStr">
        <is>
          <t>값</t>
        </is>
      </c>
      <c r="O25" s="13" t="inlineStr">
        <is>
          <t>출처</t>
        </is>
      </c>
    </row>
    <row r="26">
      <c r="A26" s="14" t="inlineStr">
        <is>
          <t>매출</t>
        </is>
      </c>
      <c r="B26" s="15" t="n">
        <v>997</v>
      </c>
      <c r="O26" s="3" t="inlineStr">
        <is>
          <t>2단계 보고서 자료(회사 설명회 자료·공시)</t>
        </is>
      </c>
    </row>
    <row r="27">
      <c r="A27" s="14" t="inlineStr">
        <is>
          <t>영업이익</t>
        </is>
      </c>
      <c r="B27" s="15" t="n">
        <v>11</v>
      </c>
    </row>
    <row r="28">
      <c r="A28" s="14" t="inlineStr">
        <is>
          <t>ord</t>
        </is>
      </c>
      <c r="B28" s="15" t="n">
        <v>12</v>
      </c>
    </row>
    <row r="29">
      <c r="A29" s="14" t="inlineStr">
        <is>
          <t>순이익</t>
        </is>
      </c>
      <c r="B29" s="11" t="n">
        <v>7.5</v>
      </c>
    </row>
    <row r="30">
      <c r="A30" s="14" t="inlineStr">
        <is>
          <t>EPS</t>
        </is>
      </c>
      <c r="B30" s="11" t="n">
        <v>70.16</v>
      </c>
    </row>
    <row r="32">
      <c r="A32" s="12" t="inlineStr">
        <is>
          <t>가이던스 · 상반기 실적</t>
        </is>
      </c>
      <c r="B32" s="12" t="n"/>
      <c r="C32" s="12" t="n"/>
      <c r="D32" s="12" t="n"/>
      <c r="E32" s="12" t="n"/>
      <c r="F32" s="12" t="n"/>
      <c r="G32" s="12" t="n"/>
      <c r="H32" s="12" t="n"/>
      <c r="I32" s="12" t="n"/>
      <c r="J32" s="12" t="n"/>
      <c r="K32" s="12" t="n"/>
      <c r="L32" s="12" t="n"/>
      <c r="M32" s="12" t="n"/>
      <c r="N32" s="12" t="n"/>
      <c r="O32" s="12" t="n"/>
    </row>
    <row r="33">
      <c r="A33" s="13" t="inlineStr">
        <is>
          <t>항목</t>
        </is>
      </c>
      <c r="B33" s="13" t="inlineStr">
        <is>
          <t>값</t>
        </is>
      </c>
      <c r="O33" s="13" t="inlineStr">
        <is>
          <t>출처</t>
        </is>
      </c>
    </row>
    <row r="34">
      <c r="A34" s="14" t="inlineStr">
        <is>
          <t>매출</t>
        </is>
      </c>
      <c r="B34" s="11" t="n">
        <v>499.44</v>
      </c>
      <c r="O34" s="3" t="inlineStr">
        <is>
          <t>2단계 보고서 자료(회사 설명회 자료·공시)</t>
        </is>
      </c>
    </row>
    <row r="35">
      <c r="A35" s="14" t="inlineStr">
        <is>
          <t>영업이익</t>
        </is>
      </c>
      <c r="B35" s="11" t="n">
        <v>6.8</v>
      </c>
    </row>
    <row r="36">
      <c r="A36" s="14" t="inlineStr">
        <is>
          <t>ord</t>
        </is>
      </c>
      <c r="B36" s="11" t="n">
        <v>7.9</v>
      </c>
    </row>
    <row r="37">
      <c r="A37" s="14" t="inlineStr">
        <is>
          <t>순이익</t>
        </is>
      </c>
      <c r="B37" s="11" t="n">
        <v>6.57</v>
      </c>
    </row>
    <row r="38">
      <c r="A38" s="14" t="inlineStr">
        <is>
          <t>EPS</t>
        </is>
      </c>
      <c r="B38" s="11" t="n">
        <v>64.02</v>
      </c>
    </row>
    <row r="40">
      <c r="A40" s="12" t="inlineStr">
        <is>
          <t>부문별 Q · 2027-Q1</t>
        </is>
      </c>
      <c r="B40" s="12" t="n"/>
      <c r="C40" s="12" t="n"/>
      <c r="D40" s="12" t="n"/>
      <c r="E40" s="12" t="n"/>
      <c r="F40" s="12" t="n"/>
      <c r="G40" s="12" t="n"/>
      <c r="H40" s="12" t="n"/>
      <c r="I40" s="12" t="n"/>
      <c r="J40" s="12" t="n"/>
      <c r="K40" s="12" t="n"/>
      <c r="L40" s="12" t="n"/>
      <c r="M40" s="12" t="n"/>
      <c r="N40" s="12" t="n"/>
      <c r="O40" s="12" t="n"/>
    </row>
    <row r="41">
      <c r="A41" s="13" t="inlineStr">
        <is>
          <t>항목</t>
        </is>
      </c>
      <c r="B41" s="13" t="inlineStr">
        <is>
          <t>값</t>
        </is>
      </c>
      <c r="O41" s="13" t="inlineStr">
        <is>
          <t>출처</t>
        </is>
      </c>
    </row>
    <row r="42">
      <c r="A42" s="14" t="inlineStr">
        <is>
          <t>SM ext</t>
        </is>
      </c>
      <c r="B42" s="11" t="n">
        <v>214.74</v>
      </c>
      <c r="O42" s="3" t="inlineStr">
        <is>
          <t>2단계 보고서 자료(회사 설명회 자료·공시)</t>
        </is>
      </c>
    </row>
    <row r="43">
      <c r="A43" s="14" t="inlineStr">
        <is>
          <t>SM 영업이익</t>
        </is>
      </c>
      <c r="B43" s="11" t="n">
        <v>2.21</v>
      </c>
    </row>
    <row r="44">
      <c r="A44" s="14" t="inlineStr">
        <is>
          <t>DS ext</t>
        </is>
      </c>
      <c r="B44" s="11" t="n">
        <v>33.96</v>
      </c>
    </row>
    <row r="45">
      <c r="A45" s="14" t="inlineStr">
        <is>
          <t>DS 영업이익</t>
        </is>
      </c>
      <c r="B45" s="11" t="n">
        <v>0.09</v>
      </c>
    </row>
    <row r="46">
      <c r="A46" s="14" t="inlineStr">
        <is>
          <t>Food 영업이익</t>
        </is>
      </c>
      <c r="B46" s="11" t="n">
        <v>-0.14</v>
      </c>
    </row>
    <row r="48">
      <c r="A48" s="12" t="inlineStr">
        <is>
          <t>부문별 Q · 2026-Q1</t>
        </is>
      </c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2" t="n"/>
      <c r="M48" s="12" t="n"/>
      <c r="N48" s="12" t="n"/>
      <c r="O48" s="12" t="n"/>
    </row>
    <row r="49">
      <c r="A49" s="13" t="inlineStr">
        <is>
          <t>항목</t>
        </is>
      </c>
      <c r="B49" s="13" t="inlineStr">
        <is>
          <t>값</t>
        </is>
      </c>
      <c r="O49" s="13" t="inlineStr">
        <is>
          <t>출처</t>
        </is>
      </c>
    </row>
    <row r="50">
      <c r="A50" s="14" t="inlineStr">
        <is>
          <t>SM ext</t>
        </is>
      </c>
      <c r="B50" s="11" t="n">
        <v>228.12</v>
      </c>
      <c r="O50" s="3" t="inlineStr">
        <is>
          <t>2단계 보고서 자료(회사 설명회 자료·공시)</t>
        </is>
      </c>
    </row>
    <row r="51">
      <c r="A51" s="14" t="inlineStr">
        <is>
          <t>SM 영업이익</t>
        </is>
      </c>
      <c r="B51" s="11" t="n">
        <v>3.5</v>
      </c>
    </row>
    <row r="52">
      <c r="A52" s="14" t="inlineStr">
        <is>
          <t>DS ext</t>
        </is>
      </c>
      <c r="B52" s="11" t="n">
        <v>32.45</v>
      </c>
    </row>
    <row r="53">
      <c r="A53" s="14" t="inlineStr">
        <is>
          <t>DS 영업이익</t>
        </is>
      </c>
      <c r="B53" s="11" t="n">
        <v>-0.22</v>
      </c>
    </row>
    <row r="54">
      <c r="A54" s="14" t="inlineStr">
        <is>
          <t>Food 영업이익</t>
        </is>
      </c>
      <c r="B54" s="11" t="n">
        <v>-0.8</v>
      </c>
    </row>
    <row r="56">
      <c r="A56" s="12" t="inlineStr">
        <is>
          <t>부문별 Q · 2027-Q2</t>
        </is>
      </c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2" t="n"/>
      <c r="M56" s="12" t="n"/>
      <c r="N56" s="12" t="n"/>
      <c r="O56" s="12" t="n"/>
    </row>
    <row r="57">
      <c r="A57" s="13" t="inlineStr">
        <is>
          <t>항목</t>
        </is>
      </c>
      <c r="B57" s="13" t="inlineStr">
        <is>
          <t>값</t>
        </is>
      </c>
      <c r="O57" s="13" t="inlineStr">
        <is>
          <t>출처</t>
        </is>
      </c>
    </row>
    <row r="58">
      <c r="A58" s="14" t="inlineStr">
        <is>
          <t>SM ext</t>
        </is>
      </c>
      <c r="B58" s="11" t="n">
        <v>217.1</v>
      </c>
      <c r="O58" s="3" t="inlineStr">
        <is>
          <t>2단계 보고서 자료(회사 설명회 자료·공시)</t>
        </is>
      </c>
    </row>
    <row r="59">
      <c r="A59" s="14" t="inlineStr">
        <is>
          <t>SM 영업이익</t>
        </is>
      </c>
      <c r="B59" s="11" t="n">
        <v>4.77</v>
      </c>
    </row>
    <row r="60">
      <c r="A60" s="14" t="inlineStr">
        <is>
          <t>DS ext</t>
        </is>
      </c>
      <c r="B60" s="11" t="n">
        <v>33.61</v>
      </c>
    </row>
    <row r="61">
      <c r="A61" s="14" t="inlineStr">
        <is>
          <t>DS 영업이익</t>
        </is>
      </c>
      <c r="B61" s="11" t="n">
        <v>-0.4</v>
      </c>
    </row>
    <row r="62">
      <c r="A62" s="14" t="inlineStr">
        <is>
          <t>Food 영업이익</t>
        </is>
      </c>
      <c r="B62" s="11" t="n">
        <v>0.21</v>
      </c>
    </row>
    <row r="64">
      <c r="A64" s="12" t="inlineStr">
        <is>
          <t>부문별 Q · 2026-Q2</t>
        </is>
      </c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  <c r="L64" s="12" t="n"/>
      <c r="M64" s="12" t="n"/>
      <c r="N64" s="12" t="n"/>
      <c r="O64" s="12" t="n"/>
    </row>
    <row r="65">
      <c r="A65" s="13" t="inlineStr">
        <is>
          <t>항목</t>
        </is>
      </c>
      <c r="B65" s="13" t="inlineStr">
        <is>
          <t>값</t>
        </is>
      </c>
      <c r="O65" s="13" t="inlineStr">
        <is>
          <t>출처</t>
        </is>
      </c>
    </row>
    <row r="66">
      <c r="A66" s="14" t="inlineStr">
        <is>
          <t>SM ext</t>
        </is>
      </c>
      <c r="B66" s="11" t="n">
        <v>236.29</v>
      </c>
      <c r="O66" s="3" t="inlineStr">
        <is>
          <t>2단계 보고서 자료(회사 설명회 자료·공시)</t>
        </is>
      </c>
    </row>
    <row r="67">
      <c r="A67" s="14" t="inlineStr">
        <is>
          <t>SM 영업이익</t>
        </is>
      </c>
      <c r="B67" s="11" t="n">
        <v>3.88</v>
      </c>
    </row>
    <row r="68">
      <c r="A68" s="14" t="inlineStr">
        <is>
          <t>DS ext</t>
        </is>
      </c>
      <c r="B68" s="11" t="n">
        <v>33.79</v>
      </c>
    </row>
    <row r="69">
      <c r="A69" s="14" t="inlineStr">
        <is>
          <t>DS 영업이익</t>
        </is>
      </c>
      <c r="B69" s="11" t="n">
        <v>-0.43</v>
      </c>
    </row>
    <row r="70">
      <c r="A70" s="14" t="inlineStr">
        <is>
          <t>Food 영업이익</t>
        </is>
      </c>
      <c r="B70" s="11" t="n">
        <v>-0.01</v>
      </c>
    </row>
    <row r="72">
      <c r="A72" s="12" t="inlineStr">
        <is>
          <t>밸류에이션</t>
        </is>
      </c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  <c r="L72" s="12" t="n"/>
      <c r="M72" s="12" t="n"/>
      <c r="N72" s="12" t="n"/>
      <c r="O72" s="12" t="n"/>
    </row>
    <row r="73">
      <c r="A73" s="13" t="inlineStr">
        <is>
          <t>항목</t>
        </is>
      </c>
      <c r="B73" s="13" t="inlineStr">
        <is>
          <t>값</t>
        </is>
      </c>
      <c r="O73" s="13" t="inlineStr">
        <is>
          <t>출처</t>
        </is>
      </c>
    </row>
    <row r="74">
      <c r="A74" s="14" t="inlineStr">
        <is>
          <t>shares ex treasury</t>
        </is>
      </c>
      <c r="B74" s="15" t="n">
        <v>10274943</v>
      </c>
      <c r="O74" s="3" t="inlineStr">
        <is>
          <t>TTM EPS에 아키타 분리 이전이익 14.45억(주당 약 140엔) 포함</t>
        </is>
      </c>
    </row>
    <row r="75">
      <c r="A75" s="14" t="inlineStr">
        <is>
          <t>mcap</t>
        </is>
      </c>
      <c r="B75" s="11" t="n">
        <v>117.2</v>
      </c>
    </row>
    <row r="76">
      <c r="A76" s="14" t="inlineStr">
        <is>
          <t>equity</t>
        </is>
      </c>
      <c r="B76" s="11" t="n">
        <v>273.76</v>
      </c>
    </row>
    <row r="77">
      <c r="A77" s="14" t="inlineStr">
        <is>
          <t>bps</t>
        </is>
      </c>
      <c r="B77" s="15" t="n">
        <v>2664</v>
      </c>
    </row>
    <row r="78">
      <c r="A78" s="14" t="inlineStr">
        <is>
          <t>PBR</t>
        </is>
      </c>
      <c r="B78" s="11" t="n">
        <v>0.43</v>
      </c>
    </row>
    <row r="79">
      <c r="A79" s="14" t="inlineStr">
        <is>
          <t>ttm EPS</t>
        </is>
      </c>
      <c r="B79" s="11" t="n">
        <v>122.9</v>
      </c>
    </row>
    <row r="80">
      <c r="A80" s="14" t="inlineStr">
        <is>
          <t>ttm PER</t>
        </is>
      </c>
      <c r="B80" s="11" t="n">
        <v>9.300000000000001</v>
      </c>
    </row>
    <row r="81">
      <c r="A81" s="14" t="inlineStr">
        <is>
          <t>guid EPS</t>
        </is>
      </c>
      <c r="B81" s="11" t="n">
        <v>70.16</v>
      </c>
    </row>
    <row r="82">
      <c r="A82" s="14" t="inlineStr">
        <is>
          <t>guid PER</t>
        </is>
      </c>
      <c r="B82" s="11" t="n">
        <v>16.3</v>
      </c>
    </row>
    <row r="83">
      <c r="A83" s="14" t="inlineStr">
        <is>
          <t>dps</t>
        </is>
      </c>
      <c r="B83" s="15" t="n">
        <v>27</v>
      </c>
    </row>
    <row r="84">
      <c r="A84" s="14" t="inlineStr">
        <is>
          <t>yield</t>
        </is>
      </c>
      <c r="B84" s="11" t="n">
        <v>2.4</v>
      </c>
    </row>
    <row r="85">
      <c r="A85" s="14" t="inlineStr">
        <is>
          <t>net assets ratio</t>
        </is>
      </c>
      <c r="B85" s="11" t="n">
        <v>54.5</v>
      </c>
    </row>
    <row r="87">
      <c r="A87" s="12" t="inlineStr">
        <is>
          <t>peers · 9948 아크스</t>
        </is>
      </c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  <c r="L87" s="12" t="n"/>
      <c r="M87" s="12" t="n"/>
      <c r="N87" s="12" t="n"/>
      <c r="O87" s="12" t="n"/>
    </row>
    <row r="88">
      <c r="A88" s="13" t="inlineStr">
        <is>
          <t>항목</t>
        </is>
      </c>
      <c r="B88" s="13" t="inlineStr">
        <is>
          <t>값</t>
        </is>
      </c>
      <c r="O88" s="13" t="inlineStr">
        <is>
          <t>출처</t>
        </is>
      </c>
    </row>
    <row r="89">
      <c r="A89" s="14" t="inlineStr">
        <is>
          <t>가격</t>
        </is>
      </c>
      <c r="B89" s="15" t="n">
        <v>3500</v>
      </c>
      <c r="O89" s="3" t="inlineStr">
        <is>
          <t>2단계 보고서 자료(회사 설명회 자료·공시)</t>
        </is>
      </c>
    </row>
    <row r="90">
      <c r="A90" s="14" t="inlineStr">
        <is>
          <t>EPS fc</t>
        </is>
      </c>
      <c r="B90" s="11" t="n">
        <v>232.73</v>
      </c>
    </row>
    <row r="92">
      <c r="A92" s="12" t="inlineStr">
        <is>
          <t>peers · 8167 리테일파트너즈</t>
        </is>
      </c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  <c r="L92" s="12" t="n"/>
      <c r="M92" s="12" t="n"/>
      <c r="N92" s="12" t="n"/>
      <c r="O92" s="12" t="n"/>
    </row>
    <row r="93">
      <c r="A93" s="13" t="inlineStr">
        <is>
          <t>항목</t>
        </is>
      </c>
      <c r="B93" s="13" t="inlineStr">
        <is>
          <t>값</t>
        </is>
      </c>
      <c r="O93" s="13" t="inlineStr">
        <is>
          <t>출처</t>
        </is>
      </c>
    </row>
    <row r="94">
      <c r="A94" s="14" t="inlineStr">
        <is>
          <t>가격</t>
        </is>
      </c>
      <c r="B94" s="15" t="n">
        <v>1411</v>
      </c>
      <c r="O94" s="3" t="inlineStr">
        <is>
          <t>2단계 보고서 자료(회사 설명회 자료·공시)</t>
        </is>
      </c>
    </row>
    <row r="95">
      <c r="A95" s="14" t="inlineStr">
        <is>
          <t>EPS fc</t>
        </is>
      </c>
      <c r="B95" s="11" t="n">
        <v>124.62</v>
      </c>
    </row>
    <row r="97">
      <c r="A97" s="12" t="inlineStr">
        <is>
          <t>peers · 8278 후지</t>
        </is>
      </c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  <c r="L97" s="12" t="n"/>
      <c r="M97" s="12" t="n"/>
      <c r="N97" s="12" t="n"/>
      <c r="O97" s="12" t="n"/>
    </row>
    <row r="98">
      <c r="A98" s="13" t="inlineStr">
        <is>
          <t>항목</t>
        </is>
      </c>
      <c r="B98" s="13" t="inlineStr">
        <is>
          <t>값</t>
        </is>
      </c>
      <c r="O98" s="13" t="inlineStr">
        <is>
          <t>출처</t>
        </is>
      </c>
    </row>
    <row r="99">
      <c r="A99" s="14" t="inlineStr">
        <is>
          <t>가격</t>
        </is>
      </c>
      <c r="B99" s="15" t="n">
        <v>1982</v>
      </c>
      <c r="O99" s="3" t="inlineStr">
        <is>
          <t>2단계 보고서 자료(회사 설명회 자료·공시)</t>
        </is>
      </c>
    </row>
    <row r="100">
      <c r="A100" s="14" t="inlineStr">
        <is>
          <t>EPS fc</t>
        </is>
      </c>
      <c r="B100" s="11" t="n">
        <v>80.76000000000001</v>
      </c>
    </row>
    <row r="102">
      <c r="A102" s="12" t="inlineStr">
        <is>
          <t>peers · 8255 액시얼 리테일링</t>
        </is>
      </c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  <c r="L102" s="12" t="n"/>
      <c r="M102" s="12" t="n"/>
      <c r="N102" s="12" t="n"/>
      <c r="O102" s="12" t="n"/>
    </row>
    <row r="103">
      <c r="A103" s="13" t="inlineStr">
        <is>
          <t>항목</t>
        </is>
      </c>
      <c r="B103" s="13" t="inlineStr">
        <is>
          <t>값</t>
        </is>
      </c>
      <c r="O103" s="13" t="inlineStr">
        <is>
          <t>출처</t>
        </is>
      </c>
    </row>
    <row r="104">
      <c r="A104" s="14" t="inlineStr">
        <is>
          <t>가격</t>
        </is>
      </c>
      <c r="B104" s="15" t="n">
        <v>1314</v>
      </c>
      <c r="O104" s="3" t="inlineStr">
        <is>
          <t>2단계 보고서 자료(회사 설명회 자료·공시)</t>
        </is>
      </c>
    </row>
    <row r="105">
      <c r="A105" s="14" t="inlineStr">
        <is>
          <t>EPS fc</t>
        </is>
      </c>
      <c r="B105" s="11" t="n">
        <v>90.31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33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4" customWidth="1" min="2" max="2"/>
    <col width="60" customWidth="1" min="3" max="3"/>
  </cols>
  <sheetData>
    <row r="1">
      <c r="A1" s="1" t="inlineStr">
        <is>
          <t>출처 · 쓴 결산단신</t>
        </is>
      </c>
    </row>
    <row r="3">
      <c r="A3" s="16" t="inlineStr">
        <is>
          <t>공시일</t>
        </is>
      </c>
      <c r="B3" s="16" t="inlineStr">
        <is>
          <t>문서</t>
        </is>
      </c>
      <c r="C3" s="16" t="inlineStr">
        <is>
          <t>PDF</t>
        </is>
      </c>
    </row>
    <row r="4">
      <c r="A4" t="inlineStr">
        <is>
          <t>2026-10-14</t>
        </is>
      </c>
      <c r="B4" t="inlineStr">
        <is>
          <t>2027년 2월 결산기 ２분기 결산단신</t>
        </is>
      </c>
      <c r="C4" t="inlineStr">
        <is>
          <t>https://www2.jpx.co.jp/disc/99930/140120261014550200.pdf</t>
        </is>
      </c>
    </row>
    <row r="5">
      <c r="A5" t="inlineStr">
        <is>
          <t>2026-07-14</t>
        </is>
      </c>
      <c r="B5" t="inlineStr">
        <is>
          <t>2027년 2월 결산기 １분기 결산단신</t>
        </is>
      </c>
      <c r="C5" t="inlineStr">
        <is>
          <t>https://www2.jpx.co.jp/disc/99930/140120260713592236.pdf</t>
        </is>
      </c>
    </row>
    <row r="6">
      <c r="A6" t="inlineStr">
        <is>
          <t>2026-04-20</t>
        </is>
      </c>
      <c r="B6" t="inlineStr">
        <is>
          <t>2026년 2월 결산기 연간 결산단신</t>
        </is>
      </c>
      <c r="C6" t="inlineStr">
        <is>
          <t>https://www2.jpx.co.jp/disc/99930/140120260420506871.pdf</t>
        </is>
      </c>
    </row>
    <row r="7">
      <c r="A7" t="inlineStr">
        <is>
          <t>2026-01-14</t>
        </is>
      </c>
      <c r="B7" t="inlineStr">
        <is>
          <t>2026년 2월 결산기 ３분기 결산단신</t>
        </is>
      </c>
      <c r="C7" t="inlineStr">
        <is>
          <t>https://www2.jpx.co.jp/disc/99930/140120260114533127.pdf</t>
        </is>
      </c>
    </row>
    <row r="8">
      <c r="A8" t="inlineStr">
        <is>
          <t>2025-10-10</t>
        </is>
      </c>
      <c r="B8" t="inlineStr">
        <is>
          <t>2026년 2월 결산기 ２분기 결산단신</t>
        </is>
      </c>
      <c r="C8" t="inlineStr">
        <is>
          <t>https://www2.jpx.co.jp/disc/99930/140120251010571625.pdf</t>
        </is>
      </c>
    </row>
    <row r="9">
      <c r="A9" t="inlineStr">
        <is>
          <t>2025-04-14</t>
        </is>
      </c>
      <c r="B9" t="inlineStr">
        <is>
          <t>2025년 2월 결산기 연간 결산단신</t>
        </is>
      </c>
      <c r="C9" t="inlineStr">
        <is>
          <t>https://www2.jpx.co.jp/disc/99930/140120250414515281.pdf</t>
        </is>
      </c>
    </row>
    <row r="10">
      <c r="A10" t="inlineStr">
        <is>
          <t>2025-01-10</t>
        </is>
      </c>
      <c r="B10" t="inlineStr">
        <is>
          <t>2025년 2월 결산기 ３분기 결산단신</t>
        </is>
      </c>
      <c r="C10" t="inlineStr">
        <is>
          <t>https://www2.jpx.co.jp/disc/99930/140120250110548922.pdf</t>
        </is>
      </c>
    </row>
    <row r="11">
      <c r="A11" t="inlineStr">
        <is>
          <t>2024-10-10</t>
        </is>
      </c>
      <c r="B11" t="inlineStr">
        <is>
          <t>2025년 2월 결산기 ２분기 결산단신</t>
        </is>
      </c>
      <c r="C11" t="inlineStr">
        <is>
          <t>https://www2.jpx.co.jp/disc/99930/140120241010596167.pdf</t>
        </is>
      </c>
    </row>
    <row r="12">
      <c r="A12" t="inlineStr">
        <is>
          <t>2024-07-11</t>
        </is>
      </c>
      <c r="B12" t="inlineStr">
        <is>
          <t>2025년 2월 결산기 １분기 결산단신</t>
        </is>
      </c>
      <c r="C12" t="inlineStr">
        <is>
          <t>https://www2.jpx.co.jp/disc/99930/140120240711547445.pdf</t>
        </is>
      </c>
    </row>
    <row r="13">
      <c r="A13" t="inlineStr">
        <is>
          <t>2024-04-15</t>
        </is>
      </c>
      <c r="B13" t="inlineStr">
        <is>
          <t>2024년 2월 결산기 연간 결산단신</t>
        </is>
      </c>
      <c r="C13" t="inlineStr">
        <is>
          <t>https://www2.jpx.co.jp/disc/99930/140120240415570986.pdf</t>
        </is>
      </c>
    </row>
    <row r="14">
      <c r="A14" t="inlineStr">
        <is>
          <t>2024-01-11</t>
        </is>
      </c>
      <c r="B14" t="inlineStr">
        <is>
          <t>2024년 2월 결산기 ３분기 결산단신</t>
        </is>
      </c>
      <c r="C14" t="inlineStr">
        <is>
          <t>https://www2.jpx.co.jp/disc/99930/140120240111513312.pdf</t>
        </is>
      </c>
    </row>
    <row r="15">
      <c r="A15" t="inlineStr">
        <is>
          <t>2023-10-11</t>
        </is>
      </c>
      <c r="B15" t="inlineStr">
        <is>
          <t>2024년 2월 결산기 ２분기 결산단신</t>
        </is>
      </c>
      <c r="C15" t="inlineStr">
        <is>
          <t>https://www2.jpx.co.jp/disc/99930/140120231011564852.pdf</t>
        </is>
      </c>
    </row>
    <row r="16">
      <c r="A16" t="inlineStr">
        <is>
          <t>2023-07-12</t>
        </is>
      </c>
      <c r="B16" t="inlineStr">
        <is>
          <t>2024년 2월 결산기 １분기 결산단신</t>
        </is>
      </c>
      <c r="C16" t="inlineStr">
        <is>
          <t>https://www2.jpx.co.jp/disc/99930/140120230712520867.pdf</t>
        </is>
      </c>
    </row>
    <row r="17">
      <c r="A17" t="inlineStr">
        <is>
          <t>2023-04-14</t>
        </is>
      </c>
      <c r="B17" t="inlineStr">
        <is>
          <t>2023년 2월 결산기 연간 결산단신</t>
        </is>
      </c>
      <c r="C17" t="inlineStr">
        <is>
          <t>https://www2.jpx.co.jp/disc/99930/140120230414547869.pdf</t>
        </is>
      </c>
    </row>
    <row r="18">
      <c r="A18" t="inlineStr">
        <is>
          <t>2023-01-12</t>
        </is>
      </c>
      <c r="B18" t="inlineStr">
        <is>
          <t>2023년 2월 결산기 ３분기 결산단신</t>
        </is>
      </c>
      <c r="C18" t="inlineStr">
        <is>
          <t>https://www2.jpx.co.jp/disc/99930/140120230112588130.pdf</t>
        </is>
      </c>
    </row>
    <row r="19">
      <c r="A19" t="inlineStr">
        <is>
          <t>2022-10-12</t>
        </is>
      </c>
      <c r="B19" t="inlineStr">
        <is>
          <t>2023년 2월 결산기 ２분기 결산단신</t>
        </is>
      </c>
      <c r="C19" t="inlineStr">
        <is>
          <t>https://www2.jpx.co.jp/disc/99930/140120221012543163.pdf</t>
        </is>
      </c>
    </row>
    <row r="20">
      <c r="A20" t="inlineStr">
        <is>
          <t>2022-07-11</t>
        </is>
      </c>
      <c r="B20" t="inlineStr">
        <is>
          <t>１분기 결산단신</t>
        </is>
      </c>
      <c r="C20" t="inlineStr">
        <is>
          <t>https://www2.jpx.co.jp/disc/99930/140120220711597722.pdf</t>
        </is>
      </c>
    </row>
    <row r="21">
      <c r="A21" t="inlineStr">
        <is>
          <t>2022-04-12</t>
        </is>
      </c>
      <c r="B21" t="inlineStr">
        <is>
          <t>2022년 2월 결산기 연간 결산단신</t>
        </is>
      </c>
      <c r="C21" t="inlineStr">
        <is>
          <t>https://www2.jpx.co.jp/disc/99930/140120220412520467.pdf</t>
        </is>
      </c>
    </row>
    <row r="22">
      <c r="A22" t="inlineStr">
        <is>
          <t>2022-01-07</t>
        </is>
      </c>
      <c r="B22" t="inlineStr">
        <is>
          <t>2022년 2월 결산기 ３분기 결산단신</t>
        </is>
      </c>
      <c r="C22" t="inlineStr">
        <is>
          <t>https://www2.jpx.co.jp/disc/99930/140120220106564666.pdf</t>
        </is>
      </c>
    </row>
    <row r="23">
      <c r="A23" t="inlineStr">
        <is>
          <t>2021-10-08</t>
        </is>
      </c>
      <c r="B23" t="inlineStr">
        <is>
          <t>2022년 2월 결산기 ２분기 결산단신</t>
        </is>
      </c>
      <c r="C23" t="inlineStr">
        <is>
          <t>https://www2.jpx.co.jp/disc/99930/140120211007408035.pdf</t>
        </is>
      </c>
    </row>
    <row r="24">
      <c r="A24" t="inlineStr">
        <is>
          <t>2021-07-09</t>
        </is>
      </c>
      <c r="B24" t="inlineStr">
        <is>
          <t>2022년 2월 결산기 １분기 결산단신</t>
        </is>
      </c>
      <c r="C24" t="inlineStr">
        <is>
          <t>https://www2.jpx.co.jp/disc/99930/140120210708463930.pdf</t>
        </is>
      </c>
    </row>
    <row r="25">
      <c r="A25" t="inlineStr">
        <is>
          <t>2021-04-12</t>
        </is>
      </c>
      <c r="B25" t="inlineStr">
        <is>
          <t>2021년 2월 결산기 연간 결산단신</t>
        </is>
      </c>
      <c r="C25" t="inlineStr">
        <is>
          <t>https://www2.jpx.co.jp/disc/99930/140120210412492950.pdf</t>
        </is>
      </c>
    </row>
    <row r="26">
      <c r="A26" t="inlineStr">
        <is>
          <t>2021-01-08</t>
        </is>
      </c>
      <c r="B26" t="inlineStr">
        <is>
          <t>2021년 2월 결산기 ３분기 결산단신</t>
        </is>
      </c>
      <c r="C26" t="inlineStr">
        <is>
          <t>https://www2.jpx.co.jp/disc/99930/140120210108442191.pdf</t>
        </is>
      </c>
    </row>
    <row r="27">
      <c r="A27" t="inlineStr">
        <is>
          <t>2020-10-09</t>
        </is>
      </c>
      <c r="B27" t="inlineStr">
        <is>
          <t>2021년 2월 결산기 ２분기 결산단신</t>
        </is>
      </c>
      <c r="C27" t="inlineStr">
        <is>
          <t>https://www2.jpx.co.jp/disc/99930/140120201008401540.pdf</t>
        </is>
      </c>
    </row>
    <row r="28">
      <c r="A28" t="inlineStr">
        <is>
          <t>2020-07-10</t>
        </is>
      </c>
      <c r="B28" t="inlineStr">
        <is>
          <t>2021년 2월 결산기 １분기 결산단신</t>
        </is>
      </c>
      <c r="C28" t="inlineStr">
        <is>
          <t>https://www2.jpx.co.jp/disc/99930/140120200709460222.pdf</t>
        </is>
      </c>
    </row>
    <row r="29">
      <c r="A29" t="inlineStr">
        <is>
          <t>2020-04-10</t>
        </is>
      </c>
      <c r="B29" t="inlineStr">
        <is>
          <t>2020년 2월 결산기 연간 결산단신</t>
        </is>
      </c>
      <c r="C29" t="inlineStr">
        <is>
          <t>https://www2.jpx.co.jp/disc/99930/140120200410492181.pdf</t>
        </is>
      </c>
    </row>
    <row r="30">
      <c r="A30" t="inlineStr">
        <is>
          <t>2020-01-08</t>
        </is>
      </c>
      <c r="B30" t="inlineStr">
        <is>
          <t>2020년 2월 결산기 ３분기 결산단신</t>
        </is>
      </c>
      <c r="C30" t="inlineStr">
        <is>
          <t>https://www2.jpx.co.jp/disc/99930/140120200108444394.pdf</t>
        </is>
      </c>
    </row>
    <row r="31">
      <c r="A31" t="inlineStr">
        <is>
          <t>2019-10-09</t>
        </is>
      </c>
      <c r="B31" t="inlineStr">
        <is>
          <t>2020년 2월 결산기 ２분기 결산단신</t>
        </is>
      </c>
      <c r="C31" t="inlineStr">
        <is>
          <t>https://www2.jpx.co.jp/disc/99930/140120191008405919.pdf</t>
        </is>
      </c>
    </row>
    <row r="32">
      <c r="A32" t="inlineStr">
        <is>
          <t>2019-07-09</t>
        </is>
      </c>
      <c r="B32" t="inlineStr">
        <is>
          <t>2020년 2월 결산기 １분기 결산단신</t>
        </is>
      </c>
      <c r="C32" t="inlineStr">
        <is>
          <t>https://www2.jpx.co.jp/disc/99930/140120190708468748.pdf</t>
        </is>
      </c>
    </row>
    <row r="33">
      <c r="A33" t="inlineStr">
        <is>
          <t>2019-04-11</t>
        </is>
      </c>
      <c r="B33" t="inlineStr">
        <is>
          <t>2019년 2월 결산기 연간 결산단신</t>
        </is>
      </c>
      <c r="C33" t="inlineStr">
        <is>
          <t>https://www2.jpx.co.jp/disc/99930/140120190410402456.pdf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2026-10-25T06:59:34Z</dcterms:created>
  <dcterms:modified xmlns:dcterms="http://purl.org/dc/terms/" xmlns:xsi="http://www.w3.org/2001/XMLSchema-instance" xsi:type="dcterms:W3CDTF">2026-10-25T06:59:34Z</dcterms:modified>
</cp:coreProperties>
</file>