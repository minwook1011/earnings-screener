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4205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93515</v>
      </c>
      <c r="D4" s="12" t="n">
        <v>98364</v>
      </c>
      <c r="E4" s="12" t="n">
        <v>98473</v>
      </c>
      <c r="F4" s="12" t="n">
        <v>106105</v>
      </c>
      <c r="G4" s="12" t="n">
        <v>107245</v>
      </c>
      <c r="H4" s="12" t="n">
        <v>102083</v>
      </c>
      <c r="I4" s="12" t="n">
        <v>105214</v>
      </c>
      <c r="J4" s="12" t="n">
        <v>103083</v>
      </c>
      <c r="K4" s="12" t="n">
        <v>103388</v>
      </c>
      <c r="L4" s="12" t="n">
        <v>103241</v>
      </c>
      <c r="M4" s="12" t="n">
        <v>102254</v>
      </c>
      <c r="N4" s="12" t="n">
        <v>109466</v>
      </c>
      <c r="O4" s="11" t="n">
        <v>287624</v>
      </c>
      <c r="P4" s="12" t="n">
        <v>332682</v>
      </c>
      <c r="Q4" s="12" t="n">
        <v>337499</v>
      </c>
      <c r="R4" s="12" t="n">
        <v>321966</v>
      </c>
      <c r="S4" s="12" t="n">
        <v>301961</v>
      </c>
      <c r="T4" s="12" t="n">
        <v>361730</v>
      </c>
      <c r="U4" s="12" t="n">
        <v>388614</v>
      </c>
      <c r="V4" s="12" t="n">
        <v>382279</v>
      </c>
      <c r="W4" s="12" t="n">
        <v>420647</v>
      </c>
      <c r="X4" s="12" t="n">
        <v>411966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Elastomer Reportable Segments</t>
        </is>
      </c>
      <c r="B7" s="10" t="n"/>
      <c r="C7" s="19" t="n">
        <v>51413</v>
      </c>
      <c r="D7" s="20" t="n">
        <v>53781</v>
      </c>
      <c r="E7" s="20" t="n">
        <v>54619</v>
      </c>
      <c r="F7" s="20" t="n">
        <v>59245</v>
      </c>
      <c r="G7" s="20" t="n">
        <v>59287</v>
      </c>
      <c r="H7" s="20" t="n">
        <v>56737</v>
      </c>
      <c r="I7" s="20" t="n">
        <v>57200</v>
      </c>
      <c r="J7" s="20" t="n">
        <v>57748</v>
      </c>
      <c r="K7" s="20" t="n">
        <v>54099</v>
      </c>
      <c r="L7" s="20" t="n">
        <v>54852</v>
      </c>
      <c r="M7" s="20" t="n">
        <v>55057</v>
      </c>
      <c r="N7" s="20" t="n">
        <v>57518</v>
      </c>
      <c r="O7" s="19" t="n"/>
      <c r="P7" s="20" t="n"/>
      <c r="Q7" s="20" t="n"/>
      <c r="R7" s="20" t="n"/>
      <c r="S7" s="20" t="n"/>
      <c r="T7" s="20" t="n"/>
      <c r="U7" s="20" t="n"/>
      <c r="V7" s="20" t="n">
        <v>211356</v>
      </c>
      <c r="W7" s="20" t="n">
        <v>232469</v>
      </c>
      <c r="X7" s="20" t="n">
        <v>221756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Specialty Material Reportable Segments</t>
        </is>
      </c>
      <c r="B10" s="10" t="n"/>
      <c r="C10" s="19" t="n">
        <v>26205</v>
      </c>
      <c r="D10" s="20" t="n">
        <v>27652</v>
      </c>
      <c r="E10" s="20" t="n">
        <v>28290</v>
      </c>
      <c r="F10" s="20" t="n">
        <v>30303</v>
      </c>
      <c r="G10" s="20" t="n">
        <v>31230</v>
      </c>
      <c r="H10" s="20" t="n">
        <v>28541</v>
      </c>
      <c r="I10" s="20" t="n">
        <v>31477</v>
      </c>
      <c r="J10" s="20" t="n">
        <v>29279</v>
      </c>
      <c r="K10" s="20" t="n">
        <v>32995</v>
      </c>
      <c r="L10" s="20" t="n">
        <v>31532</v>
      </c>
      <c r="M10" s="20" t="n">
        <v>30357</v>
      </c>
      <c r="N10" s="20" t="n">
        <v>33832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107334</v>
      </c>
      <c r="W10" s="20" t="n">
        <v>121551</v>
      </c>
      <c r="X10" s="20" t="n">
        <v>124163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15897</v>
      </c>
      <c r="D13" s="20" t="n">
        <v>16930</v>
      </c>
      <c r="E13" s="20" t="n">
        <v>15565</v>
      </c>
      <c r="F13" s="20" t="n">
        <v>16557</v>
      </c>
      <c r="G13" s="20" t="n">
        <v>16728</v>
      </c>
      <c r="H13" s="20" t="n">
        <v>16805</v>
      </c>
      <c r="I13" s="20" t="n">
        <v>16537</v>
      </c>
      <c r="J13" s="20" t="n">
        <v>16056</v>
      </c>
      <c r="K13" s="20" t="n">
        <v>16295</v>
      </c>
      <c r="L13" s="20" t="n">
        <v>16857</v>
      </c>
      <c r="M13" s="20" t="n">
        <v>16839</v>
      </c>
      <c r="N13" s="20" t="n">
        <v>18117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63589</v>
      </c>
      <c r="W13" s="20" t="n">
        <v>66627</v>
      </c>
      <c r="X13" s="20" t="n">
        <v>66047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68951</v>
      </c>
      <c r="D17" s="20" t="n">
        <v>71567</v>
      </c>
      <c r="E17" s="20" t="n">
        <v>72688</v>
      </c>
      <c r="F17" s="20" t="n">
        <v>75523</v>
      </c>
      <c r="G17" s="20" t="n">
        <v>76683</v>
      </c>
      <c r="H17" s="20" t="n">
        <v>72923</v>
      </c>
      <c r="I17" s="20" t="n">
        <v>77285</v>
      </c>
      <c r="J17" s="20" t="n">
        <v>69546</v>
      </c>
      <c r="K17" s="20" t="n">
        <v>75213</v>
      </c>
      <c r="L17" s="20" t="n">
        <v>74525</v>
      </c>
      <c r="M17" s="20" t="n">
        <v>71480</v>
      </c>
      <c r="N17" s="20" t="n">
        <v>72300</v>
      </c>
      <c r="O17" s="19" t="n">
        <v>200699</v>
      </c>
      <c r="P17" s="20" t="n">
        <v>231410</v>
      </c>
      <c r="Q17" s="20" t="n">
        <v>240757</v>
      </c>
      <c r="R17" s="20" t="n">
        <v>230055</v>
      </c>
      <c r="S17" s="20" t="n">
        <v>204409</v>
      </c>
      <c r="T17" s="20" t="n">
        <v>241371</v>
      </c>
      <c r="U17" s="20" t="n">
        <v>278971</v>
      </c>
      <c r="V17" s="20" t="n">
        <v>279769</v>
      </c>
      <c r="W17" s="20" t="n">
        <v>302414</v>
      </c>
      <c r="X17" s="20" t="n">
        <v>290764</v>
      </c>
      <c r="Y17" s="19" t="n"/>
      <c r="Z17" s="20" t="n"/>
      <c r="AA17" s="20" t="n"/>
      <c r="AB17" s="20" t="n"/>
      <c r="AC17" s="20" t="n"/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IF(OR(G17="",C17=""),"",IF(C17&lt;=0,"",IFERROR(G17/C17-1,"")))</f>
        <v/>
      </c>
      <c r="H18" s="15">
        <f>IF(OR(H17="",D17=""),"",IF(D17&lt;=0,"",IFERROR(H17/D17-1,"")))</f>
        <v/>
      </c>
      <c r="I18" s="15">
        <f>IF(OR(I17="",E17=""),"",IF(E17&lt;=0,"",IFERROR(I17/E17-1,"")))</f>
        <v/>
      </c>
      <c r="J18" s="15">
        <f>IF(OR(J17="",F17=""),"",IF(F17&lt;=0,"",IFERROR(J17/F17-1,"")))</f>
        <v/>
      </c>
      <c r="K18" s="15">
        <f>IF(OR(K17="",G17=""),"",IF(G17&lt;=0,"",IFERROR(K17/G17-1,"")))</f>
        <v/>
      </c>
      <c r="L18" s="15">
        <f>IF(OR(L17="",H17=""),"",IF(H17&lt;=0,"",IFERROR(L17/H17-1,"")))</f>
        <v/>
      </c>
      <c r="M18" s="15">
        <f>IF(OR(M17="",I17=""),"",IF(I17&lt;=0,"",IFERROR(M17/I17-1,"")))</f>
        <v/>
      </c>
      <c r="N18" s="15">
        <f>IF(OR(N17="",J17=""),"",IF(J17&lt;=0,"",IFERROR(N17/J17-1,"")))</f>
        <v/>
      </c>
      <c r="O18" s="14" t="n"/>
      <c r="P18" s="15">
        <f>IF(OR(P17="",O17=""),"",IF(O17&lt;=0,"",IFERROR(P17/O17-1,"")))</f>
        <v/>
      </c>
      <c r="Q18" s="15">
        <f>IF(OR(Q17="",P17=""),"",IF(P17&lt;=0,"",IFERROR(Q17/P17-1,"")))</f>
        <v/>
      </c>
      <c r="R18" s="15">
        <f>IF(OR(R17="",Q17=""),"",IF(Q17&lt;=0,"",IFERROR(R17/Q17-1,"")))</f>
        <v/>
      </c>
      <c r="S18" s="15">
        <f>IF(OR(S17="",R17=""),"",IF(R17&lt;=0,"",IFERROR(S17/R17-1,"")))</f>
        <v/>
      </c>
      <c r="T18" s="15">
        <f>IF(OR(T17="",S17=""),"",IF(S17&lt;=0,"",IFERROR(T17/S17-1,"")))</f>
        <v/>
      </c>
      <c r="U18" s="15">
        <f>IF(OR(U17="",T17=""),"",IF(T17&lt;=0,"",IFERROR(U17/T17-1,"")))</f>
        <v/>
      </c>
      <c r="V18" s="15">
        <f>IF(OR(V17="",U17=""),"",IF(U17&lt;=0,"",IFERROR(V17/U17-1,"")))</f>
        <v/>
      </c>
      <c r="W18" s="15">
        <f>IF(OR(W17="",V17=""),"",IF(V17&lt;=0,"",IFERROR(W17/V17-1,"")))</f>
        <v/>
      </c>
      <c r="X18" s="15">
        <f>IF(OR(X17="",W17=""),"",IF(W17&lt;=0,"",IFERROR(X17/W17-1,"")))</f>
        <v/>
      </c>
      <c r="Y18" s="14">
        <f>IF(OR(Y17="",X17=""),"",IF(X17&lt;=0,"",IFERROR(Y17/X17-1,"")))</f>
        <v/>
      </c>
      <c r="Z18" s="15">
        <f>IF(OR(Z17="",Y17=""),"",IF(Y17&lt;=0,"",IFERROR(Z17/Y17-1,"")))</f>
        <v/>
      </c>
      <c r="AA18" s="15">
        <f>IF(OR(AA17="",Z17=""),"",IF(Z17&lt;=0,"",IFERROR(AA17/Z17-1,"")))</f>
        <v/>
      </c>
      <c r="AB18" s="15">
        <f>IF(OR(AB17="",AA17=""),"",IF(AA17&lt;=0,"",IFERROR(AB17/AA17-1,"")))</f>
        <v/>
      </c>
      <c r="AC18" s="15">
        <f>IF(OR(AC17="",AB17=""),"",IF(AB17&lt;=0,"",IFERROR(AC17/AB17-1,"")))</f>
        <v/>
      </c>
    </row>
    <row r="19">
      <c r="A19" s="18" t="inlineStr">
        <is>
          <t>매출총이익</t>
        </is>
      </c>
      <c r="B19" s="10" t="n"/>
      <c r="C19" s="19">
        <f>IF(OR(C4="",C17=""),"",IFERROR(C4-C17,""))</f>
        <v/>
      </c>
      <c r="D19" s="20">
        <f>IF(OR(D4="",D17=""),"",IFERROR(D4-D17,""))</f>
        <v/>
      </c>
      <c r="E19" s="20">
        <f>IF(OR(E4="",E17=""),"",IFERROR(E4-E17,""))</f>
        <v/>
      </c>
      <c r="F19" s="20">
        <f>IF(OR(F4="",F17=""),"",IFERROR(F4-F17,""))</f>
        <v/>
      </c>
      <c r="G19" s="20">
        <f>IF(OR(G4="",G17=""),"",IFERROR(G4-G17,""))</f>
        <v/>
      </c>
      <c r="H19" s="20">
        <f>IF(OR(H4="",H17=""),"",IFERROR(H4-H17,""))</f>
        <v/>
      </c>
      <c r="I19" s="20">
        <f>IF(OR(I4="",I17=""),"",IFERROR(I4-I17,""))</f>
        <v/>
      </c>
      <c r="J19" s="20">
        <f>IF(OR(J4="",J17=""),"",IFERROR(J4-J17,""))</f>
        <v/>
      </c>
      <c r="K19" s="20">
        <f>IF(OR(K4="",K17=""),"",IFERROR(K4-K17,""))</f>
        <v/>
      </c>
      <c r="L19" s="20">
        <f>IF(OR(L4="",L17=""),"",IFERROR(L4-L17,""))</f>
        <v/>
      </c>
      <c r="M19" s="20">
        <f>IF(OR(M4="",M17=""),"",IFERROR(M4-M17,""))</f>
        <v/>
      </c>
      <c r="N19" s="20">
        <f>IF(OR(N4="",N17=""),"",IFERROR(N4-N17,""))</f>
        <v/>
      </c>
      <c r="O19" s="19">
        <f>IF(OR(O4="",O17=""),"",IFERROR(O4-O17,""))</f>
        <v/>
      </c>
      <c r="P19" s="20">
        <f>IF(OR(P4="",P17=""),"",IFERROR(P4-P17,""))</f>
        <v/>
      </c>
      <c r="Q19" s="20">
        <f>IF(OR(Q4="",Q17=""),"",IFERROR(Q4-Q17,""))</f>
        <v/>
      </c>
      <c r="R19" s="20">
        <f>IF(OR(R4="",R17=""),"",IFERROR(R4-R17,""))</f>
        <v/>
      </c>
      <c r="S19" s="20">
        <f>IF(OR(S4="",S17=""),"",IFERROR(S4-S17,""))</f>
        <v/>
      </c>
      <c r="T19" s="20">
        <f>IF(OR(T4="",T17=""),"",IFERROR(T4-T17,""))</f>
        <v/>
      </c>
      <c r="U19" s="20">
        <f>IF(OR(U4="",U17=""),"",IFERROR(U4-U17,""))</f>
        <v/>
      </c>
      <c r="V19" s="20">
        <f>IF(OR(V4="",V17=""),"",IFERROR(V4-V17,""))</f>
        <v/>
      </c>
      <c r="W19" s="20">
        <f>IF(OR(W4="",W17=""),"",IFERROR(W4-W17,""))</f>
        <v/>
      </c>
      <c r="X19" s="20">
        <f>IF(OR(X4="",X17=""),"",IFERROR(X4-X17,""))</f>
        <v/>
      </c>
      <c r="Y19" s="19" t="n"/>
      <c r="Z19" s="20" t="n"/>
      <c r="AA19" s="20" t="n"/>
      <c r="AB19" s="20" t="n"/>
      <c r="AC19" s="20" t="n"/>
    </row>
    <row r="20">
      <c r="A20" s="13" t="inlineStr">
        <is>
          <t>GPM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IF(OR(G19="",C19=""),"",IF(C19&lt;=0,"",IFERROR(G19/C19-1,"")))</f>
        <v/>
      </c>
      <c r="H21" s="15">
        <f>IF(OR(H19="",D19=""),"",IF(D19&lt;=0,"",IFERROR(H19/D19-1,"")))</f>
        <v/>
      </c>
      <c r="I21" s="15">
        <f>IF(OR(I19="",E19=""),"",IF(E19&lt;=0,"",IFERROR(I19/E19-1,"")))</f>
        <v/>
      </c>
      <c r="J21" s="15">
        <f>IF(OR(J19="",F19=""),"",IF(F19&lt;=0,"",IFERROR(J19/F19-1,"")))</f>
        <v/>
      </c>
      <c r="K21" s="15">
        <f>IF(OR(K19="",G19=""),"",IF(G19&lt;=0,"",IFERROR(K19/G19-1,"")))</f>
        <v/>
      </c>
      <c r="L21" s="15">
        <f>IF(OR(L19="",H19=""),"",IF(H19&lt;=0,"",IFERROR(L19/H19-1,"")))</f>
        <v/>
      </c>
      <c r="M21" s="15">
        <f>IF(OR(M19="",I19=""),"",IF(I19&lt;=0,"",IFERROR(M19/I19-1,"")))</f>
        <v/>
      </c>
      <c r="N21" s="15">
        <f>IF(OR(N19="",J19=""),"",IF(J19&lt;=0,"",IFERROR(N19/J19-1,"")))</f>
        <v/>
      </c>
      <c r="O21" s="14" t="n"/>
      <c r="P21" s="15">
        <f>IF(OR(P19="",O19=""),"",IF(O19&lt;=0,"",IFERROR(P19/O19-1,"")))</f>
        <v/>
      </c>
      <c r="Q21" s="15">
        <f>IF(OR(Q19="",P19=""),"",IF(P19&lt;=0,"",IFERROR(Q19/P19-1,"")))</f>
        <v/>
      </c>
      <c r="R21" s="15">
        <f>IF(OR(R19="",Q19=""),"",IF(Q19&lt;=0,"",IFERROR(R19/Q19-1,"")))</f>
        <v/>
      </c>
      <c r="S21" s="15">
        <f>IF(OR(S19="",R19=""),"",IF(R19&lt;=0,"",IFERROR(S19/R19-1,"")))</f>
        <v/>
      </c>
      <c r="T21" s="15">
        <f>IF(OR(T19="",S19=""),"",IF(S19&lt;=0,"",IFERROR(T19/S19-1,"")))</f>
        <v/>
      </c>
      <c r="U21" s="15">
        <f>IF(OR(U19="",T19=""),"",IF(T19&lt;=0,"",IFERROR(U19/T19-1,"")))</f>
        <v/>
      </c>
      <c r="V21" s="15">
        <f>IF(OR(V19="",U19=""),"",IF(U19&lt;=0,"",IFERROR(V19/U19-1,"")))</f>
        <v/>
      </c>
      <c r="W21" s="15">
        <f>IF(OR(W19="",V19=""),"",IF(V19&lt;=0,"",IFERROR(W19/V19-1,"")))</f>
        <v/>
      </c>
      <c r="X21" s="15">
        <f>IF(OR(X19="",W19=""),"",IF(W19&lt;=0,"",IFERROR(X19/W19-1,"")))</f>
        <v/>
      </c>
      <c r="Y21" s="14">
        <f>IF(OR(Y19="",X19=""),"",IF(X19&lt;=0,"",IFERROR(Y19/X19-1,"")))</f>
        <v/>
      </c>
      <c r="Z21" s="15">
        <f>IF(OR(Z19="",Y19=""),"",IF(Y19&lt;=0,"",IFERROR(Z19/Y19-1,"")))</f>
        <v/>
      </c>
      <c r="AA21" s="15">
        <f>IF(OR(AA19="",Z19=""),"",IF(Z19&lt;=0,"",IFERROR(AA19/Z19-1,"")))</f>
        <v/>
      </c>
      <c r="AB21" s="15">
        <f>IF(OR(AB19="",AA19=""),"",IF(AA19&lt;=0,"",IFERROR(AB19/AA19-1,"")))</f>
        <v/>
      </c>
      <c r="AC21" s="15">
        <f>IF(OR(AC19="",AB19=""),"",IF(AB19&lt;=0,"",IFERROR(AC19/AB19-1,"")))</f>
        <v/>
      </c>
    </row>
    <row r="22">
      <c r="A22" s="23" t="inlineStr">
        <is>
          <t>판매관리비</t>
        </is>
      </c>
      <c r="B22" s="23" t="n"/>
      <c r="C22" s="24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4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4" t="n"/>
      <c r="Z22" s="23" t="n"/>
      <c r="AA22" s="23" t="n"/>
      <c r="AB22" s="23" t="n"/>
      <c r="AC22" s="23" t="n"/>
    </row>
    <row r="23">
      <c r="A23" s="18" t="inlineStr">
        <is>
          <t>전체 판관비</t>
        </is>
      </c>
      <c r="B23" s="10" t="n"/>
      <c r="C23" s="19" t="n">
        <v>21217</v>
      </c>
      <c r="D23" s="20" t="n">
        <v>20272</v>
      </c>
      <c r="E23" s="20" t="n">
        <v>21271</v>
      </c>
      <c r="F23" s="20" t="n">
        <v>21541</v>
      </c>
      <c r="G23" s="20" t="n">
        <v>22800</v>
      </c>
      <c r="H23" s="20" t="n">
        <v>21790</v>
      </c>
      <c r="I23" s="20" t="n">
        <v>22782</v>
      </c>
      <c r="J23" s="20" t="n">
        <v>21408</v>
      </c>
      <c r="K23" s="20" t="n">
        <v>20952</v>
      </c>
      <c r="L23" s="20" t="n">
        <v>20468</v>
      </c>
      <c r="M23" s="20" t="n">
        <v>21998</v>
      </c>
      <c r="N23" s="20" t="n">
        <v>20865</v>
      </c>
      <c r="O23" s="19" t="n">
        <v>56158</v>
      </c>
      <c r="P23" s="20" t="n">
        <v>62392</v>
      </c>
      <c r="Q23" s="20" t="n">
        <v>63595</v>
      </c>
      <c r="R23" s="20" t="n">
        <v>65807</v>
      </c>
      <c r="S23" s="20" t="n">
        <v>64144</v>
      </c>
      <c r="T23" s="20" t="n">
        <v>75927</v>
      </c>
      <c r="U23" s="20" t="n">
        <v>82464</v>
      </c>
      <c r="V23" s="20" t="n">
        <v>82010</v>
      </c>
      <c r="W23" s="20" t="n">
        <v>88913</v>
      </c>
      <c r="X23" s="20" t="n">
        <v>84826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3347</v>
      </c>
      <c r="D25" s="12" t="n">
        <v>6525</v>
      </c>
      <c r="E25" s="12" t="n">
        <v>4514</v>
      </c>
      <c r="F25" s="12" t="n">
        <v>9041</v>
      </c>
      <c r="G25" s="12" t="n">
        <v>7761</v>
      </c>
      <c r="H25" s="12" t="n">
        <v>7371</v>
      </c>
      <c r="I25" s="12" t="n">
        <v>5148</v>
      </c>
      <c r="J25" s="12" t="n">
        <v>12129</v>
      </c>
      <c r="K25" s="12" t="n">
        <v>7223</v>
      </c>
      <c r="L25" s="12" t="n">
        <v>8248</v>
      </c>
      <c r="M25" s="12" t="n">
        <v>8777</v>
      </c>
      <c r="N25" s="12" t="n">
        <v>16300</v>
      </c>
      <c r="O25" s="11" t="n">
        <v>30767</v>
      </c>
      <c r="P25" s="12" t="n">
        <v>38881</v>
      </c>
      <c r="Q25" s="12" t="n">
        <v>33147</v>
      </c>
      <c r="R25" s="12" t="n">
        <v>26104</v>
      </c>
      <c r="S25" s="12" t="n">
        <v>33408</v>
      </c>
      <c r="T25" s="12" t="n">
        <v>44432</v>
      </c>
      <c r="U25" s="12" t="n">
        <v>27179</v>
      </c>
      <c r="V25" s="12" t="n">
        <v>20500</v>
      </c>
      <c r="W25" s="12" t="n">
        <v>29321</v>
      </c>
      <c r="X25" s="12" t="n">
        <v>36377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IF(O23="","",O23)</f>
        <v/>
      </c>
      <c r="P29" s="12">
        <f>IF(P23="","",P23)</f>
        <v/>
      </c>
      <c r="Q29" s="12">
        <f>IF(Q23="","",Q23)</f>
        <v/>
      </c>
      <c r="R29" s="12">
        <f>IF(R23="","",R23)</f>
        <v/>
      </c>
      <c r="S29" s="12">
        <f>IF(S23="","",S23)</f>
        <v/>
      </c>
      <c r="T29" s="12">
        <f>IF(T23="","",T23)</f>
        <v/>
      </c>
      <c r="U29" s="12">
        <f>IF(U23="","",U23)</f>
        <v/>
      </c>
      <c r="V29" s="12">
        <f>IF(V23="","",V23)</f>
        <v/>
      </c>
      <c r="W29" s="12">
        <f>IF(W23="","",W23)</f>
        <v/>
      </c>
      <c r="X29" s="12">
        <f>IF(X23="","",X23)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2785</v>
      </c>
      <c r="D41" s="20" t="n">
        <v>8246</v>
      </c>
      <c r="E41" s="20" t="n">
        <v>14470</v>
      </c>
      <c r="F41" s="20" t="n">
        <v>153</v>
      </c>
      <c r="G41" s="20" t="n">
        <v>17</v>
      </c>
      <c r="H41" s="20" t="n">
        <v>5217</v>
      </c>
      <c r="I41" s="20" t="n">
        <v>3337</v>
      </c>
      <c r="J41" s="20" t="n">
        <v>29</v>
      </c>
      <c r="K41" s="20" t="n">
        <v>16842</v>
      </c>
      <c r="L41" s="20" t="n">
        <v>3</v>
      </c>
      <c r="M41" s="20" t="n">
        <v>1156</v>
      </c>
      <c r="N41" s="20" t="n">
        <v>251</v>
      </c>
      <c r="O41" s="19" t="n">
        <v>1226</v>
      </c>
      <c r="P41" s="20" t="n">
        <v>1742</v>
      </c>
      <c r="Q41" s="20" t="n">
        <v>22</v>
      </c>
      <c r="R41" s="20" t="n">
        <v>5</v>
      </c>
      <c r="S41" s="20" t="n">
        <v>108</v>
      </c>
      <c r="T41" s="20" t="n">
        <v>7</v>
      </c>
      <c r="U41" s="20" t="n">
        <v>3077</v>
      </c>
      <c r="V41" s="20" t="n">
        <v>25514</v>
      </c>
      <c r="W41" s="20" t="n">
        <v>8724</v>
      </c>
      <c r="X41" s="20" t="n">
        <v>18030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478</v>
      </c>
      <c r="D43" s="20" t="n">
        <v>1395</v>
      </c>
      <c r="E43" s="20" t="n">
        <v>6330</v>
      </c>
      <c r="F43" s="20" t="n">
        <v>1375</v>
      </c>
      <c r="G43" s="20" t="n">
        <v>995</v>
      </c>
      <c r="H43" s="20" t="n">
        <v>3288</v>
      </c>
      <c r="I43" s="20" t="n">
        <v>3203</v>
      </c>
      <c r="J43" s="20" t="n">
        <v>889</v>
      </c>
      <c r="K43" s="20" t="n">
        <v>2656</v>
      </c>
      <c r="L43" s="20" t="n">
        <v>2590</v>
      </c>
      <c r="M43" s="20" t="n">
        <v>2627</v>
      </c>
      <c r="N43" s="20" t="n">
        <v>403</v>
      </c>
      <c r="O43" s="19" t="n">
        <v>2102</v>
      </c>
      <c r="P43" s="20" t="n">
        <v>17782</v>
      </c>
      <c r="Q43" s="20" t="n">
        <v>9297</v>
      </c>
      <c r="R43" s="20" t="n">
        <v>1268</v>
      </c>
      <c r="S43" s="20" t="n">
        <v>618</v>
      </c>
      <c r="T43" s="20" t="n">
        <v>3250</v>
      </c>
      <c r="U43" s="20" t="n">
        <v>20004</v>
      </c>
      <c r="V43" s="20" t="n">
        <v>8570</v>
      </c>
      <c r="W43" s="20" t="n">
        <v>8861</v>
      </c>
      <c r="X43" s="20" t="n">
        <v>8762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1753</v>
      </c>
      <c r="D45" s="20" t="n">
        <v>766</v>
      </c>
      <c r="E45" s="20" t="n">
        <v>2615</v>
      </c>
      <c r="F45" s="20" t="n">
        <v>3618</v>
      </c>
      <c r="G45" s="20" t="n">
        <v>-614</v>
      </c>
      <c r="H45" s="20" t="n">
        <v>1750</v>
      </c>
      <c r="I45" s="20" t="n">
        <v>910</v>
      </c>
      <c r="J45" s="20" t="n">
        <v>1322</v>
      </c>
      <c r="K45" s="20" t="n">
        <v>607</v>
      </c>
      <c r="L45" s="20" t="n">
        <v>2531</v>
      </c>
      <c r="M45" s="20" t="n">
        <v>1561</v>
      </c>
      <c r="N45" s="20" t="n">
        <v>3108</v>
      </c>
      <c r="O45" s="19" t="n">
        <v>3035</v>
      </c>
      <c r="P45" s="20" t="n">
        <v>3280</v>
      </c>
      <c r="Q45" s="20" t="n">
        <v>3894</v>
      </c>
      <c r="R45" s="20" t="n">
        <v>3813</v>
      </c>
      <c r="S45" s="20" t="n">
        <v>6099</v>
      </c>
      <c r="T45" s="20" t="n">
        <v>5670</v>
      </c>
      <c r="U45" s="20" t="n">
        <v>5172</v>
      </c>
      <c r="V45" s="20" t="n">
        <v>7705</v>
      </c>
      <c r="W45" s="20" t="n">
        <v>5664</v>
      </c>
      <c r="X45" s="20" t="n">
        <v>6021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371</v>
      </c>
      <c r="D47" s="20" t="n">
        <v>413</v>
      </c>
      <c r="E47" s="20" t="n">
        <v>135</v>
      </c>
      <c r="F47" s="20" t="n">
        <v>431</v>
      </c>
      <c r="G47" s="20" t="n">
        <v>788</v>
      </c>
      <c r="H47" s="20" t="n">
        <v>339</v>
      </c>
      <c r="I47" s="20" t="n">
        <v>376</v>
      </c>
      <c r="J47" s="20" t="n">
        <v>1479</v>
      </c>
      <c r="K47" s="20" t="n">
        <v>668</v>
      </c>
      <c r="L47" s="20" t="n">
        <v>-51</v>
      </c>
      <c r="M47" s="20" t="n">
        <v>263</v>
      </c>
      <c r="N47" s="20" t="n">
        <v>560</v>
      </c>
      <c r="O47" s="19" t="n">
        <v>1998</v>
      </c>
      <c r="P47" s="20" t="n">
        <v>1268</v>
      </c>
      <c r="Q47" s="20" t="n">
        <v>723</v>
      </c>
      <c r="R47" s="20" t="n">
        <v>1173</v>
      </c>
      <c r="S47" s="20" t="n">
        <v>839</v>
      </c>
      <c r="T47" s="20" t="n">
        <v>634</v>
      </c>
      <c r="U47" s="20" t="n">
        <v>958</v>
      </c>
      <c r="V47" s="20" t="n">
        <v>1299</v>
      </c>
      <c r="W47" s="20" t="n">
        <v>1934</v>
      </c>
      <c r="X47" s="20" t="n">
        <v>2359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7036</v>
      </c>
      <c r="D49" s="12" t="n">
        <v>13729</v>
      </c>
      <c r="E49" s="12" t="n">
        <v>15133</v>
      </c>
      <c r="F49" s="12" t="n">
        <v>11006</v>
      </c>
      <c r="G49" s="12" t="n">
        <v>5380</v>
      </c>
      <c r="H49" s="12" t="n">
        <v>10711</v>
      </c>
      <c r="I49" s="12" t="n">
        <v>5818</v>
      </c>
      <c r="J49" s="12" t="n">
        <v>11112</v>
      </c>
      <c r="K49" s="12" t="n">
        <v>21348</v>
      </c>
      <c r="L49" s="12" t="n">
        <v>8243</v>
      </c>
      <c r="M49" s="12" t="n">
        <v>8603</v>
      </c>
      <c r="N49" s="12" t="n">
        <v>18697</v>
      </c>
      <c r="O49" s="11" t="n">
        <v>30928</v>
      </c>
      <c r="P49" s="12" t="n">
        <v>24853</v>
      </c>
      <c r="Q49" s="12" t="n">
        <v>27044</v>
      </c>
      <c r="R49" s="12" t="n">
        <v>27480</v>
      </c>
      <c r="S49" s="12" t="n">
        <v>38158</v>
      </c>
      <c r="T49" s="12" t="n">
        <v>46226</v>
      </c>
      <c r="U49" s="12" t="n">
        <v>14467</v>
      </c>
      <c r="V49" s="12" t="n">
        <v>43849</v>
      </c>
      <c r="W49" s="12" t="n">
        <v>32915</v>
      </c>
      <c r="X49" s="12" t="n">
        <v>49306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3" t="inlineStr">
        <is>
          <t>YoY</t>
        </is>
      </c>
      <c r="B50" s="10" t="n"/>
      <c r="C50" s="14" t="n"/>
      <c r="D50" s="15" t="n"/>
      <c r="E50" s="15" t="n"/>
      <c r="F50" s="15" t="n"/>
      <c r="G50" s="15">
        <f>IF(OR(G49="",C49=""),"",IF(C49&lt;=0,"",IFERROR(G49/C49-1,"")))</f>
        <v/>
      </c>
      <c r="H50" s="15">
        <f>IF(OR(H49="",D49=""),"",IF(D49&lt;=0,"",IFERROR(H49/D49-1,"")))</f>
        <v/>
      </c>
      <c r="I50" s="15">
        <f>IF(OR(I49="",E49=""),"",IF(E49&lt;=0,"",IFERROR(I49/E49-1,"")))</f>
        <v/>
      </c>
      <c r="J50" s="15">
        <f>IF(OR(J49="",F49=""),"",IF(F49&lt;=0,"",IFERROR(J49/F49-1,"")))</f>
        <v/>
      </c>
      <c r="K50" s="15">
        <f>IF(OR(K49="",G49=""),"",IF(G49&lt;=0,"",IFERROR(K49/G49-1,"")))</f>
        <v/>
      </c>
      <c r="L50" s="15">
        <f>IF(OR(L49="",H49=""),"",IF(H49&lt;=0,"",IFERROR(L49/H49-1,"")))</f>
        <v/>
      </c>
      <c r="M50" s="15">
        <f>IF(OR(M49="",I49=""),"",IF(I49&lt;=0,"",IFERROR(M49/I49-1,"")))</f>
        <v/>
      </c>
      <c r="N50" s="15">
        <f>IF(OR(N49="",J49=""),"",IF(J49&lt;=0,"",IFERROR(N49/J49-1,"")))</f>
        <v/>
      </c>
      <c r="O50" s="14" t="n"/>
      <c r="P50" s="15">
        <f>IF(OR(P49="",O49=""),"",IF(O49&lt;=0,"",IFERROR(P49/O49-1,"")))</f>
        <v/>
      </c>
      <c r="Q50" s="15">
        <f>IF(OR(Q49="",P49=""),"",IF(P49&lt;=0,"",IFERROR(Q49/P49-1,"")))</f>
        <v/>
      </c>
      <c r="R50" s="15">
        <f>IF(OR(R49="",Q49=""),"",IF(Q49&lt;=0,"",IFERROR(R49/Q49-1,"")))</f>
        <v/>
      </c>
      <c r="S50" s="15">
        <f>IF(OR(S49="",R49=""),"",IF(R49&lt;=0,"",IFERROR(S49/R49-1,"")))</f>
        <v/>
      </c>
      <c r="T50" s="15">
        <f>IF(OR(T49="",S49=""),"",IF(S49&lt;=0,"",IFERROR(T49/S49-1,"")))</f>
        <v/>
      </c>
      <c r="U50" s="15">
        <f>IF(OR(U49="",T49=""),"",IF(T49&lt;=0,"",IFERROR(U49/T49-1,"")))</f>
        <v/>
      </c>
      <c r="V50" s="15">
        <f>IF(OR(V49="",U49=""),"",IF(U49&lt;=0,"",IFERROR(V49/U49-1,"")))</f>
        <v/>
      </c>
      <c r="W50" s="15">
        <f>IF(OR(W49="",V49=""),"",IF(V49&lt;=0,"",IFERROR(W49/V49-1,"")))</f>
        <v/>
      </c>
      <c r="X50" s="15">
        <f>IF(OR(X49="",W49=""),"",IF(W49&lt;=0,"",IFERROR(X49/W49-1,"")))</f>
        <v/>
      </c>
      <c r="Y50" s="14">
        <f>IF(OR(Y49="",X49=""),"",IF(X49&lt;=0,"",IFERROR(Y49/X49-1,"")))</f>
        <v/>
      </c>
      <c r="Z50" s="15">
        <f>IF(OR(Z49="",Y49=""),"",IF(Y49&lt;=0,"",IFERROR(Z49/Y49-1,"")))</f>
        <v/>
      </c>
      <c r="AA50" s="15">
        <f>IF(OR(AA49="",Z49=""),"",IF(Z49&lt;=0,"",IFERROR(AA49/Z49-1,"")))</f>
        <v/>
      </c>
      <c r="AB50" s="15">
        <f>IF(OR(AB49="",AA49=""),"",IF(AA49&lt;=0,"",IFERROR(AB49/AA49-1,"")))</f>
        <v/>
      </c>
      <c r="AC50" s="15">
        <f>IF(OR(AC49="",AB49=""),"",IF(AB49&lt;=0,"",IFERROR(AC49/AB49-1,"")))</f>
        <v/>
      </c>
    </row>
    <row r="51">
      <c r="A51" s="18" t="inlineStr">
        <is>
          <t>법인세비용(수익)</t>
        </is>
      </c>
      <c r="B51" s="10" t="n"/>
      <c r="C51" s="19" t="n">
        <v>2546</v>
      </c>
      <c r="D51" s="20" t="n">
        <v>3238</v>
      </c>
      <c r="E51" s="20" t="n">
        <v>4967</v>
      </c>
      <c r="F51" s="20" t="n">
        <v>2709</v>
      </c>
      <c r="G51" s="20" t="n">
        <v>1264</v>
      </c>
      <c r="H51" s="20" t="n">
        <v>2861</v>
      </c>
      <c r="I51" s="20" t="n">
        <v>-275</v>
      </c>
      <c r="J51" s="20" t="n">
        <v>3600</v>
      </c>
      <c r="K51" s="20" t="n">
        <v>6529</v>
      </c>
      <c r="L51" s="20" t="n">
        <v>2195</v>
      </c>
      <c r="M51" s="20" t="n">
        <v>667</v>
      </c>
      <c r="N51" s="20" t="n">
        <v>5956</v>
      </c>
      <c r="O51" s="19" t="n">
        <v>7162</v>
      </c>
      <c r="P51" s="20" t="n">
        <v>11401</v>
      </c>
      <c r="Q51" s="20" t="n">
        <v>8247</v>
      </c>
      <c r="R51" s="20" t="n">
        <v>7130</v>
      </c>
      <c r="S51" s="20" t="n">
        <v>10279</v>
      </c>
      <c r="T51" s="20" t="n">
        <v>12520</v>
      </c>
      <c r="U51" s="20" t="n">
        <v>3858</v>
      </c>
      <c r="V51" s="20" t="n">
        <v>12847</v>
      </c>
      <c r="W51" s="20" t="n">
        <v>6559</v>
      </c>
      <c r="X51" s="20" t="n">
        <v>12991</v>
      </c>
      <c r="Y51" s="19">
        <f>IF(OR(Y49="",Y52=""),"",IFERROR(MAX(Y49,0)*Y52,""))</f>
        <v/>
      </c>
      <c r="Z51" s="20">
        <f>IF(OR(Z49="",Z52=""),"",IFERROR(MAX(Z49,0)*Z52,""))</f>
        <v/>
      </c>
      <c r="AA51" s="20">
        <f>IF(OR(AA49="",AA52=""),"",IFERROR(MAX(AA49,0)*AA52,""))</f>
        <v/>
      </c>
      <c r="AB51" s="20">
        <f>IF(OR(AB49="",AB52=""),"",IFERROR(MAX(AB49,0)*AB52,""))</f>
        <v/>
      </c>
      <c r="AC51" s="20">
        <f>IF(OR(AC49="",AC52=""),"",IFERROR(MAX(AC49,0)*AC52,""))</f>
        <v/>
      </c>
    </row>
    <row r="52">
      <c r="A52" s="13" t="inlineStr">
        <is>
          <t>법인세율</t>
        </is>
      </c>
      <c r="B52" s="10" t="inlineStr">
        <is>
          <t>MW 기본 30%</t>
        </is>
      </c>
      <c r="C52" s="14">
        <f>IF(OR(C51="",C49=""),"",IFERROR(C51/C49,""))</f>
        <v/>
      </c>
      <c r="D52" s="15">
        <f>IF(OR(D51="",D49=""),"",IFERROR(D51/D49,""))</f>
        <v/>
      </c>
      <c r="E52" s="15">
        <f>IF(OR(E51="",E49=""),"",IFERROR(E51/E49,""))</f>
        <v/>
      </c>
      <c r="F52" s="15">
        <f>IF(OR(F51="",F49=""),"",IFERROR(F51/F49,""))</f>
        <v/>
      </c>
      <c r="G52" s="15">
        <f>IF(OR(G51="",G49=""),"",IFERROR(G51/G49,""))</f>
        <v/>
      </c>
      <c r="H52" s="15">
        <f>IF(OR(H51="",H49=""),"",IFERROR(H51/H49,""))</f>
        <v/>
      </c>
      <c r="I52" s="15">
        <f>IF(OR(I51="",I49=""),"",IFERROR(I51/I49,""))</f>
        <v/>
      </c>
      <c r="J52" s="15">
        <f>IF(OR(J51="",J49=""),"",IFERROR(J51/J49,""))</f>
        <v/>
      </c>
      <c r="K52" s="15">
        <f>IF(OR(K51="",K49=""),"",IFERROR(K51/K49,""))</f>
        <v/>
      </c>
      <c r="L52" s="15">
        <f>IF(OR(L51="",L49=""),"",IFERROR(L51/L49,""))</f>
        <v/>
      </c>
      <c r="M52" s="15">
        <f>IF(OR(M51="",M49=""),"",IFERROR(M51/M49,""))</f>
        <v/>
      </c>
      <c r="N52" s="15">
        <f>IF(OR(N51="",N49=""),"",IFERROR(N51/N49,""))</f>
        <v/>
      </c>
      <c r="O52" s="14">
        <f>IF(OR(O51="",O49=""),"",IFERROR(O51/O49,""))</f>
        <v/>
      </c>
      <c r="P52" s="15">
        <f>IF(OR(P51="",P49=""),"",IFERROR(P51/P49,""))</f>
        <v/>
      </c>
      <c r="Q52" s="15">
        <f>IF(OR(Q51="",Q49=""),"",IFERROR(Q51/Q49,""))</f>
        <v/>
      </c>
      <c r="R52" s="15">
        <f>IF(OR(R51="",R49=""),"",IFERROR(R51/R49,""))</f>
        <v/>
      </c>
      <c r="S52" s="15">
        <f>IF(OR(S51="",S49=""),"",IFERROR(S51/S49,""))</f>
        <v/>
      </c>
      <c r="T52" s="15">
        <f>IF(OR(T51="",T49=""),"",IFERROR(T51/T49,""))</f>
        <v/>
      </c>
      <c r="U52" s="15">
        <f>IF(OR(U51="",U49=""),"",IFERROR(U51/U49,""))</f>
        <v/>
      </c>
      <c r="V52" s="15">
        <f>IF(OR(V51="",V49=""),"",IFERROR(V51/V49,""))</f>
        <v/>
      </c>
      <c r="W52" s="15">
        <f>IF(OR(W51="",W49=""),"",IFERROR(W51/W49,""))</f>
        <v/>
      </c>
      <c r="X52" s="15">
        <f>IF(OR(X51="",X49=""),"",IFERROR(X51/X49,""))</f>
        <v/>
      </c>
      <c r="Y52" s="25" t="n">
        <v>0.3</v>
      </c>
      <c r="Z52" s="26" t="n">
        <v>0.3</v>
      </c>
      <c r="AA52" s="26" t="n">
        <v>0.3</v>
      </c>
      <c r="AB52" s="26" t="n">
        <v>0.3</v>
      </c>
      <c r="AC52" s="26" t="n">
        <v>0.3</v>
      </c>
    </row>
    <row r="53">
      <c r="A53" s="9" t="inlineStr">
        <is>
          <t>당기순이익(손실)</t>
        </is>
      </c>
      <c r="B53" s="10" t="n"/>
      <c r="C53" s="11" t="n">
        <v>4490</v>
      </c>
      <c r="D53" s="12" t="n">
        <v>10491</v>
      </c>
      <c r="E53" s="12" t="n">
        <v>10166</v>
      </c>
      <c r="F53" s="12" t="n">
        <v>8297</v>
      </c>
      <c r="G53" s="12" t="n">
        <v>4116</v>
      </c>
      <c r="H53" s="12" t="n">
        <v>7850</v>
      </c>
      <c r="I53" s="12" t="n">
        <v>6092</v>
      </c>
      <c r="J53" s="12" t="n">
        <v>7512</v>
      </c>
      <c r="K53" s="12" t="n">
        <v>14819</v>
      </c>
      <c r="L53" s="12" t="n">
        <v>6047</v>
      </c>
      <c r="M53" s="12" t="n">
        <v>7937</v>
      </c>
      <c r="N53" s="12" t="n">
        <v>12742</v>
      </c>
      <c r="O53" s="11" t="n">
        <v>23766</v>
      </c>
      <c r="P53" s="12" t="n">
        <v>13451</v>
      </c>
      <c r="Q53" s="12" t="n">
        <v>18797</v>
      </c>
      <c r="R53" s="12" t="n">
        <v>20350</v>
      </c>
      <c r="S53" s="12" t="n">
        <v>27880</v>
      </c>
      <c r="T53" s="12" t="n">
        <v>33706</v>
      </c>
      <c r="U53" s="12" t="n">
        <v>10609</v>
      </c>
      <c r="V53" s="12" t="n">
        <v>31002</v>
      </c>
      <c r="W53" s="12" t="n">
        <v>26355</v>
      </c>
      <c r="X53" s="12" t="n">
        <v>36315</v>
      </c>
      <c r="Y53" s="11">
        <f>IF(OR(Y49=""),"",IFERROR(Y49-Y51,""))</f>
        <v/>
      </c>
      <c r="Z53" s="12">
        <f>IF(OR(Z49=""),"",IFERROR(Z49-Z51,""))</f>
        <v/>
      </c>
      <c r="AA53" s="12">
        <f>IF(OR(AA49=""),"",IFERROR(AA49-AA51,""))</f>
        <v/>
      </c>
      <c r="AB53" s="12">
        <f>IF(OR(AB49=""),"",IFERROR(AB49-AB51,""))</f>
        <v/>
      </c>
      <c r="AC53" s="12">
        <f>IF(OR(AC49=""),"",IFERROR(AC49-AC51,""))</f>
        <v/>
      </c>
    </row>
    <row r="54">
      <c r="A54" s="13" t="inlineStr">
        <is>
          <t>YoY</t>
        </is>
      </c>
      <c r="B54" s="10" t="n"/>
      <c r="C54" s="14" t="n"/>
      <c r="D54" s="15" t="n"/>
      <c r="E54" s="15" t="n"/>
      <c r="F54" s="15" t="n"/>
      <c r="G54" s="15">
        <f>IF(OR(G53="",C53=""),"",IF(C53&lt;=0,"",IFERROR(G53/C53-1,"")))</f>
        <v/>
      </c>
      <c r="H54" s="15">
        <f>IF(OR(H53="",D53=""),"",IF(D53&lt;=0,"",IFERROR(H53/D53-1,"")))</f>
        <v/>
      </c>
      <c r="I54" s="15">
        <f>IF(OR(I53="",E53=""),"",IF(E53&lt;=0,"",IFERROR(I53/E53-1,"")))</f>
        <v/>
      </c>
      <c r="J54" s="15">
        <f>IF(OR(J53="",F53=""),"",IF(F53&lt;=0,"",IFERROR(J53/F53-1,"")))</f>
        <v/>
      </c>
      <c r="K54" s="15">
        <f>IF(OR(K53="",G53=""),"",IF(G53&lt;=0,"",IFERROR(K53/G53-1,"")))</f>
        <v/>
      </c>
      <c r="L54" s="15">
        <f>IF(OR(L53="",H53=""),"",IF(H53&lt;=0,"",IFERROR(L53/H53-1,"")))</f>
        <v/>
      </c>
      <c r="M54" s="15">
        <f>IF(OR(M53="",I53=""),"",IF(I53&lt;=0,"",IFERROR(M53/I53-1,"")))</f>
        <v/>
      </c>
      <c r="N54" s="15">
        <f>IF(OR(N53="",J53=""),"",IF(J53&lt;=0,"",IFERROR(N53/J53-1,"")))</f>
        <v/>
      </c>
      <c r="O54" s="14" t="n"/>
      <c r="P54" s="15">
        <f>IF(OR(P53="",O53=""),"",IF(O53&lt;=0,"",IFERROR(P53/O53-1,"")))</f>
        <v/>
      </c>
      <c r="Q54" s="15">
        <f>IF(OR(Q53="",P53=""),"",IF(P53&lt;=0,"",IFERROR(Q53/P53-1,"")))</f>
        <v/>
      </c>
      <c r="R54" s="15">
        <f>IF(OR(R53="",Q53=""),"",IF(Q53&lt;=0,"",IFERROR(R53/Q53-1,"")))</f>
        <v/>
      </c>
      <c r="S54" s="15">
        <f>IF(OR(S53="",R53=""),"",IF(R53&lt;=0,"",IFERROR(S53/R53-1,"")))</f>
        <v/>
      </c>
      <c r="T54" s="15">
        <f>IF(OR(T53="",S53=""),"",IF(S53&lt;=0,"",IFERROR(T53/S53-1,"")))</f>
        <v/>
      </c>
      <c r="U54" s="15">
        <f>IF(OR(U53="",T53=""),"",IF(T53&lt;=0,"",IFERROR(U53/T53-1,"")))</f>
        <v/>
      </c>
      <c r="V54" s="15">
        <f>IF(OR(V53="",U53=""),"",IF(U53&lt;=0,"",IFERROR(V53/U53-1,"")))</f>
        <v/>
      </c>
      <c r="W54" s="15">
        <f>IF(OR(W53="",V53=""),"",IF(V53&lt;=0,"",IFERROR(W53/V53-1,"")))</f>
        <v/>
      </c>
      <c r="X54" s="15">
        <f>IF(OR(X53="",W53=""),"",IF(W53&lt;=0,"",IFERROR(X53/W53-1,"")))</f>
        <v/>
      </c>
      <c r="Y54" s="14">
        <f>IF(OR(Y53="",X53=""),"",IF(X53&lt;=0,"",IFERROR(Y53/X53-1,"")))</f>
        <v/>
      </c>
      <c r="Z54" s="15">
        <f>IF(OR(Z53="",Y53=""),"",IF(Y53&lt;=0,"",IFERROR(Z53/Y53-1,"")))</f>
        <v/>
      </c>
      <c r="AA54" s="15">
        <f>IF(OR(AA53="",Z53=""),"",IF(Z53&lt;=0,"",IFERROR(AA53/Z53-1,"")))</f>
        <v/>
      </c>
      <c r="AB54" s="15">
        <f>IF(OR(AB53="",AA53=""),"",IF(AA53&lt;=0,"",IFERROR(AB53/AA53-1,"")))</f>
        <v/>
      </c>
      <c r="AC54" s="15">
        <f>IF(OR(AC53="",AB53=""),"",IF(AB53&lt;=0,"",IFERROR(AC53/AB53-1,"")))</f>
        <v/>
      </c>
    </row>
    <row r="55">
      <c r="A55" s="9" t="inlineStr">
        <is>
          <t>지배주주 순이익</t>
        </is>
      </c>
      <c r="B55" s="10" t="n"/>
      <c r="C55" s="11" t="n">
        <v>4523</v>
      </c>
      <c r="D55" s="12" t="n">
        <v>10549</v>
      </c>
      <c r="E55" s="12" t="n">
        <v>10193</v>
      </c>
      <c r="F55" s="12" t="n">
        <v>8190</v>
      </c>
      <c r="G55" s="12" t="n">
        <v>4110</v>
      </c>
      <c r="H55" s="12" t="n">
        <v>7831</v>
      </c>
      <c r="I55" s="12" t="n">
        <v>6068</v>
      </c>
      <c r="J55" s="12" t="n">
        <v>7506</v>
      </c>
      <c r="K55" s="12" t="n">
        <v>14799</v>
      </c>
      <c r="L55" s="12" t="n">
        <v>6020</v>
      </c>
      <c r="M55" s="12" t="n">
        <v>7901</v>
      </c>
      <c r="N55" s="12" t="n">
        <v>12711</v>
      </c>
      <c r="O55" s="11" t="n">
        <v>23152</v>
      </c>
      <c r="P55" s="12" t="n">
        <v>13056</v>
      </c>
      <c r="Q55" s="12" t="n">
        <v>18458</v>
      </c>
      <c r="R55" s="12" t="n">
        <v>20201</v>
      </c>
      <c r="S55" s="12" t="n">
        <v>27716</v>
      </c>
      <c r="T55" s="12" t="n">
        <v>33413</v>
      </c>
      <c r="U55" s="12" t="n">
        <v>10569</v>
      </c>
      <c r="V55" s="12" t="n">
        <v>31101</v>
      </c>
      <c r="W55" s="12" t="n">
        <v>26199</v>
      </c>
      <c r="X55" s="12" t="n">
        <v>36226</v>
      </c>
      <c r="Y55" s="11">
        <f>IF(OR(Y53="",Y56=""),"",IFERROR(Y53*Y56,""))</f>
        <v/>
      </c>
      <c r="Z55" s="12">
        <f>IF(OR(Z53="",Z56=""),"",IFERROR(Z53*Z56,""))</f>
        <v/>
      </c>
      <c r="AA55" s="12">
        <f>IF(OR(AA53="",AA56=""),"",IFERROR(AA53*AA56,""))</f>
        <v/>
      </c>
      <c r="AB55" s="12">
        <f>IF(OR(AB53="",AB56=""),"",IFERROR(AB53*AB56,""))</f>
        <v/>
      </c>
      <c r="AC55" s="12">
        <f>IF(OR(AC53="",AC56=""),"",IFERROR(AC53*AC56,""))</f>
        <v/>
      </c>
    </row>
    <row r="56">
      <c r="A56" s="13" t="inlineStr">
        <is>
          <t>지배주주 순이익률</t>
        </is>
      </c>
      <c r="B56" s="10" t="inlineStr">
        <is>
          <t>MW 기본 100%</t>
        </is>
      </c>
      <c r="C56" s="14">
        <f>IF(OR(C55="",C53=""),"",IFERROR(C55/C53,""))</f>
        <v/>
      </c>
      <c r="D56" s="15">
        <f>IF(OR(D55="",D53=""),"",IFERROR(D55/D53,""))</f>
        <v/>
      </c>
      <c r="E56" s="15">
        <f>IF(OR(E55="",E53=""),"",IFERROR(E55/E53,""))</f>
        <v/>
      </c>
      <c r="F56" s="15">
        <f>IF(OR(F55="",F53=""),"",IFERROR(F55/F53,""))</f>
        <v/>
      </c>
      <c r="G56" s="15">
        <f>IF(OR(G55="",G53=""),"",IFERROR(G55/G53,""))</f>
        <v/>
      </c>
      <c r="H56" s="15">
        <f>IF(OR(H55="",H53=""),"",IFERROR(H55/H53,""))</f>
        <v/>
      </c>
      <c r="I56" s="15">
        <f>IF(OR(I55="",I53=""),"",IFERROR(I55/I53,""))</f>
        <v/>
      </c>
      <c r="J56" s="15">
        <f>IF(OR(J55="",J53=""),"",IFERROR(J55/J53,""))</f>
        <v/>
      </c>
      <c r="K56" s="15">
        <f>IF(OR(K55="",K53=""),"",IFERROR(K55/K53,""))</f>
        <v/>
      </c>
      <c r="L56" s="15">
        <f>IF(OR(L55="",L53=""),"",IFERROR(L55/L53,""))</f>
        <v/>
      </c>
      <c r="M56" s="15">
        <f>IF(OR(M55="",M53=""),"",IFERROR(M55/M53,""))</f>
        <v/>
      </c>
      <c r="N56" s="15">
        <f>IF(OR(N55="",N53=""),"",IFERROR(N55/N53,""))</f>
        <v/>
      </c>
      <c r="O56" s="14">
        <f>IF(OR(O55="",O53=""),"",IFERROR(O55/O53,""))</f>
        <v/>
      </c>
      <c r="P56" s="15">
        <f>IF(OR(P55="",P53=""),"",IFERROR(P55/P53,""))</f>
        <v/>
      </c>
      <c r="Q56" s="15">
        <f>IF(OR(Q55="",Q53=""),"",IFERROR(Q55/Q53,""))</f>
        <v/>
      </c>
      <c r="R56" s="15">
        <f>IF(OR(R55="",R53=""),"",IFERROR(R55/R53,""))</f>
        <v/>
      </c>
      <c r="S56" s="15">
        <f>IF(OR(S55="",S53=""),"",IFERROR(S55/S53,""))</f>
        <v/>
      </c>
      <c r="T56" s="15">
        <f>IF(OR(T55="",T53=""),"",IFERROR(T55/T53,""))</f>
        <v/>
      </c>
      <c r="U56" s="15">
        <f>IF(OR(U55="",U53=""),"",IFERROR(U55/U53,""))</f>
        <v/>
      </c>
      <c r="V56" s="15">
        <f>IF(OR(V55="",V53=""),"",IFERROR(V55/V53,""))</f>
        <v/>
      </c>
      <c r="W56" s="15">
        <f>IF(OR(W55="",W53=""),"",IFERROR(W55/W53,""))</f>
        <v/>
      </c>
      <c r="X56" s="15">
        <f>IF(OR(X55="",X53=""),"",IFERROR(X55/X53,""))</f>
        <v/>
      </c>
      <c r="Y56" s="25" t="n">
        <v>1</v>
      </c>
      <c r="Z56" s="26" t="n">
        <v>1</v>
      </c>
      <c r="AA56" s="26" t="n">
        <v>1</v>
      </c>
      <c r="AB56" s="26" t="n">
        <v>1</v>
      </c>
      <c r="AC56" s="26" t="n">
        <v>1</v>
      </c>
    </row>
    <row r="57">
      <c r="A57" s="13" t="inlineStr">
        <is>
          <t>지배주주 순이익 YoY</t>
        </is>
      </c>
      <c r="B57" s="10" t="n"/>
      <c r="C57" s="14" t="n"/>
      <c r="D57" s="15" t="n"/>
      <c r="E57" s="15" t="n"/>
      <c r="F57" s="15" t="n"/>
      <c r="G57" s="15">
        <f>IF(OR(G55="",C55=""),"",IF(C55&lt;=0,"",IFERROR(G55/C55-1,"")))</f>
        <v/>
      </c>
      <c r="H57" s="15">
        <f>IF(OR(H55="",D55=""),"",IF(D55&lt;=0,"",IFERROR(H55/D55-1,"")))</f>
        <v/>
      </c>
      <c r="I57" s="15">
        <f>IF(OR(I55="",E55=""),"",IF(E55&lt;=0,"",IFERROR(I55/E55-1,"")))</f>
        <v/>
      </c>
      <c r="J57" s="15">
        <f>IF(OR(J55="",F55=""),"",IF(F55&lt;=0,"",IFERROR(J55/F55-1,"")))</f>
        <v/>
      </c>
      <c r="K57" s="15">
        <f>IF(OR(K55="",G55=""),"",IF(G55&lt;=0,"",IFERROR(K55/G55-1,"")))</f>
        <v/>
      </c>
      <c r="L57" s="15">
        <f>IF(OR(L55="",H55=""),"",IF(H55&lt;=0,"",IFERROR(L55/H55-1,"")))</f>
        <v/>
      </c>
      <c r="M57" s="15">
        <f>IF(OR(M55="",I55=""),"",IF(I55&lt;=0,"",IFERROR(M55/I55-1,"")))</f>
        <v/>
      </c>
      <c r="N57" s="15">
        <f>IF(OR(N55="",J55=""),"",IF(J55&lt;=0,"",IFERROR(N55/J55-1,"")))</f>
        <v/>
      </c>
      <c r="O57" s="14" t="n"/>
      <c r="P57" s="15">
        <f>IF(OR(P55="",O55=""),"",IF(O55&lt;=0,"",IFERROR(P55/O55-1,"")))</f>
        <v/>
      </c>
      <c r="Q57" s="15">
        <f>IF(OR(Q55="",P55=""),"",IF(P55&lt;=0,"",IFERROR(Q55/P55-1,"")))</f>
        <v/>
      </c>
      <c r="R57" s="15">
        <f>IF(OR(R55="",Q55=""),"",IF(Q55&lt;=0,"",IFERROR(R55/Q55-1,"")))</f>
        <v/>
      </c>
      <c r="S57" s="15">
        <f>IF(OR(S55="",R55=""),"",IF(R55&lt;=0,"",IFERROR(S55/R55-1,"")))</f>
        <v/>
      </c>
      <c r="T57" s="15">
        <f>IF(OR(T55="",S55=""),"",IF(S55&lt;=0,"",IFERROR(T55/S55-1,"")))</f>
        <v/>
      </c>
      <c r="U57" s="15">
        <f>IF(OR(U55="",T55=""),"",IF(T55&lt;=0,"",IFERROR(U55/T55-1,"")))</f>
        <v/>
      </c>
      <c r="V57" s="15">
        <f>IF(OR(V55="",U55=""),"",IF(U55&lt;=0,"",IFERROR(V55/U55-1,"")))</f>
        <v/>
      </c>
      <c r="W57" s="15">
        <f>IF(OR(W55="",V55=""),"",IF(V55&lt;=0,"",IFERROR(W55/V55-1,"")))</f>
        <v/>
      </c>
      <c r="X57" s="15">
        <f>IF(OR(X55="",W55=""),"",IF(W55&lt;=0,"",IFERROR(X55/W55-1,"")))</f>
        <v/>
      </c>
      <c r="Y57" s="14">
        <f>IF(OR(Y55="",X55=""),"",IF(X55&lt;=0,"",IFERROR(Y55/X55-1,"")))</f>
        <v/>
      </c>
      <c r="Z57" s="15">
        <f>IF(OR(Z55="",Y55=""),"",IF(Y55&lt;=0,"",IFERROR(Z55/Y55-1,"")))</f>
        <v/>
      </c>
      <c r="AA57" s="15">
        <f>IF(OR(AA55="",Z55=""),"",IF(Z55&lt;=0,"",IFERROR(AA55/Z55-1,"")))</f>
        <v/>
      </c>
      <c r="AB57" s="15">
        <f>IF(OR(AB55="",AA55=""),"",IF(AA55&lt;=0,"",IFERROR(AB55/AA55-1,"")))</f>
        <v/>
      </c>
      <c r="AC57" s="15">
        <f>IF(OR(AC55="",AB55=""),"",IF(AB55&lt;=0,"",IFERROR(AC55/AB55-1,"")))</f>
        <v/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(2026.10.28)</t>
        </is>
      </c>
      <c r="B59" s="27" t="n">
        <v>2264.5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209251256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IF(O26="","",O26)</f>
        <v/>
      </c>
      <c r="P62" s="15">
        <f>IF(P26="","",P26)</f>
        <v/>
      </c>
      <c r="Q62" s="15">
        <f>IF(Q26="","",Q26)</f>
        <v/>
      </c>
      <c r="R62" s="15">
        <f>IF(R26="","",R26)</f>
        <v/>
      </c>
      <c r="S62" s="15">
        <f>IF(S26="","",S26)</f>
        <v/>
      </c>
      <c r="T62" s="15">
        <f>IF(T26="","",T26)</f>
        <v/>
      </c>
      <c r="U62" s="15">
        <f>IF(U26="","",U26)</f>
        <v/>
      </c>
      <c r="V62" s="15">
        <f>IF(V26="","",V26)</f>
        <v/>
      </c>
      <c r="W62" s="15">
        <f>IF(W26="","",W26)</f>
        <v/>
      </c>
      <c r="X62" s="15">
        <f>IF(X26="","",X26)</f>
        <v/>
      </c>
      <c r="Y62" s="14">
        <f>IF(Y26="","",Y26)</f>
        <v/>
      </c>
      <c r="Z62" s="15">
        <f>IF(Z26="","",Z26)</f>
        <v/>
      </c>
      <c r="AA62" s="15">
        <f>IF(AA26="","",AA26)</f>
        <v/>
      </c>
      <c r="AB62" s="15">
        <f>IF(AB26="","",AB26)</f>
        <v/>
      </c>
      <c r="AC62" s="15">
        <f>IF(AC26="","",AC26)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IF(OR(P55="",O55=""),"",IFERROR(P55/O55-1,""))</f>
        <v/>
      </c>
      <c r="Q63" s="15">
        <f>IF(OR(Q55="",P55=""),"",IFERROR(Q55/P55-1,""))</f>
        <v/>
      </c>
      <c r="R63" s="15">
        <f>IF(OR(R55="",Q55=""),"",IFERROR(R55/Q55-1,""))</f>
        <v/>
      </c>
      <c r="S63" s="15">
        <f>IF(OR(S55="",R55=""),"",IFERROR(S55/R55-1,""))</f>
        <v/>
      </c>
      <c r="T63" s="15">
        <f>IF(OR(T55="",S55=""),"",IFERROR(T55/S55-1,""))</f>
        <v/>
      </c>
      <c r="U63" s="15">
        <f>IF(OR(U55="",T55=""),"",IFERROR(U55/T55-1,""))</f>
        <v/>
      </c>
      <c r="V63" s="15">
        <f>IF(OR(V55="",U55=""),"",IFERROR(V55/U55-1,""))</f>
        <v/>
      </c>
      <c r="W63" s="15">
        <f>IF(OR(W55="",V55=""),"",IFERROR(W55/V55-1,""))</f>
        <v/>
      </c>
      <c r="X63" s="15">
        <f>IF(OR(X55="",W55=""),"",IFERROR(X55/W55-1,""))</f>
        <v/>
      </c>
      <c r="Y63" s="14">
        <f>IF(OR(Y55="",X55=""),"",IFERROR(Y55/X55-1,""))</f>
        <v/>
      </c>
      <c r="Z63" s="15">
        <f>IF(OR(Z55="",Y55=""),"",IFERROR(Z55/Y55-1,""))</f>
        <v/>
      </c>
      <c r="AA63" s="15">
        <f>IF(OR(AA55="",Z55=""),"",IFERROR(AA55/Z55-1,""))</f>
        <v/>
      </c>
      <c r="AB63" s="15">
        <f>IF(OR(AB55="",AA55=""),"",IFERROR(AB55/AA55-1,""))</f>
        <v/>
      </c>
      <c r="AC63" s="15">
        <f>IF(OR(AC55="",AB55=""),"",IFERROR(AC55/AB55-1,""))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IF(OR($B$61="",X55=""),"",IFERROR($B$61/X55,""))</f>
        <v/>
      </c>
      <c r="Y64" s="30">
        <f>IF(OR($B$61="",Y55=""),"",IFERROR($B$61/Y55,""))</f>
        <v/>
      </c>
      <c r="Z64" s="31">
        <f>IF(OR($B$61="",Z55=""),"",IFERROR($B$61/Z55,""))</f>
        <v/>
      </c>
      <c r="AA64" s="31">
        <f>IF(OR($B$61="",AA55=""),"",IFERROR($B$61/AA55,""))</f>
        <v/>
      </c>
      <c r="AB64" s="31">
        <f>IF(OR($B$61="",AB55=""),"",IFERROR($B$61/AB55,""))</f>
        <v/>
      </c>
      <c r="AC64" s="31">
        <f>IF(OR($B$61="",AC55=""),"",IFERROR($B$61/AC55,""))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IF(OR(O55="",$B$60=""),"",IFERROR(O55*1000000.0/$B$60,""))</f>
        <v/>
      </c>
      <c r="P66" s="29">
        <f>IF(OR(P55="",$B$60=""),"",IFERROR(P55*1000000.0/$B$60,""))</f>
        <v/>
      </c>
      <c r="Q66" s="29">
        <f>IF(OR(Q55="",$B$60=""),"",IFERROR(Q55*1000000.0/$B$60,""))</f>
        <v/>
      </c>
      <c r="R66" s="29">
        <f>IF(OR(R55="",$B$60=""),"",IFERROR(R55*1000000.0/$B$60,""))</f>
        <v/>
      </c>
      <c r="S66" s="29">
        <f>IF(OR(S55="",$B$60=""),"",IFERROR(S55*1000000.0/$B$60,""))</f>
        <v/>
      </c>
      <c r="T66" s="29">
        <f>IF(OR(T55="",$B$60=""),"",IFERROR(T55*1000000.0/$B$60,""))</f>
        <v/>
      </c>
      <c r="U66" s="29">
        <f>IF(OR(U55="",$B$60=""),"",IFERROR(U55*1000000.0/$B$60,""))</f>
        <v/>
      </c>
      <c r="V66" s="29">
        <f>IF(OR(V55="",$B$60=""),"",IFERROR(V55*1000000.0/$B$60,""))</f>
        <v/>
      </c>
      <c r="W66" s="29">
        <f>IF(OR(W55="",$B$60=""),"",IFERROR(W55*1000000.0/$B$60,""))</f>
        <v/>
      </c>
      <c r="X66" s="29">
        <f>IF(OR(X55="",$B$60=""),"",IFERROR(X55*1000000.0/$B$60,""))</f>
        <v/>
      </c>
      <c r="Y66" s="28">
        <f>IF(OR(Y55="",$B$60=""),"",IFERROR(Y55*1000000.0/$B$60,""))</f>
        <v/>
      </c>
      <c r="Z66" s="29">
        <f>IF(OR(Z55="",$B$60=""),"",IFERROR(Z55*1000000.0/$B$60,""))</f>
        <v/>
      </c>
      <c r="AA66" s="29">
        <f>IF(OR(AA55="",$B$60=""),"",IFERROR(AA55*1000000.0/$B$60,""))</f>
        <v/>
      </c>
      <c r="AB66" s="29">
        <f>IF(OR(AB55="",$B$60=""),"",IFERROR(AB55*1000000.0/$B$60,""))</f>
        <v/>
      </c>
      <c r="AC66" s="29">
        <f>IF(OR(AC55="",$B$60=""),"",IFERROR(AC55*1000000.0/$B$60,""))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IF(OR(Y55="",Y65=""),"",IFERROR(Y55*Y65,""))</f>
        <v/>
      </c>
      <c r="Z78" s="20">
        <f>IF(OR(Z55="",Z65=""),"",IFERROR(Z55*Z65,""))</f>
        <v/>
      </c>
      <c r="AA78" s="20">
        <f>IF(OR(AA55="",AA65=""),"",IFERROR(AA55*AA65,""))</f>
        <v/>
      </c>
      <c r="AB78" s="20">
        <f>IF(OR(AB55="",AB65=""),"",IFERROR(AB55*AB65,""))</f>
        <v/>
      </c>
      <c r="AC78" s="20">
        <f>IF(OR(AC55="",AC65=""),"",IFERROR(AC55*AC65,""))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2026.10.28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93515</v>
      </c>
      <c r="D90" s="12" t="n">
        <v>98364</v>
      </c>
      <c r="E90" s="12" t="n">
        <v>98473</v>
      </c>
      <c r="F90" s="12" t="n">
        <v>106105</v>
      </c>
      <c r="G90" s="12" t="n">
        <v>107245</v>
      </c>
      <c r="H90" s="12" t="n">
        <v>102083</v>
      </c>
      <c r="I90" s="12" t="n">
        <v>105214</v>
      </c>
      <c r="J90" s="12" t="n">
        <v>103083</v>
      </c>
      <c r="K90" s="12" t="n">
        <v>103388</v>
      </c>
      <c r="L90" s="12" t="n">
        <v>103241</v>
      </c>
      <c r="M90" s="12" t="n">
        <v>102254</v>
      </c>
      <c r="N90" s="12" t="n">
        <v>109466</v>
      </c>
      <c r="T90" s="12" t="n">
        <v>92974</v>
      </c>
      <c r="U90" s="12" t="n">
        <v>94409</v>
      </c>
      <c r="V90" s="12" t="n">
        <v>98473</v>
      </c>
      <c r="W90" s="12" t="n">
        <v>105214</v>
      </c>
      <c r="X90" s="12" t="n">
        <v>102254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68951</v>
      </c>
      <c r="D92" s="20" t="n">
        <v>71567</v>
      </c>
      <c r="E92" s="20" t="n">
        <v>72688</v>
      </c>
      <c r="F92" s="20" t="n">
        <v>75523</v>
      </c>
      <c r="G92" s="20" t="n">
        <v>76683</v>
      </c>
      <c r="H92" s="20" t="n">
        <v>72923</v>
      </c>
      <c r="I92" s="20" t="n">
        <v>77285</v>
      </c>
      <c r="J92" s="20" t="n">
        <v>69546</v>
      </c>
      <c r="K92" s="20" t="n">
        <v>75213</v>
      </c>
      <c r="L92" s="20" t="n">
        <v>74525</v>
      </c>
      <c r="M92" s="20" t="n">
        <v>71480</v>
      </c>
      <c r="N92" s="20" t="n">
        <v>72300</v>
      </c>
      <c r="T92" s="20" t="n">
        <v>62597</v>
      </c>
      <c r="U92" s="20" t="n">
        <v>74031</v>
      </c>
      <c r="V92" s="20" t="n">
        <v>72688</v>
      </c>
      <c r="W92" s="20" t="n">
        <v>77285</v>
      </c>
      <c r="X92" s="20" t="n">
        <v>71480</v>
      </c>
    </row>
    <row r="93">
      <c r="A93" s="43" t="inlineStr">
        <is>
          <t>YoY</t>
        </is>
      </c>
      <c r="B93" s="3" t="inlineStr">
        <is>
          <t>전년 같은 분기·전년 대비</t>
        </is>
      </c>
      <c r="G93" s="15">
        <f>IF(OR(G92="",C92=""),"",IF(G92*C92&lt;=0,"",IFERROR(G92/C92-1,"")))</f>
        <v/>
      </c>
      <c r="H93" s="15">
        <f>IF(OR(H92="",D92=""),"",IF(H92*D92&lt;=0,"",IFERROR(H92/D92-1,"")))</f>
        <v/>
      </c>
      <c r="I93" s="15">
        <f>IF(OR(I92="",E92=""),"",IF(I92*E92&lt;=0,"",IFERROR(I92/E92-1,"")))</f>
        <v/>
      </c>
      <c r="J93" s="15">
        <f>IF(OR(J92="",F92=""),"",IF(J92*F92&lt;=0,"",IFERROR(J92/F92-1,"")))</f>
        <v/>
      </c>
      <c r="K93" s="15">
        <f>IF(OR(K92="",G92=""),"",IF(K92*G92&lt;=0,"",IFERROR(K92/G92-1,"")))</f>
        <v/>
      </c>
      <c r="L93" s="15">
        <f>IF(OR(L92="",H92=""),"",IF(L92*H92&lt;=0,"",IFERROR(L92/H92-1,"")))</f>
        <v/>
      </c>
      <c r="M93" s="15">
        <f>IF(OR(M92="",I92=""),"",IF(M92*I92&lt;=0,"",IFERROR(M92/I92-1,"")))</f>
        <v/>
      </c>
      <c r="N93" s="15">
        <f>IF(OR(N92="",J92=""),"",IF(N92*J92&lt;=0,"",IFERROR(N92/J92-1,"")))</f>
        <v/>
      </c>
      <c r="T93" s="15">
        <f>IF(OR(T92="",S92=""),"",IF(T92*S92&lt;=0,"",IFERROR(T92/S92-1,"")))</f>
        <v/>
      </c>
      <c r="U93" s="15">
        <f>IF(OR(U92="",T92=""),"",IF(U92*T92&lt;=0,"",IFERROR(U92/T92-1,"")))</f>
        <v/>
      </c>
      <c r="V93" s="15">
        <f>IF(OR(V92="",U92=""),"",IF(V92*U92&lt;=0,"",IFERROR(V92/U92-1,"")))</f>
        <v/>
      </c>
      <c r="W93" s="15">
        <f>IF(OR(W92="",V92=""),"",IF(W92*V92&lt;=0,"",IFERROR(W92/V92-1,"")))</f>
        <v/>
      </c>
      <c r="X93" s="15">
        <f>IF(OR(X92="",W92=""),"",IF(X92*W92&lt;=0,"",IFERROR(X92/W92-1,"")))</f>
        <v/>
      </c>
    </row>
    <row r="94">
      <c r="A94" s="9" t="inlineStr">
        <is>
          <t>매출총이익</t>
        </is>
      </c>
      <c r="C94" s="12" t="n">
        <v>24565</v>
      </c>
      <c r="D94" s="12" t="n">
        <v>26797</v>
      </c>
      <c r="E94" s="12" t="n">
        <v>25785</v>
      </c>
      <c r="F94" s="12" t="n">
        <v>30582</v>
      </c>
      <c r="G94" s="12" t="n">
        <v>30562</v>
      </c>
      <c r="H94" s="12" t="n">
        <v>29160</v>
      </c>
      <c r="I94" s="12" t="n">
        <v>27929</v>
      </c>
      <c r="J94" s="12" t="n">
        <v>33537</v>
      </c>
      <c r="K94" s="12" t="n">
        <v>28175</v>
      </c>
      <c r="L94" s="12" t="n">
        <v>28716</v>
      </c>
      <c r="M94" s="12" t="n">
        <v>30774</v>
      </c>
      <c r="N94" s="12" t="n">
        <v>37166</v>
      </c>
      <c r="T94" s="12" t="n">
        <v>30375</v>
      </c>
      <c r="U94" s="12" t="n">
        <v>20378</v>
      </c>
      <c r="V94" s="12" t="n">
        <v>25785</v>
      </c>
      <c r="W94" s="12" t="n">
        <v>27929</v>
      </c>
      <c r="X94" s="12" t="n">
        <v>30774</v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IF(OR(G94="",C94=""),"",IF(C94&lt;=0,"",IFERROR(G94/C94-1,"")))</f>
        <v/>
      </c>
      <c r="H95" s="15">
        <f>IF(OR(H94="",D94=""),"",IF(D94&lt;=0,"",IFERROR(H94/D94-1,"")))</f>
        <v/>
      </c>
      <c r="I95" s="15">
        <f>IF(OR(I94="",E94=""),"",IF(E94&lt;=0,"",IFERROR(I94/E94-1,"")))</f>
        <v/>
      </c>
      <c r="J95" s="15">
        <f>IF(OR(J94="",F94=""),"",IF(F94&lt;=0,"",IFERROR(J94/F94-1,"")))</f>
        <v/>
      </c>
      <c r="K95" s="15">
        <f>IF(OR(K94="",G94=""),"",IF(G94&lt;=0,"",IFERROR(K94/G94-1,"")))</f>
        <v/>
      </c>
      <c r="L95" s="15">
        <f>IF(OR(L94="",H94=""),"",IF(H94&lt;=0,"",IFERROR(L94/H94-1,"")))</f>
        <v/>
      </c>
      <c r="M95" s="15">
        <f>IF(OR(M94="",I94=""),"",IF(I94&lt;=0,"",IFERROR(M94/I94-1,"")))</f>
        <v/>
      </c>
      <c r="N95" s="15">
        <f>IF(OR(N94="",J94=""),"",IF(J94&lt;=0,"",IFERROR(N94/J94-1,"")))</f>
        <v/>
      </c>
      <c r="T95" s="15">
        <f>IF(OR(T94="",S94=""),"",IF(S94&lt;=0,"",IFERROR(T94/S94-1,"")))</f>
        <v/>
      </c>
      <c r="U95" s="15">
        <f>IF(OR(U94="",T94=""),"",IF(T94&lt;=0,"",IFERROR(U94/T94-1,"")))</f>
        <v/>
      </c>
      <c r="V95" s="15">
        <f>IF(OR(V94="",U94=""),"",IF(U94&lt;=0,"",IFERROR(V94/U94-1,"")))</f>
        <v/>
      </c>
      <c r="W95" s="15">
        <f>IF(OR(W94="",V94=""),"",IF(V94&lt;=0,"",IFERROR(W94/V94-1,"")))</f>
        <v/>
      </c>
      <c r="X95" s="15">
        <f>IF(OR(X94="",W94=""),"",IF(W94&lt;=0,"",IFERROR(X94/W94-1,"")))</f>
        <v/>
      </c>
    </row>
    <row r="96">
      <c r="A96" s="18" t="inlineStr">
        <is>
          <t>판매비와 관리비</t>
        </is>
      </c>
      <c r="C96" s="20" t="n">
        <v>21217</v>
      </c>
      <c r="D96" s="20" t="n">
        <v>20272</v>
      </c>
      <c r="E96" s="20" t="n">
        <v>21271</v>
      </c>
      <c r="F96" s="20" t="n">
        <v>21541</v>
      </c>
      <c r="G96" s="20" t="n">
        <v>22800</v>
      </c>
      <c r="H96" s="20" t="n">
        <v>21790</v>
      </c>
      <c r="I96" s="20" t="n">
        <v>22782</v>
      </c>
      <c r="J96" s="20" t="n">
        <v>21408</v>
      </c>
      <c r="K96" s="20" t="n">
        <v>20952</v>
      </c>
      <c r="L96" s="20" t="n">
        <v>20468</v>
      </c>
      <c r="M96" s="20" t="n">
        <v>21998</v>
      </c>
      <c r="N96" s="20" t="n">
        <v>20865</v>
      </c>
      <c r="T96" s="20" t="n">
        <v>22349</v>
      </c>
      <c r="U96" s="20" t="n">
        <v>21034</v>
      </c>
      <c r="V96" s="20" t="n">
        <v>21271</v>
      </c>
      <c r="W96" s="20" t="n">
        <v>22782</v>
      </c>
      <c r="X96" s="20" t="n">
        <v>21998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IF(OR(G96="",C96=""),"",IF(G96*C96&lt;=0,"",IFERROR(G96/C96-1,"")))</f>
        <v/>
      </c>
      <c r="H97" s="15">
        <f>IF(OR(H96="",D96=""),"",IF(H96*D96&lt;=0,"",IFERROR(H96/D96-1,"")))</f>
        <v/>
      </c>
      <c r="I97" s="15">
        <f>IF(OR(I96="",E96=""),"",IF(I96*E96&lt;=0,"",IFERROR(I96/E96-1,"")))</f>
        <v/>
      </c>
      <c r="J97" s="15">
        <f>IF(OR(J96="",F96=""),"",IF(J96*F96&lt;=0,"",IFERROR(J96/F96-1,"")))</f>
        <v/>
      </c>
      <c r="K97" s="15">
        <f>IF(OR(K96="",G96=""),"",IF(K96*G96&lt;=0,"",IFERROR(K96/G96-1,"")))</f>
        <v/>
      </c>
      <c r="L97" s="15">
        <f>IF(OR(L96="",H96=""),"",IF(L96*H96&lt;=0,"",IFERROR(L96/H96-1,"")))</f>
        <v/>
      </c>
      <c r="M97" s="15">
        <f>IF(OR(M96="",I96=""),"",IF(M96*I96&lt;=0,"",IFERROR(M96/I96-1,"")))</f>
        <v/>
      </c>
      <c r="N97" s="15">
        <f>IF(OR(N96="",J96=""),"",IF(N96*J96&lt;=0,"",IFERROR(N96/J96-1,"")))</f>
        <v/>
      </c>
      <c r="T97" s="15">
        <f>IF(OR(T96="",S96=""),"",IF(T96*S96&lt;=0,"",IFERROR(T96/S96-1,"")))</f>
        <v/>
      </c>
      <c r="U97" s="15">
        <f>IF(OR(U96="",T96=""),"",IF(U96*T96&lt;=0,"",IFERROR(U96/T96-1,"")))</f>
        <v/>
      </c>
      <c r="V97" s="15">
        <f>IF(OR(V96="",U96=""),"",IF(V96*U96&lt;=0,"",IFERROR(V96/U96-1,"")))</f>
        <v/>
      </c>
      <c r="W97" s="15">
        <f>IF(OR(W96="",V96=""),"",IF(W96*V96&lt;=0,"",IFERROR(W96/V96-1,"")))</f>
        <v/>
      </c>
      <c r="X97" s="15">
        <f>IF(OR(X96="",W96=""),"",IF(X96*W96&lt;=0,"",IFERROR(X96/W96-1,"")))</f>
        <v/>
      </c>
    </row>
    <row r="98">
      <c r="A98" s="9" t="inlineStr">
        <is>
          <t>영업이익</t>
        </is>
      </c>
      <c r="C98" s="12" t="n">
        <v>3347</v>
      </c>
      <c r="D98" s="12" t="n">
        <v>6525</v>
      </c>
      <c r="E98" s="12" t="n">
        <v>4514</v>
      </c>
      <c r="F98" s="12" t="n">
        <v>9041</v>
      </c>
      <c r="G98" s="12" t="n">
        <v>7761</v>
      </c>
      <c r="H98" s="12" t="n">
        <v>7371</v>
      </c>
      <c r="I98" s="12" t="n">
        <v>5148</v>
      </c>
      <c r="J98" s="12" t="n">
        <v>12129</v>
      </c>
      <c r="K98" s="12" t="n">
        <v>7223</v>
      </c>
      <c r="L98" s="12" t="n">
        <v>8248</v>
      </c>
      <c r="M98" s="12" t="n">
        <v>8777</v>
      </c>
      <c r="N98" s="12" t="n">
        <v>16300</v>
      </c>
      <c r="T98" s="12" t="n">
        <v>8027</v>
      </c>
      <c r="U98" s="12" t="n">
        <v>-656</v>
      </c>
      <c r="V98" s="12" t="n">
        <v>4514</v>
      </c>
      <c r="W98" s="12" t="n">
        <v>5148</v>
      </c>
      <c r="X98" s="12" t="n">
        <v>8777</v>
      </c>
    </row>
    <row r="99">
      <c r="A99" s="43" t="inlineStr">
        <is>
          <t>OPM</t>
        </is>
      </c>
      <c r="B99" s="3" t="inlineStr">
        <is>
          <t>영업이익 ÷ 매출</t>
        </is>
      </c>
      <c r="C99" s="15">
        <f>IF(OR(C98="",C90=""),"",IF(C90&lt;=0,"",IFERROR(C98/C90,"")))</f>
        <v/>
      </c>
      <c r="D99" s="15">
        <f>IF(OR(D98="",D90=""),"",IF(D90&lt;=0,"",IFERROR(D98/D90,"")))</f>
        <v/>
      </c>
      <c r="E99" s="15">
        <f>IF(OR(E98="",E90=""),"",IF(E90&lt;=0,"",IFERROR(E98/E90,"")))</f>
        <v/>
      </c>
      <c r="F99" s="15">
        <f>IF(OR(F98="",F90=""),"",IF(F90&lt;=0,"",IFERROR(F98/F90,"")))</f>
        <v/>
      </c>
      <c r="G99" s="15">
        <f>IF(OR(G98="",G90=""),"",IF(G90&lt;=0,"",IFERROR(G98/G90,"")))</f>
        <v/>
      </c>
      <c r="H99" s="15">
        <f>IF(OR(H98="",H90=""),"",IF(H90&lt;=0,"",IFERROR(H98/H90,"")))</f>
        <v/>
      </c>
      <c r="I99" s="15">
        <f>IF(OR(I98="",I90=""),"",IF(I90&lt;=0,"",IFERROR(I98/I90,"")))</f>
        <v/>
      </c>
      <c r="J99" s="15">
        <f>IF(OR(J98="",J90=""),"",IF(J90&lt;=0,"",IFERROR(J98/J90,"")))</f>
        <v/>
      </c>
      <c r="K99" s="15">
        <f>IF(OR(K98="",K90=""),"",IF(K90&lt;=0,"",IFERROR(K98/K90,"")))</f>
        <v/>
      </c>
      <c r="L99" s="15">
        <f>IF(OR(L98="",L90=""),"",IF(L90&lt;=0,"",IFERROR(L98/L90,"")))</f>
        <v/>
      </c>
      <c r="M99" s="15">
        <f>IF(OR(M98="",M90=""),"",IF(M90&lt;=0,"",IFERROR(M98/M90,"")))</f>
        <v/>
      </c>
      <c r="N99" s="15">
        <f>IF(OR(N98="",N90=""),"",IF(N90&lt;=0,"",IFERROR(N98/N90,"")))</f>
        <v/>
      </c>
      <c r="T99" s="15">
        <f>IF(OR(T98="",T90=""),"",IF(T90&lt;=0,"",IFERROR(T98/T90,"")))</f>
        <v/>
      </c>
      <c r="U99" s="15">
        <f>IF(OR(U98="",U90=""),"",IF(U90&lt;=0,"",IFERROR(U98/U90,"")))</f>
        <v/>
      </c>
      <c r="V99" s="15">
        <f>IF(OR(V98="",V90=""),"",IF(V90&lt;=0,"",IFERROR(V98/V90,"")))</f>
        <v/>
      </c>
      <c r="W99" s="15">
        <f>IF(OR(W98="",W90=""),"",IF(W90&lt;=0,"",IFERROR(W98/W90,"")))</f>
        <v/>
      </c>
      <c r="X99" s="15">
        <f>IF(OR(X98="",X90=""),"",IF(X90&lt;=0,"",IFERROR(X98/X90,"")))</f>
        <v/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IF(OR(G98="",C98=""),"",IF(C98&lt;=0,"",IFERROR(G98/C98-1,"")))</f>
        <v/>
      </c>
      <c r="H100" s="15">
        <f>IF(OR(H98="",D98=""),"",IF(D98&lt;=0,"",IFERROR(H98/D98-1,"")))</f>
        <v/>
      </c>
      <c r="I100" s="15">
        <f>IF(OR(I98="",E98=""),"",IF(E98&lt;=0,"",IFERROR(I98/E98-1,"")))</f>
        <v/>
      </c>
      <c r="J100" s="15">
        <f>IF(OR(J98="",F98=""),"",IF(F98&lt;=0,"",IFERROR(J98/F98-1,"")))</f>
        <v/>
      </c>
      <c r="K100" s="15">
        <f>IF(OR(K98="",G98=""),"",IF(G98&lt;=0,"",IFERROR(K98/G98-1,"")))</f>
        <v/>
      </c>
      <c r="L100" s="15">
        <f>IF(OR(L98="",H98=""),"",IF(H98&lt;=0,"",IFERROR(L98/H98-1,"")))</f>
        <v/>
      </c>
      <c r="M100" s="15">
        <f>IF(OR(M98="",I98=""),"",IF(I98&lt;=0,"",IFERROR(M98/I98-1,"")))</f>
        <v/>
      </c>
      <c r="N100" s="15">
        <f>IF(OR(N98="",J98=""),"",IF(J98&lt;=0,"",IFERROR(N98/J98-1,"")))</f>
        <v/>
      </c>
      <c r="T100" s="15">
        <f>IF(OR(T98="",S98=""),"",IF(S98&lt;=0,"",IFERROR(T98/S98-1,"")))</f>
        <v/>
      </c>
      <c r="U100" s="15">
        <f>IF(OR(U98="",T98=""),"",IF(T98&lt;=0,"",IFERROR(U98/T98-1,"")))</f>
        <v/>
      </c>
      <c r="V100" s="15">
        <f>IF(OR(V98="",U98=""),"",IF(U98&lt;=0,"",IFERROR(V98/U98-1,"")))</f>
        <v/>
      </c>
      <c r="W100" s="15">
        <f>IF(OR(W98="",V98=""),"",IF(V98&lt;=0,"",IFERROR(W98/V98-1,"")))</f>
        <v/>
      </c>
      <c r="X100" s="15">
        <f>IF(OR(X98="",W98=""),"",IF(W98&lt;=0,"",IFERROR(X98/W98-1,"")))</f>
        <v/>
      </c>
    </row>
    <row r="101">
      <c r="A101" s="18" t="inlineStr">
        <is>
          <t>이자수익</t>
        </is>
      </c>
      <c r="C101" s="20" t="n">
        <v>59</v>
      </c>
      <c r="D101" s="20" t="n">
        <v>63</v>
      </c>
      <c r="E101" s="20" t="n">
        <v>105</v>
      </c>
      <c r="F101" s="20" t="n">
        <v>71</v>
      </c>
      <c r="G101" s="20" t="n">
        <v>73</v>
      </c>
      <c r="H101" s="20" t="n">
        <v>71</v>
      </c>
      <c r="I101" s="20" t="n">
        <v>97</v>
      </c>
      <c r="J101" s="20" t="n">
        <v>52</v>
      </c>
      <c r="K101" s="20" t="n">
        <v>49</v>
      </c>
      <c r="L101" s="20" t="n">
        <v>52</v>
      </c>
      <c r="M101" s="20" t="n">
        <v>75</v>
      </c>
      <c r="N101" s="20" t="n">
        <v>47</v>
      </c>
      <c r="T101" s="20" t="n">
        <v>47</v>
      </c>
      <c r="U101" s="20" t="n">
        <v>70</v>
      </c>
      <c r="V101" s="20" t="n">
        <v>105</v>
      </c>
      <c r="W101" s="20" t="n">
        <v>97</v>
      </c>
      <c r="X101" s="20" t="n">
        <v>75</v>
      </c>
    </row>
    <row r="102">
      <c r="A102" s="18" t="inlineStr">
        <is>
          <t>배당금수익</t>
        </is>
      </c>
      <c r="C102" s="20" t="n">
        <v>578</v>
      </c>
      <c r="D102" s="20" t="n">
        <v>764</v>
      </c>
      <c r="E102" s="20" t="n">
        <v>902</v>
      </c>
      <c r="F102" s="20" t="n">
        <v>1140</v>
      </c>
      <c r="G102" s="20" t="n">
        <v>281</v>
      </c>
      <c r="H102" s="20" t="n">
        <v>785</v>
      </c>
      <c r="I102" s="20" t="n">
        <v>553</v>
      </c>
      <c r="J102" s="20" t="n">
        <v>1095</v>
      </c>
      <c r="K102" s="20" t="n">
        <v>458</v>
      </c>
      <c r="L102" s="20" t="n">
        <v>994</v>
      </c>
      <c r="M102" s="20" t="n">
        <v>372</v>
      </c>
      <c r="N102" s="20" t="n">
        <v>1084</v>
      </c>
      <c r="T102" s="20" t="n">
        <v>763</v>
      </c>
      <c r="U102" s="20" t="n">
        <v>816</v>
      </c>
      <c r="V102" s="20" t="n">
        <v>902</v>
      </c>
      <c r="W102" s="20" t="n">
        <v>553</v>
      </c>
      <c r="X102" s="20" t="n">
        <v>372</v>
      </c>
    </row>
    <row r="103">
      <c r="A103" s="18" t="inlineStr">
        <is>
          <t>보험금 수익</t>
        </is>
      </c>
      <c r="J103" s="20" t="n">
        <v>0</v>
      </c>
      <c r="N103" s="20" t="n">
        <v>1297</v>
      </c>
    </row>
    <row r="104">
      <c r="A104" s="18" t="inlineStr">
        <is>
          <t>외환차익</t>
        </is>
      </c>
      <c r="C104" s="20" t="n">
        <v>1020</v>
      </c>
      <c r="D104" s="20" t="n">
        <v>-207</v>
      </c>
      <c r="E104" s="20" t="n">
        <v>397</v>
      </c>
      <c r="F104" s="20" t="n">
        <v>2125</v>
      </c>
      <c r="G104" s="20" t="n">
        <v>-1420</v>
      </c>
      <c r="H104" s="20" t="n">
        <v>602</v>
      </c>
      <c r="I104" s="20" t="n">
        <v>-169</v>
      </c>
      <c r="J104" s="20" t="n">
        <v>0</v>
      </c>
      <c r="K104" s="20" t="n">
        <v>0</v>
      </c>
      <c r="L104" s="20" t="n">
        <v>1416</v>
      </c>
      <c r="M104" s="20" t="n">
        <v>594</v>
      </c>
      <c r="N104" s="20" t="n">
        <v>472</v>
      </c>
      <c r="T104" s="20" t="n">
        <v>1355</v>
      </c>
      <c r="U104" s="20" t="n">
        <v>76</v>
      </c>
      <c r="V104" s="20" t="n">
        <v>397</v>
      </c>
      <c r="W104" s="20" t="n">
        <v>-169</v>
      </c>
      <c r="X104" s="20" t="n">
        <v>594</v>
      </c>
    </row>
    <row r="105">
      <c r="A105" s="18" t="inlineStr">
        <is>
          <t>지분법이익</t>
        </is>
      </c>
      <c r="C105" s="20" t="n">
        <v>20</v>
      </c>
      <c r="D105" s="20" t="n">
        <v>42</v>
      </c>
      <c r="E105" s="20" t="n">
        <v>16</v>
      </c>
      <c r="F105" s="20" t="n">
        <v>18</v>
      </c>
      <c r="G105" s="20" t="n">
        <v>12</v>
      </c>
      <c r="H105" s="20" t="n">
        <v>29</v>
      </c>
      <c r="I105" s="20" t="n">
        <v>15</v>
      </c>
      <c r="J105" s="20" t="n">
        <v>17</v>
      </c>
      <c r="K105" s="20" t="n">
        <v>5</v>
      </c>
      <c r="L105" s="20" t="n">
        <v>15</v>
      </c>
      <c r="M105" s="20" t="n">
        <v>7</v>
      </c>
      <c r="N105" s="20" t="n">
        <v>23</v>
      </c>
      <c r="T105" s="20" t="n">
        <v>9</v>
      </c>
      <c r="U105" s="20" t="n">
        <v>54</v>
      </c>
      <c r="V105" s="20" t="n">
        <v>16</v>
      </c>
      <c r="W105" s="20" t="n">
        <v>15</v>
      </c>
      <c r="X105" s="20" t="n">
        <v>7</v>
      </c>
    </row>
    <row r="106">
      <c r="A106" s="18" t="inlineStr">
        <is>
          <t>잡이익</t>
        </is>
      </c>
      <c r="C106" s="20" t="n">
        <v>76</v>
      </c>
      <c r="D106" s="20" t="n">
        <v>102</v>
      </c>
      <c r="E106" s="20" t="n">
        <v>180</v>
      </c>
      <c r="F106" s="20" t="n">
        <v>265</v>
      </c>
      <c r="G106" s="20" t="n">
        <v>440</v>
      </c>
      <c r="H106" s="20" t="n">
        <v>262</v>
      </c>
      <c r="I106" s="20" t="n">
        <v>415</v>
      </c>
      <c r="J106" s="20" t="n">
        <v>158</v>
      </c>
      <c r="K106" s="20" t="n">
        <v>95</v>
      </c>
      <c r="L106" s="20" t="n">
        <v>53</v>
      </c>
      <c r="M106" s="20" t="n">
        <v>513</v>
      </c>
      <c r="N106" s="20" t="n">
        <v>187</v>
      </c>
      <c r="T106" s="20" t="n">
        <v>289</v>
      </c>
      <c r="U106" s="20" t="n">
        <v>302</v>
      </c>
      <c r="V106" s="20" t="n">
        <v>180</v>
      </c>
      <c r="W106" s="20" t="n">
        <v>415</v>
      </c>
      <c r="X106" s="20" t="n">
        <v>513</v>
      </c>
    </row>
    <row r="107">
      <c r="A107" s="18" t="inlineStr">
        <is>
          <t>영업외수익 합계</t>
        </is>
      </c>
      <c r="C107" s="20" t="n">
        <v>1753</v>
      </c>
      <c r="D107" s="20" t="n">
        <v>766</v>
      </c>
      <c r="E107" s="20" t="n">
        <v>2615</v>
      </c>
      <c r="F107" s="20" t="n">
        <v>3618</v>
      </c>
      <c r="G107" s="20" t="n">
        <v>-614</v>
      </c>
      <c r="H107" s="20" t="n">
        <v>1750</v>
      </c>
      <c r="I107" s="20" t="n">
        <v>910</v>
      </c>
      <c r="J107" s="20" t="n">
        <v>1322</v>
      </c>
      <c r="K107" s="20" t="n">
        <v>607</v>
      </c>
      <c r="L107" s="20" t="n">
        <v>2531</v>
      </c>
      <c r="M107" s="20" t="n">
        <v>1561</v>
      </c>
      <c r="N107" s="20" t="n">
        <v>3108</v>
      </c>
      <c r="T107" s="20" t="n">
        <v>2464</v>
      </c>
      <c r="U107" s="20" t="n">
        <v>1368</v>
      </c>
      <c r="V107" s="20" t="n">
        <v>2615</v>
      </c>
      <c r="W107" s="20" t="n">
        <v>910</v>
      </c>
      <c r="X107" s="20" t="n">
        <v>1561</v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IF(OR(G107="",C107=""),"",IF(G107*C107&lt;=0,"",IFERROR(G107/C107-1,"")))</f>
        <v/>
      </c>
      <c r="H108" s="15">
        <f>IF(OR(H107="",D107=""),"",IF(H107*D107&lt;=0,"",IFERROR(H107/D107-1,"")))</f>
        <v/>
      </c>
      <c r="I108" s="15">
        <f>IF(OR(I107="",E107=""),"",IF(I107*E107&lt;=0,"",IFERROR(I107/E107-1,"")))</f>
        <v/>
      </c>
      <c r="J108" s="15">
        <f>IF(OR(J107="",F107=""),"",IF(J107*F107&lt;=0,"",IFERROR(J107/F107-1,"")))</f>
        <v/>
      </c>
      <c r="K108" s="15">
        <f>IF(OR(K107="",G107=""),"",IF(K107*G107&lt;=0,"",IFERROR(K107/G107-1,"")))</f>
        <v/>
      </c>
      <c r="L108" s="15">
        <f>IF(OR(L107="",H107=""),"",IF(L107*H107&lt;=0,"",IFERROR(L107/H107-1,"")))</f>
        <v/>
      </c>
      <c r="M108" s="15">
        <f>IF(OR(M107="",I107=""),"",IF(M107*I107&lt;=0,"",IFERROR(M107/I107-1,"")))</f>
        <v/>
      </c>
      <c r="N108" s="15">
        <f>IF(OR(N107="",J107=""),"",IF(N107*J107&lt;=0,"",IFERROR(N107/J107-1,"")))</f>
        <v/>
      </c>
      <c r="T108" s="15">
        <f>IF(OR(T107="",S107=""),"",IF(T107*S107&lt;=0,"",IFERROR(T107/S107-1,"")))</f>
        <v/>
      </c>
      <c r="U108" s="15">
        <f>IF(OR(U107="",T107=""),"",IF(U107*T107&lt;=0,"",IFERROR(U107/T107-1,"")))</f>
        <v/>
      </c>
      <c r="V108" s="15">
        <f>IF(OR(V107="",U107=""),"",IF(V107*U107&lt;=0,"",IFERROR(V107/U107-1,"")))</f>
        <v/>
      </c>
      <c r="W108" s="15">
        <f>IF(OR(W107="",V107=""),"",IF(W107*V107&lt;=0,"",IFERROR(W107/V107-1,"")))</f>
        <v/>
      </c>
      <c r="X108" s="15">
        <f>IF(OR(X107="",W107=""),"",IF(X107*W107&lt;=0,"",IFERROR(X107/W107-1,"")))</f>
        <v/>
      </c>
    </row>
    <row r="109">
      <c r="A109" s="18" t="inlineStr">
        <is>
          <t>이자비용</t>
        </is>
      </c>
      <c r="C109" s="20" t="n">
        <v>19</v>
      </c>
      <c r="D109" s="20" t="n">
        <v>15</v>
      </c>
      <c r="E109" s="20" t="n">
        <v>18</v>
      </c>
      <c r="F109" s="20" t="n">
        <v>22</v>
      </c>
      <c r="G109" s="20" t="n">
        <v>40</v>
      </c>
      <c r="H109" s="20" t="n">
        <v>47</v>
      </c>
      <c r="I109" s="20" t="n">
        <v>48</v>
      </c>
      <c r="J109" s="20" t="n">
        <v>46</v>
      </c>
      <c r="K109" s="20" t="n">
        <v>50</v>
      </c>
      <c r="L109" s="20" t="n">
        <v>34</v>
      </c>
      <c r="M109" s="20" t="n">
        <v>47</v>
      </c>
      <c r="N109" s="20" t="n">
        <v>73</v>
      </c>
      <c r="T109" s="20" t="n">
        <v>34</v>
      </c>
      <c r="U109" s="20" t="n">
        <v>18</v>
      </c>
      <c r="V109" s="20" t="n">
        <v>18</v>
      </c>
      <c r="W109" s="20" t="n">
        <v>48</v>
      </c>
      <c r="X109" s="20" t="n">
        <v>47</v>
      </c>
    </row>
    <row r="110">
      <c r="A110" s="18" t="inlineStr">
        <is>
          <t>유휴자산 감가상각비</t>
        </is>
      </c>
      <c r="C110" s="20" t="n">
        <v>246</v>
      </c>
      <c r="D110" s="20" t="n">
        <v>178</v>
      </c>
      <c r="E110" s="20" t="n">
        <v>101</v>
      </c>
      <c r="F110" s="20" t="n">
        <v>98</v>
      </c>
      <c r="G110" s="20" t="n">
        <v>188</v>
      </c>
      <c r="H110" s="20" t="n">
        <v>34</v>
      </c>
      <c r="I110" s="20" t="n">
        <v>21</v>
      </c>
      <c r="J110" s="20" t="n">
        <v>96</v>
      </c>
      <c r="T110" s="20" t="n">
        <v>36</v>
      </c>
      <c r="U110" s="20" t="n">
        <v>59</v>
      </c>
      <c r="V110" s="20" t="n">
        <v>101</v>
      </c>
      <c r="W110" s="20" t="n">
        <v>21</v>
      </c>
    </row>
    <row r="111">
      <c r="A111" s="18" t="inlineStr">
        <is>
          <t>외환차손</t>
        </is>
      </c>
      <c r="F111" s="20" t="n">
        <v>0</v>
      </c>
      <c r="G111" s="20" t="n">
        <v>0</v>
      </c>
      <c r="J111" s="20" t="n">
        <v>923</v>
      </c>
      <c r="K111" s="20" t="n">
        <v>-331</v>
      </c>
      <c r="N111" s="20" t="n">
        <v>0</v>
      </c>
    </row>
    <row r="112">
      <c r="A112" s="18" t="inlineStr">
        <is>
          <t>Expenses Of Inactive Non Current Assets NOE</t>
        </is>
      </c>
      <c r="J112" s="20" t="n">
        <v>96</v>
      </c>
      <c r="N112" s="20" t="n">
        <v>196</v>
      </c>
    </row>
    <row r="113">
      <c r="A113" s="18" t="inlineStr">
        <is>
          <t>투자조합 운용손실</t>
        </is>
      </c>
      <c r="C113" s="20" t="n">
        <v>45</v>
      </c>
      <c r="D113" s="20" t="n">
        <v>164</v>
      </c>
      <c r="E113" s="20" t="n">
        <v>-184</v>
      </c>
      <c r="F113" s="20" t="n">
        <v>0</v>
      </c>
      <c r="G113" s="20" t="n">
        <v>223</v>
      </c>
      <c r="H113" s="20" t="n">
        <v>-157</v>
      </c>
      <c r="I113" s="20" t="n">
        <v>153</v>
      </c>
      <c r="J113" s="20" t="n">
        <v>16</v>
      </c>
      <c r="K113" s="20" t="n">
        <v>242</v>
      </c>
      <c r="L113" s="20" t="n">
        <v>-247</v>
      </c>
      <c r="M113" s="20" t="n">
        <v>-11</v>
      </c>
      <c r="N113" s="20" t="n">
        <v>26</v>
      </c>
      <c r="U113" s="20" t="n">
        <v>295</v>
      </c>
      <c r="V113" s="20" t="n">
        <v>-184</v>
      </c>
      <c r="W113" s="20" t="n">
        <v>153</v>
      </c>
      <c r="X113" s="20" t="n">
        <v>-11</v>
      </c>
    </row>
    <row r="114">
      <c r="A114" s="18" t="inlineStr">
        <is>
          <t>기부금</t>
        </is>
      </c>
      <c r="D114" s="20" t="n">
        <v>0</v>
      </c>
      <c r="E114" s="20" t="n">
        <v>121</v>
      </c>
      <c r="H114" s="20" t="n">
        <v>22</v>
      </c>
      <c r="I114" s="20" t="n">
        <v>13</v>
      </c>
      <c r="T114" s="20" t="n">
        <v>0</v>
      </c>
      <c r="U114" s="20" t="n">
        <v>2</v>
      </c>
      <c r="V114" s="20" t="n">
        <v>121</v>
      </c>
      <c r="W114" s="20" t="n">
        <v>13</v>
      </c>
    </row>
    <row r="115">
      <c r="A115" s="18" t="inlineStr">
        <is>
          <t>대손충당금 전입</t>
        </is>
      </c>
      <c r="E115" s="20" t="n">
        <v>0</v>
      </c>
      <c r="F115" s="20" t="n">
        <v>249</v>
      </c>
      <c r="I115" s="20" t="n">
        <v>45</v>
      </c>
      <c r="J115" s="20" t="n">
        <v>143</v>
      </c>
      <c r="M115" s="20" t="n">
        <v>347</v>
      </c>
      <c r="V115" s="20" t="n">
        <v>0</v>
      </c>
      <c r="W115" s="20" t="n">
        <v>45</v>
      </c>
      <c r="X115" s="20" t="n">
        <v>347</v>
      </c>
    </row>
    <row r="116">
      <c r="A116" s="18" t="inlineStr">
        <is>
          <t>잡손실</t>
        </is>
      </c>
      <c r="C116" s="20" t="n">
        <v>47</v>
      </c>
      <c r="D116" s="20" t="n">
        <v>57</v>
      </c>
      <c r="E116" s="20" t="n">
        <v>79</v>
      </c>
      <c r="F116" s="20" t="n">
        <v>63</v>
      </c>
      <c r="G116" s="20" t="n">
        <v>871</v>
      </c>
      <c r="H116" s="20" t="n">
        <v>-406</v>
      </c>
      <c r="I116" s="20" t="n">
        <v>109</v>
      </c>
      <c r="J116" s="20" t="n">
        <v>398</v>
      </c>
      <c r="K116" s="20" t="n">
        <v>802</v>
      </c>
      <c r="L116" s="20" t="n">
        <v>-267</v>
      </c>
      <c r="M116" s="20" t="n">
        <v>-349</v>
      </c>
      <c r="N116" s="20" t="n">
        <v>265</v>
      </c>
      <c r="T116" s="20" t="n">
        <v>79</v>
      </c>
      <c r="U116" s="20" t="n">
        <v>-115</v>
      </c>
      <c r="V116" s="20" t="n">
        <v>79</v>
      </c>
      <c r="W116" s="20" t="n">
        <v>109</v>
      </c>
      <c r="X116" s="20" t="n">
        <v>-349</v>
      </c>
    </row>
    <row r="117">
      <c r="A117" s="18" t="inlineStr">
        <is>
          <t>영업외비용 합계</t>
        </is>
      </c>
      <c r="C117" s="20" t="n">
        <v>371</v>
      </c>
      <c r="D117" s="20" t="n">
        <v>413</v>
      </c>
      <c r="E117" s="20" t="n">
        <v>135</v>
      </c>
      <c r="F117" s="20" t="n">
        <v>431</v>
      </c>
      <c r="G117" s="20" t="n">
        <v>788</v>
      </c>
      <c r="H117" s="20" t="n">
        <v>339</v>
      </c>
      <c r="I117" s="20" t="n">
        <v>376</v>
      </c>
      <c r="J117" s="20" t="n">
        <v>1479</v>
      </c>
      <c r="K117" s="20" t="n">
        <v>668</v>
      </c>
      <c r="L117" s="20" t="n">
        <v>-51</v>
      </c>
      <c r="M117" s="20" t="n">
        <v>263</v>
      </c>
      <c r="N117" s="20" t="n">
        <v>560</v>
      </c>
      <c r="T117" s="20" t="n">
        <v>150</v>
      </c>
      <c r="U117" s="20" t="n">
        <v>407</v>
      </c>
      <c r="V117" s="20" t="n">
        <v>135</v>
      </c>
      <c r="W117" s="20" t="n">
        <v>376</v>
      </c>
      <c r="X117" s="20" t="n">
        <v>263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9" t="inlineStr">
        <is>
          <t>경상이익</t>
        </is>
      </c>
      <c r="C119" s="12" t="n">
        <v>4728</v>
      </c>
      <c r="D119" s="12" t="n">
        <v>6878</v>
      </c>
      <c r="E119" s="12" t="n">
        <v>6994</v>
      </c>
      <c r="F119" s="12" t="n">
        <v>12228</v>
      </c>
      <c r="G119" s="12" t="n">
        <v>6359</v>
      </c>
      <c r="H119" s="12" t="n">
        <v>8782</v>
      </c>
      <c r="I119" s="12" t="n">
        <v>5682</v>
      </c>
      <c r="J119" s="12" t="n">
        <v>11973</v>
      </c>
      <c r="K119" s="12" t="n">
        <v>7160</v>
      </c>
      <c r="L119" s="12" t="n">
        <v>10831</v>
      </c>
      <c r="M119" s="12" t="n">
        <v>10074</v>
      </c>
      <c r="N119" s="12" t="n">
        <v>18849</v>
      </c>
      <c r="T119" s="12" t="n">
        <v>10341</v>
      </c>
      <c r="U119" s="12" t="n">
        <v>306</v>
      </c>
      <c r="V119" s="12" t="n">
        <v>6994</v>
      </c>
      <c r="W119" s="12" t="n">
        <v>5682</v>
      </c>
      <c r="X119" s="12" t="n">
        <v>10074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18" t="inlineStr">
        <is>
          <t>고정자산 매각이익</t>
        </is>
      </c>
      <c r="C121" s="20" t="n">
        <v>2</v>
      </c>
      <c r="D121" s="20" t="n">
        <v>2</v>
      </c>
      <c r="E121" s="20" t="n">
        <v>0</v>
      </c>
      <c r="F121" s="20" t="n">
        <v>2</v>
      </c>
      <c r="G121" s="20" t="n">
        <v>4</v>
      </c>
      <c r="H121" s="20" t="n">
        <v>29</v>
      </c>
      <c r="I121" s="20" t="n">
        <v>2</v>
      </c>
      <c r="J121" s="20" t="n">
        <v>2</v>
      </c>
      <c r="K121" s="20" t="n">
        <v>2</v>
      </c>
      <c r="L121" s="20" t="n">
        <v>3</v>
      </c>
      <c r="M121" s="20" t="n">
        <v>699</v>
      </c>
      <c r="N121" s="20" t="n">
        <v>1</v>
      </c>
      <c r="T121" s="20" t="n">
        <v>4</v>
      </c>
      <c r="U121" s="20" t="n">
        <v>2</v>
      </c>
      <c r="V121" s="20" t="n">
        <v>0</v>
      </c>
      <c r="W121" s="20" t="n">
        <v>2</v>
      </c>
      <c r="X121" s="20" t="n">
        <v>699</v>
      </c>
    </row>
    <row r="122">
      <c r="A122" s="18" t="inlineStr">
        <is>
          <t>투자유가증권 매각이익</t>
        </is>
      </c>
      <c r="C122" s="20" t="n">
        <v>2783</v>
      </c>
      <c r="D122" s="20" t="n">
        <v>8244</v>
      </c>
      <c r="E122" s="20" t="n">
        <v>14470</v>
      </c>
      <c r="F122" s="20" t="n">
        <v>151</v>
      </c>
      <c r="G122" s="20" t="n">
        <v>13</v>
      </c>
      <c r="H122" s="20" t="n">
        <v>5188</v>
      </c>
      <c r="I122" s="20" t="n">
        <v>2942</v>
      </c>
      <c r="J122" s="20" t="n">
        <v>26</v>
      </c>
      <c r="K122" s="20" t="n">
        <v>16828</v>
      </c>
      <c r="L122" s="20" t="n">
        <v>0</v>
      </c>
      <c r="M122" s="20" t="n">
        <v>456</v>
      </c>
      <c r="N122" s="20" t="n">
        <v>0</v>
      </c>
      <c r="T122" s="20" t="n">
        <v>0</v>
      </c>
      <c r="U122" s="20" t="n">
        <v>3025</v>
      </c>
      <c r="V122" s="20" t="n">
        <v>14470</v>
      </c>
      <c r="W122" s="20" t="n">
        <v>2942</v>
      </c>
      <c r="X122" s="20" t="n">
        <v>456</v>
      </c>
    </row>
    <row r="123">
      <c r="A123" s="18" t="inlineStr">
        <is>
          <t>기타</t>
        </is>
      </c>
      <c r="H123" s="20" t="n">
        <v>0</v>
      </c>
      <c r="I123" s="20" t="n">
        <v>393</v>
      </c>
      <c r="L123" s="20" t="n">
        <v>-1</v>
      </c>
      <c r="M123" s="20" t="n">
        <v>1</v>
      </c>
      <c r="W123" s="20" t="n">
        <v>393</v>
      </c>
      <c r="X123" s="20" t="n">
        <v>1</v>
      </c>
    </row>
    <row r="124">
      <c r="A124" s="18" t="inlineStr">
        <is>
          <t>사업 양도 이익</t>
        </is>
      </c>
      <c r="J124" s="20" t="n">
        <v>0</v>
      </c>
      <c r="N124" s="20" t="n">
        <v>250</v>
      </c>
    </row>
    <row r="125">
      <c r="A125" s="18" t="inlineStr">
        <is>
          <t>특별이익 합계</t>
        </is>
      </c>
      <c r="C125" s="20" t="n">
        <v>2785</v>
      </c>
      <c r="D125" s="20" t="n">
        <v>8246</v>
      </c>
      <c r="E125" s="20" t="n">
        <v>14470</v>
      </c>
      <c r="F125" s="20" t="n">
        <v>153</v>
      </c>
      <c r="G125" s="20" t="n">
        <v>17</v>
      </c>
      <c r="H125" s="20" t="n">
        <v>5217</v>
      </c>
      <c r="I125" s="20" t="n">
        <v>3337</v>
      </c>
      <c r="J125" s="20" t="n">
        <v>29</v>
      </c>
      <c r="K125" s="20" t="n">
        <v>16842</v>
      </c>
      <c r="L125" s="20" t="n">
        <v>3</v>
      </c>
      <c r="M125" s="20" t="n">
        <v>1156</v>
      </c>
      <c r="N125" s="20" t="n">
        <v>251</v>
      </c>
      <c r="T125" s="20" t="n">
        <v>4</v>
      </c>
      <c r="U125" s="20" t="n">
        <v>3027</v>
      </c>
      <c r="V125" s="20" t="n">
        <v>14470</v>
      </c>
      <c r="W125" s="20" t="n">
        <v>3337</v>
      </c>
      <c r="X125" s="20" t="n">
        <v>1156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IF(OR(G125="",C125=""),"",IF(G125*C125&lt;=0,"",IFERROR(G125/C125-1,"")))</f>
        <v/>
      </c>
      <c r="H126" s="15">
        <f>IF(OR(H125="",D125=""),"",IF(H125*D125&lt;=0,"",IFERROR(H125/D125-1,"")))</f>
        <v/>
      </c>
      <c r="I126" s="15">
        <f>IF(OR(I125="",E125=""),"",IF(I125*E125&lt;=0,"",IFERROR(I125/E125-1,"")))</f>
        <v/>
      </c>
      <c r="J126" s="15">
        <f>IF(OR(J125="",F125=""),"",IF(J125*F125&lt;=0,"",IFERROR(J125/F125-1,"")))</f>
        <v/>
      </c>
      <c r="K126" s="15">
        <f>IF(OR(K125="",G125=""),"",IF(K125*G125&lt;=0,"",IFERROR(K125/G125-1,"")))</f>
        <v/>
      </c>
      <c r="L126" s="15">
        <f>IF(OR(L125="",H125=""),"",IF(L125*H125&lt;=0,"",IFERROR(L125/H125-1,"")))</f>
        <v/>
      </c>
      <c r="M126" s="15">
        <f>IF(OR(M125="",I125=""),"",IF(M125*I125&lt;=0,"",IFERROR(M125/I125-1,"")))</f>
        <v/>
      </c>
      <c r="N126" s="15">
        <f>IF(OR(N125="",J125=""),"",IF(N125*J125&lt;=0,"",IFERROR(N125/J125-1,"")))</f>
        <v/>
      </c>
      <c r="T126" s="15">
        <f>IF(OR(T125="",S125=""),"",IF(T125*S125&lt;=0,"",IFERROR(T125/S125-1,"")))</f>
        <v/>
      </c>
      <c r="U126" s="15">
        <f>IF(OR(U125="",T125=""),"",IF(U125*T125&lt;=0,"",IFERROR(U125/T125-1,"")))</f>
        <v/>
      </c>
      <c r="V126" s="15">
        <f>IF(OR(V125="",U125=""),"",IF(V125*U125&lt;=0,"",IFERROR(V125/U125-1,"")))</f>
        <v/>
      </c>
      <c r="W126" s="15">
        <f>IF(OR(W125="",V125=""),"",IF(W125*V125&lt;=0,"",IFERROR(W125/V125-1,"")))</f>
        <v/>
      </c>
      <c r="X126" s="15">
        <f>IF(OR(X125="",W125=""),"",IF(X125*W125&lt;=0,"",IFERROR(X125/W125-1,"")))</f>
        <v/>
      </c>
    </row>
    <row r="127">
      <c r="A127" s="18" t="inlineStr">
        <is>
          <t>고정자산 처분손실</t>
        </is>
      </c>
      <c r="C127" s="20" t="n">
        <v>124</v>
      </c>
      <c r="D127" s="20" t="n">
        <v>342</v>
      </c>
      <c r="E127" s="20" t="n">
        <v>180</v>
      </c>
      <c r="F127" s="20" t="n">
        <v>39</v>
      </c>
      <c r="G127" s="20" t="n">
        <v>58</v>
      </c>
      <c r="H127" s="20" t="n">
        <v>552</v>
      </c>
      <c r="I127" s="20" t="n">
        <v>191</v>
      </c>
      <c r="J127" s="20" t="n">
        <v>63</v>
      </c>
      <c r="K127" s="20" t="n">
        <v>218</v>
      </c>
      <c r="L127" s="20" t="n">
        <v>263</v>
      </c>
      <c r="M127" s="20" t="n">
        <v>551</v>
      </c>
      <c r="N127" s="20" t="n">
        <v>104</v>
      </c>
      <c r="T127" s="20" t="n">
        <v>368</v>
      </c>
      <c r="U127" s="20" t="n">
        <v>226</v>
      </c>
      <c r="V127" s="20" t="n">
        <v>180</v>
      </c>
      <c r="W127" s="20" t="n">
        <v>191</v>
      </c>
      <c r="X127" s="20" t="n">
        <v>551</v>
      </c>
    </row>
    <row r="128">
      <c r="A128" s="18" t="inlineStr">
        <is>
          <t>손상차손</t>
        </is>
      </c>
      <c r="C128" s="20" t="n">
        <v>356</v>
      </c>
      <c r="D128" s="20" t="n">
        <v>896</v>
      </c>
      <c r="E128" s="20" t="n">
        <v>975</v>
      </c>
      <c r="F128" s="20" t="n">
        <v>547</v>
      </c>
      <c r="G128" s="20" t="n">
        <v>934</v>
      </c>
      <c r="H128" s="20" t="n">
        <v>2395</v>
      </c>
      <c r="I128" s="20" t="n">
        <v>1932</v>
      </c>
      <c r="J128" s="20" t="n">
        <v>826</v>
      </c>
      <c r="K128" s="20" t="n">
        <v>297</v>
      </c>
      <c r="L128" s="20" t="n">
        <v>1610</v>
      </c>
      <c r="M128" s="20" t="n">
        <v>2063</v>
      </c>
      <c r="N128" s="20" t="n">
        <v>293</v>
      </c>
      <c r="T128" s="20" t="n">
        <v>2041</v>
      </c>
      <c r="U128" s="20" t="n">
        <v>13658</v>
      </c>
      <c r="V128" s="20" t="n">
        <v>975</v>
      </c>
      <c r="W128" s="20" t="n">
        <v>1932</v>
      </c>
      <c r="X128" s="20" t="n">
        <v>2063</v>
      </c>
    </row>
    <row r="129">
      <c r="A129" s="18" t="inlineStr">
        <is>
          <t>투자유가증권 평가손실</t>
        </is>
      </c>
      <c r="C129" s="20" t="n">
        <v>-2</v>
      </c>
      <c r="D129" s="20" t="n">
        <v>0</v>
      </c>
      <c r="E129" s="20" t="n">
        <v>2355</v>
      </c>
      <c r="F129" s="20" t="n">
        <v>708</v>
      </c>
      <c r="G129" s="20" t="n">
        <v>0</v>
      </c>
      <c r="H129" s="20" t="n">
        <v>236</v>
      </c>
      <c r="I129" s="20" t="n">
        <v>22</v>
      </c>
      <c r="J129" s="20" t="n">
        <v>0</v>
      </c>
      <c r="K129" s="20" t="n">
        <v>2141</v>
      </c>
      <c r="L129" s="20" t="n">
        <v>32</v>
      </c>
      <c r="M129" s="20" t="n">
        <v>115</v>
      </c>
      <c r="U129" s="20" t="n">
        <v>7</v>
      </c>
      <c r="V129" s="20" t="n">
        <v>2355</v>
      </c>
      <c r="W129" s="20" t="n">
        <v>22</v>
      </c>
      <c r="X129" s="20" t="n">
        <v>115</v>
      </c>
    </row>
    <row r="130">
      <c r="A130" s="18" t="inlineStr">
        <is>
          <t>기타</t>
        </is>
      </c>
      <c r="C130" s="20" t="n">
        <v>1</v>
      </c>
      <c r="D130" s="20" t="n">
        <v>156</v>
      </c>
      <c r="E130" s="20" t="n">
        <v>30</v>
      </c>
      <c r="F130" s="20" t="n">
        <v>82</v>
      </c>
      <c r="G130" s="20" t="n">
        <v>3</v>
      </c>
      <c r="H130" s="20" t="n">
        <v>104</v>
      </c>
      <c r="I130" s="20" t="n">
        <v>1058</v>
      </c>
      <c r="J130" s="20" t="n">
        <v>0</v>
      </c>
      <c r="K130" s="20" t="n">
        <v>0</v>
      </c>
      <c r="L130" s="20" t="n">
        <v>686</v>
      </c>
      <c r="M130" s="20" t="n">
        <v>-104</v>
      </c>
      <c r="N130" s="20" t="n">
        <v>5</v>
      </c>
      <c r="T130" s="20" t="n">
        <v>451</v>
      </c>
      <c r="U130" s="20" t="n">
        <v>116</v>
      </c>
      <c r="V130" s="20" t="n">
        <v>30</v>
      </c>
      <c r="W130" s="20" t="n">
        <v>1058</v>
      </c>
      <c r="X130" s="20" t="n">
        <v>-104</v>
      </c>
    </row>
    <row r="131">
      <c r="A131" s="18" t="inlineStr">
        <is>
          <t>특별손실 합계</t>
        </is>
      </c>
      <c r="C131" s="20" t="n">
        <v>478</v>
      </c>
      <c r="D131" s="20" t="n">
        <v>1395</v>
      </c>
      <c r="E131" s="20" t="n">
        <v>6330</v>
      </c>
      <c r="F131" s="20" t="n">
        <v>1375</v>
      </c>
      <c r="G131" s="20" t="n">
        <v>995</v>
      </c>
      <c r="H131" s="20" t="n">
        <v>3288</v>
      </c>
      <c r="I131" s="20" t="n">
        <v>3203</v>
      </c>
      <c r="J131" s="20" t="n">
        <v>889</v>
      </c>
      <c r="K131" s="20" t="n">
        <v>2656</v>
      </c>
      <c r="L131" s="20" t="n">
        <v>2590</v>
      </c>
      <c r="M131" s="20" t="n">
        <v>2627</v>
      </c>
      <c r="N131" s="20" t="n">
        <v>403</v>
      </c>
      <c r="T131" s="20" t="n">
        <v>2417</v>
      </c>
      <c r="U131" s="20" t="n">
        <v>14008</v>
      </c>
      <c r="V131" s="20" t="n">
        <v>6330</v>
      </c>
      <c r="W131" s="20" t="n">
        <v>3203</v>
      </c>
      <c r="X131" s="20" t="n">
        <v>2627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법인세차감전 순이익</t>
        </is>
      </c>
      <c r="C133" s="12" t="n">
        <v>7036</v>
      </c>
      <c r="D133" s="12" t="n">
        <v>13729</v>
      </c>
      <c r="E133" s="12" t="n">
        <v>15133</v>
      </c>
      <c r="F133" s="12" t="n">
        <v>11006</v>
      </c>
      <c r="G133" s="12" t="n">
        <v>5380</v>
      </c>
      <c r="H133" s="12" t="n">
        <v>10711</v>
      </c>
      <c r="I133" s="12" t="n">
        <v>5818</v>
      </c>
      <c r="J133" s="12" t="n">
        <v>11112</v>
      </c>
      <c r="K133" s="12" t="n">
        <v>21348</v>
      </c>
      <c r="L133" s="12" t="n">
        <v>8243</v>
      </c>
      <c r="M133" s="12" t="n">
        <v>8603</v>
      </c>
      <c r="N133" s="12" t="n">
        <v>18697</v>
      </c>
      <c r="T133" s="12" t="n">
        <v>7930</v>
      </c>
      <c r="U133" s="12" t="n">
        <v>-10675</v>
      </c>
      <c r="V133" s="12" t="n">
        <v>15133</v>
      </c>
      <c r="W133" s="12" t="n">
        <v>5818</v>
      </c>
      <c r="X133" s="12" t="n">
        <v>8603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법인세 등</t>
        </is>
      </c>
      <c r="C135" s="20" t="n">
        <v>2546</v>
      </c>
      <c r="D135" s="20" t="n">
        <v>3238</v>
      </c>
      <c r="E135" s="20" t="n">
        <v>4967</v>
      </c>
      <c r="F135" s="20" t="n">
        <v>2709</v>
      </c>
      <c r="G135" s="20" t="n">
        <v>1264</v>
      </c>
      <c r="H135" s="20" t="n">
        <v>2861</v>
      </c>
      <c r="I135" s="20" t="n">
        <v>-275</v>
      </c>
      <c r="J135" s="20" t="n">
        <v>3600</v>
      </c>
      <c r="K135" s="20" t="n">
        <v>6529</v>
      </c>
      <c r="L135" s="20" t="n">
        <v>2195</v>
      </c>
      <c r="M135" s="20" t="n">
        <v>667</v>
      </c>
      <c r="N135" s="20" t="n">
        <v>5956</v>
      </c>
      <c r="T135" s="20" t="n">
        <v>1833</v>
      </c>
      <c r="U135" s="20" t="n">
        <v>-2784</v>
      </c>
      <c r="V135" s="20" t="n">
        <v>4967</v>
      </c>
      <c r="W135" s="20" t="n">
        <v>-275</v>
      </c>
      <c r="X135" s="20" t="n">
        <v>667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IF(OR(G135="",C135=""),"",IF(G135*C135&lt;=0,"",IFERROR(G135/C135-1,"")))</f>
        <v/>
      </c>
      <c r="H136" s="15">
        <f>IF(OR(H135="",D135=""),"",IF(H135*D135&lt;=0,"",IFERROR(H135/D135-1,"")))</f>
        <v/>
      </c>
      <c r="I136" s="15">
        <f>IF(OR(I135="",E135=""),"",IF(I135*E135&lt;=0,"",IFERROR(I135/E135-1,"")))</f>
        <v/>
      </c>
      <c r="J136" s="15">
        <f>IF(OR(J135="",F135=""),"",IF(J135*F135&lt;=0,"",IFERROR(J135/F135-1,"")))</f>
        <v/>
      </c>
      <c r="K136" s="15">
        <f>IF(OR(K135="",G135=""),"",IF(K135*G135&lt;=0,"",IFERROR(K135/G135-1,"")))</f>
        <v/>
      </c>
      <c r="L136" s="15">
        <f>IF(OR(L135="",H135=""),"",IF(L135*H135&lt;=0,"",IFERROR(L135/H135-1,"")))</f>
        <v/>
      </c>
      <c r="M136" s="15">
        <f>IF(OR(M135="",I135=""),"",IF(M135*I135&lt;=0,"",IFERROR(M135/I135-1,"")))</f>
        <v/>
      </c>
      <c r="N136" s="15">
        <f>IF(OR(N135="",J135=""),"",IF(N135*J135&lt;=0,"",IFERROR(N135/J135-1,"")))</f>
        <v/>
      </c>
      <c r="T136" s="15">
        <f>IF(OR(T135="",S135=""),"",IF(T135*S135&lt;=0,"",IFERROR(T135/S135-1,"")))</f>
        <v/>
      </c>
      <c r="U136" s="15">
        <f>IF(OR(U135="",T135=""),"",IF(U135*T135&lt;=0,"",IFERROR(U135/T135-1,"")))</f>
        <v/>
      </c>
      <c r="V136" s="15">
        <f>IF(OR(V135="",U135=""),"",IF(V135*U135&lt;=0,"",IFERROR(V135/U135-1,"")))</f>
        <v/>
      </c>
      <c r="W136" s="15">
        <f>IF(OR(W135="",V135=""),"",IF(W135*V135&lt;=0,"",IFERROR(W135/V135-1,"")))</f>
        <v/>
      </c>
      <c r="X136" s="15">
        <f>IF(OR(X135="",W135=""),"",IF(X135*W135&lt;=0,"",IFERROR(X135/W135-1,"")))</f>
        <v/>
      </c>
    </row>
    <row r="137">
      <c r="A137" s="9" t="inlineStr">
        <is>
          <t>순이익</t>
        </is>
      </c>
      <c r="C137" s="12" t="n">
        <v>4490</v>
      </c>
      <c r="D137" s="12" t="n">
        <v>10491</v>
      </c>
      <c r="E137" s="12" t="n">
        <v>10166</v>
      </c>
      <c r="F137" s="12" t="n">
        <v>8297</v>
      </c>
      <c r="G137" s="12" t="n">
        <v>4116</v>
      </c>
      <c r="H137" s="12" t="n">
        <v>7850</v>
      </c>
      <c r="I137" s="12" t="n">
        <v>6092</v>
      </c>
      <c r="J137" s="12" t="n">
        <v>7512</v>
      </c>
      <c r="K137" s="12" t="n">
        <v>14819</v>
      </c>
      <c r="L137" s="12" t="n">
        <v>6047</v>
      </c>
      <c r="M137" s="12" t="n">
        <v>7937</v>
      </c>
      <c r="N137" s="12" t="n">
        <v>12742</v>
      </c>
      <c r="T137" s="12" t="n">
        <v>6097</v>
      </c>
      <c r="U137" s="12" t="n">
        <v>-7891</v>
      </c>
      <c r="V137" s="12" t="n">
        <v>10166</v>
      </c>
      <c r="W137" s="12" t="n">
        <v>6092</v>
      </c>
      <c r="X137" s="12" t="n">
        <v>7937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T138" s="15">
        <f>IF(OR(T137="",S137=""),"",IF(S137&lt;=0,"",IFERROR(T137/S137-1,"")))</f>
        <v/>
      </c>
      <c r="U138" s="15">
        <f>IF(OR(U137="",T137=""),"",IF(T137&lt;=0,"",IFERROR(U137/T137-1,"")))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9" t="inlineStr">
        <is>
          <t>비지배주주 순이익</t>
        </is>
      </c>
      <c r="C139" s="12" t="n">
        <v>-32</v>
      </c>
      <c r="D139" s="12" t="n">
        <v>-59</v>
      </c>
      <c r="E139" s="12" t="n">
        <v>-27</v>
      </c>
      <c r="F139" s="12" t="n">
        <v>108</v>
      </c>
      <c r="G139" s="12" t="n">
        <v>6</v>
      </c>
      <c r="H139" s="12" t="n">
        <v>18</v>
      </c>
      <c r="I139" s="12" t="n">
        <v>24</v>
      </c>
      <c r="J139" s="12" t="n">
        <v>6</v>
      </c>
      <c r="K139" s="12" t="n">
        <v>20</v>
      </c>
      <c r="L139" s="12" t="n">
        <v>28</v>
      </c>
      <c r="M139" s="12" t="n">
        <v>36</v>
      </c>
      <c r="N139" s="12" t="n">
        <v>30</v>
      </c>
      <c r="T139" s="12" t="n">
        <v>48</v>
      </c>
      <c r="U139" s="12" t="n">
        <v>-178</v>
      </c>
      <c r="V139" s="12" t="n">
        <v>-27</v>
      </c>
      <c r="W139" s="12" t="n">
        <v>24</v>
      </c>
      <c r="X139" s="12" t="n">
        <v>36</v>
      </c>
    </row>
    <row r="140">
      <c r="A140" s="9" t="inlineStr">
        <is>
          <t>지배주주 순이익</t>
        </is>
      </c>
      <c r="C140" s="12" t="n">
        <v>4523</v>
      </c>
      <c r="D140" s="12" t="n">
        <v>10549</v>
      </c>
      <c r="E140" s="12" t="n">
        <v>10193</v>
      </c>
      <c r="F140" s="12" t="n">
        <v>8190</v>
      </c>
      <c r="G140" s="12" t="n">
        <v>4110</v>
      </c>
      <c r="H140" s="12" t="n">
        <v>7831</v>
      </c>
      <c r="I140" s="12" t="n">
        <v>6068</v>
      </c>
      <c r="J140" s="12" t="n">
        <v>7506</v>
      </c>
      <c r="K140" s="12" t="n">
        <v>14799</v>
      </c>
      <c r="L140" s="12" t="n">
        <v>6020</v>
      </c>
      <c r="M140" s="12" t="n">
        <v>7901</v>
      </c>
      <c r="N140" s="12" t="n">
        <v>12711</v>
      </c>
      <c r="T140" s="12" t="n">
        <v>6049</v>
      </c>
      <c r="U140" s="12" t="n">
        <v>-7714</v>
      </c>
      <c r="V140" s="12" t="n">
        <v>10193</v>
      </c>
      <c r="W140" s="12" t="n">
        <v>6068</v>
      </c>
      <c r="X140" s="12" t="n">
        <v>7901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T141" s="15">
        <f>IF(OR(T140="",S140=""),"",IF(S140&lt;=0,"",IFERROR(T140/S140-1,"")))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3">
      <c r="A143" s="16" t="inlineStr">
        <is>
          <t>포괄손익 · 전 항목</t>
        </is>
      </c>
      <c r="B143" s="42" t="inlineStr">
        <is>
          <t>분기 = 3개월 단독</t>
        </is>
      </c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2024.2Q</t>
        </is>
      </c>
      <c r="D144" s="5" t="inlineStr">
        <is>
          <t>2024.3Q</t>
        </is>
      </c>
      <c r="E144" s="5" t="inlineStr">
        <is>
          <t>2024.4Q</t>
        </is>
      </c>
      <c r="F144" s="5" t="inlineStr">
        <is>
          <t>2025.1Q</t>
        </is>
      </c>
      <c r="G144" s="5" t="inlineStr">
        <is>
          <t>2025.2Q</t>
        </is>
      </c>
      <c r="H144" s="5" t="inlineStr">
        <is>
          <t>2025.3Q</t>
        </is>
      </c>
      <c r="I144" s="5" t="inlineStr">
        <is>
          <t>2025.4Q</t>
        </is>
      </c>
      <c r="J144" s="5" t="inlineStr">
        <is>
          <t>2026.1Q</t>
        </is>
      </c>
      <c r="K144" s="5" t="inlineStr">
        <is>
          <t>2026.2Q</t>
        </is>
      </c>
      <c r="L144" s="5" t="inlineStr">
        <is>
          <t>2026.3Q</t>
        </is>
      </c>
      <c r="M144" s="5" t="inlineStr">
        <is>
          <t>2026.4Q</t>
        </is>
      </c>
      <c r="N144" s="5" t="inlineStr">
        <is>
          <t>2027.1Q</t>
        </is>
      </c>
      <c r="O144" s="5" t="inlineStr">
        <is>
          <t>2017</t>
        </is>
      </c>
      <c r="P144" s="5" t="inlineStr">
        <is>
          <t>2018</t>
        </is>
      </c>
      <c r="Q144" s="5" t="inlineStr">
        <is>
          <t>2019</t>
        </is>
      </c>
      <c r="R144" s="5" t="inlineStr">
        <is>
          <t>2020</t>
        </is>
      </c>
      <c r="S144" s="5" t="inlineStr">
        <is>
          <t>2021</t>
        </is>
      </c>
      <c r="T144" s="5" t="inlineStr">
        <is>
          <t>2022</t>
        </is>
      </c>
      <c r="U144" s="5" t="inlineStr">
        <is>
          <t>2023</t>
        </is>
      </c>
      <c r="V144" s="5" t="inlineStr">
        <is>
          <t>2024</t>
        </is>
      </c>
      <c r="W144" s="5" t="inlineStr">
        <is>
          <t>2025</t>
        </is>
      </c>
      <c r="X144" s="5" t="inlineStr">
        <is>
          <t>2026</t>
        </is>
      </c>
      <c r="Y144" s="5" t="inlineStr">
        <is>
          <t>2027(MW)</t>
        </is>
      </c>
      <c r="Z144" s="5" t="inlineStr">
        <is>
          <t>2028(MW)</t>
        </is>
      </c>
      <c r="AA144" s="5" t="inlineStr">
        <is>
          <t>2029(MW)</t>
        </is>
      </c>
      <c r="AB144" s="5" t="inlineStr">
        <is>
          <t>2030(MW)</t>
        </is>
      </c>
      <c r="AC144" s="5" t="inlineStr">
        <is>
          <t>2031(MW)</t>
        </is>
      </c>
    </row>
    <row r="145">
      <c r="A145" s="9" t="inlineStr">
        <is>
          <t>순이익</t>
        </is>
      </c>
      <c r="C145" s="12" t="n">
        <v>4490</v>
      </c>
      <c r="D145" s="12" t="n">
        <v>10491</v>
      </c>
      <c r="E145" s="12" t="n">
        <v>10166</v>
      </c>
      <c r="F145" s="12" t="n">
        <v>8297</v>
      </c>
      <c r="G145" s="12" t="n">
        <v>4116</v>
      </c>
      <c r="H145" s="12" t="n">
        <v>7850</v>
      </c>
      <c r="I145" s="12" t="n">
        <v>6092</v>
      </c>
      <c r="J145" s="12" t="n">
        <v>7512</v>
      </c>
      <c r="K145" s="12" t="n">
        <v>14819</v>
      </c>
      <c r="L145" s="12" t="n">
        <v>6047</v>
      </c>
      <c r="M145" s="12" t="n">
        <v>7937</v>
      </c>
      <c r="N145" s="12" t="n">
        <v>12742</v>
      </c>
      <c r="T145" s="12" t="n">
        <v>6097</v>
      </c>
      <c r="U145" s="12" t="n">
        <v>-7891</v>
      </c>
      <c r="V145" s="12" t="n">
        <v>10166</v>
      </c>
      <c r="W145" s="12" t="n">
        <v>6092</v>
      </c>
      <c r="X145" s="12" t="n">
        <v>7937</v>
      </c>
    </row>
    <row r="146">
      <c r="A146" s="18" t="inlineStr">
        <is>
          <t>기타유가증권 평가차액</t>
        </is>
      </c>
      <c r="C146" s="20" t="n">
        <v>-1547</v>
      </c>
      <c r="D146" s="20" t="n">
        <v>-5041</v>
      </c>
      <c r="E146" s="20" t="n">
        <v>-1264</v>
      </c>
      <c r="F146" s="20" t="n">
        <v>-827</v>
      </c>
      <c r="G146" s="20" t="n">
        <v>-2937</v>
      </c>
      <c r="H146" s="20" t="n">
        <v>-1483</v>
      </c>
      <c r="I146" s="20" t="n">
        <v>-3440</v>
      </c>
      <c r="J146" s="20" t="n">
        <v>2064</v>
      </c>
      <c r="K146" s="20" t="n">
        <v>-3824</v>
      </c>
      <c r="L146" s="20" t="n">
        <v>4036</v>
      </c>
      <c r="M146" s="20" t="n">
        <v>2029</v>
      </c>
      <c r="N146" s="20" t="n">
        <v>11233</v>
      </c>
      <c r="T146" s="20" t="n">
        <v>-2105</v>
      </c>
      <c r="U146" s="20" t="n">
        <v>7695</v>
      </c>
      <c r="V146" s="20" t="n">
        <v>-1264</v>
      </c>
      <c r="W146" s="20" t="n">
        <v>-3440</v>
      </c>
      <c r="X146" s="20" t="n">
        <v>2029</v>
      </c>
    </row>
    <row r="147">
      <c r="A147" s="18" t="inlineStr">
        <is>
          <t>이연헤지손익</t>
        </is>
      </c>
      <c r="C147" s="20" t="n">
        <v>-3</v>
      </c>
      <c r="D147" s="20" t="n">
        <v>-11</v>
      </c>
      <c r="E147" s="20" t="n">
        <v>9</v>
      </c>
      <c r="F147" s="20" t="n">
        <v>5</v>
      </c>
      <c r="G147" s="20" t="n">
        <v>-26</v>
      </c>
      <c r="H147" s="20" t="n">
        <v>21</v>
      </c>
      <c r="I147" s="20" t="n">
        <v>-11</v>
      </c>
      <c r="J147" s="20" t="n">
        <v>2</v>
      </c>
      <c r="K147" s="20" t="n">
        <v>3</v>
      </c>
      <c r="L147" s="20" t="n">
        <v>1</v>
      </c>
      <c r="M147" s="20" t="n">
        <v>2</v>
      </c>
      <c r="N147" s="20" t="n">
        <v>0</v>
      </c>
      <c r="T147" s="20" t="n">
        <v>2</v>
      </c>
      <c r="U147" s="20" t="n">
        <v>4</v>
      </c>
      <c r="V147" s="20" t="n">
        <v>9</v>
      </c>
      <c r="W147" s="20" t="n">
        <v>-11</v>
      </c>
      <c r="X147" s="20" t="n">
        <v>2</v>
      </c>
    </row>
    <row r="148">
      <c r="A148" s="18" t="inlineStr">
        <is>
          <t>해외사업환산조정</t>
        </is>
      </c>
      <c r="C148" s="20" t="n">
        <v>5238</v>
      </c>
      <c r="D148" s="20" t="n">
        <v>1804</v>
      </c>
      <c r="E148" s="20" t="n">
        <v>-2767</v>
      </c>
      <c r="F148" s="20" t="n">
        <v>4086</v>
      </c>
      <c r="G148" s="20" t="n">
        <v>4891</v>
      </c>
      <c r="H148" s="20" t="n">
        <v>-7740</v>
      </c>
      <c r="I148" s="20" t="n">
        <v>6674</v>
      </c>
      <c r="J148" s="20" t="n">
        <v>-4337</v>
      </c>
      <c r="K148" s="20" t="n">
        <v>-1150</v>
      </c>
      <c r="L148" s="20" t="n">
        <v>2569</v>
      </c>
      <c r="M148" s="20" t="n">
        <v>5013</v>
      </c>
      <c r="N148" s="20" t="n">
        <v>1348</v>
      </c>
      <c r="T148" s="20" t="n">
        <v>1485</v>
      </c>
      <c r="U148" s="20" t="n">
        <v>-4422</v>
      </c>
      <c r="V148" s="20" t="n">
        <v>-2767</v>
      </c>
      <c r="W148" s="20" t="n">
        <v>6674</v>
      </c>
      <c r="X148" s="20" t="n">
        <v>5013</v>
      </c>
    </row>
    <row r="149">
      <c r="A149" s="18" t="inlineStr">
        <is>
          <t>퇴직급여 조정액</t>
        </is>
      </c>
      <c r="C149" s="20" t="n">
        <v>65</v>
      </c>
      <c r="D149" s="20" t="n">
        <v>37</v>
      </c>
      <c r="E149" s="20" t="n">
        <v>-381</v>
      </c>
      <c r="F149" s="20" t="n">
        <v>39</v>
      </c>
      <c r="G149" s="20" t="n">
        <v>37</v>
      </c>
      <c r="H149" s="20" t="n">
        <v>-17</v>
      </c>
      <c r="I149" s="20" t="n">
        <v>160</v>
      </c>
      <c r="J149" s="20" t="n">
        <v>-14</v>
      </c>
      <c r="K149" s="20" t="n">
        <v>-5</v>
      </c>
      <c r="L149" s="20" t="n">
        <v>14</v>
      </c>
      <c r="M149" s="20" t="n">
        <v>549</v>
      </c>
      <c r="N149" s="20" t="n">
        <v>-9</v>
      </c>
      <c r="T149" s="20" t="n">
        <v>140</v>
      </c>
      <c r="U149" s="20" t="n">
        <v>628</v>
      </c>
      <c r="V149" s="20" t="n">
        <v>-381</v>
      </c>
      <c r="W149" s="20" t="n">
        <v>160</v>
      </c>
      <c r="X149" s="20" t="n">
        <v>549</v>
      </c>
    </row>
    <row r="150">
      <c r="A150" s="18" t="inlineStr">
        <is>
          <t>지분법 적용회사 지분 해당액</t>
        </is>
      </c>
      <c r="C150" s="20" t="n">
        <v>100</v>
      </c>
      <c r="D150" s="20" t="n">
        <v>21</v>
      </c>
      <c r="E150" s="20" t="n">
        <v>26</v>
      </c>
      <c r="F150" s="20" t="n">
        <v>20</v>
      </c>
      <c r="G150" s="20" t="n">
        <v>137</v>
      </c>
      <c r="H150" s="20" t="n">
        <v>35</v>
      </c>
      <c r="I150" s="20" t="n">
        <v>163</v>
      </c>
      <c r="J150" s="20" t="n">
        <v>-165</v>
      </c>
      <c r="K150" s="20" t="n">
        <v>14</v>
      </c>
      <c r="L150" s="20" t="n">
        <v>132</v>
      </c>
      <c r="M150" s="20" t="n">
        <v>228</v>
      </c>
      <c r="N150" s="20" t="n">
        <v>-49</v>
      </c>
      <c r="T150" s="20" t="n">
        <v>84</v>
      </c>
      <c r="U150" s="20" t="n">
        <v>-31</v>
      </c>
      <c r="V150" s="20" t="n">
        <v>26</v>
      </c>
      <c r="W150" s="20" t="n">
        <v>163</v>
      </c>
      <c r="X150" s="20" t="n">
        <v>228</v>
      </c>
    </row>
    <row r="151">
      <c r="A151" s="18" t="inlineStr">
        <is>
          <t>기타포괄손익 합계</t>
        </is>
      </c>
      <c r="C151" s="20" t="n">
        <v>3853</v>
      </c>
      <c r="D151" s="20" t="n">
        <v>-3190</v>
      </c>
      <c r="E151" s="20" t="n">
        <v>-4376</v>
      </c>
      <c r="F151" s="20" t="n">
        <v>3323</v>
      </c>
      <c r="G151" s="20" t="n">
        <v>2102</v>
      </c>
      <c r="H151" s="20" t="n">
        <v>-9183</v>
      </c>
      <c r="I151" s="20" t="n">
        <v>3544</v>
      </c>
      <c r="J151" s="20" t="n">
        <v>-2449</v>
      </c>
      <c r="K151" s="20" t="n">
        <v>-4963</v>
      </c>
      <c r="L151" s="20" t="n">
        <v>6752</v>
      </c>
      <c r="M151" s="20" t="n">
        <v>7820</v>
      </c>
      <c r="N151" s="20" t="n">
        <v>12525</v>
      </c>
      <c r="T151" s="20" t="n">
        <v>-394</v>
      </c>
      <c r="U151" s="20" t="n">
        <v>3872</v>
      </c>
      <c r="V151" s="20" t="n">
        <v>-4376</v>
      </c>
      <c r="W151" s="20" t="n">
        <v>3544</v>
      </c>
      <c r="X151" s="20" t="n">
        <v>7820</v>
      </c>
    </row>
    <row r="152">
      <c r="A152" s="9" t="inlineStr">
        <is>
          <t>포괄이익</t>
        </is>
      </c>
      <c r="C152" s="12" t="n">
        <v>8343</v>
      </c>
      <c r="D152" s="12" t="n">
        <v>7300</v>
      </c>
      <c r="E152" s="12" t="n">
        <v>5792</v>
      </c>
      <c r="F152" s="12" t="n">
        <v>11620</v>
      </c>
      <c r="G152" s="12" t="n">
        <v>6218</v>
      </c>
      <c r="H152" s="12" t="n">
        <v>-1333</v>
      </c>
      <c r="I152" s="12" t="n">
        <v>9637</v>
      </c>
      <c r="J152" s="12" t="n">
        <v>5063</v>
      </c>
      <c r="K152" s="12" t="n">
        <v>9855</v>
      </c>
      <c r="L152" s="12" t="n">
        <v>12801</v>
      </c>
      <c r="M152" s="12" t="n">
        <v>15757</v>
      </c>
      <c r="N152" s="12" t="n">
        <v>25266</v>
      </c>
      <c r="T152" s="12" t="n">
        <v>5702</v>
      </c>
      <c r="U152" s="12" t="n">
        <v>-4019</v>
      </c>
      <c r="V152" s="12" t="n">
        <v>5792</v>
      </c>
      <c r="W152" s="12" t="n">
        <v>9637</v>
      </c>
      <c r="X152" s="12" t="n">
        <v>15757</v>
      </c>
    </row>
    <row r="153">
      <c r="A153" s="9" t="inlineStr">
        <is>
          <t>지배주주 포괄이익</t>
        </is>
      </c>
      <c r="C153" s="12" t="n">
        <v>8280</v>
      </c>
      <c r="D153" s="12" t="n">
        <v>7332</v>
      </c>
      <c r="E153" s="12" t="n">
        <v>5813</v>
      </c>
      <c r="F153" s="12" t="n">
        <v>11485</v>
      </c>
      <c r="G153" s="12" t="n">
        <v>6178</v>
      </c>
      <c r="H153" s="12" t="n">
        <v>-1305</v>
      </c>
      <c r="I153" s="12" t="n">
        <v>9593</v>
      </c>
      <c r="J153" s="12" t="n">
        <v>5094</v>
      </c>
      <c r="K153" s="12" t="n">
        <v>9834</v>
      </c>
      <c r="L153" s="12" t="n">
        <v>12759</v>
      </c>
      <c r="M153" s="12" t="n">
        <v>15681</v>
      </c>
      <c r="N153" s="12" t="n">
        <v>25232</v>
      </c>
      <c r="T153" s="12" t="n">
        <v>5548</v>
      </c>
      <c r="U153" s="12" t="n">
        <v>-3809</v>
      </c>
      <c r="V153" s="12" t="n">
        <v>5813</v>
      </c>
      <c r="W153" s="12" t="n">
        <v>9593</v>
      </c>
      <c r="X153" s="12" t="n">
        <v>15681</v>
      </c>
    </row>
    <row r="154">
      <c r="A154" s="9" t="inlineStr">
        <is>
          <t>비지배주주 포괄이익</t>
        </is>
      </c>
      <c r="C154" s="12" t="n">
        <v>63</v>
      </c>
      <c r="D154" s="12" t="n">
        <v>-31</v>
      </c>
      <c r="E154" s="12" t="n">
        <v>-22</v>
      </c>
      <c r="F154" s="12" t="n">
        <v>135</v>
      </c>
      <c r="G154" s="12" t="n">
        <v>40</v>
      </c>
      <c r="H154" s="12" t="n">
        <v>-29</v>
      </c>
      <c r="I154" s="12" t="n">
        <v>44</v>
      </c>
      <c r="J154" s="12" t="n">
        <v>-31</v>
      </c>
      <c r="K154" s="12" t="n">
        <v>22</v>
      </c>
      <c r="L154" s="12" t="n">
        <v>41</v>
      </c>
      <c r="M154" s="12" t="n">
        <v>75</v>
      </c>
      <c r="N154" s="12" t="n">
        <v>34</v>
      </c>
      <c r="T154" s="12" t="n">
        <v>155</v>
      </c>
      <c r="U154" s="12" t="n">
        <v>-211</v>
      </c>
      <c r="V154" s="12" t="n">
        <v>-22</v>
      </c>
      <c r="W154" s="12" t="n">
        <v>44</v>
      </c>
      <c r="X154" s="12" t="n">
        <v>75</v>
      </c>
    </row>
    <row r="156">
      <c r="A156" s="16" t="inlineStr">
        <is>
          <t>부문 · 전 항목</t>
        </is>
      </c>
      <c r="B156" s="42" t="inlineStr">
        <is>
          <t>부문 · 항목</t>
        </is>
      </c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</row>
    <row r="157">
      <c r="A157" s="5" t="inlineStr">
        <is>
          <t>항목</t>
        </is>
      </c>
      <c r="B157" s="5" t="inlineStr">
        <is>
          <t>참고</t>
        </is>
      </c>
      <c r="C157" s="5" t="inlineStr">
        <is>
          <t>2024.2Q</t>
        </is>
      </c>
      <c r="D157" s="5" t="inlineStr">
        <is>
          <t>2024.3Q</t>
        </is>
      </c>
      <c r="E157" s="5" t="inlineStr">
        <is>
          <t>2024.4Q</t>
        </is>
      </c>
      <c r="F157" s="5" t="inlineStr">
        <is>
          <t>2025.1Q</t>
        </is>
      </c>
      <c r="G157" s="5" t="inlineStr">
        <is>
          <t>2025.2Q</t>
        </is>
      </c>
      <c r="H157" s="5" t="inlineStr">
        <is>
          <t>2025.3Q</t>
        </is>
      </c>
      <c r="I157" s="5" t="inlineStr">
        <is>
          <t>2025.4Q</t>
        </is>
      </c>
      <c r="J157" s="5" t="inlineStr">
        <is>
          <t>2026.1Q</t>
        </is>
      </c>
      <c r="K157" s="5" t="inlineStr">
        <is>
          <t>2026.2Q</t>
        </is>
      </c>
      <c r="L157" s="5" t="inlineStr">
        <is>
          <t>2026.3Q</t>
        </is>
      </c>
      <c r="M157" s="5" t="inlineStr">
        <is>
          <t>2026.4Q</t>
        </is>
      </c>
      <c r="N157" s="5" t="inlineStr">
        <is>
          <t>2027.1Q</t>
        </is>
      </c>
      <c r="O157" s="5" t="inlineStr">
        <is>
          <t>2017</t>
        </is>
      </c>
      <c r="P157" s="5" t="inlineStr">
        <is>
          <t>2018</t>
        </is>
      </c>
      <c r="Q157" s="5" t="inlineStr">
        <is>
          <t>2019</t>
        </is>
      </c>
      <c r="R157" s="5" t="inlineStr">
        <is>
          <t>2020</t>
        </is>
      </c>
      <c r="S157" s="5" t="inlineStr">
        <is>
          <t>2021</t>
        </is>
      </c>
      <c r="T157" s="5" t="inlineStr">
        <is>
          <t>2022</t>
        </is>
      </c>
      <c r="U157" s="5" t="inlineStr">
        <is>
          <t>2023</t>
        </is>
      </c>
      <c r="V157" s="5" t="inlineStr">
        <is>
          <t>2024</t>
        </is>
      </c>
      <c r="W157" s="5" t="inlineStr">
        <is>
          <t>2025</t>
        </is>
      </c>
      <c r="X157" s="5" t="inlineStr">
        <is>
          <t>2026</t>
        </is>
      </c>
      <c r="Y157" s="5" t="inlineStr">
        <is>
          <t>2027(MW)</t>
        </is>
      </c>
      <c r="Z157" s="5" t="inlineStr">
        <is>
          <t>2028(MW)</t>
        </is>
      </c>
      <c r="AA157" s="5" t="inlineStr">
        <is>
          <t>2029(MW)</t>
        </is>
      </c>
      <c r="AB157" s="5" t="inlineStr">
        <is>
          <t>2030(MW)</t>
        </is>
      </c>
      <c r="AC157" s="5" t="inlineStr">
        <is>
          <t>2031(MW)</t>
        </is>
      </c>
    </row>
    <row r="158">
      <c r="A158" s="18" t="inlineStr">
        <is>
          <t>부문 · 외부 고객 매출</t>
        </is>
      </c>
      <c r="C158" s="20" t="n">
        <v>51413</v>
      </c>
      <c r="D158" s="20" t="n">
        <v>53781</v>
      </c>
      <c r="E158" s="20" t="n">
        <v>54619</v>
      </c>
      <c r="F158" s="20" t="n">
        <v>59245</v>
      </c>
      <c r="G158" s="20" t="n">
        <v>59287</v>
      </c>
      <c r="H158" s="20" t="n">
        <v>56737</v>
      </c>
      <c r="I158" s="20" t="n">
        <v>57200</v>
      </c>
      <c r="J158" s="20" t="n">
        <v>57748</v>
      </c>
      <c r="K158" s="20" t="n">
        <v>54099</v>
      </c>
      <c r="L158" s="20" t="n">
        <v>54852</v>
      </c>
      <c r="M158" s="20" t="n">
        <v>55057</v>
      </c>
      <c r="N158" s="20" t="n">
        <v>57518</v>
      </c>
      <c r="V158" s="20" t="n">
        <v>54619</v>
      </c>
      <c r="W158" s="20" t="n">
        <v>57200</v>
      </c>
      <c r="X158" s="20" t="n">
        <v>55057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부문 · 외부 고객 매출</t>
        </is>
      </c>
      <c r="C160" s="20" t="n">
        <v>26205</v>
      </c>
      <c r="D160" s="20" t="n">
        <v>27652</v>
      </c>
      <c r="E160" s="20" t="n">
        <v>28290</v>
      </c>
      <c r="F160" s="20" t="n">
        <v>30303</v>
      </c>
      <c r="G160" s="20" t="n">
        <v>31230</v>
      </c>
      <c r="H160" s="20" t="n">
        <v>28541</v>
      </c>
      <c r="I160" s="20" t="n">
        <v>31477</v>
      </c>
      <c r="J160" s="20" t="n">
        <v>29279</v>
      </c>
      <c r="K160" s="20" t="n">
        <v>32995</v>
      </c>
      <c r="L160" s="20" t="n">
        <v>31532</v>
      </c>
      <c r="M160" s="20" t="n">
        <v>30357</v>
      </c>
      <c r="N160" s="20" t="n">
        <v>33832</v>
      </c>
      <c r="V160" s="20" t="n">
        <v>28290</v>
      </c>
      <c r="W160" s="20" t="n">
        <v>31477</v>
      </c>
      <c r="X160" s="20" t="n">
        <v>30357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보고부문 합계 · 외부 고객 매출</t>
        </is>
      </c>
      <c r="C162" s="20" t="n">
        <v>77618</v>
      </c>
      <c r="D162" s="20" t="n">
        <v>81433</v>
      </c>
      <c r="E162" s="20" t="n">
        <v>82909</v>
      </c>
      <c r="F162" s="20" t="n">
        <v>89548</v>
      </c>
      <c r="G162" s="20" t="n">
        <v>90517</v>
      </c>
      <c r="H162" s="20" t="n">
        <v>85278</v>
      </c>
      <c r="I162" s="20" t="n">
        <v>88677</v>
      </c>
      <c r="J162" s="20" t="n">
        <v>87027</v>
      </c>
      <c r="K162" s="20" t="n">
        <v>87093</v>
      </c>
      <c r="L162" s="20" t="n">
        <v>86384</v>
      </c>
      <c r="M162" s="20" t="n">
        <v>85415</v>
      </c>
      <c r="N162" s="20" t="n">
        <v>91349</v>
      </c>
      <c r="V162" s="20" t="n">
        <v>82909</v>
      </c>
      <c r="W162" s="20" t="n">
        <v>88677</v>
      </c>
      <c r="X162" s="20" t="n">
        <v>85415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기타 · 외부 고객 매출</t>
        </is>
      </c>
      <c r="C164" s="20" t="n">
        <v>15897</v>
      </c>
      <c r="D164" s="20" t="n">
        <v>16930</v>
      </c>
      <c r="E164" s="20" t="n">
        <v>15565</v>
      </c>
      <c r="F164" s="20" t="n">
        <v>16557</v>
      </c>
      <c r="G164" s="20" t="n">
        <v>16728</v>
      </c>
      <c r="H164" s="20" t="n">
        <v>16805</v>
      </c>
      <c r="I164" s="20" t="n">
        <v>16537</v>
      </c>
      <c r="J164" s="20" t="n">
        <v>16056</v>
      </c>
      <c r="K164" s="20" t="n">
        <v>16295</v>
      </c>
      <c r="L164" s="20" t="n">
        <v>16857</v>
      </c>
      <c r="M164" s="20" t="n">
        <v>16839</v>
      </c>
      <c r="N164" s="20" t="n">
        <v>18117</v>
      </c>
      <c r="V164" s="20" t="n">
        <v>15565</v>
      </c>
      <c r="W164" s="20" t="n">
        <v>16537</v>
      </c>
      <c r="X164" s="20" t="n">
        <v>16839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합계 · 외부 고객 매출</t>
        </is>
      </c>
      <c r="C166" s="20" t="n">
        <v>93515</v>
      </c>
      <c r="D166" s="20" t="n">
        <v>98364</v>
      </c>
      <c r="E166" s="20" t="n">
        <v>98473</v>
      </c>
      <c r="F166" s="20" t="n">
        <v>106105</v>
      </c>
      <c r="G166" s="20" t="n">
        <v>107245</v>
      </c>
      <c r="H166" s="20" t="n">
        <v>102083</v>
      </c>
      <c r="I166" s="20" t="n">
        <v>105214</v>
      </c>
      <c r="J166" s="20" t="n">
        <v>103083</v>
      </c>
      <c r="K166" s="20" t="n">
        <v>103388</v>
      </c>
      <c r="L166" s="20" t="n">
        <v>103241</v>
      </c>
      <c r="M166" s="20" t="n">
        <v>102254</v>
      </c>
      <c r="N166" s="20" t="n">
        <v>109466</v>
      </c>
      <c r="V166" s="20" t="n">
        <v>98473</v>
      </c>
      <c r="W166" s="20" t="n">
        <v>105214</v>
      </c>
      <c r="X166" s="20" t="n">
        <v>102254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조정액 · 외부 고객 매출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9" t="inlineStr">
        <is>
          <t>외부 고객 매출</t>
        </is>
      </c>
      <c r="C169" s="12" t="n">
        <v>93515</v>
      </c>
      <c r="D169" s="12" t="n">
        <v>98364</v>
      </c>
      <c r="E169" s="12" t="n">
        <v>98473</v>
      </c>
      <c r="F169" s="12" t="n">
        <v>106105</v>
      </c>
      <c r="G169" s="12" t="n">
        <v>107245</v>
      </c>
      <c r="H169" s="12" t="n">
        <v>102083</v>
      </c>
      <c r="I169" s="12" t="n">
        <v>105214</v>
      </c>
      <c r="J169" s="12" t="n">
        <v>103083</v>
      </c>
      <c r="K169" s="12" t="n">
        <v>103388</v>
      </c>
      <c r="L169" s="12" t="n">
        <v>103241</v>
      </c>
      <c r="M169" s="12" t="n">
        <v>102254</v>
      </c>
      <c r="N169" s="12" t="n">
        <v>109466</v>
      </c>
      <c r="V169" s="12" t="n">
        <v>98473</v>
      </c>
      <c r="W169" s="12" t="n">
        <v>105214</v>
      </c>
      <c r="X169" s="12" t="n">
        <v>102254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부문 · 부문 간 내부매출·대체</t>
        </is>
      </c>
      <c r="C171" s="20" t="n">
        <v>1099</v>
      </c>
      <c r="D171" s="20" t="n">
        <v>1170</v>
      </c>
      <c r="E171" s="20" t="n">
        <v>985</v>
      </c>
      <c r="F171" s="20" t="n">
        <v>1002</v>
      </c>
      <c r="G171" s="20" t="n">
        <v>1117</v>
      </c>
      <c r="H171" s="20" t="n">
        <v>1069</v>
      </c>
      <c r="I171" s="20" t="n">
        <v>902</v>
      </c>
      <c r="J171" s="20" t="n">
        <v>321</v>
      </c>
      <c r="K171" s="20" t="n">
        <v>378</v>
      </c>
      <c r="L171" s="20" t="n">
        <v>581</v>
      </c>
      <c r="M171" s="20" t="n">
        <v>644</v>
      </c>
      <c r="N171" s="20" t="n">
        <v>643</v>
      </c>
      <c r="V171" s="20" t="n">
        <v>985</v>
      </c>
      <c r="W171" s="20" t="n">
        <v>902</v>
      </c>
      <c r="X171" s="20" t="n">
        <v>644</v>
      </c>
    </row>
    <row r="172">
      <c r="A172" s="18" t="inlineStr">
        <is>
          <t>부문 · 부문 간 내부매출·대체</t>
        </is>
      </c>
      <c r="C172" s="20" t="n">
        <v>7</v>
      </c>
      <c r="D172" s="20" t="n">
        <v>13</v>
      </c>
      <c r="E172" s="20" t="n">
        <v>11</v>
      </c>
      <c r="F172" s="20" t="n">
        <v>19</v>
      </c>
      <c r="G172" s="20" t="n">
        <v>14</v>
      </c>
      <c r="H172" s="20" t="n">
        <v>18</v>
      </c>
      <c r="I172" s="20" t="n">
        <v>15</v>
      </c>
      <c r="J172" s="20" t="n">
        <v>17</v>
      </c>
      <c r="K172" s="20" t="n">
        <v>14</v>
      </c>
      <c r="L172" s="20" t="n">
        <v>15</v>
      </c>
      <c r="M172" s="20" t="n">
        <v>7</v>
      </c>
      <c r="N172" s="20" t="n">
        <v>8</v>
      </c>
      <c r="V172" s="20" t="n">
        <v>11</v>
      </c>
      <c r="W172" s="20" t="n">
        <v>15</v>
      </c>
      <c r="X172" s="20" t="n">
        <v>7</v>
      </c>
    </row>
    <row r="173">
      <c r="A173" s="18" t="inlineStr">
        <is>
          <t>보고부문 합계 · 부문 간 내부매출·대체</t>
        </is>
      </c>
      <c r="C173" s="20" t="n">
        <v>1107</v>
      </c>
      <c r="D173" s="20" t="n">
        <v>1182</v>
      </c>
      <c r="E173" s="20" t="n">
        <v>996</v>
      </c>
      <c r="F173" s="20" t="n">
        <v>1021</v>
      </c>
      <c r="G173" s="20" t="n">
        <v>1130</v>
      </c>
      <c r="H173" s="20" t="n">
        <v>1088</v>
      </c>
      <c r="I173" s="20" t="n">
        <v>917</v>
      </c>
      <c r="J173" s="20" t="n">
        <v>338</v>
      </c>
      <c r="K173" s="20" t="n">
        <v>392</v>
      </c>
      <c r="L173" s="20" t="n">
        <v>596</v>
      </c>
      <c r="M173" s="20" t="n">
        <v>651</v>
      </c>
      <c r="N173" s="20" t="n">
        <v>651</v>
      </c>
      <c r="V173" s="20" t="n">
        <v>996</v>
      </c>
      <c r="W173" s="20" t="n">
        <v>917</v>
      </c>
      <c r="X173" s="20" t="n">
        <v>651</v>
      </c>
    </row>
    <row r="174">
      <c r="A174" s="18" t="inlineStr">
        <is>
          <t>기타 · 부문 간 내부매출·대체</t>
        </is>
      </c>
      <c r="C174" s="20" t="n">
        <v>192</v>
      </c>
      <c r="D174" s="20" t="n">
        <v>192</v>
      </c>
      <c r="E174" s="20" t="n">
        <v>189</v>
      </c>
      <c r="F174" s="20" t="n">
        <v>225</v>
      </c>
      <c r="G174" s="20" t="n">
        <v>250</v>
      </c>
      <c r="H174" s="20" t="n">
        <v>179</v>
      </c>
      <c r="I174" s="20" t="n">
        <v>334</v>
      </c>
      <c r="J174" s="20" t="n">
        <v>322</v>
      </c>
      <c r="K174" s="20" t="n">
        <v>265</v>
      </c>
      <c r="L174" s="20" t="n">
        <v>347</v>
      </c>
      <c r="M174" s="20" t="n">
        <v>375</v>
      </c>
      <c r="N174" s="20" t="n">
        <v>379</v>
      </c>
      <c r="V174" s="20" t="n">
        <v>189</v>
      </c>
      <c r="W174" s="20" t="n">
        <v>334</v>
      </c>
      <c r="X174" s="20" t="n">
        <v>375</v>
      </c>
    </row>
    <row r="175">
      <c r="A175" s="18" t="inlineStr">
        <is>
          <t>합계 · 부문 간 내부매출·대체</t>
        </is>
      </c>
      <c r="C175" s="20" t="n">
        <v>1298</v>
      </c>
      <c r="D175" s="20" t="n">
        <v>1375</v>
      </c>
      <c r="E175" s="20" t="n">
        <v>1185</v>
      </c>
      <c r="F175" s="20" t="n">
        <v>1246</v>
      </c>
      <c r="G175" s="20" t="n">
        <v>1381</v>
      </c>
      <c r="H175" s="20" t="n">
        <v>1266</v>
      </c>
      <c r="I175" s="20" t="n">
        <v>1252</v>
      </c>
      <c r="J175" s="20" t="n">
        <v>660</v>
      </c>
      <c r="K175" s="20" t="n">
        <v>657</v>
      </c>
      <c r="L175" s="20" t="n">
        <v>943</v>
      </c>
      <c r="M175" s="20" t="n">
        <v>1027</v>
      </c>
      <c r="N175" s="20" t="n">
        <v>1029</v>
      </c>
      <c r="V175" s="20" t="n">
        <v>1185</v>
      </c>
      <c r="W175" s="20" t="n">
        <v>1252</v>
      </c>
      <c r="X175" s="20" t="n">
        <v>1027</v>
      </c>
    </row>
    <row r="176">
      <c r="A176" s="18" t="inlineStr">
        <is>
          <t>조정액 · 부문 간 내부매출·대체</t>
        </is>
      </c>
      <c r="C176" s="20" t="n">
        <v>-1298</v>
      </c>
      <c r="D176" s="20" t="n">
        <v>-1375</v>
      </c>
      <c r="E176" s="20" t="n">
        <v>-1185</v>
      </c>
      <c r="F176" s="20" t="n">
        <v>-1246</v>
      </c>
      <c r="G176" s="20" t="n">
        <v>-1381</v>
      </c>
      <c r="H176" s="20" t="n">
        <v>-1266</v>
      </c>
      <c r="I176" s="20" t="n">
        <v>-1252</v>
      </c>
      <c r="J176" s="20" t="n">
        <v>-660</v>
      </c>
      <c r="K176" s="20" t="n">
        <v>-657</v>
      </c>
      <c r="L176" s="20" t="n">
        <v>-943</v>
      </c>
      <c r="M176" s="20" t="n">
        <v>-1027</v>
      </c>
      <c r="N176" s="20" t="n">
        <v>-1029</v>
      </c>
      <c r="V176" s="20" t="n">
        <v>-1185</v>
      </c>
      <c r="W176" s="20" t="n">
        <v>-1252</v>
      </c>
      <c r="X176" s="20" t="n">
        <v>-1027</v>
      </c>
    </row>
    <row r="177">
      <c r="A177" s="18" t="inlineStr">
        <is>
          <t>부문 간 내부매출·대체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J177" s="20" t="n">
        <v>0</v>
      </c>
      <c r="K177" s="20" t="n">
        <v>0</v>
      </c>
      <c r="L177" s="20" t="n">
        <v>0</v>
      </c>
      <c r="M177" s="20" t="n">
        <v>0</v>
      </c>
      <c r="N177" s="20" t="n">
        <v>0</v>
      </c>
      <c r="V177" s="20" t="n">
        <v>0</v>
      </c>
      <c r="W177" s="20" t="n">
        <v>0</v>
      </c>
      <c r="X177" s="20" t="n">
        <v>0</v>
      </c>
    </row>
    <row r="178">
      <c r="A178" s="18" t="inlineStr">
        <is>
          <t>부문 · 계</t>
        </is>
      </c>
      <c r="C178" s="20" t="n">
        <v>52513</v>
      </c>
      <c r="D178" s="20" t="n">
        <v>54951</v>
      </c>
      <c r="E178" s="20" t="n">
        <v>55604</v>
      </c>
      <c r="F178" s="20" t="n">
        <v>60248</v>
      </c>
      <c r="G178" s="20" t="n">
        <v>60403</v>
      </c>
      <c r="H178" s="20" t="n">
        <v>57806</v>
      </c>
      <c r="I178" s="20" t="n">
        <v>58103</v>
      </c>
      <c r="J178" s="20" t="n">
        <v>58069</v>
      </c>
      <c r="K178" s="20" t="n">
        <v>54476</v>
      </c>
      <c r="L178" s="20" t="n">
        <v>55434</v>
      </c>
      <c r="M178" s="20" t="n">
        <v>55701</v>
      </c>
      <c r="N178" s="20" t="n">
        <v>58161</v>
      </c>
      <c r="V178" s="20" t="n">
        <v>55604</v>
      </c>
      <c r="W178" s="20" t="n">
        <v>58103</v>
      </c>
      <c r="X178" s="20" t="n">
        <v>55701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부문 · 계</t>
        </is>
      </c>
      <c r="C180" s="20" t="n">
        <v>26213</v>
      </c>
      <c r="D180" s="20" t="n">
        <v>27664</v>
      </c>
      <c r="E180" s="20" t="n">
        <v>28300</v>
      </c>
      <c r="F180" s="20" t="n">
        <v>30322</v>
      </c>
      <c r="G180" s="20" t="n">
        <v>31244</v>
      </c>
      <c r="H180" s="20" t="n">
        <v>28559</v>
      </c>
      <c r="I180" s="20" t="n">
        <v>31492</v>
      </c>
      <c r="J180" s="20" t="n">
        <v>29296</v>
      </c>
      <c r="K180" s="20" t="n">
        <v>33009</v>
      </c>
      <c r="L180" s="20" t="n">
        <v>31547</v>
      </c>
      <c r="M180" s="20" t="n">
        <v>30365</v>
      </c>
      <c r="N180" s="20" t="n">
        <v>33839</v>
      </c>
      <c r="V180" s="20" t="n">
        <v>28300</v>
      </c>
      <c r="W180" s="20" t="n">
        <v>31492</v>
      </c>
      <c r="X180" s="20" t="n">
        <v>30365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보고부문 합계 · 계</t>
        </is>
      </c>
      <c r="C182" s="20" t="n">
        <v>78725</v>
      </c>
      <c r="D182" s="20" t="n">
        <v>82615</v>
      </c>
      <c r="E182" s="20" t="n">
        <v>83905</v>
      </c>
      <c r="F182" s="20" t="n">
        <v>90569</v>
      </c>
      <c r="G182" s="20" t="n">
        <v>91647</v>
      </c>
      <c r="H182" s="20" t="n">
        <v>86366</v>
      </c>
      <c r="I182" s="20" t="n">
        <v>89595</v>
      </c>
      <c r="J182" s="20" t="n">
        <v>87365</v>
      </c>
      <c r="K182" s="20" t="n">
        <v>87485</v>
      </c>
      <c r="L182" s="20" t="n">
        <v>86980</v>
      </c>
      <c r="M182" s="20" t="n">
        <v>86067</v>
      </c>
      <c r="N182" s="20" t="n">
        <v>92000</v>
      </c>
      <c r="V182" s="20" t="n">
        <v>83905</v>
      </c>
      <c r="W182" s="20" t="n">
        <v>89595</v>
      </c>
      <c r="X182" s="20" t="n">
        <v>86067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기타 · 계</t>
        </is>
      </c>
      <c r="C184" s="20" t="n">
        <v>16089</v>
      </c>
      <c r="D184" s="20" t="n">
        <v>17122</v>
      </c>
      <c r="E184" s="20" t="n">
        <v>15754</v>
      </c>
      <c r="F184" s="20" t="n">
        <v>16782</v>
      </c>
      <c r="G184" s="20" t="n">
        <v>16978</v>
      </c>
      <c r="H184" s="20" t="n">
        <v>16984</v>
      </c>
      <c r="I184" s="20" t="n">
        <v>16871</v>
      </c>
      <c r="J184" s="20" t="n">
        <v>16378</v>
      </c>
      <c r="K184" s="20" t="n">
        <v>16560</v>
      </c>
      <c r="L184" s="20" t="n">
        <v>17203</v>
      </c>
      <c r="M184" s="20" t="n">
        <v>17215</v>
      </c>
      <c r="N184" s="20" t="n">
        <v>18495</v>
      </c>
      <c r="V184" s="20" t="n">
        <v>15754</v>
      </c>
      <c r="W184" s="20" t="n">
        <v>16871</v>
      </c>
      <c r="X184" s="20" t="n">
        <v>17215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합계 · 계</t>
        </is>
      </c>
      <c r="C186" s="20" t="n">
        <v>94814</v>
      </c>
      <c r="D186" s="20" t="n">
        <v>99738</v>
      </c>
      <c r="E186" s="20" t="n">
        <v>99658</v>
      </c>
      <c r="F186" s="20" t="n">
        <v>107351</v>
      </c>
      <c r="G186" s="20" t="n">
        <v>108625</v>
      </c>
      <c r="H186" s="20" t="n">
        <v>103350</v>
      </c>
      <c r="I186" s="20" t="n">
        <v>106466</v>
      </c>
      <c r="J186" s="20" t="n">
        <v>103743</v>
      </c>
      <c r="K186" s="20" t="n">
        <v>104045</v>
      </c>
      <c r="L186" s="20" t="n">
        <v>104184</v>
      </c>
      <c r="M186" s="20" t="n">
        <v>103281</v>
      </c>
      <c r="N186" s="20" t="n">
        <v>110496</v>
      </c>
      <c r="V186" s="20" t="n">
        <v>99658</v>
      </c>
      <c r="W186" s="20" t="n">
        <v>106466</v>
      </c>
      <c r="X186" s="20" t="n">
        <v>103281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조정액 · 계</t>
        </is>
      </c>
      <c r="C188" s="20" t="n">
        <v>-1298</v>
      </c>
      <c r="D188" s="20" t="n">
        <v>-1375</v>
      </c>
      <c r="E188" s="20" t="n">
        <v>-1185</v>
      </c>
      <c r="F188" s="20" t="n">
        <v>-1246</v>
      </c>
      <c r="G188" s="20" t="n">
        <v>-1381</v>
      </c>
      <c r="H188" s="20" t="n">
        <v>-1266</v>
      </c>
      <c r="I188" s="20" t="n">
        <v>-1252</v>
      </c>
      <c r="J188" s="20" t="n">
        <v>-660</v>
      </c>
      <c r="K188" s="20" t="n">
        <v>-657</v>
      </c>
      <c r="L188" s="20" t="n">
        <v>-943</v>
      </c>
      <c r="M188" s="20" t="n">
        <v>-1027</v>
      </c>
      <c r="N188" s="20" t="n">
        <v>-1029</v>
      </c>
      <c r="V188" s="20" t="n">
        <v>-1185</v>
      </c>
      <c r="W188" s="20" t="n">
        <v>-1252</v>
      </c>
      <c r="X188" s="20" t="n">
        <v>-1027</v>
      </c>
    </row>
    <row r="189">
      <c r="A189" s="9" t="inlineStr">
        <is>
          <t>계</t>
        </is>
      </c>
      <c r="C189" s="12" t="n">
        <v>93515</v>
      </c>
      <c r="D189" s="12" t="n">
        <v>98364</v>
      </c>
      <c r="E189" s="12" t="n">
        <v>98473</v>
      </c>
      <c r="F189" s="12" t="n">
        <v>106105</v>
      </c>
      <c r="G189" s="12" t="n">
        <v>107245</v>
      </c>
      <c r="H189" s="12" t="n">
        <v>102083</v>
      </c>
      <c r="I189" s="12" t="n">
        <v>105214</v>
      </c>
      <c r="J189" s="12" t="n">
        <v>103083</v>
      </c>
      <c r="K189" s="12" t="n">
        <v>103388</v>
      </c>
      <c r="L189" s="12" t="n">
        <v>103241</v>
      </c>
      <c r="M189" s="12" t="n">
        <v>102254</v>
      </c>
      <c r="N189" s="12" t="n">
        <v>109466</v>
      </c>
      <c r="V189" s="12" t="n">
        <v>98473</v>
      </c>
      <c r="W189" s="12" t="n">
        <v>105214</v>
      </c>
      <c r="X189" s="12" t="n">
        <v>102254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부문 · 부문 이익</t>
        </is>
      </c>
      <c r="C191" s="20" t="n">
        <v>1180</v>
      </c>
      <c r="D191" s="20" t="n">
        <v>2520</v>
      </c>
      <c r="E191" s="20" t="n">
        <v>471</v>
      </c>
      <c r="F191" s="20" t="n">
        <v>3773</v>
      </c>
      <c r="G191" s="20" t="n">
        <v>2241</v>
      </c>
      <c r="H191" s="20" t="n">
        <v>2947</v>
      </c>
      <c r="I191" s="20" t="n">
        <v>1970</v>
      </c>
      <c r="J191" s="20" t="n">
        <v>4227</v>
      </c>
      <c r="K191" s="20" t="n">
        <v>2277</v>
      </c>
      <c r="L191" s="20" t="n">
        <v>2932</v>
      </c>
      <c r="M191" s="20" t="n">
        <v>2229</v>
      </c>
      <c r="N191" s="20" t="n">
        <v>5546</v>
      </c>
      <c r="V191" s="20" t="n">
        <v>471</v>
      </c>
      <c r="W191" s="20" t="n">
        <v>1970</v>
      </c>
      <c r="X191" s="20" t="n">
        <v>2229</v>
      </c>
    </row>
    <row r="192">
      <c r="A192" s="43" t="inlineStr">
        <is>
          <t>OPM</t>
        </is>
      </c>
      <c r="B192" s="3" t="inlineStr">
        <is>
          <t>영업이익 ÷ 매출</t>
        </is>
      </c>
      <c r="C192" s="15">
        <f>IF(OR(C191="",C178=""),"",IF(C178&lt;=0,"",IFERROR(C191/C178,"")))</f>
        <v/>
      </c>
      <c r="D192" s="15">
        <f>IF(OR(D191="",D178=""),"",IF(D178&lt;=0,"",IFERROR(D191/D178,"")))</f>
        <v/>
      </c>
      <c r="E192" s="15">
        <f>IF(OR(E191="",E178=""),"",IF(E178&lt;=0,"",IFERROR(E191/E178,"")))</f>
        <v/>
      </c>
      <c r="F192" s="15">
        <f>IF(OR(F191="",F178=""),"",IF(F178&lt;=0,"",IFERROR(F191/F178,"")))</f>
        <v/>
      </c>
      <c r="G192" s="15">
        <f>IF(OR(G191="",G178=""),"",IF(G178&lt;=0,"",IFERROR(G191/G178,"")))</f>
        <v/>
      </c>
      <c r="H192" s="15">
        <f>IF(OR(H191="",H178=""),"",IF(H178&lt;=0,"",IFERROR(H191/H178,"")))</f>
        <v/>
      </c>
      <c r="I192" s="15">
        <f>IF(OR(I191="",I178=""),"",IF(I178&lt;=0,"",IFERROR(I191/I178,"")))</f>
        <v/>
      </c>
      <c r="J192" s="15">
        <f>IF(OR(J191="",J178=""),"",IF(J178&lt;=0,"",IFERROR(J191/J178,"")))</f>
        <v/>
      </c>
      <c r="K192" s="15">
        <f>IF(OR(K191="",K178=""),"",IF(K178&lt;=0,"",IFERROR(K191/K178,"")))</f>
        <v/>
      </c>
      <c r="L192" s="15">
        <f>IF(OR(L191="",L178=""),"",IF(L178&lt;=0,"",IFERROR(L191/L178,"")))</f>
        <v/>
      </c>
      <c r="M192" s="15">
        <f>IF(OR(M191="",M178=""),"",IF(M178&lt;=0,"",IFERROR(M191/M178,"")))</f>
        <v/>
      </c>
      <c r="N192" s="15">
        <f>IF(OR(N191="",N178=""),"",IF(N178&lt;=0,"",IFERROR(N191/N178,"")))</f>
        <v/>
      </c>
      <c r="V192" s="15">
        <f>IF(OR(V191="",V178=""),"",IF(V178&lt;=0,"",IFERROR(V191/V178,"")))</f>
        <v/>
      </c>
      <c r="W192" s="15">
        <f>IF(OR(W191="",W178=""),"",IF(W178&lt;=0,"",IFERROR(W191/W178,"")))</f>
        <v/>
      </c>
      <c r="X192" s="15">
        <f>IF(OR(X191="",X178=""),"",IF(X178&lt;=0,"",IFERROR(X191/X178,"")))</f>
        <v/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IF(OR(G191="",C191=""),"",IF(C191&lt;=0,"",IFERROR(G191/C191-1,"")))</f>
        <v/>
      </c>
      <c r="H193" s="15">
        <f>IF(OR(H191="",D191=""),"",IF(D191&lt;=0,"",IFERROR(H191/D191-1,"")))</f>
        <v/>
      </c>
      <c r="I193" s="15">
        <f>IF(OR(I191="",E191=""),"",IF(E191&lt;=0,"",IFERROR(I191/E191-1,"")))</f>
        <v/>
      </c>
      <c r="J193" s="15">
        <f>IF(OR(J191="",F191=""),"",IF(F191&lt;=0,"",IFERROR(J191/F191-1,"")))</f>
        <v/>
      </c>
      <c r="K193" s="15">
        <f>IF(OR(K191="",G191=""),"",IF(G191&lt;=0,"",IFERROR(K191/G191-1,"")))</f>
        <v/>
      </c>
      <c r="L193" s="15">
        <f>IF(OR(L191="",H191=""),"",IF(H191&lt;=0,"",IFERROR(L191/H191-1,"")))</f>
        <v/>
      </c>
      <c r="M193" s="15">
        <f>IF(OR(M191="",I191=""),"",IF(I191&lt;=0,"",IFERROR(M191/I191-1,"")))</f>
        <v/>
      </c>
      <c r="N193" s="15">
        <f>IF(OR(N191="",J191=""),"",IF(J191&lt;=0,"",IFERROR(N191/J191-1,"")))</f>
        <v/>
      </c>
      <c r="V193" s="15">
        <f>IF(OR(V191="",U191=""),"",IF(U191&lt;=0,"",IFERROR(V191/U191-1,"")))</f>
        <v/>
      </c>
      <c r="W193" s="15">
        <f>IF(OR(W191="",V191=""),"",IF(V191&lt;=0,"",IFERROR(W191/V191-1,"")))</f>
        <v/>
      </c>
      <c r="X193" s="15">
        <f>IF(OR(X191="",W191=""),"",IF(W191&lt;=0,"",IFERROR(X191/W191-1,"")))</f>
        <v/>
      </c>
    </row>
    <row r="194">
      <c r="A194" s="18" t="inlineStr">
        <is>
          <t>부문 · 부문 이익</t>
        </is>
      </c>
      <c r="C194" s="20" t="n">
        <v>2594</v>
      </c>
      <c r="D194" s="20" t="n">
        <v>3600</v>
      </c>
      <c r="E194" s="20" t="n">
        <v>3049</v>
      </c>
      <c r="F194" s="20" t="n">
        <v>5269</v>
      </c>
      <c r="G194" s="20" t="n">
        <v>5532</v>
      </c>
      <c r="H194" s="20" t="n">
        <v>3687</v>
      </c>
      <c r="I194" s="20" t="n">
        <v>3072</v>
      </c>
      <c r="J194" s="20" t="n">
        <v>7388</v>
      </c>
      <c r="K194" s="20" t="n">
        <v>4342</v>
      </c>
      <c r="L194" s="20" t="n">
        <v>4825</v>
      </c>
      <c r="M194" s="20" t="n">
        <v>5866</v>
      </c>
      <c r="N194" s="20" t="n">
        <v>10109</v>
      </c>
      <c r="V194" s="20" t="n">
        <v>3049</v>
      </c>
      <c r="W194" s="20" t="n">
        <v>3072</v>
      </c>
      <c r="X194" s="20" t="n">
        <v>5866</v>
      </c>
    </row>
    <row r="195">
      <c r="A195" s="43" t="inlineStr">
        <is>
          <t>OPM</t>
        </is>
      </c>
      <c r="B195" s="3" t="inlineStr">
        <is>
          <t>영업이익 ÷ 매출</t>
        </is>
      </c>
      <c r="C195" s="15">
        <f>IF(OR(C194="",C180=""),"",IF(C180&lt;=0,"",IFERROR(C194/C180,"")))</f>
        <v/>
      </c>
      <c r="D195" s="15">
        <f>IF(OR(D194="",D180=""),"",IF(D180&lt;=0,"",IFERROR(D194/D180,"")))</f>
        <v/>
      </c>
      <c r="E195" s="15">
        <f>IF(OR(E194="",E180=""),"",IF(E180&lt;=0,"",IFERROR(E194/E180,"")))</f>
        <v/>
      </c>
      <c r="F195" s="15">
        <f>IF(OR(F194="",F180=""),"",IF(F180&lt;=0,"",IFERROR(F194/F180,"")))</f>
        <v/>
      </c>
      <c r="G195" s="15">
        <f>IF(OR(G194="",G180=""),"",IF(G180&lt;=0,"",IFERROR(G194/G180,"")))</f>
        <v/>
      </c>
      <c r="H195" s="15">
        <f>IF(OR(H194="",H180=""),"",IF(H180&lt;=0,"",IFERROR(H194/H180,"")))</f>
        <v/>
      </c>
      <c r="I195" s="15">
        <f>IF(OR(I194="",I180=""),"",IF(I180&lt;=0,"",IFERROR(I194/I180,"")))</f>
        <v/>
      </c>
      <c r="J195" s="15">
        <f>IF(OR(J194="",J180=""),"",IF(J180&lt;=0,"",IFERROR(J194/J180,"")))</f>
        <v/>
      </c>
      <c r="K195" s="15">
        <f>IF(OR(K194="",K180=""),"",IF(K180&lt;=0,"",IFERROR(K194/K180,"")))</f>
        <v/>
      </c>
      <c r="L195" s="15">
        <f>IF(OR(L194="",L180=""),"",IF(L180&lt;=0,"",IFERROR(L194/L180,"")))</f>
        <v/>
      </c>
      <c r="M195" s="15">
        <f>IF(OR(M194="",M180=""),"",IF(M180&lt;=0,"",IFERROR(M194/M180,"")))</f>
        <v/>
      </c>
      <c r="N195" s="15">
        <f>IF(OR(N194="",N180=""),"",IF(N180&lt;=0,"",IFERROR(N194/N180,"")))</f>
        <v/>
      </c>
      <c r="V195" s="15">
        <f>IF(OR(V194="",V180=""),"",IF(V180&lt;=0,"",IFERROR(V194/V180,"")))</f>
        <v/>
      </c>
      <c r="W195" s="15">
        <f>IF(OR(W194="",W180=""),"",IF(W180&lt;=0,"",IFERROR(W194/W180,"")))</f>
        <v/>
      </c>
      <c r="X195" s="15">
        <f>IF(OR(X194="",X180=""),"",IF(X180&lt;=0,"",IFERROR(X194/X180,"")))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IF(OR(G194="",C194=""),"",IF(C194&lt;=0,"",IFERROR(G194/C194-1,"")))</f>
        <v/>
      </c>
      <c r="H196" s="15">
        <f>IF(OR(H194="",D194=""),"",IF(D194&lt;=0,"",IFERROR(H194/D194-1,"")))</f>
        <v/>
      </c>
      <c r="I196" s="15">
        <f>IF(OR(I194="",E194=""),"",IF(E194&lt;=0,"",IFERROR(I194/E194-1,"")))</f>
        <v/>
      </c>
      <c r="J196" s="15">
        <f>IF(OR(J194="",F194=""),"",IF(F194&lt;=0,"",IFERROR(J194/F194-1,"")))</f>
        <v/>
      </c>
      <c r="K196" s="15">
        <f>IF(OR(K194="",G194=""),"",IF(G194&lt;=0,"",IFERROR(K194/G194-1,"")))</f>
        <v/>
      </c>
      <c r="L196" s="15">
        <f>IF(OR(L194="",H194=""),"",IF(H194&lt;=0,"",IFERROR(L194/H194-1,"")))</f>
        <v/>
      </c>
      <c r="M196" s="15">
        <f>IF(OR(M194="",I194=""),"",IF(I194&lt;=0,"",IFERROR(M194/I194-1,"")))</f>
        <v/>
      </c>
      <c r="N196" s="15">
        <f>IF(OR(N194="",J194=""),"",IF(J194&lt;=0,"",IFERROR(N194/J194-1,"")))</f>
        <v/>
      </c>
      <c r="V196" s="15">
        <f>IF(OR(V194="",U194=""),"",IF(U194&lt;=0,"",IFERROR(V194/U194-1,"")))</f>
        <v/>
      </c>
      <c r="W196" s="15">
        <f>IF(OR(W194="",V194=""),"",IF(V194&lt;=0,"",IFERROR(W194/V194-1,"")))</f>
        <v/>
      </c>
      <c r="X196" s="15">
        <f>IF(OR(X194="",W194=""),"",IF(W194&lt;=0,"",IFERROR(X194/W194-1,"")))</f>
        <v/>
      </c>
    </row>
    <row r="197">
      <c r="A197" s="18" t="inlineStr">
        <is>
          <t>보고부문 합계 · 부문 이익</t>
        </is>
      </c>
      <c r="C197" s="20" t="n">
        <v>3774</v>
      </c>
      <c r="D197" s="20" t="n">
        <v>6120</v>
      </c>
      <c r="E197" s="20" t="n">
        <v>3520</v>
      </c>
      <c r="F197" s="20" t="n">
        <v>9042</v>
      </c>
      <c r="G197" s="20" t="n">
        <v>7773</v>
      </c>
      <c r="H197" s="20" t="n">
        <v>6633</v>
      </c>
      <c r="I197" s="20" t="n">
        <v>5043</v>
      </c>
      <c r="J197" s="20" t="n">
        <v>11615</v>
      </c>
      <c r="K197" s="20" t="n">
        <v>6620</v>
      </c>
      <c r="L197" s="20" t="n">
        <v>7756</v>
      </c>
      <c r="M197" s="20" t="n">
        <v>8096</v>
      </c>
      <c r="N197" s="20" t="n">
        <v>15655</v>
      </c>
      <c r="V197" s="20" t="n">
        <v>3520</v>
      </c>
      <c r="W197" s="20" t="n">
        <v>5043</v>
      </c>
      <c r="X197" s="20" t="n">
        <v>8096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IF(OR(C197="",C182=""),"",IF(C182&lt;=0,"",IFERROR(C197/C182,"")))</f>
        <v/>
      </c>
      <c r="D198" s="15">
        <f>IF(OR(D197="",D182=""),"",IF(D182&lt;=0,"",IFERROR(D197/D182,"")))</f>
        <v/>
      </c>
      <c r="E198" s="15">
        <f>IF(OR(E197="",E182=""),"",IF(E182&lt;=0,"",IFERROR(E197/E182,"")))</f>
        <v/>
      </c>
      <c r="F198" s="15">
        <f>IF(OR(F197="",F182=""),"",IF(F182&lt;=0,"",IFERROR(F197/F182,"")))</f>
        <v/>
      </c>
      <c r="G198" s="15">
        <f>IF(OR(G197="",G182=""),"",IF(G182&lt;=0,"",IFERROR(G197/G182,"")))</f>
        <v/>
      </c>
      <c r="H198" s="15">
        <f>IF(OR(H197="",H182=""),"",IF(H182&lt;=0,"",IFERROR(H197/H182,"")))</f>
        <v/>
      </c>
      <c r="I198" s="15">
        <f>IF(OR(I197="",I182=""),"",IF(I182&lt;=0,"",IFERROR(I197/I182,"")))</f>
        <v/>
      </c>
      <c r="J198" s="15">
        <f>IF(OR(J197="",J182=""),"",IF(J182&lt;=0,"",IFERROR(J197/J182,"")))</f>
        <v/>
      </c>
      <c r="K198" s="15">
        <f>IF(OR(K197="",K182=""),"",IF(K182&lt;=0,"",IFERROR(K197/K182,"")))</f>
        <v/>
      </c>
      <c r="L198" s="15">
        <f>IF(OR(L197="",L182=""),"",IF(L182&lt;=0,"",IFERROR(L197/L182,"")))</f>
        <v/>
      </c>
      <c r="M198" s="15">
        <f>IF(OR(M197="",M182=""),"",IF(M182&lt;=0,"",IFERROR(M197/M182,"")))</f>
        <v/>
      </c>
      <c r="N198" s="15">
        <f>IF(OR(N197="",N182=""),"",IF(N182&lt;=0,"",IFERROR(N197/N182,"")))</f>
        <v/>
      </c>
      <c r="V198" s="15">
        <f>IF(OR(V197="",V182=""),"",IF(V182&lt;=0,"",IFERROR(V197/V182,"")))</f>
        <v/>
      </c>
      <c r="W198" s="15">
        <f>IF(OR(W197="",W182=""),"",IF(W182&lt;=0,"",IFERROR(W197/W182,"")))</f>
        <v/>
      </c>
      <c r="X198" s="15">
        <f>IF(OR(X197="",X182=""),"",IF(X182&lt;=0,"",IFERROR(X197/X182,"")))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기타 · 부문 이익</t>
        </is>
      </c>
      <c r="C200" s="20" t="n">
        <v>762</v>
      </c>
      <c r="D200" s="20" t="n">
        <v>1341</v>
      </c>
      <c r="E200" s="20" t="n">
        <v>1187</v>
      </c>
      <c r="F200" s="20" t="n">
        <v>770</v>
      </c>
      <c r="G200" s="20" t="n">
        <v>703</v>
      </c>
      <c r="H200" s="20" t="n">
        <v>1464</v>
      </c>
      <c r="I200" s="20" t="n">
        <v>928</v>
      </c>
      <c r="J200" s="20" t="n">
        <v>1009</v>
      </c>
      <c r="K200" s="20" t="n">
        <v>946</v>
      </c>
      <c r="L200" s="20" t="n">
        <v>886</v>
      </c>
      <c r="M200" s="20" t="n">
        <v>1449</v>
      </c>
      <c r="N200" s="20" t="n">
        <v>964</v>
      </c>
      <c r="V200" s="20" t="n">
        <v>1187</v>
      </c>
      <c r="W200" s="20" t="n">
        <v>928</v>
      </c>
      <c r="X200" s="20" t="n">
        <v>1449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IF(OR(C200="",C184=""),"",IF(C184&lt;=0,"",IFERROR(C200/C184,"")))</f>
        <v/>
      </c>
      <c r="D201" s="15">
        <f>IF(OR(D200="",D184=""),"",IF(D184&lt;=0,"",IFERROR(D200/D184,"")))</f>
        <v/>
      </c>
      <c r="E201" s="15">
        <f>IF(OR(E200="",E184=""),"",IF(E184&lt;=0,"",IFERROR(E200/E184,"")))</f>
        <v/>
      </c>
      <c r="F201" s="15">
        <f>IF(OR(F200="",F184=""),"",IF(F184&lt;=0,"",IFERROR(F200/F184,"")))</f>
        <v/>
      </c>
      <c r="G201" s="15">
        <f>IF(OR(G200="",G184=""),"",IF(G184&lt;=0,"",IFERROR(G200/G184,"")))</f>
        <v/>
      </c>
      <c r="H201" s="15">
        <f>IF(OR(H200="",H184=""),"",IF(H184&lt;=0,"",IFERROR(H200/H184,"")))</f>
        <v/>
      </c>
      <c r="I201" s="15">
        <f>IF(OR(I200="",I184=""),"",IF(I184&lt;=0,"",IFERROR(I200/I184,"")))</f>
        <v/>
      </c>
      <c r="J201" s="15">
        <f>IF(OR(J200="",J184=""),"",IF(J184&lt;=0,"",IFERROR(J200/J184,"")))</f>
        <v/>
      </c>
      <c r="K201" s="15">
        <f>IF(OR(K200="",K184=""),"",IF(K184&lt;=0,"",IFERROR(K200/K184,"")))</f>
        <v/>
      </c>
      <c r="L201" s="15">
        <f>IF(OR(L200="",L184=""),"",IF(L184&lt;=0,"",IFERROR(L200/L184,"")))</f>
        <v/>
      </c>
      <c r="M201" s="15">
        <f>IF(OR(M200="",M184=""),"",IF(M184&lt;=0,"",IFERROR(M200/M184,"")))</f>
        <v/>
      </c>
      <c r="N201" s="15">
        <f>IF(OR(N200="",N184=""),"",IF(N184&lt;=0,"",IFERROR(N200/N184,"")))</f>
        <v/>
      </c>
      <c r="V201" s="15">
        <f>IF(OR(V200="",V184=""),"",IF(V184&lt;=0,"",IFERROR(V200/V184,"")))</f>
        <v/>
      </c>
      <c r="W201" s="15">
        <f>IF(OR(W200="",W184=""),"",IF(W184&lt;=0,"",IFERROR(W200/W184,"")))</f>
        <v/>
      </c>
      <c r="X201" s="15">
        <f>IF(OR(X200="",X184=""),"",IF(X184&lt;=0,"",IFERROR(X200/X184,"")))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N202" s="15">
        <f>IF(OR(N200="",J200=""),"",IF(J200&lt;=0,"",IFERROR(N200/J200-1,"")))</f>
        <v/>
      </c>
      <c r="V202" s="15">
        <f>IF(OR(V200="",U200=""),"",IF(U200&lt;=0,"",IFERROR(V200/U200-1,"")))</f>
        <v/>
      </c>
      <c r="W202" s="15">
        <f>IF(OR(W200="",V200=""),"",IF(V200&lt;=0,"",IFERROR(W200/V200-1,"")))</f>
        <v/>
      </c>
      <c r="X202" s="15">
        <f>IF(OR(X200="",W200=""),"",IF(W200&lt;=0,"",IFERROR(X200/W200-1,"")))</f>
        <v/>
      </c>
    </row>
    <row r="203">
      <c r="A203" s="18" t="inlineStr">
        <is>
          <t>합계 · 부문 이익</t>
        </is>
      </c>
      <c r="C203" s="20" t="n">
        <v>4536</v>
      </c>
      <c r="D203" s="20" t="n">
        <v>7461</v>
      </c>
      <c r="E203" s="20" t="n">
        <v>4707</v>
      </c>
      <c r="F203" s="20" t="n">
        <v>9812</v>
      </c>
      <c r="G203" s="20" t="n">
        <v>8476</v>
      </c>
      <c r="H203" s="20" t="n">
        <v>8098</v>
      </c>
      <c r="I203" s="20" t="n">
        <v>5970</v>
      </c>
      <c r="J203" s="20" t="n">
        <v>12623</v>
      </c>
      <c r="K203" s="20" t="n">
        <v>7566</v>
      </c>
      <c r="L203" s="20" t="n">
        <v>8643</v>
      </c>
      <c r="M203" s="20" t="n">
        <v>9544</v>
      </c>
      <c r="N203" s="20" t="n">
        <v>16619</v>
      </c>
      <c r="V203" s="20" t="n">
        <v>4707</v>
      </c>
      <c r="W203" s="20" t="n">
        <v>5970</v>
      </c>
      <c r="X203" s="20" t="n">
        <v>9544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IF(OR(C203="",C186=""),"",IF(C186&lt;=0,"",IFERROR(C203/C186,"")))</f>
        <v/>
      </c>
      <c r="D204" s="15">
        <f>IF(OR(D203="",D186=""),"",IF(D186&lt;=0,"",IFERROR(D203/D186,"")))</f>
        <v/>
      </c>
      <c r="E204" s="15">
        <f>IF(OR(E203="",E186=""),"",IF(E186&lt;=0,"",IFERROR(E203/E186,"")))</f>
        <v/>
      </c>
      <c r="F204" s="15">
        <f>IF(OR(F203="",F186=""),"",IF(F186&lt;=0,"",IFERROR(F203/F186,"")))</f>
        <v/>
      </c>
      <c r="G204" s="15">
        <f>IF(OR(G203="",G186=""),"",IF(G186&lt;=0,"",IFERROR(G203/G186,"")))</f>
        <v/>
      </c>
      <c r="H204" s="15">
        <f>IF(OR(H203="",H186=""),"",IF(H186&lt;=0,"",IFERROR(H203/H186,"")))</f>
        <v/>
      </c>
      <c r="I204" s="15">
        <f>IF(OR(I203="",I186=""),"",IF(I186&lt;=0,"",IFERROR(I203/I186,"")))</f>
        <v/>
      </c>
      <c r="J204" s="15">
        <f>IF(OR(J203="",J186=""),"",IF(J186&lt;=0,"",IFERROR(J203/J186,"")))</f>
        <v/>
      </c>
      <c r="K204" s="15">
        <f>IF(OR(K203="",K186=""),"",IF(K186&lt;=0,"",IFERROR(K203/K186,"")))</f>
        <v/>
      </c>
      <c r="L204" s="15">
        <f>IF(OR(L203="",L186=""),"",IF(L186&lt;=0,"",IFERROR(L203/L186,"")))</f>
        <v/>
      </c>
      <c r="M204" s="15">
        <f>IF(OR(M203="",M186=""),"",IF(M186&lt;=0,"",IFERROR(M203/M186,"")))</f>
        <v/>
      </c>
      <c r="N204" s="15">
        <f>IF(OR(N203="",N186=""),"",IF(N186&lt;=0,"",IFERROR(N203/N186,"")))</f>
        <v/>
      </c>
      <c r="V204" s="15">
        <f>IF(OR(V203="",V186=""),"",IF(V186&lt;=0,"",IFERROR(V203/V186,"")))</f>
        <v/>
      </c>
      <c r="W204" s="15">
        <f>IF(OR(W203="",W186=""),"",IF(W186&lt;=0,"",IFERROR(W203/W186,"")))</f>
        <v/>
      </c>
      <c r="X204" s="15">
        <f>IF(OR(X203="",X186=""),"",IF(X186&lt;=0,"",IFERROR(X203/X186,"")))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6">
      <c r="A206" s="18" t="inlineStr">
        <is>
          <t>조정액 · 부문 이익</t>
        </is>
      </c>
      <c r="C206" s="20" t="n">
        <v>-1189</v>
      </c>
      <c r="D206" s="20" t="n">
        <v>-936</v>
      </c>
      <c r="E206" s="20" t="n">
        <v>-193</v>
      </c>
      <c r="F206" s="20" t="n">
        <v>-771</v>
      </c>
      <c r="G206" s="20" t="n">
        <v>-714</v>
      </c>
      <c r="H206" s="20" t="n">
        <v>-728</v>
      </c>
      <c r="I206" s="20" t="n">
        <v>-822</v>
      </c>
      <c r="J206" s="20" t="n">
        <v>-494</v>
      </c>
      <c r="K206" s="20" t="n">
        <v>-344</v>
      </c>
      <c r="L206" s="20" t="n">
        <v>-394</v>
      </c>
      <c r="M206" s="20" t="n">
        <v>-768</v>
      </c>
      <c r="N206" s="20" t="n">
        <v>-318</v>
      </c>
      <c r="V206" s="20" t="n">
        <v>-193</v>
      </c>
      <c r="W206" s="20" t="n">
        <v>-822</v>
      </c>
      <c r="X206" s="20" t="n">
        <v>-768</v>
      </c>
    </row>
    <row r="207">
      <c r="A207" s="9" t="inlineStr">
        <is>
          <t>부문 이익</t>
        </is>
      </c>
      <c r="C207" s="12" t="n">
        <v>3347</v>
      </c>
      <c r="D207" s="12" t="n">
        <v>6525</v>
      </c>
      <c r="E207" s="12" t="n">
        <v>4514</v>
      </c>
      <c r="F207" s="12" t="n">
        <v>9041</v>
      </c>
      <c r="G207" s="12" t="n">
        <v>7761</v>
      </c>
      <c r="H207" s="12" t="n">
        <v>7371</v>
      </c>
      <c r="I207" s="12" t="n">
        <v>5148</v>
      </c>
      <c r="J207" s="12" t="n">
        <v>12129</v>
      </c>
      <c r="K207" s="12" t="n">
        <v>7223</v>
      </c>
      <c r="L207" s="12" t="n">
        <v>8248</v>
      </c>
      <c r="M207" s="12" t="n">
        <v>8777</v>
      </c>
      <c r="N207" s="12" t="n">
        <v>16300</v>
      </c>
      <c r="V207" s="12" t="n">
        <v>4514</v>
      </c>
      <c r="W207" s="12" t="n">
        <v>5148</v>
      </c>
      <c r="X207" s="12" t="n">
        <v>8777</v>
      </c>
    </row>
    <row r="208">
      <c r="A208" s="43" t="inlineStr">
        <is>
          <t>OPM</t>
        </is>
      </c>
      <c r="B208" s="3" t="inlineStr">
        <is>
          <t>영업이익 ÷ 매출</t>
        </is>
      </c>
      <c r="C208" s="15">
        <f>IF(OR(C207="",C169=""),"",IF(C169&lt;=0,"",IFERROR(C207/C169,"")))</f>
        <v/>
      </c>
      <c r="D208" s="15">
        <f>IF(OR(D207="",D169=""),"",IF(D169&lt;=0,"",IFERROR(D207/D169,"")))</f>
        <v/>
      </c>
      <c r="E208" s="15">
        <f>IF(OR(E207="",E169=""),"",IF(E169&lt;=0,"",IFERROR(E207/E169,"")))</f>
        <v/>
      </c>
      <c r="F208" s="15">
        <f>IF(OR(F207="",F169=""),"",IF(F169&lt;=0,"",IFERROR(F207/F169,"")))</f>
        <v/>
      </c>
      <c r="G208" s="15">
        <f>IF(OR(G207="",G169=""),"",IF(G169&lt;=0,"",IFERROR(G207/G169,"")))</f>
        <v/>
      </c>
      <c r="H208" s="15">
        <f>IF(OR(H207="",H169=""),"",IF(H169&lt;=0,"",IFERROR(H207/H169,"")))</f>
        <v/>
      </c>
      <c r="I208" s="15">
        <f>IF(OR(I207="",I169=""),"",IF(I169&lt;=0,"",IFERROR(I207/I169,"")))</f>
        <v/>
      </c>
      <c r="J208" s="15">
        <f>IF(OR(J207="",J169=""),"",IF(J169&lt;=0,"",IFERROR(J207/J169,"")))</f>
        <v/>
      </c>
      <c r="K208" s="15">
        <f>IF(OR(K207="",K169=""),"",IF(K169&lt;=0,"",IFERROR(K207/K169,"")))</f>
        <v/>
      </c>
      <c r="L208" s="15">
        <f>IF(OR(L207="",L169=""),"",IF(L169&lt;=0,"",IFERROR(L207/L169,"")))</f>
        <v/>
      </c>
      <c r="M208" s="15">
        <f>IF(OR(M207="",M169=""),"",IF(M169&lt;=0,"",IFERROR(M207/M169,"")))</f>
        <v/>
      </c>
      <c r="N208" s="15">
        <f>IF(OR(N207="",N169=""),"",IF(N169&lt;=0,"",IFERROR(N207/N169,"")))</f>
        <v/>
      </c>
      <c r="V208" s="15">
        <f>IF(OR(V207="",V169=""),"",IF(V169&lt;=0,"",IFERROR(V207/V169,"")))</f>
        <v/>
      </c>
      <c r="W208" s="15">
        <f>IF(OR(W207="",W169=""),"",IF(W169&lt;=0,"",IFERROR(W207/W169,"")))</f>
        <v/>
      </c>
      <c r="X208" s="15">
        <f>IF(OR(X207="",X169=""),"",IF(X169&lt;=0,"",IFERROR(X207/X169,"")))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1">
      <c r="A211" s="16" t="inlineStr">
        <is>
          <t>현금흐름표 · 전 항목</t>
        </is>
      </c>
      <c r="B211" s="42" t="inlineStr">
        <is>
          <t>분기 = 결산기 첫날부터 누계(공시 그대로)</t>
        </is>
      </c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</row>
    <row r="212">
      <c r="A212" s="5" t="inlineStr">
        <is>
          <t>항목</t>
        </is>
      </c>
      <c r="B212" s="5" t="inlineStr">
        <is>
          <t>참고</t>
        </is>
      </c>
      <c r="C212" s="5" t="inlineStr">
        <is>
          <t>2024.2Q</t>
        </is>
      </c>
      <c r="D212" s="5" t="inlineStr">
        <is>
          <t>2024.3Q</t>
        </is>
      </c>
      <c r="E212" s="5" t="inlineStr">
        <is>
          <t>2024.4Q</t>
        </is>
      </c>
      <c r="F212" s="5" t="inlineStr">
        <is>
          <t>2025.1Q</t>
        </is>
      </c>
      <c r="G212" s="5" t="inlineStr">
        <is>
          <t>2025.2Q</t>
        </is>
      </c>
      <c r="H212" s="5" t="inlineStr">
        <is>
          <t>2025.3Q</t>
        </is>
      </c>
      <c r="I212" s="5" t="inlineStr">
        <is>
          <t>2025.4Q</t>
        </is>
      </c>
      <c r="J212" s="5" t="inlineStr">
        <is>
          <t>2026.1Q</t>
        </is>
      </c>
      <c r="K212" s="5" t="inlineStr">
        <is>
          <t>2026.2Q</t>
        </is>
      </c>
      <c r="L212" s="5" t="inlineStr">
        <is>
          <t>2026.3Q</t>
        </is>
      </c>
      <c r="M212" s="5" t="inlineStr">
        <is>
          <t>2026.4Q</t>
        </is>
      </c>
      <c r="N212" s="5" t="inlineStr">
        <is>
          <t>2027.1Q</t>
        </is>
      </c>
      <c r="O212" s="5" t="inlineStr">
        <is>
          <t>2017</t>
        </is>
      </c>
      <c r="P212" s="5" t="inlineStr">
        <is>
          <t>2018</t>
        </is>
      </c>
      <c r="Q212" s="5" t="inlineStr">
        <is>
          <t>2019</t>
        </is>
      </c>
      <c r="R212" s="5" t="inlineStr">
        <is>
          <t>2020</t>
        </is>
      </c>
      <c r="S212" s="5" t="inlineStr">
        <is>
          <t>2021</t>
        </is>
      </c>
      <c r="T212" s="5" t="inlineStr">
        <is>
          <t>2022</t>
        </is>
      </c>
      <c r="U212" s="5" t="inlineStr">
        <is>
          <t>2023</t>
        </is>
      </c>
      <c r="V212" s="5" t="inlineStr">
        <is>
          <t>2024</t>
        </is>
      </c>
      <c r="W212" s="5" t="inlineStr">
        <is>
          <t>2025</t>
        </is>
      </c>
      <c r="X212" s="5" t="inlineStr">
        <is>
          <t>2026</t>
        </is>
      </c>
      <c r="Y212" s="5" t="inlineStr">
        <is>
          <t>2027(MW)</t>
        </is>
      </c>
      <c r="Z212" s="5" t="inlineStr">
        <is>
          <t>2028(MW)</t>
        </is>
      </c>
      <c r="AA212" s="5" t="inlineStr">
        <is>
          <t>2029(MW)</t>
        </is>
      </c>
      <c r="AB212" s="5" t="inlineStr">
        <is>
          <t>2030(MW)</t>
        </is>
      </c>
      <c r="AC212" s="5" t="inlineStr">
        <is>
          <t>2031(MW)</t>
        </is>
      </c>
    </row>
    <row r="213">
      <c r="A213" s="9" t="inlineStr">
        <is>
          <t>법인세차감전 순이익</t>
        </is>
      </c>
      <c r="C213" s="12" t="n">
        <v>14987</v>
      </c>
      <c r="E213" s="12" t="n">
        <v>43849</v>
      </c>
      <c r="G213" s="12" t="n">
        <v>16386</v>
      </c>
      <c r="I213" s="12" t="n">
        <v>32915</v>
      </c>
      <c r="K213" s="12" t="n">
        <v>32460</v>
      </c>
      <c r="M213" s="12" t="n">
        <v>49306</v>
      </c>
      <c r="O213" s="12" t="n">
        <v>30928</v>
      </c>
      <c r="P213" s="12" t="n">
        <v>24853</v>
      </c>
      <c r="Q213" s="12" t="n">
        <v>27044</v>
      </c>
      <c r="R213" s="12" t="n">
        <v>27480</v>
      </c>
      <c r="S213" s="12" t="n">
        <v>38158</v>
      </c>
      <c r="T213" s="12" t="n">
        <v>46226</v>
      </c>
      <c r="U213" s="12" t="n">
        <v>14467</v>
      </c>
      <c r="V213" s="12" t="n">
        <v>43849</v>
      </c>
      <c r="W213" s="12" t="n">
        <v>32915</v>
      </c>
      <c r="X213" s="12" t="n">
        <v>49306</v>
      </c>
    </row>
    <row r="214">
      <c r="A214" s="18" t="inlineStr">
        <is>
          <t>감가상각비</t>
        </is>
      </c>
      <c r="C214" s="20" t="n">
        <v>8689</v>
      </c>
      <c r="E214" s="20" t="n">
        <v>20123</v>
      </c>
      <c r="G214" s="20" t="n">
        <v>9303</v>
      </c>
      <c r="I214" s="20" t="n">
        <v>19436</v>
      </c>
      <c r="K214" s="20" t="n">
        <v>8075</v>
      </c>
      <c r="M214" s="20" t="n">
        <v>17230</v>
      </c>
      <c r="O214" s="20" t="n">
        <v>20431</v>
      </c>
      <c r="P214" s="20" t="n">
        <v>20539</v>
      </c>
      <c r="Q214" s="20" t="n">
        <v>18780</v>
      </c>
      <c r="R214" s="20" t="n">
        <v>17448</v>
      </c>
      <c r="S214" s="20" t="n">
        <v>18154</v>
      </c>
      <c r="T214" s="20" t="n">
        <v>21469</v>
      </c>
      <c r="U214" s="20" t="n">
        <v>20382</v>
      </c>
      <c r="V214" s="20" t="n">
        <v>20123</v>
      </c>
      <c r="W214" s="20" t="n">
        <v>19436</v>
      </c>
      <c r="X214" s="20" t="n">
        <v>17230</v>
      </c>
    </row>
    <row r="215">
      <c r="A215" s="18" t="inlineStr">
        <is>
          <t>영업권 상각</t>
        </is>
      </c>
      <c r="O215" s="20" t="n">
        <v>670</v>
      </c>
      <c r="P215" s="20" t="n">
        <v>670</v>
      </c>
      <c r="Q215" s="20" t="n">
        <v>41</v>
      </c>
      <c r="R215" s="20" t="n">
        <v>0</v>
      </c>
    </row>
    <row r="216">
      <c r="A216" s="18" t="inlineStr">
        <is>
          <t>손상차손</t>
        </is>
      </c>
      <c r="C216" s="20" t="n">
        <v>679</v>
      </c>
      <c r="E216" s="20" t="n">
        <v>2550</v>
      </c>
      <c r="G216" s="20" t="n">
        <v>1481</v>
      </c>
      <c r="I216" s="20" t="n">
        <v>5808</v>
      </c>
      <c r="K216" s="20" t="n">
        <v>1123</v>
      </c>
      <c r="M216" s="20" t="n">
        <v>4796</v>
      </c>
      <c r="O216" s="20" t="n">
        <v>184</v>
      </c>
      <c r="P216" s="20" t="n">
        <v>14775</v>
      </c>
      <c r="Q216" s="20" t="n">
        <v>8606</v>
      </c>
      <c r="R216" s="20" t="n">
        <v>0</v>
      </c>
      <c r="S216" s="20" t="n">
        <v>0</v>
      </c>
      <c r="T216" s="20" t="n">
        <v>2069</v>
      </c>
      <c r="U216" s="20" t="n">
        <v>19390</v>
      </c>
      <c r="V216" s="20" t="n">
        <v>2550</v>
      </c>
      <c r="W216" s="20" t="n">
        <v>5808</v>
      </c>
      <c r="X216" s="20" t="n">
        <v>4796</v>
      </c>
    </row>
    <row r="217">
      <c r="A217" s="18" t="inlineStr">
        <is>
          <t>보험금 수익</t>
        </is>
      </c>
      <c r="O217" s="20" t="n">
        <v>0</v>
      </c>
      <c r="P217" s="20" t="n">
        <v>-501</v>
      </c>
      <c r="Q217" s="20" t="n">
        <v>0</v>
      </c>
    </row>
    <row r="218">
      <c r="A218" s="18" t="inlineStr">
        <is>
          <t>재해 손실</t>
        </is>
      </c>
      <c r="E218" s="20" t="n">
        <v>1428</v>
      </c>
      <c r="I218" s="20" t="n">
        <v>0</v>
      </c>
      <c r="U218" s="20" t="n">
        <v>0</v>
      </c>
      <c r="V218" s="20" t="n">
        <v>1428</v>
      </c>
      <c r="W218" s="20" t="n">
        <v>0</v>
      </c>
    </row>
    <row r="219">
      <c r="A219" s="18" t="inlineStr">
        <is>
          <t>Loss On Refund Of Subsidy Ope CF</t>
        </is>
      </c>
      <c r="E219" s="20" t="n">
        <v>0</v>
      </c>
      <c r="I219" s="20" t="n">
        <v>1053</v>
      </c>
      <c r="M219" s="20" t="n">
        <v>0</v>
      </c>
      <c r="V219" s="20" t="n">
        <v>0</v>
      </c>
      <c r="W219" s="20" t="n">
        <v>1053</v>
      </c>
      <c r="X219" s="20" t="n">
        <v>0</v>
      </c>
    </row>
    <row r="220">
      <c r="A220" s="18" t="inlineStr">
        <is>
          <t>대손충당금 증감</t>
        </is>
      </c>
      <c r="E220" s="20" t="n">
        <v>1351</v>
      </c>
      <c r="I220" s="20" t="n">
        <v>574</v>
      </c>
      <c r="M220" s="20" t="n">
        <v>908</v>
      </c>
      <c r="U220" s="20" t="n">
        <v>7</v>
      </c>
      <c r="V220" s="20" t="n">
        <v>1351</v>
      </c>
      <c r="W220" s="20" t="n">
        <v>574</v>
      </c>
      <c r="X220" s="20" t="n">
        <v>908</v>
      </c>
    </row>
    <row r="221">
      <c r="A221" s="18" t="inlineStr">
        <is>
          <t>수선충당금 증감액</t>
        </is>
      </c>
      <c r="C221" s="20" t="n">
        <v>-1930</v>
      </c>
      <c r="E221" s="20" t="n">
        <v>-134</v>
      </c>
      <c r="G221" s="20" t="n">
        <v>3781</v>
      </c>
      <c r="I221" s="20" t="n">
        <v>2460</v>
      </c>
      <c r="K221" s="20" t="n">
        <v>-3558</v>
      </c>
      <c r="M221" s="20" t="n">
        <v>-1118</v>
      </c>
      <c r="O221" s="20" t="n">
        <v>-455</v>
      </c>
      <c r="P221" s="20" t="n">
        <v>597</v>
      </c>
      <c r="Q221" s="20" t="n">
        <v>1419</v>
      </c>
      <c r="R221" s="20" t="n">
        <v>-34</v>
      </c>
      <c r="S221" s="20" t="n">
        <v>636</v>
      </c>
      <c r="T221" s="20" t="n">
        <v>33</v>
      </c>
      <c r="U221" s="20" t="n">
        <v>1268</v>
      </c>
      <c r="V221" s="20" t="n">
        <v>-134</v>
      </c>
      <c r="W221" s="20" t="n">
        <v>2460</v>
      </c>
      <c r="X221" s="20" t="n">
        <v>-1118</v>
      </c>
    </row>
    <row r="222">
      <c r="A222" s="18" t="inlineStr">
        <is>
          <t>관계회사 정리손실 충당금 증감</t>
        </is>
      </c>
      <c r="O222" s="20" t="n">
        <v>-2673</v>
      </c>
      <c r="P222" s="20" t="n">
        <v>0</v>
      </c>
    </row>
    <row r="223">
      <c r="A223" s="18" t="inlineStr">
        <is>
          <t>퇴직급여부채 증감</t>
        </is>
      </c>
      <c r="O223" s="20" t="n">
        <v>-798</v>
      </c>
      <c r="P223" s="20" t="n">
        <v>-1751</v>
      </c>
      <c r="Q223" s="20" t="n">
        <v>377</v>
      </c>
    </row>
    <row r="224">
      <c r="A224" s="18" t="inlineStr">
        <is>
          <t>이자·배당금 수익</t>
        </is>
      </c>
      <c r="C224" s="20" t="n">
        <v>-1774</v>
      </c>
      <c r="E224" s="20" t="n">
        <v>-3609</v>
      </c>
      <c r="G224" s="20" t="n">
        <v>-1565</v>
      </c>
      <c r="I224" s="20" t="n">
        <v>-3071</v>
      </c>
      <c r="K224" s="20" t="n">
        <v>-1654</v>
      </c>
      <c r="M224" s="20" t="n">
        <v>-3148</v>
      </c>
      <c r="O224" s="20" t="n">
        <v>-2040</v>
      </c>
      <c r="P224" s="20" t="n">
        <v>-2357</v>
      </c>
      <c r="Q224" s="20" t="n">
        <v>-2483</v>
      </c>
      <c r="R224" s="20" t="n">
        <v>-3014</v>
      </c>
      <c r="S224" s="20" t="n">
        <v>-2707</v>
      </c>
      <c r="T224" s="20" t="n">
        <v>-2866</v>
      </c>
      <c r="U224" s="20" t="n">
        <v>-3571</v>
      </c>
      <c r="V224" s="20" t="n">
        <v>-3609</v>
      </c>
      <c r="W224" s="20" t="n">
        <v>-3071</v>
      </c>
      <c r="X224" s="20" t="n">
        <v>-3148</v>
      </c>
    </row>
    <row r="225">
      <c r="A225" s="18" t="inlineStr">
        <is>
          <t>이자비용</t>
        </is>
      </c>
      <c r="C225" s="20" t="n">
        <v>35</v>
      </c>
      <c r="E225" s="20" t="n">
        <v>68</v>
      </c>
      <c r="G225" s="20" t="n">
        <v>62</v>
      </c>
      <c r="I225" s="20" t="n">
        <v>157</v>
      </c>
      <c r="K225" s="20" t="n">
        <v>96</v>
      </c>
      <c r="M225" s="20" t="n">
        <v>177</v>
      </c>
      <c r="O225" s="20" t="n">
        <v>455</v>
      </c>
      <c r="P225" s="20" t="n">
        <v>323</v>
      </c>
      <c r="Q225" s="20" t="n">
        <v>200</v>
      </c>
      <c r="R225" s="20" t="n">
        <v>139</v>
      </c>
      <c r="S225" s="20" t="n">
        <v>137</v>
      </c>
      <c r="T225" s="20" t="n">
        <v>130</v>
      </c>
      <c r="U225" s="20" t="n">
        <v>85</v>
      </c>
      <c r="V225" s="20" t="n">
        <v>68</v>
      </c>
      <c r="W225" s="20" t="n">
        <v>157</v>
      </c>
      <c r="X225" s="20" t="n">
        <v>177</v>
      </c>
    </row>
    <row r="226">
      <c r="A226" s="18" t="inlineStr">
        <is>
          <t>보상금 수취</t>
        </is>
      </c>
      <c r="O226" s="20" t="n">
        <v>-1060</v>
      </c>
      <c r="P226" s="20" t="n">
        <v>-100</v>
      </c>
    </row>
    <row r="227">
      <c r="A227" s="18" t="inlineStr">
        <is>
          <t>보조금 수입</t>
        </is>
      </c>
      <c r="E227" s="20" t="n">
        <v>-1016</v>
      </c>
      <c r="I227" s="20" t="n">
        <v>-456</v>
      </c>
      <c r="M227" s="20" t="n">
        <v>-106</v>
      </c>
      <c r="R227" s="20" t="n">
        <v>-145</v>
      </c>
      <c r="S227" s="20" t="n">
        <v>-1939</v>
      </c>
      <c r="T227" s="20" t="n">
        <v>-4</v>
      </c>
      <c r="U227" s="20" t="n">
        <v>-52</v>
      </c>
      <c r="V227" s="20" t="n">
        <v>-1016</v>
      </c>
      <c r="W227" s="20" t="n">
        <v>-456</v>
      </c>
      <c r="X227" s="20" t="n">
        <v>-106</v>
      </c>
    </row>
    <row r="228">
      <c r="A228" s="18" t="inlineStr">
        <is>
          <t>외환차손익</t>
        </is>
      </c>
      <c r="C228" s="20" t="n">
        <v>-677</v>
      </c>
      <c r="E228" s="20" t="n">
        <v>-870</v>
      </c>
      <c r="G228" s="20" t="n">
        <v>932</v>
      </c>
      <c r="I228" s="20" t="n">
        <v>402</v>
      </c>
      <c r="K228" s="20" t="n">
        <v>-428</v>
      </c>
      <c r="M228" s="20" t="n">
        <v>-1102</v>
      </c>
      <c r="S228" s="20" t="n">
        <v>-446</v>
      </c>
      <c r="T228" s="20" t="n">
        <v>-678</v>
      </c>
      <c r="U228" s="20" t="n">
        <v>-542</v>
      </c>
      <c r="V228" s="20" t="n">
        <v>-870</v>
      </c>
      <c r="W228" s="20" t="n">
        <v>402</v>
      </c>
      <c r="X228" s="20" t="n">
        <v>-1102</v>
      </c>
    </row>
    <row r="229">
      <c r="A229" s="18" t="inlineStr">
        <is>
          <t>고정자산 매각손익</t>
        </is>
      </c>
      <c r="I229" s="20" t="n">
        <v>-23</v>
      </c>
      <c r="M229" s="20" t="n">
        <v>-694</v>
      </c>
      <c r="W229" s="20" t="n">
        <v>-23</v>
      </c>
      <c r="X229" s="20" t="n">
        <v>-694</v>
      </c>
    </row>
    <row r="230">
      <c r="A230" s="18" t="inlineStr">
        <is>
          <t>고정자산 처분손익</t>
        </is>
      </c>
      <c r="E230" s="20" t="n">
        <v>683</v>
      </c>
      <c r="I230" s="20" t="n">
        <v>840</v>
      </c>
      <c r="M230" s="20" t="n">
        <v>1095</v>
      </c>
      <c r="O230" s="20" t="n">
        <v>629</v>
      </c>
      <c r="P230" s="20" t="n">
        <v>466</v>
      </c>
      <c r="Q230" s="20" t="n">
        <v>629</v>
      </c>
      <c r="R230" s="20" t="n">
        <v>536</v>
      </c>
      <c r="S230" s="20" t="n">
        <v>393</v>
      </c>
      <c r="T230" s="20" t="n">
        <v>696</v>
      </c>
      <c r="U230" s="20" t="n">
        <v>348</v>
      </c>
      <c r="V230" s="20" t="n">
        <v>683</v>
      </c>
      <c r="W230" s="20" t="n">
        <v>840</v>
      </c>
      <c r="X230" s="20" t="n">
        <v>1095</v>
      </c>
    </row>
    <row r="231">
      <c r="A231" s="18" t="inlineStr">
        <is>
          <t>투자유가증권 매각손익</t>
        </is>
      </c>
      <c r="C231" s="20" t="n">
        <v>-2791</v>
      </c>
      <c r="E231" s="20" t="n">
        <v>-25505</v>
      </c>
      <c r="G231" s="20" t="n">
        <v>-164</v>
      </c>
      <c r="I231" s="20" t="n">
        <v>-8294</v>
      </c>
      <c r="K231" s="20" t="n">
        <v>-16854</v>
      </c>
      <c r="M231" s="20" t="n">
        <v>-17310</v>
      </c>
      <c r="T231" s="20" t="n">
        <v>224</v>
      </c>
      <c r="U231" s="20" t="n">
        <v>-3063</v>
      </c>
      <c r="V231" s="20" t="n">
        <v>-25505</v>
      </c>
      <c r="W231" s="20" t="n">
        <v>-8294</v>
      </c>
      <c r="X231" s="20" t="n">
        <v>-17310</v>
      </c>
    </row>
    <row r="232">
      <c r="A232" s="18" t="inlineStr">
        <is>
          <t>투자유가증권 평가손익</t>
        </is>
      </c>
      <c r="C232" s="20" t="n">
        <v>4</v>
      </c>
      <c r="E232" s="20" t="n">
        <v>2359</v>
      </c>
      <c r="G232" s="20" t="n">
        <v>708</v>
      </c>
      <c r="I232" s="20" t="n">
        <v>966</v>
      </c>
      <c r="K232" s="20" t="n">
        <v>2141</v>
      </c>
      <c r="M232" s="20" t="n">
        <v>2288</v>
      </c>
      <c r="Q232" s="20" t="n">
        <v>0</v>
      </c>
      <c r="R232" s="20" t="n">
        <v>707</v>
      </c>
      <c r="S232" s="20" t="n">
        <v>175</v>
      </c>
      <c r="U232" s="20" t="n">
        <v>7</v>
      </c>
      <c r="V232" s="20" t="n">
        <v>2359</v>
      </c>
      <c r="W232" s="20" t="n">
        <v>966</v>
      </c>
      <c r="X232" s="20" t="n">
        <v>2288</v>
      </c>
    </row>
    <row r="233">
      <c r="A233" s="18" t="inlineStr">
        <is>
          <t>매출채권 증감</t>
        </is>
      </c>
      <c r="C233" s="20" t="n">
        <v>-2120</v>
      </c>
      <c r="E233" s="20" t="n">
        <v>-1453</v>
      </c>
      <c r="G233" s="20" t="n">
        <v>1856</v>
      </c>
      <c r="I233" s="20" t="n">
        <v>2996</v>
      </c>
      <c r="K233" s="20" t="n">
        <v>11800</v>
      </c>
      <c r="M233" s="20" t="n">
        <v>19639</v>
      </c>
      <c r="O233" s="20" t="n">
        <v>-8200</v>
      </c>
      <c r="P233" s="20" t="n">
        <v>-5813</v>
      </c>
      <c r="Q233" s="20" t="n">
        <v>48</v>
      </c>
      <c r="R233" s="20" t="n">
        <v>6617</v>
      </c>
      <c r="S233" s="20" t="n">
        <v>-4931</v>
      </c>
      <c r="T233" s="20" t="n">
        <v>-3924</v>
      </c>
      <c r="U233" s="20" t="n">
        <v>2375</v>
      </c>
      <c r="V233" s="20" t="n">
        <v>-1453</v>
      </c>
      <c r="W233" s="20" t="n">
        <v>2996</v>
      </c>
      <c r="X233" s="20" t="n">
        <v>19639</v>
      </c>
    </row>
    <row r="234">
      <c r="A234" s="18" t="inlineStr">
        <is>
          <t>상여충당금 증감</t>
        </is>
      </c>
      <c r="C234" s="20" t="n">
        <v>-406</v>
      </c>
      <c r="G234" s="20" t="n">
        <v>-382</v>
      </c>
      <c r="K234" s="20" t="n">
        <v>-627</v>
      </c>
      <c r="O234" s="20" t="n">
        <v>-23</v>
      </c>
      <c r="P234" s="20" t="n">
        <v>580</v>
      </c>
      <c r="Q234" s="20" t="n">
        <v>67</v>
      </c>
      <c r="S234" s="20" t="n">
        <v>-102</v>
      </c>
      <c r="T234" s="20" t="n">
        <v>968</v>
      </c>
      <c r="U234" s="20" t="n">
        <v>-286</v>
      </c>
    </row>
    <row r="235">
      <c r="A235" s="18" t="inlineStr">
        <is>
          <t>재고자산 증감</t>
        </is>
      </c>
      <c r="C235" s="20" t="n">
        <v>10098</v>
      </c>
      <c r="E235" s="20" t="n">
        <v>7328</v>
      </c>
      <c r="G235" s="20" t="n">
        <v>-8164</v>
      </c>
      <c r="I235" s="20" t="n">
        <v>-13818</v>
      </c>
      <c r="K235" s="20" t="n">
        <v>11379</v>
      </c>
      <c r="M235" s="20" t="n">
        <v>18153</v>
      </c>
      <c r="O235" s="20" t="n">
        <v>1178</v>
      </c>
      <c r="P235" s="20" t="n">
        <v>-1949</v>
      </c>
      <c r="Q235" s="20" t="n">
        <v>-7760</v>
      </c>
      <c r="R235" s="20" t="n">
        <v>-2204</v>
      </c>
      <c r="S235" s="20" t="n">
        <v>5966</v>
      </c>
      <c r="T235" s="20" t="n">
        <v>-23582</v>
      </c>
      <c r="U235" s="20" t="n">
        <v>-31087</v>
      </c>
      <c r="V235" s="20" t="n">
        <v>7328</v>
      </c>
      <c r="W235" s="20" t="n">
        <v>-13818</v>
      </c>
      <c r="X235" s="20" t="n">
        <v>18153</v>
      </c>
    </row>
    <row r="236">
      <c r="A236" s="18" t="inlineStr">
        <is>
          <t>매입채무 증감</t>
        </is>
      </c>
      <c r="C236" s="20" t="n">
        <v>-16422</v>
      </c>
      <c r="E236" s="20" t="n">
        <v>-1855</v>
      </c>
      <c r="G236" s="20" t="n">
        <v>-21660</v>
      </c>
      <c r="I236" s="20" t="n">
        <v>-18496</v>
      </c>
      <c r="K236" s="20" t="n">
        <v>-6020</v>
      </c>
      <c r="M236" s="20" t="n">
        <v>-11004</v>
      </c>
      <c r="O236" s="20" t="n">
        <v>13802</v>
      </c>
      <c r="P236" s="20" t="n">
        <v>16930</v>
      </c>
      <c r="Q236" s="20" t="n">
        <v>-916</v>
      </c>
      <c r="R236" s="20" t="n">
        <v>-16401</v>
      </c>
      <c r="S236" s="20" t="n">
        <v>246</v>
      </c>
      <c r="T236" s="20" t="n">
        <v>15049</v>
      </c>
      <c r="U236" s="20" t="n">
        <v>1111</v>
      </c>
      <c r="V236" s="20" t="n">
        <v>-1855</v>
      </c>
      <c r="W236" s="20" t="n">
        <v>-18496</v>
      </c>
      <c r="X236" s="20" t="n">
        <v>-11004</v>
      </c>
    </row>
    <row r="237">
      <c r="A237" s="18" t="inlineStr">
        <is>
          <t>기타</t>
        </is>
      </c>
      <c r="C237" s="20" t="n">
        <v>15717</v>
      </c>
      <c r="E237" s="20" t="n">
        <v>7079</v>
      </c>
      <c r="G237" s="20" t="n">
        <v>8356</v>
      </c>
      <c r="I237" s="20" t="n">
        <v>7678</v>
      </c>
      <c r="K237" s="20" t="n">
        <v>11164</v>
      </c>
      <c r="M237" s="20" t="n">
        <v>1951</v>
      </c>
      <c r="O237" s="20" t="n">
        <v>489</v>
      </c>
      <c r="P237" s="20" t="n">
        <v>-5161</v>
      </c>
      <c r="Q237" s="20" t="n">
        <v>1911</v>
      </c>
      <c r="R237" s="20" t="n">
        <v>5649</v>
      </c>
      <c r="S237" s="20" t="n">
        <v>3375</v>
      </c>
      <c r="T237" s="20" t="n">
        <v>-14853</v>
      </c>
      <c r="U237" s="20" t="n">
        <v>3637</v>
      </c>
      <c r="V237" s="20" t="n">
        <v>7079</v>
      </c>
      <c r="W237" s="20" t="n">
        <v>7678</v>
      </c>
      <c r="X237" s="20" t="n">
        <v>1951</v>
      </c>
    </row>
    <row r="238">
      <c r="A238" s="18" t="inlineStr">
        <is>
          <t>소계</t>
        </is>
      </c>
      <c r="C238" s="20" t="n">
        <v>24495</v>
      </c>
      <c r="E238" s="20" t="n">
        <v>52376</v>
      </c>
      <c r="G238" s="20" t="n">
        <v>10930</v>
      </c>
      <c r="I238" s="20" t="n">
        <v>31125</v>
      </c>
      <c r="K238" s="20" t="n">
        <v>49098</v>
      </c>
      <c r="M238" s="20" t="n">
        <v>81062</v>
      </c>
      <c r="O238" s="20" t="n">
        <v>53515</v>
      </c>
      <c r="P238" s="20" t="n">
        <v>62199</v>
      </c>
      <c r="Q238" s="20" t="n">
        <v>47518</v>
      </c>
      <c r="R238" s="20" t="n">
        <v>36779</v>
      </c>
      <c r="S238" s="20" t="n">
        <v>56940</v>
      </c>
      <c r="T238" s="20" t="n">
        <v>40961</v>
      </c>
      <c r="U238" s="20" t="n">
        <v>24762</v>
      </c>
      <c r="V238" s="20" t="n">
        <v>52376</v>
      </c>
      <c r="W238" s="20" t="n">
        <v>31125</v>
      </c>
      <c r="X238" s="20" t="n">
        <v>81062</v>
      </c>
    </row>
    <row r="239">
      <c r="A239" s="18" t="inlineStr">
        <is>
          <t>이자·배당금 수취</t>
        </is>
      </c>
      <c r="C239" s="20" t="n">
        <v>2036</v>
      </c>
      <c r="E239" s="20" t="n">
        <v>3543</v>
      </c>
      <c r="G239" s="20" t="n">
        <v>1929</v>
      </c>
      <c r="I239" s="20" t="n">
        <v>3100</v>
      </c>
      <c r="K239" s="20" t="n">
        <v>1777</v>
      </c>
      <c r="M239" s="20" t="n">
        <v>3387</v>
      </c>
      <c r="O239" s="20" t="n">
        <v>2592</v>
      </c>
      <c r="P239" s="20" t="n">
        <v>2443</v>
      </c>
      <c r="Q239" s="20" t="n">
        <v>2561</v>
      </c>
      <c r="R239" s="20" t="n">
        <v>2997</v>
      </c>
      <c r="S239" s="20" t="n">
        <v>2614</v>
      </c>
      <c r="T239" s="20" t="n">
        <v>2954</v>
      </c>
      <c r="U239" s="20" t="n">
        <v>3569</v>
      </c>
      <c r="V239" s="20" t="n">
        <v>3543</v>
      </c>
      <c r="W239" s="20" t="n">
        <v>3100</v>
      </c>
      <c r="X239" s="20" t="n">
        <v>3387</v>
      </c>
    </row>
    <row r="240">
      <c r="A240" s="18" t="inlineStr">
        <is>
          <t>보조금 수취</t>
        </is>
      </c>
      <c r="E240" s="20" t="n">
        <v>1026</v>
      </c>
      <c r="I240" s="20" t="n">
        <v>536</v>
      </c>
      <c r="M240" s="20" t="n">
        <v>126</v>
      </c>
      <c r="O240" s="20" t="n">
        <v>640</v>
      </c>
      <c r="P240" s="20" t="n">
        <v>127</v>
      </c>
      <c r="R240" s="20" t="n">
        <v>243</v>
      </c>
      <c r="S240" s="20" t="n">
        <v>2013</v>
      </c>
      <c r="T240" s="20" t="n">
        <v>83</v>
      </c>
      <c r="U240" s="20" t="n">
        <v>62</v>
      </c>
      <c r="V240" s="20" t="n">
        <v>1026</v>
      </c>
      <c r="W240" s="20" t="n">
        <v>536</v>
      </c>
      <c r="X240" s="20" t="n">
        <v>126</v>
      </c>
    </row>
    <row r="241">
      <c r="A241" s="18" t="inlineStr">
        <is>
          <t>보상금 수취</t>
        </is>
      </c>
      <c r="O241" s="20" t="n">
        <v>941</v>
      </c>
      <c r="P241" s="20" t="n">
        <v>119</v>
      </c>
    </row>
    <row r="242">
      <c r="A242" s="18" t="inlineStr">
        <is>
          <t>이자 지급</t>
        </is>
      </c>
      <c r="C242" s="20" t="n">
        <v>-64</v>
      </c>
      <c r="E242" s="20" t="n">
        <v>-91</v>
      </c>
      <c r="G242" s="20" t="n">
        <v>-81</v>
      </c>
      <c r="I242" s="20" t="n">
        <v>-194</v>
      </c>
      <c r="K242" s="20" t="n">
        <v>-70</v>
      </c>
      <c r="M242" s="20" t="n">
        <v>-174</v>
      </c>
      <c r="O242" s="20" t="n">
        <v>-452</v>
      </c>
      <c r="P242" s="20" t="n">
        <v>-334</v>
      </c>
      <c r="Q242" s="20" t="n">
        <v>-219</v>
      </c>
      <c r="R242" s="20" t="n">
        <v>-132</v>
      </c>
      <c r="S242" s="20" t="n">
        <v>-127</v>
      </c>
      <c r="T242" s="20" t="n">
        <v>-133</v>
      </c>
      <c r="U242" s="20" t="n">
        <v>-99</v>
      </c>
      <c r="V242" s="20" t="n">
        <v>-91</v>
      </c>
      <c r="W242" s="20" t="n">
        <v>-194</v>
      </c>
      <c r="X242" s="20" t="n">
        <v>-174</v>
      </c>
    </row>
    <row r="243">
      <c r="A243" s="18" t="inlineStr">
        <is>
          <t>보험금 수취</t>
        </is>
      </c>
      <c r="P243" s="20" t="n">
        <v>0</v>
      </c>
      <c r="Q243" s="20" t="n">
        <v>501</v>
      </c>
      <c r="R243" s="20" t="n">
        <v>0</v>
      </c>
    </row>
    <row r="244">
      <c r="A244" s="18" t="inlineStr">
        <is>
          <t>Refund Of Subsidy Received Ope CF</t>
        </is>
      </c>
      <c r="I244" s="20" t="n">
        <v>0</v>
      </c>
      <c r="M244" s="20" t="n">
        <v>-1102</v>
      </c>
      <c r="W244" s="20" t="n">
        <v>0</v>
      </c>
      <c r="X244" s="20" t="n">
        <v>-1102</v>
      </c>
    </row>
    <row r="245">
      <c r="A245" s="18" t="inlineStr">
        <is>
          <t>법인세 납부</t>
        </is>
      </c>
      <c r="C245" s="20" t="n">
        <v>-3750</v>
      </c>
      <c r="E245" s="20" t="n">
        <v>-9441</v>
      </c>
      <c r="G245" s="20" t="n">
        <v>-7938</v>
      </c>
      <c r="I245" s="20" t="n">
        <v>-13785</v>
      </c>
      <c r="K245" s="20" t="n">
        <v>-2670</v>
      </c>
      <c r="M245" s="20" t="n">
        <v>-6863</v>
      </c>
      <c r="O245" s="20" t="n">
        <v>-8195</v>
      </c>
      <c r="P245" s="20" t="n">
        <v>-10092</v>
      </c>
      <c r="Q245" s="20" t="n">
        <v>-10387</v>
      </c>
      <c r="R245" s="20" t="n">
        <v>-11451</v>
      </c>
      <c r="S245" s="20" t="n">
        <v>-5357</v>
      </c>
      <c r="T245" s="20" t="n">
        <v>-10691</v>
      </c>
      <c r="U245" s="20" t="n">
        <v>-13896</v>
      </c>
      <c r="V245" s="20" t="n">
        <v>-9441</v>
      </c>
      <c r="W245" s="20" t="n">
        <v>-13785</v>
      </c>
      <c r="X245" s="20" t="n">
        <v>-6863</v>
      </c>
    </row>
    <row r="246">
      <c r="A246" s="18" t="inlineStr">
        <is>
          <t>기타</t>
        </is>
      </c>
      <c r="C246" s="20" t="n">
        <v>70</v>
      </c>
      <c r="E246" s="20" t="n">
        <v>0</v>
      </c>
      <c r="G246" s="20" t="n">
        <v>481</v>
      </c>
      <c r="K246" s="20" t="n">
        <v>23</v>
      </c>
      <c r="P246" s="20" t="n">
        <v>246</v>
      </c>
      <c r="Q246" s="20" t="n">
        <v>419</v>
      </c>
      <c r="R246" s="20" t="n">
        <v>-6</v>
      </c>
      <c r="S246" s="20" t="n">
        <v>-4</v>
      </c>
      <c r="T246" s="20" t="n">
        <v>50</v>
      </c>
      <c r="U246" s="20" t="n">
        <v>-41</v>
      </c>
      <c r="V246" s="20" t="n">
        <v>0</v>
      </c>
    </row>
    <row r="247">
      <c r="A247" s="9" t="inlineStr">
        <is>
          <t>영업활동 현금흐름</t>
        </is>
      </c>
      <c r="C247" s="12" t="n">
        <v>22787</v>
      </c>
      <c r="E247" s="12" t="n">
        <v>47413</v>
      </c>
      <c r="G247" s="12" t="n">
        <v>5321</v>
      </c>
      <c r="I247" s="12" t="n">
        <v>20781</v>
      </c>
      <c r="K247" s="12" t="n">
        <v>48159</v>
      </c>
      <c r="M247" s="12" t="n">
        <v>76436</v>
      </c>
      <c r="O247" s="12" t="n">
        <v>49042</v>
      </c>
      <c r="P247" s="12" t="n">
        <v>54462</v>
      </c>
      <c r="Q247" s="12" t="n">
        <v>40393</v>
      </c>
      <c r="R247" s="12" t="n">
        <v>28430</v>
      </c>
      <c r="S247" s="12" t="n">
        <v>56080</v>
      </c>
      <c r="T247" s="12" t="n">
        <v>33140</v>
      </c>
      <c r="U247" s="12" t="n">
        <v>14358</v>
      </c>
      <c r="V247" s="12" t="n">
        <v>47413</v>
      </c>
      <c r="W247" s="12" t="n">
        <v>20781</v>
      </c>
      <c r="X247" s="12" t="n">
        <v>76436</v>
      </c>
    </row>
    <row r="248">
      <c r="A248" s="18" t="inlineStr">
        <is>
          <t>유형자산 취득(설비투자)</t>
        </is>
      </c>
      <c r="C248" s="20" t="n">
        <v>-13882</v>
      </c>
      <c r="E248" s="20" t="n">
        <v>-33670</v>
      </c>
      <c r="G248" s="20" t="n">
        <v>-14365</v>
      </c>
      <c r="I248" s="20" t="n">
        <v>-29100</v>
      </c>
      <c r="K248" s="20" t="n">
        <v>-16969</v>
      </c>
      <c r="M248" s="20" t="n">
        <v>-58374</v>
      </c>
      <c r="O248" s="20" t="n">
        <v>-24397</v>
      </c>
      <c r="P248" s="20" t="n">
        <v>-12140</v>
      </c>
      <c r="Q248" s="20" t="n">
        <v>-12041</v>
      </c>
      <c r="R248" s="20" t="n">
        <v>-21788</v>
      </c>
      <c r="S248" s="20" t="n">
        <v>-23386</v>
      </c>
      <c r="T248" s="20" t="n">
        <v>-23278</v>
      </c>
      <c r="U248" s="20" t="n">
        <v>-23564</v>
      </c>
      <c r="V248" s="20" t="n">
        <v>-33670</v>
      </c>
      <c r="W248" s="20" t="n">
        <v>-29100</v>
      </c>
      <c r="X248" s="20" t="n">
        <v>-58374</v>
      </c>
    </row>
    <row r="249">
      <c r="A249" s="18" t="inlineStr">
        <is>
          <t>무형자산 취득</t>
        </is>
      </c>
      <c r="C249" s="20" t="n">
        <v>-1174</v>
      </c>
      <c r="E249" s="20" t="n">
        <v>-2320</v>
      </c>
      <c r="G249" s="20" t="n">
        <v>-1073</v>
      </c>
      <c r="I249" s="20" t="n">
        <v>-1606</v>
      </c>
      <c r="K249" s="20" t="n">
        <v>-1368</v>
      </c>
      <c r="M249" s="20" t="n">
        <v>-2499</v>
      </c>
      <c r="O249" s="20" t="n">
        <v>-1303</v>
      </c>
      <c r="P249" s="20" t="n">
        <v>-1197</v>
      </c>
      <c r="Q249" s="20" t="n">
        <v>-733</v>
      </c>
      <c r="R249" s="20" t="n">
        <v>-1347</v>
      </c>
      <c r="S249" s="20" t="n">
        <v>-647</v>
      </c>
      <c r="T249" s="20" t="n">
        <v>-895</v>
      </c>
      <c r="U249" s="20" t="n">
        <v>-3056</v>
      </c>
      <c r="V249" s="20" t="n">
        <v>-2320</v>
      </c>
      <c r="W249" s="20" t="n">
        <v>-1606</v>
      </c>
      <c r="X249" s="20" t="n">
        <v>-2499</v>
      </c>
    </row>
    <row r="250">
      <c r="A250" s="18" t="inlineStr">
        <is>
          <t>유형자산 매각</t>
        </is>
      </c>
      <c r="I250" s="20" t="n">
        <v>378</v>
      </c>
      <c r="M250" s="20" t="n">
        <v>895</v>
      </c>
      <c r="W250" s="20" t="n">
        <v>378</v>
      </c>
      <c r="X250" s="20" t="n">
        <v>895</v>
      </c>
    </row>
    <row r="251">
      <c r="A251" s="18" t="inlineStr">
        <is>
          <t>유형자산 제각 지출</t>
        </is>
      </c>
      <c r="E251" s="20" t="n">
        <v>-428</v>
      </c>
      <c r="G251" s="20" t="n">
        <v>-145</v>
      </c>
      <c r="I251" s="20" t="n">
        <v>-298</v>
      </c>
      <c r="K251" s="20" t="n">
        <v>-560</v>
      </c>
      <c r="M251" s="20" t="n">
        <v>-1105</v>
      </c>
      <c r="T251" s="20" t="n">
        <v>-120</v>
      </c>
      <c r="U251" s="20" t="n">
        <v>-689</v>
      </c>
      <c r="V251" s="20" t="n">
        <v>-428</v>
      </c>
      <c r="W251" s="20" t="n">
        <v>-298</v>
      </c>
      <c r="X251" s="20" t="n">
        <v>-1105</v>
      </c>
    </row>
    <row r="252">
      <c r="A252" s="18" t="inlineStr">
        <is>
          <t>투자유가증권 취득</t>
        </is>
      </c>
      <c r="C252" s="20" t="n">
        <v>-2219</v>
      </c>
      <c r="E252" s="20" t="n">
        <v>-3163</v>
      </c>
      <c r="G252" s="20" t="n">
        <v>-1294</v>
      </c>
      <c r="I252" s="20" t="n">
        <v>-1877</v>
      </c>
      <c r="K252" s="20" t="n">
        <v>-1679</v>
      </c>
      <c r="M252" s="20" t="n">
        <v>-2623</v>
      </c>
      <c r="O252" s="20" t="n">
        <v>-2400</v>
      </c>
      <c r="P252" s="20" t="n">
        <v>-626</v>
      </c>
      <c r="Q252" s="20" t="n">
        <v>-7388</v>
      </c>
      <c r="R252" s="20" t="n">
        <v>-1345</v>
      </c>
      <c r="S252" s="20" t="n">
        <v>-1559</v>
      </c>
      <c r="T252" s="20" t="n">
        <v>-1500</v>
      </c>
      <c r="U252" s="20" t="n">
        <v>-5970</v>
      </c>
      <c r="V252" s="20" t="n">
        <v>-3163</v>
      </c>
      <c r="W252" s="20" t="n">
        <v>-1877</v>
      </c>
      <c r="X252" s="20" t="n">
        <v>-2623</v>
      </c>
    </row>
    <row r="253">
      <c r="A253" s="18" t="inlineStr">
        <is>
          <t>관계회사 출자금 매각 수입</t>
        </is>
      </c>
      <c r="O253" s="20" t="n">
        <v>0</v>
      </c>
      <c r="P253" s="20" t="n">
        <v>543</v>
      </c>
      <c r="Q253" s="20" t="n">
        <v>0</v>
      </c>
    </row>
    <row r="254">
      <c r="A254" s="18" t="inlineStr">
        <is>
          <t>투자유가증권 매각</t>
        </is>
      </c>
      <c r="C254" s="20" t="n">
        <v>1009</v>
      </c>
      <c r="E254" s="20" t="n">
        <v>34649</v>
      </c>
      <c r="G254" s="20" t="n">
        <v>227</v>
      </c>
      <c r="I254" s="20" t="n">
        <v>11900</v>
      </c>
      <c r="K254" s="20" t="n">
        <v>20140</v>
      </c>
      <c r="M254" s="20" t="n">
        <v>21712</v>
      </c>
      <c r="O254" s="20" t="n">
        <v>539</v>
      </c>
      <c r="P254" s="20" t="n">
        <v>266</v>
      </c>
      <c r="T254" s="20" t="n">
        <v>3</v>
      </c>
      <c r="U254" s="20" t="n">
        <v>5045</v>
      </c>
      <c r="V254" s="20" t="n">
        <v>34649</v>
      </c>
      <c r="W254" s="20" t="n">
        <v>11900</v>
      </c>
      <c r="X254" s="20" t="n">
        <v>21712</v>
      </c>
    </row>
    <row r="255">
      <c r="A255" s="18" t="inlineStr">
        <is>
          <t>대여</t>
        </is>
      </c>
      <c r="C255" s="20" t="n">
        <v>-1246</v>
      </c>
      <c r="E255" s="20" t="n">
        <v>-2393</v>
      </c>
      <c r="G255" s="20" t="n">
        <v>-543</v>
      </c>
      <c r="I255" s="20" t="n">
        <v>-1086</v>
      </c>
      <c r="K255" s="20" t="n">
        <v>-359</v>
      </c>
      <c r="M255" s="20" t="n">
        <v>-1100</v>
      </c>
      <c r="O255" s="20" t="n">
        <v>-5812</v>
      </c>
      <c r="P255" s="20" t="n">
        <v>-2169</v>
      </c>
      <c r="Q255" s="20" t="n">
        <v>-2096</v>
      </c>
      <c r="R255" s="20" t="n">
        <v>-4568</v>
      </c>
      <c r="S255" s="20" t="n">
        <v>-2744</v>
      </c>
      <c r="T255" s="20" t="n">
        <v>-1361</v>
      </c>
      <c r="U255" s="20" t="n">
        <v>-2201</v>
      </c>
      <c r="V255" s="20" t="n">
        <v>-2393</v>
      </c>
      <c r="W255" s="20" t="n">
        <v>-1086</v>
      </c>
      <c r="X255" s="20" t="n">
        <v>-1100</v>
      </c>
    </row>
    <row r="256">
      <c r="A256" s="18" t="inlineStr">
        <is>
          <t>대여금 회수</t>
        </is>
      </c>
      <c r="E256" s="20" t="n">
        <v>679</v>
      </c>
      <c r="I256" s="20" t="n">
        <v>566</v>
      </c>
      <c r="M256" s="20" t="n">
        <v>352</v>
      </c>
      <c r="O256" s="20" t="n">
        <v>5923</v>
      </c>
      <c r="P256" s="20" t="n">
        <v>2056</v>
      </c>
      <c r="Q256" s="20" t="n">
        <v>2283</v>
      </c>
      <c r="R256" s="20" t="n">
        <v>4469</v>
      </c>
      <c r="S256" s="20" t="n">
        <v>478</v>
      </c>
      <c r="T256" s="20" t="n">
        <v>153</v>
      </c>
      <c r="U256" s="20" t="n">
        <v>1478</v>
      </c>
      <c r="V256" s="20" t="n">
        <v>679</v>
      </c>
      <c r="W256" s="20" t="n">
        <v>566</v>
      </c>
      <c r="X256" s="20" t="n">
        <v>352</v>
      </c>
    </row>
    <row r="257">
      <c r="A257" s="18" t="inlineStr">
        <is>
          <t>정기예금 순증감</t>
        </is>
      </c>
      <c r="E257" s="20" t="n">
        <v>1653</v>
      </c>
      <c r="I257" s="20" t="n">
        <v>-237</v>
      </c>
      <c r="M257" s="20" t="n">
        <v>499</v>
      </c>
      <c r="O257" s="20" t="n">
        <v>730</v>
      </c>
      <c r="P257" s="20" t="n">
        <v>-1472</v>
      </c>
      <c r="Q257" s="20" t="n">
        <v>-859</v>
      </c>
      <c r="R257" s="20" t="n">
        <v>947</v>
      </c>
      <c r="S257" s="20" t="n">
        <v>-2045</v>
      </c>
      <c r="T257" s="20" t="n">
        <v>1077</v>
      </c>
      <c r="U257" s="20" t="n">
        <v>1192</v>
      </c>
      <c r="V257" s="20" t="n">
        <v>1653</v>
      </c>
      <c r="W257" s="20" t="n">
        <v>-237</v>
      </c>
      <c r="X257" s="20" t="n">
        <v>499</v>
      </c>
    </row>
    <row r="258">
      <c r="A258" s="18" t="inlineStr">
        <is>
          <t>장기선급비용 지출</t>
        </is>
      </c>
      <c r="C258" s="20" t="n">
        <v>-153</v>
      </c>
      <c r="E258" s="20" t="n">
        <v>-231</v>
      </c>
      <c r="I258" s="20" t="n">
        <v>-528</v>
      </c>
      <c r="M258" s="20" t="n">
        <v>-255</v>
      </c>
      <c r="O258" s="20" t="n">
        <v>-1951</v>
      </c>
      <c r="P258" s="20" t="n">
        <v>-778</v>
      </c>
      <c r="Q258" s="20" t="n">
        <v>-218</v>
      </c>
      <c r="R258" s="20" t="n">
        <v>-642</v>
      </c>
      <c r="S258" s="20" t="n">
        <v>-231</v>
      </c>
      <c r="T258" s="20" t="n">
        <v>-424</v>
      </c>
      <c r="U258" s="20" t="n">
        <v>-774</v>
      </c>
      <c r="V258" s="20" t="n">
        <v>-231</v>
      </c>
      <c r="W258" s="20" t="n">
        <v>-528</v>
      </c>
      <c r="X258" s="20" t="n">
        <v>-255</v>
      </c>
    </row>
    <row r="259">
      <c r="A259" s="18" t="inlineStr">
        <is>
          <t>기타</t>
        </is>
      </c>
      <c r="C259" s="20" t="n">
        <v>-71</v>
      </c>
      <c r="E259" s="20" t="n">
        <v>-631</v>
      </c>
      <c r="G259" s="20" t="n">
        <v>-50</v>
      </c>
      <c r="I259" s="20" t="n">
        <v>-137</v>
      </c>
      <c r="K259" s="20" t="n">
        <v>18</v>
      </c>
      <c r="M259" s="20" t="n">
        <v>59</v>
      </c>
      <c r="O259" s="20" t="n">
        <v>-451</v>
      </c>
      <c r="P259" s="20" t="n">
        <v>831</v>
      </c>
      <c r="Q259" s="20" t="n">
        <v>-373</v>
      </c>
      <c r="R259" s="20" t="n">
        <v>-295</v>
      </c>
      <c r="S259" s="20" t="n">
        <v>141</v>
      </c>
      <c r="T259" s="20" t="n">
        <v>-90</v>
      </c>
      <c r="U259" s="20" t="n">
        <v>-360</v>
      </c>
      <c r="V259" s="20" t="n">
        <v>-631</v>
      </c>
      <c r="W259" s="20" t="n">
        <v>-137</v>
      </c>
      <c r="X259" s="20" t="n">
        <v>59</v>
      </c>
    </row>
    <row r="260">
      <c r="A260" s="9" t="inlineStr">
        <is>
          <t>투자활동 현금흐름</t>
        </is>
      </c>
      <c r="C260" s="12" t="n">
        <v>-17582</v>
      </c>
      <c r="E260" s="12" t="n">
        <v>-5428</v>
      </c>
      <c r="G260" s="12" t="n">
        <v>-17244</v>
      </c>
      <c r="I260" s="12" t="n">
        <v>-22026</v>
      </c>
      <c r="K260" s="12" t="n">
        <v>-776</v>
      </c>
      <c r="M260" s="12" t="n">
        <v>-42439</v>
      </c>
      <c r="O260" s="12" t="n">
        <v>-29121</v>
      </c>
      <c r="P260" s="12" t="n">
        <v>-14951</v>
      </c>
      <c r="Q260" s="12" t="n">
        <v>-21426</v>
      </c>
      <c r="R260" s="12" t="n">
        <v>-24570</v>
      </c>
      <c r="S260" s="12" t="n">
        <v>-30239</v>
      </c>
      <c r="T260" s="12" t="n">
        <v>-26436</v>
      </c>
      <c r="U260" s="12" t="n">
        <v>-28899</v>
      </c>
      <c r="V260" s="12" t="n">
        <v>-5428</v>
      </c>
      <c r="W260" s="12" t="n">
        <v>-22026</v>
      </c>
      <c r="X260" s="12" t="n">
        <v>-42439</v>
      </c>
    </row>
    <row r="261">
      <c r="A261" s="18" t="inlineStr">
        <is>
          <t>장기차입금 상환</t>
        </is>
      </c>
      <c r="O261" s="20" t="n">
        <v>-12567</v>
      </c>
      <c r="P261" s="20" t="n">
        <v>-4324</v>
      </c>
      <c r="Q261" s="20" t="n">
        <v>-2971</v>
      </c>
      <c r="R261" s="20" t="n">
        <v>0</v>
      </c>
      <c r="S261" s="20" t="n">
        <v>-2000</v>
      </c>
      <c r="T261" s="20" t="n">
        <v>0</v>
      </c>
    </row>
    <row r="262">
      <c r="A262" s="18" t="inlineStr">
        <is>
          <t>단기차입금 순증감</t>
        </is>
      </c>
      <c r="C262" s="20" t="n">
        <v>0</v>
      </c>
      <c r="O262" s="20" t="n">
        <v>706</v>
      </c>
      <c r="P262" s="20" t="n">
        <v>-83</v>
      </c>
      <c r="Q262" s="20" t="n">
        <v>-1407</v>
      </c>
      <c r="R262" s="20" t="n">
        <v>-3165</v>
      </c>
      <c r="S262" s="20" t="n">
        <v>0</v>
      </c>
    </row>
    <row r="263">
      <c r="A263" s="18" t="inlineStr">
        <is>
          <t>Increase Decrease In Commercial Papers Fin CF</t>
        </is>
      </c>
      <c r="C263" s="20" t="n">
        <v>1000</v>
      </c>
      <c r="E263" s="20" t="n">
        <v>-19000</v>
      </c>
      <c r="G263" s="20" t="n">
        <v>15000</v>
      </c>
      <c r="I263" s="20" t="n">
        <v>17000</v>
      </c>
      <c r="K263" s="20" t="n">
        <v>-17000</v>
      </c>
      <c r="M263" s="20" t="n">
        <v>-10000</v>
      </c>
      <c r="O263" s="20" t="n">
        <v>-500</v>
      </c>
      <c r="P263" s="20" t="n">
        <v>-1500</v>
      </c>
      <c r="Q263" s="20" t="n">
        <v>0</v>
      </c>
      <c r="T263" s="20" t="n">
        <v>0</v>
      </c>
      <c r="U263" s="20" t="n">
        <v>19000</v>
      </c>
      <c r="V263" s="20" t="n">
        <v>-19000</v>
      </c>
      <c r="W263" s="20" t="n">
        <v>17000</v>
      </c>
      <c r="X263" s="20" t="n">
        <v>-10000</v>
      </c>
    </row>
    <row r="264">
      <c r="A264" s="18" t="inlineStr">
        <is>
          <t>장기차입</t>
        </is>
      </c>
      <c r="O264" s="20" t="n">
        <v>500</v>
      </c>
      <c r="P264" s="20" t="n">
        <v>0</v>
      </c>
    </row>
    <row r="265">
      <c r="A265" s="18" t="inlineStr">
        <is>
          <t>사채 상환</t>
        </is>
      </c>
      <c r="C265" s="20" t="n">
        <v>0</v>
      </c>
      <c r="E265" s="20" t="n">
        <v>0</v>
      </c>
      <c r="P265" s="20" t="n">
        <v>0</v>
      </c>
      <c r="Q265" s="20" t="n">
        <v>-10000</v>
      </c>
      <c r="R265" s="20" t="n">
        <v>0</v>
      </c>
      <c r="T265" s="20" t="n">
        <v>0</v>
      </c>
      <c r="U265" s="20" t="n">
        <v>-10000</v>
      </c>
      <c r="V265" s="20" t="n">
        <v>0</v>
      </c>
    </row>
    <row r="266">
      <c r="A266" s="18" t="inlineStr">
        <is>
          <t>배당금 지급</t>
        </is>
      </c>
      <c r="C266" s="20" t="n">
        <v>-3801</v>
      </c>
      <c r="E266" s="20" t="n">
        <v>-8055</v>
      </c>
      <c r="G266" s="20" t="n">
        <v>-5313</v>
      </c>
      <c r="I266" s="20" t="n">
        <v>-12595</v>
      </c>
      <c r="K266" s="20" t="n">
        <v>-6946</v>
      </c>
      <c r="M266" s="20" t="n">
        <v>-13887</v>
      </c>
      <c r="O266" s="20" t="n">
        <v>-3546</v>
      </c>
      <c r="P266" s="20" t="n">
        <v>-3547</v>
      </c>
      <c r="Q266" s="20" t="n">
        <v>-3959</v>
      </c>
      <c r="R266" s="20" t="n">
        <v>-4587</v>
      </c>
      <c r="S266" s="20" t="n">
        <v>-4592</v>
      </c>
      <c r="T266" s="20" t="n">
        <v>-5250</v>
      </c>
      <c r="U266" s="20" t="n">
        <v>-7013</v>
      </c>
      <c r="V266" s="20" t="n">
        <v>-8055</v>
      </c>
      <c r="W266" s="20" t="n">
        <v>-12595</v>
      </c>
      <c r="X266" s="20" t="n">
        <v>-13887</v>
      </c>
    </row>
    <row r="267">
      <c r="A267" s="18" t="inlineStr">
        <is>
          <t>비지배주주 배당금 지급</t>
        </is>
      </c>
      <c r="C267" s="20" t="n">
        <v>-490</v>
      </c>
      <c r="E267" s="20" t="n">
        <v>-1870</v>
      </c>
      <c r="G267" s="20" t="n">
        <v>-2</v>
      </c>
      <c r="I267" s="20" t="n">
        <v>-142</v>
      </c>
      <c r="K267" s="20" t="n">
        <v>0</v>
      </c>
      <c r="M267" s="20" t="n">
        <v>-141</v>
      </c>
      <c r="O267" s="20" t="n">
        <v>-33</v>
      </c>
      <c r="P267" s="20" t="n">
        <v>-136</v>
      </c>
      <c r="Q267" s="20" t="n">
        <v>-82</v>
      </c>
      <c r="R267" s="20" t="n">
        <v>-34</v>
      </c>
      <c r="S267" s="20" t="n">
        <v>-149</v>
      </c>
      <c r="T267" s="20" t="n">
        <v>-110</v>
      </c>
      <c r="U267" s="20" t="n">
        <v>-4</v>
      </c>
      <c r="V267" s="20" t="n">
        <v>-1870</v>
      </c>
      <c r="W267" s="20" t="n">
        <v>-142</v>
      </c>
      <c r="X267" s="20" t="n">
        <v>-141</v>
      </c>
    </row>
    <row r="268">
      <c r="A268" s="18" t="inlineStr">
        <is>
          <t>금융리스부채 상환</t>
        </is>
      </c>
      <c r="C268" s="20" t="n">
        <v>-522</v>
      </c>
      <c r="E268" s="20" t="n">
        <v>-824</v>
      </c>
      <c r="G268" s="20" t="n">
        <v>-647</v>
      </c>
      <c r="I268" s="20" t="n">
        <v>-1074</v>
      </c>
      <c r="K268" s="20" t="n">
        <v>-281</v>
      </c>
      <c r="M268" s="20" t="n">
        <v>-885</v>
      </c>
      <c r="S268" s="20" t="n">
        <v>-325</v>
      </c>
      <c r="T268" s="20" t="n">
        <v>-513</v>
      </c>
      <c r="U268" s="20" t="n">
        <v>-814</v>
      </c>
      <c r="V268" s="20" t="n">
        <v>-824</v>
      </c>
      <c r="W268" s="20" t="n">
        <v>-1074</v>
      </c>
      <c r="X268" s="20" t="n">
        <v>-885</v>
      </c>
    </row>
    <row r="269">
      <c r="A269" s="18" t="inlineStr">
        <is>
          <t>자기주식 취득</t>
        </is>
      </c>
      <c r="C269" s="20" t="n">
        <v>-1998</v>
      </c>
      <c r="E269" s="20" t="n">
        <v>-1998</v>
      </c>
      <c r="G269" s="20" t="n">
        <v>-0</v>
      </c>
      <c r="I269" s="20" t="n">
        <v>-14433</v>
      </c>
      <c r="K269" s="20" t="n">
        <v>-6006</v>
      </c>
      <c r="M269" s="20" t="n">
        <v>-10007</v>
      </c>
      <c r="P269" s="20" t="n">
        <v>-2</v>
      </c>
      <c r="Q269" s="20" t="n">
        <v>-5001</v>
      </c>
      <c r="R269" s="20" t="n">
        <v>-1</v>
      </c>
      <c r="S269" s="20" t="n">
        <v>-1</v>
      </c>
      <c r="T269" s="20" t="n">
        <v>-6011</v>
      </c>
      <c r="U269" s="20" t="n">
        <v>-3990</v>
      </c>
      <c r="V269" s="20" t="n">
        <v>-1998</v>
      </c>
      <c r="W269" s="20" t="n">
        <v>-14433</v>
      </c>
      <c r="X269" s="20" t="n">
        <v>-10007</v>
      </c>
    </row>
    <row r="270">
      <c r="A270" s="18" t="inlineStr">
        <is>
          <t>Payments Of Money Hold In Trust For Purchase Of Treasury Stock Fin CF</t>
        </is>
      </c>
      <c r="C270" s="20" t="n">
        <v>0</v>
      </c>
      <c r="E270" s="20" t="n">
        <v>0</v>
      </c>
      <c r="G270" s="20" t="n">
        <v>-10034</v>
      </c>
      <c r="I270" s="20" t="n">
        <v>-10034</v>
      </c>
      <c r="K270" s="20" t="n">
        <v>0</v>
      </c>
      <c r="M270" s="20" t="n">
        <v>0</v>
      </c>
      <c r="V270" s="20" t="n">
        <v>0</v>
      </c>
      <c r="W270" s="20" t="n">
        <v>-10034</v>
      </c>
      <c r="X270" s="20" t="n">
        <v>0</v>
      </c>
    </row>
    <row r="271">
      <c r="A271" s="18" t="inlineStr">
        <is>
          <t>Proceeds From Withdrawal Of Trust Account For Acquisition Of Treasury Stock Fin CF</t>
        </is>
      </c>
      <c r="E271" s="20" t="n">
        <v>0</v>
      </c>
      <c r="I271" s="20" t="n">
        <v>4451</v>
      </c>
      <c r="M271" s="20" t="n">
        <v>0</v>
      </c>
      <c r="V271" s="20" t="n">
        <v>0</v>
      </c>
      <c r="W271" s="20" t="n">
        <v>4451</v>
      </c>
      <c r="X271" s="20" t="n">
        <v>0</v>
      </c>
    </row>
    <row r="272">
      <c r="A272" s="18" t="inlineStr">
        <is>
          <t>자기주식 처분</t>
        </is>
      </c>
      <c r="C272" s="20" t="n">
        <v>1998</v>
      </c>
      <c r="E272" s="20" t="n">
        <v>1998</v>
      </c>
      <c r="G272" s="20" t="n">
        <v>0</v>
      </c>
      <c r="I272" s="20" t="n">
        <v>227</v>
      </c>
      <c r="U272" s="20" t="n">
        <v>0</v>
      </c>
      <c r="V272" s="20" t="n">
        <v>1998</v>
      </c>
      <c r="W272" s="20" t="n">
        <v>227</v>
      </c>
    </row>
    <row r="273">
      <c r="A273" s="18" t="inlineStr">
        <is>
          <t>연결범위 변경 없는 자회사 주식 취득</t>
        </is>
      </c>
      <c r="C273" s="20" t="n">
        <v>0</v>
      </c>
      <c r="E273" s="20" t="n">
        <v>-336</v>
      </c>
      <c r="G273" s="20" t="n">
        <v>-524</v>
      </c>
      <c r="I273" s="20" t="n">
        <v>-524</v>
      </c>
      <c r="K273" s="20" t="n">
        <v>0</v>
      </c>
      <c r="M273" s="20" t="n">
        <v>0</v>
      </c>
      <c r="O273" s="20" t="n">
        <v>-181</v>
      </c>
      <c r="P273" s="20" t="n">
        <v>-2097</v>
      </c>
      <c r="Q273" s="20" t="n">
        <v>0</v>
      </c>
      <c r="R273" s="20" t="n">
        <v>-149</v>
      </c>
      <c r="S273" s="20" t="n">
        <v>-1193</v>
      </c>
      <c r="T273" s="20" t="n">
        <v>0</v>
      </c>
      <c r="V273" s="20" t="n">
        <v>-336</v>
      </c>
      <c r="W273" s="20" t="n">
        <v>-524</v>
      </c>
      <c r="X273" s="20" t="n">
        <v>0</v>
      </c>
    </row>
    <row r="274">
      <c r="A274" s="18" t="inlineStr">
        <is>
          <t>기타</t>
        </is>
      </c>
      <c r="C274" s="20" t="n">
        <v>0</v>
      </c>
      <c r="E274" s="20" t="n">
        <v>0</v>
      </c>
      <c r="G274" s="20" t="n">
        <v>1</v>
      </c>
      <c r="I274" s="20" t="n">
        <v>228</v>
      </c>
      <c r="K274" s="20" t="n">
        <v>0</v>
      </c>
      <c r="M274" s="20" t="n">
        <v>0</v>
      </c>
      <c r="O274" s="20" t="n">
        <v>-214</v>
      </c>
      <c r="P274" s="20" t="n">
        <v>64</v>
      </c>
      <c r="Q274" s="20" t="n">
        <v>-155</v>
      </c>
      <c r="R274" s="20" t="n">
        <v>-341</v>
      </c>
      <c r="S274" s="20" t="n">
        <v>0</v>
      </c>
      <c r="T274" s="20" t="n">
        <v>0</v>
      </c>
      <c r="U274" s="20" t="n">
        <v>0</v>
      </c>
      <c r="V274" s="20" t="n">
        <v>0</v>
      </c>
      <c r="W274" s="20" t="n">
        <v>228</v>
      </c>
      <c r="X274" s="20" t="n">
        <v>0</v>
      </c>
    </row>
    <row r="275">
      <c r="A275" s="9" t="inlineStr">
        <is>
          <t>재무활동 현금흐름</t>
        </is>
      </c>
      <c r="C275" s="12" t="n">
        <v>-3813</v>
      </c>
      <c r="E275" s="12" t="n">
        <v>-30085</v>
      </c>
      <c r="G275" s="12" t="n">
        <v>-1518</v>
      </c>
      <c r="I275" s="12" t="n">
        <v>-17123</v>
      </c>
      <c r="K275" s="12" t="n">
        <v>-30233</v>
      </c>
      <c r="M275" s="12" t="n">
        <v>-34920</v>
      </c>
      <c r="O275" s="12" t="n">
        <v>-15834</v>
      </c>
      <c r="P275" s="12" t="n">
        <v>-11625</v>
      </c>
      <c r="Q275" s="12" t="n">
        <v>-23575</v>
      </c>
      <c r="R275" s="12" t="n">
        <v>-8276</v>
      </c>
      <c r="S275" s="12" t="n">
        <v>-8259</v>
      </c>
      <c r="T275" s="12" t="n">
        <v>-11883</v>
      </c>
      <c r="U275" s="12" t="n">
        <v>-2820</v>
      </c>
      <c r="V275" s="12" t="n">
        <v>-30085</v>
      </c>
      <c r="W275" s="12" t="n">
        <v>-17123</v>
      </c>
      <c r="X275" s="12" t="n">
        <v>-34920</v>
      </c>
    </row>
    <row r="276">
      <c r="A276" s="18" t="inlineStr">
        <is>
          <t>현금성자산 환산차이</t>
        </is>
      </c>
      <c r="C276" s="20" t="n">
        <v>1589</v>
      </c>
      <c r="E276" s="20" t="n">
        <v>1771</v>
      </c>
      <c r="G276" s="20" t="n">
        <v>1305</v>
      </c>
      <c r="I276" s="20" t="n">
        <v>1650</v>
      </c>
      <c r="K276" s="20" t="n">
        <v>-1166</v>
      </c>
      <c r="M276" s="20" t="n">
        <v>1388</v>
      </c>
      <c r="O276" s="20" t="n">
        <v>-162</v>
      </c>
      <c r="P276" s="20" t="n">
        <v>253</v>
      </c>
      <c r="Q276" s="20" t="n">
        <v>-338</v>
      </c>
      <c r="R276" s="20" t="n">
        <v>-232</v>
      </c>
      <c r="S276" s="20" t="n">
        <v>320</v>
      </c>
      <c r="T276" s="20" t="n">
        <v>1494</v>
      </c>
      <c r="U276" s="20" t="n">
        <v>1111</v>
      </c>
      <c r="V276" s="20" t="n">
        <v>1771</v>
      </c>
      <c r="W276" s="20" t="n">
        <v>1650</v>
      </c>
      <c r="X276" s="20" t="n">
        <v>1388</v>
      </c>
    </row>
    <row r="277">
      <c r="A277" s="18" t="inlineStr">
        <is>
          <t>현금성자산 증감</t>
        </is>
      </c>
      <c r="C277" s="20" t="n">
        <v>2980</v>
      </c>
      <c r="E277" s="20" t="n">
        <v>13672</v>
      </c>
      <c r="G277" s="20" t="n">
        <v>-12136</v>
      </c>
      <c r="I277" s="20" t="n">
        <v>-16717</v>
      </c>
      <c r="K277" s="20" t="n">
        <v>15984</v>
      </c>
      <c r="M277" s="20" t="n">
        <v>464</v>
      </c>
      <c r="O277" s="20" t="n">
        <v>3925</v>
      </c>
      <c r="P277" s="20" t="n">
        <v>28139</v>
      </c>
      <c r="Q277" s="20" t="n">
        <v>-4946</v>
      </c>
      <c r="R277" s="20" t="n">
        <v>-4648</v>
      </c>
      <c r="S277" s="20" t="n">
        <v>17902</v>
      </c>
      <c r="T277" s="20" t="n">
        <v>-3685</v>
      </c>
      <c r="U277" s="20" t="n">
        <v>-16251</v>
      </c>
      <c r="V277" s="20" t="n">
        <v>13672</v>
      </c>
      <c r="W277" s="20" t="n">
        <v>-16717</v>
      </c>
      <c r="X277" s="20" t="n">
        <v>464</v>
      </c>
    </row>
    <row r="278">
      <c r="A278" s="18" t="inlineStr">
        <is>
          <t>연결범위 변경에 따른 현금성자산 증감</t>
        </is>
      </c>
      <c r="O278" s="20" t="n">
        <v>611</v>
      </c>
      <c r="P278" s="20" t="n">
        <v>0</v>
      </c>
      <c r="Q278" s="20" t="n">
        <v>0</v>
      </c>
    </row>
    <row r="279">
      <c r="A279" s="18" t="inlineStr">
        <is>
          <t>신규 연결 현금성자산 증가</t>
        </is>
      </c>
      <c r="C279" s="20" t="n">
        <v>592</v>
      </c>
      <c r="E279" s="20" t="n">
        <v>592</v>
      </c>
      <c r="G279" s="20" t="n">
        <v>1021</v>
      </c>
      <c r="I279" s="20" t="n">
        <v>1021</v>
      </c>
      <c r="K279" s="20" t="n">
        <v>1137</v>
      </c>
      <c r="M279" s="20" t="n">
        <v>1137</v>
      </c>
      <c r="S279" s="20" t="n">
        <v>0</v>
      </c>
      <c r="T279" s="20" t="n">
        <v>0</v>
      </c>
      <c r="U279" s="20" t="n">
        <v>0</v>
      </c>
      <c r="V279" s="20" t="n">
        <v>592</v>
      </c>
      <c r="W279" s="20" t="n">
        <v>1021</v>
      </c>
      <c r="X279" s="20" t="n">
        <v>1137</v>
      </c>
    </row>
    <row r="280">
      <c r="A280" s="18" t="inlineStr">
        <is>
          <t>비연결 자회사 합병에 따른 현금성자산 증가</t>
        </is>
      </c>
      <c r="O280" s="20" t="n">
        <v>0</v>
      </c>
      <c r="P280" s="20" t="n">
        <v>284</v>
      </c>
      <c r="Q280" s="20" t="n">
        <v>0</v>
      </c>
      <c r="R280" s="20" t="n">
        <v>0</v>
      </c>
      <c r="S280" s="20" t="n">
        <v>52</v>
      </c>
      <c r="T280" s="20" t="n">
        <v>53</v>
      </c>
      <c r="U280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4205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268364</v>
      </c>
      <c r="D5" s="12" t="n">
        <v>280543</v>
      </c>
      <c r="E5" s="12" t="n">
        <v>279852</v>
      </c>
      <c r="F5" s="12" t="n">
        <v>257545</v>
      </c>
      <c r="G5" s="12" t="n">
        <v>285768</v>
      </c>
      <c r="H5" s="11" t="n">
        <v>274947</v>
      </c>
      <c r="I5" s="12" t="n">
        <v>296631</v>
      </c>
      <c r="J5" s="12" t="n">
        <v>300982</v>
      </c>
      <c r="K5" s="12" t="n">
        <v>298134</v>
      </c>
      <c r="L5" s="12" t="n">
        <v>257545</v>
      </c>
    </row>
    <row r="6">
      <c r="A6" s="18" t="inlineStr">
        <is>
          <t>현금및현금성자산</t>
        </is>
      </c>
      <c r="B6" s="10" t="n"/>
      <c r="C6" s="19" t="n">
        <v>32874</v>
      </c>
      <c r="D6" s="20" t="n">
        <v>44641</v>
      </c>
      <c r="E6" s="20" t="n">
        <v>36451</v>
      </c>
      <c r="F6" s="20" t="n">
        <v>28678</v>
      </c>
      <c r="G6" s="20" t="n">
        <v>40145</v>
      </c>
      <c r="H6" s="19" t="n">
        <v>47271</v>
      </c>
      <c r="I6" s="20" t="n">
        <v>30082</v>
      </c>
      <c r="J6" s="20" t="n">
        <v>42784</v>
      </c>
      <c r="K6" s="20" t="n">
        <v>27366</v>
      </c>
      <c r="L6" s="20" t="n">
        <v>28678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67711</v>
      </c>
      <c r="D8" s="20" t="n">
        <v>67835</v>
      </c>
      <c r="E8" s="20" t="n">
        <v>67152</v>
      </c>
      <c r="F8" s="20" t="n">
        <v>63776</v>
      </c>
      <c r="G8" s="20" t="n">
        <v>65861</v>
      </c>
      <c r="H8" s="19" t="n">
        <v>78806</v>
      </c>
      <c r="I8" s="20" t="n">
        <v>79622</v>
      </c>
      <c r="J8" s="20" t="n">
        <v>83349</v>
      </c>
      <c r="K8" s="20" t="n">
        <v>81570</v>
      </c>
      <c r="L8" s="20" t="n">
        <v>63776</v>
      </c>
    </row>
    <row r="9">
      <c r="A9" s="18" t="inlineStr">
        <is>
          <t>재고자산</t>
        </is>
      </c>
      <c r="B9" s="10" t="n"/>
      <c r="C9" s="19" t="n">
        <v>126845</v>
      </c>
      <c r="D9" s="20" t="n">
        <v>127612</v>
      </c>
      <c r="E9" s="20" t="n">
        <v>123292</v>
      </c>
      <c r="F9" s="20" t="n">
        <v>124248</v>
      </c>
      <c r="G9" s="20" t="n">
        <v>130941</v>
      </c>
      <c r="H9" s="19" t="n">
        <v>93076</v>
      </c>
      <c r="I9" s="20" t="n">
        <v>127452</v>
      </c>
      <c r="J9" s="20" t="n">
        <v>123353</v>
      </c>
      <c r="K9" s="20" t="n">
        <v>141591</v>
      </c>
      <c r="L9" s="20" t="n">
        <v>124248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236488</v>
      </c>
      <c r="D11" s="12" t="n">
        <v>258983</v>
      </c>
      <c r="E11" s="12" t="n">
        <v>270448</v>
      </c>
      <c r="F11" s="12" t="n">
        <v>290701</v>
      </c>
      <c r="G11" s="12" t="n">
        <v>317551</v>
      </c>
      <c r="H11" s="11" t="n">
        <v>209713</v>
      </c>
      <c r="I11" s="12" t="n">
        <v>226237</v>
      </c>
      <c r="J11" s="12" t="n">
        <v>231272</v>
      </c>
      <c r="K11" s="12" t="n">
        <v>235652</v>
      </c>
      <c r="L11" s="12" t="n">
        <v>290701</v>
      </c>
    </row>
    <row r="12">
      <c r="A12" s="18" t="inlineStr">
        <is>
          <t>유형자산</t>
        </is>
      </c>
      <c r="B12" s="10" t="n"/>
      <c r="C12" s="19" t="n">
        <v>143745</v>
      </c>
      <c r="D12" s="20" t="n">
        <v>174615</v>
      </c>
      <c r="E12" s="20" t="n">
        <v>181294</v>
      </c>
      <c r="F12" s="20" t="n">
        <v>194116</v>
      </c>
      <c r="G12" s="20" t="n">
        <v>207394</v>
      </c>
      <c r="H12" s="19" t="n">
        <v>118299</v>
      </c>
      <c r="I12" s="20" t="n">
        <v>113924</v>
      </c>
      <c r="J12" s="20" t="n">
        <v>130672</v>
      </c>
      <c r="K12" s="20" t="n">
        <v>143703</v>
      </c>
      <c r="L12" s="20" t="n">
        <v>194116</v>
      </c>
    </row>
    <row r="13">
      <c r="A13" s="18" t="inlineStr">
        <is>
          <t>무형자산</t>
        </is>
      </c>
      <c r="B13" s="10" t="n"/>
      <c r="C13" s="19" t="n">
        <v>6027</v>
      </c>
      <c r="D13" s="20" t="n">
        <v>5588</v>
      </c>
      <c r="E13" s="20" t="n">
        <v>5570</v>
      </c>
      <c r="F13" s="20" t="n">
        <v>6337</v>
      </c>
      <c r="G13" s="20" t="n">
        <v>6267</v>
      </c>
      <c r="H13" s="19" t="n">
        <v>3249</v>
      </c>
      <c r="I13" s="20" t="n">
        <v>4442</v>
      </c>
      <c r="J13" s="20" t="n">
        <v>5432</v>
      </c>
      <c r="K13" s="20" t="n">
        <v>5985</v>
      </c>
      <c r="L13" s="20" t="n">
        <v>6337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504852</v>
      </c>
      <c r="D16" s="12" t="n">
        <v>539526</v>
      </c>
      <c r="E16" s="12" t="n">
        <v>550300</v>
      </c>
      <c r="F16" s="12" t="n">
        <v>548246</v>
      </c>
      <c r="G16" s="12" t="n">
        <v>603320</v>
      </c>
      <c r="H16" s="11" t="n">
        <v>484660</v>
      </c>
      <c r="I16" s="12" t="n">
        <v>522868</v>
      </c>
      <c r="J16" s="12" t="n">
        <v>532254</v>
      </c>
      <c r="K16" s="12" t="n">
        <v>533786</v>
      </c>
      <c r="L16" s="12" t="n">
        <v>548246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124258</v>
      </c>
      <c r="D18" s="12" t="n">
        <v>155783</v>
      </c>
      <c r="E18" s="12" t="n">
        <v>163066</v>
      </c>
      <c r="F18" s="12" t="n">
        <v>144250</v>
      </c>
      <c r="G18" s="12" t="n">
        <v>182336</v>
      </c>
      <c r="H18" s="11" t="n">
        <v>138653</v>
      </c>
      <c r="I18" s="12" t="n">
        <v>160587</v>
      </c>
      <c r="J18" s="12" t="n">
        <v>143561</v>
      </c>
      <c r="K18" s="12" t="n">
        <v>152022</v>
      </c>
      <c r="L18" s="12" t="n">
        <v>144250</v>
      </c>
    </row>
    <row r="19">
      <c r="A19" s="18" t="inlineStr">
        <is>
          <t>매입채무</t>
        </is>
      </c>
      <c r="B19" s="10" t="n"/>
      <c r="C19" s="19" t="n">
        <v>47720</v>
      </c>
      <c r="D19" s="20" t="n">
        <v>60554</v>
      </c>
      <c r="E19" s="20" t="n">
        <v>74053</v>
      </c>
      <c r="F19" s="20" t="n">
        <v>58734</v>
      </c>
      <c r="G19" s="20" t="n">
        <v>68153</v>
      </c>
      <c r="H19" s="19" t="n">
        <v>79833</v>
      </c>
      <c r="I19" s="20" t="n">
        <v>83659</v>
      </c>
      <c r="J19" s="20" t="n">
        <v>83449</v>
      </c>
      <c r="K19" s="20" t="n">
        <v>68617</v>
      </c>
      <c r="L19" s="20" t="n">
        <v>58734</v>
      </c>
    </row>
    <row r="20">
      <c r="A20" s="18" t="inlineStr">
        <is>
          <t>단기차입금</t>
        </is>
      </c>
      <c r="B20" s="10" t="n"/>
      <c r="C20" s="19" t="n">
        <v>8960</v>
      </c>
      <c r="D20" s="20" t="n">
        <v>8960</v>
      </c>
      <c r="E20" s="20" t="n">
        <v>8960</v>
      </c>
      <c r="F20" s="20" t="n">
        <v>8960</v>
      </c>
      <c r="G20" s="20" t="n">
        <v>8960</v>
      </c>
      <c r="H20" s="19" t="n">
        <v>8960</v>
      </c>
      <c r="I20" s="20" t="n">
        <v>8960</v>
      </c>
      <c r="J20" s="20" t="n">
        <v>8960</v>
      </c>
      <c r="K20" s="20" t="n">
        <v>8960</v>
      </c>
      <c r="L20" s="20" t="n">
        <v>8960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10000</v>
      </c>
      <c r="I21" s="20" t="n">
        <v>0</v>
      </c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24312</v>
      </c>
      <c r="D23" s="12" t="n">
        <v>22957</v>
      </c>
      <c r="E23" s="12" t="n">
        <v>24668</v>
      </c>
      <c r="F23" s="12" t="n">
        <v>25744</v>
      </c>
      <c r="G23" s="12" t="n">
        <v>25172</v>
      </c>
      <c r="H23" s="11" t="n">
        <v>24172</v>
      </c>
      <c r="I23" s="12" t="n">
        <v>22973</v>
      </c>
      <c r="J23" s="12" t="n">
        <v>24965</v>
      </c>
      <c r="K23" s="12" t="n">
        <v>23771</v>
      </c>
      <c r="L23" s="12" t="n">
        <v>25744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148570</v>
      </c>
      <c r="D27" s="12" t="n">
        <v>178741</v>
      </c>
      <c r="E27" s="12" t="n">
        <v>187733</v>
      </c>
      <c r="F27" s="12" t="n">
        <v>169994</v>
      </c>
      <c r="G27" s="12" t="n">
        <v>207508</v>
      </c>
      <c r="H27" s="11" t="n">
        <v>162824</v>
      </c>
      <c r="I27" s="12" t="n">
        <v>183560</v>
      </c>
      <c r="J27" s="12" t="n">
        <v>168525</v>
      </c>
      <c r="K27" s="12" t="n">
        <v>175793</v>
      </c>
      <c r="L27" s="12" t="n">
        <v>169994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355573</v>
      </c>
      <c r="D31" s="12" t="n">
        <v>360054</v>
      </c>
      <c r="E31" s="12" t="n">
        <v>361794</v>
      </c>
      <c r="F31" s="12" t="n">
        <v>377475</v>
      </c>
      <c r="G31" s="12" t="n">
        <v>395000</v>
      </c>
      <c r="H31" s="11" t="n">
        <v>318624</v>
      </c>
      <c r="I31" s="12" t="n">
        <v>336310</v>
      </c>
      <c r="J31" s="12" t="n">
        <v>362379</v>
      </c>
      <c r="K31" s="12" t="n">
        <v>357252</v>
      </c>
      <c r="L31" s="12" t="n">
        <v>377475</v>
      </c>
    </row>
    <row r="32">
      <c r="A32" s="18" t="inlineStr">
        <is>
          <t>자본금</t>
        </is>
      </c>
      <c r="B32" s="10" t="n"/>
      <c r="C32" s="19" t="n">
        <v>24211</v>
      </c>
      <c r="D32" s="20" t="n">
        <v>24211</v>
      </c>
      <c r="E32" s="20" t="n">
        <v>24211</v>
      </c>
      <c r="F32" s="20" t="n">
        <v>24211</v>
      </c>
      <c r="G32" s="20" t="n">
        <v>24211</v>
      </c>
      <c r="H32" s="19" t="n">
        <v>24211</v>
      </c>
      <c r="I32" s="20" t="n">
        <v>24211</v>
      </c>
      <c r="J32" s="20" t="n">
        <v>24211</v>
      </c>
      <c r="K32" s="20" t="n">
        <v>24211</v>
      </c>
      <c r="L32" s="20" t="n">
        <v>24211</v>
      </c>
    </row>
    <row r="33">
      <c r="A33" s="18" t="inlineStr">
        <is>
          <t>이익잉여금</t>
        </is>
      </c>
      <c r="B33" s="10" t="n"/>
      <c r="C33" s="19" t="n">
        <v>289257</v>
      </c>
      <c r="D33" s="20" t="n">
        <v>303849</v>
      </c>
      <c r="E33" s="20" t="n">
        <v>302851</v>
      </c>
      <c r="F33" s="20" t="n">
        <v>302770</v>
      </c>
      <c r="G33" s="20" t="n">
        <v>307774</v>
      </c>
      <c r="H33" s="19" t="n">
        <v>272679</v>
      </c>
      <c r="I33" s="20" t="n">
        <v>268363</v>
      </c>
      <c r="J33" s="20" t="n">
        <v>289930</v>
      </c>
      <c r="K33" s="20" t="n">
        <v>287773</v>
      </c>
      <c r="L33" s="20" t="n">
        <v>302770</v>
      </c>
    </row>
    <row r="34">
      <c r="A34" s="18" t="inlineStr">
        <is>
          <t>비지배지분</t>
        </is>
      </c>
      <c r="B34" s="10" t="n"/>
      <c r="C34" s="19" t="n">
        <v>621</v>
      </c>
      <c r="D34" s="20" t="n">
        <v>643</v>
      </c>
      <c r="E34" s="20" t="n">
        <v>684</v>
      </c>
      <c r="F34" s="20" t="n">
        <v>689</v>
      </c>
      <c r="G34" s="20" t="n">
        <v>723</v>
      </c>
      <c r="H34" s="19" t="n">
        <v>3086</v>
      </c>
      <c r="I34" s="20" t="n">
        <v>2910</v>
      </c>
      <c r="J34" s="20" t="n">
        <v>1262</v>
      </c>
      <c r="K34" s="20" t="n">
        <v>652</v>
      </c>
      <c r="L34" s="20" t="n">
        <v>689</v>
      </c>
    </row>
    <row r="35">
      <c r="A35" s="9" t="inlineStr">
        <is>
          <t>자본총계</t>
        </is>
      </c>
      <c r="B35" s="10" t="n"/>
      <c r="C35" s="11" t="n">
        <v>356282</v>
      </c>
      <c r="D35" s="12" t="n">
        <v>360785</v>
      </c>
      <c r="E35" s="12" t="n">
        <v>362566</v>
      </c>
      <c r="F35" s="12" t="n">
        <v>378252</v>
      </c>
      <c r="G35" s="12" t="n">
        <v>395811</v>
      </c>
      <c r="H35" s="11" t="n">
        <v>321836</v>
      </c>
      <c r="I35" s="12" t="n">
        <v>339308</v>
      </c>
      <c r="J35" s="12" t="n">
        <v>363729</v>
      </c>
      <c r="K35" s="12" t="n">
        <v>357992</v>
      </c>
      <c r="L35" s="12" t="n">
        <v>378252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63619</v>
      </c>
      <c r="E37" s="12" t="n"/>
      <c r="F37" s="12" t="n">
        <v>76436</v>
      </c>
      <c r="G37" s="12" t="n"/>
      <c r="H37" s="11" t="n">
        <v>33140</v>
      </c>
      <c r="I37" s="12" t="n">
        <v>14358</v>
      </c>
      <c r="J37" s="12" t="n">
        <v>47413</v>
      </c>
      <c r="K37" s="12" t="n">
        <v>20781</v>
      </c>
      <c r="L37" s="12" t="n">
        <v>76436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33605</v>
      </c>
      <c r="E38" s="20" t="n"/>
      <c r="F38" s="20" t="n">
        <v>60873</v>
      </c>
      <c r="G38" s="20" t="n"/>
      <c r="H38" s="19" t="n">
        <v>24173</v>
      </c>
      <c r="I38" s="20" t="n">
        <v>26620</v>
      </c>
      <c r="J38" s="20" t="n">
        <v>35990</v>
      </c>
      <c r="K38" s="20" t="n">
        <v>30706</v>
      </c>
      <c r="L38" s="20" t="n">
        <v>60873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14228</v>
      </c>
      <c r="E40" s="20" t="n"/>
      <c r="F40" s="20" t="n">
        <v>13887</v>
      </c>
      <c r="G40" s="20" t="n"/>
      <c r="H40" s="19" t="n">
        <v>5250</v>
      </c>
      <c r="I40" s="20" t="n">
        <v>7013</v>
      </c>
      <c r="J40" s="20" t="n">
        <v>8055</v>
      </c>
      <c r="K40" s="20" t="n">
        <v>12595</v>
      </c>
      <c r="L40" s="20" t="n">
        <v>13887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IFERROR(IF((IF(COUNT('연간'!G55:J55)&lt;4,"",SUM('연간'!G55:J55)))&lt;=0,"적자",C28/(IF(COUNT('연간'!G55:J55)&lt;4,"",SUM('연간'!G55:J55)))),"")</f>
        <v/>
      </c>
      <c r="D49" s="47">
        <f>IFERROR(IF((IF(COUNT('연간'!H55:K55)&lt;4,"",SUM('연간'!H55:K55)))&lt;=0,"적자",D28/(IF(COUNT('연간'!H55:K55)&lt;4,"",SUM('연간'!H55:K55)))),"")</f>
        <v/>
      </c>
      <c r="E49" s="47">
        <f>IFERROR(IF((IF(COUNT('연간'!I55:L55)&lt;4,"",SUM('연간'!I55:L55)))&lt;=0,"적자",E28/(IF(COUNT('연간'!I55:L55)&lt;4,"",SUM('연간'!I55:L55)))),"")</f>
        <v/>
      </c>
      <c r="F49" s="47">
        <f>IFERROR(IF((IF(COUNT('연간'!J55:M55)&lt;4,"",SUM('연간'!J55:M55)))&lt;=0,"적자",F28/(IF(COUNT('연간'!J55:M55)&lt;4,"",SUM('연간'!J55:M55)))),"")</f>
        <v/>
      </c>
      <c r="G49" s="47">
        <f>IFERROR(IF((IF(COUNT('연간'!K55:N55)&lt;4,"",SUM('연간'!K55:N55)))&lt;=0,"적자",G28/(IF(COUNT('연간'!K55:N55)&lt;4,"",SUM('연간'!K55:N55)))),"")</f>
        <v/>
      </c>
      <c r="H49" s="46">
        <f>IFERROR(IF(('연간'!T55)&lt;=0,"적자",H28/('연간'!T55)),"")</f>
        <v/>
      </c>
      <c r="I49" s="47">
        <f>IFERROR(IF(('연간'!U55)&lt;=0,"적자",I28/('연간'!U55)),"")</f>
        <v/>
      </c>
      <c r="J49" s="47">
        <f>IFERROR(IF(('연간'!V55)&lt;=0,"적자",J28/('연간'!V55)),"")</f>
        <v/>
      </c>
      <c r="K49" s="47">
        <f>IFERROR(IF(('연간'!W55)&lt;=0,"적자",K28/('연간'!W55)),"")</f>
        <v/>
      </c>
      <c r="L49" s="47">
        <f>IFERROR(IF(('연간'!X55)&lt;=0,"적자",L28/('연간'!X55)),"")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IFERROR((IF(COUNT('연간'!G55:J55)&lt;4,"",SUM('연간'!G55:J55)))/C31,"")</f>
        <v/>
      </c>
      <c r="D51" s="36">
        <f>IFERROR((IF(COUNT('연간'!H55:K55)&lt;4,"",SUM('연간'!H55:K55)))/D31,"")</f>
        <v/>
      </c>
      <c r="E51" s="36">
        <f>IFERROR((IF(COUNT('연간'!I55:L55)&lt;4,"",SUM('연간'!I55:L55)))/E31,"")</f>
        <v/>
      </c>
      <c r="F51" s="36">
        <f>IFERROR((IF(COUNT('연간'!J55:M55)&lt;4,"",SUM('연간'!J55:M55)))/F31,"")</f>
        <v/>
      </c>
      <c r="G51" s="36">
        <f>IFERROR((IF(COUNT('연간'!K55:N55)&lt;4,"",SUM('연간'!K55:N55)))/G31,"")</f>
        <v/>
      </c>
      <c r="H51" s="35">
        <f>IFERROR(('연간'!T55)/H31,"")</f>
        <v/>
      </c>
      <c r="I51" s="36">
        <f>IFERROR(('연간'!U55)/I31,"")</f>
        <v/>
      </c>
      <c r="J51" s="36">
        <f>IFERROR(('연간'!V55)/J31,"")</f>
        <v/>
      </c>
      <c r="K51" s="36">
        <f>IFERROR(('연간'!W55)/K31,"")</f>
        <v/>
      </c>
      <c r="L51" s="36">
        <f>IFERROR(('연간'!X55)/L31,"")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IFERROR((IF(COUNT('연간'!G53:J53)&lt;4,"",SUM('연간'!G53:J53)))/C16,"")</f>
        <v/>
      </c>
      <c r="D52" s="36">
        <f>IFERROR((IF(COUNT('연간'!H53:K53)&lt;4,"",SUM('연간'!H53:K53)))/D16,"")</f>
        <v/>
      </c>
      <c r="E52" s="36">
        <f>IFERROR((IF(COUNT('연간'!I53:L53)&lt;4,"",SUM('연간'!I53:L53)))/E16,"")</f>
        <v/>
      </c>
      <c r="F52" s="36">
        <f>IFERROR((IF(COUNT('연간'!J53:M53)&lt;4,"",SUM('연간'!J53:M53)))/F16,"")</f>
        <v/>
      </c>
      <c r="G52" s="36">
        <f>IFERROR((IF(COUNT('연간'!K53:N53)&lt;4,"",SUM('연간'!K53:N53)))/G16,"")</f>
        <v/>
      </c>
      <c r="H52" s="35">
        <f>IFERROR(('연간'!T53)/H16,"")</f>
        <v/>
      </c>
      <c r="I52" s="36">
        <f>IFERROR(('연간'!U53)/I16,"")</f>
        <v/>
      </c>
      <c r="J52" s="36">
        <f>IFERROR(('연간'!V53)/J16,"")</f>
        <v/>
      </c>
      <c r="K52" s="36">
        <f>IFERROR(('연간'!W53)/K16,"")</f>
        <v/>
      </c>
      <c r="L52" s="36">
        <f>IFERROR(('연간'!X53)/L16,"")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IFERROR((IF(COUNT('연간'!G19:J19)&lt;4,"",SUM('연간'!G19:J19)))/(IF(COUNT('연간'!G4:J4)&lt;4,"",SUM('연간'!G4:J4))),"")</f>
        <v/>
      </c>
      <c r="D54" s="36">
        <f>IFERROR((IF(COUNT('연간'!H19:K19)&lt;4,"",SUM('연간'!H19:K19)))/(IF(COUNT('연간'!H4:K4)&lt;4,"",SUM('연간'!H4:K4))),"")</f>
        <v/>
      </c>
      <c r="E54" s="36">
        <f>IFERROR((IF(COUNT('연간'!I19:L19)&lt;4,"",SUM('연간'!I19:L19)))/(IF(COUNT('연간'!I4:L4)&lt;4,"",SUM('연간'!I4:L4))),"")</f>
        <v/>
      </c>
      <c r="F54" s="36">
        <f>IFERROR((IF(COUNT('연간'!J19:M19)&lt;4,"",SUM('연간'!J19:M19)))/(IF(COUNT('연간'!J4:M4)&lt;4,"",SUM('연간'!J4:M4))),"")</f>
        <v/>
      </c>
      <c r="G54" s="36">
        <f>IFERROR((IF(COUNT('연간'!K19:N19)&lt;4,"",SUM('연간'!K19:N19)))/(IF(COUNT('연간'!K4:N4)&lt;4,"",SUM('연간'!K4:N4))),"")</f>
        <v/>
      </c>
      <c r="H54" s="35">
        <f>IFERROR(('연간'!T19)/('연간'!T4),"")</f>
        <v/>
      </c>
      <c r="I54" s="36">
        <f>IFERROR(('연간'!U19)/('연간'!U4),"")</f>
        <v/>
      </c>
      <c r="J54" s="36">
        <f>IFERROR(('연간'!V19)/('연간'!V4),"")</f>
        <v/>
      </c>
      <c r="K54" s="36">
        <f>IFERROR(('연간'!W19)/('연간'!W4),"")</f>
        <v/>
      </c>
      <c r="L54" s="36">
        <f>IFERROR(('연간'!X19)/('연간'!X4),"")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IFERROR((IF(COUNT('연간'!G53:J53)&lt;4,"",SUM('연간'!G53:J53)))/(IF(COUNT('연간'!G4:J4)&lt;4,"",SUM('연간'!G4:J4))),"")</f>
        <v/>
      </c>
      <c r="D56" s="36">
        <f>IFERROR((IF(COUNT('연간'!H53:K53)&lt;4,"",SUM('연간'!H53:K53)))/(IF(COUNT('연간'!H4:K4)&lt;4,"",SUM('연간'!H4:K4))),"")</f>
        <v/>
      </c>
      <c r="E56" s="36">
        <f>IFERROR((IF(COUNT('연간'!I53:L53)&lt;4,"",SUM('연간'!I53:L53)))/(IF(COUNT('연간'!I4:L4)&lt;4,"",SUM('연간'!I4:L4))),"")</f>
        <v/>
      </c>
      <c r="F56" s="36">
        <f>IFERROR((IF(COUNT('연간'!J53:M53)&lt;4,"",SUM('연간'!J53:M53)))/(IF(COUNT('연간'!J4:M4)&lt;4,"",SUM('연간'!J4:M4))),"")</f>
        <v/>
      </c>
      <c r="G56" s="36">
        <f>IFERROR((IF(COUNT('연간'!K53:N53)&lt;4,"",SUM('연간'!K53:N53)))/(IF(COUNT('연간'!K4:N4)&lt;4,"",SUM('연간'!K4:N4))),"")</f>
        <v/>
      </c>
      <c r="H56" s="35">
        <f>IFERROR(('연간'!T53)/('연간'!T4),"")</f>
        <v/>
      </c>
      <c r="I56" s="36">
        <f>IFERROR(('연간'!U53)/('연간'!U4),"")</f>
        <v/>
      </c>
      <c r="J56" s="36">
        <f>IFERROR(('연간'!V53)/('연간'!V4),"")</f>
        <v/>
      </c>
      <c r="K56" s="36">
        <f>IFERROR(('연간'!W53)/('연간'!W4),"")</f>
        <v/>
      </c>
      <c r="L56" s="36">
        <f>IFERROR(('연간'!X53)/('연간'!X4),"")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IF(C37="","",IFERROR(C37/(IF(COUNT('연간'!G53:J53)&lt;4,"",SUM('연간'!G53:J53))),""))</f>
        <v/>
      </c>
      <c r="D64" s="31">
        <f>IF(D37="","",IFERROR(D37/(IF(COUNT('연간'!H53:K53)&lt;4,"",SUM('연간'!H53:K53))),""))</f>
        <v/>
      </c>
      <c r="E64" s="31">
        <f>IF(E37="","",IFERROR(E37/(IF(COUNT('연간'!I53:L53)&lt;4,"",SUM('연간'!I53:L53))),""))</f>
        <v/>
      </c>
      <c r="F64" s="31">
        <f>IF(F37="","",IFERROR(F37/(IF(COUNT('연간'!J53:M53)&lt;4,"",SUM('연간'!J53:M53))),""))</f>
        <v/>
      </c>
      <c r="G64" s="31">
        <f>IF(G37="","",IFERROR(G37/(IF(COUNT('연간'!K53:N53)&lt;4,"",SUM('연간'!K53:N53))),""))</f>
        <v/>
      </c>
      <c r="H64" s="30">
        <f>IF(H37="","",IFERROR(H37/('연간'!T53),""))</f>
        <v/>
      </c>
      <c r="I64" s="31">
        <f>IF(I37="","",IFERROR(I37/('연간'!U53),""))</f>
        <v/>
      </c>
      <c r="J64" s="31">
        <f>IF(J37="","",IFERROR(J37/('연간'!V53),""))</f>
        <v/>
      </c>
      <c r="K64" s="31">
        <f>IF(K37="","",IFERROR(K37/('연간'!W53),""))</f>
        <v/>
      </c>
      <c r="L64" s="31">
        <f>IF(L37="","",IFERROR(L37/('연간'!X53),""))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IF(C40="","",IFERROR(C40/(IF(COUNT('연간'!G55:J55)&lt;4,"",SUM('연간'!G55:J55))),""))</f>
        <v/>
      </c>
      <c r="D67" s="36">
        <f>IF(D40="","",IFERROR(D40/(IF(COUNT('연간'!H55:K55)&lt;4,"",SUM('연간'!H55:K55))),""))</f>
        <v/>
      </c>
      <c r="E67" s="36">
        <f>IF(E40="","",IFERROR(E40/(IF(COUNT('연간'!I55:L55)&lt;4,"",SUM('연간'!I55:L55))),""))</f>
        <v/>
      </c>
      <c r="F67" s="36">
        <f>IF(F40="","",IFERROR(F40/(IF(COUNT('연간'!J55:M55)&lt;4,"",SUM('연간'!J55:M55))),""))</f>
        <v/>
      </c>
      <c r="G67" s="36">
        <f>IF(G40="","",IFERROR(G40/(IF(COUNT('연간'!K55:N55)&lt;4,"",SUM('연간'!K55:N55))),""))</f>
        <v/>
      </c>
      <c r="H67" s="35">
        <f>IF(H40="","",IFERROR(H40/('연간'!T55),""))</f>
        <v/>
      </c>
      <c r="I67" s="36">
        <f>IF(I40="","",IFERROR(I40/('연간'!U55),""))</f>
        <v/>
      </c>
      <c r="J67" s="36">
        <f>IF(J40="","",IFERROR(J40/('연간'!V55),""))</f>
        <v/>
      </c>
      <c r="K67" s="36">
        <f>IF(K40="","",IFERROR(K40/('연간'!W55),""))</f>
        <v/>
      </c>
      <c r="L67" s="36">
        <f>IF(L40="","",IFERROR(L40/('연간'!X55),""))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32874</v>
      </c>
      <c r="D71" s="20" t="n">
        <v>44641</v>
      </c>
      <c r="E71" s="20" t="n">
        <v>36451</v>
      </c>
      <c r="F71" s="20" t="n">
        <v>28678</v>
      </c>
      <c r="G71" s="20" t="n">
        <v>40145</v>
      </c>
      <c r="H71" s="20" t="n">
        <v>47271</v>
      </c>
      <c r="I71" s="20" t="n">
        <v>30082</v>
      </c>
      <c r="J71" s="20" t="n">
        <v>42784</v>
      </c>
      <c r="K71" s="20" t="n">
        <v>27366</v>
      </c>
      <c r="L71" s="20" t="n">
        <v>28678</v>
      </c>
    </row>
    <row r="72">
      <c r="A72" s="18" t="inlineStr">
        <is>
          <t>받을어음·매출채권</t>
        </is>
      </c>
      <c r="C72" s="20" t="n">
        <v>67711</v>
      </c>
      <c r="D72" s="20" t="n">
        <v>67835</v>
      </c>
      <c r="E72" s="20" t="n">
        <v>67152</v>
      </c>
      <c r="F72" s="20" t="n">
        <v>63776</v>
      </c>
      <c r="G72" s="20" t="n">
        <v>65861</v>
      </c>
      <c r="H72" s="20" t="n">
        <v>78806</v>
      </c>
      <c r="I72" s="20" t="n">
        <v>79622</v>
      </c>
      <c r="J72" s="20" t="n">
        <v>83349</v>
      </c>
      <c r="K72" s="20" t="n">
        <v>81570</v>
      </c>
      <c r="L72" s="20" t="n">
        <v>63776</v>
      </c>
    </row>
    <row r="73">
      <c r="A73" s="18" t="inlineStr">
        <is>
          <t>전자기록채권</t>
        </is>
      </c>
      <c r="C73" s="20" t="n">
        <v>5283</v>
      </c>
      <c r="D73" s="20" t="n">
        <v>5366</v>
      </c>
      <c r="E73" s="20" t="n">
        <v>6212</v>
      </c>
      <c r="F73" s="20" t="n">
        <v>4611</v>
      </c>
      <c r="G73" s="20" t="n">
        <v>5048</v>
      </c>
      <c r="H73" s="20" t="n">
        <v>3692</v>
      </c>
      <c r="I73" s="20" t="n">
        <v>3972</v>
      </c>
      <c r="J73" s="20" t="n">
        <v>4097</v>
      </c>
      <c r="K73" s="20" t="n">
        <v>5667</v>
      </c>
      <c r="L73" s="20" t="n">
        <v>4611</v>
      </c>
    </row>
    <row r="74">
      <c r="A74" s="18" t="inlineStr">
        <is>
          <t>상품·제품</t>
        </is>
      </c>
      <c r="C74" s="20" t="n">
        <v>96409</v>
      </c>
      <c r="D74" s="20" t="n">
        <v>98146</v>
      </c>
      <c r="E74" s="20" t="n">
        <v>94245</v>
      </c>
      <c r="F74" s="20" t="n">
        <v>93361</v>
      </c>
      <c r="G74" s="20" t="n">
        <v>98148</v>
      </c>
      <c r="H74" s="20" t="n">
        <v>66076</v>
      </c>
      <c r="I74" s="20" t="n">
        <v>97345</v>
      </c>
      <c r="J74" s="20" t="n">
        <v>92410</v>
      </c>
      <c r="K74" s="20" t="n">
        <v>109037</v>
      </c>
      <c r="L74" s="20" t="n">
        <v>93361</v>
      </c>
    </row>
    <row r="75">
      <c r="A75" s="18" t="inlineStr">
        <is>
          <t>재공품</t>
        </is>
      </c>
      <c r="C75" s="20" t="n">
        <v>7905</v>
      </c>
      <c r="D75" s="20" t="n">
        <v>6874</v>
      </c>
      <c r="E75" s="20" t="n">
        <v>7895</v>
      </c>
      <c r="F75" s="20" t="n">
        <v>7562</v>
      </c>
      <c r="G75" s="20" t="n">
        <v>8549</v>
      </c>
      <c r="H75" s="20" t="n">
        <v>6652</v>
      </c>
      <c r="I75" s="20" t="n">
        <v>7657</v>
      </c>
      <c r="J75" s="20" t="n">
        <v>9302</v>
      </c>
      <c r="K75" s="20" t="n">
        <v>8270</v>
      </c>
      <c r="L75" s="20" t="n">
        <v>7562</v>
      </c>
    </row>
    <row r="76">
      <c r="A76" s="18" t="inlineStr">
        <is>
          <t>원재료·저장품</t>
        </is>
      </c>
      <c r="C76" s="20" t="n">
        <v>22531</v>
      </c>
      <c r="D76" s="20" t="n">
        <v>22592</v>
      </c>
      <c r="E76" s="20" t="n">
        <v>21152</v>
      </c>
      <c r="F76" s="20" t="n">
        <v>23325</v>
      </c>
      <c r="G76" s="20" t="n">
        <v>24244</v>
      </c>
      <c r="H76" s="20" t="n">
        <v>20348</v>
      </c>
      <c r="I76" s="20" t="n">
        <v>22450</v>
      </c>
      <c r="J76" s="20" t="n">
        <v>21641</v>
      </c>
      <c r="K76" s="20" t="n">
        <v>24284</v>
      </c>
      <c r="L76" s="20" t="n">
        <v>23325</v>
      </c>
    </row>
    <row r="77">
      <c r="A77" s="18" t="inlineStr">
        <is>
          <t>미수금</t>
        </is>
      </c>
      <c r="C77" s="20" t="n">
        <v>23997</v>
      </c>
      <c r="D77" s="20" t="n">
        <v>26345</v>
      </c>
      <c r="E77" s="20" t="n">
        <v>37994</v>
      </c>
      <c r="F77" s="20" t="n">
        <v>27715</v>
      </c>
      <c r="G77" s="20" t="n">
        <v>34548</v>
      </c>
      <c r="H77" s="20" t="n">
        <v>41156</v>
      </c>
      <c r="I77" s="20" t="n">
        <v>43816</v>
      </c>
      <c r="J77" s="20" t="n">
        <v>39727</v>
      </c>
      <c r="K77" s="20" t="n">
        <v>34111</v>
      </c>
      <c r="L77" s="20" t="n">
        <v>27715</v>
      </c>
    </row>
    <row r="78">
      <c r="A78" s="18" t="inlineStr">
        <is>
          <t>기타</t>
        </is>
      </c>
      <c r="C78" s="20" t="n">
        <v>11764</v>
      </c>
      <c r="D78" s="20" t="n">
        <v>8854</v>
      </c>
      <c r="E78" s="20" t="n">
        <v>8864</v>
      </c>
      <c r="F78" s="20" t="n">
        <v>8633</v>
      </c>
      <c r="G78" s="20" t="n">
        <v>9340</v>
      </c>
      <c r="H78" s="20" t="n">
        <v>11044</v>
      </c>
      <c r="I78" s="20" t="n">
        <v>11801</v>
      </c>
      <c r="J78" s="20" t="n">
        <v>7786</v>
      </c>
      <c r="K78" s="20" t="n">
        <v>7940</v>
      </c>
      <c r="L78" s="20" t="n">
        <v>8633</v>
      </c>
    </row>
    <row r="79">
      <c r="A79" s="18" t="inlineStr">
        <is>
          <t>대손충당금</t>
        </is>
      </c>
      <c r="C79" s="20" t="n">
        <v>-110</v>
      </c>
      <c r="D79" s="20" t="n">
        <v>-111</v>
      </c>
      <c r="E79" s="20" t="n">
        <v>-112</v>
      </c>
      <c r="F79" s="20" t="n">
        <v>-116</v>
      </c>
      <c r="G79" s="20" t="n">
        <v>-116</v>
      </c>
      <c r="H79" s="20" t="n">
        <v>-99</v>
      </c>
      <c r="I79" s="20" t="n">
        <v>-113</v>
      </c>
      <c r="J79" s="20" t="n">
        <v>-113</v>
      </c>
      <c r="K79" s="20" t="n">
        <v>-111</v>
      </c>
      <c r="L79" s="20" t="n">
        <v>-116</v>
      </c>
    </row>
    <row r="80">
      <c r="A80" s="9" t="inlineStr">
        <is>
          <t>유동자산 합계</t>
        </is>
      </c>
      <c r="C80" s="12" t="n">
        <v>268364</v>
      </c>
      <c r="D80" s="12" t="n">
        <v>280543</v>
      </c>
      <c r="E80" s="12" t="n">
        <v>279852</v>
      </c>
      <c r="F80" s="12" t="n">
        <v>257545</v>
      </c>
      <c r="G80" s="12" t="n">
        <v>285768</v>
      </c>
      <c r="H80" s="12" t="n">
        <v>274947</v>
      </c>
      <c r="I80" s="12" t="n">
        <v>296631</v>
      </c>
      <c r="J80" s="12" t="n">
        <v>300982</v>
      </c>
      <c r="K80" s="12" t="n">
        <v>298134</v>
      </c>
      <c r="L80" s="12" t="n">
        <v>257545</v>
      </c>
    </row>
    <row r="81">
      <c r="A81" s="18" t="inlineStr">
        <is>
          <t>건물·구축물(순액)</t>
        </is>
      </c>
      <c r="C81" s="20" t="n">
        <v>45364</v>
      </c>
      <c r="D81" s="20" t="n">
        <v>45811</v>
      </c>
      <c r="E81" s="20" t="n">
        <v>45160</v>
      </c>
      <c r="F81" s="20" t="n">
        <v>49246</v>
      </c>
      <c r="G81" s="20" t="n">
        <v>49210</v>
      </c>
      <c r="H81" s="20" t="n">
        <v>46706</v>
      </c>
      <c r="I81" s="20" t="n">
        <v>41912</v>
      </c>
      <c r="J81" s="20" t="n">
        <v>45247</v>
      </c>
      <c r="K81" s="20" t="n">
        <v>45382</v>
      </c>
      <c r="L81" s="20" t="n">
        <v>49246</v>
      </c>
    </row>
    <row r="82">
      <c r="A82" s="18" t="inlineStr">
        <is>
          <t>기계장치·운반구(순액)</t>
        </is>
      </c>
      <c r="C82" s="20" t="n">
        <v>39438</v>
      </c>
      <c r="D82" s="20" t="n">
        <v>40630</v>
      </c>
      <c r="E82" s="20" t="n">
        <v>42708</v>
      </c>
      <c r="F82" s="20" t="n">
        <v>50820</v>
      </c>
      <c r="G82" s="20" t="n">
        <v>50207</v>
      </c>
      <c r="H82" s="20" t="n">
        <v>38995</v>
      </c>
      <c r="I82" s="20" t="n">
        <v>31467</v>
      </c>
      <c r="J82" s="20" t="n">
        <v>39379</v>
      </c>
      <c r="K82" s="20" t="n">
        <v>40706</v>
      </c>
      <c r="L82" s="20" t="n">
        <v>50820</v>
      </c>
    </row>
    <row r="83">
      <c r="A83" s="18" t="inlineStr">
        <is>
          <t>토지</t>
        </is>
      </c>
      <c r="C83" s="20" t="n">
        <v>17851</v>
      </c>
      <c r="D83" s="20" t="n">
        <v>17857</v>
      </c>
      <c r="E83" s="20" t="n">
        <v>17936</v>
      </c>
      <c r="F83" s="20" t="n">
        <v>18069</v>
      </c>
      <c r="G83" s="20" t="n">
        <v>18082</v>
      </c>
      <c r="H83" s="20" t="n">
        <v>18151</v>
      </c>
      <c r="I83" s="20" t="n">
        <v>15393</v>
      </c>
      <c r="J83" s="20" t="n">
        <v>15841</v>
      </c>
      <c r="K83" s="20" t="n">
        <v>17937</v>
      </c>
      <c r="L83" s="20" t="n">
        <v>18069</v>
      </c>
    </row>
    <row r="84">
      <c r="A84" s="18" t="inlineStr">
        <is>
          <t>건설중인자산</t>
        </is>
      </c>
      <c r="C84" s="20" t="n">
        <v>35726</v>
      </c>
      <c r="D84" s="20" t="n">
        <v>65104</v>
      </c>
      <c r="E84" s="20" t="n">
        <v>70259</v>
      </c>
      <c r="F84" s="20" t="n">
        <v>70354</v>
      </c>
      <c r="G84" s="20" t="n">
        <v>84114</v>
      </c>
      <c r="H84" s="20" t="n">
        <v>10153</v>
      </c>
      <c r="I84" s="20" t="n">
        <v>20425</v>
      </c>
      <c r="J84" s="20" t="n">
        <v>25029</v>
      </c>
      <c r="K84" s="20" t="n">
        <v>34361</v>
      </c>
      <c r="L84" s="20" t="n">
        <v>70354</v>
      </c>
    </row>
    <row r="85">
      <c r="A85" s="18" t="inlineStr">
        <is>
          <t>기타(순액)</t>
        </is>
      </c>
      <c r="C85" s="20" t="n">
        <v>5366</v>
      </c>
      <c r="D85" s="20" t="n">
        <v>5212</v>
      </c>
      <c r="E85" s="20" t="n">
        <v>5230</v>
      </c>
      <c r="F85" s="20" t="n">
        <v>5627</v>
      </c>
      <c r="G85" s="20" t="n">
        <v>5781</v>
      </c>
      <c r="H85" s="20" t="n">
        <v>4293</v>
      </c>
      <c r="I85" s="20" t="n">
        <v>4726</v>
      </c>
      <c r="J85" s="20" t="n">
        <v>5176</v>
      </c>
      <c r="K85" s="20" t="n">
        <v>5316</v>
      </c>
      <c r="L85" s="20" t="n">
        <v>5627</v>
      </c>
    </row>
    <row r="86">
      <c r="A86" s="18" t="inlineStr">
        <is>
          <t>유형자산 합계</t>
        </is>
      </c>
      <c r="C86" s="20" t="n">
        <v>143745</v>
      </c>
      <c r="D86" s="20" t="n">
        <v>174615</v>
      </c>
      <c r="E86" s="20" t="n">
        <v>181294</v>
      </c>
      <c r="F86" s="20" t="n">
        <v>194116</v>
      </c>
      <c r="G86" s="20" t="n">
        <v>207394</v>
      </c>
      <c r="H86" s="20" t="n">
        <v>118299</v>
      </c>
      <c r="I86" s="20" t="n">
        <v>113924</v>
      </c>
      <c r="J86" s="20" t="n">
        <v>130672</v>
      </c>
      <c r="K86" s="20" t="n">
        <v>143703</v>
      </c>
      <c r="L86" s="20" t="n">
        <v>194116</v>
      </c>
    </row>
    <row r="87">
      <c r="A87" s="18" t="inlineStr">
        <is>
          <t>기타</t>
        </is>
      </c>
      <c r="C87" s="20" t="n">
        <v>6027</v>
      </c>
      <c r="D87" s="20" t="n">
        <v>5588</v>
      </c>
      <c r="E87" s="20" t="n">
        <v>5570</v>
      </c>
      <c r="F87" s="20" t="n">
        <v>6337</v>
      </c>
      <c r="G87" s="20" t="n">
        <v>6267</v>
      </c>
      <c r="H87" s="20" t="n">
        <v>3249</v>
      </c>
      <c r="I87" s="20" t="n">
        <v>4442</v>
      </c>
      <c r="J87" s="20" t="n">
        <v>5432</v>
      </c>
      <c r="K87" s="20" t="n">
        <v>5985</v>
      </c>
      <c r="L87" s="20" t="n">
        <v>6337</v>
      </c>
    </row>
    <row r="88">
      <c r="A88" s="18" t="inlineStr">
        <is>
          <t>무형자산 합계</t>
        </is>
      </c>
      <c r="C88" s="20" t="n">
        <v>6027</v>
      </c>
      <c r="D88" s="20" t="n">
        <v>5588</v>
      </c>
      <c r="E88" s="20" t="n">
        <v>5570</v>
      </c>
      <c r="F88" s="20" t="n">
        <v>6337</v>
      </c>
      <c r="G88" s="20" t="n">
        <v>6267</v>
      </c>
      <c r="H88" s="20" t="n">
        <v>3249</v>
      </c>
      <c r="I88" s="20" t="n">
        <v>4442</v>
      </c>
      <c r="J88" s="20" t="n">
        <v>5432</v>
      </c>
      <c r="K88" s="20" t="n">
        <v>5985</v>
      </c>
      <c r="L88" s="20" t="n">
        <v>6337</v>
      </c>
    </row>
    <row r="89">
      <c r="A89" s="18" t="inlineStr">
        <is>
          <t>투자유가증권</t>
        </is>
      </c>
      <c r="C89" s="20" t="n">
        <v>73540</v>
      </c>
      <c r="D89" s="20" t="n">
        <v>63526</v>
      </c>
      <c r="E89" s="20" t="n">
        <v>70264</v>
      </c>
      <c r="F89" s="20" t="n">
        <v>73712</v>
      </c>
      <c r="G89" s="20" t="n">
        <v>90099</v>
      </c>
      <c r="H89" s="20" t="n">
        <v>80729</v>
      </c>
      <c r="I89" s="20" t="n">
        <v>100113</v>
      </c>
      <c r="J89" s="20" t="n">
        <v>85316</v>
      </c>
      <c r="K89" s="20" t="n">
        <v>71191</v>
      </c>
      <c r="L89" s="20" t="n">
        <v>73712</v>
      </c>
    </row>
    <row r="90">
      <c r="A90" s="18" t="inlineStr">
        <is>
          <t>퇴직급여자산</t>
        </is>
      </c>
      <c r="H90" s="20" t="n">
        <v>18</v>
      </c>
      <c r="I90" s="20" t="n">
        <v>1</v>
      </c>
      <c r="J90" s="20" t="n">
        <v>6</v>
      </c>
      <c r="K90" s="20" t="n">
        <v>0</v>
      </c>
    </row>
    <row r="91">
      <c r="A91" s="18" t="inlineStr">
        <is>
          <t>이연법인세자산</t>
        </is>
      </c>
      <c r="C91" s="20" t="n">
        <v>6075</v>
      </c>
      <c r="D91" s="20" t="n">
        <v>7902</v>
      </c>
      <c r="E91" s="20" t="n">
        <v>6070</v>
      </c>
      <c r="F91" s="20" t="n">
        <v>6486</v>
      </c>
      <c r="G91" s="20" t="n">
        <v>3448</v>
      </c>
      <c r="H91" s="20" t="n">
        <v>616</v>
      </c>
      <c r="I91" s="20" t="n">
        <v>728</v>
      </c>
      <c r="J91" s="20" t="n">
        <v>2220</v>
      </c>
      <c r="K91" s="20" t="n">
        <v>7564</v>
      </c>
      <c r="L91" s="20" t="n">
        <v>6486</v>
      </c>
    </row>
    <row r="92">
      <c r="A92" s="18" t="inlineStr">
        <is>
          <t>기타</t>
        </is>
      </c>
      <c r="C92" s="20" t="n">
        <v>9406</v>
      </c>
      <c r="D92" s="20" t="n">
        <v>9916</v>
      </c>
      <c r="E92" s="20" t="n">
        <v>9976</v>
      </c>
      <c r="F92" s="20" t="n">
        <v>13123</v>
      </c>
      <c r="G92" s="20" t="n">
        <v>13515</v>
      </c>
      <c r="H92" s="20" t="n">
        <v>7021</v>
      </c>
      <c r="I92" s="20" t="n">
        <v>7249</v>
      </c>
      <c r="J92" s="20" t="n">
        <v>9208</v>
      </c>
      <c r="K92" s="20" t="n">
        <v>9371</v>
      </c>
      <c r="L92" s="20" t="n">
        <v>13123</v>
      </c>
    </row>
    <row r="93">
      <c r="A93" s="18" t="inlineStr">
        <is>
          <t>대손충당금</t>
        </is>
      </c>
      <c r="C93" s="20" t="n">
        <v>-2305</v>
      </c>
      <c r="D93" s="20" t="n">
        <v>-2564</v>
      </c>
      <c r="E93" s="20" t="n">
        <v>-2726</v>
      </c>
      <c r="F93" s="20" t="n">
        <v>-3073</v>
      </c>
      <c r="G93" s="20" t="n">
        <v>-3172</v>
      </c>
      <c r="H93" s="20" t="n">
        <v>-219</v>
      </c>
      <c r="I93" s="20" t="n">
        <v>-219</v>
      </c>
      <c r="J93" s="20" t="n">
        <v>-1582</v>
      </c>
      <c r="K93" s="20" t="n">
        <v>-2163</v>
      </c>
      <c r="L93" s="20" t="n">
        <v>-3073</v>
      </c>
    </row>
    <row r="94">
      <c r="A94" s="18" t="inlineStr">
        <is>
          <t>투자 및 기타자산 합계</t>
        </is>
      </c>
      <c r="C94" s="20" t="n">
        <v>86716</v>
      </c>
      <c r="D94" s="20" t="n">
        <v>78780</v>
      </c>
      <c r="E94" s="20" t="n">
        <v>83584</v>
      </c>
      <c r="F94" s="20" t="n">
        <v>90248</v>
      </c>
      <c r="G94" s="20" t="n">
        <v>103890</v>
      </c>
      <c r="H94" s="20" t="n">
        <v>88166</v>
      </c>
      <c r="I94" s="20" t="n">
        <v>107871</v>
      </c>
      <c r="J94" s="20" t="n">
        <v>95168</v>
      </c>
      <c r="K94" s="20" t="n">
        <v>85964</v>
      </c>
      <c r="L94" s="20" t="n">
        <v>90248</v>
      </c>
    </row>
    <row r="95">
      <c r="A95" s="9" t="inlineStr">
        <is>
          <t>비유동자산 합계</t>
        </is>
      </c>
      <c r="C95" s="12" t="n">
        <v>236488</v>
      </c>
      <c r="D95" s="12" t="n">
        <v>258983</v>
      </c>
      <c r="E95" s="12" t="n">
        <v>270448</v>
      </c>
      <c r="F95" s="12" t="n">
        <v>290701</v>
      </c>
      <c r="G95" s="12" t="n">
        <v>317551</v>
      </c>
      <c r="H95" s="12" t="n">
        <v>209713</v>
      </c>
      <c r="I95" s="12" t="n">
        <v>226237</v>
      </c>
      <c r="J95" s="12" t="n">
        <v>231272</v>
      </c>
      <c r="K95" s="12" t="n">
        <v>235652</v>
      </c>
      <c r="L95" s="12" t="n">
        <v>290701</v>
      </c>
    </row>
    <row r="96">
      <c r="A96" s="9" t="inlineStr">
        <is>
          <t>자산 합계</t>
        </is>
      </c>
      <c r="C96" s="12" t="n">
        <v>504852</v>
      </c>
      <c r="D96" s="12" t="n">
        <v>539526</v>
      </c>
      <c r="E96" s="12" t="n">
        <v>550300</v>
      </c>
      <c r="F96" s="12" t="n">
        <v>548246</v>
      </c>
      <c r="G96" s="12" t="n">
        <v>603320</v>
      </c>
      <c r="H96" s="12" t="n">
        <v>484660</v>
      </c>
      <c r="I96" s="12" t="n">
        <v>522868</v>
      </c>
      <c r="J96" s="12" t="n">
        <v>532254</v>
      </c>
      <c r="K96" s="12" t="n">
        <v>533786</v>
      </c>
      <c r="L96" s="12" t="n">
        <v>548246</v>
      </c>
    </row>
    <row r="97">
      <c r="A97" s="18" t="inlineStr">
        <is>
          <t>지급어음·매입채무</t>
        </is>
      </c>
      <c r="C97" s="20" t="n">
        <v>47720</v>
      </c>
      <c r="D97" s="20" t="n">
        <v>60554</v>
      </c>
      <c r="E97" s="20" t="n">
        <v>74053</v>
      </c>
      <c r="F97" s="20" t="n">
        <v>58734</v>
      </c>
      <c r="G97" s="20" t="n">
        <v>68153</v>
      </c>
      <c r="H97" s="20" t="n">
        <v>79833</v>
      </c>
      <c r="I97" s="20" t="n">
        <v>83659</v>
      </c>
      <c r="J97" s="20" t="n">
        <v>83449</v>
      </c>
      <c r="K97" s="20" t="n">
        <v>68617</v>
      </c>
      <c r="L97" s="20" t="n">
        <v>58734</v>
      </c>
    </row>
    <row r="98">
      <c r="A98" s="18" t="inlineStr">
        <is>
          <t>전자기록채무</t>
        </is>
      </c>
      <c r="C98" s="20" t="n">
        <v>2676</v>
      </c>
      <c r="D98" s="20" t="n">
        <v>2705</v>
      </c>
      <c r="E98" s="20" t="n">
        <v>3102</v>
      </c>
      <c r="F98" s="20" t="n">
        <v>2550</v>
      </c>
      <c r="G98" s="20" t="n">
        <v>3007</v>
      </c>
      <c r="H98" s="20" t="n">
        <v>3161</v>
      </c>
      <c r="I98" s="20" t="n">
        <v>3122</v>
      </c>
      <c r="J98" s="20" t="n">
        <v>3305</v>
      </c>
      <c r="K98" s="20" t="n">
        <v>2892</v>
      </c>
      <c r="L98" s="20" t="n">
        <v>2550</v>
      </c>
    </row>
    <row r="99">
      <c r="A99" s="18" t="inlineStr">
        <is>
          <t>단기차입금</t>
        </is>
      </c>
      <c r="C99" s="20" t="n">
        <v>8960</v>
      </c>
      <c r="D99" s="20" t="n">
        <v>8960</v>
      </c>
      <c r="E99" s="20" t="n">
        <v>8960</v>
      </c>
      <c r="F99" s="20" t="n">
        <v>8960</v>
      </c>
      <c r="G99" s="20" t="n">
        <v>8960</v>
      </c>
      <c r="H99" s="20" t="n">
        <v>8960</v>
      </c>
      <c r="I99" s="20" t="n">
        <v>8960</v>
      </c>
      <c r="J99" s="20" t="n">
        <v>8960</v>
      </c>
      <c r="K99" s="20" t="n">
        <v>8960</v>
      </c>
      <c r="L99" s="20" t="n">
        <v>8960</v>
      </c>
    </row>
    <row r="100">
      <c r="A100" s="18" t="inlineStr">
        <is>
          <t>기업어음(CP)</t>
        </is>
      </c>
      <c r="C100" s="20" t="n">
        <v>19000</v>
      </c>
      <c r="D100" s="20" t="n">
        <v>0</v>
      </c>
      <c r="E100" s="20" t="n">
        <v>0</v>
      </c>
      <c r="F100" s="20" t="n">
        <v>7000</v>
      </c>
      <c r="G100" s="20" t="n">
        <v>28000</v>
      </c>
      <c r="H100" s="20" t="n">
        <v>0</v>
      </c>
      <c r="I100" s="20" t="n">
        <v>19000</v>
      </c>
      <c r="J100" s="20" t="n">
        <v>0</v>
      </c>
      <c r="K100" s="20" t="n">
        <v>17000</v>
      </c>
      <c r="L100" s="20" t="n">
        <v>7000</v>
      </c>
    </row>
    <row r="101">
      <c r="A101" s="18" t="inlineStr">
        <is>
          <t>1년 내 상환 사채</t>
        </is>
      </c>
      <c r="H101" s="20" t="n">
        <v>10000</v>
      </c>
      <c r="I101" s="20" t="n">
        <v>0</v>
      </c>
    </row>
    <row r="102">
      <c r="A102" s="18" t="inlineStr">
        <is>
          <t>미지급금</t>
        </is>
      </c>
      <c r="F102" s="20" t="n">
        <v>29430</v>
      </c>
      <c r="G102" s="20" t="n">
        <v>36209</v>
      </c>
      <c r="K102" s="20" t="n">
        <v>21764</v>
      </c>
      <c r="L102" s="20" t="n">
        <v>29430</v>
      </c>
    </row>
    <row r="103">
      <c r="A103" s="18" t="inlineStr">
        <is>
          <t>미지급법인세</t>
        </is>
      </c>
      <c r="C103" s="20" t="n">
        <v>3401</v>
      </c>
      <c r="D103" s="20" t="n">
        <v>9584</v>
      </c>
      <c r="E103" s="20" t="n">
        <v>7571</v>
      </c>
      <c r="F103" s="20" t="n">
        <v>10005</v>
      </c>
      <c r="G103" s="20" t="n">
        <v>6054</v>
      </c>
      <c r="H103" s="20" t="n">
        <v>7042</v>
      </c>
      <c r="I103" s="20" t="n">
        <v>2898</v>
      </c>
      <c r="J103" s="20" t="n">
        <v>7239</v>
      </c>
      <c r="K103" s="20" t="n">
        <v>2979</v>
      </c>
      <c r="L103" s="20" t="n">
        <v>10005</v>
      </c>
    </row>
    <row r="104">
      <c r="A104" s="18" t="inlineStr">
        <is>
          <t>상여충당금</t>
        </is>
      </c>
      <c r="C104" s="20" t="n">
        <v>549</v>
      </c>
      <c r="D104" s="20" t="n">
        <v>2404</v>
      </c>
      <c r="E104" s="20" t="n">
        <v>570</v>
      </c>
      <c r="F104" s="20" t="n">
        <v>2783</v>
      </c>
      <c r="G104" s="20" t="n">
        <v>744</v>
      </c>
      <c r="H104" s="20" t="n">
        <v>2823</v>
      </c>
      <c r="I104" s="20" t="n">
        <v>2625</v>
      </c>
      <c r="J104" s="20" t="n">
        <v>2764</v>
      </c>
      <c r="K104" s="20" t="n">
        <v>3067</v>
      </c>
      <c r="L104" s="20" t="n">
        <v>2783</v>
      </c>
    </row>
    <row r="105">
      <c r="A105" s="18" t="inlineStr">
        <is>
          <t>수선충당금</t>
        </is>
      </c>
      <c r="C105" s="20" t="n">
        <v>8198</v>
      </c>
      <c r="D105" s="20" t="n">
        <v>4701</v>
      </c>
      <c r="E105" s="20" t="n">
        <v>4033</v>
      </c>
      <c r="F105" s="20" t="n">
        <v>4728</v>
      </c>
      <c r="G105" s="20" t="n">
        <v>9434</v>
      </c>
      <c r="H105" s="20" t="n">
        <v>3275</v>
      </c>
      <c r="I105" s="20" t="n">
        <v>5634</v>
      </c>
      <c r="J105" s="20" t="n">
        <v>4098</v>
      </c>
      <c r="K105" s="20" t="n">
        <v>7709</v>
      </c>
      <c r="L105" s="20" t="n">
        <v>4728</v>
      </c>
    </row>
    <row r="106">
      <c r="A106" s="18" t="inlineStr">
        <is>
          <t>기타 충당금</t>
        </is>
      </c>
      <c r="C106" s="20" t="n">
        <v>13</v>
      </c>
      <c r="D106" s="20" t="n">
        <v>15</v>
      </c>
      <c r="E106" s="20" t="n">
        <v>96</v>
      </c>
      <c r="F106" s="20" t="n">
        <v>25</v>
      </c>
      <c r="G106" s="20" t="n">
        <v>150</v>
      </c>
      <c r="H106" s="20" t="n">
        <v>100</v>
      </c>
      <c r="I106" s="20" t="n">
        <v>47</v>
      </c>
      <c r="J106" s="20" t="n">
        <v>184</v>
      </c>
      <c r="K106" s="20" t="n">
        <v>12</v>
      </c>
      <c r="L106" s="20" t="n">
        <v>25</v>
      </c>
    </row>
    <row r="107">
      <c r="A107" s="18" t="inlineStr">
        <is>
          <t>기타</t>
        </is>
      </c>
      <c r="C107" s="20" t="n">
        <v>33741</v>
      </c>
      <c r="D107" s="20" t="n">
        <v>66861</v>
      </c>
      <c r="E107" s="20" t="n">
        <v>64681</v>
      </c>
      <c r="F107" s="20" t="n">
        <v>20036</v>
      </c>
      <c r="G107" s="20" t="n">
        <v>21625</v>
      </c>
      <c r="H107" s="20" t="n">
        <v>23458</v>
      </c>
      <c r="I107" s="20" t="n">
        <v>34641</v>
      </c>
      <c r="J107" s="20" t="n">
        <v>33560</v>
      </c>
      <c r="K107" s="20" t="n">
        <v>19022</v>
      </c>
      <c r="L107" s="20" t="n">
        <v>20036</v>
      </c>
    </row>
    <row r="108">
      <c r="A108" s="9" t="inlineStr">
        <is>
          <t>유동부채 합계</t>
        </is>
      </c>
      <c r="C108" s="12" t="n">
        <v>124258</v>
      </c>
      <c r="D108" s="12" t="n">
        <v>155783</v>
      </c>
      <c r="E108" s="12" t="n">
        <v>163066</v>
      </c>
      <c r="F108" s="12" t="n">
        <v>144250</v>
      </c>
      <c r="G108" s="12" t="n">
        <v>182336</v>
      </c>
      <c r="H108" s="12" t="n">
        <v>138653</v>
      </c>
      <c r="I108" s="12" t="n">
        <v>160587</v>
      </c>
      <c r="J108" s="12" t="n">
        <v>143561</v>
      </c>
      <c r="K108" s="12" t="n">
        <v>152022</v>
      </c>
      <c r="L108" s="12" t="n">
        <v>144250</v>
      </c>
    </row>
    <row r="109">
      <c r="A109" s="18" t="inlineStr">
        <is>
          <t>사채</t>
        </is>
      </c>
      <c r="H109" s="20" t="n">
        <v>0</v>
      </c>
    </row>
    <row r="110">
      <c r="A110" s="18" t="inlineStr">
        <is>
          <t>장기 미지급 법인세</t>
        </is>
      </c>
      <c r="F110" s="20" t="n">
        <v>40</v>
      </c>
      <c r="G110" s="20" t="n">
        <v>40</v>
      </c>
      <c r="K110" s="20" t="n">
        <v>0</v>
      </c>
      <c r="L110" s="20" t="n">
        <v>40</v>
      </c>
    </row>
    <row r="111">
      <c r="A111" s="18" t="inlineStr">
        <is>
          <t>이연법인세부채</t>
        </is>
      </c>
      <c r="C111" s="20" t="n">
        <v>1195</v>
      </c>
      <c r="D111" s="20" t="n">
        <v>1360</v>
      </c>
      <c r="E111" s="20" t="n">
        <v>1432</v>
      </c>
      <c r="F111" s="20" t="n">
        <v>1421</v>
      </c>
      <c r="G111" s="20" t="n">
        <v>3069</v>
      </c>
      <c r="H111" s="20" t="n">
        <v>3243</v>
      </c>
      <c r="I111" s="20" t="n">
        <v>2272</v>
      </c>
      <c r="J111" s="20" t="n">
        <v>2025</v>
      </c>
      <c r="K111" s="20" t="n">
        <v>1142</v>
      </c>
      <c r="L111" s="20" t="n">
        <v>1421</v>
      </c>
    </row>
    <row r="112">
      <c r="A112" s="18" t="inlineStr">
        <is>
          <t>퇴직급여부채</t>
        </is>
      </c>
      <c r="C112" s="20" t="n">
        <v>13985</v>
      </c>
      <c r="D112" s="20" t="n">
        <v>14047</v>
      </c>
      <c r="E112" s="20" t="n">
        <v>14146</v>
      </c>
      <c r="F112" s="20" t="n">
        <v>12983</v>
      </c>
      <c r="G112" s="20" t="n">
        <v>13263</v>
      </c>
      <c r="H112" s="20" t="n">
        <v>13602</v>
      </c>
      <c r="I112" s="20" t="n">
        <v>13759</v>
      </c>
      <c r="J112" s="20" t="n">
        <v>14160</v>
      </c>
      <c r="K112" s="20" t="n">
        <v>14195</v>
      </c>
      <c r="L112" s="20" t="n">
        <v>12983</v>
      </c>
    </row>
    <row r="113">
      <c r="A113" s="18" t="inlineStr">
        <is>
          <t>수선충당금</t>
        </is>
      </c>
      <c r="C113" s="20" t="n">
        <v>2035</v>
      </c>
      <c r="D113" s="20" t="n">
        <v>630</v>
      </c>
      <c r="E113" s="20" t="n">
        <v>1740</v>
      </c>
      <c r="F113" s="20" t="n">
        <v>3044</v>
      </c>
      <c r="G113" s="20" t="n">
        <v>561</v>
      </c>
      <c r="H113" s="20" t="n">
        <v>2021</v>
      </c>
      <c r="I113" s="20" t="n">
        <v>930</v>
      </c>
      <c r="J113" s="20" t="n">
        <v>2332</v>
      </c>
      <c r="K113" s="20" t="n">
        <v>1181</v>
      </c>
      <c r="L113" s="20" t="n">
        <v>3044</v>
      </c>
    </row>
    <row r="114">
      <c r="A114" s="18" t="inlineStr">
        <is>
          <t>기타 충당금</t>
        </is>
      </c>
      <c r="C114" s="20" t="n">
        <v>506</v>
      </c>
      <c r="D114" s="20" t="n">
        <v>431</v>
      </c>
      <c r="E114" s="20" t="n">
        <v>476</v>
      </c>
      <c r="F114" s="20" t="n">
        <v>531</v>
      </c>
      <c r="G114" s="20" t="n">
        <v>370</v>
      </c>
      <c r="H114" s="20" t="n">
        <v>69</v>
      </c>
      <c r="I114" s="20" t="n">
        <v>46</v>
      </c>
      <c r="J114" s="20" t="n">
        <v>195</v>
      </c>
      <c r="K114" s="20" t="n">
        <v>435</v>
      </c>
      <c r="L114" s="20" t="n">
        <v>531</v>
      </c>
    </row>
    <row r="115">
      <c r="A115" s="18" t="inlineStr">
        <is>
          <t>기타</t>
        </is>
      </c>
      <c r="C115" s="20" t="n">
        <v>6591</v>
      </c>
      <c r="D115" s="20" t="n">
        <v>6489</v>
      </c>
      <c r="E115" s="20" t="n">
        <v>6875</v>
      </c>
      <c r="F115" s="20" t="n">
        <v>7725</v>
      </c>
      <c r="G115" s="20" t="n">
        <v>7870</v>
      </c>
      <c r="H115" s="20" t="n">
        <v>5237</v>
      </c>
      <c r="I115" s="20" t="n">
        <v>5965</v>
      </c>
      <c r="J115" s="20" t="n">
        <v>6254</v>
      </c>
      <c r="K115" s="20" t="n">
        <v>6817</v>
      </c>
      <c r="L115" s="20" t="n">
        <v>7725</v>
      </c>
    </row>
    <row r="116">
      <c r="A116" s="9" t="inlineStr">
        <is>
          <t>비유동부채 합계</t>
        </is>
      </c>
      <c r="C116" s="12" t="n">
        <v>24312</v>
      </c>
      <c r="D116" s="12" t="n">
        <v>22957</v>
      </c>
      <c r="E116" s="12" t="n">
        <v>24668</v>
      </c>
      <c r="F116" s="12" t="n">
        <v>25744</v>
      </c>
      <c r="G116" s="12" t="n">
        <v>25172</v>
      </c>
      <c r="H116" s="12" t="n">
        <v>24172</v>
      </c>
      <c r="I116" s="12" t="n">
        <v>22973</v>
      </c>
      <c r="J116" s="12" t="n">
        <v>24965</v>
      </c>
      <c r="K116" s="12" t="n">
        <v>23771</v>
      </c>
      <c r="L116" s="12" t="n">
        <v>25744</v>
      </c>
    </row>
    <row r="117">
      <c r="A117" s="9" t="inlineStr">
        <is>
          <t>부채 합계</t>
        </is>
      </c>
      <c r="C117" s="12" t="n">
        <v>148570</v>
      </c>
      <c r="D117" s="12" t="n">
        <v>178741</v>
      </c>
      <c r="E117" s="12" t="n">
        <v>187733</v>
      </c>
      <c r="F117" s="12" t="n">
        <v>169994</v>
      </c>
      <c r="G117" s="12" t="n">
        <v>207508</v>
      </c>
      <c r="H117" s="12" t="n">
        <v>162824</v>
      </c>
      <c r="I117" s="12" t="n">
        <v>183560</v>
      </c>
      <c r="J117" s="12" t="n">
        <v>168525</v>
      </c>
      <c r="K117" s="12" t="n">
        <v>175793</v>
      </c>
      <c r="L117" s="12" t="n">
        <v>169994</v>
      </c>
    </row>
    <row r="118">
      <c r="A118" s="18" t="inlineStr">
        <is>
          <t>자본금</t>
        </is>
      </c>
      <c r="C118" s="20" t="n">
        <v>24211</v>
      </c>
      <c r="D118" s="20" t="n">
        <v>24211</v>
      </c>
      <c r="E118" s="20" t="n">
        <v>24211</v>
      </c>
      <c r="F118" s="20" t="n">
        <v>24211</v>
      </c>
      <c r="G118" s="20" t="n">
        <v>24211</v>
      </c>
      <c r="H118" s="20" t="n">
        <v>24211</v>
      </c>
      <c r="I118" s="20" t="n">
        <v>24211</v>
      </c>
      <c r="J118" s="20" t="n">
        <v>24211</v>
      </c>
      <c r="K118" s="20" t="n">
        <v>24211</v>
      </c>
      <c r="L118" s="20" t="n">
        <v>24211</v>
      </c>
    </row>
    <row r="119">
      <c r="A119" s="18" t="inlineStr">
        <is>
          <t>자본잉여금</t>
        </is>
      </c>
      <c r="C119" s="20" t="n">
        <v>19116</v>
      </c>
      <c r="D119" s="20" t="n">
        <v>19323</v>
      </c>
      <c r="E119" s="20" t="n">
        <v>19323</v>
      </c>
      <c r="F119" s="20" t="n">
        <v>19323</v>
      </c>
      <c r="G119" s="20" t="n">
        <v>19323</v>
      </c>
      <c r="H119" s="20" t="n">
        <v>19162</v>
      </c>
      <c r="I119" s="20" t="n">
        <v>19137</v>
      </c>
      <c r="J119" s="20" t="n">
        <v>19582</v>
      </c>
      <c r="K119" s="20" t="n">
        <v>19323</v>
      </c>
      <c r="L119" s="20" t="n">
        <v>19323</v>
      </c>
    </row>
    <row r="120">
      <c r="A120" s="18" t="inlineStr">
        <is>
          <t>이익잉여금</t>
        </is>
      </c>
      <c r="C120" s="20" t="n">
        <v>289257</v>
      </c>
      <c r="D120" s="20" t="n">
        <v>303849</v>
      </c>
      <c r="E120" s="20" t="n">
        <v>302851</v>
      </c>
      <c r="F120" s="20" t="n">
        <v>302770</v>
      </c>
      <c r="G120" s="20" t="n">
        <v>307774</v>
      </c>
      <c r="H120" s="20" t="n">
        <v>272679</v>
      </c>
      <c r="I120" s="20" t="n">
        <v>268363</v>
      </c>
      <c r="J120" s="20" t="n">
        <v>289930</v>
      </c>
      <c r="K120" s="20" t="n">
        <v>287773</v>
      </c>
      <c r="L120" s="20" t="n">
        <v>302770</v>
      </c>
    </row>
    <row r="121">
      <c r="A121" s="18" t="inlineStr">
        <is>
          <t>자기주식</t>
        </is>
      </c>
      <c r="C121" s="20" t="n">
        <v>-22482</v>
      </c>
      <c r="D121" s="20" t="n">
        <v>-27834</v>
      </c>
      <c r="E121" s="20" t="n">
        <v>-31834</v>
      </c>
      <c r="F121" s="20" t="n">
        <v>-23853</v>
      </c>
      <c r="G121" s="20" t="n">
        <v>-23853</v>
      </c>
      <c r="H121" s="20" t="n">
        <v>-23000</v>
      </c>
      <c r="I121" s="20" t="n">
        <v>-19024</v>
      </c>
      <c r="J121" s="20" t="n">
        <v>-19435</v>
      </c>
      <c r="K121" s="20" t="n">
        <v>-21910</v>
      </c>
      <c r="L121" s="20" t="n">
        <v>-23853</v>
      </c>
    </row>
    <row r="122">
      <c r="A122" s="9" t="inlineStr">
        <is>
          <t>주주자본 합계</t>
        </is>
      </c>
      <c r="C122" s="12" t="n">
        <v>310104</v>
      </c>
      <c r="D122" s="12" t="n">
        <v>319550</v>
      </c>
      <c r="E122" s="12" t="n">
        <v>314551</v>
      </c>
      <c r="F122" s="12" t="n">
        <v>322452</v>
      </c>
      <c r="G122" s="12" t="n">
        <v>327456</v>
      </c>
      <c r="H122" s="12" t="n">
        <v>293053</v>
      </c>
      <c r="I122" s="12" t="n">
        <v>292688</v>
      </c>
      <c r="J122" s="12" t="n">
        <v>314288</v>
      </c>
      <c r="K122" s="12" t="n">
        <v>309398</v>
      </c>
      <c r="L122" s="12" t="n">
        <v>322452</v>
      </c>
    </row>
    <row r="123">
      <c r="A123" s="18" t="inlineStr">
        <is>
          <t>기타유가증권 평가차액</t>
        </is>
      </c>
      <c r="C123" s="20" t="n">
        <v>23879</v>
      </c>
      <c r="D123" s="20" t="n">
        <v>20055</v>
      </c>
      <c r="E123" s="20" t="n">
        <v>24091</v>
      </c>
      <c r="F123" s="20" t="n">
        <v>26120</v>
      </c>
      <c r="G123" s="20" t="n">
        <v>37353</v>
      </c>
      <c r="H123" s="20" t="n">
        <v>21186</v>
      </c>
      <c r="I123" s="20" t="n">
        <v>31538</v>
      </c>
      <c r="J123" s="20" t="n">
        <v>30502</v>
      </c>
      <c r="K123" s="20" t="n">
        <v>21815</v>
      </c>
      <c r="L123" s="20" t="n">
        <v>26120</v>
      </c>
    </row>
    <row r="124">
      <c r="A124" s="18" t="inlineStr">
        <is>
          <t>이연헤지손익</t>
        </is>
      </c>
      <c r="C124" s="20" t="n">
        <v>-2</v>
      </c>
      <c r="D124" s="20" t="n">
        <v>1</v>
      </c>
      <c r="E124" s="20" t="n">
        <v>2</v>
      </c>
      <c r="F124" s="20" t="n">
        <v>4</v>
      </c>
      <c r="G124" s="20" t="n">
        <v>4</v>
      </c>
      <c r="H124" s="20" t="n">
        <v>2</v>
      </c>
      <c r="I124" s="20" t="n">
        <v>-1</v>
      </c>
      <c r="J124" s="20" t="n">
        <v>7</v>
      </c>
      <c r="K124" s="20" t="n">
        <v>-4</v>
      </c>
      <c r="L124" s="20" t="n">
        <v>4</v>
      </c>
    </row>
    <row r="125">
      <c r="A125" s="18" t="inlineStr">
        <is>
          <t>해외사업환산조정</t>
        </is>
      </c>
      <c r="C125" s="20" t="n">
        <v>21382</v>
      </c>
      <c r="D125" s="20" t="n">
        <v>20243</v>
      </c>
      <c r="E125" s="20" t="n">
        <v>22930</v>
      </c>
      <c r="F125" s="20" t="n">
        <v>28131</v>
      </c>
      <c r="G125" s="20" t="n">
        <v>29427</v>
      </c>
      <c r="H125" s="20" t="n">
        <v>4767</v>
      </c>
      <c r="I125" s="20" t="n">
        <v>11823</v>
      </c>
      <c r="J125" s="20" t="n">
        <v>17576</v>
      </c>
      <c r="K125" s="20" t="n">
        <v>25819</v>
      </c>
      <c r="L125" s="20" t="n">
        <v>28131</v>
      </c>
    </row>
    <row r="126">
      <c r="A126" s="18" t="inlineStr">
        <is>
          <t>퇴직급여 조정누계액</t>
        </is>
      </c>
      <c r="C126" s="20" t="n">
        <v>211</v>
      </c>
      <c r="D126" s="20" t="n">
        <v>206</v>
      </c>
      <c r="E126" s="20" t="n">
        <v>220</v>
      </c>
      <c r="F126" s="20" t="n">
        <v>769</v>
      </c>
      <c r="G126" s="20" t="n">
        <v>760</v>
      </c>
      <c r="H126" s="20" t="n">
        <v>-384</v>
      </c>
      <c r="I126" s="20" t="n">
        <v>262</v>
      </c>
      <c r="J126" s="20" t="n">
        <v>6</v>
      </c>
      <c r="K126" s="20" t="n">
        <v>225</v>
      </c>
      <c r="L126" s="20" t="n">
        <v>769</v>
      </c>
    </row>
    <row r="127">
      <c r="A127" s="18" t="inlineStr">
        <is>
          <t>기타포괄손익누계액 합계</t>
        </is>
      </c>
      <c r="C127" s="20" t="n">
        <v>45469</v>
      </c>
      <c r="D127" s="20" t="n">
        <v>40504</v>
      </c>
      <c r="E127" s="20" t="n">
        <v>47243</v>
      </c>
      <c r="F127" s="20" t="n">
        <v>55023</v>
      </c>
      <c r="G127" s="20" t="n">
        <v>67544</v>
      </c>
      <c r="H127" s="20" t="n">
        <v>25570</v>
      </c>
      <c r="I127" s="20" t="n">
        <v>43623</v>
      </c>
      <c r="J127" s="20" t="n">
        <v>48092</v>
      </c>
      <c r="K127" s="20" t="n">
        <v>47854</v>
      </c>
      <c r="L127" s="20" t="n">
        <v>55023</v>
      </c>
    </row>
    <row r="128">
      <c r="A128" s="18" t="inlineStr">
        <is>
          <t>신주예약권</t>
        </is>
      </c>
      <c r="C128" s="20" t="n">
        <v>88</v>
      </c>
      <c r="D128" s="20" t="n">
        <v>88</v>
      </c>
      <c r="E128" s="20" t="n">
        <v>88</v>
      </c>
      <c r="F128" s="20" t="n">
        <v>88</v>
      </c>
      <c r="G128" s="20" t="n">
        <v>88</v>
      </c>
      <c r="H128" s="20" t="n">
        <v>126</v>
      </c>
      <c r="I128" s="20" t="n">
        <v>88</v>
      </c>
      <c r="J128" s="20" t="n">
        <v>88</v>
      </c>
      <c r="K128" s="20" t="n">
        <v>88</v>
      </c>
      <c r="L128" s="20" t="n">
        <v>88</v>
      </c>
    </row>
    <row r="129">
      <c r="A129" s="18" t="inlineStr">
        <is>
          <t>비지배지분</t>
        </is>
      </c>
      <c r="C129" s="20" t="n">
        <v>621</v>
      </c>
      <c r="D129" s="20" t="n">
        <v>643</v>
      </c>
      <c r="E129" s="20" t="n">
        <v>684</v>
      </c>
      <c r="F129" s="20" t="n">
        <v>689</v>
      </c>
      <c r="G129" s="20" t="n">
        <v>723</v>
      </c>
      <c r="H129" s="20" t="n">
        <v>3086</v>
      </c>
      <c r="I129" s="20" t="n">
        <v>2910</v>
      </c>
      <c r="J129" s="20" t="n">
        <v>1262</v>
      </c>
      <c r="K129" s="20" t="n">
        <v>652</v>
      </c>
      <c r="L129" s="20" t="n">
        <v>689</v>
      </c>
    </row>
    <row r="130">
      <c r="A130" s="9" t="inlineStr">
        <is>
          <t>순자산 합계</t>
        </is>
      </c>
      <c r="C130" s="12" t="n">
        <v>356282</v>
      </c>
      <c r="D130" s="12" t="n">
        <v>360785</v>
      </c>
      <c r="E130" s="12" t="n">
        <v>362566</v>
      </c>
      <c r="F130" s="12" t="n">
        <v>378252</v>
      </c>
      <c r="G130" s="12" t="n">
        <v>395811</v>
      </c>
      <c r="H130" s="12" t="n">
        <v>321836</v>
      </c>
      <c r="I130" s="12" t="n">
        <v>339308</v>
      </c>
      <c r="J130" s="12" t="n">
        <v>363729</v>
      </c>
      <c r="K130" s="12" t="n">
        <v>357992</v>
      </c>
      <c r="L130" s="12" t="n">
        <v>378252</v>
      </c>
    </row>
    <row r="131">
      <c r="A131" s="9" t="inlineStr">
        <is>
          <t>부채·순자산 합계</t>
        </is>
      </c>
      <c r="C131" s="12" t="n">
        <v>504852</v>
      </c>
      <c r="D131" s="12" t="n">
        <v>539526</v>
      </c>
      <c r="E131" s="12" t="n">
        <v>550300</v>
      </c>
      <c r="F131" s="12" t="n">
        <v>548246</v>
      </c>
      <c r="G131" s="12" t="n">
        <v>603320</v>
      </c>
      <c r="H131" s="12" t="n">
        <v>484660</v>
      </c>
      <c r="I131" s="12" t="n">
        <v>522868</v>
      </c>
      <c r="J131" s="12" t="n">
        <v>532254</v>
      </c>
      <c r="K131" s="12" t="n">
        <v>533786</v>
      </c>
      <c r="L131" s="12" t="n">
        <v>548246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https://www2.jpx.co.jp/disc/42050/140120260728501240.pdf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https://www2.jpx.co.jp/disc/42050/140120260512526007.pdf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https://www2.jpx.co.jp/disc/42050/140120260129541964.pdf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https://www2.jpx.co.jp/disc/42050/140120251030582485.pdf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https://www2.jpx.co.jp/disc/42050/140120250729522977.pdf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https://www2.jpx.co.jp/disc/42050/140120250424522720.pdf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https://www2.jpx.co.jp/disc/42050/140120250130558804.pdf</t>
        </is>
      </c>
    </row>
    <row r="11">
      <c r="A11" t="inlineStr">
        <is>
          <t>2024-10-28</t>
        </is>
      </c>
      <c r="B11" t="inlineStr">
        <is>
          <t>2025년 3월 결산기 ２분기 결산단신</t>
        </is>
      </c>
      <c r="C11" t="inlineStr">
        <is>
          <t>https://www2.jpx.co.jp/disc/42050/140120241025503031.pdf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https://www2.jpx.co.jp/disc/42050/140120240726556033.pdf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https://www2.jpx.co.jp/disc/42050/140120240424575818.pdf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https://www2.jpx.co.jp/disc/42050/140120240130521675.pdf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https://www2.jpx.co.jp/disc/42050/140120231026572244.pdf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https://www2.jpx.co.jp/disc/42050/140120230726527467.pdf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https://www2.jpx.co.jp/disc/42050/140120230425551922.pdf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https://www2.jpx.co.jp/disc/42050/140120230126594421.pdf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https://www2.jpx.co.jp/disc/42050/140120221025549136.pdf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https://www2.jpx.co.jp/disc/42050/140120220426527950.pdf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https://www2.jpx.co.jp/disc/42050/140120210427401516.pdf</t>
        </is>
      </c>
    </row>
    <row r="22">
      <c r="A22" t="inlineStr">
        <is>
          <t>2020-04-28</t>
        </is>
      </c>
      <c r="B22" t="inlineStr">
        <is>
          <t>연간 결산단신</t>
        </is>
      </c>
      <c r="C22" t="inlineStr">
        <is>
          <t>https://www2.jpx.co.jp/disc/42050/140120200427400135.pdf</t>
        </is>
      </c>
    </row>
    <row r="23">
      <c r="A23" t="inlineStr">
        <is>
          <t>2019-04-26</t>
        </is>
      </c>
      <c r="B23" t="inlineStr">
        <is>
          <t>연간 결산단신</t>
        </is>
      </c>
      <c r="C23" t="inlineStr">
        <is>
          <t>https://www2.jpx.co.jp/disc/42050/140120190425410952.pdf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https://www2.jpx.co.jp/disc/42050/140120180426421506.pdf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2026-10-28T07:02:47Z</dcterms:created>
  <dcterms:modified xmlns:dcterms="http://purl.org/dc/terms/" xmlns:xsi="http://www.w3.org/2001/XMLSchema-instance" xsi:type="dcterms:W3CDTF">2026-10-28T07:02:48Z</dcterms:modified>
</cp:coreProperties>
</file>