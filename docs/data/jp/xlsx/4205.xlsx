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4205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93515</v>
      </c>
      <c r="D4" s="12" t="n">
        <v>98364</v>
      </c>
      <c r="E4" s="12" t="n">
        <v>98473</v>
      </c>
      <c r="F4" s="12" t="n">
        <v>106105</v>
      </c>
      <c r="G4" s="12" t="n">
        <v>107245</v>
      </c>
      <c r="H4" s="12" t="n">
        <v>102083</v>
      </c>
      <c r="I4" s="12" t="n">
        <v>105214</v>
      </c>
      <c r="J4" s="12" t="n">
        <v>103083</v>
      </c>
      <c r="K4" s="12" t="n">
        <v>103388</v>
      </c>
      <c r="L4" s="12" t="n">
        <v>103241</v>
      </c>
      <c r="M4" s="12" t="n">
        <v>102254</v>
      </c>
      <c r="N4" s="12" t="n">
        <v>109466</v>
      </c>
      <c r="O4" s="11" t="n">
        <v>287624</v>
      </c>
      <c r="P4" s="12" t="n">
        <v>332682</v>
      </c>
      <c r="Q4" s="12" t="n">
        <v>337499</v>
      </c>
      <c r="R4" s="12" t="n">
        <v>321966</v>
      </c>
      <c r="S4" s="12" t="n">
        <v>301961</v>
      </c>
      <c r="T4" s="12" t="n">
        <v>361730</v>
      </c>
      <c r="U4" s="12" t="n">
        <v>388614</v>
      </c>
      <c r="V4" s="12" t="n">
        <v>382279</v>
      </c>
      <c r="W4" s="12" t="n">
        <v>420647</v>
      </c>
      <c r="X4" s="12" t="n">
        <v>411966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51413</v>
      </c>
      <c r="D7" s="20" t="n">
        <v>53781</v>
      </c>
      <c r="E7" s="20" t="n">
        <v>54619</v>
      </c>
      <c r="F7" s="20" t="n">
        <v>59245</v>
      </c>
      <c r="G7" s="20" t="n">
        <v>59287</v>
      </c>
      <c r="H7" s="20" t="n">
        <v>56737</v>
      </c>
      <c r="I7" s="20" t="n">
        <v>57200</v>
      </c>
      <c r="J7" s="20" t="n">
        <v>57748</v>
      </c>
      <c r="K7" s="20" t="n">
        <v>54099</v>
      </c>
      <c r="L7" s="20" t="n">
        <v>54852</v>
      </c>
      <c r="M7" s="20" t="n">
        <v>55057</v>
      </c>
      <c r="N7" s="20" t="n">
        <v>57518</v>
      </c>
      <c r="O7" s="19" t="n"/>
      <c r="P7" s="20" t="n"/>
      <c r="Q7" s="20" t="n"/>
      <c r="R7" s="20" t="n"/>
      <c r="S7" s="20" t="n"/>
      <c r="T7" s="20" t="n"/>
      <c r="U7" s="20" t="n"/>
      <c r="V7" s="20" t="n">
        <v>211356</v>
      </c>
      <c r="W7" s="20" t="n">
        <v>232469</v>
      </c>
      <c r="X7" s="20" t="n">
        <v>221756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26205</v>
      </c>
      <c r="D10" s="20" t="n">
        <v>27652</v>
      </c>
      <c r="E10" s="20" t="n">
        <v>28290</v>
      </c>
      <c r="F10" s="20" t="n">
        <v>30303</v>
      </c>
      <c r="G10" s="20" t="n">
        <v>31230</v>
      </c>
      <c r="H10" s="20" t="n">
        <v>28541</v>
      </c>
      <c r="I10" s="20" t="n">
        <v>31477</v>
      </c>
      <c r="J10" s="20" t="n">
        <v>29279</v>
      </c>
      <c r="K10" s="20" t="n">
        <v>32995</v>
      </c>
      <c r="L10" s="20" t="n">
        <v>31532</v>
      </c>
      <c r="M10" s="20" t="n">
        <v>30357</v>
      </c>
      <c r="N10" s="20" t="n">
        <v>33832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107334</v>
      </c>
      <c r="W10" s="20" t="n">
        <v>121551</v>
      </c>
      <c r="X10" s="20" t="n">
        <v>124163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15897</v>
      </c>
      <c r="D13" s="20" t="n">
        <v>16930</v>
      </c>
      <c r="E13" s="20" t="n">
        <v>15565</v>
      </c>
      <c r="F13" s="20" t="n">
        <v>16557</v>
      </c>
      <c r="G13" s="20" t="n">
        <v>16728</v>
      </c>
      <c r="H13" s="20" t="n">
        <v>16805</v>
      </c>
      <c r="I13" s="20" t="n">
        <v>16537</v>
      </c>
      <c r="J13" s="20" t="n">
        <v>16056</v>
      </c>
      <c r="K13" s="20" t="n">
        <v>16295</v>
      </c>
      <c r="L13" s="20" t="n">
        <v>16857</v>
      </c>
      <c r="M13" s="20" t="n">
        <v>16839</v>
      </c>
      <c r="N13" s="20" t="n">
        <v>18117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63589</v>
      </c>
      <c r="W13" s="20" t="n">
        <v>66627</v>
      </c>
      <c r="X13" s="20" t="n">
        <v>66047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68951</v>
      </c>
      <c r="D17" s="20" t="n">
        <v>71567</v>
      </c>
      <c r="E17" s="20" t="n">
        <v>72688</v>
      </c>
      <c r="F17" s="20" t="n">
        <v>75523</v>
      </c>
      <c r="G17" s="20" t="n">
        <v>76683</v>
      </c>
      <c r="H17" s="20" t="n">
        <v>72923</v>
      </c>
      <c r="I17" s="20" t="n">
        <v>77285</v>
      </c>
      <c r="J17" s="20" t="n">
        <v>69546</v>
      </c>
      <c r="K17" s="20" t="n">
        <v>75213</v>
      </c>
      <c r="L17" s="20" t="n">
        <v>74525</v>
      </c>
      <c r="M17" s="20" t="n">
        <v>71480</v>
      </c>
      <c r="N17" s="20" t="n">
        <v>72300</v>
      </c>
      <c r="O17" s="19" t="n">
        <v>200699</v>
      </c>
      <c r="P17" s="20" t="n">
        <v>231410</v>
      </c>
      <c r="Q17" s="20" t="n">
        <v>240757</v>
      </c>
      <c r="R17" s="20" t="n">
        <v>230055</v>
      </c>
      <c r="S17" s="20" t="n">
        <v>204409</v>
      </c>
      <c r="T17" s="20" t="n">
        <v>241371</v>
      </c>
      <c r="U17" s="20" t="n">
        <v>278971</v>
      </c>
      <c r="V17" s="20" t="n">
        <v>279769</v>
      </c>
      <c r="W17" s="20" t="n">
        <v>302414</v>
      </c>
      <c r="X17" s="20" t="n">
        <v>290764</v>
      </c>
      <c r="Y17" s="19" t="n"/>
      <c r="Z17" s="20" t="n"/>
      <c r="AA17" s="20" t="n"/>
      <c r="AB17" s="20" t="n"/>
      <c r="AC17" s="20" t="n"/>
    </row>
    <row r="18">
      <c r="A18" s="18" t="inlineStr">
        <is>
          <t>매출총이익</t>
        </is>
      </c>
      <c r="B18" s="10" t="n"/>
      <c r="C18" s="19">
        <f>IF(OR(C4="",C17=""),"",IFERROR(C4-C17,""))</f>
        <v/>
      </c>
      <c r="D18" s="20">
        <f>IF(OR(D4="",D17=""),"",IFERROR(D4-D17,""))</f>
        <v/>
      </c>
      <c r="E18" s="20">
        <f>IF(OR(E4="",E17=""),"",IFERROR(E4-E17,""))</f>
        <v/>
      </c>
      <c r="F18" s="20">
        <f>IF(OR(F4="",F17=""),"",IFERROR(F4-F17,""))</f>
        <v/>
      </c>
      <c r="G18" s="20">
        <f>IF(OR(G4="",G17=""),"",IFERROR(G4-G17,""))</f>
        <v/>
      </c>
      <c r="H18" s="20">
        <f>IF(OR(H4="",H17=""),"",IFERROR(H4-H17,""))</f>
        <v/>
      </c>
      <c r="I18" s="20">
        <f>IF(OR(I4="",I17=""),"",IFERROR(I4-I17,""))</f>
        <v/>
      </c>
      <c r="J18" s="20">
        <f>IF(OR(J4="",J17=""),"",IFERROR(J4-J17,""))</f>
        <v/>
      </c>
      <c r="K18" s="20">
        <f>IF(OR(K4="",K17=""),"",IFERROR(K4-K17,""))</f>
        <v/>
      </c>
      <c r="L18" s="20">
        <f>IF(OR(L4="",L17=""),"",IFERROR(L4-L17,""))</f>
        <v/>
      </c>
      <c r="M18" s="20">
        <f>IF(OR(M4="",M17=""),"",IFERROR(M4-M17,""))</f>
        <v/>
      </c>
      <c r="N18" s="20">
        <f>IF(OR(N4="",N17=""),"",IFERROR(N4-N17,""))</f>
        <v/>
      </c>
      <c r="O18" s="19">
        <f>IF(OR(O4="",O17=""),"",IFERROR(O4-O17,""))</f>
        <v/>
      </c>
      <c r="P18" s="20">
        <f>IF(OR(P4="",P17=""),"",IFERROR(P4-P17,""))</f>
        <v/>
      </c>
      <c r="Q18" s="20">
        <f>IF(OR(Q4="",Q17=""),"",IFERROR(Q4-Q17,""))</f>
        <v/>
      </c>
      <c r="R18" s="20">
        <f>IF(OR(R4="",R17=""),"",IFERROR(R4-R17,""))</f>
        <v/>
      </c>
      <c r="S18" s="20">
        <f>IF(OR(S4="",S17=""),"",IFERROR(S4-S17,""))</f>
        <v/>
      </c>
      <c r="T18" s="20">
        <f>IF(OR(T4="",T17=""),"",IFERROR(T4-T17,""))</f>
        <v/>
      </c>
      <c r="U18" s="20">
        <f>IF(OR(U4="",U17=""),"",IFERROR(U4-U17,""))</f>
        <v/>
      </c>
      <c r="V18" s="20">
        <f>IF(OR(V4="",V17=""),"",IFERROR(V4-V17,""))</f>
        <v/>
      </c>
      <c r="W18" s="20">
        <f>IF(OR(W4="",W17=""),"",IFERROR(W4-W17,""))</f>
        <v/>
      </c>
      <c r="X18" s="20">
        <f>IF(OR(X4="",X17=""),"",IFERROR(X4-X17,""))</f>
        <v/>
      </c>
      <c r="Y18" s="19" t="n"/>
      <c r="Z18" s="20" t="n"/>
      <c r="AA18" s="20" t="n"/>
      <c r="AB18" s="20" t="n"/>
      <c r="AC18" s="20" t="n"/>
    </row>
    <row r="19">
      <c r="A19" s="13" t="inlineStr">
        <is>
          <t>GPM</t>
        </is>
      </c>
      <c r="B19" s="10" t="n"/>
      <c r="C19" s="14">
        <f>IF(OR(C18="",C4=""),"",IFERROR(C18/C4,""))</f>
        <v/>
      </c>
      <c r="D19" s="15">
        <f>IF(OR(D18="",D4=""),"",IFERROR(D18/D4,""))</f>
        <v/>
      </c>
      <c r="E19" s="15">
        <f>IF(OR(E18="",E4=""),"",IFERROR(E18/E4,""))</f>
        <v/>
      </c>
      <c r="F19" s="15">
        <f>IF(OR(F18="",F4=""),"",IFERROR(F18/F4,""))</f>
        <v/>
      </c>
      <c r="G19" s="15">
        <f>IF(OR(G18="",G4=""),"",IFERROR(G18/G4,""))</f>
        <v/>
      </c>
      <c r="H19" s="15">
        <f>IF(OR(H18="",H4=""),"",IFERROR(H18/H4,""))</f>
        <v/>
      </c>
      <c r="I19" s="15">
        <f>IF(OR(I18="",I4=""),"",IFERROR(I18/I4,""))</f>
        <v/>
      </c>
      <c r="J19" s="15">
        <f>IF(OR(J18="",J4=""),"",IFERROR(J18/J4,""))</f>
        <v/>
      </c>
      <c r="K19" s="15">
        <f>IF(OR(K18="",K4=""),"",IFERROR(K18/K4,""))</f>
        <v/>
      </c>
      <c r="L19" s="15">
        <f>IF(OR(L18="",L4=""),"",IFERROR(L18/L4,""))</f>
        <v/>
      </c>
      <c r="M19" s="15">
        <f>IF(OR(M18="",M4=""),"",IFERROR(M18/M4,""))</f>
        <v/>
      </c>
      <c r="N19" s="15">
        <f>IF(OR(N18="",N4=""),"",IFERROR(N18/N4,""))</f>
        <v/>
      </c>
      <c r="O19" s="14">
        <f>IF(OR(O18="",O4=""),"",IFERROR(O18/O4,""))</f>
        <v/>
      </c>
      <c r="P19" s="15">
        <f>IF(OR(P18="",P4=""),"",IFERROR(P18/P4,""))</f>
        <v/>
      </c>
      <c r="Q19" s="15">
        <f>IF(OR(Q18="",Q4=""),"",IFERROR(Q18/Q4,""))</f>
        <v/>
      </c>
      <c r="R19" s="15">
        <f>IF(OR(R18="",R4=""),"",IFERROR(R18/R4,""))</f>
        <v/>
      </c>
      <c r="S19" s="15">
        <f>IF(OR(S18="",S4=""),"",IFERROR(S18/S4,""))</f>
        <v/>
      </c>
      <c r="T19" s="15">
        <f>IF(OR(T18="",T4=""),"",IFERROR(T18/T4,""))</f>
        <v/>
      </c>
      <c r="U19" s="15">
        <f>IF(OR(U18="",U4=""),"",IFERROR(U18/U4,""))</f>
        <v/>
      </c>
      <c r="V19" s="15">
        <f>IF(OR(V18="",V4=""),"",IFERROR(V18/V4,""))</f>
        <v/>
      </c>
      <c r="W19" s="15">
        <f>IF(OR(W18="",W4=""),"",IFERROR(W18/W4,""))</f>
        <v/>
      </c>
      <c r="X19" s="15">
        <f>IF(OR(X18="",X4=""),"",IFERROR(X18/X4,""))</f>
        <v/>
      </c>
      <c r="Y19" s="14">
        <f>IF(OR(Y18="",Y4=""),"",IFERROR(Y18/Y4,""))</f>
        <v/>
      </c>
      <c r="Z19" s="15">
        <f>IF(OR(Z18="",Z4=""),"",IFERROR(Z18/Z4,""))</f>
        <v/>
      </c>
      <c r="AA19" s="15">
        <f>IF(OR(AA18="",AA4=""),"",IFERROR(AA18/AA4,""))</f>
        <v/>
      </c>
      <c r="AB19" s="15">
        <f>IF(OR(AB18="",AB4=""),"",IFERROR(AB18/AB4,""))</f>
        <v/>
      </c>
      <c r="AC19" s="15">
        <f>IF(OR(AC18="",AC4=""),"",IFERROR(AC18/AC4,""))</f>
        <v/>
      </c>
    </row>
    <row r="20">
      <c r="A20" s="23" t="inlineStr">
        <is>
          <t>판매관리비</t>
        </is>
      </c>
      <c r="B20" s="23" t="n"/>
      <c r="C20" s="2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</row>
    <row r="21">
      <c r="A21" s="18" t="inlineStr">
        <is>
          <t>전체 판관비</t>
        </is>
      </c>
      <c r="B21" s="10" t="n"/>
      <c r="C21" s="19" t="n">
        <v>21217</v>
      </c>
      <c r="D21" s="20" t="n">
        <v>20272</v>
      </c>
      <c r="E21" s="20" t="n">
        <v>21271</v>
      </c>
      <c r="F21" s="20" t="n">
        <v>21541</v>
      </c>
      <c r="G21" s="20" t="n">
        <v>22800</v>
      </c>
      <c r="H21" s="20" t="n">
        <v>21790</v>
      </c>
      <c r="I21" s="20" t="n">
        <v>22782</v>
      </c>
      <c r="J21" s="20" t="n">
        <v>21408</v>
      </c>
      <c r="K21" s="20" t="n">
        <v>20952</v>
      </c>
      <c r="L21" s="20" t="n">
        <v>20468</v>
      </c>
      <c r="M21" s="20" t="n">
        <v>21998</v>
      </c>
      <c r="N21" s="20" t="n">
        <v>20865</v>
      </c>
      <c r="O21" s="19" t="n">
        <v>56158</v>
      </c>
      <c r="P21" s="20" t="n">
        <v>62392</v>
      </c>
      <c r="Q21" s="20" t="n">
        <v>63595</v>
      </c>
      <c r="R21" s="20" t="n">
        <v>65807</v>
      </c>
      <c r="S21" s="20" t="n">
        <v>64144</v>
      </c>
      <c r="T21" s="20" t="n">
        <v>75927</v>
      </c>
      <c r="U21" s="20" t="n">
        <v>82464</v>
      </c>
      <c r="V21" s="20" t="n">
        <v>82010</v>
      </c>
      <c r="W21" s="20" t="n">
        <v>88913</v>
      </c>
      <c r="X21" s="20" t="n">
        <v>84826</v>
      </c>
      <c r="Y21" s="19" t="n"/>
      <c r="Z21" s="20" t="n"/>
      <c r="AA21" s="20" t="n"/>
      <c r="AB21" s="20" t="n"/>
      <c r="AC21" s="20" t="n"/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3347</v>
      </c>
      <c r="D22" s="12" t="n">
        <v>6525</v>
      </c>
      <c r="E22" s="12" t="n">
        <v>4514</v>
      </c>
      <c r="F22" s="12" t="n">
        <v>9041</v>
      </c>
      <c r="G22" s="12" t="n">
        <v>7761</v>
      </c>
      <c r="H22" s="12" t="n">
        <v>7371</v>
      </c>
      <c r="I22" s="12" t="n">
        <v>5148</v>
      </c>
      <c r="J22" s="12" t="n">
        <v>12129</v>
      </c>
      <c r="K22" s="12" t="n">
        <v>7223</v>
      </c>
      <c r="L22" s="12" t="n">
        <v>8248</v>
      </c>
      <c r="M22" s="12" t="n">
        <v>8777</v>
      </c>
      <c r="N22" s="12" t="n">
        <v>16300</v>
      </c>
      <c r="O22" s="11" t="n">
        <v>30767</v>
      </c>
      <c r="P22" s="12" t="n">
        <v>38881</v>
      </c>
      <c r="Q22" s="12" t="n">
        <v>33147</v>
      </c>
      <c r="R22" s="12" t="n">
        <v>26104</v>
      </c>
      <c r="S22" s="12" t="n">
        <v>33408</v>
      </c>
      <c r="T22" s="12" t="n">
        <v>44432</v>
      </c>
      <c r="U22" s="12" t="n">
        <v>27179</v>
      </c>
      <c r="V22" s="12" t="n">
        <v>20500</v>
      </c>
      <c r="W22" s="12" t="n">
        <v>29321</v>
      </c>
      <c r="X22" s="12" t="n">
        <v>36377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IF(O21="","",O21)</f>
        <v/>
      </c>
      <c r="P26" s="12">
        <f>IF(P21="","",P21)</f>
        <v/>
      </c>
      <c r="Q26" s="12">
        <f>IF(Q21="","",Q21)</f>
        <v/>
      </c>
      <c r="R26" s="12">
        <f>IF(R21="","",R21)</f>
        <v/>
      </c>
      <c r="S26" s="12">
        <f>IF(S21="","",S21)</f>
        <v/>
      </c>
      <c r="T26" s="12">
        <f>IF(T21="","",T21)</f>
        <v/>
      </c>
      <c r="U26" s="12">
        <f>IF(U21="","",U21)</f>
        <v/>
      </c>
      <c r="V26" s="12">
        <f>IF(V21="","",V21)</f>
        <v/>
      </c>
      <c r="W26" s="12">
        <f>IF(W21="","",W21)</f>
        <v/>
      </c>
      <c r="X26" s="12">
        <f>IF(X21="","",X21)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2785</v>
      </c>
      <c r="D38" s="20" t="n">
        <v>8246</v>
      </c>
      <c r="E38" s="20" t="n">
        <v>14470</v>
      </c>
      <c r="F38" s="20" t="n">
        <v>153</v>
      </c>
      <c r="G38" s="20" t="n">
        <v>17</v>
      </c>
      <c r="H38" s="20" t="n">
        <v>5217</v>
      </c>
      <c r="I38" s="20" t="n">
        <v>3337</v>
      </c>
      <c r="J38" s="20" t="n">
        <v>29</v>
      </c>
      <c r="K38" s="20" t="n">
        <v>16842</v>
      </c>
      <c r="L38" s="20" t="n">
        <v>3</v>
      </c>
      <c r="M38" s="20" t="n">
        <v>1156</v>
      </c>
      <c r="N38" s="20" t="n">
        <v>251</v>
      </c>
      <c r="O38" s="19" t="n">
        <v>1226</v>
      </c>
      <c r="P38" s="20" t="n">
        <v>1742</v>
      </c>
      <c r="Q38" s="20" t="n">
        <v>22</v>
      </c>
      <c r="R38" s="20" t="n">
        <v>5</v>
      </c>
      <c r="S38" s="20" t="n">
        <v>108</v>
      </c>
      <c r="T38" s="20" t="n">
        <v>7</v>
      </c>
      <c r="U38" s="20" t="n">
        <v>3077</v>
      </c>
      <c r="V38" s="20" t="n">
        <v>25514</v>
      </c>
      <c r="W38" s="20" t="n">
        <v>8724</v>
      </c>
      <c r="X38" s="20" t="n">
        <v>18030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478</v>
      </c>
      <c r="D40" s="20" t="n">
        <v>1395</v>
      </c>
      <c r="E40" s="20" t="n">
        <v>6330</v>
      </c>
      <c r="F40" s="20" t="n">
        <v>1375</v>
      </c>
      <c r="G40" s="20" t="n">
        <v>995</v>
      </c>
      <c r="H40" s="20" t="n">
        <v>3288</v>
      </c>
      <c r="I40" s="20" t="n">
        <v>3203</v>
      </c>
      <c r="J40" s="20" t="n">
        <v>889</v>
      </c>
      <c r="K40" s="20" t="n">
        <v>2656</v>
      </c>
      <c r="L40" s="20" t="n">
        <v>2590</v>
      </c>
      <c r="M40" s="20" t="n">
        <v>2627</v>
      </c>
      <c r="N40" s="20" t="n">
        <v>403</v>
      </c>
      <c r="O40" s="19" t="n">
        <v>2102</v>
      </c>
      <c r="P40" s="20" t="n">
        <v>17782</v>
      </c>
      <c r="Q40" s="20" t="n">
        <v>9297</v>
      </c>
      <c r="R40" s="20" t="n">
        <v>1268</v>
      </c>
      <c r="S40" s="20" t="n">
        <v>618</v>
      </c>
      <c r="T40" s="20" t="n">
        <v>3250</v>
      </c>
      <c r="U40" s="20" t="n">
        <v>20004</v>
      </c>
      <c r="V40" s="20" t="n">
        <v>8570</v>
      </c>
      <c r="W40" s="20" t="n">
        <v>8861</v>
      </c>
      <c r="X40" s="20" t="n">
        <v>8762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1753</v>
      </c>
      <c r="D42" s="20" t="n">
        <v>766</v>
      </c>
      <c r="E42" s="20" t="n">
        <v>2615</v>
      </c>
      <c r="F42" s="20" t="n">
        <v>3618</v>
      </c>
      <c r="G42" s="20" t="n">
        <v>-614</v>
      </c>
      <c r="H42" s="20" t="n">
        <v>1750</v>
      </c>
      <c r="I42" s="20" t="n">
        <v>910</v>
      </c>
      <c r="J42" s="20" t="n">
        <v>1322</v>
      </c>
      <c r="K42" s="20" t="n">
        <v>607</v>
      </c>
      <c r="L42" s="20" t="n">
        <v>2531</v>
      </c>
      <c r="M42" s="20" t="n">
        <v>1561</v>
      </c>
      <c r="N42" s="20" t="n">
        <v>3108</v>
      </c>
      <c r="O42" s="19" t="n">
        <v>3035</v>
      </c>
      <c r="P42" s="20" t="n">
        <v>3280</v>
      </c>
      <c r="Q42" s="20" t="n">
        <v>3894</v>
      </c>
      <c r="R42" s="20" t="n">
        <v>3813</v>
      </c>
      <c r="S42" s="20" t="n">
        <v>6099</v>
      </c>
      <c r="T42" s="20" t="n">
        <v>5670</v>
      </c>
      <c r="U42" s="20" t="n">
        <v>5172</v>
      </c>
      <c r="V42" s="20" t="n">
        <v>7705</v>
      </c>
      <c r="W42" s="20" t="n">
        <v>5664</v>
      </c>
      <c r="X42" s="20" t="n">
        <v>6021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371</v>
      </c>
      <c r="D44" s="20" t="n">
        <v>413</v>
      </c>
      <c r="E44" s="20" t="n">
        <v>135</v>
      </c>
      <c r="F44" s="20" t="n">
        <v>431</v>
      </c>
      <c r="G44" s="20" t="n">
        <v>788</v>
      </c>
      <c r="H44" s="20" t="n">
        <v>339</v>
      </c>
      <c r="I44" s="20" t="n">
        <v>376</v>
      </c>
      <c r="J44" s="20" t="n">
        <v>1479</v>
      </c>
      <c r="K44" s="20" t="n">
        <v>668</v>
      </c>
      <c r="L44" s="20" t="n">
        <v>-51</v>
      </c>
      <c r="M44" s="20" t="n">
        <v>263</v>
      </c>
      <c r="N44" s="20" t="n">
        <v>560</v>
      </c>
      <c r="O44" s="19" t="n">
        <v>1998</v>
      </c>
      <c r="P44" s="20" t="n">
        <v>1268</v>
      </c>
      <c r="Q44" s="20" t="n">
        <v>723</v>
      </c>
      <c r="R44" s="20" t="n">
        <v>1173</v>
      </c>
      <c r="S44" s="20" t="n">
        <v>839</v>
      </c>
      <c r="T44" s="20" t="n">
        <v>634</v>
      </c>
      <c r="U44" s="20" t="n">
        <v>958</v>
      </c>
      <c r="V44" s="20" t="n">
        <v>1299</v>
      </c>
      <c r="W44" s="20" t="n">
        <v>1934</v>
      </c>
      <c r="X44" s="20" t="n">
        <v>2359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7036</v>
      </c>
      <c r="D46" s="12" t="n">
        <v>13729</v>
      </c>
      <c r="E46" s="12" t="n">
        <v>15133</v>
      </c>
      <c r="F46" s="12" t="n">
        <v>11006</v>
      </c>
      <c r="G46" s="12" t="n">
        <v>5380</v>
      </c>
      <c r="H46" s="12" t="n">
        <v>10711</v>
      </c>
      <c r="I46" s="12" t="n">
        <v>5818</v>
      </c>
      <c r="J46" s="12" t="n">
        <v>11112</v>
      </c>
      <c r="K46" s="12" t="n">
        <v>21348</v>
      </c>
      <c r="L46" s="12" t="n">
        <v>8243</v>
      </c>
      <c r="M46" s="12" t="n">
        <v>8603</v>
      </c>
      <c r="N46" s="12" t="n">
        <v>18697</v>
      </c>
      <c r="O46" s="11" t="n">
        <v>30928</v>
      </c>
      <c r="P46" s="12" t="n">
        <v>24853</v>
      </c>
      <c r="Q46" s="12" t="n">
        <v>27044</v>
      </c>
      <c r="R46" s="12" t="n">
        <v>27480</v>
      </c>
      <c r="S46" s="12" t="n">
        <v>38158</v>
      </c>
      <c r="T46" s="12" t="n">
        <v>46226</v>
      </c>
      <c r="U46" s="12" t="n">
        <v>14467</v>
      </c>
      <c r="V46" s="12" t="n">
        <v>43849</v>
      </c>
      <c r="W46" s="12" t="n">
        <v>32915</v>
      </c>
      <c r="X46" s="12" t="n">
        <v>49306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8" t="inlineStr">
        <is>
          <t>법인세비용(수익)</t>
        </is>
      </c>
      <c r="B47" s="10" t="n"/>
      <c r="C47" s="19" t="n">
        <v>2546</v>
      </c>
      <c r="D47" s="20" t="n">
        <v>3238</v>
      </c>
      <c r="E47" s="20" t="n">
        <v>4967</v>
      </c>
      <c r="F47" s="20" t="n">
        <v>2709</v>
      </c>
      <c r="G47" s="20" t="n">
        <v>1264</v>
      </c>
      <c r="H47" s="20" t="n">
        <v>2861</v>
      </c>
      <c r="I47" s="20" t="n">
        <v>-275</v>
      </c>
      <c r="J47" s="20" t="n">
        <v>3600</v>
      </c>
      <c r="K47" s="20" t="n">
        <v>6529</v>
      </c>
      <c r="L47" s="20" t="n">
        <v>2195</v>
      </c>
      <c r="M47" s="20" t="n">
        <v>667</v>
      </c>
      <c r="N47" s="20" t="n">
        <v>5956</v>
      </c>
      <c r="O47" s="19" t="n">
        <v>7162</v>
      </c>
      <c r="P47" s="20" t="n">
        <v>11401</v>
      </c>
      <c r="Q47" s="20" t="n">
        <v>8247</v>
      </c>
      <c r="R47" s="20" t="n">
        <v>7130</v>
      </c>
      <c r="S47" s="20" t="n">
        <v>10279</v>
      </c>
      <c r="T47" s="20" t="n">
        <v>12520</v>
      </c>
      <c r="U47" s="20" t="n">
        <v>3858</v>
      </c>
      <c r="V47" s="20" t="n">
        <v>12847</v>
      </c>
      <c r="W47" s="20" t="n">
        <v>6559</v>
      </c>
      <c r="X47" s="20" t="n">
        <v>12991</v>
      </c>
      <c r="Y47" s="19">
        <f>IF(OR(Y46="",Y48=""),"",IFERROR(MAX(Y46,0)*Y48,""))</f>
        <v/>
      </c>
      <c r="Z47" s="20">
        <f>IF(OR(Z46="",Z48=""),"",IFERROR(MAX(Z46,0)*Z48,""))</f>
        <v/>
      </c>
      <c r="AA47" s="20">
        <f>IF(OR(AA46="",AA48=""),"",IFERROR(MAX(AA46,0)*AA48,""))</f>
        <v/>
      </c>
      <c r="AB47" s="20">
        <f>IF(OR(AB46="",AB48=""),"",IFERROR(MAX(AB46,0)*AB48,""))</f>
        <v/>
      </c>
      <c r="AC47" s="20">
        <f>IF(OR(AC46="",AC48=""),"",IFERROR(MAX(AC46,0)*AC48,""))</f>
        <v/>
      </c>
    </row>
    <row r="48">
      <c r="A48" s="13" t="inlineStr">
        <is>
          <t>법인세율</t>
        </is>
      </c>
      <c r="B48" s="10" t="inlineStr">
        <is>
          <t>MW 기본 30%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0.3</v>
      </c>
      <c r="Z48" s="26" t="n">
        <v>0.3</v>
      </c>
      <c r="AA48" s="26" t="n">
        <v>0.3</v>
      </c>
      <c r="AB48" s="26" t="n">
        <v>0.3</v>
      </c>
      <c r="AC48" s="26" t="n">
        <v>0.3</v>
      </c>
    </row>
    <row r="49">
      <c r="A49" s="9" t="inlineStr">
        <is>
          <t>당기순이익(손실)</t>
        </is>
      </c>
      <c r="B49" s="10" t="n"/>
      <c r="C49" s="11" t="n">
        <v>4490</v>
      </c>
      <c r="D49" s="12" t="n">
        <v>10491</v>
      </c>
      <c r="E49" s="12" t="n">
        <v>10166</v>
      </c>
      <c r="F49" s="12" t="n">
        <v>8297</v>
      </c>
      <c r="G49" s="12" t="n">
        <v>4116</v>
      </c>
      <c r="H49" s="12" t="n">
        <v>7850</v>
      </c>
      <c r="I49" s="12" t="n">
        <v>6092</v>
      </c>
      <c r="J49" s="12" t="n">
        <v>7512</v>
      </c>
      <c r="K49" s="12" t="n">
        <v>14819</v>
      </c>
      <c r="L49" s="12" t="n">
        <v>6047</v>
      </c>
      <c r="M49" s="12" t="n">
        <v>7937</v>
      </c>
      <c r="N49" s="12" t="n">
        <v>12742</v>
      </c>
      <c r="O49" s="11" t="n">
        <v>23766</v>
      </c>
      <c r="P49" s="12" t="n">
        <v>13451</v>
      </c>
      <c r="Q49" s="12" t="n">
        <v>18797</v>
      </c>
      <c r="R49" s="12" t="n">
        <v>20350</v>
      </c>
      <c r="S49" s="12" t="n">
        <v>27880</v>
      </c>
      <c r="T49" s="12" t="n">
        <v>33706</v>
      </c>
      <c r="U49" s="12" t="n">
        <v>10609</v>
      </c>
      <c r="V49" s="12" t="n">
        <v>31002</v>
      </c>
      <c r="W49" s="12" t="n">
        <v>26355</v>
      </c>
      <c r="X49" s="12" t="n">
        <v>36315</v>
      </c>
      <c r="Y49" s="11">
        <f>IF(OR(Y46=""),"",IFERROR(Y46-Y47,""))</f>
        <v/>
      </c>
      <c r="Z49" s="12">
        <f>IF(OR(Z46=""),"",IFERROR(Z46-Z47,""))</f>
        <v/>
      </c>
      <c r="AA49" s="12">
        <f>IF(OR(AA46=""),"",IFERROR(AA46-AA47,""))</f>
        <v/>
      </c>
      <c r="AB49" s="12">
        <f>IF(OR(AB46=""),"",IFERROR(AB46-AB47,""))</f>
        <v/>
      </c>
      <c r="AC49" s="12">
        <f>IF(OR(AC46=""),"",IFERROR(AC46-AC47,""))</f>
        <v/>
      </c>
    </row>
    <row r="50">
      <c r="A50" s="9" t="inlineStr">
        <is>
          <t>지배주주 순이익</t>
        </is>
      </c>
      <c r="B50" s="10" t="n"/>
      <c r="C50" s="11" t="n">
        <v>4523</v>
      </c>
      <c r="D50" s="12" t="n">
        <v>10549</v>
      </c>
      <c r="E50" s="12" t="n">
        <v>10193</v>
      </c>
      <c r="F50" s="12" t="n">
        <v>8190</v>
      </c>
      <c r="G50" s="12" t="n">
        <v>4110</v>
      </c>
      <c r="H50" s="12" t="n">
        <v>7831</v>
      </c>
      <c r="I50" s="12" t="n">
        <v>6068</v>
      </c>
      <c r="J50" s="12" t="n">
        <v>7506</v>
      </c>
      <c r="K50" s="12" t="n">
        <v>14799</v>
      </c>
      <c r="L50" s="12" t="n">
        <v>6020</v>
      </c>
      <c r="M50" s="12" t="n">
        <v>7901</v>
      </c>
      <c r="N50" s="12" t="n">
        <v>12711</v>
      </c>
      <c r="O50" s="11" t="n">
        <v>23152</v>
      </c>
      <c r="P50" s="12" t="n">
        <v>13056</v>
      </c>
      <c r="Q50" s="12" t="n">
        <v>18458</v>
      </c>
      <c r="R50" s="12" t="n">
        <v>20201</v>
      </c>
      <c r="S50" s="12" t="n">
        <v>27716</v>
      </c>
      <c r="T50" s="12" t="n">
        <v>33413</v>
      </c>
      <c r="U50" s="12" t="n">
        <v>10569</v>
      </c>
      <c r="V50" s="12" t="n">
        <v>31101</v>
      </c>
      <c r="W50" s="12" t="n">
        <v>26199</v>
      </c>
      <c r="X50" s="12" t="n">
        <v>36226</v>
      </c>
      <c r="Y50" s="11">
        <f>IF(OR(Y49="",Y51=""),"",IFERROR(Y49*Y51,""))</f>
        <v/>
      </c>
      <c r="Z50" s="12">
        <f>IF(OR(Z49="",Z51=""),"",IFERROR(Z49*Z51,""))</f>
        <v/>
      </c>
      <c r="AA50" s="12">
        <f>IF(OR(AA49="",AA51=""),"",IFERROR(AA49*AA51,""))</f>
        <v/>
      </c>
      <c r="AB50" s="12">
        <f>IF(OR(AB49="",AB51=""),"",IFERROR(AB49*AB51,""))</f>
        <v/>
      </c>
      <c r="AC50" s="12">
        <f>IF(OR(AC49="",AC51=""),"",IFERROR(AC49*AC51,""))</f>
        <v/>
      </c>
    </row>
    <row r="51">
      <c r="A51" s="13" t="inlineStr">
        <is>
          <t>지배주주 순이익률</t>
        </is>
      </c>
      <c r="B51" s="10" t="inlineStr">
        <is>
          <t>MW 기본 100%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1</v>
      </c>
      <c r="Z51" s="26" t="n">
        <v>1</v>
      </c>
      <c r="AA51" s="26" t="n">
        <v>1</v>
      </c>
      <c r="AB51" s="26" t="n">
        <v>1</v>
      </c>
      <c r="AC51" s="26" t="n">
        <v>1</v>
      </c>
    </row>
    <row r="52">
      <c r="A52" s="16" t="inlineStr">
        <is>
          <t>목표주가 산출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현재 주가 ()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8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8" t="n"/>
      <c r="Z53" s="29" t="n"/>
      <c r="AA53" s="29" t="n"/>
      <c r="AB53" s="29" t="n"/>
      <c r="AC53" s="29" t="n"/>
    </row>
    <row r="54">
      <c r="A54" s="18" t="inlineStr">
        <is>
          <t>발행주식수 (보통주)</t>
        </is>
      </c>
      <c r="B54" s="27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8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8" t="n"/>
      <c r="Z54" s="29" t="n"/>
      <c r="AA54" s="29" t="n"/>
      <c r="AB54" s="29" t="n"/>
      <c r="AC54" s="29" t="n"/>
    </row>
    <row r="55">
      <c r="A55" s="18" t="inlineStr">
        <is>
          <t>시가총액 (백만엔)</t>
        </is>
      </c>
      <c r="B55" s="12">
        <f>IF(OR(B53="",B54=""),"",B53*B54/1000000.0)</f>
        <v/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OPM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IF(O23="","",O23)</f>
        <v/>
      </c>
      <c r="P56" s="15">
        <f>IF(P23="","",P23)</f>
        <v/>
      </c>
      <c r="Q56" s="15">
        <f>IF(Q23="","",Q23)</f>
        <v/>
      </c>
      <c r="R56" s="15">
        <f>IF(R23="","",R23)</f>
        <v/>
      </c>
      <c r="S56" s="15">
        <f>IF(S23="","",S23)</f>
        <v/>
      </c>
      <c r="T56" s="15">
        <f>IF(T23="","",T23)</f>
        <v/>
      </c>
      <c r="U56" s="15">
        <f>IF(U23="","",U23)</f>
        <v/>
      </c>
      <c r="V56" s="15">
        <f>IF(V23="","",V23)</f>
        <v/>
      </c>
      <c r="W56" s="15">
        <f>IF(W23="","",W23)</f>
        <v/>
      </c>
      <c r="X56" s="15">
        <f>IF(X23="","",X23)</f>
        <v/>
      </c>
      <c r="Y56" s="14">
        <f>IF(Y23="","",Y23)</f>
        <v/>
      </c>
      <c r="Z56" s="15">
        <f>IF(Z23="","",Z23)</f>
        <v/>
      </c>
      <c r="AA56" s="15">
        <f>IF(AA23="","",AA23)</f>
        <v/>
      </c>
      <c r="AB56" s="15">
        <f>IF(AB23="","",AB23)</f>
        <v/>
      </c>
      <c r="AC56" s="15">
        <f>IF(AC23="","",AC23)</f>
        <v/>
      </c>
    </row>
    <row r="57">
      <c r="A57" s="13" t="inlineStr">
        <is>
          <t>지배주주 순이익 증가율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 t="n"/>
      <c r="P57" s="15">
        <f>IF(OR(P50="",O50=""),"",IFERROR(P50/O50-1,""))</f>
        <v/>
      </c>
      <c r="Q57" s="15">
        <f>IF(OR(Q50="",P50=""),"",IFERROR(Q50/P50-1,""))</f>
        <v/>
      </c>
      <c r="R57" s="15">
        <f>IF(OR(R50="",Q50=""),"",IFERROR(R50/Q50-1,""))</f>
        <v/>
      </c>
      <c r="S57" s="15">
        <f>IF(OR(S50="",R50=""),"",IFERROR(S50/R50-1,""))</f>
        <v/>
      </c>
      <c r="T57" s="15">
        <f>IF(OR(T50="",S50=""),"",IFERROR(T50/S50-1,""))</f>
        <v/>
      </c>
      <c r="U57" s="15">
        <f>IF(OR(U50="",T50=""),"",IFERROR(U50/T50-1,""))</f>
        <v/>
      </c>
      <c r="V57" s="15">
        <f>IF(OR(V50="",U50=""),"",IFERROR(V50/U50-1,""))</f>
        <v/>
      </c>
      <c r="W57" s="15">
        <f>IF(OR(W50="",V50=""),"",IFERROR(W50/V50-1,""))</f>
        <v/>
      </c>
      <c r="X57" s="15">
        <f>IF(OR(X50="",W50=""),"",IFERROR(X50/W50-1,""))</f>
        <v/>
      </c>
      <c r="Y57" s="14">
        <f>IF(OR(Y50="",X50=""),"",IFERROR(Y50/X50-1,""))</f>
        <v/>
      </c>
      <c r="Z57" s="15">
        <f>IF(OR(Z50="",Y50=""),"",IFERROR(Z50/Y50-1,""))</f>
        <v/>
      </c>
      <c r="AA57" s="15">
        <f>IF(OR(AA50="",Z50=""),"",IFERROR(AA50/Z50-1,""))</f>
        <v/>
      </c>
      <c r="AB57" s="15">
        <f>IF(OR(AB50="",AA50=""),"",IFERROR(AB50/AA50-1,""))</f>
        <v/>
      </c>
      <c r="AC57" s="15">
        <f>IF(OR(AC50="",AB50=""),"",IFERROR(AC50/AB50-1,""))</f>
        <v/>
      </c>
    </row>
    <row r="58">
      <c r="A58" s="18" t="inlineStr">
        <is>
          <t>P/E (현재 주가)</t>
        </is>
      </c>
      <c r="B58" s="10" t="inlineStr">
        <is>
          <t>시총 ÷ 지배순이익</t>
        </is>
      </c>
      <c r="C58" s="30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0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>
        <f>IF(OR($B$55="",X50=""),"",IFERROR($B$55/X50,""))</f>
        <v/>
      </c>
      <c r="Y58" s="30">
        <f>IF(OR($B$55="",Y50=""),"",IFERROR($B$55/Y50,""))</f>
        <v/>
      </c>
      <c r="Z58" s="31">
        <f>IF(OR($B$55="",Z50=""),"",IFERROR($B$55/Z50,""))</f>
        <v/>
      </c>
      <c r="AA58" s="31">
        <f>IF(OR($B$55="",AA50=""),"",IFERROR($B$55/AA50,""))</f>
        <v/>
      </c>
      <c r="AB58" s="31">
        <f>IF(OR($B$55="",AB50=""),"",IFERROR($B$55/AB50,""))</f>
        <v/>
      </c>
      <c r="AC58" s="31">
        <f>IF(OR($B$55="",AC50=""),"",IFERROR($B$55/AC50,""))</f>
        <v/>
      </c>
    </row>
    <row r="59">
      <c r="A59" s="18" t="inlineStr">
        <is>
          <t>Target P/E</t>
        </is>
      </c>
      <c r="B59" s="10" t="inlineStr">
        <is>
          <t>직접 입력</t>
        </is>
      </c>
      <c r="C59" s="30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2" t="n"/>
      <c r="Z59" s="33" t="n"/>
      <c r="AA59" s="33" t="n"/>
      <c r="AB59" s="33" t="n"/>
      <c r="AC59" s="33" t="n"/>
    </row>
    <row r="60">
      <c r="A60" s="18" t="inlineStr">
        <is>
          <t>EPS</t>
        </is>
      </c>
      <c r="B60" s="10" t="inlineStr">
        <is>
          <t>지배순이익 ÷ 주식수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>
        <f>IF(OR(O50="",$B$54=""),"",IFERROR(O50*1000000.0/$B$54,""))</f>
        <v/>
      </c>
      <c r="P60" s="29">
        <f>IF(OR(P50="",$B$54=""),"",IFERROR(P50*1000000.0/$B$54,""))</f>
        <v/>
      </c>
      <c r="Q60" s="29">
        <f>IF(OR(Q50="",$B$54=""),"",IFERROR(Q50*1000000.0/$B$54,""))</f>
        <v/>
      </c>
      <c r="R60" s="29">
        <f>IF(OR(R50="",$B$54=""),"",IFERROR(R50*1000000.0/$B$54,""))</f>
        <v/>
      </c>
      <c r="S60" s="29">
        <f>IF(OR(S50="",$B$54=""),"",IFERROR(S50*1000000.0/$B$54,""))</f>
        <v/>
      </c>
      <c r="T60" s="29">
        <f>IF(OR(T50="",$B$54=""),"",IFERROR(T50*1000000.0/$B$54,""))</f>
        <v/>
      </c>
      <c r="U60" s="29">
        <f>IF(OR(U50="",$B$54=""),"",IFERROR(U50*1000000.0/$B$54,""))</f>
        <v/>
      </c>
      <c r="V60" s="29">
        <f>IF(OR(V50="",$B$54=""),"",IFERROR(V50*1000000.0/$B$54,""))</f>
        <v/>
      </c>
      <c r="W60" s="29">
        <f>IF(OR(W50="",$B$54=""),"",IFERROR(W50*1000000.0/$B$54,""))</f>
        <v/>
      </c>
      <c r="X60" s="29">
        <f>IF(OR(X50="",$B$54=""),"",IFERROR(X50*1000000.0/$B$54,""))</f>
        <v/>
      </c>
      <c r="Y60" s="28">
        <f>IF(OR(Y50="",$B$54=""),"",IFERROR(Y50*1000000.0/$B$54,""))</f>
        <v/>
      </c>
      <c r="Z60" s="29">
        <f>IF(OR(Z50="",$B$54=""),"",IFERROR(Z50*1000000.0/$B$54,""))</f>
        <v/>
      </c>
      <c r="AA60" s="29">
        <f>IF(OR(AA50="",$B$54=""),"",IFERROR(AA50*1000000.0/$B$54,""))</f>
        <v/>
      </c>
      <c r="AB60" s="29">
        <f>IF(OR(AB50="",$B$54=""),"",IFERROR(AB50*1000000.0/$B$54,""))</f>
        <v/>
      </c>
      <c r="AC60" s="29">
        <f>IF(OR(AC50="",$B$54=""),"",IFERROR(AC50*1000000.0/$B$54,""))</f>
        <v/>
      </c>
    </row>
    <row r="61">
      <c r="A61" s="9" t="inlineStr">
        <is>
          <t>목표주가</t>
        </is>
      </c>
      <c r="B61" s="10" t="n"/>
      <c r="C61" s="34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34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34">
        <f>IF(OR(Y60="",Y59=""),"",IFERROR(Y60*Y59,""))</f>
        <v/>
      </c>
      <c r="Z61" s="27">
        <f>IF(OR(Z60="",Z59=""),"",IFERROR(Z60*Z59,""))</f>
        <v/>
      </c>
      <c r="AA61" s="27">
        <f>IF(OR(AA60="",AA59=""),"",IFERROR(AA60*AA59,""))</f>
        <v/>
      </c>
      <c r="AB61" s="27">
        <f>IF(OR(AB60="",AB59=""),"",IFERROR(AB60*AB59,""))</f>
        <v/>
      </c>
      <c r="AC61" s="27">
        <f>IF(OR(AC60="",AC59=""),"",IFERROR(AC60*AC59,""))</f>
        <v/>
      </c>
    </row>
    <row r="62">
      <c r="A62" s="18" t="inlineStr">
        <is>
          <t>상승여력</t>
        </is>
      </c>
      <c r="B62" s="10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5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7">
        <f>IF(OR(Y61="",$B$53=""),"",IFERROR(Y61/$B$53-1,""))</f>
        <v/>
      </c>
      <c r="Z62" s="38">
        <f>IF(OR(Z61="",$B$53=""),"",IFERROR(Z61/$B$53-1,""))</f>
        <v/>
      </c>
      <c r="AA62" s="38">
        <f>IF(OR(AA61="",$B$53=""),"",IFERROR(AA61/$B$53-1,""))</f>
        <v/>
      </c>
      <c r="AB62" s="38">
        <f>IF(OR(AB61="",$B$53=""),"",IFERROR(AB61/$B$53-1,""))</f>
        <v/>
      </c>
      <c r="AC62" s="38">
        <f>IF(OR(AC61="",$B$53=""),"",IFERROR(AC61/$B$53-1,""))</f>
        <v/>
      </c>
    </row>
    <row r="63">
      <c r="A63" s="16" t="inlineStr">
        <is>
          <t>자산가치 산출</t>
        </is>
      </c>
      <c r="B63" s="16" t="inlineStr">
        <is>
          <t>최신 분기 BS</t>
        </is>
      </c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7" t="n"/>
      <c r="Z63" s="16" t="n"/>
      <c r="AA63" s="16" t="n"/>
      <c r="AB63" s="16" t="n"/>
      <c r="AC63" s="16" t="n"/>
    </row>
    <row r="64">
      <c r="A64" s="18" t="inlineStr">
        <is>
          <t>현금및현금성자산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'재무상태표'!G6</f>
        <v/>
      </c>
      <c r="Y64" s="19">
        <f>'재무상태표'!G6</f>
        <v/>
      </c>
      <c r="Z64" s="20">
        <f>'재무상태표'!G6</f>
        <v/>
      </c>
      <c r="AA64" s="20">
        <f>'재무상태표'!G6</f>
        <v/>
      </c>
      <c r="AB64" s="20">
        <f>'재무상태표'!G6</f>
        <v/>
      </c>
      <c r="AC64" s="20">
        <f>'재무상태표'!G6</f>
        <v/>
      </c>
    </row>
    <row r="65">
      <c r="A65" s="18" t="inlineStr">
        <is>
          <t>단기금융상품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'재무상태표'!G7</f>
        <v/>
      </c>
      <c r="Y65" s="19">
        <f>'재무상태표'!G7</f>
        <v/>
      </c>
      <c r="Z65" s="20">
        <f>'재무상태표'!G7</f>
        <v/>
      </c>
      <c r="AA65" s="20">
        <f>'재무상태표'!G7</f>
        <v/>
      </c>
      <c r="AB65" s="20">
        <f>'재무상태표'!G7</f>
        <v/>
      </c>
      <c r="AC65" s="20">
        <f>'재무상태표'!G7</f>
        <v/>
      </c>
    </row>
    <row r="66">
      <c r="A66" s="18" t="inlineStr">
        <is>
          <t>투자부동산</t>
        </is>
      </c>
      <c r="B66" s="10" t="n"/>
      <c r="C66" s="19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19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>
        <f>'재무상태표'!G14</f>
        <v/>
      </c>
      <c r="Y66" s="19">
        <f>'재무상태표'!G14</f>
        <v/>
      </c>
      <c r="Z66" s="20">
        <f>'재무상태표'!G14</f>
        <v/>
      </c>
      <c r="AA66" s="20">
        <f>'재무상태표'!G14</f>
        <v/>
      </c>
      <c r="AB66" s="20">
        <f>'재무상태표'!G14</f>
        <v/>
      </c>
      <c r="AC66" s="20">
        <f>'재무상태표'!G14</f>
        <v/>
      </c>
    </row>
    <row r="67">
      <c r="A67" s="18" t="inlineStr">
        <is>
          <t>지배자본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'재무상태표'!G31</f>
        <v/>
      </c>
      <c r="Y67" s="19">
        <f>'재무상태표'!G31</f>
        <v/>
      </c>
      <c r="Z67" s="20">
        <f>'재무상태표'!G31</f>
        <v/>
      </c>
      <c r="AA67" s="20">
        <f>'재무상태표'!G31</f>
        <v/>
      </c>
      <c r="AB67" s="20">
        <f>'재무상태표'!G31</f>
        <v/>
      </c>
      <c r="AC67" s="20">
        <f>'재무상태표'!G31</f>
        <v/>
      </c>
    </row>
    <row r="68">
      <c r="A68" s="18" t="inlineStr">
        <is>
          <t>부채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'재무상태표'!G27</f>
        <v/>
      </c>
      <c r="Y68" s="19">
        <f>'재무상태표'!G27</f>
        <v/>
      </c>
      <c r="Z68" s="20">
        <f>'재무상태표'!G27</f>
        <v/>
      </c>
      <c r="AA68" s="20">
        <f>'재무상태표'!G27</f>
        <v/>
      </c>
      <c r="AB68" s="20">
        <f>'재무상태표'!G27</f>
        <v/>
      </c>
      <c r="AC68" s="20">
        <f>'재무상태표'!G27</f>
        <v/>
      </c>
    </row>
    <row r="69">
      <c r="A69" s="13" t="inlineStr">
        <is>
          <t>부채비율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>
        <f>IF(OR(X68="",X67=""),"",IFERROR(X68/X67,""))</f>
        <v/>
      </c>
      <c r="Y69" s="14">
        <f>IF(OR(Y68="",Y67=""),"",IFERROR(Y68/Y67,""))</f>
        <v/>
      </c>
      <c r="Z69" s="15">
        <f>IF(OR(Z68="",Z67=""),"",IFERROR(Z68/Z67,""))</f>
        <v/>
      </c>
      <c r="AA69" s="15">
        <f>IF(OR(AA68="",AA67=""),"",IFERROR(AA68/AA67,""))</f>
        <v/>
      </c>
      <c r="AB69" s="15">
        <f>IF(OR(AB68="",AB67=""),"",IFERROR(AB68/AB67,""))</f>
        <v/>
      </c>
      <c r="AC69" s="15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6" t="inlineStr">
        <is>
          <t>기업가치 산출</t>
        </is>
      </c>
      <c r="B71" s="16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7" t="n"/>
      <c r="Z71" s="16" t="n"/>
      <c r="AA71" s="16" t="n"/>
      <c r="AB71" s="16" t="n"/>
      <c r="AC71" s="16" t="n"/>
    </row>
    <row r="72">
      <c r="A72" s="18" t="inlineStr">
        <is>
          <t>목표 시가총액 (P/E)</t>
        </is>
      </c>
      <c r="B72" s="10" t="inlineStr">
        <is>
          <t>지배순이익 × Target P/E</t>
        </is>
      </c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19">
        <f>IF(OR(Y50="",Y59=""),"",IFERROR(Y50*Y59,""))</f>
        <v/>
      </c>
      <c r="Z72" s="20">
        <f>IF(OR(Z50="",Z59=""),"",IFERROR(Z50*Z59,""))</f>
        <v/>
      </c>
      <c r="AA72" s="20">
        <f>IF(OR(AA50="",AA59=""),"",IFERROR(AA50*AA59,""))</f>
        <v/>
      </c>
      <c r="AB72" s="20">
        <f>IF(OR(AB50="",AB59=""),"",IFERROR(AB50*AB59,""))</f>
        <v/>
      </c>
      <c r="AC72" s="20">
        <f>IF(OR(AC50="",AC59=""),"",IFERROR(AC50*AC59,""))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18" t="inlineStr">
        <is>
          <t>현재 시가총액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19">
        <f>$B$55</f>
        <v/>
      </c>
      <c r="Z74" s="20">
        <f>$B$55</f>
        <v/>
      </c>
      <c r="AA74" s="20">
        <f>$B$55</f>
        <v/>
      </c>
      <c r="AB74" s="20">
        <f>$B$55</f>
        <v/>
      </c>
      <c r="AC74" s="20">
        <f>$B$55</f>
        <v/>
      </c>
    </row>
    <row r="75">
      <c r="A75" s="18" t="inlineStr">
        <is>
          <t>상승여력</t>
        </is>
      </c>
      <c r="B75" s="10" t="n"/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5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7">
        <f>IF(OR(Y73="",Y74=""),"",IFERROR(Y73/Y74-1,""))</f>
        <v/>
      </c>
      <c r="Z75" s="38">
        <f>IF(OR(Z73="",Z74=""),"",IFERROR(Z73/Z74-1,""))</f>
        <v/>
      </c>
      <c r="AA75" s="38">
        <f>IF(OR(AA73="",AA74=""),"",IFERROR(AA73/AA74-1,""))</f>
        <v/>
      </c>
      <c r="AB75" s="38">
        <f>IF(OR(AB73="",AB74=""),"",IFERROR(AB73/AB74-1,""))</f>
        <v/>
      </c>
      <c r="AC75" s="38">
        <f>IF(OR(AC73="",AC74=""),"",IFERROR(AC73/AC74-1,""))</f>
        <v/>
      </c>
    </row>
    <row r="76">
      <c r="C76" s="39" t="n"/>
      <c r="O76" s="39" t="n"/>
      <c r="Y76" s="39" t="n"/>
    </row>
    <row r="77">
      <c r="A77" s="40" t="inlineStr">
        <is>
          <t>출처</t>
        </is>
      </c>
      <c r="C77" s="39" t="n"/>
      <c r="O77" s="39" t="n"/>
      <c r="Y77" s="39" t="n"/>
    </row>
    <row r="78">
      <c r="A78" s="41" t="inlineStr">
        <is>
          <t>결산단신 XBRL(TDnet·JPX 보관소) — 쓴 문서는 '출처' 시트</t>
        </is>
      </c>
      <c r="C78" s="39" t="n"/>
      <c r="O78" s="39" t="n"/>
      <c r="Y78" s="39" t="n"/>
    </row>
    <row r="79">
      <c r="A79" s="41" t="inlineStr">
        <is>
          <t>분기 = 누계에서 앞 분기를 뺀 3개월 값</t>
        </is>
      </c>
      <c r="C79" s="39" t="n"/>
      <c r="O79" s="39" t="n"/>
      <c r="Y79" s="39" t="n"/>
    </row>
    <row r="80">
      <c r="A80" s="41" t="inlineStr">
        <is>
          <t>주가: 야후 파이낸스 일봉</t>
        </is>
      </c>
      <c r="C80" s="39" t="n"/>
      <c r="O80" s="39" t="n"/>
      <c r="Y80" s="39" t="n"/>
    </row>
    <row r="82">
      <c r="A82" s="16" t="inlineStr">
        <is>
          <t>손익계산서 · 전 항목</t>
        </is>
      </c>
      <c r="B82" s="42" t="inlineStr">
        <is>
          <t>분기 = 3개월 단독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93515</v>
      </c>
      <c r="D84" s="12" t="n">
        <v>98364</v>
      </c>
      <c r="E84" s="12" t="n">
        <v>98473</v>
      </c>
      <c r="F84" s="12" t="n">
        <v>106105</v>
      </c>
      <c r="G84" s="12" t="n">
        <v>107245</v>
      </c>
      <c r="H84" s="12" t="n">
        <v>102083</v>
      </c>
      <c r="I84" s="12" t="n">
        <v>105214</v>
      </c>
      <c r="J84" s="12" t="n">
        <v>103083</v>
      </c>
      <c r="K84" s="12" t="n">
        <v>103388</v>
      </c>
      <c r="L84" s="12" t="n">
        <v>103241</v>
      </c>
      <c r="M84" s="12" t="n">
        <v>102254</v>
      </c>
      <c r="N84" s="12" t="n">
        <v>109466</v>
      </c>
      <c r="T84" s="12" t="n">
        <v>92974</v>
      </c>
      <c r="U84" s="12" t="n">
        <v>94409</v>
      </c>
      <c r="V84" s="12" t="n">
        <v>98473</v>
      </c>
      <c r="W84" s="12" t="n">
        <v>105214</v>
      </c>
      <c r="X84" s="12" t="n">
        <v>102254</v>
      </c>
    </row>
    <row r="85">
      <c r="A85" s="18" t="inlineStr">
        <is>
          <t>매출원가</t>
        </is>
      </c>
      <c r="C85" s="20" t="n">
        <v>68951</v>
      </c>
      <c r="D85" s="20" t="n">
        <v>71567</v>
      </c>
      <c r="E85" s="20" t="n">
        <v>72688</v>
      </c>
      <c r="F85" s="20" t="n">
        <v>75523</v>
      </c>
      <c r="G85" s="20" t="n">
        <v>76683</v>
      </c>
      <c r="H85" s="20" t="n">
        <v>72923</v>
      </c>
      <c r="I85" s="20" t="n">
        <v>77285</v>
      </c>
      <c r="J85" s="20" t="n">
        <v>69546</v>
      </c>
      <c r="K85" s="20" t="n">
        <v>75213</v>
      </c>
      <c r="L85" s="20" t="n">
        <v>74525</v>
      </c>
      <c r="M85" s="20" t="n">
        <v>71480</v>
      </c>
      <c r="N85" s="20" t="n">
        <v>72300</v>
      </c>
      <c r="T85" s="20" t="n">
        <v>62597</v>
      </c>
      <c r="U85" s="20" t="n">
        <v>74031</v>
      </c>
      <c r="V85" s="20" t="n">
        <v>72688</v>
      </c>
      <c r="W85" s="20" t="n">
        <v>77285</v>
      </c>
      <c r="X85" s="20" t="n">
        <v>71480</v>
      </c>
    </row>
    <row r="86">
      <c r="A86" s="9" t="inlineStr">
        <is>
          <t>매출총이익</t>
        </is>
      </c>
      <c r="C86" s="12" t="n">
        <v>24565</v>
      </c>
      <c r="D86" s="12" t="n">
        <v>26797</v>
      </c>
      <c r="E86" s="12" t="n">
        <v>25785</v>
      </c>
      <c r="F86" s="12" t="n">
        <v>30582</v>
      </c>
      <c r="G86" s="12" t="n">
        <v>30562</v>
      </c>
      <c r="H86" s="12" t="n">
        <v>29160</v>
      </c>
      <c r="I86" s="12" t="n">
        <v>27929</v>
      </c>
      <c r="J86" s="12" t="n">
        <v>33537</v>
      </c>
      <c r="K86" s="12" t="n">
        <v>28175</v>
      </c>
      <c r="L86" s="12" t="n">
        <v>28716</v>
      </c>
      <c r="M86" s="12" t="n">
        <v>30774</v>
      </c>
      <c r="N86" s="12" t="n">
        <v>37166</v>
      </c>
      <c r="T86" s="12" t="n">
        <v>30375</v>
      </c>
      <c r="U86" s="12" t="n">
        <v>20378</v>
      </c>
      <c r="V86" s="12" t="n">
        <v>25785</v>
      </c>
      <c r="W86" s="12" t="n">
        <v>27929</v>
      </c>
      <c r="X86" s="12" t="n">
        <v>30774</v>
      </c>
    </row>
    <row r="87">
      <c r="A87" s="18" t="inlineStr">
        <is>
          <t>판매비와 관리비</t>
        </is>
      </c>
      <c r="C87" s="20" t="n">
        <v>21217</v>
      </c>
      <c r="D87" s="20" t="n">
        <v>20272</v>
      </c>
      <c r="E87" s="20" t="n">
        <v>21271</v>
      </c>
      <c r="F87" s="20" t="n">
        <v>21541</v>
      </c>
      <c r="G87" s="20" t="n">
        <v>22800</v>
      </c>
      <c r="H87" s="20" t="n">
        <v>21790</v>
      </c>
      <c r="I87" s="20" t="n">
        <v>22782</v>
      </c>
      <c r="J87" s="20" t="n">
        <v>21408</v>
      </c>
      <c r="K87" s="20" t="n">
        <v>20952</v>
      </c>
      <c r="L87" s="20" t="n">
        <v>20468</v>
      </c>
      <c r="M87" s="20" t="n">
        <v>21998</v>
      </c>
      <c r="N87" s="20" t="n">
        <v>20865</v>
      </c>
      <c r="T87" s="20" t="n">
        <v>22349</v>
      </c>
      <c r="U87" s="20" t="n">
        <v>21034</v>
      </c>
      <c r="V87" s="20" t="n">
        <v>21271</v>
      </c>
      <c r="W87" s="20" t="n">
        <v>22782</v>
      </c>
      <c r="X87" s="20" t="n">
        <v>21998</v>
      </c>
    </row>
    <row r="88">
      <c r="A88" s="9" t="inlineStr">
        <is>
          <t>영업이익</t>
        </is>
      </c>
      <c r="C88" s="12" t="n">
        <v>3347</v>
      </c>
      <c r="D88" s="12" t="n">
        <v>6525</v>
      </c>
      <c r="E88" s="12" t="n">
        <v>4514</v>
      </c>
      <c r="F88" s="12" t="n">
        <v>9041</v>
      </c>
      <c r="G88" s="12" t="n">
        <v>7761</v>
      </c>
      <c r="H88" s="12" t="n">
        <v>7371</v>
      </c>
      <c r="I88" s="12" t="n">
        <v>5148</v>
      </c>
      <c r="J88" s="12" t="n">
        <v>12129</v>
      </c>
      <c r="K88" s="12" t="n">
        <v>7223</v>
      </c>
      <c r="L88" s="12" t="n">
        <v>8248</v>
      </c>
      <c r="M88" s="12" t="n">
        <v>8777</v>
      </c>
      <c r="N88" s="12" t="n">
        <v>16300</v>
      </c>
      <c r="T88" s="12" t="n">
        <v>8027</v>
      </c>
      <c r="U88" s="12" t="n">
        <v>-656</v>
      </c>
      <c r="V88" s="12" t="n">
        <v>4514</v>
      </c>
      <c r="W88" s="12" t="n">
        <v>5148</v>
      </c>
      <c r="X88" s="12" t="n">
        <v>8777</v>
      </c>
    </row>
    <row r="89">
      <c r="A89" s="18" t="inlineStr">
        <is>
          <t>이자수익</t>
        </is>
      </c>
      <c r="C89" s="20" t="n">
        <v>59</v>
      </c>
      <c r="D89" s="20" t="n">
        <v>63</v>
      </c>
      <c r="E89" s="20" t="n">
        <v>105</v>
      </c>
      <c r="F89" s="20" t="n">
        <v>71</v>
      </c>
      <c r="G89" s="20" t="n">
        <v>73</v>
      </c>
      <c r="H89" s="20" t="n">
        <v>71</v>
      </c>
      <c r="I89" s="20" t="n">
        <v>97</v>
      </c>
      <c r="J89" s="20" t="n">
        <v>52</v>
      </c>
      <c r="K89" s="20" t="n">
        <v>49</v>
      </c>
      <c r="L89" s="20" t="n">
        <v>52</v>
      </c>
      <c r="M89" s="20" t="n">
        <v>75</v>
      </c>
      <c r="N89" s="20" t="n">
        <v>47</v>
      </c>
      <c r="T89" s="20" t="n">
        <v>47</v>
      </c>
      <c r="U89" s="20" t="n">
        <v>70</v>
      </c>
      <c r="V89" s="20" t="n">
        <v>105</v>
      </c>
      <c r="W89" s="20" t="n">
        <v>97</v>
      </c>
      <c r="X89" s="20" t="n">
        <v>75</v>
      </c>
    </row>
    <row r="90">
      <c r="A90" s="18" t="inlineStr">
        <is>
          <t>배당금수익</t>
        </is>
      </c>
      <c r="C90" s="20" t="n">
        <v>578</v>
      </c>
      <c r="D90" s="20" t="n">
        <v>764</v>
      </c>
      <c r="E90" s="20" t="n">
        <v>902</v>
      </c>
      <c r="F90" s="20" t="n">
        <v>1140</v>
      </c>
      <c r="G90" s="20" t="n">
        <v>281</v>
      </c>
      <c r="H90" s="20" t="n">
        <v>785</v>
      </c>
      <c r="I90" s="20" t="n">
        <v>553</v>
      </c>
      <c r="J90" s="20" t="n">
        <v>1095</v>
      </c>
      <c r="K90" s="20" t="n">
        <v>458</v>
      </c>
      <c r="L90" s="20" t="n">
        <v>994</v>
      </c>
      <c r="M90" s="20" t="n">
        <v>372</v>
      </c>
      <c r="N90" s="20" t="n">
        <v>1084</v>
      </c>
      <c r="T90" s="20" t="n">
        <v>763</v>
      </c>
      <c r="U90" s="20" t="n">
        <v>816</v>
      </c>
      <c r="V90" s="20" t="n">
        <v>902</v>
      </c>
      <c r="W90" s="20" t="n">
        <v>553</v>
      </c>
      <c r="X90" s="20" t="n">
        <v>372</v>
      </c>
    </row>
    <row r="91">
      <c r="A91" s="18" t="inlineStr">
        <is>
          <t>보험금 수익</t>
        </is>
      </c>
      <c r="J91" s="20" t="n">
        <v>0</v>
      </c>
      <c r="N91" s="20" t="n">
        <v>1297</v>
      </c>
    </row>
    <row r="92">
      <c r="A92" s="18" t="inlineStr">
        <is>
          <t>외환차익</t>
        </is>
      </c>
      <c r="C92" s="20" t="n">
        <v>1020</v>
      </c>
      <c r="D92" s="20" t="n">
        <v>-207</v>
      </c>
      <c r="E92" s="20" t="n">
        <v>397</v>
      </c>
      <c r="F92" s="20" t="n">
        <v>2125</v>
      </c>
      <c r="G92" s="20" t="n">
        <v>-1420</v>
      </c>
      <c r="H92" s="20" t="n">
        <v>602</v>
      </c>
      <c r="I92" s="20" t="n">
        <v>-169</v>
      </c>
      <c r="J92" s="20" t="n">
        <v>0</v>
      </c>
      <c r="K92" s="20" t="n">
        <v>0</v>
      </c>
      <c r="L92" s="20" t="n">
        <v>1416</v>
      </c>
      <c r="M92" s="20" t="n">
        <v>594</v>
      </c>
      <c r="N92" s="20" t="n">
        <v>472</v>
      </c>
      <c r="T92" s="20" t="n">
        <v>1355</v>
      </c>
      <c r="U92" s="20" t="n">
        <v>76</v>
      </c>
      <c r="V92" s="20" t="n">
        <v>397</v>
      </c>
      <c r="W92" s="20" t="n">
        <v>-169</v>
      </c>
      <c r="X92" s="20" t="n">
        <v>594</v>
      </c>
    </row>
    <row r="93">
      <c r="A93" s="18" t="inlineStr">
        <is>
          <t>지분법이익</t>
        </is>
      </c>
      <c r="C93" s="20" t="n">
        <v>20</v>
      </c>
      <c r="D93" s="20" t="n">
        <v>42</v>
      </c>
      <c r="E93" s="20" t="n">
        <v>16</v>
      </c>
      <c r="F93" s="20" t="n">
        <v>18</v>
      </c>
      <c r="G93" s="20" t="n">
        <v>12</v>
      </c>
      <c r="H93" s="20" t="n">
        <v>29</v>
      </c>
      <c r="I93" s="20" t="n">
        <v>15</v>
      </c>
      <c r="J93" s="20" t="n">
        <v>17</v>
      </c>
      <c r="K93" s="20" t="n">
        <v>5</v>
      </c>
      <c r="L93" s="20" t="n">
        <v>15</v>
      </c>
      <c r="M93" s="20" t="n">
        <v>7</v>
      </c>
      <c r="N93" s="20" t="n">
        <v>23</v>
      </c>
      <c r="T93" s="20" t="n">
        <v>9</v>
      </c>
      <c r="U93" s="20" t="n">
        <v>54</v>
      </c>
      <c r="V93" s="20" t="n">
        <v>16</v>
      </c>
      <c r="W93" s="20" t="n">
        <v>15</v>
      </c>
      <c r="X93" s="20" t="n">
        <v>7</v>
      </c>
    </row>
    <row r="94">
      <c r="A94" s="18" t="inlineStr">
        <is>
          <t>잡이익</t>
        </is>
      </c>
      <c r="C94" s="20" t="n">
        <v>76</v>
      </c>
      <c r="D94" s="20" t="n">
        <v>102</v>
      </c>
      <c r="E94" s="20" t="n">
        <v>180</v>
      </c>
      <c r="F94" s="20" t="n">
        <v>265</v>
      </c>
      <c r="G94" s="20" t="n">
        <v>440</v>
      </c>
      <c r="H94" s="20" t="n">
        <v>262</v>
      </c>
      <c r="I94" s="20" t="n">
        <v>415</v>
      </c>
      <c r="J94" s="20" t="n">
        <v>158</v>
      </c>
      <c r="K94" s="20" t="n">
        <v>95</v>
      </c>
      <c r="L94" s="20" t="n">
        <v>53</v>
      </c>
      <c r="M94" s="20" t="n">
        <v>513</v>
      </c>
      <c r="N94" s="20" t="n">
        <v>187</v>
      </c>
      <c r="T94" s="20" t="n">
        <v>289</v>
      </c>
      <c r="U94" s="20" t="n">
        <v>302</v>
      </c>
      <c r="V94" s="20" t="n">
        <v>180</v>
      </c>
      <c r="W94" s="20" t="n">
        <v>415</v>
      </c>
      <c r="X94" s="20" t="n">
        <v>513</v>
      </c>
    </row>
    <row r="95">
      <c r="A95" s="18" t="inlineStr">
        <is>
          <t>영업외수익 합계</t>
        </is>
      </c>
      <c r="C95" s="20" t="n">
        <v>1753</v>
      </c>
      <c r="D95" s="20" t="n">
        <v>766</v>
      </c>
      <c r="E95" s="20" t="n">
        <v>2615</v>
      </c>
      <c r="F95" s="20" t="n">
        <v>3618</v>
      </c>
      <c r="G95" s="20" t="n">
        <v>-614</v>
      </c>
      <c r="H95" s="20" t="n">
        <v>1750</v>
      </c>
      <c r="I95" s="20" t="n">
        <v>910</v>
      </c>
      <c r="J95" s="20" t="n">
        <v>1322</v>
      </c>
      <c r="K95" s="20" t="n">
        <v>607</v>
      </c>
      <c r="L95" s="20" t="n">
        <v>2531</v>
      </c>
      <c r="M95" s="20" t="n">
        <v>1561</v>
      </c>
      <c r="N95" s="20" t="n">
        <v>3108</v>
      </c>
      <c r="T95" s="20" t="n">
        <v>2464</v>
      </c>
      <c r="U95" s="20" t="n">
        <v>1368</v>
      </c>
      <c r="V95" s="20" t="n">
        <v>2615</v>
      </c>
      <c r="W95" s="20" t="n">
        <v>910</v>
      </c>
      <c r="X95" s="20" t="n">
        <v>1561</v>
      </c>
    </row>
    <row r="96">
      <c r="A96" s="18" t="inlineStr">
        <is>
          <t>이자비용</t>
        </is>
      </c>
      <c r="C96" s="20" t="n">
        <v>19</v>
      </c>
      <c r="D96" s="20" t="n">
        <v>15</v>
      </c>
      <c r="E96" s="20" t="n">
        <v>18</v>
      </c>
      <c r="F96" s="20" t="n">
        <v>22</v>
      </c>
      <c r="G96" s="20" t="n">
        <v>40</v>
      </c>
      <c r="H96" s="20" t="n">
        <v>47</v>
      </c>
      <c r="I96" s="20" t="n">
        <v>48</v>
      </c>
      <c r="J96" s="20" t="n">
        <v>46</v>
      </c>
      <c r="K96" s="20" t="n">
        <v>50</v>
      </c>
      <c r="L96" s="20" t="n">
        <v>34</v>
      </c>
      <c r="M96" s="20" t="n">
        <v>47</v>
      </c>
      <c r="N96" s="20" t="n">
        <v>73</v>
      </c>
      <c r="T96" s="20" t="n">
        <v>34</v>
      </c>
      <c r="U96" s="20" t="n">
        <v>18</v>
      </c>
      <c r="V96" s="20" t="n">
        <v>18</v>
      </c>
      <c r="W96" s="20" t="n">
        <v>48</v>
      </c>
      <c r="X96" s="20" t="n">
        <v>47</v>
      </c>
    </row>
    <row r="97">
      <c r="A97" s="18" t="inlineStr">
        <is>
          <t>유휴자산 감가상각비</t>
        </is>
      </c>
      <c r="C97" s="20" t="n">
        <v>246</v>
      </c>
      <c r="D97" s="20" t="n">
        <v>178</v>
      </c>
      <c r="E97" s="20" t="n">
        <v>101</v>
      </c>
      <c r="F97" s="20" t="n">
        <v>98</v>
      </c>
      <c r="G97" s="20" t="n">
        <v>188</v>
      </c>
      <c r="H97" s="20" t="n">
        <v>34</v>
      </c>
      <c r="I97" s="20" t="n">
        <v>21</v>
      </c>
      <c r="J97" s="20" t="n">
        <v>96</v>
      </c>
      <c r="T97" s="20" t="n">
        <v>36</v>
      </c>
      <c r="U97" s="20" t="n">
        <v>59</v>
      </c>
      <c r="V97" s="20" t="n">
        <v>101</v>
      </c>
      <c r="W97" s="20" t="n">
        <v>21</v>
      </c>
    </row>
    <row r="98">
      <c r="A98" s="18" t="inlineStr">
        <is>
          <t>외환차손</t>
        </is>
      </c>
      <c r="F98" s="20" t="n">
        <v>0</v>
      </c>
      <c r="G98" s="20" t="n">
        <v>0</v>
      </c>
      <c r="J98" s="20" t="n">
        <v>923</v>
      </c>
      <c r="K98" s="20" t="n">
        <v>-331</v>
      </c>
      <c r="N98" s="20" t="n">
        <v>0</v>
      </c>
    </row>
    <row r="99">
      <c r="A99" s="18" t="inlineStr">
        <is>
          <t>Expenses Of Inactive Non Current Assets NOE</t>
        </is>
      </c>
      <c r="J99" s="20" t="n">
        <v>96</v>
      </c>
      <c r="N99" s="20" t="n">
        <v>196</v>
      </c>
    </row>
    <row r="100">
      <c r="A100" s="18" t="inlineStr">
        <is>
          <t>투자조합 운용손실</t>
        </is>
      </c>
      <c r="C100" s="20" t="n">
        <v>45</v>
      </c>
      <c r="D100" s="20" t="n">
        <v>164</v>
      </c>
      <c r="E100" s="20" t="n">
        <v>-184</v>
      </c>
      <c r="F100" s="20" t="n">
        <v>0</v>
      </c>
      <c r="G100" s="20" t="n">
        <v>223</v>
      </c>
      <c r="H100" s="20" t="n">
        <v>-157</v>
      </c>
      <c r="I100" s="20" t="n">
        <v>153</v>
      </c>
      <c r="J100" s="20" t="n">
        <v>16</v>
      </c>
      <c r="K100" s="20" t="n">
        <v>242</v>
      </c>
      <c r="L100" s="20" t="n">
        <v>-247</v>
      </c>
      <c r="M100" s="20" t="n">
        <v>-11</v>
      </c>
      <c r="N100" s="20" t="n">
        <v>26</v>
      </c>
      <c r="U100" s="20" t="n">
        <v>295</v>
      </c>
      <c r="V100" s="20" t="n">
        <v>-184</v>
      </c>
      <c r="W100" s="20" t="n">
        <v>153</v>
      </c>
      <c r="X100" s="20" t="n">
        <v>-11</v>
      </c>
    </row>
    <row r="101">
      <c r="A101" s="18" t="inlineStr">
        <is>
          <t>기부금</t>
        </is>
      </c>
      <c r="D101" s="20" t="n">
        <v>0</v>
      </c>
      <c r="E101" s="20" t="n">
        <v>121</v>
      </c>
      <c r="H101" s="20" t="n">
        <v>22</v>
      </c>
      <c r="I101" s="20" t="n">
        <v>13</v>
      </c>
      <c r="T101" s="20" t="n">
        <v>0</v>
      </c>
      <c r="U101" s="20" t="n">
        <v>2</v>
      </c>
      <c r="V101" s="20" t="n">
        <v>121</v>
      </c>
      <c r="W101" s="20" t="n">
        <v>13</v>
      </c>
    </row>
    <row r="102">
      <c r="A102" s="18" t="inlineStr">
        <is>
          <t>대손충당금 전입</t>
        </is>
      </c>
      <c r="E102" s="20" t="n">
        <v>0</v>
      </c>
      <c r="F102" s="20" t="n">
        <v>249</v>
      </c>
      <c r="I102" s="20" t="n">
        <v>45</v>
      </c>
      <c r="J102" s="20" t="n">
        <v>143</v>
      </c>
      <c r="M102" s="20" t="n">
        <v>347</v>
      </c>
      <c r="V102" s="20" t="n">
        <v>0</v>
      </c>
      <c r="W102" s="20" t="n">
        <v>45</v>
      </c>
      <c r="X102" s="20" t="n">
        <v>347</v>
      </c>
    </row>
    <row r="103">
      <c r="A103" s="18" t="inlineStr">
        <is>
          <t>잡손실</t>
        </is>
      </c>
      <c r="C103" s="20" t="n">
        <v>47</v>
      </c>
      <c r="D103" s="20" t="n">
        <v>57</v>
      </c>
      <c r="E103" s="20" t="n">
        <v>79</v>
      </c>
      <c r="F103" s="20" t="n">
        <v>63</v>
      </c>
      <c r="G103" s="20" t="n">
        <v>871</v>
      </c>
      <c r="H103" s="20" t="n">
        <v>-406</v>
      </c>
      <c r="I103" s="20" t="n">
        <v>109</v>
      </c>
      <c r="J103" s="20" t="n">
        <v>398</v>
      </c>
      <c r="K103" s="20" t="n">
        <v>802</v>
      </c>
      <c r="L103" s="20" t="n">
        <v>-267</v>
      </c>
      <c r="M103" s="20" t="n">
        <v>-349</v>
      </c>
      <c r="N103" s="20" t="n">
        <v>265</v>
      </c>
      <c r="T103" s="20" t="n">
        <v>79</v>
      </c>
      <c r="U103" s="20" t="n">
        <v>-115</v>
      </c>
      <c r="V103" s="20" t="n">
        <v>79</v>
      </c>
      <c r="W103" s="20" t="n">
        <v>109</v>
      </c>
      <c r="X103" s="20" t="n">
        <v>-349</v>
      </c>
    </row>
    <row r="104">
      <c r="A104" s="18" t="inlineStr">
        <is>
          <t>영업외비용 합계</t>
        </is>
      </c>
      <c r="C104" s="20" t="n">
        <v>371</v>
      </c>
      <c r="D104" s="20" t="n">
        <v>413</v>
      </c>
      <c r="E104" s="20" t="n">
        <v>135</v>
      </c>
      <c r="F104" s="20" t="n">
        <v>431</v>
      </c>
      <c r="G104" s="20" t="n">
        <v>788</v>
      </c>
      <c r="H104" s="20" t="n">
        <v>339</v>
      </c>
      <c r="I104" s="20" t="n">
        <v>376</v>
      </c>
      <c r="J104" s="20" t="n">
        <v>1479</v>
      </c>
      <c r="K104" s="20" t="n">
        <v>668</v>
      </c>
      <c r="L104" s="20" t="n">
        <v>-51</v>
      </c>
      <c r="M104" s="20" t="n">
        <v>263</v>
      </c>
      <c r="N104" s="20" t="n">
        <v>560</v>
      </c>
      <c r="T104" s="20" t="n">
        <v>150</v>
      </c>
      <c r="U104" s="20" t="n">
        <v>407</v>
      </c>
      <c r="V104" s="20" t="n">
        <v>135</v>
      </c>
      <c r="W104" s="20" t="n">
        <v>376</v>
      </c>
      <c r="X104" s="20" t="n">
        <v>263</v>
      </c>
    </row>
    <row r="105">
      <c r="A105" s="9" t="inlineStr">
        <is>
          <t>경상이익</t>
        </is>
      </c>
      <c r="C105" s="12" t="n">
        <v>4728</v>
      </c>
      <c r="D105" s="12" t="n">
        <v>6878</v>
      </c>
      <c r="E105" s="12" t="n">
        <v>6994</v>
      </c>
      <c r="F105" s="12" t="n">
        <v>12228</v>
      </c>
      <c r="G105" s="12" t="n">
        <v>6359</v>
      </c>
      <c r="H105" s="12" t="n">
        <v>8782</v>
      </c>
      <c r="I105" s="12" t="n">
        <v>5682</v>
      </c>
      <c r="J105" s="12" t="n">
        <v>11973</v>
      </c>
      <c r="K105" s="12" t="n">
        <v>7160</v>
      </c>
      <c r="L105" s="12" t="n">
        <v>10831</v>
      </c>
      <c r="M105" s="12" t="n">
        <v>10074</v>
      </c>
      <c r="N105" s="12" t="n">
        <v>18849</v>
      </c>
      <c r="T105" s="12" t="n">
        <v>10341</v>
      </c>
      <c r="U105" s="12" t="n">
        <v>306</v>
      </c>
      <c r="V105" s="12" t="n">
        <v>6994</v>
      </c>
      <c r="W105" s="12" t="n">
        <v>5682</v>
      </c>
      <c r="X105" s="12" t="n">
        <v>10074</v>
      </c>
    </row>
    <row r="106">
      <c r="A106" s="18" t="inlineStr">
        <is>
          <t>고정자산 매각이익</t>
        </is>
      </c>
      <c r="C106" s="20" t="n">
        <v>2</v>
      </c>
      <c r="D106" s="20" t="n">
        <v>2</v>
      </c>
      <c r="E106" s="20" t="n">
        <v>0</v>
      </c>
      <c r="F106" s="20" t="n">
        <v>2</v>
      </c>
      <c r="G106" s="20" t="n">
        <v>4</v>
      </c>
      <c r="H106" s="20" t="n">
        <v>29</v>
      </c>
      <c r="I106" s="20" t="n">
        <v>2</v>
      </c>
      <c r="J106" s="20" t="n">
        <v>2</v>
      </c>
      <c r="K106" s="20" t="n">
        <v>2</v>
      </c>
      <c r="L106" s="20" t="n">
        <v>3</v>
      </c>
      <c r="M106" s="20" t="n">
        <v>699</v>
      </c>
      <c r="N106" s="20" t="n">
        <v>1</v>
      </c>
      <c r="T106" s="20" t="n">
        <v>4</v>
      </c>
      <c r="U106" s="20" t="n">
        <v>2</v>
      </c>
      <c r="V106" s="20" t="n">
        <v>0</v>
      </c>
      <c r="W106" s="20" t="n">
        <v>2</v>
      </c>
      <c r="X106" s="20" t="n">
        <v>699</v>
      </c>
    </row>
    <row r="107">
      <c r="A107" s="18" t="inlineStr">
        <is>
          <t>투자유가증권 매각이익</t>
        </is>
      </c>
      <c r="C107" s="20" t="n">
        <v>2783</v>
      </c>
      <c r="D107" s="20" t="n">
        <v>8244</v>
      </c>
      <c r="E107" s="20" t="n">
        <v>14470</v>
      </c>
      <c r="F107" s="20" t="n">
        <v>151</v>
      </c>
      <c r="G107" s="20" t="n">
        <v>13</v>
      </c>
      <c r="H107" s="20" t="n">
        <v>5188</v>
      </c>
      <c r="I107" s="20" t="n">
        <v>2942</v>
      </c>
      <c r="J107" s="20" t="n">
        <v>26</v>
      </c>
      <c r="K107" s="20" t="n">
        <v>16828</v>
      </c>
      <c r="L107" s="20" t="n">
        <v>0</v>
      </c>
      <c r="M107" s="20" t="n">
        <v>456</v>
      </c>
      <c r="N107" s="20" t="n">
        <v>0</v>
      </c>
      <c r="T107" s="20" t="n">
        <v>0</v>
      </c>
      <c r="U107" s="20" t="n">
        <v>3025</v>
      </c>
      <c r="V107" s="20" t="n">
        <v>14470</v>
      </c>
      <c r="W107" s="20" t="n">
        <v>2942</v>
      </c>
      <c r="X107" s="20" t="n">
        <v>456</v>
      </c>
    </row>
    <row r="108">
      <c r="A108" s="18" t="inlineStr">
        <is>
          <t>기타</t>
        </is>
      </c>
      <c r="H108" s="20" t="n">
        <v>0</v>
      </c>
      <c r="I108" s="20" t="n">
        <v>393</v>
      </c>
      <c r="L108" s="20" t="n">
        <v>-1</v>
      </c>
      <c r="M108" s="20" t="n">
        <v>1</v>
      </c>
      <c r="W108" s="20" t="n">
        <v>393</v>
      </c>
      <c r="X108" s="20" t="n">
        <v>1</v>
      </c>
    </row>
    <row r="109">
      <c r="A109" s="18" t="inlineStr">
        <is>
          <t>Gain On Transfer Of Business EI</t>
        </is>
      </c>
      <c r="J109" s="20" t="n">
        <v>0</v>
      </c>
      <c r="N109" s="20" t="n">
        <v>250</v>
      </c>
    </row>
    <row r="110">
      <c r="A110" s="18" t="inlineStr">
        <is>
          <t>특별이익 합계</t>
        </is>
      </c>
      <c r="C110" s="20" t="n">
        <v>2785</v>
      </c>
      <c r="D110" s="20" t="n">
        <v>8246</v>
      </c>
      <c r="E110" s="20" t="n">
        <v>14470</v>
      </c>
      <c r="F110" s="20" t="n">
        <v>153</v>
      </c>
      <c r="G110" s="20" t="n">
        <v>17</v>
      </c>
      <c r="H110" s="20" t="n">
        <v>5217</v>
      </c>
      <c r="I110" s="20" t="n">
        <v>3337</v>
      </c>
      <c r="J110" s="20" t="n">
        <v>29</v>
      </c>
      <c r="K110" s="20" t="n">
        <v>16842</v>
      </c>
      <c r="L110" s="20" t="n">
        <v>3</v>
      </c>
      <c r="M110" s="20" t="n">
        <v>1156</v>
      </c>
      <c r="N110" s="20" t="n">
        <v>251</v>
      </c>
      <c r="T110" s="20" t="n">
        <v>4</v>
      </c>
      <c r="U110" s="20" t="n">
        <v>3027</v>
      </c>
      <c r="V110" s="20" t="n">
        <v>14470</v>
      </c>
      <c r="W110" s="20" t="n">
        <v>3337</v>
      </c>
      <c r="X110" s="20" t="n">
        <v>1156</v>
      </c>
    </row>
    <row r="111">
      <c r="A111" s="18" t="inlineStr">
        <is>
          <t>고정자산 처분손실</t>
        </is>
      </c>
      <c r="C111" s="20" t="n">
        <v>124</v>
      </c>
      <c r="D111" s="20" t="n">
        <v>342</v>
      </c>
      <c r="E111" s="20" t="n">
        <v>180</v>
      </c>
      <c r="F111" s="20" t="n">
        <v>39</v>
      </c>
      <c r="G111" s="20" t="n">
        <v>58</v>
      </c>
      <c r="H111" s="20" t="n">
        <v>552</v>
      </c>
      <c r="I111" s="20" t="n">
        <v>191</v>
      </c>
      <c r="J111" s="20" t="n">
        <v>63</v>
      </c>
      <c r="K111" s="20" t="n">
        <v>218</v>
      </c>
      <c r="L111" s="20" t="n">
        <v>263</v>
      </c>
      <c r="M111" s="20" t="n">
        <v>551</v>
      </c>
      <c r="N111" s="20" t="n">
        <v>104</v>
      </c>
      <c r="T111" s="20" t="n">
        <v>368</v>
      </c>
      <c r="U111" s="20" t="n">
        <v>226</v>
      </c>
      <c r="V111" s="20" t="n">
        <v>180</v>
      </c>
      <c r="W111" s="20" t="n">
        <v>191</v>
      </c>
      <c r="X111" s="20" t="n">
        <v>551</v>
      </c>
    </row>
    <row r="112">
      <c r="A112" s="18" t="inlineStr">
        <is>
          <t>손상차손</t>
        </is>
      </c>
      <c r="C112" s="20" t="n">
        <v>356</v>
      </c>
      <c r="D112" s="20" t="n">
        <v>896</v>
      </c>
      <c r="E112" s="20" t="n">
        <v>975</v>
      </c>
      <c r="F112" s="20" t="n">
        <v>547</v>
      </c>
      <c r="G112" s="20" t="n">
        <v>934</v>
      </c>
      <c r="H112" s="20" t="n">
        <v>2395</v>
      </c>
      <c r="I112" s="20" t="n">
        <v>1932</v>
      </c>
      <c r="J112" s="20" t="n">
        <v>826</v>
      </c>
      <c r="K112" s="20" t="n">
        <v>297</v>
      </c>
      <c r="L112" s="20" t="n">
        <v>1610</v>
      </c>
      <c r="M112" s="20" t="n">
        <v>2063</v>
      </c>
      <c r="N112" s="20" t="n">
        <v>293</v>
      </c>
      <c r="T112" s="20" t="n">
        <v>2041</v>
      </c>
      <c r="U112" s="20" t="n">
        <v>13658</v>
      </c>
      <c r="V112" s="20" t="n">
        <v>975</v>
      </c>
      <c r="W112" s="20" t="n">
        <v>1932</v>
      </c>
      <c r="X112" s="20" t="n">
        <v>2063</v>
      </c>
    </row>
    <row r="113">
      <c r="A113" s="18" t="inlineStr">
        <is>
          <t>투자유가증권 평가손실</t>
        </is>
      </c>
      <c r="C113" s="20" t="n">
        <v>-2</v>
      </c>
      <c r="D113" s="20" t="n">
        <v>0</v>
      </c>
      <c r="E113" s="20" t="n">
        <v>2355</v>
      </c>
      <c r="F113" s="20" t="n">
        <v>708</v>
      </c>
      <c r="G113" s="20" t="n">
        <v>0</v>
      </c>
      <c r="H113" s="20" t="n">
        <v>236</v>
      </c>
      <c r="I113" s="20" t="n">
        <v>22</v>
      </c>
      <c r="J113" s="20" t="n">
        <v>0</v>
      </c>
      <c r="K113" s="20" t="n">
        <v>2141</v>
      </c>
      <c r="L113" s="20" t="n">
        <v>32</v>
      </c>
      <c r="M113" s="20" t="n">
        <v>115</v>
      </c>
      <c r="U113" s="20" t="n">
        <v>7</v>
      </c>
      <c r="V113" s="20" t="n">
        <v>2355</v>
      </c>
      <c r="W113" s="20" t="n">
        <v>22</v>
      </c>
      <c r="X113" s="20" t="n">
        <v>115</v>
      </c>
    </row>
    <row r="114">
      <c r="A114" s="18" t="inlineStr">
        <is>
          <t>기타</t>
        </is>
      </c>
      <c r="C114" s="20" t="n">
        <v>1</v>
      </c>
      <c r="D114" s="20" t="n">
        <v>156</v>
      </c>
      <c r="E114" s="20" t="n">
        <v>30</v>
      </c>
      <c r="F114" s="20" t="n">
        <v>82</v>
      </c>
      <c r="G114" s="20" t="n">
        <v>3</v>
      </c>
      <c r="H114" s="20" t="n">
        <v>104</v>
      </c>
      <c r="I114" s="20" t="n">
        <v>1058</v>
      </c>
      <c r="J114" s="20" t="n">
        <v>0</v>
      </c>
      <c r="K114" s="20" t="n">
        <v>0</v>
      </c>
      <c r="L114" s="20" t="n">
        <v>686</v>
      </c>
      <c r="M114" s="20" t="n">
        <v>-104</v>
      </c>
      <c r="N114" s="20" t="n">
        <v>5</v>
      </c>
      <c r="T114" s="20" t="n">
        <v>451</v>
      </c>
      <c r="U114" s="20" t="n">
        <v>116</v>
      </c>
      <c r="V114" s="20" t="n">
        <v>30</v>
      </c>
      <c r="W114" s="20" t="n">
        <v>1058</v>
      </c>
      <c r="X114" s="20" t="n">
        <v>-104</v>
      </c>
    </row>
    <row r="115">
      <c r="A115" s="18" t="inlineStr">
        <is>
          <t>특별손실 합계</t>
        </is>
      </c>
      <c r="C115" s="20" t="n">
        <v>478</v>
      </c>
      <c r="D115" s="20" t="n">
        <v>1395</v>
      </c>
      <c r="E115" s="20" t="n">
        <v>6330</v>
      </c>
      <c r="F115" s="20" t="n">
        <v>1375</v>
      </c>
      <c r="G115" s="20" t="n">
        <v>995</v>
      </c>
      <c r="H115" s="20" t="n">
        <v>3288</v>
      </c>
      <c r="I115" s="20" t="n">
        <v>3203</v>
      </c>
      <c r="J115" s="20" t="n">
        <v>889</v>
      </c>
      <c r="K115" s="20" t="n">
        <v>2656</v>
      </c>
      <c r="L115" s="20" t="n">
        <v>2590</v>
      </c>
      <c r="M115" s="20" t="n">
        <v>2627</v>
      </c>
      <c r="N115" s="20" t="n">
        <v>403</v>
      </c>
      <c r="T115" s="20" t="n">
        <v>2417</v>
      </c>
      <c r="U115" s="20" t="n">
        <v>14008</v>
      </c>
      <c r="V115" s="20" t="n">
        <v>6330</v>
      </c>
      <c r="W115" s="20" t="n">
        <v>3203</v>
      </c>
      <c r="X115" s="20" t="n">
        <v>2627</v>
      </c>
    </row>
    <row r="116">
      <c r="A116" s="9" t="inlineStr">
        <is>
          <t>법인세차감전 순이익</t>
        </is>
      </c>
      <c r="C116" s="12" t="n">
        <v>7036</v>
      </c>
      <c r="D116" s="12" t="n">
        <v>13729</v>
      </c>
      <c r="E116" s="12" t="n">
        <v>15133</v>
      </c>
      <c r="F116" s="12" t="n">
        <v>11006</v>
      </c>
      <c r="G116" s="12" t="n">
        <v>5380</v>
      </c>
      <c r="H116" s="12" t="n">
        <v>10711</v>
      </c>
      <c r="I116" s="12" t="n">
        <v>5818</v>
      </c>
      <c r="J116" s="12" t="n">
        <v>11112</v>
      </c>
      <c r="K116" s="12" t="n">
        <v>21348</v>
      </c>
      <c r="L116" s="12" t="n">
        <v>8243</v>
      </c>
      <c r="M116" s="12" t="n">
        <v>8603</v>
      </c>
      <c r="N116" s="12" t="n">
        <v>18697</v>
      </c>
      <c r="T116" s="12" t="n">
        <v>7930</v>
      </c>
      <c r="U116" s="12" t="n">
        <v>-10675</v>
      </c>
      <c r="V116" s="12" t="n">
        <v>15133</v>
      </c>
      <c r="W116" s="12" t="n">
        <v>5818</v>
      </c>
      <c r="X116" s="12" t="n">
        <v>8603</v>
      </c>
    </row>
    <row r="117">
      <c r="A117" s="18" t="inlineStr">
        <is>
          <t>법인세 등</t>
        </is>
      </c>
      <c r="C117" s="20" t="n">
        <v>2546</v>
      </c>
      <c r="D117" s="20" t="n">
        <v>3238</v>
      </c>
      <c r="E117" s="20" t="n">
        <v>4967</v>
      </c>
      <c r="F117" s="20" t="n">
        <v>2709</v>
      </c>
      <c r="G117" s="20" t="n">
        <v>1264</v>
      </c>
      <c r="H117" s="20" t="n">
        <v>2861</v>
      </c>
      <c r="I117" s="20" t="n">
        <v>-275</v>
      </c>
      <c r="J117" s="20" t="n">
        <v>3600</v>
      </c>
      <c r="K117" s="20" t="n">
        <v>6529</v>
      </c>
      <c r="L117" s="20" t="n">
        <v>2195</v>
      </c>
      <c r="M117" s="20" t="n">
        <v>667</v>
      </c>
      <c r="N117" s="20" t="n">
        <v>5956</v>
      </c>
      <c r="T117" s="20" t="n">
        <v>1833</v>
      </c>
      <c r="U117" s="20" t="n">
        <v>-2784</v>
      </c>
      <c r="V117" s="20" t="n">
        <v>4967</v>
      </c>
      <c r="W117" s="20" t="n">
        <v>-275</v>
      </c>
      <c r="X117" s="20" t="n">
        <v>667</v>
      </c>
    </row>
    <row r="118">
      <c r="A118" s="9" t="inlineStr">
        <is>
          <t>순이익</t>
        </is>
      </c>
      <c r="C118" s="12" t="n">
        <v>4490</v>
      </c>
      <c r="D118" s="12" t="n">
        <v>10491</v>
      </c>
      <c r="E118" s="12" t="n">
        <v>10166</v>
      </c>
      <c r="F118" s="12" t="n">
        <v>8297</v>
      </c>
      <c r="G118" s="12" t="n">
        <v>4116</v>
      </c>
      <c r="H118" s="12" t="n">
        <v>7850</v>
      </c>
      <c r="I118" s="12" t="n">
        <v>6092</v>
      </c>
      <c r="J118" s="12" t="n">
        <v>7512</v>
      </c>
      <c r="K118" s="12" t="n">
        <v>14819</v>
      </c>
      <c r="L118" s="12" t="n">
        <v>6047</v>
      </c>
      <c r="M118" s="12" t="n">
        <v>7937</v>
      </c>
      <c r="N118" s="12" t="n">
        <v>12742</v>
      </c>
      <c r="T118" s="12" t="n">
        <v>6097</v>
      </c>
      <c r="U118" s="12" t="n">
        <v>-7891</v>
      </c>
      <c r="V118" s="12" t="n">
        <v>10166</v>
      </c>
      <c r="W118" s="12" t="n">
        <v>6092</v>
      </c>
      <c r="X118" s="12" t="n">
        <v>7937</v>
      </c>
    </row>
    <row r="119">
      <c r="A119" s="9" t="inlineStr">
        <is>
          <t>비지배주주 순이익</t>
        </is>
      </c>
      <c r="C119" s="12" t="n">
        <v>-32</v>
      </c>
      <c r="D119" s="12" t="n">
        <v>-59</v>
      </c>
      <c r="E119" s="12" t="n">
        <v>-27</v>
      </c>
      <c r="F119" s="12" t="n">
        <v>108</v>
      </c>
      <c r="G119" s="12" t="n">
        <v>6</v>
      </c>
      <c r="H119" s="12" t="n">
        <v>18</v>
      </c>
      <c r="I119" s="12" t="n">
        <v>24</v>
      </c>
      <c r="J119" s="12" t="n">
        <v>6</v>
      </c>
      <c r="K119" s="12" t="n">
        <v>20</v>
      </c>
      <c r="L119" s="12" t="n">
        <v>28</v>
      </c>
      <c r="M119" s="12" t="n">
        <v>36</v>
      </c>
      <c r="N119" s="12" t="n">
        <v>30</v>
      </c>
      <c r="T119" s="12" t="n">
        <v>48</v>
      </c>
      <c r="U119" s="12" t="n">
        <v>-178</v>
      </c>
      <c r="V119" s="12" t="n">
        <v>-27</v>
      </c>
      <c r="W119" s="12" t="n">
        <v>24</v>
      </c>
      <c r="X119" s="12" t="n">
        <v>36</v>
      </c>
    </row>
    <row r="120">
      <c r="A120" s="9" t="inlineStr">
        <is>
          <t>지배주주 순이익</t>
        </is>
      </c>
      <c r="C120" s="12" t="n">
        <v>4523</v>
      </c>
      <c r="D120" s="12" t="n">
        <v>10549</v>
      </c>
      <c r="E120" s="12" t="n">
        <v>10193</v>
      </c>
      <c r="F120" s="12" t="n">
        <v>8190</v>
      </c>
      <c r="G120" s="12" t="n">
        <v>4110</v>
      </c>
      <c r="H120" s="12" t="n">
        <v>7831</v>
      </c>
      <c r="I120" s="12" t="n">
        <v>6068</v>
      </c>
      <c r="J120" s="12" t="n">
        <v>7506</v>
      </c>
      <c r="K120" s="12" t="n">
        <v>14799</v>
      </c>
      <c r="L120" s="12" t="n">
        <v>6020</v>
      </c>
      <c r="M120" s="12" t="n">
        <v>7901</v>
      </c>
      <c r="N120" s="12" t="n">
        <v>12711</v>
      </c>
      <c r="T120" s="12" t="n">
        <v>6049</v>
      </c>
      <c r="U120" s="12" t="n">
        <v>-7714</v>
      </c>
      <c r="V120" s="12" t="n">
        <v>10193</v>
      </c>
      <c r="W120" s="12" t="n">
        <v>6068</v>
      </c>
      <c r="X120" s="12" t="n">
        <v>7901</v>
      </c>
    </row>
    <row r="122">
      <c r="A122" s="16" t="inlineStr">
        <is>
          <t>포괄손익 · 전 항목</t>
        </is>
      </c>
      <c r="B122" s="42" t="inlineStr">
        <is>
          <t>분기 = 3개월 단독</t>
        </is>
      </c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</row>
    <row r="123">
      <c r="A123" s="5" t="inlineStr">
        <is>
          <t>항목</t>
        </is>
      </c>
      <c r="B123" s="5" t="inlineStr">
        <is>
          <t>참고</t>
        </is>
      </c>
      <c r="C123" s="5" t="inlineStr">
        <is>
          <t>2024.2Q</t>
        </is>
      </c>
      <c r="D123" s="5" t="inlineStr">
        <is>
          <t>2024.3Q</t>
        </is>
      </c>
      <c r="E123" s="5" t="inlineStr">
        <is>
          <t>2024.4Q</t>
        </is>
      </c>
      <c r="F123" s="5" t="inlineStr">
        <is>
          <t>2025.1Q</t>
        </is>
      </c>
      <c r="G123" s="5" t="inlineStr">
        <is>
          <t>2025.2Q</t>
        </is>
      </c>
      <c r="H123" s="5" t="inlineStr">
        <is>
          <t>2025.3Q</t>
        </is>
      </c>
      <c r="I123" s="5" t="inlineStr">
        <is>
          <t>2025.4Q</t>
        </is>
      </c>
      <c r="J123" s="5" t="inlineStr">
        <is>
          <t>2026.1Q</t>
        </is>
      </c>
      <c r="K123" s="5" t="inlineStr">
        <is>
          <t>2026.2Q</t>
        </is>
      </c>
      <c r="L123" s="5" t="inlineStr">
        <is>
          <t>2026.3Q</t>
        </is>
      </c>
      <c r="M123" s="5" t="inlineStr">
        <is>
          <t>2026.4Q</t>
        </is>
      </c>
      <c r="N123" s="5" t="inlineStr">
        <is>
          <t>2027.1Q</t>
        </is>
      </c>
      <c r="O123" s="5" t="inlineStr">
        <is>
          <t>2017</t>
        </is>
      </c>
      <c r="P123" s="5" t="inlineStr">
        <is>
          <t>2018</t>
        </is>
      </c>
      <c r="Q123" s="5" t="inlineStr">
        <is>
          <t>2019</t>
        </is>
      </c>
      <c r="R123" s="5" t="inlineStr">
        <is>
          <t>2020</t>
        </is>
      </c>
      <c r="S123" s="5" t="inlineStr">
        <is>
          <t>2021</t>
        </is>
      </c>
      <c r="T123" s="5" t="inlineStr">
        <is>
          <t>2022</t>
        </is>
      </c>
      <c r="U123" s="5" t="inlineStr">
        <is>
          <t>2023</t>
        </is>
      </c>
      <c r="V123" s="5" t="inlineStr">
        <is>
          <t>2024</t>
        </is>
      </c>
      <c r="W123" s="5" t="inlineStr">
        <is>
          <t>2025</t>
        </is>
      </c>
      <c r="X123" s="5" t="inlineStr">
        <is>
          <t>2026</t>
        </is>
      </c>
      <c r="Y123" s="5" t="inlineStr">
        <is>
          <t>2027(MW)</t>
        </is>
      </c>
      <c r="Z123" s="5" t="inlineStr">
        <is>
          <t>2028(MW)</t>
        </is>
      </c>
      <c r="AA123" s="5" t="inlineStr">
        <is>
          <t>2029(MW)</t>
        </is>
      </c>
      <c r="AB123" s="5" t="inlineStr">
        <is>
          <t>2030(MW)</t>
        </is>
      </c>
      <c r="AC123" s="5" t="inlineStr">
        <is>
          <t>2031(MW)</t>
        </is>
      </c>
    </row>
    <row r="124">
      <c r="A124" s="9" t="inlineStr">
        <is>
          <t>순이익</t>
        </is>
      </c>
      <c r="C124" s="12" t="n">
        <v>4490</v>
      </c>
      <c r="D124" s="12" t="n">
        <v>10491</v>
      </c>
      <c r="E124" s="12" t="n">
        <v>10166</v>
      </c>
      <c r="F124" s="12" t="n">
        <v>8297</v>
      </c>
      <c r="G124" s="12" t="n">
        <v>4116</v>
      </c>
      <c r="H124" s="12" t="n">
        <v>7850</v>
      </c>
      <c r="I124" s="12" t="n">
        <v>6092</v>
      </c>
      <c r="J124" s="12" t="n">
        <v>7512</v>
      </c>
      <c r="K124" s="12" t="n">
        <v>14819</v>
      </c>
      <c r="L124" s="12" t="n">
        <v>6047</v>
      </c>
      <c r="M124" s="12" t="n">
        <v>7937</v>
      </c>
      <c r="N124" s="12" t="n">
        <v>12742</v>
      </c>
      <c r="T124" s="12" t="n">
        <v>6097</v>
      </c>
      <c r="U124" s="12" t="n">
        <v>-7891</v>
      </c>
      <c r="V124" s="12" t="n">
        <v>10166</v>
      </c>
      <c r="W124" s="12" t="n">
        <v>6092</v>
      </c>
      <c r="X124" s="12" t="n">
        <v>7937</v>
      </c>
    </row>
    <row r="125">
      <c r="A125" s="18" t="inlineStr">
        <is>
          <t>기타유가증권 평가차액</t>
        </is>
      </c>
      <c r="C125" s="20" t="n">
        <v>-1547</v>
      </c>
      <c r="D125" s="20" t="n">
        <v>-5041</v>
      </c>
      <c r="E125" s="20" t="n">
        <v>-1264</v>
      </c>
      <c r="F125" s="20" t="n">
        <v>-827</v>
      </c>
      <c r="G125" s="20" t="n">
        <v>-2937</v>
      </c>
      <c r="H125" s="20" t="n">
        <v>-1483</v>
      </c>
      <c r="I125" s="20" t="n">
        <v>-3440</v>
      </c>
      <c r="J125" s="20" t="n">
        <v>2064</v>
      </c>
      <c r="K125" s="20" t="n">
        <v>-3824</v>
      </c>
      <c r="L125" s="20" t="n">
        <v>4036</v>
      </c>
      <c r="M125" s="20" t="n">
        <v>2029</v>
      </c>
      <c r="N125" s="20" t="n">
        <v>11233</v>
      </c>
      <c r="T125" s="20" t="n">
        <v>-2105</v>
      </c>
      <c r="U125" s="20" t="n">
        <v>7695</v>
      </c>
      <c r="V125" s="20" t="n">
        <v>-1264</v>
      </c>
      <c r="W125" s="20" t="n">
        <v>-3440</v>
      </c>
      <c r="X125" s="20" t="n">
        <v>2029</v>
      </c>
    </row>
    <row r="126">
      <c r="A126" s="18" t="inlineStr">
        <is>
          <t>이연헤지손익</t>
        </is>
      </c>
      <c r="C126" s="20" t="n">
        <v>-3</v>
      </c>
      <c r="D126" s="20" t="n">
        <v>-11</v>
      </c>
      <c r="E126" s="20" t="n">
        <v>9</v>
      </c>
      <c r="F126" s="20" t="n">
        <v>5</v>
      </c>
      <c r="G126" s="20" t="n">
        <v>-26</v>
      </c>
      <c r="H126" s="20" t="n">
        <v>21</v>
      </c>
      <c r="I126" s="20" t="n">
        <v>-11</v>
      </c>
      <c r="J126" s="20" t="n">
        <v>2</v>
      </c>
      <c r="K126" s="20" t="n">
        <v>3</v>
      </c>
      <c r="L126" s="20" t="n">
        <v>1</v>
      </c>
      <c r="M126" s="20" t="n">
        <v>2</v>
      </c>
      <c r="N126" s="20" t="n">
        <v>0</v>
      </c>
      <c r="T126" s="20" t="n">
        <v>2</v>
      </c>
      <c r="U126" s="20" t="n">
        <v>4</v>
      </c>
      <c r="V126" s="20" t="n">
        <v>9</v>
      </c>
      <c r="W126" s="20" t="n">
        <v>-11</v>
      </c>
      <c r="X126" s="20" t="n">
        <v>2</v>
      </c>
    </row>
    <row r="127">
      <c r="A127" s="18" t="inlineStr">
        <is>
          <t>해외사업환산조정</t>
        </is>
      </c>
      <c r="C127" s="20" t="n">
        <v>5238</v>
      </c>
      <c r="D127" s="20" t="n">
        <v>1804</v>
      </c>
      <c r="E127" s="20" t="n">
        <v>-2767</v>
      </c>
      <c r="F127" s="20" t="n">
        <v>4086</v>
      </c>
      <c r="G127" s="20" t="n">
        <v>4891</v>
      </c>
      <c r="H127" s="20" t="n">
        <v>-7740</v>
      </c>
      <c r="I127" s="20" t="n">
        <v>6674</v>
      </c>
      <c r="J127" s="20" t="n">
        <v>-4337</v>
      </c>
      <c r="K127" s="20" t="n">
        <v>-1150</v>
      </c>
      <c r="L127" s="20" t="n">
        <v>2569</v>
      </c>
      <c r="M127" s="20" t="n">
        <v>5013</v>
      </c>
      <c r="N127" s="20" t="n">
        <v>1348</v>
      </c>
      <c r="T127" s="20" t="n">
        <v>1485</v>
      </c>
      <c r="U127" s="20" t="n">
        <v>-4422</v>
      </c>
      <c r="V127" s="20" t="n">
        <v>-2767</v>
      </c>
      <c r="W127" s="20" t="n">
        <v>6674</v>
      </c>
      <c r="X127" s="20" t="n">
        <v>5013</v>
      </c>
    </row>
    <row r="128">
      <c r="A128" s="18" t="inlineStr">
        <is>
          <t>퇴직급여 조정액</t>
        </is>
      </c>
      <c r="C128" s="20" t="n">
        <v>65</v>
      </c>
      <c r="D128" s="20" t="n">
        <v>37</v>
      </c>
      <c r="E128" s="20" t="n">
        <v>-381</v>
      </c>
      <c r="F128" s="20" t="n">
        <v>39</v>
      </c>
      <c r="G128" s="20" t="n">
        <v>37</v>
      </c>
      <c r="H128" s="20" t="n">
        <v>-17</v>
      </c>
      <c r="I128" s="20" t="n">
        <v>160</v>
      </c>
      <c r="J128" s="20" t="n">
        <v>-14</v>
      </c>
      <c r="K128" s="20" t="n">
        <v>-5</v>
      </c>
      <c r="L128" s="20" t="n">
        <v>14</v>
      </c>
      <c r="M128" s="20" t="n">
        <v>549</v>
      </c>
      <c r="N128" s="20" t="n">
        <v>-9</v>
      </c>
      <c r="T128" s="20" t="n">
        <v>140</v>
      </c>
      <c r="U128" s="20" t="n">
        <v>628</v>
      </c>
      <c r="V128" s="20" t="n">
        <v>-381</v>
      </c>
      <c r="W128" s="20" t="n">
        <v>160</v>
      </c>
      <c r="X128" s="20" t="n">
        <v>549</v>
      </c>
    </row>
    <row r="129">
      <c r="A129" s="18" t="inlineStr">
        <is>
          <t>지분법 적용회사 지분 해당액</t>
        </is>
      </c>
      <c r="C129" s="20" t="n">
        <v>100</v>
      </c>
      <c r="D129" s="20" t="n">
        <v>21</v>
      </c>
      <c r="E129" s="20" t="n">
        <v>26</v>
      </c>
      <c r="F129" s="20" t="n">
        <v>20</v>
      </c>
      <c r="G129" s="20" t="n">
        <v>137</v>
      </c>
      <c r="H129" s="20" t="n">
        <v>35</v>
      </c>
      <c r="I129" s="20" t="n">
        <v>163</v>
      </c>
      <c r="J129" s="20" t="n">
        <v>-165</v>
      </c>
      <c r="K129" s="20" t="n">
        <v>14</v>
      </c>
      <c r="L129" s="20" t="n">
        <v>132</v>
      </c>
      <c r="M129" s="20" t="n">
        <v>228</v>
      </c>
      <c r="N129" s="20" t="n">
        <v>-49</v>
      </c>
      <c r="T129" s="20" t="n">
        <v>84</v>
      </c>
      <c r="U129" s="20" t="n">
        <v>-31</v>
      </c>
      <c r="V129" s="20" t="n">
        <v>26</v>
      </c>
      <c r="W129" s="20" t="n">
        <v>163</v>
      </c>
      <c r="X129" s="20" t="n">
        <v>228</v>
      </c>
    </row>
    <row r="130">
      <c r="A130" s="18" t="inlineStr">
        <is>
          <t>기타포괄손익 합계</t>
        </is>
      </c>
      <c r="C130" s="20" t="n">
        <v>3853</v>
      </c>
      <c r="D130" s="20" t="n">
        <v>-3190</v>
      </c>
      <c r="E130" s="20" t="n">
        <v>-4376</v>
      </c>
      <c r="F130" s="20" t="n">
        <v>3323</v>
      </c>
      <c r="G130" s="20" t="n">
        <v>2102</v>
      </c>
      <c r="H130" s="20" t="n">
        <v>-9183</v>
      </c>
      <c r="I130" s="20" t="n">
        <v>3544</v>
      </c>
      <c r="J130" s="20" t="n">
        <v>-2449</v>
      </c>
      <c r="K130" s="20" t="n">
        <v>-4963</v>
      </c>
      <c r="L130" s="20" t="n">
        <v>6752</v>
      </c>
      <c r="M130" s="20" t="n">
        <v>7820</v>
      </c>
      <c r="N130" s="20" t="n">
        <v>12525</v>
      </c>
      <c r="T130" s="20" t="n">
        <v>-394</v>
      </c>
      <c r="U130" s="20" t="n">
        <v>3872</v>
      </c>
      <c r="V130" s="20" t="n">
        <v>-4376</v>
      </c>
      <c r="W130" s="20" t="n">
        <v>3544</v>
      </c>
      <c r="X130" s="20" t="n">
        <v>7820</v>
      </c>
    </row>
    <row r="131">
      <c r="A131" s="9" t="inlineStr">
        <is>
          <t>포괄이익</t>
        </is>
      </c>
      <c r="C131" s="12" t="n">
        <v>8343</v>
      </c>
      <c r="D131" s="12" t="n">
        <v>7300</v>
      </c>
      <c r="E131" s="12" t="n">
        <v>5792</v>
      </c>
      <c r="F131" s="12" t="n">
        <v>11620</v>
      </c>
      <c r="G131" s="12" t="n">
        <v>6218</v>
      </c>
      <c r="H131" s="12" t="n">
        <v>-1333</v>
      </c>
      <c r="I131" s="12" t="n">
        <v>9637</v>
      </c>
      <c r="J131" s="12" t="n">
        <v>5063</v>
      </c>
      <c r="K131" s="12" t="n">
        <v>9855</v>
      </c>
      <c r="L131" s="12" t="n">
        <v>12801</v>
      </c>
      <c r="M131" s="12" t="n">
        <v>15757</v>
      </c>
      <c r="N131" s="12" t="n">
        <v>25266</v>
      </c>
      <c r="T131" s="12" t="n">
        <v>5702</v>
      </c>
      <c r="U131" s="12" t="n">
        <v>-4019</v>
      </c>
      <c r="V131" s="12" t="n">
        <v>5792</v>
      </c>
      <c r="W131" s="12" t="n">
        <v>9637</v>
      </c>
      <c r="X131" s="12" t="n">
        <v>15757</v>
      </c>
    </row>
    <row r="132">
      <c r="A132" s="9" t="inlineStr">
        <is>
          <t>지배주주 포괄이익</t>
        </is>
      </c>
      <c r="C132" s="12" t="n">
        <v>8280</v>
      </c>
      <c r="D132" s="12" t="n">
        <v>7332</v>
      </c>
      <c r="E132" s="12" t="n">
        <v>5813</v>
      </c>
      <c r="F132" s="12" t="n">
        <v>11485</v>
      </c>
      <c r="G132" s="12" t="n">
        <v>6178</v>
      </c>
      <c r="H132" s="12" t="n">
        <v>-1305</v>
      </c>
      <c r="I132" s="12" t="n">
        <v>9593</v>
      </c>
      <c r="J132" s="12" t="n">
        <v>5094</v>
      </c>
      <c r="K132" s="12" t="n">
        <v>9834</v>
      </c>
      <c r="L132" s="12" t="n">
        <v>12759</v>
      </c>
      <c r="M132" s="12" t="n">
        <v>15681</v>
      </c>
      <c r="N132" s="12" t="n">
        <v>25232</v>
      </c>
      <c r="T132" s="12" t="n">
        <v>5548</v>
      </c>
      <c r="U132" s="12" t="n">
        <v>-3809</v>
      </c>
      <c r="V132" s="12" t="n">
        <v>5813</v>
      </c>
      <c r="W132" s="12" t="n">
        <v>9593</v>
      </c>
      <c r="X132" s="12" t="n">
        <v>15681</v>
      </c>
    </row>
    <row r="133">
      <c r="A133" s="9" t="inlineStr">
        <is>
          <t>비지배주주 포괄이익</t>
        </is>
      </c>
      <c r="C133" s="12" t="n">
        <v>63</v>
      </c>
      <c r="D133" s="12" t="n">
        <v>-31</v>
      </c>
      <c r="E133" s="12" t="n">
        <v>-22</v>
      </c>
      <c r="F133" s="12" t="n">
        <v>135</v>
      </c>
      <c r="G133" s="12" t="n">
        <v>40</v>
      </c>
      <c r="H133" s="12" t="n">
        <v>-29</v>
      </c>
      <c r="I133" s="12" t="n">
        <v>44</v>
      </c>
      <c r="J133" s="12" t="n">
        <v>-31</v>
      </c>
      <c r="K133" s="12" t="n">
        <v>22</v>
      </c>
      <c r="L133" s="12" t="n">
        <v>41</v>
      </c>
      <c r="M133" s="12" t="n">
        <v>75</v>
      </c>
      <c r="N133" s="12" t="n">
        <v>34</v>
      </c>
      <c r="T133" s="12" t="n">
        <v>155</v>
      </c>
      <c r="U133" s="12" t="n">
        <v>-211</v>
      </c>
      <c r="V133" s="12" t="n">
        <v>-22</v>
      </c>
      <c r="W133" s="12" t="n">
        <v>44</v>
      </c>
      <c r="X133" s="12" t="n">
        <v>75</v>
      </c>
    </row>
    <row r="135">
      <c r="A135" s="16" t="inlineStr">
        <is>
          <t>부문 · 전 항목</t>
        </is>
      </c>
      <c r="B135" s="42" t="inlineStr">
        <is>
          <t>부문 · 항목</t>
        </is>
      </c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</row>
    <row r="136">
      <c r="A136" s="5" t="inlineStr">
        <is>
          <t>항목</t>
        </is>
      </c>
      <c r="B136" s="5" t="inlineStr">
        <is>
          <t>참고</t>
        </is>
      </c>
      <c r="C136" s="5" t="inlineStr">
        <is>
          <t>2024.2Q</t>
        </is>
      </c>
      <c r="D136" s="5" t="inlineStr">
        <is>
          <t>2024.3Q</t>
        </is>
      </c>
      <c r="E136" s="5" t="inlineStr">
        <is>
          <t>2024.4Q</t>
        </is>
      </c>
      <c r="F136" s="5" t="inlineStr">
        <is>
          <t>2025.1Q</t>
        </is>
      </c>
      <c r="G136" s="5" t="inlineStr">
        <is>
          <t>2025.2Q</t>
        </is>
      </c>
      <c r="H136" s="5" t="inlineStr">
        <is>
          <t>2025.3Q</t>
        </is>
      </c>
      <c r="I136" s="5" t="inlineStr">
        <is>
          <t>2025.4Q</t>
        </is>
      </c>
      <c r="J136" s="5" t="inlineStr">
        <is>
          <t>2026.1Q</t>
        </is>
      </c>
      <c r="K136" s="5" t="inlineStr">
        <is>
          <t>2026.2Q</t>
        </is>
      </c>
      <c r="L136" s="5" t="inlineStr">
        <is>
          <t>2026.3Q</t>
        </is>
      </c>
      <c r="M136" s="5" t="inlineStr">
        <is>
          <t>2026.4Q</t>
        </is>
      </c>
      <c r="N136" s="5" t="inlineStr">
        <is>
          <t>2027.1Q</t>
        </is>
      </c>
      <c r="O136" s="5" t="inlineStr">
        <is>
          <t>2017</t>
        </is>
      </c>
      <c r="P136" s="5" t="inlineStr">
        <is>
          <t>2018</t>
        </is>
      </c>
      <c r="Q136" s="5" t="inlineStr">
        <is>
          <t>2019</t>
        </is>
      </c>
      <c r="R136" s="5" t="inlineStr">
        <is>
          <t>2020</t>
        </is>
      </c>
      <c r="S136" s="5" t="inlineStr">
        <is>
          <t>2021</t>
        </is>
      </c>
      <c r="T136" s="5" t="inlineStr">
        <is>
          <t>2022</t>
        </is>
      </c>
      <c r="U136" s="5" t="inlineStr">
        <is>
          <t>2023</t>
        </is>
      </c>
      <c r="V136" s="5" t="inlineStr">
        <is>
          <t>2024</t>
        </is>
      </c>
      <c r="W136" s="5" t="inlineStr">
        <is>
          <t>2025</t>
        </is>
      </c>
      <c r="X136" s="5" t="inlineStr">
        <is>
          <t>2026</t>
        </is>
      </c>
      <c r="Y136" s="5" t="inlineStr">
        <is>
          <t>2027(MW)</t>
        </is>
      </c>
      <c r="Z136" s="5" t="inlineStr">
        <is>
          <t>2028(MW)</t>
        </is>
      </c>
      <c r="AA136" s="5" t="inlineStr">
        <is>
          <t>2029(MW)</t>
        </is>
      </c>
      <c r="AB136" s="5" t="inlineStr">
        <is>
          <t>2030(MW)</t>
        </is>
      </c>
      <c r="AC136" s="5" t="inlineStr">
        <is>
          <t>2031(MW)</t>
        </is>
      </c>
    </row>
    <row r="137">
      <c r="A137" s="18" t="inlineStr">
        <is>
          <t>부문 · 외부 고객 매출</t>
        </is>
      </c>
      <c r="C137" s="20" t="n">
        <v>51413</v>
      </c>
      <c r="D137" s="20" t="n">
        <v>53781</v>
      </c>
      <c r="E137" s="20" t="n">
        <v>54619</v>
      </c>
      <c r="F137" s="20" t="n">
        <v>59245</v>
      </c>
      <c r="G137" s="20" t="n">
        <v>59287</v>
      </c>
      <c r="H137" s="20" t="n">
        <v>56737</v>
      </c>
      <c r="I137" s="20" t="n">
        <v>57200</v>
      </c>
      <c r="J137" s="20" t="n">
        <v>57748</v>
      </c>
      <c r="K137" s="20" t="n">
        <v>54099</v>
      </c>
      <c r="L137" s="20" t="n">
        <v>54852</v>
      </c>
      <c r="M137" s="20" t="n">
        <v>55057</v>
      </c>
      <c r="N137" s="20" t="n">
        <v>57518</v>
      </c>
      <c r="V137" s="20" t="n">
        <v>54619</v>
      </c>
      <c r="W137" s="20" t="n">
        <v>57200</v>
      </c>
      <c r="X137" s="20" t="n">
        <v>55057</v>
      </c>
    </row>
    <row r="138">
      <c r="A138" s="18" t="inlineStr">
        <is>
          <t>부문 · 외부 고객 매출</t>
        </is>
      </c>
      <c r="C138" s="20" t="n">
        <v>26205</v>
      </c>
      <c r="D138" s="20" t="n">
        <v>27652</v>
      </c>
      <c r="E138" s="20" t="n">
        <v>28290</v>
      </c>
      <c r="F138" s="20" t="n">
        <v>30303</v>
      </c>
      <c r="G138" s="20" t="n">
        <v>31230</v>
      </c>
      <c r="H138" s="20" t="n">
        <v>28541</v>
      </c>
      <c r="I138" s="20" t="n">
        <v>31477</v>
      </c>
      <c r="J138" s="20" t="n">
        <v>29279</v>
      </c>
      <c r="K138" s="20" t="n">
        <v>32995</v>
      </c>
      <c r="L138" s="20" t="n">
        <v>31532</v>
      </c>
      <c r="M138" s="20" t="n">
        <v>30357</v>
      </c>
      <c r="N138" s="20" t="n">
        <v>33832</v>
      </c>
      <c r="V138" s="20" t="n">
        <v>28290</v>
      </c>
      <c r="W138" s="20" t="n">
        <v>31477</v>
      </c>
      <c r="X138" s="20" t="n">
        <v>30357</v>
      </c>
    </row>
    <row r="139">
      <c r="A139" s="18" t="inlineStr">
        <is>
          <t>보고부문 합계 · 외부 고객 매출</t>
        </is>
      </c>
      <c r="C139" s="20" t="n">
        <v>77618</v>
      </c>
      <c r="D139" s="20" t="n">
        <v>81433</v>
      </c>
      <c r="E139" s="20" t="n">
        <v>82909</v>
      </c>
      <c r="F139" s="20" t="n">
        <v>89548</v>
      </c>
      <c r="G139" s="20" t="n">
        <v>90517</v>
      </c>
      <c r="H139" s="20" t="n">
        <v>85278</v>
      </c>
      <c r="I139" s="20" t="n">
        <v>88677</v>
      </c>
      <c r="J139" s="20" t="n">
        <v>87027</v>
      </c>
      <c r="K139" s="20" t="n">
        <v>87093</v>
      </c>
      <c r="L139" s="20" t="n">
        <v>86384</v>
      </c>
      <c r="M139" s="20" t="n">
        <v>85415</v>
      </c>
      <c r="N139" s="20" t="n">
        <v>91349</v>
      </c>
      <c r="V139" s="20" t="n">
        <v>82909</v>
      </c>
      <c r="W139" s="20" t="n">
        <v>88677</v>
      </c>
      <c r="X139" s="20" t="n">
        <v>85415</v>
      </c>
    </row>
    <row r="140">
      <c r="A140" s="18" t="inlineStr">
        <is>
          <t>기타 · 외부 고객 매출</t>
        </is>
      </c>
      <c r="C140" s="20" t="n">
        <v>15897</v>
      </c>
      <c r="D140" s="20" t="n">
        <v>16930</v>
      </c>
      <c r="E140" s="20" t="n">
        <v>15565</v>
      </c>
      <c r="F140" s="20" t="n">
        <v>16557</v>
      </c>
      <c r="G140" s="20" t="n">
        <v>16728</v>
      </c>
      <c r="H140" s="20" t="n">
        <v>16805</v>
      </c>
      <c r="I140" s="20" t="n">
        <v>16537</v>
      </c>
      <c r="J140" s="20" t="n">
        <v>16056</v>
      </c>
      <c r="K140" s="20" t="n">
        <v>16295</v>
      </c>
      <c r="L140" s="20" t="n">
        <v>16857</v>
      </c>
      <c r="M140" s="20" t="n">
        <v>16839</v>
      </c>
      <c r="N140" s="20" t="n">
        <v>18117</v>
      </c>
      <c r="V140" s="20" t="n">
        <v>15565</v>
      </c>
      <c r="W140" s="20" t="n">
        <v>16537</v>
      </c>
      <c r="X140" s="20" t="n">
        <v>16839</v>
      </c>
    </row>
    <row r="141">
      <c r="A141" s="18" t="inlineStr">
        <is>
          <t>합계 · 외부 고객 매출</t>
        </is>
      </c>
      <c r="C141" s="20" t="n">
        <v>93515</v>
      </c>
      <c r="D141" s="20" t="n">
        <v>98364</v>
      </c>
      <c r="E141" s="20" t="n">
        <v>98473</v>
      </c>
      <c r="F141" s="20" t="n">
        <v>106105</v>
      </c>
      <c r="G141" s="20" t="n">
        <v>107245</v>
      </c>
      <c r="H141" s="20" t="n">
        <v>102083</v>
      </c>
      <c r="I141" s="20" t="n">
        <v>105214</v>
      </c>
      <c r="J141" s="20" t="n">
        <v>103083</v>
      </c>
      <c r="K141" s="20" t="n">
        <v>103388</v>
      </c>
      <c r="L141" s="20" t="n">
        <v>103241</v>
      </c>
      <c r="M141" s="20" t="n">
        <v>102254</v>
      </c>
      <c r="N141" s="20" t="n">
        <v>109466</v>
      </c>
      <c r="V141" s="20" t="n">
        <v>98473</v>
      </c>
      <c r="W141" s="20" t="n">
        <v>105214</v>
      </c>
      <c r="X141" s="20" t="n">
        <v>102254</v>
      </c>
    </row>
    <row r="142">
      <c r="A142" s="18" t="inlineStr">
        <is>
          <t>조정액 · 외부 고객 매출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0</v>
      </c>
      <c r="V142" s="20" t="n">
        <v>0</v>
      </c>
      <c r="W142" s="20" t="n">
        <v>0</v>
      </c>
      <c r="X142" s="20" t="n">
        <v>0</v>
      </c>
    </row>
    <row r="143">
      <c r="A143" s="9" t="inlineStr">
        <is>
          <t>외부 고객 매출</t>
        </is>
      </c>
      <c r="C143" s="12" t="n">
        <v>93515</v>
      </c>
      <c r="D143" s="12" t="n">
        <v>98364</v>
      </c>
      <c r="E143" s="12" t="n">
        <v>98473</v>
      </c>
      <c r="F143" s="12" t="n">
        <v>106105</v>
      </c>
      <c r="G143" s="12" t="n">
        <v>107245</v>
      </c>
      <c r="H143" s="12" t="n">
        <v>102083</v>
      </c>
      <c r="I143" s="12" t="n">
        <v>105214</v>
      </c>
      <c r="J143" s="12" t="n">
        <v>103083</v>
      </c>
      <c r="K143" s="12" t="n">
        <v>103388</v>
      </c>
      <c r="L143" s="12" t="n">
        <v>103241</v>
      </c>
      <c r="M143" s="12" t="n">
        <v>102254</v>
      </c>
      <c r="N143" s="12" t="n">
        <v>109466</v>
      </c>
      <c r="V143" s="12" t="n">
        <v>98473</v>
      </c>
      <c r="W143" s="12" t="n">
        <v>105214</v>
      </c>
      <c r="X143" s="12" t="n">
        <v>102254</v>
      </c>
    </row>
    <row r="144">
      <c r="A144" s="18" t="inlineStr">
        <is>
          <t>부문 · 부문 간 내부매출·대체</t>
        </is>
      </c>
      <c r="C144" s="20" t="n">
        <v>1099</v>
      </c>
      <c r="D144" s="20" t="n">
        <v>1170</v>
      </c>
      <c r="E144" s="20" t="n">
        <v>985</v>
      </c>
      <c r="F144" s="20" t="n">
        <v>1002</v>
      </c>
      <c r="G144" s="20" t="n">
        <v>1117</v>
      </c>
      <c r="H144" s="20" t="n">
        <v>1069</v>
      </c>
      <c r="I144" s="20" t="n">
        <v>902</v>
      </c>
      <c r="J144" s="20" t="n">
        <v>321</v>
      </c>
      <c r="K144" s="20" t="n">
        <v>378</v>
      </c>
      <c r="L144" s="20" t="n">
        <v>581</v>
      </c>
      <c r="M144" s="20" t="n">
        <v>644</v>
      </c>
      <c r="N144" s="20" t="n">
        <v>643</v>
      </c>
      <c r="V144" s="20" t="n">
        <v>985</v>
      </c>
      <c r="W144" s="20" t="n">
        <v>902</v>
      </c>
      <c r="X144" s="20" t="n">
        <v>644</v>
      </c>
    </row>
    <row r="145">
      <c r="A145" s="18" t="inlineStr">
        <is>
          <t>부문 · 부문 간 내부매출·대체</t>
        </is>
      </c>
      <c r="C145" s="20" t="n">
        <v>7</v>
      </c>
      <c r="D145" s="20" t="n">
        <v>13</v>
      </c>
      <c r="E145" s="20" t="n">
        <v>11</v>
      </c>
      <c r="F145" s="20" t="n">
        <v>19</v>
      </c>
      <c r="G145" s="20" t="n">
        <v>14</v>
      </c>
      <c r="H145" s="20" t="n">
        <v>18</v>
      </c>
      <c r="I145" s="20" t="n">
        <v>15</v>
      </c>
      <c r="J145" s="20" t="n">
        <v>17</v>
      </c>
      <c r="K145" s="20" t="n">
        <v>14</v>
      </c>
      <c r="L145" s="20" t="n">
        <v>15</v>
      </c>
      <c r="M145" s="20" t="n">
        <v>7</v>
      </c>
      <c r="N145" s="20" t="n">
        <v>8</v>
      </c>
      <c r="V145" s="20" t="n">
        <v>11</v>
      </c>
      <c r="W145" s="20" t="n">
        <v>15</v>
      </c>
      <c r="X145" s="20" t="n">
        <v>7</v>
      </c>
    </row>
    <row r="146">
      <c r="A146" s="18" t="inlineStr">
        <is>
          <t>보고부문 합계 · 부문 간 내부매출·대체</t>
        </is>
      </c>
      <c r="C146" s="20" t="n">
        <v>1107</v>
      </c>
      <c r="D146" s="20" t="n">
        <v>1182</v>
      </c>
      <c r="E146" s="20" t="n">
        <v>996</v>
      </c>
      <c r="F146" s="20" t="n">
        <v>1021</v>
      </c>
      <c r="G146" s="20" t="n">
        <v>1130</v>
      </c>
      <c r="H146" s="20" t="n">
        <v>1088</v>
      </c>
      <c r="I146" s="20" t="n">
        <v>917</v>
      </c>
      <c r="J146" s="20" t="n">
        <v>338</v>
      </c>
      <c r="K146" s="20" t="n">
        <v>392</v>
      </c>
      <c r="L146" s="20" t="n">
        <v>596</v>
      </c>
      <c r="M146" s="20" t="n">
        <v>651</v>
      </c>
      <c r="N146" s="20" t="n">
        <v>651</v>
      </c>
      <c r="V146" s="20" t="n">
        <v>996</v>
      </c>
      <c r="W146" s="20" t="n">
        <v>917</v>
      </c>
      <c r="X146" s="20" t="n">
        <v>651</v>
      </c>
    </row>
    <row r="147">
      <c r="A147" s="18" t="inlineStr">
        <is>
          <t>기타 · 부문 간 내부매출·대체</t>
        </is>
      </c>
      <c r="C147" s="20" t="n">
        <v>192</v>
      </c>
      <c r="D147" s="20" t="n">
        <v>192</v>
      </c>
      <c r="E147" s="20" t="n">
        <v>189</v>
      </c>
      <c r="F147" s="20" t="n">
        <v>225</v>
      </c>
      <c r="G147" s="20" t="n">
        <v>250</v>
      </c>
      <c r="H147" s="20" t="n">
        <v>179</v>
      </c>
      <c r="I147" s="20" t="n">
        <v>334</v>
      </c>
      <c r="J147" s="20" t="n">
        <v>322</v>
      </c>
      <c r="K147" s="20" t="n">
        <v>265</v>
      </c>
      <c r="L147" s="20" t="n">
        <v>347</v>
      </c>
      <c r="M147" s="20" t="n">
        <v>375</v>
      </c>
      <c r="N147" s="20" t="n">
        <v>379</v>
      </c>
      <c r="V147" s="20" t="n">
        <v>189</v>
      </c>
      <c r="W147" s="20" t="n">
        <v>334</v>
      </c>
      <c r="X147" s="20" t="n">
        <v>375</v>
      </c>
    </row>
    <row r="148">
      <c r="A148" s="18" t="inlineStr">
        <is>
          <t>합계 · 부문 간 내부매출·대체</t>
        </is>
      </c>
      <c r="C148" s="20" t="n">
        <v>1298</v>
      </c>
      <c r="D148" s="20" t="n">
        <v>1375</v>
      </c>
      <c r="E148" s="20" t="n">
        <v>1185</v>
      </c>
      <c r="F148" s="20" t="n">
        <v>1246</v>
      </c>
      <c r="G148" s="20" t="n">
        <v>1381</v>
      </c>
      <c r="H148" s="20" t="n">
        <v>1266</v>
      </c>
      <c r="I148" s="20" t="n">
        <v>1252</v>
      </c>
      <c r="J148" s="20" t="n">
        <v>660</v>
      </c>
      <c r="K148" s="20" t="n">
        <v>657</v>
      </c>
      <c r="L148" s="20" t="n">
        <v>943</v>
      </c>
      <c r="M148" s="20" t="n">
        <v>1027</v>
      </c>
      <c r="N148" s="20" t="n">
        <v>1029</v>
      </c>
      <c r="V148" s="20" t="n">
        <v>1185</v>
      </c>
      <c r="W148" s="20" t="n">
        <v>1252</v>
      </c>
      <c r="X148" s="20" t="n">
        <v>1027</v>
      </c>
    </row>
    <row r="149">
      <c r="A149" s="18" t="inlineStr">
        <is>
          <t>조정액 · 부문 간 내부매출·대체</t>
        </is>
      </c>
      <c r="C149" s="20" t="n">
        <v>-1298</v>
      </c>
      <c r="D149" s="20" t="n">
        <v>-1375</v>
      </c>
      <c r="E149" s="20" t="n">
        <v>-1185</v>
      </c>
      <c r="F149" s="20" t="n">
        <v>-1246</v>
      </c>
      <c r="G149" s="20" t="n">
        <v>-1381</v>
      </c>
      <c r="H149" s="20" t="n">
        <v>-1266</v>
      </c>
      <c r="I149" s="20" t="n">
        <v>-1252</v>
      </c>
      <c r="J149" s="20" t="n">
        <v>-660</v>
      </c>
      <c r="K149" s="20" t="n">
        <v>-657</v>
      </c>
      <c r="L149" s="20" t="n">
        <v>-943</v>
      </c>
      <c r="M149" s="20" t="n">
        <v>-1027</v>
      </c>
      <c r="N149" s="20" t="n">
        <v>-1029</v>
      </c>
      <c r="V149" s="20" t="n">
        <v>-1185</v>
      </c>
      <c r="W149" s="20" t="n">
        <v>-1252</v>
      </c>
      <c r="X149" s="20" t="n">
        <v>-1027</v>
      </c>
    </row>
    <row r="150">
      <c r="A150" s="18" t="inlineStr">
        <is>
          <t>부문 간 내부매출·대체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V150" s="20" t="n">
        <v>0</v>
      </c>
      <c r="W150" s="20" t="n">
        <v>0</v>
      </c>
      <c r="X150" s="20" t="n">
        <v>0</v>
      </c>
    </row>
    <row r="151">
      <c r="A151" s="18" t="inlineStr">
        <is>
          <t>부문 · 계</t>
        </is>
      </c>
      <c r="C151" s="20" t="n">
        <v>52513</v>
      </c>
      <c r="D151" s="20" t="n">
        <v>54951</v>
      </c>
      <c r="E151" s="20" t="n">
        <v>55604</v>
      </c>
      <c r="F151" s="20" t="n">
        <v>60248</v>
      </c>
      <c r="G151" s="20" t="n">
        <v>60403</v>
      </c>
      <c r="H151" s="20" t="n">
        <v>57806</v>
      </c>
      <c r="I151" s="20" t="n">
        <v>58103</v>
      </c>
      <c r="J151" s="20" t="n">
        <v>58069</v>
      </c>
      <c r="K151" s="20" t="n">
        <v>54476</v>
      </c>
      <c r="L151" s="20" t="n">
        <v>55434</v>
      </c>
      <c r="M151" s="20" t="n">
        <v>55701</v>
      </c>
      <c r="N151" s="20" t="n">
        <v>58161</v>
      </c>
      <c r="V151" s="20" t="n">
        <v>55604</v>
      </c>
      <c r="W151" s="20" t="n">
        <v>58103</v>
      </c>
      <c r="X151" s="20" t="n">
        <v>55701</v>
      </c>
    </row>
    <row r="152">
      <c r="A152" s="18" t="inlineStr">
        <is>
          <t>부문 · 계</t>
        </is>
      </c>
      <c r="C152" s="20" t="n">
        <v>26213</v>
      </c>
      <c r="D152" s="20" t="n">
        <v>27664</v>
      </c>
      <c r="E152" s="20" t="n">
        <v>28300</v>
      </c>
      <c r="F152" s="20" t="n">
        <v>30322</v>
      </c>
      <c r="G152" s="20" t="n">
        <v>31244</v>
      </c>
      <c r="H152" s="20" t="n">
        <v>28559</v>
      </c>
      <c r="I152" s="20" t="n">
        <v>31492</v>
      </c>
      <c r="J152" s="20" t="n">
        <v>29296</v>
      </c>
      <c r="K152" s="20" t="n">
        <v>33009</v>
      </c>
      <c r="L152" s="20" t="n">
        <v>31547</v>
      </c>
      <c r="M152" s="20" t="n">
        <v>30365</v>
      </c>
      <c r="N152" s="20" t="n">
        <v>33839</v>
      </c>
      <c r="V152" s="20" t="n">
        <v>28300</v>
      </c>
      <c r="W152" s="20" t="n">
        <v>31492</v>
      </c>
      <c r="X152" s="20" t="n">
        <v>30365</v>
      </c>
    </row>
    <row r="153">
      <c r="A153" s="18" t="inlineStr">
        <is>
          <t>보고부문 합계 · 계</t>
        </is>
      </c>
      <c r="C153" s="20" t="n">
        <v>78725</v>
      </c>
      <c r="D153" s="20" t="n">
        <v>82615</v>
      </c>
      <c r="E153" s="20" t="n">
        <v>83905</v>
      </c>
      <c r="F153" s="20" t="n">
        <v>90569</v>
      </c>
      <c r="G153" s="20" t="n">
        <v>91647</v>
      </c>
      <c r="H153" s="20" t="n">
        <v>86366</v>
      </c>
      <c r="I153" s="20" t="n">
        <v>89595</v>
      </c>
      <c r="J153" s="20" t="n">
        <v>87365</v>
      </c>
      <c r="K153" s="20" t="n">
        <v>87485</v>
      </c>
      <c r="L153" s="20" t="n">
        <v>86980</v>
      </c>
      <c r="M153" s="20" t="n">
        <v>86067</v>
      </c>
      <c r="N153" s="20" t="n">
        <v>92000</v>
      </c>
      <c r="V153" s="20" t="n">
        <v>83905</v>
      </c>
      <c r="W153" s="20" t="n">
        <v>89595</v>
      </c>
      <c r="X153" s="20" t="n">
        <v>86067</v>
      </c>
    </row>
    <row r="154">
      <c r="A154" s="18" t="inlineStr">
        <is>
          <t>기타 · 계</t>
        </is>
      </c>
      <c r="C154" s="20" t="n">
        <v>16089</v>
      </c>
      <c r="D154" s="20" t="n">
        <v>17122</v>
      </c>
      <c r="E154" s="20" t="n">
        <v>15754</v>
      </c>
      <c r="F154" s="20" t="n">
        <v>16782</v>
      </c>
      <c r="G154" s="20" t="n">
        <v>16978</v>
      </c>
      <c r="H154" s="20" t="n">
        <v>16984</v>
      </c>
      <c r="I154" s="20" t="n">
        <v>16871</v>
      </c>
      <c r="J154" s="20" t="n">
        <v>16378</v>
      </c>
      <c r="K154" s="20" t="n">
        <v>16560</v>
      </c>
      <c r="L154" s="20" t="n">
        <v>17203</v>
      </c>
      <c r="M154" s="20" t="n">
        <v>17215</v>
      </c>
      <c r="N154" s="20" t="n">
        <v>18495</v>
      </c>
      <c r="V154" s="20" t="n">
        <v>15754</v>
      </c>
      <c r="W154" s="20" t="n">
        <v>16871</v>
      </c>
      <c r="X154" s="20" t="n">
        <v>17215</v>
      </c>
    </row>
    <row r="155">
      <c r="A155" s="18" t="inlineStr">
        <is>
          <t>합계 · 계</t>
        </is>
      </c>
      <c r="C155" s="20" t="n">
        <v>94814</v>
      </c>
      <c r="D155" s="20" t="n">
        <v>99738</v>
      </c>
      <c r="E155" s="20" t="n">
        <v>99658</v>
      </c>
      <c r="F155" s="20" t="n">
        <v>107351</v>
      </c>
      <c r="G155" s="20" t="n">
        <v>108625</v>
      </c>
      <c r="H155" s="20" t="n">
        <v>103350</v>
      </c>
      <c r="I155" s="20" t="n">
        <v>106466</v>
      </c>
      <c r="J155" s="20" t="n">
        <v>103743</v>
      </c>
      <c r="K155" s="20" t="n">
        <v>104045</v>
      </c>
      <c r="L155" s="20" t="n">
        <v>104184</v>
      </c>
      <c r="M155" s="20" t="n">
        <v>103281</v>
      </c>
      <c r="N155" s="20" t="n">
        <v>110496</v>
      </c>
      <c r="V155" s="20" t="n">
        <v>99658</v>
      </c>
      <c r="W155" s="20" t="n">
        <v>106466</v>
      </c>
      <c r="X155" s="20" t="n">
        <v>103281</v>
      </c>
    </row>
    <row r="156">
      <c r="A156" s="18" t="inlineStr">
        <is>
          <t>조정액 · 계</t>
        </is>
      </c>
      <c r="C156" s="20" t="n">
        <v>-1298</v>
      </c>
      <c r="D156" s="20" t="n">
        <v>-1375</v>
      </c>
      <c r="E156" s="20" t="n">
        <v>-1185</v>
      </c>
      <c r="F156" s="20" t="n">
        <v>-1246</v>
      </c>
      <c r="G156" s="20" t="n">
        <v>-1381</v>
      </c>
      <c r="H156" s="20" t="n">
        <v>-1266</v>
      </c>
      <c r="I156" s="20" t="n">
        <v>-1252</v>
      </c>
      <c r="J156" s="20" t="n">
        <v>-660</v>
      </c>
      <c r="K156" s="20" t="n">
        <v>-657</v>
      </c>
      <c r="L156" s="20" t="n">
        <v>-943</v>
      </c>
      <c r="M156" s="20" t="n">
        <v>-1027</v>
      </c>
      <c r="N156" s="20" t="n">
        <v>-1029</v>
      </c>
      <c r="V156" s="20" t="n">
        <v>-1185</v>
      </c>
      <c r="W156" s="20" t="n">
        <v>-1252</v>
      </c>
      <c r="X156" s="20" t="n">
        <v>-1027</v>
      </c>
    </row>
    <row r="157">
      <c r="A157" s="9" t="inlineStr">
        <is>
          <t>계</t>
        </is>
      </c>
      <c r="C157" s="12" t="n">
        <v>93515</v>
      </c>
      <c r="D157" s="12" t="n">
        <v>98364</v>
      </c>
      <c r="E157" s="12" t="n">
        <v>98473</v>
      </c>
      <c r="F157" s="12" t="n">
        <v>106105</v>
      </c>
      <c r="G157" s="12" t="n">
        <v>107245</v>
      </c>
      <c r="H157" s="12" t="n">
        <v>102083</v>
      </c>
      <c r="I157" s="12" t="n">
        <v>105214</v>
      </c>
      <c r="J157" s="12" t="n">
        <v>103083</v>
      </c>
      <c r="K157" s="12" t="n">
        <v>103388</v>
      </c>
      <c r="L157" s="12" t="n">
        <v>103241</v>
      </c>
      <c r="M157" s="12" t="n">
        <v>102254</v>
      </c>
      <c r="N157" s="12" t="n">
        <v>109466</v>
      </c>
      <c r="V157" s="12" t="n">
        <v>98473</v>
      </c>
      <c r="W157" s="12" t="n">
        <v>105214</v>
      </c>
      <c r="X157" s="12" t="n">
        <v>102254</v>
      </c>
    </row>
    <row r="158">
      <c r="A158" s="18" t="inlineStr">
        <is>
          <t>부문 · 부문 이익</t>
        </is>
      </c>
      <c r="C158" s="20" t="n">
        <v>1180</v>
      </c>
      <c r="D158" s="20" t="n">
        <v>2520</v>
      </c>
      <c r="E158" s="20" t="n">
        <v>471</v>
      </c>
      <c r="F158" s="20" t="n">
        <v>3773</v>
      </c>
      <c r="G158" s="20" t="n">
        <v>2241</v>
      </c>
      <c r="H158" s="20" t="n">
        <v>2947</v>
      </c>
      <c r="I158" s="20" t="n">
        <v>1970</v>
      </c>
      <c r="J158" s="20" t="n">
        <v>4227</v>
      </c>
      <c r="K158" s="20" t="n">
        <v>2277</v>
      </c>
      <c r="L158" s="20" t="n">
        <v>2932</v>
      </c>
      <c r="M158" s="20" t="n">
        <v>2229</v>
      </c>
      <c r="N158" s="20" t="n">
        <v>5546</v>
      </c>
      <c r="V158" s="20" t="n">
        <v>471</v>
      </c>
      <c r="W158" s="20" t="n">
        <v>1970</v>
      </c>
      <c r="X158" s="20" t="n">
        <v>2229</v>
      </c>
    </row>
    <row r="159">
      <c r="A159" s="18" t="inlineStr">
        <is>
          <t>부문 · 부문 이익</t>
        </is>
      </c>
      <c r="C159" s="20" t="n">
        <v>2594</v>
      </c>
      <c r="D159" s="20" t="n">
        <v>3600</v>
      </c>
      <c r="E159" s="20" t="n">
        <v>3049</v>
      </c>
      <c r="F159" s="20" t="n">
        <v>5269</v>
      </c>
      <c r="G159" s="20" t="n">
        <v>5532</v>
      </c>
      <c r="H159" s="20" t="n">
        <v>3687</v>
      </c>
      <c r="I159" s="20" t="n">
        <v>3072</v>
      </c>
      <c r="J159" s="20" t="n">
        <v>7388</v>
      </c>
      <c r="K159" s="20" t="n">
        <v>4342</v>
      </c>
      <c r="L159" s="20" t="n">
        <v>4825</v>
      </c>
      <c r="M159" s="20" t="n">
        <v>5866</v>
      </c>
      <c r="N159" s="20" t="n">
        <v>10109</v>
      </c>
      <c r="V159" s="20" t="n">
        <v>3049</v>
      </c>
      <c r="W159" s="20" t="n">
        <v>3072</v>
      </c>
      <c r="X159" s="20" t="n">
        <v>5866</v>
      </c>
    </row>
    <row r="160">
      <c r="A160" s="18" t="inlineStr">
        <is>
          <t>보고부문 합계 · 부문 이익</t>
        </is>
      </c>
      <c r="C160" s="20" t="n">
        <v>3774</v>
      </c>
      <c r="D160" s="20" t="n">
        <v>6120</v>
      </c>
      <c r="E160" s="20" t="n">
        <v>3520</v>
      </c>
      <c r="F160" s="20" t="n">
        <v>9042</v>
      </c>
      <c r="G160" s="20" t="n">
        <v>7773</v>
      </c>
      <c r="H160" s="20" t="n">
        <v>6633</v>
      </c>
      <c r="I160" s="20" t="n">
        <v>5043</v>
      </c>
      <c r="J160" s="20" t="n">
        <v>11615</v>
      </c>
      <c r="K160" s="20" t="n">
        <v>6620</v>
      </c>
      <c r="L160" s="20" t="n">
        <v>7756</v>
      </c>
      <c r="M160" s="20" t="n">
        <v>8096</v>
      </c>
      <c r="N160" s="20" t="n">
        <v>15655</v>
      </c>
      <c r="V160" s="20" t="n">
        <v>3520</v>
      </c>
      <c r="W160" s="20" t="n">
        <v>5043</v>
      </c>
      <c r="X160" s="20" t="n">
        <v>8096</v>
      </c>
    </row>
    <row r="161">
      <c r="A161" s="18" t="inlineStr">
        <is>
          <t>기타 · 부문 이익</t>
        </is>
      </c>
      <c r="C161" s="20" t="n">
        <v>762</v>
      </c>
      <c r="D161" s="20" t="n">
        <v>1341</v>
      </c>
      <c r="E161" s="20" t="n">
        <v>1187</v>
      </c>
      <c r="F161" s="20" t="n">
        <v>770</v>
      </c>
      <c r="G161" s="20" t="n">
        <v>703</v>
      </c>
      <c r="H161" s="20" t="n">
        <v>1464</v>
      </c>
      <c r="I161" s="20" t="n">
        <v>928</v>
      </c>
      <c r="J161" s="20" t="n">
        <v>1009</v>
      </c>
      <c r="K161" s="20" t="n">
        <v>946</v>
      </c>
      <c r="L161" s="20" t="n">
        <v>886</v>
      </c>
      <c r="M161" s="20" t="n">
        <v>1449</v>
      </c>
      <c r="N161" s="20" t="n">
        <v>964</v>
      </c>
      <c r="V161" s="20" t="n">
        <v>1187</v>
      </c>
      <c r="W161" s="20" t="n">
        <v>928</v>
      </c>
      <c r="X161" s="20" t="n">
        <v>1449</v>
      </c>
    </row>
    <row r="162">
      <c r="A162" s="18" t="inlineStr">
        <is>
          <t>합계 · 부문 이익</t>
        </is>
      </c>
      <c r="C162" s="20" t="n">
        <v>4536</v>
      </c>
      <c r="D162" s="20" t="n">
        <v>7461</v>
      </c>
      <c r="E162" s="20" t="n">
        <v>4707</v>
      </c>
      <c r="F162" s="20" t="n">
        <v>9812</v>
      </c>
      <c r="G162" s="20" t="n">
        <v>8476</v>
      </c>
      <c r="H162" s="20" t="n">
        <v>8098</v>
      </c>
      <c r="I162" s="20" t="n">
        <v>5970</v>
      </c>
      <c r="J162" s="20" t="n">
        <v>12623</v>
      </c>
      <c r="K162" s="20" t="n">
        <v>7566</v>
      </c>
      <c r="L162" s="20" t="n">
        <v>8643</v>
      </c>
      <c r="M162" s="20" t="n">
        <v>9544</v>
      </c>
      <c r="N162" s="20" t="n">
        <v>16619</v>
      </c>
      <c r="V162" s="20" t="n">
        <v>4707</v>
      </c>
      <c r="W162" s="20" t="n">
        <v>5970</v>
      </c>
      <c r="X162" s="20" t="n">
        <v>9544</v>
      </c>
    </row>
    <row r="163">
      <c r="A163" s="18" t="inlineStr">
        <is>
          <t>조정액 · 부문 이익</t>
        </is>
      </c>
      <c r="C163" s="20" t="n">
        <v>-1189</v>
      </c>
      <c r="D163" s="20" t="n">
        <v>-936</v>
      </c>
      <c r="E163" s="20" t="n">
        <v>-193</v>
      </c>
      <c r="F163" s="20" t="n">
        <v>-771</v>
      </c>
      <c r="G163" s="20" t="n">
        <v>-714</v>
      </c>
      <c r="H163" s="20" t="n">
        <v>-728</v>
      </c>
      <c r="I163" s="20" t="n">
        <v>-822</v>
      </c>
      <c r="J163" s="20" t="n">
        <v>-494</v>
      </c>
      <c r="K163" s="20" t="n">
        <v>-344</v>
      </c>
      <c r="L163" s="20" t="n">
        <v>-394</v>
      </c>
      <c r="M163" s="20" t="n">
        <v>-768</v>
      </c>
      <c r="N163" s="20" t="n">
        <v>-318</v>
      </c>
      <c r="V163" s="20" t="n">
        <v>-193</v>
      </c>
      <c r="W163" s="20" t="n">
        <v>-822</v>
      </c>
      <c r="X163" s="20" t="n">
        <v>-768</v>
      </c>
    </row>
    <row r="164">
      <c r="A164" s="9" t="inlineStr">
        <is>
          <t>부문 이익</t>
        </is>
      </c>
      <c r="C164" s="12" t="n">
        <v>3347</v>
      </c>
      <c r="D164" s="12" t="n">
        <v>6525</v>
      </c>
      <c r="E164" s="12" t="n">
        <v>4514</v>
      </c>
      <c r="F164" s="12" t="n">
        <v>9041</v>
      </c>
      <c r="G164" s="12" t="n">
        <v>7761</v>
      </c>
      <c r="H164" s="12" t="n">
        <v>7371</v>
      </c>
      <c r="I164" s="12" t="n">
        <v>5148</v>
      </c>
      <c r="J164" s="12" t="n">
        <v>12129</v>
      </c>
      <c r="K164" s="12" t="n">
        <v>7223</v>
      </c>
      <c r="L164" s="12" t="n">
        <v>8248</v>
      </c>
      <c r="M164" s="12" t="n">
        <v>8777</v>
      </c>
      <c r="N164" s="12" t="n">
        <v>16300</v>
      </c>
      <c r="V164" s="12" t="n">
        <v>4514</v>
      </c>
      <c r="W164" s="12" t="n">
        <v>5148</v>
      </c>
      <c r="X164" s="12" t="n">
        <v>8777</v>
      </c>
    </row>
    <row r="166">
      <c r="A166" s="16" t="inlineStr">
        <is>
          <t>현금흐름표 · 전 항목</t>
        </is>
      </c>
      <c r="B166" s="42" t="inlineStr">
        <is>
          <t>분기 = 결산기 첫날부터 누계(공시 그대로)</t>
        </is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</row>
    <row r="167">
      <c r="A167" s="5" t="inlineStr">
        <is>
          <t>항목</t>
        </is>
      </c>
      <c r="B167" s="5" t="inlineStr">
        <is>
          <t>참고</t>
        </is>
      </c>
      <c r="C167" s="5" t="inlineStr">
        <is>
          <t>2024.2Q</t>
        </is>
      </c>
      <c r="D167" s="5" t="inlineStr">
        <is>
          <t>2024.3Q</t>
        </is>
      </c>
      <c r="E167" s="5" t="inlineStr">
        <is>
          <t>2024.4Q</t>
        </is>
      </c>
      <c r="F167" s="5" t="inlineStr">
        <is>
          <t>2025.1Q</t>
        </is>
      </c>
      <c r="G167" s="5" t="inlineStr">
        <is>
          <t>2025.2Q</t>
        </is>
      </c>
      <c r="H167" s="5" t="inlineStr">
        <is>
          <t>2025.3Q</t>
        </is>
      </c>
      <c r="I167" s="5" t="inlineStr">
        <is>
          <t>2025.4Q</t>
        </is>
      </c>
      <c r="J167" s="5" t="inlineStr">
        <is>
          <t>2026.1Q</t>
        </is>
      </c>
      <c r="K167" s="5" t="inlineStr">
        <is>
          <t>2026.2Q</t>
        </is>
      </c>
      <c r="L167" s="5" t="inlineStr">
        <is>
          <t>2026.3Q</t>
        </is>
      </c>
      <c r="M167" s="5" t="inlineStr">
        <is>
          <t>2026.4Q</t>
        </is>
      </c>
      <c r="N167" s="5" t="inlineStr">
        <is>
          <t>2027.1Q</t>
        </is>
      </c>
      <c r="O167" s="5" t="inlineStr">
        <is>
          <t>2017</t>
        </is>
      </c>
      <c r="P167" s="5" t="inlineStr">
        <is>
          <t>2018</t>
        </is>
      </c>
      <c r="Q167" s="5" t="inlineStr">
        <is>
          <t>2019</t>
        </is>
      </c>
      <c r="R167" s="5" t="inlineStr">
        <is>
          <t>2020</t>
        </is>
      </c>
      <c r="S167" s="5" t="inlineStr">
        <is>
          <t>2021</t>
        </is>
      </c>
      <c r="T167" s="5" t="inlineStr">
        <is>
          <t>2022</t>
        </is>
      </c>
      <c r="U167" s="5" t="inlineStr">
        <is>
          <t>2023</t>
        </is>
      </c>
      <c r="V167" s="5" t="inlineStr">
        <is>
          <t>2024</t>
        </is>
      </c>
      <c r="W167" s="5" t="inlineStr">
        <is>
          <t>2025</t>
        </is>
      </c>
      <c r="X167" s="5" t="inlineStr">
        <is>
          <t>2026</t>
        </is>
      </c>
      <c r="Y167" s="5" t="inlineStr">
        <is>
          <t>2027(MW)</t>
        </is>
      </c>
      <c r="Z167" s="5" t="inlineStr">
        <is>
          <t>2028(MW)</t>
        </is>
      </c>
      <c r="AA167" s="5" t="inlineStr">
        <is>
          <t>2029(MW)</t>
        </is>
      </c>
      <c r="AB167" s="5" t="inlineStr">
        <is>
          <t>2030(MW)</t>
        </is>
      </c>
      <c r="AC167" s="5" t="inlineStr">
        <is>
          <t>2031(MW)</t>
        </is>
      </c>
    </row>
    <row r="168">
      <c r="A168" s="9" t="inlineStr">
        <is>
          <t>법인세차감전 순이익</t>
        </is>
      </c>
      <c r="C168" s="12" t="n">
        <v>14987</v>
      </c>
      <c r="E168" s="12" t="n">
        <v>43849</v>
      </c>
      <c r="G168" s="12" t="n">
        <v>16386</v>
      </c>
      <c r="I168" s="12" t="n">
        <v>32915</v>
      </c>
      <c r="K168" s="12" t="n">
        <v>32460</v>
      </c>
      <c r="M168" s="12" t="n">
        <v>49306</v>
      </c>
      <c r="O168" s="12" t="n">
        <v>30928</v>
      </c>
      <c r="P168" s="12" t="n">
        <v>24853</v>
      </c>
      <c r="Q168" s="12" t="n">
        <v>27044</v>
      </c>
      <c r="R168" s="12" t="n">
        <v>27480</v>
      </c>
      <c r="S168" s="12" t="n">
        <v>38158</v>
      </c>
      <c r="T168" s="12" t="n">
        <v>46226</v>
      </c>
      <c r="U168" s="12" t="n">
        <v>14467</v>
      </c>
      <c r="V168" s="12" t="n">
        <v>43849</v>
      </c>
      <c r="W168" s="12" t="n">
        <v>32915</v>
      </c>
      <c r="X168" s="12" t="n">
        <v>49306</v>
      </c>
    </row>
    <row r="169">
      <c r="A169" s="18" t="inlineStr">
        <is>
          <t>감가상각비</t>
        </is>
      </c>
      <c r="C169" s="20" t="n">
        <v>8689</v>
      </c>
      <c r="E169" s="20" t="n">
        <v>20123</v>
      </c>
      <c r="G169" s="20" t="n">
        <v>9303</v>
      </c>
      <c r="I169" s="20" t="n">
        <v>19436</v>
      </c>
      <c r="K169" s="20" t="n">
        <v>8075</v>
      </c>
      <c r="M169" s="20" t="n">
        <v>17230</v>
      </c>
      <c r="O169" s="20" t="n">
        <v>20431</v>
      </c>
      <c r="P169" s="20" t="n">
        <v>20539</v>
      </c>
      <c r="Q169" s="20" t="n">
        <v>18780</v>
      </c>
      <c r="R169" s="20" t="n">
        <v>17448</v>
      </c>
      <c r="S169" s="20" t="n">
        <v>18154</v>
      </c>
      <c r="T169" s="20" t="n">
        <v>21469</v>
      </c>
      <c r="U169" s="20" t="n">
        <v>20382</v>
      </c>
      <c r="V169" s="20" t="n">
        <v>20123</v>
      </c>
      <c r="W169" s="20" t="n">
        <v>19436</v>
      </c>
      <c r="X169" s="20" t="n">
        <v>17230</v>
      </c>
    </row>
    <row r="170">
      <c r="A170" s="18" t="inlineStr">
        <is>
          <t>영업권 상각</t>
        </is>
      </c>
      <c r="O170" s="20" t="n">
        <v>670</v>
      </c>
      <c r="P170" s="20" t="n">
        <v>670</v>
      </c>
      <c r="Q170" s="20" t="n">
        <v>41</v>
      </c>
      <c r="R170" s="20" t="n">
        <v>0</v>
      </c>
    </row>
    <row r="171">
      <c r="A171" s="18" t="inlineStr">
        <is>
          <t>손상차손</t>
        </is>
      </c>
      <c r="C171" s="20" t="n">
        <v>679</v>
      </c>
      <c r="E171" s="20" t="n">
        <v>2550</v>
      </c>
      <c r="G171" s="20" t="n">
        <v>1481</v>
      </c>
      <c r="I171" s="20" t="n">
        <v>5808</v>
      </c>
      <c r="K171" s="20" t="n">
        <v>1123</v>
      </c>
      <c r="M171" s="20" t="n">
        <v>4796</v>
      </c>
      <c r="O171" s="20" t="n">
        <v>184</v>
      </c>
      <c r="P171" s="20" t="n">
        <v>14775</v>
      </c>
      <c r="Q171" s="20" t="n">
        <v>8606</v>
      </c>
      <c r="R171" s="20" t="n">
        <v>0</v>
      </c>
      <c r="S171" s="20" t="n">
        <v>0</v>
      </c>
      <c r="T171" s="20" t="n">
        <v>2069</v>
      </c>
      <c r="U171" s="20" t="n">
        <v>19390</v>
      </c>
      <c r="V171" s="20" t="n">
        <v>2550</v>
      </c>
      <c r="W171" s="20" t="n">
        <v>5808</v>
      </c>
      <c r="X171" s="20" t="n">
        <v>4796</v>
      </c>
    </row>
    <row r="172">
      <c r="A172" s="18" t="inlineStr">
        <is>
          <t>보험금 수익</t>
        </is>
      </c>
      <c r="O172" s="20" t="n">
        <v>0</v>
      </c>
      <c r="P172" s="20" t="n">
        <v>-501</v>
      </c>
      <c r="Q172" s="20" t="n">
        <v>0</v>
      </c>
    </row>
    <row r="173">
      <c r="A173" s="18" t="inlineStr">
        <is>
          <t>재해 손실</t>
        </is>
      </c>
      <c r="E173" s="20" t="n">
        <v>1428</v>
      </c>
      <c r="I173" s="20" t="n">
        <v>0</v>
      </c>
      <c r="U173" s="20" t="n">
        <v>0</v>
      </c>
      <c r="V173" s="20" t="n">
        <v>1428</v>
      </c>
      <c r="W173" s="20" t="n">
        <v>0</v>
      </c>
    </row>
    <row r="174">
      <c r="A174" s="18" t="inlineStr">
        <is>
          <t>Loss On Refund Of Subsidy Ope CF</t>
        </is>
      </c>
      <c r="E174" s="20" t="n">
        <v>0</v>
      </c>
      <c r="I174" s="20" t="n">
        <v>1053</v>
      </c>
      <c r="M174" s="20" t="n">
        <v>0</v>
      </c>
      <c r="V174" s="20" t="n">
        <v>0</v>
      </c>
      <c r="W174" s="20" t="n">
        <v>1053</v>
      </c>
      <c r="X174" s="20" t="n">
        <v>0</v>
      </c>
    </row>
    <row r="175">
      <c r="A175" s="18" t="inlineStr">
        <is>
          <t>대손충당금 증감</t>
        </is>
      </c>
      <c r="E175" s="20" t="n">
        <v>1351</v>
      </c>
      <c r="I175" s="20" t="n">
        <v>574</v>
      </c>
      <c r="M175" s="20" t="n">
        <v>908</v>
      </c>
      <c r="U175" s="20" t="n">
        <v>7</v>
      </c>
      <c r="V175" s="20" t="n">
        <v>1351</v>
      </c>
      <c r="W175" s="20" t="n">
        <v>574</v>
      </c>
      <c r="X175" s="20" t="n">
        <v>908</v>
      </c>
    </row>
    <row r="176">
      <c r="A176" s="18" t="inlineStr">
        <is>
          <t>수선충당금 증감액</t>
        </is>
      </c>
      <c r="C176" s="20" t="n">
        <v>-1930</v>
      </c>
      <c r="E176" s="20" t="n">
        <v>-134</v>
      </c>
      <c r="G176" s="20" t="n">
        <v>3781</v>
      </c>
      <c r="I176" s="20" t="n">
        <v>2460</v>
      </c>
      <c r="K176" s="20" t="n">
        <v>-3558</v>
      </c>
      <c r="M176" s="20" t="n">
        <v>-1118</v>
      </c>
      <c r="O176" s="20" t="n">
        <v>-455</v>
      </c>
      <c r="P176" s="20" t="n">
        <v>597</v>
      </c>
      <c r="Q176" s="20" t="n">
        <v>1419</v>
      </c>
      <c r="R176" s="20" t="n">
        <v>-34</v>
      </c>
      <c r="S176" s="20" t="n">
        <v>636</v>
      </c>
      <c r="T176" s="20" t="n">
        <v>33</v>
      </c>
      <c r="U176" s="20" t="n">
        <v>1268</v>
      </c>
      <c r="V176" s="20" t="n">
        <v>-134</v>
      </c>
      <c r="W176" s="20" t="n">
        <v>2460</v>
      </c>
      <c r="X176" s="20" t="n">
        <v>-1118</v>
      </c>
    </row>
    <row r="177">
      <c r="A177" s="18" t="inlineStr">
        <is>
          <t>관계회사 정리손실 충당금 증감</t>
        </is>
      </c>
      <c r="O177" s="20" t="n">
        <v>-2673</v>
      </c>
      <c r="P177" s="20" t="n">
        <v>0</v>
      </c>
    </row>
    <row r="178">
      <c r="A178" s="18" t="inlineStr">
        <is>
          <t>퇴직급여부채 증감</t>
        </is>
      </c>
      <c r="O178" s="20" t="n">
        <v>-798</v>
      </c>
      <c r="P178" s="20" t="n">
        <v>-1751</v>
      </c>
      <c r="Q178" s="20" t="n">
        <v>377</v>
      </c>
    </row>
    <row r="179">
      <c r="A179" s="18" t="inlineStr">
        <is>
          <t>이자·배당금 수익</t>
        </is>
      </c>
      <c r="C179" s="20" t="n">
        <v>-1774</v>
      </c>
      <c r="E179" s="20" t="n">
        <v>-3609</v>
      </c>
      <c r="G179" s="20" t="n">
        <v>-1565</v>
      </c>
      <c r="I179" s="20" t="n">
        <v>-3071</v>
      </c>
      <c r="K179" s="20" t="n">
        <v>-1654</v>
      </c>
      <c r="M179" s="20" t="n">
        <v>-3148</v>
      </c>
      <c r="O179" s="20" t="n">
        <v>-2040</v>
      </c>
      <c r="P179" s="20" t="n">
        <v>-2357</v>
      </c>
      <c r="Q179" s="20" t="n">
        <v>-2483</v>
      </c>
      <c r="R179" s="20" t="n">
        <v>-3014</v>
      </c>
      <c r="S179" s="20" t="n">
        <v>-2707</v>
      </c>
      <c r="T179" s="20" t="n">
        <v>-2866</v>
      </c>
      <c r="U179" s="20" t="n">
        <v>-3571</v>
      </c>
      <c r="V179" s="20" t="n">
        <v>-3609</v>
      </c>
      <c r="W179" s="20" t="n">
        <v>-3071</v>
      </c>
      <c r="X179" s="20" t="n">
        <v>-3148</v>
      </c>
    </row>
    <row r="180">
      <c r="A180" s="18" t="inlineStr">
        <is>
          <t>이자비용</t>
        </is>
      </c>
      <c r="C180" s="20" t="n">
        <v>35</v>
      </c>
      <c r="E180" s="20" t="n">
        <v>68</v>
      </c>
      <c r="G180" s="20" t="n">
        <v>62</v>
      </c>
      <c r="I180" s="20" t="n">
        <v>157</v>
      </c>
      <c r="K180" s="20" t="n">
        <v>96</v>
      </c>
      <c r="M180" s="20" t="n">
        <v>177</v>
      </c>
      <c r="O180" s="20" t="n">
        <v>455</v>
      </c>
      <c r="P180" s="20" t="n">
        <v>323</v>
      </c>
      <c r="Q180" s="20" t="n">
        <v>200</v>
      </c>
      <c r="R180" s="20" t="n">
        <v>139</v>
      </c>
      <c r="S180" s="20" t="n">
        <v>137</v>
      </c>
      <c r="T180" s="20" t="n">
        <v>130</v>
      </c>
      <c r="U180" s="20" t="n">
        <v>85</v>
      </c>
      <c r="V180" s="20" t="n">
        <v>68</v>
      </c>
      <c r="W180" s="20" t="n">
        <v>157</v>
      </c>
      <c r="X180" s="20" t="n">
        <v>177</v>
      </c>
    </row>
    <row r="181">
      <c r="A181" s="18" t="inlineStr">
        <is>
          <t>보상금 수취</t>
        </is>
      </c>
      <c r="O181" s="20" t="n">
        <v>-1060</v>
      </c>
      <c r="P181" s="20" t="n">
        <v>-100</v>
      </c>
    </row>
    <row r="182">
      <c r="A182" s="18" t="inlineStr">
        <is>
          <t>보조금 수입</t>
        </is>
      </c>
      <c r="E182" s="20" t="n">
        <v>-1016</v>
      </c>
      <c r="I182" s="20" t="n">
        <v>-456</v>
      </c>
      <c r="M182" s="20" t="n">
        <v>-106</v>
      </c>
      <c r="R182" s="20" t="n">
        <v>-145</v>
      </c>
      <c r="S182" s="20" t="n">
        <v>-1939</v>
      </c>
      <c r="T182" s="20" t="n">
        <v>-4</v>
      </c>
      <c r="U182" s="20" t="n">
        <v>-52</v>
      </c>
      <c r="V182" s="20" t="n">
        <v>-1016</v>
      </c>
      <c r="W182" s="20" t="n">
        <v>-456</v>
      </c>
      <c r="X182" s="20" t="n">
        <v>-106</v>
      </c>
    </row>
    <row r="183">
      <c r="A183" s="18" t="inlineStr">
        <is>
          <t>외환차손익</t>
        </is>
      </c>
      <c r="C183" s="20" t="n">
        <v>-677</v>
      </c>
      <c r="E183" s="20" t="n">
        <v>-870</v>
      </c>
      <c r="G183" s="20" t="n">
        <v>932</v>
      </c>
      <c r="I183" s="20" t="n">
        <v>402</v>
      </c>
      <c r="K183" s="20" t="n">
        <v>-428</v>
      </c>
      <c r="M183" s="20" t="n">
        <v>-1102</v>
      </c>
      <c r="S183" s="20" t="n">
        <v>-446</v>
      </c>
      <c r="T183" s="20" t="n">
        <v>-678</v>
      </c>
      <c r="U183" s="20" t="n">
        <v>-542</v>
      </c>
      <c r="V183" s="20" t="n">
        <v>-870</v>
      </c>
      <c r="W183" s="20" t="n">
        <v>402</v>
      </c>
      <c r="X183" s="20" t="n">
        <v>-1102</v>
      </c>
    </row>
    <row r="184">
      <c r="A184" s="18" t="inlineStr">
        <is>
          <t>고정자산 매각손익</t>
        </is>
      </c>
      <c r="I184" s="20" t="n">
        <v>-23</v>
      </c>
      <c r="M184" s="20" t="n">
        <v>-694</v>
      </c>
      <c r="W184" s="20" t="n">
        <v>-23</v>
      </c>
      <c r="X184" s="20" t="n">
        <v>-694</v>
      </c>
    </row>
    <row r="185">
      <c r="A185" s="18" t="inlineStr">
        <is>
          <t>고정자산 처분손익</t>
        </is>
      </c>
      <c r="E185" s="20" t="n">
        <v>683</v>
      </c>
      <c r="I185" s="20" t="n">
        <v>840</v>
      </c>
      <c r="M185" s="20" t="n">
        <v>1095</v>
      </c>
      <c r="O185" s="20" t="n">
        <v>629</v>
      </c>
      <c r="P185" s="20" t="n">
        <v>466</v>
      </c>
      <c r="Q185" s="20" t="n">
        <v>629</v>
      </c>
      <c r="R185" s="20" t="n">
        <v>536</v>
      </c>
      <c r="S185" s="20" t="n">
        <v>393</v>
      </c>
      <c r="T185" s="20" t="n">
        <v>696</v>
      </c>
      <c r="U185" s="20" t="n">
        <v>348</v>
      </c>
      <c r="V185" s="20" t="n">
        <v>683</v>
      </c>
      <c r="W185" s="20" t="n">
        <v>840</v>
      </c>
      <c r="X185" s="20" t="n">
        <v>1095</v>
      </c>
    </row>
    <row r="186">
      <c r="A186" s="18" t="inlineStr">
        <is>
          <t>투자유가증권 매각손익</t>
        </is>
      </c>
      <c r="C186" s="20" t="n">
        <v>-2791</v>
      </c>
      <c r="E186" s="20" t="n">
        <v>-25505</v>
      </c>
      <c r="G186" s="20" t="n">
        <v>-164</v>
      </c>
      <c r="I186" s="20" t="n">
        <v>-8294</v>
      </c>
      <c r="K186" s="20" t="n">
        <v>-16854</v>
      </c>
      <c r="M186" s="20" t="n">
        <v>-17310</v>
      </c>
      <c r="T186" s="20" t="n">
        <v>224</v>
      </c>
      <c r="U186" s="20" t="n">
        <v>-3063</v>
      </c>
      <c r="V186" s="20" t="n">
        <v>-25505</v>
      </c>
      <c r="W186" s="20" t="n">
        <v>-8294</v>
      </c>
      <c r="X186" s="20" t="n">
        <v>-17310</v>
      </c>
    </row>
    <row r="187">
      <c r="A187" s="18" t="inlineStr">
        <is>
          <t>투자유가증권 평가손익</t>
        </is>
      </c>
      <c r="C187" s="20" t="n">
        <v>4</v>
      </c>
      <c r="E187" s="20" t="n">
        <v>2359</v>
      </c>
      <c r="G187" s="20" t="n">
        <v>708</v>
      </c>
      <c r="I187" s="20" t="n">
        <v>966</v>
      </c>
      <c r="K187" s="20" t="n">
        <v>2141</v>
      </c>
      <c r="M187" s="20" t="n">
        <v>2288</v>
      </c>
      <c r="Q187" s="20" t="n">
        <v>0</v>
      </c>
      <c r="R187" s="20" t="n">
        <v>707</v>
      </c>
      <c r="S187" s="20" t="n">
        <v>175</v>
      </c>
      <c r="U187" s="20" t="n">
        <v>7</v>
      </c>
      <c r="V187" s="20" t="n">
        <v>2359</v>
      </c>
      <c r="W187" s="20" t="n">
        <v>966</v>
      </c>
      <c r="X187" s="20" t="n">
        <v>2288</v>
      </c>
    </row>
    <row r="188">
      <c r="A188" s="18" t="inlineStr">
        <is>
          <t>매출채권 증감</t>
        </is>
      </c>
      <c r="C188" s="20" t="n">
        <v>-2120</v>
      </c>
      <c r="E188" s="20" t="n">
        <v>-1453</v>
      </c>
      <c r="G188" s="20" t="n">
        <v>1856</v>
      </c>
      <c r="I188" s="20" t="n">
        <v>2996</v>
      </c>
      <c r="K188" s="20" t="n">
        <v>11800</v>
      </c>
      <c r="M188" s="20" t="n">
        <v>19639</v>
      </c>
      <c r="O188" s="20" t="n">
        <v>-8200</v>
      </c>
      <c r="P188" s="20" t="n">
        <v>-5813</v>
      </c>
      <c r="Q188" s="20" t="n">
        <v>48</v>
      </c>
      <c r="R188" s="20" t="n">
        <v>6617</v>
      </c>
      <c r="S188" s="20" t="n">
        <v>-4931</v>
      </c>
      <c r="T188" s="20" t="n">
        <v>-3924</v>
      </c>
      <c r="U188" s="20" t="n">
        <v>2375</v>
      </c>
      <c r="V188" s="20" t="n">
        <v>-1453</v>
      </c>
      <c r="W188" s="20" t="n">
        <v>2996</v>
      </c>
      <c r="X188" s="20" t="n">
        <v>19639</v>
      </c>
    </row>
    <row r="189">
      <c r="A189" s="18" t="inlineStr">
        <is>
          <t>상여충당금 증감</t>
        </is>
      </c>
      <c r="C189" s="20" t="n">
        <v>-406</v>
      </c>
      <c r="G189" s="20" t="n">
        <v>-382</v>
      </c>
      <c r="K189" s="20" t="n">
        <v>-627</v>
      </c>
      <c r="O189" s="20" t="n">
        <v>-23</v>
      </c>
      <c r="P189" s="20" t="n">
        <v>580</v>
      </c>
      <c r="Q189" s="20" t="n">
        <v>67</v>
      </c>
      <c r="S189" s="20" t="n">
        <v>-102</v>
      </c>
      <c r="T189" s="20" t="n">
        <v>968</v>
      </c>
      <c r="U189" s="20" t="n">
        <v>-286</v>
      </c>
    </row>
    <row r="190">
      <c r="A190" s="18" t="inlineStr">
        <is>
          <t>재고자산 증감</t>
        </is>
      </c>
      <c r="C190" s="20" t="n">
        <v>10098</v>
      </c>
      <c r="E190" s="20" t="n">
        <v>7328</v>
      </c>
      <c r="G190" s="20" t="n">
        <v>-8164</v>
      </c>
      <c r="I190" s="20" t="n">
        <v>-13818</v>
      </c>
      <c r="K190" s="20" t="n">
        <v>11379</v>
      </c>
      <c r="M190" s="20" t="n">
        <v>18153</v>
      </c>
      <c r="O190" s="20" t="n">
        <v>1178</v>
      </c>
      <c r="P190" s="20" t="n">
        <v>-1949</v>
      </c>
      <c r="Q190" s="20" t="n">
        <v>-7760</v>
      </c>
      <c r="R190" s="20" t="n">
        <v>-2204</v>
      </c>
      <c r="S190" s="20" t="n">
        <v>5966</v>
      </c>
      <c r="T190" s="20" t="n">
        <v>-23582</v>
      </c>
      <c r="U190" s="20" t="n">
        <v>-31087</v>
      </c>
      <c r="V190" s="20" t="n">
        <v>7328</v>
      </c>
      <c r="W190" s="20" t="n">
        <v>-13818</v>
      </c>
      <c r="X190" s="20" t="n">
        <v>18153</v>
      </c>
    </row>
    <row r="191">
      <c r="A191" s="18" t="inlineStr">
        <is>
          <t>매입채무 증감</t>
        </is>
      </c>
      <c r="C191" s="20" t="n">
        <v>-16422</v>
      </c>
      <c r="E191" s="20" t="n">
        <v>-1855</v>
      </c>
      <c r="G191" s="20" t="n">
        <v>-21660</v>
      </c>
      <c r="I191" s="20" t="n">
        <v>-18496</v>
      </c>
      <c r="K191" s="20" t="n">
        <v>-6020</v>
      </c>
      <c r="M191" s="20" t="n">
        <v>-11004</v>
      </c>
      <c r="O191" s="20" t="n">
        <v>13802</v>
      </c>
      <c r="P191" s="20" t="n">
        <v>16930</v>
      </c>
      <c r="Q191" s="20" t="n">
        <v>-916</v>
      </c>
      <c r="R191" s="20" t="n">
        <v>-16401</v>
      </c>
      <c r="S191" s="20" t="n">
        <v>246</v>
      </c>
      <c r="T191" s="20" t="n">
        <v>15049</v>
      </c>
      <c r="U191" s="20" t="n">
        <v>1111</v>
      </c>
      <c r="V191" s="20" t="n">
        <v>-1855</v>
      </c>
      <c r="W191" s="20" t="n">
        <v>-18496</v>
      </c>
      <c r="X191" s="20" t="n">
        <v>-11004</v>
      </c>
    </row>
    <row r="192">
      <c r="A192" s="18" t="inlineStr">
        <is>
          <t>기타</t>
        </is>
      </c>
      <c r="C192" s="20" t="n">
        <v>15717</v>
      </c>
      <c r="E192" s="20" t="n">
        <v>7079</v>
      </c>
      <c r="G192" s="20" t="n">
        <v>8356</v>
      </c>
      <c r="I192" s="20" t="n">
        <v>7678</v>
      </c>
      <c r="K192" s="20" t="n">
        <v>11164</v>
      </c>
      <c r="M192" s="20" t="n">
        <v>1951</v>
      </c>
      <c r="O192" s="20" t="n">
        <v>489</v>
      </c>
      <c r="P192" s="20" t="n">
        <v>-5161</v>
      </c>
      <c r="Q192" s="20" t="n">
        <v>1911</v>
      </c>
      <c r="R192" s="20" t="n">
        <v>5649</v>
      </c>
      <c r="S192" s="20" t="n">
        <v>3375</v>
      </c>
      <c r="T192" s="20" t="n">
        <v>-14853</v>
      </c>
      <c r="U192" s="20" t="n">
        <v>3637</v>
      </c>
      <c r="V192" s="20" t="n">
        <v>7079</v>
      </c>
      <c r="W192" s="20" t="n">
        <v>7678</v>
      </c>
      <c r="X192" s="20" t="n">
        <v>1951</v>
      </c>
    </row>
    <row r="193">
      <c r="A193" s="18" t="inlineStr">
        <is>
          <t>소계</t>
        </is>
      </c>
      <c r="C193" s="20" t="n">
        <v>24495</v>
      </c>
      <c r="E193" s="20" t="n">
        <v>52376</v>
      </c>
      <c r="G193" s="20" t="n">
        <v>10930</v>
      </c>
      <c r="I193" s="20" t="n">
        <v>31125</v>
      </c>
      <c r="K193" s="20" t="n">
        <v>49098</v>
      </c>
      <c r="M193" s="20" t="n">
        <v>81062</v>
      </c>
      <c r="O193" s="20" t="n">
        <v>53515</v>
      </c>
      <c r="P193" s="20" t="n">
        <v>62199</v>
      </c>
      <c r="Q193" s="20" t="n">
        <v>47518</v>
      </c>
      <c r="R193" s="20" t="n">
        <v>36779</v>
      </c>
      <c r="S193" s="20" t="n">
        <v>56940</v>
      </c>
      <c r="T193" s="20" t="n">
        <v>40961</v>
      </c>
      <c r="U193" s="20" t="n">
        <v>24762</v>
      </c>
      <c r="V193" s="20" t="n">
        <v>52376</v>
      </c>
      <c r="W193" s="20" t="n">
        <v>31125</v>
      </c>
      <c r="X193" s="20" t="n">
        <v>81062</v>
      </c>
    </row>
    <row r="194">
      <c r="A194" s="18" t="inlineStr">
        <is>
          <t>이자·배당금 수취</t>
        </is>
      </c>
      <c r="C194" s="20" t="n">
        <v>2036</v>
      </c>
      <c r="E194" s="20" t="n">
        <v>3543</v>
      </c>
      <c r="G194" s="20" t="n">
        <v>1929</v>
      </c>
      <c r="I194" s="20" t="n">
        <v>3100</v>
      </c>
      <c r="K194" s="20" t="n">
        <v>1777</v>
      </c>
      <c r="M194" s="20" t="n">
        <v>3387</v>
      </c>
      <c r="O194" s="20" t="n">
        <v>2592</v>
      </c>
      <c r="P194" s="20" t="n">
        <v>2443</v>
      </c>
      <c r="Q194" s="20" t="n">
        <v>2561</v>
      </c>
      <c r="R194" s="20" t="n">
        <v>2997</v>
      </c>
      <c r="S194" s="20" t="n">
        <v>2614</v>
      </c>
      <c r="T194" s="20" t="n">
        <v>2954</v>
      </c>
      <c r="U194" s="20" t="n">
        <v>3569</v>
      </c>
      <c r="V194" s="20" t="n">
        <v>3543</v>
      </c>
      <c r="W194" s="20" t="n">
        <v>3100</v>
      </c>
      <c r="X194" s="20" t="n">
        <v>3387</v>
      </c>
    </row>
    <row r="195">
      <c r="A195" s="18" t="inlineStr">
        <is>
          <t>보조금 수취</t>
        </is>
      </c>
      <c r="E195" s="20" t="n">
        <v>1026</v>
      </c>
      <c r="I195" s="20" t="n">
        <v>536</v>
      </c>
      <c r="M195" s="20" t="n">
        <v>126</v>
      </c>
      <c r="O195" s="20" t="n">
        <v>640</v>
      </c>
      <c r="P195" s="20" t="n">
        <v>127</v>
      </c>
      <c r="R195" s="20" t="n">
        <v>243</v>
      </c>
      <c r="S195" s="20" t="n">
        <v>2013</v>
      </c>
      <c r="T195" s="20" t="n">
        <v>83</v>
      </c>
      <c r="U195" s="20" t="n">
        <v>62</v>
      </c>
      <c r="V195" s="20" t="n">
        <v>1026</v>
      </c>
      <c r="W195" s="20" t="n">
        <v>536</v>
      </c>
      <c r="X195" s="20" t="n">
        <v>126</v>
      </c>
    </row>
    <row r="196">
      <c r="A196" s="18" t="inlineStr">
        <is>
          <t>보상금 수취</t>
        </is>
      </c>
      <c r="O196" s="20" t="n">
        <v>941</v>
      </c>
      <c r="P196" s="20" t="n">
        <v>119</v>
      </c>
    </row>
    <row r="197">
      <c r="A197" s="18" t="inlineStr">
        <is>
          <t>이자 지급</t>
        </is>
      </c>
      <c r="C197" s="20" t="n">
        <v>-64</v>
      </c>
      <c r="E197" s="20" t="n">
        <v>-91</v>
      </c>
      <c r="G197" s="20" t="n">
        <v>-81</v>
      </c>
      <c r="I197" s="20" t="n">
        <v>-194</v>
      </c>
      <c r="K197" s="20" t="n">
        <v>-70</v>
      </c>
      <c r="M197" s="20" t="n">
        <v>-174</v>
      </c>
      <c r="O197" s="20" t="n">
        <v>-452</v>
      </c>
      <c r="P197" s="20" t="n">
        <v>-334</v>
      </c>
      <c r="Q197" s="20" t="n">
        <v>-219</v>
      </c>
      <c r="R197" s="20" t="n">
        <v>-132</v>
      </c>
      <c r="S197" s="20" t="n">
        <v>-127</v>
      </c>
      <c r="T197" s="20" t="n">
        <v>-133</v>
      </c>
      <c r="U197" s="20" t="n">
        <v>-99</v>
      </c>
      <c r="V197" s="20" t="n">
        <v>-91</v>
      </c>
      <c r="W197" s="20" t="n">
        <v>-194</v>
      </c>
      <c r="X197" s="20" t="n">
        <v>-174</v>
      </c>
    </row>
    <row r="198">
      <c r="A198" s="18" t="inlineStr">
        <is>
          <t>보험금 수취</t>
        </is>
      </c>
      <c r="P198" s="20" t="n">
        <v>0</v>
      </c>
      <c r="Q198" s="20" t="n">
        <v>501</v>
      </c>
      <c r="R198" s="20" t="n">
        <v>0</v>
      </c>
    </row>
    <row r="199">
      <c r="A199" s="18" t="inlineStr">
        <is>
          <t>Refund Of Subsidy Received Ope CF</t>
        </is>
      </c>
      <c r="I199" s="20" t="n">
        <v>0</v>
      </c>
      <c r="M199" s="20" t="n">
        <v>-1102</v>
      </c>
      <c r="W199" s="20" t="n">
        <v>0</v>
      </c>
      <c r="X199" s="20" t="n">
        <v>-1102</v>
      </c>
    </row>
    <row r="200">
      <c r="A200" s="18" t="inlineStr">
        <is>
          <t>법인세 납부</t>
        </is>
      </c>
      <c r="C200" s="20" t="n">
        <v>-3750</v>
      </c>
      <c r="E200" s="20" t="n">
        <v>-9441</v>
      </c>
      <c r="G200" s="20" t="n">
        <v>-7938</v>
      </c>
      <c r="I200" s="20" t="n">
        <v>-13785</v>
      </c>
      <c r="K200" s="20" t="n">
        <v>-2670</v>
      </c>
      <c r="M200" s="20" t="n">
        <v>-6863</v>
      </c>
      <c r="O200" s="20" t="n">
        <v>-8195</v>
      </c>
      <c r="P200" s="20" t="n">
        <v>-10092</v>
      </c>
      <c r="Q200" s="20" t="n">
        <v>-10387</v>
      </c>
      <c r="R200" s="20" t="n">
        <v>-11451</v>
      </c>
      <c r="S200" s="20" t="n">
        <v>-5357</v>
      </c>
      <c r="T200" s="20" t="n">
        <v>-10691</v>
      </c>
      <c r="U200" s="20" t="n">
        <v>-13896</v>
      </c>
      <c r="V200" s="20" t="n">
        <v>-9441</v>
      </c>
      <c r="W200" s="20" t="n">
        <v>-13785</v>
      </c>
      <c r="X200" s="20" t="n">
        <v>-6863</v>
      </c>
    </row>
    <row r="201">
      <c r="A201" s="18" t="inlineStr">
        <is>
          <t>기타</t>
        </is>
      </c>
      <c r="C201" s="20" t="n">
        <v>70</v>
      </c>
      <c r="E201" s="20" t="n">
        <v>0</v>
      </c>
      <c r="G201" s="20" t="n">
        <v>481</v>
      </c>
      <c r="K201" s="20" t="n">
        <v>23</v>
      </c>
      <c r="P201" s="20" t="n">
        <v>246</v>
      </c>
      <c r="Q201" s="20" t="n">
        <v>419</v>
      </c>
      <c r="R201" s="20" t="n">
        <v>-6</v>
      </c>
      <c r="S201" s="20" t="n">
        <v>-4</v>
      </c>
      <c r="T201" s="20" t="n">
        <v>50</v>
      </c>
      <c r="U201" s="20" t="n">
        <v>-41</v>
      </c>
      <c r="V201" s="20" t="n">
        <v>0</v>
      </c>
    </row>
    <row r="202">
      <c r="A202" s="9" t="inlineStr">
        <is>
          <t>영업활동 현금흐름</t>
        </is>
      </c>
      <c r="C202" s="12" t="n">
        <v>22787</v>
      </c>
      <c r="E202" s="12" t="n">
        <v>47413</v>
      </c>
      <c r="G202" s="12" t="n">
        <v>5321</v>
      </c>
      <c r="I202" s="12" t="n">
        <v>20781</v>
      </c>
      <c r="K202" s="12" t="n">
        <v>48159</v>
      </c>
      <c r="M202" s="12" t="n">
        <v>76436</v>
      </c>
      <c r="O202" s="12" t="n">
        <v>49042</v>
      </c>
      <c r="P202" s="12" t="n">
        <v>54462</v>
      </c>
      <c r="Q202" s="12" t="n">
        <v>40393</v>
      </c>
      <c r="R202" s="12" t="n">
        <v>28430</v>
      </c>
      <c r="S202" s="12" t="n">
        <v>56080</v>
      </c>
      <c r="T202" s="12" t="n">
        <v>33140</v>
      </c>
      <c r="U202" s="12" t="n">
        <v>14358</v>
      </c>
      <c r="V202" s="12" t="n">
        <v>47413</v>
      </c>
      <c r="W202" s="12" t="n">
        <v>20781</v>
      </c>
      <c r="X202" s="12" t="n">
        <v>76436</v>
      </c>
    </row>
    <row r="203">
      <c r="A203" s="18" t="inlineStr">
        <is>
          <t>유형자산 취득(설비투자)</t>
        </is>
      </c>
      <c r="C203" s="20" t="n">
        <v>-13882</v>
      </c>
      <c r="E203" s="20" t="n">
        <v>-33670</v>
      </c>
      <c r="G203" s="20" t="n">
        <v>-14365</v>
      </c>
      <c r="I203" s="20" t="n">
        <v>-29100</v>
      </c>
      <c r="K203" s="20" t="n">
        <v>-16969</v>
      </c>
      <c r="M203" s="20" t="n">
        <v>-58374</v>
      </c>
      <c r="O203" s="20" t="n">
        <v>-24397</v>
      </c>
      <c r="P203" s="20" t="n">
        <v>-12140</v>
      </c>
      <c r="Q203" s="20" t="n">
        <v>-12041</v>
      </c>
      <c r="R203" s="20" t="n">
        <v>-21788</v>
      </c>
      <c r="S203" s="20" t="n">
        <v>-23386</v>
      </c>
      <c r="T203" s="20" t="n">
        <v>-23278</v>
      </c>
      <c r="U203" s="20" t="n">
        <v>-23564</v>
      </c>
      <c r="V203" s="20" t="n">
        <v>-33670</v>
      </c>
      <c r="W203" s="20" t="n">
        <v>-29100</v>
      </c>
      <c r="X203" s="20" t="n">
        <v>-58374</v>
      </c>
    </row>
    <row r="204">
      <c r="A204" s="18" t="inlineStr">
        <is>
          <t>무형자산 취득</t>
        </is>
      </c>
      <c r="C204" s="20" t="n">
        <v>-1174</v>
      </c>
      <c r="E204" s="20" t="n">
        <v>-2320</v>
      </c>
      <c r="G204" s="20" t="n">
        <v>-1073</v>
      </c>
      <c r="I204" s="20" t="n">
        <v>-1606</v>
      </c>
      <c r="K204" s="20" t="n">
        <v>-1368</v>
      </c>
      <c r="M204" s="20" t="n">
        <v>-2499</v>
      </c>
      <c r="O204" s="20" t="n">
        <v>-1303</v>
      </c>
      <c r="P204" s="20" t="n">
        <v>-1197</v>
      </c>
      <c r="Q204" s="20" t="n">
        <v>-733</v>
      </c>
      <c r="R204" s="20" t="n">
        <v>-1347</v>
      </c>
      <c r="S204" s="20" t="n">
        <v>-647</v>
      </c>
      <c r="T204" s="20" t="n">
        <v>-895</v>
      </c>
      <c r="U204" s="20" t="n">
        <v>-3056</v>
      </c>
      <c r="V204" s="20" t="n">
        <v>-2320</v>
      </c>
      <c r="W204" s="20" t="n">
        <v>-1606</v>
      </c>
      <c r="X204" s="20" t="n">
        <v>-2499</v>
      </c>
    </row>
    <row r="205">
      <c r="A205" s="18" t="inlineStr">
        <is>
          <t>유형자산 매각</t>
        </is>
      </c>
      <c r="I205" s="20" t="n">
        <v>378</v>
      </c>
      <c r="M205" s="20" t="n">
        <v>895</v>
      </c>
      <c r="W205" s="20" t="n">
        <v>378</v>
      </c>
      <c r="X205" s="20" t="n">
        <v>895</v>
      </c>
    </row>
    <row r="206">
      <c r="A206" s="18" t="inlineStr">
        <is>
          <t>유형자산 제각 지출</t>
        </is>
      </c>
      <c r="E206" s="20" t="n">
        <v>-428</v>
      </c>
      <c r="G206" s="20" t="n">
        <v>-145</v>
      </c>
      <c r="I206" s="20" t="n">
        <v>-298</v>
      </c>
      <c r="K206" s="20" t="n">
        <v>-560</v>
      </c>
      <c r="M206" s="20" t="n">
        <v>-1105</v>
      </c>
      <c r="T206" s="20" t="n">
        <v>-120</v>
      </c>
      <c r="U206" s="20" t="n">
        <v>-689</v>
      </c>
      <c r="V206" s="20" t="n">
        <v>-428</v>
      </c>
      <c r="W206" s="20" t="n">
        <v>-298</v>
      </c>
      <c r="X206" s="20" t="n">
        <v>-1105</v>
      </c>
    </row>
    <row r="207">
      <c r="A207" s="18" t="inlineStr">
        <is>
          <t>투자유가증권 취득</t>
        </is>
      </c>
      <c r="C207" s="20" t="n">
        <v>-2219</v>
      </c>
      <c r="E207" s="20" t="n">
        <v>-3163</v>
      </c>
      <c r="G207" s="20" t="n">
        <v>-1294</v>
      </c>
      <c r="I207" s="20" t="n">
        <v>-1877</v>
      </c>
      <c r="K207" s="20" t="n">
        <v>-1679</v>
      </c>
      <c r="M207" s="20" t="n">
        <v>-2623</v>
      </c>
      <c r="O207" s="20" t="n">
        <v>-2400</v>
      </c>
      <c r="P207" s="20" t="n">
        <v>-626</v>
      </c>
      <c r="Q207" s="20" t="n">
        <v>-7388</v>
      </c>
      <c r="R207" s="20" t="n">
        <v>-1345</v>
      </c>
      <c r="S207" s="20" t="n">
        <v>-1559</v>
      </c>
      <c r="T207" s="20" t="n">
        <v>-1500</v>
      </c>
      <c r="U207" s="20" t="n">
        <v>-5970</v>
      </c>
      <c r="V207" s="20" t="n">
        <v>-3163</v>
      </c>
      <c r="W207" s="20" t="n">
        <v>-1877</v>
      </c>
      <c r="X207" s="20" t="n">
        <v>-2623</v>
      </c>
    </row>
    <row r="208">
      <c r="A208" s="18" t="inlineStr">
        <is>
          <t>관계회사 출자금 매각 수입</t>
        </is>
      </c>
      <c r="O208" s="20" t="n">
        <v>0</v>
      </c>
      <c r="P208" s="20" t="n">
        <v>543</v>
      </c>
      <c r="Q208" s="20" t="n">
        <v>0</v>
      </c>
    </row>
    <row r="209">
      <c r="A209" s="18" t="inlineStr">
        <is>
          <t>투자유가증권 매각</t>
        </is>
      </c>
      <c r="C209" s="20" t="n">
        <v>1009</v>
      </c>
      <c r="E209" s="20" t="n">
        <v>34649</v>
      </c>
      <c r="G209" s="20" t="n">
        <v>227</v>
      </c>
      <c r="I209" s="20" t="n">
        <v>11900</v>
      </c>
      <c r="K209" s="20" t="n">
        <v>20140</v>
      </c>
      <c r="M209" s="20" t="n">
        <v>21712</v>
      </c>
      <c r="O209" s="20" t="n">
        <v>539</v>
      </c>
      <c r="P209" s="20" t="n">
        <v>266</v>
      </c>
      <c r="T209" s="20" t="n">
        <v>3</v>
      </c>
      <c r="U209" s="20" t="n">
        <v>5045</v>
      </c>
      <c r="V209" s="20" t="n">
        <v>34649</v>
      </c>
      <c r="W209" s="20" t="n">
        <v>11900</v>
      </c>
      <c r="X209" s="20" t="n">
        <v>21712</v>
      </c>
    </row>
    <row r="210">
      <c r="A210" s="18" t="inlineStr">
        <is>
          <t>대여</t>
        </is>
      </c>
      <c r="C210" s="20" t="n">
        <v>-1246</v>
      </c>
      <c r="E210" s="20" t="n">
        <v>-2393</v>
      </c>
      <c r="G210" s="20" t="n">
        <v>-543</v>
      </c>
      <c r="I210" s="20" t="n">
        <v>-1086</v>
      </c>
      <c r="K210" s="20" t="n">
        <v>-359</v>
      </c>
      <c r="M210" s="20" t="n">
        <v>-1100</v>
      </c>
      <c r="O210" s="20" t="n">
        <v>-5812</v>
      </c>
      <c r="P210" s="20" t="n">
        <v>-2169</v>
      </c>
      <c r="Q210" s="20" t="n">
        <v>-2096</v>
      </c>
      <c r="R210" s="20" t="n">
        <v>-4568</v>
      </c>
      <c r="S210" s="20" t="n">
        <v>-2744</v>
      </c>
      <c r="T210" s="20" t="n">
        <v>-1361</v>
      </c>
      <c r="U210" s="20" t="n">
        <v>-2201</v>
      </c>
      <c r="V210" s="20" t="n">
        <v>-2393</v>
      </c>
      <c r="W210" s="20" t="n">
        <v>-1086</v>
      </c>
      <c r="X210" s="20" t="n">
        <v>-1100</v>
      </c>
    </row>
    <row r="211">
      <c r="A211" s="18" t="inlineStr">
        <is>
          <t>대여금 회수</t>
        </is>
      </c>
      <c r="E211" s="20" t="n">
        <v>679</v>
      </c>
      <c r="I211" s="20" t="n">
        <v>566</v>
      </c>
      <c r="M211" s="20" t="n">
        <v>352</v>
      </c>
      <c r="O211" s="20" t="n">
        <v>5923</v>
      </c>
      <c r="P211" s="20" t="n">
        <v>2056</v>
      </c>
      <c r="Q211" s="20" t="n">
        <v>2283</v>
      </c>
      <c r="R211" s="20" t="n">
        <v>4469</v>
      </c>
      <c r="S211" s="20" t="n">
        <v>478</v>
      </c>
      <c r="T211" s="20" t="n">
        <v>153</v>
      </c>
      <c r="U211" s="20" t="n">
        <v>1478</v>
      </c>
      <c r="V211" s="20" t="n">
        <v>679</v>
      </c>
      <c r="W211" s="20" t="n">
        <v>566</v>
      </c>
      <c r="X211" s="20" t="n">
        <v>352</v>
      </c>
    </row>
    <row r="212">
      <c r="A212" s="18" t="inlineStr">
        <is>
          <t>정기예금 순증감</t>
        </is>
      </c>
      <c r="E212" s="20" t="n">
        <v>1653</v>
      </c>
      <c r="I212" s="20" t="n">
        <v>-237</v>
      </c>
      <c r="M212" s="20" t="n">
        <v>499</v>
      </c>
      <c r="O212" s="20" t="n">
        <v>730</v>
      </c>
      <c r="P212" s="20" t="n">
        <v>-1472</v>
      </c>
      <c r="Q212" s="20" t="n">
        <v>-859</v>
      </c>
      <c r="R212" s="20" t="n">
        <v>947</v>
      </c>
      <c r="S212" s="20" t="n">
        <v>-2045</v>
      </c>
      <c r="T212" s="20" t="n">
        <v>1077</v>
      </c>
      <c r="U212" s="20" t="n">
        <v>1192</v>
      </c>
      <c r="V212" s="20" t="n">
        <v>1653</v>
      </c>
      <c r="W212" s="20" t="n">
        <v>-237</v>
      </c>
      <c r="X212" s="20" t="n">
        <v>499</v>
      </c>
    </row>
    <row r="213">
      <c r="A213" s="18" t="inlineStr">
        <is>
          <t>장기선급비용 지출</t>
        </is>
      </c>
      <c r="C213" s="20" t="n">
        <v>-153</v>
      </c>
      <c r="E213" s="20" t="n">
        <v>-231</v>
      </c>
      <c r="I213" s="20" t="n">
        <v>-528</v>
      </c>
      <c r="M213" s="20" t="n">
        <v>-255</v>
      </c>
      <c r="O213" s="20" t="n">
        <v>-1951</v>
      </c>
      <c r="P213" s="20" t="n">
        <v>-778</v>
      </c>
      <c r="Q213" s="20" t="n">
        <v>-218</v>
      </c>
      <c r="R213" s="20" t="n">
        <v>-642</v>
      </c>
      <c r="S213" s="20" t="n">
        <v>-231</v>
      </c>
      <c r="T213" s="20" t="n">
        <v>-424</v>
      </c>
      <c r="U213" s="20" t="n">
        <v>-774</v>
      </c>
      <c r="V213" s="20" t="n">
        <v>-231</v>
      </c>
      <c r="W213" s="20" t="n">
        <v>-528</v>
      </c>
      <c r="X213" s="20" t="n">
        <v>-255</v>
      </c>
    </row>
    <row r="214">
      <c r="A214" s="18" t="inlineStr">
        <is>
          <t>기타</t>
        </is>
      </c>
      <c r="C214" s="20" t="n">
        <v>-71</v>
      </c>
      <c r="E214" s="20" t="n">
        <v>-631</v>
      </c>
      <c r="G214" s="20" t="n">
        <v>-50</v>
      </c>
      <c r="I214" s="20" t="n">
        <v>-137</v>
      </c>
      <c r="K214" s="20" t="n">
        <v>18</v>
      </c>
      <c r="M214" s="20" t="n">
        <v>59</v>
      </c>
      <c r="O214" s="20" t="n">
        <v>-451</v>
      </c>
      <c r="P214" s="20" t="n">
        <v>831</v>
      </c>
      <c r="Q214" s="20" t="n">
        <v>-373</v>
      </c>
      <c r="R214" s="20" t="n">
        <v>-295</v>
      </c>
      <c r="S214" s="20" t="n">
        <v>141</v>
      </c>
      <c r="T214" s="20" t="n">
        <v>-90</v>
      </c>
      <c r="U214" s="20" t="n">
        <v>-360</v>
      </c>
      <c r="V214" s="20" t="n">
        <v>-631</v>
      </c>
      <c r="W214" s="20" t="n">
        <v>-137</v>
      </c>
      <c r="X214" s="20" t="n">
        <v>59</v>
      </c>
    </row>
    <row r="215">
      <c r="A215" s="9" t="inlineStr">
        <is>
          <t>투자활동 현금흐름</t>
        </is>
      </c>
      <c r="C215" s="12" t="n">
        <v>-17582</v>
      </c>
      <c r="E215" s="12" t="n">
        <v>-5428</v>
      </c>
      <c r="G215" s="12" t="n">
        <v>-17244</v>
      </c>
      <c r="I215" s="12" t="n">
        <v>-22026</v>
      </c>
      <c r="K215" s="12" t="n">
        <v>-776</v>
      </c>
      <c r="M215" s="12" t="n">
        <v>-42439</v>
      </c>
      <c r="O215" s="12" t="n">
        <v>-29121</v>
      </c>
      <c r="P215" s="12" t="n">
        <v>-14951</v>
      </c>
      <c r="Q215" s="12" t="n">
        <v>-21426</v>
      </c>
      <c r="R215" s="12" t="n">
        <v>-24570</v>
      </c>
      <c r="S215" s="12" t="n">
        <v>-30239</v>
      </c>
      <c r="T215" s="12" t="n">
        <v>-26436</v>
      </c>
      <c r="U215" s="12" t="n">
        <v>-28899</v>
      </c>
      <c r="V215" s="12" t="n">
        <v>-5428</v>
      </c>
      <c r="W215" s="12" t="n">
        <v>-22026</v>
      </c>
      <c r="X215" s="12" t="n">
        <v>-42439</v>
      </c>
    </row>
    <row r="216">
      <c r="A216" s="18" t="inlineStr">
        <is>
          <t>장기차입금 상환</t>
        </is>
      </c>
      <c r="O216" s="20" t="n">
        <v>-12567</v>
      </c>
      <c r="P216" s="20" t="n">
        <v>-4324</v>
      </c>
      <c r="Q216" s="20" t="n">
        <v>-2971</v>
      </c>
      <c r="R216" s="20" t="n">
        <v>0</v>
      </c>
      <c r="S216" s="20" t="n">
        <v>-2000</v>
      </c>
      <c r="T216" s="20" t="n">
        <v>0</v>
      </c>
    </row>
    <row r="217">
      <c r="A217" s="18" t="inlineStr">
        <is>
          <t>단기차입금 순증감</t>
        </is>
      </c>
      <c r="C217" s="20" t="n">
        <v>0</v>
      </c>
      <c r="O217" s="20" t="n">
        <v>706</v>
      </c>
      <c r="P217" s="20" t="n">
        <v>-83</v>
      </c>
      <c r="Q217" s="20" t="n">
        <v>-1407</v>
      </c>
      <c r="R217" s="20" t="n">
        <v>-3165</v>
      </c>
      <c r="S217" s="20" t="n">
        <v>0</v>
      </c>
    </row>
    <row r="218">
      <c r="A218" s="18" t="inlineStr">
        <is>
          <t>Increase Decrease In Commercial Papers Fin CF</t>
        </is>
      </c>
      <c r="C218" s="20" t="n">
        <v>1000</v>
      </c>
      <c r="E218" s="20" t="n">
        <v>-19000</v>
      </c>
      <c r="G218" s="20" t="n">
        <v>15000</v>
      </c>
      <c r="I218" s="20" t="n">
        <v>17000</v>
      </c>
      <c r="K218" s="20" t="n">
        <v>-17000</v>
      </c>
      <c r="M218" s="20" t="n">
        <v>-10000</v>
      </c>
      <c r="O218" s="20" t="n">
        <v>-500</v>
      </c>
      <c r="P218" s="20" t="n">
        <v>-1500</v>
      </c>
      <c r="Q218" s="20" t="n">
        <v>0</v>
      </c>
      <c r="T218" s="20" t="n">
        <v>0</v>
      </c>
      <c r="U218" s="20" t="n">
        <v>19000</v>
      </c>
      <c r="V218" s="20" t="n">
        <v>-19000</v>
      </c>
      <c r="W218" s="20" t="n">
        <v>17000</v>
      </c>
      <c r="X218" s="20" t="n">
        <v>-10000</v>
      </c>
    </row>
    <row r="219">
      <c r="A219" s="18" t="inlineStr">
        <is>
          <t>장기차입</t>
        </is>
      </c>
      <c r="O219" s="20" t="n">
        <v>500</v>
      </c>
      <c r="P219" s="20" t="n">
        <v>0</v>
      </c>
    </row>
    <row r="220">
      <c r="A220" s="18" t="inlineStr">
        <is>
          <t>사채 상환</t>
        </is>
      </c>
      <c r="C220" s="20" t="n">
        <v>0</v>
      </c>
      <c r="E220" s="20" t="n">
        <v>0</v>
      </c>
      <c r="P220" s="20" t="n">
        <v>0</v>
      </c>
      <c r="Q220" s="20" t="n">
        <v>-10000</v>
      </c>
      <c r="R220" s="20" t="n">
        <v>0</v>
      </c>
      <c r="T220" s="20" t="n">
        <v>0</v>
      </c>
      <c r="U220" s="20" t="n">
        <v>-10000</v>
      </c>
      <c r="V220" s="20" t="n">
        <v>0</v>
      </c>
    </row>
    <row r="221">
      <c r="A221" s="18" t="inlineStr">
        <is>
          <t>배당금 지급</t>
        </is>
      </c>
      <c r="C221" s="20" t="n">
        <v>-3801</v>
      </c>
      <c r="E221" s="20" t="n">
        <v>-8055</v>
      </c>
      <c r="G221" s="20" t="n">
        <v>-5313</v>
      </c>
      <c r="I221" s="20" t="n">
        <v>-12595</v>
      </c>
      <c r="K221" s="20" t="n">
        <v>-6946</v>
      </c>
      <c r="M221" s="20" t="n">
        <v>-13887</v>
      </c>
      <c r="O221" s="20" t="n">
        <v>-3546</v>
      </c>
      <c r="P221" s="20" t="n">
        <v>-3547</v>
      </c>
      <c r="Q221" s="20" t="n">
        <v>-3959</v>
      </c>
      <c r="R221" s="20" t="n">
        <v>-4587</v>
      </c>
      <c r="S221" s="20" t="n">
        <v>-4592</v>
      </c>
      <c r="T221" s="20" t="n">
        <v>-5250</v>
      </c>
      <c r="U221" s="20" t="n">
        <v>-7013</v>
      </c>
      <c r="V221" s="20" t="n">
        <v>-8055</v>
      </c>
      <c r="W221" s="20" t="n">
        <v>-12595</v>
      </c>
      <c r="X221" s="20" t="n">
        <v>-13887</v>
      </c>
    </row>
    <row r="222">
      <c r="A222" s="18" t="inlineStr">
        <is>
          <t>비지배주주 배당금 지급</t>
        </is>
      </c>
      <c r="C222" s="20" t="n">
        <v>-490</v>
      </c>
      <c r="E222" s="20" t="n">
        <v>-1870</v>
      </c>
      <c r="G222" s="20" t="n">
        <v>-2</v>
      </c>
      <c r="I222" s="20" t="n">
        <v>-142</v>
      </c>
      <c r="K222" s="20" t="n">
        <v>0</v>
      </c>
      <c r="M222" s="20" t="n">
        <v>-141</v>
      </c>
      <c r="O222" s="20" t="n">
        <v>-33</v>
      </c>
      <c r="P222" s="20" t="n">
        <v>-136</v>
      </c>
      <c r="Q222" s="20" t="n">
        <v>-82</v>
      </c>
      <c r="R222" s="20" t="n">
        <v>-34</v>
      </c>
      <c r="S222" s="20" t="n">
        <v>-149</v>
      </c>
      <c r="T222" s="20" t="n">
        <v>-110</v>
      </c>
      <c r="U222" s="20" t="n">
        <v>-4</v>
      </c>
      <c r="V222" s="20" t="n">
        <v>-1870</v>
      </c>
      <c r="W222" s="20" t="n">
        <v>-142</v>
      </c>
      <c r="X222" s="20" t="n">
        <v>-141</v>
      </c>
    </row>
    <row r="223">
      <c r="A223" s="18" t="inlineStr">
        <is>
          <t>금융리스부채 상환</t>
        </is>
      </c>
      <c r="C223" s="20" t="n">
        <v>-522</v>
      </c>
      <c r="E223" s="20" t="n">
        <v>-824</v>
      </c>
      <c r="G223" s="20" t="n">
        <v>-647</v>
      </c>
      <c r="I223" s="20" t="n">
        <v>-1074</v>
      </c>
      <c r="K223" s="20" t="n">
        <v>-281</v>
      </c>
      <c r="M223" s="20" t="n">
        <v>-885</v>
      </c>
      <c r="S223" s="20" t="n">
        <v>-325</v>
      </c>
      <c r="T223" s="20" t="n">
        <v>-513</v>
      </c>
      <c r="U223" s="20" t="n">
        <v>-814</v>
      </c>
      <c r="V223" s="20" t="n">
        <v>-824</v>
      </c>
      <c r="W223" s="20" t="n">
        <v>-1074</v>
      </c>
      <c r="X223" s="20" t="n">
        <v>-885</v>
      </c>
    </row>
    <row r="224">
      <c r="A224" s="18" t="inlineStr">
        <is>
          <t>자기주식 취득</t>
        </is>
      </c>
      <c r="C224" s="20" t="n">
        <v>-1998</v>
      </c>
      <c r="E224" s="20" t="n">
        <v>-1998</v>
      </c>
      <c r="G224" s="20" t="n">
        <v>-0</v>
      </c>
      <c r="I224" s="20" t="n">
        <v>-14433</v>
      </c>
      <c r="K224" s="20" t="n">
        <v>-6006</v>
      </c>
      <c r="M224" s="20" t="n">
        <v>-10007</v>
      </c>
      <c r="P224" s="20" t="n">
        <v>-2</v>
      </c>
      <c r="Q224" s="20" t="n">
        <v>-5001</v>
      </c>
      <c r="R224" s="20" t="n">
        <v>-1</v>
      </c>
      <c r="S224" s="20" t="n">
        <v>-1</v>
      </c>
      <c r="T224" s="20" t="n">
        <v>-6011</v>
      </c>
      <c r="U224" s="20" t="n">
        <v>-3990</v>
      </c>
      <c r="V224" s="20" t="n">
        <v>-1998</v>
      </c>
      <c r="W224" s="20" t="n">
        <v>-14433</v>
      </c>
      <c r="X224" s="20" t="n">
        <v>-10007</v>
      </c>
    </row>
    <row r="225">
      <c r="A225" s="18" t="inlineStr">
        <is>
          <t>Payments Of Money Hold In Trust For Purchase Of Treasury Stock Fin CF</t>
        </is>
      </c>
      <c r="C225" s="20" t="n">
        <v>0</v>
      </c>
      <c r="E225" s="20" t="n">
        <v>0</v>
      </c>
      <c r="G225" s="20" t="n">
        <v>-10034</v>
      </c>
      <c r="I225" s="20" t="n">
        <v>-10034</v>
      </c>
      <c r="K225" s="20" t="n">
        <v>0</v>
      </c>
      <c r="M225" s="20" t="n">
        <v>0</v>
      </c>
      <c r="V225" s="20" t="n">
        <v>0</v>
      </c>
      <c r="W225" s="20" t="n">
        <v>-10034</v>
      </c>
      <c r="X225" s="20" t="n">
        <v>0</v>
      </c>
    </row>
    <row r="226">
      <c r="A226" s="18" t="inlineStr">
        <is>
          <t>Proceeds From Withdrawal Of Trust Account For Acquisition Of Treasury Stock Fin CF</t>
        </is>
      </c>
      <c r="E226" s="20" t="n">
        <v>0</v>
      </c>
      <c r="I226" s="20" t="n">
        <v>4451</v>
      </c>
      <c r="M226" s="20" t="n">
        <v>0</v>
      </c>
      <c r="V226" s="20" t="n">
        <v>0</v>
      </c>
      <c r="W226" s="20" t="n">
        <v>4451</v>
      </c>
      <c r="X226" s="20" t="n">
        <v>0</v>
      </c>
    </row>
    <row r="227">
      <c r="A227" s="18" t="inlineStr">
        <is>
          <t>자기주식 처분</t>
        </is>
      </c>
      <c r="C227" s="20" t="n">
        <v>1998</v>
      </c>
      <c r="E227" s="20" t="n">
        <v>1998</v>
      </c>
      <c r="G227" s="20" t="n">
        <v>0</v>
      </c>
      <c r="I227" s="20" t="n">
        <v>227</v>
      </c>
      <c r="U227" s="20" t="n">
        <v>0</v>
      </c>
      <c r="V227" s="20" t="n">
        <v>1998</v>
      </c>
      <c r="W227" s="20" t="n">
        <v>227</v>
      </c>
    </row>
    <row r="228">
      <c r="A228" s="18" t="inlineStr">
        <is>
          <t>연결범위 변경 없는 자회사 주식 취득</t>
        </is>
      </c>
      <c r="C228" s="20" t="n">
        <v>0</v>
      </c>
      <c r="E228" s="20" t="n">
        <v>-336</v>
      </c>
      <c r="G228" s="20" t="n">
        <v>-524</v>
      </c>
      <c r="I228" s="20" t="n">
        <v>-524</v>
      </c>
      <c r="K228" s="20" t="n">
        <v>0</v>
      </c>
      <c r="M228" s="20" t="n">
        <v>0</v>
      </c>
      <c r="O228" s="20" t="n">
        <v>-181</v>
      </c>
      <c r="P228" s="20" t="n">
        <v>-2097</v>
      </c>
      <c r="Q228" s="20" t="n">
        <v>0</v>
      </c>
      <c r="R228" s="20" t="n">
        <v>-149</v>
      </c>
      <c r="S228" s="20" t="n">
        <v>-1193</v>
      </c>
      <c r="T228" s="20" t="n">
        <v>0</v>
      </c>
      <c r="V228" s="20" t="n">
        <v>-336</v>
      </c>
      <c r="W228" s="20" t="n">
        <v>-524</v>
      </c>
      <c r="X228" s="20" t="n">
        <v>0</v>
      </c>
    </row>
    <row r="229">
      <c r="A229" s="18" t="inlineStr">
        <is>
          <t>기타</t>
        </is>
      </c>
      <c r="C229" s="20" t="n">
        <v>0</v>
      </c>
      <c r="E229" s="20" t="n">
        <v>0</v>
      </c>
      <c r="G229" s="20" t="n">
        <v>1</v>
      </c>
      <c r="I229" s="20" t="n">
        <v>228</v>
      </c>
      <c r="K229" s="20" t="n">
        <v>0</v>
      </c>
      <c r="M229" s="20" t="n">
        <v>0</v>
      </c>
      <c r="O229" s="20" t="n">
        <v>-214</v>
      </c>
      <c r="P229" s="20" t="n">
        <v>64</v>
      </c>
      <c r="Q229" s="20" t="n">
        <v>-155</v>
      </c>
      <c r="R229" s="20" t="n">
        <v>-341</v>
      </c>
      <c r="S229" s="20" t="n">
        <v>0</v>
      </c>
      <c r="T229" s="20" t="n">
        <v>0</v>
      </c>
      <c r="U229" s="20" t="n">
        <v>0</v>
      </c>
      <c r="V229" s="20" t="n">
        <v>0</v>
      </c>
      <c r="W229" s="20" t="n">
        <v>228</v>
      </c>
      <c r="X229" s="20" t="n">
        <v>0</v>
      </c>
    </row>
    <row r="230">
      <c r="A230" s="9" t="inlineStr">
        <is>
          <t>재무활동 현금흐름</t>
        </is>
      </c>
      <c r="C230" s="12" t="n">
        <v>-3813</v>
      </c>
      <c r="E230" s="12" t="n">
        <v>-30085</v>
      </c>
      <c r="G230" s="12" t="n">
        <v>-1518</v>
      </c>
      <c r="I230" s="12" t="n">
        <v>-17123</v>
      </c>
      <c r="K230" s="12" t="n">
        <v>-30233</v>
      </c>
      <c r="M230" s="12" t="n">
        <v>-34920</v>
      </c>
      <c r="O230" s="12" t="n">
        <v>-15834</v>
      </c>
      <c r="P230" s="12" t="n">
        <v>-11625</v>
      </c>
      <c r="Q230" s="12" t="n">
        <v>-23575</v>
      </c>
      <c r="R230" s="12" t="n">
        <v>-8276</v>
      </c>
      <c r="S230" s="12" t="n">
        <v>-8259</v>
      </c>
      <c r="T230" s="12" t="n">
        <v>-11883</v>
      </c>
      <c r="U230" s="12" t="n">
        <v>-2820</v>
      </c>
      <c r="V230" s="12" t="n">
        <v>-30085</v>
      </c>
      <c r="W230" s="12" t="n">
        <v>-17123</v>
      </c>
      <c r="X230" s="12" t="n">
        <v>-34920</v>
      </c>
    </row>
    <row r="231">
      <c r="A231" s="18" t="inlineStr">
        <is>
          <t>현금성자산 환산차이</t>
        </is>
      </c>
      <c r="C231" s="20" t="n">
        <v>1589</v>
      </c>
      <c r="E231" s="20" t="n">
        <v>1771</v>
      </c>
      <c r="G231" s="20" t="n">
        <v>1305</v>
      </c>
      <c r="I231" s="20" t="n">
        <v>1650</v>
      </c>
      <c r="K231" s="20" t="n">
        <v>-1166</v>
      </c>
      <c r="M231" s="20" t="n">
        <v>1388</v>
      </c>
      <c r="O231" s="20" t="n">
        <v>-162</v>
      </c>
      <c r="P231" s="20" t="n">
        <v>253</v>
      </c>
      <c r="Q231" s="20" t="n">
        <v>-338</v>
      </c>
      <c r="R231" s="20" t="n">
        <v>-232</v>
      </c>
      <c r="S231" s="20" t="n">
        <v>320</v>
      </c>
      <c r="T231" s="20" t="n">
        <v>1494</v>
      </c>
      <c r="U231" s="20" t="n">
        <v>1111</v>
      </c>
      <c r="V231" s="20" t="n">
        <v>1771</v>
      </c>
      <c r="W231" s="20" t="n">
        <v>1650</v>
      </c>
      <c r="X231" s="20" t="n">
        <v>1388</v>
      </c>
    </row>
    <row r="232">
      <c r="A232" s="18" t="inlineStr">
        <is>
          <t>현금성자산 증감</t>
        </is>
      </c>
      <c r="C232" s="20" t="n">
        <v>2980</v>
      </c>
      <c r="E232" s="20" t="n">
        <v>13672</v>
      </c>
      <c r="G232" s="20" t="n">
        <v>-12136</v>
      </c>
      <c r="I232" s="20" t="n">
        <v>-16717</v>
      </c>
      <c r="K232" s="20" t="n">
        <v>15984</v>
      </c>
      <c r="M232" s="20" t="n">
        <v>464</v>
      </c>
      <c r="O232" s="20" t="n">
        <v>3925</v>
      </c>
      <c r="P232" s="20" t="n">
        <v>28139</v>
      </c>
      <c r="Q232" s="20" t="n">
        <v>-4946</v>
      </c>
      <c r="R232" s="20" t="n">
        <v>-4648</v>
      </c>
      <c r="S232" s="20" t="n">
        <v>17902</v>
      </c>
      <c r="T232" s="20" t="n">
        <v>-3685</v>
      </c>
      <c r="U232" s="20" t="n">
        <v>-16251</v>
      </c>
      <c r="V232" s="20" t="n">
        <v>13672</v>
      </c>
      <c r="W232" s="20" t="n">
        <v>-16717</v>
      </c>
      <c r="X232" s="20" t="n">
        <v>464</v>
      </c>
    </row>
    <row r="233">
      <c r="A233" s="18" t="inlineStr">
        <is>
          <t>연결범위 변경에 따른 현금성자산 증감</t>
        </is>
      </c>
      <c r="O233" s="20" t="n">
        <v>611</v>
      </c>
      <c r="P233" s="20" t="n">
        <v>0</v>
      </c>
      <c r="Q233" s="20" t="n">
        <v>0</v>
      </c>
    </row>
    <row r="234">
      <c r="A234" s="18" t="inlineStr">
        <is>
          <t>신규 연결 현금성자산 증가</t>
        </is>
      </c>
      <c r="C234" s="20" t="n">
        <v>592</v>
      </c>
      <c r="E234" s="20" t="n">
        <v>592</v>
      </c>
      <c r="G234" s="20" t="n">
        <v>1021</v>
      </c>
      <c r="I234" s="20" t="n">
        <v>1021</v>
      </c>
      <c r="K234" s="20" t="n">
        <v>1137</v>
      </c>
      <c r="M234" s="20" t="n">
        <v>1137</v>
      </c>
      <c r="S234" s="20" t="n">
        <v>0</v>
      </c>
      <c r="T234" s="20" t="n">
        <v>0</v>
      </c>
      <c r="U234" s="20" t="n">
        <v>0</v>
      </c>
      <c r="V234" s="20" t="n">
        <v>592</v>
      </c>
      <c r="W234" s="20" t="n">
        <v>1021</v>
      </c>
      <c r="X234" s="20" t="n">
        <v>1137</v>
      </c>
    </row>
    <row r="235">
      <c r="A235" s="18" t="inlineStr">
        <is>
          <t>비연결 자회사 합병에 따른 현금성자산 증가</t>
        </is>
      </c>
      <c r="O235" s="20" t="n">
        <v>0</v>
      </c>
      <c r="P235" s="20" t="n">
        <v>284</v>
      </c>
      <c r="Q235" s="20" t="n">
        <v>0</v>
      </c>
      <c r="R235" s="20" t="n">
        <v>0</v>
      </c>
      <c r="S235" s="20" t="n">
        <v>52</v>
      </c>
      <c r="T235" s="20" t="n">
        <v>53</v>
      </c>
      <c r="U235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4205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268364</v>
      </c>
      <c r="D5" s="12" t="n">
        <v>280543</v>
      </c>
      <c r="E5" s="12" t="n">
        <v>279852</v>
      </c>
      <c r="F5" s="12" t="n">
        <v>257545</v>
      </c>
      <c r="G5" s="12" t="n">
        <v>285768</v>
      </c>
      <c r="H5" s="11" t="n">
        <v>274947</v>
      </c>
      <c r="I5" s="12" t="n">
        <v>296631</v>
      </c>
      <c r="J5" s="12" t="n">
        <v>300982</v>
      </c>
      <c r="K5" s="12" t="n">
        <v>298134</v>
      </c>
      <c r="L5" s="12" t="n">
        <v>257545</v>
      </c>
    </row>
    <row r="6">
      <c r="A6" s="18" t="inlineStr">
        <is>
          <t>현금및현금성자산</t>
        </is>
      </c>
      <c r="B6" s="10" t="n"/>
      <c r="C6" s="19" t="n">
        <v>32874</v>
      </c>
      <c r="D6" s="20" t="n">
        <v>44641</v>
      </c>
      <c r="E6" s="20" t="n">
        <v>36451</v>
      </c>
      <c r="F6" s="20" t="n">
        <v>28678</v>
      </c>
      <c r="G6" s="20" t="n">
        <v>40145</v>
      </c>
      <c r="H6" s="19" t="n">
        <v>47271</v>
      </c>
      <c r="I6" s="20" t="n">
        <v>30082</v>
      </c>
      <c r="J6" s="20" t="n">
        <v>42784</v>
      </c>
      <c r="K6" s="20" t="n">
        <v>27366</v>
      </c>
      <c r="L6" s="20" t="n">
        <v>28678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67711</v>
      </c>
      <c r="D8" s="20" t="n">
        <v>67835</v>
      </c>
      <c r="E8" s="20" t="n">
        <v>67152</v>
      </c>
      <c r="F8" s="20" t="n">
        <v>63776</v>
      </c>
      <c r="G8" s="20" t="n">
        <v>65861</v>
      </c>
      <c r="H8" s="19" t="n">
        <v>78806</v>
      </c>
      <c r="I8" s="20" t="n">
        <v>79622</v>
      </c>
      <c r="J8" s="20" t="n">
        <v>83349</v>
      </c>
      <c r="K8" s="20" t="n">
        <v>81570</v>
      </c>
      <c r="L8" s="20" t="n">
        <v>63776</v>
      </c>
    </row>
    <row r="9">
      <c r="A9" s="18" t="inlineStr">
        <is>
          <t>재고자산</t>
        </is>
      </c>
      <c r="B9" s="10" t="n"/>
      <c r="C9" s="19" t="n">
        <v>126845</v>
      </c>
      <c r="D9" s="20" t="n">
        <v>127612</v>
      </c>
      <c r="E9" s="20" t="n">
        <v>123292</v>
      </c>
      <c r="F9" s="20" t="n">
        <v>124248</v>
      </c>
      <c r="G9" s="20" t="n">
        <v>130941</v>
      </c>
      <c r="H9" s="19" t="n">
        <v>93076</v>
      </c>
      <c r="I9" s="20" t="n">
        <v>127452</v>
      </c>
      <c r="J9" s="20" t="n">
        <v>123353</v>
      </c>
      <c r="K9" s="20" t="n">
        <v>141591</v>
      </c>
      <c r="L9" s="20" t="n">
        <v>124248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236488</v>
      </c>
      <c r="D11" s="12" t="n">
        <v>258983</v>
      </c>
      <c r="E11" s="12" t="n">
        <v>270448</v>
      </c>
      <c r="F11" s="12" t="n">
        <v>290701</v>
      </c>
      <c r="G11" s="12" t="n">
        <v>317551</v>
      </c>
      <c r="H11" s="11" t="n">
        <v>209713</v>
      </c>
      <c r="I11" s="12" t="n">
        <v>226237</v>
      </c>
      <c r="J11" s="12" t="n">
        <v>231272</v>
      </c>
      <c r="K11" s="12" t="n">
        <v>235652</v>
      </c>
      <c r="L11" s="12" t="n">
        <v>290701</v>
      </c>
    </row>
    <row r="12">
      <c r="A12" s="18" t="inlineStr">
        <is>
          <t>유형자산</t>
        </is>
      </c>
      <c r="B12" s="10" t="n"/>
      <c r="C12" s="19" t="n">
        <v>143745</v>
      </c>
      <c r="D12" s="20" t="n">
        <v>174615</v>
      </c>
      <c r="E12" s="20" t="n">
        <v>181294</v>
      </c>
      <c r="F12" s="20" t="n">
        <v>194116</v>
      </c>
      <c r="G12" s="20" t="n">
        <v>207394</v>
      </c>
      <c r="H12" s="19" t="n">
        <v>118299</v>
      </c>
      <c r="I12" s="20" t="n">
        <v>113924</v>
      </c>
      <c r="J12" s="20" t="n">
        <v>130672</v>
      </c>
      <c r="K12" s="20" t="n">
        <v>143703</v>
      </c>
      <c r="L12" s="20" t="n">
        <v>194116</v>
      </c>
    </row>
    <row r="13">
      <c r="A13" s="18" t="inlineStr">
        <is>
          <t>무형자산</t>
        </is>
      </c>
      <c r="B13" s="10" t="n"/>
      <c r="C13" s="19" t="n">
        <v>6027</v>
      </c>
      <c r="D13" s="20" t="n">
        <v>5588</v>
      </c>
      <c r="E13" s="20" t="n">
        <v>5570</v>
      </c>
      <c r="F13" s="20" t="n">
        <v>6337</v>
      </c>
      <c r="G13" s="20" t="n">
        <v>6267</v>
      </c>
      <c r="H13" s="19" t="n">
        <v>3249</v>
      </c>
      <c r="I13" s="20" t="n">
        <v>4442</v>
      </c>
      <c r="J13" s="20" t="n">
        <v>5432</v>
      </c>
      <c r="K13" s="20" t="n">
        <v>5985</v>
      </c>
      <c r="L13" s="20" t="n">
        <v>6337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504852</v>
      </c>
      <c r="D16" s="12" t="n">
        <v>539526</v>
      </c>
      <c r="E16" s="12" t="n">
        <v>550300</v>
      </c>
      <c r="F16" s="12" t="n">
        <v>548246</v>
      </c>
      <c r="G16" s="12" t="n">
        <v>603320</v>
      </c>
      <c r="H16" s="11" t="n">
        <v>484660</v>
      </c>
      <c r="I16" s="12" t="n">
        <v>522868</v>
      </c>
      <c r="J16" s="12" t="n">
        <v>532254</v>
      </c>
      <c r="K16" s="12" t="n">
        <v>533786</v>
      </c>
      <c r="L16" s="12" t="n">
        <v>548246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124258</v>
      </c>
      <c r="D18" s="12" t="n">
        <v>155783</v>
      </c>
      <c r="E18" s="12" t="n">
        <v>163066</v>
      </c>
      <c r="F18" s="12" t="n">
        <v>144250</v>
      </c>
      <c r="G18" s="12" t="n">
        <v>182336</v>
      </c>
      <c r="H18" s="11" t="n">
        <v>138653</v>
      </c>
      <c r="I18" s="12" t="n">
        <v>160587</v>
      </c>
      <c r="J18" s="12" t="n">
        <v>143561</v>
      </c>
      <c r="K18" s="12" t="n">
        <v>152022</v>
      </c>
      <c r="L18" s="12" t="n">
        <v>144250</v>
      </c>
    </row>
    <row r="19">
      <c r="A19" s="18" t="inlineStr">
        <is>
          <t>매입채무</t>
        </is>
      </c>
      <c r="B19" s="10" t="n"/>
      <c r="C19" s="19" t="n">
        <v>47720</v>
      </c>
      <c r="D19" s="20" t="n">
        <v>60554</v>
      </c>
      <c r="E19" s="20" t="n">
        <v>74053</v>
      </c>
      <c r="F19" s="20" t="n">
        <v>58734</v>
      </c>
      <c r="G19" s="20" t="n">
        <v>68153</v>
      </c>
      <c r="H19" s="19" t="n">
        <v>79833</v>
      </c>
      <c r="I19" s="20" t="n">
        <v>83659</v>
      </c>
      <c r="J19" s="20" t="n">
        <v>83449</v>
      </c>
      <c r="K19" s="20" t="n">
        <v>68617</v>
      </c>
      <c r="L19" s="20" t="n">
        <v>58734</v>
      </c>
    </row>
    <row r="20">
      <c r="A20" s="18" t="inlineStr">
        <is>
          <t>단기차입금</t>
        </is>
      </c>
      <c r="B20" s="10" t="n"/>
      <c r="C20" s="19" t="n">
        <v>8960</v>
      </c>
      <c r="D20" s="20" t="n">
        <v>8960</v>
      </c>
      <c r="E20" s="20" t="n">
        <v>8960</v>
      </c>
      <c r="F20" s="20" t="n">
        <v>8960</v>
      </c>
      <c r="G20" s="20" t="n">
        <v>8960</v>
      </c>
      <c r="H20" s="19" t="n">
        <v>8960</v>
      </c>
      <c r="I20" s="20" t="n">
        <v>8960</v>
      </c>
      <c r="J20" s="20" t="n">
        <v>8960</v>
      </c>
      <c r="K20" s="20" t="n">
        <v>8960</v>
      </c>
      <c r="L20" s="20" t="n">
        <v>8960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10000</v>
      </c>
      <c r="I21" s="20" t="n">
        <v>0</v>
      </c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24312</v>
      </c>
      <c r="D23" s="12" t="n">
        <v>22957</v>
      </c>
      <c r="E23" s="12" t="n">
        <v>24668</v>
      </c>
      <c r="F23" s="12" t="n">
        <v>25744</v>
      </c>
      <c r="G23" s="12" t="n">
        <v>25172</v>
      </c>
      <c r="H23" s="11" t="n">
        <v>24172</v>
      </c>
      <c r="I23" s="12" t="n">
        <v>22973</v>
      </c>
      <c r="J23" s="12" t="n">
        <v>24965</v>
      </c>
      <c r="K23" s="12" t="n">
        <v>23771</v>
      </c>
      <c r="L23" s="12" t="n">
        <v>25744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0</v>
      </c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148570</v>
      </c>
      <c r="D27" s="12" t="n">
        <v>178741</v>
      </c>
      <c r="E27" s="12" t="n">
        <v>187733</v>
      </c>
      <c r="F27" s="12" t="n">
        <v>169994</v>
      </c>
      <c r="G27" s="12" t="n">
        <v>207508</v>
      </c>
      <c r="H27" s="11" t="n">
        <v>162824</v>
      </c>
      <c r="I27" s="12" t="n">
        <v>183560</v>
      </c>
      <c r="J27" s="12" t="n">
        <v>168525</v>
      </c>
      <c r="K27" s="12" t="n">
        <v>175793</v>
      </c>
      <c r="L27" s="12" t="n">
        <v>169994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355573</v>
      </c>
      <c r="D31" s="12" t="n">
        <v>360054</v>
      </c>
      <c r="E31" s="12" t="n">
        <v>361794</v>
      </c>
      <c r="F31" s="12" t="n">
        <v>377475</v>
      </c>
      <c r="G31" s="12" t="n">
        <v>395000</v>
      </c>
      <c r="H31" s="11" t="n">
        <v>318624</v>
      </c>
      <c r="I31" s="12" t="n">
        <v>336310</v>
      </c>
      <c r="J31" s="12" t="n">
        <v>362379</v>
      </c>
      <c r="K31" s="12" t="n">
        <v>357252</v>
      </c>
      <c r="L31" s="12" t="n">
        <v>377475</v>
      </c>
    </row>
    <row r="32">
      <c r="A32" s="18" t="inlineStr">
        <is>
          <t>자본금</t>
        </is>
      </c>
      <c r="B32" s="10" t="n"/>
      <c r="C32" s="19" t="n">
        <v>24211</v>
      </c>
      <c r="D32" s="20" t="n">
        <v>24211</v>
      </c>
      <c r="E32" s="20" t="n">
        <v>24211</v>
      </c>
      <c r="F32" s="20" t="n">
        <v>24211</v>
      </c>
      <c r="G32" s="20" t="n">
        <v>24211</v>
      </c>
      <c r="H32" s="19" t="n">
        <v>24211</v>
      </c>
      <c r="I32" s="20" t="n">
        <v>24211</v>
      </c>
      <c r="J32" s="20" t="n">
        <v>24211</v>
      </c>
      <c r="K32" s="20" t="n">
        <v>24211</v>
      </c>
      <c r="L32" s="20" t="n">
        <v>24211</v>
      </c>
    </row>
    <row r="33">
      <c r="A33" s="18" t="inlineStr">
        <is>
          <t>이익잉여금</t>
        </is>
      </c>
      <c r="B33" s="10" t="n"/>
      <c r="C33" s="19" t="n">
        <v>289257</v>
      </c>
      <c r="D33" s="20" t="n">
        <v>303849</v>
      </c>
      <c r="E33" s="20" t="n">
        <v>302851</v>
      </c>
      <c r="F33" s="20" t="n">
        <v>302770</v>
      </c>
      <c r="G33" s="20" t="n">
        <v>307774</v>
      </c>
      <c r="H33" s="19" t="n">
        <v>272679</v>
      </c>
      <c r="I33" s="20" t="n">
        <v>268363</v>
      </c>
      <c r="J33" s="20" t="n">
        <v>289930</v>
      </c>
      <c r="K33" s="20" t="n">
        <v>287773</v>
      </c>
      <c r="L33" s="20" t="n">
        <v>302770</v>
      </c>
    </row>
    <row r="34">
      <c r="A34" s="18" t="inlineStr">
        <is>
          <t>비지배지분</t>
        </is>
      </c>
      <c r="B34" s="10" t="n"/>
      <c r="C34" s="19" t="n">
        <v>621</v>
      </c>
      <c r="D34" s="20" t="n">
        <v>643</v>
      </c>
      <c r="E34" s="20" t="n">
        <v>684</v>
      </c>
      <c r="F34" s="20" t="n">
        <v>689</v>
      </c>
      <c r="G34" s="20" t="n">
        <v>723</v>
      </c>
      <c r="H34" s="19" t="n">
        <v>3086</v>
      </c>
      <c r="I34" s="20" t="n">
        <v>2910</v>
      </c>
      <c r="J34" s="20" t="n">
        <v>1262</v>
      </c>
      <c r="K34" s="20" t="n">
        <v>652</v>
      </c>
      <c r="L34" s="20" t="n">
        <v>689</v>
      </c>
    </row>
    <row r="35">
      <c r="A35" s="9" t="inlineStr">
        <is>
          <t>자본총계</t>
        </is>
      </c>
      <c r="B35" s="10" t="n"/>
      <c r="C35" s="11" t="n">
        <v>356282</v>
      </c>
      <c r="D35" s="12" t="n">
        <v>360785</v>
      </c>
      <c r="E35" s="12" t="n">
        <v>362566</v>
      </c>
      <c r="F35" s="12" t="n">
        <v>378252</v>
      </c>
      <c r="G35" s="12" t="n">
        <v>395811</v>
      </c>
      <c r="H35" s="11" t="n">
        <v>321836</v>
      </c>
      <c r="I35" s="12" t="n">
        <v>339308</v>
      </c>
      <c r="J35" s="12" t="n">
        <v>363729</v>
      </c>
      <c r="K35" s="12" t="n">
        <v>357992</v>
      </c>
      <c r="L35" s="12" t="n">
        <v>378252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63619</v>
      </c>
      <c r="E37" s="12" t="n"/>
      <c r="F37" s="12" t="n">
        <v>76436</v>
      </c>
      <c r="G37" s="12" t="n"/>
      <c r="H37" s="11" t="n">
        <v>33140</v>
      </c>
      <c r="I37" s="12" t="n">
        <v>14358</v>
      </c>
      <c r="J37" s="12" t="n">
        <v>47413</v>
      </c>
      <c r="K37" s="12" t="n">
        <v>20781</v>
      </c>
      <c r="L37" s="12" t="n">
        <v>76436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33605</v>
      </c>
      <c r="E38" s="20" t="n"/>
      <c r="F38" s="20" t="n">
        <v>60873</v>
      </c>
      <c r="G38" s="20" t="n"/>
      <c r="H38" s="19" t="n">
        <v>24173</v>
      </c>
      <c r="I38" s="20" t="n">
        <v>26620</v>
      </c>
      <c r="J38" s="20" t="n">
        <v>35990</v>
      </c>
      <c r="K38" s="20" t="n">
        <v>30706</v>
      </c>
      <c r="L38" s="20" t="n">
        <v>60873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14228</v>
      </c>
      <c r="E40" s="20" t="n"/>
      <c r="F40" s="20" t="n">
        <v>13887</v>
      </c>
      <c r="G40" s="20" t="n"/>
      <c r="H40" s="19" t="n">
        <v>5250</v>
      </c>
      <c r="I40" s="20" t="n">
        <v>7013</v>
      </c>
      <c r="J40" s="20" t="n">
        <v>8055</v>
      </c>
      <c r="K40" s="20" t="n">
        <v>12595</v>
      </c>
      <c r="L40" s="20" t="n">
        <v>13887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IFERROR(IF((IF(COUNT('연간'!G50:J50)&lt;4,"",SUM('연간'!G50:J50)))&lt;=0,"적자",C28/(IF(COUNT('연간'!G50:J50)&lt;4,"",SUM('연간'!G50:J50)))),"")</f>
        <v/>
      </c>
      <c r="D49" s="46">
        <f>IFERROR(IF((IF(COUNT('연간'!H50:K50)&lt;4,"",SUM('연간'!H50:K50)))&lt;=0,"적자",D28/(IF(COUNT('연간'!H50:K50)&lt;4,"",SUM('연간'!H50:K50)))),"")</f>
        <v/>
      </c>
      <c r="E49" s="46">
        <f>IFERROR(IF((IF(COUNT('연간'!I50:L50)&lt;4,"",SUM('연간'!I50:L50)))&lt;=0,"적자",E28/(IF(COUNT('연간'!I50:L50)&lt;4,"",SUM('연간'!I50:L50)))),"")</f>
        <v/>
      </c>
      <c r="F49" s="46">
        <f>IFERROR(IF((IF(COUNT('연간'!J50:M50)&lt;4,"",SUM('연간'!J50:M50)))&lt;=0,"적자",F28/(IF(COUNT('연간'!J50:M50)&lt;4,"",SUM('연간'!J50:M50)))),"")</f>
        <v/>
      </c>
      <c r="G49" s="46">
        <f>IFERROR(IF((IF(COUNT('연간'!K50:N50)&lt;4,"",SUM('연간'!K50:N50)))&lt;=0,"적자",G28/(IF(COUNT('연간'!K50:N50)&lt;4,"",SUM('연간'!K50:N50)))),"")</f>
        <v/>
      </c>
      <c r="H49" s="45">
        <f>IFERROR(IF(('연간'!T50)&lt;=0,"적자",H28/('연간'!T50)),"")</f>
        <v/>
      </c>
      <c r="I49" s="46">
        <f>IFERROR(IF(('연간'!U50)&lt;=0,"적자",I28/('연간'!U50)),"")</f>
        <v/>
      </c>
      <c r="J49" s="46">
        <f>IFERROR(IF(('연간'!V50)&lt;=0,"적자",J28/('연간'!V50)),"")</f>
        <v/>
      </c>
      <c r="K49" s="46">
        <f>IFERROR(IF(('연간'!W50)&lt;=0,"적자",K28/('연간'!W50)),"")</f>
        <v/>
      </c>
      <c r="L49" s="46">
        <f>IFERROR(IF(('연간'!X50)&lt;=0,"적자",L28/('연간'!X50)),"")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IFERROR((IF(COUNT('연간'!G50:J50)&lt;4,"",SUM('연간'!G50:J50)))/C31,"")</f>
        <v/>
      </c>
      <c r="D51" s="36">
        <f>IFERROR((IF(COUNT('연간'!H50:K50)&lt;4,"",SUM('연간'!H50:K50)))/D31,"")</f>
        <v/>
      </c>
      <c r="E51" s="36">
        <f>IFERROR((IF(COUNT('연간'!I50:L50)&lt;4,"",SUM('연간'!I50:L50)))/E31,"")</f>
        <v/>
      </c>
      <c r="F51" s="36">
        <f>IFERROR((IF(COUNT('연간'!J50:M50)&lt;4,"",SUM('연간'!J50:M50)))/F31,"")</f>
        <v/>
      </c>
      <c r="G51" s="36">
        <f>IFERROR((IF(COUNT('연간'!K50:N50)&lt;4,"",SUM('연간'!K50:N50)))/G31,"")</f>
        <v/>
      </c>
      <c r="H51" s="35">
        <f>IFERROR(('연간'!T50)/H31,"")</f>
        <v/>
      </c>
      <c r="I51" s="36">
        <f>IFERROR(('연간'!U50)/I31,"")</f>
        <v/>
      </c>
      <c r="J51" s="36">
        <f>IFERROR(('연간'!V50)/J31,"")</f>
        <v/>
      </c>
      <c r="K51" s="36">
        <f>IFERROR(('연간'!W50)/K31,"")</f>
        <v/>
      </c>
      <c r="L51" s="36">
        <f>IFERROR(('연간'!X50)/L31,"")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IFERROR((IF(COUNT('연간'!G49:J49)&lt;4,"",SUM('연간'!G49:J49)))/C16,"")</f>
        <v/>
      </c>
      <c r="D52" s="36">
        <f>IFERROR((IF(COUNT('연간'!H49:K49)&lt;4,"",SUM('연간'!H49:K49)))/D16,"")</f>
        <v/>
      </c>
      <c r="E52" s="36">
        <f>IFERROR((IF(COUNT('연간'!I49:L49)&lt;4,"",SUM('연간'!I49:L49)))/E16,"")</f>
        <v/>
      </c>
      <c r="F52" s="36">
        <f>IFERROR((IF(COUNT('연간'!J49:M49)&lt;4,"",SUM('연간'!J49:M49)))/F16,"")</f>
        <v/>
      </c>
      <c r="G52" s="36">
        <f>IFERROR((IF(COUNT('연간'!K49:N49)&lt;4,"",SUM('연간'!K49:N49)))/G16,"")</f>
        <v/>
      </c>
      <c r="H52" s="35">
        <f>IFERROR(('연간'!T49)/H16,"")</f>
        <v/>
      </c>
      <c r="I52" s="36">
        <f>IFERROR(('연간'!U49)/I16,"")</f>
        <v/>
      </c>
      <c r="J52" s="36">
        <f>IFERROR(('연간'!V49)/J16,"")</f>
        <v/>
      </c>
      <c r="K52" s="36">
        <f>IFERROR(('연간'!W49)/K16,"")</f>
        <v/>
      </c>
      <c r="L52" s="36">
        <f>IFERROR(('연간'!X49)/L16,"")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IFERROR((IF(COUNT('연간'!G18:J18)&lt;4,"",SUM('연간'!G18:J18)))/(IF(COUNT('연간'!G4:J4)&lt;4,"",SUM('연간'!G4:J4))),"")</f>
        <v/>
      </c>
      <c r="D54" s="36">
        <f>IFERROR((IF(COUNT('연간'!H18:K18)&lt;4,"",SUM('연간'!H18:K18)))/(IF(COUNT('연간'!H4:K4)&lt;4,"",SUM('연간'!H4:K4))),"")</f>
        <v/>
      </c>
      <c r="E54" s="36">
        <f>IFERROR((IF(COUNT('연간'!I18:L18)&lt;4,"",SUM('연간'!I18:L18)))/(IF(COUNT('연간'!I4:L4)&lt;4,"",SUM('연간'!I4:L4))),"")</f>
        <v/>
      </c>
      <c r="F54" s="36">
        <f>IFERROR((IF(COUNT('연간'!J18:M18)&lt;4,"",SUM('연간'!J18:M18)))/(IF(COUNT('연간'!J4:M4)&lt;4,"",SUM('연간'!J4:M4))),"")</f>
        <v/>
      </c>
      <c r="G54" s="36">
        <f>IFERROR((IF(COUNT('연간'!K18:N18)&lt;4,"",SUM('연간'!K18:N18)))/(IF(COUNT('연간'!K4:N4)&lt;4,"",SUM('연간'!K4:N4))),"")</f>
        <v/>
      </c>
      <c r="H54" s="35">
        <f>IFERROR(('연간'!T18)/('연간'!T4),"")</f>
        <v/>
      </c>
      <c r="I54" s="36">
        <f>IFERROR(('연간'!U18)/('연간'!U4),"")</f>
        <v/>
      </c>
      <c r="J54" s="36">
        <f>IFERROR(('연간'!V18)/('연간'!V4),"")</f>
        <v/>
      </c>
      <c r="K54" s="36">
        <f>IFERROR(('연간'!W18)/('연간'!W4),"")</f>
        <v/>
      </c>
      <c r="L54" s="36">
        <f>IFERROR(('연간'!X18)/('연간'!X4),"")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IFERROR((IF(COUNT('연간'!G49:J49)&lt;4,"",SUM('연간'!G49:J49)))/(IF(COUNT('연간'!G4:J4)&lt;4,"",SUM('연간'!G4:J4))),"")</f>
        <v/>
      </c>
      <c r="D56" s="36">
        <f>IFERROR((IF(COUNT('연간'!H49:K49)&lt;4,"",SUM('연간'!H49:K49)))/(IF(COUNT('연간'!H4:K4)&lt;4,"",SUM('연간'!H4:K4))),"")</f>
        <v/>
      </c>
      <c r="E56" s="36">
        <f>IFERROR((IF(COUNT('연간'!I49:L49)&lt;4,"",SUM('연간'!I49:L49)))/(IF(COUNT('연간'!I4:L4)&lt;4,"",SUM('연간'!I4:L4))),"")</f>
        <v/>
      </c>
      <c r="F56" s="36">
        <f>IFERROR((IF(COUNT('연간'!J49:M49)&lt;4,"",SUM('연간'!J49:M49)))/(IF(COUNT('연간'!J4:M4)&lt;4,"",SUM('연간'!J4:M4))),"")</f>
        <v/>
      </c>
      <c r="G56" s="36">
        <f>IFERROR((IF(COUNT('연간'!K49:N49)&lt;4,"",SUM('연간'!K49:N49)))/(IF(COUNT('연간'!K4:N4)&lt;4,"",SUM('연간'!K4:N4))),"")</f>
        <v/>
      </c>
      <c r="H56" s="35">
        <f>IFERROR(('연간'!T49)/('연간'!T4),"")</f>
        <v/>
      </c>
      <c r="I56" s="36">
        <f>IFERROR(('연간'!U49)/('연간'!U4),"")</f>
        <v/>
      </c>
      <c r="J56" s="36">
        <f>IFERROR(('연간'!V49)/('연간'!V4),"")</f>
        <v/>
      </c>
      <c r="K56" s="36">
        <f>IFERROR(('연간'!W49)/('연간'!W4),"")</f>
        <v/>
      </c>
      <c r="L56" s="36">
        <f>IFERROR(('연간'!X49)/('연간'!X4),"")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IFERROR(C9/(IF(COUNT('연간'!G17:J17)&lt;4,"",SUM('연간'!G17:J17)))*365,"")</f>
        <v/>
      </c>
      <c r="D60" s="48">
        <f>IFERROR(D9/(IF(COUNT('연간'!H17:K17)&lt;4,"",SUM('연간'!H17:K17)))*365,"")</f>
        <v/>
      </c>
      <c r="E60" s="48">
        <f>IFERROR(E9/(IF(COUNT('연간'!I17:L17)&lt;4,"",SUM('연간'!I17:L17)))*365,"")</f>
        <v/>
      </c>
      <c r="F60" s="48">
        <f>IFERROR(F9/(IF(COUNT('연간'!J17:M17)&lt;4,"",SUM('연간'!J17:M17)))*365,"")</f>
        <v/>
      </c>
      <c r="G60" s="48">
        <f>IFERROR(G9/(IF(COUNT('연간'!K17:N17)&lt;4,"",SUM('연간'!K17:N17)))*365,"")</f>
        <v/>
      </c>
      <c r="H60" s="47">
        <f>IFERROR(H9/('연간'!T17)*365,"")</f>
        <v/>
      </c>
      <c r="I60" s="48">
        <f>IFERROR(I9/('연간'!U17)*365,"")</f>
        <v/>
      </c>
      <c r="J60" s="48">
        <f>IFERROR(J9/('연간'!V17)*365,"")</f>
        <v/>
      </c>
      <c r="K60" s="48">
        <f>IFERROR(K9/('연간'!W17)*365,"")</f>
        <v/>
      </c>
      <c r="L60" s="48">
        <f>IFERROR(L9/('연간'!X17)*365,"")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IFERROR(C19/(IF(COUNT('연간'!G17:J17)&lt;4,"",SUM('연간'!G17:J17)))*365,"")</f>
        <v/>
      </c>
      <c r="D61" s="48">
        <f>IFERROR(D19/(IF(COUNT('연간'!H17:K17)&lt;4,"",SUM('연간'!H17:K17)))*365,"")</f>
        <v/>
      </c>
      <c r="E61" s="48">
        <f>IFERROR(E19/(IF(COUNT('연간'!I17:L17)&lt;4,"",SUM('연간'!I17:L17)))*365,"")</f>
        <v/>
      </c>
      <c r="F61" s="48">
        <f>IFERROR(F19/(IF(COUNT('연간'!J17:M17)&lt;4,"",SUM('연간'!J17:M17)))*365,"")</f>
        <v/>
      </c>
      <c r="G61" s="48">
        <f>IFERROR(G19/(IF(COUNT('연간'!K17:N17)&lt;4,"",SUM('연간'!K17:N17)))*365,"")</f>
        <v/>
      </c>
      <c r="H61" s="47">
        <f>IFERROR(H19/('연간'!T17)*365,"")</f>
        <v/>
      </c>
      <c r="I61" s="48">
        <f>IFERROR(I19/('연간'!U17)*365,"")</f>
        <v/>
      </c>
      <c r="J61" s="48">
        <f>IFERROR(J19/('연간'!V17)*365,"")</f>
        <v/>
      </c>
      <c r="K61" s="48">
        <f>IFERROR(K19/('연간'!W17)*365,"")</f>
        <v/>
      </c>
      <c r="L61" s="48">
        <f>IFERROR(L19/('연간'!X17)*365,"")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IF(C37="","",IFERROR(C37/(IF(COUNT('연간'!G49:J49)&lt;4,"",SUM('연간'!G49:J49))),""))</f>
        <v/>
      </c>
      <c r="D64" s="31">
        <f>IF(D37="","",IFERROR(D37/(IF(COUNT('연간'!H49:K49)&lt;4,"",SUM('연간'!H49:K49))),""))</f>
        <v/>
      </c>
      <c r="E64" s="31">
        <f>IF(E37="","",IFERROR(E37/(IF(COUNT('연간'!I49:L49)&lt;4,"",SUM('연간'!I49:L49))),""))</f>
        <v/>
      </c>
      <c r="F64" s="31">
        <f>IF(F37="","",IFERROR(F37/(IF(COUNT('연간'!J49:M49)&lt;4,"",SUM('연간'!J49:M49))),""))</f>
        <v/>
      </c>
      <c r="G64" s="31">
        <f>IF(G37="","",IFERROR(G37/(IF(COUNT('연간'!K49:N49)&lt;4,"",SUM('연간'!K49:N49))),""))</f>
        <v/>
      </c>
      <c r="H64" s="30">
        <f>IF(H37="","",IFERROR(H37/('연간'!T49),""))</f>
        <v/>
      </c>
      <c r="I64" s="31">
        <f>IF(I37="","",IFERROR(I37/('연간'!U49),""))</f>
        <v/>
      </c>
      <c r="J64" s="31">
        <f>IF(J37="","",IFERROR(J37/('연간'!V49),""))</f>
        <v/>
      </c>
      <c r="K64" s="31">
        <f>IF(K37="","",IFERROR(K37/('연간'!W49),""))</f>
        <v/>
      </c>
      <c r="L64" s="31">
        <f>IF(L37="","",IFERROR(L37/('연간'!X49),""))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IF(C40="","",IFERROR(C40/(IF(COUNT('연간'!G50:J50)&lt;4,"",SUM('연간'!G50:J50))),""))</f>
        <v/>
      </c>
      <c r="D67" s="36">
        <f>IF(D40="","",IFERROR(D40/(IF(COUNT('연간'!H50:K50)&lt;4,"",SUM('연간'!H50:K50))),""))</f>
        <v/>
      </c>
      <c r="E67" s="36">
        <f>IF(E40="","",IFERROR(E40/(IF(COUNT('연간'!I50:L50)&lt;4,"",SUM('연간'!I50:L50))),""))</f>
        <v/>
      </c>
      <c r="F67" s="36">
        <f>IF(F40="","",IFERROR(F40/(IF(COUNT('연간'!J50:M50)&lt;4,"",SUM('연간'!J50:M50))),""))</f>
        <v/>
      </c>
      <c r="G67" s="36">
        <f>IF(G40="","",IFERROR(G40/(IF(COUNT('연간'!K50:N50)&lt;4,"",SUM('연간'!K50:N50))),""))</f>
        <v/>
      </c>
      <c r="H67" s="35">
        <f>IF(H40="","",IFERROR(H40/('연간'!T50),""))</f>
        <v/>
      </c>
      <c r="I67" s="36">
        <f>IF(I40="","",IFERROR(I40/('연간'!U50),""))</f>
        <v/>
      </c>
      <c r="J67" s="36">
        <f>IF(J40="","",IFERROR(J40/('연간'!V50),""))</f>
        <v/>
      </c>
      <c r="K67" s="36">
        <f>IF(K40="","",IFERROR(K40/('연간'!W50),""))</f>
        <v/>
      </c>
      <c r="L67" s="36">
        <f>IF(L40="","",IFERROR(L40/('연간'!X50),""))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32874</v>
      </c>
      <c r="D71" s="20" t="n">
        <v>44641</v>
      </c>
      <c r="E71" s="20" t="n">
        <v>36451</v>
      </c>
      <c r="F71" s="20" t="n">
        <v>28678</v>
      </c>
      <c r="G71" s="20" t="n">
        <v>40145</v>
      </c>
      <c r="H71" s="20" t="n">
        <v>47271</v>
      </c>
      <c r="I71" s="20" t="n">
        <v>30082</v>
      </c>
      <c r="J71" s="20" t="n">
        <v>42784</v>
      </c>
      <c r="K71" s="20" t="n">
        <v>27366</v>
      </c>
      <c r="L71" s="20" t="n">
        <v>28678</v>
      </c>
    </row>
    <row r="72">
      <c r="A72" s="18" t="inlineStr">
        <is>
          <t>받을어음·매출채권</t>
        </is>
      </c>
      <c r="C72" s="20" t="n">
        <v>67711</v>
      </c>
      <c r="D72" s="20" t="n">
        <v>67835</v>
      </c>
      <c r="E72" s="20" t="n">
        <v>67152</v>
      </c>
      <c r="F72" s="20" t="n">
        <v>63776</v>
      </c>
      <c r="G72" s="20" t="n">
        <v>65861</v>
      </c>
      <c r="H72" s="20" t="n">
        <v>78806</v>
      </c>
      <c r="I72" s="20" t="n">
        <v>79622</v>
      </c>
      <c r="J72" s="20" t="n">
        <v>83349</v>
      </c>
      <c r="K72" s="20" t="n">
        <v>81570</v>
      </c>
      <c r="L72" s="20" t="n">
        <v>63776</v>
      </c>
    </row>
    <row r="73">
      <c r="A73" s="18" t="inlineStr">
        <is>
          <t>전자기록채권</t>
        </is>
      </c>
      <c r="C73" s="20" t="n">
        <v>5283</v>
      </c>
      <c r="D73" s="20" t="n">
        <v>5366</v>
      </c>
      <c r="E73" s="20" t="n">
        <v>6212</v>
      </c>
      <c r="F73" s="20" t="n">
        <v>4611</v>
      </c>
      <c r="G73" s="20" t="n">
        <v>5048</v>
      </c>
      <c r="H73" s="20" t="n">
        <v>3692</v>
      </c>
      <c r="I73" s="20" t="n">
        <v>3972</v>
      </c>
      <c r="J73" s="20" t="n">
        <v>4097</v>
      </c>
      <c r="K73" s="20" t="n">
        <v>5667</v>
      </c>
      <c r="L73" s="20" t="n">
        <v>4611</v>
      </c>
    </row>
    <row r="74">
      <c r="A74" s="18" t="inlineStr">
        <is>
          <t>상품·제품</t>
        </is>
      </c>
      <c r="C74" s="20" t="n">
        <v>96409</v>
      </c>
      <c r="D74" s="20" t="n">
        <v>98146</v>
      </c>
      <c r="E74" s="20" t="n">
        <v>94245</v>
      </c>
      <c r="F74" s="20" t="n">
        <v>93361</v>
      </c>
      <c r="G74" s="20" t="n">
        <v>98148</v>
      </c>
      <c r="H74" s="20" t="n">
        <v>66076</v>
      </c>
      <c r="I74" s="20" t="n">
        <v>97345</v>
      </c>
      <c r="J74" s="20" t="n">
        <v>92410</v>
      </c>
      <c r="K74" s="20" t="n">
        <v>109037</v>
      </c>
      <c r="L74" s="20" t="n">
        <v>93361</v>
      </c>
    </row>
    <row r="75">
      <c r="A75" s="18" t="inlineStr">
        <is>
          <t>재공품</t>
        </is>
      </c>
      <c r="C75" s="20" t="n">
        <v>7905</v>
      </c>
      <c r="D75" s="20" t="n">
        <v>6874</v>
      </c>
      <c r="E75" s="20" t="n">
        <v>7895</v>
      </c>
      <c r="F75" s="20" t="n">
        <v>7562</v>
      </c>
      <c r="G75" s="20" t="n">
        <v>8549</v>
      </c>
      <c r="H75" s="20" t="n">
        <v>6652</v>
      </c>
      <c r="I75" s="20" t="n">
        <v>7657</v>
      </c>
      <c r="J75" s="20" t="n">
        <v>9302</v>
      </c>
      <c r="K75" s="20" t="n">
        <v>8270</v>
      </c>
      <c r="L75" s="20" t="n">
        <v>7562</v>
      </c>
    </row>
    <row r="76">
      <c r="A76" s="18" t="inlineStr">
        <is>
          <t>원재료·저장품</t>
        </is>
      </c>
      <c r="C76" s="20" t="n">
        <v>22531</v>
      </c>
      <c r="D76" s="20" t="n">
        <v>22592</v>
      </c>
      <c r="E76" s="20" t="n">
        <v>21152</v>
      </c>
      <c r="F76" s="20" t="n">
        <v>23325</v>
      </c>
      <c r="G76" s="20" t="n">
        <v>24244</v>
      </c>
      <c r="H76" s="20" t="n">
        <v>20348</v>
      </c>
      <c r="I76" s="20" t="n">
        <v>22450</v>
      </c>
      <c r="J76" s="20" t="n">
        <v>21641</v>
      </c>
      <c r="K76" s="20" t="n">
        <v>24284</v>
      </c>
      <c r="L76" s="20" t="n">
        <v>23325</v>
      </c>
    </row>
    <row r="77">
      <c r="A77" s="18" t="inlineStr">
        <is>
          <t>미수금</t>
        </is>
      </c>
      <c r="C77" s="20" t="n">
        <v>23997</v>
      </c>
      <c r="D77" s="20" t="n">
        <v>26345</v>
      </c>
      <c r="E77" s="20" t="n">
        <v>37994</v>
      </c>
      <c r="F77" s="20" t="n">
        <v>27715</v>
      </c>
      <c r="G77" s="20" t="n">
        <v>34548</v>
      </c>
      <c r="H77" s="20" t="n">
        <v>41156</v>
      </c>
      <c r="I77" s="20" t="n">
        <v>43816</v>
      </c>
      <c r="J77" s="20" t="n">
        <v>39727</v>
      </c>
      <c r="K77" s="20" t="n">
        <v>34111</v>
      </c>
      <c r="L77" s="20" t="n">
        <v>27715</v>
      </c>
    </row>
    <row r="78">
      <c r="A78" s="18" t="inlineStr">
        <is>
          <t>기타</t>
        </is>
      </c>
      <c r="C78" s="20" t="n">
        <v>11764</v>
      </c>
      <c r="D78" s="20" t="n">
        <v>8854</v>
      </c>
      <c r="E78" s="20" t="n">
        <v>8864</v>
      </c>
      <c r="F78" s="20" t="n">
        <v>8633</v>
      </c>
      <c r="G78" s="20" t="n">
        <v>9340</v>
      </c>
      <c r="H78" s="20" t="n">
        <v>11044</v>
      </c>
      <c r="I78" s="20" t="n">
        <v>11801</v>
      </c>
      <c r="J78" s="20" t="n">
        <v>7786</v>
      </c>
      <c r="K78" s="20" t="n">
        <v>7940</v>
      </c>
      <c r="L78" s="20" t="n">
        <v>8633</v>
      </c>
    </row>
    <row r="79">
      <c r="A79" s="18" t="inlineStr">
        <is>
          <t>대손충당금</t>
        </is>
      </c>
      <c r="C79" s="20" t="n">
        <v>-110</v>
      </c>
      <c r="D79" s="20" t="n">
        <v>-111</v>
      </c>
      <c r="E79" s="20" t="n">
        <v>-112</v>
      </c>
      <c r="F79" s="20" t="n">
        <v>-116</v>
      </c>
      <c r="G79" s="20" t="n">
        <v>-116</v>
      </c>
      <c r="H79" s="20" t="n">
        <v>-99</v>
      </c>
      <c r="I79" s="20" t="n">
        <v>-113</v>
      </c>
      <c r="J79" s="20" t="n">
        <v>-113</v>
      </c>
      <c r="K79" s="20" t="n">
        <v>-111</v>
      </c>
      <c r="L79" s="20" t="n">
        <v>-116</v>
      </c>
    </row>
    <row r="80">
      <c r="A80" s="9" t="inlineStr">
        <is>
          <t>유동자산 합계</t>
        </is>
      </c>
      <c r="C80" s="12" t="n">
        <v>268364</v>
      </c>
      <c r="D80" s="12" t="n">
        <v>280543</v>
      </c>
      <c r="E80" s="12" t="n">
        <v>279852</v>
      </c>
      <c r="F80" s="12" t="n">
        <v>257545</v>
      </c>
      <c r="G80" s="12" t="n">
        <v>285768</v>
      </c>
      <c r="H80" s="12" t="n">
        <v>274947</v>
      </c>
      <c r="I80" s="12" t="n">
        <v>296631</v>
      </c>
      <c r="J80" s="12" t="n">
        <v>300982</v>
      </c>
      <c r="K80" s="12" t="n">
        <v>298134</v>
      </c>
      <c r="L80" s="12" t="n">
        <v>257545</v>
      </c>
    </row>
    <row r="81">
      <c r="A81" s="18" t="inlineStr">
        <is>
          <t>건물·구축물(순액)</t>
        </is>
      </c>
      <c r="C81" s="20" t="n">
        <v>45364</v>
      </c>
      <c r="D81" s="20" t="n">
        <v>45811</v>
      </c>
      <c r="E81" s="20" t="n">
        <v>45160</v>
      </c>
      <c r="F81" s="20" t="n">
        <v>49246</v>
      </c>
      <c r="G81" s="20" t="n">
        <v>49210</v>
      </c>
      <c r="H81" s="20" t="n">
        <v>46706</v>
      </c>
      <c r="I81" s="20" t="n">
        <v>41912</v>
      </c>
      <c r="J81" s="20" t="n">
        <v>45247</v>
      </c>
      <c r="K81" s="20" t="n">
        <v>45382</v>
      </c>
      <c r="L81" s="20" t="n">
        <v>49246</v>
      </c>
    </row>
    <row r="82">
      <c r="A82" s="18" t="inlineStr">
        <is>
          <t>기계장치·운반구(순액)</t>
        </is>
      </c>
      <c r="C82" s="20" t="n">
        <v>39438</v>
      </c>
      <c r="D82" s="20" t="n">
        <v>40630</v>
      </c>
      <c r="E82" s="20" t="n">
        <v>42708</v>
      </c>
      <c r="F82" s="20" t="n">
        <v>50820</v>
      </c>
      <c r="G82" s="20" t="n">
        <v>50207</v>
      </c>
      <c r="H82" s="20" t="n">
        <v>38995</v>
      </c>
      <c r="I82" s="20" t="n">
        <v>31467</v>
      </c>
      <c r="J82" s="20" t="n">
        <v>39379</v>
      </c>
      <c r="K82" s="20" t="n">
        <v>40706</v>
      </c>
      <c r="L82" s="20" t="n">
        <v>50820</v>
      </c>
    </row>
    <row r="83">
      <c r="A83" s="18" t="inlineStr">
        <is>
          <t>토지</t>
        </is>
      </c>
      <c r="C83" s="20" t="n">
        <v>17851</v>
      </c>
      <c r="D83" s="20" t="n">
        <v>17857</v>
      </c>
      <c r="E83" s="20" t="n">
        <v>17936</v>
      </c>
      <c r="F83" s="20" t="n">
        <v>18069</v>
      </c>
      <c r="G83" s="20" t="n">
        <v>18082</v>
      </c>
      <c r="H83" s="20" t="n">
        <v>18151</v>
      </c>
      <c r="I83" s="20" t="n">
        <v>15393</v>
      </c>
      <c r="J83" s="20" t="n">
        <v>15841</v>
      </c>
      <c r="K83" s="20" t="n">
        <v>17937</v>
      </c>
      <c r="L83" s="20" t="n">
        <v>18069</v>
      </c>
    </row>
    <row r="84">
      <c r="A84" s="18" t="inlineStr">
        <is>
          <t>건설중인자산</t>
        </is>
      </c>
      <c r="C84" s="20" t="n">
        <v>35726</v>
      </c>
      <c r="D84" s="20" t="n">
        <v>65104</v>
      </c>
      <c r="E84" s="20" t="n">
        <v>70259</v>
      </c>
      <c r="F84" s="20" t="n">
        <v>70354</v>
      </c>
      <c r="G84" s="20" t="n">
        <v>84114</v>
      </c>
      <c r="H84" s="20" t="n">
        <v>10153</v>
      </c>
      <c r="I84" s="20" t="n">
        <v>20425</v>
      </c>
      <c r="J84" s="20" t="n">
        <v>25029</v>
      </c>
      <c r="K84" s="20" t="n">
        <v>34361</v>
      </c>
      <c r="L84" s="20" t="n">
        <v>70354</v>
      </c>
    </row>
    <row r="85">
      <c r="A85" s="18" t="inlineStr">
        <is>
          <t>기타(순액)</t>
        </is>
      </c>
      <c r="C85" s="20" t="n">
        <v>5366</v>
      </c>
      <c r="D85" s="20" t="n">
        <v>5212</v>
      </c>
      <c r="E85" s="20" t="n">
        <v>5230</v>
      </c>
      <c r="F85" s="20" t="n">
        <v>5627</v>
      </c>
      <c r="G85" s="20" t="n">
        <v>5781</v>
      </c>
      <c r="H85" s="20" t="n">
        <v>4293</v>
      </c>
      <c r="I85" s="20" t="n">
        <v>4726</v>
      </c>
      <c r="J85" s="20" t="n">
        <v>5176</v>
      </c>
      <c r="K85" s="20" t="n">
        <v>5316</v>
      </c>
      <c r="L85" s="20" t="n">
        <v>5627</v>
      </c>
    </row>
    <row r="86">
      <c r="A86" s="18" t="inlineStr">
        <is>
          <t>유형자산 합계</t>
        </is>
      </c>
      <c r="C86" s="20" t="n">
        <v>143745</v>
      </c>
      <c r="D86" s="20" t="n">
        <v>174615</v>
      </c>
      <c r="E86" s="20" t="n">
        <v>181294</v>
      </c>
      <c r="F86" s="20" t="n">
        <v>194116</v>
      </c>
      <c r="G86" s="20" t="n">
        <v>207394</v>
      </c>
      <c r="H86" s="20" t="n">
        <v>118299</v>
      </c>
      <c r="I86" s="20" t="n">
        <v>113924</v>
      </c>
      <c r="J86" s="20" t="n">
        <v>130672</v>
      </c>
      <c r="K86" s="20" t="n">
        <v>143703</v>
      </c>
      <c r="L86" s="20" t="n">
        <v>194116</v>
      </c>
    </row>
    <row r="87">
      <c r="A87" s="18" t="inlineStr">
        <is>
          <t>기타</t>
        </is>
      </c>
      <c r="C87" s="20" t="n">
        <v>6027</v>
      </c>
      <c r="D87" s="20" t="n">
        <v>5588</v>
      </c>
      <c r="E87" s="20" t="n">
        <v>5570</v>
      </c>
      <c r="F87" s="20" t="n">
        <v>6337</v>
      </c>
      <c r="G87" s="20" t="n">
        <v>6267</v>
      </c>
      <c r="H87" s="20" t="n">
        <v>3249</v>
      </c>
      <c r="I87" s="20" t="n">
        <v>4442</v>
      </c>
      <c r="J87" s="20" t="n">
        <v>5432</v>
      </c>
      <c r="K87" s="20" t="n">
        <v>5985</v>
      </c>
      <c r="L87" s="20" t="n">
        <v>6337</v>
      </c>
    </row>
    <row r="88">
      <c r="A88" s="18" t="inlineStr">
        <is>
          <t>무형자산 합계</t>
        </is>
      </c>
      <c r="C88" s="20" t="n">
        <v>6027</v>
      </c>
      <c r="D88" s="20" t="n">
        <v>5588</v>
      </c>
      <c r="E88" s="20" t="n">
        <v>5570</v>
      </c>
      <c r="F88" s="20" t="n">
        <v>6337</v>
      </c>
      <c r="G88" s="20" t="n">
        <v>6267</v>
      </c>
      <c r="H88" s="20" t="n">
        <v>3249</v>
      </c>
      <c r="I88" s="20" t="n">
        <v>4442</v>
      </c>
      <c r="J88" s="20" t="n">
        <v>5432</v>
      </c>
      <c r="K88" s="20" t="n">
        <v>5985</v>
      </c>
      <c r="L88" s="20" t="n">
        <v>6337</v>
      </c>
    </row>
    <row r="89">
      <c r="A89" s="18" t="inlineStr">
        <is>
          <t>투자유가증권</t>
        </is>
      </c>
      <c r="C89" s="20" t="n">
        <v>73540</v>
      </c>
      <c r="D89" s="20" t="n">
        <v>63526</v>
      </c>
      <c r="E89" s="20" t="n">
        <v>70264</v>
      </c>
      <c r="F89" s="20" t="n">
        <v>73712</v>
      </c>
      <c r="G89" s="20" t="n">
        <v>90099</v>
      </c>
      <c r="H89" s="20" t="n">
        <v>80729</v>
      </c>
      <c r="I89" s="20" t="n">
        <v>100113</v>
      </c>
      <c r="J89" s="20" t="n">
        <v>85316</v>
      </c>
      <c r="K89" s="20" t="n">
        <v>71191</v>
      </c>
      <c r="L89" s="20" t="n">
        <v>73712</v>
      </c>
    </row>
    <row r="90">
      <c r="A90" s="18" t="inlineStr">
        <is>
          <t>퇴직급여자산</t>
        </is>
      </c>
      <c r="H90" s="20" t="n">
        <v>18</v>
      </c>
      <c r="I90" s="20" t="n">
        <v>1</v>
      </c>
      <c r="J90" s="20" t="n">
        <v>6</v>
      </c>
      <c r="K90" s="20" t="n">
        <v>0</v>
      </c>
    </row>
    <row r="91">
      <c r="A91" s="18" t="inlineStr">
        <is>
          <t>이연법인세자산</t>
        </is>
      </c>
      <c r="C91" s="20" t="n">
        <v>6075</v>
      </c>
      <c r="D91" s="20" t="n">
        <v>7902</v>
      </c>
      <c r="E91" s="20" t="n">
        <v>6070</v>
      </c>
      <c r="F91" s="20" t="n">
        <v>6486</v>
      </c>
      <c r="G91" s="20" t="n">
        <v>3448</v>
      </c>
      <c r="H91" s="20" t="n">
        <v>616</v>
      </c>
      <c r="I91" s="20" t="n">
        <v>728</v>
      </c>
      <c r="J91" s="20" t="n">
        <v>2220</v>
      </c>
      <c r="K91" s="20" t="n">
        <v>7564</v>
      </c>
      <c r="L91" s="20" t="n">
        <v>6486</v>
      </c>
    </row>
    <row r="92">
      <c r="A92" s="18" t="inlineStr">
        <is>
          <t>기타</t>
        </is>
      </c>
      <c r="C92" s="20" t="n">
        <v>9406</v>
      </c>
      <c r="D92" s="20" t="n">
        <v>9916</v>
      </c>
      <c r="E92" s="20" t="n">
        <v>9976</v>
      </c>
      <c r="F92" s="20" t="n">
        <v>13123</v>
      </c>
      <c r="G92" s="20" t="n">
        <v>13515</v>
      </c>
      <c r="H92" s="20" t="n">
        <v>7021</v>
      </c>
      <c r="I92" s="20" t="n">
        <v>7249</v>
      </c>
      <c r="J92" s="20" t="n">
        <v>9208</v>
      </c>
      <c r="K92" s="20" t="n">
        <v>9371</v>
      </c>
      <c r="L92" s="20" t="n">
        <v>13123</v>
      </c>
    </row>
    <row r="93">
      <c r="A93" s="18" t="inlineStr">
        <is>
          <t>대손충당금</t>
        </is>
      </c>
      <c r="C93" s="20" t="n">
        <v>-2305</v>
      </c>
      <c r="D93" s="20" t="n">
        <v>-2564</v>
      </c>
      <c r="E93" s="20" t="n">
        <v>-2726</v>
      </c>
      <c r="F93" s="20" t="n">
        <v>-3073</v>
      </c>
      <c r="G93" s="20" t="n">
        <v>-3172</v>
      </c>
      <c r="H93" s="20" t="n">
        <v>-219</v>
      </c>
      <c r="I93" s="20" t="n">
        <v>-219</v>
      </c>
      <c r="J93" s="20" t="n">
        <v>-1582</v>
      </c>
      <c r="K93" s="20" t="n">
        <v>-2163</v>
      </c>
      <c r="L93" s="20" t="n">
        <v>-3073</v>
      </c>
    </row>
    <row r="94">
      <c r="A94" s="18" t="inlineStr">
        <is>
          <t>투자 및 기타자산 합계</t>
        </is>
      </c>
      <c r="C94" s="20" t="n">
        <v>86716</v>
      </c>
      <c r="D94" s="20" t="n">
        <v>78780</v>
      </c>
      <c r="E94" s="20" t="n">
        <v>83584</v>
      </c>
      <c r="F94" s="20" t="n">
        <v>90248</v>
      </c>
      <c r="G94" s="20" t="n">
        <v>103890</v>
      </c>
      <c r="H94" s="20" t="n">
        <v>88166</v>
      </c>
      <c r="I94" s="20" t="n">
        <v>107871</v>
      </c>
      <c r="J94" s="20" t="n">
        <v>95168</v>
      </c>
      <c r="K94" s="20" t="n">
        <v>85964</v>
      </c>
      <c r="L94" s="20" t="n">
        <v>90248</v>
      </c>
    </row>
    <row r="95">
      <c r="A95" s="9" t="inlineStr">
        <is>
          <t>비유동자산 합계</t>
        </is>
      </c>
      <c r="C95" s="12" t="n">
        <v>236488</v>
      </c>
      <c r="D95" s="12" t="n">
        <v>258983</v>
      </c>
      <c r="E95" s="12" t="n">
        <v>270448</v>
      </c>
      <c r="F95" s="12" t="n">
        <v>290701</v>
      </c>
      <c r="G95" s="12" t="n">
        <v>317551</v>
      </c>
      <c r="H95" s="12" t="n">
        <v>209713</v>
      </c>
      <c r="I95" s="12" t="n">
        <v>226237</v>
      </c>
      <c r="J95" s="12" t="n">
        <v>231272</v>
      </c>
      <c r="K95" s="12" t="n">
        <v>235652</v>
      </c>
      <c r="L95" s="12" t="n">
        <v>290701</v>
      </c>
    </row>
    <row r="96">
      <c r="A96" s="9" t="inlineStr">
        <is>
          <t>자산 합계</t>
        </is>
      </c>
      <c r="C96" s="12" t="n">
        <v>504852</v>
      </c>
      <c r="D96" s="12" t="n">
        <v>539526</v>
      </c>
      <c r="E96" s="12" t="n">
        <v>550300</v>
      </c>
      <c r="F96" s="12" t="n">
        <v>548246</v>
      </c>
      <c r="G96" s="12" t="n">
        <v>603320</v>
      </c>
      <c r="H96" s="12" t="n">
        <v>484660</v>
      </c>
      <c r="I96" s="12" t="n">
        <v>522868</v>
      </c>
      <c r="J96" s="12" t="n">
        <v>532254</v>
      </c>
      <c r="K96" s="12" t="n">
        <v>533786</v>
      </c>
      <c r="L96" s="12" t="n">
        <v>548246</v>
      </c>
    </row>
    <row r="97">
      <c r="A97" s="18" t="inlineStr">
        <is>
          <t>지급어음·매입채무</t>
        </is>
      </c>
      <c r="C97" s="20" t="n">
        <v>47720</v>
      </c>
      <c r="D97" s="20" t="n">
        <v>60554</v>
      </c>
      <c r="E97" s="20" t="n">
        <v>74053</v>
      </c>
      <c r="F97" s="20" t="n">
        <v>58734</v>
      </c>
      <c r="G97" s="20" t="n">
        <v>68153</v>
      </c>
      <c r="H97" s="20" t="n">
        <v>79833</v>
      </c>
      <c r="I97" s="20" t="n">
        <v>83659</v>
      </c>
      <c r="J97" s="20" t="n">
        <v>83449</v>
      </c>
      <c r="K97" s="20" t="n">
        <v>68617</v>
      </c>
      <c r="L97" s="20" t="n">
        <v>58734</v>
      </c>
    </row>
    <row r="98">
      <c r="A98" s="18" t="inlineStr">
        <is>
          <t>전자기록채무</t>
        </is>
      </c>
      <c r="C98" s="20" t="n">
        <v>2676</v>
      </c>
      <c r="D98" s="20" t="n">
        <v>2705</v>
      </c>
      <c r="E98" s="20" t="n">
        <v>3102</v>
      </c>
      <c r="F98" s="20" t="n">
        <v>2550</v>
      </c>
      <c r="G98" s="20" t="n">
        <v>3007</v>
      </c>
      <c r="H98" s="20" t="n">
        <v>3161</v>
      </c>
      <c r="I98" s="20" t="n">
        <v>3122</v>
      </c>
      <c r="J98" s="20" t="n">
        <v>3305</v>
      </c>
      <c r="K98" s="20" t="n">
        <v>2892</v>
      </c>
      <c r="L98" s="20" t="n">
        <v>2550</v>
      </c>
    </row>
    <row r="99">
      <c r="A99" s="18" t="inlineStr">
        <is>
          <t>단기차입금</t>
        </is>
      </c>
      <c r="C99" s="20" t="n">
        <v>8960</v>
      </c>
      <c r="D99" s="20" t="n">
        <v>8960</v>
      </c>
      <c r="E99" s="20" t="n">
        <v>8960</v>
      </c>
      <c r="F99" s="20" t="n">
        <v>8960</v>
      </c>
      <c r="G99" s="20" t="n">
        <v>8960</v>
      </c>
      <c r="H99" s="20" t="n">
        <v>8960</v>
      </c>
      <c r="I99" s="20" t="n">
        <v>8960</v>
      </c>
      <c r="J99" s="20" t="n">
        <v>8960</v>
      </c>
      <c r="K99" s="20" t="n">
        <v>8960</v>
      </c>
      <c r="L99" s="20" t="n">
        <v>8960</v>
      </c>
    </row>
    <row r="100">
      <c r="A100" s="18" t="inlineStr">
        <is>
          <t>기업어음(CP)</t>
        </is>
      </c>
      <c r="C100" s="20" t="n">
        <v>19000</v>
      </c>
      <c r="D100" s="20" t="n">
        <v>0</v>
      </c>
      <c r="E100" s="20" t="n">
        <v>0</v>
      </c>
      <c r="F100" s="20" t="n">
        <v>7000</v>
      </c>
      <c r="G100" s="20" t="n">
        <v>28000</v>
      </c>
      <c r="H100" s="20" t="n">
        <v>0</v>
      </c>
      <c r="I100" s="20" t="n">
        <v>19000</v>
      </c>
      <c r="J100" s="20" t="n">
        <v>0</v>
      </c>
      <c r="K100" s="20" t="n">
        <v>17000</v>
      </c>
      <c r="L100" s="20" t="n">
        <v>7000</v>
      </c>
    </row>
    <row r="101">
      <c r="A101" s="18" t="inlineStr">
        <is>
          <t>1년 내 상환 사채</t>
        </is>
      </c>
      <c r="H101" s="20" t="n">
        <v>10000</v>
      </c>
      <c r="I101" s="20" t="n">
        <v>0</v>
      </c>
    </row>
    <row r="102">
      <c r="A102" s="18" t="inlineStr">
        <is>
          <t>미지급금</t>
        </is>
      </c>
      <c r="F102" s="20" t="n">
        <v>29430</v>
      </c>
      <c r="G102" s="20" t="n">
        <v>36209</v>
      </c>
      <c r="K102" s="20" t="n">
        <v>21764</v>
      </c>
      <c r="L102" s="20" t="n">
        <v>29430</v>
      </c>
    </row>
    <row r="103">
      <c r="A103" s="18" t="inlineStr">
        <is>
          <t>미지급법인세</t>
        </is>
      </c>
      <c r="C103" s="20" t="n">
        <v>3401</v>
      </c>
      <c r="D103" s="20" t="n">
        <v>9584</v>
      </c>
      <c r="E103" s="20" t="n">
        <v>7571</v>
      </c>
      <c r="F103" s="20" t="n">
        <v>10005</v>
      </c>
      <c r="G103" s="20" t="n">
        <v>6054</v>
      </c>
      <c r="H103" s="20" t="n">
        <v>7042</v>
      </c>
      <c r="I103" s="20" t="n">
        <v>2898</v>
      </c>
      <c r="J103" s="20" t="n">
        <v>7239</v>
      </c>
      <c r="K103" s="20" t="n">
        <v>2979</v>
      </c>
      <c r="L103" s="20" t="n">
        <v>10005</v>
      </c>
    </row>
    <row r="104">
      <c r="A104" s="18" t="inlineStr">
        <is>
          <t>상여충당금</t>
        </is>
      </c>
      <c r="C104" s="20" t="n">
        <v>549</v>
      </c>
      <c r="D104" s="20" t="n">
        <v>2404</v>
      </c>
      <c r="E104" s="20" t="n">
        <v>570</v>
      </c>
      <c r="F104" s="20" t="n">
        <v>2783</v>
      </c>
      <c r="G104" s="20" t="n">
        <v>744</v>
      </c>
      <c r="H104" s="20" t="n">
        <v>2823</v>
      </c>
      <c r="I104" s="20" t="n">
        <v>2625</v>
      </c>
      <c r="J104" s="20" t="n">
        <v>2764</v>
      </c>
      <c r="K104" s="20" t="n">
        <v>3067</v>
      </c>
      <c r="L104" s="20" t="n">
        <v>2783</v>
      </c>
    </row>
    <row r="105">
      <c r="A105" s="18" t="inlineStr">
        <is>
          <t>수선충당금</t>
        </is>
      </c>
      <c r="C105" s="20" t="n">
        <v>8198</v>
      </c>
      <c r="D105" s="20" t="n">
        <v>4701</v>
      </c>
      <c r="E105" s="20" t="n">
        <v>4033</v>
      </c>
      <c r="F105" s="20" t="n">
        <v>4728</v>
      </c>
      <c r="G105" s="20" t="n">
        <v>9434</v>
      </c>
      <c r="H105" s="20" t="n">
        <v>3275</v>
      </c>
      <c r="I105" s="20" t="n">
        <v>5634</v>
      </c>
      <c r="J105" s="20" t="n">
        <v>4098</v>
      </c>
      <c r="K105" s="20" t="n">
        <v>7709</v>
      </c>
      <c r="L105" s="20" t="n">
        <v>4728</v>
      </c>
    </row>
    <row r="106">
      <c r="A106" s="18" t="inlineStr">
        <is>
          <t>기타 충당금</t>
        </is>
      </c>
      <c r="C106" s="20" t="n">
        <v>13</v>
      </c>
      <c r="D106" s="20" t="n">
        <v>15</v>
      </c>
      <c r="E106" s="20" t="n">
        <v>96</v>
      </c>
      <c r="F106" s="20" t="n">
        <v>25</v>
      </c>
      <c r="G106" s="20" t="n">
        <v>150</v>
      </c>
      <c r="H106" s="20" t="n">
        <v>100</v>
      </c>
      <c r="I106" s="20" t="n">
        <v>47</v>
      </c>
      <c r="J106" s="20" t="n">
        <v>184</v>
      </c>
      <c r="K106" s="20" t="n">
        <v>12</v>
      </c>
      <c r="L106" s="20" t="n">
        <v>25</v>
      </c>
    </row>
    <row r="107">
      <c r="A107" s="18" t="inlineStr">
        <is>
          <t>기타</t>
        </is>
      </c>
      <c r="C107" s="20" t="n">
        <v>33741</v>
      </c>
      <c r="D107" s="20" t="n">
        <v>66861</v>
      </c>
      <c r="E107" s="20" t="n">
        <v>64681</v>
      </c>
      <c r="F107" s="20" t="n">
        <v>20036</v>
      </c>
      <c r="G107" s="20" t="n">
        <v>21625</v>
      </c>
      <c r="H107" s="20" t="n">
        <v>23458</v>
      </c>
      <c r="I107" s="20" t="n">
        <v>34641</v>
      </c>
      <c r="J107" s="20" t="n">
        <v>33560</v>
      </c>
      <c r="K107" s="20" t="n">
        <v>19022</v>
      </c>
      <c r="L107" s="20" t="n">
        <v>20036</v>
      </c>
    </row>
    <row r="108">
      <c r="A108" s="9" t="inlineStr">
        <is>
          <t>유동부채 합계</t>
        </is>
      </c>
      <c r="C108" s="12" t="n">
        <v>124258</v>
      </c>
      <c r="D108" s="12" t="n">
        <v>155783</v>
      </c>
      <c r="E108" s="12" t="n">
        <v>163066</v>
      </c>
      <c r="F108" s="12" t="n">
        <v>144250</v>
      </c>
      <c r="G108" s="12" t="n">
        <v>182336</v>
      </c>
      <c r="H108" s="12" t="n">
        <v>138653</v>
      </c>
      <c r="I108" s="12" t="n">
        <v>160587</v>
      </c>
      <c r="J108" s="12" t="n">
        <v>143561</v>
      </c>
      <c r="K108" s="12" t="n">
        <v>152022</v>
      </c>
      <c r="L108" s="12" t="n">
        <v>144250</v>
      </c>
    </row>
    <row r="109">
      <c r="A109" s="18" t="inlineStr">
        <is>
          <t>사채</t>
        </is>
      </c>
      <c r="H109" s="20" t="n">
        <v>0</v>
      </c>
    </row>
    <row r="110">
      <c r="A110" s="18" t="inlineStr">
        <is>
          <t>장기 미지급 법인세</t>
        </is>
      </c>
      <c r="F110" s="20" t="n">
        <v>40</v>
      </c>
      <c r="G110" s="20" t="n">
        <v>40</v>
      </c>
      <c r="K110" s="20" t="n">
        <v>0</v>
      </c>
      <c r="L110" s="20" t="n">
        <v>40</v>
      </c>
    </row>
    <row r="111">
      <c r="A111" s="18" t="inlineStr">
        <is>
          <t>이연법인세부채</t>
        </is>
      </c>
      <c r="C111" s="20" t="n">
        <v>1195</v>
      </c>
      <c r="D111" s="20" t="n">
        <v>1360</v>
      </c>
      <c r="E111" s="20" t="n">
        <v>1432</v>
      </c>
      <c r="F111" s="20" t="n">
        <v>1421</v>
      </c>
      <c r="G111" s="20" t="n">
        <v>3069</v>
      </c>
      <c r="H111" s="20" t="n">
        <v>3243</v>
      </c>
      <c r="I111" s="20" t="n">
        <v>2272</v>
      </c>
      <c r="J111" s="20" t="n">
        <v>2025</v>
      </c>
      <c r="K111" s="20" t="n">
        <v>1142</v>
      </c>
      <c r="L111" s="20" t="n">
        <v>1421</v>
      </c>
    </row>
    <row r="112">
      <c r="A112" s="18" t="inlineStr">
        <is>
          <t>퇴직급여부채</t>
        </is>
      </c>
      <c r="C112" s="20" t="n">
        <v>13985</v>
      </c>
      <c r="D112" s="20" t="n">
        <v>14047</v>
      </c>
      <c r="E112" s="20" t="n">
        <v>14146</v>
      </c>
      <c r="F112" s="20" t="n">
        <v>12983</v>
      </c>
      <c r="G112" s="20" t="n">
        <v>13263</v>
      </c>
      <c r="H112" s="20" t="n">
        <v>13602</v>
      </c>
      <c r="I112" s="20" t="n">
        <v>13759</v>
      </c>
      <c r="J112" s="20" t="n">
        <v>14160</v>
      </c>
      <c r="K112" s="20" t="n">
        <v>14195</v>
      </c>
      <c r="L112" s="20" t="n">
        <v>12983</v>
      </c>
    </row>
    <row r="113">
      <c r="A113" s="18" t="inlineStr">
        <is>
          <t>수선충당금</t>
        </is>
      </c>
      <c r="C113" s="20" t="n">
        <v>2035</v>
      </c>
      <c r="D113" s="20" t="n">
        <v>630</v>
      </c>
      <c r="E113" s="20" t="n">
        <v>1740</v>
      </c>
      <c r="F113" s="20" t="n">
        <v>3044</v>
      </c>
      <c r="G113" s="20" t="n">
        <v>561</v>
      </c>
      <c r="H113" s="20" t="n">
        <v>2021</v>
      </c>
      <c r="I113" s="20" t="n">
        <v>930</v>
      </c>
      <c r="J113" s="20" t="n">
        <v>2332</v>
      </c>
      <c r="K113" s="20" t="n">
        <v>1181</v>
      </c>
      <c r="L113" s="20" t="n">
        <v>3044</v>
      </c>
    </row>
    <row r="114">
      <c r="A114" s="18" t="inlineStr">
        <is>
          <t>기타 충당금</t>
        </is>
      </c>
      <c r="C114" s="20" t="n">
        <v>506</v>
      </c>
      <c r="D114" s="20" t="n">
        <v>431</v>
      </c>
      <c r="E114" s="20" t="n">
        <v>476</v>
      </c>
      <c r="F114" s="20" t="n">
        <v>531</v>
      </c>
      <c r="G114" s="20" t="n">
        <v>370</v>
      </c>
      <c r="H114" s="20" t="n">
        <v>69</v>
      </c>
      <c r="I114" s="20" t="n">
        <v>46</v>
      </c>
      <c r="J114" s="20" t="n">
        <v>195</v>
      </c>
      <c r="K114" s="20" t="n">
        <v>435</v>
      </c>
      <c r="L114" s="20" t="n">
        <v>531</v>
      </c>
    </row>
    <row r="115">
      <c r="A115" s="18" t="inlineStr">
        <is>
          <t>기타</t>
        </is>
      </c>
      <c r="C115" s="20" t="n">
        <v>6591</v>
      </c>
      <c r="D115" s="20" t="n">
        <v>6489</v>
      </c>
      <c r="E115" s="20" t="n">
        <v>6875</v>
      </c>
      <c r="F115" s="20" t="n">
        <v>7725</v>
      </c>
      <c r="G115" s="20" t="n">
        <v>7870</v>
      </c>
      <c r="H115" s="20" t="n">
        <v>5237</v>
      </c>
      <c r="I115" s="20" t="n">
        <v>5965</v>
      </c>
      <c r="J115" s="20" t="n">
        <v>6254</v>
      </c>
      <c r="K115" s="20" t="n">
        <v>6817</v>
      </c>
      <c r="L115" s="20" t="n">
        <v>7725</v>
      </c>
    </row>
    <row r="116">
      <c r="A116" s="9" t="inlineStr">
        <is>
          <t>비유동부채 합계</t>
        </is>
      </c>
      <c r="C116" s="12" t="n">
        <v>24312</v>
      </c>
      <c r="D116" s="12" t="n">
        <v>22957</v>
      </c>
      <c r="E116" s="12" t="n">
        <v>24668</v>
      </c>
      <c r="F116" s="12" t="n">
        <v>25744</v>
      </c>
      <c r="G116" s="12" t="n">
        <v>25172</v>
      </c>
      <c r="H116" s="12" t="n">
        <v>24172</v>
      </c>
      <c r="I116" s="12" t="n">
        <v>22973</v>
      </c>
      <c r="J116" s="12" t="n">
        <v>24965</v>
      </c>
      <c r="K116" s="12" t="n">
        <v>23771</v>
      </c>
      <c r="L116" s="12" t="n">
        <v>25744</v>
      </c>
    </row>
    <row r="117">
      <c r="A117" s="9" t="inlineStr">
        <is>
          <t>부채 합계</t>
        </is>
      </c>
      <c r="C117" s="12" t="n">
        <v>148570</v>
      </c>
      <c r="D117" s="12" t="n">
        <v>178741</v>
      </c>
      <c r="E117" s="12" t="n">
        <v>187733</v>
      </c>
      <c r="F117" s="12" t="n">
        <v>169994</v>
      </c>
      <c r="G117" s="12" t="n">
        <v>207508</v>
      </c>
      <c r="H117" s="12" t="n">
        <v>162824</v>
      </c>
      <c r="I117" s="12" t="n">
        <v>183560</v>
      </c>
      <c r="J117" s="12" t="n">
        <v>168525</v>
      </c>
      <c r="K117" s="12" t="n">
        <v>175793</v>
      </c>
      <c r="L117" s="12" t="n">
        <v>169994</v>
      </c>
    </row>
    <row r="118">
      <c r="A118" s="18" t="inlineStr">
        <is>
          <t>자본금</t>
        </is>
      </c>
      <c r="C118" s="20" t="n">
        <v>24211</v>
      </c>
      <c r="D118" s="20" t="n">
        <v>24211</v>
      </c>
      <c r="E118" s="20" t="n">
        <v>24211</v>
      </c>
      <c r="F118" s="20" t="n">
        <v>24211</v>
      </c>
      <c r="G118" s="20" t="n">
        <v>24211</v>
      </c>
      <c r="H118" s="20" t="n">
        <v>24211</v>
      </c>
      <c r="I118" s="20" t="n">
        <v>24211</v>
      </c>
      <c r="J118" s="20" t="n">
        <v>24211</v>
      </c>
      <c r="K118" s="20" t="n">
        <v>24211</v>
      </c>
      <c r="L118" s="20" t="n">
        <v>24211</v>
      </c>
    </row>
    <row r="119">
      <c r="A119" s="18" t="inlineStr">
        <is>
          <t>자본잉여금</t>
        </is>
      </c>
      <c r="C119" s="20" t="n">
        <v>19116</v>
      </c>
      <c r="D119" s="20" t="n">
        <v>19323</v>
      </c>
      <c r="E119" s="20" t="n">
        <v>19323</v>
      </c>
      <c r="F119" s="20" t="n">
        <v>19323</v>
      </c>
      <c r="G119" s="20" t="n">
        <v>19323</v>
      </c>
      <c r="H119" s="20" t="n">
        <v>19162</v>
      </c>
      <c r="I119" s="20" t="n">
        <v>19137</v>
      </c>
      <c r="J119" s="20" t="n">
        <v>19582</v>
      </c>
      <c r="K119" s="20" t="n">
        <v>19323</v>
      </c>
      <c r="L119" s="20" t="n">
        <v>19323</v>
      </c>
    </row>
    <row r="120">
      <c r="A120" s="18" t="inlineStr">
        <is>
          <t>이익잉여금</t>
        </is>
      </c>
      <c r="C120" s="20" t="n">
        <v>289257</v>
      </c>
      <c r="D120" s="20" t="n">
        <v>303849</v>
      </c>
      <c r="E120" s="20" t="n">
        <v>302851</v>
      </c>
      <c r="F120" s="20" t="n">
        <v>302770</v>
      </c>
      <c r="G120" s="20" t="n">
        <v>307774</v>
      </c>
      <c r="H120" s="20" t="n">
        <v>272679</v>
      </c>
      <c r="I120" s="20" t="n">
        <v>268363</v>
      </c>
      <c r="J120" s="20" t="n">
        <v>289930</v>
      </c>
      <c r="K120" s="20" t="n">
        <v>287773</v>
      </c>
      <c r="L120" s="20" t="n">
        <v>302770</v>
      </c>
    </row>
    <row r="121">
      <c r="A121" s="18" t="inlineStr">
        <is>
          <t>자기주식</t>
        </is>
      </c>
      <c r="C121" s="20" t="n">
        <v>-22482</v>
      </c>
      <c r="D121" s="20" t="n">
        <v>-27834</v>
      </c>
      <c r="E121" s="20" t="n">
        <v>-31834</v>
      </c>
      <c r="F121" s="20" t="n">
        <v>-23853</v>
      </c>
      <c r="G121" s="20" t="n">
        <v>-23853</v>
      </c>
      <c r="H121" s="20" t="n">
        <v>-23000</v>
      </c>
      <c r="I121" s="20" t="n">
        <v>-19024</v>
      </c>
      <c r="J121" s="20" t="n">
        <v>-19435</v>
      </c>
      <c r="K121" s="20" t="n">
        <v>-21910</v>
      </c>
      <c r="L121" s="20" t="n">
        <v>-23853</v>
      </c>
    </row>
    <row r="122">
      <c r="A122" s="9" t="inlineStr">
        <is>
          <t>주주자본 합계</t>
        </is>
      </c>
      <c r="C122" s="12" t="n">
        <v>310104</v>
      </c>
      <c r="D122" s="12" t="n">
        <v>319550</v>
      </c>
      <c r="E122" s="12" t="n">
        <v>314551</v>
      </c>
      <c r="F122" s="12" t="n">
        <v>322452</v>
      </c>
      <c r="G122" s="12" t="n">
        <v>327456</v>
      </c>
      <c r="H122" s="12" t="n">
        <v>293053</v>
      </c>
      <c r="I122" s="12" t="n">
        <v>292688</v>
      </c>
      <c r="J122" s="12" t="n">
        <v>314288</v>
      </c>
      <c r="K122" s="12" t="n">
        <v>309398</v>
      </c>
      <c r="L122" s="12" t="n">
        <v>322452</v>
      </c>
    </row>
    <row r="123">
      <c r="A123" s="18" t="inlineStr">
        <is>
          <t>기타유가증권 평가차액</t>
        </is>
      </c>
      <c r="C123" s="20" t="n">
        <v>23879</v>
      </c>
      <c r="D123" s="20" t="n">
        <v>20055</v>
      </c>
      <c r="E123" s="20" t="n">
        <v>24091</v>
      </c>
      <c r="F123" s="20" t="n">
        <v>26120</v>
      </c>
      <c r="G123" s="20" t="n">
        <v>37353</v>
      </c>
      <c r="H123" s="20" t="n">
        <v>21186</v>
      </c>
      <c r="I123" s="20" t="n">
        <v>31538</v>
      </c>
      <c r="J123" s="20" t="n">
        <v>30502</v>
      </c>
      <c r="K123" s="20" t="n">
        <v>21815</v>
      </c>
      <c r="L123" s="20" t="n">
        <v>26120</v>
      </c>
    </row>
    <row r="124">
      <c r="A124" s="18" t="inlineStr">
        <is>
          <t>이연헤지손익</t>
        </is>
      </c>
      <c r="C124" s="20" t="n">
        <v>-2</v>
      </c>
      <c r="D124" s="20" t="n">
        <v>1</v>
      </c>
      <c r="E124" s="20" t="n">
        <v>2</v>
      </c>
      <c r="F124" s="20" t="n">
        <v>4</v>
      </c>
      <c r="G124" s="20" t="n">
        <v>4</v>
      </c>
      <c r="H124" s="20" t="n">
        <v>2</v>
      </c>
      <c r="I124" s="20" t="n">
        <v>-1</v>
      </c>
      <c r="J124" s="20" t="n">
        <v>7</v>
      </c>
      <c r="K124" s="20" t="n">
        <v>-4</v>
      </c>
      <c r="L124" s="20" t="n">
        <v>4</v>
      </c>
    </row>
    <row r="125">
      <c r="A125" s="18" t="inlineStr">
        <is>
          <t>해외사업환산조정</t>
        </is>
      </c>
      <c r="C125" s="20" t="n">
        <v>21382</v>
      </c>
      <c r="D125" s="20" t="n">
        <v>20243</v>
      </c>
      <c r="E125" s="20" t="n">
        <v>22930</v>
      </c>
      <c r="F125" s="20" t="n">
        <v>28131</v>
      </c>
      <c r="G125" s="20" t="n">
        <v>29427</v>
      </c>
      <c r="H125" s="20" t="n">
        <v>4767</v>
      </c>
      <c r="I125" s="20" t="n">
        <v>11823</v>
      </c>
      <c r="J125" s="20" t="n">
        <v>17576</v>
      </c>
      <c r="K125" s="20" t="n">
        <v>25819</v>
      </c>
      <c r="L125" s="20" t="n">
        <v>28131</v>
      </c>
    </row>
    <row r="126">
      <c r="A126" s="18" t="inlineStr">
        <is>
          <t>퇴직급여 조정누계액</t>
        </is>
      </c>
      <c r="C126" s="20" t="n">
        <v>211</v>
      </c>
      <c r="D126" s="20" t="n">
        <v>206</v>
      </c>
      <c r="E126" s="20" t="n">
        <v>220</v>
      </c>
      <c r="F126" s="20" t="n">
        <v>769</v>
      </c>
      <c r="G126" s="20" t="n">
        <v>760</v>
      </c>
      <c r="H126" s="20" t="n">
        <v>-384</v>
      </c>
      <c r="I126" s="20" t="n">
        <v>262</v>
      </c>
      <c r="J126" s="20" t="n">
        <v>6</v>
      </c>
      <c r="K126" s="20" t="n">
        <v>225</v>
      </c>
      <c r="L126" s="20" t="n">
        <v>769</v>
      </c>
    </row>
    <row r="127">
      <c r="A127" s="18" t="inlineStr">
        <is>
          <t>기타포괄손익누계액 합계</t>
        </is>
      </c>
      <c r="C127" s="20" t="n">
        <v>45469</v>
      </c>
      <c r="D127" s="20" t="n">
        <v>40504</v>
      </c>
      <c r="E127" s="20" t="n">
        <v>47243</v>
      </c>
      <c r="F127" s="20" t="n">
        <v>55023</v>
      </c>
      <c r="G127" s="20" t="n">
        <v>67544</v>
      </c>
      <c r="H127" s="20" t="n">
        <v>25570</v>
      </c>
      <c r="I127" s="20" t="n">
        <v>43623</v>
      </c>
      <c r="J127" s="20" t="n">
        <v>48092</v>
      </c>
      <c r="K127" s="20" t="n">
        <v>47854</v>
      </c>
      <c r="L127" s="20" t="n">
        <v>55023</v>
      </c>
    </row>
    <row r="128">
      <c r="A128" s="18" t="inlineStr">
        <is>
          <t>신주예약권</t>
        </is>
      </c>
      <c r="C128" s="20" t="n">
        <v>88</v>
      </c>
      <c r="D128" s="20" t="n">
        <v>88</v>
      </c>
      <c r="E128" s="20" t="n">
        <v>88</v>
      </c>
      <c r="F128" s="20" t="n">
        <v>88</v>
      </c>
      <c r="G128" s="20" t="n">
        <v>88</v>
      </c>
      <c r="H128" s="20" t="n">
        <v>126</v>
      </c>
      <c r="I128" s="20" t="n">
        <v>88</v>
      </c>
      <c r="J128" s="20" t="n">
        <v>88</v>
      </c>
      <c r="K128" s="20" t="n">
        <v>88</v>
      </c>
      <c r="L128" s="20" t="n">
        <v>88</v>
      </c>
    </row>
    <row r="129">
      <c r="A129" s="18" t="inlineStr">
        <is>
          <t>비지배지분</t>
        </is>
      </c>
      <c r="C129" s="20" t="n">
        <v>621</v>
      </c>
      <c r="D129" s="20" t="n">
        <v>643</v>
      </c>
      <c r="E129" s="20" t="n">
        <v>684</v>
      </c>
      <c r="F129" s="20" t="n">
        <v>689</v>
      </c>
      <c r="G129" s="20" t="n">
        <v>723</v>
      </c>
      <c r="H129" s="20" t="n">
        <v>3086</v>
      </c>
      <c r="I129" s="20" t="n">
        <v>2910</v>
      </c>
      <c r="J129" s="20" t="n">
        <v>1262</v>
      </c>
      <c r="K129" s="20" t="n">
        <v>652</v>
      </c>
      <c r="L129" s="20" t="n">
        <v>689</v>
      </c>
    </row>
    <row r="130">
      <c r="A130" s="9" t="inlineStr">
        <is>
          <t>순자산 합계</t>
        </is>
      </c>
      <c r="C130" s="12" t="n">
        <v>356282</v>
      </c>
      <c r="D130" s="12" t="n">
        <v>360785</v>
      </c>
      <c r="E130" s="12" t="n">
        <v>362566</v>
      </c>
      <c r="F130" s="12" t="n">
        <v>378252</v>
      </c>
      <c r="G130" s="12" t="n">
        <v>395811</v>
      </c>
      <c r="H130" s="12" t="n">
        <v>321836</v>
      </c>
      <c r="I130" s="12" t="n">
        <v>339308</v>
      </c>
      <c r="J130" s="12" t="n">
        <v>363729</v>
      </c>
      <c r="K130" s="12" t="n">
        <v>357992</v>
      </c>
      <c r="L130" s="12" t="n">
        <v>378252</v>
      </c>
    </row>
    <row r="131">
      <c r="A131" s="9" t="inlineStr">
        <is>
          <t>부채·순자산 합계</t>
        </is>
      </c>
      <c r="C131" s="12" t="n">
        <v>504852</v>
      </c>
      <c r="D131" s="12" t="n">
        <v>539526</v>
      </c>
      <c r="E131" s="12" t="n">
        <v>550300</v>
      </c>
      <c r="F131" s="12" t="n">
        <v>548246</v>
      </c>
      <c r="G131" s="12" t="n">
        <v>603320</v>
      </c>
      <c r="H131" s="12" t="n">
        <v>484660</v>
      </c>
      <c r="I131" s="12" t="n">
        <v>522868</v>
      </c>
      <c r="J131" s="12" t="n">
        <v>532254</v>
      </c>
      <c r="K131" s="12" t="n">
        <v>533786</v>
      </c>
      <c r="L131" s="12" t="n">
        <v>548246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https://www2.jpx.co.jp/disc/42050/140120260728501240.pdf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https://www2.jpx.co.jp/disc/42050/140120260512526007.pdf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https://www2.jpx.co.jp/disc/42050/140120260129541964.pdf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https://www2.jpx.co.jp/disc/42050/140120251030582485.pdf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https://www2.jpx.co.jp/disc/42050/140120250729522977.pdf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https://www2.jpx.co.jp/disc/42050/140120250424522720.pdf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https://www2.jpx.co.jp/disc/42050/140120250130558804.pdf</t>
        </is>
      </c>
    </row>
    <row r="11">
      <c r="A11" t="inlineStr">
        <is>
          <t>2024-10-28</t>
        </is>
      </c>
      <c r="B11" t="inlineStr">
        <is>
          <t>2025년 3월 결산기 ２분기 결산단신</t>
        </is>
      </c>
      <c r="C11" t="inlineStr">
        <is>
          <t>https://www2.jpx.co.jp/disc/42050/140120241025503031.pdf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https://www2.jpx.co.jp/disc/42050/140120240726556033.pdf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https://www2.jpx.co.jp/disc/42050/140120240424575818.pdf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https://www2.jpx.co.jp/disc/42050/140120240130521675.pdf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https://www2.jpx.co.jp/disc/42050/140120231026572244.pdf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https://www2.jpx.co.jp/disc/42050/140120230726527467.pdf</t>
        </is>
      </c>
    </row>
    <row r="17">
      <c r="A17" t="inlineStr">
        <is>
          <t>2023-04-26</t>
        </is>
      </c>
      <c r="B17" t="inlineStr">
        <is>
          <t>2023년 3월 결산기 연간 결산단신</t>
        </is>
      </c>
      <c r="C17" t="inlineStr">
        <is>
          <t>https://www2.jpx.co.jp/disc/42050/140120230425551922.pdf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https://www2.jpx.co.jp/disc/42050/140120230126594421.pdf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https://www2.jpx.co.jp/disc/42050/140120221025549136.pdf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https://www2.jpx.co.jp/disc/42050/140120220426527950.pdf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https://www2.jpx.co.jp/disc/42050/140120210427401516.pdf</t>
        </is>
      </c>
    </row>
    <row r="22">
      <c r="A22" t="inlineStr">
        <is>
          <t>2020-04-28</t>
        </is>
      </c>
      <c r="B22" t="inlineStr">
        <is>
          <t>연간 결산단신</t>
        </is>
      </c>
      <c r="C22" t="inlineStr">
        <is>
          <t>https://www2.jpx.co.jp/disc/42050/140120200427400135.pdf</t>
        </is>
      </c>
    </row>
    <row r="23">
      <c r="A23" t="inlineStr">
        <is>
          <t>2019-04-26</t>
        </is>
      </c>
      <c r="B23" t="inlineStr">
        <is>
          <t>연간 결산단신</t>
        </is>
      </c>
      <c r="C23" t="inlineStr">
        <is>
          <t>https://www2.jpx.co.jp/disc/42050/140120190425410952.pdf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https://www2.jpx.co.jp/disc/42050/140120180426421506.pdf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2026-10-25T14:26:56Z</dcterms:created>
  <dcterms:modified xmlns:dcterms="http://purl.org/dc/terms/" xmlns:xsi="http://www.w3.org/2001/XMLSchema-instance" xsi:type="dcterms:W3CDTF">2026-10-25T14:26:56Z</dcterms:modified>
</cp:coreProperties>
</file>