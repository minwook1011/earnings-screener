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</numFmts>
  <fonts count="21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17" fillId="6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9" fillId="0" borderId="0" pivotButton="0" quotePrefix="0" xfId="0"/>
    <xf numFmtId="169" fontId="19" fillId="0" borderId="0" applyAlignment="1" pivotButton="0" quotePrefix="0" xfId="0">
      <alignment horizontal="center" vertical="center"/>
    </xf>
    <xf numFmtId="0" fontId="20" fillId="0" borderId="0" pivotButton="0" quotePrefix="0" xfId="0"/>
    <xf numFmtId="3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7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67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코코나라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8월 결산 · 일본 기준 · 2026.4Q = 2026년 8월 결산기 4분기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2024.1Q</t>
        </is>
      </c>
      <c r="D3" s="5" t="inlineStr">
        <is>
          <t>2024.2Q</t>
        </is>
      </c>
      <c r="E3" s="5" t="inlineStr">
        <is>
          <t>2024.3Q</t>
        </is>
      </c>
      <c r="F3" s="5" t="inlineStr">
        <is>
          <t>2024.4Q</t>
        </is>
      </c>
      <c r="G3" s="5" t="inlineStr">
        <is>
          <t>2025.1Q</t>
        </is>
      </c>
      <c r="H3" s="5" t="inlineStr">
        <is>
          <t>2025.2Q</t>
        </is>
      </c>
      <c r="I3" s="5" t="inlineStr">
        <is>
          <t>2025.3Q</t>
        </is>
      </c>
      <c r="J3" s="5" t="inlineStr">
        <is>
          <t>2025.4Q</t>
        </is>
      </c>
      <c r="K3" s="5" t="inlineStr">
        <is>
          <t>2026.1Q</t>
        </is>
      </c>
      <c r="L3" s="5" t="inlineStr">
        <is>
          <t>2026.2Q</t>
        </is>
      </c>
      <c r="M3" s="5" t="inlineStr">
        <is>
          <t>2026.3Q</t>
        </is>
      </c>
      <c r="N3" s="5" t="inlineStr">
        <is>
          <t>2026.4Q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1398.684</v>
      </c>
      <c r="D4" s="12" t="n">
        <v>1379.493</v>
      </c>
      <c r="E4" s="12" t="n">
        <v>1450.126</v>
      </c>
      <c r="F4" s="12" t="n">
        <v>2360.409</v>
      </c>
      <c r="G4" s="12" t="n">
        <v>2373.871</v>
      </c>
      <c r="H4" s="12" t="n">
        <v>2341.533</v>
      </c>
      <c r="I4" s="12" t="n">
        <v>2345.673</v>
      </c>
      <c r="J4" s="12" t="n">
        <v>2349.706</v>
      </c>
      <c r="K4" s="12" t="n">
        <v>2467.555</v>
      </c>
      <c r="L4" s="12" t="n">
        <v>2523.618</v>
      </c>
      <c r="M4" s="12" t="n">
        <v>2651.742</v>
      </c>
      <c r="N4" s="12" t="n">
        <v>2673.699</v>
      </c>
      <c r="O4" s="11" t="n"/>
      <c r="P4" s="12" t="n"/>
      <c r="Q4" s="12" t="n"/>
      <c r="R4" s="12" t="n">
        <v>1775.555</v>
      </c>
      <c r="S4" s="12" t="n">
        <v>2746.94</v>
      </c>
      <c r="T4" s="12" t="n">
        <v>3837.213</v>
      </c>
      <c r="U4" s="12" t="n">
        <v>4679.023</v>
      </c>
      <c r="V4" s="12" t="n">
        <v>6588.712</v>
      </c>
      <c r="W4" s="12" t="n">
        <v>9410.782999999999</v>
      </c>
      <c r="X4" s="12" t="n">
        <v>10316.614</v>
      </c>
      <c r="Y4" s="11">
        <f>IF(COUNT(Y7,Y10,Y13,Y16)=0,"",SUM(Y7,Y10,Y13,Y16))</f>
        <v/>
      </c>
      <c r="Z4" s="12">
        <f>IF(COUNT(Z7,Z10,Z13,Z16)=0,"",SUM(Z7,Z10,Z13,Z16))</f>
        <v/>
      </c>
      <c r="AA4" s="12">
        <f>IF(COUNT(AA7,AA10,AA13,AA16)=0,"",SUM(AA7,AA10,AA13,AA16))</f>
        <v/>
      </c>
      <c r="AB4" s="12">
        <f>IF(COUNT(AB7,AB10,AB13,AB16)=0,"",SUM(AB7,AB10,AB13,AB16))</f>
        <v/>
      </c>
      <c r="AC4" s="12">
        <f>IF(COUNT(AC7,AC10,AC13,AC16)=0,"",SUM(AC7,AC10,AC13,AC16))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마켓플레이스</t>
        </is>
      </c>
      <c r="B7" s="10" t="n"/>
      <c r="C7" s="19" t="n">
        <v>1205.367</v>
      </c>
      <c r="D7" s="20" t="n">
        <v>1211.083</v>
      </c>
      <c r="E7" s="20" t="n">
        <v>1293.692</v>
      </c>
      <c r="F7" s="20" t="n">
        <v>1343.577</v>
      </c>
      <c r="G7" s="20" t="n">
        <v>1373.001</v>
      </c>
      <c r="H7" s="20" t="n">
        <v>1354.996</v>
      </c>
      <c r="I7" s="20" t="n">
        <v>1521.442</v>
      </c>
      <c r="J7" s="20" t="n">
        <v>1471.279</v>
      </c>
      <c r="K7" s="20" t="n">
        <v>1492.706</v>
      </c>
      <c r="L7" s="20" t="n">
        <v>1477.808</v>
      </c>
      <c r="M7" s="20" t="n">
        <v>1532.752</v>
      </c>
      <c r="N7" s="20" t="n">
        <v>1162.878</v>
      </c>
      <c r="O7" s="19" t="n"/>
      <c r="P7" s="20" t="n"/>
      <c r="Q7" s="20" t="n"/>
      <c r="R7" s="20" t="n"/>
      <c r="S7" s="20" t="n"/>
      <c r="T7" s="20" t="n"/>
      <c r="U7" s="20" t="n">
        <v>4001.347</v>
      </c>
      <c r="V7" s="20" t="n">
        <v>5053.719</v>
      </c>
      <c r="W7" s="20" t="n">
        <v>5720.718</v>
      </c>
      <c r="X7" s="20" t="n">
        <v>5666.144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미디어</t>
        </is>
      </c>
      <c r="B10" s="10" t="n"/>
      <c r="C10" s="19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19" t="n"/>
      <c r="P10" s="20" t="n"/>
      <c r="Q10" s="20" t="n"/>
      <c r="R10" s="20" t="n"/>
      <c r="S10" s="20" t="n"/>
      <c r="T10" s="20" t="n"/>
      <c r="U10" s="20" t="n">
        <v>533.021</v>
      </c>
      <c r="V10" s="20" t="n">
        <v>649.852</v>
      </c>
      <c r="W10" s="20" t="n"/>
      <c r="X10" s="20" t="n"/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에이전트</t>
        </is>
      </c>
      <c r="B13" s="10" t="n"/>
      <c r="C13" s="19" t="n">
        <v>193.317</v>
      </c>
      <c r="D13" s="20" t="n">
        <v>168.409</v>
      </c>
      <c r="E13" s="20" t="n">
        <v>156.434</v>
      </c>
      <c r="F13" s="20" t="n">
        <v>1016.833</v>
      </c>
      <c r="G13" s="20" t="n">
        <v>1000.869</v>
      </c>
      <c r="H13" s="20" t="n">
        <v>986.537</v>
      </c>
      <c r="I13" s="20" t="n">
        <v>824.232</v>
      </c>
      <c r="J13" s="20" t="n">
        <v>878.427</v>
      </c>
      <c r="K13" s="20" t="n">
        <v>974.848</v>
      </c>
      <c r="L13" s="20" t="n">
        <v>1045.81</v>
      </c>
      <c r="M13" s="20" t="n">
        <v>1118.99</v>
      </c>
      <c r="N13" s="20" t="n">
        <v>1510.821</v>
      </c>
      <c r="O13" s="19" t="n"/>
      <c r="P13" s="20" t="n"/>
      <c r="Q13" s="20" t="n"/>
      <c r="R13" s="20" t="n"/>
      <c r="S13" s="20" t="n"/>
      <c r="T13" s="20" t="n"/>
      <c r="U13" s="20" t="n">
        <v>144.655</v>
      </c>
      <c r="V13" s="20" t="n">
        <v>1534.993</v>
      </c>
      <c r="W13" s="20" t="n">
        <v>3690.065</v>
      </c>
      <c r="X13" s="20" t="n">
        <v>4650.469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기타</t>
        </is>
      </c>
      <c r="B16" s="10" t="n"/>
      <c r="C16" s="19" t="n">
        <v>0</v>
      </c>
      <c r="D16" s="20" t="n">
        <v>0</v>
      </c>
      <c r="E16" s="20" t="n">
        <v>0</v>
      </c>
      <c r="F16" s="20" t="n">
        <v>0</v>
      </c>
      <c r="G16" s="20" t="n">
        <v>0</v>
      </c>
      <c r="H16" s="20" t="n">
        <v>0</v>
      </c>
      <c r="I16" s="20" t="n">
        <v>0</v>
      </c>
      <c r="J16" s="20" t="n">
        <v>0</v>
      </c>
      <c r="K16" s="20" t="n"/>
      <c r="L16" s="20" t="n"/>
      <c r="M16" s="20" t="n"/>
      <c r="N16" s="20" t="n"/>
      <c r="O16" s="19" t="n"/>
      <c r="P16" s="20" t="n"/>
      <c r="Q16" s="20" t="n"/>
      <c r="R16" s="20" t="n"/>
      <c r="S16" s="20" t="n"/>
      <c r="T16" s="20" t="n"/>
      <c r="U16" s="20" t="n">
        <v>0</v>
      </c>
      <c r="V16" s="20" t="n">
        <v>0</v>
      </c>
      <c r="W16" s="20" t="n">
        <v>0</v>
      </c>
      <c r="X16" s="20" t="n"/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6" t="inlineStr">
        <is>
          <t>매출원가</t>
        </is>
      </c>
      <c r="B19" s="16" t="n"/>
      <c r="C19" s="17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7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7" t="n"/>
      <c r="Z19" s="16" t="n"/>
      <c r="AA19" s="16" t="n"/>
      <c r="AB19" s="16" t="n"/>
      <c r="AC19" s="16" t="n"/>
    </row>
    <row r="20">
      <c r="A20" s="18" t="inlineStr">
        <is>
          <t>전체 매출원가</t>
        </is>
      </c>
      <c r="B20" s="10" t="n"/>
      <c r="C20" s="19" t="n">
        <v>220.383</v>
      </c>
      <c r="D20" s="20" t="n">
        <v>195.467</v>
      </c>
      <c r="E20" s="20" t="n">
        <v>187.855</v>
      </c>
      <c r="F20" s="20" t="n">
        <v>890.804</v>
      </c>
      <c r="G20" s="20" t="n">
        <v>860.421</v>
      </c>
      <c r="H20" s="20" t="n">
        <v>844.455</v>
      </c>
      <c r="I20" s="20" t="n">
        <v>788.6609999999999</v>
      </c>
      <c r="J20" s="20" t="n">
        <v>793.397</v>
      </c>
      <c r="K20" s="20" t="n">
        <v>881.0119999999999</v>
      </c>
      <c r="L20" s="20" t="n">
        <v>951.525</v>
      </c>
      <c r="M20" s="20" t="n">
        <v>995.119</v>
      </c>
      <c r="N20" s="20" t="n">
        <v>1021.749</v>
      </c>
      <c r="O20" s="19" t="n"/>
      <c r="P20" s="20" t="n"/>
      <c r="Q20" s="20" t="n"/>
      <c r="R20" s="20" t="n"/>
      <c r="S20" s="20" t="n"/>
      <c r="T20" s="20" t="n">
        <v>0</v>
      </c>
      <c r="U20" s="20" t="n">
        <v>121.66</v>
      </c>
      <c r="V20" s="20" t="n">
        <v>1494.509</v>
      </c>
      <c r="W20" s="20" t="n">
        <v>3286.934</v>
      </c>
      <c r="X20" s="20" t="n">
        <v>3849.405</v>
      </c>
      <c r="Y20" s="19" t="n"/>
      <c r="Z20" s="20" t="n"/>
      <c r="AA20" s="20" t="n"/>
      <c r="AB20" s="20" t="n"/>
      <c r="AC20" s="20" t="n"/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IF(OR(G20="",C20=""),"",IF(C20&lt;=0,"",IFERROR(G20/C20-1,"")))</f>
        <v/>
      </c>
      <c r="H21" s="15">
        <f>IF(OR(H20="",D20=""),"",IF(D20&lt;=0,"",IFERROR(H20/D20-1,"")))</f>
        <v/>
      </c>
      <c r="I21" s="15">
        <f>IF(OR(I20="",E20=""),"",IF(E20&lt;=0,"",IFERROR(I20/E20-1,"")))</f>
        <v/>
      </c>
      <c r="J21" s="15">
        <f>IF(OR(J20="",F20=""),"",IF(F20&lt;=0,"",IFERROR(J20/F20-1,"")))</f>
        <v/>
      </c>
      <c r="K21" s="15">
        <f>IF(OR(K20="",G20=""),"",IF(G20&lt;=0,"",IFERROR(K20/G20-1,"")))</f>
        <v/>
      </c>
      <c r="L21" s="15">
        <f>IF(OR(L20="",H20=""),"",IF(H20&lt;=0,"",IFERROR(L20/H20-1,"")))</f>
        <v/>
      </c>
      <c r="M21" s="15">
        <f>IF(OR(M20="",I20=""),"",IF(I20&lt;=0,"",IFERROR(M20/I20-1,"")))</f>
        <v/>
      </c>
      <c r="N21" s="15">
        <f>IF(OR(N20="",J20=""),"",IF(J20&lt;=0,"",IFERROR(N20/J20-1,"")))</f>
        <v/>
      </c>
      <c r="O21" s="14" t="n"/>
      <c r="P21" s="15">
        <f>IF(OR(P20="",O20=""),"",IF(O20&lt;=0,"",IFERROR(P20/O20-1,"")))</f>
        <v/>
      </c>
      <c r="Q21" s="15">
        <f>IF(OR(Q20="",P20=""),"",IF(P20&lt;=0,"",IFERROR(Q20/P20-1,"")))</f>
        <v/>
      </c>
      <c r="R21" s="15">
        <f>IF(OR(R20="",Q20=""),"",IF(Q20&lt;=0,"",IFERROR(R20/Q20-1,"")))</f>
        <v/>
      </c>
      <c r="S21" s="15">
        <f>IF(OR(S20="",R20=""),"",IF(R20&lt;=0,"",IFERROR(S20/R20-1,"")))</f>
        <v/>
      </c>
      <c r="T21" s="15">
        <f>IF(OR(T20="",S20=""),"",IF(S20&lt;=0,"",IFERROR(T20/S20-1,"")))</f>
        <v/>
      </c>
      <c r="U21" s="15">
        <f>IF(OR(U20="",T20=""),"",IF(T20&lt;=0,"",IFERROR(U20/T20-1,"")))</f>
        <v/>
      </c>
      <c r="V21" s="15">
        <f>IF(OR(V20="",U20=""),"",IF(U20&lt;=0,"",IFERROR(V20/U20-1,"")))</f>
        <v/>
      </c>
      <c r="W21" s="15">
        <f>IF(OR(W20="",V20=""),"",IF(V20&lt;=0,"",IFERROR(W20/V20-1,"")))</f>
        <v/>
      </c>
      <c r="X21" s="15">
        <f>IF(OR(X20="",W20=""),"",IF(W20&lt;=0,"",IFERROR(X20/W20-1,"")))</f>
        <v/>
      </c>
      <c r="Y21" s="14">
        <f>IF(OR(Y20="",X20=""),"",IF(X20&lt;=0,"",IFERROR(Y20/X20-1,"")))</f>
        <v/>
      </c>
      <c r="Z21" s="15">
        <f>IF(OR(Z20="",Y20=""),"",IF(Y20&lt;=0,"",IFERROR(Z20/Y20-1,"")))</f>
        <v/>
      </c>
      <c r="AA21" s="15">
        <f>IF(OR(AA20="",Z20=""),"",IF(Z20&lt;=0,"",IFERROR(AA20/Z20-1,"")))</f>
        <v/>
      </c>
      <c r="AB21" s="15">
        <f>IF(OR(AB20="",AA20=""),"",IF(AA20&lt;=0,"",IFERROR(AB20/AA20-1,"")))</f>
        <v/>
      </c>
      <c r="AC21" s="15">
        <f>IF(OR(AC20="",AB20=""),"",IF(AB20&lt;=0,"",IFERROR(AC20/AB20-1,"")))</f>
        <v/>
      </c>
    </row>
    <row r="22">
      <c r="A22" s="18" t="inlineStr">
        <is>
          <t>매출총이익</t>
        </is>
      </c>
      <c r="B22" s="10" t="n"/>
      <c r="C22" s="19">
        <f>IF(OR(C4="",C20=""),"",IFERROR(C4-C20,""))</f>
        <v/>
      </c>
      <c r="D22" s="20">
        <f>IF(OR(D4="",D20=""),"",IFERROR(D4-D20,""))</f>
        <v/>
      </c>
      <c r="E22" s="20">
        <f>IF(OR(E4="",E20=""),"",IFERROR(E4-E20,""))</f>
        <v/>
      </c>
      <c r="F22" s="20">
        <f>IF(OR(F4="",F20=""),"",IFERROR(F4-F20,""))</f>
        <v/>
      </c>
      <c r="G22" s="20">
        <f>IF(OR(G4="",G20=""),"",IFERROR(G4-G20,""))</f>
        <v/>
      </c>
      <c r="H22" s="20">
        <f>IF(OR(H4="",H20=""),"",IFERROR(H4-H20,""))</f>
        <v/>
      </c>
      <c r="I22" s="20">
        <f>IF(OR(I4="",I20=""),"",IFERROR(I4-I20,""))</f>
        <v/>
      </c>
      <c r="J22" s="20">
        <f>IF(OR(J4="",J20=""),"",IFERROR(J4-J20,""))</f>
        <v/>
      </c>
      <c r="K22" s="20">
        <f>IF(OR(K4="",K20=""),"",IFERROR(K4-K20,""))</f>
        <v/>
      </c>
      <c r="L22" s="20">
        <f>IF(OR(L4="",L20=""),"",IFERROR(L4-L20,""))</f>
        <v/>
      </c>
      <c r="M22" s="20">
        <f>IF(OR(M4="",M20=""),"",IFERROR(M4-M20,""))</f>
        <v/>
      </c>
      <c r="N22" s="20">
        <f>IF(OR(N4="",N20=""),"",IFERROR(N4-N20,""))</f>
        <v/>
      </c>
      <c r="O22" s="19">
        <f>IF(OR(O4="",O20=""),"",IFERROR(O4-O20,""))</f>
        <v/>
      </c>
      <c r="P22" s="20">
        <f>IF(OR(P4="",P20=""),"",IFERROR(P4-P20,""))</f>
        <v/>
      </c>
      <c r="Q22" s="20">
        <f>IF(OR(Q4="",Q20=""),"",IFERROR(Q4-Q20,""))</f>
        <v/>
      </c>
      <c r="R22" s="20">
        <f>IF(OR(R4="",R20=""),"",IFERROR(R4-R20,""))</f>
        <v/>
      </c>
      <c r="S22" s="20">
        <f>IF(OR(S4="",S20=""),"",IFERROR(S4-S20,""))</f>
        <v/>
      </c>
      <c r="T22" s="20">
        <f>IF(OR(T4="",T20=""),"",IFERROR(T4-T20,""))</f>
        <v/>
      </c>
      <c r="U22" s="20">
        <f>IF(OR(U4="",U20=""),"",IFERROR(U4-U20,""))</f>
        <v/>
      </c>
      <c r="V22" s="20">
        <f>IF(OR(V4="",V20=""),"",IFERROR(V4-V20,""))</f>
        <v/>
      </c>
      <c r="W22" s="20">
        <f>IF(OR(W4="",W20=""),"",IFERROR(W4-W20,""))</f>
        <v/>
      </c>
      <c r="X22" s="20">
        <f>IF(OR(X4="",X20=""),"",IFERROR(X4-X20,""))</f>
        <v/>
      </c>
      <c r="Y22" s="19" t="n"/>
      <c r="Z22" s="20" t="n"/>
      <c r="AA22" s="20" t="n"/>
      <c r="AB22" s="20" t="n"/>
      <c r="AC22" s="20" t="n"/>
    </row>
    <row r="23">
      <c r="A23" s="13" t="inlineStr">
        <is>
          <t>GPM</t>
        </is>
      </c>
      <c r="B23" s="10" t="n"/>
      <c r="C23" s="14">
        <f>IF(OR(C22="",C4=""),"",IFERROR(C22/C4,""))</f>
        <v/>
      </c>
      <c r="D23" s="15">
        <f>IF(OR(D22="",D4=""),"",IFERROR(D22/D4,""))</f>
        <v/>
      </c>
      <c r="E23" s="15">
        <f>IF(OR(E22="",E4=""),"",IFERROR(E22/E4,""))</f>
        <v/>
      </c>
      <c r="F23" s="15">
        <f>IF(OR(F22="",F4=""),"",IFERROR(F22/F4,""))</f>
        <v/>
      </c>
      <c r="G23" s="15">
        <f>IF(OR(G22="",G4=""),"",IFERROR(G22/G4,""))</f>
        <v/>
      </c>
      <c r="H23" s="15">
        <f>IF(OR(H22="",H4=""),"",IFERROR(H22/H4,""))</f>
        <v/>
      </c>
      <c r="I23" s="15">
        <f>IF(OR(I22="",I4=""),"",IFERROR(I22/I4,""))</f>
        <v/>
      </c>
      <c r="J23" s="15">
        <f>IF(OR(J22="",J4=""),"",IFERROR(J22/J4,""))</f>
        <v/>
      </c>
      <c r="K23" s="15">
        <f>IF(OR(K22="",K4=""),"",IFERROR(K22/K4,""))</f>
        <v/>
      </c>
      <c r="L23" s="15">
        <f>IF(OR(L22="",L4=""),"",IFERROR(L22/L4,""))</f>
        <v/>
      </c>
      <c r="M23" s="15">
        <f>IF(OR(M22="",M4=""),"",IFERROR(M22/M4,""))</f>
        <v/>
      </c>
      <c r="N23" s="15">
        <f>IF(OR(N22="",N4=""),"",IFERROR(N22/N4,""))</f>
        <v/>
      </c>
      <c r="O23" s="14">
        <f>IF(OR(O22="",O4=""),"",IFERROR(O22/O4,""))</f>
        <v/>
      </c>
      <c r="P23" s="15">
        <f>IF(OR(P22="",P4=""),"",IFERROR(P22/P4,""))</f>
        <v/>
      </c>
      <c r="Q23" s="15">
        <f>IF(OR(Q22="",Q4=""),"",IFERROR(Q22/Q4,""))</f>
        <v/>
      </c>
      <c r="R23" s="15">
        <f>IF(OR(R22="",R4=""),"",IFERROR(R22/R4,""))</f>
        <v/>
      </c>
      <c r="S23" s="15">
        <f>IF(OR(S22="",S4=""),"",IFERROR(S22/S4,""))</f>
        <v/>
      </c>
      <c r="T23" s="15">
        <f>IF(OR(T22="",T4=""),"",IFERROR(T22/T4,""))</f>
        <v/>
      </c>
      <c r="U23" s="15">
        <f>IF(OR(U22="",U4=""),"",IFERROR(U22/U4,""))</f>
        <v/>
      </c>
      <c r="V23" s="15">
        <f>IF(OR(V22="",V4=""),"",IFERROR(V22/V4,""))</f>
        <v/>
      </c>
      <c r="W23" s="15">
        <f>IF(OR(W22="",W4=""),"",IFERROR(W22/W4,""))</f>
        <v/>
      </c>
      <c r="X23" s="15">
        <f>IF(OR(X22="",X4=""),"",IFERROR(X22/X4,""))</f>
        <v/>
      </c>
      <c r="Y23" s="14">
        <f>IF(OR(Y22="",Y4=""),"",IFERROR(Y22/Y4,""))</f>
        <v/>
      </c>
      <c r="Z23" s="15">
        <f>IF(OR(Z22="",Z4=""),"",IFERROR(Z22/Z4,""))</f>
        <v/>
      </c>
      <c r="AA23" s="15">
        <f>IF(OR(AA22="",AA4=""),"",IFERROR(AA22/AA4,""))</f>
        <v/>
      </c>
      <c r="AB23" s="15">
        <f>IF(OR(AB22="",AB4=""),"",IFERROR(AB22/AB4,""))</f>
        <v/>
      </c>
      <c r="AC23" s="15">
        <f>IF(OR(AC22="",AC4=""),"",IFERROR(AC22/AC4,""))</f>
        <v/>
      </c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IF(OR(G22="",C22=""),"",IF(C22&lt;=0,"",IFERROR(G22/C22-1,"")))</f>
        <v/>
      </c>
      <c r="H24" s="15">
        <f>IF(OR(H22="",D22=""),"",IF(D22&lt;=0,"",IFERROR(H22/D22-1,"")))</f>
        <v/>
      </c>
      <c r="I24" s="15">
        <f>IF(OR(I22="",E22=""),"",IF(E22&lt;=0,"",IFERROR(I22/E22-1,"")))</f>
        <v/>
      </c>
      <c r="J24" s="15">
        <f>IF(OR(J22="",F22=""),"",IF(F22&lt;=0,"",IFERROR(J22/F22-1,"")))</f>
        <v/>
      </c>
      <c r="K24" s="15">
        <f>IF(OR(K22="",G22=""),"",IF(G22&lt;=0,"",IFERROR(K22/G22-1,"")))</f>
        <v/>
      </c>
      <c r="L24" s="15">
        <f>IF(OR(L22="",H22=""),"",IF(H22&lt;=0,"",IFERROR(L22/H22-1,"")))</f>
        <v/>
      </c>
      <c r="M24" s="15">
        <f>IF(OR(M22="",I22=""),"",IF(I22&lt;=0,"",IFERROR(M22/I22-1,"")))</f>
        <v/>
      </c>
      <c r="N24" s="15">
        <f>IF(OR(N22="",J22=""),"",IF(J22&lt;=0,"",IFERROR(N22/J22-1,"")))</f>
        <v/>
      </c>
      <c r="O24" s="14" t="n"/>
      <c r="P24" s="15">
        <f>IF(OR(P22="",O22=""),"",IF(O22&lt;=0,"",IFERROR(P22/O22-1,"")))</f>
        <v/>
      </c>
      <c r="Q24" s="15">
        <f>IF(OR(Q22="",P22=""),"",IF(P22&lt;=0,"",IFERROR(Q22/P22-1,"")))</f>
        <v/>
      </c>
      <c r="R24" s="15">
        <f>IF(OR(R22="",Q22=""),"",IF(Q22&lt;=0,"",IFERROR(R22/Q22-1,"")))</f>
        <v/>
      </c>
      <c r="S24" s="15">
        <f>IF(OR(S22="",R22=""),"",IF(R22&lt;=0,"",IFERROR(S22/R22-1,"")))</f>
        <v/>
      </c>
      <c r="T24" s="15">
        <f>IF(OR(T22="",S22=""),"",IF(S22&lt;=0,"",IFERROR(T22/S22-1,"")))</f>
        <v/>
      </c>
      <c r="U24" s="15">
        <f>IF(OR(U22="",T22=""),"",IF(T22&lt;=0,"",IFERROR(U22/T22-1,"")))</f>
        <v/>
      </c>
      <c r="V24" s="15">
        <f>IF(OR(V22="",U22=""),"",IF(U22&lt;=0,"",IFERROR(V22/U22-1,"")))</f>
        <v/>
      </c>
      <c r="W24" s="15">
        <f>IF(OR(W22="",V22=""),"",IF(V22&lt;=0,"",IFERROR(W22/V22-1,"")))</f>
        <v/>
      </c>
      <c r="X24" s="15">
        <f>IF(OR(X22="",W22=""),"",IF(W22&lt;=0,"",IFERROR(X22/W22-1,"")))</f>
        <v/>
      </c>
      <c r="Y24" s="14">
        <f>IF(OR(Y22="",X22=""),"",IF(X22&lt;=0,"",IFERROR(Y22/X22-1,"")))</f>
        <v/>
      </c>
      <c r="Z24" s="15">
        <f>IF(OR(Z22="",Y22=""),"",IF(Y22&lt;=0,"",IFERROR(Z22/Y22-1,"")))</f>
        <v/>
      </c>
      <c r="AA24" s="15">
        <f>IF(OR(AA22="",Z22=""),"",IF(Z22&lt;=0,"",IFERROR(AA22/Z22-1,"")))</f>
        <v/>
      </c>
      <c r="AB24" s="15">
        <f>IF(OR(AB22="",AA22=""),"",IF(AA22&lt;=0,"",IFERROR(AB22/AA22-1,"")))</f>
        <v/>
      </c>
      <c r="AC24" s="15">
        <f>IF(OR(AC22="",AB22=""),"",IF(AB22&lt;=0,"",IFERROR(AC22/AB22-1,"")))</f>
        <v/>
      </c>
    </row>
    <row r="25">
      <c r="A25" s="23" t="inlineStr">
        <is>
          <t>판매관리비</t>
        </is>
      </c>
      <c r="B25" s="23" t="n"/>
      <c r="C25" s="24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4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4" t="n"/>
      <c r="Z25" s="23" t="n"/>
      <c r="AA25" s="23" t="n"/>
      <c r="AB25" s="23" t="n"/>
      <c r="AC25" s="23" t="n"/>
    </row>
    <row r="26">
      <c r="A26" s="18" t="inlineStr">
        <is>
          <t>전체 판관비</t>
        </is>
      </c>
      <c r="B26" s="10" t="n"/>
      <c r="C26" s="19" t="n">
        <v>1081.198</v>
      </c>
      <c r="D26" s="20" t="n">
        <v>1095.347</v>
      </c>
      <c r="E26" s="20" t="n">
        <v>1148.262</v>
      </c>
      <c r="F26" s="20" t="n">
        <v>1464.619</v>
      </c>
      <c r="G26" s="20" t="n">
        <v>1405.252</v>
      </c>
      <c r="H26" s="20" t="n">
        <v>1407.082</v>
      </c>
      <c r="I26" s="20" t="n">
        <v>1466.641</v>
      </c>
      <c r="J26" s="20" t="n">
        <v>1588.752</v>
      </c>
      <c r="K26" s="20" t="n">
        <v>1507.047</v>
      </c>
      <c r="L26" s="20" t="n">
        <v>1419.776</v>
      </c>
      <c r="M26" s="20" t="n">
        <v>1478.082</v>
      </c>
      <c r="N26" s="20" t="n">
        <v>1569.599</v>
      </c>
      <c r="O26" s="19" t="n"/>
      <c r="P26" s="20" t="n"/>
      <c r="Q26" s="20" t="n"/>
      <c r="R26" s="20" t="n"/>
      <c r="S26" s="20" t="n"/>
      <c r="T26" s="20" t="n">
        <v>4352.493</v>
      </c>
      <c r="U26" s="20" t="n">
        <v>4683.752</v>
      </c>
      <c r="V26" s="20" t="n">
        <v>4789.426</v>
      </c>
      <c r="W26" s="20" t="n">
        <v>5867.727</v>
      </c>
      <c r="X26" s="20" t="n">
        <v>5974.504</v>
      </c>
      <c r="Y26" s="19" t="n"/>
      <c r="Z26" s="20" t="n"/>
      <c r="AA26" s="20" t="n"/>
      <c r="AB26" s="20" t="n"/>
      <c r="AC26" s="20" t="n"/>
    </row>
    <row r="27">
      <c r="A27" s="13" t="inlineStr">
        <is>
          <t>YoY</t>
        </is>
      </c>
      <c r="B27" s="10" t="n"/>
      <c r="C27" s="14" t="n"/>
      <c r="D27" s="15" t="n"/>
      <c r="E27" s="15" t="n"/>
      <c r="F27" s="15" t="n"/>
      <c r="G27" s="15">
        <f>IF(OR(G26="",C26=""),"",IF(C26&lt;=0,"",IFERROR(G26/C26-1,"")))</f>
        <v/>
      </c>
      <c r="H27" s="15">
        <f>IF(OR(H26="",D26=""),"",IF(D26&lt;=0,"",IFERROR(H26/D26-1,"")))</f>
        <v/>
      </c>
      <c r="I27" s="15">
        <f>IF(OR(I26="",E26=""),"",IF(E26&lt;=0,"",IFERROR(I26/E26-1,"")))</f>
        <v/>
      </c>
      <c r="J27" s="15">
        <f>IF(OR(J26="",F26=""),"",IF(F26&lt;=0,"",IFERROR(J26/F26-1,"")))</f>
        <v/>
      </c>
      <c r="K27" s="15">
        <f>IF(OR(K26="",G26=""),"",IF(G26&lt;=0,"",IFERROR(K26/G26-1,"")))</f>
        <v/>
      </c>
      <c r="L27" s="15">
        <f>IF(OR(L26="",H26=""),"",IF(H26&lt;=0,"",IFERROR(L26/H26-1,"")))</f>
        <v/>
      </c>
      <c r="M27" s="15">
        <f>IF(OR(M26="",I26=""),"",IF(I26&lt;=0,"",IFERROR(M26/I26-1,"")))</f>
        <v/>
      </c>
      <c r="N27" s="15">
        <f>IF(OR(N26="",J26=""),"",IF(J26&lt;=0,"",IFERROR(N26/J26-1,"")))</f>
        <v/>
      </c>
      <c r="O27" s="14" t="n"/>
      <c r="P27" s="15">
        <f>IF(OR(P26="",O26=""),"",IF(O26&lt;=0,"",IFERROR(P26/O26-1,"")))</f>
        <v/>
      </c>
      <c r="Q27" s="15">
        <f>IF(OR(Q26="",P26=""),"",IF(P26&lt;=0,"",IFERROR(Q26/P26-1,"")))</f>
        <v/>
      </c>
      <c r="R27" s="15">
        <f>IF(OR(R26="",Q26=""),"",IF(Q26&lt;=0,"",IFERROR(R26/Q26-1,"")))</f>
        <v/>
      </c>
      <c r="S27" s="15">
        <f>IF(OR(S26="",R26=""),"",IF(R26&lt;=0,"",IFERROR(S26/R26-1,"")))</f>
        <v/>
      </c>
      <c r="T27" s="15">
        <f>IF(OR(T26="",S26=""),"",IF(S26&lt;=0,"",IFERROR(T26/S26-1,"")))</f>
        <v/>
      </c>
      <c r="U27" s="15">
        <f>IF(OR(U26="",T26=""),"",IF(T26&lt;=0,"",IFERROR(U26/T26-1,"")))</f>
        <v/>
      </c>
      <c r="V27" s="15">
        <f>IF(OR(V26="",U26=""),"",IF(U26&lt;=0,"",IFERROR(V26/U26-1,"")))</f>
        <v/>
      </c>
      <c r="W27" s="15">
        <f>IF(OR(W26="",V26=""),"",IF(V26&lt;=0,"",IFERROR(W26/V26-1,"")))</f>
        <v/>
      </c>
      <c r="X27" s="15">
        <f>IF(OR(X26="",W26=""),"",IF(W26&lt;=0,"",IFERROR(X26/W26-1,"")))</f>
        <v/>
      </c>
      <c r="Y27" s="14">
        <f>IF(OR(Y26="",X26=""),"",IF(X26&lt;=0,"",IFERROR(Y26/X26-1,"")))</f>
        <v/>
      </c>
      <c r="Z27" s="15">
        <f>IF(OR(Z26="",Y26=""),"",IF(Y26&lt;=0,"",IFERROR(Z26/Y26-1,"")))</f>
        <v/>
      </c>
      <c r="AA27" s="15">
        <f>IF(OR(AA26="",Z26=""),"",IF(Z26&lt;=0,"",IFERROR(AA26/Z26-1,"")))</f>
        <v/>
      </c>
      <c r="AB27" s="15">
        <f>IF(OR(AB26="",AA26=""),"",IF(AA26&lt;=0,"",IFERROR(AB26/AA26-1,"")))</f>
        <v/>
      </c>
      <c r="AC27" s="15">
        <f>IF(OR(AC26="",AB26=""),"",IF(AB26&lt;=0,"",IFERROR(AC26/AB26-1,"")))</f>
        <v/>
      </c>
    </row>
    <row r="28">
      <c r="A28" s="9" t="inlineStr">
        <is>
          <t>영업이익</t>
        </is>
      </c>
      <c r="B28" s="10" t="inlineStr">
        <is>
          <t>MW = 매출 × OPM</t>
        </is>
      </c>
      <c r="C28" s="11" t="n">
        <v>97.102</v>
      </c>
      <c r="D28" s="12" t="n">
        <v>88.679</v>
      </c>
      <c r="E28" s="12" t="n">
        <v>114.009</v>
      </c>
      <c r="F28" s="12" t="n">
        <v>4.986</v>
      </c>
      <c r="G28" s="12" t="n">
        <v>108.197</v>
      </c>
      <c r="H28" s="12" t="n">
        <v>89.996</v>
      </c>
      <c r="I28" s="12" t="n">
        <v>90.37</v>
      </c>
      <c r="J28" s="12" t="n">
        <v>-32.442</v>
      </c>
      <c r="K28" s="12" t="n">
        <v>79.495</v>
      </c>
      <c r="L28" s="12" t="n">
        <v>152.318</v>
      </c>
      <c r="M28" s="12" t="n">
        <v>178.541</v>
      </c>
      <c r="N28" s="12" t="n">
        <v>82.34999999999999</v>
      </c>
      <c r="O28" s="11" t="n"/>
      <c r="P28" s="12" t="n"/>
      <c r="Q28" s="12" t="n"/>
      <c r="R28" s="12" t="n">
        <v>-80.864</v>
      </c>
      <c r="S28" s="12" t="n">
        <v>89.47799999999999</v>
      </c>
      <c r="T28" s="12" t="n">
        <v>-515.279</v>
      </c>
      <c r="U28" s="12" t="n">
        <v>-126.388</v>
      </c>
      <c r="V28" s="12" t="n">
        <v>304.776</v>
      </c>
      <c r="W28" s="12" t="n">
        <v>256.121</v>
      </c>
      <c r="X28" s="12" t="n">
        <v>492.704</v>
      </c>
      <c r="Y28" s="11">
        <f>IF(OR(Y4="",Y29=""),"",IFERROR(Y4*Y29,""))</f>
        <v/>
      </c>
      <c r="Z28" s="12">
        <f>IF(OR(Z4="",Z29=""),"",IFERROR(Z4*Z29,""))</f>
        <v/>
      </c>
      <c r="AA28" s="12">
        <f>IF(OR(AA4="",AA29=""),"",IFERROR(AA4*AA29,""))</f>
        <v/>
      </c>
      <c r="AB28" s="12">
        <f>IF(OR(AB4="",AB29=""),"",IFERROR(AB4*AB29,""))</f>
        <v/>
      </c>
      <c r="AC28" s="12">
        <f>IF(OR(AC4="",AC29=""),"",IFERROR(AC4*AC29,""))</f>
        <v/>
      </c>
    </row>
    <row r="29">
      <c r="A29" s="13" t="inlineStr">
        <is>
          <t>OPM</t>
        </is>
      </c>
      <c r="B29" s="10" t="inlineStr">
        <is>
          <t>MW 입력</t>
        </is>
      </c>
      <c r="C29" s="14">
        <f>IF(OR(C28="",C4=""),"",IFERROR(C28/C4,""))</f>
        <v/>
      </c>
      <c r="D29" s="15">
        <f>IF(OR(D28="",D4=""),"",IFERROR(D28/D4,""))</f>
        <v/>
      </c>
      <c r="E29" s="15">
        <f>IF(OR(E28="",E4=""),"",IFERROR(E28/E4,""))</f>
        <v/>
      </c>
      <c r="F29" s="15">
        <f>IF(OR(F28="",F4=""),"",IFERROR(F28/F4,""))</f>
        <v/>
      </c>
      <c r="G29" s="15">
        <f>IF(OR(G28="",G4=""),"",IFERROR(G28/G4,""))</f>
        <v/>
      </c>
      <c r="H29" s="15">
        <f>IF(OR(H28="",H4=""),"",IFERROR(H28/H4,""))</f>
        <v/>
      </c>
      <c r="I29" s="15">
        <f>IF(OR(I28="",I4=""),"",IFERROR(I28/I4,""))</f>
        <v/>
      </c>
      <c r="J29" s="15">
        <f>IF(OR(J28="",J4=""),"",IFERROR(J28/J4,""))</f>
        <v/>
      </c>
      <c r="K29" s="15">
        <f>IF(OR(K28="",K4=""),"",IFERROR(K28/K4,""))</f>
        <v/>
      </c>
      <c r="L29" s="15">
        <f>IF(OR(L28="",L4=""),"",IFERROR(L28/L4,""))</f>
        <v/>
      </c>
      <c r="M29" s="15">
        <f>IF(OR(M28="",M4=""),"",IFERROR(M28/M4,""))</f>
        <v/>
      </c>
      <c r="N29" s="15">
        <f>IF(OR(N28="",N4=""),"",IFERROR(N28/N4,""))</f>
        <v/>
      </c>
      <c r="O29" s="14">
        <f>IF(OR(O28="",O4=""),"",IFERROR(O28/O4,""))</f>
        <v/>
      </c>
      <c r="P29" s="15">
        <f>IF(OR(P28="",P4=""),"",IFERROR(P28/P4,""))</f>
        <v/>
      </c>
      <c r="Q29" s="15">
        <f>IF(OR(Q28="",Q4=""),"",IFERROR(Q28/Q4,""))</f>
        <v/>
      </c>
      <c r="R29" s="15">
        <f>IF(OR(R28="",R4=""),"",IFERROR(R28/R4,""))</f>
        <v/>
      </c>
      <c r="S29" s="15">
        <f>IF(OR(S28="",S4=""),"",IFERROR(S28/S4,""))</f>
        <v/>
      </c>
      <c r="T29" s="15">
        <f>IF(OR(T28="",T4=""),"",IFERROR(T28/T4,""))</f>
        <v/>
      </c>
      <c r="U29" s="15">
        <f>IF(OR(U28="",U4=""),"",IFERROR(U28/U4,""))</f>
        <v/>
      </c>
      <c r="V29" s="15">
        <f>IF(OR(V28="",V4=""),"",IFERROR(V28/V4,""))</f>
        <v/>
      </c>
      <c r="W29" s="15">
        <f>IF(OR(W28="",W4=""),"",IFERROR(W28/W4,""))</f>
        <v/>
      </c>
      <c r="X29" s="15">
        <f>IF(OR(X28="",X4=""),"",IFERROR(X28/X4,""))</f>
        <v/>
      </c>
      <c r="Y29" s="25" t="n"/>
      <c r="Z29" s="26" t="n"/>
      <c r="AA29" s="26" t="n"/>
      <c r="AB29" s="26" t="n"/>
      <c r="AC29" s="26" t="n"/>
    </row>
    <row r="30">
      <c r="A30" s="13" t="inlineStr">
        <is>
          <t>증가율</t>
        </is>
      </c>
      <c r="B30" s="10" t="n"/>
      <c r="C30" s="14" t="n"/>
      <c r="D30" s="15" t="n"/>
      <c r="E30" s="15" t="n"/>
      <c r="F30" s="15" t="n"/>
      <c r="G30" s="15">
        <f>IF(OR(G28="",C28=""),"",IFERROR(G28/C28-1,""))</f>
        <v/>
      </c>
      <c r="H30" s="15">
        <f>IF(OR(H28="",D28=""),"",IFERROR(H28/D28-1,""))</f>
        <v/>
      </c>
      <c r="I30" s="15">
        <f>IF(OR(I28="",E28=""),"",IFERROR(I28/E28-1,""))</f>
        <v/>
      </c>
      <c r="J30" s="15">
        <f>IF(OR(J28="",F28=""),"",IFERROR(J28/F28-1,""))</f>
        <v/>
      </c>
      <c r="K30" s="15">
        <f>IF(OR(K28="",G28=""),"",IFERROR(K28/G28-1,""))</f>
        <v/>
      </c>
      <c r="L30" s="15">
        <f>IF(OR(L28="",H28=""),"",IFERROR(L28/H28-1,""))</f>
        <v/>
      </c>
      <c r="M30" s="15">
        <f>IF(OR(M28="",I28=""),"",IFERROR(M28/I28-1,""))</f>
        <v/>
      </c>
      <c r="N30" s="15">
        <f>IF(OR(N28="",J28=""),"",IFERROR(N28/J28-1,""))</f>
        <v/>
      </c>
      <c r="O30" s="14" t="n"/>
      <c r="P30" s="15">
        <f>IF(OR(P28="",O28=""),"",IFERROR(P28/O28-1,""))</f>
        <v/>
      </c>
      <c r="Q30" s="15">
        <f>IF(OR(Q28="",P28=""),"",IFERROR(Q28/P28-1,""))</f>
        <v/>
      </c>
      <c r="R30" s="15">
        <f>IF(OR(R28="",Q28=""),"",IFERROR(R28/Q28-1,""))</f>
        <v/>
      </c>
      <c r="S30" s="15">
        <f>IF(OR(S28="",R28=""),"",IFERROR(S28/R28-1,""))</f>
        <v/>
      </c>
      <c r="T30" s="15">
        <f>IF(OR(T28="",S28=""),"",IFERROR(T28/S28-1,""))</f>
        <v/>
      </c>
      <c r="U30" s="15">
        <f>IF(OR(U28="",T28=""),"",IFERROR(U28/T28-1,""))</f>
        <v/>
      </c>
      <c r="V30" s="15">
        <f>IF(OR(V28="",U28=""),"",IFERROR(V28/U28-1,""))</f>
        <v/>
      </c>
      <c r="W30" s="15">
        <f>IF(OR(W28="",V28=""),"",IFERROR(W28/V28-1,""))</f>
        <v/>
      </c>
      <c r="X30" s="15">
        <f>IF(OR(X28="",W28=""),"",IFERROR(X28/W28-1,""))</f>
        <v/>
      </c>
      <c r="Y30" s="14">
        <f>IF(OR(Y28="",X28=""),"",IFERROR(Y28/X28-1,""))</f>
        <v/>
      </c>
      <c r="Z30" s="15">
        <f>IF(OR(Z28="",Y28=""),"",IFERROR(Z28/Y28-1,""))</f>
        <v/>
      </c>
      <c r="AA30" s="15">
        <f>IF(OR(AA28="",Z28=""),"",IFERROR(AA28/Z28-1,""))</f>
        <v/>
      </c>
      <c r="AB30" s="15">
        <f>IF(OR(AB28="",AA28=""),"",IFERROR(AB28/AA28-1,""))</f>
        <v/>
      </c>
      <c r="AC30" s="15">
        <f>IF(OR(AC28="",AB28=""),"",IFERROR(AC28/AB28-1,""))</f>
        <v/>
      </c>
    </row>
    <row r="31">
      <c r="A31" s="16" t="inlineStr">
        <is>
          <t>비용의 성격별 분류</t>
        </is>
      </c>
      <c r="B31" s="16" t="inlineStr">
        <is>
          <t>참고 데이터</t>
        </is>
      </c>
      <c r="C31" s="17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7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7" t="n"/>
      <c r="Z31" s="16" t="n"/>
      <c r="AA31" s="16" t="n"/>
      <c r="AB31" s="16" t="n"/>
      <c r="AC31" s="16" t="n"/>
    </row>
    <row r="32">
      <c r="A32" s="9" t="inlineStr">
        <is>
          <t>총 판관비</t>
        </is>
      </c>
      <c r="B32" s="10" t="n"/>
      <c r="C32" s="11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1">
        <f>IF(O26="","",O26)</f>
        <v/>
      </c>
      <c r="P32" s="12">
        <f>IF(P26="","",P26)</f>
        <v/>
      </c>
      <c r="Q32" s="12">
        <f>IF(Q26="","",Q26)</f>
        <v/>
      </c>
      <c r="R32" s="12">
        <f>IF(R26="","",R26)</f>
        <v/>
      </c>
      <c r="S32" s="12">
        <f>IF(S26="","",S26)</f>
        <v/>
      </c>
      <c r="T32" s="12">
        <f>IF(T26="","",T26)</f>
        <v/>
      </c>
      <c r="U32" s="12">
        <f>IF(U26="","",U26)</f>
        <v/>
      </c>
      <c r="V32" s="12">
        <f>IF(V26="","",V26)</f>
        <v/>
      </c>
      <c r="W32" s="12">
        <f>IF(W26="","",W26)</f>
        <v/>
      </c>
      <c r="X32" s="12">
        <f>IF(X26="","",X26)</f>
        <v/>
      </c>
      <c r="Y32" s="11" t="n"/>
      <c r="Z32" s="12" t="n"/>
      <c r="AA32" s="12" t="n"/>
      <c r="AB32" s="12" t="n"/>
      <c r="AC32" s="12" t="n"/>
    </row>
    <row r="33">
      <c r="A33" s="18" t="inlineStr">
        <is>
          <t>급여</t>
        </is>
      </c>
      <c r="B33" s="10" t="inlineStr">
        <is>
          <t>고정비</t>
        </is>
      </c>
      <c r="C33" s="19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19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19" t="n"/>
      <c r="Z33" s="20" t="n"/>
      <c r="AA33" s="20" t="n"/>
      <c r="AB33" s="20" t="n"/>
      <c r="AC33" s="20" t="n"/>
    </row>
    <row r="34">
      <c r="A34" s="13" t="inlineStr">
        <is>
          <t>% of Sales</t>
        </is>
      </c>
      <c r="B34" s="10" t="n"/>
      <c r="C34" s="14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4">
        <f>IF(OR(O33="",O4=""),"",IFERROR(O33/O4,""))</f>
        <v/>
      </c>
      <c r="P34" s="15">
        <f>IF(OR(P33="",P4=""),"",IFERROR(P33/P4,""))</f>
        <v/>
      </c>
      <c r="Q34" s="15">
        <f>IF(OR(Q33="",Q4=""),"",IFERROR(Q33/Q4,""))</f>
        <v/>
      </c>
      <c r="R34" s="15">
        <f>IF(OR(R33="",R4=""),"",IFERROR(R33/R4,""))</f>
        <v/>
      </c>
      <c r="S34" s="15">
        <f>IF(OR(S33="",S4=""),"",IFERROR(S33/S4,""))</f>
        <v/>
      </c>
      <c r="T34" s="15">
        <f>IF(OR(T33="",T4=""),"",IFERROR(T33/T4,""))</f>
        <v/>
      </c>
      <c r="U34" s="15">
        <f>IF(OR(U33="",U4=""),"",IFERROR(U33/U4,""))</f>
        <v/>
      </c>
      <c r="V34" s="15">
        <f>IF(OR(V33="",V4=""),"",IFERROR(V33/V4,""))</f>
        <v/>
      </c>
      <c r="W34" s="15">
        <f>IF(OR(W33="",W4=""),"",IFERROR(W33/W4,""))</f>
        <v/>
      </c>
      <c r="X34" s="15">
        <f>IF(OR(X33="",X4=""),"",IFERROR(X33/X4,""))</f>
        <v/>
      </c>
      <c r="Y34" s="14" t="n"/>
      <c r="Z34" s="15" t="n"/>
      <c r="AA34" s="15" t="n"/>
      <c r="AB34" s="15" t="n"/>
      <c r="AC34" s="15" t="n"/>
    </row>
    <row r="35">
      <c r="A35" s="18" t="inlineStr">
        <is>
          <t>감가상각비</t>
        </is>
      </c>
      <c r="B35" s="10" t="inlineStr">
        <is>
          <t>고정비</t>
        </is>
      </c>
      <c r="C35" s="19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19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19" t="n"/>
      <c r="Z35" s="20" t="n"/>
      <c r="AA35" s="20" t="n"/>
      <c r="AB35" s="20" t="n"/>
      <c r="AC35" s="20" t="n"/>
    </row>
    <row r="36">
      <c r="A36" s="13" t="inlineStr">
        <is>
          <t>% of Sales</t>
        </is>
      </c>
      <c r="B36" s="10" t="n"/>
      <c r="C36" s="14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4">
        <f>IF(OR(O35="",O4=""),"",IFERROR(O35/O4,""))</f>
        <v/>
      </c>
      <c r="P36" s="15">
        <f>IF(OR(P35="",P4=""),"",IFERROR(P35/P4,""))</f>
        <v/>
      </c>
      <c r="Q36" s="15">
        <f>IF(OR(Q35="",Q4=""),"",IFERROR(Q35/Q4,""))</f>
        <v/>
      </c>
      <c r="R36" s="15">
        <f>IF(OR(R35="",R4=""),"",IFERROR(R35/R4,""))</f>
        <v/>
      </c>
      <c r="S36" s="15">
        <f>IF(OR(S35="",S4=""),"",IFERROR(S35/S4,""))</f>
        <v/>
      </c>
      <c r="T36" s="15">
        <f>IF(OR(T35="",T4=""),"",IFERROR(T35/T4,""))</f>
        <v/>
      </c>
      <c r="U36" s="15">
        <f>IF(OR(U35="",U4=""),"",IFERROR(U35/U4,""))</f>
        <v/>
      </c>
      <c r="V36" s="15">
        <f>IF(OR(V35="",V4=""),"",IFERROR(V35/V4,""))</f>
        <v/>
      </c>
      <c r="W36" s="15">
        <f>IF(OR(W35="",W4=""),"",IFERROR(W35/W4,""))</f>
        <v/>
      </c>
      <c r="X36" s="15">
        <f>IF(OR(X35="",X4=""),"",IFERROR(X35/X4,""))</f>
        <v/>
      </c>
      <c r="Y36" s="14" t="n"/>
      <c r="Z36" s="15" t="n"/>
      <c r="AA36" s="15" t="n"/>
      <c r="AB36" s="15" t="n"/>
      <c r="AC36" s="15" t="n"/>
    </row>
    <row r="37">
      <c r="A37" s="18" t="inlineStr">
        <is>
          <t>지급수수료</t>
        </is>
      </c>
      <c r="B37" s="10" t="inlineStr">
        <is>
          <t>고정비</t>
        </is>
      </c>
      <c r="C37" s="19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19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19" t="n"/>
      <c r="Z37" s="20" t="n"/>
      <c r="AA37" s="20" t="n"/>
      <c r="AB37" s="20" t="n"/>
      <c r="AC37" s="20" t="n"/>
    </row>
    <row r="38">
      <c r="A38" s="13" t="inlineStr">
        <is>
          <t>% of Sales</t>
        </is>
      </c>
      <c r="B38" s="10" t="n"/>
      <c r="C38" s="14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4">
        <f>IF(OR(O37="",O4=""),"",IFERROR(O37/O4,""))</f>
        <v/>
      </c>
      <c r="P38" s="15">
        <f>IF(OR(P37="",P4=""),"",IFERROR(P37/P4,""))</f>
        <v/>
      </c>
      <c r="Q38" s="15">
        <f>IF(OR(Q37="",Q4=""),"",IFERROR(Q37/Q4,""))</f>
        <v/>
      </c>
      <c r="R38" s="15">
        <f>IF(OR(R37="",R4=""),"",IFERROR(R37/R4,""))</f>
        <v/>
      </c>
      <c r="S38" s="15">
        <f>IF(OR(S37="",S4=""),"",IFERROR(S37/S4,""))</f>
        <v/>
      </c>
      <c r="T38" s="15">
        <f>IF(OR(T37="",T4=""),"",IFERROR(T37/T4,""))</f>
        <v/>
      </c>
      <c r="U38" s="15">
        <f>IF(OR(U37="",U4=""),"",IFERROR(U37/U4,""))</f>
        <v/>
      </c>
      <c r="V38" s="15">
        <f>IF(OR(V37="",V4=""),"",IFERROR(V37/V4,""))</f>
        <v/>
      </c>
      <c r="W38" s="15">
        <f>IF(OR(W37="",W4=""),"",IFERROR(W37/W4,""))</f>
        <v/>
      </c>
      <c r="X38" s="15">
        <f>IF(OR(X37="",X4=""),"",IFERROR(X37/X4,""))</f>
        <v/>
      </c>
      <c r="Y38" s="14" t="n"/>
      <c r="Z38" s="15" t="n"/>
      <c r="AA38" s="15" t="n"/>
      <c r="AB38" s="15" t="n"/>
      <c r="AC38" s="15" t="n"/>
    </row>
    <row r="39">
      <c r="A39" s="18" t="inlineStr">
        <is>
          <t>연구개발비</t>
        </is>
      </c>
      <c r="B39" s="10" t="inlineStr">
        <is>
          <t>변동비</t>
        </is>
      </c>
      <c r="C39" s="19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19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19" t="n"/>
      <c r="Z39" s="20" t="n"/>
      <c r="AA39" s="20" t="n"/>
      <c r="AB39" s="20" t="n"/>
      <c r="AC39" s="20" t="n"/>
    </row>
    <row r="40">
      <c r="A40" s="13" t="inlineStr">
        <is>
          <t>% of Sales</t>
        </is>
      </c>
      <c r="B40" s="10" t="n"/>
      <c r="C40" s="14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4">
        <f>IF(OR(O39="",O4=""),"",IFERROR(O39/O4,""))</f>
        <v/>
      </c>
      <c r="P40" s="15">
        <f>IF(OR(P39="",P4=""),"",IFERROR(P39/P4,""))</f>
        <v/>
      </c>
      <c r="Q40" s="15">
        <f>IF(OR(Q39="",Q4=""),"",IFERROR(Q39/Q4,""))</f>
        <v/>
      </c>
      <c r="R40" s="15">
        <f>IF(OR(R39="",R4=""),"",IFERROR(R39/R4,""))</f>
        <v/>
      </c>
      <c r="S40" s="15">
        <f>IF(OR(S39="",S4=""),"",IFERROR(S39/S4,""))</f>
        <v/>
      </c>
      <c r="T40" s="15">
        <f>IF(OR(T39="",T4=""),"",IFERROR(T39/T4,""))</f>
        <v/>
      </c>
      <c r="U40" s="15">
        <f>IF(OR(U39="",U4=""),"",IFERROR(U39/U4,""))</f>
        <v/>
      </c>
      <c r="V40" s="15">
        <f>IF(OR(V39="",V4=""),"",IFERROR(V39/V4,""))</f>
        <v/>
      </c>
      <c r="W40" s="15">
        <f>IF(OR(W39="",W4=""),"",IFERROR(W39/W4,""))</f>
        <v/>
      </c>
      <c r="X40" s="15">
        <f>IF(OR(X39="",X4=""),"",IFERROR(X39/X4,""))</f>
        <v/>
      </c>
      <c r="Y40" s="14" t="n"/>
      <c r="Z40" s="15" t="n"/>
      <c r="AA40" s="15" t="n"/>
      <c r="AB40" s="15" t="n"/>
      <c r="AC40" s="15" t="n"/>
    </row>
    <row r="41">
      <c r="A41" s="18" t="inlineStr">
        <is>
          <t>기타비용</t>
        </is>
      </c>
      <c r="B41" s="10" t="inlineStr">
        <is>
          <t>변동비</t>
        </is>
      </c>
      <c r="C41" s="19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19">
        <f>IF(OR(O32="",O33="",O35="",O37="",O39=""),"",IFERROR(O32-O33-O35-O37-O39,""))</f>
        <v/>
      </c>
      <c r="P41" s="20">
        <f>IF(OR(P32="",P33="",P35="",P37="",P39=""),"",IFERROR(P32-P33-P35-P37-P39,""))</f>
        <v/>
      </c>
      <c r="Q41" s="20">
        <f>IF(OR(Q32="",Q33="",Q35="",Q37="",Q39=""),"",IFERROR(Q32-Q33-Q35-Q37-Q39,""))</f>
        <v/>
      </c>
      <c r="R41" s="20">
        <f>IF(OR(R32="",R33="",R35="",R37="",R39=""),"",IFERROR(R32-R33-R35-R37-R39,""))</f>
        <v/>
      </c>
      <c r="S41" s="20">
        <f>IF(OR(S32="",S33="",S35="",S37="",S39=""),"",IFERROR(S32-S33-S35-S37-S39,""))</f>
        <v/>
      </c>
      <c r="T41" s="20">
        <f>IF(OR(T32="",T33="",T35="",T37="",T39=""),"",IFERROR(T32-T33-T35-T37-T39,""))</f>
        <v/>
      </c>
      <c r="U41" s="20">
        <f>IF(OR(U32="",U33="",U35="",U37="",U39=""),"",IFERROR(U32-U33-U35-U37-U39,""))</f>
        <v/>
      </c>
      <c r="V41" s="20">
        <f>IF(OR(V32="",V33="",V35="",V37="",V39=""),"",IFERROR(V32-V33-V35-V37-V39,""))</f>
        <v/>
      </c>
      <c r="W41" s="20">
        <f>IF(OR(W32="",W33="",W35="",W37="",W39=""),"",IFERROR(W32-W33-W35-W37-W39,""))</f>
        <v/>
      </c>
      <c r="X41" s="20">
        <f>IF(OR(X32="",X33="",X35="",X37="",X39=""),"",IFERROR(X32-X33-X35-X37-X39,""))</f>
        <v/>
      </c>
      <c r="Y41" s="19" t="n"/>
      <c r="Z41" s="20" t="n"/>
      <c r="AA41" s="20" t="n"/>
      <c r="AB41" s="20" t="n"/>
      <c r="AC41" s="20" t="n"/>
    </row>
    <row r="42">
      <c r="A42" s="13" t="inlineStr">
        <is>
          <t>% of Sales</t>
        </is>
      </c>
      <c r="B42" s="10" t="n"/>
      <c r="C42" s="14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4">
        <f>IF(OR(O41="",O4=""),"",IFERROR(O41/O4,""))</f>
        <v/>
      </c>
      <c r="P42" s="15">
        <f>IF(OR(P41="",P4=""),"",IFERROR(P41/P4,""))</f>
        <v/>
      </c>
      <c r="Q42" s="15">
        <f>IF(OR(Q41="",Q4=""),"",IFERROR(Q41/Q4,""))</f>
        <v/>
      </c>
      <c r="R42" s="15">
        <f>IF(OR(R41="",R4=""),"",IFERROR(R41/R4,""))</f>
        <v/>
      </c>
      <c r="S42" s="15">
        <f>IF(OR(S41="",S4=""),"",IFERROR(S41/S4,""))</f>
        <v/>
      </c>
      <c r="T42" s="15">
        <f>IF(OR(T41="",T4=""),"",IFERROR(T41/T4,""))</f>
        <v/>
      </c>
      <c r="U42" s="15">
        <f>IF(OR(U41="",U4=""),"",IFERROR(U41/U4,""))</f>
        <v/>
      </c>
      <c r="V42" s="15">
        <f>IF(OR(V41="",V4=""),"",IFERROR(V41/V4,""))</f>
        <v/>
      </c>
      <c r="W42" s="15">
        <f>IF(OR(W41="",W4=""),"",IFERROR(W41/W4,""))</f>
        <v/>
      </c>
      <c r="X42" s="15">
        <f>IF(OR(X41="",X4=""),"",IFERROR(X41/X4,""))</f>
        <v/>
      </c>
      <c r="Y42" s="14" t="n"/>
      <c r="Z42" s="15" t="n"/>
      <c r="AA42" s="15" t="n"/>
      <c r="AB42" s="15" t="n"/>
      <c r="AC42" s="15" t="n"/>
    </row>
    <row r="43">
      <c r="A43" s="16" t="inlineStr">
        <is>
          <t>당기순이익 추정</t>
        </is>
      </c>
      <c r="B43" s="16" t="n"/>
      <c r="C43" s="17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7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7" t="n"/>
      <c r="Z43" s="16" t="n"/>
      <c r="AA43" s="16" t="n"/>
      <c r="AB43" s="16" t="n"/>
      <c r="AC43" s="16" t="n"/>
    </row>
    <row r="44">
      <c r="A44" s="18" t="inlineStr">
        <is>
          <t>특별이익</t>
        </is>
      </c>
      <c r="B44" s="10" t="n"/>
      <c r="C44" s="19" t="n">
        <v>0</v>
      </c>
      <c r="D44" s="20" t="n">
        <v>0</v>
      </c>
      <c r="E44" s="20" t="n">
        <v>0</v>
      </c>
      <c r="F44" s="20" t="n">
        <v>0</v>
      </c>
      <c r="G44" s="20" t="n"/>
      <c r="H44" s="20" t="n"/>
      <c r="I44" s="20" t="n"/>
      <c r="J44" s="20" t="n"/>
      <c r="K44" s="20" t="n"/>
      <c r="L44" s="20" t="n"/>
      <c r="M44" s="20" t="n"/>
      <c r="N44" s="20" t="n"/>
      <c r="O44" s="19" t="n"/>
      <c r="P44" s="20" t="n"/>
      <c r="Q44" s="20" t="n"/>
      <c r="R44" s="20" t="n"/>
      <c r="S44" s="20" t="n"/>
      <c r="T44" s="20" t="n">
        <v>4.5</v>
      </c>
      <c r="U44" s="20" t="n">
        <v>12.5</v>
      </c>
      <c r="V44" s="20" t="n">
        <v>0</v>
      </c>
      <c r="W44" s="20" t="n"/>
      <c r="X44" s="20" t="n"/>
      <c r="Y44" s="19">
        <f>IF(OR(Y4="",Y45=""),"",IFERROR(Y4*Y45,""))</f>
        <v/>
      </c>
      <c r="Z44" s="20">
        <f>IF(OR(Z4="",Z45=""),"",IFERROR(Z4*Z45,""))</f>
        <v/>
      </c>
      <c r="AA44" s="20">
        <f>IF(OR(AA4="",AA45=""),"",IFERROR(AA4*AA45,""))</f>
        <v/>
      </c>
      <c r="AB44" s="20">
        <f>IF(OR(AB4="",AB45=""),"",IFERROR(AB4*AB45,""))</f>
        <v/>
      </c>
      <c r="AC44" s="20">
        <f>IF(OR(AC4="",AC45=""),"",IFERROR(AC4*AC45,""))</f>
        <v/>
      </c>
    </row>
    <row r="45">
      <c r="A45" s="13" t="inlineStr">
        <is>
          <t>% of Sales</t>
        </is>
      </c>
      <c r="B45" s="10" t="inlineStr">
        <is>
          <t>MW = 최근 3년 평균</t>
        </is>
      </c>
      <c r="C45" s="14">
        <f>IF(OR(C44="",C4=""),"",IFERROR(C44/C4,""))</f>
        <v/>
      </c>
      <c r="D45" s="15">
        <f>IF(OR(D44="",D4=""),"",IFERROR(D44/D4,""))</f>
        <v/>
      </c>
      <c r="E45" s="15">
        <f>IF(OR(E44="",E4=""),"",IFERROR(E44/E4,""))</f>
        <v/>
      </c>
      <c r="F45" s="15">
        <f>IF(OR(F44="",F4=""),"",IFERROR(F44/F4,""))</f>
        <v/>
      </c>
      <c r="G45" s="15">
        <f>IF(OR(G44="",G4=""),"",IFERROR(G44/G4,""))</f>
        <v/>
      </c>
      <c r="H45" s="15">
        <f>IF(OR(H44="",H4=""),"",IFERROR(H44/H4,""))</f>
        <v/>
      </c>
      <c r="I45" s="15">
        <f>IF(OR(I44="",I4=""),"",IFERROR(I44/I4,""))</f>
        <v/>
      </c>
      <c r="J45" s="15">
        <f>IF(OR(J44="",J4=""),"",IFERROR(J44/J4,""))</f>
        <v/>
      </c>
      <c r="K45" s="15">
        <f>IF(OR(K44="",K4=""),"",IFERROR(K44/K4,""))</f>
        <v/>
      </c>
      <c r="L45" s="15">
        <f>IF(OR(L44="",L4=""),"",IFERROR(L44/L4,""))</f>
        <v/>
      </c>
      <c r="M45" s="15">
        <f>IF(OR(M44="",M4=""),"",IFERROR(M44/M4,""))</f>
        <v/>
      </c>
      <c r="N45" s="15">
        <f>IF(OR(N44="",N4=""),"",IFERROR(N44/N4,""))</f>
        <v/>
      </c>
      <c r="O45" s="14">
        <f>IF(OR(O44="",O4=""),"",IFERROR(O44/O4,""))</f>
        <v/>
      </c>
      <c r="P45" s="15">
        <f>IF(OR(P44="",P4=""),"",IFERROR(P44/P4,""))</f>
        <v/>
      </c>
      <c r="Q45" s="15">
        <f>IF(OR(Q44="",Q4=""),"",IFERROR(Q44/Q4,""))</f>
        <v/>
      </c>
      <c r="R45" s="15">
        <f>IF(OR(R44="",R4=""),"",IFERROR(R44/R4,""))</f>
        <v/>
      </c>
      <c r="S45" s="15">
        <f>IF(OR(S44="",S4=""),"",IFERROR(S44/S4,""))</f>
        <v/>
      </c>
      <c r="T45" s="15">
        <f>IF(OR(T44="",T4=""),"",IFERROR(T44/T4,""))</f>
        <v/>
      </c>
      <c r="U45" s="15">
        <f>IF(OR(U44="",U4=""),"",IFERROR(U44/U4,""))</f>
        <v/>
      </c>
      <c r="V45" s="15">
        <f>IF(OR(V44="",V4=""),"",IFERROR(V44/V4,""))</f>
        <v/>
      </c>
      <c r="W45" s="15">
        <f>IF(OR(W44="",W4=""),"",IFERROR(W44/W4,""))</f>
        <v/>
      </c>
      <c r="X45" s="15">
        <f>IF(OR(X44="",X4=""),"",IFERROR(X44/X4,""))</f>
        <v/>
      </c>
      <c r="Y45" s="25">
        <f>IFERROR(AVERAGE(V45,W45,X45),"")</f>
        <v/>
      </c>
      <c r="Z45" s="26">
        <f>Y45</f>
        <v/>
      </c>
      <c r="AA45" s="26">
        <f>Z45</f>
        <v/>
      </c>
      <c r="AB45" s="26">
        <f>AA45</f>
        <v/>
      </c>
      <c r="AC45" s="26">
        <f>AB45</f>
        <v/>
      </c>
    </row>
    <row r="46">
      <c r="A46" s="18" t="inlineStr">
        <is>
          <t>특별손실</t>
        </is>
      </c>
      <c r="B46" s="10" t="n"/>
      <c r="C46" s="19" t="n"/>
      <c r="D46" s="20" t="n"/>
      <c r="E46" s="20" t="n">
        <v>0</v>
      </c>
      <c r="F46" s="20" t="n">
        <v>55.345</v>
      </c>
      <c r="G46" s="20" t="n"/>
      <c r="H46" s="20" t="n"/>
      <c r="I46" s="20" t="n">
        <v>0</v>
      </c>
      <c r="J46" s="20" t="n">
        <v>0</v>
      </c>
      <c r="K46" s="20" t="n"/>
      <c r="L46" s="20" t="n"/>
      <c r="M46" s="20" t="n">
        <v>0</v>
      </c>
      <c r="N46" s="20" t="n">
        <v>0</v>
      </c>
      <c r="O46" s="19" t="n"/>
      <c r="P46" s="20" t="n"/>
      <c r="Q46" s="20" t="n"/>
      <c r="R46" s="20" t="n"/>
      <c r="S46" s="20" t="n"/>
      <c r="T46" s="20" t="n">
        <v>30</v>
      </c>
      <c r="U46" s="20" t="n">
        <v>0</v>
      </c>
      <c r="V46" s="20" t="n">
        <v>55.345</v>
      </c>
      <c r="W46" s="20" t="n">
        <v>1.409</v>
      </c>
      <c r="X46" s="20" t="n">
        <v>0</v>
      </c>
      <c r="Y46" s="19">
        <f>IF(OR(Y4="",Y47=""),"",IFERROR(Y4*Y47,""))</f>
        <v/>
      </c>
      <c r="Z46" s="20">
        <f>IF(OR(Z4="",Z47=""),"",IFERROR(Z4*Z47,""))</f>
        <v/>
      </c>
      <c r="AA46" s="20">
        <f>IF(OR(AA4="",AA47=""),"",IFERROR(AA4*AA47,""))</f>
        <v/>
      </c>
      <c r="AB46" s="20">
        <f>IF(OR(AB4="",AB47=""),"",IFERROR(AB4*AB47,""))</f>
        <v/>
      </c>
      <c r="AC46" s="20">
        <f>IF(OR(AC4="",AC47=""),"",IFERROR(AC4*AC47,""))</f>
        <v/>
      </c>
    </row>
    <row r="47">
      <c r="A47" s="13" t="inlineStr">
        <is>
          <t>% of Sales</t>
        </is>
      </c>
      <c r="B47" s="10" t="n"/>
      <c r="C47" s="14">
        <f>IF(OR(C46="",C4=""),"",IFERROR(C46/C4,""))</f>
        <v/>
      </c>
      <c r="D47" s="15">
        <f>IF(OR(D46="",D4=""),"",IFERROR(D46/D4,""))</f>
        <v/>
      </c>
      <c r="E47" s="15">
        <f>IF(OR(E46="",E4=""),"",IFERROR(E46/E4,""))</f>
        <v/>
      </c>
      <c r="F47" s="15">
        <f>IF(OR(F46="",F4=""),"",IFERROR(F46/F4,""))</f>
        <v/>
      </c>
      <c r="G47" s="15">
        <f>IF(OR(G46="",G4=""),"",IFERROR(G46/G4,""))</f>
        <v/>
      </c>
      <c r="H47" s="15">
        <f>IF(OR(H46="",H4=""),"",IFERROR(H46/H4,""))</f>
        <v/>
      </c>
      <c r="I47" s="15">
        <f>IF(OR(I46="",I4=""),"",IFERROR(I46/I4,""))</f>
        <v/>
      </c>
      <c r="J47" s="15">
        <f>IF(OR(J46="",J4=""),"",IFERROR(J46/J4,""))</f>
        <v/>
      </c>
      <c r="K47" s="15">
        <f>IF(OR(K46="",K4=""),"",IFERROR(K46/K4,""))</f>
        <v/>
      </c>
      <c r="L47" s="15">
        <f>IF(OR(L46="",L4=""),"",IFERROR(L46/L4,""))</f>
        <v/>
      </c>
      <c r="M47" s="15">
        <f>IF(OR(M46="",M4=""),"",IFERROR(M46/M4,""))</f>
        <v/>
      </c>
      <c r="N47" s="15">
        <f>IF(OR(N46="",N4=""),"",IFERROR(N46/N4,""))</f>
        <v/>
      </c>
      <c r="O47" s="14">
        <f>IF(OR(O46="",O4=""),"",IFERROR(O46/O4,""))</f>
        <v/>
      </c>
      <c r="P47" s="15">
        <f>IF(OR(P46="",P4=""),"",IFERROR(P46/P4,""))</f>
        <v/>
      </c>
      <c r="Q47" s="15">
        <f>IF(OR(Q46="",Q4=""),"",IFERROR(Q46/Q4,""))</f>
        <v/>
      </c>
      <c r="R47" s="15">
        <f>IF(OR(R46="",R4=""),"",IFERROR(R46/R4,""))</f>
        <v/>
      </c>
      <c r="S47" s="15">
        <f>IF(OR(S46="",S4=""),"",IFERROR(S46/S4,""))</f>
        <v/>
      </c>
      <c r="T47" s="15">
        <f>IF(OR(T46="",T4=""),"",IFERROR(T46/T4,""))</f>
        <v/>
      </c>
      <c r="U47" s="15">
        <f>IF(OR(U46="",U4=""),"",IFERROR(U46/U4,""))</f>
        <v/>
      </c>
      <c r="V47" s="15">
        <f>IF(OR(V46="",V4=""),"",IFERROR(V46/V4,""))</f>
        <v/>
      </c>
      <c r="W47" s="15">
        <f>IF(OR(W46="",W4=""),"",IFERROR(W46/W4,""))</f>
        <v/>
      </c>
      <c r="X47" s="15">
        <f>IF(OR(X46="",X4=""),"",IFERROR(X46/X4,""))</f>
        <v/>
      </c>
      <c r="Y47" s="25">
        <f>IFERROR(AVERAGE(V47,W47,X47),"")</f>
        <v/>
      </c>
      <c r="Z47" s="26">
        <f>Y47</f>
        <v/>
      </c>
      <c r="AA47" s="26">
        <f>Z47</f>
        <v/>
      </c>
      <c r="AB47" s="26">
        <f>AA47</f>
        <v/>
      </c>
      <c r="AC47" s="26">
        <f>AB47</f>
        <v/>
      </c>
    </row>
    <row r="48">
      <c r="A48" s="18" t="inlineStr">
        <is>
          <t>영업외수익</t>
        </is>
      </c>
      <c r="B48" s="10" t="n"/>
      <c r="C48" s="19" t="n">
        <v>5.346</v>
      </c>
      <c r="D48" s="20" t="n">
        <v>1.555</v>
      </c>
      <c r="E48" s="20" t="n">
        <v>7.447</v>
      </c>
      <c r="F48" s="20" t="n">
        <v>11.507</v>
      </c>
      <c r="G48" s="20" t="n">
        <v>6.274</v>
      </c>
      <c r="H48" s="20" t="n">
        <v>6.697</v>
      </c>
      <c r="I48" s="20" t="n">
        <v>3.909</v>
      </c>
      <c r="J48" s="20" t="n">
        <v>9.923999999999999</v>
      </c>
      <c r="K48" s="20" t="n">
        <v>7.3</v>
      </c>
      <c r="L48" s="20" t="n">
        <v>4.038</v>
      </c>
      <c r="M48" s="20" t="n">
        <v>12.707</v>
      </c>
      <c r="N48" s="20" t="n">
        <v>8.839</v>
      </c>
      <c r="O48" s="19" t="n"/>
      <c r="P48" s="20" t="n"/>
      <c r="Q48" s="20" t="n"/>
      <c r="R48" s="20" t="n">
        <v>2.829</v>
      </c>
      <c r="S48" s="20" t="n">
        <v>1.759</v>
      </c>
      <c r="T48" s="20" t="n">
        <v>4.239</v>
      </c>
      <c r="U48" s="20" t="n">
        <v>9.718999999999999</v>
      </c>
      <c r="V48" s="20" t="n">
        <v>25.855</v>
      </c>
      <c r="W48" s="20" t="n">
        <v>26.804</v>
      </c>
      <c r="X48" s="20" t="n">
        <v>32.884</v>
      </c>
      <c r="Y48" s="19">
        <f>IF(OR(Y4="",Y49=""),"",IFERROR(Y4*Y49,""))</f>
        <v/>
      </c>
      <c r="Z48" s="20">
        <f>IF(OR(Z4="",Z49=""),"",IFERROR(Z4*Z49,""))</f>
        <v/>
      </c>
      <c r="AA48" s="20">
        <f>IF(OR(AA4="",AA49=""),"",IFERROR(AA4*AA49,""))</f>
        <v/>
      </c>
      <c r="AB48" s="20">
        <f>IF(OR(AB4="",AB49=""),"",IFERROR(AB4*AB49,""))</f>
        <v/>
      </c>
      <c r="AC48" s="20">
        <f>IF(OR(AC4="",AC49=""),"",IFERROR(AC4*AC49,""))</f>
        <v/>
      </c>
    </row>
    <row r="49">
      <c r="A49" s="13" t="inlineStr">
        <is>
          <t>% of Sales</t>
        </is>
      </c>
      <c r="B49" s="10" t="n"/>
      <c r="C49" s="14">
        <f>IF(OR(C48="",C4=""),"",IFERROR(C48/C4,""))</f>
        <v/>
      </c>
      <c r="D49" s="15">
        <f>IF(OR(D48="",D4=""),"",IFERROR(D48/D4,""))</f>
        <v/>
      </c>
      <c r="E49" s="15">
        <f>IF(OR(E48="",E4=""),"",IFERROR(E48/E4,""))</f>
        <v/>
      </c>
      <c r="F49" s="15">
        <f>IF(OR(F48="",F4=""),"",IFERROR(F48/F4,""))</f>
        <v/>
      </c>
      <c r="G49" s="15">
        <f>IF(OR(G48="",G4=""),"",IFERROR(G48/G4,""))</f>
        <v/>
      </c>
      <c r="H49" s="15">
        <f>IF(OR(H48="",H4=""),"",IFERROR(H48/H4,""))</f>
        <v/>
      </c>
      <c r="I49" s="15">
        <f>IF(OR(I48="",I4=""),"",IFERROR(I48/I4,""))</f>
        <v/>
      </c>
      <c r="J49" s="15">
        <f>IF(OR(J48="",J4=""),"",IFERROR(J48/J4,""))</f>
        <v/>
      </c>
      <c r="K49" s="15">
        <f>IF(OR(K48="",K4=""),"",IFERROR(K48/K4,""))</f>
        <v/>
      </c>
      <c r="L49" s="15">
        <f>IF(OR(L48="",L4=""),"",IFERROR(L48/L4,""))</f>
        <v/>
      </c>
      <c r="M49" s="15">
        <f>IF(OR(M48="",M4=""),"",IFERROR(M48/M4,""))</f>
        <v/>
      </c>
      <c r="N49" s="15">
        <f>IF(OR(N48="",N4=""),"",IFERROR(N48/N4,""))</f>
        <v/>
      </c>
      <c r="O49" s="14">
        <f>IF(OR(O48="",O4=""),"",IFERROR(O48/O4,""))</f>
        <v/>
      </c>
      <c r="P49" s="15">
        <f>IF(OR(P48="",P4=""),"",IFERROR(P48/P4,""))</f>
        <v/>
      </c>
      <c r="Q49" s="15">
        <f>IF(OR(Q48="",Q4=""),"",IFERROR(Q48/Q4,""))</f>
        <v/>
      </c>
      <c r="R49" s="15">
        <f>IF(OR(R48="",R4=""),"",IFERROR(R48/R4,""))</f>
        <v/>
      </c>
      <c r="S49" s="15">
        <f>IF(OR(S48="",S4=""),"",IFERROR(S48/S4,""))</f>
        <v/>
      </c>
      <c r="T49" s="15">
        <f>IF(OR(T48="",T4=""),"",IFERROR(T48/T4,""))</f>
        <v/>
      </c>
      <c r="U49" s="15">
        <f>IF(OR(U48="",U4=""),"",IFERROR(U48/U4,""))</f>
        <v/>
      </c>
      <c r="V49" s="15">
        <f>IF(OR(V48="",V4=""),"",IFERROR(V48/V4,""))</f>
        <v/>
      </c>
      <c r="W49" s="15">
        <f>IF(OR(W48="",W4=""),"",IFERROR(W48/W4,""))</f>
        <v/>
      </c>
      <c r="X49" s="15">
        <f>IF(OR(X48="",X4=""),"",IFERROR(X48/X4,""))</f>
        <v/>
      </c>
      <c r="Y49" s="25">
        <f>IFERROR(AVERAGE(V49,W49,X49),"")</f>
        <v/>
      </c>
      <c r="Z49" s="26">
        <f>Y49</f>
        <v/>
      </c>
      <c r="AA49" s="26">
        <f>Z49</f>
        <v/>
      </c>
      <c r="AB49" s="26">
        <f>AA49</f>
        <v/>
      </c>
      <c r="AC49" s="26">
        <f>AB49</f>
        <v/>
      </c>
    </row>
    <row r="50">
      <c r="A50" s="18" t="inlineStr">
        <is>
          <t>영업외비용</t>
        </is>
      </c>
      <c r="B50" s="10" t="n"/>
      <c r="C50" s="19" t="n">
        <v>1.645</v>
      </c>
      <c r="D50" s="20" t="n">
        <v>34.473</v>
      </c>
      <c r="E50" s="20" t="n">
        <v>63.814</v>
      </c>
      <c r="F50" s="20" t="n">
        <v>5.028</v>
      </c>
      <c r="G50" s="20" t="n">
        <v>34.574</v>
      </c>
      <c r="H50" s="20" t="n">
        <v>5.207</v>
      </c>
      <c r="I50" s="20" t="n">
        <v>5.406</v>
      </c>
      <c r="J50" s="20" t="n">
        <v>10.461</v>
      </c>
      <c r="K50" s="20" t="n">
        <v>5.356</v>
      </c>
      <c r="L50" s="20" t="n">
        <v>5.834</v>
      </c>
      <c r="M50" s="20" t="n">
        <v>6.605</v>
      </c>
      <c r="N50" s="20" t="n">
        <v>5.592</v>
      </c>
      <c r="O50" s="19" t="n"/>
      <c r="P50" s="20" t="n"/>
      <c r="Q50" s="20" t="n"/>
      <c r="R50" s="20" t="n">
        <v>5.732</v>
      </c>
      <c r="S50" s="20" t="n">
        <v>31.278</v>
      </c>
      <c r="T50" s="20" t="n">
        <v>0.229</v>
      </c>
      <c r="U50" s="20" t="n">
        <v>51.608</v>
      </c>
      <c r="V50" s="20" t="n">
        <v>104.96</v>
      </c>
      <c r="W50" s="20" t="n">
        <v>55.648</v>
      </c>
      <c r="X50" s="20" t="n">
        <v>23.387</v>
      </c>
      <c r="Y50" s="19">
        <f>IF(OR(Y4="",Y51=""),"",IFERROR(Y4*Y51,""))</f>
        <v/>
      </c>
      <c r="Z50" s="20">
        <f>IF(OR(Z4="",Z51=""),"",IFERROR(Z4*Z51,""))</f>
        <v/>
      </c>
      <c r="AA50" s="20">
        <f>IF(OR(AA4="",AA51=""),"",IFERROR(AA4*AA51,""))</f>
        <v/>
      </c>
      <c r="AB50" s="20">
        <f>IF(OR(AB4="",AB51=""),"",IFERROR(AB4*AB51,""))</f>
        <v/>
      </c>
      <c r="AC50" s="20">
        <f>IF(OR(AC4="",AC51=""),"",IFERROR(AC4*AC51,""))</f>
        <v/>
      </c>
    </row>
    <row r="51">
      <c r="A51" s="13" t="inlineStr">
        <is>
          <t>% of Sales</t>
        </is>
      </c>
      <c r="B51" s="10" t="n"/>
      <c r="C51" s="14">
        <f>IF(OR(C50="",C4=""),"",IFERROR(C50/C4,""))</f>
        <v/>
      </c>
      <c r="D51" s="15">
        <f>IF(OR(D50="",D4=""),"",IFERROR(D50/D4,""))</f>
        <v/>
      </c>
      <c r="E51" s="15">
        <f>IF(OR(E50="",E4=""),"",IFERROR(E50/E4,""))</f>
        <v/>
      </c>
      <c r="F51" s="15">
        <f>IF(OR(F50="",F4=""),"",IFERROR(F50/F4,""))</f>
        <v/>
      </c>
      <c r="G51" s="15">
        <f>IF(OR(G50="",G4=""),"",IFERROR(G50/G4,""))</f>
        <v/>
      </c>
      <c r="H51" s="15">
        <f>IF(OR(H50="",H4=""),"",IFERROR(H50/H4,""))</f>
        <v/>
      </c>
      <c r="I51" s="15">
        <f>IF(OR(I50="",I4=""),"",IFERROR(I50/I4,""))</f>
        <v/>
      </c>
      <c r="J51" s="15">
        <f>IF(OR(J50="",J4=""),"",IFERROR(J50/J4,""))</f>
        <v/>
      </c>
      <c r="K51" s="15">
        <f>IF(OR(K50="",K4=""),"",IFERROR(K50/K4,""))</f>
        <v/>
      </c>
      <c r="L51" s="15">
        <f>IF(OR(L50="",L4=""),"",IFERROR(L50/L4,""))</f>
        <v/>
      </c>
      <c r="M51" s="15">
        <f>IF(OR(M50="",M4=""),"",IFERROR(M50/M4,""))</f>
        <v/>
      </c>
      <c r="N51" s="15">
        <f>IF(OR(N50="",N4=""),"",IFERROR(N50/N4,""))</f>
        <v/>
      </c>
      <c r="O51" s="14">
        <f>IF(OR(O50="",O4=""),"",IFERROR(O50/O4,""))</f>
        <v/>
      </c>
      <c r="P51" s="15">
        <f>IF(OR(P50="",P4=""),"",IFERROR(P50/P4,""))</f>
        <v/>
      </c>
      <c r="Q51" s="15">
        <f>IF(OR(Q50="",Q4=""),"",IFERROR(Q50/Q4,""))</f>
        <v/>
      </c>
      <c r="R51" s="15">
        <f>IF(OR(R50="",R4=""),"",IFERROR(R50/R4,""))</f>
        <v/>
      </c>
      <c r="S51" s="15">
        <f>IF(OR(S50="",S4=""),"",IFERROR(S50/S4,""))</f>
        <v/>
      </c>
      <c r="T51" s="15">
        <f>IF(OR(T50="",T4=""),"",IFERROR(T50/T4,""))</f>
        <v/>
      </c>
      <c r="U51" s="15">
        <f>IF(OR(U50="",U4=""),"",IFERROR(U50/U4,""))</f>
        <v/>
      </c>
      <c r="V51" s="15">
        <f>IF(OR(V50="",V4=""),"",IFERROR(V50/V4,""))</f>
        <v/>
      </c>
      <c r="W51" s="15">
        <f>IF(OR(W50="",W4=""),"",IFERROR(W50/W4,""))</f>
        <v/>
      </c>
      <c r="X51" s="15">
        <f>IF(OR(X50="",X4=""),"",IFERROR(X50/X4,""))</f>
        <v/>
      </c>
      <c r="Y51" s="25">
        <f>IFERROR(AVERAGE(V51,W51,X51),"")</f>
        <v/>
      </c>
      <c r="Z51" s="26">
        <f>Y51</f>
        <v/>
      </c>
      <c r="AA51" s="26">
        <f>Z51</f>
        <v/>
      </c>
      <c r="AB51" s="26">
        <f>AA51</f>
        <v/>
      </c>
      <c r="AC51" s="26">
        <f>AB51</f>
        <v/>
      </c>
    </row>
    <row r="52">
      <c r="A52" s="9" t="inlineStr">
        <is>
          <t>법인세비용차감전순이익(손실)</t>
        </is>
      </c>
      <c r="B52" s="10" t="n"/>
      <c r="C52" s="11" t="n">
        <v>100.803</v>
      </c>
      <c r="D52" s="12" t="n">
        <v>55.762</v>
      </c>
      <c r="E52" s="12" t="n">
        <v>57.641</v>
      </c>
      <c r="F52" s="12" t="n">
        <v>-43.881</v>
      </c>
      <c r="G52" s="12" t="n">
        <v>79.89700000000001</v>
      </c>
      <c r="H52" s="12" t="n">
        <v>90.077</v>
      </c>
      <c r="I52" s="12" t="n">
        <v>88.873</v>
      </c>
      <c r="J52" s="12" t="n">
        <v>-32.98</v>
      </c>
      <c r="K52" s="12" t="n">
        <v>81.438</v>
      </c>
      <c r="L52" s="12" t="n">
        <v>150.523</v>
      </c>
      <c r="M52" s="12" t="n">
        <v>184.643</v>
      </c>
      <c r="N52" s="12" t="n">
        <v>85.596</v>
      </c>
      <c r="O52" s="11" t="n"/>
      <c r="P52" s="12" t="n"/>
      <c r="Q52" s="12" t="n"/>
      <c r="R52" s="12" t="n">
        <v>-83.767</v>
      </c>
      <c r="S52" s="12" t="n">
        <v>59.959</v>
      </c>
      <c r="T52" s="12" t="n">
        <v>-536.769</v>
      </c>
      <c r="U52" s="12" t="n">
        <v>-155.777</v>
      </c>
      <c r="V52" s="12" t="n">
        <v>170.325</v>
      </c>
      <c r="W52" s="12" t="n">
        <v>225.867</v>
      </c>
      <c r="X52" s="12" t="n">
        <v>502.2</v>
      </c>
      <c r="Y52" s="11">
        <f>IF(OR(Y28=""),"",IFERROR(Y28+N(Y44)-N(Y46)+N(Y48)-N(Y50),""))</f>
        <v/>
      </c>
      <c r="Z52" s="12">
        <f>IF(OR(Z28=""),"",IFERROR(Z28+N(Z44)-N(Z46)+N(Z48)-N(Z50),""))</f>
        <v/>
      </c>
      <c r="AA52" s="12">
        <f>IF(OR(AA28=""),"",IFERROR(AA28+N(AA44)-N(AA46)+N(AA48)-N(AA50),""))</f>
        <v/>
      </c>
      <c r="AB52" s="12">
        <f>IF(OR(AB28=""),"",IFERROR(AB28+N(AB44)-N(AB46)+N(AB48)-N(AB50),""))</f>
        <v/>
      </c>
      <c r="AC52" s="12">
        <f>IF(OR(AC28=""),"",IFERROR(AC28+N(AC44)-N(AC46)+N(AC48)-N(AC50),""))</f>
        <v/>
      </c>
    </row>
    <row r="53">
      <c r="A53" s="13" t="inlineStr">
        <is>
          <t>YoY</t>
        </is>
      </c>
      <c r="B53" s="10" t="n"/>
      <c r="C53" s="14" t="n"/>
      <c r="D53" s="15" t="n"/>
      <c r="E53" s="15" t="n"/>
      <c r="F53" s="15" t="n"/>
      <c r="G53" s="15">
        <f>IF(OR(G52="",C52=""),"",IF(C52&lt;=0,"",IFERROR(G52/C52-1,"")))</f>
        <v/>
      </c>
      <c r="H53" s="15">
        <f>IF(OR(H52="",D52=""),"",IF(D52&lt;=0,"",IFERROR(H52/D52-1,"")))</f>
        <v/>
      </c>
      <c r="I53" s="15">
        <f>IF(OR(I52="",E52=""),"",IF(E52&lt;=0,"",IFERROR(I52/E52-1,"")))</f>
        <v/>
      </c>
      <c r="J53" s="15">
        <f>IF(OR(J52="",F52=""),"",IF(F52&lt;=0,"",IFERROR(J52/F52-1,"")))</f>
        <v/>
      </c>
      <c r="K53" s="15">
        <f>IF(OR(K52="",G52=""),"",IF(G52&lt;=0,"",IFERROR(K52/G52-1,"")))</f>
        <v/>
      </c>
      <c r="L53" s="15">
        <f>IF(OR(L52="",H52=""),"",IF(H52&lt;=0,"",IFERROR(L52/H52-1,"")))</f>
        <v/>
      </c>
      <c r="M53" s="15">
        <f>IF(OR(M52="",I52=""),"",IF(I52&lt;=0,"",IFERROR(M52/I52-1,"")))</f>
        <v/>
      </c>
      <c r="N53" s="15">
        <f>IF(OR(N52="",J52=""),"",IF(J52&lt;=0,"",IFERROR(N52/J52-1,"")))</f>
        <v/>
      </c>
      <c r="O53" s="14" t="n"/>
      <c r="P53" s="15">
        <f>IF(OR(P52="",O52=""),"",IF(O52&lt;=0,"",IFERROR(P52/O52-1,"")))</f>
        <v/>
      </c>
      <c r="Q53" s="15">
        <f>IF(OR(Q52="",P52=""),"",IF(P52&lt;=0,"",IFERROR(Q52/P52-1,"")))</f>
        <v/>
      </c>
      <c r="R53" s="15">
        <f>IF(OR(R52="",Q52=""),"",IF(Q52&lt;=0,"",IFERROR(R52/Q52-1,"")))</f>
        <v/>
      </c>
      <c r="S53" s="15">
        <f>IF(OR(S52="",R52=""),"",IF(R52&lt;=0,"",IFERROR(S52/R52-1,"")))</f>
        <v/>
      </c>
      <c r="T53" s="15">
        <f>IF(OR(T52="",S52=""),"",IF(S52&lt;=0,"",IFERROR(T52/S52-1,"")))</f>
        <v/>
      </c>
      <c r="U53" s="15">
        <f>IF(OR(U52="",T52=""),"",IF(T52&lt;=0,"",IFERROR(U52/T52-1,"")))</f>
        <v/>
      </c>
      <c r="V53" s="15">
        <f>IF(OR(V52="",U52=""),"",IF(U52&lt;=0,"",IFERROR(V52/U52-1,"")))</f>
        <v/>
      </c>
      <c r="W53" s="15">
        <f>IF(OR(W52="",V52=""),"",IF(V52&lt;=0,"",IFERROR(W52/V52-1,"")))</f>
        <v/>
      </c>
      <c r="X53" s="15">
        <f>IF(OR(X52="",W52=""),"",IF(W52&lt;=0,"",IFERROR(X52/W52-1,"")))</f>
        <v/>
      </c>
      <c r="Y53" s="14">
        <f>IF(OR(Y52="",X52=""),"",IF(X52&lt;=0,"",IFERROR(Y52/X52-1,"")))</f>
        <v/>
      </c>
      <c r="Z53" s="15">
        <f>IF(OR(Z52="",Y52=""),"",IF(Y52&lt;=0,"",IFERROR(Z52/Y52-1,"")))</f>
        <v/>
      </c>
      <c r="AA53" s="15">
        <f>IF(OR(AA52="",Z52=""),"",IF(Z52&lt;=0,"",IFERROR(AA52/Z52-1,"")))</f>
        <v/>
      </c>
      <c r="AB53" s="15">
        <f>IF(OR(AB52="",AA52=""),"",IF(AA52&lt;=0,"",IFERROR(AB52/AA52-1,"")))</f>
        <v/>
      </c>
      <c r="AC53" s="15">
        <f>IF(OR(AC52="",AB52=""),"",IF(AB52&lt;=0,"",IFERROR(AC52/AB52-1,"")))</f>
        <v/>
      </c>
    </row>
    <row r="54">
      <c r="A54" s="18" t="inlineStr">
        <is>
          <t>법인세비용(수익)</t>
        </is>
      </c>
      <c r="B54" s="10" t="n"/>
      <c r="C54" s="19" t="n">
        <v>24.951</v>
      </c>
      <c r="D54" s="20" t="n">
        <v>38.865</v>
      </c>
      <c r="E54" s="20" t="n">
        <v>26.055</v>
      </c>
      <c r="F54" s="20" t="n">
        <v>-25.48</v>
      </c>
      <c r="G54" s="20" t="n">
        <v>14.214</v>
      </c>
      <c r="H54" s="20" t="n">
        <v>41.876</v>
      </c>
      <c r="I54" s="20" t="n">
        <v>-51.388</v>
      </c>
      <c r="J54" s="20" t="n">
        <v>-38.744</v>
      </c>
      <c r="K54" s="20" t="n">
        <v>11.585</v>
      </c>
      <c r="L54" s="20" t="n">
        <v>63.041</v>
      </c>
      <c r="M54" s="20" t="n">
        <v>58.165</v>
      </c>
      <c r="N54" s="20" t="n">
        <v>-11.392</v>
      </c>
      <c r="O54" s="19" t="n"/>
      <c r="P54" s="20" t="n"/>
      <c r="Q54" s="20" t="n"/>
      <c r="R54" s="20" t="n">
        <v>10.233</v>
      </c>
      <c r="S54" s="20" t="n">
        <v>18.876</v>
      </c>
      <c r="T54" s="20" t="n"/>
      <c r="U54" s="20" t="n">
        <v>16.689</v>
      </c>
      <c r="V54" s="20" t="n">
        <v>64.39100000000001</v>
      </c>
      <c r="W54" s="20" t="n">
        <v>-34.042</v>
      </c>
      <c r="X54" s="20" t="n">
        <v>121.399</v>
      </c>
      <c r="Y54" s="19">
        <f>IF(OR(Y52="",Y55=""),"",IFERROR(MAX(Y52,0)*Y55,""))</f>
        <v/>
      </c>
      <c r="Z54" s="20">
        <f>IF(OR(Z52="",Z55=""),"",IFERROR(MAX(Z52,0)*Z55,""))</f>
        <v/>
      </c>
      <c r="AA54" s="20">
        <f>IF(OR(AA52="",AA55=""),"",IFERROR(MAX(AA52,0)*AA55,""))</f>
        <v/>
      </c>
      <c r="AB54" s="20">
        <f>IF(OR(AB52="",AB55=""),"",IFERROR(MAX(AB52,0)*AB55,""))</f>
        <v/>
      </c>
      <c r="AC54" s="20">
        <f>IF(OR(AC52="",AC55=""),"",IFERROR(MAX(AC52,0)*AC55,""))</f>
        <v/>
      </c>
    </row>
    <row r="55">
      <c r="A55" s="13" t="inlineStr">
        <is>
          <t>법인세율</t>
        </is>
      </c>
      <c r="B55" s="10" t="inlineStr">
        <is>
          <t>MW 기본 30%</t>
        </is>
      </c>
      <c r="C55" s="14">
        <f>IF(OR(C54="",C52=""),"",IFERROR(C54/C52,""))</f>
        <v/>
      </c>
      <c r="D55" s="15">
        <f>IF(OR(D54="",D52=""),"",IFERROR(D54/D52,""))</f>
        <v/>
      </c>
      <c r="E55" s="15">
        <f>IF(OR(E54="",E52=""),"",IFERROR(E54/E52,""))</f>
        <v/>
      </c>
      <c r="F55" s="15">
        <f>IF(OR(F54="",F52=""),"",IFERROR(F54/F52,""))</f>
        <v/>
      </c>
      <c r="G55" s="15">
        <f>IF(OR(G54="",G52=""),"",IFERROR(G54/G52,""))</f>
        <v/>
      </c>
      <c r="H55" s="15">
        <f>IF(OR(H54="",H52=""),"",IFERROR(H54/H52,""))</f>
        <v/>
      </c>
      <c r="I55" s="15">
        <f>IF(OR(I54="",I52=""),"",IFERROR(I54/I52,""))</f>
        <v/>
      </c>
      <c r="J55" s="15">
        <f>IF(OR(J54="",J52=""),"",IFERROR(J54/J52,""))</f>
        <v/>
      </c>
      <c r="K55" s="15">
        <f>IF(OR(K54="",K52=""),"",IFERROR(K54/K52,""))</f>
        <v/>
      </c>
      <c r="L55" s="15">
        <f>IF(OR(L54="",L52=""),"",IFERROR(L54/L52,""))</f>
        <v/>
      </c>
      <c r="M55" s="15">
        <f>IF(OR(M54="",M52=""),"",IFERROR(M54/M52,""))</f>
        <v/>
      </c>
      <c r="N55" s="15">
        <f>IF(OR(N54="",N52=""),"",IFERROR(N54/N52,""))</f>
        <v/>
      </c>
      <c r="O55" s="14">
        <f>IF(OR(O54="",O52=""),"",IFERROR(O54/O52,""))</f>
        <v/>
      </c>
      <c r="P55" s="15">
        <f>IF(OR(P54="",P52=""),"",IFERROR(P54/P52,""))</f>
        <v/>
      </c>
      <c r="Q55" s="15">
        <f>IF(OR(Q54="",Q52=""),"",IFERROR(Q54/Q52,""))</f>
        <v/>
      </c>
      <c r="R55" s="15">
        <f>IF(OR(R54="",R52=""),"",IFERROR(R54/R52,""))</f>
        <v/>
      </c>
      <c r="S55" s="15">
        <f>IF(OR(S54="",S52=""),"",IFERROR(S54/S52,""))</f>
        <v/>
      </c>
      <c r="T55" s="15">
        <f>IF(OR(T54="",T52=""),"",IFERROR(T54/T52,""))</f>
        <v/>
      </c>
      <c r="U55" s="15">
        <f>IF(OR(U54="",U52=""),"",IFERROR(U54/U52,""))</f>
        <v/>
      </c>
      <c r="V55" s="15">
        <f>IF(OR(V54="",V52=""),"",IFERROR(V54/V52,""))</f>
        <v/>
      </c>
      <c r="W55" s="15">
        <f>IF(OR(W54="",W52=""),"",IFERROR(W54/W52,""))</f>
        <v/>
      </c>
      <c r="X55" s="15">
        <f>IF(OR(X54="",X52=""),"",IFERROR(X54/X52,""))</f>
        <v/>
      </c>
      <c r="Y55" s="25" t="n">
        <v>0.3</v>
      </c>
      <c r="Z55" s="26" t="n">
        <v>0.3</v>
      </c>
      <c r="AA55" s="26" t="n">
        <v>0.3</v>
      </c>
      <c r="AB55" s="26" t="n">
        <v>0.3</v>
      </c>
      <c r="AC55" s="26" t="n">
        <v>0.3</v>
      </c>
    </row>
    <row r="56">
      <c r="A56" s="9" t="inlineStr">
        <is>
          <t>당기순이익(손실)</t>
        </is>
      </c>
      <c r="B56" s="10" t="n"/>
      <c r="C56" s="11" t="n">
        <v>75.851</v>
      </c>
      <c r="D56" s="12" t="n">
        <v>16.897</v>
      </c>
      <c r="E56" s="12" t="n">
        <v>31.586</v>
      </c>
      <c r="F56" s="12" t="n">
        <v>-18.401</v>
      </c>
      <c r="G56" s="12" t="n">
        <v>65.682</v>
      </c>
      <c r="H56" s="12" t="n">
        <v>48.201</v>
      </c>
      <c r="I56" s="12" t="n">
        <v>140.262</v>
      </c>
      <c r="J56" s="12" t="n">
        <v>5.764</v>
      </c>
      <c r="K56" s="12" t="n">
        <v>69.85299999999999</v>
      </c>
      <c r="L56" s="12" t="n">
        <v>87.48099999999999</v>
      </c>
      <c r="M56" s="12" t="n">
        <v>126.479</v>
      </c>
      <c r="N56" s="12" t="n">
        <v>96.988</v>
      </c>
      <c r="O56" s="11" t="n"/>
      <c r="P56" s="12" t="n"/>
      <c r="Q56" s="12" t="n"/>
      <c r="R56" s="12" t="n">
        <v>-94.001</v>
      </c>
      <c r="S56" s="12" t="n">
        <v>41.083</v>
      </c>
      <c r="T56" s="12" t="n">
        <v>-539.164</v>
      </c>
      <c r="U56" s="12" t="n">
        <v>-172.466</v>
      </c>
      <c r="V56" s="12" t="n">
        <v>105.933</v>
      </c>
      <c r="W56" s="12" t="n">
        <v>259.909</v>
      </c>
      <c r="X56" s="12" t="n">
        <v>380.801</v>
      </c>
      <c r="Y56" s="11">
        <f>IF(OR(Y52=""),"",IFERROR(Y52-Y54,""))</f>
        <v/>
      </c>
      <c r="Z56" s="12">
        <f>IF(OR(Z52=""),"",IFERROR(Z52-Z54,""))</f>
        <v/>
      </c>
      <c r="AA56" s="12">
        <f>IF(OR(AA52=""),"",IFERROR(AA52-AA54,""))</f>
        <v/>
      </c>
      <c r="AB56" s="12">
        <f>IF(OR(AB52=""),"",IFERROR(AB52-AB54,""))</f>
        <v/>
      </c>
      <c r="AC56" s="12">
        <f>IF(OR(AC52=""),"",IFERROR(AC52-AC54,""))</f>
        <v/>
      </c>
    </row>
    <row r="57">
      <c r="A57" s="13" t="inlineStr">
        <is>
          <t>YoY</t>
        </is>
      </c>
      <c r="B57" s="10" t="n"/>
      <c r="C57" s="14" t="n"/>
      <c r="D57" s="15" t="n"/>
      <c r="E57" s="15" t="n"/>
      <c r="F57" s="15" t="n"/>
      <c r="G57" s="15">
        <f>IF(OR(G56="",C56=""),"",IF(C56&lt;=0,"",IFERROR(G56/C56-1,"")))</f>
        <v/>
      </c>
      <c r="H57" s="15">
        <f>IF(OR(H56="",D56=""),"",IF(D56&lt;=0,"",IFERROR(H56/D56-1,"")))</f>
        <v/>
      </c>
      <c r="I57" s="15">
        <f>IF(OR(I56="",E56=""),"",IF(E56&lt;=0,"",IFERROR(I56/E56-1,"")))</f>
        <v/>
      </c>
      <c r="J57" s="15">
        <f>IF(OR(J56="",F56=""),"",IF(F56&lt;=0,"",IFERROR(J56/F56-1,"")))</f>
        <v/>
      </c>
      <c r="K57" s="15">
        <f>IF(OR(K56="",G56=""),"",IF(G56&lt;=0,"",IFERROR(K56/G56-1,"")))</f>
        <v/>
      </c>
      <c r="L57" s="15">
        <f>IF(OR(L56="",H56=""),"",IF(H56&lt;=0,"",IFERROR(L56/H56-1,"")))</f>
        <v/>
      </c>
      <c r="M57" s="15">
        <f>IF(OR(M56="",I56=""),"",IF(I56&lt;=0,"",IFERROR(M56/I56-1,"")))</f>
        <v/>
      </c>
      <c r="N57" s="15">
        <f>IF(OR(N56="",J56=""),"",IF(J56&lt;=0,"",IFERROR(N56/J56-1,"")))</f>
        <v/>
      </c>
      <c r="O57" s="14" t="n"/>
      <c r="P57" s="15">
        <f>IF(OR(P56="",O56=""),"",IF(O56&lt;=0,"",IFERROR(P56/O56-1,"")))</f>
        <v/>
      </c>
      <c r="Q57" s="15">
        <f>IF(OR(Q56="",P56=""),"",IF(P56&lt;=0,"",IFERROR(Q56/P56-1,"")))</f>
        <v/>
      </c>
      <c r="R57" s="15">
        <f>IF(OR(R56="",Q56=""),"",IF(Q56&lt;=0,"",IFERROR(R56/Q56-1,"")))</f>
        <v/>
      </c>
      <c r="S57" s="15">
        <f>IF(OR(S56="",R56=""),"",IF(R56&lt;=0,"",IFERROR(S56/R56-1,"")))</f>
        <v/>
      </c>
      <c r="T57" s="15">
        <f>IF(OR(T56="",S56=""),"",IF(S56&lt;=0,"",IFERROR(T56/S56-1,"")))</f>
        <v/>
      </c>
      <c r="U57" s="15">
        <f>IF(OR(U56="",T56=""),"",IF(T56&lt;=0,"",IFERROR(U56/T56-1,"")))</f>
        <v/>
      </c>
      <c r="V57" s="15">
        <f>IF(OR(V56="",U56=""),"",IF(U56&lt;=0,"",IFERROR(V56/U56-1,"")))</f>
        <v/>
      </c>
      <c r="W57" s="15">
        <f>IF(OR(W56="",V56=""),"",IF(V56&lt;=0,"",IFERROR(W56/V56-1,"")))</f>
        <v/>
      </c>
      <c r="X57" s="15">
        <f>IF(OR(X56="",W56=""),"",IF(W56&lt;=0,"",IFERROR(X56/W56-1,"")))</f>
        <v/>
      </c>
      <c r="Y57" s="14">
        <f>IF(OR(Y56="",X56=""),"",IF(X56&lt;=0,"",IFERROR(Y56/X56-1,"")))</f>
        <v/>
      </c>
      <c r="Z57" s="15">
        <f>IF(OR(Z56="",Y56=""),"",IF(Y56&lt;=0,"",IFERROR(Z56/Y56-1,"")))</f>
        <v/>
      </c>
      <c r="AA57" s="15">
        <f>IF(OR(AA56="",Z56=""),"",IF(Z56&lt;=0,"",IFERROR(AA56/Z56-1,"")))</f>
        <v/>
      </c>
      <c r="AB57" s="15">
        <f>IF(OR(AB56="",AA56=""),"",IF(AA56&lt;=0,"",IFERROR(AB56/AA56-1,"")))</f>
        <v/>
      </c>
      <c r="AC57" s="15">
        <f>IF(OR(AC56="",AB56=""),"",IF(AB56&lt;=0,"",IFERROR(AC56/AB56-1,"")))</f>
        <v/>
      </c>
    </row>
    <row r="58">
      <c r="A58" s="9" t="inlineStr">
        <is>
          <t>지배주주 순이익</t>
        </is>
      </c>
      <c r="B58" s="10" t="n"/>
      <c r="C58" s="11" t="n">
        <v>84.17700000000001</v>
      </c>
      <c r="D58" s="12" t="n">
        <v>55.193</v>
      </c>
      <c r="E58" s="12" t="n">
        <v>101.114</v>
      </c>
      <c r="F58" s="12" t="n">
        <v>3.232</v>
      </c>
      <c r="G58" s="12" t="n">
        <v>105.118</v>
      </c>
      <c r="H58" s="12" t="n">
        <v>54.89</v>
      </c>
      <c r="I58" s="12" t="n">
        <v>140.323</v>
      </c>
      <c r="J58" s="12" t="n">
        <v>6.573</v>
      </c>
      <c r="K58" s="12" t="n">
        <v>70.577</v>
      </c>
      <c r="L58" s="12" t="n">
        <v>87.212</v>
      </c>
      <c r="M58" s="12" t="n">
        <v>126.291</v>
      </c>
      <c r="N58" s="12" t="n">
        <v>96.38500000000001</v>
      </c>
      <c r="O58" s="11" t="n"/>
      <c r="P58" s="12" t="n"/>
      <c r="Q58" s="12" t="n"/>
      <c r="R58" s="12" t="n"/>
      <c r="S58" s="12" t="n"/>
      <c r="T58" s="12" t="n">
        <v>-494.355</v>
      </c>
      <c r="U58" s="12" t="n">
        <v>-75.899</v>
      </c>
      <c r="V58" s="12" t="n">
        <v>243.716</v>
      </c>
      <c r="W58" s="12" t="n">
        <v>306.904</v>
      </c>
      <c r="X58" s="12" t="n">
        <v>380.465</v>
      </c>
      <c r="Y58" s="11">
        <f>IF(OR(Y56="",Y59=""),"",IFERROR(Y56*Y59,""))</f>
        <v/>
      </c>
      <c r="Z58" s="12">
        <f>IF(OR(Z56="",Z59=""),"",IFERROR(Z56*Z59,""))</f>
        <v/>
      </c>
      <c r="AA58" s="12">
        <f>IF(OR(AA56="",AA59=""),"",IFERROR(AA56*AA59,""))</f>
        <v/>
      </c>
      <c r="AB58" s="12">
        <f>IF(OR(AB56="",AB59=""),"",IFERROR(AB56*AB59,""))</f>
        <v/>
      </c>
      <c r="AC58" s="12">
        <f>IF(OR(AC56="",AC59=""),"",IFERROR(AC56*AC59,""))</f>
        <v/>
      </c>
    </row>
    <row r="59">
      <c r="A59" s="13" t="inlineStr">
        <is>
          <t>지배주주 순이익률</t>
        </is>
      </c>
      <c r="B59" s="10" t="inlineStr">
        <is>
          <t>MW 기본 100%</t>
        </is>
      </c>
      <c r="C59" s="14">
        <f>IF(OR(C58="",C56=""),"",IFERROR(C58/C56,""))</f>
        <v/>
      </c>
      <c r="D59" s="15">
        <f>IF(OR(D58="",D56=""),"",IFERROR(D58/D56,""))</f>
        <v/>
      </c>
      <c r="E59" s="15">
        <f>IF(OR(E58="",E56=""),"",IFERROR(E58/E56,""))</f>
        <v/>
      </c>
      <c r="F59" s="15">
        <f>IF(OR(F58="",F56=""),"",IFERROR(F58/F56,""))</f>
        <v/>
      </c>
      <c r="G59" s="15">
        <f>IF(OR(G58="",G56=""),"",IFERROR(G58/G56,""))</f>
        <v/>
      </c>
      <c r="H59" s="15">
        <f>IF(OR(H58="",H56=""),"",IFERROR(H58/H56,""))</f>
        <v/>
      </c>
      <c r="I59" s="15">
        <f>IF(OR(I58="",I56=""),"",IFERROR(I58/I56,""))</f>
        <v/>
      </c>
      <c r="J59" s="15">
        <f>IF(OR(J58="",J56=""),"",IFERROR(J58/J56,""))</f>
        <v/>
      </c>
      <c r="K59" s="15">
        <f>IF(OR(K58="",K56=""),"",IFERROR(K58/K56,""))</f>
        <v/>
      </c>
      <c r="L59" s="15">
        <f>IF(OR(L58="",L56=""),"",IFERROR(L58/L56,""))</f>
        <v/>
      </c>
      <c r="M59" s="15">
        <f>IF(OR(M58="",M56=""),"",IFERROR(M58/M56,""))</f>
        <v/>
      </c>
      <c r="N59" s="15">
        <f>IF(OR(N58="",N56=""),"",IFERROR(N58/N56,""))</f>
        <v/>
      </c>
      <c r="O59" s="14">
        <f>IF(OR(O58="",O56=""),"",IFERROR(O58/O56,""))</f>
        <v/>
      </c>
      <c r="P59" s="15">
        <f>IF(OR(P58="",P56=""),"",IFERROR(P58/P56,""))</f>
        <v/>
      </c>
      <c r="Q59" s="15">
        <f>IF(OR(Q58="",Q56=""),"",IFERROR(Q58/Q56,""))</f>
        <v/>
      </c>
      <c r="R59" s="15">
        <f>IF(OR(R58="",R56=""),"",IFERROR(R58/R56,""))</f>
        <v/>
      </c>
      <c r="S59" s="15">
        <f>IF(OR(S58="",S56=""),"",IFERROR(S58/S56,""))</f>
        <v/>
      </c>
      <c r="T59" s="15">
        <f>IF(OR(T58="",T56=""),"",IFERROR(T58/T56,""))</f>
        <v/>
      </c>
      <c r="U59" s="15">
        <f>IF(OR(U58="",U56=""),"",IFERROR(U58/U56,""))</f>
        <v/>
      </c>
      <c r="V59" s="15">
        <f>IF(OR(V58="",V56=""),"",IFERROR(V58/V56,""))</f>
        <v/>
      </c>
      <c r="W59" s="15">
        <f>IF(OR(W58="",W56=""),"",IFERROR(W58/W56,""))</f>
        <v/>
      </c>
      <c r="X59" s="15">
        <f>IF(OR(X58="",X56=""),"",IFERROR(X58/X56,""))</f>
        <v/>
      </c>
      <c r="Y59" s="25" t="n">
        <v>1</v>
      </c>
      <c r="Z59" s="26" t="n">
        <v>1</v>
      </c>
      <c r="AA59" s="26" t="n">
        <v>1</v>
      </c>
      <c r="AB59" s="26" t="n">
        <v>1</v>
      </c>
      <c r="AC59" s="26" t="n">
        <v>1</v>
      </c>
    </row>
    <row r="60">
      <c r="A60" s="13" t="inlineStr">
        <is>
          <t>지배주주 순이익 YoY</t>
        </is>
      </c>
      <c r="B60" s="10" t="n"/>
      <c r="C60" s="14" t="n"/>
      <c r="D60" s="15" t="n"/>
      <c r="E60" s="15" t="n"/>
      <c r="F60" s="15" t="n"/>
      <c r="G60" s="15">
        <f>IF(OR(G58="",C58=""),"",IF(C58&lt;=0,"",IFERROR(G58/C58-1,"")))</f>
        <v/>
      </c>
      <c r="H60" s="15">
        <f>IF(OR(H58="",D58=""),"",IF(D58&lt;=0,"",IFERROR(H58/D58-1,"")))</f>
        <v/>
      </c>
      <c r="I60" s="15">
        <f>IF(OR(I58="",E58=""),"",IF(E58&lt;=0,"",IFERROR(I58/E58-1,"")))</f>
        <v/>
      </c>
      <c r="J60" s="15">
        <f>IF(OR(J58="",F58=""),"",IF(F58&lt;=0,"",IFERROR(J58/F58-1,"")))</f>
        <v/>
      </c>
      <c r="K60" s="15">
        <f>IF(OR(K58="",G58=""),"",IF(G58&lt;=0,"",IFERROR(K58/G58-1,"")))</f>
        <v/>
      </c>
      <c r="L60" s="15">
        <f>IF(OR(L58="",H58=""),"",IF(H58&lt;=0,"",IFERROR(L58/H58-1,"")))</f>
        <v/>
      </c>
      <c r="M60" s="15">
        <f>IF(OR(M58="",I58=""),"",IF(I58&lt;=0,"",IFERROR(M58/I58-1,"")))</f>
        <v/>
      </c>
      <c r="N60" s="15">
        <f>IF(OR(N58="",J58=""),"",IF(J58&lt;=0,"",IFERROR(N58/J58-1,"")))</f>
        <v/>
      </c>
      <c r="O60" s="14" t="n"/>
      <c r="P60" s="15">
        <f>IF(OR(P58="",O58=""),"",IF(O58&lt;=0,"",IFERROR(P58/O58-1,"")))</f>
        <v/>
      </c>
      <c r="Q60" s="15">
        <f>IF(OR(Q58="",P58=""),"",IF(P58&lt;=0,"",IFERROR(Q58/P58-1,"")))</f>
        <v/>
      </c>
      <c r="R60" s="15">
        <f>IF(OR(R58="",Q58=""),"",IF(Q58&lt;=0,"",IFERROR(R58/Q58-1,"")))</f>
        <v/>
      </c>
      <c r="S60" s="15">
        <f>IF(OR(S58="",R58=""),"",IF(R58&lt;=0,"",IFERROR(S58/R58-1,"")))</f>
        <v/>
      </c>
      <c r="T60" s="15">
        <f>IF(OR(T58="",S58=""),"",IF(S58&lt;=0,"",IFERROR(T58/S58-1,"")))</f>
        <v/>
      </c>
      <c r="U60" s="15">
        <f>IF(OR(U58="",T58=""),"",IF(T58&lt;=0,"",IFERROR(U58/T58-1,"")))</f>
        <v/>
      </c>
      <c r="V60" s="15">
        <f>IF(OR(V58="",U58=""),"",IF(U58&lt;=0,"",IFERROR(V58/U58-1,"")))</f>
        <v/>
      </c>
      <c r="W60" s="15">
        <f>IF(OR(W58="",V58=""),"",IF(V58&lt;=0,"",IFERROR(W58/V58-1,"")))</f>
        <v/>
      </c>
      <c r="X60" s="15">
        <f>IF(OR(X58="",W58=""),"",IF(W58&lt;=0,"",IFERROR(X58/W58-1,"")))</f>
        <v/>
      </c>
      <c r="Y60" s="14">
        <f>IF(OR(Y58="",X58=""),"",IF(X58&lt;=0,"",IFERROR(Y58/X58-1,"")))</f>
        <v/>
      </c>
      <c r="Z60" s="15">
        <f>IF(OR(Z58="",Y58=""),"",IF(Y58&lt;=0,"",IFERROR(Z58/Y58-1,"")))</f>
        <v/>
      </c>
      <c r="AA60" s="15">
        <f>IF(OR(AA58="",Z58=""),"",IF(Z58&lt;=0,"",IFERROR(AA58/Z58-1,"")))</f>
        <v/>
      </c>
      <c r="AB60" s="15">
        <f>IF(OR(AB58="",AA58=""),"",IF(AA58&lt;=0,"",IFERROR(AB58/AA58-1,"")))</f>
        <v/>
      </c>
      <c r="AC60" s="15">
        <f>IF(OR(AC58="",AB58=""),"",IF(AB58&lt;=0,"",IFERROR(AC58/AB58-1,"")))</f>
        <v/>
      </c>
    </row>
    <row r="61">
      <c r="A61" s="16" t="inlineStr">
        <is>
          <t>목표주가 산출</t>
        </is>
      </c>
      <c r="B61" s="16" t="n"/>
      <c r="C61" s="17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7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7" t="n"/>
      <c r="Z61" s="16" t="n"/>
      <c r="AA61" s="16" t="n"/>
      <c r="AB61" s="16" t="n"/>
      <c r="AC61" s="16" t="n"/>
    </row>
    <row r="62">
      <c r="A62" s="18" t="inlineStr">
        <is>
          <t>현재 주가 (2026.10.28)</t>
        </is>
      </c>
      <c r="B62" s="27" t="n">
        <v>305</v>
      </c>
      <c r="C62" s="28" t="n"/>
      <c r="D62" s="29" t="n"/>
      <c r="E62" s="29" t="n"/>
      <c r="F62" s="29" t="n"/>
      <c r="G62" s="29" t="n"/>
      <c r="H62" s="29" t="n"/>
      <c r="I62" s="29" t="n"/>
      <c r="J62" s="29" t="n"/>
      <c r="K62" s="29" t="n"/>
      <c r="L62" s="29" t="n"/>
      <c r="M62" s="29" t="n"/>
      <c r="N62" s="29" t="n"/>
      <c r="O62" s="28" t="n"/>
      <c r="P62" s="29" t="n"/>
      <c r="Q62" s="29" t="n"/>
      <c r="R62" s="29" t="n"/>
      <c r="S62" s="29" t="n"/>
      <c r="T62" s="29" t="n"/>
      <c r="U62" s="29" t="n"/>
      <c r="V62" s="29" t="n"/>
      <c r="W62" s="29" t="n"/>
      <c r="X62" s="29" t="n"/>
      <c r="Y62" s="28" t="n"/>
      <c r="Z62" s="29" t="n"/>
      <c r="AA62" s="29" t="n"/>
      <c r="AB62" s="29" t="n"/>
      <c r="AC62" s="29" t="n"/>
    </row>
    <row r="63">
      <c r="A63" s="18" t="inlineStr">
        <is>
          <t>발행주식수 (보통주)</t>
        </is>
      </c>
      <c r="B63" s="27" t="n">
        <v>24076900</v>
      </c>
      <c r="C63" s="28" t="n"/>
      <c r="D63" s="29" t="n"/>
      <c r="E63" s="29" t="n"/>
      <c r="F63" s="29" t="n"/>
      <c r="G63" s="29" t="n"/>
      <c r="H63" s="29" t="n"/>
      <c r="I63" s="29" t="n"/>
      <c r="J63" s="29" t="n"/>
      <c r="K63" s="29" t="n"/>
      <c r="L63" s="29" t="n"/>
      <c r="M63" s="29" t="n"/>
      <c r="N63" s="29" t="n"/>
      <c r="O63" s="28" t="n"/>
      <c r="P63" s="29" t="n"/>
      <c r="Q63" s="29" t="n"/>
      <c r="R63" s="29" t="n"/>
      <c r="S63" s="29" t="n"/>
      <c r="T63" s="29" t="n"/>
      <c r="U63" s="29" t="n"/>
      <c r="V63" s="29" t="n"/>
      <c r="W63" s="29" t="n"/>
      <c r="X63" s="29" t="n"/>
      <c r="Y63" s="28" t="n"/>
      <c r="Z63" s="29" t="n"/>
      <c r="AA63" s="29" t="n"/>
      <c r="AB63" s="29" t="n"/>
      <c r="AC63" s="29" t="n"/>
    </row>
    <row r="64">
      <c r="A64" s="18" t="inlineStr">
        <is>
          <t>시가총액 (백만엔)</t>
        </is>
      </c>
      <c r="B64" s="12">
        <f>IF(OR(B62="",B63=""),"",B62*B63/1000000.0)</f>
        <v/>
      </c>
      <c r="C64" s="19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20" t="n"/>
      <c r="O64" s="19" t="n"/>
      <c r="P64" s="20" t="n"/>
      <c r="Q64" s="20" t="n"/>
      <c r="R64" s="20" t="n"/>
      <c r="S64" s="20" t="n"/>
      <c r="T64" s="20" t="n"/>
      <c r="U64" s="20" t="n"/>
      <c r="V64" s="20" t="n"/>
      <c r="W64" s="20" t="n"/>
      <c r="X64" s="20" t="n"/>
      <c r="Y64" s="19" t="n"/>
      <c r="Z64" s="20" t="n"/>
      <c r="AA64" s="20" t="n"/>
      <c r="AB64" s="20" t="n"/>
      <c r="AC64" s="20" t="n"/>
    </row>
    <row r="65">
      <c r="A65" s="13" t="inlineStr">
        <is>
          <t>OPM</t>
        </is>
      </c>
      <c r="B65" s="10" t="n"/>
      <c r="C65" s="14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4">
        <f>IF(O29="","",O29)</f>
        <v/>
      </c>
      <c r="P65" s="15">
        <f>IF(P29="","",P29)</f>
        <v/>
      </c>
      <c r="Q65" s="15">
        <f>IF(Q29="","",Q29)</f>
        <v/>
      </c>
      <c r="R65" s="15">
        <f>IF(R29="","",R29)</f>
        <v/>
      </c>
      <c r="S65" s="15">
        <f>IF(S29="","",S29)</f>
        <v/>
      </c>
      <c r="T65" s="15">
        <f>IF(T29="","",T29)</f>
        <v/>
      </c>
      <c r="U65" s="15">
        <f>IF(U29="","",U29)</f>
        <v/>
      </c>
      <c r="V65" s="15">
        <f>IF(V29="","",V29)</f>
        <v/>
      </c>
      <c r="W65" s="15">
        <f>IF(W29="","",W29)</f>
        <v/>
      </c>
      <c r="X65" s="15">
        <f>IF(X29="","",X29)</f>
        <v/>
      </c>
      <c r="Y65" s="14">
        <f>IF(Y29="","",Y29)</f>
        <v/>
      </c>
      <c r="Z65" s="15">
        <f>IF(Z29="","",Z29)</f>
        <v/>
      </c>
      <c r="AA65" s="15">
        <f>IF(AA29="","",AA29)</f>
        <v/>
      </c>
      <c r="AB65" s="15">
        <f>IF(AB29="","",AB29)</f>
        <v/>
      </c>
      <c r="AC65" s="15">
        <f>IF(AC29="","",AC29)</f>
        <v/>
      </c>
    </row>
    <row r="66">
      <c r="A66" s="13" t="inlineStr">
        <is>
          <t>지배주주 순이익 증가율</t>
        </is>
      </c>
      <c r="B66" s="10" t="n"/>
      <c r="C66" s="14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4" t="n"/>
      <c r="P66" s="15">
        <f>IF(OR(P58="",O58=""),"",IFERROR(P58/O58-1,""))</f>
        <v/>
      </c>
      <c r="Q66" s="15">
        <f>IF(OR(Q58="",P58=""),"",IFERROR(Q58/P58-1,""))</f>
        <v/>
      </c>
      <c r="R66" s="15">
        <f>IF(OR(R58="",Q58=""),"",IFERROR(R58/Q58-1,""))</f>
        <v/>
      </c>
      <c r="S66" s="15">
        <f>IF(OR(S58="",R58=""),"",IFERROR(S58/R58-1,""))</f>
        <v/>
      </c>
      <c r="T66" s="15">
        <f>IF(OR(T58="",S58=""),"",IFERROR(T58/S58-1,""))</f>
        <v/>
      </c>
      <c r="U66" s="15">
        <f>IF(OR(U58="",T58=""),"",IFERROR(U58/T58-1,""))</f>
        <v/>
      </c>
      <c r="V66" s="15">
        <f>IF(OR(V58="",U58=""),"",IFERROR(V58/U58-1,""))</f>
        <v/>
      </c>
      <c r="W66" s="15">
        <f>IF(OR(W58="",V58=""),"",IFERROR(W58/V58-1,""))</f>
        <v/>
      </c>
      <c r="X66" s="15">
        <f>IF(OR(X58="",W58=""),"",IFERROR(X58/W58-1,""))</f>
        <v/>
      </c>
      <c r="Y66" s="14">
        <f>IF(OR(Y58="",X58=""),"",IFERROR(Y58/X58-1,""))</f>
        <v/>
      </c>
      <c r="Z66" s="15">
        <f>IF(OR(Z58="",Y58=""),"",IFERROR(Z58/Y58-1,""))</f>
        <v/>
      </c>
      <c r="AA66" s="15">
        <f>IF(OR(AA58="",Z58=""),"",IFERROR(AA58/Z58-1,""))</f>
        <v/>
      </c>
      <c r="AB66" s="15">
        <f>IF(OR(AB58="",AA58=""),"",IFERROR(AB58/AA58-1,""))</f>
        <v/>
      </c>
      <c r="AC66" s="15">
        <f>IF(OR(AC58="",AB58=""),"",IFERROR(AC58/AB58-1,""))</f>
        <v/>
      </c>
    </row>
    <row r="67">
      <c r="A67" s="18" t="inlineStr">
        <is>
          <t>P/E (현재 주가)</t>
        </is>
      </c>
      <c r="B67" s="10" t="inlineStr">
        <is>
          <t>시총 ÷ 지배순이익</t>
        </is>
      </c>
      <c r="C67" s="30" t="n"/>
      <c r="D67" s="31" t="n"/>
      <c r="E67" s="31" t="n"/>
      <c r="F67" s="31" t="n"/>
      <c r="G67" s="31" t="n"/>
      <c r="H67" s="31" t="n"/>
      <c r="I67" s="31" t="n"/>
      <c r="J67" s="31" t="n"/>
      <c r="K67" s="31" t="n"/>
      <c r="L67" s="31" t="n"/>
      <c r="M67" s="31" t="n"/>
      <c r="N67" s="31" t="n"/>
      <c r="O67" s="30" t="n"/>
      <c r="P67" s="31" t="n"/>
      <c r="Q67" s="31" t="n"/>
      <c r="R67" s="31" t="n"/>
      <c r="S67" s="31" t="n"/>
      <c r="T67" s="31" t="n"/>
      <c r="U67" s="31" t="n"/>
      <c r="V67" s="31" t="n"/>
      <c r="W67" s="31" t="n"/>
      <c r="X67" s="31">
        <f>IF(OR($B$64="",X58=""),"",IFERROR($B$64/X58,""))</f>
        <v/>
      </c>
      <c r="Y67" s="30">
        <f>IF(OR($B$64="",Y58=""),"",IFERROR($B$64/Y58,""))</f>
        <v/>
      </c>
      <c r="Z67" s="31">
        <f>IF(OR($B$64="",Z58=""),"",IFERROR($B$64/Z58,""))</f>
        <v/>
      </c>
      <c r="AA67" s="31">
        <f>IF(OR($B$64="",AA58=""),"",IFERROR($B$64/AA58,""))</f>
        <v/>
      </c>
      <c r="AB67" s="31">
        <f>IF(OR($B$64="",AB58=""),"",IFERROR($B$64/AB58,""))</f>
        <v/>
      </c>
      <c r="AC67" s="31">
        <f>IF(OR($B$64="",AC58=""),"",IFERROR($B$64/AC58,""))</f>
        <v/>
      </c>
    </row>
    <row r="68">
      <c r="A68" s="18" t="inlineStr">
        <is>
          <t>Target P/E</t>
        </is>
      </c>
      <c r="B68" s="10" t="inlineStr">
        <is>
          <t>직접 입력</t>
        </is>
      </c>
      <c r="C68" s="30" t="n"/>
      <c r="D68" s="31" t="n"/>
      <c r="E68" s="31" t="n"/>
      <c r="F68" s="31" t="n"/>
      <c r="G68" s="31" t="n"/>
      <c r="H68" s="31" t="n"/>
      <c r="I68" s="31" t="n"/>
      <c r="J68" s="31" t="n"/>
      <c r="K68" s="31" t="n"/>
      <c r="L68" s="31" t="n"/>
      <c r="M68" s="31" t="n"/>
      <c r="N68" s="31" t="n"/>
      <c r="O68" s="30" t="n"/>
      <c r="P68" s="31" t="n"/>
      <c r="Q68" s="31" t="n"/>
      <c r="R68" s="31" t="n"/>
      <c r="S68" s="31" t="n"/>
      <c r="T68" s="31" t="n"/>
      <c r="U68" s="31" t="n"/>
      <c r="V68" s="31" t="n"/>
      <c r="W68" s="31" t="n"/>
      <c r="X68" s="31" t="n"/>
      <c r="Y68" s="32" t="n"/>
      <c r="Z68" s="33" t="n"/>
      <c r="AA68" s="33" t="n"/>
      <c r="AB68" s="33" t="n"/>
      <c r="AC68" s="33" t="n"/>
    </row>
    <row r="69">
      <c r="A69" s="18" t="inlineStr">
        <is>
          <t>EPS</t>
        </is>
      </c>
      <c r="B69" s="10" t="inlineStr">
        <is>
          <t>지배순이익 ÷ 주식수</t>
        </is>
      </c>
      <c r="C69" s="28" t="n"/>
      <c r="D69" s="29" t="n"/>
      <c r="E69" s="29" t="n"/>
      <c r="F69" s="29" t="n"/>
      <c r="G69" s="29" t="n"/>
      <c r="H69" s="29" t="n"/>
      <c r="I69" s="29" t="n"/>
      <c r="J69" s="29" t="n"/>
      <c r="K69" s="29" t="n"/>
      <c r="L69" s="29" t="n"/>
      <c r="M69" s="29" t="n"/>
      <c r="N69" s="29" t="n"/>
      <c r="O69" s="28">
        <f>IF(OR(O58="",$B$63=""),"",IFERROR(O58*1000000.0/$B$63,""))</f>
        <v/>
      </c>
      <c r="P69" s="29">
        <f>IF(OR(P58="",$B$63=""),"",IFERROR(P58*1000000.0/$B$63,""))</f>
        <v/>
      </c>
      <c r="Q69" s="29">
        <f>IF(OR(Q58="",$B$63=""),"",IFERROR(Q58*1000000.0/$B$63,""))</f>
        <v/>
      </c>
      <c r="R69" s="29">
        <f>IF(OR(R58="",$B$63=""),"",IFERROR(R58*1000000.0/$B$63,""))</f>
        <v/>
      </c>
      <c r="S69" s="29">
        <f>IF(OR(S58="",$B$63=""),"",IFERROR(S58*1000000.0/$B$63,""))</f>
        <v/>
      </c>
      <c r="T69" s="29">
        <f>IF(OR(T58="",$B$63=""),"",IFERROR(T58*1000000.0/$B$63,""))</f>
        <v/>
      </c>
      <c r="U69" s="29">
        <f>IF(OR(U58="",$B$63=""),"",IFERROR(U58*1000000.0/$B$63,""))</f>
        <v/>
      </c>
      <c r="V69" s="29">
        <f>IF(OR(V58="",$B$63=""),"",IFERROR(V58*1000000.0/$B$63,""))</f>
        <v/>
      </c>
      <c r="W69" s="29">
        <f>IF(OR(W58="",$B$63=""),"",IFERROR(W58*1000000.0/$B$63,""))</f>
        <v/>
      </c>
      <c r="X69" s="29">
        <f>IF(OR(X58="",$B$63=""),"",IFERROR(X58*1000000.0/$B$63,""))</f>
        <v/>
      </c>
      <c r="Y69" s="28">
        <f>IF(OR(Y58="",$B$63=""),"",IFERROR(Y58*1000000.0/$B$63,""))</f>
        <v/>
      </c>
      <c r="Z69" s="29">
        <f>IF(OR(Z58="",$B$63=""),"",IFERROR(Z58*1000000.0/$B$63,""))</f>
        <v/>
      </c>
      <c r="AA69" s="29">
        <f>IF(OR(AA58="",$B$63=""),"",IFERROR(AA58*1000000.0/$B$63,""))</f>
        <v/>
      </c>
      <c r="AB69" s="29">
        <f>IF(OR(AB58="",$B$63=""),"",IFERROR(AB58*1000000.0/$B$63,""))</f>
        <v/>
      </c>
      <c r="AC69" s="29">
        <f>IF(OR(AC58="",$B$63=""),"",IFERROR(AC58*1000000.0/$B$63,""))</f>
        <v/>
      </c>
    </row>
    <row r="70">
      <c r="A70" s="9" t="inlineStr">
        <is>
          <t>목표주가</t>
        </is>
      </c>
      <c r="B70" s="10" t="n"/>
      <c r="C70" s="34" t="n"/>
      <c r="D70" s="27" t="n"/>
      <c r="E70" s="27" t="n"/>
      <c r="F70" s="27" t="n"/>
      <c r="G70" s="27" t="n"/>
      <c r="H70" s="27" t="n"/>
      <c r="I70" s="27" t="n"/>
      <c r="J70" s="27" t="n"/>
      <c r="K70" s="27" t="n"/>
      <c r="L70" s="27" t="n"/>
      <c r="M70" s="27" t="n"/>
      <c r="N70" s="27" t="n"/>
      <c r="O70" s="34" t="n"/>
      <c r="P70" s="27" t="n"/>
      <c r="Q70" s="27" t="n"/>
      <c r="R70" s="27" t="n"/>
      <c r="S70" s="27" t="n"/>
      <c r="T70" s="27" t="n"/>
      <c r="U70" s="27" t="n"/>
      <c r="V70" s="27" t="n"/>
      <c r="W70" s="27" t="n"/>
      <c r="X70" s="27" t="n"/>
      <c r="Y70" s="34">
        <f>IF(OR(Y69="",Y68=""),"",IFERROR(Y69*Y68,""))</f>
        <v/>
      </c>
      <c r="Z70" s="27">
        <f>IF(OR(Z69="",Z68=""),"",IFERROR(Z69*Z68,""))</f>
        <v/>
      </c>
      <c r="AA70" s="27">
        <f>IF(OR(AA69="",AA68=""),"",IFERROR(AA69*AA68,""))</f>
        <v/>
      </c>
      <c r="AB70" s="27">
        <f>IF(OR(AB69="",AB68=""),"",IFERROR(AB69*AB68,""))</f>
        <v/>
      </c>
      <c r="AC70" s="27">
        <f>IF(OR(AC69="",AC68=""),"",IFERROR(AC69*AC68,""))</f>
        <v/>
      </c>
    </row>
    <row r="71">
      <c r="A71" s="18" t="inlineStr">
        <is>
          <t>상승여력</t>
        </is>
      </c>
      <c r="B71" s="10" t="n"/>
      <c r="C71" s="35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5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7">
        <f>IF(OR(Y70="",$B$62=""),"",IFERROR(Y70/$B$62-1,""))</f>
        <v/>
      </c>
      <c r="Z71" s="38">
        <f>IF(OR(Z70="",$B$62=""),"",IFERROR(Z70/$B$62-1,""))</f>
        <v/>
      </c>
      <c r="AA71" s="38">
        <f>IF(OR(AA70="",$B$62=""),"",IFERROR(AA70/$B$62-1,""))</f>
        <v/>
      </c>
      <c r="AB71" s="38">
        <f>IF(OR(AB70="",$B$62=""),"",IFERROR(AB70/$B$62-1,""))</f>
        <v/>
      </c>
      <c r="AC71" s="38">
        <f>IF(OR(AC70="",$B$62=""),"",IFERROR(AC70/$B$62-1,""))</f>
        <v/>
      </c>
    </row>
    <row r="72">
      <c r="A72" s="16" t="inlineStr">
        <is>
          <t>자산가치 산출</t>
        </is>
      </c>
      <c r="B72" s="16" t="inlineStr">
        <is>
          <t>최신 분기 BS</t>
        </is>
      </c>
      <c r="C72" s="17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7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7" t="n"/>
      <c r="Z72" s="16" t="n"/>
      <c r="AA72" s="16" t="n"/>
      <c r="AB72" s="16" t="n"/>
      <c r="AC72" s="16" t="n"/>
    </row>
    <row r="73">
      <c r="A73" s="18" t="inlineStr">
        <is>
          <t>현금및현금성자산</t>
        </is>
      </c>
      <c r="B73" s="10" t="n"/>
      <c r="C73" s="19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19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>
        <f>'재무상태표'!G6</f>
        <v/>
      </c>
      <c r="Y73" s="19">
        <f>'재무상태표'!G6</f>
        <v/>
      </c>
      <c r="Z73" s="20">
        <f>'재무상태표'!G6</f>
        <v/>
      </c>
      <c r="AA73" s="20">
        <f>'재무상태표'!G6</f>
        <v/>
      </c>
      <c r="AB73" s="20">
        <f>'재무상태표'!G6</f>
        <v/>
      </c>
      <c r="AC73" s="20">
        <f>'재무상태표'!G6</f>
        <v/>
      </c>
    </row>
    <row r="74">
      <c r="A74" s="18" t="inlineStr">
        <is>
          <t>단기금융상품</t>
        </is>
      </c>
      <c r="B74" s="10" t="n"/>
      <c r="C74" s="19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19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>
        <f>'재무상태표'!G7</f>
        <v/>
      </c>
      <c r="Y74" s="19">
        <f>'재무상태표'!G7</f>
        <v/>
      </c>
      <c r="Z74" s="20">
        <f>'재무상태표'!G7</f>
        <v/>
      </c>
      <c r="AA74" s="20">
        <f>'재무상태표'!G7</f>
        <v/>
      </c>
      <c r="AB74" s="20">
        <f>'재무상태표'!G7</f>
        <v/>
      </c>
      <c r="AC74" s="20">
        <f>'재무상태표'!G7</f>
        <v/>
      </c>
    </row>
    <row r="75">
      <c r="A75" s="18" t="inlineStr">
        <is>
          <t>투자부동산</t>
        </is>
      </c>
      <c r="B75" s="10" t="n"/>
      <c r="C75" s="19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  <c r="O75" s="19" t="n"/>
      <c r="P75" s="20" t="n"/>
      <c r="Q75" s="20" t="n"/>
      <c r="R75" s="20" t="n"/>
      <c r="S75" s="20" t="n"/>
      <c r="T75" s="20" t="n"/>
      <c r="U75" s="20" t="n"/>
      <c r="V75" s="20" t="n"/>
      <c r="W75" s="20" t="n"/>
      <c r="X75" s="20">
        <f>'재무상태표'!G14</f>
        <v/>
      </c>
      <c r="Y75" s="19">
        <f>'재무상태표'!G14</f>
        <v/>
      </c>
      <c r="Z75" s="20">
        <f>'재무상태표'!G14</f>
        <v/>
      </c>
      <c r="AA75" s="20">
        <f>'재무상태표'!G14</f>
        <v/>
      </c>
      <c r="AB75" s="20">
        <f>'재무상태표'!G14</f>
        <v/>
      </c>
      <c r="AC75" s="20">
        <f>'재무상태표'!G14</f>
        <v/>
      </c>
    </row>
    <row r="76">
      <c r="A76" s="18" t="inlineStr">
        <is>
          <t>지배자본</t>
        </is>
      </c>
      <c r="B76" s="10" t="n"/>
      <c r="C76" s="19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19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>
        <f>'재무상태표'!G31</f>
        <v/>
      </c>
      <c r="Y76" s="19">
        <f>'재무상태표'!G31</f>
        <v/>
      </c>
      <c r="Z76" s="20">
        <f>'재무상태표'!G31</f>
        <v/>
      </c>
      <c r="AA76" s="20">
        <f>'재무상태표'!G31</f>
        <v/>
      </c>
      <c r="AB76" s="20">
        <f>'재무상태표'!G31</f>
        <v/>
      </c>
      <c r="AC76" s="20">
        <f>'재무상태표'!G31</f>
        <v/>
      </c>
    </row>
    <row r="77">
      <c r="A77" s="18" t="inlineStr">
        <is>
          <t>부채</t>
        </is>
      </c>
      <c r="B77" s="10" t="n"/>
      <c r="C77" s="19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19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>
        <f>'재무상태표'!G27</f>
        <v/>
      </c>
      <c r="Y77" s="19">
        <f>'재무상태표'!G27</f>
        <v/>
      </c>
      <c r="Z77" s="20">
        <f>'재무상태표'!G27</f>
        <v/>
      </c>
      <c r="AA77" s="20">
        <f>'재무상태표'!G27</f>
        <v/>
      </c>
      <c r="AB77" s="20">
        <f>'재무상태표'!G27</f>
        <v/>
      </c>
      <c r="AC77" s="20">
        <f>'재무상태표'!G27</f>
        <v/>
      </c>
    </row>
    <row r="78">
      <c r="A78" s="13" t="inlineStr">
        <is>
          <t>부채비율</t>
        </is>
      </c>
      <c r="B78" s="10" t="n"/>
      <c r="C78" s="14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4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>
        <f>IF(OR(X77="",X76=""),"",IFERROR(X77/X76,""))</f>
        <v/>
      </c>
      <c r="Y78" s="14">
        <f>IF(OR(Y77="",Y76=""),"",IFERROR(Y77/Y76,""))</f>
        <v/>
      </c>
      <c r="Z78" s="15">
        <f>IF(OR(Z77="",Z76=""),"",IFERROR(Z77/Z76,""))</f>
        <v/>
      </c>
      <c r="AA78" s="15">
        <f>IF(OR(AA77="",AA76=""),"",IFERROR(AA77/AA76,""))</f>
        <v/>
      </c>
      <c r="AB78" s="15">
        <f>IF(OR(AB77="",AB76=""),"",IFERROR(AB77/AB76,""))</f>
        <v/>
      </c>
      <c r="AC78" s="15">
        <f>IF(OR(AC77="",AC76=""),"",IFERROR(AC77/AC76,""))</f>
        <v/>
      </c>
    </row>
    <row r="79">
      <c r="A79" s="9" t="inlineStr">
        <is>
          <t>자산가치</t>
        </is>
      </c>
      <c r="B79" s="10" t="inlineStr">
        <is>
          <t>현금+단기금융+투자부동산</t>
        </is>
      </c>
      <c r="C79" s="11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1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>
        <f>SUM(X73,X74,X75)</f>
        <v/>
      </c>
      <c r="Y79" s="11">
        <f>SUM(Y73,Y74,Y75)</f>
        <v/>
      </c>
      <c r="Z79" s="12">
        <f>SUM(Z73,Z74,Z75)</f>
        <v/>
      </c>
      <c r="AA79" s="12">
        <f>SUM(AA73,AA74,AA75)</f>
        <v/>
      </c>
      <c r="AB79" s="12">
        <f>SUM(AB73,AB74,AB75)</f>
        <v/>
      </c>
      <c r="AC79" s="12">
        <f>SUM(AC73,AC74,AC75)</f>
        <v/>
      </c>
    </row>
    <row r="80">
      <c r="A80" s="16" t="inlineStr">
        <is>
          <t>기업가치 산출</t>
        </is>
      </c>
      <c r="B80" s="16" t="n"/>
      <c r="C80" s="17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7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7" t="n"/>
      <c r="Z80" s="16" t="n"/>
      <c r="AA80" s="16" t="n"/>
      <c r="AB80" s="16" t="n"/>
      <c r="AC80" s="16" t="n"/>
    </row>
    <row r="81">
      <c r="A81" s="18" t="inlineStr">
        <is>
          <t>목표 시가총액 (P/E)</t>
        </is>
      </c>
      <c r="B81" s="10" t="inlineStr">
        <is>
          <t>지배순이익 × Target P/E</t>
        </is>
      </c>
      <c r="C81" s="19" t="n"/>
      <c r="D81" s="20" t="n"/>
      <c r="E81" s="20" t="n"/>
      <c r="F81" s="20" t="n"/>
      <c r="G81" s="20" t="n"/>
      <c r="H81" s="20" t="n"/>
      <c r="I81" s="20" t="n"/>
      <c r="J81" s="20" t="n"/>
      <c r="K81" s="20" t="n"/>
      <c r="L81" s="20" t="n"/>
      <c r="M81" s="20" t="n"/>
      <c r="N81" s="20" t="n"/>
      <c r="O81" s="19" t="n"/>
      <c r="P81" s="20" t="n"/>
      <c r="Q81" s="20" t="n"/>
      <c r="R81" s="20" t="n"/>
      <c r="S81" s="20" t="n"/>
      <c r="T81" s="20" t="n"/>
      <c r="U81" s="20" t="n"/>
      <c r="V81" s="20" t="n"/>
      <c r="W81" s="20" t="n"/>
      <c r="X81" s="20" t="n"/>
      <c r="Y81" s="19">
        <f>IF(OR(Y58="",Y68=""),"",IFERROR(Y58*Y68,""))</f>
        <v/>
      </c>
      <c r="Z81" s="20">
        <f>IF(OR(Z58="",Z68=""),"",IFERROR(Z58*Z68,""))</f>
        <v/>
      </c>
      <c r="AA81" s="20">
        <f>IF(OR(AA58="",AA68=""),"",IFERROR(AA58*AA68,""))</f>
        <v/>
      </c>
      <c r="AB81" s="20">
        <f>IF(OR(AB58="",AB68=""),"",IFERROR(AB58*AB68,""))</f>
        <v/>
      </c>
      <c r="AC81" s="20">
        <f>IF(OR(AC58="",AC68=""),"",IFERROR(AC58*AC68,""))</f>
        <v/>
      </c>
    </row>
    <row r="82">
      <c r="A82" s="9" t="inlineStr">
        <is>
          <t>기업가치</t>
        </is>
      </c>
      <c r="B82" s="10" t="inlineStr">
        <is>
          <t>목표시총 + 자산가치</t>
        </is>
      </c>
      <c r="C82" s="11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1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1">
        <f>IF(OR(Y81=""),"",IFERROR(Y81+Y79,""))</f>
        <v/>
      </c>
      <c r="Z82" s="12">
        <f>IF(OR(Z81=""),"",IFERROR(Z81+Z79,""))</f>
        <v/>
      </c>
      <c r="AA82" s="12">
        <f>IF(OR(AA81=""),"",IFERROR(AA81+AA79,""))</f>
        <v/>
      </c>
      <c r="AB82" s="12">
        <f>IF(OR(AB81=""),"",IFERROR(AB81+AB79,""))</f>
        <v/>
      </c>
      <c r="AC82" s="12">
        <f>IF(OR(AC81=""),"",IFERROR(AC81+AC79,""))</f>
        <v/>
      </c>
    </row>
    <row r="83">
      <c r="A83" s="18" t="inlineStr">
        <is>
          <t>현재 시가총액</t>
        </is>
      </c>
      <c r="B83" s="10" t="n"/>
      <c r="C83" s="19" t="n"/>
      <c r="D83" s="20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0" t="n"/>
      <c r="O83" s="19" t="n"/>
      <c r="P83" s="20" t="n"/>
      <c r="Q83" s="20" t="n"/>
      <c r="R83" s="20" t="n"/>
      <c r="S83" s="20" t="n"/>
      <c r="T83" s="20" t="n"/>
      <c r="U83" s="20" t="n"/>
      <c r="V83" s="20" t="n"/>
      <c r="W83" s="20" t="n"/>
      <c r="X83" s="20" t="n"/>
      <c r="Y83" s="19">
        <f>$B$64</f>
        <v/>
      </c>
      <c r="Z83" s="20">
        <f>$B$64</f>
        <v/>
      </c>
      <c r="AA83" s="20">
        <f>$B$64</f>
        <v/>
      </c>
      <c r="AB83" s="20">
        <f>$B$64</f>
        <v/>
      </c>
      <c r="AC83" s="20">
        <f>$B$64</f>
        <v/>
      </c>
    </row>
    <row r="84">
      <c r="A84" s="18" t="inlineStr">
        <is>
          <t>상승여력</t>
        </is>
      </c>
      <c r="B84" s="10" t="n"/>
      <c r="C84" s="35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5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7">
        <f>IF(OR(Y82="",Y83=""),"",IFERROR(Y82/Y83-1,""))</f>
        <v/>
      </c>
      <c r="Z84" s="38">
        <f>IF(OR(Z82="",Z83=""),"",IFERROR(Z82/Z83-1,""))</f>
        <v/>
      </c>
      <c r="AA84" s="38">
        <f>IF(OR(AA82="",AA83=""),"",IFERROR(AA82/AA83-1,""))</f>
        <v/>
      </c>
      <c r="AB84" s="38">
        <f>IF(OR(AB82="",AB83=""),"",IFERROR(AB82/AB83-1,""))</f>
        <v/>
      </c>
      <c r="AC84" s="38">
        <f>IF(OR(AC82="",AC83=""),"",IFERROR(AC82/AC83-1,""))</f>
        <v/>
      </c>
    </row>
    <row r="85">
      <c r="C85" s="39" t="n"/>
      <c r="O85" s="39" t="n"/>
      <c r="Y85" s="39" t="n"/>
    </row>
    <row r="86">
      <c r="A86" s="40" t="inlineStr">
        <is>
          <t>출처</t>
        </is>
      </c>
      <c r="C86" s="39" t="n"/>
      <c r="O86" s="39" t="n"/>
      <c r="Y86" s="39" t="n"/>
    </row>
    <row r="87">
      <c r="A87" s="41" t="inlineStr">
        <is>
          <t>결산단신 XBRL(TDnet·JPX 보관소) — 쓴 문서는 '출처' 시트</t>
        </is>
      </c>
      <c r="C87" s="39" t="n"/>
      <c r="O87" s="39" t="n"/>
      <c r="Y87" s="39" t="n"/>
    </row>
    <row r="88">
      <c r="A88" s="41" t="inlineStr">
        <is>
          <t>분기 = 누계에서 앞 분기를 뺀 3개월 값</t>
        </is>
      </c>
      <c r="C88" s="39" t="n"/>
      <c r="O88" s="39" t="n"/>
      <c r="Y88" s="39" t="n"/>
    </row>
    <row r="89">
      <c r="A89" s="41" t="inlineStr">
        <is>
          <t>주가: 야후 파이낸스 일봉 2026.10.28</t>
        </is>
      </c>
      <c r="C89" s="39" t="n"/>
      <c r="O89" s="39" t="n"/>
      <c r="Y89" s="39" t="n"/>
    </row>
    <row r="91">
      <c r="A91" s="16" t="inlineStr">
        <is>
          <t>손익계산서 · 전 항목</t>
        </is>
      </c>
      <c r="B91" s="42" t="inlineStr">
        <is>
          <t>분기 = 3개월 단독</t>
        </is>
      </c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  <c r="AA91" s="16" t="n"/>
      <c r="AB91" s="16" t="n"/>
      <c r="AC91" s="16" t="n"/>
    </row>
    <row r="92">
      <c r="A92" s="5" t="inlineStr">
        <is>
          <t>항목</t>
        </is>
      </c>
      <c r="B92" s="5" t="inlineStr">
        <is>
          <t>참고</t>
        </is>
      </c>
      <c r="C92" s="5" t="inlineStr">
        <is>
          <t>2024.1Q</t>
        </is>
      </c>
      <c r="D92" s="5" t="inlineStr">
        <is>
          <t>2024.2Q</t>
        </is>
      </c>
      <c r="E92" s="5" t="inlineStr">
        <is>
          <t>2024.3Q</t>
        </is>
      </c>
      <c r="F92" s="5" t="inlineStr">
        <is>
          <t>2024.4Q</t>
        </is>
      </c>
      <c r="G92" s="5" t="inlineStr">
        <is>
          <t>2025.1Q</t>
        </is>
      </c>
      <c r="H92" s="5" t="inlineStr">
        <is>
          <t>2025.2Q</t>
        </is>
      </c>
      <c r="I92" s="5" t="inlineStr">
        <is>
          <t>2025.3Q</t>
        </is>
      </c>
      <c r="J92" s="5" t="inlineStr">
        <is>
          <t>2025.4Q</t>
        </is>
      </c>
      <c r="K92" s="5" t="inlineStr">
        <is>
          <t>2026.1Q</t>
        </is>
      </c>
      <c r="L92" s="5" t="inlineStr">
        <is>
          <t>2026.2Q</t>
        </is>
      </c>
      <c r="M92" s="5" t="inlineStr">
        <is>
          <t>2026.3Q</t>
        </is>
      </c>
      <c r="N92" s="5" t="inlineStr">
        <is>
          <t>2026.4Q</t>
        </is>
      </c>
      <c r="O92" s="5" t="inlineStr">
        <is>
          <t>2017</t>
        </is>
      </c>
      <c r="P92" s="5" t="inlineStr">
        <is>
          <t>2018</t>
        </is>
      </c>
      <c r="Q92" s="5" t="inlineStr">
        <is>
          <t>2019</t>
        </is>
      </c>
      <c r="R92" s="5" t="inlineStr">
        <is>
          <t>2020</t>
        </is>
      </c>
      <c r="S92" s="5" t="inlineStr">
        <is>
          <t>2021</t>
        </is>
      </c>
      <c r="T92" s="5" t="inlineStr">
        <is>
          <t>2022</t>
        </is>
      </c>
      <c r="U92" s="5" t="inlineStr">
        <is>
          <t>2023</t>
        </is>
      </c>
      <c r="V92" s="5" t="inlineStr">
        <is>
          <t>2024</t>
        </is>
      </c>
      <c r="W92" s="5" t="inlineStr">
        <is>
          <t>2025</t>
        </is>
      </c>
      <c r="X92" s="5" t="inlineStr">
        <is>
          <t>2026</t>
        </is>
      </c>
      <c r="Y92" s="5" t="inlineStr">
        <is>
          <t>2027(MW)</t>
        </is>
      </c>
      <c r="Z92" s="5" t="inlineStr">
        <is>
          <t>2028(MW)</t>
        </is>
      </c>
      <c r="AA92" s="5" t="inlineStr">
        <is>
          <t>2029(MW)</t>
        </is>
      </c>
      <c r="AB92" s="5" t="inlineStr">
        <is>
          <t>2030(MW)</t>
        </is>
      </c>
      <c r="AC92" s="5" t="inlineStr">
        <is>
          <t>2031(MW)</t>
        </is>
      </c>
    </row>
    <row r="93">
      <c r="A93" s="9" t="inlineStr">
        <is>
          <t>매출액</t>
        </is>
      </c>
      <c r="C93" s="12" t="n">
        <v>1398.684</v>
      </c>
      <c r="D93" s="12" t="n">
        <v>1379.493</v>
      </c>
      <c r="E93" s="12" t="n">
        <v>1450.126</v>
      </c>
      <c r="F93" s="12" t="n">
        <v>2360.409</v>
      </c>
      <c r="G93" s="12" t="n">
        <v>2373.871</v>
      </c>
      <c r="H93" s="12" t="n">
        <v>2341.533</v>
      </c>
      <c r="I93" s="12" t="n">
        <v>2345.673</v>
      </c>
      <c r="J93" s="12" t="n">
        <v>2349.706</v>
      </c>
      <c r="K93" s="12" t="n">
        <v>2467.555</v>
      </c>
      <c r="L93" s="12" t="n">
        <v>2523.618</v>
      </c>
      <c r="M93" s="12" t="n">
        <v>2651.742</v>
      </c>
      <c r="N93" s="12" t="n">
        <v>2673.699</v>
      </c>
      <c r="U93" s="12" t="n">
        <v>1322.117</v>
      </c>
      <c r="V93" s="12" t="n">
        <v>2360.409</v>
      </c>
      <c r="W93" s="12" t="n">
        <v>2349.706</v>
      </c>
      <c r="X93" s="12" t="n">
        <v>2673.699</v>
      </c>
    </row>
    <row r="94">
      <c r="A94" s="43" t="inlineStr">
        <is>
          <t>YoY</t>
        </is>
      </c>
      <c r="B94" s="3" t="inlineStr">
        <is>
          <t>전년 같은 분기·전년 대비</t>
        </is>
      </c>
      <c r="G94" s="15">
        <f>IF(OR(G93="",C93=""),"",IF(C93&lt;=0,"",IFERROR(G93/C93-1,"")))</f>
        <v/>
      </c>
      <c r="H94" s="15">
        <f>IF(OR(H93="",D93=""),"",IF(D93&lt;=0,"",IFERROR(H93/D93-1,"")))</f>
        <v/>
      </c>
      <c r="I94" s="15">
        <f>IF(OR(I93="",E93=""),"",IF(E93&lt;=0,"",IFERROR(I93/E93-1,"")))</f>
        <v/>
      </c>
      <c r="J94" s="15">
        <f>IF(OR(J93="",F93=""),"",IF(F93&lt;=0,"",IFERROR(J93/F93-1,"")))</f>
        <v/>
      </c>
      <c r="K94" s="15">
        <f>IF(OR(K93="",G93=""),"",IF(G93&lt;=0,"",IFERROR(K93/G93-1,"")))</f>
        <v/>
      </c>
      <c r="L94" s="15">
        <f>IF(OR(L93="",H93=""),"",IF(H93&lt;=0,"",IFERROR(L93/H93-1,"")))</f>
        <v/>
      </c>
      <c r="M94" s="15">
        <f>IF(OR(M93="",I93=""),"",IF(I93&lt;=0,"",IFERROR(M93/I93-1,"")))</f>
        <v/>
      </c>
      <c r="N94" s="15">
        <f>IF(OR(N93="",J93=""),"",IF(J93&lt;=0,"",IFERROR(N93/J93-1,"")))</f>
        <v/>
      </c>
      <c r="U94" s="15">
        <f>IF(OR(U93="",T93=""),"",IF(T93&lt;=0,"",IFERROR(U93/T93-1,"")))</f>
        <v/>
      </c>
      <c r="V94" s="15">
        <f>IF(OR(V93="",U93=""),"",IF(U93&lt;=0,"",IFERROR(V93/U93-1,"")))</f>
        <v/>
      </c>
      <c r="W94" s="15">
        <f>IF(OR(W93="",V93=""),"",IF(V93&lt;=0,"",IFERROR(W93/V93-1,"")))</f>
        <v/>
      </c>
      <c r="X94" s="15">
        <f>IF(OR(X93="",W93=""),"",IF(W93&lt;=0,"",IFERROR(X93/W93-1,"")))</f>
        <v/>
      </c>
    </row>
    <row r="95">
      <c r="A95" s="18" t="inlineStr">
        <is>
          <t>매출원가</t>
        </is>
      </c>
      <c r="C95" s="20" t="n">
        <v>220.383</v>
      </c>
      <c r="D95" s="20" t="n">
        <v>195.467</v>
      </c>
      <c r="E95" s="20" t="n">
        <v>187.855</v>
      </c>
      <c r="F95" s="20" t="n">
        <v>890.804</v>
      </c>
      <c r="G95" s="20" t="n">
        <v>860.421</v>
      </c>
      <c r="H95" s="20" t="n">
        <v>844.455</v>
      </c>
      <c r="I95" s="20" t="n">
        <v>788.6609999999999</v>
      </c>
      <c r="J95" s="20" t="n">
        <v>793.397</v>
      </c>
      <c r="K95" s="20" t="n">
        <v>881.0119999999999</v>
      </c>
      <c r="L95" s="20" t="n">
        <v>951.525</v>
      </c>
      <c r="M95" s="20" t="n">
        <v>995.119</v>
      </c>
      <c r="N95" s="20" t="n">
        <v>1021.749</v>
      </c>
      <c r="U95" s="20" t="n">
        <v>-36.763</v>
      </c>
      <c r="V95" s="20" t="n">
        <v>890.804</v>
      </c>
      <c r="W95" s="20" t="n">
        <v>793.397</v>
      </c>
      <c r="X95" s="20" t="n">
        <v>1021.749</v>
      </c>
    </row>
    <row r="96">
      <c r="A96" s="43" t="inlineStr">
        <is>
          <t>YoY</t>
        </is>
      </c>
      <c r="B96" s="3" t="inlineStr">
        <is>
          <t>전년 같은 분기·전년 대비</t>
        </is>
      </c>
      <c r="G96" s="15">
        <f>IF(OR(G95="",C95=""),"",IF(G95*C95&lt;=0,"",IFERROR(G95/C95-1,"")))</f>
        <v/>
      </c>
      <c r="H96" s="15">
        <f>IF(OR(H95="",D95=""),"",IF(H95*D95&lt;=0,"",IFERROR(H95/D95-1,"")))</f>
        <v/>
      </c>
      <c r="I96" s="15">
        <f>IF(OR(I95="",E95=""),"",IF(I95*E95&lt;=0,"",IFERROR(I95/E95-1,"")))</f>
        <v/>
      </c>
      <c r="J96" s="15">
        <f>IF(OR(J95="",F95=""),"",IF(J95*F95&lt;=0,"",IFERROR(J95/F95-1,"")))</f>
        <v/>
      </c>
      <c r="K96" s="15">
        <f>IF(OR(K95="",G95=""),"",IF(K95*G95&lt;=0,"",IFERROR(K95/G95-1,"")))</f>
        <v/>
      </c>
      <c r="L96" s="15">
        <f>IF(OR(L95="",H95=""),"",IF(L95*H95&lt;=0,"",IFERROR(L95/H95-1,"")))</f>
        <v/>
      </c>
      <c r="M96" s="15">
        <f>IF(OR(M95="",I95=""),"",IF(M95*I95&lt;=0,"",IFERROR(M95/I95-1,"")))</f>
        <v/>
      </c>
      <c r="N96" s="15">
        <f>IF(OR(N95="",J95=""),"",IF(N95*J95&lt;=0,"",IFERROR(N95/J95-1,"")))</f>
        <v/>
      </c>
      <c r="U96" s="15">
        <f>IF(OR(U95="",T95=""),"",IF(U95*T95&lt;=0,"",IFERROR(U95/T95-1,"")))</f>
        <v/>
      </c>
      <c r="V96" s="15">
        <f>IF(OR(V95="",U95=""),"",IF(V95*U95&lt;=0,"",IFERROR(V95/U95-1,"")))</f>
        <v/>
      </c>
      <c r="W96" s="15">
        <f>IF(OR(W95="",V95=""),"",IF(W95*V95&lt;=0,"",IFERROR(W95/V95-1,"")))</f>
        <v/>
      </c>
      <c r="X96" s="15">
        <f>IF(OR(X95="",W95=""),"",IF(X95*W95&lt;=0,"",IFERROR(X95/W95-1,"")))</f>
        <v/>
      </c>
    </row>
    <row r="97">
      <c r="A97" s="9" t="inlineStr">
        <is>
          <t>매출총이익</t>
        </is>
      </c>
      <c r="C97" s="12" t="n">
        <v>1178.301</v>
      </c>
      <c r="D97" s="12" t="n">
        <v>1184.025</v>
      </c>
      <c r="E97" s="12" t="n">
        <v>1262.271</v>
      </c>
      <c r="F97" s="12" t="n">
        <v>1469.606</v>
      </c>
      <c r="G97" s="12" t="n">
        <v>1513.449</v>
      </c>
      <c r="H97" s="12" t="n">
        <v>1497.078</v>
      </c>
      <c r="I97" s="12" t="n">
        <v>1557.012</v>
      </c>
      <c r="J97" s="12" t="n">
        <v>1556.309</v>
      </c>
      <c r="K97" s="12" t="n">
        <v>1586.543</v>
      </c>
      <c r="L97" s="12" t="n">
        <v>1572.093</v>
      </c>
      <c r="M97" s="12" t="n">
        <v>1656.623</v>
      </c>
      <c r="N97" s="12" t="n">
        <v>1651.949</v>
      </c>
      <c r="U97" s="12" t="n">
        <v>1358.881</v>
      </c>
      <c r="V97" s="12" t="n">
        <v>1469.606</v>
      </c>
      <c r="W97" s="12" t="n">
        <v>1556.309</v>
      </c>
      <c r="X97" s="12" t="n">
        <v>1651.949</v>
      </c>
    </row>
    <row r="98">
      <c r="A98" s="43" t="inlineStr">
        <is>
          <t>YoY</t>
        </is>
      </c>
      <c r="B98" s="3" t="inlineStr">
        <is>
          <t>전년 같은 분기·전년 대비</t>
        </is>
      </c>
      <c r="G98" s="15">
        <f>IF(OR(G97="",C97=""),"",IF(C97&lt;=0,"",IFERROR(G97/C97-1,"")))</f>
        <v/>
      </c>
      <c r="H98" s="15">
        <f>IF(OR(H97="",D97=""),"",IF(D97&lt;=0,"",IFERROR(H97/D97-1,"")))</f>
        <v/>
      </c>
      <c r="I98" s="15">
        <f>IF(OR(I97="",E97=""),"",IF(E97&lt;=0,"",IFERROR(I97/E97-1,"")))</f>
        <v/>
      </c>
      <c r="J98" s="15">
        <f>IF(OR(J97="",F97=""),"",IF(F97&lt;=0,"",IFERROR(J97/F97-1,"")))</f>
        <v/>
      </c>
      <c r="K98" s="15">
        <f>IF(OR(K97="",G97=""),"",IF(G97&lt;=0,"",IFERROR(K97/G97-1,"")))</f>
        <v/>
      </c>
      <c r="L98" s="15">
        <f>IF(OR(L97="",H97=""),"",IF(H97&lt;=0,"",IFERROR(L97/H97-1,"")))</f>
        <v/>
      </c>
      <c r="M98" s="15">
        <f>IF(OR(M97="",I97=""),"",IF(I97&lt;=0,"",IFERROR(M97/I97-1,"")))</f>
        <v/>
      </c>
      <c r="N98" s="15">
        <f>IF(OR(N97="",J97=""),"",IF(J97&lt;=0,"",IFERROR(N97/J97-1,"")))</f>
        <v/>
      </c>
      <c r="U98" s="15">
        <f>IF(OR(U97="",T97=""),"",IF(T97&lt;=0,"",IFERROR(U97/T97-1,"")))</f>
        <v/>
      </c>
      <c r="V98" s="15">
        <f>IF(OR(V97="",U97=""),"",IF(U97&lt;=0,"",IFERROR(V97/U97-1,"")))</f>
        <v/>
      </c>
      <c r="W98" s="15">
        <f>IF(OR(W97="",V97=""),"",IF(V97&lt;=0,"",IFERROR(W97/V97-1,"")))</f>
        <v/>
      </c>
      <c r="X98" s="15">
        <f>IF(OR(X97="",W97=""),"",IF(W97&lt;=0,"",IFERROR(X97/W97-1,"")))</f>
        <v/>
      </c>
    </row>
    <row r="99">
      <c r="A99" s="18" t="inlineStr">
        <is>
          <t>판매비와 관리비</t>
        </is>
      </c>
      <c r="C99" s="20" t="n">
        <v>1081.198</v>
      </c>
      <c r="D99" s="20" t="n">
        <v>1095.347</v>
      </c>
      <c r="E99" s="20" t="n">
        <v>1148.262</v>
      </c>
      <c r="F99" s="20" t="n">
        <v>1464.619</v>
      </c>
      <c r="G99" s="20" t="n">
        <v>1405.252</v>
      </c>
      <c r="H99" s="20" t="n">
        <v>1407.082</v>
      </c>
      <c r="I99" s="20" t="n">
        <v>1466.641</v>
      </c>
      <c r="J99" s="20" t="n">
        <v>1588.752</v>
      </c>
      <c r="K99" s="20" t="n">
        <v>1507.047</v>
      </c>
      <c r="L99" s="20" t="n">
        <v>1419.776</v>
      </c>
      <c r="M99" s="20" t="n">
        <v>1478.082</v>
      </c>
      <c r="N99" s="20" t="n">
        <v>1569.599</v>
      </c>
      <c r="U99" s="20" t="n">
        <v>1264.355</v>
      </c>
      <c r="V99" s="20" t="n">
        <v>1464.619</v>
      </c>
      <c r="W99" s="20" t="n">
        <v>1588.752</v>
      </c>
      <c r="X99" s="20" t="n">
        <v>1569.599</v>
      </c>
    </row>
    <row r="100">
      <c r="A100" s="43" t="inlineStr">
        <is>
          <t>YoY</t>
        </is>
      </c>
      <c r="B100" s="3" t="inlineStr">
        <is>
          <t>전년 같은 분기·전년 대비</t>
        </is>
      </c>
      <c r="G100" s="15">
        <f>IF(OR(G99="",C99=""),"",IF(G99*C99&lt;=0,"",IFERROR(G99/C99-1,"")))</f>
        <v/>
      </c>
      <c r="H100" s="15">
        <f>IF(OR(H99="",D99=""),"",IF(H99*D99&lt;=0,"",IFERROR(H99/D99-1,"")))</f>
        <v/>
      </c>
      <c r="I100" s="15">
        <f>IF(OR(I99="",E99=""),"",IF(I99*E99&lt;=0,"",IFERROR(I99/E99-1,"")))</f>
        <v/>
      </c>
      <c r="J100" s="15">
        <f>IF(OR(J99="",F99=""),"",IF(J99*F99&lt;=0,"",IFERROR(J99/F99-1,"")))</f>
        <v/>
      </c>
      <c r="K100" s="15">
        <f>IF(OR(K99="",G99=""),"",IF(K99*G99&lt;=0,"",IFERROR(K99/G99-1,"")))</f>
        <v/>
      </c>
      <c r="L100" s="15">
        <f>IF(OR(L99="",H99=""),"",IF(L99*H99&lt;=0,"",IFERROR(L99/H99-1,"")))</f>
        <v/>
      </c>
      <c r="M100" s="15">
        <f>IF(OR(M99="",I99=""),"",IF(M99*I99&lt;=0,"",IFERROR(M99/I99-1,"")))</f>
        <v/>
      </c>
      <c r="N100" s="15">
        <f>IF(OR(N99="",J99=""),"",IF(N99*J99&lt;=0,"",IFERROR(N99/J99-1,"")))</f>
        <v/>
      </c>
      <c r="U100" s="15">
        <f>IF(OR(U99="",T99=""),"",IF(U99*T99&lt;=0,"",IFERROR(U99/T99-1,"")))</f>
        <v/>
      </c>
      <c r="V100" s="15">
        <f>IF(OR(V99="",U99=""),"",IF(V99*U99&lt;=0,"",IFERROR(V99/U99-1,"")))</f>
        <v/>
      </c>
      <c r="W100" s="15">
        <f>IF(OR(W99="",V99=""),"",IF(W99*V99&lt;=0,"",IFERROR(W99/V99-1,"")))</f>
        <v/>
      </c>
      <c r="X100" s="15">
        <f>IF(OR(X99="",W99=""),"",IF(X99*W99&lt;=0,"",IFERROR(X99/W99-1,"")))</f>
        <v/>
      </c>
    </row>
    <row r="101">
      <c r="A101" s="9" t="inlineStr">
        <is>
          <t>영업이익</t>
        </is>
      </c>
      <c r="C101" s="12" t="n">
        <v>97.102</v>
      </c>
      <c r="D101" s="12" t="n">
        <v>88.679</v>
      </c>
      <c r="E101" s="12" t="n">
        <v>114.009</v>
      </c>
      <c r="F101" s="12" t="n">
        <v>4.986</v>
      </c>
      <c r="G101" s="12" t="n">
        <v>108.197</v>
      </c>
      <c r="H101" s="12" t="n">
        <v>89.996</v>
      </c>
      <c r="I101" s="12" t="n">
        <v>90.37</v>
      </c>
      <c r="J101" s="12" t="n">
        <v>-32.442</v>
      </c>
      <c r="K101" s="12" t="n">
        <v>79.495</v>
      </c>
      <c r="L101" s="12" t="n">
        <v>152.318</v>
      </c>
      <c r="M101" s="12" t="n">
        <v>178.541</v>
      </c>
      <c r="N101" s="12" t="n">
        <v>82.34999999999999</v>
      </c>
      <c r="T101" s="12" t="n">
        <v>-122.861</v>
      </c>
      <c r="U101" s="12" t="n">
        <v>94.526</v>
      </c>
      <c r="V101" s="12" t="n">
        <v>4.986</v>
      </c>
      <c r="W101" s="12" t="n">
        <v>-32.442</v>
      </c>
      <c r="X101" s="12" t="n">
        <v>82.34999999999999</v>
      </c>
    </row>
    <row r="102">
      <c r="A102" s="43" t="inlineStr">
        <is>
          <t>OPM</t>
        </is>
      </c>
      <c r="B102" s="3" t="inlineStr">
        <is>
          <t>영업이익 ÷ 매출</t>
        </is>
      </c>
      <c r="C102" s="15">
        <f>IF(OR(C101="",C93=""),"",IF(C93&lt;=0,"",IFERROR(C101/C93,"")))</f>
        <v/>
      </c>
      <c r="D102" s="15">
        <f>IF(OR(D101="",D93=""),"",IF(D93&lt;=0,"",IFERROR(D101/D93,"")))</f>
        <v/>
      </c>
      <c r="E102" s="15">
        <f>IF(OR(E101="",E93=""),"",IF(E93&lt;=0,"",IFERROR(E101/E93,"")))</f>
        <v/>
      </c>
      <c r="F102" s="15">
        <f>IF(OR(F101="",F93=""),"",IF(F93&lt;=0,"",IFERROR(F101/F93,"")))</f>
        <v/>
      </c>
      <c r="G102" s="15">
        <f>IF(OR(G101="",G93=""),"",IF(G93&lt;=0,"",IFERROR(G101/G93,"")))</f>
        <v/>
      </c>
      <c r="H102" s="15">
        <f>IF(OR(H101="",H93=""),"",IF(H93&lt;=0,"",IFERROR(H101/H93,"")))</f>
        <v/>
      </c>
      <c r="I102" s="15">
        <f>IF(OR(I101="",I93=""),"",IF(I93&lt;=0,"",IFERROR(I101/I93,"")))</f>
        <v/>
      </c>
      <c r="J102" s="15">
        <f>IF(OR(J101="",J93=""),"",IF(J93&lt;=0,"",IFERROR(J101/J93,"")))</f>
        <v/>
      </c>
      <c r="K102" s="15">
        <f>IF(OR(K101="",K93=""),"",IF(K93&lt;=0,"",IFERROR(K101/K93,"")))</f>
        <v/>
      </c>
      <c r="L102" s="15">
        <f>IF(OR(L101="",L93=""),"",IF(L93&lt;=0,"",IFERROR(L101/L93,"")))</f>
        <v/>
      </c>
      <c r="M102" s="15">
        <f>IF(OR(M101="",M93=""),"",IF(M93&lt;=0,"",IFERROR(M101/M93,"")))</f>
        <v/>
      </c>
      <c r="N102" s="15">
        <f>IF(OR(N101="",N93=""),"",IF(N93&lt;=0,"",IFERROR(N101/N93,"")))</f>
        <v/>
      </c>
      <c r="T102" s="15">
        <f>IF(OR(T101="",T93=""),"",IF(T93&lt;=0,"",IFERROR(T101/T93,"")))</f>
        <v/>
      </c>
      <c r="U102" s="15">
        <f>IF(OR(U101="",U93=""),"",IF(U93&lt;=0,"",IFERROR(U101/U93,"")))</f>
        <v/>
      </c>
      <c r="V102" s="15">
        <f>IF(OR(V101="",V93=""),"",IF(V93&lt;=0,"",IFERROR(V101/V93,"")))</f>
        <v/>
      </c>
      <c r="W102" s="15">
        <f>IF(OR(W101="",W93=""),"",IF(W93&lt;=0,"",IFERROR(W101/W93,"")))</f>
        <v/>
      </c>
      <c r="X102" s="15">
        <f>IF(OR(X101="",X93=""),"",IF(X93&lt;=0,"",IFERROR(X101/X93,"")))</f>
        <v/>
      </c>
    </row>
    <row r="103">
      <c r="A103" s="43" t="inlineStr">
        <is>
          <t>YoY</t>
        </is>
      </c>
      <c r="B103" s="3" t="inlineStr">
        <is>
          <t>전년 같은 분기·전년 대비</t>
        </is>
      </c>
      <c r="G103" s="15">
        <f>IF(OR(G101="",C101=""),"",IF(C101&lt;=0,"",IFERROR(G101/C101-1,"")))</f>
        <v/>
      </c>
      <c r="H103" s="15">
        <f>IF(OR(H101="",D101=""),"",IF(D101&lt;=0,"",IFERROR(H101/D101-1,"")))</f>
        <v/>
      </c>
      <c r="I103" s="15">
        <f>IF(OR(I101="",E101=""),"",IF(E101&lt;=0,"",IFERROR(I101/E101-1,"")))</f>
        <v/>
      </c>
      <c r="J103" s="15">
        <f>IF(OR(J101="",F101=""),"",IF(F101&lt;=0,"",IFERROR(J101/F101-1,"")))</f>
        <v/>
      </c>
      <c r="K103" s="15">
        <f>IF(OR(K101="",G101=""),"",IF(G101&lt;=0,"",IFERROR(K101/G101-1,"")))</f>
        <v/>
      </c>
      <c r="L103" s="15">
        <f>IF(OR(L101="",H101=""),"",IF(H101&lt;=0,"",IFERROR(L101/H101-1,"")))</f>
        <v/>
      </c>
      <c r="M103" s="15">
        <f>IF(OR(M101="",I101=""),"",IF(I101&lt;=0,"",IFERROR(M101/I101-1,"")))</f>
        <v/>
      </c>
      <c r="N103" s="15">
        <f>IF(OR(N101="",J101=""),"",IF(J101&lt;=0,"",IFERROR(N101/J101-1,"")))</f>
        <v/>
      </c>
      <c r="T103" s="15">
        <f>IF(OR(T101="",S101=""),"",IF(S101&lt;=0,"",IFERROR(T101/S101-1,"")))</f>
        <v/>
      </c>
      <c r="U103" s="15">
        <f>IF(OR(U101="",T101=""),"",IF(T101&lt;=0,"",IFERROR(U101/T101-1,"")))</f>
        <v/>
      </c>
      <c r="V103" s="15">
        <f>IF(OR(V101="",U101=""),"",IF(U101&lt;=0,"",IFERROR(V101/U101-1,"")))</f>
        <v/>
      </c>
      <c r="W103" s="15">
        <f>IF(OR(W101="",V101=""),"",IF(V101&lt;=0,"",IFERROR(W101/V101-1,"")))</f>
        <v/>
      </c>
      <c r="X103" s="15">
        <f>IF(OR(X101="",W101=""),"",IF(W101&lt;=0,"",IFERROR(X101/W101-1,"")))</f>
        <v/>
      </c>
    </row>
    <row r="104">
      <c r="A104" s="18" t="inlineStr">
        <is>
          <t>이자수익</t>
        </is>
      </c>
      <c r="C104" s="20" t="n">
        <v>0.001</v>
      </c>
      <c r="D104" s="20" t="n">
        <v>0.012</v>
      </c>
      <c r="E104" s="20" t="n">
        <v>0.002</v>
      </c>
      <c r="F104" s="20" t="n">
        <v>0.384</v>
      </c>
      <c r="G104" s="20" t="n">
        <v>0.108</v>
      </c>
      <c r="H104" s="20" t="n">
        <v>1.62</v>
      </c>
      <c r="I104" s="20" t="n">
        <v>0.29</v>
      </c>
      <c r="J104" s="20" t="n">
        <v>2.912</v>
      </c>
      <c r="K104" s="20" t="n">
        <v>0</v>
      </c>
      <c r="L104" s="20" t="n">
        <v>2.784</v>
      </c>
      <c r="M104" s="20" t="n">
        <v>0.198</v>
      </c>
      <c r="N104" s="20" t="n">
        <v>4.363</v>
      </c>
      <c r="T104" s="20" t="n">
        <v>0.013</v>
      </c>
      <c r="U104" s="20" t="n">
        <v>0.013</v>
      </c>
      <c r="V104" s="20" t="n">
        <v>0.384</v>
      </c>
      <c r="W104" s="20" t="n">
        <v>2.912</v>
      </c>
      <c r="X104" s="20" t="n">
        <v>4.363</v>
      </c>
    </row>
    <row r="105">
      <c r="A105" s="18" t="inlineStr">
        <is>
          <t>환급금 수익</t>
        </is>
      </c>
      <c r="C105" s="20" t="n">
        <v>5.124</v>
      </c>
      <c r="D105" s="20" t="n">
        <v>1.48</v>
      </c>
      <c r="E105" s="20" t="n">
        <v>2.243</v>
      </c>
      <c r="F105" s="20" t="n">
        <v>1.985</v>
      </c>
      <c r="G105" s="20" t="n">
        <v>0.642</v>
      </c>
      <c r="H105" s="20" t="n">
        <v>0.404</v>
      </c>
      <c r="I105" s="20" t="n">
        <v>0.401</v>
      </c>
      <c r="J105" s="20" t="n">
        <v>0.727</v>
      </c>
      <c r="K105" s="20" t="n">
        <v>0.721</v>
      </c>
      <c r="L105" s="20" t="n">
        <v>0.556</v>
      </c>
      <c r="M105" s="20" t="n">
        <v>0.413</v>
      </c>
      <c r="N105" s="20" t="n">
        <v>0.641</v>
      </c>
      <c r="T105" s="20" t="n">
        <v>2.388</v>
      </c>
      <c r="U105" s="20" t="n">
        <v>1.559</v>
      </c>
      <c r="V105" s="20" t="n">
        <v>1.985</v>
      </c>
      <c r="W105" s="20" t="n">
        <v>0.727</v>
      </c>
      <c r="X105" s="20" t="n">
        <v>0.641</v>
      </c>
    </row>
    <row r="106">
      <c r="A106" s="18" t="inlineStr">
        <is>
          <t>수취 손해배상금</t>
        </is>
      </c>
      <c r="G106" s="20" t="n">
        <v>0</v>
      </c>
      <c r="K106" s="20" t="n">
        <v>2.18</v>
      </c>
    </row>
    <row r="107">
      <c r="A107" s="18" t="inlineStr">
        <is>
          <t>임차보증금 상각 환입이익</t>
        </is>
      </c>
      <c r="C107" s="20" t="n">
        <v>0</v>
      </c>
      <c r="G107" s="20" t="n">
        <v>1.04</v>
      </c>
      <c r="K107" s="20" t="n">
        <v>0</v>
      </c>
    </row>
    <row r="108">
      <c r="A108" s="18" t="inlineStr">
        <is>
          <t>잡이익</t>
        </is>
      </c>
      <c r="F108" s="20" t="n">
        <v>0</v>
      </c>
      <c r="J108" s="20" t="n">
        <v>0.843</v>
      </c>
      <c r="V108" s="20" t="n">
        <v>0</v>
      </c>
      <c r="W108" s="20" t="n">
        <v>0.843</v>
      </c>
    </row>
    <row r="109">
      <c r="A109" s="18" t="inlineStr">
        <is>
          <t>수취 손해배상금</t>
        </is>
      </c>
      <c r="J109" s="20" t="n">
        <v>2.191</v>
      </c>
      <c r="N109" s="20" t="n">
        <v>0.18</v>
      </c>
      <c r="W109" s="20" t="n">
        <v>2.191</v>
      </c>
      <c r="X109" s="20" t="n">
        <v>0.18</v>
      </c>
    </row>
    <row r="110">
      <c r="A110" s="18" t="inlineStr">
        <is>
          <t>경영지도료</t>
        </is>
      </c>
      <c r="C110" s="20" t="n">
        <v>0</v>
      </c>
      <c r="D110" s="20" t="n">
        <v>0</v>
      </c>
      <c r="E110" s="20" t="n">
        <v>0</v>
      </c>
      <c r="F110" s="20" t="n">
        <v>6.014</v>
      </c>
      <c r="G110" s="20" t="n">
        <v>4.017</v>
      </c>
      <c r="H110" s="20" t="n">
        <v>3.71</v>
      </c>
      <c r="I110" s="20" t="n">
        <v>0</v>
      </c>
      <c r="J110" s="20" t="n">
        <v>0</v>
      </c>
      <c r="K110" s="20" t="n">
        <v>0</v>
      </c>
      <c r="L110" s="20" t="n">
        <v>0</v>
      </c>
      <c r="M110" s="20" t="n">
        <v>0</v>
      </c>
      <c r="N110" s="20" t="n">
        <v>0</v>
      </c>
      <c r="V110" s="20" t="n">
        <v>6.014</v>
      </c>
      <c r="W110" s="20" t="n">
        <v>0</v>
      </c>
      <c r="X110" s="20" t="n">
        <v>0</v>
      </c>
    </row>
    <row r="111">
      <c r="A111" s="18" t="inlineStr">
        <is>
          <t>채무계정 정리이익</t>
        </is>
      </c>
      <c r="G111" s="20" t="n">
        <v>0</v>
      </c>
      <c r="H111" s="20" t="n">
        <v>0</v>
      </c>
      <c r="I111" s="20" t="n">
        <v>0</v>
      </c>
      <c r="J111" s="20" t="n">
        <v>0</v>
      </c>
      <c r="K111" s="20" t="n">
        <v>4.253</v>
      </c>
      <c r="L111" s="20" t="n">
        <v>0</v>
      </c>
      <c r="M111" s="20" t="n">
        <v>0</v>
      </c>
      <c r="N111" s="20" t="n">
        <v>0</v>
      </c>
      <c r="W111" s="20" t="n">
        <v>0</v>
      </c>
      <c r="X111" s="20" t="n">
        <v>0</v>
      </c>
    </row>
    <row r="112">
      <c r="A112" s="18" t="inlineStr">
        <is>
          <t>기타</t>
        </is>
      </c>
      <c r="C112" s="20" t="n">
        <v>0.22</v>
      </c>
      <c r="D112" s="20" t="n">
        <v>0.064</v>
      </c>
      <c r="E112" s="20" t="n">
        <v>0.701</v>
      </c>
      <c r="F112" s="20" t="n">
        <v>1.467</v>
      </c>
      <c r="G112" s="20" t="n">
        <v>0.465</v>
      </c>
      <c r="H112" s="20" t="n">
        <v>2.003</v>
      </c>
      <c r="I112" s="20" t="n">
        <v>1.015</v>
      </c>
      <c r="J112" s="20" t="n">
        <v>1.045</v>
      </c>
      <c r="K112" s="20" t="n">
        <v>0.145</v>
      </c>
      <c r="L112" s="20" t="n">
        <v>0.518</v>
      </c>
      <c r="M112" s="20" t="n">
        <v>1.704</v>
      </c>
      <c r="N112" s="20" t="n">
        <v>3.655</v>
      </c>
      <c r="T112" s="20" t="n">
        <v>0.106</v>
      </c>
      <c r="U112" s="20" t="n">
        <v>0.025</v>
      </c>
      <c r="V112" s="20" t="n">
        <v>1.467</v>
      </c>
      <c r="W112" s="20" t="n">
        <v>1.045</v>
      </c>
      <c r="X112" s="20" t="n">
        <v>3.655</v>
      </c>
    </row>
    <row r="113">
      <c r="A113" s="18" t="inlineStr">
        <is>
          <t>영업외수익 합계</t>
        </is>
      </c>
      <c r="C113" s="20" t="n">
        <v>5.346</v>
      </c>
      <c r="D113" s="20" t="n">
        <v>1.555</v>
      </c>
      <c r="E113" s="20" t="n">
        <v>7.447</v>
      </c>
      <c r="F113" s="20" t="n">
        <v>11.507</v>
      </c>
      <c r="G113" s="20" t="n">
        <v>6.274</v>
      </c>
      <c r="H113" s="20" t="n">
        <v>6.697</v>
      </c>
      <c r="I113" s="20" t="n">
        <v>3.909</v>
      </c>
      <c r="J113" s="20" t="n">
        <v>9.923999999999999</v>
      </c>
      <c r="K113" s="20" t="n">
        <v>7.3</v>
      </c>
      <c r="L113" s="20" t="n">
        <v>4.038</v>
      </c>
      <c r="M113" s="20" t="n">
        <v>12.707</v>
      </c>
      <c r="N113" s="20" t="n">
        <v>8.839</v>
      </c>
      <c r="T113" s="20" t="n">
        <v>2.507</v>
      </c>
      <c r="U113" s="20" t="n">
        <v>1.598</v>
      </c>
      <c r="V113" s="20" t="n">
        <v>11.507</v>
      </c>
      <c r="W113" s="20" t="n">
        <v>9.923999999999999</v>
      </c>
      <c r="X113" s="20" t="n">
        <v>8.839</v>
      </c>
    </row>
    <row r="114">
      <c r="A114" s="43" t="inlineStr">
        <is>
          <t>YoY</t>
        </is>
      </c>
      <c r="B114" s="3" t="inlineStr">
        <is>
          <t>전년 같은 분기·전년 대비</t>
        </is>
      </c>
      <c r="G114" s="15">
        <f>IF(OR(G113="",C113=""),"",IF(G113*C113&lt;=0,"",IFERROR(G113/C113-1,"")))</f>
        <v/>
      </c>
      <c r="H114" s="15">
        <f>IF(OR(H113="",D113=""),"",IF(H113*D113&lt;=0,"",IFERROR(H113/D113-1,"")))</f>
        <v/>
      </c>
      <c r="I114" s="15">
        <f>IF(OR(I113="",E113=""),"",IF(I113*E113&lt;=0,"",IFERROR(I113/E113-1,"")))</f>
        <v/>
      </c>
      <c r="J114" s="15">
        <f>IF(OR(J113="",F113=""),"",IF(J113*F113&lt;=0,"",IFERROR(J113/F113-1,"")))</f>
        <v/>
      </c>
      <c r="K114" s="15">
        <f>IF(OR(K113="",G113=""),"",IF(K113*G113&lt;=0,"",IFERROR(K113/G113-1,"")))</f>
        <v/>
      </c>
      <c r="L114" s="15">
        <f>IF(OR(L113="",H113=""),"",IF(L113*H113&lt;=0,"",IFERROR(L113/H113-1,"")))</f>
        <v/>
      </c>
      <c r="M114" s="15">
        <f>IF(OR(M113="",I113=""),"",IF(M113*I113&lt;=0,"",IFERROR(M113/I113-1,"")))</f>
        <v/>
      </c>
      <c r="N114" s="15">
        <f>IF(OR(N113="",J113=""),"",IF(N113*J113&lt;=0,"",IFERROR(N113/J113-1,"")))</f>
        <v/>
      </c>
      <c r="T114" s="15">
        <f>IF(OR(T113="",S113=""),"",IF(T113*S113&lt;=0,"",IFERROR(T113/S113-1,"")))</f>
        <v/>
      </c>
      <c r="U114" s="15">
        <f>IF(OR(U113="",T113=""),"",IF(U113*T113&lt;=0,"",IFERROR(U113/T113-1,"")))</f>
        <v/>
      </c>
      <c r="V114" s="15">
        <f>IF(OR(V113="",U113=""),"",IF(V113*U113&lt;=0,"",IFERROR(V113/U113-1,"")))</f>
        <v/>
      </c>
      <c r="W114" s="15">
        <f>IF(OR(W113="",V113=""),"",IF(W113*V113&lt;=0,"",IFERROR(W113/V113-1,"")))</f>
        <v/>
      </c>
      <c r="X114" s="15">
        <f>IF(OR(X113="",W113=""),"",IF(X113*W113&lt;=0,"",IFERROR(X113/W113-1,"")))</f>
        <v/>
      </c>
    </row>
    <row r="115">
      <c r="A115" s="18" t="inlineStr">
        <is>
          <t>이자비용</t>
        </is>
      </c>
      <c r="C115" s="20" t="n">
        <v>0.049</v>
      </c>
      <c r="D115" s="20" t="n">
        <v>0.05</v>
      </c>
      <c r="E115" s="20" t="n">
        <v>0.051</v>
      </c>
      <c r="F115" s="20" t="n">
        <v>3.81</v>
      </c>
      <c r="G115" s="20" t="n">
        <v>3.466</v>
      </c>
      <c r="H115" s="20" t="n">
        <v>3.576</v>
      </c>
      <c r="I115" s="20" t="n">
        <v>4.124</v>
      </c>
      <c r="J115" s="20" t="n">
        <v>3.531</v>
      </c>
      <c r="K115" s="20" t="n">
        <v>3.882</v>
      </c>
      <c r="L115" s="20" t="n">
        <v>3.892</v>
      </c>
      <c r="M115" s="20" t="n">
        <v>5.625</v>
      </c>
      <c r="N115" s="20" t="n">
        <v>5.267</v>
      </c>
      <c r="T115" s="20" t="n">
        <v>0.05</v>
      </c>
      <c r="U115" s="20" t="n">
        <v>0.05</v>
      </c>
      <c r="V115" s="20" t="n">
        <v>3.81</v>
      </c>
      <c r="W115" s="20" t="n">
        <v>3.531</v>
      </c>
      <c r="X115" s="20" t="n">
        <v>5.267</v>
      </c>
    </row>
    <row r="116">
      <c r="A116" s="18" t="inlineStr">
        <is>
          <t>투자유가증권 평가손실</t>
        </is>
      </c>
      <c r="C116" s="20" t="n">
        <v>0</v>
      </c>
      <c r="D116" s="20" t="n">
        <v>30</v>
      </c>
      <c r="E116" s="20" t="n">
        <v>60</v>
      </c>
      <c r="F116" s="20" t="n">
        <v>0</v>
      </c>
      <c r="G116" s="20" t="n">
        <v>30</v>
      </c>
      <c r="H116" s="20" t="n">
        <v>0</v>
      </c>
      <c r="I116" s="20" t="n">
        <v>0</v>
      </c>
      <c r="J116" s="20" t="n">
        <v>0</v>
      </c>
      <c r="K116" s="20" t="n">
        <v>0</v>
      </c>
      <c r="L116" s="20" t="n">
        <v>0</v>
      </c>
      <c r="M116" s="20" t="n">
        <v>0</v>
      </c>
      <c r="N116" s="20" t="n">
        <v>0</v>
      </c>
      <c r="T116" s="20" t="n">
        <v>0</v>
      </c>
      <c r="U116" s="20" t="n">
        <v>0</v>
      </c>
      <c r="V116" s="20" t="n">
        <v>0</v>
      </c>
      <c r="W116" s="20" t="n">
        <v>0</v>
      </c>
      <c r="X116" s="20" t="n">
        <v>0</v>
      </c>
    </row>
    <row r="117">
      <c r="A117" s="18" t="inlineStr">
        <is>
          <t>주식보상비용 소멸손실</t>
        </is>
      </c>
      <c r="C117" s="20" t="n">
        <v>1.595</v>
      </c>
      <c r="D117" s="20" t="n">
        <v>4.423</v>
      </c>
      <c r="E117" s="20" t="n">
        <v>3.538</v>
      </c>
      <c r="G117" s="20" t="n">
        <v>0</v>
      </c>
      <c r="H117" s="20" t="n">
        <v>0</v>
      </c>
      <c r="I117" s="20" t="n">
        <v>0</v>
      </c>
    </row>
    <row r="118">
      <c r="A118" s="18" t="inlineStr">
        <is>
          <t>지분법손실</t>
        </is>
      </c>
      <c r="C118" s="20" t="n">
        <v>0</v>
      </c>
      <c r="D118" s="20" t="n">
        <v>0</v>
      </c>
      <c r="E118" s="20" t="n">
        <v>0</v>
      </c>
      <c r="F118" s="20" t="n">
        <v>0.208</v>
      </c>
      <c r="G118" s="20" t="n">
        <v>0.119</v>
      </c>
      <c r="H118" s="20" t="n">
        <v>0.08799999999999999</v>
      </c>
      <c r="I118" s="20" t="n">
        <v>0</v>
      </c>
      <c r="J118" s="20" t="n">
        <v>0</v>
      </c>
      <c r="K118" s="20" t="n">
        <v>0</v>
      </c>
      <c r="L118" s="20" t="n">
        <v>0</v>
      </c>
      <c r="M118" s="20" t="n">
        <v>0</v>
      </c>
      <c r="N118" s="20" t="n">
        <v>0</v>
      </c>
      <c r="V118" s="20" t="n">
        <v>0.208</v>
      </c>
      <c r="W118" s="20" t="n">
        <v>0</v>
      </c>
      <c r="X118" s="20" t="n">
        <v>0</v>
      </c>
    </row>
    <row r="119">
      <c r="A119" s="18" t="inlineStr">
        <is>
          <t>기타</t>
        </is>
      </c>
      <c r="C119" s="20" t="n">
        <v>0</v>
      </c>
      <c r="D119" s="20" t="n">
        <v>0</v>
      </c>
      <c r="E119" s="20" t="n">
        <v>0.225</v>
      </c>
      <c r="F119" s="20" t="n">
        <v>1.01</v>
      </c>
      <c r="G119" s="20" t="n">
        <v>0.988</v>
      </c>
      <c r="H119" s="20" t="n">
        <v>1.542</v>
      </c>
      <c r="I119" s="20" t="n">
        <v>1.283</v>
      </c>
      <c r="J119" s="20" t="n">
        <v>6.93</v>
      </c>
      <c r="K119" s="20" t="n">
        <v>1.474</v>
      </c>
      <c r="L119" s="20" t="n">
        <v>1.942</v>
      </c>
      <c r="M119" s="20" t="n">
        <v>0.979</v>
      </c>
      <c r="N119" s="20" t="n">
        <v>0.325</v>
      </c>
      <c r="T119" s="20" t="n">
        <v>0</v>
      </c>
      <c r="U119" s="20" t="n">
        <v>1.828</v>
      </c>
      <c r="V119" s="20" t="n">
        <v>1.01</v>
      </c>
      <c r="W119" s="20" t="n">
        <v>6.93</v>
      </c>
      <c r="X119" s="20" t="n">
        <v>0.325</v>
      </c>
    </row>
    <row r="120">
      <c r="A120" s="18" t="inlineStr">
        <is>
          <t>영업외비용 합계</t>
        </is>
      </c>
      <c r="C120" s="20" t="n">
        <v>1.645</v>
      </c>
      <c r="D120" s="20" t="n">
        <v>34.473</v>
      </c>
      <c r="E120" s="20" t="n">
        <v>63.814</v>
      </c>
      <c r="F120" s="20" t="n">
        <v>5.028</v>
      </c>
      <c r="G120" s="20" t="n">
        <v>34.574</v>
      </c>
      <c r="H120" s="20" t="n">
        <v>5.207</v>
      </c>
      <c r="I120" s="20" t="n">
        <v>5.406</v>
      </c>
      <c r="J120" s="20" t="n">
        <v>10.461</v>
      </c>
      <c r="K120" s="20" t="n">
        <v>5.356</v>
      </c>
      <c r="L120" s="20" t="n">
        <v>5.834</v>
      </c>
      <c r="M120" s="20" t="n">
        <v>6.605</v>
      </c>
      <c r="N120" s="20" t="n">
        <v>5.592</v>
      </c>
      <c r="T120" s="20" t="n">
        <v>0.05</v>
      </c>
      <c r="U120" s="20" t="n">
        <v>1.879</v>
      </c>
      <c r="V120" s="20" t="n">
        <v>5.028</v>
      </c>
      <c r="W120" s="20" t="n">
        <v>10.461</v>
      </c>
      <c r="X120" s="20" t="n">
        <v>5.592</v>
      </c>
    </row>
    <row r="121">
      <c r="A121" s="43" t="inlineStr">
        <is>
          <t>YoY</t>
        </is>
      </c>
      <c r="B121" s="3" t="inlineStr">
        <is>
          <t>전년 같은 분기·전년 대비</t>
        </is>
      </c>
      <c r="G121" s="15">
        <f>IF(OR(G120="",C120=""),"",IF(G120*C120&lt;=0,"",IFERROR(G120/C120-1,"")))</f>
        <v/>
      </c>
      <c r="H121" s="15">
        <f>IF(OR(H120="",D120=""),"",IF(H120*D120&lt;=0,"",IFERROR(H120/D120-1,"")))</f>
        <v/>
      </c>
      <c r="I121" s="15">
        <f>IF(OR(I120="",E120=""),"",IF(I120*E120&lt;=0,"",IFERROR(I120/E120-1,"")))</f>
        <v/>
      </c>
      <c r="J121" s="15">
        <f>IF(OR(J120="",F120=""),"",IF(J120*F120&lt;=0,"",IFERROR(J120/F120-1,"")))</f>
        <v/>
      </c>
      <c r="K121" s="15">
        <f>IF(OR(K120="",G120=""),"",IF(K120*G120&lt;=0,"",IFERROR(K120/G120-1,"")))</f>
        <v/>
      </c>
      <c r="L121" s="15">
        <f>IF(OR(L120="",H120=""),"",IF(L120*H120&lt;=0,"",IFERROR(L120/H120-1,"")))</f>
        <v/>
      </c>
      <c r="M121" s="15">
        <f>IF(OR(M120="",I120=""),"",IF(M120*I120&lt;=0,"",IFERROR(M120/I120-1,"")))</f>
        <v/>
      </c>
      <c r="N121" s="15">
        <f>IF(OR(N120="",J120=""),"",IF(N120*J120&lt;=0,"",IFERROR(N120/J120-1,"")))</f>
        <v/>
      </c>
      <c r="T121" s="15">
        <f>IF(OR(T120="",S120=""),"",IF(T120*S120&lt;=0,"",IFERROR(T120/S120-1,"")))</f>
        <v/>
      </c>
      <c r="U121" s="15">
        <f>IF(OR(U120="",T120=""),"",IF(U120*T120&lt;=0,"",IFERROR(U120/T120-1,"")))</f>
        <v/>
      </c>
      <c r="V121" s="15">
        <f>IF(OR(V120="",U120=""),"",IF(V120*U120&lt;=0,"",IFERROR(V120/U120-1,"")))</f>
        <v/>
      </c>
      <c r="W121" s="15">
        <f>IF(OR(W120="",V120=""),"",IF(W120*V120&lt;=0,"",IFERROR(W120/V120-1,"")))</f>
        <v/>
      </c>
      <c r="X121" s="15">
        <f>IF(OR(X120="",W120=""),"",IF(X120*W120&lt;=0,"",IFERROR(X120/W120-1,"")))</f>
        <v/>
      </c>
    </row>
    <row r="122">
      <c r="A122" s="9" t="inlineStr">
        <is>
          <t>경상이익</t>
        </is>
      </c>
      <c r="C122" s="12" t="n">
        <v>100.803</v>
      </c>
      <c r="D122" s="12" t="n">
        <v>55.762</v>
      </c>
      <c r="E122" s="12" t="n">
        <v>57.641</v>
      </c>
      <c r="F122" s="12" t="n">
        <v>11.465</v>
      </c>
      <c r="G122" s="12" t="n">
        <v>79.89700000000001</v>
      </c>
      <c r="H122" s="12" t="n">
        <v>91.486</v>
      </c>
      <c r="I122" s="12" t="n">
        <v>88.874</v>
      </c>
      <c r="J122" s="12" t="n">
        <v>-32.981</v>
      </c>
      <c r="K122" s="12" t="n">
        <v>81.438</v>
      </c>
      <c r="L122" s="12" t="n">
        <v>150.523</v>
      </c>
      <c r="M122" s="12" t="n">
        <v>184.643</v>
      </c>
      <c r="N122" s="12" t="n">
        <v>85.596</v>
      </c>
      <c r="T122" s="12" t="n">
        <v>-120.404</v>
      </c>
      <c r="U122" s="12" t="n">
        <v>94.245</v>
      </c>
      <c r="V122" s="12" t="n">
        <v>11.465</v>
      </c>
      <c r="W122" s="12" t="n">
        <v>-32.981</v>
      </c>
      <c r="X122" s="12" t="n">
        <v>85.596</v>
      </c>
    </row>
    <row r="123">
      <c r="A123" s="43" t="inlineStr">
        <is>
          <t>YoY</t>
        </is>
      </c>
      <c r="B123" s="3" t="inlineStr">
        <is>
          <t>전년 같은 분기·전년 대비</t>
        </is>
      </c>
      <c r="G123" s="15">
        <f>IF(OR(G122="",C122=""),"",IF(C122&lt;=0,"",IFERROR(G122/C122-1,"")))</f>
        <v/>
      </c>
      <c r="H123" s="15">
        <f>IF(OR(H122="",D122=""),"",IF(D122&lt;=0,"",IFERROR(H122/D122-1,"")))</f>
        <v/>
      </c>
      <c r="I123" s="15">
        <f>IF(OR(I122="",E122=""),"",IF(E122&lt;=0,"",IFERROR(I122/E122-1,"")))</f>
        <v/>
      </c>
      <c r="J123" s="15">
        <f>IF(OR(J122="",F122=""),"",IF(F122&lt;=0,"",IFERROR(J122/F122-1,"")))</f>
        <v/>
      </c>
      <c r="K123" s="15">
        <f>IF(OR(K122="",G122=""),"",IF(G122&lt;=0,"",IFERROR(K122/G122-1,"")))</f>
        <v/>
      </c>
      <c r="L123" s="15">
        <f>IF(OR(L122="",H122=""),"",IF(H122&lt;=0,"",IFERROR(L122/H122-1,"")))</f>
        <v/>
      </c>
      <c r="M123" s="15">
        <f>IF(OR(M122="",I122=""),"",IF(I122&lt;=0,"",IFERROR(M122/I122-1,"")))</f>
        <v/>
      </c>
      <c r="N123" s="15">
        <f>IF(OR(N122="",J122=""),"",IF(J122&lt;=0,"",IFERROR(N122/J122-1,"")))</f>
        <v/>
      </c>
      <c r="T123" s="15">
        <f>IF(OR(T122="",S122=""),"",IF(S122&lt;=0,"",IFERROR(T122/S122-1,"")))</f>
        <v/>
      </c>
      <c r="U123" s="15">
        <f>IF(OR(U122="",T122=""),"",IF(T122&lt;=0,"",IFERROR(U122/T122-1,"")))</f>
        <v/>
      </c>
      <c r="V123" s="15">
        <f>IF(OR(V122="",U122=""),"",IF(U122&lt;=0,"",IFERROR(V122/U122-1,"")))</f>
        <v/>
      </c>
      <c r="W123" s="15">
        <f>IF(OR(W122="",V122=""),"",IF(V122&lt;=0,"",IFERROR(W122/V122-1,"")))</f>
        <v/>
      </c>
      <c r="X123" s="15">
        <f>IF(OR(X122="",W122=""),"",IF(W122&lt;=0,"",IFERROR(X122/W122-1,"")))</f>
        <v/>
      </c>
    </row>
    <row r="124">
      <c r="A124" s="18" t="inlineStr">
        <is>
          <t>신주예약권 환입이익</t>
        </is>
      </c>
      <c r="C124" s="20" t="n">
        <v>0</v>
      </c>
      <c r="D124" s="20" t="n">
        <v>0</v>
      </c>
      <c r="E124" s="20" t="n">
        <v>0</v>
      </c>
      <c r="F124" s="20" t="n">
        <v>0</v>
      </c>
      <c r="T124" s="20" t="n">
        <v>0</v>
      </c>
      <c r="U124" s="20" t="n">
        <v>0</v>
      </c>
      <c r="V124" s="20" t="n">
        <v>0</v>
      </c>
    </row>
    <row r="125">
      <c r="A125" s="18" t="inlineStr">
        <is>
          <t>특별이익 합계</t>
        </is>
      </c>
      <c r="C125" s="20" t="n">
        <v>0</v>
      </c>
      <c r="D125" s="20" t="n">
        <v>0</v>
      </c>
      <c r="E125" s="20" t="n">
        <v>0</v>
      </c>
      <c r="F125" s="20" t="n">
        <v>0</v>
      </c>
      <c r="T125" s="20" t="n">
        <v>0</v>
      </c>
      <c r="U125" s="20" t="n">
        <v>0</v>
      </c>
      <c r="V125" s="20" t="n">
        <v>0</v>
      </c>
    </row>
    <row r="126">
      <c r="A126" s="43" t="inlineStr">
        <is>
          <t>YoY</t>
        </is>
      </c>
      <c r="B126" s="3" t="inlineStr">
        <is>
          <t>전년 같은 분기·전년 대비</t>
        </is>
      </c>
      <c r="T126" s="15">
        <f>IF(OR(T125="",S125=""),"",IF(T125*S125&lt;=0,"",IFERROR(T125/S125-1,"")))</f>
        <v/>
      </c>
      <c r="U126" s="15">
        <f>IF(OR(U125="",T125=""),"",IF(U125*T125&lt;=0,"",IFERROR(U125/T125-1,"")))</f>
        <v/>
      </c>
      <c r="V126" s="15">
        <f>IF(OR(V125="",U125=""),"",IF(V125*U125&lt;=0,"",IFERROR(V125/U125-1,"")))</f>
        <v/>
      </c>
    </row>
    <row r="127">
      <c r="A127" s="18" t="inlineStr">
        <is>
          <t>자회사 주식 매각손실</t>
        </is>
      </c>
      <c r="E127" s="20" t="n">
        <v>0</v>
      </c>
      <c r="F127" s="20" t="n">
        <v>0</v>
      </c>
      <c r="I127" s="20" t="n">
        <v>0</v>
      </c>
      <c r="J127" s="20" t="n">
        <v>0</v>
      </c>
      <c r="M127" s="20" t="n">
        <v>0</v>
      </c>
      <c r="N127" s="20" t="n">
        <v>0</v>
      </c>
      <c r="V127" s="20" t="n">
        <v>0</v>
      </c>
      <c r="W127" s="20" t="n">
        <v>0</v>
      </c>
      <c r="X127" s="20" t="n">
        <v>0</v>
      </c>
    </row>
    <row r="128">
      <c r="A128" s="18" t="inlineStr">
        <is>
          <t>특별손실 합계</t>
        </is>
      </c>
      <c r="E128" s="20" t="n">
        <v>0</v>
      </c>
      <c r="F128" s="20" t="n">
        <v>55.345</v>
      </c>
      <c r="I128" s="20" t="n">
        <v>0</v>
      </c>
      <c r="J128" s="20" t="n">
        <v>0</v>
      </c>
      <c r="M128" s="20" t="n">
        <v>0</v>
      </c>
      <c r="N128" s="20" t="n">
        <v>0</v>
      </c>
      <c r="V128" s="20" t="n">
        <v>55.345</v>
      </c>
      <c r="W128" s="20" t="n">
        <v>0</v>
      </c>
      <c r="X128" s="20" t="n">
        <v>0</v>
      </c>
    </row>
    <row r="129">
      <c r="A129" s="43" t="inlineStr">
        <is>
          <t>YoY</t>
        </is>
      </c>
      <c r="B129" s="3" t="inlineStr">
        <is>
          <t>전년 같은 분기·전년 대비</t>
        </is>
      </c>
      <c r="I129" s="15">
        <f>IF(OR(I128="",E128=""),"",IF(I128*E128&lt;=0,"",IFERROR(I128/E128-1,"")))</f>
        <v/>
      </c>
      <c r="J129" s="15">
        <f>IF(OR(J128="",F128=""),"",IF(J128*F128&lt;=0,"",IFERROR(J128/F128-1,"")))</f>
        <v/>
      </c>
      <c r="M129" s="15">
        <f>IF(OR(M128="",I128=""),"",IF(M128*I128&lt;=0,"",IFERROR(M128/I128-1,"")))</f>
        <v/>
      </c>
      <c r="N129" s="15">
        <f>IF(OR(N128="",J128=""),"",IF(N128*J128&lt;=0,"",IFERROR(N128/J128-1,"")))</f>
        <v/>
      </c>
      <c r="V129" s="15">
        <f>IF(OR(V128="",U128=""),"",IF(V128*U128&lt;=0,"",IFERROR(V128/U128-1,"")))</f>
        <v/>
      </c>
      <c r="W129" s="15">
        <f>IF(OR(W128="",V128=""),"",IF(W128*V128&lt;=0,"",IFERROR(W128/V128-1,"")))</f>
        <v/>
      </c>
      <c r="X129" s="15">
        <f>IF(OR(X128="",W128=""),"",IF(X128*W128&lt;=0,"",IFERROR(X128/W128-1,"")))</f>
        <v/>
      </c>
    </row>
    <row r="130">
      <c r="A130" s="9" t="inlineStr">
        <is>
          <t>법인세차감전 순이익</t>
        </is>
      </c>
      <c r="C130" s="12" t="n">
        <v>100.803</v>
      </c>
      <c r="D130" s="12" t="n">
        <v>55.762</v>
      </c>
      <c r="E130" s="12" t="n">
        <v>57.641</v>
      </c>
      <c r="F130" s="12" t="n">
        <v>-43.881</v>
      </c>
      <c r="G130" s="12" t="n">
        <v>79.89700000000001</v>
      </c>
      <c r="H130" s="12" t="n">
        <v>90.077</v>
      </c>
      <c r="I130" s="12" t="n">
        <v>88.873</v>
      </c>
      <c r="J130" s="12" t="n">
        <v>-32.98</v>
      </c>
      <c r="K130" s="12" t="n">
        <v>81.438</v>
      </c>
      <c r="L130" s="12" t="n">
        <v>150.523</v>
      </c>
      <c r="M130" s="12" t="n">
        <v>184.643</v>
      </c>
      <c r="N130" s="12" t="n">
        <v>85.596</v>
      </c>
      <c r="T130" s="12" t="n">
        <v>-150.404</v>
      </c>
      <c r="U130" s="12" t="n">
        <v>94.245</v>
      </c>
      <c r="V130" s="12" t="n">
        <v>-43.881</v>
      </c>
      <c r="W130" s="12" t="n">
        <v>-32.98</v>
      </c>
      <c r="X130" s="12" t="n">
        <v>85.596</v>
      </c>
    </row>
    <row r="131">
      <c r="A131" s="43" t="inlineStr">
        <is>
          <t>YoY</t>
        </is>
      </c>
      <c r="B131" s="3" t="inlineStr">
        <is>
          <t>전년 같은 분기·전년 대비</t>
        </is>
      </c>
      <c r="G131" s="15">
        <f>IF(OR(G130="",C130=""),"",IF(C130&lt;=0,"",IFERROR(G130/C130-1,"")))</f>
        <v/>
      </c>
      <c r="H131" s="15">
        <f>IF(OR(H130="",D130=""),"",IF(D130&lt;=0,"",IFERROR(H130/D130-1,"")))</f>
        <v/>
      </c>
      <c r="I131" s="15">
        <f>IF(OR(I130="",E130=""),"",IF(E130&lt;=0,"",IFERROR(I130/E130-1,"")))</f>
        <v/>
      </c>
      <c r="J131" s="15">
        <f>IF(OR(J130="",F130=""),"",IF(F130&lt;=0,"",IFERROR(J130/F130-1,"")))</f>
        <v/>
      </c>
      <c r="K131" s="15">
        <f>IF(OR(K130="",G130=""),"",IF(G130&lt;=0,"",IFERROR(K130/G130-1,"")))</f>
        <v/>
      </c>
      <c r="L131" s="15">
        <f>IF(OR(L130="",H130=""),"",IF(H130&lt;=0,"",IFERROR(L130/H130-1,"")))</f>
        <v/>
      </c>
      <c r="M131" s="15">
        <f>IF(OR(M130="",I130=""),"",IF(I130&lt;=0,"",IFERROR(M130/I130-1,"")))</f>
        <v/>
      </c>
      <c r="N131" s="15">
        <f>IF(OR(N130="",J130=""),"",IF(J130&lt;=0,"",IFERROR(N130/J130-1,"")))</f>
        <v/>
      </c>
      <c r="T131" s="15">
        <f>IF(OR(T130="",S130=""),"",IF(S130&lt;=0,"",IFERROR(T130/S130-1,"")))</f>
        <v/>
      </c>
      <c r="U131" s="15">
        <f>IF(OR(U130="",T130=""),"",IF(T130&lt;=0,"",IFERROR(U130/T130-1,"")))</f>
        <v/>
      </c>
      <c r="V131" s="15">
        <f>IF(OR(V130="",U130=""),"",IF(U130&lt;=0,"",IFERROR(V130/U130-1,"")))</f>
        <v/>
      </c>
      <c r="W131" s="15">
        <f>IF(OR(W130="",V130=""),"",IF(V130&lt;=0,"",IFERROR(W130/V130-1,"")))</f>
        <v/>
      </c>
      <c r="X131" s="15">
        <f>IF(OR(X130="",W130=""),"",IF(W130&lt;=0,"",IFERROR(X130/W130-1,"")))</f>
        <v/>
      </c>
    </row>
    <row r="132">
      <c r="A132" s="18" t="inlineStr">
        <is>
          <t>법인세·주민세·사업세</t>
        </is>
      </c>
      <c r="C132" s="20" t="n">
        <v>24.951</v>
      </c>
      <c r="G132" s="20" t="n">
        <v>35.162</v>
      </c>
      <c r="K132" s="20" t="n">
        <v>26.101</v>
      </c>
    </row>
    <row r="133">
      <c r="A133" s="18" t="inlineStr">
        <is>
          <t>법인세·주민세·사업세</t>
        </is>
      </c>
      <c r="F133" s="20" t="n">
        <v>-6.553</v>
      </c>
      <c r="J133" s="20" t="n">
        <v>-1.858</v>
      </c>
      <c r="N133" s="20" t="n">
        <v>24.648</v>
      </c>
      <c r="T133" s="20" t="n">
        <v>0.676</v>
      </c>
      <c r="U133" s="20" t="n">
        <v>11.793</v>
      </c>
      <c r="V133" s="20" t="n">
        <v>-6.553</v>
      </c>
      <c r="W133" s="20" t="n">
        <v>-1.858</v>
      </c>
      <c r="X133" s="20" t="n">
        <v>24.648</v>
      </c>
    </row>
    <row r="134">
      <c r="A134" s="18" t="inlineStr">
        <is>
          <t>법인세 조정액</t>
        </is>
      </c>
      <c r="C134" s="20" t="n">
        <v>0</v>
      </c>
      <c r="D134" s="20" t="n">
        <v>-2.327</v>
      </c>
      <c r="E134" s="20" t="n">
        <v>-0.872</v>
      </c>
      <c r="F134" s="20" t="n">
        <v>-18.927</v>
      </c>
      <c r="G134" s="20" t="n">
        <v>-20.948</v>
      </c>
      <c r="H134" s="20" t="n">
        <v>11.65</v>
      </c>
      <c r="I134" s="20" t="n">
        <v>-74.73999999999999</v>
      </c>
      <c r="J134" s="20" t="n">
        <v>-36.888</v>
      </c>
      <c r="K134" s="20" t="n">
        <v>-14.515</v>
      </c>
      <c r="L134" s="20" t="n">
        <v>17</v>
      </c>
      <c r="M134" s="20" t="n">
        <v>17.936</v>
      </c>
      <c r="N134" s="20" t="n">
        <v>-36.038</v>
      </c>
      <c r="U134" s="20" t="n">
        <v>0</v>
      </c>
      <c r="V134" s="20" t="n">
        <v>-18.927</v>
      </c>
      <c r="W134" s="20" t="n">
        <v>-36.888</v>
      </c>
      <c r="X134" s="20" t="n">
        <v>-36.038</v>
      </c>
    </row>
    <row r="135">
      <c r="A135" s="18" t="inlineStr">
        <is>
          <t>법인세 등 합계</t>
        </is>
      </c>
      <c r="C135" s="20" t="n">
        <v>24.951</v>
      </c>
      <c r="D135" s="20" t="n">
        <v>38.865</v>
      </c>
      <c r="E135" s="20" t="n">
        <v>26.055</v>
      </c>
      <c r="F135" s="20" t="n">
        <v>-25.48</v>
      </c>
      <c r="G135" s="20" t="n">
        <v>14.214</v>
      </c>
      <c r="H135" s="20" t="n">
        <v>41.876</v>
      </c>
      <c r="I135" s="20" t="n">
        <v>-51.388</v>
      </c>
      <c r="J135" s="20" t="n">
        <v>-38.744</v>
      </c>
      <c r="K135" s="20" t="n">
        <v>11.585</v>
      </c>
      <c r="L135" s="20" t="n">
        <v>63.041</v>
      </c>
      <c r="M135" s="20" t="n">
        <v>58.165</v>
      </c>
      <c r="N135" s="20" t="n">
        <v>-11.392</v>
      </c>
      <c r="U135" s="20" t="n">
        <v>11.793</v>
      </c>
      <c r="V135" s="20" t="n">
        <v>-25.48</v>
      </c>
      <c r="W135" s="20" t="n">
        <v>-38.744</v>
      </c>
      <c r="X135" s="20" t="n">
        <v>-11.392</v>
      </c>
    </row>
    <row r="136">
      <c r="A136" s="43" t="inlineStr">
        <is>
          <t>YoY</t>
        </is>
      </c>
      <c r="B136" s="3" t="inlineStr">
        <is>
          <t>전년 같은 분기·전년 대비</t>
        </is>
      </c>
      <c r="G136" s="15">
        <f>IF(OR(G135="",C135=""),"",IF(G135*C135&lt;=0,"",IFERROR(G135/C135-1,"")))</f>
        <v/>
      </c>
      <c r="H136" s="15">
        <f>IF(OR(H135="",D135=""),"",IF(H135*D135&lt;=0,"",IFERROR(H135/D135-1,"")))</f>
        <v/>
      </c>
      <c r="I136" s="15">
        <f>IF(OR(I135="",E135=""),"",IF(I135*E135&lt;=0,"",IFERROR(I135/E135-1,"")))</f>
        <v/>
      </c>
      <c r="J136" s="15">
        <f>IF(OR(J135="",F135=""),"",IF(J135*F135&lt;=0,"",IFERROR(J135/F135-1,"")))</f>
        <v/>
      </c>
      <c r="K136" s="15">
        <f>IF(OR(K135="",G135=""),"",IF(K135*G135&lt;=0,"",IFERROR(K135/G135-1,"")))</f>
        <v/>
      </c>
      <c r="L136" s="15">
        <f>IF(OR(L135="",H135=""),"",IF(L135*H135&lt;=0,"",IFERROR(L135/H135-1,"")))</f>
        <v/>
      </c>
      <c r="M136" s="15">
        <f>IF(OR(M135="",I135=""),"",IF(M135*I135&lt;=0,"",IFERROR(M135/I135-1,"")))</f>
        <v/>
      </c>
      <c r="N136" s="15">
        <f>IF(OR(N135="",J135=""),"",IF(N135*J135&lt;=0,"",IFERROR(N135/J135-1,"")))</f>
        <v/>
      </c>
      <c r="U136" s="15">
        <f>IF(OR(U135="",T135=""),"",IF(U135*T135&lt;=0,"",IFERROR(U135/T135-1,"")))</f>
        <v/>
      </c>
      <c r="V136" s="15">
        <f>IF(OR(V135="",U135=""),"",IF(V135*U135&lt;=0,"",IFERROR(V135/U135-1,"")))</f>
        <v/>
      </c>
      <c r="W136" s="15">
        <f>IF(OR(W135="",V135=""),"",IF(W135*V135&lt;=0,"",IFERROR(W135/V135-1,"")))</f>
        <v/>
      </c>
      <c r="X136" s="15">
        <f>IF(OR(X135="",W135=""),"",IF(X135*W135&lt;=0,"",IFERROR(X135/W135-1,"")))</f>
        <v/>
      </c>
    </row>
    <row r="137">
      <c r="A137" s="9" t="inlineStr">
        <is>
          <t>순이익</t>
        </is>
      </c>
      <c r="C137" s="12" t="n">
        <v>75.851</v>
      </c>
      <c r="D137" s="12" t="n">
        <v>16.897</v>
      </c>
      <c r="E137" s="12" t="n">
        <v>31.586</v>
      </c>
      <c r="F137" s="12" t="n">
        <v>-18.401</v>
      </c>
      <c r="G137" s="12" t="n">
        <v>65.682</v>
      </c>
      <c r="H137" s="12" t="n">
        <v>48.201</v>
      </c>
      <c r="I137" s="12" t="n">
        <v>140.262</v>
      </c>
      <c r="J137" s="12" t="n">
        <v>5.764</v>
      </c>
      <c r="K137" s="12" t="n">
        <v>69.85299999999999</v>
      </c>
      <c r="L137" s="12" t="n">
        <v>87.48099999999999</v>
      </c>
      <c r="M137" s="12" t="n">
        <v>126.479</v>
      </c>
      <c r="N137" s="12" t="n">
        <v>96.988</v>
      </c>
      <c r="T137" s="12" t="n">
        <v>-151.079</v>
      </c>
      <c r="U137" s="12" t="n">
        <v>82.453</v>
      </c>
      <c r="V137" s="12" t="n">
        <v>-18.401</v>
      </c>
      <c r="W137" s="12" t="n">
        <v>5.764</v>
      </c>
      <c r="X137" s="12" t="n">
        <v>96.988</v>
      </c>
    </row>
    <row r="138">
      <c r="A138" s="43" t="inlineStr">
        <is>
          <t>YoY</t>
        </is>
      </c>
      <c r="B138" s="3" t="inlineStr">
        <is>
          <t>전년 같은 분기·전년 대비</t>
        </is>
      </c>
      <c r="G138" s="15">
        <f>IF(OR(G137="",C137=""),"",IF(C137&lt;=0,"",IFERROR(G137/C137-1,"")))</f>
        <v/>
      </c>
      <c r="H138" s="15">
        <f>IF(OR(H137="",D137=""),"",IF(D137&lt;=0,"",IFERROR(H137/D137-1,"")))</f>
        <v/>
      </c>
      <c r="I138" s="15">
        <f>IF(OR(I137="",E137=""),"",IF(E137&lt;=0,"",IFERROR(I137/E137-1,"")))</f>
        <v/>
      </c>
      <c r="J138" s="15">
        <f>IF(OR(J137="",F137=""),"",IF(F137&lt;=0,"",IFERROR(J137/F137-1,"")))</f>
        <v/>
      </c>
      <c r="K138" s="15">
        <f>IF(OR(K137="",G137=""),"",IF(G137&lt;=0,"",IFERROR(K137/G137-1,"")))</f>
        <v/>
      </c>
      <c r="L138" s="15">
        <f>IF(OR(L137="",H137=""),"",IF(H137&lt;=0,"",IFERROR(L137/H137-1,"")))</f>
        <v/>
      </c>
      <c r="M138" s="15">
        <f>IF(OR(M137="",I137=""),"",IF(I137&lt;=0,"",IFERROR(M137/I137-1,"")))</f>
        <v/>
      </c>
      <c r="N138" s="15">
        <f>IF(OR(N137="",J137=""),"",IF(J137&lt;=0,"",IFERROR(N137/J137-1,"")))</f>
        <v/>
      </c>
      <c r="T138" s="15">
        <f>IF(OR(T137="",S137=""),"",IF(S137&lt;=0,"",IFERROR(T137/S137-1,"")))</f>
        <v/>
      </c>
      <c r="U138" s="15">
        <f>IF(OR(U137="",T137=""),"",IF(T137&lt;=0,"",IFERROR(U137/T137-1,"")))</f>
        <v/>
      </c>
      <c r="V138" s="15">
        <f>IF(OR(V137="",U137=""),"",IF(U137&lt;=0,"",IFERROR(V137/U137-1,"")))</f>
        <v/>
      </c>
      <c r="W138" s="15">
        <f>IF(OR(W137="",V137=""),"",IF(V137&lt;=0,"",IFERROR(W137/V137-1,"")))</f>
        <v/>
      </c>
      <c r="X138" s="15">
        <f>IF(OR(X137="",W137=""),"",IF(W137&lt;=0,"",IFERROR(X137/W137-1,"")))</f>
        <v/>
      </c>
    </row>
    <row r="139">
      <c r="A139" s="9" t="inlineStr">
        <is>
          <t>비지배주주 순손익</t>
        </is>
      </c>
      <c r="C139" s="12" t="n">
        <v>-8.324999999999999</v>
      </c>
      <c r="D139" s="12" t="n">
        <v>-38.296</v>
      </c>
      <c r="E139" s="12" t="n">
        <v>-69.529</v>
      </c>
      <c r="F139" s="12" t="n">
        <v>-21.632</v>
      </c>
      <c r="G139" s="12" t="n">
        <v>-39.435</v>
      </c>
      <c r="H139" s="12" t="n">
        <v>-6.689</v>
      </c>
      <c r="I139" s="12" t="n">
        <v>-0.061</v>
      </c>
      <c r="J139" s="12" t="n">
        <v>-0.8100000000000001</v>
      </c>
      <c r="K139" s="12" t="n">
        <v>-0.723</v>
      </c>
      <c r="L139" s="12" t="n">
        <v>0.269</v>
      </c>
      <c r="M139" s="12" t="n">
        <v>0.187</v>
      </c>
      <c r="N139" s="12" t="n">
        <v>0.602</v>
      </c>
      <c r="T139" s="12" t="n">
        <v>-38.812</v>
      </c>
      <c r="U139" s="12" t="n">
        <v>-8.323</v>
      </c>
      <c r="V139" s="12" t="n">
        <v>-21.632</v>
      </c>
      <c r="W139" s="12" t="n">
        <v>-0.8100000000000001</v>
      </c>
      <c r="X139" s="12" t="n">
        <v>0.602</v>
      </c>
    </row>
    <row r="140">
      <c r="A140" s="9" t="inlineStr">
        <is>
          <t>지배주주 순이익</t>
        </is>
      </c>
      <c r="C140" s="12" t="n">
        <v>84.17700000000001</v>
      </c>
      <c r="D140" s="12" t="n">
        <v>55.193</v>
      </c>
      <c r="E140" s="12" t="n">
        <v>101.114</v>
      </c>
      <c r="F140" s="12" t="n">
        <v>3.232</v>
      </c>
      <c r="G140" s="12" t="n">
        <v>105.118</v>
      </c>
      <c r="H140" s="12" t="n">
        <v>54.89</v>
      </c>
      <c r="I140" s="12" t="n">
        <v>140.323</v>
      </c>
      <c r="J140" s="12" t="n">
        <v>6.573</v>
      </c>
      <c r="K140" s="12" t="n">
        <v>70.577</v>
      </c>
      <c r="L140" s="12" t="n">
        <v>87.212</v>
      </c>
      <c r="M140" s="12" t="n">
        <v>126.291</v>
      </c>
      <c r="N140" s="12" t="n">
        <v>96.38500000000001</v>
      </c>
      <c r="T140" s="12" t="n">
        <v>-112.268</v>
      </c>
      <c r="U140" s="12" t="n">
        <v>90.77500000000001</v>
      </c>
      <c r="V140" s="12" t="n">
        <v>3.232</v>
      </c>
      <c r="W140" s="12" t="n">
        <v>6.573</v>
      </c>
      <c r="X140" s="12" t="n">
        <v>96.38500000000001</v>
      </c>
    </row>
    <row r="141">
      <c r="A141" s="43" t="inlineStr">
        <is>
          <t>YoY</t>
        </is>
      </c>
      <c r="B141" s="3" t="inlineStr">
        <is>
          <t>전년 같은 분기·전년 대비</t>
        </is>
      </c>
      <c r="G141" s="15">
        <f>IF(OR(G140="",C140=""),"",IF(C140&lt;=0,"",IFERROR(G140/C140-1,"")))</f>
        <v/>
      </c>
      <c r="H141" s="15">
        <f>IF(OR(H140="",D140=""),"",IF(D140&lt;=0,"",IFERROR(H140/D140-1,"")))</f>
        <v/>
      </c>
      <c r="I141" s="15">
        <f>IF(OR(I140="",E140=""),"",IF(E140&lt;=0,"",IFERROR(I140/E140-1,"")))</f>
        <v/>
      </c>
      <c r="J141" s="15">
        <f>IF(OR(J140="",F140=""),"",IF(F140&lt;=0,"",IFERROR(J140/F140-1,"")))</f>
        <v/>
      </c>
      <c r="K141" s="15">
        <f>IF(OR(K140="",G140=""),"",IF(G140&lt;=0,"",IFERROR(K140/G140-1,"")))</f>
        <v/>
      </c>
      <c r="L141" s="15">
        <f>IF(OR(L140="",H140=""),"",IF(H140&lt;=0,"",IFERROR(L140/H140-1,"")))</f>
        <v/>
      </c>
      <c r="M141" s="15">
        <f>IF(OR(M140="",I140=""),"",IF(I140&lt;=0,"",IFERROR(M140/I140-1,"")))</f>
        <v/>
      </c>
      <c r="N141" s="15">
        <f>IF(OR(N140="",J140=""),"",IF(J140&lt;=0,"",IFERROR(N140/J140-1,"")))</f>
        <v/>
      </c>
      <c r="T141" s="15">
        <f>IF(OR(T140="",S140=""),"",IF(S140&lt;=0,"",IFERROR(T140/S140-1,"")))</f>
        <v/>
      </c>
      <c r="U141" s="15">
        <f>IF(OR(U140="",T140=""),"",IF(T140&lt;=0,"",IFERROR(U140/T140-1,"")))</f>
        <v/>
      </c>
      <c r="V141" s="15">
        <f>IF(OR(V140="",U140=""),"",IF(U140&lt;=0,"",IFERROR(V140/U140-1,"")))</f>
        <v/>
      </c>
      <c r="W141" s="15">
        <f>IF(OR(W140="",V140=""),"",IF(V140&lt;=0,"",IFERROR(W140/V140-1,"")))</f>
        <v/>
      </c>
      <c r="X141" s="15">
        <f>IF(OR(X140="",W140=""),"",IF(W140&lt;=0,"",IFERROR(X140/W140-1,"")))</f>
        <v/>
      </c>
    </row>
    <row r="142">
      <c r="A142" s="18" t="inlineStr">
        <is>
          <t>영업수익</t>
        </is>
      </c>
      <c r="T142" s="20" t="n">
        <v>1049.367</v>
      </c>
    </row>
    <row r="143">
      <c r="A143" s="43" t="inlineStr">
        <is>
          <t>YoY</t>
        </is>
      </c>
      <c r="B143" s="3" t="inlineStr">
        <is>
          <t>전년 같은 분기·전년 대비</t>
        </is>
      </c>
      <c r="T143" s="15">
        <f>IF(OR(T142="",S142=""),"",IF(S142&lt;=0,"",IFERROR(T142/S142-1,"")))</f>
        <v/>
      </c>
    </row>
    <row r="144">
      <c r="A144" s="18" t="inlineStr">
        <is>
          <t>영업비용</t>
        </is>
      </c>
      <c r="T144" s="20" t="n">
        <v>1179.619</v>
      </c>
    </row>
    <row r="146">
      <c r="A146" s="16" t="inlineStr">
        <is>
          <t>포괄손익 · 전 항목</t>
        </is>
      </c>
      <c r="B146" s="42" t="inlineStr">
        <is>
          <t>분기 = 3개월 단독</t>
        </is>
      </c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  <c r="V146" s="16" t="n"/>
      <c r="W146" s="16" t="n"/>
      <c r="X146" s="16" t="n"/>
      <c r="Y146" s="16" t="n"/>
      <c r="Z146" s="16" t="n"/>
      <c r="AA146" s="16" t="n"/>
      <c r="AB146" s="16" t="n"/>
      <c r="AC146" s="16" t="n"/>
    </row>
    <row r="147">
      <c r="A147" s="5" t="inlineStr">
        <is>
          <t>항목</t>
        </is>
      </c>
      <c r="B147" s="5" t="inlineStr">
        <is>
          <t>참고</t>
        </is>
      </c>
      <c r="C147" s="5" t="inlineStr">
        <is>
          <t>2024.1Q</t>
        </is>
      </c>
      <c r="D147" s="5" t="inlineStr">
        <is>
          <t>2024.2Q</t>
        </is>
      </c>
      <c r="E147" s="5" t="inlineStr">
        <is>
          <t>2024.3Q</t>
        </is>
      </c>
      <c r="F147" s="5" t="inlineStr">
        <is>
          <t>2024.4Q</t>
        </is>
      </c>
      <c r="G147" s="5" t="inlineStr">
        <is>
          <t>2025.1Q</t>
        </is>
      </c>
      <c r="H147" s="5" t="inlineStr">
        <is>
          <t>2025.2Q</t>
        </is>
      </c>
      <c r="I147" s="5" t="inlineStr">
        <is>
          <t>2025.3Q</t>
        </is>
      </c>
      <c r="J147" s="5" t="inlineStr">
        <is>
          <t>2025.4Q</t>
        </is>
      </c>
      <c r="K147" s="5" t="inlineStr">
        <is>
          <t>2026.1Q</t>
        </is>
      </c>
      <c r="L147" s="5" t="inlineStr">
        <is>
          <t>2026.2Q</t>
        </is>
      </c>
      <c r="M147" s="5" t="inlineStr">
        <is>
          <t>2026.3Q</t>
        </is>
      </c>
      <c r="N147" s="5" t="inlineStr">
        <is>
          <t>2026.4Q</t>
        </is>
      </c>
      <c r="O147" s="5" t="inlineStr">
        <is>
          <t>2017</t>
        </is>
      </c>
      <c r="P147" s="5" t="inlineStr">
        <is>
          <t>2018</t>
        </is>
      </c>
      <c r="Q147" s="5" t="inlineStr">
        <is>
          <t>2019</t>
        </is>
      </c>
      <c r="R147" s="5" t="inlineStr">
        <is>
          <t>2020</t>
        </is>
      </c>
      <c r="S147" s="5" t="inlineStr">
        <is>
          <t>2021</t>
        </is>
      </c>
      <c r="T147" s="5" t="inlineStr">
        <is>
          <t>2022</t>
        </is>
      </c>
      <c r="U147" s="5" t="inlineStr">
        <is>
          <t>2023</t>
        </is>
      </c>
      <c r="V147" s="5" t="inlineStr">
        <is>
          <t>2024</t>
        </is>
      </c>
      <c r="W147" s="5" t="inlineStr">
        <is>
          <t>2025</t>
        </is>
      </c>
      <c r="X147" s="5" t="inlineStr">
        <is>
          <t>2026</t>
        </is>
      </c>
      <c r="Y147" s="5" t="inlineStr">
        <is>
          <t>2027(MW)</t>
        </is>
      </c>
      <c r="Z147" s="5" t="inlineStr">
        <is>
          <t>2028(MW)</t>
        </is>
      </c>
      <c r="AA147" s="5" t="inlineStr">
        <is>
          <t>2029(MW)</t>
        </is>
      </c>
      <c r="AB147" s="5" t="inlineStr">
        <is>
          <t>2030(MW)</t>
        </is>
      </c>
      <c r="AC147" s="5" t="inlineStr">
        <is>
          <t>2031(MW)</t>
        </is>
      </c>
    </row>
    <row r="148">
      <c r="A148" s="9" t="inlineStr">
        <is>
          <t>순이익</t>
        </is>
      </c>
      <c r="C148" s="12" t="n">
        <v>75.851</v>
      </c>
      <c r="D148" s="12" t="n">
        <v>16.897</v>
      </c>
      <c r="E148" s="12" t="n">
        <v>31.586</v>
      </c>
      <c r="F148" s="12" t="n">
        <v>-18.401</v>
      </c>
      <c r="G148" s="12" t="n">
        <v>65.682</v>
      </c>
      <c r="H148" s="12" t="n">
        <v>48.201</v>
      </c>
      <c r="I148" s="12" t="n">
        <v>140.262</v>
      </c>
      <c r="J148" s="12" t="n">
        <v>5.764</v>
      </c>
      <c r="K148" s="12" t="n">
        <v>69.85299999999999</v>
      </c>
      <c r="L148" s="12" t="n">
        <v>87.48099999999999</v>
      </c>
      <c r="M148" s="12" t="n">
        <v>126.479</v>
      </c>
      <c r="N148" s="12" t="n">
        <v>96.988</v>
      </c>
      <c r="T148" s="12" t="n">
        <v>-151.079</v>
      </c>
      <c r="U148" s="12" t="n">
        <v>82.453</v>
      </c>
      <c r="V148" s="12" t="n">
        <v>-18.401</v>
      </c>
      <c r="W148" s="12" t="n">
        <v>5.764</v>
      </c>
      <c r="X148" s="12" t="n">
        <v>96.988</v>
      </c>
    </row>
    <row r="149">
      <c r="A149" s="18" t="inlineStr">
        <is>
          <t>기타유가증권 평가차액</t>
        </is>
      </c>
      <c r="C149" s="20" t="n">
        <v>-0.352</v>
      </c>
      <c r="D149" s="20" t="n">
        <v>2.237</v>
      </c>
      <c r="E149" s="20" t="n">
        <v>2.769</v>
      </c>
      <c r="F149" s="20" t="n">
        <v>-5.519</v>
      </c>
      <c r="G149" s="20" t="n">
        <v>2.737</v>
      </c>
      <c r="H149" s="20" t="n">
        <v>-0.497</v>
      </c>
      <c r="I149" s="20" t="n">
        <v>0</v>
      </c>
      <c r="J149" s="20" t="n">
        <v>0</v>
      </c>
      <c r="K149" s="20" t="n">
        <v>0</v>
      </c>
      <c r="L149" s="20" t="n">
        <v>0</v>
      </c>
      <c r="M149" s="20" t="n">
        <v>0</v>
      </c>
      <c r="N149" s="20" t="n">
        <v>0</v>
      </c>
      <c r="T149" s="20" t="n">
        <v>4.18</v>
      </c>
      <c r="U149" s="20" t="n">
        <v>2.572</v>
      </c>
      <c r="V149" s="20" t="n">
        <v>-5.519</v>
      </c>
      <c r="W149" s="20" t="n">
        <v>0</v>
      </c>
      <c r="X149" s="20" t="n">
        <v>0</v>
      </c>
    </row>
    <row r="150">
      <c r="A150" s="18" t="inlineStr">
        <is>
          <t>기타포괄손익 합계</t>
        </is>
      </c>
      <c r="C150" s="20" t="n">
        <v>-0.352</v>
      </c>
      <c r="D150" s="20" t="n">
        <v>2.237</v>
      </c>
      <c r="E150" s="20" t="n">
        <v>2.769</v>
      </c>
      <c r="F150" s="20" t="n">
        <v>-5.519</v>
      </c>
      <c r="G150" s="20" t="n">
        <v>2.737</v>
      </c>
      <c r="H150" s="20" t="n">
        <v>-0.497</v>
      </c>
      <c r="I150" s="20" t="n">
        <v>0</v>
      </c>
      <c r="J150" s="20" t="n">
        <v>0</v>
      </c>
      <c r="K150" s="20" t="n">
        <v>0</v>
      </c>
      <c r="L150" s="20" t="n">
        <v>0</v>
      </c>
      <c r="M150" s="20" t="n">
        <v>0</v>
      </c>
      <c r="N150" s="20" t="n">
        <v>0</v>
      </c>
      <c r="T150" s="20" t="n">
        <v>4.18</v>
      </c>
      <c r="U150" s="20" t="n">
        <v>2.572</v>
      </c>
      <c r="V150" s="20" t="n">
        <v>-5.519</v>
      </c>
      <c r="W150" s="20" t="n">
        <v>0</v>
      </c>
      <c r="X150" s="20" t="n">
        <v>0</v>
      </c>
    </row>
    <row r="151">
      <c r="A151" s="9" t="inlineStr">
        <is>
          <t>포괄이익</t>
        </is>
      </c>
      <c r="C151" s="12" t="n">
        <v>75.499</v>
      </c>
      <c r="D151" s="12" t="n">
        <v>19.135</v>
      </c>
      <c r="E151" s="12" t="n">
        <v>34.355</v>
      </c>
      <c r="F151" s="12" t="n">
        <v>-23.921</v>
      </c>
      <c r="G151" s="12" t="n">
        <v>68.419</v>
      </c>
      <c r="H151" s="12" t="n">
        <v>47.705</v>
      </c>
      <c r="I151" s="12" t="n">
        <v>140.261</v>
      </c>
      <c r="J151" s="12" t="n">
        <v>5.764</v>
      </c>
      <c r="K151" s="12" t="n">
        <v>69.85299999999999</v>
      </c>
      <c r="L151" s="12" t="n">
        <v>87.48099999999999</v>
      </c>
      <c r="M151" s="12" t="n">
        <v>126.479</v>
      </c>
      <c r="N151" s="12" t="n">
        <v>96.988</v>
      </c>
      <c r="T151" s="12" t="n">
        <v>-146.899</v>
      </c>
      <c r="U151" s="12" t="n">
        <v>85.02500000000001</v>
      </c>
      <c r="V151" s="12" t="n">
        <v>-23.921</v>
      </c>
      <c r="W151" s="12" t="n">
        <v>5.764</v>
      </c>
      <c r="X151" s="12" t="n">
        <v>96.988</v>
      </c>
    </row>
    <row r="152">
      <c r="A152" s="9" t="inlineStr">
        <is>
          <t>지배주주 포괄이익</t>
        </is>
      </c>
      <c r="C152" s="12" t="n">
        <v>84.175</v>
      </c>
      <c r="D152" s="12" t="n">
        <v>55.207</v>
      </c>
      <c r="E152" s="12" t="n">
        <v>101.131</v>
      </c>
      <c r="F152" s="12" t="n">
        <v>3.198</v>
      </c>
      <c r="G152" s="12" t="n">
        <v>105.135</v>
      </c>
      <c r="H152" s="12" t="n">
        <v>54.887</v>
      </c>
      <c r="I152" s="12" t="n">
        <v>140.323</v>
      </c>
      <c r="J152" s="12" t="n">
        <v>6.573</v>
      </c>
      <c r="K152" s="12" t="n">
        <v>70.577</v>
      </c>
      <c r="L152" s="12" t="n">
        <v>87.212</v>
      </c>
      <c r="M152" s="12" t="n">
        <v>126.291</v>
      </c>
      <c r="N152" s="12" t="n">
        <v>96.38500000000001</v>
      </c>
      <c r="T152" s="12" t="n">
        <v>-112.133</v>
      </c>
      <c r="U152" s="12" t="n">
        <v>90.79000000000001</v>
      </c>
      <c r="V152" s="12" t="n">
        <v>3.198</v>
      </c>
      <c r="W152" s="12" t="n">
        <v>6.573</v>
      </c>
      <c r="X152" s="12" t="n">
        <v>96.38500000000001</v>
      </c>
    </row>
    <row r="153">
      <c r="A153" s="9" t="inlineStr">
        <is>
          <t>비지배주주 포괄이익</t>
        </is>
      </c>
      <c r="C153" s="12" t="n">
        <v>-8.675000000000001</v>
      </c>
      <c r="D153" s="12" t="n">
        <v>-36.072</v>
      </c>
      <c r="E153" s="12" t="n">
        <v>-66.777</v>
      </c>
      <c r="F153" s="12" t="n">
        <v>-27.118</v>
      </c>
      <c r="G153" s="12" t="n">
        <v>-36.715</v>
      </c>
      <c r="H153" s="12" t="n">
        <v>-7.183</v>
      </c>
      <c r="I153" s="12" t="n">
        <v>-0.061</v>
      </c>
      <c r="J153" s="12" t="n">
        <v>-0.8090000000000001</v>
      </c>
      <c r="K153" s="12" t="n">
        <v>-0.723</v>
      </c>
      <c r="L153" s="12" t="n">
        <v>0.269</v>
      </c>
      <c r="M153" s="12" t="n">
        <v>0.187</v>
      </c>
      <c r="N153" s="12" t="n">
        <v>0.602</v>
      </c>
      <c r="T153" s="12" t="n">
        <v>-34.767</v>
      </c>
      <c r="U153" s="12" t="n">
        <v>-5.766</v>
      </c>
      <c r="V153" s="12" t="n">
        <v>-27.118</v>
      </c>
      <c r="W153" s="12" t="n">
        <v>-0.8090000000000001</v>
      </c>
      <c r="X153" s="12" t="n">
        <v>0.602</v>
      </c>
    </row>
    <row r="155">
      <c r="A155" s="16" t="inlineStr">
        <is>
          <t>부문 · 전 항목</t>
        </is>
      </c>
      <c r="B155" s="42" t="inlineStr">
        <is>
          <t>부문 · 항목</t>
        </is>
      </c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16" t="n"/>
      <c r="Z155" s="16" t="n"/>
      <c r="AA155" s="16" t="n"/>
      <c r="AB155" s="16" t="n"/>
      <c r="AC155" s="16" t="n"/>
    </row>
    <row r="156">
      <c r="A156" s="5" t="inlineStr">
        <is>
          <t>항목</t>
        </is>
      </c>
      <c r="B156" s="5" t="inlineStr">
        <is>
          <t>참고</t>
        </is>
      </c>
      <c r="C156" s="5" t="inlineStr">
        <is>
          <t>2024.1Q</t>
        </is>
      </c>
      <c r="D156" s="5" t="inlineStr">
        <is>
          <t>2024.2Q</t>
        </is>
      </c>
      <c r="E156" s="5" t="inlineStr">
        <is>
          <t>2024.3Q</t>
        </is>
      </c>
      <c r="F156" s="5" t="inlineStr">
        <is>
          <t>2024.4Q</t>
        </is>
      </c>
      <c r="G156" s="5" t="inlineStr">
        <is>
          <t>2025.1Q</t>
        </is>
      </c>
      <c r="H156" s="5" t="inlineStr">
        <is>
          <t>2025.2Q</t>
        </is>
      </c>
      <c r="I156" s="5" t="inlineStr">
        <is>
          <t>2025.3Q</t>
        </is>
      </c>
      <c r="J156" s="5" t="inlineStr">
        <is>
          <t>2025.4Q</t>
        </is>
      </c>
      <c r="K156" s="5" t="inlineStr">
        <is>
          <t>2026.1Q</t>
        </is>
      </c>
      <c r="L156" s="5" t="inlineStr">
        <is>
          <t>2026.2Q</t>
        </is>
      </c>
      <c r="M156" s="5" t="inlineStr">
        <is>
          <t>2026.3Q</t>
        </is>
      </c>
      <c r="N156" s="5" t="inlineStr">
        <is>
          <t>2026.4Q</t>
        </is>
      </c>
      <c r="O156" s="5" t="inlineStr">
        <is>
          <t>2017</t>
        </is>
      </c>
      <c r="P156" s="5" t="inlineStr">
        <is>
          <t>2018</t>
        </is>
      </c>
      <c r="Q156" s="5" t="inlineStr">
        <is>
          <t>2019</t>
        </is>
      </c>
      <c r="R156" s="5" t="inlineStr">
        <is>
          <t>2020</t>
        </is>
      </c>
      <c r="S156" s="5" t="inlineStr">
        <is>
          <t>2021</t>
        </is>
      </c>
      <c r="T156" s="5" t="inlineStr">
        <is>
          <t>2022</t>
        </is>
      </c>
      <c r="U156" s="5" t="inlineStr">
        <is>
          <t>2023</t>
        </is>
      </c>
      <c r="V156" s="5" t="inlineStr">
        <is>
          <t>2024</t>
        </is>
      </c>
      <c r="W156" s="5" t="inlineStr">
        <is>
          <t>2025</t>
        </is>
      </c>
      <c r="X156" s="5" t="inlineStr">
        <is>
          <t>2026</t>
        </is>
      </c>
      <c r="Y156" s="5" t="inlineStr">
        <is>
          <t>2027(MW)</t>
        </is>
      </c>
      <c r="Z156" s="5" t="inlineStr">
        <is>
          <t>2028(MW)</t>
        </is>
      </c>
      <c r="AA156" s="5" t="inlineStr">
        <is>
          <t>2029(MW)</t>
        </is>
      </c>
      <c r="AB156" s="5" t="inlineStr">
        <is>
          <t>2030(MW)</t>
        </is>
      </c>
      <c r="AC156" s="5" t="inlineStr">
        <is>
          <t>2031(MW)</t>
        </is>
      </c>
    </row>
    <row r="157">
      <c r="A157" s="18" t="inlineStr">
        <is>
          <t>마켓플레이스 · 외부 고객 매출</t>
        </is>
      </c>
      <c r="C157" s="20" t="n">
        <v>1205.367</v>
      </c>
      <c r="D157" s="20" t="n">
        <v>1211.083</v>
      </c>
      <c r="E157" s="20" t="n">
        <v>1293.692</v>
      </c>
      <c r="F157" s="20" t="n">
        <v>1343.577</v>
      </c>
      <c r="G157" s="20" t="n">
        <v>1373.001</v>
      </c>
      <c r="H157" s="20" t="n">
        <v>1354.996</v>
      </c>
      <c r="I157" s="20" t="n">
        <v>1521.442</v>
      </c>
      <c r="J157" s="20" t="n">
        <v>1471.279</v>
      </c>
      <c r="K157" s="20" t="n">
        <v>1492.706</v>
      </c>
      <c r="L157" s="20" t="n">
        <v>1477.808</v>
      </c>
      <c r="M157" s="20" t="n">
        <v>1532.752</v>
      </c>
      <c r="N157" s="20" t="n">
        <v>1162.878</v>
      </c>
      <c r="V157" s="20" t="n">
        <v>1343.577</v>
      </c>
      <c r="W157" s="20" t="n">
        <v>1471.279</v>
      </c>
      <c r="X157" s="20" t="n">
        <v>1162.878</v>
      </c>
    </row>
    <row r="158">
      <c r="A158" s="43" t="inlineStr">
        <is>
          <t>YoY</t>
        </is>
      </c>
      <c r="B158" s="3" t="inlineStr">
        <is>
          <t>전년 같은 분기·전년 대비</t>
        </is>
      </c>
      <c r="G158" s="15">
        <f>IF(OR(G157="",C157=""),"",IF(C157&lt;=0,"",IFERROR(G157/C157-1,"")))</f>
        <v/>
      </c>
      <c r="H158" s="15">
        <f>IF(OR(H157="",D157=""),"",IF(D157&lt;=0,"",IFERROR(H157/D157-1,"")))</f>
        <v/>
      </c>
      <c r="I158" s="15">
        <f>IF(OR(I157="",E157=""),"",IF(E157&lt;=0,"",IFERROR(I157/E157-1,"")))</f>
        <v/>
      </c>
      <c r="J158" s="15">
        <f>IF(OR(J157="",F157=""),"",IF(F157&lt;=0,"",IFERROR(J157/F157-1,"")))</f>
        <v/>
      </c>
      <c r="K158" s="15">
        <f>IF(OR(K157="",G157=""),"",IF(G157&lt;=0,"",IFERROR(K157/G157-1,"")))</f>
        <v/>
      </c>
      <c r="L158" s="15">
        <f>IF(OR(L157="",H157=""),"",IF(H157&lt;=0,"",IFERROR(L157/H157-1,"")))</f>
        <v/>
      </c>
      <c r="M158" s="15">
        <f>IF(OR(M157="",I157=""),"",IF(I157&lt;=0,"",IFERROR(M157/I157-1,"")))</f>
        <v/>
      </c>
      <c r="N158" s="15">
        <f>IF(OR(N157="",J157=""),"",IF(J157&lt;=0,"",IFERROR(N157/J157-1,"")))</f>
        <v/>
      </c>
      <c r="V158" s="15">
        <f>IF(OR(V157="",U157=""),"",IF(U157&lt;=0,"",IFERROR(V157/U157-1,"")))</f>
        <v/>
      </c>
      <c r="W158" s="15">
        <f>IF(OR(W157="",V157=""),"",IF(V157&lt;=0,"",IFERROR(W157/V157-1,"")))</f>
        <v/>
      </c>
      <c r="X158" s="15">
        <f>IF(OR(X157="",W157=""),"",IF(W157&lt;=0,"",IFERROR(X157/W157-1,"")))</f>
        <v/>
      </c>
    </row>
    <row r="159">
      <c r="A159" s="18" t="inlineStr">
        <is>
          <t>에이전트 · 외부 고객 매출</t>
        </is>
      </c>
      <c r="C159" s="20" t="n">
        <v>193.317</v>
      </c>
      <c r="D159" s="20" t="n">
        <v>168.409</v>
      </c>
      <c r="E159" s="20" t="n">
        <v>156.434</v>
      </c>
      <c r="F159" s="20" t="n">
        <v>1016.833</v>
      </c>
      <c r="G159" s="20" t="n">
        <v>1000.869</v>
      </c>
      <c r="H159" s="20" t="n">
        <v>986.537</v>
      </c>
      <c r="I159" s="20" t="n">
        <v>824.232</v>
      </c>
      <c r="J159" s="20" t="n">
        <v>878.427</v>
      </c>
      <c r="K159" s="20" t="n">
        <v>974.848</v>
      </c>
      <c r="L159" s="20" t="n">
        <v>1045.81</v>
      </c>
      <c r="M159" s="20" t="n">
        <v>1118.99</v>
      </c>
      <c r="N159" s="20" t="n">
        <v>1510.821</v>
      </c>
      <c r="V159" s="20" t="n">
        <v>1016.833</v>
      </c>
      <c r="W159" s="20" t="n">
        <v>878.427</v>
      </c>
      <c r="X159" s="20" t="n">
        <v>1510.821</v>
      </c>
    </row>
    <row r="160">
      <c r="A160" s="43" t="inlineStr">
        <is>
          <t>YoY</t>
        </is>
      </c>
      <c r="B160" s="3" t="inlineStr">
        <is>
          <t>전년 같은 분기·전년 대비</t>
        </is>
      </c>
      <c r="G160" s="15">
        <f>IF(OR(G159="",C159=""),"",IF(C159&lt;=0,"",IFERROR(G159/C159-1,"")))</f>
        <v/>
      </c>
      <c r="H160" s="15">
        <f>IF(OR(H159="",D159=""),"",IF(D159&lt;=0,"",IFERROR(H159/D159-1,"")))</f>
        <v/>
      </c>
      <c r="I160" s="15">
        <f>IF(OR(I159="",E159=""),"",IF(E159&lt;=0,"",IFERROR(I159/E159-1,"")))</f>
        <v/>
      </c>
      <c r="J160" s="15">
        <f>IF(OR(J159="",F159=""),"",IF(F159&lt;=0,"",IFERROR(J159/F159-1,"")))</f>
        <v/>
      </c>
      <c r="K160" s="15">
        <f>IF(OR(K159="",G159=""),"",IF(G159&lt;=0,"",IFERROR(K159/G159-1,"")))</f>
        <v/>
      </c>
      <c r="L160" s="15">
        <f>IF(OR(L159="",H159=""),"",IF(H159&lt;=0,"",IFERROR(L159/H159-1,"")))</f>
        <v/>
      </c>
      <c r="M160" s="15">
        <f>IF(OR(M159="",I159=""),"",IF(I159&lt;=0,"",IFERROR(M159/I159-1,"")))</f>
        <v/>
      </c>
      <c r="N160" s="15">
        <f>IF(OR(N159="",J159=""),"",IF(J159&lt;=0,"",IFERROR(N159/J159-1,"")))</f>
        <v/>
      </c>
      <c r="V160" s="15">
        <f>IF(OR(V159="",U159=""),"",IF(U159&lt;=0,"",IFERROR(V159/U159-1,"")))</f>
        <v/>
      </c>
      <c r="W160" s="15">
        <f>IF(OR(W159="",V159=""),"",IF(V159&lt;=0,"",IFERROR(W159/V159-1,"")))</f>
        <v/>
      </c>
      <c r="X160" s="15">
        <f>IF(OR(X159="",W159=""),"",IF(W159&lt;=0,"",IFERROR(X159/W159-1,"")))</f>
        <v/>
      </c>
    </row>
    <row r="161">
      <c r="A161" s="18" t="inlineStr">
        <is>
          <t>보고부문 합계 · 외부 고객 매출</t>
        </is>
      </c>
      <c r="C161" s="20" t="n">
        <v>1398.684</v>
      </c>
      <c r="D161" s="20" t="n">
        <v>1379.493</v>
      </c>
      <c r="E161" s="20" t="n">
        <v>1450.126</v>
      </c>
      <c r="F161" s="20" t="n">
        <v>2360.409</v>
      </c>
      <c r="G161" s="20" t="n">
        <v>2373.871</v>
      </c>
      <c r="H161" s="20" t="n">
        <v>2341.533</v>
      </c>
      <c r="I161" s="20" t="n">
        <v>2345.673</v>
      </c>
      <c r="J161" s="20" t="n">
        <v>2349.706</v>
      </c>
      <c r="K161" s="20" t="n">
        <v>2467.555</v>
      </c>
      <c r="L161" s="20" t="n">
        <v>2523.618</v>
      </c>
      <c r="M161" s="20" t="n">
        <v>2651.742</v>
      </c>
      <c r="N161" s="20" t="n">
        <v>2673.699</v>
      </c>
      <c r="V161" s="20" t="n">
        <v>2360.409</v>
      </c>
      <c r="W161" s="20" t="n">
        <v>2349.706</v>
      </c>
      <c r="X161" s="20" t="n">
        <v>2673.699</v>
      </c>
    </row>
    <row r="162">
      <c r="A162" s="43" t="inlineStr">
        <is>
          <t>YoY</t>
        </is>
      </c>
      <c r="B162" s="3" t="inlineStr">
        <is>
          <t>전년 같은 분기·전년 대비</t>
        </is>
      </c>
      <c r="G162" s="15">
        <f>IF(OR(G161="",C161=""),"",IF(C161&lt;=0,"",IFERROR(G161/C161-1,"")))</f>
        <v/>
      </c>
      <c r="H162" s="15">
        <f>IF(OR(H161="",D161=""),"",IF(D161&lt;=0,"",IFERROR(H161/D161-1,"")))</f>
        <v/>
      </c>
      <c r="I162" s="15">
        <f>IF(OR(I161="",E161=""),"",IF(E161&lt;=0,"",IFERROR(I161/E161-1,"")))</f>
        <v/>
      </c>
      <c r="J162" s="15">
        <f>IF(OR(J161="",F161=""),"",IF(F161&lt;=0,"",IFERROR(J161/F161-1,"")))</f>
        <v/>
      </c>
      <c r="K162" s="15">
        <f>IF(OR(K161="",G161=""),"",IF(G161&lt;=0,"",IFERROR(K161/G161-1,"")))</f>
        <v/>
      </c>
      <c r="L162" s="15">
        <f>IF(OR(L161="",H161=""),"",IF(H161&lt;=0,"",IFERROR(L161/H161-1,"")))</f>
        <v/>
      </c>
      <c r="M162" s="15">
        <f>IF(OR(M161="",I161=""),"",IF(I161&lt;=0,"",IFERROR(M161/I161-1,"")))</f>
        <v/>
      </c>
      <c r="N162" s="15">
        <f>IF(OR(N161="",J161=""),"",IF(J161&lt;=0,"",IFERROR(N161/J161-1,"")))</f>
        <v/>
      </c>
      <c r="V162" s="15">
        <f>IF(OR(V161="",U161=""),"",IF(U161&lt;=0,"",IFERROR(V161/U161-1,"")))</f>
        <v/>
      </c>
      <c r="W162" s="15">
        <f>IF(OR(W161="",V161=""),"",IF(V161&lt;=0,"",IFERROR(W161/V161-1,"")))</f>
        <v/>
      </c>
      <c r="X162" s="15">
        <f>IF(OR(X161="",W161=""),"",IF(W161&lt;=0,"",IFERROR(X161/W161-1,"")))</f>
        <v/>
      </c>
    </row>
    <row r="163">
      <c r="A163" s="18" t="inlineStr">
        <is>
          <t>기타 · 외부 고객 매출</t>
        </is>
      </c>
      <c r="C163" s="20" t="n">
        <v>0</v>
      </c>
      <c r="D163" s="20" t="n">
        <v>0</v>
      </c>
      <c r="E163" s="20" t="n">
        <v>0</v>
      </c>
      <c r="F163" s="20" t="n">
        <v>0</v>
      </c>
      <c r="G163" s="20" t="n">
        <v>0</v>
      </c>
      <c r="H163" s="20" t="n">
        <v>0</v>
      </c>
      <c r="I163" s="20" t="n">
        <v>0</v>
      </c>
      <c r="J163" s="20" t="n">
        <v>0</v>
      </c>
      <c r="V163" s="20" t="n">
        <v>0</v>
      </c>
      <c r="W163" s="20" t="n">
        <v>0</v>
      </c>
    </row>
    <row r="164">
      <c r="A164" s="43" t="inlineStr">
        <is>
          <t>YoY</t>
        </is>
      </c>
      <c r="B164" s="3" t="inlineStr">
        <is>
          <t>전년 같은 분기·전년 대비</t>
        </is>
      </c>
      <c r="G164" s="15">
        <f>IF(OR(G163="",C163=""),"",IF(C163&lt;=0,"",IFERROR(G163/C163-1,"")))</f>
        <v/>
      </c>
      <c r="H164" s="15">
        <f>IF(OR(H163="",D163=""),"",IF(D163&lt;=0,"",IFERROR(H163/D163-1,"")))</f>
        <v/>
      </c>
      <c r="I164" s="15">
        <f>IF(OR(I163="",E163=""),"",IF(E163&lt;=0,"",IFERROR(I163/E163-1,"")))</f>
        <v/>
      </c>
      <c r="J164" s="15">
        <f>IF(OR(J163="",F163=""),"",IF(F163&lt;=0,"",IFERROR(J163/F163-1,"")))</f>
        <v/>
      </c>
      <c r="V164" s="15">
        <f>IF(OR(V163="",U163=""),"",IF(U163&lt;=0,"",IFERROR(V163/U163-1,"")))</f>
        <v/>
      </c>
      <c r="W164" s="15">
        <f>IF(OR(W163="",V163=""),"",IF(V163&lt;=0,"",IFERROR(W163/V163-1,"")))</f>
        <v/>
      </c>
    </row>
    <row r="165">
      <c r="A165" s="9" t="inlineStr">
        <is>
          <t>외부 고객 매출</t>
        </is>
      </c>
      <c r="C165" s="12" t="n">
        <v>1398.684</v>
      </c>
      <c r="D165" s="12" t="n">
        <v>1379.493</v>
      </c>
      <c r="E165" s="12" t="n">
        <v>1450.126</v>
      </c>
      <c r="F165" s="12" t="n">
        <v>2360.409</v>
      </c>
      <c r="G165" s="12" t="n">
        <v>2373.871</v>
      </c>
      <c r="H165" s="12" t="n">
        <v>2341.533</v>
      </c>
      <c r="I165" s="12" t="n">
        <v>2345.673</v>
      </c>
      <c r="J165" s="12" t="n">
        <v>2349.706</v>
      </c>
      <c r="K165" s="12" t="n">
        <v>2467.555</v>
      </c>
      <c r="L165" s="12" t="n">
        <v>2523.618</v>
      </c>
      <c r="M165" s="12" t="n">
        <v>2651.742</v>
      </c>
      <c r="N165" s="12" t="n">
        <v>2673.699</v>
      </c>
      <c r="V165" s="12" t="n">
        <v>2360.409</v>
      </c>
      <c r="W165" s="12" t="n">
        <v>2349.706</v>
      </c>
      <c r="X165" s="12" t="n">
        <v>2673.699</v>
      </c>
    </row>
    <row r="166">
      <c r="A166" s="43" t="inlineStr">
        <is>
          <t>YoY</t>
        </is>
      </c>
      <c r="B166" s="3" t="inlineStr">
        <is>
          <t>전년 같은 분기·전년 대비</t>
        </is>
      </c>
      <c r="G166" s="15">
        <f>IF(OR(G165="",C165=""),"",IF(C165&lt;=0,"",IFERROR(G165/C165-1,"")))</f>
        <v/>
      </c>
      <c r="H166" s="15">
        <f>IF(OR(H165="",D165=""),"",IF(D165&lt;=0,"",IFERROR(H165/D165-1,"")))</f>
        <v/>
      </c>
      <c r="I166" s="15">
        <f>IF(OR(I165="",E165=""),"",IF(E165&lt;=0,"",IFERROR(I165/E165-1,"")))</f>
        <v/>
      </c>
      <c r="J166" s="15">
        <f>IF(OR(J165="",F165=""),"",IF(F165&lt;=0,"",IFERROR(J165/F165-1,"")))</f>
        <v/>
      </c>
      <c r="K166" s="15">
        <f>IF(OR(K165="",G165=""),"",IF(G165&lt;=0,"",IFERROR(K165/G165-1,"")))</f>
        <v/>
      </c>
      <c r="L166" s="15">
        <f>IF(OR(L165="",H165=""),"",IF(H165&lt;=0,"",IFERROR(L165/H165-1,"")))</f>
        <v/>
      </c>
      <c r="M166" s="15">
        <f>IF(OR(M165="",I165=""),"",IF(I165&lt;=0,"",IFERROR(M165/I165-1,"")))</f>
        <v/>
      </c>
      <c r="N166" s="15">
        <f>IF(OR(N165="",J165=""),"",IF(J165&lt;=0,"",IFERROR(N165/J165-1,"")))</f>
        <v/>
      </c>
      <c r="V166" s="15">
        <f>IF(OR(V165="",U165=""),"",IF(U165&lt;=0,"",IFERROR(V165/U165-1,"")))</f>
        <v/>
      </c>
      <c r="W166" s="15">
        <f>IF(OR(W165="",V165=""),"",IF(V165&lt;=0,"",IFERROR(W165/V165-1,"")))</f>
        <v/>
      </c>
      <c r="X166" s="15">
        <f>IF(OR(X165="",W165=""),"",IF(W165&lt;=0,"",IFERROR(X165/W165-1,"")))</f>
        <v/>
      </c>
    </row>
    <row r="167">
      <c r="A167" s="18" t="inlineStr">
        <is>
          <t>마켓플레이스 · 부문 간 내부매출·대체</t>
        </is>
      </c>
      <c r="C167" s="20" t="n">
        <v>0</v>
      </c>
      <c r="D167" s="20" t="n">
        <v>0</v>
      </c>
      <c r="E167" s="20" t="n">
        <v>0</v>
      </c>
      <c r="F167" s="20" t="n">
        <v>0</v>
      </c>
      <c r="G167" s="20" t="n">
        <v>0</v>
      </c>
      <c r="H167" s="20" t="n">
        <v>0</v>
      </c>
      <c r="I167" s="20" t="n">
        <v>0</v>
      </c>
      <c r="J167" s="20" t="n">
        <v>0</v>
      </c>
      <c r="K167" s="20" t="n">
        <v>0</v>
      </c>
      <c r="L167" s="20" t="n">
        <v>0</v>
      </c>
      <c r="M167" s="20" t="n">
        <v>0</v>
      </c>
      <c r="N167" s="20" t="n">
        <v>0</v>
      </c>
      <c r="V167" s="20" t="n">
        <v>0</v>
      </c>
      <c r="W167" s="20" t="n">
        <v>0</v>
      </c>
      <c r="X167" s="20" t="n">
        <v>0</v>
      </c>
    </row>
    <row r="168">
      <c r="A168" s="18" t="inlineStr">
        <is>
          <t>에이전트 · 부문 간 내부매출·대체</t>
        </is>
      </c>
      <c r="C168" s="20" t="n">
        <v>0</v>
      </c>
      <c r="D168" s="20" t="n">
        <v>0</v>
      </c>
      <c r="E168" s="20" t="n">
        <v>0</v>
      </c>
      <c r="F168" s="20" t="n">
        <v>0</v>
      </c>
      <c r="G168" s="20" t="n">
        <v>0</v>
      </c>
      <c r="H168" s="20" t="n">
        <v>0</v>
      </c>
      <c r="I168" s="20" t="n">
        <v>0</v>
      </c>
      <c r="J168" s="20" t="n">
        <v>0</v>
      </c>
      <c r="K168" s="20" t="n">
        <v>0</v>
      </c>
      <c r="L168" s="20" t="n">
        <v>0</v>
      </c>
      <c r="M168" s="20" t="n">
        <v>0</v>
      </c>
      <c r="N168" s="20" t="n">
        <v>0</v>
      </c>
      <c r="V168" s="20" t="n">
        <v>0</v>
      </c>
      <c r="W168" s="20" t="n">
        <v>0</v>
      </c>
      <c r="X168" s="20" t="n">
        <v>0</v>
      </c>
    </row>
    <row r="169">
      <c r="A169" s="18" t="inlineStr">
        <is>
          <t>보고부문 합계 · 부문 간 내부매출·대체</t>
        </is>
      </c>
      <c r="C169" s="20" t="n">
        <v>0</v>
      </c>
      <c r="D169" s="20" t="n">
        <v>0</v>
      </c>
      <c r="E169" s="20" t="n">
        <v>0</v>
      </c>
      <c r="F169" s="20" t="n">
        <v>0</v>
      </c>
      <c r="G169" s="20" t="n">
        <v>0</v>
      </c>
      <c r="H169" s="20" t="n">
        <v>0</v>
      </c>
      <c r="I169" s="20" t="n">
        <v>0</v>
      </c>
      <c r="J169" s="20" t="n">
        <v>0</v>
      </c>
      <c r="K169" s="20" t="n">
        <v>0</v>
      </c>
      <c r="L169" s="20" t="n">
        <v>0</v>
      </c>
      <c r="M169" s="20" t="n">
        <v>0</v>
      </c>
      <c r="N169" s="20" t="n">
        <v>0</v>
      </c>
      <c r="V169" s="20" t="n">
        <v>0</v>
      </c>
      <c r="W169" s="20" t="n">
        <v>0</v>
      </c>
      <c r="X169" s="20" t="n">
        <v>0</v>
      </c>
    </row>
    <row r="170">
      <c r="A170" s="18" t="inlineStr">
        <is>
          <t>기타 · 부문 간 내부매출·대체</t>
        </is>
      </c>
      <c r="C170" s="20" t="n">
        <v>0</v>
      </c>
      <c r="D170" s="20" t="n">
        <v>0</v>
      </c>
      <c r="E170" s="20" t="n">
        <v>0</v>
      </c>
      <c r="F170" s="20" t="n">
        <v>0</v>
      </c>
      <c r="G170" s="20" t="n">
        <v>0</v>
      </c>
      <c r="H170" s="20" t="n">
        <v>0</v>
      </c>
      <c r="I170" s="20" t="n">
        <v>0</v>
      </c>
      <c r="J170" s="20" t="n">
        <v>0</v>
      </c>
      <c r="V170" s="20" t="n">
        <v>0</v>
      </c>
      <c r="W170" s="20" t="n">
        <v>0</v>
      </c>
    </row>
    <row r="171">
      <c r="A171" s="18" t="inlineStr">
        <is>
          <t>부문 간 내부매출·대체</t>
        </is>
      </c>
      <c r="C171" s="20" t="n">
        <v>0</v>
      </c>
      <c r="D171" s="20" t="n">
        <v>0</v>
      </c>
      <c r="E171" s="20" t="n">
        <v>0</v>
      </c>
      <c r="F171" s="20" t="n">
        <v>0</v>
      </c>
      <c r="G171" s="20" t="n">
        <v>0</v>
      </c>
      <c r="H171" s="20" t="n">
        <v>0</v>
      </c>
      <c r="I171" s="20" t="n">
        <v>0</v>
      </c>
      <c r="J171" s="20" t="n">
        <v>0</v>
      </c>
      <c r="K171" s="20" t="n">
        <v>0</v>
      </c>
      <c r="L171" s="20" t="n">
        <v>0</v>
      </c>
      <c r="M171" s="20" t="n">
        <v>0</v>
      </c>
      <c r="N171" s="20" t="n">
        <v>0</v>
      </c>
      <c r="V171" s="20" t="n">
        <v>0</v>
      </c>
      <c r="W171" s="20" t="n">
        <v>0</v>
      </c>
      <c r="X171" s="20" t="n">
        <v>0</v>
      </c>
    </row>
    <row r="172">
      <c r="A172" s="18" t="inlineStr">
        <is>
          <t>마켓플레이스 · 계</t>
        </is>
      </c>
      <c r="C172" s="20" t="n">
        <v>1205.367</v>
      </c>
      <c r="D172" s="20" t="n">
        <v>1211.083</v>
      </c>
      <c r="G172" s="20" t="n">
        <v>1373.001</v>
      </c>
      <c r="H172" s="20" t="n">
        <v>1354.996</v>
      </c>
      <c r="K172" s="20" t="n">
        <v>1492.706</v>
      </c>
      <c r="L172" s="20" t="n">
        <v>1477.808</v>
      </c>
    </row>
    <row r="173">
      <c r="A173" s="43" t="inlineStr">
        <is>
          <t>YoY</t>
        </is>
      </c>
      <c r="B173" s="3" t="inlineStr">
        <is>
          <t>전년 같은 분기·전년 대비</t>
        </is>
      </c>
      <c r="G173" s="15">
        <f>IF(OR(G172="",C172=""),"",IF(C172&lt;=0,"",IFERROR(G172/C172-1,"")))</f>
        <v/>
      </c>
      <c r="H173" s="15">
        <f>IF(OR(H172="",D172=""),"",IF(D172&lt;=0,"",IFERROR(H172/D172-1,"")))</f>
        <v/>
      </c>
      <c r="K173" s="15">
        <f>IF(OR(K172="",G172=""),"",IF(G172&lt;=0,"",IFERROR(K172/G172-1,"")))</f>
        <v/>
      </c>
      <c r="L173" s="15">
        <f>IF(OR(L172="",H172=""),"",IF(H172&lt;=0,"",IFERROR(L172/H172-1,"")))</f>
        <v/>
      </c>
    </row>
    <row r="174">
      <c r="A174" s="18" t="inlineStr">
        <is>
          <t>에이전트 · 계</t>
        </is>
      </c>
      <c r="C174" s="20" t="n">
        <v>193.317</v>
      </c>
      <c r="D174" s="20" t="n">
        <v>168.409</v>
      </c>
      <c r="G174" s="20" t="n">
        <v>1000.869</v>
      </c>
      <c r="H174" s="20" t="n">
        <v>986.537</v>
      </c>
      <c r="K174" s="20" t="n">
        <v>974.848</v>
      </c>
      <c r="L174" s="20" t="n">
        <v>1045.81</v>
      </c>
    </row>
    <row r="175">
      <c r="A175" s="43" t="inlineStr">
        <is>
          <t>YoY</t>
        </is>
      </c>
      <c r="B175" s="3" t="inlineStr">
        <is>
          <t>전년 같은 분기·전년 대비</t>
        </is>
      </c>
      <c r="G175" s="15">
        <f>IF(OR(G174="",C174=""),"",IF(C174&lt;=0,"",IFERROR(G174/C174-1,"")))</f>
        <v/>
      </c>
      <c r="H175" s="15">
        <f>IF(OR(H174="",D174=""),"",IF(D174&lt;=0,"",IFERROR(H174/D174-1,"")))</f>
        <v/>
      </c>
      <c r="K175" s="15">
        <f>IF(OR(K174="",G174=""),"",IF(G174&lt;=0,"",IFERROR(K174/G174-1,"")))</f>
        <v/>
      </c>
      <c r="L175" s="15">
        <f>IF(OR(L174="",H174=""),"",IF(H174&lt;=0,"",IFERROR(L174/H174-1,"")))</f>
        <v/>
      </c>
    </row>
    <row r="176">
      <c r="A176" s="18" t="inlineStr">
        <is>
          <t>보고부문 합계 · 계</t>
        </is>
      </c>
      <c r="C176" s="20" t="n">
        <v>1398.684</v>
      </c>
      <c r="D176" s="20" t="n">
        <v>1379.493</v>
      </c>
      <c r="G176" s="20" t="n">
        <v>2373.871</v>
      </c>
      <c r="H176" s="20" t="n">
        <v>2341.533</v>
      </c>
      <c r="K176" s="20" t="n">
        <v>2467.555</v>
      </c>
      <c r="L176" s="20" t="n">
        <v>2523.618</v>
      </c>
    </row>
    <row r="177">
      <c r="A177" s="43" t="inlineStr">
        <is>
          <t>YoY</t>
        </is>
      </c>
      <c r="B177" s="3" t="inlineStr">
        <is>
          <t>전년 같은 분기·전년 대비</t>
        </is>
      </c>
      <c r="G177" s="15">
        <f>IF(OR(G176="",C176=""),"",IF(C176&lt;=0,"",IFERROR(G176/C176-1,"")))</f>
        <v/>
      </c>
      <c r="H177" s="15">
        <f>IF(OR(H176="",D176=""),"",IF(D176&lt;=0,"",IFERROR(H176/D176-1,"")))</f>
        <v/>
      </c>
      <c r="K177" s="15">
        <f>IF(OR(K176="",G176=""),"",IF(G176&lt;=0,"",IFERROR(K176/G176-1,"")))</f>
        <v/>
      </c>
      <c r="L177" s="15">
        <f>IF(OR(L176="",H176=""),"",IF(H176&lt;=0,"",IFERROR(L176/H176-1,"")))</f>
        <v/>
      </c>
    </row>
    <row r="178">
      <c r="A178" s="18" t="inlineStr">
        <is>
          <t>기타 · 계</t>
        </is>
      </c>
      <c r="C178" s="20" t="n">
        <v>0</v>
      </c>
      <c r="D178" s="20" t="n">
        <v>0</v>
      </c>
      <c r="G178" s="20" t="n">
        <v>0</v>
      </c>
      <c r="H178" s="20" t="n">
        <v>0</v>
      </c>
    </row>
    <row r="179">
      <c r="A179" s="43" t="inlineStr">
        <is>
          <t>YoY</t>
        </is>
      </c>
      <c r="B179" s="3" t="inlineStr">
        <is>
          <t>전년 같은 분기·전년 대비</t>
        </is>
      </c>
      <c r="G179" s="15">
        <f>IF(OR(G178="",C178=""),"",IF(C178&lt;=0,"",IFERROR(G178/C178-1,"")))</f>
        <v/>
      </c>
      <c r="H179" s="15">
        <f>IF(OR(H178="",D178=""),"",IF(D178&lt;=0,"",IFERROR(H178/D178-1,"")))</f>
        <v/>
      </c>
    </row>
    <row r="180">
      <c r="A180" s="18" t="inlineStr">
        <is>
          <t>계</t>
        </is>
      </c>
      <c r="C180" s="20" t="n">
        <v>1398.684</v>
      </c>
      <c r="D180" s="20" t="n">
        <v>1379.493</v>
      </c>
      <c r="G180" s="20" t="n">
        <v>2373.871</v>
      </c>
      <c r="H180" s="20" t="n">
        <v>2341.533</v>
      </c>
      <c r="K180" s="20" t="n">
        <v>2467.555</v>
      </c>
      <c r="L180" s="20" t="n">
        <v>2523.618</v>
      </c>
    </row>
    <row r="181">
      <c r="A181" s="43" t="inlineStr">
        <is>
          <t>YoY</t>
        </is>
      </c>
      <c r="B181" s="3" t="inlineStr">
        <is>
          <t>전년 같은 분기·전년 대비</t>
        </is>
      </c>
      <c r="G181" s="15">
        <f>IF(OR(G180="",C180=""),"",IF(C180&lt;=0,"",IFERROR(G180/C180-1,"")))</f>
        <v/>
      </c>
      <c r="H181" s="15">
        <f>IF(OR(H180="",D180=""),"",IF(D180&lt;=0,"",IFERROR(H180/D180-1,"")))</f>
        <v/>
      </c>
      <c r="K181" s="15">
        <f>IF(OR(K180="",G180=""),"",IF(G180&lt;=0,"",IFERROR(K180/G180-1,"")))</f>
        <v/>
      </c>
      <c r="L181" s="15">
        <f>IF(OR(L180="",H180=""),"",IF(H180&lt;=0,"",IFERROR(L180/H180-1,"")))</f>
        <v/>
      </c>
    </row>
    <row r="182">
      <c r="A182" s="18" t="inlineStr">
        <is>
          <t>마켓플레이스 · 부문 이익</t>
        </is>
      </c>
      <c r="C182" s="20" t="n">
        <v>159.01</v>
      </c>
      <c r="D182" s="20" t="n">
        <v>136.891</v>
      </c>
      <c r="E182" s="20" t="n">
        <v>161.399</v>
      </c>
      <c r="F182" s="20" t="n">
        <v>134.169</v>
      </c>
      <c r="G182" s="20" t="n">
        <v>162.155</v>
      </c>
      <c r="H182" s="20" t="n">
        <v>161.047</v>
      </c>
      <c r="I182" s="20" t="n">
        <v>173.857</v>
      </c>
      <c r="J182" s="20" t="n">
        <v>58.352</v>
      </c>
      <c r="K182" s="20" t="n">
        <v>150.532</v>
      </c>
      <c r="L182" s="20" t="n">
        <v>216.104</v>
      </c>
      <c r="M182" s="20" t="n">
        <v>230.449</v>
      </c>
      <c r="N182" s="20" t="n">
        <v>-204.818</v>
      </c>
      <c r="V182" s="20" t="n">
        <v>134.169</v>
      </c>
      <c r="W182" s="20" t="n">
        <v>58.352</v>
      </c>
      <c r="X182" s="20" t="n">
        <v>-204.818</v>
      </c>
    </row>
    <row r="183">
      <c r="A183" s="43" t="inlineStr">
        <is>
          <t>OPM</t>
        </is>
      </c>
      <c r="B183" s="3" t="inlineStr">
        <is>
          <t>영업이익 ÷ 매출</t>
        </is>
      </c>
      <c r="C183" s="15">
        <f>IF(OR(C182="",C172=""),"",IF(C172&lt;=0,"",IFERROR(C182/C172,"")))</f>
        <v/>
      </c>
      <c r="D183" s="15">
        <f>IF(OR(D182="",D172=""),"",IF(D172&lt;=0,"",IFERROR(D182/D172,"")))</f>
        <v/>
      </c>
      <c r="E183" s="15">
        <f>IF(OR(E182="",E172=""),"",IF(E172&lt;=0,"",IFERROR(E182/E172,"")))</f>
        <v/>
      </c>
      <c r="F183" s="15">
        <f>IF(OR(F182="",F172=""),"",IF(F172&lt;=0,"",IFERROR(F182/F172,"")))</f>
        <v/>
      </c>
      <c r="G183" s="15">
        <f>IF(OR(G182="",G172=""),"",IF(G172&lt;=0,"",IFERROR(G182/G172,"")))</f>
        <v/>
      </c>
      <c r="H183" s="15">
        <f>IF(OR(H182="",H172=""),"",IF(H172&lt;=0,"",IFERROR(H182/H172,"")))</f>
        <v/>
      </c>
      <c r="I183" s="15">
        <f>IF(OR(I182="",I172=""),"",IF(I172&lt;=0,"",IFERROR(I182/I172,"")))</f>
        <v/>
      </c>
      <c r="J183" s="15">
        <f>IF(OR(J182="",J172=""),"",IF(J172&lt;=0,"",IFERROR(J182/J172,"")))</f>
        <v/>
      </c>
      <c r="K183" s="15">
        <f>IF(OR(K182="",K172=""),"",IF(K172&lt;=0,"",IFERROR(K182/K172,"")))</f>
        <v/>
      </c>
      <c r="L183" s="15">
        <f>IF(OR(L182="",L172=""),"",IF(L172&lt;=0,"",IFERROR(L182/L172,"")))</f>
        <v/>
      </c>
      <c r="M183" s="15">
        <f>IF(OR(M182="",M172=""),"",IF(M172&lt;=0,"",IFERROR(M182/M172,"")))</f>
        <v/>
      </c>
      <c r="N183" s="15">
        <f>IF(OR(N182="",N172=""),"",IF(N172&lt;=0,"",IFERROR(N182/N172,"")))</f>
        <v/>
      </c>
      <c r="V183" s="15">
        <f>IF(OR(V182="",V172=""),"",IF(V172&lt;=0,"",IFERROR(V182/V172,"")))</f>
        <v/>
      </c>
      <c r="W183" s="15">
        <f>IF(OR(W182="",W172=""),"",IF(W172&lt;=0,"",IFERROR(W182/W172,"")))</f>
        <v/>
      </c>
      <c r="X183" s="15">
        <f>IF(OR(X182="",X172=""),"",IF(X172&lt;=0,"",IFERROR(X182/X172,"")))</f>
        <v/>
      </c>
    </row>
    <row r="184">
      <c r="A184" s="43" t="inlineStr">
        <is>
          <t>YoY</t>
        </is>
      </c>
      <c r="B184" s="3" t="inlineStr">
        <is>
          <t>전년 같은 분기·전년 대비</t>
        </is>
      </c>
      <c r="G184" s="15">
        <f>IF(OR(G182="",C182=""),"",IF(C182&lt;=0,"",IFERROR(G182/C182-1,"")))</f>
        <v/>
      </c>
      <c r="H184" s="15">
        <f>IF(OR(H182="",D182=""),"",IF(D182&lt;=0,"",IFERROR(H182/D182-1,"")))</f>
        <v/>
      </c>
      <c r="I184" s="15">
        <f>IF(OR(I182="",E182=""),"",IF(E182&lt;=0,"",IFERROR(I182/E182-1,"")))</f>
        <v/>
      </c>
      <c r="J184" s="15">
        <f>IF(OR(J182="",F182=""),"",IF(F182&lt;=0,"",IFERROR(J182/F182-1,"")))</f>
        <v/>
      </c>
      <c r="K184" s="15">
        <f>IF(OR(K182="",G182=""),"",IF(G182&lt;=0,"",IFERROR(K182/G182-1,"")))</f>
        <v/>
      </c>
      <c r="L184" s="15">
        <f>IF(OR(L182="",H182=""),"",IF(H182&lt;=0,"",IFERROR(L182/H182-1,"")))</f>
        <v/>
      </c>
      <c r="M184" s="15">
        <f>IF(OR(M182="",I182=""),"",IF(I182&lt;=0,"",IFERROR(M182/I182-1,"")))</f>
        <v/>
      </c>
      <c r="N184" s="15">
        <f>IF(OR(N182="",J182=""),"",IF(J182&lt;=0,"",IFERROR(N182/J182-1,"")))</f>
        <v/>
      </c>
      <c r="V184" s="15">
        <f>IF(OR(V182="",U182=""),"",IF(U182&lt;=0,"",IFERROR(V182/U182-1,"")))</f>
        <v/>
      </c>
      <c r="W184" s="15">
        <f>IF(OR(W182="",V182=""),"",IF(V182&lt;=0,"",IFERROR(W182/V182-1,"")))</f>
        <v/>
      </c>
      <c r="X184" s="15">
        <f>IF(OR(X182="",W182=""),"",IF(W182&lt;=0,"",IFERROR(X182/W182-1,"")))</f>
        <v/>
      </c>
    </row>
    <row r="185">
      <c r="A185" s="18" t="inlineStr">
        <is>
          <t>에이전트 · 부문 이익</t>
        </is>
      </c>
      <c r="C185" s="20" t="n">
        <v>-50.357</v>
      </c>
      <c r="D185" s="20" t="n">
        <v>-39.681</v>
      </c>
      <c r="E185" s="20" t="n">
        <v>-38.248</v>
      </c>
      <c r="F185" s="20" t="n">
        <v>-113.196</v>
      </c>
      <c r="G185" s="20" t="n">
        <v>-43.439</v>
      </c>
      <c r="H185" s="20" t="n">
        <v>-64.331</v>
      </c>
      <c r="I185" s="20" t="n">
        <v>-80.26600000000001</v>
      </c>
      <c r="J185" s="20" t="n">
        <v>-90.887</v>
      </c>
      <c r="K185" s="20" t="n">
        <v>-71.03700000000001</v>
      </c>
      <c r="L185" s="20" t="n">
        <v>-63.785</v>
      </c>
      <c r="M185" s="20" t="n">
        <v>-51.909</v>
      </c>
      <c r="N185" s="20" t="n">
        <v>287.167</v>
      </c>
      <c r="V185" s="20" t="n">
        <v>-113.196</v>
      </c>
      <c r="W185" s="20" t="n">
        <v>-90.887</v>
      </c>
      <c r="X185" s="20" t="n">
        <v>287.167</v>
      </c>
    </row>
    <row r="186">
      <c r="A186" s="43" t="inlineStr">
        <is>
          <t>OPM</t>
        </is>
      </c>
      <c r="B186" s="3" t="inlineStr">
        <is>
          <t>영업이익 ÷ 매출</t>
        </is>
      </c>
      <c r="C186" s="15">
        <f>IF(OR(C185="",C174=""),"",IF(C174&lt;=0,"",IFERROR(C185/C174,"")))</f>
        <v/>
      </c>
      <c r="D186" s="15">
        <f>IF(OR(D185="",D174=""),"",IF(D174&lt;=0,"",IFERROR(D185/D174,"")))</f>
        <v/>
      </c>
      <c r="E186" s="15">
        <f>IF(OR(E185="",E174=""),"",IF(E174&lt;=0,"",IFERROR(E185/E174,"")))</f>
        <v/>
      </c>
      <c r="F186" s="15">
        <f>IF(OR(F185="",F174=""),"",IF(F174&lt;=0,"",IFERROR(F185/F174,"")))</f>
        <v/>
      </c>
      <c r="G186" s="15">
        <f>IF(OR(G185="",G174=""),"",IF(G174&lt;=0,"",IFERROR(G185/G174,"")))</f>
        <v/>
      </c>
      <c r="H186" s="15">
        <f>IF(OR(H185="",H174=""),"",IF(H174&lt;=0,"",IFERROR(H185/H174,"")))</f>
        <v/>
      </c>
      <c r="I186" s="15">
        <f>IF(OR(I185="",I174=""),"",IF(I174&lt;=0,"",IFERROR(I185/I174,"")))</f>
        <v/>
      </c>
      <c r="J186" s="15">
        <f>IF(OR(J185="",J174=""),"",IF(J174&lt;=0,"",IFERROR(J185/J174,"")))</f>
        <v/>
      </c>
      <c r="K186" s="15">
        <f>IF(OR(K185="",K174=""),"",IF(K174&lt;=0,"",IFERROR(K185/K174,"")))</f>
        <v/>
      </c>
      <c r="L186" s="15">
        <f>IF(OR(L185="",L174=""),"",IF(L174&lt;=0,"",IFERROR(L185/L174,"")))</f>
        <v/>
      </c>
      <c r="M186" s="15">
        <f>IF(OR(M185="",M174=""),"",IF(M174&lt;=0,"",IFERROR(M185/M174,"")))</f>
        <v/>
      </c>
      <c r="N186" s="15">
        <f>IF(OR(N185="",N174=""),"",IF(N174&lt;=0,"",IFERROR(N185/N174,"")))</f>
        <v/>
      </c>
      <c r="V186" s="15">
        <f>IF(OR(V185="",V174=""),"",IF(V174&lt;=0,"",IFERROR(V185/V174,"")))</f>
        <v/>
      </c>
      <c r="W186" s="15">
        <f>IF(OR(W185="",W174=""),"",IF(W174&lt;=0,"",IFERROR(W185/W174,"")))</f>
        <v/>
      </c>
      <c r="X186" s="15">
        <f>IF(OR(X185="",X174=""),"",IF(X174&lt;=0,"",IFERROR(X185/X174,"")))</f>
        <v/>
      </c>
    </row>
    <row r="187">
      <c r="A187" s="43" t="inlineStr">
        <is>
          <t>YoY</t>
        </is>
      </c>
      <c r="B187" s="3" t="inlineStr">
        <is>
          <t>전년 같은 분기·전년 대비</t>
        </is>
      </c>
      <c r="G187" s="15">
        <f>IF(OR(G185="",C185=""),"",IF(C185&lt;=0,"",IFERROR(G185/C185-1,"")))</f>
        <v/>
      </c>
      <c r="H187" s="15">
        <f>IF(OR(H185="",D185=""),"",IF(D185&lt;=0,"",IFERROR(H185/D185-1,"")))</f>
        <v/>
      </c>
      <c r="I187" s="15">
        <f>IF(OR(I185="",E185=""),"",IF(E185&lt;=0,"",IFERROR(I185/E185-1,"")))</f>
        <v/>
      </c>
      <c r="J187" s="15">
        <f>IF(OR(J185="",F185=""),"",IF(F185&lt;=0,"",IFERROR(J185/F185-1,"")))</f>
        <v/>
      </c>
      <c r="K187" s="15">
        <f>IF(OR(K185="",G185=""),"",IF(G185&lt;=0,"",IFERROR(K185/G185-1,"")))</f>
        <v/>
      </c>
      <c r="L187" s="15">
        <f>IF(OR(L185="",H185=""),"",IF(H185&lt;=0,"",IFERROR(L185/H185-1,"")))</f>
        <v/>
      </c>
      <c r="M187" s="15">
        <f>IF(OR(M185="",I185=""),"",IF(I185&lt;=0,"",IFERROR(M185/I185-1,"")))</f>
        <v/>
      </c>
      <c r="N187" s="15">
        <f>IF(OR(N185="",J185=""),"",IF(J185&lt;=0,"",IFERROR(N185/J185-1,"")))</f>
        <v/>
      </c>
      <c r="V187" s="15">
        <f>IF(OR(V185="",U185=""),"",IF(U185&lt;=0,"",IFERROR(V185/U185-1,"")))</f>
        <v/>
      </c>
      <c r="W187" s="15">
        <f>IF(OR(W185="",V185=""),"",IF(V185&lt;=0,"",IFERROR(W185/V185-1,"")))</f>
        <v/>
      </c>
      <c r="X187" s="15">
        <f>IF(OR(X185="",W185=""),"",IF(W185&lt;=0,"",IFERROR(X185/W185-1,"")))</f>
        <v/>
      </c>
    </row>
    <row r="188">
      <c r="A188" s="18" t="inlineStr">
        <is>
          <t>보고부문 합계 · 부문 이익</t>
        </is>
      </c>
      <c r="C188" s="20" t="n">
        <v>108.652</v>
      </c>
      <c r="D188" s="20" t="n">
        <v>97.211</v>
      </c>
      <c r="E188" s="20" t="n">
        <v>123.152</v>
      </c>
      <c r="F188" s="20" t="n">
        <v>20.972</v>
      </c>
      <c r="G188" s="20" t="n">
        <v>118.715</v>
      </c>
      <c r="H188" s="20" t="n">
        <v>96.717</v>
      </c>
      <c r="I188" s="20" t="n">
        <v>93.59099999999999</v>
      </c>
      <c r="J188" s="20" t="n">
        <v>-32.535</v>
      </c>
      <c r="K188" s="20" t="n">
        <v>79.495</v>
      </c>
      <c r="L188" s="20" t="n">
        <v>152.318</v>
      </c>
      <c r="M188" s="20" t="n">
        <v>178.541</v>
      </c>
      <c r="N188" s="20" t="n">
        <v>82.34999999999999</v>
      </c>
      <c r="V188" s="20" t="n">
        <v>20.972</v>
      </c>
      <c r="W188" s="20" t="n">
        <v>-32.535</v>
      </c>
      <c r="X188" s="20" t="n">
        <v>82.34999999999999</v>
      </c>
    </row>
    <row r="189">
      <c r="A189" s="43" t="inlineStr">
        <is>
          <t>OPM</t>
        </is>
      </c>
      <c r="B189" s="3" t="inlineStr">
        <is>
          <t>영업이익 ÷ 매출</t>
        </is>
      </c>
      <c r="C189" s="15">
        <f>IF(OR(C188="",C176=""),"",IF(C176&lt;=0,"",IFERROR(C188/C176,"")))</f>
        <v/>
      </c>
      <c r="D189" s="15">
        <f>IF(OR(D188="",D176=""),"",IF(D176&lt;=0,"",IFERROR(D188/D176,"")))</f>
        <v/>
      </c>
      <c r="E189" s="15">
        <f>IF(OR(E188="",E176=""),"",IF(E176&lt;=0,"",IFERROR(E188/E176,"")))</f>
        <v/>
      </c>
      <c r="F189" s="15">
        <f>IF(OR(F188="",F176=""),"",IF(F176&lt;=0,"",IFERROR(F188/F176,"")))</f>
        <v/>
      </c>
      <c r="G189" s="15">
        <f>IF(OR(G188="",G176=""),"",IF(G176&lt;=0,"",IFERROR(G188/G176,"")))</f>
        <v/>
      </c>
      <c r="H189" s="15">
        <f>IF(OR(H188="",H176=""),"",IF(H176&lt;=0,"",IFERROR(H188/H176,"")))</f>
        <v/>
      </c>
      <c r="I189" s="15">
        <f>IF(OR(I188="",I176=""),"",IF(I176&lt;=0,"",IFERROR(I188/I176,"")))</f>
        <v/>
      </c>
      <c r="J189" s="15">
        <f>IF(OR(J188="",J176=""),"",IF(J176&lt;=0,"",IFERROR(J188/J176,"")))</f>
        <v/>
      </c>
      <c r="K189" s="15">
        <f>IF(OR(K188="",K176=""),"",IF(K176&lt;=0,"",IFERROR(K188/K176,"")))</f>
        <v/>
      </c>
      <c r="L189" s="15">
        <f>IF(OR(L188="",L176=""),"",IF(L176&lt;=0,"",IFERROR(L188/L176,"")))</f>
        <v/>
      </c>
      <c r="M189" s="15">
        <f>IF(OR(M188="",M176=""),"",IF(M176&lt;=0,"",IFERROR(M188/M176,"")))</f>
        <v/>
      </c>
      <c r="N189" s="15">
        <f>IF(OR(N188="",N176=""),"",IF(N176&lt;=0,"",IFERROR(N188/N176,"")))</f>
        <v/>
      </c>
      <c r="V189" s="15">
        <f>IF(OR(V188="",V176=""),"",IF(V176&lt;=0,"",IFERROR(V188/V176,"")))</f>
        <v/>
      </c>
      <c r="W189" s="15">
        <f>IF(OR(W188="",W176=""),"",IF(W176&lt;=0,"",IFERROR(W188/W176,"")))</f>
        <v/>
      </c>
      <c r="X189" s="15">
        <f>IF(OR(X188="",X176=""),"",IF(X176&lt;=0,"",IFERROR(X188/X176,"")))</f>
        <v/>
      </c>
    </row>
    <row r="190">
      <c r="A190" s="43" t="inlineStr">
        <is>
          <t>YoY</t>
        </is>
      </c>
      <c r="B190" s="3" t="inlineStr">
        <is>
          <t>전년 같은 분기·전년 대비</t>
        </is>
      </c>
      <c r="G190" s="15">
        <f>IF(OR(G188="",C188=""),"",IF(C188&lt;=0,"",IFERROR(G188/C188-1,"")))</f>
        <v/>
      </c>
      <c r="H190" s="15">
        <f>IF(OR(H188="",D188=""),"",IF(D188&lt;=0,"",IFERROR(H188/D188-1,"")))</f>
        <v/>
      </c>
      <c r="I190" s="15">
        <f>IF(OR(I188="",E188=""),"",IF(E188&lt;=0,"",IFERROR(I188/E188-1,"")))</f>
        <v/>
      </c>
      <c r="J190" s="15">
        <f>IF(OR(J188="",F188=""),"",IF(F188&lt;=0,"",IFERROR(J188/F188-1,"")))</f>
        <v/>
      </c>
      <c r="K190" s="15">
        <f>IF(OR(K188="",G188=""),"",IF(G188&lt;=0,"",IFERROR(K188/G188-1,"")))</f>
        <v/>
      </c>
      <c r="L190" s="15">
        <f>IF(OR(L188="",H188=""),"",IF(H188&lt;=0,"",IFERROR(L188/H188-1,"")))</f>
        <v/>
      </c>
      <c r="M190" s="15">
        <f>IF(OR(M188="",I188=""),"",IF(I188&lt;=0,"",IFERROR(M188/I188-1,"")))</f>
        <v/>
      </c>
      <c r="N190" s="15">
        <f>IF(OR(N188="",J188=""),"",IF(J188&lt;=0,"",IFERROR(N188/J188-1,"")))</f>
        <v/>
      </c>
      <c r="V190" s="15">
        <f>IF(OR(V188="",U188=""),"",IF(U188&lt;=0,"",IFERROR(V188/U188-1,"")))</f>
        <v/>
      </c>
      <c r="W190" s="15">
        <f>IF(OR(W188="",V188=""),"",IF(V188&lt;=0,"",IFERROR(W188/V188-1,"")))</f>
        <v/>
      </c>
      <c r="X190" s="15">
        <f>IF(OR(X188="",W188=""),"",IF(W188&lt;=0,"",IFERROR(X188/W188-1,"")))</f>
        <v/>
      </c>
    </row>
    <row r="191">
      <c r="A191" s="18" t="inlineStr">
        <is>
          <t>기타 · 부문 이익</t>
        </is>
      </c>
      <c r="C191" s="20" t="n">
        <v>-11.549</v>
      </c>
      <c r="D191" s="20" t="n">
        <v>-8.532</v>
      </c>
      <c r="E191" s="20" t="n">
        <v>-9.143000000000001</v>
      </c>
      <c r="F191" s="20" t="n">
        <v>-15.987</v>
      </c>
      <c r="G191" s="20" t="n">
        <v>-10.518</v>
      </c>
      <c r="H191" s="20" t="n">
        <v>-6.721</v>
      </c>
      <c r="I191" s="20" t="n">
        <v>-3.22</v>
      </c>
      <c r="J191" s="20" t="n">
        <v>0.092</v>
      </c>
      <c r="V191" s="20" t="n">
        <v>-15.987</v>
      </c>
      <c r="W191" s="20" t="n">
        <v>0.092</v>
      </c>
    </row>
    <row r="192">
      <c r="A192" s="43" t="inlineStr">
        <is>
          <t>OPM</t>
        </is>
      </c>
      <c r="B192" s="3" t="inlineStr">
        <is>
          <t>영업이익 ÷ 매출</t>
        </is>
      </c>
      <c r="C192" s="15">
        <f>IF(OR(C191="",C178=""),"",IF(C178&lt;=0,"",IFERROR(C191/C178,"")))</f>
        <v/>
      </c>
      <c r="D192" s="15">
        <f>IF(OR(D191="",D178=""),"",IF(D178&lt;=0,"",IFERROR(D191/D178,"")))</f>
        <v/>
      </c>
      <c r="E192" s="15">
        <f>IF(OR(E191="",E178=""),"",IF(E178&lt;=0,"",IFERROR(E191/E178,"")))</f>
        <v/>
      </c>
      <c r="F192" s="15">
        <f>IF(OR(F191="",F178=""),"",IF(F178&lt;=0,"",IFERROR(F191/F178,"")))</f>
        <v/>
      </c>
      <c r="G192" s="15">
        <f>IF(OR(G191="",G178=""),"",IF(G178&lt;=0,"",IFERROR(G191/G178,"")))</f>
        <v/>
      </c>
      <c r="H192" s="15">
        <f>IF(OR(H191="",H178=""),"",IF(H178&lt;=0,"",IFERROR(H191/H178,"")))</f>
        <v/>
      </c>
      <c r="I192" s="15">
        <f>IF(OR(I191="",I178=""),"",IF(I178&lt;=0,"",IFERROR(I191/I178,"")))</f>
        <v/>
      </c>
      <c r="J192" s="15">
        <f>IF(OR(J191="",J178=""),"",IF(J178&lt;=0,"",IFERROR(J191/J178,"")))</f>
        <v/>
      </c>
      <c r="V192" s="15">
        <f>IF(OR(V191="",V178=""),"",IF(V178&lt;=0,"",IFERROR(V191/V178,"")))</f>
        <v/>
      </c>
      <c r="W192" s="15">
        <f>IF(OR(W191="",W178=""),"",IF(W178&lt;=0,"",IFERROR(W191/W178,"")))</f>
        <v/>
      </c>
    </row>
    <row r="193">
      <c r="A193" s="43" t="inlineStr">
        <is>
          <t>YoY</t>
        </is>
      </c>
      <c r="B193" s="3" t="inlineStr">
        <is>
          <t>전년 같은 분기·전년 대비</t>
        </is>
      </c>
      <c r="G193" s="15">
        <f>IF(OR(G191="",C191=""),"",IF(C191&lt;=0,"",IFERROR(G191/C191-1,"")))</f>
        <v/>
      </c>
      <c r="H193" s="15">
        <f>IF(OR(H191="",D191=""),"",IF(D191&lt;=0,"",IFERROR(H191/D191-1,"")))</f>
        <v/>
      </c>
      <c r="I193" s="15">
        <f>IF(OR(I191="",E191=""),"",IF(E191&lt;=0,"",IFERROR(I191/E191-1,"")))</f>
        <v/>
      </c>
      <c r="J193" s="15">
        <f>IF(OR(J191="",F191=""),"",IF(F191&lt;=0,"",IFERROR(J191/F191-1,"")))</f>
        <v/>
      </c>
      <c r="V193" s="15">
        <f>IF(OR(V191="",U191=""),"",IF(U191&lt;=0,"",IFERROR(V191/U191-1,"")))</f>
        <v/>
      </c>
      <c r="W193" s="15">
        <f>IF(OR(W191="",V191=""),"",IF(V191&lt;=0,"",IFERROR(W191/V191-1,"")))</f>
        <v/>
      </c>
    </row>
    <row r="194">
      <c r="A194" s="9" t="inlineStr">
        <is>
          <t>부문 이익</t>
        </is>
      </c>
      <c r="C194" s="12" t="n">
        <v>97.102</v>
      </c>
      <c r="D194" s="12" t="n">
        <v>88.679</v>
      </c>
      <c r="E194" s="12" t="n">
        <v>114.009</v>
      </c>
      <c r="F194" s="12" t="n">
        <v>4.986</v>
      </c>
      <c r="G194" s="12" t="n">
        <v>108.197</v>
      </c>
      <c r="H194" s="12" t="n">
        <v>89.996</v>
      </c>
      <c r="I194" s="12" t="n">
        <v>90.37</v>
      </c>
      <c r="J194" s="12" t="n">
        <v>-32.442</v>
      </c>
      <c r="K194" s="12" t="n">
        <v>79.495</v>
      </c>
      <c r="L194" s="12" t="n">
        <v>152.318</v>
      </c>
      <c r="M194" s="12" t="n">
        <v>178.541</v>
      </c>
      <c r="N194" s="12" t="n">
        <v>82.34999999999999</v>
      </c>
      <c r="V194" s="12" t="n">
        <v>4.986</v>
      </c>
      <c r="W194" s="12" t="n">
        <v>-32.442</v>
      </c>
      <c r="X194" s="12" t="n">
        <v>82.34999999999999</v>
      </c>
    </row>
    <row r="195">
      <c r="A195" s="43" t="inlineStr">
        <is>
          <t>OPM</t>
        </is>
      </c>
      <c r="B195" s="3" t="inlineStr">
        <is>
          <t>영업이익 ÷ 매출</t>
        </is>
      </c>
      <c r="C195" s="15">
        <f>IF(OR(C194="",C165=""),"",IF(C165&lt;=0,"",IFERROR(C194/C165,"")))</f>
        <v/>
      </c>
      <c r="D195" s="15">
        <f>IF(OR(D194="",D165=""),"",IF(D165&lt;=0,"",IFERROR(D194/D165,"")))</f>
        <v/>
      </c>
      <c r="E195" s="15">
        <f>IF(OR(E194="",E165=""),"",IF(E165&lt;=0,"",IFERROR(E194/E165,"")))</f>
        <v/>
      </c>
      <c r="F195" s="15">
        <f>IF(OR(F194="",F165=""),"",IF(F165&lt;=0,"",IFERROR(F194/F165,"")))</f>
        <v/>
      </c>
      <c r="G195" s="15">
        <f>IF(OR(G194="",G165=""),"",IF(G165&lt;=0,"",IFERROR(G194/G165,"")))</f>
        <v/>
      </c>
      <c r="H195" s="15">
        <f>IF(OR(H194="",H165=""),"",IF(H165&lt;=0,"",IFERROR(H194/H165,"")))</f>
        <v/>
      </c>
      <c r="I195" s="15">
        <f>IF(OR(I194="",I165=""),"",IF(I165&lt;=0,"",IFERROR(I194/I165,"")))</f>
        <v/>
      </c>
      <c r="J195" s="15">
        <f>IF(OR(J194="",J165=""),"",IF(J165&lt;=0,"",IFERROR(J194/J165,"")))</f>
        <v/>
      </c>
      <c r="K195" s="15">
        <f>IF(OR(K194="",K165=""),"",IF(K165&lt;=0,"",IFERROR(K194/K165,"")))</f>
        <v/>
      </c>
      <c r="L195" s="15">
        <f>IF(OR(L194="",L165=""),"",IF(L165&lt;=0,"",IFERROR(L194/L165,"")))</f>
        <v/>
      </c>
      <c r="M195" s="15">
        <f>IF(OR(M194="",M165=""),"",IF(M165&lt;=0,"",IFERROR(M194/M165,"")))</f>
        <v/>
      </c>
      <c r="N195" s="15">
        <f>IF(OR(N194="",N165=""),"",IF(N165&lt;=0,"",IFERROR(N194/N165,"")))</f>
        <v/>
      </c>
      <c r="V195" s="15">
        <f>IF(OR(V194="",V165=""),"",IF(V165&lt;=0,"",IFERROR(V194/V165,"")))</f>
        <v/>
      </c>
      <c r="W195" s="15">
        <f>IF(OR(W194="",W165=""),"",IF(W165&lt;=0,"",IFERROR(W194/W165,"")))</f>
        <v/>
      </c>
      <c r="X195" s="15">
        <f>IF(OR(X194="",X165=""),"",IF(X165&lt;=0,"",IFERROR(X194/X165,"")))</f>
        <v/>
      </c>
    </row>
    <row r="196">
      <c r="A196" s="43" t="inlineStr">
        <is>
          <t>YoY</t>
        </is>
      </c>
      <c r="B196" s="3" t="inlineStr">
        <is>
          <t>전년 같은 분기·전년 대비</t>
        </is>
      </c>
      <c r="G196" s="15">
        <f>IF(OR(G194="",C194=""),"",IF(C194&lt;=0,"",IFERROR(G194/C194-1,"")))</f>
        <v/>
      </c>
      <c r="H196" s="15">
        <f>IF(OR(H194="",D194=""),"",IF(D194&lt;=0,"",IFERROR(H194/D194-1,"")))</f>
        <v/>
      </c>
      <c r="I196" s="15">
        <f>IF(OR(I194="",E194=""),"",IF(E194&lt;=0,"",IFERROR(I194/E194-1,"")))</f>
        <v/>
      </c>
      <c r="J196" s="15">
        <f>IF(OR(J194="",F194=""),"",IF(F194&lt;=0,"",IFERROR(J194/F194-1,"")))</f>
        <v/>
      </c>
      <c r="K196" s="15">
        <f>IF(OR(K194="",G194=""),"",IF(G194&lt;=0,"",IFERROR(K194/G194-1,"")))</f>
        <v/>
      </c>
      <c r="L196" s="15">
        <f>IF(OR(L194="",H194=""),"",IF(H194&lt;=0,"",IFERROR(L194/H194-1,"")))</f>
        <v/>
      </c>
      <c r="M196" s="15">
        <f>IF(OR(M194="",I194=""),"",IF(I194&lt;=0,"",IFERROR(M194/I194-1,"")))</f>
        <v/>
      </c>
      <c r="N196" s="15">
        <f>IF(OR(N194="",J194=""),"",IF(J194&lt;=0,"",IFERROR(N194/J194-1,"")))</f>
        <v/>
      </c>
      <c r="V196" s="15">
        <f>IF(OR(V194="",U194=""),"",IF(U194&lt;=0,"",IFERROR(V194/U194-1,"")))</f>
        <v/>
      </c>
      <c r="W196" s="15">
        <f>IF(OR(W194="",V194=""),"",IF(V194&lt;=0,"",IFERROR(W194/V194-1,"")))</f>
        <v/>
      </c>
      <c r="X196" s="15">
        <f>IF(OR(X194="",W194=""),"",IF(W194&lt;=0,"",IFERROR(X194/W194-1,"")))</f>
        <v/>
      </c>
    </row>
    <row r="198">
      <c r="A198" s="16" t="inlineStr">
        <is>
          <t>현금흐름표 · 전 항목</t>
        </is>
      </c>
      <c r="B198" s="42" t="inlineStr">
        <is>
          <t>분기 = 결산기 첫날부터 누계(공시 그대로)</t>
        </is>
      </c>
      <c r="C198" s="16" t="n"/>
      <c r="D198" s="16" t="n"/>
      <c r="E198" s="16" t="n"/>
      <c r="F198" s="16" t="n"/>
      <c r="G198" s="16" t="n"/>
      <c r="H198" s="16" t="n"/>
      <c r="I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  <c r="S198" s="16" t="n"/>
      <c r="T198" s="16" t="n"/>
      <c r="U198" s="16" t="n"/>
      <c r="V198" s="16" t="n"/>
      <c r="W198" s="16" t="n"/>
      <c r="X198" s="16" t="n"/>
      <c r="Y198" s="16" t="n"/>
      <c r="Z198" s="16" t="n"/>
      <c r="AA198" s="16" t="n"/>
      <c r="AB198" s="16" t="n"/>
      <c r="AC198" s="16" t="n"/>
    </row>
    <row r="199">
      <c r="A199" s="5" t="inlineStr">
        <is>
          <t>항목</t>
        </is>
      </c>
      <c r="B199" s="5" t="inlineStr">
        <is>
          <t>참고</t>
        </is>
      </c>
      <c r="C199" s="5" t="inlineStr">
        <is>
          <t>2024.1Q</t>
        </is>
      </c>
      <c r="D199" s="5" t="inlineStr">
        <is>
          <t>2024.2Q</t>
        </is>
      </c>
      <c r="E199" s="5" t="inlineStr">
        <is>
          <t>2024.3Q</t>
        </is>
      </c>
      <c r="F199" s="5" t="inlineStr">
        <is>
          <t>2024.4Q</t>
        </is>
      </c>
      <c r="G199" s="5" t="inlineStr">
        <is>
          <t>2025.1Q</t>
        </is>
      </c>
      <c r="H199" s="5" t="inlineStr">
        <is>
          <t>2025.2Q</t>
        </is>
      </c>
      <c r="I199" s="5" t="inlineStr">
        <is>
          <t>2025.3Q</t>
        </is>
      </c>
      <c r="J199" s="5" t="inlineStr">
        <is>
          <t>2025.4Q</t>
        </is>
      </c>
      <c r="K199" s="5" t="inlineStr">
        <is>
          <t>2026.1Q</t>
        </is>
      </c>
      <c r="L199" s="5" t="inlineStr">
        <is>
          <t>2026.2Q</t>
        </is>
      </c>
      <c r="M199" s="5" t="inlineStr">
        <is>
          <t>2026.3Q</t>
        </is>
      </c>
      <c r="N199" s="5" t="inlineStr">
        <is>
          <t>2026.4Q</t>
        </is>
      </c>
      <c r="O199" s="5" t="inlineStr">
        <is>
          <t>2017</t>
        </is>
      </c>
      <c r="P199" s="5" t="inlineStr">
        <is>
          <t>2018</t>
        </is>
      </c>
      <c r="Q199" s="5" t="inlineStr">
        <is>
          <t>2019</t>
        </is>
      </c>
      <c r="R199" s="5" t="inlineStr">
        <is>
          <t>2020</t>
        </is>
      </c>
      <c r="S199" s="5" t="inlineStr">
        <is>
          <t>2021</t>
        </is>
      </c>
      <c r="T199" s="5" t="inlineStr">
        <is>
          <t>2022</t>
        </is>
      </c>
      <c r="U199" s="5" t="inlineStr">
        <is>
          <t>2023</t>
        </is>
      </c>
      <c r="V199" s="5" t="inlineStr">
        <is>
          <t>2024</t>
        </is>
      </c>
      <c r="W199" s="5" t="inlineStr">
        <is>
          <t>2025</t>
        </is>
      </c>
      <c r="X199" s="5" t="inlineStr">
        <is>
          <t>2026</t>
        </is>
      </c>
      <c r="Y199" s="5" t="inlineStr">
        <is>
          <t>2027(MW)</t>
        </is>
      </c>
      <c r="Z199" s="5" t="inlineStr">
        <is>
          <t>2028(MW)</t>
        </is>
      </c>
      <c r="AA199" s="5" t="inlineStr">
        <is>
          <t>2029(MW)</t>
        </is>
      </c>
      <c r="AB199" s="5" t="inlineStr">
        <is>
          <t>2030(MW)</t>
        </is>
      </c>
      <c r="AC199" s="5" t="inlineStr">
        <is>
          <t>2031(MW)</t>
        </is>
      </c>
    </row>
    <row r="200">
      <c r="A200" s="9" t="inlineStr">
        <is>
          <t>법인세차감전 순이익</t>
        </is>
      </c>
      <c r="D200" s="12" t="n">
        <v>156.565</v>
      </c>
      <c r="F200" s="12" t="n">
        <v>170.325</v>
      </c>
      <c r="H200" s="12" t="n">
        <v>169.974</v>
      </c>
      <c r="J200" s="12" t="n">
        <v>225.867</v>
      </c>
      <c r="L200" s="12" t="n">
        <v>231.961</v>
      </c>
      <c r="N200" s="12" t="n">
        <v>502.2</v>
      </c>
      <c r="R200" s="12" t="n">
        <v>-83.767</v>
      </c>
      <c r="S200" s="12" t="n">
        <v>59.959</v>
      </c>
      <c r="T200" s="12" t="n">
        <v>-536.769</v>
      </c>
      <c r="U200" s="12" t="n">
        <v>-155.777</v>
      </c>
      <c r="V200" s="12" t="n">
        <v>170.325</v>
      </c>
      <c r="W200" s="12" t="n">
        <v>225.867</v>
      </c>
      <c r="X200" s="12" t="n">
        <v>502.2</v>
      </c>
    </row>
    <row r="201">
      <c r="A201" s="18" t="inlineStr">
        <is>
          <t>감가상각비</t>
        </is>
      </c>
      <c r="D201" s="20" t="n">
        <v>14.651</v>
      </c>
      <c r="F201" s="20" t="n">
        <v>36.509</v>
      </c>
      <c r="H201" s="20" t="n">
        <v>26.618</v>
      </c>
      <c r="J201" s="20" t="n">
        <v>64.651</v>
      </c>
      <c r="L201" s="20" t="n">
        <v>40.66</v>
      </c>
      <c r="N201" s="20" t="n">
        <v>84.742</v>
      </c>
      <c r="R201" s="20" t="n">
        <v>17.608</v>
      </c>
      <c r="S201" s="20" t="n">
        <v>25.789</v>
      </c>
      <c r="T201" s="20" t="n">
        <v>28.39</v>
      </c>
      <c r="U201" s="20" t="n">
        <v>29.314</v>
      </c>
      <c r="V201" s="20" t="n">
        <v>36.509</v>
      </c>
      <c r="W201" s="20" t="n">
        <v>64.651</v>
      </c>
      <c r="X201" s="20" t="n">
        <v>84.742</v>
      </c>
    </row>
    <row r="202">
      <c r="A202" s="18" t="inlineStr">
        <is>
          <t>이연자산 상각액</t>
        </is>
      </c>
      <c r="D202" s="20" t="n">
        <v>0</v>
      </c>
      <c r="F202" s="20" t="n">
        <v>0.988</v>
      </c>
      <c r="H202" s="20" t="n">
        <v>1.977</v>
      </c>
      <c r="J202" s="20" t="n">
        <v>3.954</v>
      </c>
      <c r="L202" s="20" t="n">
        <v>0.803</v>
      </c>
      <c r="N202" s="20" t="n">
        <v>1.018</v>
      </c>
      <c r="U202" s="20" t="n">
        <v>0</v>
      </c>
      <c r="V202" s="20" t="n">
        <v>0.988</v>
      </c>
      <c r="W202" s="20" t="n">
        <v>3.954</v>
      </c>
      <c r="X202" s="20" t="n">
        <v>1.018</v>
      </c>
    </row>
    <row r="203">
      <c r="A203" s="18" t="inlineStr">
        <is>
          <t>영업권 상각</t>
        </is>
      </c>
      <c r="D203" s="20" t="n">
        <v>6.679</v>
      </c>
      <c r="F203" s="20" t="n">
        <v>32.003</v>
      </c>
      <c r="H203" s="20" t="n">
        <v>43.969</v>
      </c>
      <c r="J203" s="20" t="n">
        <v>87.938</v>
      </c>
      <c r="L203" s="20" t="n">
        <v>43.969</v>
      </c>
      <c r="N203" s="20" t="n">
        <v>97.75</v>
      </c>
      <c r="T203" s="20" t="n">
        <v>0</v>
      </c>
      <c r="U203" s="20" t="n">
        <v>2.226</v>
      </c>
      <c r="V203" s="20" t="n">
        <v>32.003</v>
      </c>
      <c r="W203" s="20" t="n">
        <v>87.938</v>
      </c>
      <c r="X203" s="20" t="n">
        <v>97.75</v>
      </c>
    </row>
    <row r="204">
      <c r="A204" s="18" t="inlineStr">
        <is>
          <t>고객관계자산 상각비</t>
        </is>
      </c>
      <c r="D204" s="20" t="n">
        <v>5.7</v>
      </c>
    </row>
    <row r="205">
      <c r="A205" s="18" t="inlineStr">
        <is>
          <t>고객관계자산 상각비</t>
        </is>
      </c>
      <c r="D205" s="20" t="n">
        <v>5.7</v>
      </c>
      <c r="H205" s="20" t="n">
        <v>30.485</v>
      </c>
      <c r="L205" s="20" t="n">
        <v>30.485</v>
      </c>
    </row>
    <row r="206">
      <c r="A206" s="18" t="inlineStr">
        <is>
          <t>고객관계자산 상각비</t>
        </is>
      </c>
      <c r="F206" s="20" t="n">
        <v>23.792</v>
      </c>
      <c r="J206" s="20" t="n">
        <v>60.971</v>
      </c>
      <c r="N206" s="20" t="n">
        <v>60.971</v>
      </c>
      <c r="T206" s="20" t="n">
        <v>0</v>
      </c>
      <c r="U206" s="20" t="n">
        <v>1.9</v>
      </c>
      <c r="V206" s="20" t="n">
        <v>23.792</v>
      </c>
      <c r="W206" s="20" t="n">
        <v>60.971</v>
      </c>
      <c r="X206" s="20" t="n">
        <v>60.971</v>
      </c>
    </row>
    <row r="207">
      <c r="A207" s="18" t="inlineStr">
        <is>
          <t>임차보증금 상각액</t>
        </is>
      </c>
      <c r="D207" s="20" t="n">
        <v>4.823</v>
      </c>
      <c r="F207" s="20" t="n">
        <v>9.705</v>
      </c>
      <c r="H207" s="20" t="n">
        <v>5.138</v>
      </c>
      <c r="J207" s="20" t="n">
        <v>10.623</v>
      </c>
      <c r="L207" s="20" t="n">
        <v>9.965</v>
      </c>
      <c r="N207" s="20" t="n">
        <v>19.93</v>
      </c>
      <c r="R207" s="20" t="n">
        <v>13.854</v>
      </c>
      <c r="S207" s="20" t="n">
        <v>4.375</v>
      </c>
      <c r="T207" s="20" t="n">
        <v>5.963</v>
      </c>
      <c r="U207" s="20" t="n">
        <v>7.689</v>
      </c>
      <c r="V207" s="20" t="n">
        <v>9.705</v>
      </c>
      <c r="W207" s="20" t="n">
        <v>10.623</v>
      </c>
      <c r="X207" s="20" t="n">
        <v>19.93</v>
      </c>
    </row>
    <row r="208">
      <c r="A208" s="18" t="inlineStr">
        <is>
          <t>투자유가증권 평가손익</t>
        </is>
      </c>
      <c r="D208" s="20" t="n">
        <v>30</v>
      </c>
      <c r="F208" s="20" t="n">
        <v>90</v>
      </c>
      <c r="H208" s="20" t="n">
        <v>30</v>
      </c>
      <c r="J208" s="20" t="n">
        <v>30</v>
      </c>
      <c r="L208" s="20" t="n">
        <v>0</v>
      </c>
      <c r="N208" s="20" t="n">
        <v>0</v>
      </c>
      <c r="T208" s="20" t="n">
        <v>30</v>
      </c>
      <c r="U208" s="20" t="n">
        <v>49.5</v>
      </c>
      <c r="V208" s="20" t="n">
        <v>90</v>
      </c>
      <c r="W208" s="20" t="n">
        <v>30</v>
      </c>
      <c r="X208" s="20" t="n">
        <v>0</v>
      </c>
    </row>
    <row r="209">
      <c r="A209" s="18" t="inlineStr">
        <is>
          <t>신주예약권 환입이익</t>
        </is>
      </c>
      <c r="D209" s="20" t="n">
        <v>0</v>
      </c>
      <c r="F209" s="20" t="n">
        <v>0</v>
      </c>
      <c r="T209" s="20" t="n">
        <v>-4.5</v>
      </c>
      <c r="U209" s="20" t="n">
        <v>-12.5</v>
      </c>
      <c r="V209" s="20" t="n">
        <v>0</v>
      </c>
    </row>
    <row r="210">
      <c r="A210" s="18" t="inlineStr">
        <is>
          <t>주식보상비용</t>
        </is>
      </c>
      <c r="D210" s="20" t="n">
        <v>72.72799999999999</v>
      </c>
      <c r="F210" s="20" t="n">
        <v>141.856</v>
      </c>
      <c r="H210" s="20" t="n">
        <v>80.06</v>
      </c>
      <c r="J210" s="20" t="n">
        <v>164.916</v>
      </c>
      <c r="L210" s="20" t="n">
        <v>59.937</v>
      </c>
      <c r="N210" s="20" t="n">
        <v>89.568</v>
      </c>
      <c r="T210" s="20" t="n">
        <v>2.012</v>
      </c>
      <c r="U210" s="20" t="n">
        <v>117.191</v>
      </c>
      <c r="V210" s="20" t="n">
        <v>141.856</v>
      </c>
      <c r="W210" s="20" t="n">
        <v>164.916</v>
      </c>
      <c r="X210" s="20" t="n">
        <v>89.568</v>
      </c>
    </row>
    <row r="211">
      <c r="A211" s="18" t="inlineStr">
        <is>
          <t>이자수익</t>
        </is>
      </c>
      <c r="D211" s="20" t="n">
        <v>-0.013</v>
      </c>
      <c r="F211" s="20" t="n">
        <v>-0.399</v>
      </c>
      <c r="H211" s="20" t="n">
        <v>-1.728</v>
      </c>
      <c r="J211" s="20" t="n">
        <v>-4.93</v>
      </c>
      <c r="L211" s="20" t="n">
        <v>-2.784</v>
      </c>
      <c r="N211" s="20" t="n">
        <v>-7.345</v>
      </c>
      <c r="R211" s="20" t="n">
        <v>-0.008999999999999999</v>
      </c>
      <c r="S211" s="20" t="n">
        <v>-0.018</v>
      </c>
      <c r="T211" s="20" t="n">
        <v>-0.027</v>
      </c>
      <c r="U211" s="20" t="n">
        <v>-0.027</v>
      </c>
      <c r="V211" s="20" t="n">
        <v>-0.399</v>
      </c>
      <c r="W211" s="20" t="n">
        <v>-4.93</v>
      </c>
      <c r="X211" s="20" t="n">
        <v>-7.345</v>
      </c>
    </row>
    <row r="212">
      <c r="A212" s="18" t="inlineStr">
        <is>
          <t>이자비용</t>
        </is>
      </c>
      <c r="D212" s="20" t="n">
        <v>0.099</v>
      </c>
      <c r="F212" s="20" t="n">
        <v>3.982</v>
      </c>
      <c r="H212" s="20" t="n">
        <v>7.086</v>
      </c>
      <c r="J212" s="20" t="n">
        <v>14.784</v>
      </c>
      <c r="L212" s="20" t="n">
        <v>7.817</v>
      </c>
      <c r="N212" s="20" t="n">
        <v>18.753</v>
      </c>
      <c r="R212" s="20" t="n">
        <v>5.717</v>
      </c>
      <c r="S212" s="20" t="n">
        <v>6.574</v>
      </c>
      <c r="T212" s="20" t="n">
        <v>0.229</v>
      </c>
      <c r="U212" s="20" t="n">
        <v>0.199</v>
      </c>
      <c r="V212" s="20" t="n">
        <v>3.982</v>
      </c>
      <c r="W212" s="20" t="n">
        <v>14.784</v>
      </c>
      <c r="X212" s="20" t="n">
        <v>18.753</v>
      </c>
    </row>
    <row r="213">
      <c r="A213" s="18" t="inlineStr">
        <is>
          <t>상장 관련 비용</t>
        </is>
      </c>
      <c r="R213" s="20" t="n">
        <v>0</v>
      </c>
      <c r="S213" s="20" t="n">
        <v>24.7</v>
      </c>
    </row>
    <row r="214">
      <c r="A214" s="18" t="inlineStr">
        <is>
          <t>지분법손익</t>
        </is>
      </c>
      <c r="D214" s="20" t="n">
        <v>0</v>
      </c>
      <c r="F214" s="20" t="n">
        <v>0.208</v>
      </c>
      <c r="H214" s="20" t="n">
        <v>0.207</v>
      </c>
      <c r="J214" s="20" t="n">
        <v>0.207</v>
      </c>
      <c r="L214" s="20" t="n">
        <v>0</v>
      </c>
      <c r="N214" s="20" t="n">
        <v>0</v>
      </c>
      <c r="U214" s="20" t="n">
        <v>0</v>
      </c>
      <c r="V214" s="20" t="n">
        <v>0.208</v>
      </c>
      <c r="W214" s="20" t="n">
        <v>0.207</v>
      </c>
      <c r="X214" s="20" t="n">
        <v>0</v>
      </c>
    </row>
    <row r="215">
      <c r="A215" s="18" t="inlineStr">
        <is>
          <t>자회사 주식 매각손익</t>
        </is>
      </c>
      <c r="D215" s="20" t="n">
        <v>0</v>
      </c>
      <c r="F215" s="20" t="n">
        <v>0</v>
      </c>
      <c r="H215" s="20" t="n">
        <v>1.409</v>
      </c>
      <c r="J215" s="20" t="n">
        <v>1.409</v>
      </c>
      <c r="L215" s="20" t="n">
        <v>0</v>
      </c>
      <c r="N215" s="20" t="n">
        <v>0</v>
      </c>
      <c r="V215" s="20" t="n">
        <v>0</v>
      </c>
      <c r="W215" s="20" t="n">
        <v>1.409</v>
      </c>
      <c r="X215" s="20" t="n">
        <v>0</v>
      </c>
    </row>
    <row r="216">
      <c r="A216" s="18" t="inlineStr">
        <is>
          <t>매출채권 증감</t>
        </is>
      </c>
      <c r="D216" s="20" t="n">
        <v>74.264</v>
      </c>
      <c r="F216" s="20" t="n">
        <v>-15.068</v>
      </c>
      <c r="H216" s="20" t="n">
        <v>140.405</v>
      </c>
      <c r="J216" s="20" t="n">
        <v>56.26</v>
      </c>
      <c r="L216" s="20" t="n">
        <v>-16.551</v>
      </c>
      <c r="N216" s="20" t="n">
        <v>-33.499</v>
      </c>
      <c r="R216" s="20" t="n">
        <v>-125.337</v>
      </c>
      <c r="S216" s="20" t="n">
        <v>78.768</v>
      </c>
      <c r="T216" s="20" t="n">
        <v>-64.27800000000001</v>
      </c>
      <c r="U216" s="20" t="n">
        <v>-13.571</v>
      </c>
      <c r="V216" s="20" t="n">
        <v>-15.068</v>
      </c>
      <c r="W216" s="20" t="n">
        <v>56.26</v>
      </c>
      <c r="X216" s="20" t="n">
        <v>-33.499</v>
      </c>
    </row>
    <row r="217">
      <c r="A217" s="18" t="inlineStr">
        <is>
          <t>선급비용 증감</t>
        </is>
      </c>
      <c r="D217" s="20" t="n">
        <v>-18.807</v>
      </c>
      <c r="F217" s="20" t="n">
        <v>7.614</v>
      </c>
      <c r="H217" s="20" t="n">
        <v>-116.154</v>
      </c>
      <c r="J217" s="20" t="n">
        <v>-95.563</v>
      </c>
      <c r="L217" s="20" t="n">
        <v>-47.565</v>
      </c>
      <c r="N217" s="20" t="n">
        <v>53.063</v>
      </c>
      <c r="R217" s="20" t="n">
        <v>-13.917</v>
      </c>
      <c r="S217" s="20" t="n">
        <v>-19.911</v>
      </c>
      <c r="T217" s="20" t="n">
        <v>-59.272</v>
      </c>
      <c r="U217" s="20" t="n">
        <v>-21.418</v>
      </c>
      <c r="V217" s="20" t="n">
        <v>7.614</v>
      </c>
      <c r="W217" s="20" t="n">
        <v>-95.563</v>
      </c>
      <c r="X217" s="20" t="n">
        <v>53.063</v>
      </c>
    </row>
    <row r="218">
      <c r="A218" s="18" t="inlineStr">
        <is>
          <t>장기선급비용 증감</t>
        </is>
      </c>
      <c r="D218" s="20" t="n">
        <v>6.811</v>
      </c>
      <c r="F218" s="20" t="n">
        <v>9.805999999999999</v>
      </c>
      <c r="H218" s="20" t="n">
        <v>2.071</v>
      </c>
      <c r="J218" s="20" t="n">
        <v>4.759</v>
      </c>
      <c r="L218" s="20" t="n">
        <v>3.694</v>
      </c>
      <c r="N218" s="20" t="n">
        <v>11.592</v>
      </c>
      <c r="R218" s="20" t="n">
        <v>-0.209</v>
      </c>
      <c r="S218" s="20" t="n">
        <v>-0.746</v>
      </c>
      <c r="T218" s="20" t="n">
        <v>-19.98</v>
      </c>
      <c r="U218" s="20" t="n">
        <v>12.706</v>
      </c>
      <c r="V218" s="20" t="n">
        <v>9.805999999999999</v>
      </c>
      <c r="W218" s="20" t="n">
        <v>4.759</v>
      </c>
      <c r="X218" s="20" t="n">
        <v>11.592</v>
      </c>
    </row>
    <row r="219">
      <c r="A219" s="18" t="inlineStr">
        <is>
          <t>미수 소비세 증감</t>
        </is>
      </c>
      <c r="R219" s="20" t="n">
        <v>61.021</v>
      </c>
      <c r="S219" s="20" t="n">
        <v>0</v>
      </c>
    </row>
    <row r="220">
      <c r="A220" s="18" t="inlineStr">
        <is>
          <t>매입채무 증감</t>
        </is>
      </c>
      <c r="D220" s="20" t="n">
        <v>-12.494</v>
      </c>
    </row>
    <row r="221">
      <c r="A221" s="18" t="inlineStr">
        <is>
          <t>매입채무 증감</t>
        </is>
      </c>
      <c r="D221" s="20" t="n">
        <v>-12.494</v>
      </c>
      <c r="F221" s="20" t="n">
        <v>-81.453</v>
      </c>
      <c r="H221" s="20" t="n">
        <v>-98.352</v>
      </c>
      <c r="J221" s="20" t="n">
        <v>-105.057</v>
      </c>
      <c r="L221" s="20" t="n">
        <v>22.555</v>
      </c>
      <c r="N221" s="20" t="n">
        <v>39.203</v>
      </c>
      <c r="T221" s="20" t="n">
        <v>0</v>
      </c>
      <c r="U221" s="20" t="n">
        <v>-2.301</v>
      </c>
      <c r="V221" s="20" t="n">
        <v>-81.453</v>
      </c>
      <c r="W221" s="20" t="n">
        <v>-105.057</v>
      </c>
      <c r="X221" s="20" t="n">
        <v>39.203</v>
      </c>
    </row>
    <row r="222">
      <c r="A222" s="18" t="inlineStr">
        <is>
          <t>미지급금 증감</t>
        </is>
      </c>
      <c r="D222" s="20" t="n">
        <v>19.614</v>
      </c>
      <c r="F222" s="20" t="n">
        <v>145.115</v>
      </c>
      <c r="H222" s="20" t="n">
        <v>-39.952</v>
      </c>
      <c r="J222" s="20" t="n">
        <v>-4.072</v>
      </c>
      <c r="L222" s="20" t="n">
        <v>-46.253</v>
      </c>
      <c r="N222" s="20" t="n">
        <v>125</v>
      </c>
      <c r="R222" s="20" t="n">
        <v>40.068</v>
      </c>
      <c r="S222" s="20" t="n">
        <v>301.108</v>
      </c>
      <c r="T222" s="20" t="n">
        <v>-22.231</v>
      </c>
      <c r="U222" s="20" t="n">
        <v>-158.89</v>
      </c>
      <c r="V222" s="20" t="n">
        <v>145.115</v>
      </c>
      <c r="W222" s="20" t="n">
        <v>-4.072</v>
      </c>
      <c r="X222" s="20" t="n">
        <v>125</v>
      </c>
    </row>
    <row r="223">
      <c r="A223" s="18" t="inlineStr">
        <is>
          <t>미지급비용 증감</t>
        </is>
      </c>
      <c r="D223" s="20" t="n">
        <v>-3.17</v>
      </c>
      <c r="F223" s="20" t="n">
        <v>3.419</v>
      </c>
      <c r="H223" s="20" t="n">
        <v>-51.627</v>
      </c>
      <c r="J223" s="20" t="n">
        <v>-22.147</v>
      </c>
      <c r="L223" s="20" t="n">
        <v>-1.376</v>
      </c>
      <c r="N223" s="20" t="n">
        <v>-44.154</v>
      </c>
      <c r="R223" s="20" t="n">
        <v>13.2</v>
      </c>
      <c r="S223" s="20" t="n">
        <v>3.329</v>
      </c>
      <c r="T223" s="20" t="n">
        <v>2.72</v>
      </c>
      <c r="U223" s="20" t="n">
        <v>25.555</v>
      </c>
      <c r="V223" s="20" t="n">
        <v>3.419</v>
      </c>
      <c r="W223" s="20" t="n">
        <v>-22.147</v>
      </c>
      <c r="X223" s="20" t="n">
        <v>-44.154</v>
      </c>
    </row>
    <row r="224">
      <c r="A224" s="18" t="inlineStr">
        <is>
          <t>미지급법인세(외형표준과세) 증감</t>
        </is>
      </c>
      <c r="D224" s="20" t="n">
        <v>-0.497</v>
      </c>
      <c r="F224" s="20" t="n">
        <v>14.688</v>
      </c>
      <c r="H224" s="20" t="n">
        <v>-5.441</v>
      </c>
      <c r="J224" s="20" t="n">
        <v>-11.647</v>
      </c>
      <c r="L224" s="20" t="n">
        <v>5.475</v>
      </c>
      <c r="N224" s="20" t="n">
        <v>5.718</v>
      </c>
      <c r="R224" s="20" t="n">
        <v>0</v>
      </c>
      <c r="S224" s="20" t="n">
        <v>26.616</v>
      </c>
      <c r="T224" s="20" t="n">
        <v>-17.283</v>
      </c>
      <c r="U224" s="20" t="n">
        <v>12.016</v>
      </c>
      <c r="V224" s="20" t="n">
        <v>14.688</v>
      </c>
      <c r="W224" s="20" t="n">
        <v>-11.647</v>
      </c>
      <c r="X224" s="20" t="n">
        <v>5.718</v>
      </c>
    </row>
    <row r="225">
      <c r="A225" s="18" t="inlineStr">
        <is>
          <t>미지급 소비세 증감</t>
        </is>
      </c>
      <c r="D225" s="20" t="n">
        <v>4.218</v>
      </c>
      <c r="F225" s="20" t="n">
        <v>-0.337</v>
      </c>
      <c r="H225" s="20" t="n">
        <v>-68.92700000000001</v>
      </c>
      <c r="J225" s="20" t="n">
        <v>-60.423</v>
      </c>
      <c r="L225" s="20" t="n">
        <v>0.187</v>
      </c>
      <c r="N225" s="20" t="n">
        <v>14.089</v>
      </c>
      <c r="R225" s="20" t="n">
        <v>65.068</v>
      </c>
      <c r="S225" s="20" t="n">
        <v>16.664</v>
      </c>
      <c r="T225" s="20" t="n">
        <v>-81.732</v>
      </c>
      <c r="U225" s="20" t="n">
        <v>0</v>
      </c>
      <c r="V225" s="20" t="n">
        <v>-0.337</v>
      </c>
      <c r="W225" s="20" t="n">
        <v>-60.423</v>
      </c>
      <c r="X225" s="20" t="n">
        <v>14.089</v>
      </c>
    </row>
    <row r="226">
      <c r="A226" s="18" t="inlineStr">
        <is>
          <t>선수금 증감</t>
        </is>
      </c>
      <c r="D226" s="20" t="n">
        <v>89.782</v>
      </c>
      <c r="F226" s="20" t="n">
        <v>96.483</v>
      </c>
      <c r="H226" s="20" t="n">
        <v>169.227</v>
      </c>
      <c r="J226" s="20" t="n">
        <v>107.067</v>
      </c>
      <c r="L226" s="20" t="n">
        <v>54.98</v>
      </c>
      <c r="N226" s="20" t="n">
        <v>-47.448</v>
      </c>
      <c r="R226" s="20" t="n">
        <v>79.13500000000001</v>
      </c>
      <c r="S226" s="20" t="n">
        <v>153.025</v>
      </c>
      <c r="T226" s="20" t="n">
        <v>133.977</v>
      </c>
      <c r="U226" s="20" t="n">
        <v>54.142</v>
      </c>
      <c r="V226" s="20" t="n">
        <v>96.483</v>
      </c>
      <c r="W226" s="20" t="n">
        <v>107.067</v>
      </c>
      <c r="X226" s="20" t="n">
        <v>-47.448</v>
      </c>
    </row>
    <row r="227">
      <c r="A227" s="18" t="inlineStr">
        <is>
          <t>예수금 증감</t>
        </is>
      </c>
      <c r="D227" s="20" t="n">
        <v>-35.547</v>
      </c>
      <c r="F227" s="20" t="n">
        <v>52.659</v>
      </c>
      <c r="H227" s="20" t="n">
        <v>-212.439</v>
      </c>
      <c r="J227" s="20" t="n">
        <v>-178.985</v>
      </c>
      <c r="L227" s="20" t="n">
        <v>-83.49299999999999</v>
      </c>
      <c r="N227" s="20" t="n">
        <v>-91.82899999999999</v>
      </c>
      <c r="R227" s="20" t="n">
        <v>219.628</v>
      </c>
      <c r="S227" s="20" t="n">
        <v>210.029</v>
      </c>
      <c r="T227" s="20" t="n">
        <v>175.055</v>
      </c>
      <c r="U227" s="20" t="n">
        <v>74.717</v>
      </c>
      <c r="V227" s="20" t="n">
        <v>52.659</v>
      </c>
      <c r="W227" s="20" t="n">
        <v>-178.985</v>
      </c>
      <c r="X227" s="20" t="n">
        <v>-91.82899999999999</v>
      </c>
    </row>
    <row r="228">
      <c r="A228" s="18" t="inlineStr">
        <is>
          <t>대손충당금 증감</t>
        </is>
      </c>
      <c r="F228" s="20" t="n">
        <v>0</v>
      </c>
      <c r="H228" s="20" t="n">
        <v>0</v>
      </c>
      <c r="J228" s="20" t="n">
        <v>14.524</v>
      </c>
      <c r="L228" s="20" t="n">
        <v>0.989</v>
      </c>
      <c r="V228" s="20" t="n">
        <v>0</v>
      </c>
      <c r="W228" s="20" t="n">
        <v>14.524</v>
      </c>
    </row>
    <row r="229">
      <c r="A229" s="18" t="inlineStr">
        <is>
          <t>상여충당금 증감</t>
        </is>
      </c>
      <c r="F229" s="20" t="n">
        <v>0</v>
      </c>
      <c r="H229" s="20" t="n">
        <v>0</v>
      </c>
      <c r="J229" s="20" t="n">
        <v>2.224</v>
      </c>
      <c r="L229" s="20" t="n">
        <v>22.494</v>
      </c>
      <c r="N229" s="20" t="n">
        <v>19.993</v>
      </c>
      <c r="V229" s="20" t="n">
        <v>0</v>
      </c>
      <c r="W229" s="20" t="n">
        <v>2.224</v>
      </c>
      <c r="X229" s="20" t="n">
        <v>19.993</v>
      </c>
    </row>
    <row r="230">
      <c r="A230" s="18" t="inlineStr">
        <is>
          <t>포인트 충당금 증감</t>
        </is>
      </c>
      <c r="D230" s="20" t="n">
        <v>-0.443</v>
      </c>
      <c r="F230" s="20" t="n">
        <v>-1.208</v>
      </c>
      <c r="H230" s="20" t="n">
        <v>0.472</v>
      </c>
      <c r="J230" s="20" t="n">
        <v>0.401</v>
      </c>
      <c r="L230" s="20" t="n">
        <v>0.106</v>
      </c>
      <c r="N230" s="20" t="n">
        <v>-0.337</v>
      </c>
      <c r="R230" s="20" t="n">
        <v>11.662</v>
      </c>
      <c r="S230" s="20" t="n">
        <v>7.525</v>
      </c>
      <c r="T230" s="20" t="n">
        <v>0.908</v>
      </c>
      <c r="U230" s="20" t="n">
        <v>-0.374</v>
      </c>
      <c r="V230" s="20" t="n">
        <v>-1.208</v>
      </c>
      <c r="W230" s="20" t="n">
        <v>0.401</v>
      </c>
      <c r="X230" s="20" t="n">
        <v>-0.337</v>
      </c>
    </row>
    <row r="231">
      <c r="A231" s="18" t="inlineStr">
        <is>
          <t>쿠폰 충당금 증감(△ 감소)</t>
        </is>
      </c>
      <c r="D231" s="20" t="n">
        <v>-0.953</v>
      </c>
      <c r="F231" s="20" t="n">
        <v>-1.578</v>
      </c>
      <c r="H231" s="20" t="n">
        <v>0.209</v>
      </c>
      <c r="J231" s="20" t="n">
        <v>2.754</v>
      </c>
      <c r="L231" s="20" t="n">
        <v>0.402</v>
      </c>
      <c r="N231" s="20" t="n">
        <v>0.189</v>
      </c>
      <c r="R231" s="20" t="n">
        <v>-5.283</v>
      </c>
      <c r="S231" s="20" t="n">
        <v>0.343</v>
      </c>
      <c r="T231" s="20" t="n">
        <v>0.877</v>
      </c>
      <c r="U231" s="20" t="n">
        <v>1.053</v>
      </c>
      <c r="V231" s="20" t="n">
        <v>-1.578</v>
      </c>
      <c r="W231" s="20" t="n">
        <v>2.754</v>
      </c>
      <c r="X231" s="20" t="n">
        <v>0.189</v>
      </c>
    </row>
    <row r="232">
      <c r="A232" s="18" t="inlineStr">
        <is>
          <t>기타 자산 증감</t>
        </is>
      </c>
      <c r="R232" s="20" t="n">
        <v>-15.372</v>
      </c>
      <c r="S232" s="20" t="n">
        <v>-101.16</v>
      </c>
    </row>
    <row r="233">
      <c r="A233" s="18" t="inlineStr">
        <is>
          <t>기타 유동자산 증감</t>
        </is>
      </c>
      <c r="D233" s="20" t="n">
        <v>23.415</v>
      </c>
      <c r="F233" s="20" t="n">
        <v>-65.86799999999999</v>
      </c>
      <c r="H233" s="20" t="n">
        <v>-60.326</v>
      </c>
      <c r="J233" s="20" t="n">
        <v>-0.285</v>
      </c>
      <c r="L233" s="20" t="n">
        <v>38.062</v>
      </c>
      <c r="N233" s="20" t="n">
        <v>23.59</v>
      </c>
      <c r="T233" s="20" t="n">
        <v>34.61</v>
      </c>
      <c r="U233" s="20" t="n">
        <v>-12.806</v>
      </c>
      <c r="V233" s="20" t="n">
        <v>-65.86799999999999</v>
      </c>
      <c r="W233" s="20" t="n">
        <v>-0.285</v>
      </c>
      <c r="X233" s="20" t="n">
        <v>23.59</v>
      </c>
    </row>
    <row r="234">
      <c r="A234" s="18" t="inlineStr">
        <is>
          <t>기타 유동부채 증감</t>
        </is>
      </c>
      <c r="D234" s="20" t="n">
        <v>0</v>
      </c>
      <c r="F234" s="20" t="n">
        <v>0</v>
      </c>
      <c r="J234" s="20" t="n">
        <v>-0.058</v>
      </c>
      <c r="N234" s="20" t="n">
        <v>0</v>
      </c>
      <c r="T234" s="20" t="n">
        <v>-81.732</v>
      </c>
      <c r="U234" s="20" t="n">
        <v>96.527</v>
      </c>
      <c r="V234" s="20" t="n">
        <v>0</v>
      </c>
      <c r="W234" s="20" t="n">
        <v>-0.058</v>
      </c>
      <c r="X234" s="20" t="n">
        <v>0</v>
      </c>
    </row>
    <row r="235">
      <c r="A235" s="18" t="inlineStr">
        <is>
          <t>기타</t>
        </is>
      </c>
      <c r="D235" s="20" t="n">
        <v>0</v>
      </c>
      <c r="F235" s="20" t="n">
        <v>1.252</v>
      </c>
      <c r="H235" s="20" t="n">
        <v>2.351</v>
      </c>
      <c r="J235" s="20" t="n">
        <v>6.838</v>
      </c>
      <c r="L235" s="20" t="n">
        <v>-0.68</v>
      </c>
      <c r="N235" s="20" t="n">
        <v>-1.225</v>
      </c>
      <c r="T235" s="20" t="n">
        <v>0</v>
      </c>
      <c r="U235" s="20" t="n">
        <v>0.287</v>
      </c>
      <c r="V235" s="20" t="n">
        <v>1.252</v>
      </c>
      <c r="W235" s="20" t="n">
        <v>6.838</v>
      </c>
      <c r="X235" s="20" t="n">
        <v>-1.225</v>
      </c>
    </row>
    <row r="236">
      <c r="A236" s="18" t="inlineStr">
        <is>
          <t>소계</t>
        </is>
      </c>
      <c r="D236" s="20" t="n">
        <v>437.428</v>
      </c>
      <c r="F236" s="20" t="n">
        <v>674.498</v>
      </c>
      <c r="H236" s="20" t="n">
        <v>56.715</v>
      </c>
      <c r="J236" s="20" t="n">
        <v>362.46</v>
      </c>
      <c r="L236" s="20" t="n">
        <v>375.841</v>
      </c>
      <c r="N236" s="20" t="n">
        <v>941.538</v>
      </c>
      <c r="R236" s="20" t="n">
        <v>283.068</v>
      </c>
      <c r="S236" s="20" t="n">
        <v>796.971</v>
      </c>
      <c r="T236" s="20" t="n">
        <v>-391.33</v>
      </c>
      <c r="U236" s="20" t="n">
        <v>107.36</v>
      </c>
      <c r="V236" s="20" t="n">
        <v>674.498</v>
      </c>
      <c r="W236" s="20" t="n">
        <v>362.46</v>
      </c>
      <c r="X236" s="20" t="n">
        <v>941.538</v>
      </c>
    </row>
    <row r="237">
      <c r="A237" s="18" t="inlineStr">
        <is>
          <t>이자 수취</t>
        </is>
      </c>
      <c r="D237" s="20" t="n">
        <v>0.013</v>
      </c>
      <c r="F237" s="20" t="n">
        <v>0.399</v>
      </c>
      <c r="H237" s="20" t="n">
        <v>1.728</v>
      </c>
      <c r="J237" s="20" t="n">
        <v>4.93</v>
      </c>
      <c r="L237" s="20" t="n">
        <v>2.784</v>
      </c>
      <c r="N237" s="20" t="n">
        <v>7.345</v>
      </c>
      <c r="R237" s="20" t="n">
        <v>0.008999999999999999</v>
      </c>
      <c r="S237" s="20" t="n">
        <v>0.018</v>
      </c>
      <c r="T237" s="20" t="n">
        <v>0.027</v>
      </c>
      <c r="U237" s="20" t="n">
        <v>0.027</v>
      </c>
      <c r="V237" s="20" t="n">
        <v>0.399</v>
      </c>
      <c r="W237" s="20" t="n">
        <v>4.93</v>
      </c>
      <c r="X237" s="20" t="n">
        <v>7.345</v>
      </c>
    </row>
    <row r="238">
      <c r="A238" s="18" t="inlineStr">
        <is>
          <t>이자 지급</t>
        </is>
      </c>
      <c r="D238" s="20" t="n">
        <v>-0.099</v>
      </c>
      <c r="F238" s="20" t="n">
        <v>-3.96</v>
      </c>
      <c r="H238" s="20" t="n">
        <v>-7.042</v>
      </c>
      <c r="J238" s="20" t="n">
        <v>-14.697</v>
      </c>
      <c r="L238" s="20" t="n">
        <v>-7.774</v>
      </c>
      <c r="N238" s="20" t="n">
        <v>-18.666</v>
      </c>
      <c r="R238" s="20" t="n">
        <v>-6.413</v>
      </c>
      <c r="S238" s="20" t="n">
        <v>-5.663</v>
      </c>
      <c r="T238" s="20" t="n">
        <v>-0.199</v>
      </c>
      <c r="U238" s="20" t="n">
        <v>-0.199</v>
      </c>
      <c r="V238" s="20" t="n">
        <v>-3.96</v>
      </c>
      <c r="W238" s="20" t="n">
        <v>-14.697</v>
      </c>
      <c r="X238" s="20" t="n">
        <v>-18.666</v>
      </c>
    </row>
    <row r="239">
      <c r="A239" s="18" t="inlineStr">
        <is>
          <t>상장 관련 비용 지출</t>
        </is>
      </c>
      <c r="R239" s="20" t="n">
        <v>0</v>
      </c>
      <c r="S239" s="20" t="n">
        <v>-24.7</v>
      </c>
    </row>
    <row r="240">
      <c r="A240" s="18" t="inlineStr">
        <is>
          <t>법인세 환급</t>
        </is>
      </c>
      <c r="D240" s="20" t="n">
        <v>0</v>
      </c>
      <c r="F240" s="20" t="n">
        <v>0</v>
      </c>
      <c r="T240" s="20" t="n">
        <v>0</v>
      </c>
      <c r="U240" s="20" t="n">
        <v>8.295</v>
      </c>
      <c r="V240" s="20" t="n">
        <v>0</v>
      </c>
    </row>
    <row r="241">
      <c r="A241" s="18" t="inlineStr">
        <is>
          <t>보험적립금 수령액</t>
        </is>
      </c>
      <c r="F241" s="20" t="n">
        <v>0</v>
      </c>
      <c r="J241" s="20" t="n">
        <v>17.5</v>
      </c>
      <c r="N241" s="20" t="n">
        <v>0</v>
      </c>
      <c r="V241" s="20" t="n">
        <v>0</v>
      </c>
      <c r="W241" s="20" t="n">
        <v>17.5</v>
      </c>
      <c r="X241" s="20" t="n">
        <v>0</v>
      </c>
    </row>
    <row r="242">
      <c r="A242" s="18" t="inlineStr">
        <is>
          <t>법인세 납부</t>
        </is>
      </c>
      <c r="D242" s="20" t="n">
        <v>-28.712</v>
      </c>
      <c r="F242" s="20" t="n">
        <v>-52.493</v>
      </c>
      <c r="H242" s="20" t="n">
        <v>-73.889</v>
      </c>
      <c r="J242" s="20" t="n">
        <v>-115.11</v>
      </c>
      <c r="L242" s="20" t="n">
        <v>-44.724</v>
      </c>
      <c r="N242" s="20" t="n">
        <v>-97.68000000000001</v>
      </c>
      <c r="R242" s="20" t="n">
        <v>-2.29</v>
      </c>
      <c r="S242" s="20" t="n">
        <v>-2.291</v>
      </c>
      <c r="T242" s="20" t="n">
        <v>-28.314</v>
      </c>
      <c r="U242" s="20" t="n">
        <v>-1.254</v>
      </c>
      <c r="V242" s="20" t="n">
        <v>-52.493</v>
      </c>
      <c r="W242" s="20" t="n">
        <v>-115.11</v>
      </c>
      <c r="X242" s="20" t="n">
        <v>-97.68000000000001</v>
      </c>
    </row>
    <row r="243">
      <c r="A243" s="9" t="inlineStr">
        <is>
          <t>영업활동 현금흐름</t>
        </is>
      </c>
      <c r="D243" s="12" t="n">
        <v>408.629</v>
      </c>
      <c r="F243" s="12" t="n">
        <v>618.444</v>
      </c>
      <c r="H243" s="12" t="n">
        <v>-22.488</v>
      </c>
      <c r="J243" s="12" t="n">
        <v>255.082</v>
      </c>
      <c r="L243" s="12" t="n">
        <v>326.127</v>
      </c>
      <c r="N243" s="12" t="n">
        <v>832.5359999999999</v>
      </c>
      <c r="R243" s="12" t="n">
        <v>274.373</v>
      </c>
      <c r="S243" s="12" t="n">
        <v>764.335</v>
      </c>
      <c r="T243" s="12" t="n">
        <v>-419.817</v>
      </c>
      <c r="U243" s="12" t="n">
        <v>114.229</v>
      </c>
      <c r="V243" s="12" t="n">
        <v>618.444</v>
      </c>
      <c r="W243" s="12" t="n">
        <v>255.082</v>
      </c>
      <c r="X243" s="12" t="n">
        <v>832.5359999999999</v>
      </c>
    </row>
    <row r="244">
      <c r="A244" s="18" t="inlineStr">
        <is>
          <t>유형자산 취득(설비투자)</t>
        </is>
      </c>
      <c r="D244" s="20" t="n">
        <v>-0.113</v>
      </c>
      <c r="F244" s="20" t="n">
        <v>-1.941</v>
      </c>
      <c r="H244" s="20" t="n">
        <v>-1.845</v>
      </c>
      <c r="J244" s="20" t="n">
        <v>-5.979</v>
      </c>
      <c r="L244" s="20" t="n">
        <v>-41.291</v>
      </c>
      <c r="N244" s="20" t="n">
        <v>-42.793</v>
      </c>
      <c r="R244" s="20" t="n">
        <v>-56.628</v>
      </c>
      <c r="S244" s="20" t="n">
        <v>-76.23699999999999</v>
      </c>
      <c r="T244" s="20" t="n">
        <v>-34.934</v>
      </c>
      <c r="U244" s="20" t="n">
        <v>-98.575</v>
      </c>
      <c r="V244" s="20" t="n">
        <v>-1.941</v>
      </c>
      <c r="W244" s="20" t="n">
        <v>-5.979</v>
      </c>
      <c r="X244" s="20" t="n">
        <v>-42.793</v>
      </c>
    </row>
    <row r="245">
      <c r="A245" s="18" t="inlineStr">
        <is>
          <t>무형자산 취득</t>
        </is>
      </c>
      <c r="D245" s="20" t="n">
        <v>0</v>
      </c>
      <c r="F245" s="20" t="n">
        <v>-1.9</v>
      </c>
      <c r="H245" s="20" t="n">
        <v>-3</v>
      </c>
      <c r="J245" s="20" t="n">
        <v>-10.737</v>
      </c>
      <c r="L245" s="20" t="n">
        <v>-17.212</v>
      </c>
      <c r="N245" s="20" t="n">
        <v>-17.212</v>
      </c>
      <c r="T245" s="20" t="n">
        <v>-11.042</v>
      </c>
      <c r="U245" s="20" t="n">
        <v>0</v>
      </c>
      <c r="V245" s="20" t="n">
        <v>-1.9</v>
      </c>
      <c r="W245" s="20" t="n">
        <v>-10.737</v>
      </c>
      <c r="X245" s="20" t="n">
        <v>-17.212</v>
      </c>
    </row>
    <row r="246">
      <c r="A246" s="18" t="inlineStr">
        <is>
          <t>투자유가증권 취득</t>
        </is>
      </c>
      <c r="D246" s="20" t="n">
        <v>-214.452</v>
      </c>
      <c r="F246" s="20" t="n">
        <v>-261.412</v>
      </c>
      <c r="H246" s="20" t="n">
        <v>0</v>
      </c>
      <c r="J246" s="20" t="n">
        <v>0</v>
      </c>
      <c r="N246" s="20" t="n">
        <v>-50.072</v>
      </c>
      <c r="T246" s="20" t="n">
        <v>-441.066</v>
      </c>
      <c r="U246" s="20" t="n">
        <v>-520.571</v>
      </c>
      <c r="V246" s="20" t="n">
        <v>-261.412</v>
      </c>
      <c r="W246" s="20" t="n">
        <v>0</v>
      </c>
      <c r="X246" s="20" t="n">
        <v>-50.072</v>
      </c>
    </row>
    <row r="247">
      <c r="A247" s="18" t="inlineStr">
        <is>
          <t>관계회사 출자금 납입</t>
        </is>
      </c>
      <c r="F247" s="20" t="n">
        <v>-6.95</v>
      </c>
      <c r="J247" s="20" t="n">
        <v>0</v>
      </c>
      <c r="U247" s="20" t="n">
        <v>0</v>
      </c>
      <c r="V247" s="20" t="n">
        <v>-6.95</v>
      </c>
      <c r="W247" s="20" t="n">
        <v>0</v>
      </c>
    </row>
    <row r="248">
      <c r="A248" s="18" t="inlineStr">
        <is>
          <t>보증금 납입</t>
        </is>
      </c>
      <c r="D248" s="20" t="n">
        <v>-86.97799999999999</v>
      </c>
      <c r="F248" s="20" t="n">
        <v>-86.97799999999999</v>
      </c>
      <c r="H248" s="20" t="n">
        <v>0</v>
      </c>
      <c r="J248" s="20" t="n">
        <v>-268.647</v>
      </c>
      <c r="N248" s="20" t="n">
        <v>0</v>
      </c>
      <c r="R248" s="20" t="n">
        <v>-138.857</v>
      </c>
      <c r="S248" s="20" t="n">
        <v>-51.723</v>
      </c>
      <c r="T248" s="20" t="n">
        <v>0</v>
      </c>
      <c r="U248" s="20" t="n">
        <v>-69.12</v>
      </c>
      <c r="V248" s="20" t="n">
        <v>-86.97799999999999</v>
      </c>
      <c r="W248" s="20" t="n">
        <v>-268.647</v>
      </c>
      <c r="X248" s="20" t="n">
        <v>0</v>
      </c>
    </row>
    <row r="249">
      <c r="A249" s="18" t="inlineStr">
        <is>
          <t>보증금 회수</t>
        </is>
      </c>
      <c r="D249" s="20" t="n">
        <v>0.2</v>
      </c>
      <c r="F249" s="20" t="n">
        <v>0.2</v>
      </c>
      <c r="H249" s="20" t="n">
        <v>58.571</v>
      </c>
      <c r="J249" s="20" t="n">
        <v>58.571</v>
      </c>
      <c r="L249" s="20" t="n">
        <v>21.286</v>
      </c>
      <c r="N249" s="20" t="n">
        <v>21.286</v>
      </c>
      <c r="R249" s="20" t="n">
        <v>5</v>
      </c>
      <c r="S249" s="20" t="n">
        <v>27.907</v>
      </c>
      <c r="U249" s="20" t="n">
        <v>0</v>
      </c>
      <c r="V249" s="20" t="n">
        <v>0.2</v>
      </c>
      <c r="W249" s="20" t="n">
        <v>58.571</v>
      </c>
      <c r="X249" s="20" t="n">
        <v>21.286</v>
      </c>
    </row>
    <row r="250">
      <c r="A250" s="18" t="inlineStr">
        <is>
          <t>자산복구부채 이행 지출</t>
        </is>
      </c>
      <c r="R250" s="20" t="n">
        <v>0</v>
      </c>
      <c r="S250" s="20" t="n">
        <v>-15.773</v>
      </c>
    </row>
    <row r="251">
      <c r="A251" s="18" t="inlineStr">
        <is>
          <t>대여</t>
        </is>
      </c>
      <c r="F251" s="20" t="n">
        <v>-55.5</v>
      </c>
      <c r="J251" s="20" t="n">
        <v>0</v>
      </c>
      <c r="U251" s="20" t="n">
        <v>0</v>
      </c>
      <c r="V251" s="20" t="n">
        <v>-55.5</v>
      </c>
      <c r="W251" s="20" t="n">
        <v>0</v>
      </c>
    </row>
    <row r="252">
      <c r="A252" s="18" t="inlineStr">
        <is>
          <t>연결범위 변경 자회사 주식 취득</t>
        </is>
      </c>
      <c r="F252" s="20" t="n">
        <v>-922.0650000000001</v>
      </c>
      <c r="J252" s="20" t="n">
        <v>0</v>
      </c>
      <c r="N252" s="20" t="n">
        <v>-186.249</v>
      </c>
      <c r="T252" s="20" t="n">
        <v>0</v>
      </c>
      <c r="U252" s="20" t="n">
        <v>-245.079</v>
      </c>
      <c r="V252" s="20" t="n">
        <v>-922.0650000000001</v>
      </c>
      <c r="W252" s="20" t="n">
        <v>0</v>
      </c>
      <c r="X252" s="20" t="n">
        <v>-186.249</v>
      </c>
    </row>
    <row r="253">
      <c r="A253" s="18" t="inlineStr">
        <is>
          <t>기타</t>
        </is>
      </c>
      <c r="F253" s="20" t="n">
        <v>0</v>
      </c>
      <c r="T253" s="20" t="n">
        <v>0</v>
      </c>
      <c r="U253" s="20" t="n">
        <v>0.6820000000000001</v>
      </c>
      <c r="V253" s="20" t="n">
        <v>0</v>
      </c>
    </row>
    <row r="254">
      <c r="A254" s="18" t="inlineStr">
        <is>
          <t>연결범위 변경 자회사 주식 매각(지출)</t>
        </is>
      </c>
      <c r="D254" s="20" t="n">
        <v>0</v>
      </c>
      <c r="F254" s="20" t="n">
        <v>0</v>
      </c>
      <c r="H254" s="20" t="n">
        <v>-254.795</v>
      </c>
      <c r="J254" s="20" t="n">
        <v>-254.795</v>
      </c>
      <c r="L254" s="20" t="n">
        <v>0</v>
      </c>
      <c r="N254" s="20" t="n">
        <v>0</v>
      </c>
      <c r="V254" s="20" t="n">
        <v>0</v>
      </c>
      <c r="W254" s="20" t="n">
        <v>-254.795</v>
      </c>
      <c r="X254" s="20" t="n">
        <v>0</v>
      </c>
    </row>
    <row r="255">
      <c r="A255" s="9" t="inlineStr">
        <is>
          <t>투자활동 현금흐름</t>
        </is>
      </c>
      <c r="D255" s="12" t="n">
        <v>-301.343</v>
      </c>
      <c r="F255" s="12" t="n">
        <v>-1336.546</v>
      </c>
      <c r="H255" s="12" t="n">
        <v>-201.069</v>
      </c>
      <c r="J255" s="12" t="n">
        <v>-481.589</v>
      </c>
      <c r="L255" s="12" t="n">
        <v>-37.218</v>
      </c>
      <c r="N255" s="12" t="n">
        <v>-275.041</v>
      </c>
      <c r="R255" s="12" t="n">
        <v>-190.485</v>
      </c>
      <c r="S255" s="12" t="n">
        <v>-115.826</v>
      </c>
      <c r="T255" s="12" t="n">
        <v>-487.044</v>
      </c>
      <c r="U255" s="12" t="n">
        <v>-932.664</v>
      </c>
      <c r="V255" s="12" t="n">
        <v>-1336.546</v>
      </c>
      <c r="W255" s="12" t="n">
        <v>-481.589</v>
      </c>
      <c r="X255" s="12" t="n">
        <v>-275.041</v>
      </c>
    </row>
    <row r="256">
      <c r="A256" s="18" t="inlineStr">
        <is>
          <t>단기차입금 순증감</t>
        </is>
      </c>
      <c r="R256" s="20" t="n">
        <v>460</v>
      </c>
      <c r="S256" s="20" t="n">
        <v>-730</v>
      </c>
    </row>
    <row r="257">
      <c r="A257" s="18" t="inlineStr">
        <is>
          <t>주식 발행</t>
        </is>
      </c>
      <c r="R257" s="20" t="n">
        <v>0</v>
      </c>
      <c r="S257" s="20" t="n">
        <v>2116.215</v>
      </c>
    </row>
    <row r="258">
      <c r="A258" s="18" t="inlineStr">
        <is>
          <t>장기차입</t>
        </is>
      </c>
      <c r="F258" s="20" t="n">
        <v>1260</v>
      </c>
      <c r="J258" s="20" t="n">
        <v>0</v>
      </c>
      <c r="N258" s="20" t="n">
        <v>250</v>
      </c>
      <c r="U258" s="20" t="n">
        <v>0</v>
      </c>
      <c r="V258" s="20" t="n">
        <v>1260</v>
      </c>
      <c r="W258" s="20" t="n">
        <v>0</v>
      </c>
      <c r="X258" s="20" t="n">
        <v>250</v>
      </c>
    </row>
    <row r="259">
      <c r="A259" s="18" t="inlineStr">
        <is>
          <t>장기차입금 상환</t>
        </is>
      </c>
      <c r="D259" s="20" t="n">
        <v>0</v>
      </c>
      <c r="F259" s="20" t="n">
        <v>-48.292</v>
      </c>
      <c r="H259" s="20" t="n">
        <v>-110.831</v>
      </c>
      <c r="J259" s="20" t="n">
        <v>-215.786</v>
      </c>
      <c r="L259" s="20" t="n">
        <v>-104.994</v>
      </c>
      <c r="N259" s="20" t="n">
        <v>-226.576</v>
      </c>
      <c r="U259" s="20" t="n">
        <v>0</v>
      </c>
      <c r="V259" s="20" t="n">
        <v>-48.292</v>
      </c>
      <c r="W259" s="20" t="n">
        <v>-215.786</v>
      </c>
      <c r="X259" s="20" t="n">
        <v>-226.576</v>
      </c>
    </row>
    <row r="260">
      <c r="A260" s="18" t="inlineStr">
        <is>
          <t>신주예약권 행사에 따른 주식 발행</t>
        </is>
      </c>
      <c r="D260" s="20" t="n">
        <v>7.387</v>
      </c>
      <c r="F260" s="20" t="n">
        <v>7.511</v>
      </c>
      <c r="H260" s="20" t="n">
        <v>0.165</v>
      </c>
      <c r="J260" s="20" t="n">
        <v>10.822</v>
      </c>
      <c r="L260" s="20" t="n">
        <v>0.664</v>
      </c>
      <c r="N260" s="20" t="n">
        <v>2.502</v>
      </c>
      <c r="T260" s="20" t="n">
        <v>146.906</v>
      </c>
      <c r="U260" s="20" t="n">
        <v>29.221</v>
      </c>
      <c r="V260" s="20" t="n">
        <v>7.511</v>
      </c>
      <c r="W260" s="20" t="n">
        <v>10.822</v>
      </c>
      <c r="X260" s="20" t="n">
        <v>2.502</v>
      </c>
    </row>
    <row r="261">
      <c r="A261" s="18" t="inlineStr">
        <is>
          <t>신주예약권 발행</t>
        </is>
      </c>
      <c r="D261" s="20" t="n">
        <v>0</v>
      </c>
      <c r="F261" s="20" t="n">
        <v>0.24</v>
      </c>
      <c r="H261" s="20" t="n">
        <v>0.011</v>
      </c>
      <c r="J261" s="20" t="n">
        <v>0.257</v>
      </c>
      <c r="L261" s="20" t="n">
        <v>0.145</v>
      </c>
      <c r="N261" s="20" t="n">
        <v>0.145</v>
      </c>
      <c r="T261" s="20" t="n">
        <v>17</v>
      </c>
      <c r="U261" s="20" t="n">
        <v>7</v>
      </c>
      <c r="V261" s="20" t="n">
        <v>0.24</v>
      </c>
      <c r="W261" s="20" t="n">
        <v>0.257</v>
      </c>
      <c r="X261" s="20" t="n">
        <v>0.145</v>
      </c>
    </row>
    <row r="262">
      <c r="A262" s="18" t="inlineStr">
        <is>
          <t>사채 상환</t>
        </is>
      </c>
      <c r="D262" s="20" t="n">
        <v>0</v>
      </c>
      <c r="F262" s="20" t="n">
        <v>0</v>
      </c>
      <c r="H262" s="20" t="n">
        <v>-10</v>
      </c>
      <c r="J262" s="20" t="n">
        <v>-20</v>
      </c>
      <c r="L262" s="20" t="n">
        <v>-10</v>
      </c>
      <c r="N262" s="20" t="n">
        <v>-20</v>
      </c>
      <c r="V262" s="20" t="n">
        <v>0</v>
      </c>
      <c r="W262" s="20" t="n">
        <v>-20</v>
      </c>
      <c r="X262" s="20" t="n">
        <v>-20</v>
      </c>
    </row>
    <row r="263">
      <c r="A263" s="18" t="inlineStr">
        <is>
          <t>비지배주주 납입</t>
        </is>
      </c>
      <c r="D263" s="20" t="n">
        <v>414.7</v>
      </c>
      <c r="F263" s="20" t="n">
        <v>414.7</v>
      </c>
      <c r="H263" s="20" t="n">
        <v>0</v>
      </c>
      <c r="J263" s="20" t="n">
        <v>0</v>
      </c>
      <c r="T263" s="20" t="n">
        <v>475</v>
      </c>
      <c r="U263" s="20" t="n">
        <v>725</v>
      </c>
      <c r="V263" s="20" t="n">
        <v>414.7</v>
      </c>
      <c r="W263" s="20" t="n">
        <v>0</v>
      </c>
    </row>
    <row r="264">
      <c r="A264" s="18" t="inlineStr">
        <is>
          <t>자기주식 취득</t>
        </is>
      </c>
      <c r="D264" s="20" t="n">
        <v>0</v>
      </c>
      <c r="F264" s="20" t="n">
        <v>0</v>
      </c>
      <c r="H264" s="20" t="n">
        <v>-96.8</v>
      </c>
      <c r="J264" s="20" t="n">
        <v>-518.109</v>
      </c>
      <c r="L264" s="20" t="n">
        <v>-99.98099999999999</v>
      </c>
      <c r="N264" s="20" t="n">
        <v>-99.98099999999999</v>
      </c>
      <c r="V264" s="20" t="n">
        <v>0</v>
      </c>
      <c r="W264" s="20" t="n">
        <v>-518.109</v>
      </c>
      <c r="X264" s="20" t="n">
        <v>-99.98099999999999</v>
      </c>
    </row>
    <row r="265">
      <c r="A265" s="18" t="inlineStr">
        <is>
          <t>비지배주주 배당금 지급</t>
        </is>
      </c>
      <c r="F265" s="20" t="n">
        <v>-4.465</v>
      </c>
      <c r="J265" s="20" t="n">
        <v>0</v>
      </c>
      <c r="U265" s="20" t="n">
        <v>0</v>
      </c>
      <c r="V265" s="20" t="n">
        <v>-4.465</v>
      </c>
      <c r="W265" s="20" t="n">
        <v>0</v>
      </c>
    </row>
    <row r="266">
      <c r="A266" s="9" t="inlineStr">
        <is>
          <t>재무활동 현금흐름</t>
        </is>
      </c>
      <c r="D266" s="12" t="n">
        <v>422.087</v>
      </c>
      <c r="F266" s="12" t="n">
        <v>1629.693</v>
      </c>
      <c r="H266" s="12" t="n">
        <v>-217.455</v>
      </c>
      <c r="J266" s="12" t="n">
        <v>-742.816</v>
      </c>
      <c r="L266" s="12" t="n">
        <v>-214.165</v>
      </c>
      <c r="N266" s="12" t="n">
        <v>-93.908</v>
      </c>
      <c r="R266" s="12" t="n">
        <v>460</v>
      </c>
      <c r="S266" s="12" t="n">
        <v>1386.215</v>
      </c>
      <c r="T266" s="12" t="n">
        <v>638.9059999999999</v>
      </c>
      <c r="U266" s="12" t="n">
        <v>761.221</v>
      </c>
      <c r="V266" s="12" t="n">
        <v>1629.693</v>
      </c>
      <c r="W266" s="12" t="n">
        <v>-742.816</v>
      </c>
      <c r="X266" s="12" t="n">
        <v>-93.908</v>
      </c>
    </row>
    <row r="267">
      <c r="A267" s="18" t="inlineStr">
        <is>
          <t>현금성자산 증감</t>
        </is>
      </c>
      <c r="D267" s="20" t="n">
        <v>529.373</v>
      </c>
      <c r="F267" s="20" t="n">
        <v>911.591</v>
      </c>
      <c r="H267" s="20" t="n">
        <v>-441.013</v>
      </c>
      <c r="J267" s="20" t="n">
        <v>-969.322</v>
      </c>
      <c r="L267" s="20" t="n">
        <v>74.744</v>
      </c>
      <c r="N267" s="20" t="n">
        <v>463.585</v>
      </c>
      <c r="R267" s="20" t="n">
        <v>543.8869999999999</v>
      </c>
      <c r="S267" s="20" t="n">
        <v>2034.723</v>
      </c>
      <c r="T267" s="20" t="n">
        <v>-267.954</v>
      </c>
      <c r="U267" s="20" t="n">
        <v>-57.213</v>
      </c>
      <c r="V267" s="20" t="n">
        <v>911.591</v>
      </c>
      <c r="W267" s="20" t="n">
        <v>-969.322</v>
      </c>
      <c r="X267" s="20" t="n">
        <v>463.585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0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코코나라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2025.4Q</t>
        </is>
      </c>
      <c r="D3" s="5" t="inlineStr">
        <is>
          <t>2026.1Q</t>
        </is>
      </c>
      <c r="E3" s="5" t="inlineStr">
        <is>
          <t>2026.2Q</t>
        </is>
      </c>
      <c r="F3" s="5" t="inlineStr">
        <is>
          <t>2026.3Q</t>
        </is>
      </c>
      <c r="G3" s="5" t="inlineStr">
        <is>
          <t>2026.4Q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4248.143</v>
      </c>
      <c r="D5" s="12" t="n">
        <v>4299.381</v>
      </c>
      <c r="E5" s="12" t="n">
        <v>4333.495</v>
      </c>
      <c r="F5" s="12" t="n">
        <v>4428.809</v>
      </c>
      <c r="G5" s="12" t="n">
        <v>4639.193</v>
      </c>
      <c r="H5" s="11" t="n">
        <v>3578.372</v>
      </c>
      <c r="I5" s="12" t="n">
        <v>3690.665</v>
      </c>
      <c r="J5" s="12" t="n">
        <v>5240.113</v>
      </c>
      <c r="K5" s="12" t="n">
        <v>4248.143</v>
      </c>
      <c r="L5" s="12" t="n">
        <v>4639.193</v>
      </c>
    </row>
    <row r="6">
      <c r="A6" s="18" t="inlineStr">
        <is>
          <t>현금및현금성자산</t>
        </is>
      </c>
      <c r="B6" s="10" t="n"/>
      <c r="C6" s="19" t="n">
        <v>2936</v>
      </c>
      <c r="D6" s="20" t="n">
        <v>2941.266</v>
      </c>
      <c r="E6" s="20" t="n">
        <v>3010.744</v>
      </c>
      <c r="F6" s="20" t="n">
        <v>3097.136</v>
      </c>
      <c r="G6" s="20" t="n">
        <v>3399.586</v>
      </c>
      <c r="H6" s="19" t="n">
        <v>3050.945</v>
      </c>
      <c r="I6" s="20" t="n">
        <v>2993.732</v>
      </c>
      <c r="J6" s="20" t="n">
        <v>3905.323</v>
      </c>
      <c r="K6" s="20" t="n">
        <v>2936</v>
      </c>
      <c r="L6" s="20" t="n">
        <v>3399.586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874.5890000000001</v>
      </c>
      <c r="D8" s="20" t="n">
        <v>902.539</v>
      </c>
      <c r="E8" s="20" t="n">
        <v>890.152</v>
      </c>
      <c r="F8" s="20" t="n">
        <v>952.8630000000001</v>
      </c>
      <c r="G8" s="20" t="n">
        <v>944.601</v>
      </c>
      <c r="H8" s="19" t="n">
        <v>333.364</v>
      </c>
      <c r="I8" s="20" t="n">
        <v>475.7</v>
      </c>
      <c r="J8" s="20" t="n">
        <v>930.7329999999999</v>
      </c>
      <c r="K8" s="20" t="n">
        <v>874.5890000000001</v>
      </c>
      <c r="L8" s="20" t="n">
        <v>944.601</v>
      </c>
    </row>
    <row r="9">
      <c r="A9" s="18" t="inlineStr">
        <is>
          <t>재고자산</t>
        </is>
      </c>
      <c r="B9" s="10" t="n"/>
      <c r="C9" s="19" t="n"/>
      <c r="D9" s="20" t="n"/>
      <c r="E9" s="20" t="n"/>
      <c r="F9" s="20" t="n"/>
      <c r="G9" s="20" t="n"/>
      <c r="H9" s="19" t="n"/>
      <c r="I9" s="20" t="n"/>
      <c r="J9" s="20" t="n"/>
      <c r="K9" s="20" t="n"/>
      <c r="L9" s="20" t="n"/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2074.992</v>
      </c>
      <c r="D11" s="12" t="n">
        <v>2054.058</v>
      </c>
      <c r="E11" s="12" t="n">
        <v>2017.841</v>
      </c>
      <c r="F11" s="12" t="n">
        <v>2180.126</v>
      </c>
      <c r="G11" s="12" t="n">
        <v>2182.399</v>
      </c>
      <c r="H11" s="11" t="n">
        <v>749.025</v>
      </c>
      <c r="I11" s="12" t="n">
        <v>1542.249</v>
      </c>
      <c r="J11" s="12" t="n">
        <v>3008.603</v>
      </c>
      <c r="K11" s="12" t="n">
        <v>2074.992</v>
      </c>
      <c r="L11" s="12" t="n">
        <v>2182.399</v>
      </c>
    </row>
    <row r="12">
      <c r="A12" s="18" t="inlineStr">
        <is>
          <t>유형자산</t>
        </is>
      </c>
      <c r="B12" s="10" t="n"/>
      <c r="C12" s="19" t="n">
        <v>178.896</v>
      </c>
      <c r="D12" s="20" t="n">
        <v>187.036</v>
      </c>
      <c r="E12" s="20" t="n">
        <v>183.835</v>
      </c>
      <c r="F12" s="20" t="n">
        <v>165.96</v>
      </c>
      <c r="G12" s="20" t="n">
        <v>150.151</v>
      </c>
      <c r="H12" s="19" t="n">
        <v>114.623</v>
      </c>
      <c r="I12" s="20" t="n">
        <v>184.62</v>
      </c>
      <c r="J12" s="20" t="n">
        <v>232.826</v>
      </c>
      <c r="K12" s="20" t="n">
        <v>178.896</v>
      </c>
      <c r="L12" s="20" t="n">
        <v>150.151</v>
      </c>
    </row>
    <row r="13">
      <c r="A13" s="18" t="inlineStr">
        <is>
          <t>무형자산</t>
        </is>
      </c>
      <c r="B13" s="10" t="n"/>
      <c r="C13" s="19" t="n">
        <v>1252.402</v>
      </c>
      <c r="D13" s="20" t="n">
        <v>1219.284</v>
      </c>
      <c r="E13" s="20" t="n">
        <v>1190.852</v>
      </c>
      <c r="F13" s="20" t="n">
        <v>1342.297</v>
      </c>
      <c r="G13" s="20" t="n">
        <v>1297.897</v>
      </c>
      <c r="H13" s="19" t="n">
        <v>10.674</v>
      </c>
      <c r="I13" s="20" t="n">
        <v>208.287</v>
      </c>
      <c r="J13" s="20" t="n">
        <v>1403.78</v>
      </c>
      <c r="K13" s="20" t="n">
        <v>1252.402</v>
      </c>
      <c r="L13" s="20" t="n">
        <v>1297.897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6325.234</v>
      </c>
      <c r="D16" s="12" t="n">
        <v>6354.843</v>
      </c>
      <c r="E16" s="12" t="n">
        <v>6352.633</v>
      </c>
      <c r="F16" s="12" t="n">
        <v>6610.124</v>
      </c>
      <c r="G16" s="12" t="n">
        <v>6822.672</v>
      </c>
      <c r="H16" s="11" t="n">
        <v>4327.398</v>
      </c>
      <c r="I16" s="12" t="n">
        <v>5232.914</v>
      </c>
      <c r="J16" s="12" t="n">
        <v>8254.77</v>
      </c>
      <c r="K16" s="12" t="n">
        <v>6325.234</v>
      </c>
      <c r="L16" s="12" t="n">
        <v>6822.672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2778.232</v>
      </c>
      <c r="D18" s="12" t="n">
        <v>2763.958</v>
      </c>
      <c r="E18" s="12" t="n">
        <v>2779.904</v>
      </c>
      <c r="F18" s="12" t="n">
        <v>2751.89</v>
      </c>
      <c r="G18" s="12" t="n">
        <v>2927.37</v>
      </c>
      <c r="H18" s="11" t="n">
        <v>1889.731</v>
      </c>
      <c r="I18" s="12" t="n">
        <v>2089.497</v>
      </c>
      <c r="J18" s="12" t="n">
        <v>3105.13</v>
      </c>
      <c r="K18" s="12" t="n">
        <v>2778.232</v>
      </c>
      <c r="L18" s="12" t="n">
        <v>2927.37</v>
      </c>
    </row>
    <row r="19">
      <c r="A19" s="18" t="inlineStr">
        <is>
          <t>매입채무</t>
        </is>
      </c>
      <c r="B19" s="10" t="n"/>
      <c r="C19" s="19" t="n">
        <v>270.457</v>
      </c>
      <c r="D19" s="20" t="n">
        <v>273.234</v>
      </c>
      <c r="E19" s="20" t="n">
        <v>293.012</v>
      </c>
      <c r="F19" s="20" t="n">
        <v>288.602</v>
      </c>
      <c r="G19" s="20" t="n">
        <v>309.661</v>
      </c>
      <c r="H19" s="19" t="n">
        <v>0</v>
      </c>
      <c r="I19" s="20" t="n">
        <v>62.974</v>
      </c>
      <c r="J19" s="20" t="n">
        <v>375.514</v>
      </c>
      <c r="K19" s="20" t="n">
        <v>270.457</v>
      </c>
      <c r="L19" s="20" t="n">
        <v>309.661</v>
      </c>
    </row>
    <row r="20">
      <c r="A20" s="18" t="inlineStr">
        <is>
          <t>단기차입금</t>
        </is>
      </c>
      <c r="B20" s="10" t="n"/>
      <c r="C20" s="19" t="n">
        <v>0</v>
      </c>
      <c r="D20" s="20" t="n">
        <v>40</v>
      </c>
      <c r="E20" s="20" t="n"/>
      <c r="F20" s="20" t="n"/>
      <c r="G20" s="20" t="n"/>
      <c r="H20" s="19" t="n"/>
      <c r="I20" s="20" t="n"/>
      <c r="J20" s="20" t="n">
        <v>0</v>
      </c>
      <c r="K20" s="20" t="n">
        <v>0</v>
      </c>
      <c r="L20" s="20" t="n"/>
    </row>
    <row r="21">
      <c r="A21" s="18" t="inlineStr">
        <is>
          <t>유동성장기부채</t>
        </is>
      </c>
      <c r="B21" s="10" t="n"/>
      <c r="C21" s="19" t="n">
        <v>229.988</v>
      </c>
      <c r="D21" s="20" t="n">
        <v>229.988</v>
      </c>
      <c r="E21" s="20" t="n">
        <v>229.988</v>
      </c>
      <c r="F21" s="20" t="n">
        <v>267.2</v>
      </c>
      <c r="G21" s="20" t="n">
        <v>267.22</v>
      </c>
      <c r="H21" s="19" t="n"/>
      <c r="I21" s="20" t="n">
        <v>0</v>
      </c>
      <c r="J21" s="20" t="n">
        <v>235.786</v>
      </c>
      <c r="K21" s="20" t="n">
        <v>229.988</v>
      </c>
      <c r="L21" s="20" t="n">
        <v>267.22</v>
      </c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1129.739</v>
      </c>
      <c r="D23" s="12" t="n">
        <v>1063.067</v>
      </c>
      <c r="E23" s="12" t="n">
        <v>1006.394</v>
      </c>
      <c r="F23" s="12" t="n">
        <v>1149.557</v>
      </c>
      <c r="G23" s="12" t="n">
        <v>1082.604</v>
      </c>
      <c r="H23" s="11" t="n">
        <v>0</v>
      </c>
      <c r="I23" s="12" t="n">
        <v>17.453</v>
      </c>
      <c r="J23" s="12" t="n">
        <v>1363.554</v>
      </c>
      <c r="K23" s="12" t="n">
        <v>1129.739</v>
      </c>
      <c r="L23" s="12" t="n">
        <v>1082.604</v>
      </c>
    </row>
    <row r="24">
      <c r="A24" s="18" t="inlineStr">
        <is>
          <t>장기차입금</t>
        </is>
      </c>
      <c r="B24" s="10" t="n"/>
      <c r="C24" s="19" t="n">
        <v>934.201</v>
      </c>
      <c r="D24" s="20" t="n">
        <v>881.704</v>
      </c>
      <c r="E24" s="20" t="n">
        <v>829.207</v>
      </c>
      <c r="F24" s="20" t="n">
        <v>986.546</v>
      </c>
      <c r="G24" s="20" t="n">
        <v>923.768</v>
      </c>
      <c r="H24" s="19" t="n"/>
      <c r="I24" s="20" t="n">
        <v>0</v>
      </c>
      <c r="J24" s="20" t="n">
        <v>1144.189</v>
      </c>
      <c r="K24" s="20" t="n">
        <v>934.201</v>
      </c>
      <c r="L24" s="20" t="n">
        <v>923.768</v>
      </c>
    </row>
    <row r="25">
      <c r="A25" s="18" t="inlineStr">
        <is>
          <t>사채</t>
        </is>
      </c>
      <c r="B25" s="10" t="n"/>
      <c r="C25" s="19" t="n">
        <v>60</v>
      </c>
      <c r="D25" s="20" t="n">
        <v>50</v>
      </c>
      <c r="E25" s="20" t="n">
        <v>50</v>
      </c>
      <c r="F25" s="20" t="n">
        <v>40</v>
      </c>
      <c r="G25" s="20" t="n">
        <v>40</v>
      </c>
      <c r="H25" s="19" t="n"/>
      <c r="I25" s="20" t="n">
        <v>0</v>
      </c>
      <c r="J25" s="20" t="n">
        <v>80</v>
      </c>
      <c r="K25" s="20" t="n">
        <v>60</v>
      </c>
      <c r="L25" s="20" t="n">
        <v>40</v>
      </c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3907.972</v>
      </c>
      <c r="D27" s="12" t="n">
        <v>3827.025</v>
      </c>
      <c r="E27" s="12" t="n">
        <v>3786.299</v>
      </c>
      <c r="F27" s="12" t="n">
        <v>3901.448</v>
      </c>
      <c r="G27" s="12" t="n">
        <v>4009.974</v>
      </c>
      <c r="H27" s="11" t="n">
        <v>1889.731</v>
      </c>
      <c r="I27" s="12" t="n">
        <v>2106.951</v>
      </c>
      <c r="J27" s="12" t="n">
        <v>4468.684</v>
      </c>
      <c r="K27" s="12" t="n">
        <v>3907.972</v>
      </c>
      <c r="L27" s="12" t="n">
        <v>4009.974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2011.694</v>
      </c>
      <c r="D31" s="12" t="n">
        <v>2082.686</v>
      </c>
      <c r="E31" s="12" t="n">
        <v>2106.166</v>
      </c>
      <c r="F31" s="12" t="n">
        <v>2237.451</v>
      </c>
      <c r="G31" s="12" t="n">
        <v>2334.003</v>
      </c>
      <c r="H31" s="11" t="n">
        <v>1987.278</v>
      </c>
      <c r="I31" s="12" t="n">
        <v>1946.102</v>
      </c>
      <c r="J31" s="12" t="n">
        <v>2202.208</v>
      </c>
      <c r="K31" s="12" t="n">
        <v>2011.694</v>
      </c>
      <c r="L31" s="12" t="n">
        <v>2334.003</v>
      </c>
    </row>
    <row r="32">
      <c r="A32" s="18" t="inlineStr">
        <is>
          <t>자본금</t>
        </is>
      </c>
      <c r="B32" s="10" t="n"/>
      <c r="C32" s="19" t="n">
        <v>1255.356</v>
      </c>
      <c r="D32" s="20" t="n">
        <v>1255.563</v>
      </c>
      <c r="E32" s="20" t="n">
        <v>1255.688</v>
      </c>
      <c r="F32" s="20" t="n">
        <v>1255.771</v>
      </c>
      <c r="G32" s="20" t="n">
        <v>1258.268</v>
      </c>
      <c r="H32" s="19" t="n">
        <v>1221.56</v>
      </c>
      <c r="I32" s="20" t="n">
        <v>1238.686</v>
      </c>
      <c r="J32" s="20" t="n">
        <v>1244.957</v>
      </c>
      <c r="K32" s="20" t="n">
        <v>1255.356</v>
      </c>
      <c r="L32" s="20" t="n">
        <v>1258.268</v>
      </c>
    </row>
    <row r="33">
      <c r="A33" s="18" t="inlineStr">
        <is>
          <t>이익잉여금</t>
        </is>
      </c>
      <c r="B33" s="10" t="n"/>
      <c r="C33" s="19" t="n">
        <v>255.323</v>
      </c>
      <c r="D33" s="20" t="n">
        <v>325.9</v>
      </c>
      <c r="E33" s="20" t="n">
        <v>413.112</v>
      </c>
      <c r="F33" s="20" t="n">
        <v>544.232</v>
      </c>
      <c r="G33" s="20" t="n">
        <v>635.789</v>
      </c>
      <c r="H33" s="19" t="n">
        <v>-1601.139</v>
      </c>
      <c r="I33" s="20" t="n">
        <v>-1677.039</v>
      </c>
      <c r="J33" s="20" t="n">
        <v>-1433.41</v>
      </c>
      <c r="K33" s="20" t="n">
        <v>255.323</v>
      </c>
      <c r="L33" s="20" t="n">
        <v>635.789</v>
      </c>
    </row>
    <row r="34">
      <c r="A34" s="18" t="inlineStr">
        <is>
          <t>비지배지분</t>
        </is>
      </c>
      <c r="B34" s="10" t="n"/>
      <c r="C34" s="19" t="n">
        <v>4.452</v>
      </c>
      <c r="D34" s="20" t="n">
        <v>3.728</v>
      </c>
      <c r="E34" s="20" t="n">
        <v>3.998</v>
      </c>
      <c r="F34" s="20" t="n">
        <v>4.185</v>
      </c>
      <c r="G34" s="20" t="n">
        <v>4.787</v>
      </c>
      <c r="H34" s="19" t="n">
        <v>437.888</v>
      </c>
      <c r="I34" s="20" t="n">
        <v>1068.862</v>
      </c>
      <c r="J34" s="20" t="n">
        <v>1340.454</v>
      </c>
      <c r="K34" s="20" t="n">
        <v>4.452</v>
      </c>
      <c r="L34" s="20" t="n">
        <v>4.787</v>
      </c>
    </row>
    <row r="35">
      <c r="A35" s="9" t="inlineStr">
        <is>
          <t>자본총계</t>
        </is>
      </c>
      <c r="B35" s="10" t="n"/>
      <c r="C35" s="11" t="n">
        <v>2417.262</v>
      </c>
      <c r="D35" s="12" t="n">
        <v>2527.818</v>
      </c>
      <c r="E35" s="12" t="n">
        <v>2566.334</v>
      </c>
      <c r="F35" s="12" t="n">
        <v>2708.675</v>
      </c>
      <c r="G35" s="12" t="n">
        <v>2812.698</v>
      </c>
      <c r="H35" s="11" t="n">
        <v>2437.666</v>
      </c>
      <c r="I35" s="12" t="n">
        <v>3125.963</v>
      </c>
      <c r="J35" s="12" t="n">
        <v>3786.085</v>
      </c>
      <c r="K35" s="12" t="n">
        <v>2417.262</v>
      </c>
      <c r="L35" s="12" t="n">
        <v>2812.698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>
        <v>255.082</v>
      </c>
      <c r="D37" s="12" t="n"/>
      <c r="E37" s="12" t="n">
        <v>603.697</v>
      </c>
      <c r="F37" s="12" t="n"/>
      <c r="G37" s="12" t="n">
        <v>832.5359999999999</v>
      </c>
      <c r="H37" s="11" t="n">
        <v>-419.817</v>
      </c>
      <c r="I37" s="12" t="n">
        <v>114.229</v>
      </c>
      <c r="J37" s="12" t="n">
        <v>618.444</v>
      </c>
      <c r="K37" s="12" t="n">
        <v>255.082</v>
      </c>
      <c r="L37" s="12" t="n">
        <v>832.5359999999999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>
        <v>16.716</v>
      </c>
      <c r="D38" s="20" t="n"/>
      <c r="E38" s="20" t="n">
        <v>70.374</v>
      </c>
      <c r="F38" s="20" t="n"/>
      <c r="G38" s="20" t="n">
        <v>60.005</v>
      </c>
      <c r="H38" s="19" t="n">
        <v>45.976</v>
      </c>
      <c r="I38" s="20" t="n">
        <v>98.575</v>
      </c>
      <c r="J38" s="20" t="n">
        <v>3.841</v>
      </c>
      <c r="K38" s="20" t="n">
        <v>16.716</v>
      </c>
      <c r="L38" s="20" t="n">
        <v>60.005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/>
      <c r="D40" s="20" t="n"/>
      <c r="E40" s="20" t="n"/>
      <c r="F40" s="20" t="n"/>
      <c r="G40" s="20" t="n"/>
      <c r="H40" s="19" t="n"/>
      <c r="I40" s="20" t="n"/>
      <c r="J40" s="20" t="n"/>
      <c r="K40" s="20" t="n"/>
      <c r="L40" s="20" t="n"/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IFERROR((IF(COUNT('연간'!G28:J28)&lt;4,"",SUM('연간'!G28:J28)))/(IF(COUNT('연간'!G50:J50)&lt;4,"",SUM('연간'!G50:J50))),"")</f>
        <v/>
      </c>
      <c r="D48" s="31">
        <f>IFERROR((IF(COUNT('연간'!H28:K28)&lt;4,"",SUM('연간'!H28:K28)))/(IF(COUNT('연간'!H50:K50)&lt;4,"",SUM('연간'!H50:K50))),"")</f>
        <v/>
      </c>
      <c r="E48" s="31">
        <f>IFERROR((IF(COUNT('연간'!I28:L28)&lt;4,"",SUM('연간'!I28:L28)))/(IF(COUNT('연간'!I50:L50)&lt;4,"",SUM('연간'!I50:L50))),"")</f>
        <v/>
      </c>
      <c r="F48" s="31">
        <f>IFERROR((IF(COUNT('연간'!J28:M28)&lt;4,"",SUM('연간'!J28:M28)))/(IF(COUNT('연간'!J50:M50)&lt;4,"",SUM('연간'!J50:M50))),"")</f>
        <v/>
      </c>
      <c r="G48" s="31">
        <f>IFERROR((IF(COUNT('연간'!K28:N28)&lt;4,"",SUM('연간'!K28:N28)))/(IF(COUNT('연간'!K50:N50)&lt;4,"",SUM('연간'!K50:N50))),"")</f>
        <v/>
      </c>
      <c r="H48" s="30">
        <f>IFERROR(('연간'!T28)/('연간'!T50),"")</f>
        <v/>
      </c>
      <c r="I48" s="31">
        <f>IFERROR(('연간'!U28)/('연간'!U50),"")</f>
        <v/>
      </c>
      <c r="J48" s="31">
        <f>IFERROR(('연간'!V28)/('연간'!V50),"")</f>
        <v/>
      </c>
      <c r="K48" s="31">
        <f>IFERROR(('연간'!W28)/('연간'!W50),"")</f>
        <v/>
      </c>
      <c r="L48" s="31">
        <f>IFERROR(('연간'!X28)/('연간'!X50),"")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IFERROR(IF((IF(COUNT('연간'!G58:J58)&lt;4,"",SUM('연간'!G58:J58)))&lt;=0,"적자",C28/(IF(COUNT('연간'!G58:J58)&lt;4,"",SUM('연간'!G58:J58)))),"")</f>
        <v/>
      </c>
      <c r="D49" s="47">
        <f>IFERROR(IF((IF(COUNT('연간'!H58:K58)&lt;4,"",SUM('연간'!H58:K58)))&lt;=0,"적자",D28/(IF(COUNT('연간'!H58:K58)&lt;4,"",SUM('연간'!H58:K58)))),"")</f>
        <v/>
      </c>
      <c r="E49" s="47">
        <f>IFERROR(IF((IF(COUNT('연간'!I58:L58)&lt;4,"",SUM('연간'!I58:L58)))&lt;=0,"적자",E28/(IF(COUNT('연간'!I58:L58)&lt;4,"",SUM('연간'!I58:L58)))),"")</f>
        <v/>
      </c>
      <c r="F49" s="47">
        <f>IFERROR(IF((IF(COUNT('연간'!J58:M58)&lt;4,"",SUM('연간'!J58:M58)))&lt;=0,"적자",F28/(IF(COUNT('연간'!J58:M58)&lt;4,"",SUM('연간'!J58:M58)))),"")</f>
        <v/>
      </c>
      <c r="G49" s="47">
        <f>IFERROR(IF((IF(COUNT('연간'!K58:N58)&lt;4,"",SUM('연간'!K58:N58)))&lt;=0,"적자",G28/(IF(COUNT('연간'!K58:N58)&lt;4,"",SUM('연간'!K58:N58)))),"")</f>
        <v/>
      </c>
      <c r="H49" s="46">
        <f>IFERROR(IF(('연간'!T58)&lt;=0,"적자",H28/('연간'!T58)),"")</f>
        <v/>
      </c>
      <c r="I49" s="47">
        <f>IFERROR(IF(('연간'!U58)&lt;=0,"적자",I28/('연간'!U58)),"")</f>
        <v/>
      </c>
      <c r="J49" s="47">
        <f>IFERROR(IF(('연간'!V58)&lt;=0,"적자",J28/('연간'!V58)),"")</f>
        <v/>
      </c>
      <c r="K49" s="47">
        <f>IFERROR(IF(('연간'!W58)&lt;=0,"적자",K28/('연간'!W58)),"")</f>
        <v/>
      </c>
      <c r="L49" s="47">
        <f>IFERROR(IF(('연간'!X58)&lt;=0,"적자",L28/('연간'!X58)),"")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IFERROR((IF(COUNT('연간'!G58:J58)&lt;4,"",SUM('연간'!G58:J58)))/C31,"")</f>
        <v/>
      </c>
      <c r="D51" s="36">
        <f>IFERROR((IF(COUNT('연간'!H58:K58)&lt;4,"",SUM('연간'!H58:K58)))/D31,"")</f>
        <v/>
      </c>
      <c r="E51" s="36">
        <f>IFERROR((IF(COUNT('연간'!I58:L58)&lt;4,"",SUM('연간'!I58:L58)))/E31,"")</f>
        <v/>
      </c>
      <c r="F51" s="36">
        <f>IFERROR((IF(COUNT('연간'!J58:M58)&lt;4,"",SUM('연간'!J58:M58)))/F31,"")</f>
        <v/>
      </c>
      <c r="G51" s="36">
        <f>IFERROR((IF(COUNT('연간'!K58:N58)&lt;4,"",SUM('연간'!K58:N58)))/G31,"")</f>
        <v/>
      </c>
      <c r="H51" s="35">
        <f>IFERROR(('연간'!T58)/H31,"")</f>
        <v/>
      </c>
      <c r="I51" s="36">
        <f>IFERROR(('연간'!U58)/I31,"")</f>
        <v/>
      </c>
      <c r="J51" s="36">
        <f>IFERROR(('연간'!V58)/J31,"")</f>
        <v/>
      </c>
      <c r="K51" s="36">
        <f>IFERROR(('연간'!W58)/K31,"")</f>
        <v/>
      </c>
      <c r="L51" s="36">
        <f>IFERROR(('연간'!X58)/L31,"")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IFERROR((IF(COUNT('연간'!G56:J56)&lt;4,"",SUM('연간'!G56:J56)))/C16,"")</f>
        <v/>
      </c>
      <c r="D52" s="36">
        <f>IFERROR((IF(COUNT('연간'!H56:K56)&lt;4,"",SUM('연간'!H56:K56)))/D16,"")</f>
        <v/>
      </c>
      <c r="E52" s="36">
        <f>IFERROR((IF(COUNT('연간'!I56:L56)&lt;4,"",SUM('연간'!I56:L56)))/E16,"")</f>
        <v/>
      </c>
      <c r="F52" s="36">
        <f>IFERROR((IF(COUNT('연간'!J56:M56)&lt;4,"",SUM('연간'!J56:M56)))/F16,"")</f>
        <v/>
      </c>
      <c r="G52" s="36">
        <f>IFERROR((IF(COUNT('연간'!K56:N56)&lt;4,"",SUM('연간'!K56:N56)))/G16,"")</f>
        <v/>
      </c>
      <c r="H52" s="35">
        <f>IFERROR(('연간'!T56)/H16,"")</f>
        <v/>
      </c>
      <c r="I52" s="36">
        <f>IFERROR(('연간'!U56)/I16,"")</f>
        <v/>
      </c>
      <c r="J52" s="36">
        <f>IFERROR(('연간'!V56)/J16,"")</f>
        <v/>
      </c>
      <c r="K52" s="36">
        <f>IFERROR(('연간'!W56)/K16,"")</f>
        <v/>
      </c>
      <c r="L52" s="36">
        <f>IFERROR(('연간'!X56)/L16,"")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IFERROR((IF(COUNT('연간'!G28:J28)&lt;4,"",SUM('연간'!G28:J28)))*(1-0.3)/(C35+C29),"")</f>
        <v/>
      </c>
      <c r="D53" s="36">
        <f>IFERROR((IF(COUNT('연간'!H28:K28)&lt;4,"",SUM('연간'!H28:K28)))*(1-0.3)/(D35+D29),"")</f>
        <v/>
      </c>
      <c r="E53" s="36">
        <f>IFERROR((IF(COUNT('연간'!I28:L28)&lt;4,"",SUM('연간'!I28:L28)))*(1-0.3)/(E35+E29),"")</f>
        <v/>
      </c>
      <c r="F53" s="36">
        <f>IFERROR((IF(COUNT('연간'!J28:M28)&lt;4,"",SUM('연간'!J28:M28)))*(1-0.3)/(F35+F29),"")</f>
        <v/>
      </c>
      <c r="G53" s="36">
        <f>IFERROR((IF(COUNT('연간'!K28:N28)&lt;4,"",SUM('연간'!K28:N28)))*(1-0.3)/(G35+G29),"")</f>
        <v/>
      </c>
      <c r="H53" s="35">
        <f>IFERROR(('연간'!T28)*(1-0.3)/(H35+H29),"")</f>
        <v/>
      </c>
      <c r="I53" s="36">
        <f>IFERROR(('연간'!U28)*(1-0.3)/(I35+I29),"")</f>
        <v/>
      </c>
      <c r="J53" s="36">
        <f>IFERROR(('연간'!V28)*(1-0.3)/(J35+J29),"")</f>
        <v/>
      </c>
      <c r="K53" s="36">
        <f>IFERROR(('연간'!W28)*(1-0.3)/(K35+K29),"")</f>
        <v/>
      </c>
      <c r="L53" s="36">
        <f>IFERROR(('연간'!X28)*(1-0.3)/(L35+L29),"")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IFERROR((IF(COUNT('연간'!G22:J22)&lt;4,"",SUM('연간'!G22:J22)))/(IF(COUNT('연간'!G4:J4)&lt;4,"",SUM('연간'!G4:J4))),"")</f>
        <v/>
      </c>
      <c r="D54" s="36">
        <f>IFERROR((IF(COUNT('연간'!H22:K22)&lt;4,"",SUM('연간'!H22:K22)))/(IF(COUNT('연간'!H4:K4)&lt;4,"",SUM('연간'!H4:K4))),"")</f>
        <v/>
      </c>
      <c r="E54" s="36">
        <f>IFERROR((IF(COUNT('연간'!I22:L22)&lt;4,"",SUM('연간'!I22:L22)))/(IF(COUNT('연간'!I4:L4)&lt;4,"",SUM('연간'!I4:L4))),"")</f>
        <v/>
      </c>
      <c r="F54" s="36">
        <f>IFERROR((IF(COUNT('연간'!J22:M22)&lt;4,"",SUM('연간'!J22:M22)))/(IF(COUNT('연간'!J4:M4)&lt;4,"",SUM('연간'!J4:M4))),"")</f>
        <v/>
      </c>
      <c r="G54" s="36">
        <f>IFERROR((IF(COUNT('연간'!K22:N22)&lt;4,"",SUM('연간'!K22:N22)))/(IF(COUNT('연간'!K4:N4)&lt;4,"",SUM('연간'!K4:N4))),"")</f>
        <v/>
      </c>
      <c r="H54" s="35">
        <f>IFERROR(('연간'!T22)/('연간'!T4),"")</f>
        <v/>
      </c>
      <c r="I54" s="36">
        <f>IFERROR(('연간'!U22)/('연간'!U4),"")</f>
        <v/>
      </c>
      <c r="J54" s="36">
        <f>IFERROR(('연간'!V22)/('연간'!V4),"")</f>
        <v/>
      </c>
      <c r="K54" s="36">
        <f>IFERROR(('연간'!W22)/('연간'!W4),"")</f>
        <v/>
      </c>
      <c r="L54" s="36">
        <f>IFERROR(('연간'!X22)/('연간'!X4),"")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IFERROR((IF(COUNT('연간'!G28:J28)&lt;4,"",SUM('연간'!G28:J28)))/(IF(COUNT('연간'!G4:J4)&lt;4,"",SUM('연간'!G4:J4))),"")</f>
        <v/>
      </c>
      <c r="D55" s="36">
        <f>IFERROR((IF(COUNT('연간'!H28:K28)&lt;4,"",SUM('연간'!H28:K28)))/(IF(COUNT('연간'!H4:K4)&lt;4,"",SUM('연간'!H4:K4))),"")</f>
        <v/>
      </c>
      <c r="E55" s="36">
        <f>IFERROR((IF(COUNT('연간'!I28:L28)&lt;4,"",SUM('연간'!I28:L28)))/(IF(COUNT('연간'!I4:L4)&lt;4,"",SUM('연간'!I4:L4))),"")</f>
        <v/>
      </c>
      <c r="F55" s="36">
        <f>IFERROR((IF(COUNT('연간'!J28:M28)&lt;4,"",SUM('연간'!J28:M28)))/(IF(COUNT('연간'!J4:M4)&lt;4,"",SUM('연간'!J4:M4))),"")</f>
        <v/>
      </c>
      <c r="G55" s="36">
        <f>IFERROR((IF(COUNT('연간'!K28:N28)&lt;4,"",SUM('연간'!K28:N28)))/(IF(COUNT('연간'!K4:N4)&lt;4,"",SUM('연간'!K4:N4))),"")</f>
        <v/>
      </c>
      <c r="H55" s="35">
        <f>IFERROR(('연간'!T28)/('연간'!T4),"")</f>
        <v/>
      </c>
      <c r="I55" s="36">
        <f>IFERROR(('연간'!U28)/('연간'!U4),"")</f>
        <v/>
      </c>
      <c r="J55" s="36">
        <f>IFERROR(('연간'!V28)/('연간'!V4),"")</f>
        <v/>
      </c>
      <c r="K55" s="36">
        <f>IFERROR(('연간'!W28)/('연간'!W4),"")</f>
        <v/>
      </c>
      <c r="L55" s="36">
        <f>IFERROR(('연간'!X28)/('연간'!X4),"")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IFERROR((IF(COUNT('연간'!G56:J56)&lt;4,"",SUM('연간'!G56:J56)))/(IF(COUNT('연간'!G4:J4)&lt;4,"",SUM('연간'!G4:J4))),"")</f>
        <v/>
      </c>
      <c r="D56" s="36">
        <f>IFERROR((IF(COUNT('연간'!H56:K56)&lt;4,"",SUM('연간'!H56:K56)))/(IF(COUNT('연간'!H4:K4)&lt;4,"",SUM('연간'!H4:K4))),"")</f>
        <v/>
      </c>
      <c r="E56" s="36">
        <f>IFERROR((IF(COUNT('연간'!I56:L56)&lt;4,"",SUM('연간'!I56:L56)))/(IF(COUNT('연간'!I4:L4)&lt;4,"",SUM('연간'!I4:L4))),"")</f>
        <v/>
      </c>
      <c r="F56" s="36">
        <f>IFERROR((IF(COUNT('연간'!J56:M56)&lt;4,"",SUM('연간'!J56:M56)))/(IF(COUNT('연간'!J4:M4)&lt;4,"",SUM('연간'!J4:M4))),"")</f>
        <v/>
      </c>
      <c r="G56" s="36">
        <f>IFERROR((IF(COUNT('연간'!K56:N56)&lt;4,"",SUM('연간'!K56:N56)))/(IF(COUNT('연간'!K4:N4)&lt;4,"",SUM('연간'!K4:N4))),"")</f>
        <v/>
      </c>
      <c r="H56" s="35">
        <f>IFERROR(('연간'!T56)/('연간'!T4),"")</f>
        <v/>
      </c>
      <c r="I56" s="36">
        <f>IFERROR(('연간'!U56)/('연간'!U4),"")</f>
        <v/>
      </c>
      <c r="J56" s="36">
        <f>IFERROR(('연간'!V56)/('연간'!V4),"")</f>
        <v/>
      </c>
      <c r="K56" s="36">
        <f>IFERROR(('연간'!W56)/('연간'!W4),"")</f>
        <v/>
      </c>
      <c r="L56" s="36">
        <f>IFERROR(('연간'!X56)/('연간'!X4),"")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IFERROR(C9/(IF(COUNT('연간'!G20:J20)&lt;4,"",SUM('연간'!G20:J20)))*365,"")</f>
        <v/>
      </c>
      <c r="D60" s="49">
        <f>IFERROR(D9/(IF(COUNT('연간'!H20:K20)&lt;4,"",SUM('연간'!H20:K20)))*365,"")</f>
        <v/>
      </c>
      <c r="E60" s="49">
        <f>IFERROR(E9/(IF(COUNT('연간'!I20:L20)&lt;4,"",SUM('연간'!I20:L20)))*365,"")</f>
        <v/>
      </c>
      <c r="F60" s="49">
        <f>IFERROR(F9/(IF(COUNT('연간'!J20:M20)&lt;4,"",SUM('연간'!J20:M20)))*365,"")</f>
        <v/>
      </c>
      <c r="G60" s="49">
        <f>IFERROR(G9/(IF(COUNT('연간'!K20:N20)&lt;4,"",SUM('연간'!K20:N20)))*365,"")</f>
        <v/>
      </c>
      <c r="H60" s="48">
        <f>IFERROR(H9/('연간'!T20)*365,"")</f>
        <v/>
      </c>
      <c r="I60" s="49">
        <f>IFERROR(I9/('연간'!U20)*365,"")</f>
        <v/>
      </c>
      <c r="J60" s="49">
        <f>IFERROR(J9/('연간'!V20)*365,"")</f>
        <v/>
      </c>
      <c r="K60" s="49">
        <f>IFERROR(K9/('연간'!W20)*365,"")</f>
        <v/>
      </c>
      <c r="L60" s="49">
        <f>IFERROR(L9/('연간'!X20)*365,"")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IFERROR(C19/(IF(COUNT('연간'!G20:J20)&lt;4,"",SUM('연간'!G20:J20)))*365,"")</f>
        <v/>
      </c>
      <c r="D61" s="49">
        <f>IFERROR(D19/(IF(COUNT('연간'!H20:K20)&lt;4,"",SUM('연간'!H20:K20)))*365,"")</f>
        <v/>
      </c>
      <c r="E61" s="49">
        <f>IFERROR(E19/(IF(COUNT('연간'!I20:L20)&lt;4,"",SUM('연간'!I20:L20)))*365,"")</f>
        <v/>
      </c>
      <c r="F61" s="49">
        <f>IFERROR(F19/(IF(COUNT('연간'!J20:M20)&lt;4,"",SUM('연간'!J20:M20)))*365,"")</f>
        <v/>
      </c>
      <c r="G61" s="49">
        <f>IFERROR(G19/(IF(COUNT('연간'!K20:N20)&lt;4,"",SUM('연간'!K20:N20)))*365,"")</f>
        <v/>
      </c>
      <c r="H61" s="48">
        <f>IFERROR(H19/('연간'!T20)*365,"")</f>
        <v/>
      </c>
      <c r="I61" s="49">
        <f>IFERROR(I19/('연간'!U20)*365,"")</f>
        <v/>
      </c>
      <c r="J61" s="49">
        <f>IFERROR(J19/('연간'!V20)*365,"")</f>
        <v/>
      </c>
      <c r="K61" s="49">
        <f>IFERROR(K19/('연간'!W20)*365,"")</f>
        <v/>
      </c>
      <c r="L61" s="49">
        <f>IFERROR(L19/('연간'!X20)*365,"")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IF(C37="","",IFERROR(C37/(IF(COUNT('연간'!G56:J56)&lt;4,"",SUM('연간'!G56:J56))),""))</f>
        <v/>
      </c>
      <c r="D64" s="31">
        <f>IF(D37="","",IFERROR(D37/(IF(COUNT('연간'!H56:K56)&lt;4,"",SUM('연간'!H56:K56))),""))</f>
        <v/>
      </c>
      <c r="E64" s="31">
        <f>IF(E37="","",IFERROR(E37/(IF(COUNT('연간'!I56:L56)&lt;4,"",SUM('연간'!I56:L56))),""))</f>
        <v/>
      </c>
      <c r="F64" s="31">
        <f>IF(F37="","",IFERROR(F37/(IF(COUNT('연간'!J56:M56)&lt;4,"",SUM('연간'!J56:M56))),""))</f>
        <v/>
      </c>
      <c r="G64" s="31">
        <f>IF(G37="","",IFERROR(G37/(IF(COUNT('연간'!K56:N56)&lt;4,"",SUM('연간'!K56:N56))),""))</f>
        <v/>
      </c>
      <c r="H64" s="30">
        <f>IF(H37="","",IFERROR(H37/('연간'!T56),""))</f>
        <v/>
      </c>
      <c r="I64" s="31">
        <f>IF(I37="","",IFERROR(I37/('연간'!U56),""))</f>
        <v/>
      </c>
      <c r="J64" s="31">
        <f>IF(J37="","",IFERROR(J37/('연간'!V56),""))</f>
        <v/>
      </c>
      <c r="K64" s="31">
        <f>IF(K37="","",IFERROR(K37/('연간'!W56),""))</f>
        <v/>
      </c>
      <c r="L64" s="31">
        <f>IF(L37="","",IFERROR(L37/('연간'!X56),""))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IF(C40="","",IFERROR(C40/(IF(COUNT('연간'!G58:J58)&lt;4,"",SUM('연간'!G58:J58))),""))</f>
        <v/>
      </c>
      <c r="D67" s="36">
        <f>IF(D40="","",IFERROR(D40/(IF(COUNT('연간'!H58:K58)&lt;4,"",SUM('연간'!H58:K58))),""))</f>
        <v/>
      </c>
      <c r="E67" s="36">
        <f>IF(E40="","",IFERROR(E40/(IF(COUNT('연간'!I58:L58)&lt;4,"",SUM('연간'!I58:L58))),""))</f>
        <v/>
      </c>
      <c r="F67" s="36">
        <f>IF(F40="","",IFERROR(F40/(IF(COUNT('연간'!J58:M58)&lt;4,"",SUM('연간'!J58:M58))),""))</f>
        <v/>
      </c>
      <c r="G67" s="36">
        <f>IF(G40="","",IFERROR(G40/(IF(COUNT('연간'!K58:N58)&lt;4,"",SUM('연간'!K58:N58))),""))</f>
        <v/>
      </c>
      <c r="H67" s="35">
        <f>IF(H40="","",IFERROR(H40/('연간'!T58),""))</f>
        <v/>
      </c>
      <c r="I67" s="36">
        <f>IF(I40="","",IFERROR(I40/('연간'!U58),""))</f>
        <v/>
      </c>
      <c r="J67" s="36">
        <f>IF(J40="","",IFERROR(J40/('연간'!V58),""))</f>
        <v/>
      </c>
      <c r="K67" s="36">
        <f>IF(K40="","",IFERROR(K40/('연간'!W58),""))</f>
        <v/>
      </c>
      <c r="L67" s="36">
        <f>IF(L40="","",IFERROR(L40/('연간'!X58),""))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2025.4Q</t>
        </is>
      </c>
      <c r="D70" s="5" t="inlineStr">
        <is>
          <t>2026.1Q</t>
        </is>
      </c>
      <c r="E70" s="5" t="inlineStr">
        <is>
          <t>2026.2Q</t>
        </is>
      </c>
      <c r="F70" s="5" t="inlineStr">
        <is>
          <t>2026.3Q</t>
        </is>
      </c>
      <c r="G70" s="5" t="inlineStr">
        <is>
          <t>2026.4Q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2936</v>
      </c>
      <c r="D71" s="20" t="n">
        <v>2941.266</v>
      </c>
      <c r="E71" s="20" t="n">
        <v>3010.744</v>
      </c>
      <c r="F71" s="20" t="n">
        <v>3097.136</v>
      </c>
      <c r="G71" s="20" t="n">
        <v>3399.586</v>
      </c>
      <c r="H71" s="20" t="n">
        <v>3050.945</v>
      </c>
      <c r="I71" s="20" t="n">
        <v>2993.732</v>
      </c>
      <c r="J71" s="20" t="n">
        <v>3905.323</v>
      </c>
      <c r="K71" s="20" t="n">
        <v>2936</v>
      </c>
      <c r="L71" s="20" t="n">
        <v>3399.586</v>
      </c>
    </row>
    <row r="72">
      <c r="A72" s="18" t="inlineStr">
        <is>
          <t>매출채권</t>
        </is>
      </c>
      <c r="C72" s="20" t="n">
        <v>874.5890000000001</v>
      </c>
      <c r="D72" s="20" t="n">
        <v>902.539</v>
      </c>
      <c r="E72" s="20" t="n">
        <v>890.152</v>
      </c>
      <c r="F72" s="20" t="n">
        <v>952.8630000000001</v>
      </c>
      <c r="G72" s="20" t="n">
        <v>944.601</v>
      </c>
      <c r="H72" s="20" t="n">
        <v>333.364</v>
      </c>
      <c r="I72" s="20" t="n">
        <v>475.7</v>
      </c>
      <c r="J72" s="20" t="n">
        <v>930.7329999999999</v>
      </c>
      <c r="K72" s="20" t="n">
        <v>874.5890000000001</v>
      </c>
      <c r="L72" s="20" t="n">
        <v>944.601</v>
      </c>
    </row>
    <row r="73">
      <c r="A73" s="18" t="inlineStr">
        <is>
          <t>선급비용</t>
        </is>
      </c>
      <c r="C73" s="20" t="n">
        <v>187.444</v>
      </c>
      <c r="D73" s="20" t="n">
        <v>254.346</v>
      </c>
      <c r="E73" s="20" t="n">
        <v>242.267</v>
      </c>
      <c r="F73" s="20" t="n">
        <v>174.413</v>
      </c>
      <c r="G73" s="20" t="n">
        <v>132.902</v>
      </c>
      <c r="H73" s="20" t="n">
        <v>105.655</v>
      </c>
      <c r="I73" s="20" t="n">
        <v>116.686</v>
      </c>
      <c r="J73" s="20" t="n">
        <v>114.664</v>
      </c>
      <c r="K73" s="20" t="n">
        <v>187.444</v>
      </c>
      <c r="L73" s="20" t="n">
        <v>132.902</v>
      </c>
    </row>
    <row r="74">
      <c r="A74" s="18" t="inlineStr">
        <is>
          <t>미수 법인세 등</t>
        </is>
      </c>
      <c r="I74" s="20" t="n">
        <v>0</v>
      </c>
      <c r="J74" s="20" t="n">
        <v>1.014</v>
      </c>
    </row>
    <row r="75">
      <c r="A75" s="18" t="inlineStr">
        <is>
          <t>미수 환급법인세</t>
        </is>
      </c>
      <c r="C75" s="20" t="n">
        <v>0.002</v>
      </c>
      <c r="D75" s="20" t="n">
        <v>0.002</v>
      </c>
      <c r="E75" s="20" t="n">
        <v>0</v>
      </c>
      <c r="F75" s="20" t="n">
        <v>0</v>
      </c>
      <c r="J75" s="20" t="n">
        <v>1.014</v>
      </c>
      <c r="K75" s="20" t="n">
        <v>0.002</v>
      </c>
    </row>
    <row r="76">
      <c r="A76" s="18" t="inlineStr">
        <is>
          <t>기타</t>
        </is>
      </c>
      <c r="C76" s="20" t="n">
        <v>250.107</v>
      </c>
      <c r="D76" s="20" t="n">
        <v>201.225</v>
      </c>
      <c r="E76" s="20" t="n">
        <v>190.33</v>
      </c>
      <c r="F76" s="20" t="n">
        <v>204.397</v>
      </c>
      <c r="G76" s="20" t="n">
        <v>162.102</v>
      </c>
      <c r="H76" s="20" t="n">
        <v>88.408</v>
      </c>
      <c r="I76" s="20" t="n">
        <v>104.545</v>
      </c>
      <c r="J76" s="20" t="n">
        <v>288.377</v>
      </c>
      <c r="K76" s="20" t="n">
        <v>250.107</v>
      </c>
      <c r="L76" s="20" t="n">
        <v>162.102</v>
      </c>
    </row>
    <row r="77">
      <c r="A77" s="9" t="inlineStr">
        <is>
          <t>유동자산 합계</t>
        </is>
      </c>
      <c r="C77" s="12" t="n">
        <v>4248.143</v>
      </c>
      <c r="D77" s="12" t="n">
        <v>4299.381</v>
      </c>
      <c r="E77" s="12" t="n">
        <v>4333.495</v>
      </c>
      <c r="F77" s="12" t="n">
        <v>4428.809</v>
      </c>
      <c r="G77" s="12" t="n">
        <v>4639.193</v>
      </c>
      <c r="H77" s="12" t="n">
        <v>3578.372</v>
      </c>
      <c r="I77" s="12" t="n">
        <v>3690.665</v>
      </c>
      <c r="J77" s="12" t="n">
        <v>5240.113</v>
      </c>
      <c r="K77" s="12" t="n">
        <v>4248.143</v>
      </c>
      <c r="L77" s="12" t="n">
        <v>4639.193</v>
      </c>
    </row>
    <row r="78">
      <c r="A78" s="18" t="inlineStr">
        <is>
          <t>건물</t>
        </is>
      </c>
      <c r="C78" s="20" t="n">
        <v>261.483</v>
      </c>
      <c r="D78" s="20" t="n">
        <v>261.483</v>
      </c>
      <c r="E78" s="20" t="n">
        <v>261.794</v>
      </c>
      <c r="F78" s="20" t="n">
        <v>261.794</v>
      </c>
      <c r="G78" s="20" t="n">
        <v>261.794</v>
      </c>
      <c r="H78" s="20" t="n">
        <v>102.682</v>
      </c>
      <c r="I78" s="20" t="n">
        <v>171.161</v>
      </c>
      <c r="J78" s="20" t="n">
        <v>266.483</v>
      </c>
      <c r="K78" s="20" t="n">
        <v>261.483</v>
      </c>
      <c r="L78" s="20" t="n">
        <v>261.794</v>
      </c>
    </row>
    <row r="79">
      <c r="A79" s="18" t="inlineStr">
        <is>
          <t>공구·기구·비품</t>
        </is>
      </c>
      <c r="C79" s="20" t="n">
        <v>106.358</v>
      </c>
      <c r="D79" s="20" t="n">
        <v>100.807</v>
      </c>
      <c r="E79" s="20" t="n">
        <v>99.961</v>
      </c>
      <c r="F79" s="20" t="n">
        <v>101.139</v>
      </c>
      <c r="G79" s="20" t="n">
        <v>104.046</v>
      </c>
      <c r="H79" s="20" t="n">
        <v>82.86499999999999</v>
      </c>
      <c r="I79" s="20" t="n">
        <v>98.03400000000001</v>
      </c>
      <c r="J79" s="20" t="n">
        <v>102.423</v>
      </c>
      <c r="K79" s="20" t="n">
        <v>106.358</v>
      </c>
      <c r="L79" s="20" t="n">
        <v>104.046</v>
      </c>
    </row>
    <row r="80">
      <c r="A80" s="18" t="inlineStr">
        <is>
          <t>건설중인자산</t>
        </is>
      </c>
      <c r="C80" s="20" t="n">
        <v>0</v>
      </c>
      <c r="D80" s="20" t="n">
        <v>24.75</v>
      </c>
      <c r="E80" s="20" t="n">
        <v>24.75</v>
      </c>
      <c r="F80" s="20" t="n">
        <v>24.75</v>
      </c>
      <c r="G80" s="20" t="n">
        <v>24.75</v>
      </c>
      <c r="H80" s="20" t="n">
        <v>0</v>
      </c>
      <c r="K80" s="20" t="n">
        <v>0</v>
      </c>
      <c r="L80" s="20" t="n">
        <v>24.75</v>
      </c>
    </row>
    <row r="81">
      <c r="A81" s="18" t="inlineStr">
        <is>
          <t>감가상각누계액</t>
        </is>
      </c>
      <c r="C81" s="20" t="n">
        <v>-188.945</v>
      </c>
      <c r="D81" s="20" t="n">
        <v>-200.004</v>
      </c>
      <c r="E81" s="20" t="n">
        <v>-202.67</v>
      </c>
      <c r="F81" s="20" t="n">
        <v>-221.723</v>
      </c>
      <c r="G81" s="20" t="n">
        <v>-240.439</v>
      </c>
      <c r="H81" s="20" t="n">
        <v>-70.92400000000001</v>
      </c>
      <c r="I81" s="20" t="n">
        <v>-84.575</v>
      </c>
      <c r="J81" s="20" t="n">
        <v>-136.08</v>
      </c>
      <c r="K81" s="20" t="n">
        <v>-188.945</v>
      </c>
      <c r="L81" s="20" t="n">
        <v>-240.439</v>
      </c>
    </row>
    <row r="82">
      <c r="A82" s="18" t="inlineStr">
        <is>
          <t>유형자산 합계</t>
        </is>
      </c>
      <c r="C82" s="20" t="n">
        <v>178.896</v>
      </c>
      <c r="D82" s="20" t="n">
        <v>187.036</v>
      </c>
      <c r="E82" s="20" t="n">
        <v>183.835</v>
      </c>
      <c r="F82" s="20" t="n">
        <v>165.96</v>
      </c>
      <c r="G82" s="20" t="n">
        <v>150.151</v>
      </c>
      <c r="H82" s="20" t="n">
        <v>114.623</v>
      </c>
      <c r="I82" s="20" t="n">
        <v>184.62</v>
      </c>
      <c r="J82" s="20" t="n">
        <v>232.826</v>
      </c>
      <c r="K82" s="20" t="n">
        <v>178.896</v>
      </c>
      <c r="L82" s="20" t="n">
        <v>150.151</v>
      </c>
    </row>
    <row r="83">
      <c r="A83" s="18" t="inlineStr">
        <is>
          <t>소프트웨어</t>
        </is>
      </c>
      <c r="C83" s="20" t="n">
        <v>15.331</v>
      </c>
      <c r="D83" s="20" t="n">
        <v>19.44</v>
      </c>
      <c r="E83" s="20" t="n">
        <v>28.236</v>
      </c>
      <c r="F83" s="20" t="n">
        <v>25.571</v>
      </c>
      <c r="G83" s="20" t="n">
        <v>23.305</v>
      </c>
      <c r="H83" s="20" t="n">
        <v>10.674</v>
      </c>
      <c r="I83" s="20" t="n">
        <v>8.465999999999999</v>
      </c>
      <c r="J83" s="20" t="n">
        <v>17.799</v>
      </c>
      <c r="K83" s="20" t="n">
        <v>15.331</v>
      </c>
      <c r="L83" s="20" t="n">
        <v>23.305</v>
      </c>
    </row>
    <row r="84">
      <c r="A84" s="18" t="inlineStr">
        <is>
          <t>영업권</t>
        </is>
      </c>
      <c r="C84" s="20" t="n">
        <v>919.735</v>
      </c>
      <c r="D84" s="20" t="n">
        <v>897.75</v>
      </c>
      <c r="E84" s="20" t="n">
        <v>875.766</v>
      </c>
      <c r="F84" s="20" t="n">
        <v>1045.118</v>
      </c>
      <c r="G84" s="20" t="n">
        <v>1018.228</v>
      </c>
      <c r="H84" s="20" t="n">
        <v>0</v>
      </c>
      <c r="I84" s="20" t="n">
        <v>144.721</v>
      </c>
      <c r="J84" s="20" t="n">
        <v>1007.674</v>
      </c>
      <c r="K84" s="20" t="n">
        <v>919.735</v>
      </c>
      <c r="L84" s="20" t="n">
        <v>1018.228</v>
      </c>
    </row>
    <row r="85">
      <c r="A85" s="18" t="inlineStr">
        <is>
          <t>고객관계자산</t>
        </is>
      </c>
      <c r="C85" s="20" t="n">
        <v>317.335</v>
      </c>
      <c r="D85" s="20" t="n">
        <v>302.092</v>
      </c>
      <c r="E85" s="20" t="n">
        <v>286.85</v>
      </c>
      <c r="F85" s="20" t="n">
        <v>271.607</v>
      </c>
      <c r="G85" s="20" t="n">
        <v>256.364</v>
      </c>
      <c r="H85" s="20" t="n">
        <v>0</v>
      </c>
      <c r="I85" s="20" t="n">
        <v>55.1</v>
      </c>
      <c r="J85" s="20" t="n">
        <v>378.307</v>
      </c>
      <c r="K85" s="20" t="n">
        <v>317.335</v>
      </c>
      <c r="L85" s="20" t="n">
        <v>256.364</v>
      </c>
    </row>
    <row r="86">
      <c r="A86" s="18" t="inlineStr">
        <is>
          <t>무형자산 합계</t>
        </is>
      </c>
      <c r="C86" s="20" t="n">
        <v>1252.402</v>
      </c>
      <c r="D86" s="20" t="n">
        <v>1219.284</v>
      </c>
      <c r="E86" s="20" t="n">
        <v>1190.852</v>
      </c>
      <c r="F86" s="20" t="n">
        <v>1342.297</v>
      </c>
      <c r="G86" s="20" t="n">
        <v>1297.897</v>
      </c>
      <c r="H86" s="20" t="n">
        <v>10.674</v>
      </c>
      <c r="I86" s="20" t="n">
        <v>208.287</v>
      </c>
      <c r="J86" s="20" t="n">
        <v>1403.78</v>
      </c>
      <c r="K86" s="20" t="n">
        <v>1252.402</v>
      </c>
      <c r="L86" s="20" t="n">
        <v>1297.897</v>
      </c>
    </row>
    <row r="87">
      <c r="A87" s="18" t="inlineStr">
        <is>
          <t>투자유가증권</t>
        </is>
      </c>
      <c r="C87" s="20" t="n">
        <v>0</v>
      </c>
      <c r="F87" s="20" t="n">
        <v>50.072</v>
      </c>
      <c r="G87" s="20" t="n">
        <v>50.072</v>
      </c>
      <c r="H87" s="20" t="n">
        <v>419.09</v>
      </c>
      <c r="I87" s="20" t="n">
        <v>893.174</v>
      </c>
      <c r="J87" s="20" t="n">
        <v>1063.721</v>
      </c>
      <c r="K87" s="20" t="n">
        <v>0</v>
      </c>
      <c r="L87" s="20" t="n">
        <v>50.072</v>
      </c>
    </row>
    <row r="88">
      <c r="A88" s="18" t="inlineStr">
        <is>
          <t>관계회사 주식</t>
        </is>
      </c>
      <c r="C88" s="20" t="n">
        <v>0</v>
      </c>
      <c r="I88" s="20" t="n">
        <v>0</v>
      </c>
      <c r="J88" s="20" t="n">
        <v>6.551</v>
      </c>
      <c r="K88" s="20" t="n">
        <v>0</v>
      </c>
    </row>
    <row r="89">
      <c r="A89" s="18" t="inlineStr">
        <is>
          <t>장기선급비용</t>
        </is>
      </c>
      <c r="C89" s="20" t="n">
        <v>5.156</v>
      </c>
      <c r="D89" s="20" t="n">
        <v>3.865</v>
      </c>
      <c r="E89" s="20" t="n">
        <v>25.461</v>
      </c>
      <c r="F89" s="20" t="n">
        <v>21.513</v>
      </c>
      <c r="G89" s="20" t="n">
        <v>17.564</v>
      </c>
      <c r="H89" s="20" t="n">
        <v>20.936</v>
      </c>
      <c r="I89" s="20" t="n">
        <v>10.515</v>
      </c>
      <c r="J89" s="20" t="n">
        <v>3.266</v>
      </c>
      <c r="K89" s="20" t="n">
        <v>5.156</v>
      </c>
      <c r="L89" s="20" t="n">
        <v>17.564</v>
      </c>
    </row>
    <row r="90">
      <c r="A90" s="18" t="inlineStr">
        <is>
          <t>보증금</t>
        </is>
      </c>
      <c r="C90" s="20" t="n">
        <v>500.227</v>
      </c>
      <c r="D90" s="20" t="n">
        <v>495.245</v>
      </c>
      <c r="E90" s="20" t="n">
        <v>490.262</v>
      </c>
      <c r="F90" s="20" t="n">
        <v>485.33</v>
      </c>
      <c r="G90" s="20" t="n">
        <v>480.347</v>
      </c>
      <c r="H90" s="20" t="n">
        <v>179.876</v>
      </c>
      <c r="I90" s="20" t="n">
        <v>241.507</v>
      </c>
      <c r="J90" s="20" t="n">
        <v>268.603</v>
      </c>
      <c r="K90" s="20" t="n">
        <v>500.227</v>
      </c>
      <c r="L90" s="20" t="n">
        <v>480.347</v>
      </c>
    </row>
    <row r="91">
      <c r="A91" s="18" t="inlineStr">
        <is>
          <t>이연법인세자산</t>
        </is>
      </c>
      <c r="C91" s="20" t="n">
        <v>134.53</v>
      </c>
      <c r="D91" s="20" t="n">
        <v>144.848</v>
      </c>
      <c r="E91" s="20" t="n">
        <v>123.65</v>
      </c>
      <c r="F91" s="20" t="n">
        <v>111.174</v>
      </c>
      <c r="G91" s="20" t="n">
        <v>138.187</v>
      </c>
      <c r="I91" s="20" t="n">
        <v>0</v>
      </c>
      <c r="J91" s="20" t="n">
        <v>15.424</v>
      </c>
      <c r="K91" s="20" t="n">
        <v>134.53</v>
      </c>
      <c r="L91" s="20" t="n">
        <v>138.187</v>
      </c>
    </row>
    <row r="92">
      <c r="A92" s="18" t="inlineStr">
        <is>
          <t>기타</t>
        </is>
      </c>
      <c r="C92" s="20" t="n">
        <v>3.778</v>
      </c>
      <c r="D92" s="20" t="n">
        <v>3.778</v>
      </c>
      <c r="E92" s="20" t="n">
        <v>3.778</v>
      </c>
      <c r="F92" s="20" t="n">
        <v>3.778</v>
      </c>
      <c r="G92" s="20" t="n">
        <v>48.178</v>
      </c>
      <c r="H92" s="20" t="n">
        <v>3.823</v>
      </c>
      <c r="I92" s="20" t="n">
        <v>4.143</v>
      </c>
      <c r="J92" s="20" t="n">
        <v>14.429</v>
      </c>
      <c r="K92" s="20" t="n">
        <v>3.778</v>
      </c>
      <c r="L92" s="20" t="n">
        <v>48.178</v>
      </c>
    </row>
    <row r="93">
      <c r="A93" s="18" t="inlineStr">
        <is>
          <t>투자 및 기타자산 합계</t>
        </is>
      </c>
      <c r="C93" s="20" t="n">
        <v>643.693</v>
      </c>
      <c r="D93" s="20" t="n">
        <v>647.737</v>
      </c>
      <c r="E93" s="20" t="n">
        <v>643.153</v>
      </c>
      <c r="F93" s="20" t="n">
        <v>671.8680000000001</v>
      </c>
      <c r="G93" s="20" t="n">
        <v>734.35</v>
      </c>
      <c r="H93" s="20" t="n">
        <v>623.727</v>
      </c>
      <c r="I93" s="20" t="n">
        <v>1149.341</v>
      </c>
      <c r="J93" s="20" t="n">
        <v>1371.997</v>
      </c>
      <c r="K93" s="20" t="n">
        <v>643.693</v>
      </c>
      <c r="L93" s="20" t="n">
        <v>734.35</v>
      </c>
    </row>
    <row r="94">
      <c r="A94" s="9" t="inlineStr">
        <is>
          <t>비유동자산 합계</t>
        </is>
      </c>
      <c r="C94" s="12" t="n">
        <v>2074.992</v>
      </c>
      <c r="D94" s="12" t="n">
        <v>2054.058</v>
      </c>
      <c r="E94" s="12" t="n">
        <v>2017.841</v>
      </c>
      <c r="F94" s="12" t="n">
        <v>2180.126</v>
      </c>
      <c r="G94" s="12" t="n">
        <v>2182.399</v>
      </c>
      <c r="H94" s="12" t="n">
        <v>749.025</v>
      </c>
      <c r="I94" s="12" t="n">
        <v>1542.249</v>
      </c>
      <c r="J94" s="12" t="n">
        <v>3008.603</v>
      </c>
      <c r="K94" s="12" t="n">
        <v>2074.992</v>
      </c>
      <c r="L94" s="12" t="n">
        <v>2182.399</v>
      </c>
    </row>
    <row r="95">
      <c r="A95" s="18" t="inlineStr">
        <is>
          <t>주식교부비</t>
        </is>
      </c>
      <c r="C95" s="20" t="n">
        <v>0.587</v>
      </c>
      <c r="D95" s="20" t="n">
        <v>0</v>
      </c>
      <c r="E95" s="20" t="n">
        <v>0</v>
      </c>
      <c r="F95" s="20" t="n">
        <v>0</v>
      </c>
      <c r="G95" s="20" t="n">
        <v>0</v>
      </c>
      <c r="I95" s="20" t="n">
        <v>0</v>
      </c>
      <c r="J95" s="20" t="n">
        <v>4.109</v>
      </c>
      <c r="K95" s="20" t="n">
        <v>0.587</v>
      </c>
      <c r="L95" s="20" t="n">
        <v>0</v>
      </c>
    </row>
    <row r="96">
      <c r="A96" s="18" t="inlineStr">
        <is>
          <t>사채발행비</t>
        </is>
      </c>
      <c r="C96" s="20" t="n">
        <v>1.511</v>
      </c>
      <c r="D96" s="20" t="n">
        <v>1.403</v>
      </c>
      <c r="E96" s="20" t="n">
        <v>1.295</v>
      </c>
      <c r="F96" s="20" t="n">
        <v>1.187</v>
      </c>
      <c r="G96" s="20" t="n">
        <v>1.079</v>
      </c>
      <c r="I96" s="20" t="n">
        <v>0</v>
      </c>
      <c r="J96" s="20" t="n">
        <v>1.943</v>
      </c>
      <c r="K96" s="20" t="n">
        <v>1.511</v>
      </c>
      <c r="L96" s="20" t="n">
        <v>1.079</v>
      </c>
    </row>
    <row r="97">
      <c r="A97" s="18" t="inlineStr">
        <is>
          <t>이연자산 합계</t>
        </is>
      </c>
      <c r="C97" s="20" t="n">
        <v>2.098</v>
      </c>
      <c r="D97" s="20" t="n">
        <v>1.403</v>
      </c>
      <c r="E97" s="20" t="n">
        <v>1.295</v>
      </c>
      <c r="F97" s="20" t="n">
        <v>1.187</v>
      </c>
      <c r="G97" s="20" t="n">
        <v>1.079</v>
      </c>
      <c r="I97" s="20" t="n">
        <v>0</v>
      </c>
      <c r="J97" s="20" t="n">
        <v>6.053</v>
      </c>
      <c r="K97" s="20" t="n">
        <v>2.098</v>
      </c>
      <c r="L97" s="20" t="n">
        <v>1.079</v>
      </c>
    </row>
    <row r="98">
      <c r="A98" s="9" t="inlineStr">
        <is>
          <t>자산 합계</t>
        </is>
      </c>
      <c r="C98" s="12" t="n">
        <v>6325.234</v>
      </c>
      <c r="D98" s="12" t="n">
        <v>6354.843</v>
      </c>
      <c r="E98" s="12" t="n">
        <v>6352.633</v>
      </c>
      <c r="F98" s="12" t="n">
        <v>6610.124</v>
      </c>
      <c r="G98" s="12" t="n">
        <v>6822.672</v>
      </c>
      <c r="H98" s="12" t="n">
        <v>4327.398</v>
      </c>
      <c r="I98" s="12" t="n">
        <v>5232.914</v>
      </c>
      <c r="J98" s="12" t="n">
        <v>8254.77</v>
      </c>
      <c r="K98" s="12" t="n">
        <v>6325.234</v>
      </c>
      <c r="L98" s="12" t="n">
        <v>6822.672</v>
      </c>
    </row>
    <row r="99">
      <c r="A99" s="18" t="inlineStr">
        <is>
          <t>매입채무</t>
        </is>
      </c>
      <c r="C99" s="20" t="n">
        <v>270.457</v>
      </c>
      <c r="D99" s="20" t="n">
        <v>273.234</v>
      </c>
      <c r="E99" s="20" t="n">
        <v>293.012</v>
      </c>
      <c r="F99" s="20" t="n">
        <v>288.602</v>
      </c>
      <c r="G99" s="20" t="n">
        <v>309.661</v>
      </c>
      <c r="H99" s="20" t="n">
        <v>0</v>
      </c>
      <c r="I99" s="20" t="n">
        <v>62.974</v>
      </c>
      <c r="J99" s="20" t="n">
        <v>375.514</v>
      </c>
      <c r="K99" s="20" t="n">
        <v>270.457</v>
      </c>
      <c r="L99" s="20" t="n">
        <v>309.661</v>
      </c>
    </row>
    <row r="100">
      <c r="A100" s="18" t="inlineStr">
        <is>
          <t>미지급금</t>
        </is>
      </c>
      <c r="C100" s="20" t="n">
        <v>446.226</v>
      </c>
      <c r="D100" s="20" t="n">
        <v>436.52</v>
      </c>
      <c r="E100" s="20" t="n">
        <v>399.972</v>
      </c>
      <c r="F100" s="20" t="n">
        <v>410.2</v>
      </c>
      <c r="G100" s="20" t="n">
        <v>585.989</v>
      </c>
      <c r="H100" s="20" t="n">
        <v>443.471</v>
      </c>
      <c r="I100" s="20" t="n">
        <v>287.635</v>
      </c>
      <c r="J100" s="20" t="n">
        <v>451.07</v>
      </c>
      <c r="K100" s="20" t="n">
        <v>446.226</v>
      </c>
      <c r="L100" s="20" t="n">
        <v>585.989</v>
      </c>
    </row>
    <row r="101">
      <c r="A101" s="18" t="inlineStr">
        <is>
          <t>미지급비용</t>
        </is>
      </c>
      <c r="C101" s="20" t="n">
        <v>75.532</v>
      </c>
      <c r="D101" s="20" t="n">
        <v>72.821</v>
      </c>
      <c r="E101" s="20" t="n">
        <v>74.155</v>
      </c>
      <c r="F101" s="20" t="n">
        <v>85.349</v>
      </c>
      <c r="G101" s="20" t="n">
        <v>39.937</v>
      </c>
      <c r="H101" s="20" t="n">
        <v>23.454</v>
      </c>
      <c r="I101" s="20" t="n">
        <v>49.009</v>
      </c>
      <c r="J101" s="20" t="n">
        <v>99.604</v>
      </c>
      <c r="K101" s="20" t="n">
        <v>75.532</v>
      </c>
      <c r="L101" s="20" t="n">
        <v>39.937</v>
      </c>
    </row>
    <row r="102">
      <c r="A102" s="18" t="inlineStr">
        <is>
          <t>미지급법인세</t>
        </is>
      </c>
      <c r="C102" s="20" t="n">
        <v>57.098</v>
      </c>
      <c r="D102" s="20" t="n">
        <v>34.401</v>
      </c>
      <c r="E102" s="20" t="n">
        <v>89.30800000000001</v>
      </c>
      <c r="F102" s="20" t="n">
        <v>82.294</v>
      </c>
      <c r="G102" s="20" t="n">
        <v>103.176</v>
      </c>
      <c r="H102" s="20" t="n">
        <v>2.287</v>
      </c>
      <c r="I102" s="20" t="n">
        <v>38.927</v>
      </c>
      <c r="J102" s="20" t="n">
        <v>95.94799999999999</v>
      </c>
      <c r="K102" s="20" t="n">
        <v>57.098</v>
      </c>
      <c r="L102" s="20" t="n">
        <v>103.176</v>
      </c>
    </row>
    <row r="103">
      <c r="A103" s="18" t="inlineStr">
        <is>
          <t>미지급 소비세</t>
        </is>
      </c>
      <c r="H103" s="20" t="n">
        <v>0</v>
      </c>
    </row>
    <row r="104">
      <c r="A104" s="18" t="inlineStr">
        <is>
          <t>선수금</t>
        </is>
      </c>
      <c r="C104" s="20" t="n">
        <v>722.364</v>
      </c>
      <c r="D104" s="20" t="n">
        <v>712.621</v>
      </c>
      <c r="E104" s="20" t="n">
        <v>777.345</v>
      </c>
      <c r="F104" s="20" t="n">
        <v>685.729</v>
      </c>
      <c r="G104" s="20" t="n">
        <v>674.915</v>
      </c>
      <c r="H104" s="20" t="n">
        <v>487.936</v>
      </c>
      <c r="I104" s="20" t="n">
        <v>542.078</v>
      </c>
      <c r="J104" s="20" t="n">
        <v>638.561</v>
      </c>
      <c r="K104" s="20" t="n">
        <v>722.364</v>
      </c>
      <c r="L104" s="20" t="n">
        <v>674.915</v>
      </c>
    </row>
    <row r="105">
      <c r="A105" s="18" t="inlineStr">
        <is>
          <t>예수금</t>
        </is>
      </c>
      <c r="C105" s="20" t="n">
        <v>882.36</v>
      </c>
      <c r="D105" s="20" t="n">
        <v>849.4299999999999</v>
      </c>
      <c r="E105" s="20" t="n">
        <v>798.866</v>
      </c>
      <c r="F105" s="20" t="n">
        <v>792.607</v>
      </c>
      <c r="G105" s="20" t="n">
        <v>790.86</v>
      </c>
      <c r="H105" s="20" t="n">
        <v>922.567</v>
      </c>
      <c r="I105" s="20" t="n">
        <v>1001.005</v>
      </c>
      <c r="J105" s="20" t="n">
        <v>1061.346</v>
      </c>
      <c r="K105" s="20" t="n">
        <v>882.36</v>
      </c>
      <c r="L105" s="20" t="n">
        <v>790.86</v>
      </c>
    </row>
    <row r="106">
      <c r="A106" s="18" t="inlineStr">
        <is>
          <t>단기차입금</t>
        </is>
      </c>
      <c r="C106" s="20" t="n">
        <v>0</v>
      </c>
      <c r="D106" s="20" t="n">
        <v>40</v>
      </c>
      <c r="J106" s="20" t="n">
        <v>0</v>
      </c>
      <c r="K106" s="20" t="n">
        <v>0</v>
      </c>
    </row>
    <row r="107">
      <c r="A107" s="18" t="inlineStr">
        <is>
          <t>1년 내 상환 장기차입금</t>
        </is>
      </c>
      <c r="C107" s="20" t="n">
        <v>209.988</v>
      </c>
      <c r="D107" s="20" t="n">
        <v>209.988</v>
      </c>
      <c r="E107" s="20" t="n">
        <v>209.988</v>
      </c>
      <c r="F107" s="20" t="n">
        <v>247.2</v>
      </c>
      <c r="G107" s="20" t="n">
        <v>247.22</v>
      </c>
      <c r="I107" s="20" t="n">
        <v>0</v>
      </c>
      <c r="J107" s="20" t="n">
        <v>215.786</v>
      </c>
      <c r="K107" s="20" t="n">
        <v>209.988</v>
      </c>
      <c r="L107" s="20" t="n">
        <v>247.22</v>
      </c>
    </row>
    <row r="108">
      <c r="A108" s="18" t="inlineStr">
        <is>
          <t>1년 내 상환 사채</t>
        </is>
      </c>
      <c r="C108" s="20" t="n">
        <v>20</v>
      </c>
      <c r="D108" s="20" t="n">
        <v>20</v>
      </c>
      <c r="E108" s="20" t="n">
        <v>20</v>
      </c>
      <c r="F108" s="20" t="n">
        <v>20</v>
      </c>
      <c r="G108" s="20" t="n">
        <v>20</v>
      </c>
      <c r="I108" s="20" t="n">
        <v>0</v>
      </c>
      <c r="J108" s="20" t="n">
        <v>20</v>
      </c>
      <c r="K108" s="20" t="n">
        <v>20</v>
      </c>
      <c r="L108" s="20" t="n">
        <v>20</v>
      </c>
    </row>
    <row r="109">
      <c r="A109" s="18" t="inlineStr">
        <is>
          <t>상여충당금</t>
        </is>
      </c>
      <c r="C109" s="20" t="n">
        <v>2.224</v>
      </c>
      <c r="D109" s="20" t="n">
        <v>9.441000000000001</v>
      </c>
      <c r="E109" s="20" t="n">
        <v>24.718</v>
      </c>
      <c r="F109" s="20" t="n">
        <v>17.048</v>
      </c>
      <c r="G109" s="20" t="n">
        <v>34.092</v>
      </c>
      <c r="H109" s="20" t="n">
        <v>0</v>
      </c>
      <c r="J109" s="20" t="n">
        <v>0</v>
      </c>
      <c r="K109" s="20" t="n">
        <v>2.224</v>
      </c>
      <c r="L109" s="20" t="n">
        <v>34.092</v>
      </c>
    </row>
    <row r="110">
      <c r="A110" s="18" t="inlineStr">
        <is>
          <t>포인트 충당금</t>
        </is>
      </c>
      <c r="C110" s="20" t="n">
        <v>2.32</v>
      </c>
      <c r="D110" s="20" t="n">
        <v>1.572</v>
      </c>
      <c r="E110" s="20" t="n">
        <v>2.426</v>
      </c>
      <c r="F110" s="20" t="n">
        <v>2.408</v>
      </c>
      <c r="G110" s="20" t="n">
        <v>1.982</v>
      </c>
      <c r="H110" s="20" t="n">
        <v>3.502</v>
      </c>
      <c r="I110" s="20" t="n">
        <v>3.127</v>
      </c>
      <c r="J110" s="20" t="n">
        <v>1.918</v>
      </c>
      <c r="K110" s="20" t="n">
        <v>2.32</v>
      </c>
      <c r="L110" s="20" t="n">
        <v>1.982</v>
      </c>
    </row>
    <row r="111">
      <c r="A111" s="18" t="inlineStr">
        <is>
          <t>쿠폰 충당금</t>
        </is>
      </c>
      <c r="C111" s="20" t="n">
        <v>8.742000000000001</v>
      </c>
      <c r="D111" s="20" t="n">
        <v>9.254</v>
      </c>
      <c r="E111" s="20" t="n">
        <v>9.145</v>
      </c>
      <c r="F111" s="20" t="n">
        <v>9.384</v>
      </c>
      <c r="G111" s="20" t="n">
        <v>8.932</v>
      </c>
      <c r="H111" s="20" t="n">
        <v>6.513</v>
      </c>
      <c r="I111" s="20" t="n">
        <v>7.567</v>
      </c>
      <c r="J111" s="20" t="n">
        <v>5.988</v>
      </c>
      <c r="K111" s="20" t="n">
        <v>8.742000000000001</v>
      </c>
      <c r="L111" s="20" t="n">
        <v>8.932</v>
      </c>
    </row>
    <row r="112">
      <c r="A112" s="18" t="inlineStr">
        <is>
          <t>기타</t>
        </is>
      </c>
      <c r="C112" s="20" t="n">
        <v>80.91800000000001</v>
      </c>
      <c r="D112" s="20" t="n">
        <v>94.672</v>
      </c>
      <c r="E112" s="20" t="n">
        <v>80.965</v>
      </c>
      <c r="F112" s="20" t="n">
        <v>111.064</v>
      </c>
      <c r="G112" s="20" t="n">
        <v>110.602</v>
      </c>
      <c r="H112" s="20" t="n">
        <v>0</v>
      </c>
      <c r="I112" s="20" t="n">
        <v>97.172</v>
      </c>
      <c r="J112" s="20" t="n">
        <v>139.39</v>
      </c>
      <c r="K112" s="20" t="n">
        <v>80.91800000000001</v>
      </c>
      <c r="L112" s="20" t="n">
        <v>110.602</v>
      </c>
    </row>
    <row r="113">
      <c r="A113" s="9" t="inlineStr">
        <is>
          <t>유동부채 합계</t>
        </is>
      </c>
      <c r="C113" s="12" t="n">
        <v>2778.232</v>
      </c>
      <c r="D113" s="12" t="n">
        <v>2763.958</v>
      </c>
      <c r="E113" s="12" t="n">
        <v>2779.904</v>
      </c>
      <c r="F113" s="12" t="n">
        <v>2751.89</v>
      </c>
      <c r="G113" s="12" t="n">
        <v>2927.37</v>
      </c>
      <c r="H113" s="12" t="n">
        <v>1889.731</v>
      </c>
      <c r="I113" s="12" t="n">
        <v>2089.497</v>
      </c>
      <c r="J113" s="12" t="n">
        <v>3105.13</v>
      </c>
      <c r="K113" s="12" t="n">
        <v>2778.232</v>
      </c>
      <c r="L113" s="12" t="n">
        <v>2927.37</v>
      </c>
    </row>
    <row r="114">
      <c r="A114" s="18" t="inlineStr">
        <is>
          <t>사채</t>
        </is>
      </c>
      <c r="C114" s="20" t="n">
        <v>60</v>
      </c>
      <c r="D114" s="20" t="n">
        <v>50</v>
      </c>
      <c r="E114" s="20" t="n">
        <v>50</v>
      </c>
      <c r="F114" s="20" t="n">
        <v>40</v>
      </c>
      <c r="G114" s="20" t="n">
        <v>40</v>
      </c>
      <c r="I114" s="20" t="n">
        <v>0</v>
      </c>
      <c r="J114" s="20" t="n">
        <v>80</v>
      </c>
      <c r="K114" s="20" t="n">
        <v>60</v>
      </c>
      <c r="L114" s="20" t="n">
        <v>40</v>
      </c>
    </row>
    <row r="115">
      <c r="A115" s="18" t="inlineStr">
        <is>
          <t>장기차입금</t>
        </is>
      </c>
      <c r="C115" s="20" t="n">
        <v>934.201</v>
      </c>
      <c r="D115" s="20" t="n">
        <v>881.704</v>
      </c>
      <c r="E115" s="20" t="n">
        <v>829.207</v>
      </c>
      <c r="F115" s="20" t="n">
        <v>986.546</v>
      </c>
      <c r="G115" s="20" t="n">
        <v>923.768</v>
      </c>
      <c r="I115" s="20" t="n">
        <v>0</v>
      </c>
      <c r="J115" s="20" t="n">
        <v>1144.189</v>
      </c>
      <c r="K115" s="20" t="n">
        <v>934.201</v>
      </c>
      <c r="L115" s="20" t="n">
        <v>923.768</v>
      </c>
    </row>
    <row r="116">
      <c r="A116" s="18" t="inlineStr">
        <is>
          <t>이연법인세부채</t>
        </is>
      </c>
      <c r="C116" s="20" t="n">
        <v>98.54300000000001</v>
      </c>
      <c r="D116" s="20" t="n">
        <v>94.345</v>
      </c>
      <c r="E116" s="20" t="n">
        <v>90.148</v>
      </c>
      <c r="F116" s="20" t="n">
        <v>85.95</v>
      </c>
      <c r="G116" s="20" t="n">
        <v>81.753</v>
      </c>
      <c r="H116" s="20" t="n">
        <v>0</v>
      </c>
      <c r="I116" s="20" t="n">
        <v>17.453</v>
      </c>
      <c r="J116" s="20" t="n">
        <v>102.456</v>
      </c>
      <c r="K116" s="20" t="n">
        <v>98.54300000000001</v>
      </c>
      <c r="L116" s="20" t="n">
        <v>81.753</v>
      </c>
    </row>
    <row r="117">
      <c r="A117" s="18" t="inlineStr">
        <is>
          <t>자산복구부채</t>
        </is>
      </c>
      <c r="C117" s="20" t="n">
        <v>36.995</v>
      </c>
      <c r="D117" s="20" t="n">
        <v>37.017</v>
      </c>
      <c r="E117" s="20" t="n">
        <v>37.039</v>
      </c>
      <c r="F117" s="20" t="n">
        <v>37.061</v>
      </c>
      <c r="G117" s="20" t="n">
        <v>37.082</v>
      </c>
      <c r="I117" s="20" t="n">
        <v>0</v>
      </c>
      <c r="J117" s="20" t="n">
        <v>36.908</v>
      </c>
      <c r="K117" s="20" t="n">
        <v>36.995</v>
      </c>
      <c r="L117" s="20" t="n">
        <v>37.082</v>
      </c>
    </row>
    <row r="118">
      <c r="A118" s="9" t="inlineStr">
        <is>
          <t>비유동부채 합계</t>
        </is>
      </c>
      <c r="C118" s="12" t="n">
        <v>1129.739</v>
      </c>
      <c r="D118" s="12" t="n">
        <v>1063.067</v>
      </c>
      <c r="E118" s="12" t="n">
        <v>1006.394</v>
      </c>
      <c r="F118" s="12" t="n">
        <v>1149.557</v>
      </c>
      <c r="G118" s="12" t="n">
        <v>1082.604</v>
      </c>
      <c r="H118" s="12" t="n">
        <v>0</v>
      </c>
      <c r="I118" s="12" t="n">
        <v>17.453</v>
      </c>
      <c r="J118" s="12" t="n">
        <v>1363.554</v>
      </c>
      <c r="K118" s="12" t="n">
        <v>1129.739</v>
      </c>
      <c r="L118" s="12" t="n">
        <v>1082.604</v>
      </c>
    </row>
    <row r="119">
      <c r="A119" s="9" t="inlineStr">
        <is>
          <t>부채 합계</t>
        </is>
      </c>
      <c r="C119" s="12" t="n">
        <v>3907.972</v>
      </c>
      <c r="D119" s="12" t="n">
        <v>3827.025</v>
      </c>
      <c r="E119" s="12" t="n">
        <v>3786.299</v>
      </c>
      <c r="F119" s="12" t="n">
        <v>3901.448</v>
      </c>
      <c r="G119" s="12" t="n">
        <v>4009.974</v>
      </c>
      <c r="H119" s="12" t="n">
        <v>1889.731</v>
      </c>
      <c r="I119" s="12" t="n">
        <v>2106.951</v>
      </c>
      <c r="J119" s="12" t="n">
        <v>4468.684</v>
      </c>
      <c r="K119" s="12" t="n">
        <v>3907.972</v>
      </c>
      <c r="L119" s="12" t="n">
        <v>4009.974</v>
      </c>
    </row>
    <row r="120">
      <c r="A120" s="18" t="inlineStr">
        <is>
          <t>자본금</t>
        </is>
      </c>
      <c r="C120" s="20" t="n">
        <v>1255.356</v>
      </c>
      <c r="D120" s="20" t="n">
        <v>1255.563</v>
      </c>
      <c r="E120" s="20" t="n">
        <v>1255.688</v>
      </c>
      <c r="F120" s="20" t="n">
        <v>1255.771</v>
      </c>
      <c r="G120" s="20" t="n">
        <v>1258.268</v>
      </c>
      <c r="H120" s="20" t="n">
        <v>1221.56</v>
      </c>
      <c r="I120" s="20" t="n">
        <v>1238.686</v>
      </c>
      <c r="J120" s="20" t="n">
        <v>1244.957</v>
      </c>
      <c r="K120" s="20" t="n">
        <v>1255.356</v>
      </c>
      <c r="L120" s="20" t="n">
        <v>1258.268</v>
      </c>
    </row>
    <row r="121">
      <c r="A121" s="18" t="inlineStr">
        <is>
          <t>자본잉여금</t>
        </is>
      </c>
      <c r="C121" s="20" t="n">
        <v>1019.123</v>
      </c>
      <c r="D121" s="20" t="n">
        <v>1019.33</v>
      </c>
      <c r="E121" s="20" t="n">
        <v>1018.48</v>
      </c>
      <c r="F121" s="20" t="n">
        <v>1018.563</v>
      </c>
      <c r="G121" s="20" t="n">
        <v>1021.06</v>
      </c>
      <c r="H121" s="20" t="n">
        <v>2366.763</v>
      </c>
      <c r="I121" s="20" t="n">
        <v>2384.341</v>
      </c>
      <c r="J121" s="20" t="n">
        <v>2390.553</v>
      </c>
      <c r="K121" s="20" t="n">
        <v>1019.123</v>
      </c>
      <c r="L121" s="20" t="n">
        <v>1021.06</v>
      </c>
    </row>
    <row r="122">
      <c r="A122" s="18" t="inlineStr">
        <is>
          <t>이익잉여금</t>
        </is>
      </c>
      <c r="C122" s="20" t="n">
        <v>255.323</v>
      </c>
      <c r="D122" s="20" t="n">
        <v>325.9</v>
      </c>
      <c r="E122" s="20" t="n">
        <v>413.112</v>
      </c>
      <c r="F122" s="20" t="n">
        <v>544.232</v>
      </c>
      <c r="G122" s="20" t="n">
        <v>635.789</v>
      </c>
      <c r="H122" s="20" t="n">
        <v>-1601.139</v>
      </c>
      <c r="I122" s="20" t="n">
        <v>-1677.039</v>
      </c>
      <c r="J122" s="20" t="n">
        <v>-1433.41</v>
      </c>
      <c r="K122" s="20" t="n">
        <v>255.323</v>
      </c>
      <c r="L122" s="20" t="n">
        <v>635.789</v>
      </c>
    </row>
    <row r="123">
      <c r="A123" s="18" t="inlineStr">
        <is>
          <t>자기주식</t>
        </is>
      </c>
      <c r="C123" s="20" t="n">
        <v>-518.109</v>
      </c>
      <c r="D123" s="20" t="n">
        <v>-518.109</v>
      </c>
      <c r="E123" s="20" t="n">
        <v>-581.116</v>
      </c>
      <c r="F123" s="20" t="n">
        <v>-581.116</v>
      </c>
      <c r="G123" s="20" t="n">
        <v>-581.116</v>
      </c>
      <c r="J123" s="20" t="n">
        <v>0</v>
      </c>
      <c r="K123" s="20" t="n">
        <v>-518.109</v>
      </c>
      <c r="L123" s="20" t="n">
        <v>-581.116</v>
      </c>
    </row>
    <row r="124">
      <c r="A124" s="9" t="inlineStr">
        <is>
          <t>주주자본 합계</t>
        </is>
      </c>
      <c r="C124" s="12" t="n">
        <v>2011.693</v>
      </c>
      <c r="D124" s="12" t="n">
        <v>2082.684</v>
      </c>
      <c r="E124" s="12" t="n">
        <v>2106.164</v>
      </c>
      <c r="F124" s="12" t="n">
        <v>2237.45</v>
      </c>
      <c r="G124" s="12" t="n">
        <v>2334.001</v>
      </c>
      <c r="H124" s="12" t="n">
        <v>1987.184</v>
      </c>
      <c r="I124" s="12" t="n">
        <v>1945.989</v>
      </c>
      <c r="J124" s="12" t="n">
        <v>2202.1</v>
      </c>
      <c r="K124" s="12" t="n">
        <v>2011.693</v>
      </c>
      <c r="L124" s="12" t="n">
        <v>2334.001</v>
      </c>
    </row>
    <row r="125">
      <c r="A125" s="18" t="inlineStr">
        <is>
          <t>기타유가증권 평가차액</t>
        </is>
      </c>
      <c r="C125" s="20" t="n">
        <v>0</v>
      </c>
      <c r="H125" s="20" t="n">
        <v>0.094</v>
      </c>
      <c r="I125" s="20" t="n">
        <v>0.112</v>
      </c>
      <c r="J125" s="20" t="n">
        <v>0.107</v>
      </c>
      <c r="K125" s="20" t="n">
        <v>0</v>
      </c>
    </row>
    <row r="126">
      <c r="A126" s="18" t="inlineStr">
        <is>
          <t>기타포괄손익누계액 합계</t>
        </is>
      </c>
      <c r="C126" s="20" t="n">
        <v>0</v>
      </c>
      <c r="H126" s="20" t="n">
        <v>0.094</v>
      </c>
      <c r="I126" s="20" t="n">
        <v>0.112</v>
      </c>
      <c r="J126" s="20" t="n">
        <v>0.107</v>
      </c>
      <c r="K126" s="20" t="n">
        <v>0</v>
      </c>
    </row>
    <row r="127">
      <c r="A127" s="18" t="inlineStr">
        <is>
          <t>신주예약권</t>
        </is>
      </c>
      <c r="C127" s="20" t="n">
        <v>401.116</v>
      </c>
      <c r="D127" s="20" t="n">
        <v>441.404</v>
      </c>
      <c r="E127" s="20" t="n">
        <v>456.17</v>
      </c>
      <c r="F127" s="20" t="n">
        <v>467.039</v>
      </c>
      <c r="G127" s="20" t="n">
        <v>473.908</v>
      </c>
      <c r="H127" s="20" t="n">
        <v>12.5</v>
      </c>
      <c r="I127" s="20" t="n">
        <v>110.999</v>
      </c>
      <c r="J127" s="20" t="n">
        <v>243.423</v>
      </c>
      <c r="K127" s="20" t="n">
        <v>401.116</v>
      </c>
      <c r="L127" s="20" t="n">
        <v>473.908</v>
      </c>
    </row>
    <row r="128">
      <c r="A128" s="18" t="inlineStr">
        <is>
          <t>비지배지분</t>
        </is>
      </c>
      <c r="C128" s="20" t="n">
        <v>4.452</v>
      </c>
      <c r="D128" s="20" t="n">
        <v>3.728</v>
      </c>
      <c r="E128" s="20" t="n">
        <v>3.998</v>
      </c>
      <c r="F128" s="20" t="n">
        <v>4.185</v>
      </c>
      <c r="G128" s="20" t="n">
        <v>4.787</v>
      </c>
      <c r="H128" s="20" t="n">
        <v>437.888</v>
      </c>
      <c r="I128" s="20" t="n">
        <v>1068.862</v>
      </c>
      <c r="J128" s="20" t="n">
        <v>1340.454</v>
      </c>
      <c r="K128" s="20" t="n">
        <v>4.452</v>
      </c>
      <c r="L128" s="20" t="n">
        <v>4.787</v>
      </c>
    </row>
    <row r="129">
      <c r="A129" s="9" t="inlineStr">
        <is>
          <t>순자산 합계</t>
        </is>
      </c>
      <c r="C129" s="12" t="n">
        <v>2417.262</v>
      </c>
      <c r="D129" s="12" t="n">
        <v>2527.818</v>
      </c>
      <c r="E129" s="12" t="n">
        <v>2566.334</v>
      </c>
      <c r="F129" s="12" t="n">
        <v>2708.675</v>
      </c>
      <c r="G129" s="12" t="n">
        <v>2812.698</v>
      </c>
      <c r="H129" s="12" t="n">
        <v>2437.666</v>
      </c>
      <c r="I129" s="12" t="n">
        <v>3125.963</v>
      </c>
      <c r="J129" s="12" t="n">
        <v>3786.085</v>
      </c>
      <c r="K129" s="12" t="n">
        <v>2417.262</v>
      </c>
      <c r="L129" s="12" t="n">
        <v>2812.698</v>
      </c>
    </row>
    <row r="130">
      <c r="A130" s="9" t="inlineStr">
        <is>
          <t>부채·순자산 합계</t>
        </is>
      </c>
      <c r="C130" s="12" t="n">
        <v>6325.234</v>
      </c>
      <c r="D130" s="12" t="n">
        <v>6354.843</v>
      </c>
      <c r="E130" s="12" t="n">
        <v>6352.633</v>
      </c>
      <c r="F130" s="12" t="n">
        <v>6610.124</v>
      </c>
      <c r="G130" s="12" t="n">
        <v>6822.672</v>
      </c>
      <c r="H130" s="12" t="n">
        <v>4327.398</v>
      </c>
      <c r="I130" s="12" t="n">
        <v>5232.914</v>
      </c>
      <c r="J130" s="12" t="n">
        <v>8254.77</v>
      </c>
      <c r="K130" s="12" t="n">
        <v>6325.234</v>
      </c>
      <c r="L130" s="12" t="n">
        <v>6822.672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44" customWidth="1" min="5" max="5"/>
  </cols>
  <sheetData>
    <row r="1">
      <c r="A1" s="50" t="inlineStr">
        <is>
          <t>코코나라 섹터·사업 데이터</t>
        </is>
      </c>
    </row>
    <row r="2">
      <c r="A2" s="51" t="inlineStr">
        <is>
          <t>2단계 보고서를 만들 때 모은 자료 · 월차 · 출처는 맨 오른쪽</t>
        </is>
      </c>
    </row>
    <row r="4">
      <c r="A4" s="52" t="inlineStr">
        <is>
          <t>Q · 2024-Q1</t>
        </is>
      </c>
      <c r="B4" s="52" t="n"/>
      <c r="C4" s="52" t="n"/>
      <c r="D4" s="52" t="n"/>
      <c r="E4" s="52" t="n"/>
    </row>
    <row r="5">
      <c r="A5" s="53" t="inlineStr">
        <is>
          <t>항목</t>
        </is>
      </c>
      <c r="B5" s="53" t="inlineStr">
        <is>
          <t>값</t>
        </is>
      </c>
      <c r="E5" s="53" t="inlineStr">
        <is>
          <t>출처</t>
        </is>
      </c>
    </row>
    <row r="6">
      <c r="A6" s="54" t="inlineStr">
        <is>
          <t>매출</t>
        </is>
      </c>
      <c r="B6" s="55" t="n">
        <v>13.98</v>
      </c>
      <c r="E6" s="56" t="inlineStr">
        <is>
          <t>2단계 보고서 자료(회사 설명회 자료·공시)</t>
        </is>
      </c>
    </row>
    <row r="7">
      <c r="A7" s="54" t="inlineStr">
        <is>
          <t>gp</t>
        </is>
      </c>
      <c r="B7" s="55" t="n">
        <v>11.8</v>
      </c>
    </row>
    <row r="8">
      <c r="A8" s="54" t="inlineStr">
        <is>
          <t>영업이익</t>
        </is>
      </c>
      <c r="B8" s="55" t="n">
        <v>0.97</v>
      </c>
    </row>
    <row r="9">
      <c r="A9" s="54" t="inlineStr">
        <is>
          <t>ord</t>
        </is>
      </c>
      <c r="B9" s="55" t="n">
        <v>1</v>
      </c>
    </row>
    <row r="10">
      <c r="A10" s="54" t="inlineStr">
        <is>
          <t>순이익</t>
        </is>
      </c>
      <c r="B10" s="55" t="n">
        <v>0.84</v>
      </c>
    </row>
    <row r="11">
      <c r="A11" s="54" t="inlineStr">
        <is>
          <t>sga</t>
        </is>
      </c>
      <c r="B11" s="55" t="n">
        <v>10.8</v>
      </c>
    </row>
    <row r="13">
      <c r="A13" s="52" t="inlineStr">
        <is>
          <t>Q · 2024-Q2</t>
        </is>
      </c>
      <c r="B13" s="52" t="n"/>
      <c r="C13" s="52" t="n"/>
      <c r="D13" s="52" t="n"/>
      <c r="E13" s="52" t="n"/>
    </row>
    <row r="14">
      <c r="A14" s="53" t="inlineStr">
        <is>
          <t>항목</t>
        </is>
      </c>
      <c r="B14" s="53" t="inlineStr">
        <is>
          <t>값</t>
        </is>
      </c>
      <c r="E14" s="53" t="inlineStr">
        <is>
          <t>출처</t>
        </is>
      </c>
    </row>
    <row r="15">
      <c r="A15" s="54" t="inlineStr">
        <is>
          <t>매출</t>
        </is>
      </c>
      <c r="B15" s="55" t="n">
        <v>13.8</v>
      </c>
      <c r="E15" s="56" t="inlineStr">
        <is>
          <t>2단계 보고서 자료(회사 설명회 자료·공시)</t>
        </is>
      </c>
    </row>
    <row r="16">
      <c r="A16" s="54" t="inlineStr">
        <is>
          <t>gp</t>
        </is>
      </c>
      <c r="B16" s="55" t="n">
        <v>11.8</v>
      </c>
    </row>
    <row r="17">
      <c r="A17" s="54" t="inlineStr">
        <is>
          <t>영업이익</t>
        </is>
      </c>
      <c r="B17" s="55" t="n">
        <v>0.88</v>
      </c>
    </row>
    <row r="18">
      <c r="A18" s="54" t="inlineStr">
        <is>
          <t>ord</t>
        </is>
      </c>
      <c r="B18" s="55" t="n">
        <v>0.5600000000000001</v>
      </c>
    </row>
    <row r="19">
      <c r="A19" s="54" t="inlineStr">
        <is>
          <t>순이익</t>
        </is>
      </c>
      <c r="B19" s="55" t="n">
        <v>0.55</v>
      </c>
    </row>
    <row r="20">
      <c r="A20" s="54" t="inlineStr">
        <is>
          <t>sga</t>
        </is>
      </c>
      <c r="B20" s="55" t="n">
        <v>11</v>
      </c>
    </row>
    <row r="22">
      <c r="A22" s="52" t="inlineStr">
        <is>
          <t>Q · 2024-Q3</t>
        </is>
      </c>
      <c r="B22" s="52" t="n"/>
      <c r="C22" s="52" t="n"/>
      <c r="D22" s="52" t="n"/>
      <c r="E22" s="52" t="n"/>
    </row>
    <row r="23">
      <c r="A23" s="53" t="inlineStr">
        <is>
          <t>항목</t>
        </is>
      </c>
      <c r="B23" s="53" t="inlineStr">
        <is>
          <t>값</t>
        </is>
      </c>
      <c r="E23" s="53" t="inlineStr">
        <is>
          <t>출처</t>
        </is>
      </c>
    </row>
    <row r="24">
      <c r="A24" s="54" t="inlineStr">
        <is>
          <t>매출</t>
        </is>
      </c>
      <c r="B24" s="55" t="n">
        <v>14.5</v>
      </c>
      <c r="E24" s="56" t="inlineStr">
        <is>
          <t>2단계 보고서 자료(회사 설명회 자료·공시)</t>
        </is>
      </c>
    </row>
    <row r="25">
      <c r="A25" s="54" t="inlineStr">
        <is>
          <t>gp</t>
        </is>
      </c>
      <c r="B25" s="55" t="n">
        <v>12.6</v>
      </c>
    </row>
    <row r="26">
      <c r="A26" s="54" t="inlineStr">
        <is>
          <t>영업이익</t>
        </is>
      </c>
      <c r="B26" s="55" t="n">
        <v>1.14</v>
      </c>
    </row>
    <row r="27">
      <c r="A27" s="54" t="inlineStr">
        <is>
          <t>ord</t>
        </is>
      </c>
      <c r="B27" s="55" t="n">
        <v>0.58</v>
      </c>
    </row>
    <row r="28">
      <c r="A28" s="54" t="inlineStr">
        <is>
          <t>순이익</t>
        </is>
      </c>
      <c r="B28" s="55" t="n">
        <v>1.01</v>
      </c>
    </row>
    <row r="29">
      <c r="A29" s="54" t="inlineStr">
        <is>
          <t>sga</t>
        </is>
      </c>
      <c r="B29" s="55" t="n">
        <v>11.5</v>
      </c>
    </row>
    <row r="31">
      <c r="A31" s="52" t="inlineStr">
        <is>
          <t>Q · 2024-Q4</t>
        </is>
      </c>
      <c r="B31" s="52" t="n"/>
      <c r="C31" s="52" t="n"/>
      <c r="D31" s="52" t="n"/>
      <c r="E31" s="52" t="n"/>
    </row>
    <row r="32">
      <c r="A32" s="53" t="inlineStr">
        <is>
          <t>항목</t>
        </is>
      </c>
      <c r="B32" s="53" t="inlineStr">
        <is>
          <t>값</t>
        </is>
      </c>
      <c r="E32" s="53" t="inlineStr">
        <is>
          <t>출처</t>
        </is>
      </c>
    </row>
    <row r="33">
      <c r="A33" s="54" t="inlineStr">
        <is>
          <t>매출</t>
        </is>
      </c>
      <c r="B33" s="55" t="n">
        <v>23.6</v>
      </c>
      <c r="E33" s="56" t="inlineStr">
        <is>
          <t>2단계 보고서 자료(회사 설명회 자료·공시)</t>
        </is>
      </c>
    </row>
    <row r="34">
      <c r="A34" s="54" t="inlineStr">
        <is>
          <t>gp</t>
        </is>
      </c>
      <c r="B34" s="55" t="n">
        <v>14.7</v>
      </c>
    </row>
    <row r="35">
      <c r="A35" s="54" t="inlineStr">
        <is>
          <t>영업이익</t>
        </is>
      </c>
      <c r="B35" s="55" t="n">
        <v>0.05</v>
      </c>
    </row>
    <row r="36">
      <c r="A36" s="54" t="inlineStr">
        <is>
          <t>ord</t>
        </is>
      </c>
      <c r="B36" s="55" t="n">
        <v>0.11</v>
      </c>
    </row>
    <row r="37">
      <c r="A37" s="54" t="inlineStr">
        <is>
          <t>순이익</t>
        </is>
      </c>
      <c r="B37" s="55" t="n">
        <v>0.03</v>
      </c>
    </row>
    <row r="38">
      <c r="A38" s="54" t="inlineStr">
        <is>
          <t>sga</t>
        </is>
      </c>
      <c r="B38" s="55" t="n">
        <v>14.6</v>
      </c>
    </row>
    <row r="40">
      <c r="A40" s="52" t="inlineStr">
        <is>
          <t>Q · 2025-Q1</t>
        </is>
      </c>
      <c r="B40" s="52" t="n"/>
      <c r="C40" s="52" t="n"/>
      <c r="D40" s="52" t="n"/>
      <c r="E40" s="52" t="n"/>
    </row>
    <row r="41">
      <c r="A41" s="53" t="inlineStr">
        <is>
          <t>항목</t>
        </is>
      </c>
      <c r="B41" s="53" t="inlineStr">
        <is>
          <t>값</t>
        </is>
      </c>
      <c r="E41" s="53" t="inlineStr">
        <is>
          <t>출처</t>
        </is>
      </c>
    </row>
    <row r="42">
      <c r="A42" s="54" t="inlineStr">
        <is>
          <t>매출</t>
        </is>
      </c>
      <c r="B42" s="55" t="n">
        <v>23.73</v>
      </c>
      <c r="E42" s="56" t="inlineStr">
        <is>
          <t>2단계 보고서 자료(회사 설명회 자료·공시)</t>
        </is>
      </c>
    </row>
    <row r="43">
      <c r="A43" s="54" t="inlineStr">
        <is>
          <t>gp</t>
        </is>
      </c>
      <c r="B43" s="55" t="n">
        <v>15.1</v>
      </c>
    </row>
    <row r="44">
      <c r="A44" s="54" t="inlineStr">
        <is>
          <t>영업이익</t>
        </is>
      </c>
      <c r="B44" s="55" t="n">
        <v>1.08</v>
      </c>
    </row>
    <row r="45">
      <c r="A45" s="54" t="inlineStr">
        <is>
          <t>ord</t>
        </is>
      </c>
      <c r="B45" s="55" t="n">
        <v>0.79</v>
      </c>
    </row>
    <row r="46">
      <c r="A46" s="54" t="inlineStr">
        <is>
          <t>순이익</t>
        </is>
      </c>
      <c r="B46" s="55" t="n">
        <v>1.05</v>
      </c>
    </row>
    <row r="47">
      <c r="A47" s="54" t="inlineStr">
        <is>
          <t>sga</t>
        </is>
      </c>
      <c r="B47" s="55" t="n">
        <v>14.1</v>
      </c>
    </row>
    <row r="48">
      <c r="A48" s="54" t="inlineStr">
        <is>
          <t>pbt</t>
        </is>
      </c>
      <c r="B48" s="55" t="n">
        <v>0.8</v>
      </c>
    </row>
    <row r="50">
      <c r="A50" s="52" t="inlineStr">
        <is>
          <t>Q · 2025-Q2</t>
        </is>
      </c>
      <c r="B50" s="52" t="n"/>
      <c r="C50" s="52" t="n"/>
      <c r="D50" s="52" t="n"/>
      <c r="E50" s="52" t="n"/>
    </row>
    <row r="51">
      <c r="A51" s="53" t="inlineStr">
        <is>
          <t>항목</t>
        </is>
      </c>
      <c r="B51" s="53" t="inlineStr">
        <is>
          <t>값</t>
        </is>
      </c>
      <c r="E51" s="53" t="inlineStr">
        <is>
          <t>출처</t>
        </is>
      </c>
    </row>
    <row r="52">
      <c r="A52" s="54" t="inlineStr">
        <is>
          <t>매출</t>
        </is>
      </c>
      <c r="B52" s="55" t="n">
        <v>23.42</v>
      </c>
      <c r="E52" s="56" t="inlineStr">
        <is>
          <t>2단계 보고서 자료(회사 설명회 자료·공시)</t>
        </is>
      </c>
    </row>
    <row r="53">
      <c r="A53" s="54" t="inlineStr">
        <is>
          <t>gp</t>
        </is>
      </c>
      <c r="B53" s="55" t="n">
        <v>15</v>
      </c>
    </row>
    <row r="54">
      <c r="A54" s="54" t="inlineStr">
        <is>
          <t>영업이익</t>
        </is>
      </c>
      <c r="B54" s="55" t="n">
        <v>0.9</v>
      </c>
    </row>
    <row r="55">
      <c r="A55" s="54" t="inlineStr">
        <is>
          <t>ord</t>
        </is>
      </c>
      <c r="B55" s="55" t="n">
        <v>0.92</v>
      </c>
    </row>
    <row r="56">
      <c r="A56" s="54" t="inlineStr">
        <is>
          <t>순이익</t>
        </is>
      </c>
      <c r="B56" s="55" t="n">
        <v>0.55</v>
      </c>
    </row>
    <row r="57">
      <c r="A57" s="54" t="inlineStr">
        <is>
          <t>sga</t>
        </is>
      </c>
      <c r="B57" s="55" t="n">
        <v>14.1</v>
      </c>
    </row>
    <row r="58">
      <c r="A58" s="54" t="inlineStr">
        <is>
          <t>pbt</t>
        </is>
      </c>
      <c r="B58" s="55" t="n">
        <v>0.9</v>
      </c>
    </row>
    <row r="60">
      <c r="A60" s="52" t="inlineStr">
        <is>
          <t>Q · 2025-Q3</t>
        </is>
      </c>
      <c r="B60" s="52" t="n"/>
      <c r="C60" s="52" t="n"/>
      <c r="D60" s="52" t="n"/>
      <c r="E60" s="52" t="n"/>
    </row>
    <row r="61">
      <c r="A61" s="53" t="inlineStr">
        <is>
          <t>항목</t>
        </is>
      </c>
      <c r="B61" s="53" t="inlineStr">
        <is>
          <t>값</t>
        </is>
      </c>
      <c r="E61" s="53" t="inlineStr">
        <is>
          <t>출처</t>
        </is>
      </c>
    </row>
    <row r="62">
      <c r="A62" s="54" t="inlineStr">
        <is>
          <t>매출</t>
        </is>
      </c>
      <c r="B62" s="55" t="n">
        <v>23.46</v>
      </c>
      <c r="E62" s="56" t="inlineStr">
        <is>
          <t>2단계 보고서 자료(회사 설명회 자료·공시)</t>
        </is>
      </c>
    </row>
    <row r="63">
      <c r="A63" s="54" t="inlineStr">
        <is>
          <t>gp</t>
        </is>
      </c>
      <c r="B63" s="55" t="n">
        <v>15.6</v>
      </c>
    </row>
    <row r="64">
      <c r="A64" s="54" t="inlineStr">
        <is>
          <t>영업이익</t>
        </is>
      </c>
      <c r="B64" s="55" t="n">
        <v>0.9</v>
      </c>
    </row>
    <row r="65">
      <c r="A65" s="54" t="inlineStr">
        <is>
          <t>ord</t>
        </is>
      </c>
      <c r="B65" s="55" t="n">
        <v>0.89</v>
      </c>
    </row>
    <row r="66">
      <c r="A66" s="54" t="inlineStr">
        <is>
          <t>순이익</t>
        </is>
      </c>
      <c r="B66" s="55" t="n">
        <v>1.4</v>
      </c>
    </row>
    <row r="67">
      <c r="A67" s="54" t="inlineStr">
        <is>
          <t>sga</t>
        </is>
      </c>
      <c r="B67" s="55" t="n">
        <v>14.7</v>
      </c>
    </row>
    <row r="68">
      <c r="A68" s="54" t="inlineStr">
        <is>
          <t>pbt</t>
        </is>
      </c>
      <c r="B68" s="55" t="n">
        <v>0.9</v>
      </c>
    </row>
    <row r="70">
      <c r="A70" s="52" t="inlineStr">
        <is>
          <t>Q · 2025-Q4</t>
        </is>
      </c>
      <c r="B70" s="52" t="n"/>
      <c r="C70" s="52" t="n"/>
      <c r="D70" s="52" t="n"/>
      <c r="E70" s="52" t="n"/>
    </row>
    <row r="71">
      <c r="A71" s="53" t="inlineStr">
        <is>
          <t>항목</t>
        </is>
      </c>
      <c r="B71" s="53" t="inlineStr">
        <is>
          <t>값</t>
        </is>
      </c>
      <c r="E71" s="53" t="inlineStr">
        <is>
          <t>출처</t>
        </is>
      </c>
    </row>
    <row r="72">
      <c r="A72" s="54" t="inlineStr">
        <is>
          <t>매출</t>
        </is>
      </c>
      <c r="B72" s="55" t="n">
        <v>23.49</v>
      </c>
      <c r="E72" s="56" t="inlineStr">
        <is>
          <t>2단계 보고서 자료(회사 설명회 자료·공시)</t>
        </is>
      </c>
    </row>
    <row r="73">
      <c r="A73" s="54" t="inlineStr">
        <is>
          <t>gp</t>
        </is>
      </c>
      <c r="B73" s="55" t="n">
        <v>15.6</v>
      </c>
    </row>
    <row r="74">
      <c r="A74" s="54" t="inlineStr">
        <is>
          <t>영업이익</t>
        </is>
      </c>
      <c r="B74" s="55" t="n">
        <v>-0.32</v>
      </c>
    </row>
    <row r="75">
      <c r="A75" s="54" t="inlineStr">
        <is>
          <t>ord</t>
        </is>
      </c>
      <c r="B75" s="55" t="n">
        <v>-0.33</v>
      </c>
    </row>
    <row r="76">
      <c r="A76" s="54" t="inlineStr">
        <is>
          <t>순이익</t>
        </is>
      </c>
      <c r="B76" s="55" t="n">
        <v>0.06</v>
      </c>
    </row>
    <row r="77">
      <c r="A77" s="54" t="inlineStr">
        <is>
          <t>sga</t>
        </is>
      </c>
      <c r="B77" s="55" t="n">
        <v>15.9</v>
      </c>
    </row>
    <row r="78">
      <c r="A78" s="54" t="inlineStr">
        <is>
          <t>pbt</t>
        </is>
      </c>
      <c r="B78" s="55" t="n">
        <v>-0.3</v>
      </c>
    </row>
    <row r="80">
      <c r="A80" s="52" t="inlineStr">
        <is>
          <t>Q · 2026-Q1</t>
        </is>
      </c>
      <c r="B80" s="52" t="n"/>
      <c r="C80" s="52" t="n"/>
      <c r="D80" s="52" t="n"/>
      <c r="E80" s="52" t="n"/>
    </row>
    <row r="81">
      <c r="A81" s="53" t="inlineStr">
        <is>
          <t>항목</t>
        </is>
      </c>
      <c r="B81" s="53" t="inlineStr">
        <is>
          <t>값</t>
        </is>
      </c>
      <c r="E81" s="53" t="inlineStr">
        <is>
          <t>출처</t>
        </is>
      </c>
    </row>
    <row r="82">
      <c r="A82" s="54" t="inlineStr">
        <is>
          <t>매출</t>
        </is>
      </c>
      <c r="B82" s="55" t="n">
        <v>24.67</v>
      </c>
      <c r="E82" s="56" t="inlineStr">
        <is>
          <t>2단계 보고서 자료(회사 설명회 자료·공시)</t>
        </is>
      </c>
    </row>
    <row r="83">
      <c r="A83" s="54" t="inlineStr">
        <is>
          <t>gp</t>
        </is>
      </c>
      <c r="B83" s="55" t="n">
        <v>15.9</v>
      </c>
    </row>
    <row r="84">
      <c r="A84" s="54" t="inlineStr">
        <is>
          <t>영업이익</t>
        </is>
      </c>
      <c r="B84" s="55" t="n">
        <v>0.79</v>
      </c>
    </row>
    <row r="85">
      <c r="A85" s="54" t="inlineStr">
        <is>
          <t>ord</t>
        </is>
      </c>
      <c r="B85" s="55" t="n">
        <v>0.8100000000000001</v>
      </c>
    </row>
    <row r="86">
      <c r="A86" s="54" t="inlineStr">
        <is>
          <t>순이익</t>
        </is>
      </c>
      <c r="B86" s="55" t="n">
        <v>0.7</v>
      </c>
    </row>
    <row r="87">
      <c r="A87" s="54" t="inlineStr">
        <is>
          <t>sga</t>
        </is>
      </c>
      <c r="B87" s="55" t="n">
        <v>15.1</v>
      </c>
    </row>
    <row r="88">
      <c r="A88" s="54" t="inlineStr">
        <is>
          <t>pbt</t>
        </is>
      </c>
      <c r="B88" s="55" t="n">
        <v>0.8</v>
      </c>
    </row>
    <row r="90">
      <c r="A90" s="52" t="inlineStr">
        <is>
          <t>Q · 2026-Q2</t>
        </is>
      </c>
      <c r="B90" s="52" t="n"/>
      <c r="C90" s="52" t="n"/>
      <c r="D90" s="52" t="n"/>
      <c r="E90" s="52" t="n"/>
    </row>
    <row r="91">
      <c r="A91" s="53" t="inlineStr">
        <is>
          <t>항목</t>
        </is>
      </c>
      <c r="B91" s="53" t="inlineStr">
        <is>
          <t>값</t>
        </is>
      </c>
      <c r="E91" s="53" t="inlineStr">
        <is>
          <t>출처</t>
        </is>
      </c>
    </row>
    <row r="92">
      <c r="A92" s="54" t="inlineStr">
        <is>
          <t>매출</t>
        </is>
      </c>
      <c r="B92" s="55" t="n">
        <v>25.24</v>
      </c>
      <c r="E92" s="56" t="inlineStr">
        <is>
          <t>2단계 보고서 자료(회사 설명회 자료·공시)</t>
        </is>
      </c>
    </row>
    <row r="93">
      <c r="A93" s="54" t="inlineStr">
        <is>
          <t>gp</t>
        </is>
      </c>
      <c r="B93" s="55" t="n">
        <v>15.7</v>
      </c>
    </row>
    <row r="94">
      <c r="A94" s="54" t="inlineStr">
        <is>
          <t>영업이익</t>
        </is>
      </c>
      <c r="B94" s="55" t="n">
        <v>1.52</v>
      </c>
    </row>
    <row r="95">
      <c r="A95" s="54" t="inlineStr">
        <is>
          <t>ord</t>
        </is>
      </c>
      <c r="B95" s="55" t="n">
        <v>1.5</v>
      </c>
    </row>
    <row r="96">
      <c r="A96" s="54" t="inlineStr">
        <is>
          <t>순이익</t>
        </is>
      </c>
      <c r="B96" s="55" t="n">
        <v>0.87</v>
      </c>
    </row>
    <row r="97">
      <c r="A97" s="54" t="inlineStr">
        <is>
          <t>sga</t>
        </is>
      </c>
      <c r="B97" s="55" t="n">
        <v>14.2</v>
      </c>
    </row>
    <row r="98">
      <c r="A98" s="54" t="inlineStr">
        <is>
          <t>pbt</t>
        </is>
      </c>
      <c r="B98" s="55" t="n">
        <v>1.5</v>
      </c>
    </row>
    <row r="100">
      <c r="A100" s="52" t="inlineStr">
        <is>
          <t>Q · 2026-Q3</t>
        </is>
      </c>
      <c r="B100" s="52" t="n"/>
      <c r="C100" s="52" t="n"/>
      <c r="D100" s="52" t="n"/>
      <c r="E100" s="52" t="n"/>
    </row>
    <row r="101">
      <c r="A101" s="53" t="inlineStr">
        <is>
          <t>항목</t>
        </is>
      </c>
      <c r="B101" s="53" t="inlineStr">
        <is>
          <t>값</t>
        </is>
      </c>
      <c r="E101" s="53" t="inlineStr">
        <is>
          <t>출처</t>
        </is>
      </c>
    </row>
    <row r="102">
      <c r="A102" s="54" t="inlineStr">
        <is>
          <t>매출</t>
        </is>
      </c>
      <c r="B102" s="55" t="n">
        <v>26.51</v>
      </c>
      <c r="E102" s="56" t="inlineStr">
        <is>
          <t>2단계 보고서 자료(회사 설명회 자료·공시)</t>
        </is>
      </c>
    </row>
    <row r="103">
      <c r="A103" s="54" t="inlineStr">
        <is>
          <t>gp</t>
        </is>
      </c>
      <c r="B103" s="55" t="n">
        <v>16.6</v>
      </c>
    </row>
    <row r="104">
      <c r="A104" s="54" t="inlineStr">
        <is>
          <t>영업이익</t>
        </is>
      </c>
      <c r="B104" s="55" t="n">
        <v>1.79</v>
      </c>
    </row>
    <row r="105">
      <c r="A105" s="54" t="inlineStr">
        <is>
          <t>ord</t>
        </is>
      </c>
      <c r="B105" s="55" t="n">
        <v>1.85</v>
      </c>
    </row>
    <row r="106">
      <c r="A106" s="54" t="inlineStr">
        <is>
          <t>순이익</t>
        </is>
      </c>
      <c r="B106" s="55" t="n">
        <v>1.27</v>
      </c>
    </row>
    <row r="107">
      <c r="A107" s="54" t="inlineStr">
        <is>
          <t>sga</t>
        </is>
      </c>
      <c r="B107" s="55" t="n">
        <v>14.8</v>
      </c>
    </row>
    <row r="108">
      <c r="A108" s="54" t="inlineStr">
        <is>
          <t>pbt</t>
        </is>
      </c>
      <c r="B108" s="55" t="n">
        <v>1.8</v>
      </c>
    </row>
    <row r="110">
      <c r="A110" s="52" t="inlineStr">
        <is>
          <t>Q · 2026-Q4</t>
        </is>
      </c>
      <c r="B110" s="52" t="n"/>
      <c r="C110" s="52" t="n"/>
      <c r="D110" s="52" t="n"/>
      <c r="E110" s="52" t="n"/>
    </row>
    <row r="111">
      <c r="A111" s="53" t="inlineStr">
        <is>
          <t>항목</t>
        </is>
      </c>
      <c r="B111" s="53" t="inlineStr">
        <is>
          <t>값</t>
        </is>
      </c>
      <c r="E111" s="53" t="inlineStr">
        <is>
          <t>출처</t>
        </is>
      </c>
    </row>
    <row r="112">
      <c r="A112" s="54" t="inlineStr">
        <is>
          <t>매출</t>
        </is>
      </c>
      <c r="B112" s="55" t="n">
        <v>26.74</v>
      </c>
      <c r="E112" s="56" t="inlineStr">
        <is>
          <t>2단계 보고서 자료(회사 설명회 자료·공시)</t>
        </is>
      </c>
    </row>
    <row r="113">
      <c r="A113" s="54" t="inlineStr">
        <is>
          <t>gp</t>
        </is>
      </c>
      <c r="B113" s="55" t="n">
        <v>16.5</v>
      </c>
    </row>
    <row r="114">
      <c r="A114" s="54" t="inlineStr">
        <is>
          <t>영업이익</t>
        </is>
      </c>
      <c r="B114" s="55" t="n">
        <v>0.82</v>
      </c>
    </row>
    <row r="115">
      <c r="A115" s="54" t="inlineStr">
        <is>
          <t>ord</t>
        </is>
      </c>
      <c r="B115" s="55" t="n">
        <v>0.86</v>
      </c>
    </row>
    <row r="116">
      <c r="A116" s="54" t="inlineStr">
        <is>
          <t>순이익</t>
        </is>
      </c>
      <c r="B116" s="55" t="n">
        <v>0.96</v>
      </c>
    </row>
    <row r="117">
      <c r="A117" s="54" t="inlineStr">
        <is>
          <t>sga</t>
        </is>
      </c>
      <c r="B117" s="55" t="n">
        <v>15.7</v>
      </c>
    </row>
    <row r="118">
      <c r="A118" s="54" t="inlineStr">
        <is>
          <t>pbt</t>
        </is>
      </c>
      <c r="B118" s="55" t="n">
        <v>0.9</v>
      </c>
    </row>
    <row r="120">
      <c r="A120" s="52" t="inlineStr">
        <is>
          <t>A · FY2020</t>
        </is>
      </c>
      <c r="B120" s="52" t="n"/>
      <c r="C120" s="52" t="n"/>
      <c r="D120" s="52" t="n"/>
      <c r="E120" s="52" t="n"/>
    </row>
    <row r="121">
      <c r="A121" s="53" t="inlineStr">
        <is>
          <t>항목</t>
        </is>
      </c>
      <c r="B121" s="53" t="inlineStr">
        <is>
          <t>값</t>
        </is>
      </c>
      <c r="E121" s="53" t="inlineStr">
        <is>
          <t>출처</t>
        </is>
      </c>
    </row>
    <row r="122">
      <c r="A122" s="54" t="inlineStr">
        <is>
          <t>매출</t>
        </is>
      </c>
      <c r="B122" s="55" t="n">
        <v>17.8</v>
      </c>
      <c r="E122" s="56" t="inlineStr">
        <is>
          <t>2단계 보고서 자료(회사 설명회 자료·공시)</t>
        </is>
      </c>
    </row>
    <row r="123">
      <c r="A123" s="54" t="inlineStr">
        <is>
          <t>영업이익</t>
        </is>
      </c>
      <c r="B123" s="55" t="n">
        <v>-0.8</v>
      </c>
    </row>
    <row r="125">
      <c r="A125" s="52" t="inlineStr">
        <is>
          <t>A · FY2021</t>
        </is>
      </c>
      <c r="B125" s="52" t="n"/>
      <c r="C125" s="52" t="n"/>
      <c r="D125" s="52" t="n"/>
      <c r="E125" s="52" t="n"/>
    </row>
    <row r="126">
      <c r="A126" s="53" t="inlineStr">
        <is>
          <t>항목</t>
        </is>
      </c>
      <c r="B126" s="53" t="inlineStr">
        <is>
          <t>값</t>
        </is>
      </c>
      <c r="E126" s="53" t="inlineStr">
        <is>
          <t>출처</t>
        </is>
      </c>
    </row>
    <row r="127">
      <c r="A127" s="54" t="inlineStr">
        <is>
          <t>매출</t>
        </is>
      </c>
      <c r="B127" s="55" t="n">
        <v>27.46</v>
      </c>
      <c r="E127" s="56" t="inlineStr">
        <is>
          <t>2단계 보고서 자료(회사 설명회 자료·공시)</t>
        </is>
      </c>
    </row>
    <row r="128">
      <c r="A128" s="54" t="inlineStr">
        <is>
          <t>gp</t>
        </is>
      </c>
      <c r="B128" s="55" t="n">
        <v>26.5</v>
      </c>
    </row>
    <row r="129">
      <c r="A129" s="54" t="inlineStr">
        <is>
          <t>영업이익</t>
        </is>
      </c>
      <c r="B129" s="55" t="n">
        <v>0.89</v>
      </c>
    </row>
    <row r="130">
      <c r="A130" s="54" t="inlineStr">
        <is>
          <t>순이익</t>
        </is>
      </c>
      <c r="B130" s="55" t="n">
        <v>0.41</v>
      </c>
    </row>
    <row r="131">
      <c r="A131" s="54" t="inlineStr">
        <is>
          <t>EPS</t>
        </is>
      </c>
      <c r="B131" s="55" t="n">
        <v>1.93</v>
      </c>
    </row>
    <row r="133">
      <c r="A133" s="52" t="inlineStr">
        <is>
          <t>A · FY2022</t>
        </is>
      </c>
      <c r="B133" s="52" t="n"/>
      <c r="C133" s="52" t="n"/>
      <c r="D133" s="52" t="n"/>
      <c r="E133" s="52" t="n"/>
    </row>
    <row r="134">
      <c r="A134" s="53" t="inlineStr">
        <is>
          <t>항목</t>
        </is>
      </c>
      <c r="B134" s="53" t="inlineStr">
        <is>
          <t>값</t>
        </is>
      </c>
      <c r="E134" s="53" t="inlineStr">
        <is>
          <t>출처</t>
        </is>
      </c>
    </row>
    <row r="135">
      <c r="A135" s="54" t="inlineStr">
        <is>
          <t>매출</t>
        </is>
      </c>
      <c r="B135" s="55" t="n">
        <v>38.37</v>
      </c>
      <c r="E135" s="56" t="inlineStr">
        <is>
          <t>2단계 보고서 자료(회사 설명회 자료·공시)</t>
        </is>
      </c>
    </row>
    <row r="136">
      <c r="A136" s="54" t="inlineStr">
        <is>
          <t>gp</t>
        </is>
      </c>
      <c r="B136" s="55" t="n">
        <v>35.3</v>
      </c>
    </row>
    <row r="137">
      <c r="A137" s="54" t="inlineStr">
        <is>
          <t>영업이익</t>
        </is>
      </c>
      <c r="B137" s="55" t="n">
        <v>-5.15</v>
      </c>
    </row>
    <row r="138">
      <c r="A138" s="54" t="inlineStr">
        <is>
          <t>순이익</t>
        </is>
      </c>
      <c r="B138" s="55" t="n">
        <v>-4.94</v>
      </c>
    </row>
    <row r="139">
      <c r="A139" s="54" t="inlineStr">
        <is>
          <t>EPS</t>
        </is>
      </c>
      <c r="B139" s="55" t="n">
        <v>-21.28</v>
      </c>
    </row>
    <row r="141">
      <c r="A141" s="52" t="inlineStr">
        <is>
          <t>A · FY2023</t>
        </is>
      </c>
      <c r="B141" s="52" t="n"/>
      <c r="C141" s="52" t="n"/>
      <c r="D141" s="52" t="n"/>
      <c r="E141" s="52" t="n"/>
    </row>
    <row r="142">
      <c r="A142" s="53" t="inlineStr">
        <is>
          <t>항목</t>
        </is>
      </c>
      <c r="B142" s="53" t="inlineStr">
        <is>
          <t>값</t>
        </is>
      </c>
      <c r="E142" s="53" t="inlineStr">
        <is>
          <t>출처</t>
        </is>
      </c>
    </row>
    <row r="143">
      <c r="A143" s="54" t="inlineStr">
        <is>
          <t>매출</t>
        </is>
      </c>
      <c r="B143" s="55" t="n">
        <v>46.79</v>
      </c>
      <c r="E143" s="56" t="inlineStr">
        <is>
          <t>2단계 보고서 자료(회사 설명회 자료·공시)</t>
        </is>
      </c>
    </row>
    <row r="144">
      <c r="A144" s="54" t="inlineStr">
        <is>
          <t>gp</t>
        </is>
      </c>
      <c r="B144" s="55" t="n">
        <v>43.6</v>
      </c>
    </row>
    <row r="145">
      <c r="A145" s="54" t="inlineStr">
        <is>
          <t>영업이익</t>
        </is>
      </c>
      <c r="B145" s="55" t="n">
        <v>-1.26</v>
      </c>
    </row>
    <row r="146">
      <c r="A146" s="54" t="inlineStr">
        <is>
          <t>순이익</t>
        </is>
      </c>
      <c r="B146" s="55" t="n">
        <v>-0.75</v>
      </c>
    </row>
    <row r="147">
      <c r="A147" s="54" t="inlineStr">
        <is>
          <t>EPS</t>
        </is>
      </c>
      <c r="B147" s="55" t="n">
        <v>-3.2</v>
      </c>
    </row>
    <row r="148">
      <c r="A148" s="54" t="inlineStr">
        <is>
          <t>sga</t>
        </is>
      </c>
      <c r="B148" s="55" t="n">
        <v>46.8</v>
      </c>
    </row>
    <row r="150">
      <c r="A150" s="52" t="inlineStr">
        <is>
          <t>A · FY2024</t>
        </is>
      </c>
      <c r="B150" s="52" t="n"/>
      <c r="C150" s="52" t="n"/>
      <c r="D150" s="52" t="n"/>
      <c r="E150" s="52" t="n"/>
    </row>
    <row r="151">
      <c r="A151" s="53" t="inlineStr">
        <is>
          <t>항목</t>
        </is>
      </c>
      <c r="B151" s="53" t="inlineStr">
        <is>
          <t>값</t>
        </is>
      </c>
      <c r="E151" s="53" t="inlineStr">
        <is>
          <t>출처</t>
        </is>
      </c>
    </row>
    <row r="152">
      <c r="A152" s="54" t="inlineStr">
        <is>
          <t>매출</t>
        </is>
      </c>
      <c r="B152" s="55" t="n">
        <v>65.88</v>
      </c>
      <c r="E152" s="56" t="inlineStr">
        <is>
          <t>2단계 보고서 자료(회사 설명회 자료·공시)</t>
        </is>
      </c>
    </row>
    <row r="153">
      <c r="A153" s="54" t="inlineStr">
        <is>
          <t>gp</t>
        </is>
      </c>
      <c r="B153" s="55" t="n">
        <v>50.9</v>
      </c>
    </row>
    <row r="154">
      <c r="A154" s="54" t="inlineStr">
        <is>
          <t>영업이익</t>
        </is>
      </c>
      <c r="B154" s="55" t="n">
        <v>3.04</v>
      </c>
    </row>
    <row r="155">
      <c r="A155" s="54" t="inlineStr">
        <is>
          <t>순이익</t>
        </is>
      </c>
      <c r="B155" s="55" t="n">
        <v>2.43</v>
      </c>
    </row>
    <row r="156">
      <c r="A156" s="54" t="inlineStr">
        <is>
          <t>EPS</t>
        </is>
      </c>
      <c r="B156" s="55" t="n">
        <v>10.21</v>
      </c>
    </row>
    <row r="157">
      <c r="A157" s="54" t="inlineStr">
        <is>
          <t>sga</t>
        </is>
      </c>
      <c r="B157" s="55" t="n">
        <v>47.9</v>
      </c>
    </row>
    <row r="159">
      <c r="A159" s="52" t="inlineStr">
        <is>
          <t>A · FY2025</t>
        </is>
      </c>
      <c r="B159" s="52" t="n"/>
      <c r="C159" s="52" t="n"/>
      <c r="D159" s="52" t="n"/>
      <c r="E159" s="52" t="n"/>
    </row>
    <row r="160">
      <c r="A160" s="53" t="inlineStr">
        <is>
          <t>항목</t>
        </is>
      </c>
      <c r="B160" s="53" t="inlineStr">
        <is>
          <t>값</t>
        </is>
      </c>
      <c r="E160" s="53" t="inlineStr">
        <is>
          <t>출처</t>
        </is>
      </c>
    </row>
    <row r="161">
      <c r="A161" s="54" t="inlineStr">
        <is>
          <t>매출</t>
        </is>
      </c>
      <c r="B161" s="55" t="n">
        <v>94.09999999999999</v>
      </c>
      <c r="E161" s="56" t="inlineStr">
        <is>
          <t>2단계 보고서 자료(회사 설명회 자료·공시)</t>
        </is>
      </c>
    </row>
    <row r="162">
      <c r="A162" s="54" t="inlineStr">
        <is>
          <t>gp</t>
        </is>
      </c>
      <c r="B162" s="55" t="n">
        <v>61.2</v>
      </c>
    </row>
    <row r="163">
      <c r="A163" s="54" t="inlineStr">
        <is>
          <t>영업이익</t>
        </is>
      </c>
      <c r="B163" s="55" t="n">
        <v>2.56</v>
      </c>
    </row>
    <row r="164">
      <c r="A164" s="54" t="inlineStr">
        <is>
          <t>순이익</t>
        </is>
      </c>
      <c r="B164" s="55" t="n">
        <v>3.07</v>
      </c>
    </row>
    <row r="165">
      <c r="A165" s="54" t="inlineStr">
        <is>
          <t>EPS</t>
        </is>
      </c>
      <c r="B165" s="55" t="n">
        <v>13.07</v>
      </c>
    </row>
    <row r="166">
      <c r="A166" s="54" t="inlineStr">
        <is>
          <t>sga</t>
        </is>
      </c>
      <c r="B166" s="55" t="n">
        <v>58.7</v>
      </c>
    </row>
    <row r="168">
      <c r="A168" s="52" t="inlineStr">
        <is>
          <t>A · FY2026</t>
        </is>
      </c>
      <c r="B168" s="52" t="n"/>
      <c r="C168" s="52" t="n"/>
      <c r="D168" s="52" t="n"/>
      <c r="E168" s="52" t="n"/>
    </row>
    <row r="169">
      <c r="A169" s="53" t="inlineStr">
        <is>
          <t>항목</t>
        </is>
      </c>
      <c r="B169" s="53" t="inlineStr">
        <is>
          <t>값</t>
        </is>
      </c>
      <c r="E169" s="53" t="inlineStr">
        <is>
          <t>출처</t>
        </is>
      </c>
    </row>
    <row r="170">
      <c r="A170" s="54" t="inlineStr">
        <is>
          <t>매출</t>
        </is>
      </c>
      <c r="B170" s="55" t="n">
        <v>103.16</v>
      </c>
      <c r="E170" s="56" t="inlineStr">
        <is>
          <t>2단계 보고서 자료(회사 설명회 자료·공시)</t>
        </is>
      </c>
    </row>
    <row r="171">
      <c r="A171" s="54" t="inlineStr">
        <is>
          <t>gp</t>
        </is>
      </c>
      <c r="B171" s="55" t="n">
        <v>64.67</v>
      </c>
    </row>
    <row r="172">
      <c r="A172" s="54" t="inlineStr">
        <is>
          <t>영업이익</t>
        </is>
      </c>
      <c r="B172" s="55" t="n">
        <v>4.93</v>
      </c>
    </row>
    <row r="173">
      <c r="A173" s="54" t="inlineStr">
        <is>
          <t>순이익</t>
        </is>
      </c>
      <c r="B173" s="55" t="n">
        <v>3.8</v>
      </c>
    </row>
    <row r="174">
      <c r="A174" s="54" t="inlineStr">
        <is>
          <t>EPS</t>
        </is>
      </c>
      <c r="B174" s="55" t="n">
        <v>16.95</v>
      </c>
    </row>
    <row r="175">
      <c r="A175" s="54" t="inlineStr">
        <is>
          <t>sga</t>
        </is>
      </c>
      <c r="B175" s="55" t="n">
        <v>59.75</v>
      </c>
    </row>
    <row r="177">
      <c r="A177" s="52" t="inlineStr">
        <is>
          <t>GUIDE27</t>
        </is>
      </c>
      <c r="B177" s="52" t="n"/>
      <c r="C177" s="52" t="n"/>
      <c r="D177" s="52" t="n"/>
      <c r="E177" s="52" t="n"/>
    </row>
    <row r="178">
      <c r="A178" s="53" t="inlineStr">
        <is>
          <t>항목</t>
        </is>
      </c>
      <c r="B178" s="53" t="inlineStr">
        <is>
          <t>값</t>
        </is>
      </c>
      <c r="E178" s="53" t="inlineStr">
        <is>
          <t>출처</t>
        </is>
      </c>
    </row>
    <row r="179">
      <c r="A179" s="54" t="inlineStr">
        <is>
          <t>매출</t>
        </is>
      </c>
      <c r="B179" s="55" t="n">
        <v>130</v>
      </c>
      <c r="E179" s="56" t="inlineStr">
        <is>
          <t>2단계 보고서 자료(회사 설명회 자료·공시)</t>
        </is>
      </c>
    </row>
    <row r="180">
      <c r="A180" s="54" t="inlineStr">
        <is>
          <t>영업이익</t>
        </is>
      </c>
      <c r="B180" s="55" t="n">
        <v>6</v>
      </c>
    </row>
    <row r="181">
      <c r="A181" s="54" t="inlineStr">
        <is>
          <t>ord</t>
        </is>
      </c>
      <c r="B181" s="55" t="n">
        <v>6</v>
      </c>
    </row>
    <row r="182">
      <c r="A182" s="54" t="inlineStr">
        <is>
          <t>순이익</t>
        </is>
      </c>
      <c r="B182" s="55" t="n">
        <v>4.8</v>
      </c>
    </row>
    <row r="183">
      <c r="A183" s="54" t="inlineStr">
        <is>
          <t>EPS</t>
        </is>
      </c>
      <c r="B183" s="55" t="n">
        <v>21.41</v>
      </c>
    </row>
    <row r="184">
      <c r="A184" s="54" t="inlineStr">
        <is>
          <t>ebitda</t>
        </is>
      </c>
      <c r="B184" s="55" t="n">
        <v>10</v>
      </c>
    </row>
    <row r="186">
      <c r="A186" s="52" t="inlineStr">
        <is>
          <t>bs26</t>
        </is>
      </c>
      <c r="B186" s="52" t="n"/>
      <c r="C186" s="52" t="n"/>
      <c r="D186" s="52" t="n"/>
      <c r="E186" s="52" t="n"/>
    </row>
    <row r="187">
      <c r="A187" s="53" t="inlineStr">
        <is>
          <t>항목</t>
        </is>
      </c>
      <c r="B187" s="53" t="inlineStr">
        <is>
          <t>값</t>
        </is>
      </c>
      <c r="E187" s="53" t="inlineStr">
        <is>
          <t>출처</t>
        </is>
      </c>
    </row>
    <row r="188">
      <c r="A188" s="54" t="inlineStr">
        <is>
          <t>cash</t>
        </is>
      </c>
      <c r="B188" s="55" t="n">
        <v>34</v>
      </c>
      <c r="E188" s="56" t="inlineStr">
        <is>
          <t>2단계 보고서 자료(회사 설명회 자료·공시)</t>
        </is>
      </c>
    </row>
    <row r="189">
      <c r="A189" s="54" t="inlineStr">
        <is>
          <t>deposits received</t>
        </is>
      </c>
      <c r="B189" s="55" t="n">
        <v>7.91</v>
      </c>
    </row>
    <row r="190">
      <c r="A190" s="54" t="inlineStr">
        <is>
          <t>borrowings</t>
        </is>
      </c>
      <c r="B190" s="55" t="n">
        <v>11.71</v>
      </c>
    </row>
    <row r="191">
      <c r="A191" s="54" t="inlineStr">
        <is>
          <t>bonds</t>
        </is>
      </c>
      <c r="B191" s="55" t="n">
        <v>0.6</v>
      </c>
    </row>
    <row r="192">
      <c r="A192" s="54" t="inlineStr">
        <is>
          <t>equity owner</t>
        </is>
      </c>
      <c r="B192" s="55" t="n">
        <v>23.34</v>
      </c>
    </row>
    <row r="193">
      <c r="A193" s="54" t="inlineStr">
        <is>
          <t>ebitda</t>
        </is>
      </c>
      <c r="B193" s="55" t="n">
        <v>8.25</v>
      </c>
    </row>
    <row r="195">
      <c r="A195" s="52" t="inlineStr">
        <is>
          <t>analyst</t>
        </is>
      </c>
      <c r="B195" s="52" t="n"/>
      <c r="C195" s="52" t="n"/>
      <c r="D195" s="52" t="n"/>
      <c r="E195" s="52" t="n"/>
    </row>
    <row r="196">
      <c r="A196" s="53" t="inlineStr">
        <is>
          <t>항목</t>
        </is>
      </c>
      <c r="B196" s="53" t="inlineStr">
        <is>
          <t>값</t>
        </is>
      </c>
      <c r="E196" s="53" t="inlineStr">
        <is>
          <t>출처</t>
        </is>
      </c>
    </row>
    <row r="197">
      <c r="A197" s="54" t="inlineStr">
        <is>
          <t>애널리스트 수</t>
        </is>
      </c>
      <c r="B197" s="57" t="n">
        <v>1</v>
      </c>
      <c r="E197" s="56" t="inlineStr">
        <is>
          <t>야후 파이낸스 26.10.27</t>
        </is>
      </c>
    </row>
    <row r="198">
      <c r="A198" s="54" t="inlineStr">
        <is>
          <t>fy27 EPS</t>
        </is>
      </c>
      <c r="B198" s="55" t="n">
        <v>17.4</v>
      </c>
    </row>
    <row r="199">
      <c r="A199" s="54" t="inlineStr">
        <is>
          <t>fy27 매출</t>
        </is>
      </c>
      <c r="B199" s="55" t="n">
        <v>117</v>
      </c>
    </row>
    <row r="201">
      <c r="A201" s="52" t="inlineStr">
        <is>
          <t>reactions</t>
        </is>
      </c>
      <c r="B201" s="52" t="n"/>
      <c r="C201" s="52" t="n"/>
      <c r="D201" s="52" t="n"/>
      <c r="E201" s="52" t="n"/>
    </row>
    <row r="202">
      <c r="A202" s="53" t="inlineStr">
        <is>
          <t>항목</t>
        </is>
      </c>
      <c r="B202" s="53" t="inlineStr">
        <is>
          <t>기준일</t>
        </is>
      </c>
      <c r="C202" s="53" t="inlineStr">
        <is>
          <t>다음날</t>
        </is>
      </c>
      <c r="D202" s="53" t="inlineStr">
        <is>
          <t>등락%</t>
        </is>
      </c>
      <c r="E202" s="53" t="inlineStr">
        <is>
          <t>출처</t>
        </is>
      </c>
    </row>
    <row r="203">
      <c r="A203" s="54" t="inlineStr">
        <is>
          <t>2025-01-14</t>
        </is>
      </c>
      <c r="B203" s="58" t="inlineStr">
        <is>
          <t>2025-01-14</t>
        </is>
      </c>
      <c r="C203" s="58" t="inlineStr">
        <is>
          <t>2025-01-15</t>
        </is>
      </c>
      <c r="D203" s="55" t="n">
        <v>5.4</v>
      </c>
      <c r="E203" s="56" t="inlineStr">
        <is>
          <t>2단계 보고서 자료(회사 설명회 자료·공시)</t>
        </is>
      </c>
    </row>
    <row r="204">
      <c r="A204" s="54" t="inlineStr">
        <is>
          <t>2025-04-14</t>
        </is>
      </c>
      <c r="B204" s="58" t="inlineStr">
        <is>
          <t>2025-04-14</t>
        </is>
      </c>
      <c r="C204" s="58" t="inlineStr">
        <is>
          <t>2025-04-15</t>
        </is>
      </c>
      <c r="D204" s="55" t="n">
        <v>-1.6</v>
      </c>
    </row>
    <row r="205">
      <c r="A205" s="54" t="inlineStr">
        <is>
          <t>2025-07-11</t>
        </is>
      </c>
      <c r="B205" s="58" t="inlineStr">
        <is>
          <t>2025-07-11</t>
        </is>
      </c>
      <c r="C205" s="58" t="inlineStr">
        <is>
          <t>2025-07-14</t>
        </is>
      </c>
      <c r="D205" s="55" t="n">
        <v>10.8</v>
      </c>
    </row>
    <row r="206">
      <c r="A206" s="54" t="inlineStr">
        <is>
          <t>2025-10-14</t>
        </is>
      </c>
      <c r="B206" s="58" t="inlineStr">
        <is>
          <t>2025-10-14</t>
        </is>
      </c>
      <c r="C206" s="58" t="inlineStr">
        <is>
          <t>2025-10-15</t>
        </is>
      </c>
      <c r="D206" s="55" t="n">
        <v>-11.9</v>
      </c>
    </row>
    <row r="207">
      <c r="A207" s="54" t="inlineStr">
        <is>
          <t>2026-01-14</t>
        </is>
      </c>
      <c r="B207" s="58" t="inlineStr">
        <is>
          <t>2026-01-14</t>
        </is>
      </c>
      <c r="C207" s="58" t="inlineStr">
        <is>
          <t>2026-01-15</t>
        </is>
      </c>
      <c r="D207" s="55" t="n">
        <v>-4.3</v>
      </c>
    </row>
    <row r="208">
      <c r="A208" s="54" t="inlineStr">
        <is>
          <t>2026-04-13</t>
        </is>
      </c>
      <c r="B208" s="58" t="inlineStr">
        <is>
          <t>2026-04-13</t>
        </is>
      </c>
      <c r="C208" s="58" t="inlineStr">
        <is>
          <t>2026-04-14</t>
        </is>
      </c>
      <c r="D208" s="55" t="n">
        <v>3.8</v>
      </c>
    </row>
    <row r="209">
      <c r="A209" s="54" t="inlineStr">
        <is>
          <t>2026-07-10</t>
        </is>
      </c>
      <c r="B209" s="58" t="inlineStr">
        <is>
          <t>2026-07-10</t>
        </is>
      </c>
      <c r="C209" s="58" t="inlineStr">
        <is>
          <t>2026-07-13</t>
        </is>
      </c>
      <c r="D209" s="55" t="n">
        <v>-3.3</v>
      </c>
    </row>
    <row r="210">
      <c r="A210" s="54" t="inlineStr">
        <is>
          <t>2026-10-13</t>
        </is>
      </c>
      <c r="B210" s="58" t="inlineStr">
        <is>
          <t>2026-10-13</t>
        </is>
      </c>
      <c r="C210" s="58" t="inlineStr">
        <is>
          <t>2026-10-14</t>
        </is>
      </c>
      <c r="D210" s="55" t="n">
        <v>29.4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9" t="inlineStr">
        <is>
          <t>공시일</t>
        </is>
      </c>
      <c r="B3" s="59" t="inlineStr">
        <is>
          <t>문서</t>
        </is>
      </c>
      <c r="C3" s="59" t="inlineStr">
        <is>
          <t>PDF</t>
        </is>
      </c>
    </row>
    <row r="4">
      <c r="A4" t="inlineStr">
        <is>
          <t>2026-10-13</t>
        </is>
      </c>
      <c r="B4" t="inlineStr">
        <is>
          <t>2026년 8월 결산기 연간 결산단신</t>
        </is>
      </c>
      <c r="C4" t="inlineStr">
        <is>
          <t>https://www2.jpx.co.jp/disc/41760/140120261013549864.pdf</t>
        </is>
      </c>
    </row>
    <row r="5">
      <c r="A5" t="inlineStr">
        <is>
          <t>2026-07-10</t>
        </is>
      </c>
      <c r="B5" t="inlineStr">
        <is>
          <t>2026년 8월 결산기 3분기 결산단신</t>
        </is>
      </c>
      <c r="C5" t="inlineStr">
        <is>
          <t>https://www2.jpx.co.jp/disc/41760/140120260710591123.pdf</t>
        </is>
      </c>
    </row>
    <row r="6">
      <c r="A6" t="inlineStr">
        <is>
          <t>2026-04-13</t>
        </is>
      </c>
      <c r="B6" t="inlineStr">
        <is>
          <t>2026년 8월 결산기 ２분기 결산단신</t>
        </is>
      </c>
      <c r="C6" t="inlineStr">
        <is>
          <t>https://www2.jpx.co.jp/disc/41760/140120260413502677.pdf</t>
        </is>
      </c>
    </row>
    <row r="7">
      <c r="A7" t="inlineStr">
        <is>
          <t>2026-01-14</t>
        </is>
      </c>
      <c r="B7" t="inlineStr">
        <is>
          <t>2026년 8월 결산기 １분기 결산단신</t>
        </is>
      </c>
      <c r="C7" t="inlineStr">
        <is>
          <t>https://www2.jpx.co.jp/disc/41760/140120260114533766.pdf</t>
        </is>
      </c>
    </row>
    <row r="8">
      <c r="A8" t="inlineStr">
        <is>
          <t>2025-10-14</t>
        </is>
      </c>
      <c r="B8" t="inlineStr">
        <is>
          <t>2025년 8월 결산기 연간 결산단신</t>
        </is>
      </c>
      <c r="C8" t="inlineStr">
        <is>
          <t>https://www2.jpx.co.jp/disc/41760/140120251014573235.pdf</t>
        </is>
      </c>
    </row>
    <row r="9">
      <c r="A9" t="inlineStr">
        <is>
          <t>2025-07-11</t>
        </is>
      </c>
      <c r="B9" t="inlineStr">
        <is>
          <t>2025년 8월 결산기 ３분기 결산단신</t>
        </is>
      </c>
      <c r="C9" t="inlineStr">
        <is>
          <t>https://www2.jpx.co.jp/disc/41760/140120250711512710.pdf</t>
        </is>
      </c>
    </row>
    <row r="10">
      <c r="A10" t="inlineStr">
        <is>
          <t>2025-04-14</t>
        </is>
      </c>
      <c r="B10" t="inlineStr">
        <is>
          <t>2025년 8월 결산기 ２분기 결산단신</t>
        </is>
      </c>
      <c r="C10" t="inlineStr">
        <is>
          <t>https://www2.jpx.co.jp/disc/41760/140120250414514949.pdf</t>
        </is>
      </c>
    </row>
    <row r="11">
      <c r="A11" t="inlineStr">
        <is>
          <t>2025-01-14</t>
        </is>
      </c>
      <c r="B11" t="inlineStr">
        <is>
          <t>2025년 8월 결산기 1분기 결산단신</t>
        </is>
      </c>
      <c r="C11" t="inlineStr">
        <is>
          <t>https://www2.jpx.co.jp/disc/41760/140120250114550508.pdf</t>
        </is>
      </c>
    </row>
    <row r="12">
      <c r="A12" t="inlineStr">
        <is>
          <t>2024-10-11</t>
        </is>
      </c>
      <c r="B12" t="inlineStr">
        <is>
          <t>2024년 8월 결산기 연간 결산단신</t>
        </is>
      </c>
      <c r="C12" t="inlineStr">
        <is>
          <t>https://www2.jpx.co.jp/disc/41760/140120241011597072.pdf</t>
        </is>
      </c>
    </row>
    <row r="13">
      <c r="A13" t="inlineStr">
        <is>
          <t>2024-07-12</t>
        </is>
      </c>
      <c r="B13" t="inlineStr">
        <is>
          <t>2024년 8월 결산기 ３분기 결산단신</t>
        </is>
      </c>
      <c r="C13" t="inlineStr">
        <is>
          <t>https://www2.jpx.co.jp/disc/41760/140120240712549003.pdf</t>
        </is>
      </c>
    </row>
    <row r="14">
      <c r="A14" t="inlineStr">
        <is>
          <t>2024-04-15</t>
        </is>
      </c>
      <c r="B14" t="inlineStr">
        <is>
          <t>2024년 8월 결산기 ２분기 결산단신</t>
        </is>
      </c>
      <c r="C14" t="inlineStr">
        <is>
          <t>https://www2.jpx.co.jp/disc/41760/140120240415571046.pdf</t>
        </is>
      </c>
    </row>
    <row r="15">
      <c r="A15" t="inlineStr">
        <is>
          <t>2024-01-15</t>
        </is>
      </c>
      <c r="B15" t="inlineStr">
        <is>
          <t>2024년 8월 결산기 １분기 결산단신</t>
        </is>
      </c>
      <c r="C15" t="inlineStr">
        <is>
          <t>https://www2.jpx.co.jp/disc/41760/140120240115515154.pdf</t>
        </is>
      </c>
    </row>
    <row r="16">
      <c r="A16" t="inlineStr">
        <is>
          <t>2023-10-13</t>
        </is>
      </c>
      <c r="B16" t="inlineStr">
        <is>
          <t>2023년 8월 결산기 연간 결산단신</t>
        </is>
      </c>
      <c r="C16" t="inlineStr">
        <is>
          <t>https://www2.jpx.co.jp/disc/41760/140120231013566759.pdf</t>
        </is>
      </c>
    </row>
    <row r="17">
      <c r="A17" t="inlineStr">
        <is>
          <t>2023-07-14</t>
        </is>
      </c>
      <c r="B17" t="inlineStr">
        <is>
          <t>2023년 8월 결산기 ３분기 결산단신</t>
        </is>
      </c>
      <c r="C17" t="inlineStr">
        <is>
          <t>https://www2.jpx.co.jp/disc/41760/140120230714522626.pdf</t>
        </is>
      </c>
    </row>
    <row r="18">
      <c r="A18" t="inlineStr">
        <is>
          <t>2023-04-14</t>
        </is>
      </c>
      <c r="B18" t="inlineStr">
        <is>
          <t>2023년 8월 결산기 ２분기 결산단신</t>
        </is>
      </c>
      <c r="C18" t="inlineStr">
        <is>
          <t>https://www2.jpx.co.jp/disc/41760/140120230414547150.pdf</t>
        </is>
      </c>
    </row>
    <row r="19">
      <c r="A19" t="inlineStr">
        <is>
          <t>2023-01-13</t>
        </is>
      </c>
      <c r="B19" t="inlineStr">
        <is>
          <t>2023년 8월 결산기 １분기 결산단신</t>
        </is>
      </c>
      <c r="C19" t="inlineStr">
        <is>
          <t>https://www2.jpx.co.jp/disc/41760/140120230113589146.pdf</t>
        </is>
      </c>
    </row>
    <row r="20">
      <c r="A20" t="inlineStr">
        <is>
          <t>2022-10-14</t>
        </is>
      </c>
      <c r="B20" t="inlineStr">
        <is>
          <t>2022년 8월 결산기 연간 결산단신</t>
        </is>
      </c>
      <c r="C20" t="inlineStr">
        <is>
          <t>https://www2.jpx.co.jp/disc/41760/140120221014544756.pdf</t>
        </is>
      </c>
    </row>
    <row r="21">
      <c r="A21" t="inlineStr">
        <is>
          <t>2021-10-15</t>
        </is>
      </c>
      <c r="B21" t="inlineStr">
        <is>
          <t>2021년 8월 결산기 연간 결산단신</t>
        </is>
      </c>
      <c r="C21" t="inlineStr">
        <is>
          <t>https://www2.jpx.co.jp/disc/41760/140120211014411373.pdf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2026-10-28T07:02:44Z</dcterms:created>
  <dcterms:modified xmlns:dcterms="http://purl.org/dc/terms/" xmlns:xsi="http://www.w3.org/2001/XMLSchema-instance" xsi:type="dcterms:W3CDTF">2026-10-28T07:02:45Z</dcterms:modified>
</cp:coreProperties>
</file>