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1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5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코코나라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8월 결산 · 일본 기준 · 2026.4Q = 2026년 8월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2024.1Q</t>
        </is>
      </c>
      <c r="D3" s="5" t="inlineStr">
        <is>
          <t>2024.2Q</t>
        </is>
      </c>
      <c r="E3" s="5" t="inlineStr">
        <is>
          <t>2024.3Q</t>
        </is>
      </c>
      <c r="F3" s="5" t="inlineStr">
        <is>
          <t>2024.4Q</t>
        </is>
      </c>
      <c r="G3" s="5" t="inlineStr">
        <is>
          <t>2025.1Q</t>
        </is>
      </c>
      <c r="H3" s="5" t="inlineStr">
        <is>
          <t>2025.2Q</t>
        </is>
      </c>
      <c r="I3" s="5" t="inlineStr">
        <is>
          <t>2025.3Q</t>
        </is>
      </c>
      <c r="J3" s="5" t="inlineStr">
        <is>
          <t>2025.4Q</t>
        </is>
      </c>
      <c r="K3" s="5" t="inlineStr">
        <is>
          <t>2026.1Q</t>
        </is>
      </c>
      <c r="L3" s="5" t="inlineStr">
        <is>
          <t>2026.2Q</t>
        </is>
      </c>
      <c r="M3" s="5" t="inlineStr">
        <is>
          <t>2026.3Q</t>
        </is>
      </c>
      <c r="N3" s="5" t="inlineStr">
        <is>
          <t>2026.4Q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1398.684</v>
      </c>
      <c r="D4" s="12" t="n">
        <v>1379.493</v>
      </c>
      <c r="E4" s="12" t="n">
        <v>1450.126</v>
      </c>
      <c r="F4" s="12" t="n">
        <v>2360.409</v>
      </c>
      <c r="G4" s="12" t="n">
        <v>2373.871</v>
      </c>
      <c r="H4" s="12" t="n">
        <v>2341.533</v>
      </c>
      <c r="I4" s="12" t="n">
        <v>2345.673</v>
      </c>
      <c r="J4" s="12" t="n">
        <v>2349.706</v>
      </c>
      <c r="K4" s="12" t="n">
        <v>2467.555</v>
      </c>
      <c r="L4" s="12" t="n">
        <v>2523.618</v>
      </c>
      <c r="M4" s="12" t="n">
        <v>2651.742</v>
      </c>
      <c r="N4" s="12" t="n">
        <v>2673.699</v>
      </c>
      <c r="O4" s="11" t="n"/>
      <c r="P4" s="12" t="n"/>
      <c r="Q4" s="12" t="n"/>
      <c r="R4" s="12" t="n">
        <v>1775.555</v>
      </c>
      <c r="S4" s="12" t="n">
        <v>2746.94</v>
      </c>
      <c r="T4" s="12" t="n">
        <v>3837.213</v>
      </c>
      <c r="U4" s="12" t="n">
        <v>4679.023</v>
      </c>
      <c r="V4" s="12" t="n">
        <v>6588.712</v>
      </c>
      <c r="W4" s="12" t="n">
        <v>9410.782999999999</v>
      </c>
      <c r="X4" s="12" t="n">
        <v>10316.614</v>
      </c>
      <c r="Y4" s="11">
        <f>IF(COUNT(Y7,Y10,Y13,Y16)=0,"",SUM(Y7,Y10,Y13,Y16))</f>
        <v/>
      </c>
      <c r="Z4" s="12">
        <f>IF(COUNT(Z7,Z10,Z13,Z16)=0,"",SUM(Z7,Z10,Z13,Z16))</f>
        <v/>
      </c>
      <c r="AA4" s="12">
        <f>IF(COUNT(AA7,AA10,AA13,AA16)=0,"",SUM(AA7,AA10,AA13,AA16))</f>
        <v/>
      </c>
      <c r="AB4" s="12">
        <f>IF(COUNT(AB7,AB10,AB13,AB16)=0,"",SUM(AB7,AB10,AB13,AB16))</f>
        <v/>
      </c>
      <c r="AC4" s="12">
        <f>IF(COUNT(AC7,AC10,AC13,AC16)=0,"",SUM(AC7,AC10,AC13,AC16))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마켓플레이스</t>
        </is>
      </c>
      <c r="B7" s="10" t="n"/>
      <c r="C7" s="19" t="n">
        <v>1205.367</v>
      </c>
      <c r="D7" s="20" t="n">
        <v>1211.083</v>
      </c>
      <c r="E7" s="20" t="n">
        <v>1293.692</v>
      </c>
      <c r="F7" s="20" t="n">
        <v>1343.577</v>
      </c>
      <c r="G7" s="20" t="n">
        <v>1373.001</v>
      </c>
      <c r="H7" s="20" t="n">
        <v>1354.996</v>
      </c>
      <c r="I7" s="20" t="n">
        <v>1521.442</v>
      </c>
      <c r="J7" s="20" t="n">
        <v>1471.279</v>
      </c>
      <c r="K7" s="20" t="n">
        <v>1492.706</v>
      </c>
      <c r="L7" s="20" t="n">
        <v>1477.808</v>
      </c>
      <c r="M7" s="20" t="n">
        <v>1532.752</v>
      </c>
      <c r="N7" s="20" t="n">
        <v>1162.878</v>
      </c>
      <c r="O7" s="19" t="n"/>
      <c r="P7" s="20" t="n"/>
      <c r="Q7" s="20" t="n"/>
      <c r="R7" s="20" t="n"/>
      <c r="S7" s="20" t="n"/>
      <c r="T7" s="20" t="n"/>
      <c r="U7" s="20" t="n">
        <v>4001.347</v>
      </c>
      <c r="V7" s="20" t="n">
        <v>5053.719</v>
      </c>
      <c r="W7" s="20" t="n">
        <v>5720.718</v>
      </c>
      <c r="X7" s="20" t="n">
        <v>5666.144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미디어</t>
        </is>
      </c>
      <c r="B10" s="10" t="n"/>
      <c r="C10" s="19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19" t="n"/>
      <c r="P10" s="20" t="n"/>
      <c r="Q10" s="20" t="n"/>
      <c r="R10" s="20" t="n"/>
      <c r="S10" s="20" t="n"/>
      <c r="T10" s="20" t="n"/>
      <c r="U10" s="20" t="n">
        <v>533.021</v>
      </c>
      <c r="V10" s="20" t="n">
        <v>649.852</v>
      </c>
      <c r="W10" s="20" t="n"/>
      <c r="X10" s="20" t="n"/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에이전트</t>
        </is>
      </c>
      <c r="B13" s="10" t="n"/>
      <c r="C13" s="19" t="n">
        <v>193.317</v>
      </c>
      <c r="D13" s="20" t="n">
        <v>168.409</v>
      </c>
      <c r="E13" s="20" t="n">
        <v>156.434</v>
      </c>
      <c r="F13" s="20" t="n">
        <v>1016.833</v>
      </c>
      <c r="G13" s="20" t="n">
        <v>1000.869</v>
      </c>
      <c r="H13" s="20" t="n">
        <v>986.537</v>
      </c>
      <c r="I13" s="20" t="n">
        <v>824.232</v>
      </c>
      <c r="J13" s="20" t="n">
        <v>878.427</v>
      </c>
      <c r="K13" s="20" t="n">
        <v>974.848</v>
      </c>
      <c r="L13" s="20" t="n">
        <v>1045.81</v>
      </c>
      <c r="M13" s="20" t="n">
        <v>1118.99</v>
      </c>
      <c r="N13" s="20" t="n">
        <v>1510.821</v>
      </c>
      <c r="O13" s="19" t="n"/>
      <c r="P13" s="20" t="n"/>
      <c r="Q13" s="20" t="n"/>
      <c r="R13" s="20" t="n"/>
      <c r="S13" s="20" t="n"/>
      <c r="T13" s="20" t="n"/>
      <c r="U13" s="20" t="n">
        <v>144.655</v>
      </c>
      <c r="V13" s="20" t="n">
        <v>1534.993</v>
      </c>
      <c r="W13" s="20" t="n">
        <v>3690.065</v>
      </c>
      <c r="X13" s="20" t="n">
        <v>4650.469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기타</t>
        </is>
      </c>
      <c r="B16" s="10" t="n"/>
      <c r="C16" s="19" t="n">
        <v>0</v>
      </c>
      <c r="D16" s="20" t="n">
        <v>0</v>
      </c>
      <c r="E16" s="20" t="n">
        <v>0</v>
      </c>
      <c r="F16" s="20" t="n">
        <v>0</v>
      </c>
      <c r="G16" s="20" t="n">
        <v>0</v>
      </c>
      <c r="H16" s="20" t="n">
        <v>0</v>
      </c>
      <c r="I16" s="20" t="n">
        <v>0</v>
      </c>
      <c r="J16" s="20" t="n">
        <v>0</v>
      </c>
      <c r="K16" s="20" t="n"/>
      <c r="L16" s="20" t="n"/>
      <c r="M16" s="20" t="n"/>
      <c r="N16" s="20" t="n"/>
      <c r="O16" s="19" t="n"/>
      <c r="P16" s="20" t="n"/>
      <c r="Q16" s="20" t="n"/>
      <c r="R16" s="20" t="n"/>
      <c r="S16" s="20" t="n"/>
      <c r="T16" s="20" t="n"/>
      <c r="U16" s="20" t="n">
        <v>0</v>
      </c>
      <c r="V16" s="20" t="n">
        <v>0</v>
      </c>
      <c r="W16" s="20" t="n">
        <v>0</v>
      </c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6" t="inlineStr">
        <is>
          <t>매출원가</t>
        </is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7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7" t="n"/>
      <c r="Z19" s="16" t="n"/>
      <c r="AA19" s="16" t="n"/>
      <c r="AB19" s="16" t="n"/>
      <c r="AC19" s="16" t="n"/>
    </row>
    <row r="20">
      <c r="A20" s="18" t="inlineStr">
        <is>
          <t>전체 매출원가</t>
        </is>
      </c>
      <c r="B20" s="10" t="n"/>
      <c r="C20" s="19" t="n">
        <v>220.383</v>
      </c>
      <c r="D20" s="20" t="n">
        <v>195.467</v>
      </c>
      <c r="E20" s="20" t="n">
        <v>187.855</v>
      </c>
      <c r="F20" s="20" t="n">
        <v>890.804</v>
      </c>
      <c r="G20" s="20" t="n">
        <v>860.421</v>
      </c>
      <c r="H20" s="20" t="n">
        <v>844.455</v>
      </c>
      <c r="I20" s="20" t="n">
        <v>788.6609999999999</v>
      </c>
      <c r="J20" s="20" t="n">
        <v>793.397</v>
      </c>
      <c r="K20" s="20" t="n">
        <v>881.0119999999999</v>
      </c>
      <c r="L20" s="20" t="n">
        <v>951.525</v>
      </c>
      <c r="M20" s="20" t="n">
        <v>995.119</v>
      </c>
      <c r="N20" s="20" t="n">
        <v>1021.749</v>
      </c>
      <c r="O20" s="19" t="n"/>
      <c r="P20" s="20" t="n"/>
      <c r="Q20" s="20" t="n"/>
      <c r="R20" s="20" t="n"/>
      <c r="S20" s="20" t="n"/>
      <c r="T20" s="20" t="n">
        <v>0</v>
      </c>
      <c r="U20" s="20" t="n">
        <v>121.66</v>
      </c>
      <c r="V20" s="20" t="n">
        <v>1494.509</v>
      </c>
      <c r="W20" s="20" t="n">
        <v>3286.934</v>
      </c>
      <c r="X20" s="20" t="n">
        <v>3849.405</v>
      </c>
      <c r="Y20" s="19" t="n"/>
      <c r="Z20" s="20" t="n"/>
      <c r="AA20" s="20" t="n"/>
      <c r="AB20" s="20" t="n"/>
      <c r="AC20" s="20" t="n"/>
    </row>
    <row r="21">
      <c r="A21" s="18" t="inlineStr">
        <is>
          <t>매출총이익</t>
        </is>
      </c>
      <c r="B21" s="10" t="n"/>
      <c r="C21" s="19">
        <f>IF(OR(C4="",C20=""),"",IFERROR(C4-C20,""))</f>
        <v/>
      </c>
      <c r="D21" s="20">
        <f>IF(OR(D4="",D20=""),"",IFERROR(D4-D20,""))</f>
        <v/>
      </c>
      <c r="E21" s="20">
        <f>IF(OR(E4="",E20=""),"",IFERROR(E4-E20,""))</f>
        <v/>
      </c>
      <c r="F21" s="20">
        <f>IF(OR(F4="",F20=""),"",IFERROR(F4-F20,""))</f>
        <v/>
      </c>
      <c r="G21" s="20">
        <f>IF(OR(G4="",G20=""),"",IFERROR(G4-G20,""))</f>
        <v/>
      </c>
      <c r="H21" s="20">
        <f>IF(OR(H4="",H20=""),"",IFERROR(H4-H20,""))</f>
        <v/>
      </c>
      <c r="I21" s="20">
        <f>IF(OR(I4="",I20=""),"",IFERROR(I4-I20,""))</f>
        <v/>
      </c>
      <c r="J21" s="20">
        <f>IF(OR(J4="",J20=""),"",IFERROR(J4-J20,""))</f>
        <v/>
      </c>
      <c r="K21" s="20">
        <f>IF(OR(K4="",K20=""),"",IFERROR(K4-K20,""))</f>
        <v/>
      </c>
      <c r="L21" s="20">
        <f>IF(OR(L4="",L20=""),"",IFERROR(L4-L20,""))</f>
        <v/>
      </c>
      <c r="M21" s="20">
        <f>IF(OR(M4="",M20=""),"",IFERROR(M4-M20,""))</f>
        <v/>
      </c>
      <c r="N21" s="20">
        <f>IF(OR(N4="",N20=""),"",IFERROR(N4-N20,""))</f>
        <v/>
      </c>
      <c r="O21" s="19">
        <f>IF(OR(O4="",O20=""),"",IFERROR(O4-O20,""))</f>
        <v/>
      </c>
      <c r="P21" s="20">
        <f>IF(OR(P4="",P20=""),"",IFERROR(P4-P20,""))</f>
        <v/>
      </c>
      <c r="Q21" s="20">
        <f>IF(OR(Q4="",Q20=""),"",IFERROR(Q4-Q20,""))</f>
        <v/>
      </c>
      <c r="R21" s="20">
        <f>IF(OR(R4="",R20=""),"",IFERROR(R4-R20,""))</f>
        <v/>
      </c>
      <c r="S21" s="20">
        <f>IF(OR(S4="",S20=""),"",IFERROR(S4-S20,""))</f>
        <v/>
      </c>
      <c r="T21" s="20">
        <f>IF(OR(T4="",T20=""),"",IFERROR(T4-T20,""))</f>
        <v/>
      </c>
      <c r="U21" s="20">
        <f>IF(OR(U4="",U20=""),"",IFERROR(U4-U20,""))</f>
        <v/>
      </c>
      <c r="V21" s="20">
        <f>IF(OR(V4="",V20=""),"",IFERROR(V4-V20,""))</f>
        <v/>
      </c>
      <c r="W21" s="20">
        <f>IF(OR(W4="",W20=""),"",IFERROR(W4-W20,""))</f>
        <v/>
      </c>
      <c r="X21" s="20">
        <f>IF(OR(X4="",X20=""),"",IFERROR(X4-X20,""))</f>
        <v/>
      </c>
      <c r="Y21" s="19" t="n"/>
      <c r="Z21" s="20" t="n"/>
      <c r="AA21" s="20" t="n"/>
      <c r="AB21" s="20" t="n"/>
      <c r="AC21" s="20" t="n"/>
    </row>
    <row r="22">
      <c r="A22" s="13" t="inlineStr">
        <is>
          <t>GPM</t>
        </is>
      </c>
      <c r="B22" s="10" t="n"/>
      <c r="C22" s="14">
        <f>IF(OR(C21="",C4=""),"",IFERROR(C21/C4,""))</f>
        <v/>
      </c>
      <c r="D22" s="15">
        <f>IF(OR(D21="",D4=""),"",IFERROR(D21/D4,""))</f>
        <v/>
      </c>
      <c r="E22" s="15">
        <f>IF(OR(E21="",E4=""),"",IFERROR(E21/E4,""))</f>
        <v/>
      </c>
      <c r="F22" s="15">
        <f>IF(OR(F21="",F4=""),"",IFERROR(F21/F4,""))</f>
        <v/>
      </c>
      <c r="G22" s="15">
        <f>IF(OR(G21="",G4=""),"",IFERROR(G21/G4,""))</f>
        <v/>
      </c>
      <c r="H22" s="15">
        <f>IF(OR(H21="",H4=""),"",IFERROR(H21/H4,""))</f>
        <v/>
      </c>
      <c r="I22" s="15">
        <f>IF(OR(I21="",I4=""),"",IFERROR(I21/I4,""))</f>
        <v/>
      </c>
      <c r="J22" s="15">
        <f>IF(OR(J21="",J4=""),"",IFERROR(J21/J4,""))</f>
        <v/>
      </c>
      <c r="K22" s="15">
        <f>IF(OR(K21="",K4=""),"",IFERROR(K21/K4,""))</f>
        <v/>
      </c>
      <c r="L22" s="15">
        <f>IF(OR(L21="",L4=""),"",IFERROR(L21/L4,""))</f>
        <v/>
      </c>
      <c r="M22" s="15">
        <f>IF(OR(M21="",M4=""),"",IFERROR(M21/M4,""))</f>
        <v/>
      </c>
      <c r="N22" s="15">
        <f>IF(OR(N21="",N4=""),"",IFERROR(N21/N4,""))</f>
        <v/>
      </c>
      <c r="O22" s="14">
        <f>IF(OR(O21="",O4=""),"",IFERROR(O21/O4,""))</f>
        <v/>
      </c>
      <c r="P22" s="15">
        <f>IF(OR(P21="",P4=""),"",IFERROR(P21/P4,""))</f>
        <v/>
      </c>
      <c r="Q22" s="15">
        <f>IF(OR(Q21="",Q4=""),"",IFERROR(Q21/Q4,""))</f>
        <v/>
      </c>
      <c r="R22" s="15">
        <f>IF(OR(R21="",R4=""),"",IFERROR(R21/R4,""))</f>
        <v/>
      </c>
      <c r="S22" s="15">
        <f>IF(OR(S21="",S4=""),"",IFERROR(S21/S4,""))</f>
        <v/>
      </c>
      <c r="T22" s="15">
        <f>IF(OR(T21="",T4=""),"",IFERROR(T21/T4,""))</f>
        <v/>
      </c>
      <c r="U22" s="15">
        <f>IF(OR(U21="",U4=""),"",IFERROR(U21/U4,""))</f>
        <v/>
      </c>
      <c r="V22" s="15">
        <f>IF(OR(V21="",V4=""),"",IFERROR(V21/V4,""))</f>
        <v/>
      </c>
      <c r="W22" s="15">
        <f>IF(OR(W21="",W4=""),"",IFERROR(W21/W4,""))</f>
        <v/>
      </c>
      <c r="X22" s="15">
        <f>IF(OR(X21="",X4=""),"",IFERROR(X21/X4,""))</f>
        <v/>
      </c>
      <c r="Y22" s="14">
        <f>IF(OR(Y21="",Y4=""),"",IFERROR(Y21/Y4,""))</f>
        <v/>
      </c>
      <c r="Z22" s="15">
        <f>IF(OR(Z21="",Z4=""),"",IFERROR(Z21/Z4,""))</f>
        <v/>
      </c>
      <c r="AA22" s="15">
        <f>IF(OR(AA21="",AA4=""),"",IFERROR(AA21/AA4,""))</f>
        <v/>
      </c>
      <c r="AB22" s="15">
        <f>IF(OR(AB21="",AB4=""),"",IFERROR(AB21/AB4,""))</f>
        <v/>
      </c>
      <c r="AC22" s="15">
        <f>IF(OR(AC21="",AC4=""),"",IFERROR(AC21/AC4,""))</f>
        <v/>
      </c>
    </row>
    <row r="23">
      <c r="A23" s="23" t="inlineStr">
        <is>
          <t>판매관리비</t>
        </is>
      </c>
      <c r="B23" s="23" t="n"/>
      <c r="C23" s="24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4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4" t="n"/>
      <c r="Z23" s="23" t="n"/>
      <c r="AA23" s="23" t="n"/>
      <c r="AB23" s="23" t="n"/>
      <c r="AC23" s="23" t="n"/>
    </row>
    <row r="24">
      <c r="A24" s="18" t="inlineStr">
        <is>
          <t>전체 판관비</t>
        </is>
      </c>
      <c r="B24" s="10" t="n"/>
      <c r="C24" s="19" t="n">
        <v>1081.198</v>
      </c>
      <c r="D24" s="20" t="n">
        <v>1095.347</v>
      </c>
      <c r="E24" s="20" t="n">
        <v>1148.262</v>
      </c>
      <c r="F24" s="20" t="n">
        <v>1464.619</v>
      </c>
      <c r="G24" s="20" t="n">
        <v>1405.252</v>
      </c>
      <c r="H24" s="20" t="n">
        <v>1407.082</v>
      </c>
      <c r="I24" s="20" t="n">
        <v>1466.641</v>
      </c>
      <c r="J24" s="20" t="n">
        <v>1588.752</v>
      </c>
      <c r="K24" s="20" t="n">
        <v>1507.047</v>
      </c>
      <c r="L24" s="20" t="n">
        <v>1419.776</v>
      </c>
      <c r="M24" s="20" t="n">
        <v>1478.082</v>
      </c>
      <c r="N24" s="20" t="n">
        <v>1569.599</v>
      </c>
      <c r="O24" s="19" t="n"/>
      <c r="P24" s="20" t="n"/>
      <c r="Q24" s="20" t="n"/>
      <c r="R24" s="20" t="n"/>
      <c r="S24" s="20" t="n"/>
      <c r="T24" s="20" t="n">
        <v>4352.493</v>
      </c>
      <c r="U24" s="20" t="n">
        <v>4683.752</v>
      </c>
      <c r="V24" s="20" t="n">
        <v>4789.426</v>
      </c>
      <c r="W24" s="20" t="n">
        <v>5867.727</v>
      </c>
      <c r="X24" s="20" t="n">
        <v>5974.504</v>
      </c>
      <c r="Y24" s="19" t="n"/>
      <c r="Z24" s="20" t="n"/>
      <c r="AA24" s="20" t="n"/>
      <c r="AB24" s="20" t="n"/>
      <c r="AC24" s="20" t="n"/>
    </row>
    <row r="25">
      <c r="A25" s="9" t="inlineStr">
        <is>
          <t>영업이익</t>
        </is>
      </c>
      <c r="B25" s="10" t="inlineStr">
        <is>
          <t>MW = 매출 × OPM</t>
        </is>
      </c>
      <c r="C25" s="11" t="n">
        <v>97.102</v>
      </c>
      <c r="D25" s="12" t="n">
        <v>88.679</v>
      </c>
      <c r="E25" s="12" t="n">
        <v>114.009</v>
      </c>
      <c r="F25" s="12" t="n">
        <v>4.986</v>
      </c>
      <c r="G25" s="12" t="n">
        <v>108.197</v>
      </c>
      <c r="H25" s="12" t="n">
        <v>89.996</v>
      </c>
      <c r="I25" s="12" t="n">
        <v>90.37</v>
      </c>
      <c r="J25" s="12" t="n">
        <v>-32.442</v>
      </c>
      <c r="K25" s="12" t="n">
        <v>79.495</v>
      </c>
      <c r="L25" s="12" t="n">
        <v>152.318</v>
      </c>
      <c r="M25" s="12" t="n">
        <v>178.541</v>
      </c>
      <c r="N25" s="12" t="n">
        <v>82.34999999999999</v>
      </c>
      <c r="O25" s="11" t="n"/>
      <c r="P25" s="12" t="n"/>
      <c r="Q25" s="12" t="n"/>
      <c r="R25" s="12" t="n">
        <v>-80.864</v>
      </c>
      <c r="S25" s="12" t="n">
        <v>89.47799999999999</v>
      </c>
      <c r="T25" s="12" t="n">
        <v>-515.279</v>
      </c>
      <c r="U25" s="12" t="n">
        <v>-126.388</v>
      </c>
      <c r="V25" s="12" t="n">
        <v>304.776</v>
      </c>
      <c r="W25" s="12" t="n">
        <v>256.121</v>
      </c>
      <c r="X25" s="12" t="n">
        <v>492.704</v>
      </c>
      <c r="Y25" s="11">
        <f>IF(OR(Y4="",Y26=""),"",IFERROR(Y4*Y26,""))</f>
        <v/>
      </c>
      <c r="Z25" s="12">
        <f>IF(OR(Z4="",Z26=""),"",IFERROR(Z4*Z26,""))</f>
        <v/>
      </c>
      <c r="AA25" s="12">
        <f>IF(OR(AA4="",AA26=""),"",IFERROR(AA4*AA26,""))</f>
        <v/>
      </c>
      <c r="AB25" s="12">
        <f>IF(OR(AB4="",AB26=""),"",IFERROR(AB4*AB26,""))</f>
        <v/>
      </c>
      <c r="AC25" s="12">
        <f>IF(OR(AC4="",AC26=""),"",IFERROR(AC4*AC26,""))</f>
        <v/>
      </c>
    </row>
    <row r="26">
      <c r="A26" s="13" t="inlineStr">
        <is>
          <t>OPM</t>
        </is>
      </c>
      <c r="B26" s="10" t="inlineStr">
        <is>
          <t>MW 입력</t>
        </is>
      </c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25" t="n"/>
      <c r="Z26" s="26" t="n"/>
      <c r="AA26" s="26" t="n"/>
      <c r="AB26" s="26" t="n"/>
      <c r="AC26" s="26" t="n"/>
    </row>
    <row r="27">
      <c r="A27" s="13" t="inlineStr">
        <is>
          <t>증가율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비용의 성격별 분류</t>
        </is>
      </c>
      <c r="B28" s="16" t="inlineStr">
        <is>
          <t>참고 데이터</t>
        </is>
      </c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9" t="inlineStr">
        <is>
          <t>총 판관비</t>
        </is>
      </c>
      <c r="B29" s="10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1">
        <f>IF(O24="","",O24)</f>
        <v/>
      </c>
      <c r="P29" s="12">
        <f>IF(P24="","",P24)</f>
        <v/>
      </c>
      <c r="Q29" s="12">
        <f>IF(Q24="","",Q24)</f>
        <v/>
      </c>
      <c r="R29" s="12">
        <f>IF(R24="","",R24)</f>
        <v/>
      </c>
      <c r="S29" s="12">
        <f>IF(S24="","",S24)</f>
        <v/>
      </c>
      <c r="T29" s="12">
        <f>IF(T24="","",T24)</f>
        <v/>
      </c>
      <c r="U29" s="12">
        <f>IF(U24="","",U24)</f>
        <v/>
      </c>
      <c r="V29" s="12">
        <f>IF(V24="","",V24)</f>
        <v/>
      </c>
      <c r="W29" s="12">
        <f>IF(W24="","",W24)</f>
        <v/>
      </c>
      <c r="X29" s="12">
        <f>IF(X24="","",X24)</f>
        <v/>
      </c>
      <c r="Y29" s="11" t="n"/>
      <c r="Z29" s="12" t="n"/>
      <c r="AA29" s="12" t="n"/>
      <c r="AB29" s="12" t="n"/>
      <c r="AC29" s="12" t="n"/>
    </row>
    <row r="30">
      <c r="A30" s="18" t="inlineStr">
        <is>
          <t>급여</t>
        </is>
      </c>
      <c r="B30" s="10" t="inlineStr">
        <is>
          <t>고정비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감가상각비</t>
        </is>
      </c>
      <c r="B32" s="10" t="inlineStr">
        <is>
          <t>고정비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8" t="inlineStr">
        <is>
          <t>지급수수료</t>
        </is>
      </c>
      <c r="B34" s="10" t="inlineStr">
        <is>
          <t>고정비</t>
        </is>
      </c>
      <c r="C34" s="19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19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19" t="n"/>
      <c r="Z34" s="20" t="n"/>
      <c r="AA34" s="20" t="n"/>
      <c r="AB34" s="20" t="n"/>
      <c r="AC34" s="20" t="n"/>
    </row>
    <row r="35">
      <c r="A35" s="13" t="inlineStr">
        <is>
          <t>% of Sales</t>
        </is>
      </c>
      <c r="B35" s="10" t="n"/>
      <c r="C35" s="14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14" t="n"/>
      <c r="Z35" s="15" t="n"/>
      <c r="AA35" s="15" t="n"/>
      <c r="AB35" s="15" t="n"/>
      <c r="AC35" s="15" t="n"/>
    </row>
    <row r="36">
      <c r="A36" s="18" t="inlineStr">
        <is>
          <t>연구개발비</t>
        </is>
      </c>
      <c r="B36" s="10" t="inlineStr">
        <is>
          <t>변동비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기타비용</t>
        </is>
      </c>
      <c r="B38" s="10" t="inlineStr">
        <is>
          <t>변동비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>
        <f>IF(OR(O29="",O30="",O32="",O34="",O36=""),"",IFERROR(O29-O30-O32-O34-O36,""))</f>
        <v/>
      </c>
      <c r="P38" s="20">
        <f>IF(OR(P29="",P30="",P32="",P34="",P36=""),"",IFERROR(P29-P30-P32-P34-P36,""))</f>
        <v/>
      </c>
      <c r="Q38" s="20">
        <f>IF(OR(Q29="",Q30="",Q32="",Q34="",Q36=""),"",IFERROR(Q29-Q30-Q32-Q34-Q36,""))</f>
        <v/>
      </c>
      <c r="R38" s="20">
        <f>IF(OR(R29="",R30="",R32="",R34="",R36=""),"",IFERROR(R29-R30-R32-R34-R36,""))</f>
        <v/>
      </c>
      <c r="S38" s="20">
        <f>IF(OR(S29="",S30="",S32="",S34="",S36=""),"",IFERROR(S29-S30-S32-S34-S36,""))</f>
        <v/>
      </c>
      <c r="T38" s="20">
        <f>IF(OR(T29="",T30="",T32="",T34="",T36=""),"",IFERROR(T29-T30-T32-T34-T36,""))</f>
        <v/>
      </c>
      <c r="U38" s="20">
        <f>IF(OR(U29="",U30="",U32="",U34="",U36=""),"",IFERROR(U29-U30-U32-U34-U36,""))</f>
        <v/>
      </c>
      <c r="V38" s="20">
        <f>IF(OR(V29="",V30="",V32="",V34="",V36=""),"",IFERROR(V29-V30-V32-V34-V36,""))</f>
        <v/>
      </c>
      <c r="W38" s="20">
        <f>IF(OR(W29="",W30="",W32="",W34="",W36=""),"",IFERROR(W29-W30-W32-W34-W36,""))</f>
        <v/>
      </c>
      <c r="X38" s="20">
        <f>IF(OR(X29="",X30="",X32="",X34="",X36=""),"",IFERROR(X29-X30-X32-X34-X36,""))</f>
        <v/>
      </c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6" t="inlineStr">
        <is>
          <t>당기순이익 추정</t>
        </is>
      </c>
      <c r="B40" s="16" t="n"/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18" t="inlineStr">
        <is>
          <t>특별이익</t>
        </is>
      </c>
      <c r="B41" s="10" t="n"/>
      <c r="C41" s="19" t="n">
        <v>0</v>
      </c>
      <c r="D41" s="20" t="n">
        <v>0</v>
      </c>
      <c r="E41" s="20" t="n">
        <v>0</v>
      </c>
      <c r="F41" s="20" t="n">
        <v>0</v>
      </c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 t="n"/>
      <c r="P41" s="20" t="n"/>
      <c r="Q41" s="20" t="n"/>
      <c r="R41" s="20" t="n"/>
      <c r="S41" s="20" t="n"/>
      <c r="T41" s="20" t="n">
        <v>4.5</v>
      </c>
      <c r="U41" s="20" t="n">
        <v>12.5</v>
      </c>
      <c r="V41" s="20" t="n">
        <v>0</v>
      </c>
      <c r="W41" s="20" t="n"/>
      <c r="X41" s="20" t="n"/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inlineStr">
        <is>
          <t>MW = 최근 3년 평균</t>
        </is>
      </c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18" t="inlineStr">
        <is>
          <t>특별손실</t>
        </is>
      </c>
      <c r="B43" s="10" t="n"/>
      <c r="C43" s="19" t="n"/>
      <c r="D43" s="20" t="n"/>
      <c r="E43" s="20" t="n">
        <v>0</v>
      </c>
      <c r="F43" s="20" t="n">
        <v>55.345</v>
      </c>
      <c r="G43" s="20" t="n"/>
      <c r="H43" s="20" t="n"/>
      <c r="I43" s="20" t="n">
        <v>0</v>
      </c>
      <c r="J43" s="20" t="n">
        <v>0</v>
      </c>
      <c r="K43" s="20" t="n"/>
      <c r="L43" s="20" t="n"/>
      <c r="M43" s="20" t="n">
        <v>0</v>
      </c>
      <c r="N43" s="20" t="n">
        <v>0</v>
      </c>
      <c r="O43" s="19" t="n"/>
      <c r="P43" s="20" t="n"/>
      <c r="Q43" s="20" t="n"/>
      <c r="R43" s="20" t="n"/>
      <c r="S43" s="20" t="n"/>
      <c r="T43" s="20" t="n">
        <v>30</v>
      </c>
      <c r="U43" s="20" t="n">
        <v>0</v>
      </c>
      <c r="V43" s="20" t="n">
        <v>55.345</v>
      </c>
      <c r="W43" s="20" t="n">
        <v>1.409</v>
      </c>
      <c r="X43" s="20" t="n">
        <v>0</v>
      </c>
      <c r="Y43" s="19">
        <f>IF(OR(Y4="",Y44=""),"",IFERROR(Y4*Y44,""))</f>
        <v/>
      </c>
      <c r="Z43" s="20">
        <f>IF(OR(Z4="",Z44=""),"",IFERROR(Z4*Z44,""))</f>
        <v/>
      </c>
      <c r="AA43" s="20">
        <f>IF(OR(AA4="",AA44=""),"",IFERROR(AA4*AA44,""))</f>
        <v/>
      </c>
      <c r="AB43" s="20">
        <f>IF(OR(AB4="",AB44=""),"",IFERROR(AB4*AB44,""))</f>
        <v/>
      </c>
      <c r="AC43" s="20">
        <f>IF(OR(AC4="",AC44=""),"",IFERROR(AC4*AC44,""))</f>
        <v/>
      </c>
    </row>
    <row r="44">
      <c r="A44" s="13" t="inlineStr">
        <is>
          <t>% of Sales</t>
        </is>
      </c>
      <c r="B44" s="10" t="n"/>
      <c r="C44" s="14">
        <f>IF(OR(C43="",C4=""),"",IFERROR(C43/C4,""))</f>
        <v/>
      </c>
      <c r="D44" s="15">
        <f>IF(OR(D43="",D4=""),"",IFERROR(D43/D4,""))</f>
        <v/>
      </c>
      <c r="E44" s="15">
        <f>IF(OR(E43="",E4=""),"",IFERROR(E43/E4,""))</f>
        <v/>
      </c>
      <c r="F44" s="15">
        <f>IF(OR(F43="",F4=""),"",IFERROR(F43/F4,""))</f>
        <v/>
      </c>
      <c r="G44" s="15">
        <f>IF(OR(G43="",G4=""),"",IFERROR(G43/G4,""))</f>
        <v/>
      </c>
      <c r="H44" s="15">
        <f>IF(OR(H43="",H4=""),"",IFERROR(H43/H4,""))</f>
        <v/>
      </c>
      <c r="I44" s="15">
        <f>IF(OR(I43="",I4=""),"",IFERROR(I43/I4,""))</f>
        <v/>
      </c>
      <c r="J44" s="15">
        <f>IF(OR(J43="",J4=""),"",IFERROR(J43/J4,""))</f>
        <v/>
      </c>
      <c r="K44" s="15">
        <f>IF(OR(K43="",K4=""),"",IFERROR(K43/K4,""))</f>
        <v/>
      </c>
      <c r="L44" s="15">
        <f>IF(OR(L43="",L4=""),"",IFERROR(L43/L4,""))</f>
        <v/>
      </c>
      <c r="M44" s="15">
        <f>IF(OR(M43="",M4=""),"",IFERROR(M43/M4,""))</f>
        <v/>
      </c>
      <c r="N44" s="15">
        <f>IF(OR(N43="",N4=""),"",IFERROR(N43/N4,""))</f>
        <v/>
      </c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25">
        <f>IFERROR(AVERAGE(V44,W44,X44),"")</f>
        <v/>
      </c>
      <c r="Z44" s="26">
        <f>Y44</f>
        <v/>
      </c>
      <c r="AA44" s="26">
        <f>Z44</f>
        <v/>
      </c>
      <c r="AB44" s="26">
        <f>AA44</f>
        <v/>
      </c>
      <c r="AC44" s="26">
        <f>AB44</f>
        <v/>
      </c>
    </row>
    <row r="45">
      <c r="A45" s="18" t="inlineStr">
        <is>
          <t>영업외수익</t>
        </is>
      </c>
      <c r="B45" s="10" t="n"/>
      <c r="C45" s="19" t="n">
        <v>5.346</v>
      </c>
      <c r="D45" s="20" t="n">
        <v>1.555</v>
      </c>
      <c r="E45" s="20" t="n">
        <v>7.447</v>
      </c>
      <c r="F45" s="20" t="n">
        <v>11.507</v>
      </c>
      <c r="G45" s="20" t="n">
        <v>6.274</v>
      </c>
      <c r="H45" s="20" t="n">
        <v>6.697</v>
      </c>
      <c r="I45" s="20" t="n">
        <v>3.909</v>
      </c>
      <c r="J45" s="20" t="n">
        <v>9.923999999999999</v>
      </c>
      <c r="K45" s="20" t="n">
        <v>7.3</v>
      </c>
      <c r="L45" s="20" t="n">
        <v>4.038</v>
      </c>
      <c r="M45" s="20" t="n">
        <v>12.707</v>
      </c>
      <c r="N45" s="20" t="n">
        <v>8.839</v>
      </c>
      <c r="O45" s="19" t="n"/>
      <c r="P45" s="20" t="n"/>
      <c r="Q45" s="20" t="n"/>
      <c r="R45" s="20" t="n">
        <v>2.829</v>
      </c>
      <c r="S45" s="20" t="n">
        <v>1.759</v>
      </c>
      <c r="T45" s="20" t="n">
        <v>4.239</v>
      </c>
      <c r="U45" s="20" t="n">
        <v>9.718999999999999</v>
      </c>
      <c r="V45" s="20" t="n">
        <v>25.855</v>
      </c>
      <c r="W45" s="20" t="n">
        <v>26.804</v>
      </c>
      <c r="X45" s="20" t="n">
        <v>32.884</v>
      </c>
      <c r="Y45" s="19">
        <f>IF(OR(Y4="",Y46=""),"",IFERROR(Y4*Y46,""))</f>
        <v/>
      </c>
      <c r="Z45" s="20">
        <f>IF(OR(Z4="",Z46=""),"",IFERROR(Z4*Z46,""))</f>
        <v/>
      </c>
      <c r="AA45" s="20">
        <f>IF(OR(AA4="",AA46=""),"",IFERROR(AA4*AA46,""))</f>
        <v/>
      </c>
      <c r="AB45" s="20">
        <f>IF(OR(AB4="",AB46=""),"",IFERROR(AB4*AB46,""))</f>
        <v/>
      </c>
      <c r="AC45" s="20">
        <f>IF(OR(AC4="",AC46=""),"",IFERROR(AC4*AC46,""))</f>
        <v/>
      </c>
    </row>
    <row r="46">
      <c r="A46" s="13" t="inlineStr">
        <is>
          <t>% of Sales</t>
        </is>
      </c>
      <c r="B46" s="10" t="n"/>
      <c r="C46" s="14">
        <f>IF(OR(C45="",C4=""),"",IFERROR(C45/C4,""))</f>
        <v/>
      </c>
      <c r="D46" s="15">
        <f>IF(OR(D45="",D4=""),"",IFERROR(D45/D4,""))</f>
        <v/>
      </c>
      <c r="E46" s="15">
        <f>IF(OR(E45="",E4=""),"",IFERROR(E45/E4,""))</f>
        <v/>
      </c>
      <c r="F46" s="15">
        <f>IF(OR(F45="",F4=""),"",IFERROR(F45/F4,""))</f>
        <v/>
      </c>
      <c r="G46" s="15">
        <f>IF(OR(G45="",G4=""),"",IFERROR(G45/G4,""))</f>
        <v/>
      </c>
      <c r="H46" s="15">
        <f>IF(OR(H45="",H4=""),"",IFERROR(H45/H4,""))</f>
        <v/>
      </c>
      <c r="I46" s="15">
        <f>IF(OR(I45="",I4=""),"",IFERROR(I45/I4,""))</f>
        <v/>
      </c>
      <c r="J46" s="15">
        <f>IF(OR(J45="",J4=""),"",IFERROR(J45/J4,""))</f>
        <v/>
      </c>
      <c r="K46" s="15">
        <f>IF(OR(K45="",K4=""),"",IFERROR(K45/K4,""))</f>
        <v/>
      </c>
      <c r="L46" s="15">
        <f>IF(OR(L45="",L4=""),"",IFERROR(L45/L4,""))</f>
        <v/>
      </c>
      <c r="M46" s="15">
        <f>IF(OR(M45="",M4=""),"",IFERROR(M45/M4,""))</f>
        <v/>
      </c>
      <c r="N46" s="15">
        <f>IF(OR(N45="",N4=""),"",IFERROR(N45/N4,""))</f>
        <v/>
      </c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25">
        <f>IFERROR(AVERAGE(V46,W46,X46),"")</f>
        <v/>
      </c>
      <c r="Z46" s="26">
        <f>Y46</f>
        <v/>
      </c>
      <c r="AA46" s="26">
        <f>Z46</f>
        <v/>
      </c>
      <c r="AB46" s="26">
        <f>AA46</f>
        <v/>
      </c>
      <c r="AC46" s="26">
        <f>AB46</f>
        <v/>
      </c>
    </row>
    <row r="47">
      <c r="A47" s="18" t="inlineStr">
        <is>
          <t>영업외비용</t>
        </is>
      </c>
      <c r="B47" s="10" t="n"/>
      <c r="C47" s="19" t="n">
        <v>1.645</v>
      </c>
      <c r="D47" s="20" t="n">
        <v>34.473</v>
      </c>
      <c r="E47" s="20" t="n">
        <v>63.814</v>
      </c>
      <c r="F47" s="20" t="n">
        <v>5.028</v>
      </c>
      <c r="G47" s="20" t="n">
        <v>34.574</v>
      </c>
      <c r="H47" s="20" t="n">
        <v>5.207</v>
      </c>
      <c r="I47" s="20" t="n">
        <v>5.406</v>
      </c>
      <c r="J47" s="20" t="n">
        <v>10.461</v>
      </c>
      <c r="K47" s="20" t="n">
        <v>5.356</v>
      </c>
      <c r="L47" s="20" t="n">
        <v>5.834</v>
      </c>
      <c r="M47" s="20" t="n">
        <v>6.605</v>
      </c>
      <c r="N47" s="20" t="n">
        <v>5.592</v>
      </c>
      <c r="O47" s="19" t="n"/>
      <c r="P47" s="20" t="n"/>
      <c r="Q47" s="20" t="n"/>
      <c r="R47" s="20" t="n">
        <v>5.732</v>
      </c>
      <c r="S47" s="20" t="n">
        <v>31.278</v>
      </c>
      <c r="T47" s="20" t="n">
        <v>0.229</v>
      </c>
      <c r="U47" s="20" t="n">
        <v>51.608</v>
      </c>
      <c r="V47" s="20" t="n">
        <v>104.96</v>
      </c>
      <c r="W47" s="20" t="n">
        <v>55.648</v>
      </c>
      <c r="X47" s="20" t="n">
        <v>23.387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n"/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9" t="inlineStr">
        <is>
          <t>법인세비용차감전순이익(손실)</t>
        </is>
      </c>
      <c r="B49" s="10" t="n"/>
      <c r="C49" s="11" t="n">
        <v>100.803</v>
      </c>
      <c r="D49" s="12" t="n">
        <v>55.762</v>
      </c>
      <c r="E49" s="12" t="n">
        <v>57.641</v>
      </c>
      <c r="F49" s="12" t="n">
        <v>-43.881</v>
      </c>
      <c r="G49" s="12" t="n">
        <v>79.89700000000001</v>
      </c>
      <c r="H49" s="12" t="n">
        <v>90.077</v>
      </c>
      <c r="I49" s="12" t="n">
        <v>88.873</v>
      </c>
      <c r="J49" s="12" t="n">
        <v>-32.98</v>
      </c>
      <c r="K49" s="12" t="n">
        <v>81.438</v>
      </c>
      <c r="L49" s="12" t="n">
        <v>150.523</v>
      </c>
      <c r="M49" s="12" t="n">
        <v>184.643</v>
      </c>
      <c r="N49" s="12" t="n">
        <v>85.596</v>
      </c>
      <c r="O49" s="11" t="n"/>
      <c r="P49" s="12" t="n"/>
      <c r="Q49" s="12" t="n"/>
      <c r="R49" s="12" t="n">
        <v>-83.767</v>
      </c>
      <c r="S49" s="12" t="n">
        <v>59.959</v>
      </c>
      <c r="T49" s="12" t="n">
        <v>-536.769</v>
      </c>
      <c r="U49" s="12" t="n">
        <v>-155.777</v>
      </c>
      <c r="V49" s="12" t="n">
        <v>170.325</v>
      </c>
      <c r="W49" s="12" t="n">
        <v>225.867</v>
      </c>
      <c r="X49" s="12" t="n">
        <v>502.2</v>
      </c>
      <c r="Y49" s="11">
        <f>IF(OR(Y25=""),"",IFERROR(Y25+N(Y41)-N(Y43)+N(Y45)-N(Y47),""))</f>
        <v/>
      </c>
      <c r="Z49" s="12">
        <f>IF(OR(Z25=""),"",IFERROR(Z25+N(Z41)-N(Z43)+N(Z45)-N(Z47),""))</f>
        <v/>
      </c>
      <c r="AA49" s="12">
        <f>IF(OR(AA25=""),"",IFERROR(AA25+N(AA41)-N(AA43)+N(AA45)-N(AA47),""))</f>
        <v/>
      </c>
      <c r="AB49" s="12">
        <f>IF(OR(AB25=""),"",IFERROR(AB25+N(AB41)-N(AB43)+N(AB45)-N(AB47),""))</f>
        <v/>
      </c>
      <c r="AC49" s="12">
        <f>IF(OR(AC25=""),"",IFERROR(AC25+N(AC41)-N(AC43)+N(AC45)-N(AC47),""))</f>
        <v/>
      </c>
    </row>
    <row r="50">
      <c r="A50" s="18" t="inlineStr">
        <is>
          <t>법인세비용(수익)</t>
        </is>
      </c>
      <c r="B50" s="10" t="n"/>
      <c r="C50" s="19" t="n">
        <v>24.951</v>
      </c>
      <c r="D50" s="20" t="n">
        <v>38.865</v>
      </c>
      <c r="E50" s="20" t="n">
        <v>26.055</v>
      </c>
      <c r="F50" s="20" t="n">
        <v>-25.48</v>
      </c>
      <c r="G50" s="20" t="n">
        <v>14.214</v>
      </c>
      <c r="H50" s="20" t="n">
        <v>41.876</v>
      </c>
      <c r="I50" s="20" t="n">
        <v>-51.388</v>
      </c>
      <c r="J50" s="20" t="n">
        <v>-38.744</v>
      </c>
      <c r="K50" s="20" t="n">
        <v>11.585</v>
      </c>
      <c r="L50" s="20" t="n">
        <v>63.041</v>
      </c>
      <c r="M50" s="20" t="n">
        <v>58.165</v>
      </c>
      <c r="N50" s="20" t="n">
        <v>-11.392</v>
      </c>
      <c r="O50" s="19" t="n"/>
      <c r="P50" s="20" t="n"/>
      <c r="Q50" s="20" t="n"/>
      <c r="R50" s="20" t="n">
        <v>10.233</v>
      </c>
      <c r="S50" s="20" t="n">
        <v>18.876</v>
      </c>
      <c r="T50" s="20" t="n"/>
      <c r="U50" s="20" t="n">
        <v>16.689</v>
      </c>
      <c r="V50" s="20" t="n">
        <v>64.39100000000001</v>
      </c>
      <c r="W50" s="20" t="n">
        <v>-34.042</v>
      </c>
      <c r="X50" s="20" t="n">
        <v>121.399</v>
      </c>
      <c r="Y50" s="19">
        <f>IF(OR(Y49="",Y51=""),"",IFERROR(MAX(Y49,0)*Y51,""))</f>
        <v/>
      </c>
      <c r="Z50" s="20">
        <f>IF(OR(Z49="",Z51=""),"",IFERROR(MAX(Z49,0)*Z51,""))</f>
        <v/>
      </c>
      <c r="AA50" s="20">
        <f>IF(OR(AA49="",AA51=""),"",IFERROR(MAX(AA49,0)*AA51,""))</f>
        <v/>
      </c>
      <c r="AB50" s="20">
        <f>IF(OR(AB49="",AB51=""),"",IFERROR(MAX(AB49,0)*AB51,""))</f>
        <v/>
      </c>
      <c r="AC50" s="20">
        <f>IF(OR(AC49="",AC51=""),"",IFERROR(MAX(AC49,0)*AC51,""))</f>
        <v/>
      </c>
    </row>
    <row r="51">
      <c r="A51" s="13" t="inlineStr">
        <is>
          <t>법인세율</t>
        </is>
      </c>
      <c r="B51" s="10" t="inlineStr">
        <is>
          <t>MW 기본 30%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0.3</v>
      </c>
      <c r="Z51" s="26" t="n">
        <v>0.3</v>
      </c>
      <c r="AA51" s="26" t="n">
        <v>0.3</v>
      </c>
      <c r="AB51" s="26" t="n">
        <v>0.3</v>
      </c>
      <c r="AC51" s="26" t="n">
        <v>0.3</v>
      </c>
    </row>
    <row r="52">
      <c r="A52" s="9" t="inlineStr">
        <is>
          <t>당기순이익(손실)</t>
        </is>
      </c>
      <c r="B52" s="10" t="n"/>
      <c r="C52" s="11" t="n">
        <v>75.851</v>
      </c>
      <c r="D52" s="12" t="n">
        <v>16.897</v>
      </c>
      <c r="E52" s="12" t="n">
        <v>31.586</v>
      </c>
      <c r="F52" s="12" t="n">
        <v>-18.401</v>
      </c>
      <c r="G52" s="12" t="n">
        <v>65.682</v>
      </c>
      <c r="H52" s="12" t="n">
        <v>48.201</v>
      </c>
      <c r="I52" s="12" t="n">
        <v>140.262</v>
      </c>
      <c r="J52" s="12" t="n">
        <v>5.764</v>
      </c>
      <c r="K52" s="12" t="n">
        <v>69.85299999999999</v>
      </c>
      <c r="L52" s="12" t="n">
        <v>87.48099999999999</v>
      </c>
      <c r="M52" s="12" t="n">
        <v>126.479</v>
      </c>
      <c r="N52" s="12" t="n">
        <v>96.988</v>
      </c>
      <c r="O52" s="11" t="n"/>
      <c r="P52" s="12" t="n"/>
      <c r="Q52" s="12" t="n"/>
      <c r="R52" s="12" t="n">
        <v>-94.001</v>
      </c>
      <c r="S52" s="12" t="n">
        <v>41.083</v>
      </c>
      <c r="T52" s="12" t="n">
        <v>-539.164</v>
      </c>
      <c r="U52" s="12" t="n">
        <v>-172.466</v>
      </c>
      <c r="V52" s="12" t="n">
        <v>105.933</v>
      </c>
      <c r="W52" s="12" t="n">
        <v>259.909</v>
      </c>
      <c r="X52" s="12" t="n">
        <v>380.801</v>
      </c>
      <c r="Y52" s="11">
        <f>IF(OR(Y49=""),"",IFERROR(Y49-Y50,""))</f>
        <v/>
      </c>
      <c r="Z52" s="12">
        <f>IF(OR(Z49=""),"",IFERROR(Z49-Z50,""))</f>
        <v/>
      </c>
      <c r="AA52" s="12">
        <f>IF(OR(AA49=""),"",IFERROR(AA49-AA50,""))</f>
        <v/>
      </c>
      <c r="AB52" s="12">
        <f>IF(OR(AB49=""),"",IFERROR(AB49-AB50,""))</f>
        <v/>
      </c>
      <c r="AC52" s="12">
        <f>IF(OR(AC49=""),"",IFERROR(AC49-AC50,""))</f>
        <v/>
      </c>
    </row>
    <row r="53">
      <c r="A53" s="9" t="inlineStr">
        <is>
          <t>지배주주 순이익</t>
        </is>
      </c>
      <c r="B53" s="10" t="n"/>
      <c r="C53" s="11" t="n">
        <v>84.17700000000001</v>
      </c>
      <c r="D53" s="12" t="n">
        <v>55.193</v>
      </c>
      <c r="E53" s="12" t="n">
        <v>101.114</v>
      </c>
      <c r="F53" s="12" t="n">
        <v>3.232</v>
      </c>
      <c r="G53" s="12" t="n">
        <v>105.118</v>
      </c>
      <c r="H53" s="12" t="n">
        <v>54.89</v>
      </c>
      <c r="I53" s="12" t="n">
        <v>140.323</v>
      </c>
      <c r="J53" s="12" t="n">
        <v>6.573</v>
      </c>
      <c r="K53" s="12" t="n">
        <v>70.577</v>
      </c>
      <c r="L53" s="12" t="n">
        <v>87.212</v>
      </c>
      <c r="M53" s="12" t="n">
        <v>126.291</v>
      </c>
      <c r="N53" s="12" t="n">
        <v>96.38500000000001</v>
      </c>
      <c r="O53" s="11" t="n"/>
      <c r="P53" s="12" t="n"/>
      <c r="Q53" s="12" t="n"/>
      <c r="R53" s="12" t="n"/>
      <c r="S53" s="12" t="n"/>
      <c r="T53" s="12" t="n">
        <v>-494.355</v>
      </c>
      <c r="U53" s="12" t="n">
        <v>-75.899</v>
      </c>
      <c r="V53" s="12" t="n">
        <v>243.716</v>
      </c>
      <c r="W53" s="12" t="n">
        <v>306.904</v>
      </c>
      <c r="X53" s="12" t="n">
        <v>380.465</v>
      </c>
      <c r="Y53" s="11">
        <f>IF(OR(Y52="",Y54=""),"",IFERROR(Y52*Y54,""))</f>
        <v/>
      </c>
      <c r="Z53" s="12">
        <f>IF(OR(Z52="",Z54=""),"",IFERROR(Z52*Z54,""))</f>
        <v/>
      </c>
      <c r="AA53" s="12">
        <f>IF(OR(AA52="",AA54=""),"",IFERROR(AA52*AA54,""))</f>
        <v/>
      </c>
      <c r="AB53" s="12">
        <f>IF(OR(AB52="",AB54=""),"",IFERROR(AB52*AB54,""))</f>
        <v/>
      </c>
      <c r="AC53" s="12">
        <f>IF(OR(AC52="",AC54=""),"",IFERROR(AC52*AC54,""))</f>
        <v/>
      </c>
    </row>
    <row r="54">
      <c r="A54" s="13" t="inlineStr">
        <is>
          <t>지배주주 순이익률</t>
        </is>
      </c>
      <c r="B54" s="10" t="inlineStr">
        <is>
          <t>MW 기본 100%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1</v>
      </c>
      <c r="Z54" s="26" t="n">
        <v>1</v>
      </c>
      <c r="AA54" s="26" t="n">
        <v>1</v>
      </c>
      <c r="AB54" s="26" t="n">
        <v>1</v>
      </c>
      <c r="AC54" s="26" t="n">
        <v>1</v>
      </c>
    </row>
    <row r="55">
      <c r="A55" s="16" t="inlineStr">
        <is>
          <t>목표주가 산출</t>
        </is>
      </c>
      <c r="B55" s="16" t="n"/>
      <c r="C55" s="17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7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7" t="n"/>
      <c r="Z55" s="16" t="n"/>
      <c r="AA55" s="16" t="n"/>
      <c r="AB55" s="16" t="n"/>
      <c r="AC55" s="16" t="n"/>
    </row>
    <row r="56">
      <c r="A56" s="18" t="inlineStr">
        <is>
          <t>현재 주가 (2026.10.27)</t>
        </is>
      </c>
      <c r="B56" s="27" t="n">
        <v>303</v>
      </c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8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8" t="n"/>
      <c r="Z56" s="29" t="n"/>
      <c r="AA56" s="29" t="n"/>
      <c r="AB56" s="29" t="n"/>
      <c r="AC56" s="29" t="n"/>
    </row>
    <row r="57">
      <c r="A57" s="18" t="inlineStr">
        <is>
          <t>발행주식수 (보통주)</t>
        </is>
      </c>
      <c r="B57" s="27" t="n">
        <v>24076900</v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8" t="n"/>
      <c r="Z57" s="29" t="n"/>
      <c r="AA57" s="29" t="n"/>
      <c r="AB57" s="29" t="n"/>
      <c r="AC57" s="29" t="n"/>
    </row>
    <row r="58">
      <c r="A58" s="18" t="inlineStr">
        <is>
          <t>시가총액 (백만엔)</t>
        </is>
      </c>
      <c r="B58" s="12">
        <f>IF(OR(B56="",B57=""),"",B56*B57/1000000.0)</f>
        <v/>
      </c>
      <c r="C58" s="19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19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19" t="n"/>
      <c r="Z58" s="20" t="n"/>
      <c r="AA58" s="20" t="n"/>
      <c r="AB58" s="20" t="n"/>
      <c r="AC58" s="20" t="n"/>
    </row>
    <row r="59">
      <c r="A59" s="13" t="inlineStr">
        <is>
          <t>OPM</t>
        </is>
      </c>
      <c r="B59" s="10" t="n"/>
      <c r="C59" s="14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4">
        <f>IF(O26="","",O26)</f>
        <v/>
      </c>
      <c r="P59" s="15">
        <f>IF(P26="","",P26)</f>
        <v/>
      </c>
      <c r="Q59" s="15">
        <f>IF(Q26="","",Q26)</f>
        <v/>
      </c>
      <c r="R59" s="15">
        <f>IF(R26="","",R26)</f>
        <v/>
      </c>
      <c r="S59" s="15">
        <f>IF(S26="","",S26)</f>
        <v/>
      </c>
      <c r="T59" s="15">
        <f>IF(T26="","",T26)</f>
        <v/>
      </c>
      <c r="U59" s="15">
        <f>IF(U26="","",U26)</f>
        <v/>
      </c>
      <c r="V59" s="15">
        <f>IF(V26="","",V26)</f>
        <v/>
      </c>
      <c r="W59" s="15">
        <f>IF(W26="","",W26)</f>
        <v/>
      </c>
      <c r="X59" s="15">
        <f>IF(X26="","",X26)</f>
        <v/>
      </c>
      <c r="Y59" s="14">
        <f>IF(Y26="","",Y26)</f>
        <v/>
      </c>
      <c r="Z59" s="15">
        <f>IF(Z26="","",Z26)</f>
        <v/>
      </c>
      <c r="AA59" s="15">
        <f>IF(AA26="","",AA26)</f>
        <v/>
      </c>
      <c r="AB59" s="15">
        <f>IF(AB26="","",AB26)</f>
        <v/>
      </c>
      <c r="AC59" s="15">
        <f>IF(AC26="","",AC26)</f>
        <v/>
      </c>
    </row>
    <row r="60">
      <c r="A60" s="13" t="inlineStr">
        <is>
          <t>지배주주 순이익 증가율</t>
        </is>
      </c>
      <c r="B60" s="10" t="n"/>
      <c r="C60" s="14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4" t="n"/>
      <c r="P60" s="15">
        <f>IF(OR(P53="",O53=""),"",IFERROR(P53/O53-1,""))</f>
        <v/>
      </c>
      <c r="Q60" s="15">
        <f>IF(OR(Q53="",P53=""),"",IFERROR(Q53/P53-1,""))</f>
        <v/>
      </c>
      <c r="R60" s="15">
        <f>IF(OR(R53="",Q53=""),"",IFERROR(R53/Q53-1,""))</f>
        <v/>
      </c>
      <c r="S60" s="15">
        <f>IF(OR(S53="",R53=""),"",IFERROR(S53/R53-1,""))</f>
        <v/>
      </c>
      <c r="T60" s="15">
        <f>IF(OR(T53="",S53=""),"",IFERROR(T53/S53-1,""))</f>
        <v/>
      </c>
      <c r="U60" s="15">
        <f>IF(OR(U53="",T53=""),"",IFERROR(U53/T53-1,""))</f>
        <v/>
      </c>
      <c r="V60" s="15">
        <f>IF(OR(V53="",U53=""),"",IFERROR(V53/U53-1,""))</f>
        <v/>
      </c>
      <c r="W60" s="15">
        <f>IF(OR(W53="",V53=""),"",IFERROR(W53/V53-1,""))</f>
        <v/>
      </c>
      <c r="X60" s="15">
        <f>IF(OR(X53="",W53=""),"",IFERROR(X53/W53-1,""))</f>
        <v/>
      </c>
      <c r="Y60" s="14">
        <f>IF(OR(Y53="",X53=""),"",IFERROR(Y53/X53-1,""))</f>
        <v/>
      </c>
      <c r="Z60" s="15">
        <f>IF(OR(Z53="",Y53=""),"",IFERROR(Z53/Y53-1,""))</f>
        <v/>
      </c>
      <c r="AA60" s="15">
        <f>IF(OR(AA53="",Z53=""),"",IFERROR(AA53/Z53-1,""))</f>
        <v/>
      </c>
      <c r="AB60" s="15">
        <f>IF(OR(AB53="",AA53=""),"",IFERROR(AB53/AA53-1,""))</f>
        <v/>
      </c>
      <c r="AC60" s="15">
        <f>IF(OR(AC53="",AB53=""),"",IFERROR(AC53/AB53-1,""))</f>
        <v/>
      </c>
    </row>
    <row r="61">
      <c r="A61" s="18" t="inlineStr">
        <is>
          <t>P/E (현재 주가)</t>
        </is>
      </c>
      <c r="B61" s="10" t="inlineStr">
        <is>
          <t>시총 ÷ 지배순이익</t>
        </is>
      </c>
      <c r="C61" s="30" t="n"/>
      <c r="D61" s="31" t="n"/>
      <c r="E61" s="31" t="n"/>
      <c r="F61" s="31" t="n"/>
      <c r="G61" s="31" t="n"/>
      <c r="H61" s="31" t="n"/>
      <c r="I61" s="31" t="n"/>
      <c r="J61" s="31" t="n"/>
      <c r="K61" s="31" t="n"/>
      <c r="L61" s="31" t="n"/>
      <c r="M61" s="31" t="n"/>
      <c r="N61" s="31" t="n"/>
      <c r="O61" s="30" t="n"/>
      <c r="P61" s="31" t="n"/>
      <c r="Q61" s="31" t="n"/>
      <c r="R61" s="31" t="n"/>
      <c r="S61" s="31" t="n"/>
      <c r="T61" s="31" t="n"/>
      <c r="U61" s="31" t="n"/>
      <c r="V61" s="31" t="n"/>
      <c r="W61" s="31" t="n"/>
      <c r="X61" s="31">
        <f>IF(OR($B$58="",X53=""),"",IFERROR($B$58/X53,""))</f>
        <v/>
      </c>
      <c r="Y61" s="30">
        <f>IF(OR($B$58="",Y53=""),"",IFERROR($B$58/Y53,""))</f>
        <v/>
      </c>
      <c r="Z61" s="31">
        <f>IF(OR($B$58="",Z53=""),"",IFERROR($B$58/Z53,""))</f>
        <v/>
      </c>
      <c r="AA61" s="31">
        <f>IF(OR($B$58="",AA53=""),"",IFERROR($B$58/AA53,""))</f>
        <v/>
      </c>
      <c r="AB61" s="31">
        <f>IF(OR($B$58="",AB53=""),"",IFERROR($B$58/AB53,""))</f>
        <v/>
      </c>
      <c r="AC61" s="31">
        <f>IF(OR($B$58="",AC53=""),"",IFERROR($B$58/AC53,""))</f>
        <v/>
      </c>
    </row>
    <row r="62">
      <c r="A62" s="18" t="inlineStr">
        <is>
          <t>Target P/E</t>
        </is>
      </c>
      <c r="B62" s="10" t="inlineStr">
        <is>
          <t>직접 입력</t>
        </is>
      </c>
      <c r="C62" s="30" t="n"/>
      <c r="D62" s="31" t="n"/>
      <c r="E62" s="31" t="n"/>
      <c r="F62" s="31" t="n"/>
      <c r="G62" s="31" t="n"/>
      <c r="H62" s="31" t="n"/>
      <c r="I62" s="31" t="n"/>
      <c r="J62" s="31" t="n"/>
      <c r="K62" s="31" t="n"/>
      <c r="L62" s="31" t="n"/>
      <c r="M62" s="31" t="n"/>
      <c r="N62" s="31" t="n"/>
      <c r="O62" s="30" t="n"/>
      <c r="P62" s="31" t="n"/>
      <c r="Q62" s="31" t="n"/>
      <c r="R62" s="31" t="n"/>
      <c r="S62" s="31" t="n"/>
      <c r="T62" s="31" t="n"/>
      <c r="U62" s="31" t="n"/>
      <c r="V62" s="31" t="n"/>
      <c r="W62" s="31" t="n"/>
      <c r="X62" s="31" t="n"/>
      <c r="Y62" s="32" t="n"/>
      <c r="Z62" s="33" t="n"/>
      <c r="AA62" s="33" t="n"/>
      <c r="AB62" s="33" t="n"/>
      <c r="AC62" s="33" t="n"/>
    </row>
    <row r="63">
      <c r="A63" s="18" t="inlineStr">
        <is>
          <t>EPS</t>
        </is>
      </c>
      <c r="B63" s="10" t="inlineStr">
        <is>
          <t>지배순이익 ÷ 주식수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>
        <f>IF(OR(O53="",$B$57=""),"",IFERROR(O53*1000000.0/$B$57,""))</f>
        <v/>
      </c>
      <c r="P63" s="29">
        <f>IF(OR(P53="",$B$57=""),"",IFERROR(P53*1000000.0/$B$57,""))</f>
        <v/>
      </c>
      <c r="Q63" s="29">
        <f>IF(OR(Q53="",$B$57=""),"",IFERROR(Q53*1000000.0/$B$57,""))</f>
        <v/>
      </c>
      <c r="R63" s="29">
        <f>IF(OR(R53="",$B$57=""),"",IFERROR(R53*1000000.0/$B$57,""))</f>
        <v/>
      </c>
      <c r="S63" s="29">
        <f>IF(OR(S53="",$B$57=""),"",IFERROR(S53*1000000.0/$B$57,""))</f>
        <v/>
      </c>
      <c r="T63" s="29">
        <f>IF(OR(T53="",$B$57=""),"",IFERROR(T53*1000000.0/$B$57,""))</f>
        <v/>
      </c>
      <c r="U63" s="29">
        <f>IF(OR(U53="",$B$57=""),"",IFERROR(U53*1000000.0/$B$57,""))</f>
        <v/>
      </c>
      <c r="V63" s="29">
        <f>IF(OR(V53="",$B$57=""),"",IFERROR(V53*1000000.0/$B$57,""))</f>
        <v/>
      </c>
      <c r="W63" s="29">
        <f>IF(OR(W53="",$B$57=""),"",IFERROR(W53*1000000.0/$B$57,""))</f>
        <v/>
      </c>
      <c r="X63" s="29">
        <f>IF(OR(X53="",$B$57=""),"",IFERROR(X53*1000000.0/$B$57,""))</f>
        <v/>
      </c>
      <c r="Y63" s="28">
        <f>IF(OR(Y53="",$B$57=""),"",IFERROR(Y53*1000000.0/$B$57,""))</f>
        <v/>
      </c>
      <c r="Z63" s="29">
        <f>IF(OR(Z53="",$B$57=""),"",IFERROR(Z53*1000000.0/$B$57,""))</f>
        <v/>
      </c>
      <c r="AA63" s="29">
        <f>IF(OR(AA53="",$B$57=""),"",IFERROR(AA53*1000000.0/$B$57,""))</f>
        <v/>
      </c>
      <c r="AB63" s="29">
        <f>IF(OR(AB53="",$B$57=""),"",IFERROR(AB53*1000000.0/$B$57,""))</f>
        <v/>
      </c>
      <c r="AC63" s="29">
        <f>IF(OR(AC53="",$B$57=""),"",IFERROR(AC53*1000000.0/$B$57,""))</f>
        <v/>
      </c>
    </row>
    <row r="64">
      <c r="A64" s="9" t="inlineStr">
        <is>
          <t>목표주가</t>
        </is>
      </c>
      <c r="B64" s="10" t="n"/>
      <c r="C64" s="34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34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34">
        <f>IF(OR(Y63="",Y62=""),"",IFERROR(Y63*Y62,""))</f>
        <v/>
      </c>
      <c r="Z64" s="27">
        <f>IF(OR(Z63="",Z62=""),"",IFERROR(Z63*Z62,""))</f>
        <v/>
      </c>
      <c r="AA64" s="27">
        <f>IF(OR(AA63="",AA62=""),"",IFERROR(AA63*AA62,""))</f>
        <v/>
      </c>
      <c r="AB64" s="27">
        <f>IF(OR(AB63="",AB62=""),"",IFERROR(AB63*AB62,""))</f>
        <v/>
      </c>
      <c r="AC64" s="27">
        <f>IF(OR(AC63="",AC62=""),"",IFERROR(AC63*AC62,""))</f>
        <v/>
      </c>
    </row>
    <row r="65">
      <c r="A65" s="18" t="inlineStr">
        <is>
          <t>상승여력</t>
        </is>
      </c>
      <c r="B65" s="10" t="n"/>
      <c r="C65" s="35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5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7">
        <f>IF(OR(Y64="",$B$56=""),"",IFERROR(Y64/$B$56-1,""))</f>
        <v/>
      </c>
      <c r="Z65" s="38">
        <f>IF(OR(Z64="",$B$56=""),"",IFERROR(Z64/$B$56-1,""))</f>
        <v/>
      </c>
      <c r="AA65" s="38">
        <f>IF(OR(AA64="",$B$56=""),"",IFERROR(AA64/$B$56-1,""))</f>
        <v/>
      </c>
      <c r="AB65" s="38">
        <f>IF(OR(AB64="",$B$56=""),"",IFERROR(AB64/$B$56-1,""))</f>
        <v/>
      </c>
      <c r="AC65" s="38">
        <f>IF(OR(AC64="",$B$56=""),"",IFERROR(AC64/$B$56-1,""))</f>
        <v/>
      </c>
    </row>
    <row r="66">
      <c r="A66" s="16" t="inlineStr">
        <is>
          <t>자산가치 산출</t>
        </is>
      </c>
      <c r="B66" s="16" t="inlineStr">
        <is>
          <t>최신 분기 BS</t>
        </is>
      </c>
      <c r="C66" s="17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7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7" t="n"/>
      <c r="Z66" s="16" t="n"/>
      <c r="AA66" s="16" t="n"/>
      <c r="AB66" s="16" t="n"/>
      <c r="AC66" s="16" t="n"/>
    </row>
    <row r="67">
      <c r="A67" s="18" t="inlineStr">
        <is>
          <t>현금및현금성자산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'재무상태표'!G6</f>
        <v/>
      </c>
      <c r="Y67" s="19">
        <f>'재무상태표'!G6</f>
        <v/>
      </c>
      <c r="Z67" s="20">
        <f>'재무상태표'!G6</f>
        <v/>
      </c>
      <c r="AA67" s="20">
        <f>'재무상태표'!G6</f>
        <v/>
      </c>
      <c r="AB67" s="20">
        <f>'재무상태표'!G6</f>
        <v/>
      </c>
      <c r="AC67" s="20">
        <f>'재무상태표'!G6</f>
        <v/>
      </c>
    </row>
    <row r="68">
      <c r="A68" s="18" t="inlineStr">
        <is>
          <t>단기금융상품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'재무상태표'!G7</f>
        <v/>
      </c>
      <c r="Y68" s="19">
        <f>'재무상태표'!G7</f>
        <v/>
      </c>
      <c r="Z68" s="20">
        <f>'재무상태표'!G7</f>
        <v/>
      </c>
      <c r="AA68" s="20">
        <f>'재무상태표'!G7</f>
        <v/>
      </c>
      <c r="AB68" s="20">
        <f>'재무상태표'!G7</f>
        <v/>
      </c>
      <c r="AC68" s="20">
        <f>'재무상태표'!G7</f>
        <v/>
      </c>
    </row>
    <row r="69">
      <c r="A69" s="18" t="inlineStr">
        <is>
          <t>투자부동산</t>
        </is>
      </c>
      <c r="B69" s="10" t="n"/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>
        <f>'재무상태표'!G14</f>
        <v/>
      </c>
      <c r="Y69" s="19">
        <f>'재무상태표'!G14</f>
        <v/>
      </c>
      <c r="Z69" s="20">
        <f>'재무상태표'!G14</f>
        <v/>
      </c>
      <c r="AA69" s="20">
        <f>'재무상태표'!G14</f>
        <v/>
      </c>
      <c r="AB69" s="20">
        <f>'재무상태표'!G14</f>
        <v/>
      </c>
      <c r="AC69" s="20">
        <f>'재무상태표'!G14</f>
        <v/>
      </c>
    </row>
    <row r="70">
      <c r="A70" s="18" t="inlineStr">
        <is>
          <t>지배자본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'재무상태표'!G31</f>
        <v/>
      </c>
      <c r="Y70" s="19">
        <f>'재무상태표'!G31</f>
        <v/>
      </c>
      <c r="Z70" s="20">
        <f>'재무상태표'!G31</f>
        <v/>
      </c>
      <c r="AA70" s="20">
        <f>'재무상태표'!G31</f>
        <v/>
      </c>
      <c r="AB70" s="20">
        <f>'재무상태표'!G31</f>
        <v/>
      </c>
      <c r="AC70" s="20">
        <f>'재무상태표'!G31</f>
        <v/>
      </c>
    </row>
    <row r="71">
      <c r="A71" s="18" t="inlineStr">
        <is>
          <t>부채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'재무상태표'!G27</f>
        <v/>
      </c>
      <c r="Y71" s="19">
        <f>'재무상태표'!G27</f>
        <v/>
      </c>
      <c r="Z71" s="20">
        <f>'재무상태표'!G27</f>
        <v/>
      </c>
      <c r="AA71" s="20">
        <f>'재무상태표'!G27</f>
        <v/>
      </c>
      <c r="AB71" s="20">
        <f>'재무상태표'!G27</f>
        <v/>
      </c>
      <c r="AC71" s="20">
        <f>'재무상태표'!G27</f>
        <v/>
      </c>
    </row>
    <row r="72">
      <c r="A72" s="13" t="inlineStr">
        <is>
          <t>부채비율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>
        <f>IF(OR(X71="",X70=""),"",IFERROR(X71/X70,""))</f>
        <v/>
      </c>
      <c r="Y72" s="14">
        <f>IF(OR(Y71="",Y70=""),"",IFERROR(Y71/Y70,""))</f>
        <v/>
      </c>
      <c r="Z72" s="15">
        <f>IF(OR(Z71="",Z70=""),"",IFERROR(Z71/Z70,""))</f>
        <v/>
      </c>
      <c r="AA72" s="15">
        <f>IF(OR(AA71="",AA70=""),"",IFERROR(AA71/AA70,""))</f>
        <v/>
      </c>
      <c r="AB72" s="15">
        <f>IF(OR(AB71="",AB70=""),"",IFERROR(AB71/AB70,""))</f>
        <v/>
      </c>
      <c r="AC72" s="15">
        <f>IF(OR(AC71="",AC70=""),"",IFERROR(AC71/AC70,""))</f>
        <v/>
      </c>
    </row>
    <row r="73">
      <c r="A73" s="9" t="inlineStr">
        <is>
          <t>자산가치</t>
        </is>
      </c>
      <c r="B73" s="10" t="inlineStr">
        <is>
          <t>현금+단기금융+투자부동산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>
        <f>SUM(X67,X68,X69)</f>
        <v/>
      </c>
      <c r="Y73" s="11">
        <f>SUM(Y67,Y68,Y69)</f>
        <v/>
      </c>
      <c r="Z73" s="12">
        <f>SUM(Z67,Z68,Z69)</f>
        <v/>
      </c>
      <c r="AA73" s="12">
        <f>SUM(AA67,AA68,AA69)</f>
        <v/>
      </c>
      <c r="AB73" s="12">
        <f>SUM(AB67,AB68,AB69)</f>
        <v/>
      </c>
      <c r="AC73" s="12">
        <f>SUM(AC67,AC68,AC69)</f>
        <v/>
      </c>
    </row>
    <row r="74">
      <c r="A74" s="16" t="inlineStr">
        <is>
          <t>기업가치 산출</t>
        </is>
      </c>
      <c r="B74" s="16" t="n"/>
      <c r="C74" s="17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7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7" t="n"/>
      <c r="Z74" s="16" t="n"/>
      <c r="AA74" s="16" t="n"/>
      <c r="AB74" s="16" t="n"/>
      <c r="AC74" s="16" t="n"/>
    </row>
    <row r="75">
      <c r="A75" s="18" t="inlineStr">
        <is>
          <t>목표 시가총액 (P/E)</t>
        </is>
      </c>
      <c r="B75" s="10" t="inlineStr">
        <is>
          <t>지배순이익 × Target P/E</t>
        </is>
      </c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19">
        <f>IF(OR(Y53="",Y62=""),"",IFERROR(Y53*Y62,""))</f>
        <v/>
      </c>
      <c r="Z75" s="20">
        <f>IF(OR(Z53="",Z62=""),"",IFERROR(Z53*Z62,""))</f>
        <v/>
      </c>
      <c r="AA75" s="20">
        <f>IF(OR(AA53="",AA62=""),"",IFERROR(AA53*AA62,""))</f>
        <v/>
      </c>
      <c r="AB75" s="20">
        <f>IF(OR(AB53="",AB62=""),"",IFERROR(AB53*AB62,""))</f>
        <v/>
      </c>
      <c r="AC75" s="20">
        <f>IF(OR(AC53="",AC62=""),"",IFERROR(AC53*AC62,""))</f>
        <v/>
      </c>
    </row>
    <row r="76">
      <c r="A76" s="9" t="inlineStr">
        <is>
          <t>기업가치</t>
        </is>
      </c>
      <c r="B76" s="10" t="inlineStr">
        <is>
          <t>목표시총 + 자산가치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1">
        <f>IF(OR(Y75=""),"",IFERROR(Y75+Y73,""))</f>
        <v/>
      </c>
      <c r="Z76" s="12">
        <f>IF(OR(Z75=""),"",IFERROR(Z75+Z73,""))</f>
        <v/>
      </c>
      <c r="AA76" s="12">
        <f>IF(OR(AA75=""),"",IFERROR(AA75+AA73,""))</f>
        <v/>
      </c>
      <c r="AB76" s="12">
        <f>IF(OR(AB75=""),"",IFERROR(AB75+AB73,""))</f>
        <v/>
      </c>
      <c r="AC76" s="12">
        <f>IF(OR(AC75=""),"",IFERROR(AC75+AC73,""))</f>
        <v/>
      </c>
    </row>
    <row r="77">
      <c r="A77" s="18" t="inlineStr">
        <is>
          <t>현재 시가총액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19">
        <f>$B$58</f>
        <v/>
      </c>
      <c r="Z77" s="20">
        <f>$B$58</f>
        <v/>
      </c>
      <c r="AA77" s="20">
        <f>$B$58</f>
        <v/>
      </c>
      <c r="AB77" s="20">
        <f>$B$58</f>
        <v/>
      </c>
      <c r="AC77" s="20">
        <f>$B$58</f>
        <v/>
      </c>
    </row>
    <row r="78">
      <c r="A78" s="18" t="inlineStr">
        <is>
          <t>상승여력</t>
        </is>
      </c>
      <c r="B78" s="10" t="n"/>
      <c r="C78" s="35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5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7">
        <f>IF(OR(Y76="",Y77=""),"",IFERROR(Y76/Y77-1,""))</f>
        <v/>
      </c>
      <c r="Z78" s="38">
        <f>IF(OR(Z76="",Z77=""),"",IFERROR(Z76/Z77-1,""))</f>
        <v/>
      </c>
      <c r="AA78" s="38">
        <f>IF(OR(AA76="",AA77=""),"",IFERROR(AA76/AA77-1,""))</f>
        <v/>
      </c>
      <c r="AB78" s="38">
        <f>IF(OR(AB76="",AB77=""),"",IFERROR(AB76/AB77-1,""))</f>
        <v/>
      </c>
      <c r="AC78" s="38">
        <f>IF(OR(AC76="",AC77=""),"",IFERROR(AC76/AC77-1,""))</f>
        <v/>
      </c>
    </row>
    <row r="79">
      <c r="C79" s="39" t="n"/>
      <c r="O79" s="39" t="n"/>
      <c r="Y79" s="39" t="n"/>
    </row>
    <row r="80">
      <c r="A80" s="40" t="inlineStr">
        <is>
          <t>출처</t>
        </is>
      </c>
      <c r="C80" s="39" t="n"/>
      <c r="O80" s="39" t="n"/>
      <c r="Y80" s="39" t="n"/>
    </row>
    <row r="81">
      <c r="A81" s="41" t="inlineStr">
        <is>
          <t>결산단신 XBRL(TDnet·JPX 보관소) — 쓴 문서는 '출처' 시트</t>
        </is>
      </c>
      <c r="C81" s="39" t="n"/>
      <c r="O81" s="39" t="n"/>
      <c r="Y81" s="39" t="n"/>
    </row>
    <row r="82">
      <c r="A82" s="41" t="inlineStr">
        <is>
          <t>분기 = 누계에서 앞 분기를 뺀 3개월 값</t>
        </is>
      </c>
      <c r="C82" s="39" t="n"/>
      <c r="O82" s="39" t="n"/>
      <c r="Y82" s="39" t="n"/>
    </row>
    <row r="83">
      <c r="A83" s="41" t="inlineStr">
        <is>
          <t>주가: 야후 파이낸스 일봉 2026.10.27</t>
        </is>
      </c>
      <c r="C83" s="39" t="n"/>
      <c r="O83" s="39" t="n"/>
      <c r="Y83" s="39" t="n"/>
    </row>
    <row r="85">
      <c r="A85" s="16" t="inlineStr">
        <is>
          <t>손익계산서 · 전 항목</t>
        </is>
      </c>
      <c r="B85" s="42" t="inlineStr">
        <is>
          <t>분기 = 3개월 단독</t>
        </is>
      </c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</row>
    <row r="86">
      <c r="A86" s="5" t="inlineStr">
        <is>
          <t>항목</t>
        </is>
      </c>
      <c r="B86" s="5" t="inlineStr">
        <is>
          <t>참고</t>
        </is>
      </c>
      <c r="C86" s="5" t="inlineStr">
        <is>
          <t>2024.1Q</t>
        </is>
      </c>
      <c r="D86" s="5" t="inlineStr">
        <is>
          <t>2024.2Q</t>
        </is>
      </c>
      <c r="E86" s="5" t="inlineStr">
        <is>
          <t>2024.3Q</t>
        </is>
      </c>
      <c r="F86" s="5" t="inlineStr">
        <is>
          <t>2024.4Q</t>
        </is>
      </c>
      <c r="G86" s="5" t="inlineStr">
        <is>
          <t>2025.1Q</t>
        </is>
      </c>
      <c r="H86" s="5" t="inlineStr">
        <is>
          <t>2025.2Q</t>
        </is>
      </c>
      <c r="I86" s="5" t="inlineStr">
        <is>
          <t>2025.3Q</t>
        </is>
      </c>
      <c r="J86" s="5" t="inlineStr">
        <is>
          <t>2025.4Q</t>
        </is>
      </c>
      <c r="K86" s="5" t="inlineStr">
        <is>
          <t>2026.1Q</t>
        </is>
      </c>
      <c r="L86" s="5" t="inlineStr">
        <is>
          <t>2026.2Q</t>
        </is>
      </c>
      <c r="M86" s="5" t="inlineStr">
        <is>
          <t>2026.3Q</t>
        </is>
      </c>
      <c r="N86" s="5" t="inlineStr">
        <is>
          <t>2026.4Q</t>
        </is>
      </c>
      <c r="O86" s="5" t="inlineStr">
        <is>
          <t>2017</t>
        </is>
      </c>
      <c r="P86" s="5" t="inlineStr">
        <is>
          <t>2018</t>
        </is>
      </c>
      <c r="Q86" s="5" t="inlineStr">
        <is>
          <t>2019</t>
        </is>
      </c>
      <c r="R86" s="5" t="inlineStr">
        <is>
          <t>2020</t>
        </is>
      </c>
      <c r="S86" s="5" t="inlineStr">
        <is>
          <t>2021</t>
        </is>
      </c>
      <c r="T86" s="5" t="inlineStr">
        <is>
          <t>2022</t>
        </is>
      </c>
      <c r="U86" s="5" t="inlineStr">
        <is>
          <t>2023</t>
        </is>
      </c>
      <c r="V86" s="5" t="inlineStr">
        <is>
          <t>2024</t>
        </is>
      </c>
      <c r="W86" s="5" t="inlineStr">
        <is>
          <t>2025</t>
        </is>
      </c>
      <c r="X86" s="5" t="inlineStr">
        <is>
          <t>2026</t>
        </is>
      </c>
      <c r="Y86" s="5" t="inlineStr">
        <is>
          <t>2027(MW)</t>
        </is>
      </c>
      <c r="Z86" s="5" t="inlineStr">
        <is>
          <t>2028(MW)</t>
        </is>
      </c>
      <c r="AA86" s="5" t="inlineStr">
        <is>
          <t>2029(MW)</t>
        </is>
      </c>
      <c r="AB86" s="5" t="inlineStr">
        <is>
          <t>2030(MW)</t>
        </is>
      </c>
      <c r="AC86" s="5" t="inlineStr">
        <is>
          <t>2031(MW)</t>
        </is>
      </c>
    </row>
    <row r="87">
      <c r="A87" s="9" t="inlineStr">
        <is>
          <t>매출액</t>
        </is>
      </c>
      <c r="C87" s="12" t="n">
        <v>1398.684</v>
      </c>
      <c r="D87" s="12" t="n">
        <v>1379.493</v>
      </c>
      <c r="E87" s="12" t="n">
        <v>1450.126</v>
      </c>
      <c r="F87" s="12" t="n">
        <v>2360.409</v>
      </c>
      <c r="G87" s="12" t="n">
        <v>2373.871</v>
      </c>
      <c r="H87" s="12" t="n">
        <v>2341.533</v>
      </c>
      <c r="I87" s="12" t="n">
        <v>2345.673</v>
      </c>
      <c r="J87" s="12" t="n">
        <v>2349.706</v>
      </c>
      <c r="K87" s="12" t="n">
        <v>2467.555</v>
      </c>
      <c r="L87" s="12" t="n">
        <v>2523.618</v>
      </c>
      <c r="M87" s="12" t="n">
        <v>2651.742</v>
      </c>
      <c r="N87" s="12" t="n">
        <v>2673.699</v>
      </c>
      <c r="U87" s="12" t="n">
        <v>1322.117</v>
      </c>
      <c r="V87" s="12" t="n">
        <v>2360.409</v>
      </c>
      <c r="W87" s="12" t="n">
        <v>2349.706</v>
      </c>
      <c r="X87" s="12" t="n">
        <v>2673.699</v>
      </c>
    </row>
    <row r="88">
      <c r="A88" s="43" t="inlineStr">
        <is>
          <t>YoY</t>
        </is>
      </c>
      <c r="B88" s="3" t="inlineStr">
        <is>
          <t>전년 같은 분기·전년 대비</t>
        </is>
      </c>
      <c r="G88" s="15">
        <f>IF(OR(G87="",C87=""),"",IF(C87&lt;=0,"",IFERROR(G87/C87-1,"")))</f>
        <v/>
      </c>
      <c r="H88" s="15">
        <f>IF(OR(H87="",D87=""),"",IF(D87&lt;=0,"",IFERROR(H87/D87-1,"")))</f>
        <v/>
      </c>
      <c r="I88" s="15">
        <f>IF(OR(I87="",E87=""),"",IF(E87&lt;=0,"",IFERROR(I87/E87-1,"")))</f>
        <v/>
      </c>
      <c r="J88" s="15">
        <f>IF(OR(J87="",F87=""),"",IF(F87&lt;=0,"",IFERROR(J87/F87-1,"")))</f>
        <v/>
      </c>
      <c r="K88" s="15">
        <f>IF(OR(K87="",G87=""),"",IF(G87&lt;=0,"",IFERROR(K87/G87-1,"")))</f>
        <v/>
      </c>
      <c r="L88" s="15">
        <f>IF(OR(L87="",H87=""),"",IF(H87&lt;=0,"",IFERROR(L87/H87-1,"")))</f>
        <v/>
      </c>
      <c r="M88" s="15">
        <f>IF(OR(M87="",I87=""),"",IF(I87&lt;=0,"",IFERROR(M87/I87-1,"")))</f>
        <v/>
      </c>
      <c r="N88" s="15">
        <f>IF(OR(N87="",J87=""),"",IF(J87&lt;=0,"",IFERROR(N87/J87-1,"")))</f>
        <v/>
      </c>
      <c r="U88" s="15">
        <f>IF(OR(U87="",T87=""),"",IF(T87&lt;=0,"",IFERROR(U87/T87-1,"")))</f>
        <v/>
      </c>
      <c r="V88" s="15">
        <f>IF(OR(V87="",U87=""),"",IF(U87&lt;=0,"",IFERROR(V87/U87-1,"")))</f>
        <v/>
      </c>
      <c r="W88" s="15">
        <f>IF(OR(W87="",V87=""),"",IF(V87&lt;=0,"",IFERROR(W87/V87-1,"")))</f>
        <v/>
      </c>
      <c r="X88" s="15">
        <f>IF(OR(X87="",W87=""),"",IF(W87&lt;=0,"",IFERROR(X87/W87-1,"")))</f>
        <v/>
      </c>
    </row>
    <row r="89">
      <c r="A89" s="18" t="inlineStr">
        <is>
          <t>매출원가</t>
        </is>
      </c>
      <c r="C89" s="20" t="n">
        <v>220.383</v>
      </c>
      <c r="D89" s="20" t="n">
        <v>195.467</v>
      </c>
      <c r="E89" s="20" t="n">
        <v>187.855</v>
      </c>
      <c r="F89" s="20" t="n">
        <v>890.804</v>
      </c>
      <c r="G89" s="20" t="n">
        <v>860.421</v>
      </c>
      <c r="H89" s="20" t="n">
        <v>844.455</v>
      </c>
      <c r="I89" s="20" t="n">
        <v>788.6609999999999</v>
      </c>
      <c r="J89" s="20" t="n">
        <v>793.397</v>
      </c>
      <c r="K89" s="20" t="n">
        <v>881.0119999999999</v>
      </c>
      <c r="L89" s="20" t="n">
        <v>951.525</v>
      </c>
      <c r="M89" s="20" t="n">
        <v>995.119</v>
      </c>
      <c r="N89" s="20" t="n">
        <v>1021.749</v>
      </c>
      <c r="U89" s="20" t="n">
        <v>-36.763</v>
      </c>
      <c r="V89" s="20" t="n">
        <v>890.804</v>
      </c>
      <c r="W89" s="20" t="n">
        <v>793.397</v>
      </c>
      <c r="X89" s="20" t="n">
        <v>1021.749</v>
      </c>
    </row>
    <row r="90">
      <c r="A90" s="9" t="inlineStr">
        <is>
          <t>매출총이익</t>
        </is>
      </c>
      <c r="C90" s="12" t="n">
        <v>1178.301</v>
      </c>
      <c r="D90" s="12" t="n">
        <v>1184.025</v>
      </c>
      <c r="E90" s="12" t="n">
        <v>1262.271</v>
      </c>
      <c r="F90" s="12" t="n">
        <v>1469.606</v>
      </c>
      <c r="G90" s="12" t="n">
        <v>1513.449</v>
      </c>
      <c r="H90" s="12" t="n">
        <v>1497.078</v>
      </c>
      <c r="I90" s="12" t="n">
        <v>1557.012</v>
      </c>
      <c r="J90" s="12" t="n">
        <v>1556.309</v>
      </c>
      <c r="K90" s="12" t="n">
        <v>1586.543</v>
      </c>
      <c r="L90" s="12" t="n">
        <v>1572.093</v>
      </c>
      <c r="M90" s="12" t="n">
        <v>1656.623</v>
      </c>
      <c r="N90" s="12" t="n">
        <v>1651.949</v>
      </c>
      <c r="U90" s="12" t="n">
        <v>1358.881</v>
      </c>
      <c r="V90" s="12" t="n">
        <v>1469.606</v>
      </c>
      <c r="W90" s="12" t="n">
        <v>1556.309</v>
      </c>
      <c r="X90" s="12" t="n">
        <v>1651.949</v>
      </c>
    </row>
    <row r="91">
      <c r="A91" s="43" t="inlineStr">
        <is>
          <t>YoY</t>
        </is>
      </c>
      <c r="B91" s="3" t="inlineStr">
        <is>
          <t>전년 같은 분기·전년 대비</t>
        </is>
      </c>
      <c r="G91" s="15">
        <f>IF(OR(G90="",C90=""),"",IF(C90&lt;=0,"",IFERROR(G90/C90-1,"")))</f>
        <v/>
      </c>
      <c r="H91" s="15">
        <f>IF(OR(H90="",D90=""),"",IF(D90&lt;=0,"",IFERROR(H90/D90-1,"")))</f>
        <v/>
      </c>
      <c r="I91" s="15">
        <f>IF(OR(I90="",E90=""),"",IF(E90&lt;=0,"",IFERROR(I90/E90-1,"")))</f>
        <v/>
      </c>
      <c r="J91" s="15">
        <f>IF(OR(J90="",F90=""),"",IF(F90&lt;=0,"",IFERROR(J90/F90-1,"")))</f>
        <v/>
      </c>
      <c r="K91" s="15">
        <f>IF(OR(K90="",G90=""),"",IF(G90&lt;=0,"",IFERROR(K90/G90-1,"")))</f>
        <v/>
      </c>
      <c r="L91" s="15">
        <f>IF(OR(L90="",H90=""),"",IF(H90&lt;=0,"",IFERROR(L90/H90-1,"")))</f>
        <v/>
      </c>
      <c r="M91" s="15">
        <f>IF(OR(M90="",I90=""),"",IF(I90&lt;=0,"",IFERROR(M90/I90-1,"")))</f>
        <v/>
      </c>
      <c r="N91" s="15">
        <f>IF(OR(N90="",J90=""),"",IF(J90&lt;=0,"",IFERROR(N90/J90-1,"")))</f>
        <v/>
      </c>
      <c r="U91" s="15">
        <f>IF(OR(U90="",T90=""),"",IF(T90&lt;=0,"",IFERROR(U90/T90-1,"")))</f>
        <v/>
      </c>
      <c r="V91" s="15">
        <f>IF(OR(V90="",U90=""),"",IF(U90&lt;=0,"",IFERROR(V90/U90-1,"")))</f>
        <v/>
      </c>
      <c r="W91" s="15">
        <f>IF(OR(W90="",V90=""),"",IF(V90&lt;=0,"",IFERROR(W90/V90-1,"")))</f>
        <v/>
      </c>
      <c r="X91" s="15">
        <f>IF(OR(X90="",W90=""),"",IF(W90&lt;=0,"",IFERROR(X90/W90-1,"")))</f>
        <v/>
      </c>
    </row>
    <row r="92">
      <c r="A92" s="18" t="inlineStr">
        <is>
          <t>판매비와 관리비</t>
        </is>
      </c>
      <c r="C92" s="20" t="n">
        <v>1081.198</v>
      </c>
      <c r="D92" s="20" t="n">
        <v>1095.347</v>
      </c>
      <c r="E92" s="20" t="n">
        <v>1148.262</v>
      </c>
      <c r="F92" s="20" t="n">
        <v>1464.619</v>
      </c>
      <c r="G92" s="20" t="n">
        <v>1405.252</v>
      </c>
      <c r="H92" s="20" t="n">
        <v>1407.082</v>
      </c>
      <c r="I92" s="20" t="n">
        <v>1466.641</v>
      </c>
      <c r="J92" s="20" t="n">
        <v>1588.752</v>
      </c>
      <c r="K92" s="20" t="n">
        <v>1507.047</v>
      </c>
      <c r="L92" s="20" t="n">
        <v>1419.776</v>
      </c>
      <c r="M92" s="20" t="n">
        <v>1478.082</v>
      </c>
      <c r="N92" s="20" t="n">
        <v>1569.599</v>
      </c>
      <c r="U92" s="20" t="n">
        <v>1264.355</v>
      </c>
      <c r="V92" s="20" t="n">
        <v>1464.619</v>
      </c>
      <c r="W92" s="20" t="n">
        <v>1588.752</v>
      </c>
      <c r="X92" s="20" t="n">
        <v>1569.599</v>
      </c>
    </row>
    <row r="93">
      <c r="A93" s="9" t="inlineStr">
        <is>
          <t>영업이익</t>
        </is>
      </c>
      <c r="C93" s="12" t="n">
        <v>97.102</v>
      </c>
      <c r="D93" s="12" t="n">
        <v>88.679</v>
      </c>
      <c r="E93" s="12" t="n">
        <v>114.009</v>
      </c>
      <c r="F93" s="12" t="n">
        <v>4.986</v>
      </c>
      <c r="G93" s="12" t="n">
        <v>108.197</v>
      </c>
      <c r="H93" s="12" t="n">
        <v>89.996</v>
      </c>
      <c r="I93" s="12" t="n">
        <v>90.37</v>
      </c>
      <c r="J93" s="12" t="n">
        <v>-32.442</v>
      </c>
      <c r="K93" s="12" t="n">
        <v>79.495</v>
      </c>
      <c r="L93" s="12" t="n">
        <v>152.318</v>
      </c>
      <c r="M93" s="12" t="n">
        <v>178.541</v>
      </c>
      <c r="N93" s="12" t="n">
        <v>82.34999999999999</v>
      </c>
      <c r="T93" s="12" t="n">
        <v>-122.861</v>
      </c>
      <c r="U93" s="12" t="n">
        <v>94.526</v>
      </c>
      <c r="V93" s="12" t="n">
        <v>4.986</v>
      </c>
      <c r="W93" s="12" t="n">
        <v>-32.442</v>
      </c>
      <c r="X93" s="12" t="n">
        <v>82.34999999999999</v>
      </c>
    </row>
    <row r="94">
      <c r="A94" s="43" t="inlineStr">
        <is>
          <t>OPM</t>
        </is>
      </c>
      <c r="B94" s="3" t="inlineStr">
        <is>
          <t>영업이익 ÷ 매출</t>
        </is>
      </c>
      <c r="C94" s="15">
        <f>IF(OR(C93="",C87=""),"",IF(C87&lt;=0,"",IFERROR(C93/C87,"")))</f>
        <v/>
      </c>
      <c r="D94" s="15">
        <f>IF(OR(D93="",D87=""),"",IF(D87&lt;=0,"",IFERROR(D93/D87,"")))</f>
        <v/>
      </c>
      <c r="E94" s="15">
        <f>IF(OR(E93="",E87=""),"",IF(E87&lt;=0,"",IFERROR(E93/E87,"")))</f>
        <v/>
      </c>
      <c r="F94" s="15">
        <f>IF(OR(F93="",F87=""),"",IF(F87&lt;=0,"",IFERROR(F93/F87,"")))</f>
        <v/>
      </c>
      <c r="G94" s="15">
        <f>IF(OR(G93="",G87=""),"",IF(G87&lt;=0,"",IFERROR(G93/G87,"")))</f>
        <v/>
      </c>
      <c r="H94" s="15">
        <f>IF(OR(H93="",H87=""),"",IF(H87&lt;=0,"",IFERROR(H93/H87,"")))</f>
        <v/>
      </c>
      <c r="I94" s="15">
        <f>IF(OR(I93="",I87=""),"",IF(I87&lt;=0,"",IFERROR(I93/I87,"")))</f>
        <v/>
      </c>
      <c r="J94" s="15">
        <f>IF(OR(J93="",J87=""),"",IF(J87&lt;=0,"",IFERROR(J93/J87,"")))</f>
        <v/>
      </c>
      <c r="K94" s="15">
        <f>IF(OR(K93="",K87=""),"",IF(K87&lt;=0,"",IFERROR(K93/K87,"")))</f>
        <v/>
      </c>
      <c r="L94" s="15">
        <f>IF(OR(L93="",L87=""),"",IF(L87&lt;=0,"",IFERROR(L93/L87,"")))</f>
        <v/>
      </c>
      <c r="M94" s="15">
        <f>IF(OR(M93="",M87=""),"",IF(M87&lt;=0,"",IFERROR(M93/M87,"")))</f>
        <v/>
      </c>
      <c r="N94" s="15">
        <f>IF(OR(N93="",N87=""),"",IF(N87&lt;=0,"",IFERROR(N93/N87,"")))</f>
        <v/>
      </c>
      <c r="T94" s="15">
        <f>IF(OR(T93="",T87=""),"",IF(T87&lt;=0,"",IFERROR(T93/T87,"")))</f>
        <v/>
      </c>
      <c r="U94" s="15">
        <f>IF(OR(U93="",U87=""),"",IF(U87&lt;=0,"",IFERROR(U93/U87,"")))</f>
        <v/>
      </c>
      <c r="V94" s="15">
        <f>IF(OR(V93="",V87=""),"",IF(V87&lt;=0,"",IFERROR(V93/V87,"")))</f>
        <v/>
      </c>
      <c r="W94" s="15">
        <f>IF(OR(W93="",W87=""),"",IF(W87&lt;=0,"",IFERROR(W93/W87,"")))</f>
        <v/>
      </c>
      <c r="X94" s="15">
        <f>IF(OR(X93="",X87=""),"",IF(X87&lt;=0,"",IFERROR(X93/X87,"")))</f>
        <v/>
      </c>
    </row>
    <row r="95">
      <c r="A95" s="43" t="inlineStr">
        <is>
          <t>YoY</t>
        </is>
      </c>
      <c r="B95" s="3" t="inlineStr">
        <is>
          <t>전년 같은 분기·전년 대비</t>
        </is>
      </c>
      <c r="G95" s="15">
        <f>IF(OR(G93="",C93=""),"",IF(C93&lt;=0,"",IFERROR(G93/C93-1,"")))</f>
        <v/>
      </c>
      <c r="H95" s="15">
        <f>IF(OR(H93="",D93=""),"",IF(D93&lt;=0,"",IFERROR(H93/D93-1,"")))</f>
        <v/>
      </c>
      <c r="I95" s="15">
        <f>IF(OR(I93="",E93=""),"",IF(E93&lt;=0,"",IFERROR(I93/E93-1,"")))</f>
        <v/>
      </c>
      <c r="J95" s="15">
        <f>IF(OR(J93="",F93=""),"",IF(F93&lt;=0,"",IFERROR(J93/F93-1,"")))</f>
        <v/>
      </c>
      <c r="K95" s="15">
        <f>IF(OR(K93="",G93=""),"",IF(G93&lt;=0,"",IFERROR(K93/G93-1,"")))</f>
        <v/>
      </c>
      <c r="L95" s="15">
        <f>IF(OR(L93="",H93=""),"",IF(H93&lt;=0,"",IFERROR(L93/H93-1,"")))</f>
        <v/>
      </c>
      <c r="M95" s="15">
        <f>IF(OR(M93="",I93=""),"",IF(I93&lt;=0,"",IFERROR(M93/I93-1,"")))</f>
        <v/>
      </c>
      <c r="N95" s="15">
        <f>IF(OR(N93="",J93=""),"",IF(J93&lt;=0,"",IFERROR(N93/J93-1,"")))</f>
        <v/>
      </c>
      <c r="T95" s="15">
        <f>IF(OR(T93="",S93=""),"",IF(S93&lt;=0,"",IFERROR(T93/S93-1,"")))</f>
        <v/>
      </c>
      <c r="U95" s="15">
        <f>IF(OR(U93="",T93=""),"",IF(T93&lt;=0,"",IFERROR(U93/T93-1,"")))</f>
        <v/>
      </c>
      <c r="V95" s="15">
        <f>IF(OR(V93="",U93=""),"",IF(U93&lt;=0,"",IFERROR(V93/U93-1,"")))</f>
        <v/>
      </c>
      <c r="W95" s="15">
        <f>IF(OR(W93="",V93=""),"",IF(V93&lt;=0,"",IFERROR(W93/V93-1,"")))</f>
        <v/>
      </c>
      <c r="X95" s="15">
        <f>IF(OR(X93="",W93=""),"",IF(W93&lt;=0,"",IFERROR(X93/W93-1,"")))</f>
        <v/>
      </c>
    </row>
    <row r="96">
      <c r="A96" s="18" t="inlineStr">
        <is>
          <t>이자수익</t>
        </is>
      </c>
      <c r="C96" s="20" t="n">
        <v>0.001</v>
      </c>
      <c r="D96" s="20" t="n">
        <v>0.012</v>
      </c>
      <c r="E96" s="20" t="n">
        <v>0.002</v>
      </c>
      <c r="F96" s="20" t="n">
        <v>0.384</v>
      </c>
      <c r="G96" s="20" t="n">
        <v>0.108</v>
      </c>
      <c r="H96" s="20" t="n">
        <v>1.62</v>
      </c>
      <c r="I96" s="20" t="n">
        <v>0.29</v>
      </c>
      <c r="J96" s="20" t="n">
        <v>2.912</v>
      </c>
      <c r="K96" s="20" t="n">
        <v>0</v>
      </c>
      <c r="L96" s="20" t="n">
        <v>2.784</v>
      </c>
      <c r="M96" s="20" t="n">
        <v>0.198</v>
      </c>
      <c r="N96" s="20" t="n">
        <v>4.363</v>
      </c>
      <c r="T96" s="20" t="n">
        <v>0.013</v>
      </c>
      <c r="U96" s="20" t="n">
        <v>0.013</v>
      </c>
      <c r="V96" s="20" t="n">
        <v>0.384</v>
      </c>
      <c r="W96" s="20" t="n">
        <v>2.912</v>
      </c>
      <c r="X96" s="20" t="n">
        <v>4.363</v>
      </c>
    </row>
    <row r="97">
      <c r="A97" s="18" t="inlineStr">
        <is>
          <t>환급금 수익</t>
        </is>
      </c>
      <c r="C97" s="20" t="n">
        <v>5.124</v>
      </c>
      <c r="D97" s="20" t="n">
        <v>1.48</v>
      </c>
      <c r="E97" s="20" t="n">
        <v>2.243</v>
      </c>
      <c r="F97" s="20" t="n">
        <v>1.985</v>
      </c>
      <c r="G97" s="20" t="n">
        <v>0.642</v>
      </c>
      <c r="H97" s="20" t="n">
        <v>0.404</v>
      </c>
      <c r="I97" s="20" t="n">
        <v>0.401</v>
      </c>
      <c r="J97" s="20" t="n">
        <v>0.727</v>
      </c>
      <c r="K97" s="20" t="n">
        <v>0.721</v>
      </c>
      <c r="L97" s="20" t="n">
        <v>0.556</v>
      </c>
      <c r="M97" s="20" t="n">
        <v>0.413</v>
      </c>
      <c r="N97" s="20" t="n">
        <v>0.641</v>
      </c>
      <c r="T97" s="20" t="n">
        <v>2.388</v>
      </c>
      <c r="U97" s="20" t="n">
        <v>1.559</v>
      </c>
      <c r="V97" s="20" t="n">
        <v>1.985</v>
      </c>
      <c r="W97" s="20" t="n">
        <v>0.727</v>
      </c>
      <c r="X97" s="20" t="n">
        <v>0.641</v>
      </c>
    </row>
    <row r="98">
      <c r="A98" s="18" t="inlineStr">
        <is>
          <t>수취 손해배상금</t>
        </is>
      </c>
      <c r="G98" s="20" t="n">
        <v>0</v>
      </c>
      <c r="K98" s="20" t="n">
        <v>2.18</v>
      </c>
    </row>
    <row r="99">
      <c r="A99" s="18" t="inlineStr">
        <is>
          <t>임차보증금 상각 환입이익</t>
        </is>
      </c>
      <c r="C99" s="20" t="n">
        <v>0</v>
      </c>
      <c r="G99" s="20" t="n">
        <v>1.04</v>
      </c>
      <c r="K99" s="20" t="n">
        <v>0</v>
      </c>
    </row>
    <row r="100">
      <c r="A100" s="18" t="inlineStr">
        <is>
          <t>잡이익</t>
        </is>
      </c>
      <c r="F100" s="20" t="n">
        <v>0</v>
      </c>
      <c r="J100" s="20" t="n">
        <v>0.843</v>
      </c>
      <c r="V100" s="20" t="n">
        <v>0</v>
      </c>
      <c r="W100" s="20" t="n">
        <v>0.843</v>
      </c>
    </row>
    <row r="101">
      <c r="A101" s="18" t="inlineStr">
        <is>
          <t>수취 손해배상금</t>
        </is>
      </c>
      <c r="J101" s="20" t="n">
        <v>2.191</v>
      </c>
      <c r="N101" s="20" t="n">
        <v>0.18</v>
      </c>
      <c r="W101" s="20" t="n">
        <v>2.191</v>
      </c>
      <c r="X101" s="20" t="n">
        <v>0.18</v>
      </c>
    </row>
    <row r="102">
      <c r="A102" s="18" t="inlineStr">
        <is>
          <t>경영지도료</t>
        </is>
      </c>
      <c r="C102" s="20" t="n">
        <v>0</v>
      </c>
      <c r="D102" s="20" t="n">
        <v>0</v>
      </c>
      <c r="E102" s="20" t="n">
        <v>0</v>
      </c>
      <c r="F102" s="20" t="n">
        <v>6.014</v>
      </c>
      <c r="G102" s="20" t="n">
        <v>4.017</v>
      </c>
      <c r="H102" s="20" t="n">
        <v>3.71</v>
      </c>
      <c r="I102" s="20" t="n">
        <v>0</v>
      </c>
      <c r="J102" s="20" t="n">
        <v>0</v>
      </c>
      <c r="K102" s="20" t="n">
        <v>0</v>
      </c>
      <c r="L102" s="20" t="n">
        <v>0</v>
      </c>
      <c r="M102" s="20" t="n">
        <v>0</v>
      </c>
      <c r="N102" s="20" t="n">
        <v>0</v>
      </c>
      <c r="V102" s="20" t="n">
        <v>6.014</v>
      </c>
      <c r="W102" s="20" t="n">
        <v>0</v>
      </c>
      <c r="X102" s="20" t="n">
        <v>0</v>
      </c>
    </row>
    <row r="103">
      <c r="A103" s="18" t="inlineStr">
        <is>
          <t>채무계정 정리이익</t>
        </is>
      </c>
      <c r="G103" s="20" t="n">
        <v>0</v>
      </c>
      <c r="H103" s="20" t="n">
        <v>0</v>
      </c>
      <c r="I103" s="20" t="n">
        <v>0</v>
      </c>
      <c r="J103" s="20" t="n">
        <v>0</v>
      </c>
      <c r="K103" s="20" t="n">
        <v>4.253</v>
      </c>
      <c r="L103" s="20" t="n">
        <v>0</v>
      </c>
      <c r="M103" s="20" t="n">
        <v>0</v>
      </c>
      <c r="N103" s="20" t="n">
        <v>0</v>
      </c>
      <c r="W103" s="20" t="n">
        <v>0</v>
      </c>
      <c r="X103" s="20" t="n">
        <v>0</v>
      </c>
    </row>
    <row r="104">
      <c r="A104" s="18" t="inlineStr">
        <is>
          <t>기타</t>
        </is>
      </c>
      <c r="C104" s="20" t="n">
        <v>0.22</v>
      </c>
      <c r="D104" s="20" t="n">
        <v>0.064</v>
      </c>
      <c r="E104" s="20" t="n">
        <v>0.701</v>
      </c>
      <c r="F104" s="20" t="n">
        <v>1.467</v>
      </c>
      <c r="G104" s="20" t="n">
        <v>0.465</v>
      </c>
      <c r="H104" s="20" t="n">
        <v>2.003</v>
      </c>
      <c r="I104" s="20" t="n">
        <v>1.015</v>
      </c>
      <c r="J104" s="20" t="n">
        <v>1.045</v>
      </c>
      <c r="K104" s="20" t="n">
        <v>0.145</v>
      </c>
      <c r="L104" s="20" t="n">
        <v>0.518</v>
      </c>
      <c r="M104" s="20" t="n">
        <v>1.704</v>
      </c>
      <c r="N104" s="20" t="n">
        <v>3.655</v>
      </c>
      <c r="T104" s="20" t="n">
        <v>0.106</v>
      </c>
      <c r="U104" s="20" t="n">
        <v>0.025</v>
      </c>
      <c r="V104" s="20" t="n">
        <v>1.467</v>
      </c>
      <c r="W104" s="20" t="n">
        <v>1.045</v>
      </c>
      <c r="X104" s="20" t="n">
        <v>3.655</v>
      </c>
    </row>
    <row r="105">
      <c r="A105" s="18" t="inlineStr">
        <is>
          <t>영업외수익 합계</t>
        </is>
      </c>
      <c r="C105" s="20" t="n">
        <v>5.346</v>
      </c>
      <c r="D105" s="20" t="n">
        <v>1.555</v>
      </c>
      <c r="E105" s="20" t="n">
        <v>7.447</v>
      </c>
      <c r="F105" s="20" t="n">
        <v>11.507</v>
      </c>
      <c r="G105" s="20" t="n">
        <v>6.274</v>
      </c>
      <c r="H105" s="20" t="n">
        <v>6.697</v>
      </c>
      <c r="I105" s="20" t="n">
        <v>3.909</v>
      </c>
      <c r="J105" s="20" t="n">
        <v>9.923999999999999</v>
      </c>
      <c r="K105" s="20" t="n">
        <v>7.3</v>
      </c>
      <c r="L105" s="20" t="n">
        <v>4.038</v>
      </c>
      <c r="M105" s="20" t="n">
        <v>12.707</v>
      </c>
      <c r="N105" s="20" t="n">
        <v>8.839</v>
      </c>
      <c r="T105" s="20" t="n">
        <v>2.507</v>
      </c>
      <c r="U105" s="20" t="n">
        <v>1.598</v>
      </c>
      <c r="V105" s="20" t="n">
        <v>11.507</v>
      </c>
      <c r="W105" s="20" t="n">
        <v>9.923999999999999</v>
      </c>
      <c r="X105" s="20" t="n">
        <v>8.839</v>
      </c>
    </row>
    <row r="106">
      <c r="A106" s="18" t="inlineStr">
        <is>
          <t>이자비용</t>
        </is>
      </c>
      <c r="C106" s="20" t="n">
        <v>0.049</v>
      </c>
      <c r="D106" s="20" t="n">
        <v>0.05</v>
      </c>
      <c r="E106" s="20" t="n">
        <v>0.051</v>
      </c>
      <c r="F106" s="20" t="n">
        <v>3.81</v>
      </c>
      <c r="G106" s="20" t="n">
        <v>3.466</v>
      </c>
      <c r="H106" s="20" t="n">
        <v>3.576</v>
      </c>
      <c r="I106" s="20" t="n">
        <v>4.124</v>
      </c>
      <c r="J106" s="20" t="n">
        <v>3.531</v>
      </c>
      <c r="K106" s="20" t="n">
        <v>3.882</v>
      </c>
      <c r="L106" s="20" t="n">
        <v>3.892</v>
      </c>
      <c r="M106" s="20" t="n">
        <v>5.625</v>
      </c>
      <c r="N106" s="20" t="n">
        <v>5.267</v>
      </c>
      <c r="T106" s="20" t="n">
        <v>0.05</v>
      </c>
      <c r="U106" s="20" t="n">
        <v>0.05</v>
      </c>
      <c r="V106" s="20" t="n">
        <v>3.81</v>
      </c>
      <c r="W106" s="20" t="n">
        <v>3.531</v>
      </c>
      <c r="X106" s="20" t="n">
        <v>5.267</v>
      </c>
    </row>
    <row r="107">
      <c r="A107" s="18" t="inlineStr">
        <is>
          <t>투자유가증권 평가손실</t>
        </is>
      </c>
      <c r="C107" s="20" t="n">
        <v>0</v>
      </c>
      <c r="D107" s="20" t="n">
        <v>30</v>
      </c>
      <c r="E107" s="20" t="n">
        <v>60</v>
      </c>
      <c r="F107" s="20" t="n">
        <v>0</v>
      </c>
      <c r="G107" s="20" t="n">
        <v>30</v>
      </c>
      <c r="H107" s="20" t="n">
        <v>0</v>
      </c>
      <c r="I107" s="20" t="n">
        <v>0</v>
      </c>
      <c r="J107" s="20" t="n">
        <v>0</v>
      </c>
      <c r="K107" s="20" t="n">
        <v>0</v>
      </c>
      <c r="L107" s="20" t="n">
        <v>0</v>
      </c>
      <c r="M107" s="20" t="n">
        <v>0</v>
      </c>
      <c r="N107" s="20" t="n">
        <v>0</v>
      </c>
      <c r="T107" s="20" t="n">
        <v>0</v>
      </c>
      <c r="U107" s="20" t="n">
        <v>0</v>
      </c>
      <c r="V107" s="20" t="n">
        <v>0</v>
      </c>
      <c r="W107" s="20" t="n">
        <v>0</v>
      </c>
      <c r="X107" s="20" t="n">
        <v>0</v>
      </c>
    </row>
    <row r="108">
      <c r="A108" s="18" t="inlineStr">
        <is>
          <t>주식보상비용 소멸손실</t>
        </is>
      </c>
      <c r="C108" s="20" t="n">
        <v>1.595</v>
      </c>
      <c r="D108" s="20" t="n">
        <v>4.423</v>
      </c>
      <c r="E108" s="20" t="n">
        <v>3.538</v>
      </c>
      <c r="G108" s="20" t="n">
        <v>0</v>
      </c>
      <c r="H108" s="20" t="n">
        <v>0</v>
      </c>
      <c r="I108" s="20" t="n">
        <v>0</v>
      </c>
    </row>
    <row r="109">
      <c r="A109" s="18" t="inlineStr">
        <is>
          <t>지분법손실</t>
        </is>
      </c>
      <c r="C109" s="20" t="n">
        <v>0</v>
      </c>
      <c r="D109" s="20" t="n">
        <v>0</v>
      </c>
      <c r="E109" s="20" t="n">
        <v>0</v>
      </c>
      <c r="F109" s="20" t="n">
        <v>0.208</v>
      </c>
      <c r="G109" s="20" t="n">
        <v>0.119</v>
      </c>
      <c r="H109" s="20" t="n">
        <v>0.08799999999999999</v>
      </c>
      <c r="I109" s="20" t="n">
        <v>0</v>
      </c>
      <c r="J109" s="20" t="n">
        <v>0</v>
      </c>
      <c r="K109" s="20" t="n">
        <v>0</v>
      </c>
      <c r="L109" s="20" t="n">
        <v>0</v>
      </c>
      <c r="M109" s="20" t="n">
        <v>0</v>
      </c>
      <c r="N109" s="20" t="n">
        <v>0</v>
      </c>
      <c r="V109" s="20" t="n">
        <v>0.208</v>
      </c>
      <c r="W109" s="20" t="n">
        <v>0</v>
      </c>
      <c r="X109" s="20" t="n">
        <v>0</v>
      </c>
    </row>
    <row r="110">
      <c r="A110" s="18" t="inlineStr">
        <is>
          <t>기타</t>
        </is>
      </c>
      <c r="C110" s="20" t="n">
        <v>0</v>
      </c>
      <c r="D110" s="20" t="n">
        <v>0</v>
      </c>
      <c r="E110" s="20" t="n">
        <v>0.225</v>
      </c>
      <c r="F110" s="20" t="n">
        <v>1.01</v>
      </c>
      <c r="G110" s="20" t="n">
        <v>0.988</v>
      </c>
      <c r="H110" s="20" t="n">
        <v>1.542</v>
      </c>
      <c r="I110" s="20" t="n">
        <v>1.283</v>
      </c>
      <c r="J110" s="20" t="n">
        <v>6.93</v>
      </c>
      <c r="K110" s="20" t="n">
        <v>1.474</v>
      </c>
      <c r="L110" s="20" t="n">
        <v>1.942</v>
      </c>
      <c r="M110" s="20" t="n">
        <v>0.979</v>
      </c>
      <c r="N110" s="20" t="n">
        <v>0.325</v>
      </c>
      <c r="T110" s="20" t="n">
        <v>0</v>
      </c>
      <c r="U110" s="20" t="n">
        <v>1.828</v>
      </c>
      <c r="V110" s="20" t="n">
        <v>1.01</v>
      </c>
      <c r="W110" s="20" t="n">
        <v>6.93</v>
      </c>
      <c r="X110" s="20" t="n">
        <v>0.325</v>
      </c>
    </row>
    <row r="111">
      <c r="A111" s="18" t="inlineStr">
        <is>
          <t>영업외비용 합계</t>
        </is>
      </c>
      <c r="C111" s="20" t="n">
        <v>1.645</v>
      </c>
      <c r="D111" s="20" t="n">
        <v>34.473</v>
      </c>
      <c r="E111" s="20" t="n">
        <v>63.814</v>
      </c>
      <c r="F111" s="20" t="n">
        <v>5.028</v>
      </c>
      <c r="G111" s="20" t="n">
        <v>34.574</v>
      </c>
      <c r="H111" s="20" t="n">
        <v>5.207</v>
      </c>
      <c r="I111" s="20" t="n">
        <v>5.406</v>
      </c>
      <c r="J111" s="20" t="n">
        <v>10.461</v>
      </c>
      <c r="K111" s="20" t="n">
        <v>5.356</v>
      </c>
      <c r="L111" s="20" t="n">
        <v>5.834</v>
      </c>
      <c r="M111" s="20" t="n">
        <v>6.605</v>
      </c>
      <c r="N111" s="20" t="n">
        <v>5.592</v>
      </c>
      <c r="T111" s="20" t="n">
        <v>0.05</v>
      </c>
      <c r="U111" s="20" t="n">
        <v>1.879</v>
      </c>
      <c r="V111" s="20" t="n">
        <v>5.028</v>
      </c>
      <c r="W111" s="20" t="n">
        <v>10.461</v>
      </c>
      <c r="X111" s="20" t="n">
        <v>5.592</v>
      </c>
    </row>
    <row r="112">
      <c r="A112" s="9" t="inlineStr">
        <is>
          <t>경상이익</t>
        </is>
      </c>
      <c r="C112" s="12" t="n">
        <v>100.803</v>
      </c>
      <c r="D112" s="12" t="n">
        <v>55.762</v>
      </c>
      <c r="E112" s="12" t="n">
        <v>57.641</v>
      </c>
      <c r="F112" s="12" t="n">
        <v>11.465</v>
      </c>
      <c r="G112" s="12" t="n">
        <v>79.89700000000001</v>
      </c>
      <c r="H112" s="12" t="n">
        <v>91.486</v>
      </c>
      <c r="I112" s="12" t="n">
        <v>88.874</v>
      </c>
      <c r="J112" s="12" t="n">
        <v>-32.981</v>
      </c>
      <c r="K112" s="12" t="n">
        <v>81.438</v>
      </c>
      <c r="L112" s="12" t="n">
        <v>150.523</v>
      </c>
      <c r="M112" s="12" t="n">
        <v>184.643</v>
      </c>
      <c r="N112" s="12" t="n">
        <v>85.596</v>
      </c>
      <c r="T112" s="12" t="n">
        <v>-120.404</v>
      </c>
      <c r="U112" s="12" t="n">
        <v>94.245</v>
      </c>
      <c r="V112" s="12" t="n">
        <v>11.465</v>
      </c>
      <c r="W112" s="12" t="n">
        <v>-32.981</v>
      </c>
      <c r="X112" s="12" t="n">
        <v>85.596</v>
      </c>
    </row>
    <row r="113">
      <c r="A113" s="43" t="inlineStr">
        <is>
          <t>YoY</t>
        </is>
      </c>
      <c r="B113" s="3" t="inlineStr">
        <is>
          <t>전년 같은 분기·전년 대비</t>
        </is>
      </c>
      <c r="G113" s="15">
        <f>IF(OR(G112="",C112=""),"",IF(C112&lt;=0,"",IFERROR(G112/C112-1,"")))</f>
        <v/>
      </c>
      <c r="H113" s="15">
        <f>IF(OR(H112="",D112=""),"",IF(D112&lt;=0,"",IFERROR(H112/D112-1,"")))</f>
        <v/>
      </c>
      <c r="I113" s="15">
        <f>IF(OR(I112="",E112=""),"",IF(E112&lt;=0,"",IFERROR(I112/E112-1,"")))</f>
        <v/>
      </c>
      <c r="J113" s="15">
        <f>IF(OR(J112="",F112=""),"",IF(F112&lt;=0,"",IFERROR(J112/F112-1,"")))</f>
        <v/>
      </c>
      <c r="K113" s="15">
        <f>IF(OR(K112="",G112=""),"",IF(G112&lt;=0,"",IFERROR(K112/G112-1,"")))</f>
        <v/>
      </c>
      <c r="L113" s="15">
        <f>IF(OR(L112="",H112=""),"",IF(H112&lt;=0,"",IFERROR(L112/H112-1,"")))</f>
        <v/>
      </c>
      <c r="M113" s="15">
        <f>IF(OR(M112="",I112=""),"",IF(I112&lt;=0,"",IFERROR(M112/I112-1,"")))</f>
        <v/>
      </c>
      <c r="N113" s="15">
        <f>IF(OR(N112="",J112=""),"",IF(J112&lt;=0,"",IFERROR(N112/J112-1,"")))</f>
        <v/>
      </c>
      <c r="T113" s="15">
        <f>IF(OR(T112="",S112=""),"",IF(S112&lt;=0,"",IFERROR(T112/S112-1,"")))</f>
        <v/>
      </c>
      <c r="U113" s="15">
        <f>IF(OR(U112="",T112=""),"",IF(T112&lt;=0,"",IFERROR(U112/T112-1,"")))</f>
        <v/>
      </c>
      <c r="V113" s="15">
        <f>IF(OR(V112="",U112=""),"",IF(U112&lt;=0,"",IFERROR(V112/U112-1,"")))</f>
        <v/>
      </c>
      <c r="W113" s="15">
        <f>IF(OR(W112="",V112=""),"",IF(V112&lt;=0,"",IFERROR(W112/V112-1,"")))</f>
        <v/>
      </c>
      <c r="X113" s="15">
        <f>IF(OR(X112="",W112=""),"",IF(W112&lt;=0,"",IFERROR(X112/W112-1,"")))</f>
        <v/>
      </c>
    </row>
    <row r="114">
      <c r="A114" s="18" t="inlineStr">
        <is>
          <t>신주예약권 환입이익</t>
        </is>
      </c>
      <c r="C114" s="20" t="n">
        <v>0</v>
      </c>
      <c r="D114" s="20" t="n">
        <v>0</v>
      </c>
      <c r="E114" s="20" t="n">
        <v>0</v>
      </c>
      <c r="F114" s="20" t="n">
        <v>0</v>
      </c>
      <c r="T114" s="20" t="n">
        <v>0</v>
      </c>
      <c r="U114" s="20" t="n">
        <v>0</v>
      </c>
      <c r="V114" s="20" t="n">
        <v>0</v>
      </c>
    </row>
    <row r="115">
      <c r="A115" s="18" t="inlineStr">
        <is>
          <t>특별이익 합계</t>
        </is>
      </c>
      <c r="C115" s="20" t="n">
        <v>0</v>
      </c>
      <c r="D115" s="20" t="n">
        <v>0</v>
      </c>
      <c r="E115" s="20" t="n">
        <v>0</v>
      </c>
      <c r="F115" s="20" t="n">
        <v>0</v>
      </c>
      <c r="T115" s="20" t="n">
        <v>0</v>
      </c>
      <c r="U115" s="20" t="n">
        <v>0</v>
      </c>
      <c r="V115" s="20" t="n">
        <v>0</v>
      </c>
    </row>
    <row r="116">
      <c r="A116" s="18" t="inlineStr">
        <is>
          <t>자회사 주식 매각손실</t>
        </is>
      </c>
      <c r="E116" s="20" t="n">
        <v>0</v>
      </c>
      <c r="F116" s="20" t="n">
        <v>0</v>
      </c>
      <c r="I116" s="20" t="n">
        <v>0</v>
      </c>
      <c r="J116" s="20" t="n">
        <v>0</v>
      </c>
      <c r="M116" s="20" t="n">
        <v>0</v>
      </c>
      <c r="N116" s="20" t="n">
        <v>0</v>
      </c>
      <c r="V116" s="20" t="n">
        <v>0</v>
      </c>
      <c r="W116" s="20" t="n">
        <v>0</v>
      </c>
      <c r="X116" s="20" t="n">
        <v>0</v>
      </c>
    </row>
    <row r="117">
      <c r="A117" s="18" t="inlineStr">
        <is>
          <t>특별손실 합계</t>
        </is>
      </c>
      <c r="E117" s="20" t="n">
        <v>0</v>
      </c>
      <c r="F117" s="20" t="n">
        <v>55.345</v>
      </c>
      <c r="I117" s="20" t="n">
        <v>0</v>
      </c>
      <c r="J117" s="20" t="n">
        <v>0</v>
      </c>
      <c r="M117" s="20" t="n">
        <v>0</v>
      </c>
      <c r="N117" s="20" t="n">
        <v>0</v>
      </c>
      <c r="V117" s="20" t="n">
        <v>55.345</v>
      </c>
      <c r="W117" s="20" t="n">
        <v>0</v>
      </c>
      <c r="X117" s="20" t="n">
        <v>0</v>
      </c>
    </row>
    <row r="118">
      <c r="A118" s="9" t="inlineStr">
        <is>
          <t>법인세차감전 순이익</t>
        </is>
      </c>
      <c r="C118" s="12" t="n">
        <v>100.803</v>
      </c>
      <c r="D118" s="12" t="n">
        <v>55.762</v>
      </c>
      <c r="E118" s="12" t="n">
        <v>57.641</v>
      </c>
      <c r="F118" s="12" t="n">
        <v>-43.881</v>
      </c>
      <c r="G118" s="12" t="n">
        <v>79.89700000000001</v>
      </c>
      <c r="H118" s="12" t="n">
        <v>90.077</v>
      </c>
      <c r="I118" s="12" t="n">
        <v>88.873</v>
      </c>
      <c r="J118" s="12" t="n">
        <v>-32.98</v>
      </c>
      <c r="K118" s="12" t="n">
        <v>81.438</v>
      </c>
      <c r="L118" s="12" t="n">
        <v>150.523</v>
      </c>
      <c r="M118" s="12" t="n">
        <v>184.643</v>
      </c>
      <c r="N118" s="12" t="n">
        <v>85.596</v>
      </c>
      <c r="T118" s="12" t="n">
        <v>-150.404</v>
      </c>
      <c r="U118" s="12" t="n">
        <v>94.245</v>
      </c>
      <c r="V118" s="12" t="n">
        <v>-43.881</v>
      </c>
      <c r="W118" s="12" t="n">
        <v>-32.98</v>
      </c>
      <c r="X118" s="12" t="n">
        <v>85.596</v>
      </c>
    </row>
    <row r="119">
      <c r="A119" s="18" t="inlineStr">
        <is>
          <t>법인세·주민세·사업세</t>
        </is>
      </c>
      <c r="C119" s="20" t="n">
        <v>24.951</v>
      </c>
      <c r="G119" s="20" t="n">
        <v>35.162</v>
      </c>
      <c r="K119" s="20" t="n">
        <v>26.101</v>
      </c>
    </row>
    <row r="120">
      <c r="A120" s="18" t="inlineStr">
        <is>
          <t>법인세·주민세·사업세</t>
        </is>
      </c>
      <c r="F120" s="20" t="n">
        <v>-6.553</v>
      </c>
      <c r="J120" s="20" t="n">
        <v>-1.858</v>
      </c>
      <c r="N120" s="20" t="n">
        <v>24.648</v>
      </c>
      <c r="T120" s="20" t="n">
        <v>0.676</v>
      </c>
      <c r="U120" s="20" t="n">
        <v>11.793</v>
      </c>
      <c r="V120" s="20" t="n">
        <v>-6.553</v>
      </c>
      <c r="W120" s="20" t="n">
        <v>-1.858</v>
      </c>
      <c r="X120" s="20" t="n">
        <v>24.648</v>
      </c>
    </row>
    <row r="121">
      <c r="A121" s="18" t="inlineStr">
        <is>
          <t>법인세 조정액</t>
        </is>
      </c>
      <c r="C121" s="20" t="n">
        <v>0</v>
      </c>
      <c r="D121" s="20" t="n">
        <v>-2.327</v>
      </c>
      <c r="E121" s="20" t="n">
        <v>-0.872</v>
      </c>
      <c r="F121" s="20" t="n">
        <v>-18.927</v>
      </c>
      <c r="G121" s="20" t="n">
        <v>-20.948</v>
      </c>
      <c r="H121" s="20" t="n">
        <v>11.65</v>
      </c>
      <c r="I121" s="20" t="n">
        <v>-74.73999999999999</v>
      </c>
      <c r="J121" s="20" t="n">
        <v>-36.888</v>
      </c>
      <c r="K121" s="20" t="n">
        <v>-14.515</v>
      </c>
      <c r="L121" s="20" t="n">
        <v>17</v>
      </c>
      <c r="M121" s="20" t="n">
        <v>17.936</v>
      </c>
      <c r="N121" s="20" t="n">
        <v>-36.038</v>
      </c>
      <c r="U121" s="20" t="n">
        <v>0</v>
      </c>
      <c r="V121" s="20" t="n">
        <v>-18.927</v>
      </c>
      <c r="W121" s="20" t="n">
        <v>-36.888</v>
      </c>
      <c r="X121" s="20" t="n">
        <v>-36.038</v>
      </c>
    </row>
    <row r="122">
      <c r="A122" s="18" t="inlineStr">
        <is>
          <t>법인세 등 합계</t>
        </is>
      </c>
      <c r="C122" s="20" t="n">
        <v>24.951</v>
      </c>
      <c r="D122" s="20" t="n">
        <v>38.865</v>
      </c>
      <c r="E122" s="20" t="n">
        <v>26.055</v>
      </c>
      <c r="F122" s="20" t="n">
        <v>-25.48</v>
      </c>
      <c r="G122" s="20" t="n">
        <v>14.214</v>
      </c>
      <c r="H122" s="20" t="n">
        <v>41.876</v>
      </c>
      <c r="I122" s="20" t="n">
        <v>-51.388</v>
      </c>
      <c r="J122" s="20" t="n">
        <v>-38.744</v>
      </c>
      <c r="K122" s="20" t="n">
        <v>11.585</v>
      </c>
      <c r="L122" s="20" t="n">
        <v>63.041</v>
      </c>
      <c r="M122" s="20" t="n">
        <v>58.165</v>
      </c>
      <c r="N122" s="20" t="n">
        <v>-11.392</v>
      </c>
      <c r="U122" s="20" t="n">
        <v>11.793</v>
      </c>
      <c r="V122" s="20" t="n">
        <v>-25.48</v>
      </c>
      <c r="W122" s="20" t="n">
        <v>-38.744</v>
      </c>
      <c r="X122" s="20" t="n">
        <v>-11.392</v>
      </c>
    </row>
    <row r="123">
      <c r="A123" s="9" t="inlineStr">
        <is>
          <t>순이익</t>
        </is>
      </c>
      <c r="C123" s="12" t="n">
        <v>75.851</v>
      </c>
      <c r="D123" s="12" t="n">
        <v>16.897</v>
      </c>
      <c r="E123" s="12" t="n">
        <v>31.586</v>
      </c>
      <c r="F123" s="12" t="n">
        <v>-18.401</v>
      </c>
      <c r="G123" s="12" t="n">
        <v>65.682</v>
      </c>
      <c r="H123" s="12" t="n">
        <v>48.201</v>
      </c>
      <c r="I123" s="12" t="n">
        <v>140.262</v>
      </c>
      <c r="J123" s="12" t="n">
        <v>5.764</v>
      </c>
      <c r="K123" s="12" t="n">
        <v>69.85299999999999</v>
      </c>
      <c r="L123" s="12" t="n">
        <v>87.48099999999999</v>
      </c>
      <c r="M123" s="12" t="n">
        <v>126.479</v>
      </c>
      <c r="N123" s="12" t="n">
        <v>96.988</v>
      </c>
      <c r="T123" s="12" t="n">
        <v>-151.079</v>
      </c>
      <c r="U123" s="12" t="n">
        <v>82.453</v>
      </c>
      <c r="V123" s="12" t="n">
        <v>-18.401</v>
      </c>
      <c r="W123" s="12" t="n">
        <v>5.764</v>
      </c>
      <c r="X123" s="12" t="n">
        <v>96.988</v>
      </c>
    </row>
    <row r="124">
      <c r="A124" s="43" t="inlineStr">
        <is>
          <t>YoY</t>
        </is>
      </c>
      <c r="B124" s="3" t="inlineStr">
        <is>
          <t>전년 같은 분기·전년 대비</t>
        </is>
      </c>
      <c r="G124" s="15">
        <f>IF(OR(G123="",C123=""),"",IF(C123&lt;=0,"",IFERROR(G123/C123-1,"")))</f>
        <v/>
      </c>
      <c r="H124" s="15">
        <f>IF(OR(H123="",D123=""),"",IF(D123&lt;=0,"",IFERROR(H123/D123-1,"")))</f>
        <v/>
      </c>
      <c r="I124" s="15">
        <f>IF(OR(I123="",E123=""),"",IF(E123&lt;=0,"",IFERROR(I123/E123-1,"")))</f>
        <v/>
      </c>
      <c r="J124" s="15">
        <f>IF(OR(J123="",F123=""),"",IF(F123&lt;=0,"",IFERROR(J123/F123-1,"")))</f>
        <v/>
      </c>
      <c r="K124" s="15">
        <f>IF(OR(K123="",G123=""),"",IF(G123&lt;=0,"",IFERROR(K123/G123-1,"")))</f>
        <v/>
      </c>
      <c r="L124" s="15">
        <f>IF(OR(L123="",H123=""),"",IF(H123&lt;=0,"",IFERROR(L123/H123-1,"")))</f>
        <v/>
      </c>
      <c r="M124" s="15">
        <f>IF(OR(M123="",I123=""),"",IF(I123&lt;=0,"",IFERROR(M123/I123-1,"")))</f>
        <v/>
      </c>
      <c r="N124" s="15">
        <f>IF(OR(N123="",J123=""),"",IF(J123&lt;=0,"",IFERROR(N123/J123-1,"")))</f>
        <v/>
      </c>
      <c r="T124" s="15">
        <f>IF(OR(T123="",S123=""),"",IF(S123&lt;=0,"",IFERROR(T123/S123-1,"")))</f>
        <v/>
      </c>
      <c r="U124" s="15">
        <f>IF(OR(U123="",T123=""),"",IF(T123&lt;=0,"",IFERROR(U123/T123-1,"")))</f>
        <v/>
      </c>
      <c r="V124" s="15">
        <f>IF(OR(V123="",U123=""),"",IF(U123&lt;=0,"",IFERROR(V123/U123-1,"")))</f>
        <v/>
      </c>
      <c r="W124" s="15">
        <f>IF(OR(W123="",V123=""),"",IF(V123&lt;=0,"",IFERROR(W123/V123-1,"")))</f>
        <v/>
      </c>
      <c r="X124" s="15">
        <f>IF(OR(X123="",W123=""),"",IF(W123&lt;=0,"",IFERROR(X123/W123-1,"")))</f>
        <v/>
      </c>
    </row>
    <row r="125">
      <c r="A125" s="9" t="inlineStr">
        <is>
          <t>비지배주주 순손익</t>
        </is>
      </c>
      <c r="C125" s="12" t="n">
        <v>-8.324999999999999</v>
      </c>
      <c r="D125" s="12" t="n">
        <v>-38.296</v>
      </c>
      <c r="E125" s="12" t="n">
        <v>-69.529</v>
      </c>
      <c r="F125" s="12" t="n">
        <v>-21.632</v>
      </c>
      <c r="G125" s="12" t="n">
        <v>-39.435</v>
      </c>
      <c r="H125" s="12" t="n">
        <v>-6.689</v>
      </c>
      <c r="I125" s="12" t="n">
        <v>-0.061</v>
      </c>
      <c r="J125" s="12" t="n">
        <v>-0.8100000000000001</v>
      </c>
      <c r="K125" s="12" t="n">
        <v>-0.723</v>
      </c>
      <c r="L125" s="12" t="n">
        <v>0.269</v>
      </c>
      <c r="M125" s="12" t="n">
        <v>0.187</v>
      </c>
      <c r="N125" s="12" t="n">
        <v>0.602</v>
      </c>
      <c r="T125" s="12" t="n">
        <v>-38.812</v>
      </c>
      <c r="U125" s="12" t="n">
        <v>-8.323</v>
      </c>
      <c r="V125" s="12" t="n">
        <v>-21.632</v>
      </c>
      <c r="W125" s="12" t="n">
        <v>-0.8100000000000001</v>
      </c>
      <c r="X125" s="12" t="n">
        <v>0.602</v>
      </c>
    </row>
    <row r="126">
      <c r="A126" s="9" t="inlineStr">
        <is>
          <t>지배주주 순이익</t>
        </is>
      </c>
      <c r="C126" s="12" t="n">
        <v>84.17700000000001</v>
      </c>
      <c r="D126" s="12" t="n">
        <v>55.193</v>
      </c>
      <c r="E126" s="12" t="n">
        <v>101.114</v>
      </c>
      <c r="F126" s="12" t="n">
        <v>3.232</v>
      </c>
      <c r="G126" s="12" t="n">
        <v>105.118</v>
      </c>
      <c r="H126" s="12" t="n">
        <v>54.89</v>
      </c>
      <c r="I126" s="12" t="n">
        <v>140.323</v>
      </c>
      <c r="J126" s="12" t="n">
        <v>6.573</v>
      </c>
      <c r="K126" s="12" t="n">
        <v>70.577</v>
      </c>
      <c r="L126" s="12" t="n">
        <v>87.212</v>
      </c>
      <c r="M126" s="12" t="n">
        <v>126.291</v>
      </c>
      <c r="N126" s="12" t="n">
        <v>96.38500000000001</v>
      </c>
      <c r="T126" s="12" t="n">
        <v>-112.268</v>
      </c>
      <c r="U126" s="12" t="n">
        <v>90.77500000000001</v>
      </c>
      <c r="V126" s="12" t="n">
        <v>3.232</v>
      </c>
      <c r="W126" s="12" t="n">
        <v>6.573</v>
      </c>
      <c r="X126" s="12" t="n">
        <v>96.38500000000001</v>
      </c>
    </row>
    <row r="127">
      <c r="A127" s="43" t="inlineStr">
        <is>
          <t>YoY</t>
        </is>
      </c>
      <c r="B127" s="3" t="inlineStr">
        <is>
          <t>전년 같은 분기·전년 대비</t>
        </is>
      </c>
      <c r="G127" s="15">
        <f>IF(OR(G126="",C126=""),"",IF(C126&lt;=0,"",IFERROR(G126/C126-1,"")))</f>
        <v/>
      </c>
      <c r="H127" s="15">
        <f>IF(OR(H126="",D126=""),"",IF(D126&lt;=0,"",IFERROR(H126/D126-1,"")))</f>
        <v/>
      </c>
      <c r="I127" s="15">
        <f>IF(OR(I126="",E126=""),"",IF(E126&lt;=0,"",IFERROR(I126/E126-1,"")))</f>
        <v/>
      </c>
      <c r="J127" s="15">
        <f>IF(OR(J126="",F126=""),"",IF(F126&lt;=0,"",IFERROR(J126/F126-1,"")))</f>
        <v/>
      </c>
      <c r="K127" s="15">
        <f>IF(OR(K126="",G126=""),"",IF(G126&lt;=0,"",IFERROR(K126/G126-1,"")))</f>
        <v/>
      </c>
      <c r="L127" s="15">
        <f>IF(OR(L126="",H126=""),"",IF(H126&lt;=0,"",IFERROR(L126/H126-1,"")))</f>
        <v/>
      </c>
      <c r="M127" s="15">
        <f>IF(OR(M126="",I126=""),"",IF(I126&lt;=0,"",IFERROR(M126/I126-1,"")))</f>
        <v/>
      </c>
      <c r="N127" s="15">
        <f>IF(OR(N126="",J126=""),"",IF(J126&lt;=0,"",IFERROR(N126/J126-1,"")))</f>
        <v/>
      </c>
      <c r="T127" s="15">
        <f>IF(OR(T126="",S126=""),"",IF(S126&lt;=0,"",IFERROR(T126/S126-1,"")))</f>
        <v/>
      </c>
      <c r="U127" s="15">
        <f>IF(OR(U126="",T126=""),"",IF(T126&lt;=0,"",IFERROR(U126/T126-1,"")))</f>
        <v/>
      </c>
      <c r="V127" s="15">
        <f>IF(OR(V126="",U126=""),"",IF(U126&lt;=0,"",IFERROR(V126/U126-1,"")))</f>
        <v/>
      </c>
      <c r="W127" s="15">
        <f>IF(OR(W126="",V126=""),"",IF(V126&lt;=0,"",IFERROR(W126/V126-1,"")))</f>
        <v/>
      </c>
      <c r="X127" s="15">
        <f>IF(OR(X126="",W126=""),"",IF(W126&lt;=0,"",IFERROR(X126/W126-1,"")))</f>
        <v/>
      </c>
    </row>
    <row r="128">
      <c r="A128" s="18" t="inlineStr">
        <is>
          <t>영업수익</t>
        </is>
      </c>
      <c r="T128" s="20" t="n">
        <v>1049.367</v>
      </c>
    </row>
    <row r="129">
      <c r="A129" s="43" t="inlineStr">
        <is>
          <t>YoY</t>
        </is>
      </c>
      <c r="B129" s="3" t="inlineStr">
        <is>
          <t>전년 같은 분기·전년 대비</t>
        </is>
      </c>
      <c r="T129" s="15">
        <f>IF(OR(T128="",S128=""),"",IF(S128&lt;=0,"",IFERROR(T128/S128-1,"")))</f>
        <v/>
      </c>
    </row>
    <row r="130">
      <c r="A130" s="18" t="inlineStr">
        <is>
          <t>영업비용</t>
        </is>
      </c>
      <c r="T130" s="20" t="n">
        <v>1179.619</v>
      </c>
    </row>
    <row r="132">
      <c r="A132" s="16" t="inlineStr">
        <is>
          <t>포괄손익 · 전 항목</t>
        </is>
      </c>
      <c r="B132" s="42" t="inlineStr">
        <is>
          <t>분기 = 3개월 단독</t>
        </is>
      </c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  <c r="AA132" s="16" t="n"/>
      <c r="AB132" s="16" t="n"/>
      <c r="AC132" s="16" t="n"/>
    </row>
    <row r="133">
      <c r="A133" s="5" t="inlineStr">
        <is>
          <t>항목</t>
        </is>
      </c>
      <c r="B133" s="5" t="inlineStr">
        <is>
          <t>참고</t>
        </is>
      </c>
      <c r="C133" s="5" t="inlineStr">
        <is>
          <t>2024.1Q</t>
        </is>
      </c>
      <c r="D133" s="5" t="inlineStr">
        <is>
          <t>2024.2Q</t>
        </is>
      </c>
      <c r="E133" s="5" t="inlineStr">
        <is>
          <t>2024.3Q</t>
        </is>
      </c>
      <c r="F133" s="5" t="inlineStr">
        <is>
          <t>2024.4Q</t>
        </is>
      </c>
      <c r="G133" s="5" t="inlineStr">
        <is>
          <t>2025.1Q</t>
        </is>
      </c>
      <c r="H133" s="5" t="inlineStr">
        <is>
          <t>2025.2Q</t>
        </is>
      </c>
      <c r="I133" s="5" t="inlineStr">
        <is>
          <t>2025.3Q</t>
        </is>
      </c>
      <c r="J133" s="5" t="inlineStr">
        <is>
          <t>2025.4Q</t>
        </is>
      </c>
      <c r="K133" s="5" t="inlineStr">
        <is>
          <t>2026.1Q</t>
        </is>
      </c>
      <c r="L133" s="5" t="inlineStr">
        <is>
          <t>2026.2Q</t>
        </is>
      </c>
      <c r="M133" s="5" t="inlineStr">
        <is>
          <t>2026.3Q</t>
        </is>
      </c>
      <c r="N133" s="5" t="inlineStr">
        <is>
          <t>2026.4Q</t>
        </is>
      </c>
      <c r="O133" s="5" t="inlineStr">
        <is>
          <t>2017</t>
        </is>
      </c>
      <c r="P133" s="5" t="inlineStr">
        <is>
          <t>2018</t>
        </is>
      </c>
      <c r="Q133" s="5" t="inlineStr">
        <is>
          <t>2019</t>
        </is>
      </c>
      <c r="R133" s="5" t="inlineStr">
        <is>
          <t>2020</t>
        </is>
      </c>
      <c r="S133" s="5" t="inlineStr">
        <is>
          <t>2021</t>
        </is>
      </c>
      <c r="T133" s="5" t="inlineStr">
        <is>
          <t>2022</t>
        </is>
      </c>
      <c r="U133" s="5" t="inlineStr">
        <is>
          <t>2023</t>
        </is>
      </c>
      <c r="V133" s="5" t="inlineStr">
        <is>
          <t>2024</t>
        </is>
      </c>
      <c r="W133" s="5" t="inlineStr">
        <is>
          <t>2025</t>
        </is>
      </c>
      <c r="X133" s="5" t="inlineStr">
        <is>
          <t>2026</t>
        </is>
      </c>
      <c r="Y133" s="5" t="inlineStr">
        <is>
          <t>2027(MW)</t>
        </is>
      </c>
      <c r="Z133" s="5" t="inlineStr">
        <is>
          <t>2028(MW)</t>
        </is>
      </c>
      <c r="AA133" s="5" t="inlineStr">
        <is>
          <t>2029(MW)</t>
        </is>
      </c>
      <c r="AB133" s="5" t="inlineStr">
        <is>
          <t>2030(MW)</t>
        </is>
      </c>
      <c r="AC133" s="5" t="inlineStr">
        <is>
          <t>2031(MW)</t>
        </is>
      </c>
    </row>
    <row r="134">
      <c r="A134" s="9" t="inlineStr">
        <is>
          <t>순이익</t>
        </is>
      </c>
      <c r="C134" s="12" t="n">
        <v>75.851</v>
      </c>
      <c r="D134" s="12" t="n">
        <v>16.897</v>
      </c>
      <c r="E134" s="12" t="n">
        <v>31.586</v>
      </c>
      <c r="F134" s="12" t="n">
        <v>-18.401</v>
      </c>
      <c r="G134" s="12" t="n">
        <v>65.682</v>
      </c>
      <c r="H134" s="12" t="n">
        <v>48.201</v>
      </c>
      <c r="I134" s="12" t="n">
        <v>140.262</v>
      </c>
      <c r="J134" s="12" t="n">
        <v>5.764</v>
      </c>
      <c r="K134" s="12" t="n">
        <v>69.85299999999999</v>
      </c>
      <c r="L134" s="12" t="n">
        <v>87.48099999999999</v>
      </c>
      <c r="M134" s="12" t="n">
        <v>126.479</v>
      </c>
      <c r="N134" s="12" t="n">
        <v>96.988</v>
      </c>
      <c r="T134" s="12" t="n">
        <v>-151.079</v>
      </c>
      <c r="U134" s="12" t="n">
        <v>82.453</v>
      </c>
      <c r="V134" s="12" t="n">
        <v>-18.401</v>
      </c>
      <c r="W134" s="12" t="n">
        <v>5.764</v>
      </c>
      <c r="X134" s="12" t="n">
        <v>96.988</v>
      </c>
    </row>
    <row r="135">
      <c r="A135" s="18" t="inlineStr">
        <is>
          <t>기타유가증권 평가차액</t>
        </is>
      </c>
      <c r="C135" s="20" t="n">
        <v>-0.352</v>
      </c>
      <c r="D135" s="20" t="n">
        <v>2.237</v>
      </c>
      <c r="E135" s="20" t="n">
        <v>2.769</v>
      </c>
      <c r="F135" s="20" t="n">
        <v>-5.519</v>
      </c>
      <c r="G135" s="20" t="n">
        <v>2.737</v>
      </c>
      <c r="H135" s="20" t="n">
        <v>-0.497</v>
      </c>
      <c r="I135" s="20" t="n">
        <v>0</v>
      </c>
      <c r="J135" s="20" t="n">
        <v>0</v>
      </c>
      <c r="K135" s="20" t="n">
        <v>0</v>
      </c>
      <c r="L135" s="20" t="n">
        <v>0</v>
      </c>
      <c r="M135" s="20" t="n">
        <v>0</v>
      </c>
      <c r="N135" s="20" t="n">
        <v>0</v>
      </c>
      <c r="T135" s="20" t="n">
        <v>4.18</v>
      </c>
      <c r="U135" s="20" t="n">
        <v>2.572</v>
      </c>
      <c r="V135" s="20" t="n">
        <v>-5.519</v>
      </c>
      <c r="W135" s="20" t="n">
        <v>0</v>
      </c>
      <c r="X135" s="20" t="n">
        <v>0</v>
      </c>
    </row>
    <row r="136">
      <c r="A136" s="18" t="inlineStr">
        <is>
          <t>기타포괄손익 합계</t>
        </is>
      </c>
      <c r="C136" s="20" t="n">
        <v>-0.352</v>
      </c>
      <c r="D136" s="20" t="n">
        <v>2.237</v>
      </c>
      <c r="E136" s="20" t="n">
        <v>2.769</v>
      </c>
      <c r="F136" s="20" t="n">
        <v>-5.519</v>
      </c>
      <c r="G136" s="20" t="n">
        <v>2.737</v>
      </c>
      <c r="H136" s="20" t="n">
        <v>-0.497</v>
      </c>
      <c r="I136" s="20" t="n">
        <v>0</v>
      </c>
      <c r="J136" s="20" t="n">
        <v>0</v>
      </c>
      <c r="K136" s="20" t="n">
        <v>0</v>
      </c>
      <c r="L136" s="20" t="n">
        <v>0</v>
      </c>
      <c r="M136" s="20" t="n">
        <v>0</v>
      </c>
      <c r="N136" s="20" t="n">
        <v>0</v>
      </c>
      <c r="T136" s="20" t="n">
        <v>4.18</v>
      </c>
      <c r="U136" s="20" t="n">
        <v>2.572</v>
      </c>
      <c r="V136" s="20" t="n">
        <v>-5.519</v>
      </c>
      <c r="W136" s="20" t="n">
        <v>0</v>
      </c>
      <c r="X136" s="20" t="n">
        <v>0</v>
      </c>
    </row>
    <row r="137">
      <c r="A137" s="9" t="inlineStr">
        <is>
          <t>포괄이익</t>
        </is>
      </c>
      <c r="C137" s="12" t="n">
        <v>75.499</v>
      </c>
      <c r="D137" s="12" t="n">
        <v>19.135</v>
      </c>
      <c r="E137" s="12" t="n">
        <v>34.355</v>
      </c>
      <c r="F137" s="12" t="n">
        <v>-23.921</v>
      </c>
      <c r="G137" s="12" t="n">
        <v>68.419</v>
      </c>
      <c r="H137" s="12" t="n">
        <v>47.705</v>
      </c>
      <c r="I137" s="12" t="n">
        <v>140.261</v>
      </c>
      <c r="J137" s="12" t="n">
        <v>5.764</v>
      </c>
      <c r="K137" s="12" t="n">
        <v>69.85299999999999</v>
      </c>
      <c r="L137" s="12" t="n">
        <v>87.48099999999999</v>
      </c>
      <c r="M137" s="12" t="n">
        <v>126.479</v>
      </c>
      <c r="N137" s="12" t="n">
        <v>96.988</v>
      </c>
      <c r="T137" s="12" t="n">
        <v>-146.899</v>
      </c>
      <c r="U137" s="12" t="n">
        <v>85.02500000000001</v>
      </c>
      <c r="V137" s="12" t="n">
        <v>-23.921</v>
      </c>
      <c r="W137" s="12" t="n">
        <v>5.764</v>
      </c>
      <c r="X137" s="12" t="n">
        <v>96.988</v>
      </c>
    </row>
    <row r="138">
      <c r="A138" s="9" t="inlineStr">
        <is>
          <t>지배주주 포괄이익</t>
        </is>
      </c>
      <c r="C138" s="12" t="n">
        <v>84.175</v>
      </c>
      <c r="D138" s="12" t="n">
        <v>55.207</v>
      </c>
      <c r="E138" s="12" t="n">
        <v>101.131</v>
      </c>
      <c r="F138" s="12" t="n">
        <v>3.198</v>
      </c>
      <c r="G138" s="12" t="n">
        <v>105.135</v>
      </c>
      <c r="H138" s="12" t="n">
        <v>54.887</v>
      </c>
      <c r="I138" s="12" t="n">
        <v>140.323</v>
      </c>
      <c r="J138" s="12" t="n">
        <v>6.573</v>
      </c>
      <c r="K138" s="12" t="n">
        <v>70.577</v>
      </c>
      <c r="L138" s="12" t="n">
        <v>87.212</v>
      </c>
      <c r="M138" s="12" t="n">
        <v>126.291</v>
      </c>
      <c r="N138" s="12" t="n">
        <v>96.38500000000001</v>
      </c>
      <c r="T138" s="12" t="n">
        <v>-112.133</v>
      </c>
      <c r="U138" s="12" t="n">
        <v>90.79000000000001</v>
      </c>
      <c r="V138" s="12" t="n">
        <v>3.198</v>
      </c>
      <c r="W138" s="12" t="n">
        <v>6.573</v>
      </c>
      <c r="X138" s="12" t="n">
        <v>96.38500000000001</v>
      </c>
    </row>
    <row r="139">
      <c r="A139" s="9" t="inlineStr">
        <is>
          <t>비지배주주 포괄이익</t>
        </is>
      </c>
      <c r="C139" s="12" t="n">
        <v>-8.675000000000001</v>
      </c>
      <c r="D139" s="12" t="n">
        <v>-36.072</v>
      </c>
      <c r="E139" s="12" t="n">
        <v>-66.777</v>
      </c>
      <c r="F139" s="12" t="n">
        <v>-27.118</v>
      </c>
      <c r="G139" s="12" t="n">
        <v>-36.715</v>
      </c>
      <c r="H139" s="12" t="n">
        <v>-7.183</v>
      </c>
      <c r="I139" s="12" t="n">
        <v>-0.061</v>
      </c>
      <c r="J139" s="12" t="n">
        <v>-0.8090000000000001</v>
      </c>
      <c r="K139" s="12" t="n">
        <v>-0.723</v>
      </c>
      <c r="L139" s="12" t="n">
        <v>0.269</v>
      </c>
      <c r="M139" s="12" t="n">
        <v>0.187</v>
      </c>
      <c r="N139" s="12" t="n">
        <v>0.602</v>
      </c>
      <c r="T139" s="12" t="n">
        <v>-34.767</v>
      </c>
      <c r="U139" s="12" t="n">
        <v>-5.766</v>
      </c>
      <c r="V139" s="12" t="n">
        <v>-27.118</v>
      </c>
      <c r="W139" s="12" t="n">
        <v>-0.8090000000000001</v>
      </c>
      <c r="X139" s="12" t="n">
        <v>0.602</v>
      </c>
    </row>
    <row r="141">
      <c r="A141" s="16" t="inlineStr">
        <is>
          <t>부문 · 전 항목</t>
        </is>
      </c>
      <c r="B141" s="42" t="inlineStr">
        <is>
          <t>부문 · 항목</t>
        </is>
      </c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  <c r="AA141" s="16" t="n"/>
      <c r="AB141" s="16" t="n"/>
      <c r="AC141" s="16" t="n"/>
    </row>
    <row r="142">
      <c r="A142" s="5" t="inlineStr">
        <is>
          <t>항목</t>
        </is>
      </c>
      <c r="B142" s="5" t="inlineStr">
        <is>
          <t>참고</t>
        </is>
      </c>
      <c r="C142" s="5" t="inlineStr">
        <is>
          <t>2024.1Q</t>
        </is>
      </c>
      <c r="D142" s="5" t="inlineStr">
        <is>
          <t>2024.2Q</t>
        </is>
      </c>
      <c r="E142" s="5" t="inlineStr">
        <is>
          <t>2024.3Q</t>
        </is>
      </c>
      <c r="F142" s="5" t="inlineStr">
        <is>
          <t>2024.4Q</t>
        </is>
      </c>
      <c r="G142" s="5" t="inlineStr">
        <is>
          <t>2025.1Q</t>
        </is>
      </c>
      <c r="H142" s="5" t="inlineStr">
        <is>
          <t>2025.2Q</t>
        </is>
      </c>
      <c r="I142" s="5" t="inlineStr">
        <is>
          <t>2025.3Q</t>
        </is>
      </c>
      <c r="J142" s="5" t="inlineStr">
        <is>
          <t>2025.4Q</t>
        </is>
      </c>
      <c r="K142" s="5" t="inlineStr">
        <is>
          <t>2026.1Q</t>
        </is>
      </c>
      <c r="L142" s="5" t="inlineStr">
        <is>
          <t>2026.2Q</t>
        </is>
      </c>
      <c r="M142" s="5" t="inlineStr">
        <is>
          <t>2026.3Q</t>
        </is>
      </c>
      <c r="N142" s="5" t="inlineStr">
        <is>
          <t>2026.4Q</t>
        </is>
      </c>
      <c r="O142" s="5" t="inlineStr">
        <is>
          <t>2017</t>
        </is>
      </c>
      <c r="P142" s="5" t="inlineStr">
        <is>
          <t>2018</t>
        </is>
      </c>
      <c r="Q142" s="5" t="inlineStr">
        <is>
          <t>2019</t>
        </is>
      </c>
      <c r="R142" s="5" t="inlineStr">
        <is>
          <t>2020</t>
        </is>
      </c>
      <c r="S142" s="5" t="inlineStr">
        <is>
          <t>2021</t>
        </is>
      </c>
      <c r="T142" s="5" t="inlineStr">
        <is>
          <t>2022</t>
        </is>
      </c>
      <c r="U142" s="5" t="inlineStr">
        <is>
          <t>2023</t>
        </is>
      </c>
      <c r="V142" s="5" t="inlineStr">
        <is>
          <t>2024</t>
        </is>
      </c>
      <c r="W142" s="5" t="inlineStr">
        <is>
          <t>2025</t>
        </is>
      </c>
      <c r="X142" s="5" t="inlineStr">
        <is>
          <t>2026</t>
        </is>
      </c>
      <c r="Y142" s="5" t="inlineStr">
        <is>
          <t>2027(MW)</t>
        </is>
      </c>
      <c r="Z142" s="5" t="inlineStr">
        <is>
          <t>2028(MW)</t>
        </is>
      </c>
      <c r="AA142" s="5" t="inlineStr">
        <is>
          <t>2029(MW)</t>
        </is>
      </c>
      <c r="AB142" s="5" t="inlineStr">
        <is>
          <t>2030(MW)</t>
        </is>
      </c>
      <c r="AC142" s="5" t="inlineStr">
        <is>
          <t>2031(MW)</t>
        </is>
      </c>
    </row>
    <row r="143">
      <c r="A143" s="18" t="inlineStr">
        <is>
          <t>마켓플레이스 · 외부 고객 매출</t>
        </is>
      </c>
      <c r="C143" s="20" t="n">
        <v>1205.367</v>
      </c>
      <c r="D143" s="20" t="n">
        <v>1211.083</v>
      </c>
      <c r="E143" s="20" t="n">
        <v>1293.692</v>
      </c>
      <c r="F143" s="20" t="n">
        <v>1343.577</v>
      </c>
      <c r="G143" s="20" t="n">
        <v>1373.001</v>
      </c>
      <c r="H143" s="20" t="n">
        <v>1354.996</v>
      </c>
      <c r="I143" s="20" t="n">
        <v>1521.442</v>
      </c>
      <c r="J143" s="20" t="n">
        <v>1471.279</v>
      </c>
      <c r="K143" s="20" t="n">
        <v>1492.706</v>
      </c>
      <c r="L143" s="20" t="n">
        <v>1477.808</v>
      </c>
      <c r="M143" s="20" t="n">
        <v>1532.752</v>
      </c>
      <c r="N143" s="20" t="n">
        <v>1162.878</v>
      </c>
      <c r="V143" s="20" t="n">
        <v>1343.577</v>
      </c>
      <c r="W143" s="20" t="n">
        <v>1471.279</v>
      </c>
      <c r="X143" s="20" t="n">
        <v>1162.878</v>
      </c>
    </row>
    <row r="144">
      <c r="A144" s="43" t="inlineStr">
        <is>
          <t>YoY</t>
        </is>
      </c>
      <c r="B144" s="3" t="inlineStr">
        <is>
          <t>전년 같은 분기·전년 대비</t>
        </is>
      </c>
      <c r="G144" s="15">
        <f>IF(OR(G143="",C143=""),"",IF(C143&lt;=0,"",IFERROR(G143/C143-1,"")))</f>
        <v/>
      </c>
      <c r="H144" s="15">
        <f>IF(OR(H143="",D143=""),"",IF(D143&lt;=0,"",IFERROR(H143/D143-1,"")))</f>
        <v/>
      </c>
      <c r="I144" s="15">
        <f>IF(OR(I143="",E143=""),"",IF(E143&lt;=0,"",IFERROR(I143/E143-1,"")))</f>
        <v/>
      </c>
      <c r="J144" s="15">
        <f>IF(OR(J143="",F143=""),"",IF(F143&lt;=0,"",IFERROR(J143/F143-1,"")))</f>
        <v/>
      </c>
      <c r="K144" s="15">
        <f>IF(OR(K143="",G143=""),"",IF(G143&lt;=0,"",IFERROR(K143/G143-1,"")))</f>
        <v/>
      </c>
      <c r="L144" s="15">
        <f>IF(OR(L143="",H143=""),"",IF(H143&lt;=0,"",IFERROR(L143/H143-1,"")))</f>
        <v/>
      </c>
      <c r="M144" s="15">
        <f>IF(OR(M143="",I143=""),"",IF(I143&lt;=0,"",IFERROR(M143/I143-1,"")))</f>
        <v/>
      </c>
      <c r="N144" s="15">
        <f>IF(OR(N143="",J143=""),"",IF(J143&lt;=0,"",IFERROR(N143/J143-1,"")))</f>
        <v/>
      </c>
      <c r="V144" s="15">
        <f>IF(OR(V143="",U143=""),"",IF(U143&lt;=0,"",IFERROR(V143/U143-1,"")))</f>
        <v/>
      </c>
      <c r="W144" s="15">
        <f>IF(OR(W143="",V143=""),"",IF(V143&lt;=0,"",IFERROR(W143/V143-1,"")))</f>
        <v/>
      </c>
      <c r="X144" s="15">
        <f>IF(OR(X143="",W143=""),"",IF(W143&lt;=0,"",IFERROR(X143/W143-1,"")))</f>
        <v/>
      </c>
    </row>
    <row r="145">
      <c r="A145" s="18" t="inlineStr">
        <is>
          <t>에이전트 · 외부 고객 매출</t>
        </is>
      </c>
      <c r="C145" s="20" t="n">
        <v>193.317</v>
      </c>
      <c r="D145" s="20" t="n">
        <v>168.409</v>
      </c>
      <c r="E145" s="20" t="n">
        <v>156.434</v>
      </c>
      <c r="F145" s="20" t="n">
        <v>1016.833</v>
      </c>
      <c r="G145" s="20" t="n">
        <v>1000.869</v>
      </c>
      <c r="H145" s="20" t="n">
        <v>986.537</v>
      </c>
      <c r="I145" s="20" t="n">
        <v>824.232</v>
      </c>
      <c r="J145" s="20" t="n">
        <v>878.427</v>
      </c>
      <c r="K145" s="20" t="n">
        <v>974.848</v>
      </c>
      <c r="L145" s="20" t="n">
        <v>1045.81</v>
      </c>
      <c r="M145" s="20" t="n">
        <v>1118.99</v>
      </c>
      <c r="N145" s="20" t="n">
        <v>1510.821</v>
      </c>
      <c r="V145" s="20" t="n">
        <v>1016.833</v>
      </c>
      <c r="W145" s="20" t="n">
        <v>878.427</v>
      </c>
      <c r="X145" s="20" t="n">
        <v>1510.821</v>
      </c>
    </row>
    <row r="146">
      <c r="A146" s="43" t="inlineStr">
        <is>
          <t>YoY</t>
        </is>
      </c>
      <c r="B146" s="3" t="inlineStr">
        <is>
          <t>전년 같은 분기·전년 대비</t>
        </is>
      </c>
      <c r="G146" s="15">
        <f>IF(OR(G145="",C145=""),"",IF(C145&lt;=0,"",IFERROR(G145/C145-1,"")))</f>
        <v/>
      </c>
      <c r="H146" s="15">
        <f>IF(OR(H145="",D145=""),"",IF(D145&lt;=0,"",IFERROR(H145/D145-1,"")))</f>
        <v/>
      </c>
      <c r="I146" s="15">
        <f>IF(OR(I145="",E145=""),"",IF(E145&lt;=0,"",IFERROR(I145/E145-1,"")))</f>
        <v/>
      </c>
      <c r="J146" s="15">
        <f>IF(OR(J145="",F145=""),"",IF(F145&lt;=0,"",IFERROR(J145/F145-1,"")))</f>
        <v/>
      </c>
      <c r="K146" s="15">
        <f>IF(OR(K145="",G145=""),"",IF(G145&lt;=0,"",IFERROR(K145/G145-1,"")))</f>
        <v/>
      </c>
      <c r="L146" s="15">
        <f>IF(OR(L145="",H145=""),"",IF(H145&lt;=0,"",IFERROR(L145/H145-1,"")))</f>
        <v/>
      </c>
      <c r="M146" s="15">
        <f>IF(OR(M145="",I145=""),"",IF(I145&lt;=0,"",IFERROR(M145/I145-1,"")))</f>
        <v/>
      </c>
      <c r="N146" s="15">
        <f>IF(OR(N145="",J145=""),"",IF(J145&lt;=0,"",IFERROR(N145/J145-1,"")))</f>
        <v/>
      </c>
      <c r="V146" s="15">
        <f>IF(OR(V145="",U145=""),"",IF(U145&lt;=0,"",IFERROR(V145/U145-1,"")))</f>
        <v/>
      </c>
      <c r="W146" s="15">
        <f>IF(OR(W145="",V145=""),"",IF(V145&lt;=0,"",IFERROR(W145/V145-1,"")))</f>
        <v/>
      </c>
      <c r="X146" s="15">
        <f>IF(OR(X145="",W145=""),"",IF(W145&lt;=0,"",IFERROR(X145/W145-1,"")))</f>
        <v/>
      </c>
    </row>
    <row r="147">
      <c r="A147" s="18" t="inlineStr">
        <is>
          <t>보고부문 합계 · 외부 고객 매출</t>
        </is>
      </c>
      <c r="C147" s="20" t="n">
        <v>1398.684</v>
      </c>
      <c r="D147" s="20" t="n">
        <v>1379.493</v>
      </c>
      <c r="E147" s="20" t="n">
        <v>1450.126</v>
      </c>
      <c r="F147" s="20" t="n">
        <v>2360.409</v>
      </c>
      <c r="G147" s="20" t="n">
        <v>2373.871</v>
      </c>
      <c r="H147" s="20" t="n">
        <v>2341.533</v>
      </c>
      <c r="I147" s="20" t="n">
        <v>2345.673</v>
      </c>
      <c r="J147" s="20" t="n">
        <v>2349.706</v>
      </c>
      <c r="K147" s="20" t="n">
        <v>2467.555</v>
      </c>
      <c r="L147" s="20" t="n">
        <v>2523.618</v>
      </c>
      <c r="M147" s="20" t="n">
        <v>2651.742</v>
      </c>
      <c r="N147" s="20" t="n">
        <v>2673.699</v>
      </c>
      <c r="V147" s="20" t="n">
        <v>2360.409</v>
      </c>
      <c r="W147" s="20" t="n">
        <v>2349.706</v>
      </c>
      <c r="X147" s="20" t="n">
        <v>2673.699</v>
      </c>
    </row>
    <row r="148">
      <c r="A148" s="43" t="inlineStr">
        <is>
          <t>YoY</t>
        </is>
      </c>
      <c r="B148" s="3" t="inlineStr">
        <is>
          <t>전년 같은 분기·전년 대비</t>
        </is>
      </c>
      <c r="G148" s="15">
        <f>IF(OR(G147="",C147=""),"",IF(C147&lt;=0,"",IFERROR(G147/C147-1,"")))</f>
        <v/>
      </c>
      <c r="H148" s="15">
        <f>IF(OR(H147="",D147=""),"",IF(D147&lt;=0,"",IFERROR(H147/D147-1,"")))</f>
        <v/>
      </c>
      <c r="I148" s="15">
        <f>IF(OR(I147="",E147=""),"",IF(E147&lt;=0,"",IFERROR(I147/E147-1,"")))</f>
        <v/>
      </c>
      <c r="J148" s="15">
        <f>IF(OR(J147="",F147=""),"",IF(F147&lt;=0,"",IFERROR(J147/F147-1,"")))</f>
        <v/>
      </c>
      <c r="K148" s="15">
        <f>IF(OR(K147="",G147=""),"",IF(G147&lt;=0,"",IFERROR(K147/G147-1,"")))</f>
        <v/>
      </c>
      <c r="L148" s="15">
        <f>IF(OR(L147="",H147=""),"",IF(H147&lt;=0,"",IFERROR(L147/H147-1,"")))</f>
        <v/>
      </c>
      <c r="M148" s="15">
        <f>IF(OR(M147="",I147=""),"",IF(I147&lt;=0,"",IFERROR(M147/I147-1,"")))</f>
        <v/>
      </c>
      <c r="N148" s="15">
        <f>IF(OR(N147="",J147=""),"",IF(J147&lt;=0,"",IFERROR(N147/J147-1,"")))</f>
        <v/>
      </c>
      <c r="V148" s="15">
        <f>IF(OR(V147="",U147=""),"",IF(U147&lt;=0,"",IFERROR(V147/U147-1,"")))</f>
        <v/>
      </c>
      <c r="W148" s="15">
        <f>IF(OR(W147="",V147=""),"",IF(V147&lt;=0,"",IFERROR(W147/V147-1,"")))</f>
        <v/>
      </c>
      <c r="X148" s="15">
        <f>IF(OR(X147="",W147=""),"",IF(W147&lt;=0,"",IFERROR(X147/W147-1,"")))</f>
        <v/>
      </c>
    </row>
    <row r="149">
      <c r="A149" s="18" t="inlineStr">
        <is>
          <t>기타 · 외부 고객 매출</t>
        </is>
      </c>
      <c r="C149" s="20" t="n">
        <v>0</v>
      </c>
      <c r="D149" s="20" t="n">
        <v>0</v>
      </c>
      <c r="E149" s="20" t="n">
        <v>0</v>
      </c>
      <c r="F149" s="20" t="n">
        <v>0</v>
      </c>
      <c r="G149" s="20" t="n">
        <v>0</v>
      </c>
      <c r="H149" s="20" t="n">
        <v>0</v>
      </c>
      <c r="I149" s="20" t="n">
        <v>0</v>
      </c>
      <c r="J149" s="20" t="n">
        <v>0</v>
      </c>
      <c r="V149" s="20" t="n">
        <v>0</v>
      </c>
      <c r="W149" s="20" t="n">
        <v>0</v>
      </c>
    </row>
    <row r="150">
      <c r="A150" s="43" t="inlineStr">
        <is>
          <t>YoY</t>
        </is>
      </c>
      <c r="B150" s="3" t="inlineStr">
        <is>
          <t>전년 같은 분기·전년 대비</t>
        </is>
      </c>
      <c r="G150" s="15">
        <f>IF(OR(G149="",C149=""),"",IF(C149&lt;=0,"",IFERROR(G149/C149-1,"")))</f>
        <v/>
      </c>
      <c r="H150" s="15">
        <f>IF(OR(H149="",D149=""),"",IF(D149&lt;=0,"",IFERROR(H149/D149-1,"")))</f>
        <v/>
      </c>
      <c r="I150" s="15">
        <f>IF(OR(I149="",E149=""),"",IF(E149&lt;=0,"",IFERROR(I149/E149-1,"")))</f>
        <v/>
      </c>
      <c r="J150" s="15">
        <f>IF(OR(J149="",F149=""),"",IF(F149&lt;=0,"",IFERROR(J149/F149-1,"")))</f>
        <v/>
      </c>
      <c r="V150" s="15">
        <f>IF(OR(V149="",U149=""),"",IF(U149&lt;=0,"",IFERROR(V149/U149-1,"")))</f>
        <v/>
      </c>
      <c r="W150" s="15">
        <f>IF(OR(W149="",V149=""),"",IF(V149&lt;=0,"",IFERROR(W149/V149-1,"")))</f>
        <v/>
      </c>
    </row>
    <row r="151">
      <c r="A151" s="9" t="inlineStr">
        <is>
          <t>외부 고객 매출</t>
        </is>
      </c>
      <c r="C151" s="12" t="n">
        <v>1398.684</v>
      </c>
      <c r="D151" s="12" t="n">
        <v>1379.493</v>
      </c>
      <c r="E151" s="12" t="n">
        <v>1450.126</v>
      </c>
      <c r="F151" s="12" t="n">
        <v>2360.409</v>
      </c>
      <c r="G151" s="12" t="n">
        <v>2373.871</v>
      </c>
      <c r="H151" s="12" t="n">
        <v>2341.533</v>
      </c>
      <c r="I151" s="12" t="n">
        <v>2345.673</v>
      </c>
      <c r="J151" s="12" t="n">
        <v>2349.706</v>
      </c>
      <c r="K151" s="12" t="n">
        <v>2467.555</v>
      </c>
      <c r="L151" s="12" t="n">
        <v>2523.618</v>
      </c>
      <c r="M151" s="12" t="n">
        <v>2651.742</v>
      </c>
      <c r="N151" s="12" t="n">
        <v>2673.699</v>
      </c>
      <c r="V151" s="12" t="n">
        <v>2360.409</v>
      </c>
      <c r="W151" s="12" t="n">
        <v>2349.706</v>
      </c>
      <c r="X151" s="12" t="n">
        <v>2673.699</v>
      </c>
    </row>
    <row r="152">
      <c r="A152" s="43" t="inlineStr">
        <is>
          <t>YoY</t>
        </is>
      </c>
      <c r="B152" s="3" t="inlineStr">
        <is>
          <t>전년 같은 분기·전년 대비</t>
        </is>
      </c>
      <c r="G152" s="15">
        <f>IF(OR(G151="",C151=""),"",IF(C151&lt;=0,"",IFERROR(G151/C151-1,"")))</f>
        <v/>
      </c>
      <c r="H152" s="15">
        <f>IF(OR(H151="",D151=""),"",IF(D151&lt;=0,"",IFERROR(H151/D151-1,"")))</f>
        <v/>
      </c>
      <c r="I152" s="15">
        <f>IF(OR(I151="",E151=""),"",IF(E151&lt;=0,"",IFERROR(I151/E151-1,"")))</f>
        <v/>
      </c>
      <c r="J152" s="15">
        <f>IF(OR(J151="",F151=""),"",IF(F151&lt;=0,"",IFERROR(J151/F151-1,"")))</f>
        <v/>
      </c>
      <c r="K152" s="15">
        <f>IF(OR(K151="",G151=""),"",IF(G151&lt;=0,"",IFERROR(K151/G151-1,"")))</f>
        <v/>
      </c>
      <c r="L152" s="15">
        <f>IF(OR(L151="",H151=""),"",IF(H151&lt;=0,"",IFERROR(L151/H151-1,"")))</f>
        <v/>
      </c>
      <c r="M152" s="15">
        <f>IF(OR(M151="",I151=""),"",IF(I151&lt;=0,"",IFERROR(M151/I151-1,"")))</f>
        <v/>
      </c>
      <c r="N152" s="15">
        <f>IF(OR(N151="",J151=""),"",IF(J151&lt;=0,"",IFERROR(N151/J151-1,"")))</f>
        <v/>
      </c>
      <c r="V152" s="15">
        <f>IF(OR(V151="",U151=""),"",IF(U151&lt;=0,"",IFERROR(V151/U151-1,"")))</f>
        <v/>
      </c>
      <c r="W152" s="15">
        <f>IF(OR(W151="",V151=""),"",IF(V151&lt;=0,"",IFERROR(W151/V151-1,"")))</f>
        <v/>
      </c>
      <c r="X152" s="15">
        <f>IF(OR(X151="",W151=""),"",IF(W151&lt;=0,"",IFERROR(X151/W151-1,"")))</f>
        <v/>
      </c>
    </row>
    <row r="153">
      <c r="A153" s="18" t="inlineStr">
        <is>
          <t>마켓플레이스 · 부문 간 내부매출·대체</t>
        </is>
      </c>
      <c r="C153" s="20" t="n">
        <v>0</v>
      </c>
      <c r="D153" s="20" t="n">
        <v>0</v>
      </c>
      <c r="E153" s="20" t="n">
        <v>0</v>
      </c>
      <c r="F153" s="20" t="n">
        <v>0</v>
      </c>
      <c r="G153" s="20" t="n">
        <v>0</v>
      </c>
      <c r="H153" s="20" t="n">
        <v>0</v>
      </c>
      <c r="I153" s="20" t="n">
        <v>0</v>
      </c>
      <c r="J153" s="20" t="n">
        <v>0</v>
      </c>
      <c r="K153" s="20" t="n">
        <v>0</v>
      </c>
      <c r="L153" s="20" t="n">
        <v>0</v>
      </c>
      <c r="M153" s="20" t="n">
        <v>0</v>
      </c>
      <c r="N153" s="20" t="n">
        <v>0</v>
      </c>
      <c r="V153" s="20" t="n">
        <v>0</v>
      </c>
      <c r="W153" s="20" t="n">
        <v>0</v>
      </c>
      <c r="X153" s="20" t="n">
        <v>0</v>
      </c>
    </row>
    <row r="154">
      <c r="A154" s="18" t="inlineStr">
        <is>
          <t>에이전트 · 부문 간 내부매출·대체</t>
        </is>
      </c>
      <c r="C154" s="20" t="n">
        <v>0</v>
      </c>
      <c r="D154" s="20" t="n">
        <v>0</v>
      </c>
      <c r="E154" s="20" t="n">
        <v>0</v>
      </c>
      <c r="F154" s="20" t="n">
        <v>0</v>
      </c>
      <c r="G154" s="20" t="n">
        <v>0</v>
      </c>
      <c r="H154" s="20" t="n">
        <v>0</v>
      </c>
      <c r="I154" s="20" t="n">
        <v>0</v>
      </c>
      <c r="J154" s="20" t="n">
        <v>0</v>
      </c>
      <c r="K154" s="20" t="n">
        <v>0</v>
      </c>
      <c r="L154" s="20" t="n">
        <v>0</v>
      </c>
      <c r="M154" s="20" t="n">
        <v>0</v>
      </c>
      <c r="N154" s="20" t="n">
        <v>0</v>
      </c>
      <c r="V154" s="20" t="n">
        <v>0</v>
      </c>
      <c r="W154" s="20" t="n">
        <v>0</v>
      </c>
      <c r="X154" s="20" t="n">
        <v>0</v>
      </c>
    </row>
    <row r="155">
      <c r="A155" s="18" t="inlineStr">
        <is>
          <t>보고부문 합계 · 부문 간 내부매출·대체</t>
        </is>
      </c>
      <c r="C155" s="20" t="n">
        <v>0</v>
      </c>
      <c r="D155" s="20" t="n">
        <v>0</v>
      </c>
      <c r="E155" s="20" t="n">
        <v>0</v>
      </c>
      <c r="F155" s="20" t="n">
        <v>0</v>
      </c>
      <c r="G155" s="20" t="n">
        <v>0</v>
      </c>
      <c r="H155" s="20" t="n">
        <v>0</v>
      </c>
      <c r="I155" s="20" t="n">
        <v>0</v>
      </c>
      <c r="J155" s="20" t="n">
        <v>0</v>
      </c>
      <c r="K155" s="20" t="n">
        <v>0</v>
      </c>
      <c r="L155" s="20" t="n">
        <v>0</v>
      </c>
      <c r="M155" s="20" t="n">
        <v>0</v>
      </c>
      <c r="N155" s="20" t="n">
        <v>0</v>
      </c>
      <c r="V155" s="20" t="n">
        <v>0</v>
      </c>
      <c r="W155" s="20" t="n">
        <v>0</v>
      </c>
      <c r="X155" s="20" t="n">
        <v>0</v>
      </c>
    </row>
    <row r="156">
      <c r="A156" s="18" t="inlineStr">
        <is>
          <t>기타 · 부문 간 내부매출·대체</t>
        </is>
      </c>
      <c r="C156" s="20" t="n">
        <v>0</v>
      </c>
      <c r="D156" s="20" t="n">
        <v>0</v>
      </c>
      <c r="E156" s="20" t="n">
        <v>0</v>
      </c>
      <c r="F156" s="20" t="n">
        <v>0</v>
      </c>
      <c r="G156" s="20" t="n">
        <v>0</v>
      </c>
      <c r="H156" s="20" t="n">
        <v>0</v>
      </c>
      <c r="I156" s="20" t="n">
        <v>0</v>
      </c>
      <c r="J156" s="20" t="n">
        <v>0</v>
      </c>
      <c r="V156" s="20" t="n">
        <v>0</v>
      </c>
      <c r="W156" s="20" t="n">
        <v>0</v>
      </c>
    </row>
    <row r="157">
      <c r="A157" s="18" t="inlineStr">
        <is>
          <t>부문 간 내부매출·대체</t>
        </is>
      </c>
      <c r="C157" s="20" t="n">
        <v>0</v>
      </c>
      <c r="D157" s="20" t="n">
        <v>0</v>
      </c>
      <c r="E157" s="20" t="n">
        <v>0</v>
      </c>
      <c r="F157" s="20" t="n">
        <v>0</v>
      </c>
      <c r="G157" s="20" t="n">
        <v>0</v>
      </c>
      <c r="H157" s="20" t="n">
        <v>0</v>
      </c>
      <c r="I157" s="20" t="n">
        <v>0</v>
      </c>
      <c r="J157" s="20" t="n">
        <v>0</v>
      </c>
      <c r="K157" s="20" t="n">
        <v>0</v>
      </c>
      <c r="L157" s="20" t="n">
        <v>0</v>
      </c>
      <c r="M157" s="20" t="n">
        <v>0</v>
      </c>
      <c r="N157" s="20" t="n">
        <v>0</v>
      </c>
      <c r="V157" s="20" t="n">
        <v>0</v>
      </c>
      <c r="W157" s="20" t="n">
        <v>0</v>
      </c>
      <c r="X157" s="20" t="n">
        <v>0</v>
      </c>
    </row>
    <row r="158">
      <c r="A158" s="18" t="inlineStr">
        <is>
          <t>마켓플레이스 · 계</t>
        </is>
      </c>
      <c r="C158" s="20" t="n">
        <v>1205.367</v>
      </c>
      <c r="D158" s="20" t="n">
        <v>1211.083</v>
      </c>
      <c r="G158" s="20" t="n">
        <v>1373.001</v>
      </c>
      <c r="H158" s="20" t="n">
        <v>1354.996</v>
      </c>
      <c r="K158" s="20" t="n">
        <v>1492.706</v>
      </c>
      <c r="L158" s="20" t="n">
        <v>1477.808</v>
      </c>
    </row>
    <row r="159">
      <c r="A159" s="43" t="inlineStr">
        <is>
          <t>YoY</t>
        </is>
      </c>
      <c r="B159" s="3" t="inlineStr">
        <is>
          <t>전년 같은 분기·전년 대비</t>
        </is>
      </c>
      <c r="G159" s="15">
        <f>IF(OR(G158="",C158=""),"",IF(C158&lt;=0,"",IFERROR(G158/C158-1,"")))</f>
        <v/>
      </c>
      <c r="H159" s="15">
        <f>IF(OR(H158="",D158=""),"",IF(D158&lt;=0,"",IFERROR(H158/D158-1,"")))</f>
        <v/>
      </c>
      <c r="K159" s="15">
        <f>IF(OR(K158="",G158=""),"",IF(G158&lt;=0,"",IFERROR(K158/G158-1,"")))</f>
        <v/>
      </c>
      <c r="L159" s="15">
        <f>IF(OR(L158="",H158=""),"",IF(H158&lt;=0,"",IFERROR(L158/H158-1,"")))</f>
        <v/>
      </c>
    </row>
    <row r="160">
      <c r="A160" s="18" t="inlineStr">
        <is>
          <t>에이전트 · 계</t>
        </is>
      </c>
      <c r="C160" s="20" t="n">
        <v>193.317</v>
      </c>
      <c r="D160" s="20" t="n">
        <v>168.409</v>
      </c>
      <c r="G160" s="20" t="n">
        <v>1000.869</v>
      </c>
      <c r="H160" s="20" t="n">
        <v>986.537</v>
      </c>
      <c r="K160" s="20" t="n">
        <v>974.848</v>
      </c>
      <c r="L160" s="20" t="n">
        <v>1045.81</v>
      </c>
    </row>
    <row r="161">
      <c r="A161" s="43" t="inlineStr">
        <is>
          <t>YoY</t>
        </is>
      </c>
      <c r="B161" s="3" t="inlineStr">
        <is>
          <t>전년 같은 분기·전년 대비</t>
        </is>
      </c>
      <c r="G161" s="15">
        <f>IF(OR(G160="",C160=""),"",IF(C160&lt;=0,"",IFERROR(G160/C160-1,"")))</f>
        <v/>
      </c>
      <c r="H161" s="15">
        <f>IF(OR(H160="",D160=""),"",IF(D160&lt;=0,"",IFERROR(H160/D160-1,"")))</f>
        <v/>
      </c>
      <c r="K161" s="15">
        <f>IF(OR(K160="",G160=""),"",IF(G160&lt;=0,"",IFERROR(K160/G160-1,"")))</f>
        <v/>
      </c>
      <c r="L161" s="15">
        <f>IF(OR(L160="",H160=""),"",IF(H160&lt;=0,"",IFERROR(L160/H160-1,"")))</f>
        <v/>
      </c>
    </row>
    <row r="162">
      <c r="A162" s="18" t="inlineStr">
        <is>
          <t>보고부문 합계 · 계</t>
        </is>
      </c>
      <c r="C162" s="20" t="n">
        <v>1398.684</v>
      </c>
      <c r="D162" s="20" t="n">
        <v>1379.493</v>
      </c>
      <c r="G162" s="20" t="n">
        <v>2373.871</v>
      </c>
      <c r="H162" s="20" t="n">
        <v>2341.533</v>
      </c>
      <c r="K162" s="20" t="n">
        <v>2467.555</v>
      </c>
      <c r="L162" s="20" t="n">
        <v>2523.618</v>
      </c>
    </row>
    <row r="163">
      <c r="A163" s="43" t="inlineStr">
        <is>
          <t>YoY</t>
        </is>
      </c>
      <c r="B163" s="3" t="inlineStr">
        <is>
          <t>전년 같은 분기·전년 대비</t>
        </is>
      </c>
      <c r="G163" s="15">
        <f>IF(OR(G162="",C162=""),"",IF(C162&lt;=0,"",IFERROR(G162/C162-1,"")))</f>
        <v/>
      </c>
      <c r="H163" s="15">
        <f>IF(OR(H162="",D162=""),"",IF(D162&lt;=0,"",IFERROR(H162/D162-1,"")))</f>
        <v/>
      </c>
      <c r="K163" s="15">
        <f>IF(OR(K162="",G162=""),"",IF(G162&lt;=0,"",IFERROR(K162/G162-1,"")))</f>
        <v/>
      </c>
      <c r="L163" s="15">
        <f>IF(OR(L162="",H162=""),"",IF(H162&lt;=0,"",IFERROR(L162/H162-1,"")))</f>
        <v/>
      </c>
    </row>
    <row r="164">
      <c r="A164" s="18" t="inlineStr">
        <is>
          <t>기타 · 계</t>
        </is>
      </c>
      <c r="C164" s="20" t="n">
        <v>0</v>
      </c>
      <c r="D164" s="20" t="n">
        <v>0</v>
      </c>
      <c r="G164" s="20" t="n">
        <v>0</v>
      </c>
      <c r="H164" s="20" t="n">
        <v>0</v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IF(OR(G164="",C164=""),"",IF(C164&lt;=0,"",IFERROR(G164/C164-1,"")))</f>
        <v/>
      </c>
      <c r="H165" s="15">
        <f>IF(OR(H164="",D164=""),"",IF(D164&lt;=0,"",IFERROR(H164/D164-1,"")))</f>
        <v/>
      </c>
    </row>
    <row r="166">
      <c r="A166" s="18" t="inlineStr">
        <is>
          <t>계</t>
        </is>
      </c>
      <c r="C166" s="20" t="n">
        <v>1398.684</v>
      </c>
      <c r="D166" s="20" t="n">
        <v>1379.493</v>
      </c>
      <c r="G166" s="20" t="n">
        <v>2373.871</v>
      </c>
      <c r="H166" s="20" t="n">
        <v>2341.533</v>
      </c>
      <c r="K166" s="20" t="n">
        <v>2467.555</v>
      </c>
      <c r="L166" s="20" t="n">
        <v>2523.618</v>
      </c>
    </row>
    <row r="167">
      <c r="A167" s="43" t="inlineStr">
        <is>
          <t>YoY</t>
        </is>
      </c>
      <c r="B167" s="3" t="inlineStr">
        <is>
          <t>전년 같은 분기·전년 대비</t>
        </is>
      </c>
      <c r="G167" s="15">
        <f>IF(OR(G166="",C166=""),"",IF(C166&lt;=0,"",IFERROR(G166/C166-1,"")))</f>
        <v/>
      </c>
      <c r="H167" s="15">
        <f>IF(OR(H166="",D166=""),"",IF(D166&lt;=0,"",IFERROR(H166/D166-1,"")))</f>
        <v/>
      </c>
      <c r="K167" s="15">
        <f>IF(OR(K166="",G166=""),"",IF(G166&lt;=0,"",IFERROR(K166/G166-1,"")))</f>
        <v/>
      </c>
      <c r="L167" s="15">
        <f>IF(OR(L166="",H166=""),"",IF(H166&lt;=0,"",IFERROR(L166/H166-1,"")))</f>
        <v/>
      </c>
    </row>
    <row r="168">
      <c r="A168" s="18" t="inlineStr">
        <is>
          <t>마켓플레이스 · 부문 이익</t>
        </is>
      </c>
      <c r="C168" s="20" t="n">
        <v>159.01</v>
      </c>
      <c r="D168" s="20" t="n">
        <v>136.891</v>
      </c>
      <c r="E168" s="20" t="n">
        <v>161.399</v>
      </c>
      <c r="F168" s="20" t="n">
        <v>134.169</v>
      </c>
      <c r="G168" s="20" t="n">
        <v>162.155</v>
      </c>
      <c r="H168" s="20" t="n">
        <v>161.047</v>
      </c>
      <c r="I168" s="20" t="n">
        <v>173.857</v>
      </c>
      <c r="J168" s="20" t="n">
        <v>58.352</v>
      </c>
      <c r="K168" s="20" t="n">
        <v>150.532</v>
      </c>
      <c r="L168" s="20" t="n">
        <v>216.104</v>
      </c>
      <c r="M168" s="20" t="n">
        <v>230.449</v>
      </c>
      <c r="N168" s="20" t="n">
        <v>-204.818</v>
      </c>
      <c r="V168" s="20" t="n">
        <v>134.169</v>
      </c>
      <c r="W168" s="20" t="n">
        <v>58.352</v>
      </c>
      <c r="X168" s="20" t="n">
        <v>-204.818</v>
      </c>
    </row>
    <row r="169">
      <c r="A169" s="43" t="inlineStr">
        <is>
          <t>OPM</t>
        </is>
      </c>
      <c r="B169" s="3" t="inlineStr">
        <is>
          <t>영업이익 ÷ 매출</t>
        </is>
      </c>
      <c r="C169" s="15">
        <f>IF(OR(C168="",C158=""),"",IF(C158&lt;=0,"",IFERROR(C168/C158,"")))</f>
        <v/>
      </c>
      <c r="D169" s="15">
        <f>IF(OR(D168="",D158=""),"",IF(D158&lt;=0,"",IFERROR(D168/D158,"")))</f>
        <v/>
      </c>
      <c r="E169" s="15">
        <f>IF(OR(E168="",E158=""),"",IF(E158&lt;=0,"",IFERROR(E168/E158,"")))</f>
        <v/>
      </c>
      <c r="F169" s="15">
        <f>IF(OR(F168="",F158=""),"",IF(F158&lt;=0,"",IFERROR(F168/F158,"")))</f>
        <v/>
      </c>
      <c r="G169" s="15">
        <f>IF(OR(G168="",G158=""),"",IF(G158&lt;=0,"",IFERROR(G168/G158,"")))</f>
        <v/>
      </c>
      <c r="H169" s="15">
        <f>IF(OR(H168="",H158=""),"",IF(H158&lt;=0,"",IFERROR(H168/H158,"")))</f>
        <v/>
      </c>
      <c r="I169" s="15">
        <f>IF(OR(I168="",I158=""),"",IF(I158&lt;=0,"",IFERROR(I168/I158,"")))</f>
        <v/>
      </c>
      <c r="J169" s="15">
        <f>IF(OR(J168="",J158=""),"",IF(J158&lt;=0,"",IFERROR(J168/J158,"")))</f>
        <v/>
      </c>
      <c r="K169" s="15">
        <f>IF(OR(K168="",K158=""),"",IF(K158&lt;=0,"",IFERROR(K168/K158,"")))</f>
        <v/>
      </c>
      <c r="L169" s="15">
        <f>IF(OR(L168="",L158=""),"",IF(L158&lt;=0,"",IFERROR(L168/L158,"")))</f>
        <v/>
      </c>
      <c r="M169" s="15">
        <f>IF(OR(M168="",M158=""),"",IF(M158&lt;=0,"",IFERROR(M168/M158,"")))</f>
        <v/>
      </c>
      <c r="N169" s="15">
        <f>IF(OR(N168="",N158=""),"",IF(N158&lt;=0,"",IFERROR(N168/N158,"")))</f>
        <v/>
      </c>
      <c r="V169" s="15">
        <f>IF(OR(V168="",V158=""),"",IF(V158&lt;=0,"",IFERROR(V168/V158,"")))</f>
        <v/>
      </c>
      <c r="W169" s="15">
        <f>IF(OR(W168="",W158=""),"",IF(W158&lt;=0,"",IFERROR(W168/W158,"")))</f>
        <v/>
      </c>
      <c r="X169" s="15">
        <f>IF(OR(X168="",X158=""),"",IF(X158&lt;=0,"",IFERROR(X168/X158,"")))</f>
        <v/>
      </c>
    </row>
    <row r="170">
      <c r="A170" s="43" t="inlineStr">
        <is>
          <t>YoY</t>
        </is>
      </c>
      <c r="B170" s="3" t="inlineStr">
        <is>
          <t>전년 같은 분기·전년 대비</t>
        </is>
      </c>
      <c r="G170" s="15">
        <f>IF(OR(G168="",C168=""),"",IF(C168&lt;=0,"",IFERROR(G168/C168-1,"")))</f>
        <v/>
      </c>
      <c r="H170" s="15">
        <f>IF(OR(H168="",D168=""),"",IF(D168&lt;=0,"",IFERROR(H168/D168-1,"")))</f>
        <v/>
      </c>
      <c r="I170" s="15">
        <f>IF(OR(I168="",E168=""),"",IF(E168&lt;=0,"",IFERROR(I168/E168-1,"")))</f>
        <v/>
      </c>
      <c r="J170" s="15">
        <f>IF(OR(J168="",F168=""),"",IF(F168&lt;=0,"",IFERROR(J168/F168-1,"")))</f>
        <v/>
      </c>
      <c r="K170" s="15">
        <f>IF(OR(K168="",G168=""),"",IF(G168&lt;=0,"",IFERROR(K168/G168-1,"")))</f>
        <v/>
      </c>
      <c r="L170" s="15">
        <f>IF(OR(L168="",H168=""),"",IF(H168&lt;=0,"",IFERROR(L168/H168-1,"")))</f>
        <v/>
      </c>
      <c r="M170" s="15">
        <f>IF(OR(M168="",I168=""),"",IF(I168&lt;=0,"",IFERROR(M168/I168-1,"")))</f>
        <v/>
      </c>
      <c r="N170" s="15">
        <f>IF(OR(N168="",J168=""),"",IF(J168&lt;=0,"",IFERROR(N168/J168-1,"")))</f>
        <v/>
      </c>
      <c r="V170" s="15">
        <f>IF(OR(V168="",U168=""),"",IF(U168&lt;=0,"",IFERROR(V168/U168-1,"")))</f>
        <v/>
      </c>
      <c r="W170" s="15">
        <f>IF(OR(W168="",V168=""),"",IF(V168&lt;=0,"",IFERROR(W168/V168-1,"")))</f>
        <v/>
      </c>
      <c r="X170" s="15">
        <f>IF(OR(X168="",W168=""),"",IF(W168&lt;=0,"",IFERROR(X168/W168-1,"")))</f>
        <v/>
      </c>
    </row>
    <row r="171">
      <c r="A171" s="18" t="inlineStr">
        <is>
          <t>에이전트 · 부문 이익</t>
        </is>
      </c>
      <c r="C171" s="20" t="n">
        <v>-50.357</v>
      </c>
      <c r="D171" s="20" t="n">
        <v>-39.681</v>
      </c>
      <c r="E171" s="20" t="n">
        <v>-38.248</v>
      </c>
      <c r="F171" s="20" t="n">
        <v>-113.196</v>
      </c>
      <c r="G171" s="20" t="n">
        <v>-43.439</v>
      </c>
      <c r="H171" s="20" t="n">
        <v>-64.331</v>
      </c>
      <c r="I171" s="20" t="n">
        <v>-80.26600000000001</v>
      </c>
      <c r="J171" s="20" t="n">
        <v>-90.887</v>
      </c>
      <c r="K171" s="20" t="n">
        <v>-71.03700000000001</v>
      </c>
      <c r="L171" s="20" t="n">
        <v>-63.785</v>
      </c>
      <c r="M171" s="20" t="n">
        <v>-51.909</v>
      </c>
      <c r="N171" s="20" t="n">
        <v>287.167</v>
      </c>
      <c r="V171" s="20" t="n">
        <v>-113.196</v>
      </c>
      <c r="W171" s="20" t="n">
        <v>-90.887</v>
      </c>
      <c r="X171" s="20" t="n">
        <v>287.167</v>
      </c>
    </row>
    <row r="172">
      <c r="A172" s="43" t="inlineStr">
        <is>
          <t>OPM</t>
        </is>
      </c>
      <c r="B172" s="3" t="inlineStr">
        <is>
          <t>영업이익 ÷ 매출</t>
        </is>
      </c>
      <c r="C172" s="15">
        <f>IF(OR(C171="",C160=""),"",IF(C160&lt;=0,"",IFERROR(C171/C160,"")))</f>
        <v/>
      </c>
      <c r="D172" s="15">
        <f>IF(OR(D171="",D160=""),"",IF(D160&lt;=0,"",IFERROR(D171/D160,"")))</f>
        <v/>
      </c>
      <c r="E172" s="15">
        <f>IF(OR(E171="",E160=""),"",IF(E160&lt;=0,"",IFERROR(E171/E160,"")))</f>
        <v/>
      </c>
      <c r="F172" s="15">
        <f>IF(OR(F171="",F160=""),"",IF(F160&lt;=0,"",IFERROR(F171/F160,"")))</f>
        <v/>
      </c>
      <c r="G172" s="15">
        <f>IF(OR(G171="",G160=""),"",IF(G160&lt;=0,"",IFERROR(G171/G160,"")))</f>
        <v/>
      </c>
      <c r="H172" s="15">
        <f>IF(OR(H171="",H160=""),"",IF(H160&lt;=0,"",IFERROR(H171/H160,"")))</f>
        <v/>
      </c>
      <c r="I172" s="15">
        <f>IF(OR(I171="",I160=""),"",IF(I160&lt;=0,"",IFERROR(I171/I160,"")))</f>
        <v/>
      </c>
      <c r="J172" s="15">
        <f>IF(OR(J171="",J160=""),"",IF(J160&lt;=0,"",IFERROR(J171/J160,"")))</f>
        <v/>
      </c>
      <c r="K172" s="15">
        <f>IF(OR(K171="",K160=""),"",IF(K160&lt;=0,"",IFERROR(K171/K160,"")))</f>
        <v/>
      </c>
      <c r="L172" s="15">
        <f>IF(OR(L171="",L160=""),"",IF(L160&lt;=0,"",IFERROR(L171/L160,"")))</f>
        <v/>
      </c>
      <c r="M172" s="15">
        <f>IF(OR(M171="",M160=""),"",IF(M160&lt;=0,"",IFERROR(M171/M160,"")))</f>
        <v/>
      </c>
      <c r="N172" s="15">
        <f>IF(OR(N171="",N160=""),"",IF(N160&lt;=0,"",IFERROR(N171/N160,"")))</f>
        <v/>
      </c>
      <c r="V172" s="15">
        <f>IF(OR(V171="",V160=""),"",IF(V160&lt;=0,"",IFERROR(V171/V160,"")))</f>
        <v/>
      </c>
      <c r="W172" s="15">
        <f>IF(OR(W171="",W160=""),"",IF(W160&lt;=0,"",IFERROR(W171/W160,"")))</f>
        <v/>
      </c>
      <c r="X172" s="15">
        <f>IF(OR(X171="",X160=""),"",IF(X160&lt;=0,"",IFERROR(X171/X160,"")))</f>
        <v/>
      </c>
    </row>
    <row r="173">
      <c r="A173" s="43" t="inlineStr">
        <is>
          <t>YoY</t>
        </is>
      </c>
      <c r="B173" s="3" t="inlineStr">
        <is>
          <t>전년 같은 분기·전년 대비</t>
        </is>
      </c>
      <c r="G173" s="15">
        <f>IF(OR(G171="",C171=""),"",IF(C171&lt;=0,"",IFERROR(G171/C171-1,"")))</f>
        <v/>
      </c>
      <c r="H173" s="15">
        <f>IF(OR(H171="",D171=""),"",IF(D171&lt;=0,"",IFERROR(H171/D171-1,"")))</f>
        <v/>
      </c>
      <c r="I173" s="15">
        <f>IF(OR(I171="",E171=""),"",IF(E171&lt;=0,"",IFERROR(I171/E171-1,"")))</f>
        <v/>
      </c>
      <c r="J173" s="15">
        <f>IF(OR(J171="",F171=""),"",IF(F171&lt;=0,"",IFERROR(J171/F171-1,"")))</f>
        <v/>
      </c>
      <c r="K173" s="15">
        <f>IF(OR(K171="",G171=""),"",IF(G171&lt;=0,"",IFERROR(K171/G171-1,"")))</f>
        <v/>
      </c>
      <c r="L173" s="15">
        <f>IF(OR(L171="",H171=""),"",IF(H171&lt;=0,"",IFERROR(L171/H171-1,"")))</f>
        <v/>
      </c>
      <c r="M173" s="15">
        <f>IF(OR(M171="",I171=""),"",IF(I171&lt;=0,"",IFERROR(M171/I171-1,"")))</f>
        <v/>
      </c>
      <c r="N173" s="15">
        <f>IF(OR(N171="",J171=""),"",IF(J171&lt;=0,"",IFERROR(N171/J171-1,"")))</f>
        <v/>
      </c>
      <c r="V173" s="15">
        <f>IF(OR(V171="",U171=""),"",IF(U171&lt;=0,"",IFERROR(V171/U171-1,"")))</f>
        <v/>
      </c>
      <c r="W173" s="15">
        <f>IF(OR(W171="",V171=""),"",IF(V171&lt;=0,"",IFERROR(W171/V171-1,"")))</f>
        <v/>
      </c>
      <c r="X173" s="15">
        <f>IF(OR(X171="",W171=""),"",IF(W171&lt;=0,"",IFERROR(X171/W171-1,"")))</f>
        <v/>
      </c>
    </row>
    <row r="174">
      <c r="A174" s="18" t="inlineStr">
        <is>
          <t>보고부문 합계 · 부문 이익</t>
        </is>
      </c>
      <c r="C174" s="20" t="n">
        <v>108.652</v>
      </c>
      <c r="D174" s="20" t="n">
        <v>97.211</v>
      </c>
      <c r="E174" s="20" t="n">
        <v>123.152</v>
      </c>
      <c r="F174" s="20" t="n">
        <v>20.972</v>
      </c>
      <c r="G174" s="20" t="n">
        <v>118.715</v>
      </c>
      <c r="H174" s="20" t="n">
        <v>96.717</v>
      </c>
      <c r="I174" s="20" t="n">
        <v>93.59099999999999</v>
      </c>
      <c r="J174" s="20" t="n">
        <v>-32.535</v>
      </c>
      <c r="K174" s="20" t="n">
        <v>79.495</v>
      </c>
      <c r="L174" s="20" t="n">
        <v>152.318</v>
      </c>
      <c r="M174" s="20" t="n">
        <v>178.541</v>
      </c>
      <c r="N174" s="20" t="n">
        <v>82.34999999999999</v>
      </c>
      <c r="V174" s="20" t="n">
        <v>20.972</v>
      </c>
      <c r="W174" s="20" t="n">
        <v>-32.535</v>
      </c>
      <c r="X174" s="20" t="n">
        <v>82.34999999999999</v>
      </c>
    </row>
    <row r="175">
      <c r="A175" s="43" t="inlineStr">
        <is>
          <t>OPM</t>
        </is>
      </c>
      <c r="B175" s="3" t="inlineStr">
        <is>
          <t>영업이익 ÷ 매출</t>
        </is>
      </c>
      <c r="C175" s="15">
        <f>IF(OR(C174="",C162=""),"",IF(C162&lt;=0,"",IFERROR(C174/C162,"")))</f>
        <v/>
      </c>
      <c r="D175" s="15">
        <f>IF(OR(D174="",D162=""),"",IF(D162&lt;=0,"",IFERROR(D174/D162,"")))</f>
        <v/>
      </c>
      <c r="E175" s="15">
        <f>IF(OR(E174="",E162=""),"",IF(E162&lt;=0,"",IFERROR(E174/E162,"")))</f>
        <v/>
      </c>
      <c r="F175" s="15">
        <f>IF(OR(F174="",F162=""),"",IF(F162&lt;=0,"",IFERROR(F174/F162,"")))</f>
        <v/>
      </c>
      <c r="G175" s="15">
        <f>IF(OR(G174="",G162=""),"",IF(G162&lt;=0,"",IFERROR(G174/G162,"")))</f>
        <v/>
      </c>
      <c r="H175" s="15">
        <f>IF(OR(H174="",H162=""),"",IF(H162&lt;=0,"",IFERROR(H174/H162,"")))</f>
        <v/>
      </c>
      <c r="I175" s="15">
        <f>IF(OR(I174="",I162=""),"",IF(I162&lt;=0,"",IFERROR(I174/I162,"")))</f>
        <v/>
      </c>
      <c r="J175" s="15">
        <f>IF(OR(J174="",J162=""),"",IF(J162&lt;=0,"",IFERROR(J174/J162,"")))</f>
        <v/>
      </c>
      <c r="K175" s="15">
        <f>IF(OR(K174="",K162=""),"",IF(K162&lt;=0,"",IFERROR(K174/K162,"")))</f>
        <v/>
      </c>
      <c r="L175" s="15">
        <f>IF(OR(L174="",L162=""),"",IF(L162&lt;=0,"",IFERROR(L174/L162,"")))</f>
        <v/>
      </c>
      <c r="M175" s="15">
        <f>IF(OR(M174="",M162=""),"",IF(M162&lt;=0,"",IFERROR(M174/M162,"")))</f>
        <v/>
      </c>
      <c r="N175" s="15">
        <f>IF(OR(N174="",N162=""),"",IF(N162&lt;=0,"",IFERROR(N174/N162,"")))</f>
        <v/>
      </c>
      <c r="V175" s="15">
        <f>IF(OR(V174="",V162=""),"",IF(V162&lt;=0,"",IFERROR(V174/V162,"")))</f>
        <v/>
      </c>
      <c r="W175" s="15">
        <f>IF(OR(W174="",W162=""),"",IF(W162&lt;=0,"",IFERROR(W174/W162,"")))</f>
        <v/>
      </c>
      <c r="X175" s="15">
        <f>IF(OR(X174="",X162=""),"",IF(X162&lt;=0,"",IFERROR(X174/X162,"")))</f>
        <v/>
      </c>
    </row>
    <row r="176">
      <c r="A176" s="43" t="inlineStr">
        <is>
          <t>YoY</t>
        </is>
      </c>
      <c r="B176" s="3" t="inlineStr">
        <is>
          <t>전년 같은 분기·전년 대비</t>
        </is>
      </c>
      <c r="G176" s="15">
        <f>IF(OR(G174="",C174=""),"",IF(C174&lt;=0,"",IFERROR(G174/C174-1,"")))</f>
        <v/>
      </c>
      <c r="H176" s="15">
        <f>IF(OR(H174="",D174=""),"",IF(D174&lt;=0,"",IFERROR(H174/D174-1,"")))</f>
        <v/>
      </c>
      <c r="I176" s="15">
        <f>IF(OR(I174="",E174=""),"",IF(E174&lt;=0,"",IFERROR(I174/E174-1,"")))</f>
        <v/>
      </c>
      <c r="J176" s="15">
        <f>IF(OR(J174="",F174=""),"",IF(F174&lt;=0,"",IFERROR(J174/F174-1,"")))</f>
        <v/>
      </c>
      <c r="K176" s="15">
        <f>IF(OR(K174="",G174=""),"",IF(G174&lt;=0,"",IFERROR(K174/G174-1,"")))</f>
        <v/>
      </c>
      <c r="L176" s="15">
        <f>IF(OR(L174="",H174=""),"",IF(H174&lt;=0,"",IFERROR(L174/H174-1,"")))</f>
        <v/>
      </c>
      <c r="M176" s="15">
        <f>IF(OR(M174="",I174=""),"",IF(I174&lt;=0,"",IFERROR(M174/I174-1,"")))</f>
        <v/>
      </c>
      <c r="N176" s="15">
        <f>IF(OR(N174="",J174=""),"",IF(J174&lt;=0,"",IFERROR(N174/J174-1,"")))</f>
        <v/>
      </c>
      <c r="V176" s="15">
        <f>IF(OR(V174="",U174=""),"",IF(U174&lt;=0,"",IFERROR(V174/U174-1,"")))</f>
        <v/>
      </c>
      <c r="W176" s="15">
        <f>IF(OR(W174="",V174=""),"",IF(V174&lt;=0,"",IFERROR(W174/V174-1,"")))</f>
        <v/>
      </c>
      <c r="X176" s="15">
        <f>IF(OR(X174="",W174=""),"",IF(W174&lt;=0,"",IFERROR(X174/W174-1,"")))</f>
        <v/>
      </c>
    </row>
    <row r="177">
      <c r="A177" s="18" t="inlineStr">
        <is>
          <t>기타 · 부문 이익</t>
        </is>
      </c>
      <c r="C177" s="20" t="n">
        <v>-11.549</v>
      </c>
      <c r="D177" s="20" t="n">
        <v>-8.532</v>
      </c>
      <c r="E177" s="20" t="n">
        <v>-9.143000000000001</v>
      </c>
      <c r="F177" s="20" t="n">
        <v>-15.987</v>
      </c>
      <c r="G177" s="20" t="n">
        <v>-10.518</v>
      </c>
      <c r="H177" s="20" t="n">
        <v>-6.721</v>
      </c>
      <c r="I177" s="20" t="n">
        <v>-3.22</v>
      </c>
      <c r="J177" s="20" t="n">
        <v>0.092</v>
      </c>
      <c r="V177" s="20" t="n">
        <v>-15.987</v>
      </c>
      <c r="W177" s="20" t="n">
        <v>0.092</v>
      </c>
    </row>
    <row r="178">
      <c r="A178" s="43" t="inlineStr">
        <is>
          <t>OPM</t>
        </is>
      </c>
      <c r="B178" s="3" t="inlineStr">
        <is>
          <t>영업이익 ÷ 매출</t>
        </is>
      </c>
      <c r="C178" s="15">
        <f>IF(OR(C177="",C164=""),"",IF(C164&lt;=0,"",IFERROR(C177/C164,"")))</f>
        <v/>
      </c>
      <c r="D178" s="15">
        <f>IF(OR(D177="",D164=""),"",IF(D164&lt;=0,"",IFERROR(D177/D164,"")))</f>
        <v/>
      </c>
      <c r="E178" s="15">
        <f>IF(OR(E177="",E164=""),"",IF(E164&lt;=0,"",IFERROR(E177/E164,"")))</f>
        <v/>
      </c>
      <c r="F178" s="15">
        <f>IF(OR(F177="",F164=""),"",IF(F164&lt;=0,"",IFERROR(F177/F164,"")))</f>
        <v/>
      </c>
      <c r="G178" s="15">
        <f>IF(OR(G177="",G164=""),"",IF(G164&lt;=0,"",IFERROR(G177/G164,"")))</f>
        <v/>
      </c>
      <c r="H178" s="15">
        <f>IF(OR(H177="",H164=""),"",IF(H164&lt;=0,"",IFERROR(H177/H164,"")))</f>
        <v/>
      </c>
      <c r="I178" s="15">
        <f>IF(OR(I177="",I164=""),"",IF(I164&lt;=0,"",IFERROR(I177/I164,"")))</f>
        <v/>
      </c>
      <c r="J178" s="15">
        <f>IF(OR(J177="",J164=""),"",IF(J164&lt;=0,"",IFERROR(J177/J164,"")))</f>
        <v/>
      </c>
      <c r="V178" s="15">
        <f>IF(OR(V177="",V164=""),"",IF(V164&lt;=0,"",IFERROR(V177/V164,"")))</f>
        <v/>
      </c>
      <c r="W178" s="15">
        <f>IF(OR(W177="",W164=""),"",IF(W164&lt;=0,"",IFERROR(W177/W164,"")))</f>
        <v/>
      </c>
    </row>
    <row r="179">
      <c r="A179" s="43" t="inlineStr">
        <is>
          <t>YoY</t>
        </is>
      </c>
      <c r="B179" s="3" t="inlineStr">
        <is>
          <t>전년 같은 분기·전년 대비</t>
        </is>
      </c>
      <c r="G179" s="15">
        <f>IF(OR(G177="",C177=""),"",IF(C177&lt;=0,"",IFERROR(G177/C177-1,"")))</f>
        <v/>
      </c>
      <c r="H179" s="15">
        <f>IF(OR(H177="",D177=""),"",IF(D177&lt;=0,"",IFERROR(H177/D177-1,"")))</f>
        <v/>
      </c>
      <c r="I179" s="15">
        <f>IF(OR(I177="",E177=""),"",IF(E177&lt;=0,"",IFERROR(I177/E177-1,"")))</f>
        <v/>
      </c>
      <c r="J179" s="15">
        <f>IF(OR(J177="",F177=""),"",IF(F177&lt;=0,"",IFERROR(J177/F177-1,"")))</f>
        <v/>
      </c>
      <c r="V179" s="15">
        <f>IF(OR(V177="",U177=""),"",IF(U177&lt;=0,"",IFERROR(V177/U177-1,"")))</f>
        <v/>
      </c>
      <c r="W179" s="15">
        <f>IF(OR(W177="",V177=""),"",IF(V177&lt;=0,"",IFERROR(W177/V177-1,"")))</f>
        <v/>
      </c>
    </row>
    <row r="180">
      <c r="A180" s="9" t="inlineStr">
        <is>
          <t>부문 이익</t>
        </is>
      </c>
      <c r="C180" s="12" t="n">
        <v>97.102</v>
      </c>
      <c r="D180" s="12" t="n">
        <v>88.679</v>
      </c>
      <c r="E180" s="12" t="n">
        <v>114.009</v>
      </c>
      <c r="F180" s="12" t="n">
        <v>4.986</v>
      </c>
      <c r="G180" s="12" t="n">
        <v>108.197</v>
      </c>
      <c r="H180" s="12" t="n">
        <v>89.996</v>
      </c>
      <c r="I180" s="12" t="n">
        <v>90.37</v>
      </c>
      <c r="J180" s="12" t="n">
        <v>-32.442</v>
      </c>
      <c r="K180" s="12" t="n">
        <v>79.495</v>
      </c>
      <c r="L180" s="12" t="n">
        <v>152.318</v>
      </c>
      <c r="M180" s="12" t="n">
        <v>178.541</v>
      </c>
      <c r="N180" s="12" t="n">
        <v>82.34999999999999</v>
      </c>
      <c r="V180" s="12" t="n">
        <v>4.986</v>
      </c>
      <c r="W180" s="12" t="n">
        <v>-32.442</v>
      </c>
      <c r="X180" s="12" t="n">
        <v>82.34999999999999</v>
      </c>
    </row>
    <row r="181">
      <c r="A181" s="43" t="inlineStr">
        <is>
          <t>OPM</t>
        </is>
      </c>
      <c r="B181" s="3" t="inlineStr">
        <is>
          <t>영업이익 ÷ 매출</t>
        </is>
      </c>
      <c r="C181" s="15">
        <f>IF(OR(C180="",C151=""),"",IF(C151&lt;=0,"",IFERROR(C180/C151,"")))</f>
        <v/>
      </c>
      <c r="D181" s="15">
        <f>IF(OR(D180="",D151=""),"",IF(D151&lt;=0,"",IFERROR(D180/D151,"")))</f>
        <v/>
      </c>
      <c r="E181" s="15">
        <f>IF(OR(E180="",E151=""),"",IF(E151&lt;=0,"",IFERROR(E180/E151,"")))</f>
        <v/>
      </c>
      <c r="F181" s="15">
        <f>IF(OR(F180="",F151=""),"",IF(F151&lt;=0,"",IFERROR(F180/F151,"")))</f>
        <v/>
      </c>
      <c r="G181" s="15">
        <f>IF(OR(G180="",G151=""),"",IF(G151&lt;=0,"",IFERROR(G180/G151,"")))</f>
        <v/>
      </c>
      <c r="H181" s="15">
        <f>IF(OR(H180="",H151=""),"",IF(H151&lt;=0,"",IFERROR(H180/H151,"")))</f>
        <v/>
      </c>
      <c r="I181" s="15">
        <f>IF(OR(I180="",I151=""),"",IF(I151&lt;=0,"",IFERROR(I180/I151,"")))</f>
        <v/>
      </c>
      <c r="J181" s="15">
        <f>IF(OR(J180="",J151=""),"",IF(J151&lt;=0,"",IFERROR(J180/J151,"")))</f>
        <v/>
      </c>
      <c r="K181" s="15">
        <f>IF(OR(K180="",K151=""),"",IF(K151&lt;=0,"",IFERROR(K180/K151,"")))</f>
        <v/>
      </c>
      <c r="L181" s="15">
        <f>IF(OR(L180="",L151=""),"",IF(L151&lt;=0,"",IFERROR(L180/L151,"")))</f>
        <v/>
      </c>
      <c r="M181" s="15">
        <f>IF(OR(M180="",M151=""),"",IF(M151&lt;=0,"",IFERROR(M180/M151,"")))</f>
        <v/>
      </c>
      <c r="N181" s="15">
        <f>IF(OR(N180="",N151=""),"",IF(N151&lt;=0,"",IFERROR(N180/N151,"")))</f>
        <v/>
      </c>
      <c r="V181" s="15">
        <f>IF(OR(V180="",V151=""),"",IF(V151&lt;=0,"",IFERROR(V180/V151,"")))</f>
        <v/>
      </c>
      <c r="W181" s="15">
        <f>IF(OR(W180="",W151=""),"",IF(W151&lt;=0,"",IFERROR(W180/W151,"")))</f>
        <v/>
      </c>
      <c r="X181" s="15">
        <f>IF(OR(X180="",X151=""),"",IF(X151&lt;=0,"",IFERROR(X180/X151,"")))</f>
        <v/>
      </c>
    </row>
    <row r="182">
      <c r="A182" s="43" t="inlineStr">
        <is>
          <t>YoY</t>
        </is>
      </c>
      <c r="B182" s="3" t="inlineStr">
        <is>
          <t>전년 같은 분기·전년 대비</t>
        </is>
      </c>
      <c r="G182" s="15">
        <f>IF(OR(G180="",C180=""),"",IF(C180&lt;=0,"",IFERROR(G180/C180-1,"")))</f>
        <v/>
      </c>
      <c r="H182" s="15">
        <f>IF(OR(H180="",D180=""),"",IF(D180&lt;=0,"",IFERROR(H180/D180-1,"")))</f>
        <v/>
      </c>
      <c r="I182" s="15">
        <f>IF(OR(I180="",E180=""),"",IF(E180&lt;=0,"",IFERROR(I180/E180-1,"")))</f>
        <v/>
      </c>
      <c r="J182" s="15">
        <f>IF(OR(J180="",F180=""),"",IF(F180&lt;=0,"",IFERROR(J180/F180-1,"")))</f>
        <v/>
      </c>
      <c r="K182" s="15">
        <f>IF(OR(K180="",G180=""),"",IF(G180&lt;=0,"",IFERROR(K180/G180-1,"")))</f>
        <v/>
      </c>
      <c r="L182" s="15">
        <f>IF(OR(L180="",H180=""),"",IF(H180&lt;=0,"",IFERROR(L180/H180-1,"")))</f>
        <v/>
      </c>
      <c r="M182" s="15">
        <f>IF(OR(M180="",I180=""),"",IF(I180&lt;=0,"",IFERROR(M180/I180-1,"")))</f>
        <v/>
      </c>
      <c r="N182" s="15">
        <f>IF(OR(N180="",J180=""),"",IF(J180&lt;=0,"",IFERROR(N180/J180-1,"")))</f>
        <v/>
      </c>
      <c r="V182" s="15">
        <f>IF(OR(V180="",U180=""),"",IF(U180&lt;=0,"",IFERROR(V180/U180-1,"")))</f>
        <v/>
      </c>
      <c r="W182" s="15">
        <f>IF(OR(W180="",V180=""),"",IF(V180&lt;=0,"",IFERROR(W180/V180-1,"")))</f>
        <v/>
      </c>
      <c r="X182" s="15">
        <f>IF(OR(X180="",W180=""),"",IF(W180&lt;=0,"",IFERROR(X180/W180-1,"")))</f>
        <v/>
      </c>
    </row>
    <row r="184">
      <c r="A184" s="16" t="inlineStr">
        <is>
          <t>현금흐름표 · 전 항목</t>
        </is>
      </c>
      <c r="B184" s="42" t="inlineStr">
        <is>
          <t>분기 = 결산기 첫날부터 누계(공시 그대로)</t>
        </is>
      </c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  <c r="AA184" s="16" t="n"/>
      <c r="AB184" s="16" t="n"/>
      <c r="AC184" s="16" t="n"/>
    </row>
    <row r="185">
      <c r="A185" s="5" t="inlineStr">
        <is>
          <t>항목</t>
        </is>
      </c>
      <c r="B185" s="5" t="inlineStr">
        <is>
          <t>참고</t>
        </is>
      </c>
      <c r="C185" s="5" t="inlineStr">
        <is>
          <t>2024.1Q</t>
        </is>
      </c>
      <c r="D185" s="5" t="inlineStr">
        <is>
          <t>2024.2Q</t>
        </is>
      </c>
      <c r="E185" s="5" t="inlineStr">
        <is>
          <t>2024.3Q</t>
        </is>
      </c>
      <c r="F185" s="5" t="inlineStr">
        <is>
          <t>2024.4Q</t>
        </is>
      </c>
      <c r="G185" s="5" t="inlineStr">
        <is>
          <t>2025.1Q</t>
        </is>
      </c>
      <c r="H185" s="5" t="inlineStr">
        <is>
          <t>2025.2Q</t>
        </is>
      </c>
      <c r="I185" s="5" t="inlineStr">
        <is>
          <t>2025.3Q</t>
        </is>
      </c>
      <c r="J185" s="5" t="inlineStr">
        <is>
          <t>2025.4Q</t>
        </is>
      </c>
      <c r="K185" s="5" t="inlineStr">
        <is>
          <t>2026.1Q</t>
        </is>
      </c>
      <c r="L185" s="5" t="inlineStr">
        <is>
          <t>2026.2Q</t>
        </is>
      </c>
      <c r="M185" s="5" t="inlineStr">
        <is>
          <t>2026.3Q</t>
        </is>
      </c>
      <c r="N185" s="5" t="inlineStr">
        <is>
          <t>2026.4Q</t>
        </is>
      </c>
      <c r="O185" s="5" t="inlineStr">
        <is>
          <t>2017</t>
        </is>
      </c>
      <c r="P185" s="5" t="inlineStr">
        <is>
          <t>2018</t>
        </is>
      </c>
      <c r="Q185" s="5" t="inlineStr">
        <is>
          <t>2019</t>
        </is>
      </c>
      <c r="R185" s="5" t="inlineStr">
        <is>
          <t>2020</t>
        </is>
      </c>
      <c r="S185" s="5" t="inlineStr">
        <is>
          <t>2021</t>
        </is>
      </c>
      <c r="T185" s="5" t="inlineStr">
        <is>
          <t>2022</t>
        </is>
      </c>
      <c r="U185" s="5" t="inlineStr">
        <is>
          <t>2023</t>
        </is>
      </c>
      <c r="V185" s="5" t="inlineStr">
        <is>
          <t>2024</t>
        </is>
      </c>
      <c r="W185" s="5" t="inlineStr">
        <is>
          <t>2025</t>
        </is>
      </c>
      <c r="X185" s="5" t="inlineStr">
        <is>
          <t>2026</t>
        </is>
      </c>
      <c r="Y185" s="5" t="inlineStr">
        <is>
          <t>2027(MW)</t>
        </is>
      </c>
      <c r="Z185" s="5" t="inlineStr">
        <is>
          <t>2028(MW)</t>
        </is>
      </c>
      <c r="AA185" s="5" t="inlineStr">
        <is>
          <t>2029(MW)</t>
        </is>
      </c>
      <c r="AB185" s="5" t="inlineStr">
        <is>
          <t>2030(MW)</t>
        </is>
      </c>
      <c r="AC185" s="5" t="inlineStr">
        <is>
          <t>2031(MW)</t>
        </is>
      </c>
    </row>
    <row r="186">
      <c r="A186" s="9" t="inlineStr">
        <is>
          <t>법인세차감전 순이익</t>
        </is>
      </c>
      <c r="D186" s="12" t="n">
        <v>156.565</v>
      </c>
      <c r="F186" s="12" t="n">
        <v>170.325</v>
      </c>
      <c r="H186" s="12" t="n">
        <v>169.974</v>
      </c>
      <c r="J186" s="12" t="n">
        <v>225.867</v>
      </c>
      <c r="L186" s="12" t="n">
        <v>231.961</v>
      </c>
      <c r="N186" s="12" t="n">
        <v>502.2</v>
      </c>
      <c r="R186" s="12" t="n">
        <v>-83.767</v>
      </c>
      <c r="S186" s="12" t="n">
        <v>59.959</v>
      </c>
      <c r="T186" s="12" t="n">
        <v>-536.769</v>
      </c>
      <c r="U186" s="12" t="n">
        <v>-155.777</v>
      </c>
      <c r="V186" s="12" t="n">
        <v>170.325</v>
      </c>
      <c r="W186" s="12" t="n">
        <v>225.867</v>
      </c>
      <c r="X186" s="12" t="n">
        <v>502.2</v>
      </c>
    </row>
    <row r="187">
      <c r="A187" s="18" t="inlineStr">
        <is>
          <t>감가상각비</t>
        </is>
      </c>
      <c r="D187" s="20" t="n">
        <v>14.651</v>
      </c>
      <c r="F187" s="20" t="n">
        <v>36.509</v>
      </c>
      <c r="H187" s="20" t="n">
        <v>26.618</v>
      </c>
      <c r="J187" s="20" t="n">
        <v>64.651</v>
      </c>
      <c r="L187" s="20" t="n">
        <v>40.66</v>
      </c>
      <c r="N187" s="20" t="n">
        <v>84.742</v>
      </c>
      <c r="R187" s="20" t="n">
        <v>17.608</v>
      </c>
      <c r="S187" s="20" t="n">
        <v>25.789</v>
      </c>
      <c r="T187" s="20" t="n">
        <v>28.39</v>
      </c>
      <c r="U187" s="20" t="n">
        <v>29.314</v>
      </c>
      <c r="V187" s="20" t="n">
        <v>36.509</v>
      </c>
      <c r="W187" s="20" t="n">
        <v>64.651</v>
      </c>
      <c r="X187" s="20" t="n">
        <v>84.742</v>
      </c>
    </row>
    <row r="188">
      <c r="A188" s="18" t="inlineStr">
        <is>
          <t>이연자산 상각액</t>
        </is>
      </c>
      <c r="D188" s="20" t="n">
        <v>0</v>
      </c>
      <c r="F188" s="20" t="n">
        <v>0.988</v>
      </c>
      <c r="H188" s="20" t="n">
        <v>1.977</v>
      </c>
      <c r="J188" s="20" t="n">
        <v>3.954</v>
      </c>
      <c r="L188" s="20" t="n">
        <v>0.803</v>
      </c>
      <c r="N188" s="20" t="n">
        <v>1.018</v>
      </c>
      <c r="U188" s="20" t="n">
        <v>0</v>
      </c>
      <c r="V188" s="20" t="n">
        <v>0.988</v>
      </c>
      <c r="W188" s="20" t="n">
        <v>3.954</v>
      </c>
      <c r="X188" s="20" t="n">
        <v>1.018</v>
      </c>
    </row>
    <row r="189">
      <c r="A189" s="18" t="inlineStr">
        <is>
          <t>영업권 상각</t>
        </is>
      </c>
      <c r="D189" s="20" t="n">
        <v>6.679</v>
      </c>
      <c r="F189" s="20" t="n">
        <v>32.003</v>
      </c>
      <c r="H189" s="20" t="n">
        <v>43.969</v>
      </c>
      <c r="J189" s="20" t="n">
        <v>87.938</v>
      </c>
      <c r="L189" s="20" t="n">
        <v>43.969</v>
      </c>
      <c r="N189" s="20" t="n">
        <v>97.75</v>
      </c>
      <c r="T189" s="20" t="n">
        <v>0</v>
      </c>
      <c r="U189" s="20" t="n">
        <v>2.226</v>
      </c>
      <c r="V189" s="20" t="n">
        <v>32.003</v>
      </c>
      <c r="W189" s="20" t="n">
        <v>87.938</v>
      </c>
      <c r="X189" s="20" t="n">
        <v>97.75</v>
      </c>
    </row>
    <row r="190">
      <c r="A190" s="18" t="inlineStr">
        <is>
          <t>고객관계자산 상각비</t>
        </is>
      </c>
      <c r="D190" s="20" t="n">
        <v>5.7</v>
      </c>
    </row>
    <row r="191">
      <c r="A191" s="18" t="inlineStr">
        <is>
          <t>고객관계자산 상각비</t>
        </is>
      </c>
      <c r="D191" s="20" t="n">
        <v>5.7</v>
      </c>
      <c r="H191" s="20" t="n">
        <v>30.485</v>
      </c>
      <c r="L191" s="20" t="n">
        <v>30.485</v>
      </c>
    </row>
    <row r="192">
      <c r="A192" s="18" t="inlineStr">
        <is>
          <t>고객관계자산 상각비</t>
        </is>
      </c>
      <c r="F192" s="20" t="n">
        <v>23.792</v>
      </c>
      <c r="J192" s="20" t="n">
        <v>60.971</v>
      </c>
      <c r="N192" s="20" t="n">
        <v>60.971</v>
      </c>
      <c r="T192" s="20" t="n">
        <v>0</v>
      </c>
      <c r="U192" s="20" t="n">
        <v>1.9</v>
      </c>
      <c r="V192" s="20" t="n">
        <v>23.792</v>
      </c>
      <c r="W192" s="20" t="n">
        <v>60.971</v>
      </c>
      <c r="X192" s="20" t="n">
        <v>60.971</v>
      </c>
    </row>
    <row r="193">
      <c r="A193" s="18" t="inlineStr">
        <is>
          <t>임차보증금 상각액</t>
        </is>
      </c>
      <c r="D193" s="20" t="n">
        <v>4.823</v>
      </c>
      <c r="F193" s="20" t="n">
        <v>9.705</v>
      </c>
      <c r="H193" s="20" t="n">
        <v>5.138</v>
      </c>
      <c r="J193" s="20" t="n">
        <v>10.623</v>
      </c>
      <c r="L193" s="20" t="n">
        <v>9.965</v>
      </c>
      <c r="N193" s="20" t="n">
        <v>19.93</v>
      </c>
      <c r="R193" s="20" t="n">
        <v>13.854</v>
      </c>
      <c r="S193" s="20" t="n">
        <v>4.375</v>
      </c>
      <c r="T193" s="20" t="n">
        <v>5.963</v>
      </c>
      <c r="U193" s="20" t="n">
        <v>7.689</v>
      </c>
      <c r="V193" s="20" t="n">
        <v>9.705</v>
      </c>
      <c r="W193" s="20" t="n">
        <v>10.623</v>
      </c>
      <c r="X193" s="20" t="n">
        <v>19.93</v>
      </c>
    </row>
    <row r="194">
      <c r="A194" s="18" t="inlineStr">
        <is>
          <t>투자유가증권 평가손익</t>
        </is>
      </c>
      <c r="D194" s="20" t="n">
        <v>30</v>
      </c>
      <c r="F194" s="20" t="n">
        <v>90</v>
      </c>
      <c r="H194" s="20" t="n">
        <v>30</v>
      </c>
      <c r="J194" s="20" t="n">
        <v>30</v>
      </c>
      <c r="L194" s="20" t="n">
        <v>0</v>
      </c>
      <c r="N194" s="20" t="n">
        <v>0</v>
      </c>
      <c r="T194" s="20" t="n">
        <v>30</v>
      </c>
      <c r="U194" s="20" t="n">
        <v>49.5</v>
      </c>
      <c r="V194" s="20" t="n">
        <v>90</v>
      </c>
      <c r="W194" s="20" t="n">
        <v>30</v>
      </c>
      <c r="X194" s="20" t="n">
        <v>0</v>
      </c>
    </row>
    <row r="195">
      <c r="A195" s="18" t="inlineStr">
        <is>
          <t>신주예약권 환입이익</t>
        </is>
      </c>
      <c r="D195" s="20" t="n">
        <v>0</v>
      </c>
      <c r="F195" s="20" t="n">
        <v>0</v>
      </c>
      <c r="T195" s="20" t="n">
        <v>-4.5</v>
      </c>
      <c r="U195" s="20" t="n">
        <v>-12.5</v>
      </c>
      <c r="V195" s="20" t="n">
        <v>0</v>
      </c>
    </row>
    <row r="196">
      <c r="A196" s="18" t="inlineStr">
        <is>
          <t>주식보상비용</t>
        </is>
      </c>
      <c r="D196" s="20" t="n">
        <v>72.72799999999999</v>
      </c>
      <c r="F196" s="20" t="n">
        <v>141.856</v>
      </c>
      <c r="H196" s="20" t="n">
        <v>80.06</v>
      </c>
      <c r="J196" s="20" t="n">
        <v>164.916</v>
      </c>
      <c r="L196" s="20" t="n">
        <v>59.937</v>
      </c>
      <c r="N196" s="20" t="n">
        <v>89.568</v>
      </c>
      <c r="T196" s="20" t="n">
        <v>2.012</v>
      </c>
      <c r="U196" s="20" t="n">
        <v>117.191</v>
      </c>
      <c r="V196" s="20" t="n">
        <v>141.856</v>
      </c>
      <c r="W196" s="20" t="n">
        <v>164.916</v>
      </c>
      <c r="X196" s="20" t="n">
        <v>89.568</v>
      </c>
    </row>
    <row r="197">
      <c r="A197" s="18" t="inlineStr">
        <is>
          <t>이자수익</t>
        </is>
      </c>
      <c r="D197" s="20" t="n">
        <v>-0.013</v>
      </c>
      <c r="F197" s="20" t="n">
        <v>-0.399</v>
      </c>
      <c r="H197" s="20" t="n">
        <v>-1.728</v>
      </c>
      <c r="J197" s="20" t="n">
        <v>-4.93</v>
      </c>
      <c r="L197" s="20" t="n">
        <v>-2.784</v>
      </c>
      <c r="N197" s="20" t="n">
        <v>-7.345</v>
      </c>
      <c r="R197" s="20" t="n">
        <v>-0.008999999999999999</v>
      </c>
      <c r="S197" s="20" t="n">
        <v>-0.018</v>
      </c>
      <c r="T197" s="20" t="n">
        <v>-0.027</v>
      </c>
      <c r="U197" s="20" t="n">
        <v>-0.027</v>
      </c>
      <c r="V197" s="20" t="n">
        <v>-0.399</v>
      </c>
      <c r="W197" s="20" t="n">
        <v>-4.93</v>
      </c>
      <c r="X197" s="20" t="n">
        <v>-7.345</v>
      </c>
    </row>
    <row r="198">
      <c r="A198" s="18" t="inlineStr">
        <is>
          <t>이자비용</t>
        </is>
      </c>
      <c r="D198" s="20" t="n">
        <v>0.099</v>
      </c>
      <c r="F198" s="20" t="n">
        <v>3.982</v>
      </c>
      <c r="H198" s="20" t="n">
        <v>7.086</v>
      </c>
      <c r="J198" s="20" t="n">
        <v>14.784</v>
      </c>
      <c r="L198" s="20" t="n">
        <v>7.817</v>
      </c>
      <c r="N198" s="20" t="n">
        <v>18.753</v>
      </c>
      <c r="R198" s="20" t="n">
        <v>5.717</v>
      </c>
      <c r="S198" s="20" t="n">
        <v>6.574</v>
      </c>
      <c r="T198" s="20" t="n">
        <v>0.229</v>
      </c>
      <c r="U198" s="20" t="n">
        <v>0.199</v>
      </c>
      <c r="V198" s="20" t="n">
        <v>3.982</v>
      </c>
      <c r="W198" s="20" t="n">
        <v>14.784</v>
      </c>
      <c r="X198" s="20" t="n">
        <v>18.753</v>
      </c>
    </row>
    <row r="199">
      <c r="A199" s="18" t="inlineStr">
        <is>
          <t>상장 관련 비용</t>
        </is>
      </c>
      <c r="R199" s="20" t="n">
        <v>0</v>
      </c>
      <c r="S199" s="20" t="n">
        <v>24.7</v>
      </c>
    </row>
    <row r="200">
      <c r="A200" s="18" t="inlineStr">
        <is>
          <t>지분법손익</t>
        </is>
      </c>
      <c r="D200" s="20" t="n">
        <v>0</v>
      </c>
      <c r="F200" s="20" t="n">
        <v>0.208</v>
      </c>
      <c r="H200" s="20" t="n">
        <v>0.207</v>
      </c>
      <c r="J200" s="20" t="n">
        <v>0.207</v>
      </c>
      <c r="L200" s="20" t="n">
        <v>0</v>
      </c>
      <c r="N200" s="20" t="n">
        <v>0</v>
      </c>
      <c r="U200" s="20" t="n">
        <v>0</v>
      </c>
      <c r="V200" s="20" t="n">
        <v>0.208</v>
      </c>
      <c r="W200" s="20" t="n">
        <v>0.207</v>
      </c>
      <c r="X200" s="20" t="n">
        <v>0</v>
      </c>
    </row>
    <row r="201">
      <c r="A201" s="18" t="inlineStr">
        <is>
          <t>자회사 주식 매각손익</t>
        </is>
      </c>
      <c r="D201" s="20" t="n">
        <v>0</v>
      </c>
      <c r="F201" s="20" t="n">
        <v>0</v>
      </c>
      <c r="H201" s="20" t="n">
        <v>1.409</v>
      </c>
      <c r="J201" s="20" t="n">
        <v>1.409</v>
      </c>
      <c r="L201" s="20" t="n">
        <v>0</v>
      </c>
      <c r="N201" s="20" t="n">
        <v>0</v>
      </c>
      <c r="V201" s="20" t="n">
        <v>0</v>
      </c>
      <c r="W201" s="20" t="n">
        <v>1.409</v>
      </c>
      <c r="X201" s="20" t="n">
        <v>0</v>
      </c>
    </row>
    <row r="202">
      <c r="A202" s="18" t="inlineStr">
        <is>
          <t>매출채권 증감</t>
        </is>
      </c>
      <c r="D202" s="20" t="n">
        <v>74.264</v>
      </c>
      <c r="F202" s="20" t="n">
        <v>-15.068</v>
      </c>
      <c r="H202" s="20" t="n">
        <v>140.405</v>
      </c>
      <c r="J202" s="20" t="n">
        <v>56.26</v>
      </c>
      <c r="L202" s="20" t="n">
        <v>-16.551</v>
      </c>
      <c r="N202" s="20" t="n">
        <v>-33.499</v>
      </c>
      <c r="R202" s="20" t="n">
        <v>-125.337</v>
      </c>
      <c r="S202" s="20" t="n">
        <v>78.768</v>
      </c>
      <c r="T202" s="20" t="n">
        <v>-64.27800000000001</v>
      </c>
      <c r="U202" s="20" t="n">
        <v>-13.571</v>
      </c>
      <c r="V202" s="20" t="n">
        <v>-15.068</v>
      </c>
      <c r="W202" s="20" t="n">
        <v>56.26</v>
      </c>
      <c r="X202" s="20" t="n">
        <v>-33.499</v>
      </c>
    </row>
    <row r="203">
      <c r="A203" s="18" t="inlineStr">
        <is>
          <t>선급비용 증감</t>
        </is>
      </c>
      <c r="D203" s="20" t="n">
        <v>-18.807</v>
      </c>
      <c r="F203" s="20" t="n">
        <v>7.614</v>
      </c>
      <c r="H203" s="20" t="n">
        <v>-116.154</v>
      </c>
      <c r="J203" s="20" t="n">
        <v>-95.563</v>
      </c>
      <c r="L203" s="20" t="n">
        <v>-47.565</v>
      </c>
      <c r="N203" s="20" t="n">
        <v>53.063</v>
      </c>
      <c r="R203" s="20" t="n">
        <v>-13.917</v>
      </c>
      <c r="S203" s="20" t="n">
        <v>-19.911</v>
      </c>
      <c r="T203" s="20" t="n">
        <v>-59.272</v>
      </c>
      <c r="U203" s="20" t="n">
        <v>-21.418</v>
      </c>
      <c r="V203" s="20" t="n">
        <v>7.614</v>
      </c>
      <c r="W203" s="20" t="n">
        <v>-95.563</v>
      </c>
      <c r="X203" s="20" t="n">
        <v>53.063</v>
      </c>
    </row>
    <row r="204">
      <c r="A204" s="18" t="inlineStr">
        <is>
          <t>장기선급비용 증감</t>
        </is>
      </c>
      <c r="D204" s="20" t="n">
        <v>6.811</v>
      </c>
      <c r="F204" s="20" t="n">
        <v>9.805999999999999</v>
      </c>
      <c r="H204" s="20" t="n">
        <v>2.071</v>
      </c>
      <c r="J204" s="20" t="n">
        <v>4.759</v>
      </c>
      <c r="L204" s="20" t="n">
        <v>3.694</v>
      </c>
      <c r="N204" s="20" t="n">
        <v>11.592</v>
      </c>
      <c r="R204" s="20" t="n">
        <v>-0.209</v>
      </c>
      <c r="S204" s="20" t="n">
        <v>-0.746</v>
      </c>
      <c r="T204" s="20" t="n">
        <v>-19.98</v>
      </c>
      <c r="U204" s="20" t="n">
        <v>12.706</v>
      </c>
      <c r="V204" s="20" t="n">
        <v>9.805999999999999</v>
      </c>
      <c r="W204" s="20" t="n">
        <v>4.759</v>
      </c>
      <c r="X204" s="20" t="n">
        <v>11.592</v>
      </c>
    </row>
    <row r="205">
      <c r="A205" s="18" t="inlineStr">
        <is>
          <t>미수 소비세 증감</t>
        </is>
      </c>
      <c r="R205" s="20" t="n">
        <v>61.021</v>
      </c>
      <c r="S205" s="20" t="n">
        <v>0</v>
      </c>
    </row>
    <row r="206">
      <c r="A206" s="18" t="inlineStr">
        <is>
          <t>매입채무 증감</t>
        </is>
      </c>
      <c r="D206" s="20" t="n">
        <v>-12.494</v>
      </c>
    </row>
    <row r="207">
      <c r="A207" s="18" t="inlineStr">
        <is>
          <t>매입채무 증감</t>
        </is>
      </c>
      <c r="D207" s="20" t="n">
        <v>-12.494</v>
      </c>
      <c r="F207" s="20" t="n">
        <v>-81.453</v>
      </c>
      <c r="H207" s="20" t="n">
        <v>-98.352</v>
      </c>
      <c r="J207" s="20" t="n">
        <v>-105.057</v>
      </c>
      <c r="L207" s="20" t="n">
        <v>22.555</v>
      </c>
      <c r="N207" s="20" t="n">
        <v>39.203</v>
      </c>
      <c r="T207" s="20" t="n">
        <v>0</v>
      </c>
      <c r="U207" s="20" t="n">
        <v>-2.301</v>
      </c>
      <c r="V207" s="20" t="n">
        <v>-81.453</v>
      </c>
      <c r="W207" s="20" t="n">
        <v>-105.057</v>
      </c>
      <c r="X207" s="20" t="n">
        <v>39.203</v>
      </c>
    </row>
    <row r="208">
      <c r="A208" s="18" t="inlineStr">
        <is>
          <t>미지급금 증감</t>
        </is>
      </c>
      <c r="D208" s="20" t="n">
        <v>19.614</v>
      </c>
      <c r="F208" s="20" t="n">
        <v>145.115</v>
      </c>
      <c r="H208" s="20" t="n">
        <v>-39.952</v>
      </c>
      <c r="J208" s="20" t="n">
        <v>-4.072</v>
      </c>
      <c r="L208" s="20" t="n">
        <v>-46.253</v>
      </c>
      <c r="N208" s="20" t="n">
        <v>125</v>
      </c>
      <c r="R208" s="20" t="n">
        <v>40.068</v>
      </c>
      <c r="S208" s="20" t="n">
        <v>301.108</v>
      </c>
      <c r="T208" s="20" t="n">
        <v>-22.231</v>
      </c>
      <c r="U208" s="20" t="n">
        <v>-158.89</v>
      </c>
      <c r="V208" s="20" t="n">
        <v>145.115</v>
      </c>
      <c r="W208" s="20" t="n">
        <v>-4.072</v>
      </c>
      <c r="X208" s="20" t="n">
        <v>125</v>
      </c>
    </row>
    <row r="209">
      <c r="A209" s="18" t="inlineStr">
        <is>
          <t>미지급비용 증감</t>
        </is>
      </c>
      <c r="D209" s="20" t="n">
        <v>-3.17</v>
      </c>
      <c r="F209" s="20" t="n">
        <v>3.419</v>
      </c>
      <c r="H209" s="20" t="n">
        <v>-51.627</v>
      </c>
      <c r="J209" s="20" t="n">
        <v>-22.147</v>
      </c>
      <c r="L209" s="20" t="n">
        <v>-1.376</v>
      </c>
      <c r="N209" s="20" t="n">
        <v>-44.154</v>
      </c>
      <c r="R209" s="20" t="n">
        <v>13.2</v>
      </c>
      <c r="S209" s="20" t="n">
        <v>3.329</v>
      </c>
      <c r="T209" s="20" t="n">
        <v>2.72</v>
      </c>
      <c r="U209" s="20" t="n">
        <v>25.555</v>
      </c>
      <c r="V209" s="20" t="n">
        <v>3.419</v>
      </c>
      <c r="W209" s="20" t="n">
        <v>-22.147</v>
      </c>
      <c r="X209" s="20" t="n">
        <v>-44.154</v>
      </c>
    </row>
    <row r="210">
      <c r="A210" s="18" t="inlineStr">
        <is>
          <t>미지급법인세(외형표준과세) 증감</t>
        </is>
      </c>
      <c r="D210" s="20" t="n">
        <v>-0.497</v>
      </c>
      <c r="F210" s="20" t="n">
        <v>14.688</v>
      </c>
      <c r="H210" s="20" t="n">
        <v>-5.441</v>
      </c>
      <c r="J210" s="20" t="n">
        <v>-11.647</v>
      </c>
      <c r="L210" s="20" t="n">
        <v>5.475</v>
      </c>
      <c r="N210" s="20" t="n">
        <v>5.718</v>
      </c>
      <c r="R210" s="20" t="n">
        <v>0</v>
      </c>
      <c r="S210" s="20" t="n">
        <v>26.616</v>
      </c>
      <c r="T210" s="20" t="n">
        <v>-17.283</v>
      </c>
      <c r="U210" s="20" t="n">
        <v>12.016</v>
      </c>
      <c r="V210" s="20" t="n">
        <v>14.688</v>
      </c>
      <c r="W210" s="20" t="n">
        <v>-11.647</v>
      </c>
      <c r="X210" s="20" t="n">
        <v>5.718</v>
      </c>
    </row>
    <row r="211">
      <c r="A211" s="18" t="inlineStr">
        <is>
          <t>미지급 소비세 증감</t>
        </is>
      </c>
      <c r="D211" s="20" t="n">
        <v>4.218</v>
      </c>
      <c r="F211" s="20" t="n">
        <v>-0.337</v>
      </c>
      <c r="H211" s="20" t="n">
        <v>-68.92700000000001</v>
      </c>
      <c r="J211" s="20" t="n">
        <v>-60.423</v>
      </c>
      <c r="L211" s="20" t="n">
        <v>0.187</v>
      </c>
      <c r="N211" s="20" t="n">
        <v>14.089</v>
      </c>
      <c r="R211" s="20" t="n">
        <v>65.068</v>
      </c>
      <c r="S211" s="20" t="n">
        <v>16.664</v>
      </c>
      <c r="T211" s="20" t="n">
        <v>-81.732</v>
      </c>
      <c r="U211" s="20" t="n">
        <v>0</v>
      </c>
      <c r="V211" s="20" t="n">
        <v>-0.337</v>
      </c>
      <c r="W211" s="20" t="n">
        <v>-60.423</v>
      </c>
      <c r="X211" s="20" t="n">
        <v>14.089</v>
      </c>
    </row>
    <row r="212">
      <c r="A212" s="18" t="inlineStr">
        <is>
          <t>선수금 증감</t>
        </is>
      </c>
      <c r="D212" s="20" t="n">
        <v>89.782</v>
      </c>
      <c r="F212" s="20" t="n">
        <v>96.483</v>
      </c>
      <c r="H212" s="20" t="n">
        <v>169.227</v>
      </c>
      <c r="J212" s="20" t="n">
        <v>107.067</v>
      </c>
      <c r="L212" s="20" t="n">
        <v>54.98</v>
      </c>
      <c r="N212" s="20" t="n">
        <v>-47.448</v>
      </c>
      <c r="R212" s="20" t="n">
        <v>79.13500000000001</v>
      </c>
      <c r="S212" s="20" t="n">
        <v>153.025</v>
      </c>
      <c r="T212" s="20" t="n">
        <v>133.977</v>
      </c>
      <c r="U212" s="20" t="n">
        <v>54.142</v>
      </c>
      <c r="V212" s="20" t="n">
        <v>96.483</v>
      </c>
      <c r="W212" s="20" t="n">
        <v>107.067</v>
      </c>
      <c r="X212" s="20" t="n">
        <v>-47.448</v>
      </c>
    </row>
    <row r="213">
      <c r="A213" s="18" t="inlineStr">
        <is>
          <t>예수금 증감</t>
        </is>
      </c>
      <c r="D213" s="20" t="n">
        <v>-35.547</v>
      </c>
      <c r="F213" s="20" t="n">
        <v>52.659</v>
      </c>
      <c r="H213" s="20" t="n">
        <v>-212.439</v>
      </c>
      <c r="J213" s="20" t="n">
        <v>-178.985</v>
      </c>
      <c r="L213" s="20" t="n">
        <v>-83.49299999999999</v>
      </c>
      <c r="N213" s="20" t="n">
        <v>-91.82899999999999</v>
      </c>
      <c r="R213" s="20" t="n">
        <v>219.628</v>
      </c>
      <c r="S213" s="20" t="n">
        <v>210.029</v>
      </c>
      <c r="T213" s="20" t="n">
        <v>175.055</v>
      </c>
      <c r="U213" s="20" t="n">
        <v>74.717</v>
      </c>
      <c r="V213" s="20" t="n">
        <v>52.659</v>
      </c>
      <c r="W213" s="20" t="n">
        <v>-178.985</v>
      </c>
      <c r="X213" s="20" t="n">
        <v>-91.82899999999999</v>
      </c>
    </row>
    <row r="214">
      <c r="A214" s="18" t="inlineStr">
        <is>
          <t>대손충당금 증감</t>
        </is>
      </c>
      <c r="F214" s="20" t="n">
        <v>0</v>
      </c>
      <c r="H214" s="20" t="n">
        <v>0</v>
      </c>
      <c r="J214" s="20" t="n">
        <v>14.524</v>
      </c>
      <c r="L214" s="20" t="n">
        <v>0.989</v>
      </c>
      <c r="V214" s="20" t="n">
        <v>0</v>
      </c>
      <c r="W214" s="20" t="n">
        <v>14.524</v>
      </c>
    </row>
    <row r="215">
      <c r="A215" s="18" t="inlineStr">
        <is>
          <t>상여충당금 증감</t>
        </is>
      </c>
      <c r="F215" s="20" t="n">
        <v>0</v>
      </c>
      <c r="H215" s="20" t="n">
        <v>0</v>
      </c>
      <c r="J215" s="20" t="n">
        <v>2.224</v>
      </c>
      <c r="L215" s="20" t="n">
        <v>22.494</v>
      </c>
      <c r="N215" s="20" t="n">
        <v>19.993</v>
      </c>
      <c r="V215" s="20" t="n">
        <v>0</v>
      </c>
      <c r="W215" s="20" t="n">
        <v>2.224</v>
      </c>
      <c r="X215" s="20" t="n">
        <v>19.993</v>
      </c>
    </row>
    <row r="216">
      <c r="A216" s="18" t="inlineStr">
        <is>
          <t>포인트 충당금 증감</t>
        </is>
      </c>
      <c r="D216" s="20" t="n">
        <v>-0.443</v>
      </c>
      <c r="F216" s="20" t="n">
        <v>-1.208</v>
      </c>
      <c r="H216" s="20" t="n">
        <v>0.472</v>
      </c>
      <c r="J216" s="20" t="n">
        <v>0.401</v>
      </c>
      <c r="L216" s="20" t="n">
        <v>0.106</v>
      </c>
      <c r="N216" s="20" t="n">
        <v>-0.337</v>
      </c>
      <c r="R216" s="20" t="n">
        <v>11.662</v>
      </c>
      <c r="S216" s="20" t="n">
        <v>7.525</v>
      </c>
      <c r="T216" s="20" t="n">
        <v>0.908</v>
      </c>
      <c r="U216" s="20" t="n">
        <v>-0.374</v>
      </c>
      <c r="V216" s="20" t="n">
        <v>-1.208</v>
      </c>
      <c r="W216" s="20" t="n">
        <v>0.401</v>
      </c>
      <c r="X216" s="20" t="n">
        <v>-0.337</v>
      </c>
    </row>
    <row r="217">
      <c r="A217" s="18" t="inlineStr">
        <is>
          <t>쿠폰 충당금 증감(△ 감소)</t>
        </is>
      </c>
      <c r="D217" s="20" t="n">
        <v>-0.953</v>
      </c>
      <c r="F217" s="20" t="n">
        <v>-1.578</v>
      </c>
      <c r="H217" s="20" t="n">
        <v>0.209</v>
      </c>
      <c r="J217" s="20" t="n">
        <v>2.754</v>
      </c>
      <c r="L217" s="20" t="n">
        <v>0.402</v>
      </c>
      <c r="N217" s="20" t="n">
        <v>0.189</v>
      </c>
      <c r="R217" s="20" t="n">
        <v>-5.283</v>
      </c>
      <c r="S217" s="20" t="n">
        <v>0.343</v>
      </c>
      <c r="T217" s="20" t="n">
        <v>0.877</v>
      </c>
      <c r="U217" s="20" t="n">
        <v>1.053</v>
      </c>
      <c r="V217" s="20" t="n">
        <v>-1.578</v>
      </c>
      <c r="W217" s="20" t="n">
        <v>2.754</v>
      </c>
      <c r="X217" s="20" t="n">
        <v>0.189</v>
      </c>
    </row>
    <row r="218">
      <c r="A218" s="18" t="inlineStr">
        <is>
          <t>기타 자산 증감</t>
        </is>
      </c>
      <c r="R218" s="20" t="n">
        <v>-15.372</v>
      </c>
      <c r="S218" s="20" t="n">
        <v>-101.16</v>
      </c>
    </row>
    <row r="219">
      <c r="A219" s="18" t="inlineStr">
        <is>
          <t>기타 유동자산 증감</t>
        </is>
      </c>
      <c r="D219" s="20" t="n">
        <v>23.415</v>
      </c>
      <c r="F219" s="20" t="n">
        <v>-65.86799999999999</v>
      </c>
      <c r="H219" s="20" t="n">
        <v>-60.326</v>
      </c>
      <c r="J219" s="20" t="n">
        <v>-0.285</v>
      </c>
      <c r="L219" s="20" t="n">
        <v>38.062</v>
      </c>
      <c r="N219" s="20" t="n">
        <v>23.59</v>
      </c>
      <c r="T219" s="20" t="n">
        <v>34.61</v>
      </c>
      <c r="U219" s="20" t="n">
        <v>-12.806</v>
      </c>
      <c r="V219" s="20" t="n">
        <v>-65.86799999999999</v>
      </c>
      <c r="W219" s="20" t="n">
        <v>-0.285</v>
      </c>
      <c r="X219" s="20" t="n">
        <v>23.59</v>
      </c>
    </row>
    <row r="220">
      <c r="A220" s="18" t="inlineStr">
        <is>
          <t>기타 유동부채 증감</t>
        </is>
      </c>
      <c r="D220" s="20" t="n">
        <v>0</v>
      </c>
      <c r="F220" s="20" t="n">
        <v>0</v>
      </c>
      <c r="J220" s="20" t="n">
        <v>-0.058</v>
      </c>
      <c r="N220" s="20" t="n">
        <v>0</v>
      </c>
      <c r="T220" s="20" t="n">
        <v>-81.732</v>
      </c>
      <c r="U220" s="20" t="n">
        <v>96.527</v>
      </c>
      <c r="V220" s="20" t="n">
        <v>0</v>
      </c>
      <c r="W220" s="20" t="n">
        <v>-0.058</v>
      </c>
      <c r="X220" s="20" t="n">
        <v>0</v>
      </c>
    </row>
    <row r="221">
      <c r="A221" s="18" t="inlineStr">
        <is>
          <t>기타</t>
        </is>
      </c>
      <c r="D221" s="20" t="n">
        <v>0</v>
      </c>
      <c r="F221" s="20" t="n">
        <v>1.252</v>
      </c>
      <c r="H221" s="20" t="n">
        <v>2.351</v>
      </c>
      <c r="J221" s="20" t="n">
        <v>6.838</v>
      </c>
      <c r="L221" s="20" t="n">
        <v>-0.68</v>
      </c>
      <c r="N221" s="20" t="n">
        <v>-1.225</v>
      </c>
      <c r="T221" s="20" t="n">
        <v>0</v>
      </c>
      <c r="U221" s="20" t="n">
        <v>0.287</v>
      </c>
      <c r="V221" s="20" t="n">
        <v>1.252</v>
      </c>
      <c r="W221" s="20" t="n">
        <v>6.838</v>
      </c>
      <c r="X221" s="20" t="n">
        <v>-1.225</v>
      </c>
    </row>
    <row r="222">
      <c r="A222" s="18" t="inlineStr">
        <is>
          <t>소계</t>
        </is>
      </c>
      <c r="D222" s="20" t="n">
        <v>437.428</v>
      </c>
      <c r="F222" s="20" t="n">
        <v>674.498</v>
      </c>
      <c r="H222" s="20" t="n">
        <v>56.715</v>
      </c>
      <c r="J222" s="20" t="n">
        <v>362.46</v>
      </c>
      <c r="L222" s="20" t="n">
        <v>375.841</v>
      </c>
      <c r="N222" s="20" t="n">
        <v>941.538</v>
      </c>
      <c r="R222" s="20" t="n">
        <v>283.068</v>
      </c>
      <c r="S222" s="20" t="n">
        <v>796.971</v>
      </c>
      <c r="T222" s="20" t="n">
        <v>-391.33</v>
      </c>
      <c r="U222" s="20" t="n">
        <v>107.36</v>
      </c>
      <c r="V222" s="20" t="n">
        <v>674.498</v>
      </c>
      <c r="W222" s="20" t="n">
        <v>362.46</v>
      </c>
      <c r="X222" s="20" t="n">
        <v>941.538</v>
      </c>
    </row>
    <row r="223">
      <c r="A223" s="18" t="inlineStr">
        <is>
          <t>이자 수취</t>
        </is>
      </c>
      <c r="D223" s="20" t="n">
        <v>0.013</v>
      </c>
      <c r="F223" s="20" t="n">
        <v>0.399</v>
      </c>
      <c r="H223" s="20" t="n">
        <v>1.728</v>
      </c>
      <c r="J223" s="20" t="n">
        <v>4.93</v>
      </c>
      <c r="L223" s="20" t="n">
        <v>2.784</v>
      </c>
      <c r="N223" s="20" t="n">
        <v>7.345</v>
      </c>
      <c r="R223" s="20" t="n">
        <v>0.008999999999999999</v>
      </c>
      <c r="S223" s="20" t="n">
        <v>0.018</v>
      </c>
      <c r="T223" s="20" t="n">
        <v>0.027</v>
      </c>
      <c r="U223" s="20" t="n">
        <v>0.027</v>
      </c>
      <c r="V223" s="20" t="n">
        <v>0.399</v>
      </c>
      <c r="W223" s="20" t="n">
        <v>4.93</v>
      </c>
      <c r="X223" s="20" t="n">
        <v>7.345</v>
      </c>
    </row>
    <row r="224">
      <c r="A224" s="18" t="inlineStr">
        <is>
          <t>이자 지급</t>
        </is>
      </c>
      <c r="D224" s="20" t="n">
        <v>-0.099</v>
      </c>
      <c r="F224" s="20" t="n">
        <v>-3.96</v>
      </c>
      <c r="H224" s="20" t="n">
        <v>-7.042</v>
      </c>
      <c r="J224" s="20" t="n">
        <v>-14.697</v>
      </c>
      <c r="L224" s="20" t="n">
        <v>-7.774</v>
      </c>
      <c r="N224" s="20" t="n">
        <v>-18.666</v>
      </c>
      <c r="R224" s="20" t="n">
        <v>-6.413</v>
      </c>
      <c r="S224" s="20" t="n">
        <v>-5.663</v>
      </c>
      <c r="T224" s="20" t="n">
        <v>-0.199</v>
      </c>
      <c r="U224" s="20" t="n">
        <v>-0.199</v>
      </c>
      <c r="V224" s="20" t="n">
        <v>-3.96</v>
      </c>
      <c r="W224" s="20" t="n">
        <v>-14.697</v>
      </c>
      <c r="X224" s="20" t="n">
        <v>-18.666</v>
      </c>
    </row>
    <row r="225">
      <c r="A225" s="18" t="inlineStr">
        <is>
          <t>상장 관련 비용 지출</t>
        </is>
      </c>
      <c r="R225" s="20" t="n">
        <v>0</v>
      </c>
      <c r="S225" s="20" t="n">
        <v>-24.7</v>
      </c>
    </row>
    <row r="226">
      <c r="A226" s="18" t="inlineStr">
        <is>
          <t>법인세 환급</t>
        </is>
      </c>
      <c r="D226" s="20" t="n">
        <v>0</v>
      </c>
      <c r="F226" s="20" t="n">
        <v>0</v>
      </c>
      <c r="T226" s="20" t="n">
        <v>0</v>
      </c>
      <c r="U226" s="20" t="n">
        <v>8.295</v>
      </c>
      <c r="V226" s="20" t="n">
        <v>0</v>
      </c>
    </row>
    <row r="227">
      <c r="A227" s="18" t="inlineStr">
        <is>
          <t>보험적립금 수령액</t>
        </is>
      </c>
      <c r="F227" s="20" t="n">
        <v>0</v>
      </c>
      <c r="J227" s="20" t="n">
        <v>17.5</v>
      </c>
      <c r="N227" s="20" t="n">
        <v>0</v>
      </c>
      <c r="V227" s="20" t="n">
        <v>0</v>
      </c>
      <c r="W227" s="20" t="n">
        <v>17.5</v>
      </c>
      <c r="X227" s="20" t="n">
        <v>0</v>
      </c>
    </row>
    <row r="228">
      <c r="A228" s="18" t="inlineStr">
        <is>
          <t>법인세 납부</t>
        </is>
      </c>
      <c r="D228" s="20" t="n">
        <v>-28.712</v>
      </c>
      <c r="F228" s="20" t="n">
        <v>-52.493</v>
      </c>
      <c r="H228" s="20" t="n">
        <v>-73.889</v>
      </c>
      <c r="J228" s="20" t="n">
        <v>-115.11</v>
      </c>
      <c r="L228" s="20" t="n">
        <v>-44.724</v>
      </c>
      <c r="N228" s="20" t="n">
        <v>-97.68000000000001</v>
      </c>
      <c r="R228" s="20" t="n">
        <v>-2.29</v>
      </c>
      <c r="S228" s="20" t="n">
        <v>-2.291</v>
      </c>
      <c r="T228" s="20" t="n">
        <v>-28.314</v>
      </c>
      <c r="U228" s="20" t="n">
        <v>-1.254</v>
      </c>
      <c r="V228" s="20" t="n">
        <v>-52.493</v>
      </c>
      <c r="W228" s="20" t="n">
        <v>-115.11</v>
      </c>
      <c r="X228" s="20" t="n">
        <v>-97.68000000000001</v>
      </c>
    </row>
    <row r="229">
      <c r="A229" s="9" t="inlineStr">
        <is>
          <t>영업활동 현금흐름</t>
        </is>
      </c>
      <c r="D229" s="12" t="n">
        <v>408.629</v>
      </c>
      <c r="F229" s="12" t="n">
        <v>618.444</v>
      </c>
      <c r="H229" s="12" t="n">
        <v>-22.488</v>
      </c>
      <c r="J229" s="12" t="n">
        <v>255.082</v>
      </c>
      <c r="L229" s="12" t="n">
        <v>326.127</v>
      </c>
      <c r="N229" s="12" t="n">
        <v>832.5359999999999</v>
      </c>
      <c r="R229" s="12" t="n">
        <v>274.373</v>
      </c>
      <c r="S229" s="12" t="n">
        <v>764.335</v>
      </c>
      <c r="T229" s="12" t="n">
        <v>-419.817</v>
      </c>
      <c r="U229" s="12" t="n">
        <v>114.229</v>
      </c>
      <c r="V229" s="12" t="n">
        <v>618.444</v>
      </c>
      <c r="W229" s="12" t="n">
        <v>255.082</v>
      </c>
      <c r="X229" s="12" t="n">
        <v>832.5359999999999</v>
      </c>
    </row>
    <row r="230">
      <c r="A230" s="18" t="inlineStr">
        <is>
          <t>유형자산 취득(설비투자)</t>
        </is>
      </c>
      <c r="D230" s="20" t="n">
        <v>-0.113</v>
      </c>
      <c r="F230" s="20" t="n">
        <v>-1.941</v>
      </c>
      <c r="H230" s="20" t="n">
        <v>-1.845</v>
      </c>
      <c r="J230" s="20" t="n">
        <v>-5.979</v>
      </c>
      <c r="L230" s="20" t="n">
        <v>-41.291</v>
      </c>
      <c r="N230" s="20" t="n">
        <v>-42.793</v>
      </c>
      <c r="R230" s="20" t="n">
        <v>-56.628</v>
      </c>
      <c r="S230" s="20" t="n">
        <v>-76.23699999999999</v>
      </c>
      <c r="T230" s="20" t="n">
        <v>-34.934</v>
      </c>
      <c r="U230" s="20" t="n">
        <v>-98.575</v>
      </c>
      <c r="V230" s="20" t="n">
        <v>-1.941</v>
      </c>
      <c r="W230" s="20" t="n">
        <v>-5.979</v>
      </c>
      <c r="X230" s="20" t="n">
        <v>-42.793</v>
      </c>
    </row>
    <row r="231">
      <c r="A231" s="18" t="inlineStr">
        <is>
          <t>무형자산 취득</t>
        </is>
      </c>
      <c r="D231" s="20" t="n">
        <v>0</v>
      </c>
      <c r="F231" s="20" t="n">
        <v>-1.9</v>
      </c>
      <c r="H231" s="20" t="n">
        <v>-3</v>
      </c>
      <c r="J231" s="20" t="n">
        <v>-10.737</v>
      </c>
      <c r="L231" s="20" t="n">
        <v>-17.212</v>
      </c>
      <c r="N231" s="20" t="n">
        <v>-17.212</v>
      </c>
      <c r="T231" s="20" t="n">
        <v>-11.042</v>
      </c>
      <c r="U231" s="20" t="n">
        <v>0</v>
      </c>
      <c r="V231" s="20" t="n">
        <v>-1.9</v>
      </c>
      <c r="W231" s="20" t="n">
        <v>-10.737</v>
      </c>
      <c r="X231" s="20" t="n">
        <v>-17.212</v>
      </c>
    </row>
    <row r="232">
      <c r="A232" s="18" t="inlineStr">
        <is>
          <t>투자유가증권 취득</t>
        </is>
      </c>
      <c r="D232" s="20" t="n">
        <v>-214.452</v>
      </c>
      <c r="F232" s="20" t="n">
        <v>-261.412</v>
      </c>
      <c r="H232" s="20" t="n">
        <v>0</v>
      </c>
      <c r="J232" s="20" t="n">
        <v>0</v>
      </c>
      <c r="N232" s="20" t="n">
        <v>-50.072</v>
      </c>
      <c r="T232" s="20" t="n">
        <v>-441.066</v>
      </c>
      <c r="U232" s="20" t="n">
        <v>-520.571</v>
      </c>
      <c r="V232" s="20" t="n">
        <v>-261.412</v>
      </c>
      <c r="W232" s="20" t="n">
        <v>0</v>
      </c>
      <c r="X232" s="20" t="n">
        <v>-50.072</v>
      </c>
    </row>
    <row r="233">
      <c r="A233" s="18" t="inlineStr">
        <is>
          <t>관계회사 출자금 납입</t>
        </is>
      </c>
      <c r="F233" s="20" t="n">
        <v>-6.95</v>
      </c>
      <c r="J233" s="20" t="n">
        <v>0</v>
      </c>
      <c r="U233" s="20" t="n">
        <v>0</v>
      </c>
      <c r="V233" s="20" t="n">
        <v>-6.95</v>
      </c>
      <c r="W233" s="20" t="n">
        <v>0</v>
      </c>
    </row>
    <row r="234">
      <c r="A234" s="18" t="inlineStr">
        <is>
          <t>보증금 납입</t>
        </is>
      </c>
      <c r="D234" s="20" t="n">
        <v>-86.97799999999999</v>
      </c>
      <c r="F234" s="20" t="n">
        <v>-86.97799999999999</v>
      </c>
      <c r="H234" s="20" t="n">
        <v>0</v>
      </c>
      <c r="J234" s="20" t="n">
        <v>-268.647</v>
      </c>
      <c r="N234" s="20" t="n">
        <v>0</v>
      </c>
      <c r="R234" s="20" t="n">
        <v>-138.857</v>
      </c>
      <c r="S234" s="20" t="n">
        <v>-51.723</v>
      </c>
      <c r="T234" s="20" t="n">
        <v>0</v>
      </c>
      <c r="U234" s="20" t="n">
        <v>-69.12</v>
      </c>
      <c r="V234" s="20" t="n">
        <v>-86.97799999999999</v>
      </c>
      <c r="W234" s="20" t="n">
        <v>-268.647</v>
      </c>
      <c r="X234" s="20" t="n">
        <v>0</v>
      </c>
    </row>
    <row r="235">
      <c r="A235" s="18" t="inlineStr">
        <is>
          <t>보증금 회수</t>
        </is>
      </c>
      <c r="D235" s="20" t="n">
        <v>0.2</v>
      </c>
      <c r="F235" s="20" t="n">
        <v>0.2</v>
      </c>
      <c r="H235" s="20" t="n">
        <v>58.571</v>
      </c>
      <c r="J235" s="20" t="n">
        <v>58.571</v>
      </c>
      <c r="L235" s="20" t="n">
        <v>21.286</v>
      </c>
      <c r="N235" s="20" t="n">
        <v>21.286</v>
      </c>
      <c r="R235" s="20" t="n">
        <v>5</v>
      </c>
      <c r="S235" s="20" t="n">
        <v>27.907</v>
      </c>
      <c r="U235" s="20" t="n">
        <v>0</v>
      </c>
      <c r="V235" s="20" t="n">
        <v>0.2</v>
      </c>
      <c r="W235" s="20" t="n">
        <v>58.571</v>
      </c>
      <c r="X235" s="20" t="n">
        <v>21.286</v>
      </c>
    </row>
    <row r="236">
      <c r="A236" s="18" t="inlineStr">
        <is>
          <t>자산복구부채 이행 지출</t>
        </is>
      </c>
      <c r="R236" s="20" t="n">
        <v>0</v>
      </c>
      <c r="S236" s="20" t="n">
        <v>-15.773</v>
      </c>
    </row>
    <row r="237">
      <c r="A237" s="18" t="inlineStr">
        <is>
          <t>대여</t>
        </is>
      </c>
      <c r="F237" s="20" t="n">
        <v>-55.5</v>
      </c>
      <c r="J237" s="20" t="n">
        <v>0</v>
      </c>
      <c r="U237" s="20" t="n">
        <v>0</v>
      </c>
      <c r="V237" s="20" t="n">
        <v>-55.5</v>
      </c>
      <c r="W237" s="20" t="n">
        <v>0</v>
      </c>
    </row>
    <row r="238">
      <c r="A238" s="18" t="inlineStr">
        <is>
          <t>연결범위 변경 자회사 주식 취득</t>
        </is>
      </c>
      <c r="F238" s="20" t="n">
        <v>-922.0650000000001</v>
      </c>
      <c r="J238" s="20" t="n">
        <v>0</v>
      </c>
      <c r="N238" s="20" t="n">
        <v>-186.249</v>
      </c>
      <c r="T238" s="20" t="n">
        <v>0</v>
      </c>
      <c r="U238" s="20" t="n">
        <v>-245.079</v>
      </c>
      <c r="V238" s="20" t="n">
        <v>-922.0650000000001</v>
      </c>
      <c r="W238" s="20" t="n">
        <v>0</v>
      </c>
      <c r="X238" s="20" t="n">
        <v>-186.249</v>
      </c>
    </row>
    <row r="239">
      <c r="A239" s="18" t="inlineStr">
        <is>
          <t>기타</t>
        </is>
      </c>
      <c r="F239" s="20" t="n">
        <v>0</v>
      </c>
      <c r="T239" s="20" t="n">
        <v>0</v>
      </c>
      <c r="U239" s="20" t="n">
        <v>0.6820000000000001</v>
      </c>
      <c r="V239" s="20" t="n">
        <v>0</v>
      </c>
    </row>
    <row r="240">
      <c r="A240" s="18" t="inlineStr">
        <is>
          <t>연결범위 변경 자회사 주식 매각(지출)</t>
        </is>
      </c>
      <c r="D240" s="20" t="n">
        <v>0</v>
      </c>
      <c r="F240" s="20" t="n">
        <v>0</v>
      </c>
      <c r="H240" s="20" t="n">
        <v>-254.795</v>
      </c>
      <c r="J240" s="20" t="n">
        <v>-254.795</v>
      </c>
      <c r="L240" s="20" t="n">
        <v>0</v>
      </c>
      <c r="N240" s="20" t="n">
        <v>0</v>
      </c>
      <c r="V240" s="20" t="n">
        <v>0</v>
      </c>
      <c r="W240" s="20" t="n">
        <v>-254.795</v>
      </c>
      <c r="X240" s="20" t="n">
        <v>0</v>
      </c>
    </row>
    <row r="241">
      <c r="A241" s="9" t="inlineStr">
        <is>
          <t>투자활동 현금흐름</t>
        </is>
      </c>
      <c r="D241" s="12" t="n">
        <v>-301.343</v>
      </c>
      <c r="F241" s="12" t="n">
        <v>-1336.546</v>
      </c>
      <c r="H241" s="12" t="n">
        <v>-201.069</v>
      </c>
      <c r="J241" s="12" t="n">
        <v>-481.589</v>
      </c>
      <c r="L241" s="12" t="n">
        <v>-37.218</v>
      </c>
      <c r="N241" s="12" t="n">
        <v>-275.041</v>
      </c>
      <c r="R241" s="12" t="n">
        <v>-190.485</v>
      </c>
      <c r="S241" s="12" t="n">
        <v>-115.826</v>
      </c>
      <c r="T241" s="12" t="n">
        <v>-487.044</v>
      </c>
      <c r="U241" s="12" t="n">
        <v>-932.664</v>
      </c>
      <c r="V241" s="12" t="n">
        <v>-1336.546</v>
      </c>
      <c r="W241" s="12" t="n">
        <v>-481.589</v>
      </c>
      <c r="X241" s="12" t="n">
        <v>-275.041</v>
      </c>
    </row>
    <row r="242">
      <c r="A242" s="18" t="inlineStr">
        <is>
          <t>단기차입금 순증감</t>
        </is>
      </c>
      <c r="R242" s="20" t="n">
        <v>460</v>
      </c>
      <c r="S242" s="20" t="n">
        <v>-730</v>
      </c>
    </row>
    <row r="243">
      <c r="A243" s="18" t="inlineStr">
        <is>
          <t>주식 발행</t>
        </is>
      </c>
      <c r="R243" s="20" t="n">
        <v>0</v>
      </c>
      <c r="S243" s="20" t="n">
        <v>2116.215</v>
      </c>
    </row>
    <row r="244">
      <c r="A244" s="18" t="inlineStr">
        <is>
          <t>장기차입</t>
        </is>
      </c>
      <c r="F244" s="20" t="n">
        <v>1260</v>
      </c>
      <c r="J244" s="20" t="n">
        <v>0</v>
      </c>
      <c r="N244" s="20" t="n">
        <v>250</v>
      </c>
      <c r="U244" s="20" t="n">
        <v>0</v>
      </c>
      <c r="V244" s="20" t="n">
        <v>1260</v>
      </c>
      <c r="W244" s="20" t="n">
        <v>0</v>
      </c>
      <c r="X244" s="20" t="n">
        <v>250</v>
      </c>
    </row>
    <row r="245">
      <c r="A245" s="18" t="inlineStr">
        <is>
          <t>장기차입금 상환</t>
        </is>
      </c>
      <c r="D245" s="20" t="n">
        <v>0</v>
      </c>
      <c r="F245" s="20" t="n">
        <v>-48.292</v>
      </c>
      <c r="H245" s="20" t="n">
        <v>-110.831</v>
      </c>
      <c r="J245" s="20" t="n">
        <v>-215.786</v>
      </c>
      <c r="L245" s="20" t="n">
        <v>-104.994</v>
      </c>
      <c r="N245" s="20" t="n">
        <v>-226.576</v>
      </c>
      <c r="U245" s="20" t="n">
        <v>0</v>
      </c>
      <c r="V245" s="20" t="n">
        <v>-48.292</v>
      </c>
      <c r="W245" s="20" t="n">
        <v>-215.786</v>
      </c>
      <c r="X245" s="20" t="n">
        <v>-226.576</v>
      </c>
    </row>
    <row r="246">
      <c r="A246" s="18" t="inlineStr">
        <is>
          <t>신주예약권 행사에 따른 주식 발행</t>
        </is>
      </c>
      <c r="D246" s="20" t="n">
        <v>7.387</v>
      </c>
      <c r="F246" s="20" t="n">
        <v>7.511</v>
      </c>
      <c r="H246" s="20" t="n">
        <v>0.165</v>
      </c>
      <c r="J246" s="20" t="n">
        <v>10.822</v>
      </c>
      <c r="L246" s="20" t="n">
        <v>0.664</v>
      </c>
      <c r="N246" s="20" t="n">
        <v>2.502</v>
      </c>
      <c r="T246" s="20" t="n">
        <v>146.906</v>
      </c>
      <c r="U246" s="20" t="n">
        <v>29.221</v>
      </c>
      <c r="V246" s="20" t="n">
        <v>7.511</v>
      </c>
      <c r="W246" s="20" t="n">
        <v>10.822</v>
      </c>
      <c r="X246" s="20" t="n">
        <v>2.502</v>
      </c>
    </row>
    <row r="247">
      <c r="A247" s="18" t="inlineStr">
        <is>
          <t>신주예약권 발행</t>
        </is>
      </c>
      <c r="D247" s="20" t="n">
        <v>0</v>
      </c>
      <c r="F247" s="20" t="n">
        <v>0.24</v>
      </c>
      <c r="H247" s="20" t="n">
        <v>0.011</v>
      </c>
      <c r="J247" s="20" t="n">
        <v>0.257</v>
      </c>
      <c r="L247" s="20" t="n">
        <v>0.145</v>
      </c>
      <c r="N247" s="20" t="n">
        <v>0.145</v>
      </c>
      <c r="T247" s="20" t="n">
        <v>17</v>
      </c>
      <c r="U247" s="20" t="n">
        <v>7</v>
      </c>
      <c r="V247" s="20" t="n">
        <v>0.24</v>
      </c>
      <c r="W247" s="20" t="n">
        <v>0.257</v>
      </c>
      <c r="X247" s="20" t="n">
        <v>0.145</v>
      </c>
    </row>
    <row r="248">
      <c r="A248" s="18" t="inlineStr">
        <is>
          <t>사채 상환</t>
        </is>
      </c>
      <c r="D248" s="20" t="n">
        <v>0</v>
      </c>
      <c r="F248" s="20" t="n">
        <v>0</v>
      </c>
      <c r="H248" s="20" t="n">
        <v>-10</v>
      </c>
      <c r="J248" s="20" t="n">
        <v>-20</v>
      </c>
      <c r="L248" s="20" t="n">
        <v>-10</v>
      </c>
      <c r="N248" s="20" t="n">
        <v>-20</v>
      </c>
      <c r="V248" s="20" t="n">
        <v>0</v>
      </c>
      <c r="W248" s="20" t="n">
        <v>-20</v>
      </c>
      <c r="X248" s="20" t="n">
        <v>-20</v>
      </c>
    </row>
    <row r="249">
      <c r="A249" s="18" t="inlineStr">
        <is>
          <t>비지배주주 납입</t>
        </is>
      </c>
      <c r="D249" s="20" t="n">
        <v>414.7</v>
      </c>
      <c r="F249" s="20" t="n">
        <v>414.7</v>
      </c>
      <c r="H249" s="20" t="n">
        <v>0</v>
      </c>
      <c r="J249" s="20" t="n">
        <v>0</v>
      </c>
      <c r="T249" s="20" t="n">
        <v>475</v>
      </c>
      <c r="U249" s="20" t="n">
        <v>725</v>
      </c>
      <c r="V249" s="20" t="n">
        <v>414.7</v>
      </c>
      <c r="W249" s="20" t="n">
        <v>0</v>
      </c>
    </row>
    <row r="250">
      <c r="A250" s="18" t="inlineStr">
        <is>
          <t>자기주식 취득</t>
        </is>
      </c>
      <c r="D250" s="20" t="n">
        <v>0</v>
      </c>
      <c r="F250" s="20" t="n">
        <v>0</v>
      </c>
      <c r="H250" s="20" t="n">
        <v>-96.8</v>
      </c>
      <c r="J250" s="20" t="n">
        <v>-518.109</v>
      </c>
      <c r="L250" s="20" t="n">
        <v>-99.98099999999999</v>
      </c>
      <c r="N250" s="20" t="n">
        <v>-99.98099999999999</v>
      </c>
      <c r="V250" s="20" t="n">
        <v>0</v>
      </c>
      <c r="W250" s="20" t="n">
        <v>-518.109</v>
      </c>
      <c r="X250" s="20" t="n">
        <v>-99.98099999999999</v>
      </c>
    </row>
    <row r="251">
      <c r="A251" s="18" t="inlineStr">
        <is>
          <t>비지배주주 배당금 지급</t>
        </is>
      </c>
      <c r="F251" s="20" t="n">
        <v>-4.465</v>
      </c>
      <c r="J251" s="20" t="n">
        <v>0</v>
      </c>
      <c r="U251" s="20" t="n">
        <v>0</v>
      </c>
      <c r="V251" s="20" t="n">
        <v>-4.465</v>
      </c>
      <c r="W251" s="20" t="n">
        <v>0</v>
      </c>
    </row>
    <row r="252">
      <c r="A252" s="9" t="inlineStr">
        <is>
          <t>재무활동 현금흐름</t>
        </is>
      </c>
      <c r="D252" s="12" t="n">
        <v>422.087</v>
      </c>
      <c r="F252" s="12" t="n">
        <v>1629.693</v>
      </c>
      <c r="H252" s="12" t="n">
        <v>-217.455</v>
      </c>
      <c r="J252" s="12" t="n">
        <v>-742.816</v>
      </c>
      <c r="L252" s="12" t="n">
        <v>-214.165</v>
      </c>
      <c r="N252" s="12" t="n">
        <v>-93.908</v>
      </c>
      <c r="R252" s="12" t="n">
        <v>460</v>
      </c>
      <c r="S252" s="12" t="n">
        <v>1386.215</v>
      </c>
      <c r="T252" s="12" t="n">
        <v>638.9059999999999</v>
      </c>
      <c r="U252" s="12" t="n">
        <v>761.221</v>
      </c>
      <c r="V252" s="12" t="n">
        <v>1629.693</v>
      </c>
      <c r="W252" s="12" t="n">
        <v>-742.816</v>
      </c>
      <c r="X252" s="12" t="n">
        <v>-93.908</v>
      </c>
    </row>
    <row r="253">
      <c r="A253" s="18" t="inlineStr">
        <is>
          <t>현금성자산 증감</t>
        </is>
      </c>
      <c r="D253" s="20" t="n">
        <v>529.373</v>
      </c>
      <c r="F253" s="20" t="n">
        <v>911.591</v>
      </c>
      <c r="H253" s="20" t="n">
        <v>-441.013</v>
      </c>
      <c r="J253" s="20" t="n">
        <v>-969.322</v>
      </c>
      <c r="L253" s="20" t="n">
        <v>74.744</v>
      </c>
      <c r="N253" s="20" t="n">
        <v>463.585</v>
      </c>
      <c r="R253" s="20" t="n">
        <v>543.8869999999999</v>
      </c>
      <c r="S253" s="20" t="n">
        <v>2034.723</v>
      </c>
      <c r="T253" s="20" t="n">
        <v>-267.954</v>
      </c>
      <c r="U253" s="20" t="n">
        <v>-57.213</v>
      </c>
      <c r="V253" s="20" t="n">
        <v>911.591</v>
      </c>
      <c r="W253" s="20" t="n">
        <v>-969.322</v>
      </c>
      <c r="X253" s="20" t="n">
        <v>463.585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코코나라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2025.4Q</t>
        </is>
      </c>
      <c r="D3" s="5" t="inlineStr">
        <is>
          <t>2026.1Q</t>
        </is>
      </c>
      <c r="E3" s="5" t="inlineStr">
        <is>
          <t>2026.2Q</t>
        </is>
      </c>
      <c r="F3" s="5" t="inlineStr">
        <is>
          <t>2026.3Q</t>
        </is>
      </c>
      <c r="G3" s="5" t="inlineStr">
        <is>
          <t>2026.4Q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4248.143</v>
      </c>
      <c r="D5" s="12" t="n">
        <v>4299.381</v>
      </c>
      <c r="E5" s="12" t="n">
        <v>4333.495</v>
      </c>
      <c r="F5" s="12" t="n">
        <v>4428.809</v>
      </c>
      <c r="G5" s="12" t="n">
        <v>4639.193</v>
      </c>
      <c r="H5" s="11" t="n">
        <v>3578.372</v>
      </c>
      <c r="I5" s="12" t="n">
        <v>3690.665</v>
      </c>
      <c r="J5" s="12" t="n">
        <v>5240.113</v>
      </c>
      <c r="K5" s="12" t="n">
        <v>4248.143</v>
      </c>
      <c r="L5" s="12" t="n">
        <v>4639.193</v>
      </c>
    </row>
    <row r="6">
      <c r="A6" s="18" t="inlineStr">
        <is>
          <t>현금및현금성자산</t>
        </is>
      </c>
      <c r="B6" s="10" t="n"/>
      <c r="C6" s="19" t="n">
        <v>2936</v>
      </c>
      <c r="D6" s="20" t="n">
        <v>2941.266</v>
      </c>
      <c r="E6" s="20" t="n">
        <v>3010.744</v>
      </c>
      <c r="F6" s="20" t="n">
        <v>3097.136</v>
      </c>
      <c r="G6" s="20" t="n">
        <v>3399.586</v>
      </c>
      <c r="H6" s="19" t="n">
        <v>3050.945</v>
      </c>
      <c r="I6" s="20" t="n">
        <v>2993.732</v>
      </c>
      <c r="J6" s="20" t="n">
        <v>3905.323</v>
      </c>
      <c r="K6" s="20" t="n">
        <v>2936</v>
      </c>
      <c r="L6" s="20" t="n">
        <v>3399.586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874.5890000000001</v>
      </c>
      <c r="D8" s="20" t="n">
        <v>902.539</v>
      </c>
      <c r="E8" s="20" t="n">
        <v>890.152</v>
      </c>
      <c r="F8" s="20" t="n">
        <v>952.8630000000001</v>
      </c>
      <c r="G8" s="20" t="n">
        <v>944.601</v>
      </c>
      <c r="H8" s="19" t="n">
        <v>333.364</v>
      </c>
      <c r="I8" s="20" t="n">
        <v>475.7</v>
      </c>
      <c r="J8" s="20" t="n">
        <v>930.7329999999999</v>
      </c>
      <c r="K8" s="20" t="n">
        <v>874.5890000000001</v>
      </c>
      <c r="L8" s="20" t="n">
        <v>944.601</v>
      </c>
    </row>
    <row r="9">
      <c r="A9" s="18" t="inlineStr">
        <is>
          <t>재고자산</t>
        </is>
      </c>
      <c r="B9" s="10" t="n"/>
      <c r="C9" s="19" t="n"/>
      <c r="D9" s="20" t="n"/>
      <c r="E9" s="20" t="n"/>
      <c r="F9" s="20" t="n"/>
      <c r="G9" s="20" t="n"/>
      <c r="H9" s="19" t="n"/>
      <c r="I9" s="20" t="n"/>
      <c r="J9" s="20" t="n"/>
      <c r="K9" s="20" t="n"/>
      <c r="L9" s="20" t="n"/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2074.992</v>
      </c>
      <c r="D11" s="12" t="n">
        <v>2054.058</v>
      </c>
      <c r="E11" s="12" t="n">
        <v>2017.841</v>
      </c>
      <c r="F11" s="12" t="n">
        <v>2180.126</v>
      </c>
      <c r="G11" s="12" t="n">
        <v>2182.399</v>
      </c>
      <c r="H11" s="11" t="n">
        <v>749.025</v>
      </c>
      <c r="I11" s="12" t="n">
        <v>1542.249</v>
      </c>
      <c r="J11" s="12" t="n">
        <v>3008.603</v>
      </c>
      <c r="K11" s="12" t="n">
        <v>2074.992</v>
      </c>
      <c r="L11" s="12" t="n">
        <v>2182.399</v>
      </c>
    </row>
    <row r="12">
      <c r="A12" s="18" t="inlineStr">
        <is>
          <t>유형자산</t>
        </is>
      </c>
      <c r="B12" s="10" t="n"/>
      <c r="C12" s="19" t="n">
        <v>178.896</v>
      </c>
      <c r="D12" s="20" t="n">
        <v>187.036</v>
      </c>
      <c r="E12" s="20" t="n">
        <v>183.835</v>
      </c>
      <c r="F12" s="20" t="n">
        <v>165.96</v>
      </c>
      <c r="G12" s="20" t="n">
        <v>150.151</v>
      </c>
      <c r="H12" s="19" t="n">
        <v>114.623</v>
      </c>
      <c r="I12" s="20" t="n">
        <v>184.62</v>
      </c>
      <c r="J12" s="20" t="n">
        <v>232.826</v>
      </c>
      <c r="K12" s="20" t="n">
        <v>178.896</v>
      </c>
      <c r="L12" s="20" t="n">
        <v>150.151</v>
      </c>
    </row>
    <row r="13">
      <c r="A13" s="18" t="inlineStr">
        <is>
          <t>무형자산</t>
        </is>
      </c>
      <c r="B13" s="10" t="n"/>
      <c r="C13" s="19" t="n">
        <v>1252.402</v>
      </c>
      <c r="D13" s="20" t="n">
        <v>1219.284</v>
      </c>
      <c r="E13" s="20" t="n">
        <v>1190.852</v>
      </c>
      <c r="F13" s="20" t="n">
        <v>1342.297</v>
      </c>
      <c r="G13" s="20" t="n">
        <v>1297.897</v>
      </c>
      <c r="H13" s="19" t="n">
        <v>10.674</v>
      </c>
      <c r="I13" s="20" t="n">
        <v>208.287</v>
      </c>
      <c r="J13" s="20" t="n">
        <v>1403.78</v>
      </c>
      <c r="K13" s="20" t="n">
        <v>1252.402</v>
      </c>
      <c r="L13" s="20" t="n">
        <v>1297.897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6325.234</v>
      </c>
      <c r="D16" s="12" t="n">
        <v>6354.843</v>
      </c>
      <c r="E16" s="12" t="n">
        <v>6352.633</v>
      </c>
      <c r="F16" s="12" t="n">
        <v>6610.124</v>
      </c>
      <c r="G16" s="12" t="n">
        <v>6822.672</v>
      </c>
      <c r="H16" s="11" t="n">
        <v>4327.398</v>
      </c>
      <c r="I16" s="12" t="n">
        <v>5232.914</v>
      </c>
      <c r="J16" s="12" t="n">
        <v>8254.77</v>
      </c>
      <c r="K16" s="12" t="n">
        <v>6325.234</v>
      </c>
      <c r="L16" s="12" t="n">
        <v>6822.672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2778.232</v>
      </c>
      <c r="D18" s="12" t="n">
        <v>2763.958</v>
      </c>
      <c r="E18" s="12" t="n">
        <v>2779.904</v>
      </c>
      <c r="F18" s="12" t="n">
        <v>2751.89</v>
      </c>
      <c r="G18" s="12" t="n">
        <v>2927.37</v>
      </c>
      <c r="H18" s="11" t="n">
        <v>1889.731</v>
      </c>
      <c r="I18" s="12" t="n">
        <v>2089.497</v>
      </c>
      <c r="J18" s="12" t="n">
        <v>3105.13</v>
      </c>
      <c r="K18" s="12" t="n">
        <v>2778.232</v>
      </c>
      <c r="L18" s="12" t="n">
        <v>2927.37</v>
      </c>
    </row>
    <row r="19">
      <c r="A19" s="18" t="inlineStr">
        <is>
          <t>매입채무</t>
        </is>
      </c>
      <c r="B19" s="10" t="n"/>
      <c r="C19" s="19" t="n">
        <v>270.457</v>
      </c>
      <c r="D19" s="20" t="n">
        <v>273.234</v>
      </c>
      <c r="E19" s="20" t="n">
        <v>293.012</v>
      </c>
      <c r="F19" s="20" t="n">
        <v>288.602</v>
      </c>
      <c r="G19" s="20" t="n">
        <v>309.661</v>
      </c>
      <c r="H19" s="19" t="n">
        <v>0</v>
      </c>
      <c r="I19" s="20" t="n">
        <v>62.974</v>
      </c>
      <c r="J19" s="20" t="n">
        <v>375.514</v>
      </c>
      <c r="K19" s="20" t="n">
        <v>270.457</v>
      </c>
      <c r="L19" s="20" t="n">
        <v>309.661</v>
      </c>
    </row>
    <row r="20">
      <c r="A20" s="18" t="inlineStr">
        <is>
          <t>단기차입금</t>
        </is>
      </c>
      <c r="B20" s="10" t="n"/>
      <c r="C20" s="19" t="n">
        <v>0</v>
      </c>
      <c r="D20" s="20" t="n">
        <v>40</v>
      </c>
      <c r="E20" s="20" t="n"/>
      <c r="F20" s="20" t="n"/>
      <c r="G20" s="20" t="n"/>
      <c r="H20" s="19" t="n"/>
      <c r="I20" s="20" t="n"/>
      <c r="J20" s="20" t="n">
        <v>0</v>
      </c>
      <c r="K20" s="20" t="n">
        <v>0</v>
      </c>
      <c r="L20" s="20" t="n"/>
    </row>
    <row r="21">
      <c r="A21" s="18" t="inlineStr">
        <is>
          <t>유동성장기부채</t>
        </is>
      </c>
      <c r="B21" s="10" t="n"/>
      <c r="C21" s="19" t="n">
        <v>229.988</v>
      </c>
      <c r="D21" s="20" t="n">
        <v>229.988</v>
      </c>
      <c r="E21" s="20" t="n">
        <v>229.988</v>
      </c>
      <c r="F21" s="20" t="n">
        <v>267.2</v>
      </c>
      <c r="G21" s="20" t="n">
        <v>267.22</v>
      </c>
      <c r="H21" s="19" t="n"/>
      <c r="I21" s="20" t="n">
        <v>0</v>
      </c>
      <c r="J21" s="20" t="n">
        <v>235.786</v>
      </c>
      <c r="K21" s="20" t="n">
        <v>229.988</v>
      </c>
      <c r="L21" s="20" t="n">
        <v>267.22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1129.739</v>
      </c>
      <c r="D23" s="12" t="n">
        <v>1063.067</v>
      </c>
      <c r="E23" s="12" t="n">
        <v>1006.394</v>
      </c>
      <c r="F23" s="12" t="n">
        <v>1149.557</v>
      </c>
      <c r="G23" s="12" t="n">
        <v>1082.604</v>
      </c>
      <c r="H23" s="11" t="n">
        <v>0</v>
      </c>
      <c r="I23" s="12" t="n">
        <v>17.453</v>
      </c>
      <c r="J23" s="12" t="n">
        <v>1363.554</v>
      </c>
      <c r="K23" s="12" t="n">
        <v>1129.739</v>
      </c>
      <c r="L23" s="12" t="n">
        <v>1082.604</v>
      </c>
    </row>
    <row r="24">
      <c r="A24" s="18" t="inlineStr">
        <is>
          <t>장기차입금</t>
        </is>
      </c>
      <c r="B24" s="10" t="n"/>
      <c r="C24" s="19" t="n">
        <v>934.201</v>
      </c>
      <c r="D24" s="20" t="n">
        <v>881.704</v>
      </c>
      <c r="E24" s="20" t="n">
        <v>829.207</v>
      </c>
      <c r="F24" s="20" t="n">
        <v>986.546</v>
      </c>
      <c r="G24" s="20" t="n">
        <v>923.768</v>
      </c>
      <c r="H24" s="19" t="n"/>
      <c r="I24" s="20" t="n">
        <v>0</v>
      </c>
      <c r="J24" s="20" t="n">
        <v>1144.189</v>
      </c>
      <c r="K24" s="20" t="n">
        <v>934.201</v>
      </c>
      <c r="L24" s="20" t="n">
        <v>923.768</v>
      </c>
    </row>
    <row r="25">
      <c r="A25" s="18" t="inlineStr">
        <is>
          <t>사채</t>
        </is>
      </c>
      <c r="B25" s="10" t="n"/>
      <c r="C25" s="19" t="n">
        <v>60</v>
      </c>
      <c r="D25" s="20" t="n">
        <v>50</v>
      </c>
      <c r="E25" s="20" t="n">
        <v>50</v>
      </c>
      <c r="F25" s="20" t="n">
        <v>40</v>
      </c>
      <c r="G25" s="20" t="n">
        <v>40</v>
      </c>
      <c r="H25" s="19" t="n"/>
      <c r="I25" s="20" t="n">
        <v>0</v>
      </c>
      <c r="J25" s="20" t="n">
        <v>80</v>
      </c>
      <c r="K25" s="20" t="n">
        <v>60</v>
      </c>
      <c r="L25" s="20" t="n">
        <v>40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3907.972</v>
      </c>
      <c r="D27" s="12" t="n">
        <v>3827.025</v>
      </c>
      <c r="E27" s="12" t="n">
        <v>3786.299</v>
      </c>
      <c r="F27" s="12" t="n">
        <v>3901.448</v>
      </c>
      <c r="G27" s="12" t="n">
        <v>4009.974</v>
      </c>
      <c r="H27" s="11" t="n">
        <v>1889.731</v>
      </c>
      <c r="I27" s="12" t="n">
        <v>2106.951</v>
      </c>
      <c r="J27" s="12" t="n">
        <v>4468.684</v>
      </c>
      <c r="K27" s="12" t="n">
        <v>3907.972</v>
      </c>
      <c r="L27" s="12" t="n">
        <v>4009.974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2011.694</v>
      </c>
      <c r="D31" s="12" t="n">
        <v>2082.686</v>
      </c>
      <c r="E31" s="12" t="n">
        <v>2106.166</v>
      </c>
      <c r="F31" s="12" t="n">
        <v>2237.451</v>
      </c>
      <c r="G31" s="12" t="n">
        <v>2334.003</v>
      </c>
      <c r="H31" s="11" t="n">
        <v>1987.278</v>
      </c>
      <c r="I31" s="12" t="n">
        <v>1946.102</v>
      </c>
      <c r="J31" s="12" t="n">
        <v>2202.208</v>
      </c>
      <c r="K31" s="12" t="n">
        <v>2011.694</v>
      </c>
      <c r="L31" s="12" t="n">
        <v>2334.003</v>
      </c>
    </row>
    <row r="32">
      <c r="A32" s="18" t="inlineStr">
        <is>
          <t>자본금</t>
        </is>
      </c>
      <c r="B32" s="10" t="n"/>
      <c r="C32" s="19" t="n">
        <v>1255.356</v>
      </c>
      <c r="D32" s="20" t="n">
        <v>1255.563</v>
      </c>
      <c r="E32" s="20" t="n">
        <v>1255.688</v>
      </c>
      <c r="F32" s="20" t="n">
        <v>1255.771</v>
      </c>
      <c r="G32" s="20" t="n">
        <v>1258.268</v>
      </c>
      <c r="H32" s="19" t="n">
        <v>1221.56</v>
      </c>
      <c r="I32" s="20" t="n">
        <v>1238.686</v>
      </c>
      <c r="J32" s="20" t="n">
        <v>1244.957</v>
      </c>
      <c r="K32" s="20" t="n">
        <v>1255.356</v>
      </c>
      <c r="L32" s="20" t="n">
        <v>1258.268</v>
      </c>
    </row>
    <row r="33">
      <c r="A33" s="18" t="inlineStr">
        <is>
          <t>이익잉여금</t>
        </is>
      </c>
      <c r="B33" s="10" t="n"/>
      <c r="C33" s="19" t="n">
        <v>255.323</v>
      </c>
      <c r="D33" s="20" t="n">
        <v>325.9</v>
      </c>
      <c r="E33" s="20" t="n">
        <v>413.112</v>
      </c>
      <c r="F33" s="20" t="n">
        <v>544.232</v>
      </c>
      <c r="G33" s="20" t="n">
        <v>635.789</v>
      </c>
      <c r="H33" s="19" t="n">
        <v>-1601.139</v>
      </c>
      <c r="I33" s="20" t="n">
        <v>-1677.039</v>
      </c>
      <c r="J33" s="20" t="n">
        <v>-1433.41</v>
      </c>
      <c r="K33" s="20" t="n">
        <v>255.323</v>
      </c>
      <c r="L33" s="20" t="n">
        <v>635.789</v>
      </c>
    </row>
    <row r="34">
      <c r="A34" s="18" t="inlineStr">
        <is>
          <t>비지배지분</t>
        </is>
      </c>
      <c r="B34" s="10" t="n"/>
      <c r="C34" s="19" t="n">
        <v>4.452</v>
      </c>
      <c r="D34" s="20" t="n">
        <v>3.728</v>
      </c>
      <c r="E34" s="20" t="n">
        <v>3.998</v>
      </c>
      <c r="F34" s="20" t="n">
        <v>4.185</v>
      </c>
      <c r="G34" s="20" t="n">
        <v>4.787</v>
      </c>
      <c r="H34" s="19" t="n">
        <v>437.888</v>
      </c>
      <c r="I34" s="20" t="n">
        <v>1068.862</v>
      </c>
      <c r="J34" s="20" t="n">
        <v>1340.454</v>
      </c>
      <c r="K34" s="20" t="n">
        <v>4.452</v>
      </c>
      <c r="L34" s="20" t="n">
        <v>4.787</v>
      </c>
    </row>
    <row r="35">
      <c r="A35" s="9" t="inlineStr">
        <is>
          <t>자본총계</t>
        </is>
      </c>
      <c r="B35" s="10" t="n"/>
      <c r="C35" s="11" t="n">
        <v>2417.262</v>
      </c>
      <c r="D35" s="12" t="n">
        <v>2527.818</v>
      </c>
      <c r="E35" s="12" t="n">
        <v>2566.334</v>
      </c>
      <c r="F35" s="12" t="n">
        <v>2708.675</v>
      </c>
      <c r="G35" s="12" t="n">
        <v>2812.698</v>
      </c>
      <c r="H35" s="11" t="n">
        <v>2437.666</v>
      </c>
      <c r="I35" s="12" t="n">
        <v>3125.963</v>
      </c>
      <c r="J35" s="12" t="n">
        <v>3786.085</v>
      </c>
      <c r="K35" s="12" t="n">
        <v>2417.262</v>
      </c>
      <c r="L35" s="12" t="n">
        <v>2812.698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255.082</v>
      </c>
      <c r="D37" s="12" t="n"/>
      <c r="E37" s="12" t="n">
        <v>603.697</v>
      </c>
      <c r="F37" s="12" t="n"/>
      <c r="G37" s="12" t="n">
        <v>832.5359999999999</v>
      </c>
      <c r="H37" s="11" t="n">
        <v>-419.817</v>
      </c>
      <c r="I37" s="12" t="n">
        <v>114.229</v>
      </c>
      <c r="J37" s="12" t="n">
        <v>618.444</v>
      </c>
      <c r="K37" s="12" t="n">
        <v>255.082</v>
      </c>
      <c r="L37" s="12" t="n">
        <v>832.5359999999999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16.716</v>
      </c>
      <c r="D38" s="20" t="n"/>
      <c r="E38" s="20" t="n">
        <v>70.374</v>
      </c>
      <c r="F38" s="20" t="n"/>
      <c r="G38" s="20" t="n">
        <v>60.005</v>
      </c>
      <c r="H38" s="19" t="n">
        <v>45.976</v>
      </c>
      <c r="I38" s="20" t="n">
        <v>98.575</v>
      </c>
      <c r="J38" s="20" t="n">
        <v>3.841</v>
      </c>
      <c r="K38" s="20" t="n">
        <v>16.716</v>
      </c>
      <c r="L38" s="20" t="n">
        <v>60.005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/>
      <c r="G40" s="20" t="n"/>
      <c r="H40" s="19" t="n"/>
      <c r="I40" s="20" t="n"/>
      <c r="J40" s="20" t="n"/>
      <c r="K40" s="20" t="n"/>
      <c r="L40" s="20" t="n"/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IFERROR((IF(COUNT('연간'!G25:J25)&lt;4,"",SUM('연간'!G25:J25)))/(IF(COUNT('연간'!G47:J47)&lt;4,"",SUM('연간'!G47:J47))),"")</f>
        <v/>
      </c>
      <c r="D48" s="31">
        <f>IFERROR((IF(COUNT('연간'!H25:K25)&lt;4,"",SUM('연간'!H25:K25)))/(IF(COUNT('연간'!H47:K47)&lt;4,"",SUM('연간'!H47:K47))),"")</f>
        <v/>
      </c>
      <c r="E48" s="31">
        <f>IFERROR((IF(COUNT('연간'!I25:L25)&lt;4,"",SUM('연간'!I25:L25)))/(IF(COUNT('연간'!I47:L47)&lt;4,"",SUM('연간'!I47:L47))),"")</f>
        <v/>
      </c>
      <c r="F48" s="31">
        <f>IFERROR((IF(COUNT('연간'!J25:M25)&lt;4,"",SUM('연간'!J25:M25)))/(IF(COUNT('연간'!J47:M47)&lt;4,"",SUM('연간'!J47:M47))),"")</f>
        <v/>
      </c>
      <c r="G48" s="31">
        <f>IFERROR((IF(COUNT('연간'!K25:N25)&lt;4,"",SUM('연간'!K25:N25)))/(IF(COUNT('연간'!K47:N47)&lt;4,"",SUM('연간'!K47:N47))),"")</f>
        <v/>
      </c>
      <c r="H48" s="30">
        <f>IFERROR(('연간'!T25)/('연간'!T47),"")</f>
        <v/>
      </c>
      <c r="I48" s="31">
        <f>IFERROR(('연간'!U25)/('연간'!U47),"")</f>
        <v/>
      </c>
      <c r="J48" s="31">
        <f>IFERROR(('연간'!V25)/('연간'!V47),"")</f>
        <v/>
      </c>
      <c r="K48" s="31">
        <f>IFERROR(('연간'!W25)/('연간'!W47),"")</f>
        <v/>
      </c>
      <c r="L48" s="31">
        <f>IFERROR(('연간'!X25)/('연간'!X47),"")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IFERROR(IF((IF(COUNT('연간'!G53:J53)&lt;4,"",SUM('연간'!G53:J53)))&lt;=0,"적자",C28/(IF(COUNT('연간'!G53:J53)&lt;4,"",SUM('연간'!G53:J53)))),"")</f>
        <v/>
      </c>
      <c r="D49" s="47">
        <f>IFERROR(IF((IF(COUNT('연간'!H53:K53)&lt;4,"",SUM('연간'!H53:K53)))&lt;=0,"적자",D28/(IF(COUNT('연간'!H53:K53)&lt;4,"",SUM('연간'!H53:K53)))),"")</f>
        <v/>
      </c>
      <c r="E49" s="47">
        <f>IFERROR(IF((IF(COUNT('연간'!I53:L53)&lt;4,"",SUM('연간'!I53:L53)))&lt;=0,"적자",E28/(IF(COUNT('연간'!I53:L53)&lt;4,"",SUM('연간'!I53:L53)))),"")</f>
        <v/>
      </c>
      <c r="F49" s="47">
        <f>IFERROR(IF((IF(COUNT('연간'!J53:M53)&lt;4,"",SUM('연간'!J53:M53)))&lt;=0,"적자",F28/(IF(COUNT('연간'!J53:M53)&lt;4,"",SUM('연간'!J53:M53)))),"")</f>
        <v/>
      </c>
      <c r="G49" s="47">
        <f>IFERROR(IF((IF(COUNT('연간'!K53:N53)&lt;4,"",SUM('연간'!K53:N53)))&lt;=0,"적자",G28/(IF(COUNT('연간'!K53:N53)&lt;4,"",SUM('연간'!K53:N53)))),"")</f>
        <v/>
      </c>
      <c r="H49" s="46">
        <f>IFERROR(IF(('연간'!T53)&lt;=0,"적자",H28/('연간'!T53)),"")</f>
        <v/>
      </c>
      <c r="I49" s="47">
        <f>IFERROR(IF(('연간'!U53)&lt;=0,"적자",I28/('연간'!U53)),"")</f>
        <v/>
      </c>
      <c r="J49" s="47">
        <f>IFERROR(IF(('연간'!V53)&lt;=0,"적자",J28/('연간'!V53)),"")</f>
        <v/>
      </c>
      <c r="K49" s="47">
        <f>IFERROR(IF(('연간'!W53)&lt;=0,"적자",K28/('연간'!W53)),"")</f>
        <v/>
      </c>
      <c r="L49" s="47">
        <f>IFERROR(IF(('연간'!X53)&lt;=0,"적자",L28/('연간'!X53)),"")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IFERROR((IF(COUNT('연간'!G53:J53)&lt;4,"",SUM('연간'!G53:J53)))/C31,"")</f>
        <v/>
      </c>
      <c r="D51" s="36">
        <f>IFERROR((IF(COUNT('연간'!H53:K53)&lt;4,"",SUM('연간'!H53:K53)))/D31,"")</f>
        <v/>
      </c>
      <c r="E51" s="36">
        <f>IFERROR((IF(COUNT('연간'!I53:L53)&lt;4,"",SUM('연간'!I53:L53)))/E31,"")</f>
        <v/>
      </c>
      <c r="F51" s="36">
        <f>IFERROR((IF(COUNT('연간'!J53:M53)&lt;4,"",SUM('연간'!J53:M53)))/F31,"")</f>
        <v/>
      </c>
      <c r="G51" s="36">
        <f>IFERROR((IF(COUNT('연간'!K53:N53)&lt;4,"",SUM('연간'!K53:N53)))/G31,"")</f>
        <v/>
      </c>
      <c r="H51" s="35">
        <f>IFERROR(('연간'!T53)/H31,"")</f>
        <v/>
      </c>
      <c r="I51" s="36">
        <f>IFERROR(('연간'!U53)/I31,"")</f>
        <v/>
      </c>
      <c r="J51" s="36">
        <f>IFERROR(('연간'!V53)/J31,"")</f>
        <v/>
      </c>
      <c r="K51" s="36">
        <f>IFERROR(('연간'!W53)/K31,"")</f>
        <v/>
      </c>
      <c r="L51" s="36">
        <f>IFERROR(('연간'!X53)/L31,"")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IFERROR((IF(COUNT('연간'!G52:J52)&lt;4,"",SUM('연간'!G52:J52)))/C16,"")</f>
        <v/>
      </c>
      <c r="D52" s="36">
        <f>IFERROR((IF(COUNT('연간'!H52:K52)&lt;4,"",SUM('연간'!H52:K52)))/D16,"")</f>
        <v/>
      </c>
      <c r="E52" s="36">
        <f>IFERROR((IF(COUNT('연간'!I52:L52)&lt;4,"",SUM('연간'!I52:L52)))/E16,"")</f>
        <v/>
      </c>
      <c r="F52" s="36">
        <f>IFERROR((IF(COUNT('연간'!J52:M52)&lt;4,"",SUM('연간'!J52:M52)))/F16,"")</f>
        <v/>
      </c>
      <c r="G52" s="36">
        <f>IFERROR((IF(COUNT('연간'!K52:N52)&lt;4,"",SUM('연간'!K52:N52)))/G16,"")</f>
        <v/>
      </c>
      <c r="H52" s="35">
        <f>IFERROR(('연간'!T52)/H16,"")</f>
        <v/>
      </c>
      <c r="I52" s="36">
        <f>IFERROR(('연간'!U52)/I16,"")</f>
        <v/>
      </c>
      <c r="J52" s="36">
        <f>IFERROR(('연간'!V52)/J16,"")</f>
        <v/>
      </c>
      <c r="K52" s="36">
        <f>IFERROR(('연간'!W52)/K16,"")</f>
        <v/>
      </c>
      <c r="L52" s="36">
        <f>IFERROR(('연간'!X52)/L16,"")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IFERROR((IF(COUNT('연간'!G25:J25)&lt;4,"",SUM('연간'!G25:J25)))*(1-0.3)/(C35+C29),"")</f>
        <v/>
      </c>
      <c r="D53" s="36">
        <f>IFERROR((IF(COUNT('연간'!H25:K25)&lt;4,"",SUM('연간'!H25:K25)))*(1-0.3)/(D35+D29),"")</f>
        <v/>
      </c>
      <c r="E53" s="36">
        <f>IFERROR((IF(COUNT('연간'!I25:L25)&lt;4,"",SUM('연간'!I25:L25)))*(1-0.3)/(E35+E29),"")</f>
        <v/>
      </c>
      <c r="F53" s="36">
        <f>IFERROR((IF(COUNT('연간'!J25:M25)&lt;4,"",SUM('연간'!J25:M25)))*(1-0.3)/(F35+F29),"")</f>
        <v/>
      </c>
      <c r="G53" s="36">
        <f>IFERROR((IF(COUNT('연간'!K25:N25)&lt;4,"",SUM('연간'!K25:N25)))*(1-0.3)/(G35+G29),"")</f>
        <v/>
      </c>
      <c r="H53" s="35">
        <f>IFERROR(('연간'!T25)*(1-0.3)/(H35+H29),"")</f>
        <v/>
      </c>
      <c r="I53" s="36">
        <f>IFERROR(('연간'!U25)*(1-0.3)/(I35+I29),"")</f>
        <v/>
      </c>
      <c r="J53" s="36">
        <f>IFERROR(('연간'!V25)*(1-0.3)/(J35+J29),"")</f>
        <v/>
      </c>
      <c r="K53" s="36">
        <f>IFERROR(('연간'!W25)*(1-0.3)/(K35+K29),"")</f>
        <v/>
      </c>
      <c r="L53" s="36">
        <f>IFERROR(('연간'!X25)*(1-0.3)/(L35+L29),"")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IFERROR((IF(COUNT('연간'!G21:J21)&lt;4,"",SUM('연간'!G21:J21)))/(IF(COUNT('연간'!G4:J4)&lt;4,"",SUM('연간'!G4:J4))),"")</f>
        <v/>
      </c>
      <c r="D54" s="36">
        <f>IFERROR((IF(COUNT('연간'!H21:K21)&lt;4,"",SUM('연간'!H21:K21)))/(IF(COUNT('연간'!H4:K4)&lt;4,"",SUM('연간'!H4:K4))),"")</f>
        <v/>
      </c>
      <c r="E54" s="36">
        <f>IFERROR((IF(COUNT('연간'!I21:L21)&lt;4,"",SUM('연간'!I21:L21)))/(IF(COUNT('연간'!I4:L4)&lt;4,"",SUM('연간'!I4:L4))),"")</f>
        <v/>
      </c>
      <c r="F54" s="36">
        <f>IFERROR((IF(COUNT('연간'!J21:M21)&lt;4,"",SUM('연간'!J21:M21)))/(IF(COUNT('연간'!J4:M4)&lt;4,"",SUM('연간'!J4:M4))),"")</f>
        <v/>
      </c>
      <c r="G54" s="36">
        <f>IFERROR((IF(COUNT('연간'!K21:N21)&lt;4,"",SUM('연간'!K21:N21)))/(IF(COUNT('연간'!K4:N4)&lt;4,"",SUM('연간'!K4:N4))),"")</f>
        <v/>
      </c>
      <c r="H54" s="35">
        <f>IFERROR(('연간'!T21)/('연간'!T4),"")</f>
        <v/>
      </c>
      <c r="I54" s="36">
        <f>IFERROR(('연간'!U21)/('연간'!U4),"")</f>
        <v/>
      </c>
      <c r="J54" s="36">
        <f>IFERROR(('연간'!V21)/('연간'!V4),"")</f>
        <v/>
      </c>
      <c r="K54" s="36">
        <f>IFERROR(('연간'!W21)/('연간'!W4),"")</f>
        <v/>
      </c>
      <c r="L54" s="36">
        <f>IFERROR(('연간'!X21)/('연간'!X4),"")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IFERROR((IF(COUNT('연간'!G25:J25)&lt;4,"",SUM('연간'!G25:J25)))/(IF(COUNT('연간'!G4:J4)&lt;4,"",SUM('연간'!G4:J4))),"")</f>
        <v/>
      </c>
      <c r="D55" s="36">
        <f>IFERROR((IF(COUNT('연간'!H25:K25)&lt;4,"",SUM('연간'!H25:K25)))/(IF(COUNT('연간'!H4:K4)&lt;4,"",SUM('연간'!H4:K4))),"")</f>
        <v/>
      </c>
      <c r="E55" s="36">
        <f>IFERROR((IF(COUNT('연간'!I25:L25)&lt;4,"",SUM('연간'!I25:L25)))/(IF(COUNT('연간'!I4:L4)&lt;4,"",SUM('연간'!I4:L4))),"")</f>
        <v/>
      </c>
      <c r="F55" s="36">
        <f>IFERROR((IF(COUNT('연간'!J25:M25)&lt;4,"",SUM('연간'!J25:M25)))/(IF(COUNT('연간'!J4:M4)&lt;4,"",SUM('연간'!J4:M4))),"")</f>
        <v/>
      </c>
      <c r="G55" s="36">
        <f>IFERROR((IF(COUNT('연간'!K25:N25)&lt;4,"",SUM('연간'!K25:N25)))/(IF(COUNT('연간'!K4:N4)&lt;4,"",SUM('연간'!K4:N4))),"")</f>
        <v/>
      </c>
      <c r="H55" s="35">
        <f>IFERROR(('연간'!T25)/('연간'!T4),"")</f>
        <v/>
      </c>
      <c r="I55" s="36">
        <f>IFERROR(('연간'!U25)/('연간'!U4),"")</f>
        <v/>
      </c>
      <c r="J55" s="36">
        <f>IFERROR(('연간'!V25)/('연간'!V4),"")</f>
        <v/>
      </c>
      <c r="K55" s="36">
        <f>IFERROR(('연간'!W25)/('연간'!W4),"")</f>
        <v/>
      </c>
      <c r="L55" s="36">
        <f>IFERROR(('연간'!X25)/('연간'!X4),"")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IFERROR((IF(COUNT('연간'!G52:J52)&lt;4,"",SUM('연간'!G52:J52)))/(IF(COUNT('연간'!G4:J4)&lt;4,"",SUM('연간'!G4:J4))),"")</f>
        <v/>
      </c>
      <c r="D56" s="36">
        <f>IFERROR((IF(COUNT('연간'!H52:K52)&lt;4,"",SUM('연간'!H52:K52)))/(IF(COUNT('연간'!H4:K4)&lt;4,"",SUM('연간'!H4:K4))),"")</f>
        <v/>
      </c>
      <c r="E56" s="36">
        <f>IFERROR((IF(COUNT('연간'!I52:L52)&lt;4,"",SUM('연간'!I52:L52)))/(IF(COUNT('연간'!I4:L4)&lt;4,"",SUM('연간'!I4:L4))),"")</f>
        <v/>
      </c>
      <c r="F56" s="36">
        <f>IFERROR((IF(COUNT('연간'!J52:M52)&lt;4,"",SUM('연간'!J52:M52)))/(IF(COUNT('연간'!J4:M4)&lt;4,"",SUM('연간'!J4:M4))),"")</f>
        <v/>
      </c>
      <c r="G56" s="36">
        <f>IFERROR((IF(COUNT('연간'!K52:N52)&lt;4,"",SUM('연간'!K52:N52)))/(IF(COUNT('연간'!K4:N4)&lt;4,"",SUM('연간'!K4:N4))),"")</f>
        <v/>
      </c>
      <c r="H56" s="35">
        <f>IFERROR(('연간'!T52)/('연간'!T4),"")</f>
        <v/>
      </c>
      <c r="I56" s="36">
        <f>IFERROR(('연간'!U52)/('연간'!U4),"")</f>
        <v/>
      </c>
      <c r="J56" s="36">
        <f>IFERROR(('연간'!V52)/('연간'!V4),"")</f>
        <v/>
      </c>
      <c r="K56" s="36">
        <f>IFERROR(('연간'!W52)/('연간'!W4),"")</f>
        <v/>
      </c>
      <c r="L56" s="36">
        <f>IFERROR(('연간'!X52)/('연간'!X4),"")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IFERROR(C9/(IF(COUNT('연간'!G20:J20)&lt;4,"",SUM('연간'!G20:J20)))*365,"")</f>
        <v/>
      </c>
      <c r="D60" s="49">
        <f>IFERROR(D9/(IF(COUNT('연간'!H20:K20)&lt;4,"",SUM('연간'!H20:K20)))*365,"")</f>
        <v/>
      </c>
      <c r="E60" s="49">
        <f>IFERROR(E9/(IF(COUNT('연간'!I20:L20)&lt;4,"",SUM('연간'!I20:L20)))*365,"")</f>
        <v/>
      </c>
      <c r="F60" s="49">
        <f>IFERROR(F9/(IF(COUNT('연간'!J20:M20)&lt;4,"",SUM('연간'!J20:M20)))*365,"")</f>
        <v/>
      </c>
      <c r="G60" s="49">
        <f>IFERROR(G9/(IF(COUNT('연간'!K20:N20)&lt;4,"",SUM('연간'!K20:N20)))*365,"")</f>
        <v/>
      </c>
      <c r="H60" s="48">
        <f>IFERROR(H9/('연간'!T20)*365,"")</f>
        <v/>
      </c>
      <c r="I60" s="49">
        <f>IFERROR(I9/('연간'!U20)*365,"")</f>
        <v/>
      </c>
      <c r="J60" s="49">
        <f>IFERROR(J9/('연간'!V20)*365,"")</f>
        <v/>
      </c>
      <c r="K60" s="49">
        <f>IFERROR(K9/('연간'!W20)*365,"")</f>
        <v/>
      </c>
      <c r="L60" s="49">
        <f>IFERROR(L9/('연간'!X20)*365,"")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IFERROR(C19/(IF(COUNT('연간'!G20:J20)&lt;4,"",SUM('연간'!G20:J20)))*365,"")</f>
        <v/>
      </c>
      <c r="D61" s="49">
        <f>IFERROR(D19/(IF(COUNT('연간'!H20:K20)&lt;4,"",SUM('연간'!H20:K20)))*365,"")</f>
        <v/>
      </c>
      <c r="E61" s="49">
        <f>IFERROR(E19/(IF(COUNT('연간'!I20:L20)&lt;4,"",SUM('연간'!I20:L20)))*365,"")</f>
        <v/>
      </c>
      <c r="F61" s="49">
        <f>IFERROR(F19/(IF(COUNT('연간'!J20:M20)&lt;4,"",SUM('연간'!J20:M20)))*365,"")</f>
        <v/>
      </c>
      <c r="G61" s="49">
        <f>IFERROR(G19/(IF(COUNT('연간'!K20:N20)&lt;4,"",SUM('연간'!K20:N20)))*365,"")</f>
        <v/>
      </c>
      <c r="H61" s="48">
        <f>IFERROR(H19/('연간'!T20)*365,"")</f>
        <v/>
      </c>
      <c r="I61" s="49">
        <f>IFERROR(I19/('연간'!U20)*365,"")</f>
        <v/>
      </c>
      <c r="J61" s="49">
        <f>IFERROR(J19/('연간'!V20)*365,"")</f>
        <v/>
      </c>
      <c r="K61" s="49">
        <f>IFERROR(K19/('연간'!W20)*365,"")</f>
        <v/>
      </c>
      <c r="L61" s="49">
        <f>IFERROR(L19/('연간'!X20)*365,"")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IF(C37="","",IFERROR(C37/(IF(COUNT('연간'!G52:J52)&lt;4,"",SUM('연간'!G52:J52))),""))</f>
        <v/>
      </c>
      <c r="D64" s="31">
        <f>IF(D37="","",IFERROR(D37/(IF(COUNT('연간'!H52:K52)&lt;4,"",SUM('연간'!H52:K52))),""))</f>
        <v/>
      </c>
      <c r="E64" s="31">
        <f>IF(E37="","",IFERROR(E37/(IF(COUNT('연간'!I52:L52)&lt;4,"",SUM('연간'!I52:L52))),""))</f>
        <v/>
      </c>
      <c r="F64" s="31">
        <f>IF(F37="","",IFERROR(F37/(IF(COUNT('연간'!J52:M52)&lt;4,"",SUM('연간'!J52:M52))),""))</f>
        <v/>
      </c>
      <c r="G64" s="31">
        <f>IF(G37="","",IFERROR(G37/(IF(COUNT('연간'!K52:N52)&lt;4,"",SUM('연간'!K52:N52))),""))</f>
        <v/>
      </c>
      <c r="H64" s="30">
        <f>IF(H37="","",IFERROR(H37/('연간'!T52),""))</f>
        <v/>
      </c>
      <c r="I64" s="31">
        <f>IF(I37="","",IFERROR(I37/('연간'!U52),""))</f>
        <v/>
      </c>
      <c r="J64" s="31">
        <f>IF(J37="","",IFERROR(J37/('연간'!V52),""))</f>
        <v/>
      </c>
      <c r="K64" s="31">
        <f>IF(K37="","",IFERROR(K37/('연간'!W52),""))</f>
        <v/>
      </c>
      <c r="L64" s="31">
        <f>IF(L37="","",IFERROR(L37/('연간'!X52),""))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IF(C40="","",IFERROR(C40/(IF(COUNT('연간'!G53:J53)&lt;4,"",SUM('연간'!G53:J53))),""))</f>
        <v/>
      </c>
      <c r="D67" s="36">
        <f>IF(D40="","",IFERROR(D40/(IF(COUNT('연간'!H53:K53)&lt;4,"",SUM('연간'!H53:K53))),""))</f>
        <v/>
      </c>
      <c r="E67" s="36">
        <f>IF(E40="","",IFERROR(E40/(IF(COUNT('연간'!I53:L53)&lt;4,"",SUM('연간'!I53:L53))),""))</f>
        <v/>
      </c>
      <c r="F67" s="36">
        <f>IF(F40="","",IFERROR(F40/(IF(COUNT('연간'!J53:M53)&lt;4,"",SUM('연간'!J53:M53))),""))</f>
        <v/>
      </c>
      <c r="G67" s="36">
        <f>IF(G40="","",IFERROR(G40/(IF(COUNT('연간'!K53:N53)&lt;4,"",SUM('연간'!K53:N53))),""))</f>
        <v/>
      </c>
      <c r="H67" s="35">
        <f>IF(H40="","",IFERROR(H40/('연간'!T53),""))</f>
        <v/>
      </c>
      <c r="I67" s="36">
        <f>IF(I40="","",IFERROR(I40/('연간'!U53),""))</f>
        <v/>
      </c>
      <c r="J67" s="36">
        <f>IF(J40="","",IFERROR(J40/('연간'!V53),""))</f>
        <v/>
      </c>
      <c r="K67" s="36">
        <f>IF(K40="","",IFERROR(K40/('연간'!W53),""))</f>
        <v/>
      </c>
      <c r="L67" s="36">
        <f>IF(L40="","",IFERROR(L40/('연간'!X53),""))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2025.4Q</t>
        </is>
      </c>
      <c r="D70" s="5" t="inlineStr">
        <is>
          <t>2026.1Q</t>
        </is>
      </c>
      <c r="E70" s="5" t="inlineStr">
        <is>
          <t>2026.2Q</t>
        </is>
      </c>
      <c r="F70" s="5" t="inlineStr">
        <is>
          <t>2026.3Q</t>
        </is>
      </c>
      <c r="G70" s="5" t="inlineStr">
        <is>
          <t>2026.4Q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2936</v>
      </c>
      <c r="D71" s="20" t="n">
        <v>2941.266</v>
      </c>
      <c r="E71" s="20" t="n">
        <v>3010.744</v>
      </c>
      <c r="F71" s="20" t="n">
        <v>3097.136</v>
      </c>
      <c r="G71" s="20" t="n">
        <v>3399.586</v>
      </c>
      <c r="H71" s="20" t="n">
        <v>3050.945</v>
      </c>
      <c r="I71" s="20" t="n">
        <v>2993.732</v>
      </c>
      <c r="J71" s="20" t="n">
        <v>3905.323</v>
      </c>
      <c r="K71" s="20" t="n">
        <v>2936</v>
      </c>
      <c r="L71" s="20" t="n">
        <v>3399.586</v>
      </c>
    </row>
    <row r="72">
      <c r="A72" s="18" t="inlineStr">
        <is>
          <t>매출채권</t>
        </is>
      </c>
      <c r="C72" s="20" t="n">
        <v>874.5890000000001</v>
      </c>
      <c r="D72" s="20" t="n">
        <v>902.539</v>
      </c>
      <c r="E72" s="20" t="n">
        <v>890.152</v>
      </c>
      <c r="F72" s="20" t="n">
        <v>952.8630000000001</v>
      </c>
      <c r="G72" s="20" t="n">
        <v>944.601</v>
      </c>
      <c r="H72" s="20" t="n">
        <v>333.364</v>
      </c>
      <c r="I72" s="20" t="n">
        <v>475.7</v>
      </c>
      <c r="J72" s="20" t="n">
        <v>930.7329999999999</v>
      </c>
      <c r="K72" s="20" t="n">
        <v>874.5890000000001</v>
      </c>
      <c r="L72" s="20" t="n">
        <v>944.601</v>
      </c>
    </row>
    <row r="73">
      <c r="A73" s="18" t="inlineStr">
        <is>
          <t>선급비용</t>
        </is>
      </c>
      <c r="C73" s="20" t="n">
        <v>187.444</v>
      </c>
      <c r="D73" s="20" t="n">
        <v>254.346</v>
      </c>
      <c r="E73" s="20" t="n">
        <v>242.267</v>
      </c>
      <c r="F73" s="20" t="n">
        <v>174.413</v>
      </c>
      <c r="G73" s="20" t="n">
        <v>132.902</v>
      </c>
      <c r="H73" s="20" t="n">
        <v>105.655</v>
      </c>
      <c r="I73" s="20" t="n">
        <v>116.686</v>
      </c>
      <c r="J73" s="20" t="n">
        <v>114.664</v>
      </c>
      <c r="K73" s="20" t="n">
        <v>187.444</v>
      </c>
      <c r="L73" s="20" t="n">
        <v>132.902</v>
      </c>
    </row>
    <row r="74">
      <c r="A74" s="18" t="inlineStr">
        <is>
          <t>미수 법인세 등</t>
        </is>
      </c>
      <c r="I74" s="20" t="n">
        <v>0</v>
      </c>
      <c r="J74" s="20" t="n">
        <v>1.014</v>
      </c>
    </row>
    <row r="75">
      <c r="A75" s="18" t="inlineStr">
        <is>
          <t>미수 환급법인세</t>
        </is>
      </c>
      <c r="C75" s="20" t="n">
        <v>0.002</v>
      </c>
      <c r="D75" s="20" t="n">
        <v>0.002</v>
      </c>
      <c r="E75" s="20" t="n">
        <v>0</v>
      </c>
      <c r="F75" s="20" t="n">
        <v>0</v>
      </c>
      <c r="J75" s="20" t="n">
        <v>1.014</v>
      </c>
      <c r="K75" s="20" t="n">
        <v>0.002</v>
      </c>
    </row>
    <row r="76">
      <c r="A76" s="18" t="inlineStr">
        <is>
          <t>기타</t>
        </is>
      </c>
      <c r="C76" s="20" t="n">
        <v>250.107</v>
      </c>
      <c r="D76" s="20" t="n">
        <v>201.225</v>
      </c>
      <c r="E76" s="20" t="n">
        <v>190.33</v>
      </c>
      <c r="F76" s="20" t="n">
        <v>204.397</v>
      </c>
      <c r="G76" s="20" t="n">
        <v>162.102</v>
      </c>
      <c r="H76" s="20" t="n">
        <v>88.408</v>
      </c>
      <c r="I76" s="20" t="n">
        <v>104.545</v>
      </c>
      <c r="J76" s="20" t="n">
        <v>288.377</v>
      </c>
      <c r="K76" s="20" t="n">
        <v>250.107</v>
      </c>
      <c r="L76" s="20" t="n">
        <v>162.102</v>
      </c>
    </row>
    <row r="77">
      <c r="A77" s="9" t="inlineStr">
        <is>
          <t>유동자산 합계</t>
        </is>
      </c>
      <c r="C77" s="12" t="n">
        <v>4248.143</v>
      </c>
      <c r="D77" s="12" t="n">
        <v>4299.381</v>
      </c>
      <c r="E77" s="12" t="n">
        <v>4333.495</v>
      </c>
      <c r="F77" s="12" t="n">
        <v>4428.809</v>
      </c>
      <c r="G77" s="12" t="n">
        <v>4639.193</v>
      </c>
      <c r="H77" s="12" t="n">
        <v>3578.372</v>
      </c>
      <c r="I77" s="12" t="n">
        <v>3690.665</v>
      </c>
      <c r="J77" s="12" t="n">
        <v>5240.113</v>
      </c>
      <c r="K77" s="12" t="n">
        <v>4248.143</v>
      </c>
      <c r="L77" s="12" t="n">
        <v>4639.193</v>
      </c>
    </row>
    <row r="78">
      <c r="A78" s="18" t="inlineStr">
        <is>
          <t>건물</t>
        </is>
      </c>
      <c r="C78" s="20" t="n">
        <v>261.483</v>
      </c>
      <c r="D78" s="20" t="n">
        <v>261.483</v>
      </c>
      <c r="E78" s="20" t="n">
        <v>261.794</v>
      </c>
      <c r="F78" s="20" t="n">
        <v>261.794</v>
      </c>
      <c r="G78" s="20" t="n">
        <v>261.794</v>
      </c>
      <c r="H78" s="20" t="n">
        <v>102.682</v>
      </c>
      <c r="I78" s="20" t="n">
        <v>171.161</v>
      </c>
      <c r="J78" s="20" t="n">
        <v>266.483</v>
      </c>
      <c r="K78" s="20" t="n">
        <v>261.483</v>
      </c>
      <c r="L78" s="20" t="n">
        <v>261.794</v>
      </c>
    </row>
    <row r="79">
      <c r="A79" s="18" t="inlineStr">
        <is>
          <t>공구·기구·비품</t>
        </is>
      </c>
      <c r="C79" s="20" t="n">
        <v>106.358</v>
      </c>
      <c r="D79" s="20" t="n">
        <v>100.807</v>
      </c>
      <c r="E79" s="20" t="n">
        <v>99.961</v>
      </c>
      <c r="F79" s="20" t="n">
        <v>101.139</v>
      </c>
      <c r="G79" s="20" t="n">
        <v>104.046</v>
      </c>
      <c r="H79" s="20" t="n">
        <v>82.86499999999999</v>
      </c>
      <c r="I79" s="20" t="n">
        <v>98.03400000000001</v>
      </c>
      <c r="J79" s="20" t="n">
        <v>102.423</v>
      </c>
      <c r="K79" s="20" t="n">
        <v>106.358</v>
      </c>
      <c r="L79" s="20" t="n">
        <v>104.046</v>
      </c>
    </row>
    <row r="80">
      <c r="A80" s="18" t="inlineStr">
        <is>
          <t>건설중인자산</t>
        </is>
      </c>
      <c r="C80" s="20" t="n">
        <v>0</v>
      </c>
      <c r="D80" s="20" t="n">
        <v>24.75</v>
      </c>
      <c r="E80" s="20" t="n">
        <v>24.75</v>
      </c>
      <c r="F80" s="20" t="n">
        <v>24.75</v>
      </c>
      <c r="G80" s="20" t="n">
        <v>24.75</v>
      </c>
      <c r="H80" s="20" t="n">
        <v>0</v>
      </c>
      <c r="K80" s="20" t="n">
        <v>0</v>
      </c>
      <c r="L80" s="20" t="n">
        <v>24.75</v>
      </c>
    </row>
    <row r="81">
      <c r="A81" s="18" t="inlineStr">
        <is>
          <t>감가상각누계액</t>
        </is>
      </c>
      <c r="C81" s="20" t="n">
        <v>-188.945</v>
      </c>
      <c r="D81" s="20" t="n">
        <v>-200.004</v>
      </c>
      <c r="E81" s="20" t="n">
        <v>-202.67</v>
      </c>
      <c r="F81" s="20" t="n">
        <v>-221.723</v>
      </c>
      <c r="G81" s="20" t="n">
        <v>-240.439</v>
      </c>
      <c r="H81" s="20" t="n">
        <v>-70.92400000000001</v>
      </c>
      <c r="I81" s="20" t="n">
        <v>-84.575</v>
      </c>
      <c r="J81" s="20" t="n">
        <v>-136.08</v>
      </c>
      <c r="K81" s="20" t="n">
        <v>-188.945</v>
      </c>
      <c r="L81" s="20" t="n">
        <v>-240.439</v>
      </c>
    </row>
    <row r="82">
      <c r="A82" s="18" t="inlineStr">
        <is>
          <t>유형자산 합계</t>
        </is>
      </c>
      <c r="C82" s="20" t="n">
        <v>178.896</v>
      </c>
      <c r="D82" s="20" t="n">
        <v>187.036</v>
      </c>
      <c r="E82" s="20" t="n">
        <v>183.835</v>
      </c>
      <c r="F82" s="20" t="n">
        <v>165.96</v>
      </c>
      <c r="G82" s="20" t="n">
        <v>150.151</v>
      </c>
      <c r="H82" s="20" t="n">
        <v>114.623</v>
      </c>
      <c r="I82" s="20" t="n">
        <v>184.62</v>
      </c>
      <c r="J82" s="20" t="n">
        <v>232.826</v>
      </c>
      <c r="K82" s="20" t="n">
        <v>178.896</v>
      </c>
      <c r="L82" s="20" t="n">
        <v>150.151</v>
      </c>
    </row>
    <row r="83">
      <c r="A83" s="18" t="inlineStr">
        <is>
          <t>소프트웨어</t>
        </is>
      </c>
      <c r="C83" s="20" t="n">
        <v>15.331</v>
      </c>
      <c r="D83" s="20" t="n">
        <v>19.44</v>
      </c>
      <c r="E83" s="20" t="n">
        <v>28.236</v>
      </c>
      <c r="F83" s="20" t="n">
        <v>25.571</v>
      </c>
      <c r="G83" s="20" t="n">
        <v>23.305</v>
      </c>
      <c r="H83" s="20" t="n">
        <v>10.674</v>
      </c>
      <c r="I83" s="20" t="n">
        <v>8.465999999999999</v>
      </c>
      <c r="J83" s="20" t="n">
        <v>17.799</v>
      </c>
      <c r="K83" s="20" t="n">
        <v>15.331</v>
      </c>
      <c r="L83" s="20" t="n">
        <v>23.305</v>
      </c>
    </row>
    <row r="84">
      <c r="A84" s="18" t="inlineStr">
        <is>
          <t>영업권</t>
        </is>
      </c>
      <c r="C84" s="20" t="n">
        <v>919.735</v>
      </c>
      <c r="D84" s="20" t="n">
        <v>897.75</v>
      </c>
      <c r="E84" s="20" t="n">
        <v>875.766</v>
      </c>
      <c r="F84" s="20" t="n">
        <v>1045.118</v>
      </c>
      <c r="G84" s="20" t="n">
        <v>1018.228</v>
      </c>
      <c r="H84" s="20" t="n">
        <v>0</v>
      </c>
      <c r="I84" s="20" t="n">
        <v>144.721</v>
      </c>
      <c r="J84" s="20" t="n">
        <v>1007.674</v>
      </c>
      <c r="K84" s="20" t="n">
        <v>919.735</v>
      </c>
      <c r="L84" s="20" t="n">
        <v>1018.228</v>
      </c>
    </row>
    <row r="85">
      <c r="A85" s="18" t="inlineStr">
        <is>
          <t>고객관계자산</t>
        </is>
      </c>
      <c r="C85" s="20" t="n">
        <v>317.335</v>
      </c>
      <c r="D85" s="20" t="n">
        <v>302.092</v>
      </c>
      <c r="E85" s="20" t="n">
        <v>286.85</v>
      </c>
      <c r="F85" s="20" t="n">
        <v>271.607</v>
      </c>
      <c r="G85" s="20" t="n">
        <v>256.364</v>
      </c>
      <c r="H85" s="20" t="n">
        <v>0</v>
      </c>
      <c r="I85" s="20" t="n">
        <v>55.1</v>
      </c>
      <c r="J85" s="20" t="n">
        <v>378.307</v>
      </c>
      <c r="K85" s="20" t="n">
        <v>317.335</v>
      </c>
      <c r="L85" s="20" t="n">
        <v>256.364</v>
      </c>
    </row>
    <row r="86">
      <c r="A86" s="18" t="inlineStr">
        <is>
          <t>무형자산 합계</t>
        </is>
      </c>
      <c r="C86" s="20" t="n">
        <v>1252.402</v>
      </c>
      <c r="D86" s="20" t="n">
        <v>1219.284</v>
      </c>
      <c r="E86" s="20" t="n">
        <v>1190.852</v>
      </c>
      <c r="F86" s="20" t="n">
        <v>1342.297</v>
      </c>
      <c r="G86" s="20" t="n">
        <v>1297.897</v>
      </c>
      <c r="H86" s="20" t="n">
        <v>10.674</v>
      </c>
      <c r="I86" s="20" t="n">
        <v>208.287</v>
      </c>
      <c r="J86" s="20" t="n">
        <v>1403.78</v>
      </c>
      <c r="K86" s="20" t="n">
        <v>1252.402</v>
      </c>
      <c r="L86" s="20" t="n">
        <v>1297.897</v>
      </c>
    </row>
    <row r="87">
      <c r="A87" s="18" t="inlineStr">
        <is>
          <t>투자유가증권</t>
        </is>
      </c>
      <c r="C87" s="20" t="n">
        <v>0</v>
      </c>
      <c r="F87" s="20" t="n">
        <v>50.072</v>
      </c>
      <c r="G87" s="20" t="n">
        <v>50.072</v>
      </c>
      <c r="H87" s="20" t="n">
        <v>419.09</v>
      </c>
      <c r="I87" s="20" t="n">
        <v>893.174</v>
      </c>
      <c r="J87" s="20" t="n">
        <v>1063.721</v>
      </c>
      <c r="K87" s="20" t="n">
        <v>0</v>
      </c>
      <c r="L87" s="20" t="n">
        <v>50.072</v>
      </c>
    </row>
    <row r="88">
      <c r="A88" s="18" t="inlineStr">
        <is>
          <t>관계회사 주식</t>
        </is>
      </c>
      <c r="C88" s="20" t="n">
        <v>0</v>
      </c>
      <c r="I88" s="20" t="n">
        <v>0</v>
      </c>
      <c r="J88" s="20" t="n">
        <v>6.551</v>
      </c>
      <c r="K88" s="20" t="n">
        <v>0</v>
      </c>
    </row>
    <row r="89">
      <c r="A89" s="18" t="inlineStr">
        <is>
          <t>장기선급비용</t>
        </is>
      </c>
      <c r="C89" s="20" t="n">
        <v>5.156</v>
      </c>
      <c r="D89" s="20" t="n">
        <v>3.865</v>
      </c>
      <c r="E89" s="20" t="n">
        <v>25.461</v>
      </c>
      <c r="F89" s="20" t="n">
        <v>21.513</v>
      </c>
      <c r="G89" s="20" t="n">
        <v>17.564</v>
      </c>
      <c r="H89" s="20" t="n">
        <v>20.936</v>
      </c>
      <c r="I89" s="20" t="n">
        <v>10.515</v>
      </c>
      <c r="J89" s="20" t="n">
        <v>3.266</v>
      </c>
      <c r="K89" s="20" t="n">
        <v>5.156</v>
      </c>
      <c r="L89" s="20" t="n">
        <v>17.564</v>
      </c>
    </row>
    <row r="90">
      <c r="A90" s="18" t="inlineStr">
        <is>
          <t>보증금</t>
        </is>
      </c>
      <c r="C90" s="20" t="n">
        <v>500.227</v>
      </c>
      <c r="D90" s="20" t="n">
        <v>495.245</v>
      </c>
      <c r="E90" s="20" t="n">
        <v>490.262</v>
      </c>
      <c r="F90" s="20" t="n">
        <v>485.33</v>
      </c>
      <c r="G90" s="20" t="n">
        <v>480.347</v>
      </c>
      <c r="H90" s="20" t="n">
        <v>179.876</v>
      </c>
      <c r="I90" s="20" t="n">
        <v>241.507</v>
      </c>
      <c r="J90" s="20" t="n">
        <v>268.603</v>
      </c>
      <c r="K90" s="20" t="n">
        <v>500.227</v>
      </c>
      <c r="L90" s="20" t="n">
        <v>480.347</v>
      </c>
    </row>
    <row r="91">
      <c r="A91" s="18" t="inlineStr">
        <is>
          <t>이연법인세자산</t>
        </is>
      </c>
      <c r="C91" s="20" t="n">
        <v>134.53</v>
      </c>
      <c r="D91" s="20" t="n">
        <v>144.848</v>
      </c>
      <c r="E91" s="20" t="n">
        <v>123.65</v>
      </c>
      <c r="F91" s="20" t="n">
        <v>111.174</v>
      </c>
      <c r="G91" s="20" t="n">
        <v>138.187</v>
      </c>
      <c r="I91" s="20" t="n">
        <v>0</v>
      </c>
      <c r="J91" s="20" t="n">
        <v>15.424</v>
      </c>
      <c r="K91" s="20" t="n">
        <v>134.53</v>
      </c>
      <c r="L91" s="20" t="n">
        <v>138.187</v>
      </c>
    </row>
    <row r="92">
      <c r="A92" s="18" t="inlineStr">
        <is>
          <t>기타</t>
        </is>
      </c>
      <c r="C92" s="20" t="n">
        <v>3.778</v>
      </c>
      <c r="D92" s="20" t="n">
        <v>3.778</v>
      </c>
      <c r="E92" s="20" t="n">
        <v>3.778</v>
      </c>
      <c r="F92" s="20" t="n">
        <v>3.778</v>
      </c>
      <c r="G92" s="20" t="n">
        <v>48.178</v>
      </c>
      <c r="H92" s="20" t="n">
        <v>3.823</v>
      </c>
      <c r="I92" s="20" t="n">
        <v>4.143</v>
      </c>
      <c r="J92" s="20" t="n">
        <v>14.429</v>
      </c>
      <c r="K92" s="20" t="n">
        <v>3.778</v>
      </c>
      <c r="L92" s="20" t="n">
        <v>48.178</v>
      </c>
    </row>
    <row r="93">
      <c r="A93" s="18" t="inlineStr">
        <is>
          <t>투자 및 기타자산 합계</t>
        </is>
      </c>
      <c r="C93" s="20" t="n">
        <v>643.693</v>
      </c>
      <c r="D93" s="20" t="n">
        <v>647.737</v>
      </c>
      <c r="E93" s="20" t="n">
        <v>643.153</v>
      </c>
      <c r="F93" s="20" t="n">
        <v>671.8680000000001</v>
      </c>
      <c r="G93" s="20" t="n">
        <v>734.35</v>
      </c>
      <c r="H93" s="20" t="n">
        <v>623.727</v>
      </c>
      <c r="I93" s="20" t="n">
        <v>1149.341</v>
      </c>
      <c r="J93" s="20" t="n">
        <v>1371.997</v>
      </c>
      <c r="K93" s="20" t="n">
        <v>643.693</v>
      </c>
      <c r="L93" s="20" t="n">
        <v>734.35</v>
      </c>
    </row>
    <row r="94">
      <c r="A94" s="9" t="inlineStr">
        <is>
          <t>비유동자산 합계</t>
        </is>
      </c>
      <c r="C94" s="12" t="n">
        <v>2074.992</v>
      </c>
      <c r="D94" s="12" t="n">
        <v>2054.058</v>
      </c>
      <c r="E94" s="12" t="n">
        <v>2017.841</v>
      </c>
      <c r="F94" s="12" t="n">
        <v>2180.126</v>
      </c>
      <c r="G94" s="12" t="n">
        <v>2182.399</v>
      </c>
      <c r="H94" s="12" t="n">
        <v>749.025</v>
      </c>
      <c r="I94" s="12" t="n">
        <v>1542.249</v>
      </c>
      <c r="J94" s="12" t="n">
        <v>3008.603</v>
      </c>
      <c r="K94" s="12" t="n">
        <v>2074.992</v>
      </c>
      <c r="L94" s="12" t="n">
        <v>2182.399</v>
      </c>
    </row>
    <row r="95">
      <c r="A95" s="18" t="inlineStr">
        <is>
          <t>주식교부비</t>
        </is>
      </c>
      <c r="C95" s="20" t="n">
        <v>0.587</v>
      </c>
      <c r="D95" s="20" t="n">
        <v>0</v>
      </c>
      <c r="E95" s="20" t="n">
        <v>0</v>
      </c>
      <c r="F95" s="20" t="n">
        <v>0</v>
      </c>
      <c r="G95" s="20" t="n">
        <v>0</v>
      </c>
      <c r="I95" s="20" t="n">
        <v>0</v>
      </c>
      <c r="J95" s="20" t="n">
        <v>4.109</v>
      </c>
      <c r="K95" s="20" t="n">
        <v>0.587</v>
      </c>
      <c r="L95" s="20" t="n">
        <v>0</v>
      </c>
    </row>
    <row r="96">
      <c r="A96" s="18" t="inlineStr">
        <is>
          <t>사채발행비</t>
        </is>
      </c>
      <c r="C96" s="20" t="n">
        <v>1.511</v>
      </c>
      <c r="D96" s="20" t="n">
        <v>1.403</v>
      </c>
      <c r="E96" s="20" t="n">
        <v>1.295</v>
      </c>
      <c r="F96" s="20" t="n">
        <v>1.187</v>
      </c>
      <c r="G96" s="20" t="n">
        <v>1.079</v>
      </c>
      <c r="I96" s="20" t="n">
        <v>0</v>
      </c>
      <c r="J96" s="20" t="n">
        <v>1.943</v>
      </c>
      <c r="K96" s="20" t="n">
        <v>1.511</v>
      </c>
      <c r="L96" s="20" t="n">
        <v>1.079</v>
      </c>
    </row>
    <row r="97">
      <c r="A97" s="18" t="inlineStr">
        <is>
          <t>이연자산 합계</t>
        </is>
      </c>
      <c r="C97" s="20" t="n">
        <v>2.098</v>
      </c>
      <c r="D97" s="20" t="n">
        <v>1.403</v>
      </c>
      <c r="E97" s="20" t="n">
        <v>1.295</v>
      </c>
      <c r="F97" s="20" t="n">
        <v>1.187</v>
      </c>
      <c r="G97" s="20" t="n">
        <v>1.079</v>
      </c>
      <c r="I97" s="20" t="n">
        <v>0</v>
      </c>
      <c r="J97" s="20" t="n">
        <v>6.053</v>
      </c>
      <c r="K97" s="20" t="n">
        <v>2.098</v>
      </c>
      <c r="L97" s="20" t="n">
        <v>1.079</v>
      </c>
    </row>
    <row r="98">
      <c r="A98" s="9" t="inlineStr">
        <is>
          <t>자산 합계</t>
        </is>
      </c>
      <c r="C98" s="12" t="n">
        <v>6325.234</v>
      </c>
      <c r="D98" s="12" t="n">
        <v>6354.843</v>
      </c>
      <c r="E98" s="12" t="n">
        <v>6352.633</v>
      </c>
      <c r="F98" s="12" t="n">
        <v>6610.124</v>
      </c>
      <c r="G98" s="12" t="n">
        <v>6822.672</v>
      </c>
      <c r="H98" s="12" t="n">
        <v>4327.398</v>
      </c>
      <c r="I98" s="12" t="n">
        <v>5232.914</v>
      </c>
      <c r="J98" s="12" t="n">
        <v>8254.77</v>
      </c>
      <c r="K98" s="12" t="n">
        <v>6325.234</v>
      </c>
      <c r="L98" s="12" t="n">
        <v>6822.672</v>
      </c>
    </row>
    <row r="99">
      <c r="A99" s="18" t="inlineStr">
        <is>
          <t>매입채무</t>
        </is>
      </c>
      <c r="C99" s="20" t="n">
        <v>270.457</v>
      </c>
      <c r="D99" s="20" t="n">
        <v>273.234</v>
      </c>
      <c r="E99" s="20" t="n">
        <v>293.012</v>
      </c>
      <c r="F99" s="20" t="n">
        <v>288.602</v>
      </c>
      <c r="G99" s="20" t="n">
        <v>309.661</v>
      </c>
      <c r="H99" s="20" t="n">
        <v>0</v>
      </c>
      <c r="I99" s="20" t="n">
        <v>62.974</v>
      </c>
      <c r="J99" s="20" t="n">
        <v>375.514</v>
      </c>
      <c r="K99" s="20" t="n">
        <v>270.457</v>
      </c>
      <c r="L99" s="20" t="n">
        <v>309.661</v>
      </c>
    </row>
    <row r="100">
      <c r="A100" s="18" t="inlineStr">
        <is>
          <t>미지급금</t>
        </is>
      </c>
      <c r="C100" s="20" t="n">
        <v>446.226</v>
      </c>
      <c r="D100" s="20" t="n">
        <v>436.52</v>
      </c>
      <c r="E100" s="20" t="n">
        <v>399.972</v>
      </c>
      <c r="F100" s="20" t="n">
        <v>410.2</v>
      </c>
      <c r="G100" s="20" t="n">
        <v>585.989</v>
      </c>
      <c r="H100" s="20" t="n">
        <v>443.471</v>
      </c>
      <c r="I100" s="20" t="n">
        <v>287.635</v>
      </c>
      <c r="J100" s="20" t="n">
        <v>451.07</v>
      </c>
      <c r="K100" s="20" t="n">
        <v>446.226</v>
      </c>
      <c r="L100" s="20" t="n">
        <v>585.989</v>
      </c>
    </row>
    <row r="101">
      <c r="A101" s="18" t="inlineStr">
        <is>
          <t>미지급비용</t>
        </is>
      </c>
      <c r="C101" s="20" t="n">
        <v>75.532</v>
      </c>
      <c r="D101" s="20" t="n">
        <v>72.821</v>
      </c>
      <c r="E101" s="20" t="n">
        <v>74.155</v>
      </c>
      <c r="F101" s="20" t="n">
        <v>85.349</v>
      </c>
      <c r="G101" s="20" t="n">
        <v>39.937</v>
      </c>
      <c r="H101" s="20" t="n">
        <v>23.454</v>
      </c>
      <c r="I101" s="20" t="n">
        <v>49.009</v>
      </c>
      <c r="J101" s="20" t="n">
        <v>99.604</v>
      </c>
      <c r="K101" s="20" t="n">
        <v>75.532</v>
      </c>
      <c r="L101" s="20" t="n">
        <v>39.937</v>
      </c>
    </row>
    <row r="102">
      <c r="A102" s="18" t="inlineStr">
        <is>
          <t>미지급법인세</t>
        </is>
      </c>
      <c r="C102" s="20" t="n">
        <v>57.098</v>
      </c>
      <c r="D102" s="20" t="n">
        <v>34.401</v>
      </c>
      <c r="E102" s="20" t="n">
        <v>89.30800000000001</v>
      </c>
      <c r="F102" s="20" t="n">
        <v>82.294</v>
      </c>
      <c r="G102" s="20" t="n">
        <v>103.176</v>
      </c>
      <c r="H102" s="20" t="n">
        <v>2.287</v>
      </c>
      <c r="I102" s="20" t="n">
        <v>38.927</v>
      </c>
      <c r="J102" s="20" t="n">
        <v>95.94799999999999</v>
      </c>
      <c r="K102" s="20" t="n">
        <v>57.098</v>
      </c>
      <c r="L102" s="20" t="n">
        <v>103.176</v>
      </c>
    </row>
    <row r="103">
      <c r="A103" s="18" t="inlineStr">
        <is>
          <t>미지급 소비세</t>
        </is>
      </c>
      <c r="H103" s="20" t="n">
        <v>0</v>
      </c>
    </row>
    <row r="104">
      <c r="A104" s="18" t="inlineStr">
        <is>
          <t>선수금</t>
        </is>
      </c>
      <c r="C104" s="20" t="n">
        <v>722.364</v>
      </c>
      <c r="D104" s="20" t="n">
        <v>712.621</v>
      </c>
      <c r="E104" s="20" t="n">
        <v>777.345</v>
      </c>
      <c r="F104" s="20" t="n">
        <v>685.729</v>
      </c>
      <c r="G104" s="20" t="n">
        <v>674.915</v>
      </c>
      <c r="H104" s="20" t="n">
        <v>487.936</v>
      </c>
      <c r="I104" s="20" t="n">
        <v>542.078</v>
      </c>
      <c r="J104" s="20" t="n">
        <v>638.561</v>
      </c>
      <c r="K104" s="20" t="n">
        <v>722.364</v>
      </c>
      <c r="L104" s="20" t="n">
        <v>674.915</v>
      </c>
    </row>
    <row r="105">
      <c r="A105" s="18" t="inlineStr">
        <is>
          <t>예수금</t>
        </is>
      </c>
      <c r="C105" s="20" t="n">
        <v>882.36</v>
      </c>
      <c r="D105" s="20" t="n">
        <v>849.4299999999999</v>
      </c>
      <c r="E105" s="20" t="n">
        <v>798.866</v>
      </c>
      <c r="F105" s="20" t="n">
        <v>792.607</v>
      </c>
      <c r="G105" s="20" t="n">
        <v>790.86</v>
      </c>
      <c r="H105" s="20" t="n">
        <v>922.567</v>
      </c>
      <c r="I105" s="20" t="n">
        <v>1001.005</v>
      </c>
      <c r="J105" s="20" t="n">
        <v>1061.346</v>
      </c>
      <c r="K105" s="20" t="n">
        <v>882.36</v>
      </c>
      <c r="L105" s="20" t="n">
        <v>790.86</v>
      </c>
    </row>
    <row r="106">
      <c r="A106" s="18" t="inlineStr">
        <is>
          <t>단기차입금</t>
        </is>
      </c>
      <c r="C106" s="20" t="n">
        <v>0</v>
      </c>
      <c r="D106" s="20" t="n">
        <v>40</v>
      </c>
      <c r="J106" s="20" t="n">
        <v>0</v>
      </c>
      <c r="K106" s="20" t="n">
        <v>0</v>
      </c>
    </row>
    <row r="107">
      <c r="A107" s="18" t="inlineStr">
        <is>
          <t>1년 내 상환 장기차입금</t>
        </is>
      </c>
      <c r="C107" s="20" t="n">
        <v>209.988</v>
      </c>
      <c r="D107" s="20" t="n">
        <v>209.988</v>
      </c>
      <c r="E107" s="20" t="n">
        <v>209.988</v>
      </c>
      <c r="F107" s="20" t="n">
        <v>247.2</v>
      </c>
      <c r="G107" s="20" t="n">
        <v>247.22</v>
      </c>
      <c r="I107" s="20" t="n">
        <v>0</v>
      </c>
      <c r="J107" s="20" t="n">
        <v>215.786</v>
      </c>
      <c r="K107" s="20" t="n">
        <v>209.988</v>
      </c>
      <c r="L107" s="20" t="n">
        <v>247.22</v>
      </c>
    </row>
    <row r="108">
      <c r="A108" s="18" t="inlineStr">
        <is>
          <t>1년 내 상환 사채</t>
        </is>
      </c>
      <c r="C108" s="20" t="n">
        <v>20</v>
      </c>
      <c r="D108" s="20" t="n">
        <v>20</v>
      </c>
      <c r="E108" s="20" t="n">
        <v>20</v>
      </c>
      <c r="F108" s="20" t="n">
        <v>20</v>
      </c>
      <c r="G108" s="20" t="n">
        <v>20</v>
      </c>
      <c r="I108" s="20" t="n">
        <v>0</v>
      </c>
      <c r="J108" s="20" t="n">
        <v>20</v>
      </c>
      <c r="K108" s="20" t="n">
        <v>20</v>
      </c>
      <c r="L108" s="20" t="n">
        <v>20</v>
      </c>
    </row>
    <row r="109">
      <c r="A109" s="18" t="inlineStr">
        <is>
          <t>상여충당금</t>
        </is>
      </c>
      <c r="C109" s="20" t="n">
        <v>2.224</v>
      </c>
      <c r="D109" s="20" t="n">
        <v>9.441000000000001</v>
      </c>
      <c r="E109" s="20" t="n">
        <v>24.718</v>
      </c>
      <c r="F109" s="20" t="n">
        <v>17.048</v>
      </c>
      <c r="G109" s="20" t="n">
        <v>34.092</v>
      </c>
      <c r="H109" s="20" t="n">
        <v>0</v>
      </c>
      <c r="J109" s="20" t="n">
        <v>0</v>
      </c>
      <c r="K109" s="20" t="n">
        <v>2.224</v>
      </c>
      <c r="L109" s="20" t="n">
        <v>34.092</v>
      </c>
    </row>
    <row r="110">
      <c r="A110" s="18" t="inlineStr">
        <is>
          <t>포인트 충당금</t>
        </is>
      </c>
      <c r="C110" s="20" t="n">
        <v>2.32</v>
      </c>
      <c r="D110" s="20" t="n">
        <v>1.572</v>
      </c>
      <c r="E110" s="20" t="n">
        <v>2.426</v>
      </c>
      <c r="F110" s="20" t="n">
        <v>2.408</v>
      </c>
      <c r="G110" s="20" t="n">
        <v>1.982</v>
      </c>
      <c r="H110" s="20" t="n">
        <v>3.502</v>
      </c>
      <c r="I110" s="20" t="n">
        <v>3.127</v>
      </c>
      <c r="J110" s="20" t="n">
        <v>1.918</v>
      </c>
      <c r="K110" s="20" t="n">
        <v>2.32</v>
      </c>
      <c r="L110" s="20" t="n">
        <v>1.982</v>
      </c>
    </row>
    <row r="111">
      <c r="A111" s="18" t="inlineStr">
        <is>
          <t>쿠폰 충당금</t>
        </is>
      </c>
      <c r="C111" s="20" t="n">
        <v>8.742000000000001</v>
      </c>
      <c r="D111" s="20" t="n">
        <v>9.254</v>
      </c>
      <c r="E111" s="20" t="n">
        <v>9.145</v>
      </c>
      <c r="F111" s="20" t="n">
        <v>9.384</v>
      </c>
      <c r="G111" s="20" t="n">
        <v>8.932</v>
      </c>
      <c r="H111" s="20" t="n">
        <v>6.513</v>
      </c>
      <c r="I111" s="20" t="n">
        <v>7.567</v>
      </c>
      <c r="J111" s="20" t="n">
        <v>5.988</v>
      </c>
      <c r="K111" s="20" t="n">
        <v>8.742000000000001</v>
      </c>
      <c r="L111" s="20" t="n">
        <v>8.932</v>
      </c>
    </row>
    <row r="112">
      <c r="A112" s="18" t="inlineStr">
        <is>
          <t>기타</t>
        </is>
      </c>
      <c r="C112" s="20" t="n">
        <v>80.91800000000001</v>
      </c>
      <c r="D112" s="20" t="n">
        <v>94.672</v>
      </c>
      <c r="E112" s="20" t="n">
        <v>80.965</v>
      </c>
      <c r="F112" s="20" t="n">
        <v>111.064</v>
      </c>
      <c r="G112" s="20" t="n">
        <v>110.602</v>
      </c>
      <c r="H112" s="20" t="n">
        <v>0</v>
      </c>
      <c r="I112" s="20" t="n">
        <v>97.172</v>
      </c>
      <c r="J112" s="20" t="n">
        <v>139.39</v>
      </c>
      <c r="K112" s="20" t="n">
        <v>80.91800000000001</v>
      </c>
      <c r="L112" s="20" t="n">
        <v>110.602</v>
      </c>
    </row>
    <row r="113">
      <c r="A113" s="9" t="inlineStr">
        <is>
          <t>유동부채 합계</t>
        </is>
      </c>
      <c r="C113" s="12" t="n">
        <v>2778.232</v>
      </c>
      <c r="D113" s="12" t="n">
        <v>2763.958</v>
      </c>
      <c r="E113" s="12" t="n">
        <v>2779.904</v>
      </c>
      <c r="F113" s="12" t="n">
        <v>2751.89</v>
      </c>
      <c r="G113" s="12" t="n">
        <v>2927.37</v>
      </c>
      <c r="H113" s="12" t="n">
        <v>1889.731</v>
      </c>
      <c r="I113" s="12" t="n">
        <v>2089.497</v>
      </c>
      <c r="J113" s="12" t="n">
        <v>3105.13</v>
      </c>
      <c r="K113" s="12" t="n">
        <v>2778.232</v>
      </c>
      <c r="L113" s="12" t="n">
        <v>2927.37</v>
      </c>
    </row>
    <row r="114">
      <c r="A114" s="18" t="inlineStr">
        <is>
          <t>사채</t>
        </is>
      </c>
      <c r="C114" s="20" t="n">
        <v>60</v>
      </c>
      <c r="D114" s="20" t="n">
        <v>50</v>
      </c>
      <c r="E114" s="20" t="n">
        <v>50</v>
      </c>
      <c r="F114" s="20" t="n">
        <v>40</v>
      </c>
      <c r="G114" s="20" t="n">
        <v>40</v>
      </c>
      <c r="I114" s="20" t="n">
        <v>0</v>
      </c>
      <c r="J114" s="20" t="n">
        <v>80</v>
      </c>
      <c r="K114" s="20" t="n">
        <v>60</v>
      </c>
      <c r="L114" s="20" t="n">
        <v>40</v>
      </c>
    </row>
    <row r="115">
      <c r="A115" s="18" t="inlineStr">
        <is>
          <t>장기차입금</t>
        </is>
      </c>
      <c r="C115" s="20" t="n">
        <v>934.201</v>
      </c>
      <c r="D115" s="20" t="n">
        <v>881.704</v>
      </c>
      <c r="E115" s="20" t="n">
        <v>829.207</v>
      </c>
      <c r="F115" s="20" t="n">
        <v>986.546</v>
      </c>
      <c r="G115" s="20" t="n">
        <v>923.768</v>
      </c>
      <c r="I115" s="20" t="n">
        <v>0</v>
      </c>
      <c r="J115" s="20" t="n">
        <v>1144.189</v>
      </c>
      <c r="K115" s="20" t="n">
        <v>934.201</v>
      </c>
      <c r="L115" s="20" t="n">
        <v>923.768</v>
      </c>
    </row>
    <row r="116">
      <c r="A116" s="18" t="inlineStr">
        <is>
          <t>이연법인세부채</t>
        </is>
      </c>
      <c r="C116" s="20" t="n">
        <v>98.54300000000001</v>
      </c>
      <c r="D116" s="20" t="n">
        <v>94.345</v>
      </c>
      <c r="E116" s="20" t="n">
        <v>90.148</v>
      </c>
      <c r="F116" s="20" t="n">
        <v>85.95</v>
      </c>
      <c r="G116" s="20" t="n">
        <v>81.753</v>
      </c>
      <c r="H116" s="20" t="n">
        <v>0</v>
      </c>
      <c r="I116" s="20" t="n">
        <v>17.453</v>
      </c>
      <c r="J116" s="20" t="n">
        <v>102.456</v>
      </c>
      <c r="K116" s="20" t="n">
        <v>98.54300000000001</v>
      </c>
      <c r="L116" s="20" t="n">
        <v>81.753</v>
      </c>
    </row>
    <row r="117">
      <c r="A117" s="18" t="inlineStr">
        <is>
          <t>자산복구부채</t>
        </is>
      </c>
      <c r="C117" s="20" t="n">
        <v>36.995</v>
      </c>
      <c r="D117" s="20" t="n">
        <v>37.017</v>
      </c>
      <c r="E117" s="20" t="n">
        <v>37.039</v>
      </c>
      <c r="F117" s="20" t="n">
        <v>37.061</v>
      </c>
      <c r="G117" s="20" t="n">
        <v>37.082</v>
      </c>
      <c r="I117" s="20" t="n">
        <v>0</v>
      </c>
      <c r="J117" s="20" t="n">
        <v>36.908</v>
      </c>
      <c r="K117" s="20" t="n">
        <v>36.995</v>
      </c>
      <c r="L117" s="20" t="n">
        <v>37.082</v>
      </c>
    </row>
    <row r="118">
      <c r="A118" s="9" t="inlineStr">
        <is>
          <t>비유동부채 합계</t>
        </is>
      </c>
      <c r="C118" s="12" t="n">
        <v>1129.739</v>
      </c>
      <c r="D118" s="12" t="n">
        <v>1063.067</v>
      </c>
      <c r="E118" s="12" t="n">
        <v>1006.394</v>
      </c>
      <c r="F118" s="12" t="n">
        <v>1149.557</v>
      </c>
      <c r="G118" s="12" t="n">
        <v>1082.604</v>
      </c>
      <c r="H118" s="12" t="n">
        <v>0</v>
      </c>
      <c r="I118" s="12" t="n">
        <v>17.453</v>
      </c>
      <c r="J118" s="12" t="n">
        <v>1363.554</v>
      </c>
      <c r="K118" s="12" t="n">
        <v>1129.739</v>
      </c>
      <c r="L118" s="12" t="n">
        <v>1082.604</v>
      </c>
    </row>
    <row r="119">
      <c r="A119" s="9" t="inlineStr">
        <is>
          <t>부채 합계</t>
        </is>
      </c>
      <c r="C119" s="12" t="n">
        <v>3907.972</v>
      </c>
      <c r="D119" s="12" t="n">
        <v>3827.025</v>
      </c>
      <c r="E119" s="12" t="n">
        <v>3786.299</v>
      </c>
      <c r="F119" s="12" t="n">
        <v>3901.448</v>
      </c>
      <c r="G119" s="12" t="n">
        <v>4009.974</v>
      </c>
      <c r="H119" s="12" t="n">
        <v>1889.731</v>
      </c>
      <c r="I119" s="12" t="n">
        <v>2106.951</v>
      </c>
      <c r="J119" s="12" t="n">
        <v>4468.684</v>
      </c>
      <c r="K119" s="12" t="n">
        <v>3907.972</v>
      </c>
      <c r="L119" s="12" t="n">
        <v>4009.974</v>
      </c>
    </row>
    <row r="120">
      <c r="A120" s="18" t="inlineStr">
        <is>
          <t>자본금</t>
        </is>
      </c>
      <c r="C120" s="20" t="n">
        <v>1255.356</v>
      </c>
      <c r="D120" s="20" t="n">
        <v>1255.563</v>
      </c>
      <c r="E120" s="20" t="n">
        <v>1255.688</v>
      </c>
      <c r="F120" s="20" t="n">
        <v>1255.771</v>
      </c>
      <c r="G120" s="20" t="n">
        <v>1258.268</v>
      </c>
      <c r="H120" s="20" t="n">
        <v>1221.56</v>
      </c>
      <c r="I120" s="20" t="n">
        <v>1238.686</v>
      </c>
      <c r="J120" s="20" t="n">
        <v>1244.957</v>
      </c>
      <c r="K120" s="20" t="n">
        <v>1255.356</v>
      </c>
      <c r="L120" s="20" t="n">
        <v>1258.268</v>
      </c>
    </row>
    <row r="121">
      <c r="A121" s="18" t="inlineStr">
        <is>
          <t>자본잉여금</t>
        </is>
      </c>
      <c r="C121" s="20" t="n">
        <v>1019.123</v>
      </c>
      <c r="D121" s="20" t="n">
        <v>1019.33</v>
      </c>
      <c r="E121" s="20" t="n">
        <v>1018.48</v>
      </c>
      <c r="F121" s="20" t="n">
        <v>1018.563</v>
      </c>
      <c r="G121" s="20" t="n">
        <v>1021.06</v>
      </c>
      <c r="H121" s="20" t="n">
        <v>2366.763</v>
      </c>
      <c r="I121" s="20" t="n">
        <v>2384.341</v>
      </c>
      <c r="J121" s="20" t="n">
        <v>2390.553</v>
      </c>
      <c r="K121" s="20" t="n">
        <v>1019.123</v>
      </c>
      <c r="L121" s="20" t="n">
        <v>1021.06</v>
      </c>
    </row>
    <row r="122">
      <c r="A122" s="18" t="inlineStr">
        <is>
          <t>이익잉여금</t>
        </is>
      </c>
      <c r="C122" s="20" t="n">
        <v>255.323</v>
      </c>
      <c r="D122" s="20" t="n">
        <v>325.9</v>
      </c>
      <c r="E122" s="20" t="n">
        <v>413.112</v>
      </c>
      <c r="F122" s="20" t="n">
        <v>544.232</v>
      </c>
      <c r="G122" s="20" t="n">
        <v>635.789</v>
      </c>
      <c r="H122" s="20" t="n">
        <v>-1601.139</v>
      </c>
      <c r="I122" s="20" t="n">
        <v>-1677.039</v>
      </c>
      <c r="J122" s="20" t="n">
        <v>-1433.41</v>
      </c>
      <c r="K122" s="20" t="n">
        <v>255.323</v>
      </c>
      <c r="L122" s="20" t="n">
        <v>635.789</v>
      </c>
    </row>
    <row r="123">
      <c r="A123" s="18" t="inlineStr">
        <is>
          <t>자기주식</t>
        </is>
      </c>
      <c r="C123" s="20" t="n">
        <v>-518.109</v>
      </c>
      <c r="D123" s="20" t="n">
        <v>-518.109</v>
      </c>
      <c r="E123" s="20" t="n">
        <v>-581.116</v>
      </c>
      <c r="F123" s="20" t="n">
        <v>-581.116</v>
      </c>
      <c r="G123" s="20" t="n">
        <v>-581.116</v>
      </c>
      <c r="J123" s="20" t="n">
        <v>0</v>
      </c>
      <c r="K123" s="20" t="n">
        <v>-518.109</v>
      </c>
      <c r="L123" s="20" t="n">
        <v>-581.116</v>
      </c>
    </row>
    <row r="124">
      <c r="A124" s="9" t="inlineStr">
        <is>
          <t>주주자본 합계</t>
        </is>
      </c>
      <c r="C124" s="12" t="n">
        <v>2011.693</v>
      </c>
      <c r="D124" s="12" t="n">
        <v>2082.684</v>
      </c>
      <c r="E124" s="12" t="n">
        <v>2106.164</v>
      </c>
      <c r="F124" s="12" t="n">
        <v>2237.45</v>
      </c>
      <c r="G124" s="12" t="n">
        <v>2334.001</v>
      </c>
      <c r="H124" s="12" t="n">
        <v>1987.184</v>
      </c>
      <c r="I124" s="12" t="n">
        <v>1945.989</v>
      </c>
      <c r="J124" s="12" t="n">
        <v>2202.1</v>
      </c>
      <c r="K124" s="12" t="n">
        <v>2011.693</v>
      </c>
      <c r="L124" s="12" t="n">
        <v>2334.001</v>
      </c>
    </row>
    <row r="125">
      <c r="A125" s="18" t="inlineStr">
        <is>
          <t>기타유가증권 평가차액</t>
        </is>
      </c>
      <c r="C125" s="20" t="n">
        <v>0</v>
      </c>
      <c r="H125" s="20" t="n">
        <v>0.094</v>
      </c>
      <c r="I125" s="20" t="n">
        <v>0.112</v>
      </c>
      <c r="J125" s="20" t="n">
        <v>0.107</v>
      </c>
      <c r="K125" s="20" t="n">
        <v>0</v>
      </c>
    </row>
    <row r="126">
      <c r="A126" s="18" t="inlineStr">
        <is>
          <t>기타포괄손익누계액 합계</t>
        </is>
      </c>
      <c r="C126" s="20" t="n">
        <v>0</v>
      </c>
      <c r="H126" s="20" t="n">
        <v>0.094</v>
      </c>
      <c r="I126" s="20" t="n">
        <v>0.112</v>
      </c>
      <c r="J126" s="20" t="n">
        <v>0.107</v>
      </c>
      <c r="K126" s="20" t="n">
        <v>0</v>
      </c>
    </row>
    <row r="127">
      <c r="A127" s="18" t="inlineStr">
        <is>
          <t>신주예약권</t>
        </is>
      </c>
      <c r="C127" s="20" t="n">
        <v>401.116</v>
      </c>
      <c r="D127" s="20" t="n">
        <v>441.404</v>
      </c>
      <c r="E127" s="20" t="n">
        <v>456.17</v>
      </c>
      <c r="F127" s="20" t="n">
        <v>467.039</v>
      </c>
      <c r="G127" s="20" t="n">
        <v>473.908</v>
      </c>
      <c r="H127" s="20" t="n">
        <v>12.5</v>
      </c>
      <c r="I127" s="20" t="n">
        <v>110.999</v>
      </c>
      <c r="J127" s="20" t="n">
        <v>243.423</v>
      </c>
      <c r="K127" s="20" t="n">
        <v>401.116</v>
      </c>
      <c r="L127" s="20" t="n">
        <v>473.908</v>
      </c>
    </row>
    <row r="128">
      <c r="A128" s="18" t="inlineStr">
        <is>
          <t>비지배지분</t>
        </is>
      </c>
      <c r="C128" s="20" t="n">
        <v>4.452</v>
      </c>
      <c r="D128" s="20" t="n">
        <v>3.728</v>
      </c>
      <c r="E128" s="20" t="n">
        <v>3.998</v>
      </c>
      <c r="F128" s="20" t="n">
        <v>4.185</v>
      </c>
      <c r="G128" s="20" t="n">
        <v>4.787</v>
      </c>
      <c r="H128" s="20" t="n">
        <v>437.888</v>
      </c>
      <c r="I128" s="20" t="n">
        <v>1068.862</v>
      </c>
      <c r="J128" s="20" t="n">
        <v>1340.454</v>
      </c>
      <c r="K128" s="20" t="n">
        <v>4.452</v>
      </c>
      <c r="L128" s="20" t="n">
        <v>4.787</v>
      </c>
    </row>
    <row r="129">
      <c r="A129" s="9" t="inlineStr">
        <is>
          <t>순자산 합계</t>
        </is>
      </c>
      <c r="C129" s="12" t="n">
        <v>2417.262</v>
      </c>
      <c r="D129" s="12" t="n">
        <v>2527.818</v>
      </c>
      <c r="E129" s="12" t="n">
        <v>2566.334</v>
      </c>
      <c r="F129" s="12" t="n">
        <v>2708.675</v>
      </c>
      <c r="G129" s="12" t="n">
        <v>2812.698</v>
      </c>
      <c r="H129" s="12" t="n">
        <v>2437.666</v>
      </c>
      <c r="I129" s="12" t="n">
        <v>3125.963</v>
      </c>
      <c r="J129" s="12" t="n">
        <v>3786.085</v>
      </c>
      <c r="K129" s="12" t="n">
        <v>2417.262</v>
      </c>
      <c r="L129" s="12" t="n">
        <v>2812.698</v>
      </c>
    </row>
    <row r="130">
      <c r="A130" s="9" t="inlineStr">
        <is>
          <t>부채·순자산 합계</t>
        </is>
      </c>
      <c r="C130" s="12" t="n">
        <v>6325.234</v>
      </c>
      <c r="D130" s="12" t="n">
        <v>6354.843</v>
      </c>
      <c r="E130" s="12" t="n">
        <v>6352.633</v>
      </c>
      <c r="F130" s="12" t="n">
        <v>6610.124</v>
      </c>
      <c r="G130" s="12" t="n">
        <v>6822.672</v>
      </c>
      <c r="H130" s="12" t="n">
        <v>4327.398</v>
      </c>
      <c r="I130" s="12" t="n">
        <v>5232.914</v>
      </c>
      <c r="J130" s="12" t="n">
        <v>8254.77</v>
      </c>
      <c r="K130" s="12" t="n">
        <v>6325.234</v>
      </c>
      <c r="L130" s="12" t="n">
        <v>6822.672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44" customWidth="1" min="5" max="5"/>
  </cols>
  <sheetData>
    <row r="1">
      <c r="A1" s="50" t="inlineStr">
        <is>
          <t>코코나라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Q · 2024-Q1</t>
        </is>
      </c>
      <c r="B4" s="52" t="n"/>
      <c r="C4" s="52" t="n"/>
      <c r="D4" s="52" t="n"/>
      <c r="E4" s="52" t="n"/>
    </row>
    <row r="5">
      <c r="A5" s="53" t="inlineStr">
        <is>
          <t>항목</t>
        </is>
      </c>
      <c r="B5" s="53" t="inlineStr">
        <is>
          <t>값</t>
        </is>
      </c>
      <c r="E5" s="53" t="inlineStr">
        <is>
          <t>출처</t>
        </is>
      </c>
    </row>
    <row r="6">
      <c r="A6" s="54" t="inlineStr">
        <is>
          <t>매출</t>
        </is>
      </c>
      <c r="B6" s="55" t="n">
        <v>13.98</v>
      </c>
      <c r="E6" s="56" t="inlineStr">
        <is>
          <t>2단계 보고서 자료(회사 설명회 자료·공시)</t>
        </is>
      </c>
    </row>
    <row r="7">
      <c r="A7" s="54" t="inlineStr">
        <is>
          <t>gp</t>
        </is>
      </c>
      <c r="B7" s="55" t="n">
        <v>11.8</v>
      </c>
    </row>
    <row r="8">
      <c r="A8" s="54" t="inlineStr">
        <is>
          <t>영업이익</t>
        </is>
      </c>
      <c r="B8" s="55" t="n">
        <v>0.97</v>
      </c>
    </row>
    <row r="9">
      <c r="A9" s="54" t="inlineStr">
        <is>
          <t>ord</t>
        </is>
      </c>
      <c r="B9" s="55" t="n">
        <v>1</v>
      </c>
    </row>
    <row r="10">
      <c r="A10" s="54" t="inlineStr">
        <is>
          <t>순이익</t>
        </is>
      </c>
      <c r="B10" s="55" t="n">
        <v>0.84</v>
      </c>
    </row>
    <row r="11">
      <c r="A11" s="54" t="inlineStr">
        <is>
          <t>sga</t>
        </is>
      </c>
      <c r="B11" s="55" t="n">
        <v>10.8</v>
      </c>
    </row>
    <row r="13">
      <c r="A13" s="52" t="inlineStr">
        <is>
          <t>Q · 2024-Q2</t>
        </is>
      </c>
      <c r="B13" s="52" t="n"/>
      <c r="C13" s="52" t="n"/>
      <c r="D13" s="52" t="n"/>
      <c r="E13" s="52" t="n"/>
    </row>
    <row r="14">
      <c r="A14" s="53" t="inlineStr">
        <is>
          <t>항목</t>
        </is>
      </c>
      <c r="B14" s="53" t="inlineStr">
        <is>
          <t>값</t>
        </is>
      </c>
      <c r="E14" s="53" t="inlineStr">
        <is>
          <t>출처</t>
        </is>
      </c>
    </row>
    <row r="15">
      <c r="A15" s="54" t="inlineStr">
        <is>
          <t>매출</t>
        </is>
      </c>
      <c r="B15" s="55" t="n">
        <v>13.8</v>
      </c>
      <c r="E15" s="56" t="inlineStr">
        <is>
          <t>2단계 보고서 자료(회사 설명회 자료·공시)</t>
        </is>
      </c>
    </row>
    <row r="16">
      <c r="A16" s="54" t="inlineStr">
        <is>
          <t>gp</t>
        </is>
      </c>
      <c r="B16" s="55" t="n">
        <v>11.8</v>
      </c>
    </row>
    <row r="17">
      <c r="A17" s="54" t="inlineStr">
        <is>
          <t>영업이익</t>
        </is>
      </c>
      <c r="B17" s="55" t="n">
        <v>0.88</v>
      </c>
    </row>
    <row r="18">
      <c r="A18" s="54" t="inlineStr">
        <is>
          <t>ord</t>
        </is>
      </c>
      <c r="B18" s="55" t="n">
        <v>0.5600000000000001</v>
      </c>
    </row>
    <row r="19">
      <c r="A19" s="54" t="inlineStr">
        <is>
          <t>순이익</t>
        </is>
      </c>
      <c r="B19" s="55" t="n">
        <v>0.55</v>
      </c>
    </row>
    <row r="20">
      <c r="A20" s="54" t="inlineStr">
        <is>
          <t>sga</t>
        </is>
      </c>
      <c r="B20" s="55" t="n">
        <v>11</v>
      </c>
    </row>
    <row r="22">
      <c r="A22" s="52" t="inlineStr">
        <is>
          <t>Q · 2024-Q3</t>
        </is>
      </c>
      <c r="B22" s="52" t="n"/>
      <c r="C22" s="52" t="n"/>
      <c r="D22" s="52" t="n"/>
      <c r="E22" s="52" t="n"/>
    </row>
    <row r="23">
      <c r="A23" s="53" t="inlineStr">
        <is>
          <t>항목</t>
        </is>
      </c>
      <c r="B23" s="53" t="inlineStr">
        <is>
          <t>값</t>
        </is>
      </c>
      <c r="E23" s="53" t="inlineStr">
        <is>
          <t>출처</t>
        </is>
      </c>
    </row>
    <row r="24">
      <c r="A24" s="54" t="inlineStr">
        <is>
          <t>매출</t>
        </is>
      </c>
      <c r="B24" s="55" t="n">
        <v>14.5</v>
      </c>
      <c r="E24" s="56" t="inlineStr">
        <is>
          <t>2단계 보고서 자료(회사 설명회 자료·공시)</t>
        </is>
      </c>
    </row>
    <row r="25">
      <c r="A25" s="54" t="inlineStr">
        <is>
          <t>gp</t>
        </is>
      </c>
      <c r="B25" s="55" t="n">
        <v>12.6</v>
      </c>
    </row>
    <row r="26">
      <c r="A26" s="54" t="inlineStr">
        <is>
          <t>영업이익</t>
        </is>
      </c>
      <c r="B26" s="55" t="n">
        <v>1.14</v>
      </c>
    </row>
    <row r="27">
      <c r="A27" s="54" t="inlineStr">
        <is>
          <t>ord</t>
        </is>
      </c>
      <c r="B27" s="55" t="n">
        <v>0.58</v>
      </c>
    </row>
    <row r="28">
      <c r="A28" s="54" t="inlineStr">
        <is>
          <t>순이익</t>
        </is>
      </c>
      <c r="B28" s="55" t="n">
        <v>1.01</v>
      </c>
    </row>
    <row r="29">
      <c r="A29" s="54" t="inlineStr">
        <is>
          <t>sga</t>
        </is>
      </c>
      <c r="B29" s="55" t="n">
        <v>11.5</v>
      </c>
    </row>
    <row r="31">
      <c r="A31" s="52" t="inlineStr">
        <is>
          <t>Q · 2024-Q4</t>
        </is>
      </c>
      <c r="B31" s="52" t="n"/>
      <c r="C31" s="52" t="n"/>
      <c r="D31" s="52" t="n"/>
      <c r="E31" s="52" t="n"/>
    </row>
    <row r="32">
      <c r="A32" s="53" t="inlineStr">
        <is>
          <t>항목</t>
        </is>
      </c>
      <c r="B32" s="53" t="inlineStr">
        <is>
          <t>값</t>
        </is>
      </c>
      <c r="E32" s="53" t="inlineStr">
        <is>
          <t>출처</t>
        </is>
      </c>
    </row>
    <row r="33">
      <c r="A33" s="54" t="inlineStr">
        <is>
          <t>매출</t>
        </is>
      </c>
      <c r="B33" s="55" t="n">
        <v>23.6</v>
      </c>
      <c r="E33" s="56" t="inlineStr">
        <is>
          <t>2단계 보고서 자료(회사 설명회 자료·공시)</t>
        </is>
      </c>
    </row>
    <row r="34">
      <c r="A34" s="54" t="inlineStr">
        <is>
          <t>gp</t>
        </is>
      </c>
      <c r="B34" s="55" t="n">
        <v>14.7</v>
      </c>
    </row>
    <row r="35">
      <c r="A35" s="54" t="inlineStr">
        <is>
          <t>영업이익</t>
        </is>
      </c>
      <c r="B35" s="55" t="n">
        <v>0.05</v>
      </c>
    </row>
    <row r="36">
      <c r="A36" s="54" t="inlineStr">
        <is>
          <t>ord</t>
        </is>
      </c>
      <c r="B36" s="55" t="n">
        <v>0.11</v>
      </c>
    </row>
    <row r="37">
      <c r="A37" s="54" t="inlineStr">
        <is>
          <t>순이익</t>
        </is>
      </c>
      <c r="B37" s="55" t="n">
        <v>0.03</v>
      </c>
    </row>
    <row r="38">
      <c r="A38" s="54" t="inlineStr">
        <is>
          <t>sga</t>
        </is>
      </c>
      <c r="B38" s="55" t="n">
        <v>14.6</v>
      </c>
    </row>
    <row r="40">
      <c r="A40" s="52" t="inlineStr">
        <is>
          <t>Q · 2025-Q1</t>
        </is>
      </c>
      <c r="B40" s="52" t="n"/>
      <c r="C40" s="52" t="n"/>
      <c r="D40" s="52" t="n"/>
      <c r="E40" s="52" t="n"/>
    </row>
    <row r="41">
      <c r="A41" s="53" t="inlineStr">
        <is>
          <t>항목</t>
        </is>
      </c>
      <c r="B41" s="53" t="inlineStr">
        <is>
          <t>값</t>
        </is>
      </c>
      <c r="E41" s="53" t="inlineStr">
        <is>
          <t>출처</t>
        </is>
      </c>
    </row>
    <row r="42">
      <c r="A42" s="54" t="inlineStr">
        <is>
          <t>매출</t>
        </is>
      </c>
      <c r="B42" s="55" t="n">
        <v>23.73</v>
      </c>
      <c r="E42" s="56" t="inlineStr">
        <is>
          <t>2단계 보고서 자료(회사 설명회 자료·공시)</t>
        </is>
      </c>
    </row>
    <row r="43">
      <c r="A43" s="54" t="inlineStr">
        <is>
          <t>gp</t>
        </is>
      </c>
      <c r="B43" s="55" t="n">
        <v>15.1</v>
      </c>
    </row>
    <row r="44">
      <c r="A44" s="54" t="inlineStr">
        <is>
          <t>영업이익</t>
        </is>
      </c>
      <c r="B44" s="55" t="n">
        <v>1.08</v>
      </c>
    </row>
    <row r="45">
      <c r="A45" s="54" t="inlineStr">
        <is>
          <t>ord</t>
        </is>
      </c>
      <c r="B45" s="55" t="n">
        <v>0.79</v>
      </c>
    </row>
    <row r="46">
      <c r="A46" s="54" t="inlineStr">
        <is>
          <t>순이익</t>
        </is>
      </c>
      <c r="B46" s="55" t="n">
        <v>1.05</v>
      </c>
    </row>
    <row r="47">
      <c r="A47" s="54" t="inlineStr">
        <is>
          <t>sga</t>
        </is>
      </c>
      <c r="B47" s="55" t="n">
        <v>14.1</v>
      </c>
    </row>
    <row r="48">
      <c r="A48" s="54" t="inlineStr">
        <is>
          <t>pbt</t>
        </is>
      </c>
      <c r="B48" s="55" t="n">
        <v>0.8</v>
      </c>
    </row>
    <row r="50">
      <c r="A50" s="52" t="inlineStr">
        <is>
          <t>Q · 2025-Q2</t>
        </is>
      </c>
      <c r="B50" s="52" t="n"/>
      <c r="C50" s="52" t="n"/>
      <c r="D50" s="52" t="n"/>
      <c r="E50" s="52" t="n"/>
    </row>
    <row r="51">
      <c r="A51" s="53" t="inlineStr">
        <is>
          <t>항목</t>
        </is>
      </c>
      <c r="B51" s="53" t="inlineStr">
        <is>
          <t>값</t>
        </is>
      </c>
      <c r="E51" s="53" t="inlineStr">
        <is>
          <t>출처</t>
        </is>
      </c>
    </row>
    <row r="52">
      <c r="A52" s="54" t="inlineStr">
        <is>
          <t>매출</t>
        </is>
      </c>
      <c r="B52" s="55" t="n">
        <v>23.42</v>
      </c>
      <c r="E52" s="56" t="inlineStr">
        <is>
          <t>2단계 보고서 자료(회사 설명회 자료·공시)</t>
        </is>
      </c>
    </row>
    <row r="53">
      <c r="A53" s="54" t="inlineStr">
        <is>
          <t>gp</t>
        </is>
      </c>
      <c r="B53" s="55" t="n">
        <v>15</v>
      </c>
    </row>
    <row r="54">
      <c r="A54" s="54" t="inlineStr">
        <is>
          <t>영업이익</t>
        </is>
      </c>
      <c r="B54" s="55" t="n">
        <v>0.9</v>
      </c>
    </row>
    <row r="55">
      <c r="A55" s="54" t="inlineStr">
        <is>
          <t>ord</t>
        </is>
      </c>
      <c r="B55" s="55" t="n">
        <v>0.92</v>
      </c>
    </row>
    <row r="56">
      <c r="A56" s="54" t="inlineStr">
        <is>
          <t>순이익</t>
        </is>
      </c>
      <c r="B56" s="55" t="n">
        <v>0.55</v>
      </c>
    </row>
    <row r="57">
      <c r="A57" s="54" t="inlineStr">
        <is>
          <t>sga</t>
        </is>
      </c>
      <c r="B57" s="55" t="n">
        <v>14.1</v>
      </c>
    </row>
    <row r="58">
      <c r="A58" s="54" t="inlineStr">
        <is>
          <t>pbt</t>
        </is>
      </c>
      <c r="B58" s="55" t="n">
        <v>0.9</v>
      </c>
    </row>
    <row r="60">
      <c r="A60" s="52" t="inlineStr">
        <is>
          <t>Q · 2025-Q3</t>
        </is>
      </c>
      <c r="B60" s="52" t="n"/>
      <c r="C60" s="52" t="n"/>
      <c r="D60" s="52" t="n"/>
      <c r="E60" s="52" t="n"/>
    </row>
    <row r="61">
      <c r="A61" s="53" t="inlineStr">
        <is>
          <t>항목</t>
        </is>
      </c>
      <c r="B61" s="53" t="inlineStr">
        <is>
          <t>값</t>
        </is>
      </c>
      <c r="E61" s="53" t="inlineStr">
        <is>
          <t>출처</t>
        </is>
      </c>
    </row>
    <row r="62">
      <c r="A62" s="54" t="inlineStr">
        <is>
          <t>매출</t>
        </is>
      </c>
      <c r="B62" s="55" t="n">
        <v>23.46</v>
      </c>
      <c r="E62" s="56" t="inlineStr">
        <is>
          <t>2단계 보고서 자료(회사 설명회 자료·공시)</t>
        </is>
      </c>
    </row>
    <row r="63">
      <c r="A63" s="54" t="inlineStr">
        <is>
          <t>gp</t>
        </is>
      </c>
      <c r="B63" s="55" t="n">
        <v>15.6</v>
      </c>
    </row>
    <row r="64">
      <c r="A64" s="54" t="inlineStr">
        <is>
          <t>영업이익</t>
        </is>
      </c>
      <c r="B64" s="55" t="n">
        <v>0.9</v>
      </c>
    </row>
    <row r="65">
      <c r="A65" s="54" t="inlineStr">
        <is>
          <t>ord</t>
        </is>
      </c>
      <c r="B65" s="55" t="n">
        <v>0.89</v>
      </c>
    </row>
    <row r="66">
      <c r="A66" s="54" t="inlineStr">
        <is>
          <t>순이익</t>
        </is>
      </c>
      <c r="B66" s="55" t="n">
        <v>1.4</v>
      </c>
    </row>
    <row r="67">
      <c r="A67" s="54" t="inlineStr">
        <is>
          <t>sga</t>
        </is>
      </c>
      <c r="B67" s="55" t="n">
        <v>14.7</v>
      </c>
    </row>
    <row r="68">
      <c r="A68" s="54" t="inlineStr">
        <is>
          <t>pbt</t>
        </is>
      </c>
      <c r="B68" s="55" t="n">
        <v>0.9</v>
      </c>
    </row>
    <row r="70">
      <c r="A70" s="52" t="inlineStr">
        <is>
          <t>Q · 2025-Q4</t>
        </is>
      </c>
      <c r="B70" s="52" t="n"/>
      <c r="C70" s="52" t="n"/>
      <c r="D70" s="52" t="n"/>
      <c r="E70" s="52" t="n"/>
    </row>
    <row r="71">
      <c r="A71" s="53" t="inlineStr">
        <is>
          <t>항목</t>
        </is>
      </c>
      <c r="B71" s="53" t="inlineStr">
        <is>
          <t>값</t>
        </is>
      </c>
      <c r="E71" s="53" t="inlineStr">
        <is>
          <t>출처</t>
        </is>
      </c>
    </row>
    <row r="72">
      <c r="A72" s="54" t="inlineStr">
        <is>
          <t>매출</t>
        </is>
      </c>
      <c r="B72" s="55" t="n">
        <v>23.49</v>
      </c>
      <c r="E72" s="56" t="inlineStr">
        <is>
          <t>2단계 보고서 자료(회사 설명회 자료·공시)</t>
        </is>
      </c>
    </row>
    <row r="73">
      <c r="A73" s="54" t="inlineStr">
        <is>
          <t>gp</t>
        </is>
      </c>
      <c r="B73" s="55" t="n">
        <v>15.6</v>
      </c>
    </row>
    <row r="74">
      <c r="A74" s="54" t="inlineStr">
        <is>
          <t>영업이익</t>
        </is>
      </c>
      <c r="B74" s="55" t="n">
        <v>-0.32</v>
      </c>
    </row>
    <row r="75">
      <c r="A75" s="54" t="inlineStr">
        <is>
          <t>ord</t>
        </is>
      </c>
      <c r="B75" s="55" t="n">
        <v>-0.33</v>
      </c>
    </row>
    <row r="76">
      <c r="A76" s="54" t="inlineStr">
        <is>
          <t>순이익</t>
        </is>
      </c>
      <c r="B76" s="55" t="n">
        <v>0.06</v>
      </c>
    </row>
    <row r="77">
      <c r="A77" s="54" t="inlineStr">
        <is>
          <t>sga</t>
        </is>
      </c>
      <c r="B77" s="55" t="n">
        <v>15.9</v>
      </c>
    </row>
    <row r="78">
      <c r="A78" s="54" t="inlineStr">
        <is>
          <t>pbt</t>
        </is>
      </c>
      <c r="B78" s="55" t="n">
        <v>-0.3</v>
      </c>
    </row>
    <row r="80">
      <c r="A80" s="52" t="inlineStr">
        <is>
          <t>Q · 2026-Q1</t>
        </is>
      </c>
      <c r="B80" s="52" t="n"/>
      <c r="C80" s="52" t="n"/>
      <c r="D80" s="52" t="n"/>
      <c r="E80" s="52" t="n"/>
    </row>
    <row r="81">
      <c r="A81" s="53" t="inlineStr">
        <is>
          <t>항목</t>
        </is>
      </c>
      <c r="B81" s="53" t="inlineStr">
        <is>
          <t>값</t>
        </is>
      </c>
      <c r="E81" s="53" t="inlineStr">
        <is>
          <t>출처</t>
        </is>
      </c>
    </row>
    <row r="82">
      <c r="A82" s="54" t="inlineStr">
        <is>
          <t>매출</t>
        </is>
      </c>
      <c r="B82" s="55" t="n">
        <v>24.67</v>
      </c>
      <c r="E82" s="56" t="inlineStr">
        <is>
          <t>2단계 보고서 자료(회사 설명회 자료·공시)</t>
        </is>
      </c>
    </row>
    <row r="83">
      <c r="A83" s="54" t="inlineStr">
        <is>
          <t>gp</t>
        </is>
      </c>
      <c r="B83" s="55" t="n">
        <v>15.9</v>
      </c>
    </row>
    <row r="84">
      <c r="A84" s="54" t="inlineStr">
        <is>
          <t>영업이익</t>
        </is>
      </c>
      <c r="B84" s="55" t="n">
        <v>0.79</v>
      </c>
    </row>
    <row r="85">
      <c r="A85" s="54" t="inlineStr">
        <is>
          <t>ord</t>
        </is>
      </c>
      <c r="B85" s="55" t="n">
        <v>0.8100000000000001</v>
      </c>
    </row>
    <row r="86">
      <c r="A86" s="54" t="inlineStr">
        <is>
          <t>순이익</t>
        </is>
      </c>
      <c r="B86" s="55" t="n">
        <v>0.7</v>
      </c>
    </row>
    <row r="87">
      <c r="A87" s="54" t="inlineStr">
        <is>
          <t>sga</t>
        </is>
      </c>
      <c r="B87" s="55" t="n">
        <v>15.1</v>
      </c>
    </row>
    <row r="88">
      <c r="A88" s="54" t="inlineStr">
        <is>
          <t>pbt</t>
        </is>
      </c>
      <c r="B88" s="55" t="n">
        <v>0.8</v>
      </c>
    </row>
    <row r="90">
      <c r="A90" s="52" t="inlineStr">
        <is>
          <t>Q · 2026-Q2</t>
        </is>
      </c>
      <c r="B90" s="52" t="n"/>
      <c r="C90" s="52" t="n"/>
      <c r="D90" s="52" t="n"/>
      <c r="E90" s="52" t="n"/>
    </row>
    <row r="91">
      <c r="A91" s="53" t="inlineStr">
        <is>
          <t>항목</t>
        </is>
      </c>
      <c r="B91" s="53" t="inlineStr">
        <is>
          <t>값</t>
        </is>
      </c>
      <c r="E91" s="53" t="inlineStr">
        <is>
          <t>출처</t>
        </is>
      </c>
    </row>
    <row r="92">
      <c r="A92" s="54" t="inlineStr">
        <is>
          <t>매출</t>
        </is>
      </c>
      <c r="B92" s="55" t="n">
        <v>25.24</v>
      </c>
      <c r="E92" s="56" t="inlineStr">
        <is>
          <t>2단계 보고서 자료(회사 설명회 자료·공시)</t>
        </is>
      </c>
    </row>
    <row r="93">
      <c r="A93" s="54" t="inlineStr">
        <is>
          <t>gp</t>
        </is>
      </c>
      <c r="B93" s="55" t="n">
        <v>15.7</v>
      </c>
    </row>
    <row r="94">
      <c r="A94" s="54" t="inlineStr">
        <is>
          <t>영업이익</t>
        </is>
      </c>
      <c r="B94" s="55" t="n">
        <v>1.52</v>
      </c>
    </row>
    <row r="95">
      <c r="A95" s="54" t="inlineStr">
        <is>
          <t>ord</t>
        </is>
      </c>
      <c r="B95" s="55" t="n">
        <v>1.5</v>
      </c>
    </row>
    <row r="96">
      <c r="A96" s="54" t="inlineStr">
        <is>
          <t>순이익</t>
        </is>
      </c>
      <c r="B96" s="55" t="n">
        <v>0.87</v>
      </c>
    </row>
    <row r="97">
      <c r="A97" s="54" t="inlineStr">
        <is>
          <t>sga</t>
        </is>
      </c>
      <c r="B97" s="55" t="n">
        <v>14.2</v>
      </c>
    </row>
    <row r="98">
      <c r="A98" s="54" t="inlineStr">
        <is>
          <t>pbt</t>
        </is>
      </c>
      <c r="B98" s="55" t="n">
        <v>1.5</v>
      </c>
    </row>
    <row r="100">
      <c r="A100" s="52" t="inlineStr">
        <is>
          <t>Q · 2026-Q3</t>
        </is>
      </c>
      <c r="B100" s="52" t="n"/>
      <c r="C100" s="52" t="n"/>
      <c r="D100" s="52" t="n"/>
      <c r="E100" s="52" t="n"/>
    </row>
    <row r="101">
      <c r="A101" s="53" t="inlineStr">
        <is>
          <t>항목</t>
        </is>
      </c>
      <c r="B101" s="53" t="inlineStr">
        <is>
          <t>값</t>
        </is>
      </c>
      <c r="E101" s="53" t="inlineStr">
        <is>
          <t>출처</t>
        </is>
      </c>
    </row>
    <row r="102">
      <c r="A102" s="54" t="inlineStr">
        <is>
          <t>매출</t>
        </is>
      </c>
      <c r="B102" s="55" t="n">
        <v>26.51</v>
      </c>
      <c r="E102" s="56" t="inlineStr">
        <is>
          <t>2단계 보고서 자료(회사 설명회 자료·공시)</t>
        </is>
      </c>
    </row>
    <row r="103">
      <c r="A103" s="54" t="inlineStr">
        <is>
          <t>gp</t>
        </is>
      </c>
      <c r="B103" s="55" t="n">
        <v>16.6</v>
      </c>
    </row>
    <row r="104">
      <c r="A104" s="54" t="inlineStr">
        <is>
          <t>영업이익</t>
        </is>
      </c>
      <c r="B104" s="55" t="n">
        <v>1.79</v>
      </c>
    </row>
    <row r="105">
      <c r="A105" s="54" t="inlineStr">
        <is>
          <t>ord</t>
        </is>
      </c>
      <c r="B105" s="55" t="n">
        <v>1.85</v>
      </c>
    </row>
    <row r="106">
      <c r="A106" s="54" t="inlineStr">
        <is>
          <t>순이익</t>
        </is>
      </c>
      <c r="B106" s="55" t="n">
        <v>1.27</v>
      </c>
    </row>
    <row r="107">
      <c r="A107" s="54" t="inlineStr">
        <is>
          <t>sga</t>
        </is>
      </c>
      <c r="B107" s="55" t="n">
        <v>14.8</v>
      </c>
    </row>
    <row r="108">
      <c r="A108" s="54" t="inlineStr">
        <is>
          <t>pbt</t>
        </is>
      </c>
      <c r="B108" s="55" t="n">
        <v>1.8</v>
      </c>
    </row>
    <row r="110">
      <c r="A110" s="52" t="inlineStr">
        <is>
          <t>Q · 2026-Q4</t>
        </is>
      </c>
      <c r="B110" s="52" t="n"/>
      <c r="C110" s="52" t="n"/>
      <c r="D110" s="52" t="n"/>
      <c r="E110" s="52" t="n"/>
    </row>
    <row r="111">
      <c r="A111" s="53" t="inlineStr">
        <is>
          <t>항목</t>
        </is>
      </c>
      <c r="B111" s="53" t="inlineStr">
        <is>
          <t>값</t>
        </is>
      </c>
      <c r="E111" s="53" t="inlineStr">
        <is>
          <t>출처</t>
        </is>
      </c>
    </row>
    <row r="112">
      <c r="A112" s="54" t="inlineStr">
        <is>
          <t>매출</t>
        </is>
      </c>
      <c r="B112" s="55" t="n">
        <v>26.74</v>
      </c>
      <c r="E112" s="56" t="inlineStr">
        <is>
          <t>2단계 보고서 자료(회사 설명회 자료·공시)</t>
        </is>
      </c>
    </row>
    <row r="113">
      <c r="A113" s="54" t="inlineStr">
        <is>
          <t>gp</t>
        </is>
      </c>
      <c r="B113" s="55" t="n">
        <v>16.5</v>
      </c>
    </row>
    <row r="114">
      <c r="A114" s="54" t="inlineStr">
        <is>
          <t>영업이익</t>
        </is>
      </c>
      <c r="B114" s="55" t="n">
        <v>0.82</v>
      </c>
    </row>
    <row r="115">
      <c r="A115" s="54" t="inlineStr">
        <is>
          <t>ord</t>
        </is>
      </c>
      <c r="B115" s="55" t="n">
        <v>0.86</v>
      </c>
    </row>
    <row r="116">
      <c r="A116" s="54" t="inlineStr">
        <is>
          <t>순이익</t>
        </is>
      </c>
      <c r="B116" s="55" t="n">
        <v>0.96</v>
      </c>
    </row>
    <row r="117">
      <c r="A117" s="54" t="inlineStr">
        <is>
          <t>sga</t>
        </is>
      </c>
      <c r="B117" s="55" t="n">
        <v>15.7</v>
      </c>
    </row>
    <row r="118">
      <c r="A118" s="54" t="inlineStr">
        <is>
          <t>pbt</t>
        </is>
      </c>
      <c r="B118" s="55" t="n">
        <v>0.9</v>
      </c>
    </row>
    <row r="120">
      <c r="A120" s="52" t="inlineStr">
        <is>
          <t>A · FY2020</t>
        </is>
      </c>
      <c r="B120" s="52" t="n"/>
      <c r="C120" s="52" t="n"/>
      <c r="D120" s="52" t="n"/>
      <c r="E120" s="52" t="n"/>
    </row>
    <row r="121">
      <c r="A121" s="53" t="inlineStr">
        <is>
          <t>항목</t>
        </is>
      </c>
      <c r="B121" s="53" t="inlineStr">
        <is>
          <t>값</t>
        </is>
      </c>
      <c r="E121" s="53" t="inlineStr">
        <is>
          <t>출처</t>
        </is>
      </c>
    </row>
    <row r="122">
      <c r="A122" s="54" t="inlineStr">
        <is>
          <t>매출</t>
        </is>
      </c>
      <c r="B122" s="55" t="n">
        <v>17.8</v>
      </c>
      <c r="E122" s="56" t="inlineStr">
        <is>
          <t>2단계 보고서 자료(회사 설명회 자료·공시)</t>
        </is>
      </c>
    </row>
    <row r="123">
      <c r="A123" s="54" t="inlineStr">
        <is>
          <t>영업이익</t>
        </is>
      </c>
      <c r="B123" s="55" t="n">
        <v>-0.8</v>
      </c>
    </row>
    <row r="125">
      <c r="A125" s="52" t="inlineStr">
        <is>
          <t>A · FY2021</t>
        </is>
      </c>
      <c r="B125" s="52" t="n"/>
      <c r="C125" s="52" t="n"/>
      <c r="D125" s="52" t="n"/>
      <c r="E125" s="52" t="n"/>
    </row>
    <row r="126">
      <c r="A126" s="53" t="inlineStr">
        <is>
          <t>항목</t>
        </is>
      </c>
      <c r="B126" s="53" t="inlineStr">
        <is>
          <t>값</t>
        </is>
      </c>
      <c r="E126" s="53" t="inlineStr">
        <is>
          <t>출처</t>
        </is>
      </c>
    </row>
    <row r="127">
      <c r="A127" s="54" t="inlineStr">
        <is>
          <t>매출</t>
        </is>
      </c>
      <c r="B127" s="55" t="n">
        <v>27.46</v>
      </c>
      <c r="E127" s="56" t="inlineStr">
        <is>
          <t>2단계 보고서 자료(회사 설명회 자료·공시)</t>
        </is>
      </c>
    </row>
    <row r="128">
      <c r="A128" s="54" t="inlineStr">
        <is>
          <t>gp</t>
        </is>
      </c>
      <c r="B128" s="55" t="n">
        <v>26.5</v>
      </c>
    </row>
    <row r="129">
      <c r="A129" s="54" t="inlineStr">
        <is>
          <t>영업이익</t>
        </is>
      </c>
      <c r="B129" s="55" t="n">
        <v>0.89</v>
      </c>
    </row>
    <row r="130">
      <c r="A130" s="54" t="inlineStr">
        <is>
          <t>순이익</t>
        </is>
      </c>
      <c r="B130" s="55" t="n">
        <v>0.41</v>
      </c>
    </row>
    <row r="131">
      <c r="A131" s="54" t="inlineStr">
        <is>
          <t>EPS</t>
        </is>
      </c>
      <c r="B131" s="55" t="n">
        <v>1.93</v>
      </c>
    </row>
    <row r="133">
      <c r="A133" s="52" t="inlineStr">
        <is>
          <t>A · FY2022</t>
        </is>
      </c>
      <c r="B133" s="52" t="n"/>
      <c r="C133" s="52" t="n"/>
      <c r="D133" s="52" t="n"/>
      <c r="E133" s="52" t="n"/>
    </row>
    <row r="134">
      <c r="A134" s="53" t="inlineStr">
        <is>
          <t>항목</t>
        </is>
      </c>
      <c r="B134" s="53" t="inlineStr">
        <is>
          <t>값</t>
        </is>
      </c>
      <c r="E134" s="53" t="inlineStr">
        <is>
          <t>출처</t>
        </is>
      </c>
    </row>
    <row r="135">
      <c r="A135" s="54" t="inlineStr">
        <is>
          <t>매출</t>
        </is>
      </c>
      <c r="B135" s="55" t="n">
        <v>38.37</v>
      </c>
      <c r="E135" s="56" t="inlineStr">
        <is>
          <t>2단계 보고서 자료(회사 설명회 자료·공시)</t>
        </is>
      </c>
    </row>
    <row r="136">
      <c r="A136" s="54" t="inlineStr">
        <is>
          <t>gp</t>
        </is>
      </c>
      <c r="B136" s="55" t="n">
        <v>35.3</v>
      </c>
    </row>
    <row r="137">
      <c r="A137" s="54" t="inlineStr">
        <is>
          <t>영업이익</t>
        </is>
      </c>
      <c r="B137" s="55" t="n">
        <v>-5.15</v>
      </c>
    </row>
    <row r="138">
      <c r="A138" s="54" t="inlineStr">
        <is>
          <t>순이익</t>
        </is>
      </c>
      <c r="B138" s="55" t="n">
        <v>-4.94</v>
      </c>
    </row>
    <row r="139">
      <c r="A139" s="54" t="inlineStr">
        <is>
          <t>EPS</t>
        </is>
      </c>
      <c r="B139" s="55" t="n">
        <v>-21.28</v>
      </c>
    </row>
    <row r="141">
      <c r="A141" s="52" t="inlineStr">
        <is>
          <t>A · FY2023</t>
        </is>
      </c>
      <c r="B141" s="52" t="n"/>
      <c r="C141" s="52" t="n"/>
      <c r="D141" s="52" t="n"/>
      <c r="E141" s="52" t="n"/>
    </row>
    <row r="142">
      <c r="A142" s="53" t="inlineStr">
        <is>
          <t>항목</t>
        </is>
      </c>
      <c r="B142" s="53" t="inlineStr">
        <is>
          <t>값</t>
        </is>
      </c>
      <c r="E142" s="53" t="inlineStr">
        <is>
          <t>출처</t>
        </is>
      </c>
    </row>
    <row r="143">
      <c r="A143" s="54" t="inlineStr">
        <is>
          <t>매출</t>
        </is>
      </c>
      <c r="B143" s="55" t="n">
        <v>46.79</v>
      </c>
      <c r="E143" s="56" t="inlineStr">
        <is>
          <t>2단계 보고서 자료(회사 설명회 자료·공시)</t>
        </is>
      </c>
    </row>
    <row r="144">
      <c r="A144" s="54" t="inlineStr">
        <is>
          <t>gp</t>
        </is>
      </c>
      <c r="B144" s="55" t="n">
        <v>43.6</v>
      </c>
    </row>
    <row r="145">
      <c r="A145" s="54" t="inlineStr">
        <is>
          <t>영업이익</t>
        </is>
      </c>
      <c r="B145" s="55" t="n">
        <v>-1.26</v>
      </c>
    </row>
    <row r="146">
      <c r="A146" s="54" t="inlineStr">
        <is>
          <t>순이익</t>
        </is>
      </c>
      <c r="B146" s="55" t="n">
        <v>-0.75</v>
      </c>
    </row>
    <row r="147">
      <c r="A147" s="54" t="inlineStr">
        <is>
          <t>EPS</t>
        </is>
      </c>
      <c r="B147" s="55" t="n">
        <v>-3.2</v>
      </c>
    </row>
    <row r="148">
      <c r="A148" s="54" t="inlineStr">
        <is>
          <t>sga</t>
        </is>
      </c>
      <c r="B148" s="55" t="n">
        <v>46.8</v>
      </c>
    </row>
    <row r="150">
      <c r="A150" s="52" t="inlineStr">
        <is>
          <t>A · FY2024</t>
        </is>
      </c>
      <c r="B150" s="52" t="n"/>
      <c r="C150" s="52" t="n"/>
      <c r="D150" s="52" t="n"/>
      <c r="E150" s="52" t="n"/>
    </row>
    <row r="151">
      <c r="A151" s="53" t="inlineStr">
        <is>
          <t>항목</t>
        </is>
      </c>
      <c r="B151" s="53" t="inlineStr">
        <is>
          <t>값</t>
        </is>
      </c>
      <c r="E151" s="53" t="inlineStr">
        <is>
          <t>출처</t>
        </is>
      </c>
    </row>
    <row r="152">
      <c r="A152" s="54" t="inlineStr">
        <is>
          <t>매출</t>
        </is>
      </c>
      <c r="B152" s="55" t="n">
        <v>65.88</v>
      </c>
      <c r="E152" s="56" t="inlineStr">
        <is>
          <t>2단계 보고서 자료(회사 설명회 자료·공시)</t>
        </is>
      </c>
    </row>
    <row r="153">
      <c r="A153" s="54" t="inlineStr">
        <is>
          <t>gp</t>
        </is>
      </c>
      <c r="B153" s="55" t="n">
        <v>50.9</v>
      </c>
    </row>
    <row r="154">
      <c r="A154" s="54" t="inlineStr">
        <is>
          <t>영업이익</t>
        </is>
      </c>
      <c r="B154" s="55" t="n">
        <v>3.04</v>
      </c>
    </row>
    <row r="155">
      <c r="A155" s="54" t="inlineStr">
        <is>
          <t>순이익</t>
        </is>
      </c>
      <c r="B155" s="55" t="n">
        <v>2.43</v>
      </c>
    </row>
    <row r="156">
      <c r="A156" s="54" t="inlineStr">
        <is>
          <t>EPS</t>
        </is>
      </c>
      <c r="B156" s="55" t="n">
        <v>10.21</v>
      </c>
    </row>
    <row r="157">
      <c r="A157" s="54" t="inlineStr">
        <is>
          <t>sga</t>
        </is>
      </c>
      <c r="B157" s="55" t="n">
        <v>47.9</v>
      </c>
    </row>
    <row r="159">
      <c r="A159" s="52" t="inlineStr">
        <is>
          <t>A · FY2025</t>
        </is>
      </c>
      <c r="B159" s="52" t="n"/>
      <c r="C159" s="52" t="n"/>
      <c r="D159" s="52" t="n"/>
      <c r="E159" s="52" t="n"/>
    </row>
    <row r="160">
      <c r="A160" s="53" t="inlineStr">
        <is>
          <t>항목</t>
        </is>
      </c>
      <c r="B160" s="53" t="inlineStr">
        <is>
          <t>값</t>
        </is>
      </c>
      <c r="E160" s="53" t="inlineStr">
        <is>
          <t>출처</t>
        </is>
      </c>
    </row>
    <row r="161">
      <c r="A161" s="54" t="inlineStr">
        <is>
          <t>매출</t>
        </is>
      </c>
      <c r="B161" s="55" t="n">
        <v>94.09999999999999</v>
      </c>
      <c r="E161" s="56" t="inlineStr">
        <is>
          <t>2단계 보고서 자료(회사 설명회 자료·공시)</t>
        </is>
      </c>
    </row>
    <row r="162">
      <c r="A162" s="54" t="inlineStr">
        <is>
          <t>gp</t>
        </is>
      </c>
      <c r="B162" s="55" t="n">
        <v>61.2</v>
      </c>
    </row>
    <row r="163">
      <c r="A163" s="54" t="inlineStr">
        <is>
          <t>영업이익</t>
        </is>
      </c>
      <c r="B163" s="55" t="n">
        <v>2.56</v>
      </c>
    </row>
    <row r="164">
      <c r="A164" s="54" t="inlineStr">
        <is>
          <t>순이익</t>
        </is>
      </c>
      <c r="B164" s="55" t="n">
        <v>3.07</v>
      </c>
    </row>
    <row r="165">
      <c r="A165" s="54" t="inlineStr">
        <is>
          <t>EPS</t>
        </is>
      </c>
      <c r="B165" s="55" t="n">
        <v>13.07</v>
      </c>
    </row>
    <row r="166">
      <c r="A166" s="54" t="inlineStr">
        <is>
          <t>sga</t>
        </is>
      </c>
      <c r="B166" s="55" t="n">
        <v>58.7</v>
      </c>
    </row>
    <row r="168">
      <c r="A168" s="52" t="inlineStr">
        <is>
          <t>A · FY2026</t>
        </is>
      </c>
      <c r="B168" s="52" t="n"/>
      <c r="C168" s="52" t="n"/>
      <c r="D168" s="52" t="n"/>
      <c r="E168" s="52" t="n"/>
    </row>
    <row r="169">
      <c r="A169" s="53" t="inlineStr">
        <is>
          <t>항목</t>
        </is>
      </c>
      <c r="B169" s="53" t="inlineStr">
        <is>
          <t>값</t>
        </is>
      </c>
      <c r="E169" s="53" t="inlineStr">
        <is>
          <t>출처</t>
        </is>
      </c>
    </row>
    <row r="170">
      <c r="A170" s="54" t="inlineStr">
        <is>
          <t>매출</t>
        </is>
      </c>
      <c r="B170" s="55" t="n">
        <v>103.16</v>
      </c>
      <c r="E170" s="56" t="inlineStr">
        <is>
          <t>2단계 보고서 자료(회사 설명회 자료·공시)</t>
        </is>
      </c>
    </row>
    <row r="171">
      <c r="A171" s="54" t="inlineStr">
        <is>
          <t>gp</t>
        </is>
      </c>
      <c r="B171" s="55" t="n">
        <v>64.67</v>
      </c>
    </row>
    <row r="172">
      <c r="A172" s="54" t="inlineStr">
        <is>
          <t>영업이익</t>
        </is>
      </c>
      <c r="B172" s="55" t="n">
        <v>4.93</v>
      </c>
    </row>
    <row r="173">
      <c r="A173" s="54" t="inlineStr">
        <is>
          <t>순이익</t>
        </is>
      </c>
      <c r="B173" s="55" t="n">
        <v>3.8</v>
      </c>
    </row>
    <row r="174">
      <c r="A174" s="54" t="inlineStr">
        <is>
          <t>EPS</t>
        </is>
      </c>
      <c r="B174" s="55" t="n">
        <v>16.95</v>
      </c>
    </row>
    <row r="175">
      <c r="A175" s="54" t="inlineStr">
        <is>
          <t>sga</t>
        </is>
      </c>
      <c r="B175" s="55" t="n">
        <v>59.75</v>
      </c>
    </row>
    <row r="177">
      <c r="A177" s="52" t="inlineStr">
        <is>
          <t>GUIDE27</t>
        </is>
      </c>
      <c r="B177" s="52" t="n"/>
      <c r="C177" s="52" t="n"/>
      <c r="D177" s="52" t="n"/>
      <c r="E177" s="52" t="n"/>
    </row>
    <row r="178">
      <c r="A178" s="53" t="inlineStr">
        <is>
          <t>항목</t>
        </is>
      </c>
      <c r="B178" s="53" t="inlineStr">
        <is>
          <t>값</t>
        </is>
      </c>
      <c r="E178" s="53" t="inlineStr">
        <is>
          <t>출처</t>
        </is>
      </c>
    </row>
    <row r="179">
      <c r="A179" s="54" t="inlineStr">
        <is>
          <t>매출</t>
        </is>
      </c>
      <c r="B179" s="55" t="n">
        <v>130</v>
      </c>
      <c r="E179" s="56" t="inlineStr">
        <is>
          <t>2단계 보고서 자료(회사 설명회 자료·공시)</t>
        </is>
      </c>
    </row>
    <row r="180">
      <c r="A180" s="54" t="inlineStr">
        <is>
          <t>영업이익</t>
        </is>
      </c>
      <c r="B180" s="55" t="n">
        <v>6</v>
      </c>
    </row>
    <row r="181">
      <c r="A181" s="54" t="inlineStr">
        <is>
          <t>ord</t>
        </is>
      </c>
      <c r="B181" s="55" t="n">
        <v>6</v>
      </c>
    </row>
    <row r="182">
      <c r="A182" s="54" t="inlineStr">
        <is>
          <t>순이익</t>
        </is>
      </c>
      <c r="B182" s="55" t="n">
        <v>4.8</v>
      </c>
    </row>
    <row r="183">
      <c r="A183" s="54" t="inlineStr">
        <is>
          <t>EPS</t>
        </is>
      </c>
      <c r="B183" s="55" t="n">
        <v>21.41</v>
      </c>
    </row>
    <row r="184">
      <c r="A184" s="54" t="inlineStr">
        <is>
          <t>ebitda</t>
        </is>
      </c>
      <c r="B184" s="55" t="n">
        <v>10</v>
      </c>
    </row>
    <row r="186">
      <c r="A186" s="52" t="inlineStr">
        <is>
          <t>bs26</t>
        </is>
      </c>
      <c r="B186" s="52" t="n"/>
      <c r="C186" s="52" t="n"/>
      <c r="D186" s="52" t="n"/>
      <c r="E186" s="52" t="n"/>
    </row>
    <row r="187">
      <c r="A187" s="53" t="inlineStr">
        <is>
          <t>항목</t>
        </is>
      </c>
      <c r="B187" s="53" t="inlineStr">
        <is>
          <t>값</t>
        </is>
      </c>
      <c r="E187" s="53" t="inlineStr">
        <is>
          <t>출처</t>
        </is>
      </c>
    </row>
    <row r="188">
      <c r="A188" s="54" t="inlineStr">
        <is>
          <t>cash</t>
        </is>
      </c>
      <c r="B188" s="55" t="n">
        <v>34</v>
      </c>
      <c r="E188" s="56" t="inlineStr">
        <is>
          <t>2단계 보고서 자료(회사 설명회 자료·공시)</t>
        </is>
      </c>
    </row>
    <row r="189">
      <c r="A189" s="54" t="inlineStr">
        <is>
          <t>deposits received</t>
        </is>
      </c>
      <c r="B189" s="55" t="n">
        <v>7.91</v>
      </c>
    </row>
    <row r="190">
      <c r="A190" s="54" t="inlineStr">
        <is>
          <t>borrowings</t>
        </is>
      </c>
      <c r="B190" s="55" t="n">
        <v>11.71</v>
      </c>
    </row>
    <row r="191">
      <c r="A191" s="54" t="inlineStr">
        <is>
          <t>bonds</t>
        </is>
      </c>
      <c r="B191" s="55" t="n">
        <v>0.6</v>
      </c>
    </row>
    <row r="192">
      <c r="A192" s="54" t="inlineStr">
        <is>
          <t>equity owner</t>
        </is>
      </c>
      <c r="B192" s="55" t="n">
        <v>23.34</v>
      </c>
    </row>
    <row r="193">
      <c r="A193" s="54" t="inlineStr">
        <is>
          <t>ebitda</t>
        </is>
      </c>
      <c r="B193" s="55" t="n">
        <v>8.25</v>
      </c>
    </row>
    <row r="195">
      <c r="A195" s="52" t="inlineStr">
        <is>
          <t>analyst</t>
        </is>
      </c>
      <c r="B195" s="52" t="n"/>
      <c r="C195" s="52" t="n"/>
      <c r="D195" s="52" t="n"/>
      <c r="E195" s="52" t="n"/>
    </row>
    <row r="196">
      <c r="A196" s="53" t="inlineStr">
        <is>
          <t>항목</t>
        </is>
      </c>
      <c r="B196" s="53" t="inlineStr">
        <is>
          <t>값</t>
        </is>
      </c>
      <c r="E196" s="53" t="inlineStr">
        <is>
          <t>출처</t>
        </is>
      </c>
    </row>
    <row r="197">
      <c r="A197" s="54" t="inlineStr">
        <is>
          <t>애널리스트 수</t>
        </is>
      </c>
      <c r="B197" s="57" t="n">
        <v>1</v>
      </c>
      <c r="E197" s="56" t="inlineStr">
        <is>
          <t>야후 파이낸스 26.10.27</t>
        </is>
      </c>
    </row>
    <row r="198">
      <c r="A198" s="54" t="inlineStr">
        <is>
          <t>fy27 EPS</t>
        </is>
      </c>
      <c r="B198" s="55" t="n">
        <v>17.4</v>
      </c>
    </row>
    <row r="199">
      <c r="A199" s="54" t="inlineStr">
        <is>
          <t>fy27 매출</t>
        </is>
      </c>
      <c r="B199" s="55" t="n">
        <v>117</v>
      </c>
    </row>
    <row r="201">
      <c r="A201" s="52" t="inlineStr">
        <is>
          <t>reactions</t>
        </is>
      </c>
      <c r="B201" s="52" t="n"/>
      <c r="C201" s="52" t="n"/>
      <c r="D201" s="52" t="n"/>
      <c r="E201" s="52" t="n"/>
    </row>
    <row r="202">
      <c r="A202" s="53" t="inlineStr">
        <is>
          <t>항목</t>
        </is>
      </c>
      <c r="B202" s="53" t="inlineStr">
        <is>
          <t>기준일</t>
        </is>
      </c>
      <c r="C202" s="53" t="inlineStr">
        <is>
          <t>다음날</t>
        </is>
      </c>
      <c r="D202" s="53" t="inlineStr">
        <is>
          <t>등락%</t>
        </is>
      </c>
      <c r="E202" s="53" t="inlineStr">
        <is>
          <t>출처</t>
        </is>
      </c>
    </row>
    <row r="203">
      <c r="A203" s="54" t="inlineStr">
        <is>
          <t>2025-01-14</t>
        </is>
      </c>
      <c r="B203" s="58" t="inlineStr">
        <is>
          <t>2025-01-14</t>
        </is>
      </c>
      <c r="C203" s="58" t="inlineStr">
        <is>
          <t>2025-01-15</t>
        </is>
      </c>
      <c r="D203" s="55" t="n">
        <v>5.4</v>
      </c>
      <c r="E203" s="56" t="inlineStr">
        <is>
          <t>2단계 보고서 자료(회사 설명회 자료·공시)</t>
        </is>
      </c>
    </row>
    <row r="204">
      <c r="A204" s="54" t="inlineStr">
        <is>
          <t>2025-04-14</t>
        </is>
      </c>
      <c r="B204" s="58" t="inlineStr">
        <is>
          <t>2025-04-14</t>
        </is>
      </c>
      <c r="C204" s="58" t="inlineStr">
        <is>
          <t>2025-04-15</t>
        </is>
      </c>
      <c r="D204" s="55" t="n">
        <v>-1.6</v>
      </c>
    </row>
    <row r="205">
      <c r="A205" s="54" t="inlineStr">
        <is>
          <t>2025-07-11</t>
        </is>
      </c>
      <c r="B205" s="58" t="inlineStr">
        <is>
          <t>2025-07-11</t>
        </is>
      </c>
      <c r="C205" s="58" t="inlineStr">
        <is>
          <t>2025-07-14</t>
        </is>
      </c>
      <c r="D205" s="55" t="n">
        <v>10.8</v>
      </c>
    </row>
    <row r="206">
      <c r="A206" s="54" t="inlineStr">
        <is>
          <t>2025-10-14</t>
        </is>
      </c>
      <c r="B206" s="58" t="inlineStr">
        <is>
          <t>2025-10-14</t>
        </is>
      </c>
      <c r="C206" s="58" t="inlineStr">
        <is>
          <t>2025-10-15</t>
        </is>
      </c>
      <c r="D206" s="55" t="n">
        <v>-11.9</v>
      </c>
    </row>
    <row r="207">
      <c r="A207" s="54" t="inlineStr">
        <is>
          <t>2026-01-14</t>
        </is>
      </c>
      <c r="B207" s="58" t="inlineStr">
        <is>
          <t>2026-01-14</t>
        </is>
      </c>
      <c r="C207" s="58" t="inlineStr">
        <is>
          <t>2026-01-15</t>
        </is>
      </c>
      <c r="D207" s="55" t="n">
        <v>-4.3</v>
      </c>
    </row>
    <row r="208">
      <c r="A208" s="54" t="inlineStr">
        <is>
          <t>2026-04-13</t>
        </is>
      </c>
      <c r="B208" s="58" t="inlineStr">
        <is>
          <t>2026-04-13</t>
        </is>
      </c>
      <c r="C208" s="58" t="inlineStr">
        <is>
          <t>2026-04-14</t>
        </is>
      </c>
      <c r="D208" s="55" t="n">
        <v>3.8</v>
      </c>
    </row>
    <row r="209">
      <c r="A209" s="54" t="inlineStr">
        <is>
          <t>2026-07-10</t>
        </is>
      </c>
      <c r="B209" s="58" t="inlineStr">
        <is>
          <t>2026-07-10</t>
        </is>
      </c>
      <c r="C209" s="58" t="inlineStr">
        <is>
          <t>2026-07-13</t>
        </is>
      </c>
      <c r="D209" s="55" t="n">
        <v>-3.3</v>
      </c>
    </row>
    <row r="210">
      <c r="A210" s="54" t="inlineStr">
        <is>
          <t>2026-10-13</t>
        </is>
      </c>
      <c r="B210" s="58" t="inlineStr">
        <is>
          <t>2026-10-13</t>
        </is>
      </c>
      <c r="C210" s="58" t="inlineStr">
        <is>
          <t>2026-10-14</t>
        </is>
      </c>
      <c r="D210" s="55" t="n">
        <v>29.4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9" t="inlineStr">
        <is>
          <t>공시일</t>
        </is>
      </c>
      <c r="B3" s="59" t="inlineStr">
        <is>
          <t>문서</t>
        </is>
      </c>
      <c r="C3" s="59" t="inlineStr">
        <is>
          <t>PDF</t>
        </is>
      </c>
    </row>
    <row r="4">
      <c r="A4" t="inlineStr">
        <is>
          <t>2026-10-13</t>
        </is>
      </c>
      <c r="B4" t="inlineStr">
        <is>
          <t>2026년 8월 결산기 연간 결산단신</t>
        </is>
      </c>
      <c r="C4" t="inlineStr">
        <is>
          <t>https://www2.jpx.co.jp/disc/41760/140120261013549864.pdf</t>
        </is>
      </c>
    </row>
    <row r="5">
      <c r="A5" t="inlineStr">
        <is>
          <t>2026-07-10</t>
        </is>
      </c>
      <c r="B5" t="inlineStr">
        <is>
          <t>2026년 8월 결산기 3분기 결산단신</t>
        </is>
      </c>
      <c r="C5" t="inlineStr">
        <is>
          <t>https://www2.jpx.co.jp/disc/41760/140120260710591123.pdf</t>
        </is>
      </c>
    </row>
    <row r="6">
      <c r="A6" t="inlineStr">
        <is>
          <t>2026-04-13</t>
        </is>
      </c>
      <c r="B6" t="inlineStr">
        <is>
          <t>2026년 8월 결산기 ２분기 결산단신</t>
        </is>
      </c>
      <c r="C6" t="inlineStr">
        <is>
          <t>https://www2.jpx.co.jp/disc/41760/140120260413502677.pdf</t>
        </is>
      </c>
    </row>
    <row r="7">
      <c r="A7" t="inlineStr">
        <is>
          <t>2026-01-14</t>
        </is>
      </c>
      <c r="B7" t="inlineStr">
        <is>
          <t>2026년 8월 결산기 １분기 결산단신</t>
        </is>
      </c>
      <c r="C7" t="inlineStr">
        <is>
          <t>https://www2.jpx.co.jp/disc/41760/140120260114533766.pdf</t>
        </is>
      </c>
    </row>
    <row r="8">
      <c r="A8" t="inlineStr">
        <is>
          <t>2025-10-14</t>
        </is>
      </c>
      <c r="B8" t="inlineStr">
        <is>
          <t>2025년 8월 결산기 연간 결산단신</t>
        </is>
      </c>
      <c r="C8" t="inlineStr">
        <is>
          <t>https://www2.jpx.co.jp/disc/41760/140120251014573235.pdf</t>
        </is>
      </c>
    </row>
    <row r="9">
      <c r="A9" t="inlineStr">
        <is>
          <t>2025-07-11</t>
        </is>
      </c>
      <c r="B9" t="inlineStr">
        <is>
          <t>2025년 8월 결산기 ３분기 결산단신</t>
        </is>
      </c>
      <c r="C9" t="inlineStr">
        <is>
          <t>https://www2.jpx.co.jp/disc/41760/140120250711512710.pdf</t>
        </is>
      </c>
    </row>
    <row r="10">
      <c r="A10" t="inlineStr">
        <is>
          <t>2025-04-14</t>
        </is>
      </c>
      <c r="B10" t="inlineStr">
        <is>
          <t>2025년 8월 결산기 ２분기 결산단신</t>
        </is>
      </c>
      <c r="C10" t="inlineStr">
        <is>
          <t>https://www2.jpx.co.jp/disc/41760/140120250414514949.pdf</t>
        </is>
      </c>
    </row>
    <row r="11">
      <c r="A11" t="inlineStr">
        <is>
          <t>2025-01-14</t>
        </is>
      </c>
      <c r="B11" t="inlineStr">
        <is>
          <t>2025년 8월 결산기 1분기 결산단신</t>
        </is>
      </c>
      <c r="C11" t="inlineStr">
        <is>
          <t>https://www2.jpx.co.jp/disc/41760/140120250114550508.pdf</t>
        </is>
      </c>
    </row>
    <row r="12">
      <c r="A12" t="inlineStr">
        <is>
          <t>2024-10-11</t>
        </is>
      </c>
      <c r="B12" t="inlineStr">
        <is>
          <t>2024년 8월 결산기 연간 결산단신</t>
        </is>
      </c>
      <c r="C12" t="inlineStr">
        <is>
          <t>https://www2.jpx.co.jp/disc/41760/140120241011597072.pdf</t>
        </is>
      </c>
    </row>
    <row r="13">
      <c r="A13" t="inlineStr">
        <is>
          <t>2024-07-12</t>
        </is>
      </c>
      <c r="B13" t="inlineStr">
        <is>
          <t>2024년 8월 결산기 ３분기 결산단신</t>
        </is>
      </c>
      <c r="C13" t="inlineStr">
        <is>
          <t>https://www2.jpx.co.jp/disc/41760/140120240712549003.pdf</t>
        </is>
      </c>
    </row>
    <row r="14">
      <c r="A14" t="inlineStr">
        <is>
          <t>2024-04-15</t>
        </is>
      </c>
      <c r="B14" t="inlineStr">
        <is>
          <t>2024년 8월 결산기 ２분기 결산단신</t>
        </is>
      </c>
      <c r="C14" t="inlineStr">
        <is>
          <t>https://www2.jpx.co.jp/disc/41760/140120240415571046.pdf</t>
        </is>
      </c>
    </row>
    <row r="15">
      <c r="A15" t="inlineStr">
        <is>
          <t>2024-01-15</t>
        </is>
      </c>
      <c r="B15" t="inlineStr">
        <is>
          <t>2024년 8월 결산기 １분기 결산단신</t>
        </is>
      </c>
      <c r="C15" t="inlineStr">
        <is>
          <t>https://www2.jpx.co.jp/disc/41760/140120240115515154.pdf</t>
        </is>
      </c>
    </row>
    <row r="16">
      <c r="A16" t="inlineStr">
        <is>
          <t>2023-10-13</t>
        </is>
      </c>
      <c r="B16" t="inlineStr">
        <is>
          <t>2023년 8월 결산기 연간 결산단신</t>
        </is>
      </c>
      <c r="C16" t="inlineStr">
        <is>
          <t>https://www2.jpx.co.jp/disc/41760/140120231013566759.pdf</t>
        </is>
      </c>
    </row>
    <row r="17">
      <c r="A17" t="inlineStr">
        <is>
          <t>2023-07-14</t>
        </is>
      </c>
      <c r="B17" t="inlineStr">
        <is>
          <t>2023년 8월 결산기 ３분기 결산단신</t>
        </is>
      </c>
      <c r="C17" t="inlineStr">
        <is>
          <t>https://www2.jpx.co.jp/disc/41760/140120230714522626.pdf</t>
        </is>
      </c>
    </row>
    <row r="18">
      <c r="A18" t="inlineStr">
        <is>
          <t>2023-04-14</t>
        </is>
      </c>
      <c r="B18" t="inlineStr">
        <is>
          <t>2023년 8월 결산기 ２분기 결산단신</t>
        </is>
      </c>
      <c r="C18" t="inlineStr">
        <is>
          <t>https://www2.jpx.co.jp/disc/41760/140120230414547150.pdf</t>
        </is>
      </c>
    </row>
    <row r="19">
      <c r="A19" t="inlineStr">
        <is>
          <t>2023-01-13</t>
        </is>
      </c>
      <c r="B19" t="inlineStr">
        <is>
          <t>2023년 8월 결산기 １분기 결산단신</t>
        </is>
      </c>
      <c r="C19" t="inlineStr">
        <is>
          <t>https://www2.jpx.co.jp/disc/41760/140120230113589146.pdf</t>
        </is>
      </c>
    </row>
    <row r="20">
      <c r="A20" t="inlineStr">
        <is>
          <t>2022-10-14</t>
        </is>
      </c>
      <c r="B20" t="inlineStr">
        <is>
          <t>2022년 8월 결산기 연간 결산단신</t>
        </is>
      </c>
      <c r="C20" t="inlineStr">
        <is>
          <t>https://www2.jpx.co.jp/disc/41760/140120221014544756.pdf</t>
        </is>
      </c>
    </row>
    <row r="21">
      <c r="A21" t="inlineStr">
        <is>
          <t>2021-10-15</t>
        </is>
      </c>
      <c r="B21" t="inlineStr">
        <is>
          <t>2021년 8월 결산기 연간 결산단신</t>
        </is>
      </c>
      <c r="C21" t="inlineStr">
        <is>
          <t>https://www2.jpx.co.jp/disc/41760/140120211014411373.pdf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2026-10-27T04:58:20Z</dcterms:created>
  <dcterms:modified xmlns:dcterms="http://purl.org/dc/terms/" xmlns:xsi="http://www.w3.org/2001/XMLSchema-instance" xsi:type="dcterms:W3CDTF">2026-10-27T04:58:20Z</dcterms:modified>
</cp:coreProperties>
</file>