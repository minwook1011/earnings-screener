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6629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12518.33</v>
      </c>
      <c r="D4" s="12" t="n">
        <v>11142.892</v>
      </c>
      <c r="E4" s="12" t="n">
        <v>14194.35</v>
      </c>
      <c r="F4" s="12" t="n">
        <v>11184.626</v>
      </c>
      <c r="G4" s="12" t="n">
        <v>12318.724</v>
      </c>
      <c r="H4" s="12" t="n">
        <v>12477.03</v>
      </c>
      <c r="I4" s="12" t="n">
        <v>14644.324</v>
      </c>
      <c r="J4" s="12" t="n">
        <v>10469</v>
      </c>
      <c r="K4" s="12" t="n">
        <v>12402.097</v>
      </c>
      <c r="L4" s="12" t="n">
        <v>11954.12</v>
      </c>
      <c r="M4" s="12" t="n">
        <v>16555.415</v>
      </c>
      <c r="N4" s="12" t="n">
        <v>13334</v>
      </c>
      <c r="O4" s="11" t="n">
        <v>20075.594</v>
      </c>
      <c r="P4" s="12" t="n">
        <v>19398.574</v>
      </c>
      <c r="Q4" s="12" t="n">
        <v>19615.664</v>
      </c>
      <c r="R4" s="12" t="n">
        <v>22357.72</v>
      </c>
      <c r="S4" s="12" t="n">
        <v>26481.026</v>
      </c>
      <c r="T4" s="12" t="n">
        <v>34521.523</v>
      </c>
      <c r="U4" s="12" t="n">
        <v>43765.067</v>
      </c>
      <c r="V4" s="12" t="n">
        <v>48623.725</v>
      </c>
      <c r="W4" s="12" t="n">
        <v>50624.704</v>
      </c>
      <c r="X4" s="12" t="n">
        <v>51380.632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>
        <v>8103.786</v>
      </c>
      <c r="D7" s="20" t="n">
        <v>7032.856</v>
      </c>
      <c r="E7" s="20" t="n">
        <v>8881.030000000001</v>
      </c>
      <c r="F7" s="20" t="n">
        <v>7465.286</v>
      </c>
      <c r="G7" s="20" t="n">
        <v>8947.918</v>
      </c>
      <c r="H7" s="20" t="n">
        <v>9241.781000000001</v>
      </c>
      <c r="I7" s="20" t="n">
        <v>10173.408</v>
      </c>
      <c r="J7" s="20" t="n">
        <v>7801</v>
      </c>
      <c r="K7" s="20" t="n">
        <v>8868.404</v>
      </c>
      <c r="L7" s="20" t="n">
        <v>8874.370000000001</v>
      </c>
      <c r="M7" s="20" t="n">
        <v>12225.099</v>
      </c>
      <c r="N7" s="20" t="n">
        <v>10645</v>
      </c>
      <c r="O7" s="19" t="n"/>
      <c r="P7" s="20" t="n"/>
      <c r="Q7" s="20" t="n"/>
      <c r="R7" s="20" t="n"/>
      <c r="S7" s="20" t="n"/>
      <c r="T7" s="20" t="n"/>
      <c r="U7" s="20" t="n"/>
      <c r="V7" s="20" t="n">
        <v>30696.417</v>
      </c>
      <c r="W7" s="20" t="n">
        <v>35828.393</v>
      </c>
      <c r="X7" s="20" t="n">
        <v>37768.873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>
        <v>4414.544</v>
      </c>
      <c r="D10" s="20" t="n">
        <v>4110.036</v>
      </c>
      <c r="E10" s="20" t="n">
        <v>5313.32</v>
      </c>
      <c r="F10" s="20" t="n">
        <v>3719.339</v>
      </c>
      <c r="G10" s="20" t="n">
        <v>3370.807</v>
      </c>
      <c r="H10" s="20" t="n">
        <v>3235.249</v>
      </c>
      <c r="I10" s="20" t="n">
        <v>4470.915</v>
      </c>
      <c r="J10" s="20" t="n">
        <v>2667</v>
      </c>
      <c r="K10" s="20" t="n">
        <v>3534.693</v>
      </c>
      <c r="L10" s="20" t="n">
        <v>3079.749</v>
      </c>
      <c r="M10" s="20" t="n">
        <v>4330.316</v>
      </c>
      <c r="N10" s="20" t="n">
        <v>2689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17927.307</v>
      </c>
      <c r="W10" s="20" t="n">
        <v>14796.31</v>
      </c>
      <c r="X10" s="20" t="n">
        <v>13611.758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>
        <v>9861.934999999999</v>
      </c>
      <c r="D14" s="20" t="n">
        <v>8952.998</v>
      </c>
      <c r="E14" s="20" t="n">
        <v>10676.523</v>
      </c>
      <c r="F14" s="20" t="n">
        <v>9087.281000000001</v>
      </c>
      <c r="G14" s="20" t="n">
        <v>9492.803</v>
      </c>
      <c r="H14" s="20" t="n">
        <v>9726.063</v>
      </c>
      <c r="I14" s="20" t="n">
        <v>11964.932</v>
      </c>
      <c r="J14" s="20" t="n">
        <v>8259</v>
      </c>
      <c r="K14" s="20" t="n">
        <v>9025.794</v>
      </c>
      <c r="L14" s="20" t="n">
        <v>9221.075999999999</v>
      </c>
      <c r="M14" s="20" t="n">
        <v>13078.631</v>
      </c>
      <c r="N14" s="20" t="n">
        <v>10426</v>
      </c>
      <c r="O14" s="19" t="n">
        <v>15335.636</v>
      </c>
      <c r="P14" s="20" t="n">
        <v>14325.589</v>
      </c>
      <c r="Q14" s="20" t="n">
        <v>14154.555</v>
      </c>
      <c r="R14" s="20" t="n">
        <v>16075.626</v>
      </c>
      <c r="S14" s="20" t="n">
        <v>18384.372</v>
      </c>
      <c r="T14" s="20" t="n">
        <v>25437.162</v>
      </c>
      <c r="U14" s="20" t="n">
        <v>34930.82</v>
      </c>
      <c r="V14" s="20" t="n">
        <v>38217.518</v>
      </c>
      <c r="W14" s="20" t="n">
        <v>40271.079</v>
      </c>
      <c r="X14" s="20" t="n">
        <v>39584.501</v>
      </c>
      <c r="Y14" s="19" t="n"/>
      <c r="Z14" s="20" t="n"/>
      <c r="AA14" s="20" t="n"/>
      <c r="AB14" s="20" t="n"/>
      <c r="AC14" s="20" t="n"/>
    </row>
    <row r="15">
      <c r="A15" s="18" t="inlineStr">
        <is>
          <t>매출총이익</t>
        </is>
      </c>
      <c r="B15" s="10" t="n"/>
      <c r="C15" s="19">
        <f>IF(OR(C4="",C14=""),"",IFERROR(C4-C14,""))</f>
        <v/>
      </c>
      <c r="D15" s="20">
        <f>IF(OR(D4="",D14=""),"",IFERROR(D4-D14,""))</f>
        <v/>
      </c>
      <c r="E15" s="20">
        <f>IF(OR(E4="",E14=""),"",IFERROR(E4-E14,""))</f>
        <v/>
      </c>
      <c r="F15" s="20">
        <f>IF(OR(F4="",F14=""),"",IFERROR(F4-F14,""))</f>
        <v/>
      </c>
      <c r="G15" s="20">
        <f>IF(OR(G4="",G14=""),"",IFERROR(G4-G14,""))</f>
        <v/>
      </c>
      <c r="H15" s="20">
        <f>IF(OR(H4="",H14=""),"",IFERROR(H4-H14,""))</f>
        <v/>
      </c>
      <c r="I15" s="20">
        <f>IF(OR(I4="",I14=""),"",IFERROR(I4-I14,""))</f>
        <v/>
      </c>
      <c r="J15" s="20">
        <f>IF(OR(J4="",J14=""),"",IFERROR(J4-J14,""))</f>
        <v/>
      </c>
      <c r="K15" s="20">
        <f>IF(OR(K4="",K14=""),"",IFERROR(K4-K14,""))</f>
        <v/>
      </c>
      <c r="L15" s="20">
        <f>IF(OR(L4="",L14=""),"",IFERROR(L4-L14,""))</f>
        <v/>
      </c>
      <c r="M15" s="20">
        <f>IF(OR(M4="",M14=""),"",IFERROR(M4-M14,""))</f>
        <v/>
      </c>
      <c r="N15" s="20">
        <f>IF(OR(N4="",N14=""),"",IFERROR(N4-N14,""))</f>
        <v/>
      </c>
      <c r="O15" s="19">
        <f>IF(OR(O4="",O14=""),"",IFERROR(O4-O14,""))</f>
        <v/>
      </c>
      <c r="P15" s="20">
        <f>IF(OR(P4="",P14=""),"",IFERROR(P4-P14,""))</f>
        <v/>
      </c>
      <c r="Q15" s="20">
        <f>IF(OR(Q4="",Q14=""),"",IFERROR(Q4-Q14,""))</f>
        <v/>
      </c>
      <c r="R15" s="20">
        <f>IF(OR(R4="",R14=""),"",IFERROR(R4-R14,""))</f>
        <v/>
      </c>
      <c r="S15" s="20">
        <f>IF(OR(S4="",S14=""),"",IFERROR(S4-S14,""))</f>
        <v/>
      </c>
      <c r="T15" s="20">
        <f>IF(OR(T4="",T14=""),"",IFERROR(T4-T14,""))</f>
        <v/>
      </c>
      <c r="U15" s="20">
        <f>IF(OR(U4="",U14=""),"",IFERROR(U4-U14,""))</f>
        <v/>
      </c>
      <c r="V15" s="20">
        <f>IF(OR(V4="",V14=""),"",IFERROR(V4-V14,""))</f>
        <v/>
      </c>
      <c r="W15" s="20">
        <f>IF(OR(W4="",W14=""),"",IFERROR(W4-W14,""))</f>
        <v/>
      </c>
      <c r="X15" s="20">
        <f>IF(OR(X4="",X14=""),"",IFERROR(X4-X14,""))</f>
        <v/>
      </c>
      <c r="Y15" s="19" t="n"/>
      <c r="Z15" s="20" t="n"/>
      <c r="AA15" s="20" t="n"/>
      <c r="AB15" s="20" t="n"/>
      <c r="AC15" s="20" t="n"/>
    </row>
    <row r="16">
      <c r="A16" s="13" t="inlineStr">
        <is>
          <t>GPM</t>
        </is>
      </c>
      <c r="B16" s="10" t="n"/>
      <c r="C16" s="14">
        <f>IF(OR(C15="",C4=""),"",IFERROR(C15/C4,""))</f>
        <v/>
      </c>
      <c r="D16" s="15">
        <f>IF(OR(D15="",D4=""),"",IFERROR(D15/D4,""))</f>
        <v/>
      </c>
      <c r="E16" s="15">
        <f>IF(OR(E15="",E4=""),"",IFERROR(E15/E4,""))</f>
        <v/>
      </c>
      <c r="F16" s="15">
        <f>IF(OR(F15="",F4=""),"",IFERROR(F15/F4,""))</f>
        <v/>
      </c>
      <c r="G16" s="15">
        <f>IF(OR(G15="",G4=""),"",IFERROR(G15/G4,""))</f>
        <v/>
      </c>
      <c r="H16" s="15">
        <f>IF(OR(H15="",H4=""),"",IFERROR(H15/H4,""))</f>
        <v/>
      </c>
      <c r="I16" s="15">
        <f>IF(OR(I15="",I4=""),"",IFERROR(I15/I4,""))</f>
        <v/>
      </c>
      <c r="J16" s="15">
        <f>IF(OR(J15="",J4=""),"",IFERROR(J15/J4,""))</f>
        <v/>
      </c>
      <c r="K16" s="15">
        <f>IF(OR(K15="",K4=""),"",IFERROR(K15/K4,""))</f>
        <v/>
      </c>
      <c r="L16" s="15">
        <f>IF(OR(L15="",L4=""),"",IFERROR(L15/L4,""))</f>
        <v/>
      </c>
      <c r="M16" s="15">
        <f>IF(OR(M15="",M4=""),"",IFERROR(M15/M4,""))</f>
        <v/>
      </c>
      <c r="N16" s="15">
        <f>IF(OR(N15="",N4=""),"",IFERROR(N15/N4,""))</f>
        <v/>
      </c>
      <c r="O16" s="14">
        <f>IF(OR(O15="",O4=""),"",IFERROR(O15/O4,""))</f>
        <v/>
      </c>
      <c r="P16" s="15">
        <f>IF(OR(P15="",P4=""),"",IFERROR(P15/P4,""))</f>
        <v/>
      </c>
      <c r="Q16" s="15">
        <f>IF(OR(Q15="",Q4=""),"",IFERROR(Q15/Q4,""))</f>
        <v/>
      </c>
      <c r="R16" s="15">
        <f>IF(OR(R15="",R4=""),"",IFERROR(R15/R4,""))</f>
        <v/>
      </c>
      <c r="S16" s="15">
        <f>IF(OR(S15="",S4=""),"",IFERROR(S15/S4,""))</f>
        <v/>
      </c>
      <c r="T16" s="15">
        <f>IF(OR(T15="",T4=""),"",IFERROR(T15/T4,""))</f>
        <v/>
      </c>
      <c r="U16" s="15">
        <f>IF(OR(U15="",U4=""),"",IFERROR(U15/U4,""))</f>
        <v/>
      </c>
      <c r="V16" s="15">
        <f>IF(OR(V15="",V4=""),"",IFERROR(V15/V4,""))</f>
        <v/>
      </c>
      <c r="W16" s="15">
        <f>IF(OR(W15="",W4=""),"",IFERROR(W15/W4,""))</f>
        <v/>
      </c>
      <c r="X16" s="15">
        <f>IF(OR(X15="",X4=""),"",IFERROR(X15/X4,""))</f>
        <v/>
      </c>
      <c r="Y16" s="14">
        <f>IF(OR(Y15="",Y4=""),"",IFERROR(Y15/Y4,""))</f>
        <v/>
      </c>
      <c r="Z16" s="15">
        <f>IF(OR(Z15="",Z4=""),"",IFERROR(Z15/Z4,""))</f>
        <v/>
      </c>
      <c r="AA16" s="15">
        <f>IF(OR(AA15="",AA4=""),"",IFERROR(AA15/AA4,""))</f>
        <v/>
      </c>
      <c r="AB16" s="15">
        <f>IF(OR(AB15="",AB4=""),"",IFERROR(AB15/AB4,""))</f>
        <v/>
      </c>
      <c r="AC16" s="15">
        <f>IF(OR(AC15="",AC4=""),"",IFERROR(AC15/AC4,""))</f>
        <v/>
      </c>
    </row>
    <row r="17">
      <c r="A17" s="23" t="inlineStr">
        <is>
          <t>판매관리비</t>
        </is>
      </c>
      <c r="B17" s="23" t="n"/>
      <c r="C17" s="24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3" t="n"/>
      <c r="AA17" s="23" t="n"/>
      <c r="AB17" s="23" t="n"/>
      <c r="AC17" s="23" t="n"/>
    </row>
    <row r="18">
      <c r="A18" s="18" t="inlineStr">
        <is>
          <t>전체 판관비</t>
        </is>
      </c>
      <c r="B18" s="10" t="n"/>
      <c r="C18" s="19" t="n">
        <v>2225.697</v>
      </c>
      <c r="D18" s="20" t="n">
        <v>2290.474</v>
      </c>
      <c r="E18" s="20" t="n">
        <v>2541.667</v>
      </c>
      <c r="F18" s="20" t="n">
        <v>2372.764</v>
      </c>
      <c r="G18" s="20" t="n">
        <v>2402.165</v>
      </c>
      <c r="H18" s="20" t="n">
        <v>2569.185</v>
      </c>
      <c r="I18" s="20" t="n">
        <v>2635.864</v>
      </c>
      <c r="J18" s="20" t="n">
        <v>2188</v>
      </c>
      <c r="K18" s="20" t="n">
        <v>2507.107</v>
      </c>
      <c r="L18" s="20" t="n">
        <v>2362.82</v>
      </c>
      <c r="M18" s="20" t="n">
        <v>2406.088</v>
      </c>
      <c r="N18" s="20" t="n">
        <v>2407</v>
      </c>
      <c r="O18" s="19" t="n">
        <v>4264.692</v>
      </c>
      <c r="P18" s="20" t="n">
        <v>4072.766</v>
      </c>
      <c r="Q18" s="20" t="n">
        <v>4320.106</v>
      </c>
      <c r="R18" s="20" t="n">
        <v>4838.302</v>
      </c>
      <c r="S18" s="20" t="n">
        <v>5678.878</v>
      </c>
      <c r="T18" s="20" t="n">
        <v>8334.532999999999</v>
      </c>
      <c r="U18" s="20" t="n">
        <v>9364.725</v>
      </c>
      <c r="V18" s="20" t="n">
        <v>9369.314</v>
      </c>
      <c r="W18" s="20" t="n">
        <v>9979.977999999999</v>
      </c>
      <c r="X18" s="20" t="n">
        <v>9464.014999999999</v>
      </c>
      <c r="Y18" s="19" t="n"/>
      <c r="Z18" s="20" t="n"/>
      <c r="AA18" s="20" t="n"/>
      <c r="AB18" s="20" t="n"/>
      <c r="AC18" s="20" t="n"/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430.697</v>
      </c>
      <c r="D19" s="12" t="n">
        <v>-100.58</v>
      </c>
      <c r="E19" s="12" t="n">
        <v>976.159</v>
      </c>
      <c r="F19" s="12" t="n">
        <v>-275.419</v>
      </c>
      <c r="G19" s="12" t="n">
        <v>423.755</v>
      </c>
      <c r="H19" s="12" t="n">
        <v>181.782</v>
      </c>
      <c r="I19" s="12" t="n">
        <v>43.527</v>
      </c>
      <c r="J19" s="12" t="n">
        <v>21</v>
      </c>
      <c r="K19" s="12" t="n">
        <v>870.196</v>
      </c>
      <c r="L19" s="12" t="n">
        <v>370.222</v>
      </c>
      <c r="M19" s="12" t="n">
        <v>1070.697</v>
      </c>
      <c r="N19" s="12" t="n">
        <v>501</v>
      </c>
      <c r="O19" s="11" t="n">
        <v>475.265</v>
      </c>
      <c r="P19" s="12" t="n">
        <v>1000.219</v>
      </c>
      <c r="Q19" s="12" t="n">
        <v>1141.002</v>
      </c>
      <c r="R19" s="12" t="n">
        <v>1443.791</v>
      </c>
      <c r="S19" s="12" t="n">
        <v>2417.775</v>
      </c>
      <c r="T19" s="12" t="n">
        <v>749.827</v>
      </c>
      <c r="U19" s="12" t="n">
        <v>-530.478</v>
      </c>
      <c r="V19" s="12" t="n">
        <v>1036.891</v>
      </c>
      <c r="W19" s="12" t="n">
        <v>373.645</v>
      </c>
      <c r="X19" s="12" t="n">
        <v>2332.115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3" t="inlineStr">
        <is>
          <t>OPM</t>
        </is>
      </c>
      <c r="B20" s="10" t="inlineStr">
        <is>
          <t>MW 입력</t>
        </is>
      </c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25" t="n"/>
      <c r="Z20" s="26" t="n"/>
      <c r="AA20" s="26" t="n"/>
      <c r="AB20" s="26" t="n"/>
      <c r="AC20" s="26" t="n"/>
    </row>
    <row r="21">
      <c r="A21" s="13" t="inlineStr">
        <is>
          <t>증가율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비용의 성격별 분류</t>
        </is>
      </c>
      <c r="B22" s="16" t="inlineStr">
        <is>
          <t>참고 데이터</t>
        </is>
      </c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IF(O18="","",O18)</f>
        <v/>
      </c>
      <c r="P23" s="12">
        <f>IF(P18="","",P18)</f>
        <v/>
      </c>
      <c r="Q23" s="12">
        <f>IF(Q18="","",Q18)</f>
        <v/>
      </c>
      <c r="R23" s="12">
        <f>IF(R18="","",R18)</f>
        <v/>
      </c>
      <c r="S23" s="12">
        <f>IF(S18="","",S18)</f>
        <v/>
      </c>
      <c r="T23" s="12">
        <f>IF(T18="","",T18)</f>
        <v/>
      </c>
      <c r="U23" s="12">
        <f>IF(U18="","",U18)</f>
        <v/>
      </c>
      <c r="V23" s="12">
        <f>IF(V18="","",V18)</f>
        <v/>
      </c>
      <c r="W23" s="12">
        <f>IF(W18="","",W18)</f>
        <v/>
      </c>
      <c r="X23" s="12">
        <f>IF(X18="","",X18)</f>
        <v/>
      </c>
      <c r="Y23" s="11" t="n"/>
      <c r="Z23" s="12" t="n"/>
      <c r="AA23" s="12" t="n"/>
      <c r="AB23" s="12" t="n"/>
      <c r="AC23" s="12" t="n"/>
    </row>
    <row r="24">
      <c r="A24" s="18" t="inlineStr">
        <is>
          <t>급여</t>
        </is>
      </c>
      <c r="B24" s="10" t="inlineStr">
        <is>
          <t>고정비</t>
        </is>
      </c>
      <c r="C24" s="19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9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19" t="n"/>
      <c r="Z24" s="20" t="n"/>
      <c r="AA24" s="20" t="n"/>
      <c r="AB24" s="20" t="n"/>
      <c r="AC24" s="20" t="n"/>
    </row>
    <row r="25">
      <c r="A25" s="13" t="inlineStr">
        <is>
          <t>% of Sales</t>
        </is>
      </c>
      <c r="B25" s="10" t="n"/>
      <c r="C25" s="14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 t="n"/>
      <c r="Z25" s="15" t="n"/>
      <c r="AA25" s="15" t="n"/>
      <c r="AB25" s="15" t="n"/>
      <c r="AC25" s="15" t="n"/>
    </row>
    <row r="26">
      <c r="A26" s="18" t="inlineStr">
        <is>
          <t>감가상각비</t>
        </is>
      </c>
      <c r="B26" s="10" t="inlineStr">
        <is>
          <t>고정비</t>
        </is>
      </c>
      <c r="C26" s="19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19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19" t="n"/>
      <c r="Z26" s="20" t="n"/>
      <c r="AA26" s="20" t="n"/>
      <c r="AB26" s="20" t="n"/>
      <c r="AC26" s="20" t="n"/>
    </row>
    <row r="27">
      <c r="A27" s="13" t="inlineStr">
        <is>
          <t>% of Sales</t>
        </is>
      </c>
      <c r="B27" s="10" t="n"/>
      <c r="C27" s="14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4">
        <f>IF(OR(O26="",O4=""),"",IFERROR(O26/O4,""))</f>
        <v/>
      </c>
      <c r="P27" s="15">
        <f>IF(OR(P26="",P4=""),"",IFERROR(P26/P4,""))</f>
        <v/>
      </c>
      <c r="Q27" s="15">
        <f>IF(OR(Q26="",Q4=""),"",IFERROR(Q26/Q4,""))</f>
        <v/>
      </c>
      <c r="R27" s="15">
        <f>IF(OR(R26="",R4=""),"",IFERROR(R26/R4,""))</f>
        <v/>
      </c>
      <c r="S27" s="15">
        <f>IF(OR(S26="",S4=""),"",IFERROR(S26/S4,""))</f>
        <v/>
      </c>
      <c r="T27" s="15">
        <f>IF(OR(T26="",T4=""),"",IFERROR(T26/T4,""))</f>
        <v/>
      </c>
      <c r="U27" s="15">
        <f>IF(OR(U26="",U4=""),"",IFERROR(U26/U4,""))</f>
        <v/>
      </c>
      <c r="V27" s="15">
        <f>IF(OR(V26="",V4=""),"",IFERROR(V26/V4,""))</f>
        <v/>
      </c>
      <c r="W27" s="15">
        <f>IF(OR(W26="",W4=""),"",IFERROR(W26/W4,""))</f>
        <v/>
      </c>
      <c r="X27" s="15">
        <f>IF(OR(X26="",X4=""),"",IFERROR(X26/X4,""))</f>
        <v/>
      </c>
      <c r="Y27" s="14" t="n"/>
      <c r="Z27" s="15" t="n"/>
      <c r="AA27" s="15" t="n"/>
      <c r="AB27" s="15" t="n"/>
      <c r="AC27" s="15" t="n"/>
    </row>
    <row r="28">
      <c r="A28" s="18" t="inlineStr">
        <is>
          <t>지급수수료</t>
        </is>
      </c>
      <c r="B28" s="10" t="inlineStr">
        <is>
          <t>고정비</t>
        </is>
      </c>
      <c r="C28" s="19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19" t="n"/>
      <c r="Z28" s="20" t="n"/>
      <c r="AA28" s="20" t="n"/>
      <c r="AB28" s="20" t="n"/>
      <c r="AC28" s="20" t="n"/>
    </row>
    <row r="29">
      <c r="A29" s="13" t="inlineStr">
        <is>
          <t>% of Sales</t>
        </is>
      </c>
      <c r="B29" s="10" t="n"/>
      <c r="C29" s="14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 t="n"/>
      <c r="Z29" s="15" t="n"/>
      <c r="AA29" s="15" t="n"/>
      <c r="AB29" s="15" t="n"/>
      <c r="AC29" s="15" t="n"/>
    </row>
    <row r="30">
      <c r="A30" s="18" t="inlineStr">
        <is>
          <t>연구개발비</t>
        </is>
      </c>
      <c r="B30" s="10" t="inlineStr">
        <is>
          <t>변동비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기타비용</t>
        </is>
      </c>
      <c r="B32" s="10" t="inlineStr">
        <is>
          <t>변동비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>
        <f>IF(OR(O23="",O24="",O26="",O28="",O30=""),"",IFERROR(O23-O24-O26-O28-O30,""))</f>
        <v/>
      </c>
      <c r="P32" s="20">
        <f>IF(OR(P23="",P24="",P26="",P28="",P30=""),"",IFERROR(P23-P24-P26-P28-P30,""))</f>
        <v/>
      </c>
      <c r="Q32" s="20">
        <f>IF(OR(Q23="",Q24="",Q26="",Q28="",Q30=""),"",IFERROR(Q23-Q24-Q26-Q28-Q30,""))</f>
        <v/>
      </c>
      <c r="R32" s="20">
        <f>IF(OR(R23="",R24="",R26="",R28="",R30=""),"",IFERROR(R23-R24-R26-R28-R30,""))</f>
        <v/>
      </c>
      <c r="S32" s="20">
        <f>IF(OR(S23="",S24="",S26="",S28="",S30=""),"",IFERROR(S23-S24-S26-S28-S30,""))</f>
        <v/>
      </c>
      <c r="T32" s="20">
        <f>IF(OR(T23="",T24="",T26="",T28="",T30=""),"",IFERROR(T23-T24-T26-T28-T30,""))</f>
        <v/>
      </c>
      <c r="U32" s="20">
        <f>IF(OR(U23="",U24="",U26="",U28="",U30=""),"",IFERROR(U23-U24-U26-U28-U30,""))</f>
        <v/>
      </c>
      <c r="V32" s="20">
        <f>IF(OR(V23="",V24="",V26="",V28="",V30=""),"",IFERROR(V23-V24-V26-V28-V30,""))</f>
        <v/>
      </c>
      <c r="W32" s="20">
        <f>IF(OR(W23="",W24="",W26="",W28="",W30=""),"",IFERROR(W23-W24-W26-W28-W30,""))</f>
        <v/>
      </c>
      <c r="X32" s="20">
        <f>IF(OR(X23="",X24="",X26="",X28="",X30=""),"",IFERROR(X23-X24-X26-X28-X30,""))</f>
        <v/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6" t="inlineStr">
        <is>
          <t>당기순이익 추정</t>
        </is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18" t="inlineStr">
        <is>
          <t>특별이익</t>
        </is>
      </c>
      <c r="B35" s="10" t="n"/>
      <c r="C35" s="19" t="n">
        <v>3.303</v>
      </c>
      <c r="D35" s="20" t="n">
        <v>1.382</v>
      </c>
      <c r="E35" s="20" t="n">
        <v>40.3</v>
      </c>
      <c r="F35" s="20" t="n"/>
      <c r="G35" s="20" t="n"/>
      <c r="H35" s="20" t="n">
        <v>2.669</v>
      </c>
      <c r="I35" s="20" t="n">
        <v>82.657</v>
      </c>
      <c r="J35" s="20" t="n"/>
      <c r="K35" s="20" t="n"/>
      <c r="L35" s="20" t="n"/>
      <c r="M35" s="20" t="n"/>
      <c r="N35" s="20" t="n"/>
      <c r="O35" s="19" t="n">
        <v>24.533</v>
      </c>
      <c r="P35" s="20" t="n">
        <v>133.078</v>
      </c>
      <c r="Q35" s="20" t="n">
        <v>1.219</v>
      </c>
      <c r="R35" s="20" t="n">
        <v>230.076</v>
      </c>
      <c r="S35" s="20" t="n">
        <v>148.411</v>
      </c>
      <c r="T35" s="20" t="n">
        <v>30.941</v>
      </c>
      <c r="U35" s="20" t="n">
        <v>170.55</v>
      </c>
      <c r="V35" s="20" t="n">
        <v>44.985</v>
      </c>
      <c r="W35" s="20" t="n">
        <v>87.861</v>
      </c>
      <c r="X35" s="20" t="n">
        <v>639.321</v>
      </c>
      <c r="Y35" s="19">
        <f>IF(OR(Y4="",Y36=""),"",IFERROR(Y4*Y36,""))</f>
        <v/>
      </c>
      <c r="Z35" s="20">
        <f>IF(OR(Z4="",Z36=""),"",IFERROR(Z4*Z36,""))</f>
        <v/>
      </c>
      <c r="AA35" s="20">
        <f>IF(OR(AA4="",AA36=""),"",IFERROR(AA4*AA36,""))</f>
        <v/>
      </c>
      <c r="AB35" s="20">
        <f>IF(OR(AB4="",AB36=""),"",IFERROR(AB4*AB36,""))</f>
        <v/>
      </c>
      <c r="AC35" s="20">
        <f>IF(OR(AC4="",AC36=""),"",IFERROR(AC4*AC36,""))</f>
        <v/>
      </c>
    </row>
    <row r="36">
      <c r="A36" s="13" t="inlineStr">
        <is>
          <t>% of Sales</t>
        </is>
      </c>
      <c r="B36" s="10" t="inlineStr">
        <is>
          <t>MW = 최근 3년 평균</t>
        </is>
      </c>
      <c r="C36" s="14">
        <f>IF(OR(C35="",C4=""),"",IFERROR(C35/C4,""))</f>
        <v/>
      </c>
      <c r="D36" s="15">
        <f>IF(OR(D35="",D4=""),"",IFERROR(D35/D4,""))</f>
        <v/>
      </c>
      <c r="E36" s="15">
        <f>IF(OR(E35="",E4=""),"",IFERROR(E35/E4,""))</f>
        <v/>
      </c>
      <c r="F36" s="15">
        <f>IF(OR(F35="",F4=""),"",IFERROR(F35/F4,""))</f>
        <v/>
      </c>
      <c r="G36" s="15">
        <f>IF(OR(G35="",G4=""),"",IFERROR(G35/G4,""))</f>
        <v/>
      </c>
      <c r="H36" s="15">
        <f>IF(OR(H35="",H4=""),"",IFERROR(H35/H4,""))</f>
        <v/>
      </c>
      <c r="I36" s="15">
        <f>IF(OR(I35="",I4=""),"",IFERROR(I35/I4,""))</f>
        <v/>
      </c>
      <c r="J36" s="15">
        <f>IF(OR(J35="",J4=""),"",IFERROR(J35/J4,""))</f>
        <v/>
      </c>
      <c r="K36" s="15">
        <f>IF(OR(K35="",K4=""),"",IFERROR(K35/K4,""))</f>
        <v/>
      </c>
      <c r="L36" s="15">
        <f>IF(OR(L35="",L4=""),"",IFERROR(L35/L4,""))</f>
        <v/>
      </c>
      <c r="M36" s="15">
        <f>IF(OR(M35="",M4=""),"",IFERROR(M35/M4,""))</f>
        <v/>
      </c>
      <c r="N36" s="15">
        <f>IF(OR(N35="",N4=""),"",IFERROR(N35/N4,""))</f>
        <v/>
      </c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25">
        <f>IFERROR(AVERAGE(V36,W36,X36),"")</f>
        <v/>
      </c>
      <c r="Z36" s="26">
        <f>Y36</f>
        <v/>
      </c>
      <c r="AA36" s="26">
        <f>Z36</f>
        <v/>
      </c>
      <c r="AB36" s="26">
        <f>AA36</f>
        <v/>
      </c>
      <c r="AC36" s="26">
        <f>AB36</f>
        <v/>
      </c>
    </row>
    <row r="37">
      <c r="A37" s="18" t="inlineStr">
        <is>
          <t>특별손실</t>
        </is>
      </c>
      <c r="B37" s="10" t="n"/>
      <c r="C37" s="19" t="n">
        <v>9.827</v>
      </c>
      <c r="D37" s="20" t="n">
        <v>21.373</v>
      </c>
      <c r="E37" s="20" t="n">
        <v>118.799</v>
      </c>
      <c r="F37" s="20" t="n">
        <v>1.124</v>
      </c>
      <c r="G37" s="20" t="n">
        <v>-1.124</v>
      </c>
      <c r="H37" s="20" t="n">
        <v>0</v>
      </c>
      <c r="I37" s="20" t="n">
        <v>656.527</v>
      </c>
      <c r="J37" s="20" t="n"/>
      <c r="K37" s="20" t="n"/>
      <c r="L37" s="20" t="n">
        <v>-24.178</v>
      </c>
      <c r="M37" s="20" t="n">
        <v>168.883</v>
      </c>
      <c r="N37" s="20" t="n"/>
      <c r="O37" s="19" t="n">
        <v>157.72</v>
      </c>
      <c r="P37" s="20" t="n">
        <v>257.117</v>
      </c>
      <c r="Q37" s="20" t="n">
        <v>389.643</v>
      </c>
      <c r="R37" s="20" t="n">
        <v>26.709</v>
      </c>
      <c r="S37" s="20" t="n">
        <v>6.975</v>
      </c>
      <c r="T37" s="20" t="n">
        <v>16.229</v>
      </c>
      <c r="U37" s="20" t="n">
        <v>535.364</v>
      </c>
      <c r="V37" s="20" t="n">
        <v>351.879</v>
      </c>
      <c r="W37" s="20" t="n">
        <v>656.527</v>
      </c>
      <c r="X37" s="20" t="n">
        <v>326.533</v>
      </c>
      <c r="Y37" s="19">
        <f>IF(OR(Y4="",Y38=""),"",IFERROR(Y4*Y38,""))</f>
        <v/>
      </c>
      <c r="Z37" s="20">
        <f>IF(OR(Z4="",Z38=""),"",IFERROR(Z4*Z38,""))</f>
        <v/>
      </c>
      <c r="AA37" s="20">
        <f>IF(OR(AA4="",AA38=""),"",IFERROR(AA4*AA38,""))</f>
        <v/>
      </c>
      <c r="AB37" s="20">
        <f>IF(OR(AB4="",AB38=""),"",IFERROR(AB4*AB38,""))</f>
        <v/>
      </c>
      <c r="AC37" s="20">
        <f>IF(OR(AC4="",AC38=""),"",IFERROR(AC4*AC38,""))</f>
        <v/>
      </c>
    </row>
    <row r="38">
      <c r="A38" s="13" t="inlineStr">
        <is>
          <t>% of Sales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>
        <f>IFERROR(AVERAGE(V38,W38,X38),"")</f>
        <v/>
      </c>
      <c r="Z38" s="26">
        <f>Y38</f>
        <v/>
      </c>
      <c r="AA38" s="26">
        <f>Z38</f>
        <v/>
      </c>
      <c r="AB38" s="26">
        <f>AA38</f>
        <v/>
      </c>
      <c r="AC38" s="26">
        <f>AB38</f>
        <v/>
      </c>
    </row>
    <row r="39">
      <c r="A39" s="18" t="inlineStr">
        <is>
          <t>영업외수익</t>
        </is>
      </c>
      <c r="B39" s="10" t="n"/>
      <c r="C39" s="19" t="n">
        <v>183.587</v>
      </c>
      <c r="D39" s="20" t="n">
        <v>-67.976</v>
      </c>
      <c r="E39" s="20" t="n">
        <v>297.301</v>
      </c>
      <c r="F39" s="20" t="n">
        <v>268.723</v>
      </c>
      <c r="G39" s="20" t="n">
        <v>-161.717</v>
      </c>
      <c r="H39" s="20" t="n">
        <v>275.361</v>
      </c>
      <c r="I39" s="20" t="n">
        <v>-131.583</v>
      </c>
      <c r="J39" s="20" t="n">
        <v>107</v>
      </c>
      <c r="K39" s="20" t="n">
        <v>116.444</v>
      </c>
      <c r="L39" s="20" t="n">
        <v>260.642</v>
      </c>
      <c r="M39" s="20" t="n">
        <v>308.569</v>
      </c>
      <c r="N39" s="20" t="n">
        <v>175</v>
      </c>
      <c r="O39" s="19" t="n">
        <v>47.123</v>
      </c>
      <c r="P39" s="20" t="n">
        <v>161.616</v>
      </c>
      <c r="Q39" s="20" t="n">
        <v>38.896</v>
      </c>
      <c r="R39" s="20" t="n">
        <v>71.297</v>
      </c>
      <c r="S39" s="20" t="n">
        <v>233.61</v>
      </c>
      <c r="T39" s="20" t="n">
        <v>319.057</v>
      </c>
      <c r="U39" s="20" t="n">
        <v>227.403</v>
      </c>
      <c r="V39" s="20" t="n">
        <v>800.521</v>
      </c>
      <c r="W39" s="20" t="n">
        <v>250.784</v>
      </c>
      <c r="X39" s="20" t="n">
        <v>792.655</v>
      </c>
      <c r="Y39" s="19">
        <f>IF(OR(Y4="",Y40=""),"",IFERROR(Y4*Y40,""))</f>
        <v/>
      </c>
      <c r="Z39" s="20">
        <f>IF(OR(Z4="",Z40=""),"",IFERROR(Z4*Z40,""))</f>
        <v/>
      </c>
      <c r="AA39" s="20">
        <f>IF(OR(AA4="",AA40=""),"",IFERROR(AA4*AA40,""))</f>
        <v/>
      </c>
      <c r="AB39" s="20">
        <f>IF(OR(AB4="",AB40=""),"",IFERROR(AB4*AB40,""))</f>
        <v/>
      </c>
      <c r="AC39" s="20">
        <f>IF(OR(AC4="",AC40=""),"",IFERROR(AC4*AC40,""))</f>
        <v/>
      </c>
    </row>
    <row r="40">
      <c r="A40" s="13" t="inlineStr">
        <is>
          <t>% of Sales</t>
        </is>
      </c>
      <c r="B40" s="10" t="n"/>
      <c r="C40" s="14">
        <f>IF(OR(C39="",C4=""),"",IFERROR(C39/C4,""))</f>
        <v/>
      </c>
      <c r="D40" s="15">
        <f>IF(OR(D39="",D4=""),"",IFERROR(D39/D4,""))</f>
        <v/>
      </c>
      <c r="E40" s="15">
        <f>IF(OR(E39="",E4=""),"",IFERROR(E39/E4,""))</f>
        <v/>
      </c>
      <c r="F40" s="15">
        <f>IF(OR(F39="",F4=""),"",IFERROR(F39/F4,""))</f>
        <v/>
      </c>
      <c r="G40" s="15">
        <f>IF(OR(G39="",G4=""),"",IFERROR(G39/G4,""))</f>
        <v/>
      </c>
      <c r="H40" s="15">
        <f>IF(OR(H39="",H4=""),"",IFERROR(H39/H4,""))</f>
        <v/>
      </c>
      <c r="I40" s="15">
        <f>IF(OR(I39="",I4=""),"",IFERROR(I39/I4,""))</f>
        <v/>
      </c>
      <c r="J40" s="15">
        <f>IF(OR(J39="",J4=""),"",IFERROR(J39/J4,""))</f>
        <v/>
      </c>
      <c r="K40" s="15">
        <f>IF(OR(K39="",K4=""),"",IFERROR(K39/K4,""))</f>
        <v/>
      </c>
      <c r="L40" s="15">
        <f>IF(OR(L39="",L4=""),"",IFERROR(L39/L4,""))</f>
        <v/>
      </c>
      <c r="M40" s="15">
        <f>IF(OR(M39="",M4=""),"",IFERROR(M39/M4,""))</f>
        <v/>
      </c>
      <c r="N40" s="15">
        <f>IF(OR(N39="",N4=""),"",IFERROR(N39/N4,""))</f>
        <v/>
      </c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25">
        <f>IFERROR(AVERAGE(V40,W40,X40),"")</f>
        <v/>
      </c>
      <c r="Z40" s="26">
        <f>Y40</f>
        <v/>
      </c>
      <c r="AA40" s="26">
        <f>Z40</f>
        <v/>
      </c>
      <c r="AB40" s="26">
        <f>AA40</f>
        <v/>
      </c>
      <c r="AC40" s="26">
        <f>AB40</f>
        <v/>
      </c>
    </row>
    <row r="41">
      <c r="A41" s="18" t="inlineStr">
        <is>
          <t>영업외비용</t>
        </is>
      </c>
      <c r="B41" s="10" t="n"/>
      <c r="C41" s="19" t="n">
        <v>27.926</v>
      </c>
      <c r="D41" s="20" t="n">
        <v>32.645</v>
      </c>
      <c r="E41" s="20" t="n">
        <v>43.5</v>
      </c>
      <c r="F41" s="20" t="n">
        <v>40.559</v>
      </c>
      <c r="G41" s="20" t="n">
        <v>221.36</v>
      </c>
      <c r="H41" s="20" t="n">
        <v>-138.702</v>
      </c>
      <c r="I41" s="20" t="n">
        <v>131.626</v>
      </c>
      <c r="J41" s="20" t="n">
        <v>175</v>
      </c>
      <c r="K41" s="20" t="n">
        <v>-40.581</v>
      </c>
      <c r="L41" s="20" t="n">
        <v>74.31999999999999</v>
      </c>
      <c r="M41" s="20" t="n">
        <v>29.218</v>
      </c>
      <c r="N41" s="20" t="n">
        <v>62</v>
      </c>
      <c r="O41" s="19" t="n">
        <v>149.994</v>
      </c>
      <c r="P41" s="20" t="n">
        <v>51.434</v>
      </c>
      <c r="Q41" s="20" t="n">
        <v>69.504</v>
      </c>
      <c r="R41" s="20" t="n">
        <v>130.386</v>
      </c>
      <c r="S41" s="20" t="n">
        <v>121.078</v>
      </c>
      <c r="T41" s="20" t="n">
        <v>113.661</v>
      </c>
      <c r="U41" s="20" t="n">
        <v>102.515</v>
      </c>
      <c r="V41" s="20" t="n">
        <v>128.029</v>
      </c>
      <c r="W41" s="20" t="n">
        <v>254.843</v>
      </c>
      <c r="X41" s="20" t="n">
        <v>237.957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n"/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579.833</v>
      </c>
      <c r="D43" s="12" t="n">
        <v>-221.192</v>
      </c>
      <c r="E43" s="12" t="n">
        <v>1151.461</v>
      </c>
      <c r="F43" s="12" t="n">
        <v>-47.255</v>
      </c>
      <c r="G43" s="12" t="n">
        <v>40.679</v>
      </c>
      <c r="H43" s="12" t="n">
        <v>595.8440000000001</v>
      </c>
      <c r="I43" s="12" t="n">
        <v>-788.347</v>
      </c>
      <c r="J43" s="12" t="n">
        <v>-46</v>
      </c>
      <c r="K43" s="12" t="n">
        <v>844.393</v>
      </c>
      <c r="L43" s="12" t="n">
        <v>580.721</v>
      </c>
      <c r="M43" s="12" t="n">
        <v>1820.487</v>
      </c>
      <c r="N43" s="12" t="n">
        <v>613</v>
      </c>
      <c r="O43" s="11" t="n">
        <v>239.208</v>
      </c>
      <c r="P43" s="12" t="n">
        <v>986.362</v>
      </c>
      <c r="Q43" s="12" t="n">
        <v>721.9690000000001</v>
      </c>
      <c r="R43" s="12" t="n">
        <v>1588.069</v>
      </c>
      <c r="S43" s="12" t="n">
        <v>2671.743</v>
      </c>
      <c r="T43" s="12" t="n">
        <v>969.9349999999999</v>
      </c>
      <c r="U43" s="12" t="n">
        <v>-770.404</v>
      </c>
      <c r="V43" s="12" t="n">
        <v>1402.489</v>
      </c>
      <c r="W43" s="12" t="n">
        <v>-199.079</v>
      </c>
      <c r="X43" s="12" t="n">
        <v>3199.601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8" t="inlineStr">
        <is>
          <t>법인세비용(수익)</t>
        </is>
      </c>
      <c r="B44" s="10" t="n"/>
      <c r="C44" s="19" t="n">
        <v>75.681</v>
      </c>
      <c r="D44" s="20" t="n">
        <v>95.48</v>
      </c>
      <c r="E44" s="20" t="n">
        <v>120.902</v>
      </c>
      <c r="F44" s="20" t="n">
        <v>171.096</v>
      </c>
      <c r="G44" s="20" t="n">
        <v>96.562</v>
      </c>
      <c r="H44" s="20" t="n">
        <v>71.687</v>
      </c>
      <c r="I44" s="20" t="n">
        <v>82.15000000000001</v>
      </c>
      <c r="J44" s="20" t="n">
        <v>93</v>
      </c>
      <c r="K44" s="20" t="n">
        <v>248.939</v>
      </c>
      <c r="L44" s="20" t="n">
        <v>181.565</v>
      </c>
      <c r="M44" s="20" t="n">
        <v>214.699</v>
      </c>
      <c r="N44" s="20" t="n">
        <v>169</v>
      </c>
      <c r="O44" s="19" t="n">
        <v>388.615</v>
      </c>
      <c r="P44" s="20" t="n">
        <v>221.917</v>
      </c>
      <c r="Q44" s="20" t="n">
        <v>75.732</v>
      </c>
      <c r="R44" s="20" t="n">
        <v>268.487</v>
      </c>
      <c r="S44" s="20" t="n">
        <v>527.693</v>
      </c>
      <c r="T44" s="20" t="n">
        <v>538.867</v>
      </c>
      <c r="U44" s="20" t="n">
        <v>776.7809999999999</v>
      </c>
      <c r="V44" s="20" t="n">
        <v>380.322</v>
      </c>
      <c r="W44" s="20" t="n">
        <v>421.495</v>
      </c>
      <c r="X44" s="20" t="n">
        <v>738.203</v>
      </c>
      <c r="Y44" s="19">
        <f>IF(OR(Y43="",Y45=""),"",IFERROR(MAX(Y43,0)*Y45,""))</f>
        <v/>
      </c>
      <c r="Z44" s="20">
        <f>IF(OR(Z43="",Z45=""),"",IFERROR(MAX(Z43,0)*Z45,""))</f>
        <v/>
      </c>
      <c r="AA44" s="20">
        <f>IF(OR(AA43="",AA45=""),"",IFERROR(MAX(AA43,0)*AA45,""))</f>
        <v/>
      </c>
      <c r="AB44" s="20">
        <f>IF(OR(AB43="",AB45=""),"",IFERROR(MAX(AB43,0)*AB45,""))</f>
        <v/>
      </c>
      <c r="AC44" s="20">
        <f>IF(OR(AC43="",AC45=""),"",IFERROR(MAX(AC43,0)*AC45,""))</f>
        <v/>
      </c>
    </row>
    <row r="45">
      <c r="A45" s="13" t="inlineStr">
        <is>
          <t>법인세율</t>
        </is>
      </c>
      <c r="B45" s="10" t="inlineStr">
        <is>
          <t>MW 기본 30%</t>
        </is>
      </c>
      <c r="C45" s="14">
        <f>IF(OR(C44="",C43=""),"",IFERROR(C44/C43,""))</f>
        <v/>
      </c>
      <c r="D45" s="15">
        <f>IF(OR(D44="",D43=""),"",IFERROR(D44/D43,""))</f>
        <v/>
      </c>
      <c r="E45" s="15">
        <f>IF(OR(E44="",E43=""),"",IFERROR(E44/E43,""))</f>
        <v/>
      </c>
      <c r="F45" s="15">
        <f>IF(OR(F44="",F43=""),"",IFERROR(F44/F43,""))</f>
        <v/>
      </c>
      <c r="G45" s="15">
        <f>IF(OR(G44="",G43=""),"",IFERROR(G44/G43,""))</f>
        <v/>
      </c>
      <c r="H45" s="15">
        <f>IF(OR(H44="",H43=""),"",IFERROR(H44/H43,""))</f>
        <v/>
      </c>
      <c r="I45" s="15">
        <f>IF(OR(I44="",I43=""),"",IFERROR(I44/I43,""))</f>
        <v/>
      </c>
      <c r="J45" s="15">
        <f>IF(OR(J44="",J43=""),"",IFERROR(J44/J43,""))</f>
        <v/>
      </c>
      <c r="K45" s="15">
        <f>IF(OR(K44="",K43=""),"",IFERROR(K44/K43,""))</f>
        <v/>
      </c>
      <c r="L45" s="15">
        <f>IF(OR(L44="",L43=""),"",IFERROR(L44/L43,""))</f>
        <v/>
      </c>
      <c r="M45" s="15">
        <f>IF(OR(M44="",M43=""),"",IFERROR(M44/M43,""))</f>
        <v/>
      </c>
      <c r="N45" s="15">
        <f>IF(OR(N44="",N43=""),"",IFERROR(N44/N43,""))</f>
        <v/>
      </c>
      <c r="O45" s="14">
        <f>IF(OR(O44="",O43=""),"",IFERROR(O44/O43,""))</f>
        <v/>
      </c>
      <c r="P45" s="15">
        <f>IF(OR(P44="",P43=""),"",IFERROR(P44/P43,""))</f>
        <v/>
      </c>
      <c r="Q45" s="15">
        <f>IF(OR(Q44="",Q43=""),"",IFERROR(Q44/Q43,""))</f>
        <v/>
      </c>
      <c r="R45" s="15">
        <f>IF(OR(R44="",R43=""),"",IFERROR(R44/R43,""))</f>
        <v/>
      </c>
      <c r="S45" s="15">
        <f>IF(OR(S44="",S43=""),"",IFERROR(S44/S43,""))</f>
        <v/>
      </c>
      <c r="T45" s="15">
        <f>IF(OR(T44="",T43=""),"",IFERROR(T44/T43,""))</f>
        <v/>
      </c>
      <c r="U45" s="15">
        <f>IF(OR(U44="",U43=""),"",IFERROR(U44/U43,""))</f>
        <v/>
      </c>
      <c r="V45" s="15">
        <f>IF(OR(V44="",V43=""),"",IFERROR(V44/V43,""))</f>
        <v/>
      </c>
      <c r="W45" s="15">
        <f>IF(OR(W44="",W43=""),"",IFERROR(W44/W43,""))</f>
        <v/>
      </c>
      <c r="X45" s="15">
        <f>IF(OR(X44="",X43=""),"",IFERROR(X44/X43,""))</f>
        <v/>
      </c>
      <c r="Y45" s="25" t="n">
        <v>0.3</v>
      </c>
      <c r="Z45" s="26" t="n">
        <v>0.3</v>
      </c>
      <c r="AA45" s="26" t="n">
        <v>0.3</v>
      </c>
      <c r="AB45" s="26" t="n">
        <v>0.3</v>
      </c>
      <c r="AC45" s="26" t="n">
        <v>0.3</v>
      </c>
    </row>
    <row r="46">
      <c r="A46" s="9" t="inlineStr">
        <is>
          <t>당기순이익(손실)</t>
        </is>
      </c>
      <c r="B46" s="10" t="n"/>
      <c r="C46" s="11" t="n">
        <v>504.153</v>
      </c>
      <c r="D46" s="12" t="n">
        <v>-316.672</v>
      </c>
      <c r="E46" s="12" t="n">
        <v>1030.558</v>
      </c>
      <c r="F46" s="12" t="n">
        <v>-218.352</v>
      </c>
      <c r="G46" s="12" t="n">
        <v>-55.883</v>
      </c>
      <c r="H46" s="12" t="n">
        <v>524.158</v>
      </c>
      <c r="I46" s="12" t="n">
        <v>-870.498</v>
      </c>
      <c r="J46" s="12" t="n">
        <v>-139</v>
      </c>
      <c r="K46" s="12" t="n">
        <v>595.453</v>
      </c>
      <c r="L46" s="12" t="n">
        <v>399.156</v>
      </c>
      <c r="M46" s="12" t="n">
        <v>1605.789</v>
      </c>
      <c r="N46" s="12" t="n">
        <v>444</v>
      </c>
      <c r="O46" s="11" t="n">
        <v>-149.406</v>
      </c>
      <c r="P46" s="12" t="n">
        <v>764.4450000000001</v>
      </c>
      <c r="Q46" s="12" t="n">
        <v>646.236</v>
      </c>
      <c r="R46" s="12" t="n">
        <v>1319.582</v>
      </c>
      <c r="S46" s="12" t="n">
        <v>2144.05</v>
      </c>
      <c r="T46" s="12" t="n">
        <v>431.068</v>
      </c>
      <c r="U46" s="12" t="n">
        <v>-1547.185</v>
      </c>
      <c r="V46" s="12" t="n">
        <v>1022.166</v>
      </c>
      <c r="W46" s="12" t="n">
        <v>-620.575</v>
      </c>
      <c r="X46" s="12" t="n">
        <v>2461.398</v>
      </c>
      <c r="Y46" s="11">
        <f>IF(OR(Y43=""),"",IFERROR(Y43-Y44,""))</f>
        <v/>
      </c>
      <c r="Z46" s="12">
        <f>IF(OR(Z43=""),"",IFERROR(Z43-Z44,""))</f>
        <v/>
      </c>
      <c r="AA46" s="12">
        <f>IF(OR(AA43=""),"",IFERROR(AA43-AA44,""))</f>
        <v/>
      </c>
      <c r="AB46" s="12">
        <f>IF(OR(AB43=""),"",IFERROR(AB43-AB44,""))</f>
        <v/>
      </c>
      <c r="AC46" s="12">
        <f>IF(OR(AC43=""),"",IFERROR(AC43-AC44,""))</f>
        <v/>
      </c>
    </row>
    <row r="47">
      <c r="A47" s="9" t="inlineStr">
        <is>
          <t>지배주주 순이익</t>
        </is>
      </c>
      <c r="B47" s="10" t="n"/>
      <c r="C47" s="11" t="n">
        <v>496.915</v>
      </c>
      <c r="D47" s="12" t="n">
        <v>-321.663</v>
      </c>
      <c r="E47" s="12" t="n">
        <v>1029.133</v>
      </c>
      <c r="F47" s="12" t="n">
        <v>-219.211</v>
      </c>
      <c r="G47" s="12" t="n">
        <v>-57.101</v>
      </c>
      <c r="H47" s="12" t="n">
        <v>523.8579999999999</v>
      </c>
      <c r="I47" s="12" t="n">
        <v>-863.703</v>
      </c>
      <c r="J47" s="12" t="n">
        <v>-138</v>
      </c>
      <c r="K47" s="12" t="n">
        <v>595.08</v>
      </c>
      <c r="L47" s="12" t="n">
        <v>399.155</v>
      </c>
      <c r="M47" s="12" t="n">
        <v>1605.789</v>
      </c>
      <c r="N47" s="12" t="n">
        <v>444</v>
      </c>
      <c r="O47" s="11" t="n">
        <v>-148.256</v>
      </c>
      <c r="P47" s="12" t="n">
        <v>764.4450000000001</v>
      </c>
      <c r="Q47" s="12" t="n">
        <v>646.236</v>
      </c>
      <c r="R47" s="12" t="n">
        <v>1319.582</v>
      </c>
      <c r="S47" s="12" t="n">
        <v>2144.05</v>
      </c>
      <c r="T47" s="12" t="n">
        <v>431.068</v>
      </c>
      <c r="U47" s="12" t="n">
        <v>-1553.427</v>
      </c>
      <c r="V47" s="12" t="n">
        <v>1001.355</v>
      </c>
      <c r="W47" s="12" t="n">
        <v>-616.157</v>
      </c>
      <c r="X47" s="12" t="n">
        <v>2462.024</v>
      </c>
      <c r="Y47" s="11">
        <f>IF(OR(Y46="",Y48=""),"",IFERROR(Y46*Y48,""))</f>
        <v/>
      </c>
      <c r="Z47" s="12">
        <f>IF(OR(Z46="",Z48=""),"",IFERROR(Z46*Z48,""))</f>
        <v/>
      </c>
      <c r="AA47" s="12">
        <f>IF(OR(AA46="",AA48=""),"",IFERROR(AA46*AA48,""))</f>
        <v/>
      </c>
      <c r="AB47" s="12">
        <f>IF(OR(AB46="",AB48=""),"",IFERROR(AB46*AB48,""))</f>
        <v/>
      </c>
      <c r="AC47" s="12">
        <f>IF(OR(AC46="",AC48=""),"",IFERROR(AC46*AC48,""))</f>
        <v/>
      </c>
    </row>
    <row r="48">
      <c r="A48" s="13" t="inlineStr">
        <is>
          <t>지배주주 순이익률</t>
        </is>
      </c>
      <c r="B48" s="10" t="inlineStr">
        <is>
          <t>MW 기본 100%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1</v>
      </c>
      <c r="Z48" s="26" t="n">
        <v>1</v>
      </c>
      <c r="AA48" s="26" t="n">
        <v>1</v>
      </c>
      <c r="AB48" s="26" t="n">
        <v>1</v>
      </c>
      <c r="AC48" s="26" t="n">
        <v>1</v>
      </c>
    </row>
    <row r="49">
      <c r="A49" s="16" t="inlineStr">
        <is>
          <t>목표주가 산출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현재 주가 ()</t>
        </is>
      </c>
      <c r="B50" s="27" t="n"/>
      <c r="C50" s="28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8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8" t="n"/>
      <c r="Z50" s="29" t="n"/>
      <c r="AA50" s="29" t="n"/>
      <c r="AB50" s="29" t="n"/>
      <c r="AC50" s="29" t="n"/>
    </row>
    <row r="51">
      <c r="A51" s="18" t="inlineStr">
        <is>
          <t>발행주식수 (보통주)</t>
        </is>
      </c>
      <c r="B51" s="27" t="n"/>
      <c r="C51" s="28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8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8" t="n"/>
      <c r="Z51" s="29" t="n"/>
      <c r="AA51" s="29" t="n"/>
      <c r="AB51" s="29" t="n"/>
      <c r="AC51" s="29" t="n"/>
    </row>
    <row r="52">
      <c r="A52" s="18" t="inlineStr">
        <is>
          <t>시가총액 (백만엔)</t>
        </is>
      </c>
      <c r="B52" s="12">
        <f>IF(OR(B50="",B51=""),"",B50*B51/1000000.0)</f>
        <v/>
      </c>
      <c r="C52" s="19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19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19" t="n"/>
      <c r="Z52" s="20" t="n"/>
      <c r="AA52" s="20" t="n"/>
      <c r="AB52" s="20" t="n"/>
      <c r="AC52" s="20" t="n"/>
    </row>
    <row r="53">
      <c r="A53" s="13" t="inlineStr">
        <is>
          <t>OPM</t>
        </is>
      </c>
      <c r="B53" s="10" t="n"/>
      <c r="C53" s="14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4">
        <f>IF(O20="","",O20)</f>
        <v/>
      </c>
      <c r="P53" s="15">
        <f>IF(P20="","",P20)</f>
        <v/>
      </c>
      <c r="Q53" s="15">
        <f>IF(Q20="","",Q20)</f>
        <v/>
      </c>
      <c r="R53" s="15">
        <f>IF(R20="","",R20)</f>
        <v/>
      </c>
      <c r="S53" s="15">
        <f>IF(S20="","",S20)</f>
        <v/>
      </c>
      <c r="T53" s="15">
        <f>IF(T20="","",T20)</f>
        <v/>
      </c>
      <c r="U53" s="15">
        <f>IF(U20="","",U20)</f>
        <v/>
      </c>
      <c r="V53" s="15">
        <f>IF(V20="","",V20)</f>
        <v/>
      </c>
      <c r="W53" s="15">
        <f>IF(W20="","",W20)</f>
        <v/>
      </c>
      <c r="X53" s="15">
        <f>IF(X20="","",X20)</f>
        <v/>
      </c>
      <c r="Y53" s="14">
        <f>IF(Y20="","",Y20)</f>
        <v/>
      </c>
      <c r="Z53" s="15">
        <f>IF(Z20="","",Z20)</f>
        <v/>
      </c>
      <c r="AA53" s="15">
        <f>IF(AA20="","",AA20)</f>
        <v/>
      </c>
      <c r="AB53" s="15">
        <f>IF(AB20="","",AB20)</f>
        <v/>
      </c>
      <c r="AC53" s="15">
        <f>IF(AC20="","",AC20)</f>
        <v/>
      </c>
    </row>
    <row r="54">
      <c r="A54" s="13" t="inlineStr">
        <is>
          <t>지배주주 순이익 증가율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 t="n"/>
      <c r="P54" s="15">
        <f>IF(OR(P47="",O47=""),"",IFERROR(P47/O47-1,""))</f>
        <v/>
      </c>
      <c r="Q54" s="15">
        <f>IF(OR(Q47="",P47=""),"",IFERROR(Q47/P47-1,""))</f>
        <v/>
      </c>
      <c r="R54" s="15">
        <f>IF(OR(R47="",Q47=""),"",IFERROR(R47/Q47-1,""))</f>
        <v/>
      </c>
      <c r="S54" s="15">
        <f>IF(OR(S47="",R47=""),"",IFERROR(S47/R47-1,""))</f>
        <v/>
      </c>
      <c r="T54" s="15">
        <f>IF(OR(T47="",S47=""),"",IFERROR(T47/S47-1,""))</f>
        <v/>
      </c>
      <c r="U54" s="15">
        <f>IF(OR(U47="",T47=""),"",IFERROR(U47/T47-1,""))</f>
        <v/>
      </c>
      <c r="V54" s="15">
        <f>IF(OR(V47="",U47=""),"",IFERROR(V47/U47-1,""))</f>
        <v/>
      </c>
      <c r="W54" s="15">
        <f>IF(OR(W47="",V47=""),"",IFERROR(W47/V47-1,""))</f>
        <v/>
      </c>
      <c r="X54" s="15">
        <f>IF(OR(X47="",W47=""),"",IFERROR(X47/W47-1,""))</f>
        <v/>
      </c>
      <c r="Y54" s="14">
        <f>IF(OR(Y47="",X47=""),"",IFERROR(Y47/X47-1,""))</f>
        <v/>
      </c>
      <c r="Z54" s="15">
        <f>IF(OR(Z47="",Y47=""),"",IFERROR(Z47/Y47-1,""))</f>
        <v/>
      </c>
      <c r="AA54" s="15">
        <f>IF(OR(AA47="",Z47=""),"",IFERROR(AA47/Z47-1,""))</f>
        <v/>
      </c>
      <c r="AB54" s="15">
        <f>IF(OR(AB47="",AA47=""),"",IFERROR(AB47/AA47-1,""))</f>
        <v/>
      </c>
      <c r="AC54" s="15">
        <f>IF(OR(AC47="",AB47=""),"",IFERROR(AC47/AB47-1,""))</f>
        <v/>
      </c>
    </row>
    <row r="55">
      <c r="A55" s="18" t="inlineStr">
        <is>
          <t>P/E (현재 주가)</t>
        </is>
      </c>
      <c r="B55" s="10" t="inlineStr">
        <is>
          <t>시총 ÷ 지배순이익</t>
        </is>
      </c>
      <c r="C55" s="30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0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>
        <f>IF(OR($B$52="",X47=""),"",IFERROR($B$52/X47,""))</f>
        <v/>
      </c>
      <c r="Y55" s="30">
        <f>IF(OR($B$52="",Y47=""),"",IFERROR($B$52/Y47,""))</f>
        <v/>
      </c>
      <c r="Z55" s="31">
        <f>IF(OR($B$52="",Z47=""),"",IFERROR($B$52/Z47,""))</f>
        <v/>
      </c>
      <c r="AA55" s="31">
        <f>IF(OR($B$52="",AA47=""),"",IFERROR($B$52/AA47,""))</f>
        <v/>
      </c>
      <c r="AB55" s="31">
        <f>IF(OR($B$52="",AB47=""),"",IFERROR($B$52/AB47,""))</f>
        <v/>
      </c>
      <c r="AC55" s="31">
        <f>IF(OR($B$52="",AC47=""),"",IFERROR($B$52/AC47,""))</f>
        <v/>
      </c>
    </row>
    <row r="56">
      <c r="A56" s="18" t="inlineStr">
        <is>
          <t>Target P/E</t>
        </is>
      </c>
      <c r="B56" s="10" t="inlineStr">
        <is>
          <t>직접 입력</t>
        </is>
      </c>
      <c r="C56" s="30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0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2" t="n"/>
      <c r="Z56" s="33" t="n"/>
      <c r="AA56" s="33" t="n"/>
      <c r="AB56" s="33" t="n"/>
      <c r="AC56" s="33" t="n"/>
    </row>
    <row r="57">
      <c r="A57" s="18" t="inlineStr">
        <is>
          <t>EPS</t>
        </is>
      </c>
      <c r="B57" s="10" t="inlineStr">
        <is>
          <t>지배순이익 ÷ 주식수</t>
        </is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>
        <f>IF(OR(O47="",$B$51=""),"",IFERROR(O47*1000000.0/$B$51,""))</f>
        <v/>
      </c>
      <c r="P57" s="29">
        <f>IF(OR(P47="",$B$51=""),"",IFERROR(P47*1000000.0/$B$51,""))</f>
        <v/>
      </c>
      <c r="Q57" s="29">
        <f>IF(OR(Q47="",$B$51=""),"",IFERROR(Q47*1000000.0/$B$51,""))</f>
        <v/>
      </c>
      <c r="R57" s="29">
        <f>IF(OR(R47="",$B$51=""),"",IFERROR(R47*1000000.0/$B$51,""))</f>
        <v/>
      </c>
      <c r="S57" s="29">
        <f>IF(OR(S47="",$B$51=""),"",IFERROR(S47*1000000.0/$B$51,""))</f>
        <v/>
      </c>
      <c r="T57" s="29">
        <f>IF(OR(T47="",$B$51=""),"",IFERROR(T47*1000000.0/$B$51,""))</f>
        <v/>
      </c>
      <c r="U57" s="29">
        <f>IF(OR(U47="",$B$51=""),"",IFERROR(U47*1000000.0/$B$51,""))</f>
        <v/>
      </c>
      <c r="V57" s="29">
        <f>IF(OR(V47="",$B$51=""),"",IFERROR(V47*1000000.0/$B$51,""))</f>
        <v/>
      </c>
      <c r="W57" s="29">
        <f>IF(OR(W47="",$B$51=""),"",IFERROR(W47*1000000.0/$B$51,""))</f>
        <v/>
      </c>
      <c r="X57" s="29">
        <f>IF(OR(X47="",$B$51=""),"",IFERROR(X47*1000000.0/$B$51,""))</f>
        <v/>
      </c>
      <c r="Y57" s="28">
        <f>IF(OR(Y47="",$B$51=""),"",IFERROR(Y47*1000000.0/$B$51,""))</f>
        <v/>
      </c>
      <c r="Z57" s="29">
        <f>IF(OR(Z47="",$B$51=""),"",IFERROR(Z47*1000000.0/$B$51,""))</f>
        <v/>
      </c>
      <c r="AA57" s="29">
        <f>IF(OR(AA47="",$B$51=""),"",IFERROR(AA47*1000000.0/$B$51,""))</f>
        <v/>
      </c>
      <c r="AB57" s="29">
        <f>IF(OR(AB47="",$B$51=""),"",IFERROR(AB47*1000000.0/$B$51,""))</f>
        <v/>
      </c>
      <c r="AC57" s="29">
        <f>IF(OR(AC47="",$B$51=""),"",IFERROR(AC47*1000000.0/$B$51,""))</f>
        <v/>
      </c>
    </row>
    <row r="58">
      <c r="A58" s="9" t="inlineStr">
        <is>
          <t>목표주가</t>
        </is>
      </c>
      <c r="B58" s="10" t="n"/>
      <c r="C58" s="34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34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34">
        <f>IF(OR(Y57="",Y56=""),"",IFERROR(Y57*Y56,""))</f>
        <v/>
      </c>
      <c r="Z58" s="27">
        <f>IF(OR(Z57="",Z56=""),"",IFERROR(Z57*Z56,""))</f>
        <v/>
      </c>
      <c r="AA58" s="27">
        <f>IF(OR(AA57="",AA56=""),"",IFERROR(AA57*AA56,""))</f>
        <v/>
      </c>
      <c r="AB58" s="27">
        <f>IF(OR(AB57="",AB56=""),"",IFERROR(AB57*AB56,""))</f>
        <v/>
      </c>
      <c r="AC58" s="27">
        <f>IF(OR(AC57="",AC56=""),"",IFERROR(AC57*AC56,""))</f>
        <v/>
      </c>
    </row>
    <row r="59">
      <c r="A59" s="18" t="inlineStr">
        <is>
          <t>상승여력</t>
        </is>
      </c>
      <c r="B59" s="10" t="n"/>
      <c r="C59" s="35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5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7">
        <f>IF(OR(Y58="",$B$50=""),"",IFERROR(Y58/$B$50-1,""))</f>
        <v/>
      </c>
      <c r="Z59" s="38">
        <f>IF(OR(Z58="",$B$50=""),"",IFERROR(Z58/$B$50-1,""))</f>
        <v/>
      </c>
      <c r="AA59" s="38">
        <f>IF(OR(AA58="",$B$50=""),"",IFERROR(AA58/$B$50-1,""))</f>
        <v/>
      </c>
      <c r="AB59" s="38">
        <f>IF(OR(AB58="",$B$50=""),"",IFERROR(AB58/$B$50-1,""))</f>
        <v/>
      </c>
      <c r="AC59" s="38">
        <f>IF(OR(AC58="",$B$50=""),"",IFERROR(AC58/$B$50-1,""))</f>
        <v/>
      </c>
    </row>
    <row r="60">
      <c r="A60" s="16" t="inlineStr">
        <is>
          <t>자산가치 산출</t>
        </is>
      </c>
      <c r="B60" s="16" t="inlineStr">
        <is>
          <t>최신 분기 BS</t>
        </is>
      </c>
      <c r="C60" s="17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7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7" t="n"/>
      <c r="Z60" s="16" t="n"/>
      <c r="AA60" s="16" t="n"/>
      <c r="AB60" s="16" t="n"/>
      <c r="AC60" s="16" t="n"/>
    </row>
    <row r="61">
      <c r="A61" s="18" t="inlineStr">
        <is>
          <t>현금및현금성자산</t>
        </is>
      </c>
      <c r="B61" s="10" t="n"/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>
        <f>'재무상태표'!G6</f>
        <v/>
      </c>
      <c r="Y61" s="19">
        <f>'재무상태표'!G6</f>
        <v/>
      </c>
      <c r="Z61" s="20">
        <f>'재무상태표'!G6</f>
        <v/>
      </c>
      <c r="AA61" s="20">
        <f>'재무상태표'!G6</f>
        <v/>
      </c>
      <c r="AB61" s="20">
        <f>'재무상태표'!G6</f>
        <v/>
      </c>
      <c r="AC61" s="20">
        <f>'재무상태표'!G6</f>
        <v/>
      </c>
    </row>
    <row r="62">
      <c r="A62" s="18" t="inlineStr">
        <is>
          <t>단기금융상품</t>
        </is>
      </c>
      <c r="B62" s="10" t="n"/>
      <c r="C62" s="19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19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>
        <f>'재무상태표'!G7</f>
        <v/>
      </c>
      <c r="Y62" s="19">
        <f>'재무상태표'!G7</f>
        <v/>
      </c>
      <c r="Z62" s="20">
        <f>'재무상태표'!G7</f>
        <v/>
      </c>
      <c r="AA62" s="20">
        <f>'재무상태표'!G7</f>
        <v/>
      </c>
      <c r="AB62" s="20">
        <f>'재무상태표'!G7</f>
        <v/>
      </c>
      <c r="AC62" s="20">
        <f>'재무상태표'!G7</f>
        <v/>
      </c>
    </row>
    <row r="63">
      <c r="A63" s="18" t="inlineStr">
        <is>
          <t>투자부동산</t>
        </is>
      </c>
      <c r="B63" s="10" t="n"/>
      <c r="C63" s="19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19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>
        <f>'재무상태표'!G14</f>
        <v/>
      </c>
      <c r="Y63" s="19">
        <f>'재무상태표'!G14</f>
        <v/>
      </c>
      <c r="Z63" s="20">
        <f>'재무상태표'!G14</f>
        <v/>
      </c>
      <c r="AA63" s="20">
        <f>'재무상태표'!G14</f>
        <v/>
      </c>
      <c r="AB63" s="20">
        <f>'재무상태표'!G14</f>
        <v/>
      </c>
      <c r="AC63" s="20">
        <f>'재무상태표'!G14</f>
        <v/>
      </c>
    </row>
    <row r="64">
      <c r="A64" s="18" t="inlineStr">
        <is>
          <t>지배자본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'재무상태표'!G31</f>
        <v/>
      </c>
      <c r="Y64" s="19">
        <f>'재무상태표'!G31</f>
        <v/>
      </c>
      <c r="Z64" s="20">
        <f>'재무상태표'!G31</f>
        <v/>
      </c>
      <c r="AA64" s="20">
        <f>'재무상태표'!G31</f>
        <v/>
      </c>
      <c r="AB64" s="20">
        <f>'재무상태표'!G31</f>
        <v/>
      </c>
      <c r="AC64" s="20">
        <f>'재무상태표'!G31</f>
        <v/>
      </c>
    </row>
    <row r="65">
      <c r="A65" s="18" t="inlineStr">
        <is>
          <t>부채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'재무상태표'!G27</f>
        <v/>
      </c>
      <c r="Y65" s="19">
        <f>'재무상태표'!G27</f>
        <v/>
      </c>
      <c r="Z65" s="20">
        <f>'재무상태표'!G27</f>
        <v/>
      </c>
      <c r="AA65" s="20">
        <f>'재무상태표'!G27</f>
        <v/>
      </c>
      <c r="AB65" s="20">
        <f>'재무상태표'!G27</f>
        <v/>
      </c>
      <c r="AC65" s="20">
        <f>'재무상태표'!G27</f>
        <v/>
      </c>
    </row>
    <row r="66">
      <c r="A66" s="13" t="inlineStr">
        <is>
          <t>부채비율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>
        <f>IF(OR(X65="",X64=""),"",IFERROR(X65/X64,""))</f>
        <v/>
      </c>
      <c r="Y66" s="14">
        <f>IF(OR(Y65="",Y64=""),"",IFERROR(Y65/Y64,""))</f>
        <v/>
      </c>
      <c r="Z66" s="15">
        <f>IF(OR(Z65="",Z64=""),"",IFERROR(Z65/Z64,""))</f>
        <v/>
      </c>
      <c r="AA66" s="15">
        <f>IF(OR(AA65="",AA64=""),"",IFERROR(AA65/AA64,""))</f>
        <v/>
      </c>
      <c r="AB66" s="15">
        <f>IF(OR(AB65="",AB64=""),"",IFERROR(AB65/AB64,""))</f>
        <v/>
      </c>
      <c r="AC66" s="15">
        <f>IF(OR(AC65="",AC64=""),"",IFERROR(AC65/AC64,""))</f>
        <v/>
      </c>
    </row>
    <row r="67">
      <c r="A67" s="9" t="inlineStr">
        <is>
          <t>자산가치</t>
        </is>
      </c>
      <c r="B67" s="10" t="inlineStr">
        <is>
          <t>현금+단기금융+투자부동산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>
        <f>SUM(X61,X62,X63)</f>
        <v/>
      </c>
      <c r="Y67" s="11">
        <f>SUM(Y61,Y62,Y63)</f>
        <v/>
      </c>
      <c r="Z67" s="12">
        <f>SUM(Z61,Z62,Z63)</f>
        <v/>
      </c>
      <c r="AA67" s="12">
        <f>SUM(AA61,AA62,AA63)</f>
        <v/>
      </c>
      <c r="AB67" s="12">
        <f>SUM(AB61,AB62,AB63)</f>
        <v/>
      </c>
      <c r="AC67" s="12">
        <f>SUM(AC61,AC62,AC63)</f>
        <v/>
      </c>
    </row>
    <row r="68">
      <c r="A68" s="16" t="inlineStr">
        <is>
          <t>기업가치 산출</t>
        </is>
      </c>
      <c r="B68" s="16" t="n"/>
      <c r="C68" s="17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7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7" t="n"/>
      <c r="Z68" s="16" t="n"/>
      <c r="AA68" s="16" t="n"/>
      <c r="AB68" s="16" t="n"/>
      <c r="AC68" s="16" t="n"/>
    </row>
    <row r="69">
      <c r="A69" s="18" t="inlineStr">
        <is>
          <t>목표 시가총액 (P/E)</t>
        </is>
      </c>
      <c r="B69" s="10" t="inlineStr">
        <is>
          <t>지배순이익 × Target P/E</t>
        </is>
      </c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19">
        <f>IF(OR(Y47="",Y56=""),"",IFERROR(Y47*Y56,""))</f>
        <v/>
      </c>
      <c r="Z69" s="20">
        <f>IF(OR(Z47="",Z56=""),"",IFERROR(Z47*Z56,""))</f>
        <v/>
      </c>
      <c r="AA69" s="20">
        <f>IF(OR(AA47="",AA56=""),"",IFERROR(AA47*AA56,""))</f>
        <v/>
      </c>
      <c r="AB69" s="20">
        <f>IF(OR(AB47="",AB56=""),"",IFERROR(AB47*AB56,""))</f>
        <v/>
      </c>
      <c r="AC69" s="20">
        <f>IF(OR(AC47="",AC56=""),"",IFERROR(AC47*AC56,""))</f>
        <v/>
      </c>
    </row>
    <row r="70">
      <c r="A70" s="9" t="inlineStr">
        <is>
          <t>기업가치</t>
        </is>
      </c>
      <c r="B70" s="10" t="inlineStr">
        <is>
          <t>목표시총 + 자산가치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1">
        <f>IF(OR(Y69=""),"",IFERROR(Y69+Y67,""))</f>
        <v/>
      </c>
      <c r="Z70" s="12">
        <f>IF(OR(Z69=""),"",IFERROR(Z69+Z67,""))</f>
        <v/>
      </c>
      <c r="AA70" s="12">
        <f>IF(OR(AA69=""),"",IFERROR(AA69+AA67,""))</f>
        <v/>
      </c>
      <c r="AB70" s="12">
        <f>IF(OR(AB69=""),"",IFERROR(AB69+AB67,""))</f>
        <v/>
      </c>
      <c r="AC70" s="12">
        <f>IF(OR(AC69=""),"",IFERROR(AC69+AC67,""))</f>
        <v/>
      </c>
    </row>
    <row r="71">
      <c r="A71" s="18" t="inlineStr">
        <is>
          <t>현재 시가총액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19">
        <f>$B$52</f>
        <v/>
      </c>
      <c r="Z71" s="20">
        <f>$B$52</f>
        <v/>
      </c>
      <c r="AA71" s="20">
        <f>$B$52</f>
        <v/>
      </c>
      <c r="AB71" s="20">
        <f>$B$52</f>
        <v/>
      </c>
      <c r="AC71" s="20">
        <f>$B$52</f>
        <v/>
      </c>
    </row>
    <row r="72">
      <c r="A72" s="18" t="inlineStr">
        <is>
          <t>상승여력</t>
        </is>
      </c>
      <c r="B72" s="10" t="n"/>
      <c r="C72" s="35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5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7">
        <f>IF(OR(Y70="",Y71=""),"",IFERROR(Y70/Y71-1,""))</f>
        <v/>
      </c>
      <c r="Z72" s="38">
        <f>IF(OR(Z70="",Z71=""),"",IFERROR(Z70/Z71-1,""))</f>
        <v/>
      </c>
      <c r="AA72" s="38">
        <f>IF(OR(AA70="",AA71=""),"",IFERROR(AA70/AA71-1,""))</f>
        <v/>
      </c>
      <c r="AB72" s="38">
        <f>IF(OR(AB70="",AB71=""),"",IFERROR(AB70/AB71-1,""))</f>
        <v/>
      </c>
      <c r="AC72" s="38">
        <f>IF(OR(AC70="",AC71=""),"",IFERROR(AC70/AC71-1,""))</f>
        <v/>
      </c>
    </row>
    <row r="73">
      <c r="C73" s="39" t="n"/>
      <c r="O73" s="39" t="n"/>
      <c r="Y73" s="39" t="n"/>
    </row>
    <row r="74">
      <c r="A74" s="40" t="inlineStr">
        <is>
          <t>출처</t>
        </is>
      </c>
      <c r="C74" s="39" t="n"/>
      <c r="O74" s="39" t="n"/>
      <c r="Y74" s="39" t="n"/>
    </row>
    <row r="75">
      <c r="A75" s="41" t="inlineStr">
        <is>
          <t>결산단신 XBRL(TDnet·JPX 보관소) — 쓴 문서는 '출처' 시트</t>
        </is>
      </c>
      <c r="C75" s="39" t="n"/>
      <c r="O75" s="39" t="n"/>
      <c r="Y75" s="39" t="n"/>
    </row>
    <row r="76">
      <c r="A76" s="41" t="inlineStr">
        <is>
          <t>분기 = 누계에서 앞 분기를 뺀 3개월 값</t>
        </is>
      </c>
      <c r="C76" s="39" t="n"/>
      <c r="O76" s="39" t="n"/>
      <c r="Y76" s="39" t="n"/>
    </row>
    <row r="77">
      <c r="A77" s="41" t="inlineStr">
        <is>
          <t>주가: 야후 파이낸스 일봉</t>
        </is>
      </c>
      <c r="C77" s="39" t="n"/>
      <c r="O77" s="39" t="n"/>
      <c r="Y77" s="39" t="n"/>
    </row>
    <row r="79">
      <c r="A79" s="16" t="inlineStr">
        <is>
          <t>손익계산서 · 전 항목</t>
        </is>
      </c>
      <c r="B79" s="42" t="inlineStr">
        <is>
          <t>분기 = 3개월 단독</t>
        </is>
      </c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</row>
    <row r="80">
      <c r="A80" s="5" t="inlineStr">
        <is>
          <t>항목</t>
        </is>
      </c>
      <c r="B80" s="5" t="inlineStr">
        <is>
          <t>참고</t>
        </is>
      </c>
      <c r="C80" s="5" t="inlineStr">
        <is>
          <t>2024.2Q</t>
        </is>
      </c>
      <c r="D80" s="5" t="inlineStr">
        <is>
          <t>2024.3Q</t>
        </is>
      </c>
      <c r="E80" s="5" t="inlineStr">
        <is>
          <t>2024.4Q</t>
        </is>
      </c>
      <c r="F80" s="5" t="inlineStr">
        <is>
          <t>2025.1Q</t>
        </is>
      </c>
      <c r="G80" s="5" t="inlineStr">
        <is>
          <t>2025.2Q</t>
        </is>
      </c>
      <c r="H80" s="5" t="inlineStr">
        <is>
          <t>2025.3Q</t>
        </is>
      </c>
      <c r="I80" s="5" t="inlineStr">
        <is>
          <t>2025.4Q</t>
        </is>
      </c>
      <c r="J80" s="5" t="inlineStr">
        <is>
          <t>2026.1Q</t>
        </is>
      </c>
      <c r="K80" s="5" t="inlineStr">
        <is>
          <t>2026.2Q</t>
        </is>
      </c>
      <c r="L80" s="5" t="inlineStr">
        <is>
          <t>2026.3Q</t>
        </is>
      </c>
      <c r="M80" s="5" t="inlineStr">
        <is>
          <t>2026.4Q</t>
        </is>
      </c>
      <c r="N80" s="5" t="inlineStr">
        <is>
          <t>2027.1Q</t>
        </is>
      </c>
      <c r="O80" s="5" t="inlineStr">
        <is>
          <t>2017</t>
        </is>
      </c>
      <c r="P80" s="5" t="inlineStr">
        <is>
          <t>2018</t>
        </is>
      </c>
      <c r="Q80" s="5" t="inlineStr">
        <is>
          <t>2019</t>
        </is>
      </c>
      <c r="R80" s="5" t="inlineStr">
        <is>
          <t>2020</t>
        </is>
      </c>
      <c r="S80" s="5" t="inlineStr">
        <is>
          <t>2021</t>
        </is>
      </c>
      <c r="T80" s="5" t="inlineStr">
        <is>
          <t>2022</t>
        </is>
      </c>
      <c r="U80" s="5" t="inlineStr">
        <is>
          <t>2023</t>
        </is>
      </c>
      <c r="V80" s="5" t="inlineStr">
        <is>
          <t>2024</t>
        </is>
      </c>
      <c r="W80" s="5" t="inlineStr">
        <is>
          <t>2025</t>
        </is>
      </c>
      <c r="X80" s="5" t="inlineStr">
        <is>
          <t>2026</t>
        </is>
      </c>
      <c r="Y80" s="5" t="inlineStr">
        <is>
          <t>2027(MW)</t>
        </is>
      </c>
      <c r="Z80" s="5" t="inlineStr">
        <is>
          <t>2028(MW)</t>
        </is>
      </c>
      <c r="AA80" s="5" t="inlineStr">
        <is>
          <t>2029(MW)</t>
        </is>
      </c>
      <c r="AB80" s="5" t="inlineStr">
        <is>
          <t>2030(MW)</t>
        </is>
      </c>
      <c r="AC80" s="5" t="inlineStr">
        <is>
          <t>2031(MW)</t>
        </is>
      </c>
    </row>
    <row r="81">
      <c r="A81" s="9" t="inlineStr">
        <is>
          <t>매출액</t>
        </is>
      </c>
      <c r="C81" s="12" t="n">
        <v>12518.33</v>
      </c>
      <c r="D81" s="12" t="n">
        <v>11142.892</v>
      </c>
      <c r="E81" s="12" t="n">
        <v>14194.35</v>
      </c>
      <c r="F81" s="12" t="n">
        <v>11184.626</v>
      </c>
      <c r="G81" s="12" t="n">
        <v>12318.724</v>
      </c>
      <c r="H81" s="12" t="n">
        <v>12477.03</v>
      </c>
      <c r="I81" s="12" t="n">
        <v>14644.324</v>
      </c>
      <c r="J81" s="12" t="n">
        <v>10469</v>
      </c>
      <c r="K81" s="12" t="n">
        <v>12402.097</v>
      </c>
      <c r="L81" s="12" t="n">
        <v>11954.12</v>
      </c>
      <c r="M81" s="12" t="n">
        <v>16555.415</v>
      </c>
      <c r="N81" s="12" t="n">
        <v>13334</v>
      </c>
      <c r="T81" s="12" t="n">
        <v>11045.789</v>
      </c>
      <c r="U81" s="12" t="n">
        <v>14054.09</v>
      </c>
      <c r="V81" s="12" t="n">
        <v>14194.35</v>
      </c>
      <c r="W81" s="12" t="n">
        <v>14644.324</v>
      </c>
      <c r="X81" s="12" t="n">
        <v>16555.415</v>
      </c>
    </row>
    <row r="82">
      <c r="A82" s="18" t="inlineStr">
        <is>
          <t>매출원가</t>
        </is>
      </c>
      <c r="C82" s="20" t="n">
        <v>9861.934999999999</v>
      </c>
      <c r="D82" s="20" t="n">
        <v>8952.998</v>
      </c>
      <c r="E82" s="20" t="n">
        <v>10676.523</v>
      </c>
      <c r="F82" s="20" t="n">
        <v>9087.281000000001</v>
      </c>
      <c r="G82" s="20" t="n">
        <v>9492.803</v>
      </c>
      <c r="H82" s="20" t="n">
        <v>9726.063</v>
      </c>
      <c r="I82" s="20" t="n">
        <v>11964.932</v>
      </c>
      <c r="J82" s="20" t="n">
        <v>8259</v>
      </c>
      <c r="K82" s="20" t="n">
        <v>9025.794</v>
      </c>
      <c r="L82" s="20" t="n">
        <v>9221.075999999999</v>
      </c>
      <c r="M82" s="20" t="n">
        <v>13078.631</v>
      </c>
      <c r="N82" s="20" t="n">
        <v>10426</v>
      </c>
      <c r="T82" s="20" t="n">
        <v>8398.799999999999</v>
      </c>
      <c r="U82" s="20" t="n">
        <v>10995.763</v>
      </c>
      <c r="V82" s="20" t="n">
        <v>10676.523</v>
      </c>
      <c r="W82" s="20" t="n">
        <v>11964.932</v>
      </c>
      <c r="X82" s="20" t="n">
        <v>13078.631</v>
      </c>
    </row>
    <row r="83">
      <c r="A83" s="9" t="inlineStr">
        <is>
          <t>매출총이익</t>
        </is>
      </c>
      <c r="C83" s="12" t="n">
        <v>2656.395</v>
      </c>
      <c r="D83" s="12" t="n">
        <v>2189.894</v>
      </c>
      <c r="E83" s="12" t="n">
        <v>3517.827</v>
      </c>
      <c r="F83" s="12" t="n">
        <v>2097.344</v>
      </c>
      <c r="G83" s="12" t="n">
        <v>2825.921</v>
      </c>
      <c r="H83" s="12" t="n">
        <v>2750.968</v>
      </c>
      <c r="I83" s="12" t="n">
        <v>2679.391</v>
      </c>
      <c r="J83" s="12" t="n">
        <v>2209</v>
      </c>
      <c r="K83" s="12" t="n">
        <v>3377.303</v>
      </c>
      <c r="L83" s="12" t="n">
        <v>2733.043</v>
      </c>
      <c r="M83" s="12" t="n">
        <v>3476.784</v>
      </c>
      <c r="N83" s="12" t="n">
        <v>2908</v>
      </c>
      <c r="T83" s="12" t="n">
        <v>2646.989</v>
      </c>
      <c r="U83" s="12" t="n">
        <v>3058.328</v>
      </c>
      <c r="V83" s="12" t="n">
        <v>3517.827</v>
      </c>
      <c r="W83" s="12" t="n">
        <v>2679.391</v>
      </c>
      <c r="X83" s="12" t="n">
        <v>3476.784</v>
      </c>
    </row>
    <row r="84">
      <c r="A84" s="18" t="inlineStr">
        <is>
          <t>판매비와 관리비</t>
        </is>
      </c>
      <c r="C84" s="20" t="n">
        <v>2225.697</v>
      </c>
      <c r="D84" s="20" t="n">
        <v>2290.474</v>
      </c>
      <c r="E84" s="20" t="n">
        <v>2541.667</v>
      </c>
      <c r="F84" s="20" t="n">
        <v>2372.764</v>
      </c>
      <c r="G84" s="20" t="n">
        <v>2402.165</v>
      </c>
      <c r="H84" s="20" t="n">
        <v>2569.185</v>
      </c>
      <c r="I84" s="20" t="n">
        <v>2635.864</v>
      </c>
      <c r="J84" s="20" t="n">
        <v>2188</v>
      </c>
      <c r="K84" s="20" t="n">
        <v>2507.107</v>
      </c>
      <c r="L84" s="20" t="n">
        <v>2362.82</v>
      </c>
      <c r="M84" s="20" t="n">
        <v>2406.088</v>
      </c>
      <c r="N84" s="20" t="n">
        <v>2407</v>
      </c>
      <c r="T84" s="20" t="n">
        <v>2244.918</v>
      </c>
      <c r="U84" s="20" t="n">
        <v>2386.562</v>
      </c>
      <c r="V84" s="20" t="n">
        <v>2541.667</v>
      </c>
      <c r="W84" s="20" t="n">
        <v>2635.864</v>
      </c>
      <c r="X84" s="20" t="n">
        <v>2406.088</v>
      </c>
    </row>
    <row r="85">
      <c r="A85" s="9" t="inlineStr">
        <is>
          <t>영업이익</t>
        </is>
      </c>
      <c r="C85" s="12" t="n">
        <v>430.697</v>
      </c>
      <c r="D85" s="12" t="n">
        <v>-100.58</v>
      </c>
      <c r="E85" s="12" t="n">
        <v>976.159</v>
      </c>
      <c r="F85" s="12" t="n">
        <v>-275.419</v>
      </c>
      <c r="G85" s="12" t="n">
        <v>423.755</v>
      </c>
      <c r="H85" s="12" t="n">
        <v>181.782</v>
      </c>
      <c r="I85" s="12" t="n">
        <v>43.527</v>
      </c>
      <c r="J85" s="12" t="n">
        <v>21</v>
      </c>
      <c r="K85" s="12" t="n">
        <v>870.196</v>
      </c>
      <c r="L85" s="12" t="n">
        <v>370.222</v>
      </c>
      <c r="M85" s="12" t="n">
        <v>1070.697</v>
      </c>
      <c r="N85" s="12" t="n">
        <v>501</v>
      </c>
      <c r="T85" s="12" t="n">
        <v>402.071</v>
      </c>
      <c r="U85" s="12" t="n">
        <v>671.766</v>
      </c>
      <c r="V85" s="12" t="n">
        <v>976.159</v>
      </c>
      <c r="W85" s="12" t="n">
        <v>43.527</v>
      </c>
      <c r="X85" s="12" t="n">
        <v>1070.697</v>
      </c>
    </row>
    <row r="86">
      <c r="A86" s="18" t="inlineStr">
        <is>
          <t>이자수익</t>
        </is>
      </c>
      <c r="C86" s="20" t="n">
        <v>2.444</v>
      </c>
      <c r="D86" s="20" t="n">
        <v>2.756</v>
      </c>
      <c r="E86" s="20" t="n">
        <v>2.899</v>
      </c>
      <c r="F86" s="20" t="n">
        <v>2.965</v>
      </c>
      <c r="G86" s="20" t="n">
        <v>5.312</v>
      </c>
      <c r="H86" s="20" t="n">
        <v>3.078</v>
      </c>
      <c r="I86" s="20" t="n">
        <v>2.188</v>
      </c>
      <c r="J86" s="20" t="n">
        <v>10</v>
      </c>
      <c r="K86" s="20" t="n">
        <v>13.465</v>
      </c>
      <c r="L86" s="20" t="n">
        <v>9.125</v>
      </c>
      <c r="M86" s="20" t="n">
        <v>7.473</v>
      </c>
      <c r="N86" s="20" t="n">
        <v>11</v>
      </c>
      <c r="T86" s="20" t="n">
        <v>0.394</v>
      </c>
      <c r="U86" s="20" t="n">
        <v>1.904</v>
      </c>
      <c r="V86" s="20" t="n">
        <v>2.899</v>
      </c>
      <c r="W86" s="20" t="n">
        <v>2.188</v>
      </c>
      <c r="X86" s="20" t="n">
        <v>7.473</v>
      </c>
    </row>
    <row r="87">
      <c r="A87" s="18" t="inlineStr">
        <is>
          <t>배당금수익</t>
        </is>
      </c>
      <c r="C87" s="20" t="n">
        <v>0.092</v>
      </c>
      <c r="D87" s="20" t="n">
        <v>0.444</v>
      </c>
      <c r="E87" s="20" t="n">
        <v>21.761</v>
      </c>
      <c r="F87" s="20" t="n">
        <v>7.687</v>
      </c>
      <c r="G87" s="20" t="n">
        <v>0.361</v>
      </c>
      <c r="H87" s="20" t="n">
        <v>0.648</v>
      </c>
      <c r="I87" s="20" t="n">
        <v>0.494</v>
      </c>
      <c r="J87" s="20" t="n">
        <v>41</v>
      </c>
      <c r="K87" s="20" t="n">
        <v>0.222</v>
      </c>
      <c r="L87" s="20" t="n">
        <v>-36.187</v>
      </c>
      <c r="M87" s="20" t="n">
        <v>0.356</v>
      </c>
      <c r="N87" s="20" t="n">
        <v>1</v>
      </c>
      <c r="T87" s="20" t="n">
        <v>0.672</v>
      </c>
      <c r="U87" s="20" t="n">
        <v>0.267</v>
      </c>
      <c r="V87" s="20" t="n">
        <v>21.761</v>
      </c>
      <c r="W87" s="20" t="n">
        <v>0.494</v>
      </c>
      <c r="X87" s="20" t="n">
        <v>0.356</v>
      </c>
    </row>
    <row r="88">
      <c r="A88" s="18" t="inlineStr">
        <is>
          <t>외환차익</t>
        </is>
      </c>
      <c r="C88" s="20" t="n">
        <v>132.62</v>
      </c>
      <c r="D88" s="20" t="n">
        <v>-116.133</v>
      </c>
      <c r="E88" s="20" t="n">
        <v>166.64</v>
      </c>
      <c r="F88" s="20" t="n">
        <v>221.44</v>
      </c>
      <c r="G88" s="20" t="n">
        <v>-221.44</v>
      </c>
      <c r="H88" s="20" t="n">
        <v>221.76</v>
      </c>
      <c r="I88" s="20" t="n">
        <v>-221.76</v>
      </c>
      <c r="J88" s="20" t="n">
        <v>0</v>
      </c>
      <c r="K88" s="20" t="n">
        <v>26.109</v>
      </c>
      <c r="L88" s="20" t="n">
        <v>226.364</v>
      </c>
      <c r="M88" s="20" t="n">
        <v>211.088</v>
      </c>
      <c r="N88" s="20" t="n">
        <v>99</v>
      </c>
      <c r="T88" s="20" t="n">
        <v>85.03100000000001</v>
      </c>
      <c r="U88" s="20" t="n">
        <v>-30.15</v>
      </c>
      <c r="V88" s="20" t="n">
        <v>166.64</v>
      </c>
      <c r="W88" s="20" t="n">
        <v>-221.76</v>
      </c>
      <c r="X88" s="20" t="n">
        <v>211.088</v>
      </c>
    </row>
    <row r="89">
      <c r="A89" s="18" t="inlineStr">
        <is>
          <t>부동산 임대료</t>
        </is>
      </c>
      <c r="C89" s="20" t="n">
        <v>1.737</v>
      </c>
      <c r="D89" s="20" t="n">
        <v>1.737</v>
      </c>
      <c r="E89" s="20" t="n">
        <v>1.737</v>
      </c>
      <c r="F89" s="20" t="n">
        <v>1.737</v>
      </c>
      <c r="G89" s="20" t="n">
        <v>1.737</v>
      </c>
      <c r="H89" s="20" t="n">
        <v>1.737</v>
      </c>
      <c r="I89" s="20" t="n">
        <v>1.737</v>
      </c>
      <c r="J89" s="20" t="n">
        <v>1</v>
      </c>
      <c r="K89" s="20" t="n">
        <v>2.474</v>
      </c>
      <c r="L89" s="20" t="n">
        <v>1.737</v>
      </c>
      <c r="M89" s="20" t="n">
        <v>1.737</v>
      </c>
      <c r="N89" s="20" t="n">
        <v>4</v>
      </c>
      <c r="T89" s="20" t="n">
        <v>1.737</v>
      </c>
      <c r="U89" s="20" t="n">
        <v>1.737</v>
      </c>
      <c r="V89" s="20" t="n">
        <v>1.737</v>
      </c>
      <c r="W89" s="20" t="n">
        <v>1.737</v>
      </c>
      <c r="X89" s="20" t="n">
        <v>1.737</v>
      </c>
    </row>
    <row r="90">
      <c r="A90" s="18" t="inlineStr">
        <is>
          <t>보조금 수입</t>
        </is>
      </c>
      <c r="C90" s="20" t="n">
        <v>1.693</v>
      </c>
      <c r="D90" s="20" t="n">
        <v>7.445</v>
      </c>
      <c r="E90" s="20" t="n">
        <v>0.6</v>
      </c>
      <c r="F90" s="20" t="n">
        <v>3.656</v>
      </c>
      <c r="G90" s="20" t="n">
        <v>3.696</v>
      </c>
      <c r="H90" s="20" t="n">
        <v>1.917</v>
      </c>
      <c r="I90" s="20" t="n">
        <v>9.682</v>
      </c>
      <c r="J90" s="20" t="n">
        <v>7</v>
      </c>
      <c r="K90" s="20" t="n">
        <v>1.703</v>
      </c>
      <c r="L90" s="20" t="n">
        <v>4.799</v>
      </c>
      <c r="M90" s="20" t="n">
        <v>2.772</v>
      </c>
      <c r="N90" s="20" t="n">
        <v>4</v>
      </c>
      <c r="T90" s="20" t="n">
        <v>26.525</v>
      </c>
      <c r="U90" s="20" t="n">
        <v>1.766</v>
      </c>
      <c r="V90" s="20" t="n">
        <v>0.6</v>
      </c>
      <c r="W90" s="20" t="n">
        <v>9.682</v>
      </c>
      <c r="X90" s="20" t="n">
        <v>2.772</v>
      </c>
    </row>
    <row r="91">
      <c r="A91" s="18" t="inlineStr">
        <is>
          <t>보험금 수익</t>
        </is>
      </c>
      <c r="D91" s="20" t="n">
        <v>12.765</v>
      </c>
      <c r="E91" s="20" t="n">
        <v>61.155</v>
      </c>
      <c r="F91" s="20" t="n">
        <v>10.95</v>
      </c>
      <c r="G91" s="20" t="n">
        <v>21.611</v>
      </c>
      <c r="H91" s="20" t="n">
        <v>32.003</v>
      </c>
      <c r="I91" s="20" t="n">
        <v>19.838</v>
      </c>
      <c r="J91" s="20" t="n">
        <v>30</v>
      </c>
      <c r="K91" s="20" t="n">
        <v>24.628</v>
      </c>
      <c r="L91" s="20" t="n">
        <v>17.811</v>
      </c>
      <c r="M91" s="20" t="n">
        <v>16.78</v>
      </c>
      <c r="N91" s="20" t="n">
        <v>18</v>
      </c>
      <c r="V91" s="20" t="n">
        <v>61.155</v>
      </c>
      <c r="W91" s="20" t="n">
        <v>19.838</v>
      </c>
      <c r="X91" s="20" t="n">
        <v>16.78</v>
      </c>
    </row>
    <row r="92">
      <c r="A92" s="18" t="inlineStr">
        <is>
          <t>기타</t>
        </is>
      </c>
      <c r="C92" s="20" t="n">
        <v>37.163</v>
      </c>
      <c r="D92" s="20" t="n">
        <v>23.01</v>
      </c>
      <c r="E92" s="20" t="n">
        <v>42.508</v>
      </c>
      <c r="F92" s="20" t="n">
        <v>20.285</v>
      </c>
      <c r="G92" s="20" t="n">
        <v>27.006</v>
      </c>
      <c r="H92" s="20" t="n">
        <v>14.217</v>
      </c>
      <c r="I92" s="20" t="n">
        <v>56.241</v>
      </c>
      <c r="J92" s="20" t="n">
        <v>16</v>
      </c>
      <c r="K92" s="20" t="n">
        <v>49.839</v>
      </c>
      <c r="L92" s="20" t="n">
        <v>36.995</v>
      </c>
      <c r="M92" s="20" t="n">
        <v>50.985</v>
      </c>
      <c r="N92" s="20" t="n">
        <v>34</v>
      </c>
      <c r="T92" s="20" t="n">
        <v>16.411</v>
      </c>
      <c r="U92" s="20" t="n">
        <v>47.394</v>
      </c>
      <c r="V92" s="20" t="n">
        <v>42.508</v>
      </c>
      <c r="W92" s="20" t="n">
        <v>56.241</v>
      </c>
      <c r="X92" s="20" t="n">
        <v>50.985</v>
      </c>
    </row>
    <row r="93">
      <c r="A93" s="18" t="inlineStr">
        <is>
          <t>영업외수익 합계</t>
        </is>
      </c>
      <c r="C93" s="20" t="n">
        <v>183.587</v>
      </c>
      <c r="D93" s="20" t="n">
        <v>-67.976</v>
      </c>
      <c r="E93" s="20" t="n">
        <v>297.301</v>
      </c>
      <c r="F93" s="20" t="n">
        <v>268.723</v>
      </c>
      <c r="G93" s="20" t="n">
        <v>-161.717</v>
      </c>
      <c r="H93" s="20" t="n">
        <v>275.361</v>
      </c>
      <c r="I93" s="20" t="n">
        <v>-131.583</v>
      </c>
      <c r="J93" s="20" t="n">
        <v>107</v>
      </c>
      <c r="K93" s="20" t="n">
        <v>116.444</v>
      </c>
      <c r="L93" s="20" t="n">
        <v>260.642</v>
      </c>
      <c r="M93" s="20" t="n">
        <v>308.569</v>
      </c>
      <c r="N93" s="20" t="n">
        <v>175</v>
      </c>
      <c r="T93" s="20" t="n">
        <v>130.771</v>
      </c>
      <c r="U93" s="20" t="n">
        <v>39.686</v>
      </c>
      <c r="V93" s="20" t="n">
        <v>297.301</v>
      </c>
      <c r="W93" s="20" t="n">
        <v>-131.583</v>
      </c>
      <c r="X93" s="20" t="n">
        <v>308.569</v>
      </c>
    </row>
    <row r="94">
      <c r="A94" s="18" t="inlineStr">
        <is>
          <t>이자비용</t>
        </is>
      </c>
      <c r="C94" s="20" t="n">
        <v>26.609</v>
      </c>
      <c r="D94" s="20" t="n">
        <v>27.706</v>
      </c>
      <c r="E94" s="20" t="n">
        <v>36.554</v>
      </c>
      <c r="F94" s="20" t="n">
        <v>34.844</v>
      </c>
      <c r="G94" s="20" t="n">
        <v>33.626</v>
      </c>
      <c r="H94" s="20" t="n">
        <v>42.397</v>
      </c>
      <c r="I94" s="20" t="n">
        <v>50.646</v>
      </c>
      <c r="J94" s="20" t="n">
        <v>56</v>
      </c>
      <c r="K94" s="20" t="n">
        <v>54.228</v>
      </c>
      <c r="L94" s="20" t="n">
        <v>46.254</v>
      </c>
      <c r="M94" s="20" t="n">
        <v>44.928</v>
      </c>
      <c r="N94" s="20" t="n">
        <v>60</v>
      </c>
      <c r="T94" s="20" t="n">
        <v>22.103</v>
      </c>
      <c r="U94" s="20" t="n">
        <v>20.693</v>
      </c>
      <c r="V94" s="20" t="n">
        <v>36.554</v>
      </c>
      <c r="W94" s="20" t="n">
        <v>50.646</v>
      </c>
      <c r="X94" s="20" t="n">
        <v>44.928</v>
      </c>
    </row>
    <row r="95">
      <c r="A95" s="18" t="inlineStr">
        <is>
          <t>고정자산 제각손실</t>
        </is>
      </c>
      <c r="H95" s="20" t="n">
        <v>2.369</v>
      </c>
      <c r="L95" s="20" t="n">
        <v>0.261</v>
      </c>
    </row>
    <row r="96">
      <c r="A96" s="18" t="inlineStr">
        <is>
          <t>외환차손</t>
        </is>
      </c>
      <c r="F96" s="20" t="n">
        <v>0</v>
      </c>
      <c r="G96" s="20" t="n">
        <v>185.009</v>
      </c>
      <c r="J96" s="20" t="n">
        <v>108</v>
      </c>
      <c r="K96" s="20" t="n">
        <v>-108</v>
      </c>
      <c r="N96" s="20" t="n">
        <v>0</v>
      </c>
    </row>
    <row r="97">
      <c r="A97" s="18" t="inlineStr">
        <is>
          <t>지분법손실</t>
        </is>
      </c>
      <c r="T97" s="20" t="n">
        <v>2.515</v>
      </c>
      <c r="U97" s="20" t="n">
        <v>0</v>
      </c>
    </row>
    <row r="98">
      <c r="A98" s="18" t="inlineStr">
        <is>
          <t>지급수수료</t>
        </is>
      </c>
      <c r="E98" s="20" t="n">
        <v>0</v>
      </c>
      <c r="F98" s="20" t="n">
        <v>0</v>
      </c>
      <c r="I98" s="20" t="n">
        <v>0</v>
      </c>
      <c r="J98" s="20" t="n">
        <v>3.48</v>
      </c>
      <c r="U98" s="20" t="n">
        <v>0</v>
      </c>
      <c r="V98" s="20" t="n">
        <v>0</v>
      </c>
      <c r="W98" s="20" t="n">
        <v>0</v>
      </c>
    </row>
    <row r="99">
      <c r="A99" s="18" t="inlineStr">
        <is>
          <t>기타</t>
        </is>
      </c>
      <c r="C99" s="20" t="n">
        <v>1.317</v>
      </c>
      <c r="D99" s="20" t="n">
        <v>-0.312</v>
      </c>
      <c r="E99" s="20" t="n">
        <v>5.946</v>
      </c>
      <c r="F99" s="20" t="n">
        <v>5.714</v>
      </c>
      <c r="G99" s="20" t="n">
        <v>1.601</v>
      </c>
      <c r="H99" s="20" t="n">
        <v>1.54</v>
      </c>
      <c r="I99" s="20" t="n">
        <v>7.295</v>
      </c>
      <c r="J99" s="20" t="n">
        <v>11</v>
      </c>
      <c r="K99" s="20" t="n">
        <v>2.844</v>
      </c>
      <c r="L99" s="20" t="n">
        <v>27.805</v>
      </c>
      <c r="M99" s="20" t="n">
        <v>-5.103</v>
      </c>
      <c r="N99" s="20" t="n">
        <v>1</v>
      </c>
      <c r="T99" s="20" t="n">
        <v>14.204</v>
      </c>
      <c r="U99" s="20" t="n">
        <v>11.108</v>
      </c>
      <c r="V99" s="20" t="n">
        <v>5.946</v>
      </c>
      <c r="W99" s="20" t="n">
        <v>7.295</v>
      </c>
      <c r="X99" s="20" t="n">
        <v>-5.103</v>
      </c>
    </row>
    <row r="100">
      <c r="A100" s="18" t="inlineStr">
        <is>
          <t>영업외비용 합계</t>
        </is>
      </c>
      <c r="C100" s="20" t="n">
        <v>27.926</v>
      </c>
      <c r="D100" s="20" t="n">
        <v>32.645</v>
      </c>
      <c r="E100" s="20" t="n">
        <v>43.5</v>
      </c>
      <c r="F100" s="20" t="n">
        <v>40.559</v>
      </c>
      <c r="G100" s="20" t="n">
        <v>221.36</v>
      </c>
      <c r="H100" s="20" t="n">
        <v>-138.702</v>
      </c>
      <c r="I100" s="20" t="n">
        <v>131.626</v>
      </c>
      <c r="J100" s="20" t="n">
        <v>175</v>
      </c>
      <c r="K100" s="20" t="n">
        <v>-40.581</v>
      </c>
      <c r="L100" s="20" t="n">
        <v>74.31999999999999</v>
      </c>
      <c r="M100" s="20" t="n">
        <v>29.218</v>
      </c>
      <c r="N100" s="20" t="n">
        <v>62</v>
      </c>
      <c r="T100" s="20" t="n">
        <v>39.822</v>
      </c>
      <c r="U100" s="20" t="n">
        <v>32.8</v>
      </c>
      <c r="V100" s="20" t="n">
        <v>43.5</v>
      </c>
      <c r="W100" s="20" t="n">
        <v>131.626</v>
      </c>
      <c r="X100" s="20" t="n">
        <v>29.218</v>
      </c>
    </row>
    <row r="101">
      <c r="A101" s="9" t="inlineStr">
        <is>
          <t>경상이익(손실)</t>
        </is>
      </c>
      <c r="C101" s="12" t="n">
        <v>586.3579999999999</v>
      </c>
      <c r="D101" s="12" t="n">
        <v>-201.201</v>
      </c>
      <c r="E101" s="12" t="n">
        <v>1229.959</v>
      </c>
      <c r="F101" s="12" t="n">
        <v>-47.255</v>
      </c>
      <c r="G101" s="12" t="n">
        <v>40.679</v>
      </c>
      <c r="H101" s="12" t="n">
        <v>595.8440000000001</v>
      </c>
      <c r="I101" s="12" t="n">
        <v>-219.683</v>
      </c>
      <c r="J101" s="12" t="n">
        <v>-46</v>
      </c>
      <c r="K101" s="12" t="n">
        <v>1026.221</v>
      </c>
      <c r="L101" s="12" t="n">
        <v>556.543</v>
      </c>
      <c r="M101" s="12" t="n">
        <v>1350.049</v>
      </c>
      <c r="N101" s="12" t="n">
        <v>613</v>
      </c>
      <c r="T101" s="12" t="n">
        <v>493.02</v>
      </c>
      <c r="U101" s="12" t="n">
        <v>678.651</v>
      </c>
      <c r="V101" s="12" t="n">
        <v>1229.959</v>
      </c>
      <c r="W101" s="12" t="n">
        <v>-219.683</v>
      </c>
      <c r="X101" s="12" t="n">
        <v>1350.049</v>
      </c>
    </row>
    <row r="102">
      <c r="A102" s="18" t="inlineStr">
        <is>
          <t>고정자산 매각이익</t>
        </is>
      </c>
      <c r="C102" s="20" t="n">
        <v>3.303</v>
      </c>
      <c r="D102" s="20" t="n">
        <v>1.382</v>
      </c>
      <c r="E102" s="20" t="n">
        <v>0.193</v>
      </c>
      <c r="H102" s="20" t="n">
        <v>1.962</v>
      </c>
      <c r="I102" s="20" t="n">
        <v>19.272</v>
      </c>
      <c r="T102" s="20" t="n">
        <v>7.842</v>
      </c>
      <c r="U102" s="20" t="n">
        <v>0.188</v>
      </c>
      <c r="V102" s="20" t="n">
        <v>0.193</v>
      </c>
      <c r="W102" s="20" t="n">
        <v>19.272</v>
      </c>
    </row>
    <row r="103">
      <c r="A103" s="18" t="inlineStr">
        <is>
          <t>투자유가증권 매각이익</t>
        </is>
      </c>
      <c r="D103" s="20" t="n">
        <v>0</v>
      </c>
      <c r="E103" s="20" t="n">
        <v>0</v>
      </c>
      <c r="I103" s="20" t="n">
        <v>0</v>
      </c>
      <c r="T103" s="20" t="n">
        <v>1.497</v>
      </c>
      <c r="U103" s="20" t="n">
        <v>38.31</v>
      </c>
      <c r="V103" s="20" t="n">
        <v>0</v>
      </c>
      <c r="W103" s="20" t="n">
        <v>0</v>
      </c>
    </row>
    <row r="104">
      <c r="A104" s="18" t="inlineStr">
        <is>
          <t>부의 영업권 발생이익</t>
        </is>
      </c>
      <c r="E104" s="20" t="n">
        <v>0</v>
      </c>
      <c r="T104" s="20" t="n">
        <v>0</v>
      </c>
      <c r="U104" s="20" t="n">
        <v>0</v>
      </c>
      <c r="V104" s="20" t="n">
        <v>0</v>
      </c>
    </row>
    <row r="105">
      <c r="A105" s="18" t="inlineStr">
        <is>
          <t>Gain On Sale Of Investments In Capital EI</t>
        </is>
      </c>
      <c r="T105" s="20" t="n">
        <v>0</v>
      </c>
      <c r="U105" s="20" t="n">
        <v>0</v>
      </c>
    </row>
    <row r="106">
      <c r="A106" s="18" t="inlineStr">
        <is>
          <t>관계회사 청산이익</t>
        </is>
      </c>
      <c r="D106" s="20" t="n">
        <v>0</v>
      </c>
      <c r="E106" s="20" t="n">
        <v>40.107</v>
      </c>
      <c r="T106" s="20" t="n">
        <v>0</v>
      </c>
      <c r="U106" s="20" t="n">
        <v>0</v>
      </c>
      <c r="V106" s="20" t="n">
        <v>40.107</v>
      </c>
    </row>
    <row r="107">
      <c r="A107" s="18" t="inlineStr">
        <is>
          <t>특별이익 합계</t>
        </is>
      </c>
      <c r="C107" s="20" t="n">
        <v>3.303</v>
      </c>
      <c r="D107" s="20" t="n">
        <v>1.382</v>
      </c>
      <c r="E107" s="20" t="n">
        <v>40.3</v>
      </c>
      <c r="H107" s="20" t="n">
        <v>2.669</v>
      </c>
      <c r="I107" s="20" t="n">
        <v>82.657</v>
      </c>
      <c r="T107" s="20" t="n">
        <v>9.339</v>
      </c>
      <c r="U107" s="20" t="n">
        <v>38.498</v>
      </c>
      <c r="V107" s="20" t="n">
        <v>40.3</v>
      </c>
      <c r="W107" s="20" t="n">
        <v>82.657</v>
      </c>
    </row>
    <row r="108">
      <c r="A108" s="18" t="inlineStr">
        <is>
          <t>고정자산 매각손실</t>
        </is>
      </c>
      <c r="D108" s="20" t="n">
        <v>0.001</v>
      </c>
      <c r="E108" s="20" t="n">
        <v>0.654</v>
      </c>
      <c r="H108" s="20" t="n">
        <v>0.522</v>
      </c>
      <c r="I108" s="20" t="n">
        <v>0.001</v>
      </c>
      <c r="T108" s="20" t="n">
        <v>0.11</v>
      </c>
      <c r="U108" s="20" t="n">
        <v>0</v>
      </c>
      <c r="V108" s="20" t="n">
        <v>0.654</v>
      </c>
      <c r="W108" s="20" t="n">
        <v>0.001</v>
      </c>
    </row>
    <row r="109">
      <c r="A109" s="18" t="inlineStr">
        <is>
          <t>고정자산 제각손실</t>
        </is>
      </c>
      <c r="C109" s="20" t="n">
        <v>7.08</v>
      </c>
      <c r="D109" s="20" t="n">
        <v>0.399</v>
      </c>
      <c r="E109" s="20" t="n">
        <v>4.002</v>
      </c>
      <c r="F109" s="20" t="n">
        <v>1.124</v>
      </c>
      <c r="G109" s="20" t="n">
        <v>0</v>
      </c>
      <c r="H109" s="20" t="n">
        <v>2.369</v>
      </c>
      <c r="I109" s="20" t="n">
        <v>1.168</v>
      </c>
      <c r="T109" s="20" t="n">
        <v>0.606</v>
      </c>
      <c r="U109" s="20" t="n">
        <v>11.684</v>
      </c>
      <c r="V109" s="20" t="n">
        <v>4.002</v>
      </c>
      <c r="W109" s="20" t="n">
        <v>1.168</v>
      </c>
    </row>
    <row r="110">
      <c r="A110" s="18" t="inlineStr">
        <is>
          <t>손상차손</t>
        </is>
      </c>
      <c r="H110" s="20" t="n">
        <v>0</v>
      </c>
      <c r="I110" s="20" t="n">
        <v>201.146</v>
      </c>
      <c r="L110" s="20" t="n">
        <v>-0.159</v>
      </c>
      <c r="M110" s="20" t="n">
        <v>38.059</v>
      </c>
      <c r="W110" s="20" t="n">
        <v>201.146</v>
      </c>
      <c r="X110" s="20" t="n">
        <v>38.059</v>
      </c>
    </row>
    <row r="111">
      <c r="A111" s="18" t="inlineStr">
        <is>
          <t>투자유가증권 매각손실</t>
        </is>
      </c>
      <c r="C111" s="20" t="n">
        <v>0</v>
      </c>
      <c r="D111" s="20" t="n">
        <v>0</v>
      </c>
      <c r="E111" s="20" t="n">
        <v>0</v>
      </c>
      <c r="T111" s="20" t="n">
        <v>1.316</v>
      </c>
      <c r="U111" s="20" t="n">
        <v>0</v>
      </c>
      <c r="V111" s="20" t="n">
        <v>0</v>
      </c>
    </row>
    <row r="112">
      <c r="A112" s="18" t="inlineStr">
        <is>
          <t>Provision For Product Warranties EL</t>
        </is>
      </c>
      <c r="C112" s="20" t="n">
        <v>0</v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0</v>
      </c>
      <c r="I112" s="20" t="n">
        <v>0</v>
      </c>
      <c r="U112" s="20" t="n">
        <v>0</v>
      </c>
      <c r="V112" s="20" t="n">
        <v>0</v>
      </c>
      <c r="W112" s="20" t="n">
        <v>0</v>
      </c>
    </row>
    <row r="113">
      <c r="A113" s="18" t="inlineStr">
        <is>
          <t>기타</t>
        </is>
      </c>
      <c r="D113" s="20" t="n">
        <v>0</v>
      </c>
      <c r="E113" s="20" t="n">
        <v>20.974</v>
      </c>
      <c r="H113" s="20" t="n">
        <v>0</v>
      </c>
      <c r="I113" s="20" t="n">
        <v>0</v>
      </c>
      <c r="T113" s="20" t="n">
        <v>0.587</v>
      </c>
      <c r="U113" s="20" t="n">
        <v>28.898</v>
      </c>
      <c r="V113" s="20" t="n">
        <v>20.974</v>
      </c>
      <c r="W113" s="20" t="n">
        <v>0</v>
      </c>
    </row>
    <row r="114">
      <c r="A114" s="18" t="inlineStr">
        <is>
          <t>사업구조개선비용</t>
        </is>
      </c>
      <c r="H114" s="20" t="n">
        <v>0</v>
      </c>
      <c r="I114" s="20" t="n">
        <v>0</v>
      </c>
      <c r="L114" s="20" t="n">
        <v>19.969</v>
      </c>
      <c r="M114" s="20" t="n">
        <v>74.30800000000001</v>
      </c>
      <c r="W114" s="20" t="n">
        <v>0</v>
      </c>
      <c r="X114" s="20" t="n">
        <v>74.30800000000001</v>
      </c>
    </row>
    <row r="115">
      <c r="A115" s="18" t="inlineStr">
        <is>
          <t>관계회사 청산손실</t>
        </is>
      </c>
      <c r="H115" s="20" t="n">
        <v>0</v>
      </c>
      <c r="I115" s="20" t="n">
        <v>0</v>
      </c>
      <c r="L115" s="20" t="n">
        <v>-43.988</v>
      </c>
      <c r="M115" s="20" t="n">
        <v>0</v>
      </c>
      <c r="W115" s="20" t="n">
        <v>0</v>
      </c>
      <c r="X115" s="20" t="n">
        <v>0</v>
      </c>
    </row>
    <row r="116">
      <c r="A116" s="18" t="inlineStr">
        <is>
          <t>특별손실 합계</t>
        </is>
      </c>
      <c r="C116" s="20" t="n">
        <v>9.827</v>
      </c>
      <c r="D116" s="20" t="n">
        <v>21.373</v>
      </c>
      <c r="E116" s="20" t="n">
        <v>118.799</v>
      </c>
      <c r="F116" s="20" t="n">
        <v>1.124</v>
      </c>
      <c r="G116" s="20" t="n">
        <v>-1.124</v>
      </c>
      <c r="H116" s="20" t="n">
        <v>0</v>
      </c>
      <c r="I116" s="20" t="n">
        <v>656.527</v>
      </c>
      <c r="L116" s="20" t="n">
        <v>-24.178</v>
      </c>
      <c r="M116" s="20" t="n">
        <v>168.883</v>
      </c>
      <c r="T116" s="20" t="n">
        <v>1.464</v>
      </c>
      <c r="U116" s="20" t="n">
        <v>506.766</v>
      </c>
      <c r="V116" s="20" t="n">
        <v>118.799</v>
      </c>
      <c r="W116" s="20" t="n">
        <v>656.527</v>
      </c>
      <c r="X116" s="20" t="n">
        <v>168.883</v>
      </c>
    </row>
    <row r="117">
      <c r="A117" s="9" t="inlineStr">
        <is>
          <t>법인세차감전 중간순이익(손실)</t>
        </is>
      </c>
      <c r="C117" s="12" t="n">
        <v>579.833</v>
      </c>
      <c r="D117" s="12" t="n">
        <v>-221.192</v>
      </c>
      <c r="E117" s="12" t="n">
        <v>1151.461</v>
      </c>
      <c r="F117" s="12" t="n">
        <v>-47.255</v>
      </c>
      <c r="G117" s="12" t="n">
        <v>40.679</v>
      </c>
      <c r="H117" s="12" t="n">
        <v>595.8440000000001</v>
      </c>
      <c r="I117" s="12" t="n">
        <v>-788.347</v>
      </c>
      <c r="J117" s="12" t="n">
        <v>-46</v>
      </c>
      <c r="K117" s="12" t="n">
        <v>844.393</v>
      </c>
      <c r="L117" s="12" t="n">
        <v>580.721</v>
      </c>
      <c r="M117" s="12" t="n">
        <v>1820.487</v>
      </c>
      <c r="N117" s="12" t="n">
        <v>613</v>
      </c>
      <c r="T117" s="12" t="n">
        <v>500.896</v>
      </c>
      <c r="U117" s="12" t="n">
        <v>210.383</v>
      </c>
      <c r="V117" s="12" t="n">
        <v>1151.461</v>
      </c>
      <c r="W117" s="12" t="n">
        <v>-788.347</v>
      </c>
      <c r="X117" s="12" t="n">
        <v>1820.487</v>
      </c>
    </row>
    <row r="118">
      <c r="A118" s="18" t="inlineStr">
        <is>
          <t>법인세 등</t>
        </is>
      </c>
      <c r="C118" s="20" t="n">
        <v>75.681</v>
      </c>
      <c r="D118" s="20" t="n">
        <v>95.48</v>
      </c>
      <c r="E118" s="20" t="n">
        <v>120.902</v>
      </c>
      <c r="F118" s="20" t="n">
        <v>171.096</v>
      </c>
      <c r="G118" s="20" t="n">
        <v>96.562</v>
      </c>
      <c r="H118" s="20" t="n">
        <v>71.687</v>
      </c>
      <c r="I118" s="20" t="n">
        <v>82.15000000000001</v>
      </c>
      <c r="J118" s="20" t="n">
        <v>93</v>
      </c>
      <c r="K118" s="20" t="n">
        <v>248.939</v>
      </c>
      <c r="L118" s="20" t="n">
        <v>181.565</v>
      </c>
      <c r="M118" s="20" t="n">
        <v>214.699</v>
      </c>
      <c r="N118" s="20" t="n">
        <v>169</v>
      </c>
      <c r="T118" s="20" t="n">
        <v>81.935</v>
      </c>
      <c r="U118" s="20" t="n">
        <v>-27.382</v>
      </c>
      <c r="V118" s="20" t="n">
        <v>120.902</v>
      </c>
      <c r="W118" s="20" t="n">
        <v>82.15000000000001</v>
      </c>
      <c r="X118" s="20" t="n">
        <v>214.699</v>
      </c>
    </row>
    <row r="119">
      <c r="A119" s="9" t="inlineStr">
        <is>
          <t>중간순이익(손실)</t>
        </is>
      </c>
      <c r="C119" s="12" t="n">
        <v>504.153</v>
      </c>
      <c r="D119" s="12" t="n">
        <v>-316.672</v>
      </c>
      <c r="E119" s="12" t="n">
        <v>1030.558</v>
      </c>
      <c r="F119" s="12" t="n">
        <v>-218.352</v>
      </c>
      <c r="G119" s="12" t="n">
        <v>-55.883</v>
      </c>
      <c r="H119" s="12" t="n">
        <v>524.158</v>
      </c>
      <c r="I119" s="12" t="n">
        <v>-870.498</v>
      </c>
      <c r="J119" s="12" t="n">
        <v>-139</v>
      </c>
      <c r="K119" s="12" t="n">
        <v>595.453</v>
      </c>
      <c r="L119" s="12" t="n">
        <v>399.156</v>
      </c>
      <c r="M119" s="12" t="n">
        <v>1605.789</v>
      </c>
      <c r="N119" s="12" t="n">
        <v>444</v>
      </c>
      <c r="T119" s="12" t="n">
        <v>418.962</v>
      </c>
      <c r="U119" s="12" t="n">
        <v>237.765</v>
      </c>
      <c r="V119" s="12" t="n">
        <v>1030.558</v>
      </c>
      <c r="W119" s="12" t="n">
        <v>-870.498</v>
      </c>
      <c r="X119" s="12" t="n">
        <v>1605.789</v>
      </c>
    </row>
    <row r="120">
      <c r="A120" s="9" t="inlineStr">
        <is>
          <t>비지배주주 당기순손실</t>
        </is>
      </c>
      <c r="C120" s="12" t="n">
        <v>7.238</v>
      </c>
      <c r="D120" s="12" t="n">
        <v>4.99</v>
      </c>
      <c r="E120" s="12" t="n">
        <v>1.426</v>
      </c>
      <c r="F120" s="12" t="n">
        <v>0.859</v>
      </c>
      <c r="G120" s="12" t="n">
        <v>1.218</v>
      </c>
      <c r="H120" s="12" t="n">
        <v>0.299</v>
      </c>
      <c r="I120" s="12" t="n">
        <v>-6.794</v>
      </c>
      <c r="J120" s="12" t="n">
        <v>-0</v>
      </c>
      <c r="K120" s="12" t="n">
        <v>-0.626</v>
      </c>
      <c r="L120" s="12" t="n">
        <v>0</v>
      </c>
      <c r="M120" s="12" t="n">
        <v>0</v>
      </c>
      <c r="N120" s="12" t="n">
        <v>0</v>
      </c>
      <c r="U120" s="12" t="n">
        <v>6.241</v>
      </c>
      <c r="V120" s="12" t="n">
        <v>1.426</v>
      </c>
      <c r="W120" s="12" t="n">
        <v>-6.794</v>
      </c>
      <c r="X120" s="12" t="n">
        <v>0</v>
      </c>
    </row>
    <row r="121">
      <c r="A121" s="9" t="inlineStr">
        <is>
          <t>지배주주 귀속 중간순이익(손실)</t>
        </is>
      </c>
      <c r="C121" s="12" t="n">
        <v>496.915</v>
      </c>
      <c r="D121" s="12" t="n">
        <v>-321.663</v>
      </c>
      <c r="E121" s="12" t="n">
        <v>1029.133</v>
      </c>
      <c r="F121" s="12" t="n">
        <v>-219.211</v>
      </c>
      <c r="G121" s="12" t="n">
        <v>-57.101</v>
      </c>
      <c r="H121" s="12" t="n">
        <v>523.8579999999999</v>
      </c>
      <c r="I121" s="12" t="n">
        <v>-863.703</v>
      </c>
      <c r="J121" s="12" t="n">
        <v>-138</v>
      </c>
      <c r="K121" s="12" t="n">
        <v>595.08</v>
      </c>
      <c r="L121" s="12" t="n">
        <v>399.155</v>
      </c>
      <c r="M121" s="12" t="n">
        <v>1605.789</v>
      </c>
      <c r="N121" s="12" t="n">
        <v>444</v>
      </c>
      <c r="T121" s="12" t="n">
        <v>418.962</v>
      </c>
      <c r="U121" s="12" t="n">
        <v>231.523</v>
      </c>
      <c r="V121" s="12" t="n">
        <v>1029.133</v>
      </c>
      <c r="W121" s="12" t="n">
        <v>-863.703</v>
      </c>
      <c r="X121" s="12" t="n">
        <v>1605.789</v>
      </c>
    </row>
    <row r="123">
      <c r="A123" s="16" t="inlineStr">
        <is>
          <t>포괄손익 · 전 항목</t>
        </is>
      </c>
      <c r="B123" s="42" t="inlineStr">
        <is>
          <t>분기 = 3개월 단독</t>
        </is>
      </c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</row>
    <row r="124">
      <c r="A124" s="5" t="inlineStr">
        <is>
          <t>항목</t>
        </is>
      </c>
      <c r="B124" s="5" t="inlineStr">
        <is>
          <t>참고</t>
        </is>
      </c>
      <c r="C124" s="5" t="inlineStr">
        <is>
          <t>2024.2Q</t>
        </is>
      </c>
      <c r="D124" s="5" t="inlineStr">
        <is>
          <t>2024.3Q</t>
        </is>
      </c>
      <c r="E124" s="5" t="inlineStr">
        <is>
          <t>2024.4Q</t>
        </is>
      </c>
      <c r="F124" s="5" t="inlineStr">
        <is>
          <t>2025.1Q</t>
        </is>
      </c>
      <c r="G124" s="5" t="inlineStr">
        <is>
          <t>2025.2Q</t>
        </is>
      </c>
      <c r="H124" s="5" t="inlineStr">
        <is>
          <t>2025.3Q</t>
        </is>
      </c>
      <c r="I124" s="5" t="inlineStr">
        <is>
          <t>2025.4Q</t>
        </is>
      </c>
      <c r="J124" s="5" t="inlineStr">
        <is>
          <t>2026.1Q</t>
        </is>
      </c>
      <c r="K124" s="5" t="inlineStr">
        <is>
          <t>2026.2Q</t>
        </is>
      </c>
      <c r="L124" s="5" t="inlineStr">
        <is>
          <t>2026.3Q</t>
        </is>
      </c>
      <c r="M124" s="5" t="inlineStr">
        <is>
          <t>2026.4Q</t>
        </is>
      </c>
      <c r="N124" s="5" t="inlineStr">
        <is>
          <t>2027.1Q</t>
        </is>
      </c>
      <c r="O124" s="5" t="inlineStr">
        <is>
          <t>2017</t>
        </is>
      </c>
      <c r="P124" s="5" t="inlineStr">
        <is>
          <t>2018</t>
        </is>
      </c>
      <c r="Q124" s="5" t="inlineStr">
        <is>
          <t>2019</t>
        </is>
      </c>
      <c r="R124" s="5" t="inlineStr">
        <is>
          <t>2020</t>
        </is>
      </c>
      <c r="S124" s="5" t="inlineStr">
        <is>
          <t>2021</t>
        </is>
      </c>
      <c r="T124" s="5" t="inlineStr">
        <is>
          <t>2022</t>
        </is>
      </c>
      <c r="U124" s="5" t="inlineStr">
        <is>
          <t>2023</t>
        </is>
      </c>
      <c r="V124" s="5" t="inlineStr">
        <is>
          <t>2024</t>
        </is>
      </c>
      <c r="W124" s="5" t="inlineStr">
        <is>
          <t>2025</t>
        </is>
      </c>
      <c r="X124" s="5" t="inlineStr">
        <is>
          <t>2026</t>
        </is>
      </c>
      <c r="Y124" s="5" t="inlineStr">
        <is>
          <t>2027(MW)</t>
        </is>
      </c>
      <c r="Z124" s="5" t="inlineStr">
        <is>
          <t>2028(MW)</t>
        </is>
      </c>
      <c r="AA124" s="5" t="inlineStr">
        <is>
          <t>2029(MW)</t>
        </is>
      </c>
      <c r="AB124" s="5" t="inlineStr">
        <is>
          <t>2030(MW)</t>
        </is>
      </c>
      <c r="AC124" s="5" t="inlineStr">
        <is>
          <t>2031(MW)</t>
        </is>
      </c>
    </row>
    <row r="125">
      <c r="A125" s="9" t="inlineStr">
        <is>
          <t>중간순이익(손실)</t>
        </is>
      </c>
      <c r="C125" s="12" t="n">
        <v>504.153</v>
      </c>
      <c r="D125" s="12" t="n">
        <v>-316.672</v>
      </c>
      <c r="E125" s="12" t="n">
        <v>1030.558</v>
      </c>
      <c r="F125" s="12" t="n">
        <v>-218.352</v>
      </c>
      <c r="G125" s="12" t="n">
        <v>-55.883</v>
      </c>
      <c r="H125" s="12" t="n">
        <v>524.158</v>
      </c>
      <c r="I125" s="12" t="n">
        <v>-870.498</v>
      </c>
      <c r="J125" s="12" t="n">
        <v>-139</v>
      </c>
      <c r="K125" s="12" t="n">
        <v>595.453</v>
      </c>
      <c r="L125" s="12" t="n">
        <v>399.156</v>
      </c>
      <c r="M125" s="12" t="n">
        <v>1605.789</v>
      </c>
      <c r="N125" s="12" t="n">
        <v>444</v>
      </c>
      <c r="T125" s="12" t="n">
        <v>418.962</v>
      </c>
      <c r="U125" s="12" t="n">
        <v>237.765</v>
      </c>
      <c r="V125" s="12" t="n">
        <v>1030.558</v>
      </c>
      <c r="W125" s="12" t="n">
        <v>-870.498</v>
      </c>
      <c r="X125" s="12" t="n">
        <v>1605.789</v>
      </c>
    </row>
    <row r="126">
      <c r="A126" s="18" t="inlineStr">
        <is>
          <t>기타유가증권 평가차액</t>
        </is>
      </c>
      <c r="C126" s="20" t="n">
        <v>-1.698</v>
      </c>
      <c r="D126" s="20" t="n">
        <v>-0.463</v>
      </c>
      <c r="E126" s="20" t="n">
        <v>3.403</v>
      </c>
      <c r="F126" s="20" t="n">
        <v>1.945</v>
      </c>
      <c r="G126" s="20" t="n">
        <v>-8.875999999999999</v>
      </c>
      <c r="H126" s="20" t="n">
        <v>0.967</v>
      </c>
      <c r="I126" s="20" t="n">
        <v>2.645</v>
      </c>
      <c r="J126" s="20" t="n">
        <v>0</v>
      </c>
      <c r="K126" s="20" t="n">
        <v>6.22</v>
      </c>
      <c r="L126" s="20" t="n">
        <v>6.766</v>
      </c>
      <c r="M126" s="20" t="n">
        <v>7.277</v>
      </c>
      <c r="N126" s="20" t="n">
        <v>6</v>
      </c>
      <c r="T126" s="20" t="n">
        <v>-11.151</v>
      </c>
      <c r="U126" s="20" t="n">
        <v>-24.088</v>
      </c>
      <c r="V126" s="20" t="n">
        <v>3.403</v>
      </c>
      <c r="W126" s="20" t="n">
        <v>2.645</v>
      </c>
      <c r="X126" s="20" t="n">
        <v>7.277</v>
      </c>
    </row>
    <row r="127">
      <c r="A127" s="18" t="inlineStr">
        <is>
          <t>해외사업환산조정</t>
        </is>
      </c>
      <c r="C127" s="20" t="n">
        <v>447.265</v>
      </c>
      <c r="D127" s="20" t="n">
        <v>403.649</v>
      </c>
      <c r="E127" s="20" t="n">
        <v>-504.581</v>
      </c>
      <c r="F127" s="20" t="n">
        <v>253.932</v>
      </c>
      <c r="G127" s="20" t="n">
        <v>971.335</v>
      </c>
      <c r="H127" s="20" t="n">
        <v>-1240.852</v>
      </c>
      <c r="I127" s="20" t="n">
        <v>1007.672</v>
      </c>
      <c r="J127" s="20" t="n">
        <v>-399</v>
      </c>
      <c r="K127" s="20" t="n">
        <v>-114.743</v>
      </c>
      <c r="L127" s="20" t="n">
        <v>3.492</v>
      </c>
      <c r="M127" s="20" t="n">
        <v>476.961</v>
      </c>
      <c r="N127" s="20" t="n">
        <v>112</v>
      </c>
      <c r="T127" s="20" t="n">
        <v>198.308</v>
      </c>
      <c r="U127" s="20" t="n">
        <v>-381.954</v>
      </c>
      <c r="V127" s="20" t="n">
        <v>-504.581</v>
      </c>
      <c r="W127" s="20" t="n">
        <v>1007.672</v>
      </c>
      <c r="X127" s="20" t="n">
        <v>476.961</v>
      </c>
    </row>
    <row r="128">
      <c r="A128" s="18" t="inlineStr">
        <is>
          <t>퇴직급여 조정액</t>
        </is>
      </c>
      <c r="F128" s="20" t="n">
        <v>0</v>
      </c>
      <c r="J128" s="20" t="n">
        <v>-4</v>
      </c>
      <c r="N128" s="20" t="n">
        <v>-0</v>
      </c>
      <c r="T128" s="20" t="n">
        <v>0</v>
      </c>
      <c r="U128" s="20" t="n">
        <v>0</v>
      </c>
    </row>
    <row r="129">
      <c r="A129" s="18" t="inlineStr">
        <is>
          <t>지분법 적용회사 지분 해당액</t>
        </is>
      </c>
      <c r="T129" s="20" t="n">
        <v>0</v>
      </c>
      <c r="U129" s="20" t="n">
        <v>0</v>
      </c>
    </row>
    <row r="130">
      <c r="A130" s="18" t="inlineStr">
        <is>
          <t>기타포괄손익 합계</t>
        </is>
      </c>
      <c r="C130" s="20" t="n">
        <v>445.567</v>
      </c>
      <c r="D130" s="20" t="n">
        <v>403.185</v>
      </c>
      <c r="E130" s="20" t="n">
        <v>-501.176</v>
      </c>
      <c r="F130" s="20" t="n">
        <v>255.877</v>
      </c>
      <c r="G130" s="20" t="n">
        <v>962.458</v>
      </c>
      <c r="H130" s="20" t="n">
        <v>-1239.885</v>
      </c>
      <c r="I130" s="20" t="n">
        <v>1010.318</v>
      </c>
      <c r="J130" s="20" t="n">
        <v>-403</v>
      </c>
      <c r="K130" s="20" t="n">
        <v>-108.903</v>
      </c>
      <c r="L130" s="20" t="n">
        <v>10.189</v>
      </c>
      <c r="M130" s="20" t="n">
        <v>479.626</v>
      </c>
      <c r="N130" s="20" t="n">
        <v>118</v>
      </c>
      <c r="T130" s="20" t="n">
        <v>187.156</v>
      </c>
      <c r="U130" s="20" t="n">
        <v>-406.043</v>
      </c>
      <c r="V130" s="20" t="n">
        <v>-501.176</v>
      </c>
      <c r="W130" s="20" t="n">
        <v>1010.318</v>
      </c>
      <c r="X130" s="20" t="n">
        <v>479.626</v>
      </c>
    </row>
    <row r="131">
      <c r="A131" s="9" t="inlineStr">
        <is>
          <t>포괄이익</t>
        </is>
      </c>
      <c r="C131" s="12" t="n">
        <v>949.721</v>
      </c>
      <c r="D131" s="12" t="n">
        <v>86.512</v>
      </c>
      <c r="E131" s="12" t="n">
        <v>529.3819999999999</v>
      </c>
      <c r="F131" s="12" t="n">
        <v>37.525</v>
      </c>
      <c r="G131" s="12" t="n">
        <v>906.575</v>
      </c>
      <c r="H131" s="12" t="n">
        <v>-715.727</v>
      </c>
      <c r="I131" s="12" t="n">
        <v>139.819</v>
      </c>
      <c r="J131" s="12" t="n">
        <v>-543</v>
      </c>
      <c r="K131" s="12" t="n">
        <v>487.551</v>
      </c>
      <c r="L131" s="12" t="n">
        <v>409.343</v>
      </c>
      <c r="M131" s="12" t="n">
        <v>2085.416</v>
      </c>
      <c r="N131" s="12" t="n">
        <v>563</v>
      </c>
      <c r="T131" s="12" t="n">
        <v>606.117</v>
      </c>
      <c r="U131" s="12" t="n">
        <v>-168.278</v>
      </c>
      <c r="V131" s="12" t="n">
        <v>529.3819999999999</v>
      </c>
      <c r="W131" s="12" t="n">
        <v>139.819</v>
      </c>
      <c r="X131" s="12" t="n">
        <v>2085.416</v>
      </c>
    </row>
    <row r="132">
      <c r="A132" s="9" t="inlineStr">
        <is>
          <t>지배주주 포괄이익</t>
        </is>
      </c>
      <c r="C132" s="12" t="n">
        <v>938.669</v>
      </c>
      <c r="D132" s="12" t="n">
        <v>81.36799999999999</v>
      </c>
      <c r="E132" s="12" t="n">
        <v>528.417</v>
      </c>
      <c r="F132" s="12" t="n">
        <v>36.666</v>
      </c>
      <c r="G132" s="12" t="n">
        <v>905.357</v>
      </c>
      <c r="H132" s="12" t="n">
        <v>-716.027</v>
      </c>
      <c r="I132" s="12" t="n">
        <v>146.614</v>
      </c>
      <c r="J132" s="12" t="n">
        <v>-542</v>
      </c>
      <c r="K132" s="12" t="n">
        <v>487.177</v>
      </c>
      <c r="L132" s="12" t="n">
        <v>409.344</v>
      </c>
      <c r="M132" s="12" t="n">
        <v>2085.415</v>
      </c>
      <c r="N132" s="12" t="n">
        <v>563</v>
      </c>
      <c r="T132" s="12" t="n">
        <v>606.117</v>
      </c>
      <c r="U132" s="12" t="n">
        <v>-174.519</v>
      </c>
      <c r="V132" s="12" t="n">
        <v>528.417</v>
      </c>
      <c r="W132" s="12" t="n">
        <v>146.614</v>
      </c>
      <c r="X132" s="12" t="n">
        <v>2085.415</v>
      </c>
    </row>
    <row r="133">
      <c r="A133" s="9" t="inlineStr">
        <is>
          <t>비지배주주 포괄이익</t>
        </is>
      </c>
      <c r="C133" s="12" t="n">
        <v>11.052</v>
      </c>
      <c r="D133" s="12" t="n">
        <v>5.144</v>
      </c>
      <c r="E133" s="12" t="n">
        <v>0.966</v>
      </c>
      <c r="F133" s="12" t="n">
        <v>0.859</v>
      </c>
      <c r="G133" s="12" t="n">
        <v>1.218</v>
      </c>
      <c r="H133" s="12" t="n">
        <v>0.299</v>
      </c>
      <c r="I133" s="12" t="n">
        <v>-6.794</v>
      </c>
      <c r="J133" s="12" t="n">
        <v>-0</v>
      </c>
      <c r="K133" s="12" t="n">
        <v>-0.626</v>
      </c>
      <c r="L133" s="12" t="n">
        <v>0</v>
      </c>
      <c r="M133" s="12" t="n">
        <v>0</v>
      </c>
      <c r="N133" s="12" t="n">
        <v>0</v>
      </c>
      <c r="U133" s="12" t="n">
        <v>6.241</v>
      </c>
      <c r="V133" s="12" t="n">
        <v>0.966</v>
      </c>
      <c r="W133" s="12" t="n">
        <v>-6.794</v>
      </c>
      <c r="X133" s="12" t="n">
        <v>0</v>
      </c>
    </row>
    <row r="135">
      <c r="A135" s="16" t="inlineStr">
        <is>
          <t>부문 · 전 항목</t>
        </is>
      </c>
      <c r="B135" s="42" t="inlineStr">
        <is>
          <t>부문 · 항목</t>
        </is>
      </c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</row>
    <row r="136">
      <c r="A136" s="5" t="inlineStr">
        <is>
          <t>항목</t>
        </is>
      </c>
      <c r="B136" s="5" t="inlineStr">
        <is>
          <t>참고</t>
        </is>
      </c>
      <c r="C136" s="5" t="inlineStr">
        <is>
          <t>2024.2Q</t>
        </is>
      </c>
      <c r="D136" s="5" t="inlineStr">
        <is>
          <t>2024.3Q</t>
        </is>
      </c>
      <c r="E136" s="5" t="inlineStr">
        <is>
          <t>2024.4Q</t>
        </is>
      </c>
      <c r="F136" s="5" t="inlineStr">
        <is>
          <t>2025.1Q</t>
        </is>
      </c>
      <c r="G136" s="5" t="inlineStr">
        <is>
          <t>2025.2Q</t>
        </is>
      </c>
      <c r="H136" s="5" t="inlineStr">
        <is>
          <t>2025.3Q</t>
        </is>
      </c>
      <c r="I136" s="5" t="inlineStr">
        <is>
          <t>2025.4Q</t>
        </is>
      </c>
      <c r="J136" s="5" t="inlineStr">
        <is>
          <t>2026.1Q</t>
        </is>
      </c>
      <c r="K136" s="5" t="inlineStr">
        <is>
          <t>2026.2Q</t>
        </is>
      </c>
      <c r="L136" s="5" t="inlineStr">
        <is>
          <t>2026.3Q</t>
        </is>
      </c>
      <c r="M136" s="5" t="inlineStr">
        <is>
          <t>2026.4Q</t>
        </is>
      </c>
      <c r="N136" s="5" t="inlineStr">
        <is>
          <t>2027.1Q</t>
        </is>
      </c>
      <c r="O136" s="5" t="inlineStr">
        <is>
          <t>2017</t>
        </is>
      </c>
      <c r="P136" s="5" t="inlineStr">
        <is>
          <t>2018</t>
        </is>
      </c>
      <c r="Q136" s="5" t="inlineStr">
        <is>
          <t>2019</t>
        </is>
      </c>
      <c r="R136" s="5" t="inlineStr">
        <is>
          <t>2020</t>
        </is>
      </c>
      <c r="S136" s="5" t="inlineStr">
        <is>
          <t>2021</t>
        </is>
      </c>
      <c r="T136" s="5" t="inlineStr">
        <is>
          <t>2022</t>
        </is>
      </c>
      <c r="U136" s="5" t="inlineStr">
        <is>
          <t>2023</t>
        </is>
      </c>
      <c r="V136" s="5" t="inlineStr">
        <is>
          <t>2024</t>
        </is>
      </c>
      <c r="W136" s="5" t="inlineStr">
        <is>
          <t>2025</t>
        </is>
      </c>
      <c r="X136" s="5" t="inlineStr">
        <is>
          <t>2026</t>
        </is>
      </c>
      <c r="Y136" s="5" t="inlineStr">
        <is>
          <t>2027(MW)</t>
        </is>
      </c>
      <c r="Z136" s="5" t="inlineStr">
        <is>
          <t>2028(MW)</t>
        </is>
      </c>
      <c r="AA136" s="5" t="inlineStr">
        <is>
          <t>2029(MW)</t>
        </is>
      </c>
      <c r="AB136" s="5" t="inlineStr">
        <is>
          <t>2030(MW)</t>
        </is>
      </c>
      <c r="AC136" s="5" t="inlineStr">
        <is>
          <t>2031(MW)</t>
        </is>
      </c>
    </row>
    <row r="137">
      <c r="A137" s="18" t="inlineStr">
        <is>
          <t>부문 · 외부 고객 매출</t>
        </is>
      </c>
      <c r="C137" s="20" t="n">
        <v>8103.786</v>
      </c>
      <c r="D137" s="20" t="n">
        <v>7032.856</v>
      </c>
      <c r="E137" s="20" t="n">
        <v>8881.030000000001</v>
      </c>
      <c r="F137" s="20" t="n">
        <v>7465.286</v>
      </c>
      <c r="G137" s="20" t="n">
        <v>8947.918</v>
      </c>
      <c r="H137" s="20" t="n">
        <v>9241.781000000001</v>
      </c>
      <c r="I137" s="20" t="n">
        <v>10173.408</v>
      </c>
      <c r="J137" s="20" t="n">
        <v>7801</v>
      </c>
      <c r="K137" s="20" t="n">
        <v>8868.404</v>
      </c>
      <c r="L137" s="20" t="n">
        <v>8874.370000000001</v>
      </c>
      <c r="M137" s="20" t="n">
        <v>12225.099</v>
      </c>
      <c r="N137" s="20" t="n">
        <v>10645</v>
      </c>
      <c r="V137" s="20" t="n">
        <v>8881.030000000001</v>
      </c>
      <c r="W137" s="20" t="n">
        <v>10173.408</v>
      </c>
      <c r="X137" s="20" t="n">
        <v>12225.099</v>
      </c>
    </row>
    <row r="138">
      <c r="A138" s="18" t="inlineStr">
        <is>
          <t>부문 · 외부 고객 매출</t>
        </is>
      </c>
      <c r="C138" s="20" t="n">
        <v>4414.544</v>
      </c>
      <c r="D138" s="20" t="n">
        <v>4110.036</v>
      </c>
      <c r="E138" s="20" t="n">
        <v>5313.32</v>
      </c>
      <c r="F138" s="20" t="n">
        <v>3719.339</v>
      </c>
      <c r="G138" s="20" t="n">
        <v>3370.807</v>
      </c>
      <c r="H138" s="20" t="n">
        <v>3235.249</v>
      </c>
      <c r="I138" s="20" t="n">
        <v>4470.915</v>
      </c>
      <c r="J138" s="20" t="n">
        <v>2667</v>
      </c>
      <c r="K138" s="20" t="n">
        <v>3534.693</v>
      </c>
      <c r="L138" s="20" t="n">
        <v>3079.749</v>
      </c>
      <c r="M138" s="20" t="n">
        <v>4330.316</v>
      </c>
      <c r="N138" s="20" t="n">
        <v>2689</v>
      </c>
      <c r="V138" s="20" t="n">
        <v>5313.32</v>
      </c>
      <c r="W138" s="20" t="n">
        <v>4470.915</v>
      </c>
      <c r="X138" s="20" t="n">
        <v>4330.316</v>
      </c>
    </row>
    <row r="139">
      <c r="A139" s="18" t="inlineStr">
        <is>
          <t>보고부문 합계 · 외부 고객 매출</t>
        </is>
      </c>
      <c r="C139" s="20" t="n">
        <v>12518.33</v>
      </c>
      <c r="D139" s="20" t="n">
        <v>11142.892</v>
      </c>
      <c r="E139" s="20" t="n">
        <v>14194.35</v>
      </c>
      <c r="F139" s="20" t="n">
        <v>11184.626</v>
      </c>
      <c r="G139" s="20" t="n">
        <v>12318.724</v>
      </c>
      <c r="H139" s="20" t="n">
        <v>12477.03</v>
      </c>
      <c r="I139" s="20" t="n">
        <v>14644.324</v>
      </c>
      <c r="J139" s="20" t="n">
        <v>10469</v>
      </c>
      <c r="K139" s="20" t="n">
        <v>12402.097</v>
      </c>
      <c r="L139" s="20" t="n">
        <v>11954.12</v>
      </c>
      <c r="M139" s="20" t="n">
        <v>16555.415</v>
      </c>
      <c r="N139" s="20" t="n">
        <v>13334</v>
      </c>
      <c r="V139" s="20" t="n">
        <v>14194.35</v>
      </c>
      <c r="W139" s="20" t="n">
        <v>14644.324</v>
      </c>
      <c r="X139" s="20" t="n">
        <v>16555.415</v>
      </c>
    </row>
    <row r="140">
      <c r="A140" s="18" t="inlineStr">
        <is>
          <t>조정액 · 외부 고객 매출</t>
        </is>
      </c>
      <c r="C140" s="20" t="n">
        <v>0</v>
      </c>
      <c r="D140" s="20" t="n">
        <v>0</v>
      </c>
      <c r="E140" s="20" t="n">
        <v>0</v>
      </c>
      <c r="F140" s="20" t="n">
        <v>0</v>
      </c>
      <c r="G140" s="20" t="n">
        <v>0</v>
      </c>
      <c r="H140" s="20" t="n">
        <v>0</v>
      </c>
      <c r="I140" s="20" t="n">
        <v>0</v>
      </c>
      <c r="J140" s="20" t="n">
        <v>0</v>
      </c>
      <c r="K140" s="20" t="n">
        <v>0</v>
      </c>
      <c r="L140" s="20" t="n">
        <v>0</v>
      </c>
      <c r="M140" s="20" t="n">
        <v>0</v>
      </c>
      <c r="N140" s="20" t="n">
        <v>0</v>
      </c>
      <c r="V140" s="20" t="n">
        <v>0</v>
      </c>
      <c r="W140" s="20" t="n">
        <v>0</v>
      </c>
      <c r="X140" s="20" t="n">
        <v>0</v>
      </c>
    </row>
    <row r="141">
      <c r="A141" s="9" t="inlineStr">
        <is>
          <t>외부 고객 매출</t>
        </is>
      </c>
      <c r="C141" s="12" t="n">
        <v>12518.33</v>
      </c>
      <c r="D141" s="12" t="n">
        <v>11142.892</v>
      </c>
      <c r="E141" s="12" t="n">
        <v>14194.35</v>
      </c>
      <c r="F141" s="12" t="n">
        <v>11184.626</v>
      </c>
      <c r="G141" s="12" t="n">
        <v>12318.724</v>
      </c>
      <c r="H141" s="12" t="n">
        <v>12477.03</v>
      </c>
      <c r="I141" s="12" t="n">
        <v>14644.324</v>
      </c>
      <c r="J141" s="12" t="n">
        <v>10469</v>
      </c>
      <c r="K141" s="12" t="n">
        <v>12402.097</v>
      </c>
      <c r="L141" s="12" t="n">
        <v>11954.12</v>
      </c>
      <c r="M141" s="12" t="n">
        <v>16555.415</v>
      </c>
      <c r="N141" s="12" t="n">
        <v>13334</v>
      </c>
      <c r="V141" s="12" t="n">
        <v>14194.35</v>
      </c>
      <c r="W141" s="12" t="n">
        <v>14644.324</v>
      </c>
      <c r="X141" s="12" t="n">
        <v>16555.415</v>
      </c>
    </row>
    <row r="142">
      <c r="A142" s="18" t="inlineStr">
        <is>
          <t>부문 · 부문 간 내부매출·대체</t>
        </is>
      </c>
      <c r="C142" s="20" t="n">
        <v>0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7.815</v>
      </c>
      <c r="J142" s="20" t="n">
        <v>0</v>
      </c>
      <c r="K142" s="20" t="n">
        <v>3.736</v>
      </c>
      <c r="L142" s="20" t="n">
        <v>0</v>
      </c>
      <c r="M142" s="20" t="n">
        <v>0</v>
      </c>
      <c r="N142" s="20" t="n">
        <v>0</v>
      </c>
      <c r="V142" s="20" t="n">
        <v>0</v>
      </c>
      <c r="W142" s="20" t="n">
        <v>7.815</v>
      </c>
      <c r="X142" s="20" t="n">
        <v>0</v>
      </c>
    </row>
    <row r="143">
      <c r="A143" s="18" t="inlineStr">
        <is>
          <t>부문 · 부문 간 내부매출·대체</t>
        </is>
      </c>
      <c r="C143" s="20" t="n">
        <v>311.588</v>
      </c>
      <c r="D143" s="20" t="n">
        <v>200.211</v>
      </c>
      <c r="E143" s="20" t="n">
        <v>164.835</v>
      </c>
      <c r="F143" s="20" t="n">
        <v>66.509</v>
      </c>
      <c r="G143" s="20" t="n">
        <v>244.604</v>
      </c>
      <c r="H143" s="20" t="n">
        <v>232.781</v>
      </c>
      <c r="I143" s="20" t="n">
        <v>134.019</v>
      </c>
      <c r="J143" s="20" t="n">
        <v>88</v>
      </c>
      <c r="K143" s="20" t="n">
        <v>254.277</v>
      </c>
      <c r="L143" s="20" t="n">
        <v>218.52</v>
      </c>
      <c r="M143" s="20" t="n">
        <v>137.78</v>
      </c>
      <c r="N143" s="20" t="n">
        <v>58</v>
      </c>
      <c r="V143" s="20" t="n">
        <v>164.835</v>
      </c>
      <c r="W143" s="20" t="n">
        <v>134.019</v>
      </c>
      <c r="X143" s="20" t="n">
        <v>137.78</v>
      </c>
    </row>
    <row r="144">
      <c r="A144" s="18" t="inlineStr">
        <is>
          <t>보고부문 합계 · 부문 간 내부매출·대체</t>
        </is>
      </c>
      <c r="C144" s="20" t="n">
        <v>311.588</v>
      </c>
      <c r="D144" s="20" t="n">
        <v>200.211</v>
      </c>
      <c r="E144" s="20" t="n">
        <v>164.835</v>
      </c>
      <c r="F144" s="20" t="n">
        <v>66.509</v>
      </c>
      <c r="G144" s="20" t="n">
        <v>244.604</v>
      </c>
      <c r="H144" s="20" t="n">
        <v>232.781</v>
      </c>
      <c r="I144" s="20" t="n">
        <v>141.834</v>
      </c>
      <c r="J144" s="20" t="n">
        <v>88</v>
      </c>
      <c r="K144" s="20" t="n">
        <v>258.013</v>
      </c>
      <c r="L144" s="20" t="n">
        <v>218.52</v>
      </c>
      <c r="M144" s="20" t="n">
        <v>137.78</v>
      </c>
      <c r="N144" s="20" t="n">
        <v>58</v>
      </c>
      <c r="V144" s="20" t="n">
        <v>164.835</v>
      </c>
      <c r="W144" s="20" t="n">
        <v>141.834</v>
      </c>
      <c r="X144" s="20" t="n">
        <v>137.78</v>
      </c>
    </row>
    <row r="145">
      <c r="A145" s="18" t="inlineStr">
        <is>
          <t>조정액 · 부문 간 내부매출·대체</t>
        </is>
      </c>
      <c r="C145" s="20" t="n">
        <v>-311.588</v>
      </c>
      <c r="D145" s="20" t="n">
        <v>-200.211</v>
      </c>
      <c r="E145" s="20" t="n">
        <v>-164.835</v>
      </c>
      <c r="F145" s="20" t="n">
        <v>-66.509</v>
      </c>
      <c r="G145" s="20" t="n">
        <v>-244.604</v>
      </c>
      <c r="H145" s="20" t="n">
        <v>-232.781</v>
      </c>
      <c r="I145" s="20" t="n">
        <v>-141.834</v>
      </c>
      <c r="J145" s="20" t="n">
        <v>-88</v>
      </c>
      <c r="K145" s="20" t="n">
        <v>-258.013</v>
      </c>
      <c r="L145" s="20" t="n">
        <v>-218.52</v>
      </c>
      <c r="M145" s="20" t="n">
        <v>-137.78</v>
      </c>
      <c r="N145" s="20" t="n">
        <v>-58</v>
      </c>
      <c r="V145" s="20" t="n">
        <v>-164.835</v>
      </c>
      <c r="W145" s="20" t="n">
        <v>-141.834</v>
      </c>
      <c r="X145" s="20" t="n">
        <v>-137.78</v>
      </c>
    </row>
    <row r="146">
      <c r="A146" s="18" t="inlineStr">
        <is>
          <t>부문 간 내부매출·대체</t>
        </is>
      </c>
      <c r="C146" s="20" t="n">
        <v>0</v>
      </c>
      <c r="D146" s="20" t="n">
        <v>0</v>
      </c>
      <c r="E146" s="20" t="n">
        <v>0</v>
      </c>
      <c r="F146" s="20" t="n">
        <v>0</v>
      </c>
      <c r="G146" s="20" t="n">
        <v>0</v>
      </c>
      <c r="H146" s="20" t="n">
        <v>0</v>
      </c>
      <c r="I146" s="20" t="n">
        <v>0</v>
      </c>
      <c r="J146" s="20" t="n">
        <v>0</v>
      </c>
      <c r="K146" s="20" t="n">
        <v>0</v>
      </c>
      <c r="L146" s="20" t="n">
        <v>0</v>
      </c>
      <c r="M146" s="20" t="n">
        <v>0</v>
      </c>
      <c r="N146" s="20" t="n">
        <v>0</v>
      </c>
      <c r="V146" s="20" t="n">
        <v>0</v>
      </c>
      <c r="W146" s="20" t="n">
        <v>0</v>
      </c>
      <c r="X146" s="20" t="n">
        <v>0</v>
      </c>
    </row>
    <row r="147">
      <c r="A147" s="18" t="inlineStr">
        <is>
          <t>부문 · 계</t>
        </is>
      </c>
      <c r="C147" s="20" t="n">
        <v>8103.786</v>
      </c>
      <c r="D147" s="20" t="n">
        <v>7032.856</v>
      </c>
      <c r="E147" s="20" t="n">
        <v>8881.030000000001</v>
      </c>
      <c r="F147" s="20" t="n">
        <v>7465.286</v>
      </c>
      <c r="G147" s="20" t="n">
        <v>8947.918</v>
      </c>
      <c r="H147" s="20" t="n">
        <v>9241.781000000001</v>
      </c>
      <c r="I147" s="20" t="n">
        <v>10181.223</v>
      </c>
      <c r="J147" s="20" t="n">
        <v>7801</v>
      </c>
      <c r="K147" s="20" t="n">
        <v>8872.139999999999</v>
      </c>
      <c r="L147" s="20" t="n">
        <v>8874.370000000001</v>
      </c>
      <c r="M147" s="20" t="n">
        <v>12225.099</v>
      </c>
      <c r="N147" s="20" t="n">
        <v>10645</v>
      </c>
      <c r="V147" s="20" t="n">
        <v>8881.030000000001</v>
      </c>
      <c r="W147" s="20" t="n">
        <v>10181.223</v>
      </c>
      <c r="X147" s="20" t="n">
        <v>12225.099</v>
      </c>
    </row>
    <row r="148">
      <c r="A148" s="18" t="inlineStr">
        <is>
          <t>부문 · 계</t>
        </is>
      </c>
      <c r="C148" s="20" t="n">
        <v>4726.132</v>
      </c>
      <c r="D148" s="20" t="n">
        <v>4310.246</v>
      </c>
      <c r="E148" s="20" t="n">
        <v>5478.156</v>
      </c>
      <c r="F148" s="20" t="n">
        <v>3785.848</v>
      </c>
      <c r="G148" s="20" t="n">
        <v>3615.412</v>
      </c>
      <c r="H148" s="20" t="n">
        <v>3468.029</v>
      </c>
      <c r="I148" s="20" t="n">
        <v>4604.934</v>
      </c>
      <c r="J148" s="20" t="n">
        <v>2755</v>
      </c>
      <c r="K148" s="20" t="n">
        <v>3788.97</v>
      </c>
      <c r="L148" s="20" t="n">
        <v>3298.27</v>
      </c>
      <c r="M148" s="20" t="n">
        <v>4468.096</v>
      </c>
      <c r="N148" s="20" t="n">
        <v>2747</v>
      </c>
      <c r="V148" s="20" t="n">
        <v>5478.156</v>
      </c>
      <c r="W148" s="20" t="n">
        <v>4604.934</v>
      </c>
      <c r="X148" s="20" t="n">
        <v>4468.096</v>
      </c>
    </row>
    <row r="149">
      <c r="A149" s="18" t="inlineStr">
        <is>
          <t>보고부문 합계 · 계</t>
        </is>
      </c>
      <c r="C149" s="20" t="n">
        <v>12829.918</v>
      </c>
      <c r="D149" s="20" t="n">
        <v>11343.102</v>
      </c>
      <c r="E149" s="20" t="n">
        <v>14359.186</v>
      </c>
      <c r="F149" s="20" t="n">
        <v>11251.135</v>
      </c>
      <c r="G149" s="20" t="n">
        <v>12563.329</v>
      </c>
      <c r="H149" s="20" t="n">
        <v>12709.81</v>
      </c>
      <c r="I149" s="20" t="n">
        <v>14786.158</v>
      </c>
      <c r="J149" s="20" t="n">
        <v>10557</v>
      </c>
      <c r="K149" s="20" t="n">
        <v>12660.11</v>
      </c>
      <c r="L149" s="20" t="n">
        <v>12172.64</v>
      </c>
      <c r="M149" s="20" t="n">
        <v>16693.195</v>
      </c>
      <c r="N149" s="20" t="n">
        <v>13392</v>
      </c>
      <c r="V149" s="20" t="n">
        <v>14359.186</v>
      </c>
      <c r="W149" s="20" t="n">
        <v>14786.158</v>
      </c>
      <c r="X149" s="20" t="n">
        <v>16693.195</v>
      </c>
    </row>
    <row r="150">
      <c r="A150" s="18" t="inlineStr">
        <is>
          <t>조정액 · 계</t>
        </is>
      </c>
      <c r="C150" s="20" t="n">
        <v>-311.588</v>
      </c>
      <c r="D150" s="20" t="n">
        <v>-200.211</v>
      </c>
      <c r="E150" s="20" t="n">
        <v>-164.835</v>
      </c>
      <c r="F150" s="20" t="n">
        <v>-66.509</v>
      </c>
      <c r="G150" s="20" t="n">
        <v>-244.604</v>
      </c>
      <c r="H150" s="20" t="n">
        <v>-232.781</v>
      </c>
      <c r="I150" s="20" t="n">
        <v>-141.834</v>
      </c>
      <c r="J150" s="20" t="n">
        <v>-88</v>
      </c>
      <c r="K150" s="20" t="n">
        <v>-258.013</v>
      </c>
      <c r="L150" s="20" t="n">
        <v>-218.52</v>
      </c>
      <c r="M150" s="20" t="n">
        <v>-137.78</v>
      </c>
      <c r="N150" s="20" t="n">
        <v>-58</v>
      </c>
      <c r="V150" s="20" t="n">
        <v>-164.835</v>
      </c>
      <c r="W150" s="20" t="n">
        <v>-141.834</v>
      </c>
      <c r="X150" s="20" t="n">
        <v>-137.78</v>
      </c>
    </row>
    <row r="151">
      <c r="A151" s="9" t="inlineStr">
        <is>
          <t>계</t>
        </is>
      </c>
      <c r="C151" s="12" t="n">
        <v>12518.33</v>
      </c>
      <c r="D151" s="12" t="n">
        <v>11142.892</v>
      </c>
      <c r="E151" s="12" t="n">
        <v>14194.35</v>
      </c>
      <c r="F151" s="12" t="n">
        <v>11184.626</v>
      </c>
      <c r="G151" s="12" t="n">
        <v>12318.724</v>
      </c>
      <c r="H151" s="12" t="n">
        <v>12477.03</v>
      </c>
      <c r="I151" s="12" t="n">
        <v>14644.324</v>
      </c>
      <c r="J151" s="12" t="n">
        <v>10469</v>
      </c>
      <c r="K151" s="12" t="n">
        <v>12402.097</v>
      </c>
      <c r="L151" s="12" t="n">
        <v>11954.12</v>
      </c>
      <c r="M151" s="12" t="n">
        <v>16555.415</v>
      </c>
      <c r="N151" s="12" t="n">
        <v>13334</v>
      </c>
      <c r="V151" s="12" t="n">
        <v>14194.35</v>
      </c>
      <c r="W151" s="12" t="n">
        <v>14644.324</v>
      </c>
      <c r="X151" s="12" t="n">
        <v>16555.415</v>
      </c>
    </row>
    <row r="152">
      <c r="A152" s="18" t="inlineStr">
        <is>
          <t>부문 · 부문 이익(손실)</t>
        </is>
      </c>
      <c r="C152" s="20" t="n">
        <v>351.736</v>
      </c>
      <c r="D152" s="20" t="n">
        <v>-183.213</v>
      </c>
      <c r="E152" s="20" t="n">
        <v>464.872</v>
      </c>
      <c r="F152" s="20" t="n">
        <v>-86.81699999999999</v>
      </c>
      <c r="G152" s="20" t="n">
        <v>521.79</v>
      </c>
      <c r="H152" s="20" t="n">
        <v>299.378</v>
      </c>
      <c r="I152" s="20" t="n">
        <v>232.924</v>
      </c>
      <c r="J152" s="20" t="n">
        <v>177</v>
      </c>
      <c r="K152" s="20" t="n">
        <v>757.986</v>
      </c>
      <c r="L152" s="20" t="n">
        <v>245.039</v>
      </c>
      <c r="M152" s="20" t="n">
        <v>688.646</v>
      </c>
      <c r="N152" s="20" t="n">
        <v>530</v>
      </c>
      <c r="V152" s="20" t="n">
        <v>464.872</v>
      </c>
      <c r="W152" s="20" t="n">
        <v>232.924</v>
      </c>
      <c r="X152" s="20" t="n">
        <v>688.646</v>
      </c>
    </row>
    <row r="153">
      <c r="A153" s="18" t="inlineStr">
        <is>
          <t>부문 · 부문 이익(손실)</t>
        </is>
      </c>
      <c r="C153" s="20" t="n">
        <v>83.911</v>
      </c>
      <c r="D153" s="20" t="n">
        <v>86.402</v>
      </c>
      <c r="E153" s="20" t="n">
        <v>503.908</v>
      </c>
      <c r="F153" s="20" t="n">
        <v>-188.763</v>
      </c>
      <c r="G153" s="20" t="n">
        <v>-101.263</v>
      </c>
      <c r="H153" s="20" t="n">
        <v>-115.966</v>
      </c>
      <c r="I153" s="20" t="n">
        <v>-193.605</v>
      </c>
      <c r="J153" s="20" t="n">
        <v>-157</v>
      </c>
      <c r="K153" s="20" t="n">
        <v>120.573</v>
      </c>
      <c r="L153" s="20" t="n">
        <v>117.548</v>
      </c>
      <c r="M153" s="20" t="n">
        <v>380.188</v>
      </c>
      <c r="N153" s="20" t="n">
        <v>-27</v>
      </c>
      <c r="V153" s="20" t="n">
        <v>503.908</v>
      </c>
      <c r="W153" s="20" t="n">
        <v>-193.605</v>
      </c>
      <c r="X153" s="20" t="n">
        <v>380.188</v>
      </c>
    </row>
    <row r="154">
      <c r="A154" s="18" t="inlineStr">
        <is>
          <t>보고부문 합계 · 부문 이익(손실)</t>
        </is>
      </c>
      <c r="C154" s="20" t="n">
        <v>435.645</v>
      </c>
      <c r="D154" s="20" t="n">
        <v>-96.81</v>
      </c>
      <c r="E154" s="20" t="n">
        <v>968.7809999999999</v>
      </c>
      <c r="F154" s="20" t="n">
        <v>-275.58</v>
      </c>
      <c r="G154" s="20" t="n">
        <v>420.526</v>
      </c>
      <c r="H154" s="20" t="n">
        <v>183.412</v>
      </c>
      <c r="I154" s="20" t="n">
        <v>39.319</v>
      </c>
      <c r="J154" s="20" t="n">
        <v>20</v>
      </c>
      <c r="K154" s="20" t="n">
        <v>878.559</v>
      </c>
      <c r="L154" s="20" t="n">
        <v>362.587</v>
      </c>
      <c r="M154" s="20" t="n">
        <v>1068.835</v>
      </c>
      <c r="N154" s="20" t="n">
        <v>502</v>
      </c>
      <c r="V154" s="20" t="n">
        <v>968.7809999999999</v>
      </c>
      <c r="W154" s="20" t="n">
        <v>39.319</v>
      </c>
      <c r="X154" s="20" t="n">
        <v>1068.835</v>
      </c>
    </row>
    <row r="155">
      <c r="A155" s="18" t="inlineStr">
        <is>
          <t>조정액 · 부문 이익(손실)</t>
        </is>
      </c>
      <c r="C155" s="20" t="n">
        <v>-4.948</v>
      </c>
      <c r="D155" s="20" t="n">
        <v>-3.77</v>
      </c>
      <c r="E155" s="20" t="n">
        <v>7.379</v>
      </c>
      <c r="F155" s="20" t="n">
        <v>0.161</v>
      </c>
      <c r="G155" s="20" t="n">
        <v>3.228</v>
      </c>
      <c r="H155" s="20" t="n">
        <v>-1.629</v>
      </c>
      <c r="I155" s="20" t="n">
        <v>4.207</v>
      </c>
      <c r="J155" s="20" t="n">
        <v>1</v>
      </c>
      <c r="K155" s="20" t="n">
        <v>-8.362</v>
      </c>
      <c r="L155" s="20" t="n">
        <v>7.633</v>
      </c>
      <c r="M155" s="20" t="n">
        <v>1.862</v>
      </c>
      <c r="N155" s="20" t="n">
        <v>-1</v>
      </c>
      <c r="V155" s="20" t="n">
        <v>7.379</v>
      </c>
      <c r="W155" s="20" t="n">
        <v>4.207</v>
      </c>
      <c r="X155" s="20" t="n">
        <v>1.862</v>
      </c>
    </row>
    <row r="156">
      <c r="A156" s="9" t="inlineStr">
        <is>
          <t>부문 이익(손실)</t>
        </is>
      </c>
      <c r="C156" s="12" t="n">
        <v>430.697</v>
      </c>
      <c r="D156" s="12" t="n">
        <v>-100.58</v>
      </c>
      <c r="E156" s="12" t="n">
        <v>976.159</v>
      </c>
      <c r="F156" s="12" t="n">
        <v>-275.419</v>
      </c>
      <c r="G156" s="12" t="n">
        <v>423.755</v>
      </c>
      <c r="H156" s="12" t="n">
        <v>181.782</v>
      </c>
      <c r="I156" s="12" t="n">
        <v>43.527</v>
      </c>
      <c r="J156" s="12" t="n">
        <v>21</v>
      </c>
      <c r="K156" s="12" t="n">
        <v>870.196</v>
      </c>
      <c r="L156" s="12" t="n">
        <v>370.222</v>
      </c>
      <c r="M156" s="12" t="n">
        <v>1070.697</v>
      </c>
      <c r="N156" s="12" t="n">
        <v>501</v>
      </c>
      <c r="V156" s="12" t="n">
        <v>976.159</v>
      </c>
      <c r="W156" s="12" t="n">
        <v>43.527</v>
      </c>
      <c r="X156" s="12" t="n">
        <v>1070.697</v>
      </c>
    </row>
    <row r="158">
      <c r="A158" s="16" t="inlineStr">
        <is>
          <t>현금흐름표 · 전 항목</t>
        </is>
      </c>
      <c r="B158" s="42" t="inlineStr">
        <is>
          <t>분기 = 결산기 첫날부터 누계(공시 그대로)</t>
        </is>
      </c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</row>
    <row r="159">
      <c r="A159" s="5" t="inlineStr">
        <is>
          <t>항목</t>
        </is>
      </c>
      <c r="B159" s="5" t="inlineStr">
        <is>
          <t>참고</t>
        </is>
      </c>
      <c r="C159" s="5" t="inlineStr">
        <is>
          <t>2024.2Q</t>
        </is>
      </c>
      <c r="D159" s="5" t="inlineStr">
        <is>
          <t>2024.3Q</t>
        </is>
      </c>
      <c r="E159" s="5" t="inlineStr">
        <is>
          <t>2024.4Q</t>
        </is>
      </c>
      <c r="F159" s="5" t="inlineStr">
        <is>
          <t>2025.1Q</t>
        </is>
      </c>
      <c r="G159" s="5" t="inlineStr">
        <is>
          <t>2025.2Q</t>
        </is>
      </c>
      <c r="H159" s="5" t="inlineStr">
        <is>
          <t>2025.3Q</t>
        </is>
      </c>
      <c r="I159" s="5" t="inlineStr">
        <is>
          <t>2025.4Q</t>
        </is>
      </c>
      <c r="J159" s="5" t="inlineStr">
        <is>
          <t>2026.1Q</t>
        </is>
      </c>
      <c r="K159" s="5" t="inlineStr">
        <is>
          <t>2026.2Q</t>
        </is>
      </c>
      <c r="L159" s="5" t="inlineStr">
        <is>
          <t>2026.3Q</t>
        </is>
      </c>
      <c r="M159" s="5" t="inlineStr">
        <is>
          <t>2026.4Q</t>
        </is>
      </c>
      <c r="N159" s="5" t="inlineStr">
        <is>
          <t>2027.1Q</t>
        </is>
      </c>
      <c r="O159" s="5" t="inlineStr">
        <is>
          <t>2017</t>
        </is>
      </c>
      <c r="P159" s="5" t="inlineStr">
        <is>
          <t>2018</t>
        </is>
      </c>
      <c r="Q159" s="5" t="inlineStr">
        <is>
          <t>2019</t>
        </is>
      </c>
      <c r="R159" s="5" t="inlineStr">
        <is>
          <t>2020</t>
        </is>
      </c>
      <c r="S159" s="5" t="inlineStr">
        <is>
          <t>2021</t>
        </is>
      </c>
      <c r="T159" s="5" t="inlineStr">
        <is>
          <t>2022</t>
        </is>
      </c>
      <c r="U159" s="5" t="inlineStr">
        <is>
          <t>2023</t>
        </is>
      </c>
      <c r="V159" s="5" t="inlineStr">
        <is>
          <t>2024</t>
        </is>
      </c>
      <c r="W159" s="5" t="inlineStr">
        <is>
          <t>2025</t>
        </is>
      </c>
      <c r="X159" s="5" t="inlineStr">
        <is>
          <t>2026</t>
        </is>
      </c>
      <c r="Y159" s="5" t="inlineStr">
        <is>
          <t>2027(MW)</t>
        </is>
      </c>
      <c r="Z159" s="5" t="inlineStr">
        <is>
          <t>2028(MW)</t>
        </is>
      </c>
      <c r="AA159" s="5" t="inlineStr">
        <is>
          <t>2029(MW)</t>
        </is>
      </c>
      <c r="AB159" s="5" t="inlineStr">
        <is>
          <t>2030(MW)</t>
        </is>
      </c>
      <c r="AC159" s="5" t="inlineStr">
        <is>
          <t>2031(MW)</t>
        </is>
      </c>
    </row>
    <row r="160">
      <c r="A160" s="9" t="inlineStr">
        <is>
          <t>법인세차감전 중간순이익(손실)</t>
        </is>
      </c>
      <c r="C160" s="12" t="n">
        <v>472.22</v>
      </c>
      <c r="E160" s="12" t="n">
        <v>1402.489</v>
      </c>
      <c r="G160" s="12" t="n">
        <v>-6.576</v>
      </c>
      <c r="I160" s="12" t="n">
        <v>-199.079</v>
      </c>
      <c r="K160" s="12" t="n">
        <v>798.393</v>
      </c>
      <c r="M160" s="12" t="n">
        <v>3199.601</v>
      </c>
      <c r="O160" s="12" t="n">
        <v>239.208</v>
      </c>
      <c r="P160" s="12" t="n">
        <v>986.362</v>
      </c>
      <c r="Q160" s="12" t="n">
        <v>721.9690000000001</v>
      </c>
      <c r="R160" s="12" t="n">
        <v>1588.069</v>
      </c>
      <c r="S160" s="12" t="n">
        <v>2671.743</v>
      </c>
      <c r="T160" s="12" t="n">
        <v>969.9349999999999</v>
      </c>
      <c r="U160" s="12" t="n">
        <v>-770.404</v>
      </c>
      <c r="V160" s="12" t="n">
        <v>1402.489</v>
      </c>
      <c r="W160" s="12" t="n">
        <v>-199.079</v>
      </c>
      <c r="X160" s="12" t="n">
        <v>3199.601</v>
      </c>
    </row>
    <row r="161">
      <c r="A161" s="18" t="inlineStr">
        <is>
          <t>감가상각비</t>
        </is>
      </c>
      <c r="C161" s="20" t="n">
        <v>448.073</v>
      </c>
      <c r="E161" s="20" t="n">
        <v>916.699</v>
      </c>
      <c r="G161" s="20" t="n">
        <v>480.047</v>
      </c>
      <c r="I161" s="20" t="n">
        <v>986.461</v>
      </c>
      <c r="K161" s="20" t="n">
        <v>465.756</v>
      </c>
      <c r="M161" s="20" t="n">
        <v>931.3049999999999</v>
      </c>
      <c r="O161" s="20" t="n">
        <v>616.159</v>
      </c>
      <c r="P161" s="20" t="n">
        <v>395.248</v>
      </c>
      <c r="Q161" s="20" t="n">
        <v>333.286</v>
      </c>
      <c r="R161" s="20" t="n">
        <v>429.721</v>
      </c>
      <c r="S161" s="20" t="n">
        <v>464.608</v>
      </c>
      <c r="T161" s="20" t="n">
        <v>713.279</v>
      </c>
      <c r="U161" s="20" t="n">
        <v>899.273</v>
      </c>
      <c r="V161" s="20" t="n">
        <v>916.699</v>
      </c>
      <c r="W161" s="20" t="n">
        <v>986.461</v>
      </c>
      <c r="X161" s="20" t="n">
        <v>931.3049999999999</v>
      </c>
    </row>
    <row r="162">
      <c r="A162" s="18" t="inlineStr">
        <is>
          <t>신주예약권 환입이익</t>
        </is>
      </c>
      <c r="O162" s="20" t="n">
        <v>-13.64</v>
      </c>
      <c r="P162" s="20" t="n">
        <v>0</v>
      </c>
    </row>
    <row r="163">
      <c r="A163" s="18" t="inlineStr">
        <is>
          <t>손상차손</t>
        </is>
      </c>
      <c r="E163" s="20" t="n">
        <v>71.143</v>
      </c>
      <c r="G163" s="20" t="n">
        <v>0</v>
      </c>
      <c r="I163" s="20" t="n">
        <v>201.146</v>
      </c>
      <c r="K163" s="20" t="n">
        <v>74.764</v>
      </c>
      <c r="M163" s="20" t="n">
        <v>112.664</v>
      </c>
      <c r="O163" s="20" t="n">
        <v>113.642</v>
      </c>
      <c r="P163" s="20" t="n">
        <v>227.926</v>
      </c>
      <c r="Q163" s="20" t="n">
        <v>374.453</v>
      </c>
      <c r="R163" s="20" t="n">
        <v>0</v>
      </c>
      <c r="T163" s="20" t="n">
        <v>0</v>
      </c>
      <c r="U163" s="20" t="n">
        <v>483.278</v>
      </c>
      <c r="V163" s="20" t="n">
        <v>71.143</v>
      </c>
      <c r="W163" s="20" t="n">
        <v>201.146</v>
      </c>
      <c r="X163" s="20" t="n">
        <v>112.664</v>
      </c>
    </row>
    <row r="164">
      <c r="A164" s="18" t="inlineStr">
        <is>
          <t>특별퇴직금</t>
        </is>
      </c>
      <c r="O164" s="20" t="n">
        <v>39.092</v>
      </c>
      <c r="P164" s="20" t="n">
        <v>0</v>
      </c>
    </row>
    <row r="165">
      <c r="A165" s="18" t="inlineStr">
        <is>
          <t>영업권 상각</t>
        </is>
      </c>
      <c r="C165" s="20" t="n">
        <v>265.367</v>
      </c>
      <c r="E165" s="20" t="n">
        <v>523.1130000000001</v>
      </c>
      <c r="G165" s="20" t="n">
        <v>229.592</v>
      </c>
      <c r="I165" s="20" t="n">
        <v>466.459</v>
      </c>
      <c r="K165" s="20" t="n">
        <v>207.379</v>
      </c>
      <c r="M165" s="20" t="n">
        <v>370.678</v>
      </c>
      <c r="P165" s="20" t="n">
        <v>0</v>
      </c>
      <c r="Q165" s="20" t="n">
        <v>64.324</v>
      </c>
      <c r="R165" s="20" t="n">
        <v>212.351</v>
      </c>
      <c r="S165" s="20" t="n">
        <v>312.417</v>
      </c>
      <c r="T165" s="20" t="n">
        <v>604.65</v>
      </c>
      <c r="U165" s="20" t="n">
        <v>728.771</v>
      </c>
      <c r="V165" s="20" t="n">
        <v>523.1130000000001</v>
      </c>
      <c r="W165" s="20" t="n">
        <v>466.459</v>
      </c>
      <c r="X165" s="20" t="n">
        <v>370.678</v>
      </c>
    </row>
    <row r="166">
      <c r="A166" s="18" t="inlineStr">
        <is>
          <t>부의 영업권 발생이익</t>
        </is>
      </c>
      <c r="E166" s="20" t="n">
        <v>0</v>
      </c>
      <c r="T166" s="20" t="n">
        <v>0</v>
      </c>
      <c r="U166" s="20" t="n">
        <v>-116.692</v>
      </c>
      <c r="V166" s="20" t="n">
        <v>0</v>
      </c>
    </row>
    <row r="167">
      <c r="A167" s="18" t="inlineStr">
        <is>
          <t>상여충당금 증감</t>
        </is>
      </c>
      <c r="C167" s="20" t="n">
        <v>-20.118</v>
      </c>
      <c r="E167" s="20" t="n">
        <v>11.613</v>
      </c>
      <c r="G167" s="20" t="n">
        <v>-6.39</v>
      </c>
      <c r="I167" s="20" t="n">
        <v>33.932</v>
      </c>
      <c r="K167" s="20" t="n">
        <v>51.767</v>
      </c>
      <c r="M167" s="20" t="n">
        <v>85.303</v>
      </c>
      <c r="O167" s="20" t="n">
        <v>107.695</v>
      </c>
      <c r="P167" s="20" t="n">
        <v>69.038</v>
      </c>
      <c r="Q167" s="20" t="n">
        <v>-20.133</v>
      </c>
      <c r="R167" s="20" t="n">
        <v>39.956</v>
      </c>
      <c r="S167" s="20" t="n">
        <v>-81.30500000000001</v>
      </c>
      <c r="T167" s="20" t="n">
        <v>-43.599</v>
      </c>
      <c r="U167" s="20" t="n">
        <v>11.823</v>
      </c>
      <c r="V167" s="20" t="n">
        <v>11.613</v>
      </c>
      <c r="W167" s="20" t="n">
        <v>33.932</v>
      </c>
      <c r="X167" s="20" t="n">
        <v>85.303</v>
      </c>
    </row>
    <row r="168">
      <c r="A168" s="18" t="inlineStr">
        <is>
          <t>퇴직급여부채 증감</t>
        </is>
      </c>
      <c r="C168" s="20" t="n">
        <v>2.353</v>
      </c>
      <c r="E168" s="20" t="n">
        <v>-44.103</v>
      </c>
      <c r="G168" s="20" t="n">
        <v>-0.679</v>
      </c>
      <c r="I168" s="20" t="n">
        <v>-6.225</v>
      </c>
      <c r="K168" s="20" t="n">
        <v>-4.755</v>
      </c>
      <c r="M168" s="20" t="n">
        <v>-2.074</v>
      </c>
      <c r="O168" s="20" t="n">
        <v>-255.222</v>
      </c>
      <c r="P168" s="20" t="n">
        <v>-168.213</v>
      </c>
      <c r="Q168" s="20" t="n">
        <v>-121.404</v>
      </c>
      <c r="R168" s="20" t="n">
        <v>-105.508</v>
      </c>
      <c r="S168" s="20" t="n">
        <v>-88.2</v>
      </c>
      <c r="T168" s="20" t="n">
        <v>-212.614</v>
      </c>
      <c r="U168" s="20" t="n">
        <v>-84.126</v>
      </c>
      <c r="V168" s="20" t="n">
        <v>-44.103</v>
      </c>
      <c r="W168" s="20" t="n">
        <v>-6.225</v>
      </c>
      <c r="X168" s="20" t="n">
        <v>-2.074</v>
      </c>
    </row>
    <row r="169">
      <c r="A169" s="18" t="inlineStr">
        <is>
          <t>대손충당금 증감</t>
        </is>
      </c>
      <c r="C169" s="20" t="n">
        <v>-16.715</v>
      </c>
      <c r="E169" s="20" t="n">
        <v>-15.894</v>
      </c>
      <c r="G169" s="20" t="n">
        <v>-11.554</v>
      </c>
      <c r="I169" s="20" t="n">
        <v>65.053</v>
      </c>
      <c r="K169" s="20" t="n">
        <v>-18.307</v>
      </c>
      <c r="M169" s="20" t="n">
        <v>-79.911</v>
      </c>
      <c r="O169" s="20" t="n">
        <v>25.135</v>
      </c>
      <c r="P169" s="20" t="n">
        <v>5.295</v>
      </c>
      <c r="Q169" s="20" t="n">
        <v>28.511</v>
      </c>
      <c r="R169" s="20" t="n">
        <v>-9.696</v>
      </c>
      <c r="S169" s="20" t="n">
        <v>-84.983</v>
      </c>
      <c r="T169" s="20" t="n">
        <v>48.405</v>
      </c>
      <c r="U169" s="20" t="n">
        <v>17.902</v>
      </c>
      <c r="V169" s="20" t="n">
        <v>-15.894</v>
      </c>
      <c r="W169" s="20" t="n">
        <v>65.053</v>
      </c>
      <c r="X169" s="20" t="n">
        <v>-79.911</v>
      </c>
    </row>
    <row r="170">
      <c r="A170" s="18" t="inlineStr">
        <is>
          <t>이자·배당금 수익</t>
        </is>
      </c>
      <c r="C170" s="20" t="n">
        <v>-3.695</v>
      </c>
      <c r="E170" s="20" t="n">
        <v>-31.554</v>
      </c>
      <c r="G170" s="20" t="n">
        <v>-16.326</v>
      </c>
      <c r="I170" s="20" t="n">
        <v>-22.733</v>
      </c>
      <c r="K170" s="20" t="n">
        <v>-64.688</v>
      </c>
      <c r="M170" s="20" t="n">
        <v>-45.454</v>
      </c>
      <c r="O170" s="20" t="n">
        <v>-8.013999999999999</v>
      </c>
      <c r="P170" s="20" t="n">
        <v>-6.568</v>
      </c>
      <c r="Q170" s="20" t="n">
        <v>-9.568</v>
      </c>
      <c r="R170" s="20" t="n">
        <v>-4.783</v>
      </c>
      <c r="S170" s="20" t="n">
        <v>-24.706</v>
      </c>
      <c r="T170" s="20" t="n">
        <v>-40.32</v>
      </c>
      <c r="U170" s="20" t="n">
        <v>-67.672</v>
      </c>
      <c r="V170" s="20" t="n">
        <v>-31.554</v>
      </c>
      <c r="W170" s="20" t="n">
        <v>-22.733</v>
      </c>
      <c r="X170" s="20" t="n">
        <v>-45.454</v>
      </c>
    </row>
    <row r="171">
      <c r="A171" s="18" t="inlineStr">
        <is>
          <t>보조금 수입</t>
        </is>
      </c>
      <c r="C171" s="20" t="n">
        <v>-9.692</v>
      </c>
      <c r="E171" s="20" t="n">
        <v>-17.737</v>
      </c>
      <c r="G171" s="20" t="n">
        <v>-7.352</v>
      </c>
      <c r="I171" s="20" t="n">
        <v>-18.951</v>
      </c>
      <c r="K171" s="20" t="n">
        <v>-8.702999999999999</v>
      </c>
      <c r="M171" s="20" t="n">
        <v>-16.274</v>
      </c>
      <c r="R171" s="20" t="n">
        <v>0</v>
      </c>
      <c r="S171" s="20" t="n">
        <v>-33.243</v>
      </c>
      <c r="T171" s="20" t="n">
        <v>-59.737</v>
      </c>
      <c r="U171" s="20" t="n">
        <v>-39.982</v>
      </c>
      <c r="V171" s="20" t="n">
        <v>-17.737</v>
      </c>
      <c r="W171" s="20" t="n">
        <v>-18.951</v>
      </c>
      <c r="X171" s="20" t="n">
        <v>-16.274</v>
      </c>
    </row>
    <row r="172">
      <c r="A172" s="18" t="inlineStr">
        <is>
          <t>이전 보상금</t>
        </is>
      </c>
      <c r="R172" s="20" t="n">
        <v>0</v>
      </c>
      <c r="S172" s="20" t="n">
        <v>-89.19499999999999</v>
      </c>
      <c r="T172" s="20" t="n">
        <v>0</v>
      </c>
    </row>
    <row r="173">
      <c r="A173" s="18" t="inlineStr">
        <is>
          <t>보험금 수익</t>
        </is>
      </c>
      <c r="C173" s="20" t="n">
        <v>-7.837</v>
      </c>
      <c r="E173" s="20" t="n">
        <v>-81.75700000000001</v>
      </c>
      <c r="G173" s="20" t="n">
        <v>-32.561</v>
      </c>
      <c r="I173" s="20" t="n">
        <v>-84.402</v>
      </c>
      <c r="K173" s="20" t="n">
        <v>-54.628</v>
      </c>
      <c r="M173" s="20" t="n">
        <v>-89.21899999999999</v>
      </c>
      <c r="U173" s="20" t="n">
        <v>-16.765</v>
      </c>
      <c r="V173" s="20" t="n">
        <v>-81.75700000000001</v>
      </c>
      <c r="W173" s="20" t="n">
        <v>-84.402</v>
      </c>
      <c r="X173" s="20" t="n">
        <v>-89.21899999999999</v>
      </c>
    </row>
    <row r="174">
      <c r="A174" s="18" t="inlineStr">
        <is>
          <t>관계회사 청산손익</t>
        </is>
      </c>
      <c r="C174" s="20" t="n">
        <v>0</v>
      </c>
      <c r="E174" s="20" t="n">
        <v>-40.107</v>
      </c>
      <c r="G174" s="20" t="n">
        <v>0</v>
      </c>
      <c r="I174" s="20" t="n">
        <v>0</v>
      </c>
      <c r="K174" s="20" t="n">
        <v>60.64</v>
      </c>
      <c r="M174" s="20" t="n">
        <v>16.652</v>
      </c>
      <c r="T174" s="20" t="n">
        <v>0</v>
      </c>
      <c r="U174" s="20" t="n">
        <v>-7.874</v>
      </c>
      <c r="V174" s="20" t="n">
        <v>-40.107</v>
      </c>
      <c r="W174" s="20" t="n">
        <v>0</v>
      </c>
      <c r="X174" s="20" t="n">
        <v>16.652</v>
      </c>
    </row>
    <row r="175">
      <c r="A175" s="18" t="inlineStr">
        <is>
          <t>이자비용</t>
        </is>
      </c>
      <c r="C175" s="20" t="n">
        <v>42.21</v>
      </c>
      <c r="E175" s="20" t="n">
        <v>106.47</v>
      </c>
      <c r="G175" s="20" t="n">
        <v>68.47</v>
      </c>
      <c r="I175" s="20" t="n">
        <v>161.513</v>
      </c>
      <c r="K175" s="20" t="n">
        <v>110.228</v>
      </c>
      <c r="M175" s="20" t="n">
        <v>201.41</v>
      </c>
      <c r="O175" s="20" t="n">
        <v>56.05</v>
      </c>
      <c r="P175" s="20" t="n">
        <v>45.357</v>
      </c>
      <c r="Q175" s="20" t="n">
        <v>42.302</v>
      </c>
      <c r="R175" s="20" t="n">
        <v>40.777</v>
      </c>
      <c r="S175" s="20" t="n">
        <v>50.25</v>
      </c>
      <c r="T175" s="20" t="n">
        <v>85.545</v>
      </c>
      <c r="U175" s="20" t="n">
        <v>76.23099999999999</v>
      </c>
      <c r="V175" s="20" t="n">
        <v>106.47</v>
      </c>
      <c r="W175" s="20" t="n">
        <v>161.513</v>
      </c>
      <c r="X175" s="20" t="n">
        <v>201.41</v>
      </c>
    </row>
    <row r="176">
      <c r="A176" s="18" t="inlineStr">
        <is>
          <t>외환차손익</t>
        </is>
      </c>
      <c r="C176" s="20" t="n">
        <v>-275.701</v>
      </c>
      <c r="E176" s="20" t="n">
        <v>-304.442</v>
      </c>
      <c r="G176" s="20" t="n">
        <v>174.374</v>
      </c>
      <c r="I176" s="20" t="n">
        <v>39.096</v>
      </c>
      <c r="K176" s="20" t="n">
        <v>19.958</v>
      </c>
      <c r="M176" s="20" t="n">
        <v>-262.578</v>
      </c>
      <c r="U176" s="20" t="n">
        <v>-60.286</v>
      </c>
      <c r="V176" s="20" t="n">
        <v>-304.442</v>
      </c>
      <c r="W176" s="20" t="n">
        <v>39.096</v>
      </c>
      <c r="X176" s="20" t="n">
        <v>-262.578</v>
      </c>
    </row>
    <row r="177">
      <c r="A177" s="18" t="inlineStr">
        <is>
          <t>신디케이트론 수수료</t>
        </is>
      </c>
      <c r="E177" s="20" t="n">
        <v>1</v>
      </c>
      <c r="I177" s="20" t="n">
        <v>1</v>
      </c>
      <c r="R177" s="20" t="n">
        <v>0</v>
      </c>
      <c r="S177" s="20" t="n">
        <v>37</v>
      </c>
      <c r="T177" s="20" t="n">
        <v>1</v>
      </c>
      <c r="U177" s="20" t="n">
        <v>1</v>
      </c>
      <c r="V177" s="20" t="n">
        <v>1</v>
      </c>
      <c r="W177" s="20" t="n">
        <v>1</v>
      </c>
    </row>
    <row r="178">
      <c r="A178" s="18" t="inlineStr">
        <is>
          <t>지급수수료</t>
        </is>
      </c>
      <c r="E178" s="20" t="n">
        <v>5.25</v>
      </c>
      <c r="I178" s="20" t="n">
        <v>0</v>
      </c>
      <c r="U178" s="20" t="n">
        <v>0</v>
      </c>
      <c r="V178" s="20" t="n">
        <v>5.25</v>
      </c>
      <c r="W178" s="20" t="n">
        <v>0</v>
      </c>
    </row>
    <row r="179">
      <c r="A179" s="18" t="inlineStr">
        <is>
          <t>투자유가증권 매각손익</t>
        </is>
      </c>
      <c r="C179" s="20" t="n">
        <v>0</v>
      </c>
      <c r="E179" s="20" t="n">
        <v>0</v>
      </c>
      <c r="I179" s="20" t="n">
        <v>-0.706</v>
      </c>
      <c r="O179" s="20" t="n">
        <v>-0.396</v>
      </c>
      <c r="P179" s="20" t="n">
        <v>-77.80500000000001</v>
      </c>
      <c r="Q179" s="20" t="n">
        <v>-0.177</v>
      </c>
      <c r="R179" s="20" t="n">
        <v>-0.05</v>
      </c>
      <c r="S179" s="20" t="n">
        <v>-0.026</v>
      </c>
      <c r="T179" s="20" t="n">
        <v>-5.587</v>
      </c>
      <c r="U179" s="20" t="n">
        <v>-29.792</v>
      </c>
      <c r="V179" s="20" t="n">
        <v>0</v>
      </c>
      <c r="W179" s="20" t="n">
        <v>-0.706</v>
      </c>
    </row>
    <row r="180">
      <c r="A180" s="18" t="inlineStr">
        <is>
          <t>투자유가증권 평가손익</t>
        </is>
      </c>
      <c r="P180" s="20" t="n">
        <v>0</v>
      </c>
      <c r="Q180" s="20" t="n">
        <v>4.662</v>
      </c>
      <c r="R180" s="20" t="n">
        <v>0</v>
      </c>
    </row>
    <row r="181">
      <c r="A181" s="18" t="inlineStr">
        <is>
          <t>고정자산 제각손실</t>
        </is>
      </c>
      <c r="C181" s="20" t="n">
        <v>7.08</v>
      </c>
      <c r="E181" s="20" t="n">
        <v>11.481</v>
      </c>
      <c r="G181" s="20" t="n">
        <v>1.124</v>
      </c>
      <c r="I181" s="20" t="n">
        <v>4.661</v>
      </c>
      <c r="K181" s="20" t="n">
        <v>10.346</v>
      </c>
      <c r="O181" s="20" t="n">
        <v>0.949</v>
      </c>
      <c r="P181" s="20" t="n">
        <v>12.19</v>
      </c>
      <c r="Q181" s="20" t="n">
        <v>5.002</v>
      </c>
      <c r="R181" s="20" t="n">
        <v>10.215</v>
      </c>
      <c r="S181" s="20" t="n">
        <v>6.81</v>
      </c>
      <c r="T181" s="20" t="n">
        <v>9.464</v>
      </c>
      <c r="U181" s="20" t="n">
        <v>14.667</v>
      </c>
      <c r="V181" s="20" t="n">
        <v>11.481</v>
      </c>
      <c r="W181" s="20" t="n">
        <v>4.661</v>
      </c>
    </row>
    <row r="182">
      <c r="A182" s="18" t="inlineStr">
        <is>
          <t>고정자산 매각손익</t>
        </is>
      </c>
      <c r="C182" s="20" t="n">
        <v>-0.623</v>
      </c>
      <c r="E182" s="20" t="n">
        <v>-1.543</v>
      </c>
      <c r="G182" s="20" t="n">
        <v>-2.418</v>
      </c>
      <c r="I182" s="20" t="n">
        <v>-23.13</v>
      </c>
      <c r="O182" s="20" t="n">
        <v>-9.848000000000001</v>
      </c>
      <c r="P182" s="20" t="n">
        <v>-3.005</v>
      </c>
      <c r="Q182" s="20" t="n">
        <v>-0.704</v>
      </c>
      <c r="R182" s="20" t="n">
        <v>-217.248</v>
      </c>
      <c r="S182" s="20" t="n">
        <v>-59.189</v>
      </c>
      <c r="T182" s="20" t="n">
        <v>-5.537</v>
      </c>
      <c r="U182" s="20" t="n">
        <v>-7.67</v>
      </c>
      <c r="V182" s="20" t="n">
        <v>-1.543</v>
      </c>
      <c r="W182" s="20" t="n">
        <v>-23.13</v>
      </c>
    </row>
    <row r="183">
      <c r="A183" s="18" t="inlineStr">
        <is>
          <t>관계회사 주식 매각손익</t>
        </is>
      </c>
      <c r="O183" s="20" t="n">
        <v>0</v>
      </c>
      <c r="P183" s="20" t="n">
        <v>3.744</v>
      </c>
      <c r="Q183" s="20" t="n">
        <v>0</v>
      </c>
    </row>
    <row r="184">
      <c r="A184" s="18" t="inlineStr">
        <is>
          <t>환산조정 환입이익</t>
        </is>
      </c>
      <c r="O184" s="20" t="n">
        <v>0</v>
      </c>
      <c r="P184" s="20" t="n">
        <v>-52.267</v>
      </c>
    </row>
    <row r="185">
      <c r="A185" s="18" t="inlineStr">
        <is>
          <t>환산조정 환입이익</t>
        </is>
      </c>
      <c r="P185" s="20" t="n">
        <v>-52.267</v>
      </c>
      <c r="Q185" s="20" t="n">
        <v>0</v>
      </c>
    </row>
    <row r="186">
      <c r="A186" s="18" t="inlineStr">
        <is>
          <t>매출채권 증감</t>
        </is>
      </c>
      <c r="C186" s="20" t="n">
        <v>2709.259</v>
      </c>
      <c r="E186" s="20" t="n">
        <v>1801.491</v>
      </c>
      <c r="G186" s="20" t="n">
        <v>1481.193</v>
      </c>
      <c r="I186" s="20" t="n">
        <v>-1414.858</v>
      </c>
      <c r="K186" s="20" t="n">
        <v>3095.574</v>
      </c>
      <c r="O186" s="20" t="n">
        <v>-204.593</v>
      </c>
      <c r="P186" s="20" t="n">
        <v>-115.025</v>
      </c>
      <c r="Q186" s="20" t="n">
        <v>-542.942</v>
      </c>
      <c r="R186" s="20" t="n">
        <v>853.122</v>
      </c>
      <c r="S186" s="20" t="n">
        <v>-2267.814</v>
      </c>
      <c r="T186" s="20" t="n">
        <v>1372.689</v>
      </c>
      <c r="U186" s="20" t="n">
        <v>-3457.694</v>
      </c>
      <c r="V186" s="20" t="n">
        <v>1801.491</v>
      </c>
      <c r="W186" s="20" t="n">
        <v>-1414.858</v>
      </c>
    </row>
    <row r="187">
      <c r="A187" s="18" t="inlineStr">
        <is>
          <t>지분법손익</t>
        </is>
      </c>
      <c r="I187" s="20" t="n">
        <v>0</v>
      </c>
      <c r="M187" s="20" t="n">
        <v>-17.378</v>
      </c>
      <c r="O187" s="20" t="n">
        <v>-2.554</v>
      </c>
      <c r="P187" s="20" t="n">
        <v>-7.736</v>
      </c>
      <c r="Q187" s="20" t="n">
        <v>13.489</v>
      </c>
      <c r="R187" s="20" t="n">
        <v>-17.768</v>
      </c>
      <c r="S187" s="20" t="n">
        <v>-29.133</v>
      </c>
      <c r="T187" s="20" t="n">
        <v>3.896</v>
      </c>
      <c r="U187" s="20" t="n">
        <v>0</v>
      </c>
      <c r="W187" s="20" t="n">
        <v>0</v>
      </c>
      <c r="X187" s="20" t="n">
        <v>-17.378</v>
      </c>
    </row>
    <row r="188">
      <c r="A188" s="18" t="inlineStr">
        <is>
          <t>Loss On Valuation Of Software Ope CF</t>
        </is>
      </c>
      <c r="E188" s="20" t="n">
        <v>0</v>
      </c>
      <c r="I188" s="20" t="n">
        <v>423.167</v>
      </c>
      <c r="M188" s="20" t="n">
        <v>0</v>
      </c>
      <c r="V188" s="20" t="n">
        <v>0</v>
      </c>
      <c r="W188" s="20" t="n">
        <v>423.167</v>
      </c>
      <c r="X188" s="20" t="n">
        <v>0</v>
      </c>
    </row>
    <row r="189">
      <c r="A189" s="18" t="inlineStr">
        <is>
          <t>관계회사 주식 평가손실</t>
        </is>
      </c>
      <c r="E189" s="20" t="n">
        <v>43</v>
      </c>
      <c r="I189" s="20" t="n">
        <v>32.212</v>
      </c>
      <c r="M189" s="20" t="n">
        <v>56.515</v>
      </c>
      <c r="U189" s="20" t="n">
        <v>0</v>
      </c>
      <c r="V189" s="20" t="n">
        <v>43</v>
      </c>
      <c r="W189" s="20" t="n">
        <v>32.212</v>
      </c>
      <c r="X189" s="20" t="n">
        <v>56.515</v>
      </c>
    </row>
    <row r="190">
      <c r="A190" s="18" t="inlineStr">
        <is>
          <t>매출채권·계약자산 증감</t>
        </is>
      </c>
      <c r="I190" s="20" t="n">
        <v>-1395.088</v>
      </c>
      <c r="M190" s="20" t="n">
        <v>-427.482</v>
      </c>
      <c r="W190" s="20" t="n">
        <v>-1395.088</v>
      </c>
      <c r="X190" s="20" t="n">
        <v>-427.482</v>
      </c>
    </row>
    <row r="191">
      <c r="A191" s="18" t="inlineStr">
        <is>
          <t>재고자산 증감</t>
        </is>
      </c>
      <c r="C191" s="20" t="n">
        <v>-186.878</v>
      </c>
      <c r="E191" s="20" t="n">
        <v>1677.721</v>
      </c>
      <c r="G191" s="20" t="n">
        <v>-794.066</v>
      </c>
      <c r="I191" s="20" t="n">
        <v>1240.502</v>
      </c>
      <c r="K191" s="20" t="n">
        <v>-828.127</v>
      </c>
      <c r="M191" s="20" t="n">
        <v>523.587</v>
      </c>
      <c r="O191" s="20" t="n">
        <v>1245.46</v>
      </c>
      <c r="P191" s="20" t="n">
        <v>306.483</v>
      </c>
      <c r="Q191" s="20" t="n">
        <v>65.565</v>
      </c>
      <c r="R191" s="20" t="n">
        <v>-159.903</v>
      </c>
      <c r="S191" s="20" t="n">
        <v>707.111</v>
      </c>
      <c r="T191" s="20" t="n">
        <v>-1983.62</v>
      </c>
      <c r="U191" s="20" t="n">
        <v>-2204.626</v>
      </c>
      <c r="V191" s="20" t="n">
        <v>1677.721</v>
      </c>
      <c r="W191" s="20" t="n">
        <v>1240.502</v>
      </c>
      <c r="X191" s="20" t="n">
        <v>523.587</v>
      </c>
    </row>
    <row r="192">
      <c r="A192" s="18" t="inlineStr">
        <is>
          <t>선급비용 증감</t>
        </is>
      </c>
      <c r="C192" s="20" t="n">
        <v>-338.96</v>
      </c>
      <c r="E192" s="20" t="n">
        <v>-322.918</v>
      </c>
      <c r="G192" s="20" t="n">
        <v>94.239</v>
      </c>
      <c r="I192" s="20" t="n">
        <v>-96.199</v>
      </c>
      <c r="U192" s="20" t="n">
        <v>-1.294</v>
      </c>
      <c r="V192" s="20" t="n">
        <v>-322.918</v>
      </c>
      <c r="W192" s="20" t="n">
        <v>-96.199</v>
      </c>
    </row>
    <row r="193">
      <c r="A193" s="18" t="inlineStr">
        <is>
          <t>매입채무 증감</t>
        </is>
      </c>
      <c r="C193" s="20" t="n">
        <v>-2297.878</v>
      </c>
      <c r="E193" s="20" t="n">
        <v>-3420.637</v>
      </c>
      <c r="G193" s="20" t="n">
        <v>-355.515</v>
      </c>
      <c r="I193" s="20" t="n">
        <v>-207.915</v>
      </c>
      <c r="K193" s="20" t="n">
        <v>-1561.206</v>
      </c>
      <c r="M193" s="20" t="n">
        <v>415.427</v>
      </c>
      <c r="O193" s="20" t="n">
        <v>89.316</v>
      </c>
      <c r="P193" s="20" t="n">
        <v>42.048</v>
      </c>
      <c r="Q193" s="20" t="n">
        <v>23.763</v>
      </c>
      <c r="R193" s="20" t="n">
        <v>-403.814</v>
      </c>
      <c r="S193" s="20" t="n">
        <v>616.023</v>
      </c>
      <c r="T193" s="20" t="n">
        <v>-88.355</v>
      </c>
      <c r="U193" s="20" t="n">
        <v>3458.653</v>
      </c>
      <c r="V193" s="20" t="n">
        <v>-3420.637</v>
      </c>
      <c r="W193" s="20" t="n">
        <v>-207.915</v>
      </c>
      <c r="X193" s="20" t="n">
        <v>415.427</v>
      </c>
    </row>
    <row r="194">
      <c r="A194" s="18" t="inlineStr">
        <is>
          <t>미지급금 증감</t>
        </is>
      </c>
      <c r="C194" s="20" t="n">
        <v>-217.291</v>
      </c>
      <c r="E194" s="20" t="n">
        <v>-12.373</v>
      </c>
      <c r="G194" s="20" t="n">
        <v>-347.257</v>
      </c>
      <c r="I194" s="20" t="n">
        <v>-271.583</v>
      </c>
      <c r="V194" s="20" t="n">
        <v>-12.373</v>
      </c>
      <c r="W194" s="20" t="n">
        <v>-271.583</v>
      </c>
    </row>
    <row r="195">
      <c r="A195" s="18" t="inlineStr">
        <is>
          <t>미지급 소비세 증감</t>
        </is>
      </c>
      <c r="C195" s="20" t="n">
        <v>-184.049</v>
      </c>
      <c r="G195" s="20" t="n">
        <v>-196.517</v>
      </c>
    </row>
    <row r="196">
      <c r="A196" s="18" t="inlineStr">
        <is>
          <t>선수수익 증감</t>
        </is>
      </c>
      <c r="E196" s="20" t="n">
        <v>-97.41</v>
      </c>
      <c r="I196" s="20" t="n">
        <v>60.645</v>
      </c>
      <c r="U196" s="20" t="n">
        <v>-108.9</v>
      </c>
      <c r="V196" s="20" t="n">
        <v>-97.41</v>
      </c>
      <c r="W196" s="20" t="n">
        <v>60.645</v>
      </c>
    </row>
    <row r="197">
      <c r="A197" s="18" t="inlineStr">
        <is>
          <t>장기미지급금 증감</t>
        </is>
      </c>
      <c r="E197" s="20" t="n">
        <v>-68.372</v>
      </c>
      <c r="I197" s="20" t="n">
        <v>-19.843</v>
      </c>
      <c r="U197" s="20" t="n">
        <v>-71.893</v>
      </c>
      <c r="V197" s="20" t="n">
        <v>-68.372</v>
      </c>
      <c r="W197" s="20" t="n">
        <v>-19.843</v>
      </c>
    </row>
    <row r="198">
      <c r="A198" s="18" t="inlineStr">
        <is>
          <t>기타</t>
        </is>
      </c>
      <c r="C198" s="20" t="n">
        <v>-127.975</v>
      </c>
      <c r="E198" s="20" t="n">
        <v>-240.627</v>
      </c>
      <c r="G198" s="20" t="n">
        <v>-72.182</v>
      </c>
      <c r="I198" s="20" t="n">
        <v>-309.955</v>
      </c>
      <c r="K198" s="20" t="n">
        <v>618.307</v>
      </c>
      <c r="M198" s="20" t="n">
        <v>-491.47</v>
      </c>
      <c r="O198" s="20" t="n">
        <v>-64.251</v>
      </c>
      <c r="P198" s="20" t="n">
        <v>296.508</v>
      </c>
      <c r="Q198" s="20" t="n">
        <v>-298.116</v>
      </c>
      <c r="R198" s="20" t="n">
        <v>60.789</v>
      </c>
      <c r="S198" s="20" t="n">
        <v>-287.73</v>
      </c>
      <c r="T198" s="20" t="n">
        <v>115.084</v>
      </c>
      <c r="U198" s="20" t="n">
        <v>359.882</v>
      </c>
      <c r="V198" s="20" t="n">
        <v>-240.627</v>
      </c>
      <c r="W198" s="20" t="n">
        <v>-309.955</v>
      </c>
      <c r="X198" s="20" t="n">
        <v>-491.47</v>
      </c>
    </row>
    <row r="199">
      <c r="A199" s="18" t="inlineStr">
        <is>
          <t>소계</t>
        </is>
      </c>
      <c r="C199" s="20" t="n">
        <v>259.147</v>
      </c>
      <c r="E199" s="20" t="n">
        <v>1871.993</v>
      </c>
      <c r="G199" s="20" t="n">
        <v>1131.595</v>
      </c>
      <c r="I199" s="20" t="n">
        <v>1405.194</v>
      </c>
      <c r="K199" s="20" t="n">
        <v>2972.698</v>
      </c>
      <c r="M199" s="20" t="n">
        <v>4481.304</v>
      </c>
      <c r="O199" s="20" t="n">
        <v>1974.191</v>
      </c>
      <c r="P199" s="20" t="n">
        <v>1959.581</v>
      </c>
      <c r="Q199" s="20" t="n">
        <v>684.285</v>
      </c>
      <c r="R199" s="20" t="n">
        <v>2316.23</v>
      </c>
      <c r="S199" s="20" t="n">
        <v>1820.435</v>
      </c>
      <c r="T199" s="20" t="n">
        <v>1484.577</v>
      </c>
      <c r="U199" s="20" t="n">
        <v>-994.191</v>
      </c>
      <c r="V199" s="20" t="n">
        <v>1871.993</v>
      </c>
      <c r="W199" s="20" t="n">
        <v>1405.194</v>
      </c>
      <c r="X199" s="20" t="n">
        <v>4481.304</v>
      </c>
    </row>
    <row r="200">
      <c r="A200" s="18" t="inlineStr">
        <is>
          <t>이자·배당금 수취</t>
        </is>
      </c>
      <c r="C200" s="20" t="n">
        <v>4.486</v>
      </c>
      <c r="E200" s="20" t="n">
        <v>5.647</v>
      </c>
      <c r="G200" s="20" t="n">
        <v>33.997</v>
      </c>
      <c r="I200" s="20" t="n">
        <v>35.402</v>
      </c>
      <c r="K200" s="20" t="n">
        <v>61.141</v>
      </c>
      <c r="M200" s="20" t="n">
        <v>40.323</v>
      </c>
      <c r="O200" s="20" t="n">
        <v>8.013999999999999</v>
      </c>
      <c r="P200" s="20" t="n">
        <v>6.568</v>
      </c>
      <c r="Q200" s="20" t="n">
        <v>9.568</v>
      </c>
      <c r="R200" s="20" t="n">
        <v>4.783</v>
      </c>
      <c r="S200" s="20" t="n">
        <v>24.568</v>
      </c>
      <c r="T200" s="20" t="n">
        <v>39.902</v>
      </c>
      <c r="U200" s="20" t="n">
        <v>66.047</v>
      </c>
      <c r="V200" s="20" t="n">
        <v>5.647</v>
      </c>
      <c r="W200" s="20" t="n">
        <v>35.402</v>
      </c>
      <c r="X200" s="20" t="n">
        <v>40.323</v>
      </c>
    </row>
    <row r="201">
      <c r="A201" s="18" t="inlineStr">
        <is>
          <t>보조금 수취</t>
        </is>
      </c>
      <c r="C201" s="20" t="n">
        <v>9.692</v>
      </c>
      <c r="E201" s="20" t="n">
        <v>17.737</v>
      </c>
      <c r="G201" s="20" t="n">
        <v>7.352</v>
      </c>
      <c r="I201" s="20" t="n">
        <v>18.951</v>
      </c>
      <c r="K201" s="20" t="n">
        <v>8.702999999999999</v>
      </c>
      <c r="M201" s="20" t="n">
        <v>16.274</v>
      </c>
      <c r="R201" s="20" t="n">
        <v>0</v>
      </c>
      <c r="S201" s="20" t="n">
        <v>33.243</v>
      </c>
      <c r="T201" s="20" t="n">
        <v>59.737</v>
      </c>
      <c r="U201" s="20" t="n">
        <v>39.982</v>
      </c>
      <c r="V201" s="20" t="n">
        <v>17.737</v>
      </c>
      <c r="W201" s="20" t="n">
        <v>18.951</v>
      </c>
      <c r="X201" s="20" t="n">
        <v>16.274</v>
      </c>
    </row>
    <row r="202">
      <c r="A202" s="18" t="inlineStr">
        <is>
          <t>이전 보상금 수취</t>
        </is>
      </c>
      <c r="R202" s="20" t="n">
        <v>0</v>
      </c>
      <c r="S202" s="20" t="n">
        <v>89.19499999999999</v>
      </c>
      <c r="T202" s="20" t="n">
        <v>0</v>
      </c>
    </row>
    <row r="203">
      <c r="A203" s="18" t="inlineStr">
        <is>
          <t>보험금 수취</t>
        </is>
      </c>
      <c r="C203" s="20" t="n">
        <v>7.837</v>
      </c>
      <c r="E203" s="20" t="n">
        <v>81.75700000000001</v>
      </c>
      <c r="G203" s="20" t="n">
        <v>32.561</v>
      </c>
      <c r="I203" s="20" t="n">
        <v>84.402</v>
      </c>
      <c r="K203" s="20" t="n">
        <v>54.628</v>
      </c>
      <c r="M203" s="20" t="n">
        <v>89.21899999999999</v>
      </c>
      <c r="U203" s="20" t="n">
        <v>16.765</v>
      </c>
      <c r="V203" s="20" t="n">
        <v>81.75700000000001</v>
      </c>
      <c r="W203" s="20" t="n">
        <v>84.402</v>
      </c>
      <c r="X203" s="20" t="n">
        <v>89.21899999999999</v>
      </c>
    </row>
    <row r="204">
      <c r="A204" s="18" t="inlineStr">
        <is>
          <t>이자 지급</t>
        </is>
      </c>
      <c r="C204" s="20" t="n">
        <v>-42.536</v>
      </c>
      <c r="E204" s="20" t="n">
        <v>-104.217</v>
      </c>
      <c r="G204" s="20" t="n">
        <v>-67.276</v>
      </c>
      <c r="I204" s="20" t="n">
        <v>-161.929</v>
      </c>
      <c r="K204" s="20" t="n">
        <v>-112.243</v>
      </c>
      <c r="M204" s="20" t="n">
        <v>-205.024</v>
      </c>
      <c r="O204" s="20" t="n">
        <v>-55.066</v>
      </c>
      <c r="P204" s="20" t="n">
        <v>-44.619</v>
      </c>
      <c r="Q204" s="20" t="n">
        <v>-42.089</v>
      </c>
      <c r="R204" s="20" t="n">
        <v>-41.567</v>
      </c>
      <c r="S204" s="20" t="n">
        <v>-50.834</v>
      </c>
      <c r="T204" s="20" t="n">
        <v>-90.03100000000001</v>
      </c>
      <c r="U204" s="20" t="n">
        <v>-80.663</v>
      </c>
      <c r="V204" s="20" t="n">
        <v>-104.217</v>
      </c>
      <c r="W204" s="20" t="n">
        <v>-161.929</v>
      </c>
      <c r="X204" s="20" t="n">
        <v>-205.024</v>
      </c>
    </row>
    <row r="205">
      <c r="A205" s="18" t="inlineStr">
        <is>
          <t>법인세 납부</t>
        </is>
      </c>
      <c r="C205" s="20" t="n">
        <v>-311.997</v>
      </c>
      <c r="E205" s="20" t="n">
        <v>-551.371</v>
      </c>
      <c r="G205" s="20" t="n">
        <v>-273.157</v>
      </c>
      <c r="I205" s="20" t="n">
        <v>-549.679</v>
      </c>
      <c r="K205" s="20" t="n">
        <v>-229.622</v>
      </c>
      <c r="M205" s="20" t="n">
        <v>-447.97</v>
      </c>
      <c r="O205" s="20" t="n">
        <v>-142.467</v>
      </c>
      <c r="P205" s="20" t="n">
        <v>-269.274</v>
      </c>
      <c r="Q205" s="20" t="n">
        <v>-219.976</v>
      </c>
      <c r="R205" s="20" t="n">
        <v>-373.139</v>
      </c>
      <c r="S205" s="20" t="n">
        <v>-450.08</v>
      </c>
      <c r="T205" s="20" t="n">
        <v>-660.785</v>
      </c>
      <c r="U205" s="20" t="n">
        <v>-382.61</v>
      </c>
      <c r="V205" s="20" t="n">
        <v>-551.371</v>
      </c>
      <c r="W205" s="20" t="n">
        <v>-549.679</v>
      </c>
      <c r="X205" s="20" t="n">
        <v>-447.97</v>
      </c>
    </row>
    <row r="206">
      <c r="A206" s="18" t="inlineStr">
        <is>
          <t>법인세 환급</t>
        </is>
      </c>
      <c r="C206" s="20" t="n">
        <v>38.58</v>
      </c>
      <c r="E206" s="20" t="n">
        <v>47.442</v>
      </c>
      <c r="G206" s="20" t="n">
        <v>17.557</v>
      </c>
      <c r="I206" s="20" t="n">
        <v>17.824</v>
      </c>
      <c r="K206" s="20" t="n">
        <v>37.212</v>
      </c>
      <c r="M206" s="20" t="n">
        <v>38.164</v>
      </c>
      <c r="O206" s="20" t="n">
        <v>81.14100000000001</v>
      </c>
      <c r="P206" s="20" t="n">
        <v>168.025</v>
      </c>
      <c r="Q206" s="20" t="n">
        <v>33.316</v>
      </c>
      <c r="R206" s="20" t="n">
        <v>144.081</v>
      </c>
      <c r="S206" s="20" t="n">
        <v>187.533</v>
      </c>
      <c r="T206" s="20" t="n">
        <v>196.411</v>
      </c>
      <c r="U206" s="20" t="n">
        <v>63.356</v>
      </c>
      <c r="V206" s="20" t="n">
        <v>47.442</v>
      </c>
      <c r="W206" s="20" t="n">
        <v>17.824</v>
      </c>
      <c r="X206" s="20" t="n">
        <v>38.164</v>
      </c>
    </row>
    <row r="207">
      <c r="A207" s="18" t="inlineStr">
        <is>
          <t>특별퇴직금 지급액</t>
        </is>
      </c>
      <c r="O207" s="20" t="n">
        <v>-39.092</v>
      </c>
      <c r="P207" s="20" t="n">
        <v>0</v>
      </c>
    </row>
    <row r="208">
      <c r="A208" s="9" t="inlineStr">
        <is>
          <t>영업활동 현금흐름</t>
        </is>
      </c>
      <c r="C208" s="12" t="n">
        <v>-34.788</v>
      </c>
      <c r="E208" s="12" t="n">
        <v>1368.989</v>
      </c>
      <c r="G208" s="12" t="n">
        <v>882.63</v>
      </c>
      <c r="I208" s="12" t="n">
        <v>850.165</v>
      </c>
      <c r="K208" s="12" t="n">
        <v>2792.518</v>
      </c>
      <c r="M208" s="12" t="n">
        <v>4012.29</v>
      </c>
      <c r="O208" s="12" t="n">
        <v>1826.72</v>
      </c>
      <c r="P208" s="12" t="n">
        <v>1820.282</v>
      </c>
      <c r="Q208" s="12" t="n">
        <v>465.103</v>
      </c>
      <c r="R208" s="12" t="n">
        <v>2050.387</v>
      </c>
      <c r="S208" s="12" t="n">
        <v>1654.062</v>
      </c>
      <c r="T208" s="12" t="n">
        <v>1029.812</v>
      </c>
      <c r="U208" s="12" t="n">
        <v>-1271.312</v>
      </c>
      <c r="V208" s="12" t="n">
        <v>1368.989</v>
      </c>
      <c r="W208" s="12" t="n">
        <v>850.165</v>
      </c>
      <c r="X208" s="12" t="n">
        <v>4012.29</v>
      </c>
    </row>
    <row r="209">
      <c r="A209" s="18" t="inlineStr">
        <is>
          <t>정기예금 인출</t>
        </is>
      </c>
      <c r="I209" s="20" t="n">
        <v>0</v>
      </c>
      <c r="M209" s="20" t="n">
        <v>8.202999999999999</v>
      </c>
      <c r="W209" s="20" t="n">
        <v>0</v>
      </c>
      <c r="X209" s="20" t="n">
        <v>8.202999999999999</v>
      </c>
    </row>
    <row r="210">
      <c r="A210" s="18" t="inlineStr">
        <is>
          <t>유형자산 취득(설비투자)</t>
        </is>
      </c>
      <c r="C210" s="20" t="n">
        <v>-276.144</v>
      </c>
      <c r="E210" s="20" t="n">
        <v>-609.381</v>
      </c>
      <c r="G210" s="20" t="n">
        <v>-196.019</v>
      </c>
      <c r="I210" s="20" t="n">
        <v>-314.164</v>
      </c>
      <c r="K210" s="20" t="n">
        <v>-201.424</v>
      </c>
      <c r="M210" s="20" t="n">
        <v>-367.719</v>
      </c>
      <c r="O210" s="20" t="n">
        <v>-169.408</v>
      </c>
      <c r="P210" s="20" t="n">
        <v>-263.762</v>
      </c>
      <c r="Q210" s="20" t="n">
        <v>-263.194</v>
      </c>
      <c r="R210" s="20" t="n">
        <v>-328.912</v>
      </c>
      <c r="S210" s="20" t="n">
        <v>-296.624</v>
      </c>
      <c r="T210" s="20" t="n">
        <v>-518.072</v>
      </c>
      <c r="U210" s="20" t="n">
        <v>-482.731</v>
      </c>
      <c r="V210" s="20" t="n">
        <v>-609.381</v>
      </c>
      <c r="W210" s="20" t="n">
        <v>-314.164</v>
      </c>
      <c r="X210" s="20" t="n">
        <v>-367.719</v>
      </c>
    </row>
    <row r="211">
      <c r="A211" s="18" t="inlineStr">
        <is>
          <t>유형자산 매각</t>
        </is>
      </c>
      <c r="C211" s="20" t="n">
        <v>103.786</v>
      </c>
      <c r="E211" s="20" t="n">
        <v>107.455</v>
      </c>
      <c r="G211" s="20" t="n">
        <v>4.582</v>
      </c>
      <c r="I211" s="20" t="n">
        <v>99.39</v>
      </c>
      <c r="K211" s="20" t="n">
        <v>6.677</v>
      </c>
      <c r="M211" s="20" t="n">
        <v>12.579</v>
      </c>
      <c r="O211" s="20" t="n">
        <v>212.014</v>
      </c>
      <c r="P211" s="20" t="n">
        <v>3.005</v>
      </c>
      <c r="Q211" s="20" t="n">
        <v>1057.922</v>
      </c>
      <c r="R211" s="20" t="n">
        <v>402.027</v>
      </c>
      <c r="S211" s="20" t="n">
        <v>270.371</v>
      </c>
      <c r="T211" s="20" t="n">
        <v>29.097</v>
      </c>
      <c r="U211" s="20" t="n">
        <v>11.197</v>
      </c>
      <c r="V211" s="20" t="n">
        <v>107.455</v>
      </c>
      <c r="W211" s="20" t="n">
        <v>99.39</v>
      </c>
      <c r="X211" s="20" t="n">
        <v>12.579</v>
      </c>
    </row>
    <row r="212">
      <c r="A212" s="18" t="inlineStr">
        <is>
          <t>무형자산 취득</t>
        </is>
      </c>
      <c r="C212" s="20" t="n">
        <v>-13.433</v>
      </c>
      <c r="E212" s="20" t="n">
        <v>-9.672000000000001</v>
      </c>
      <c r="G212" s="20" t="n">
        <v>-18.815</v>
      </c>
      <c r="I212" s="20" t="n">
        <v>-25.578</v>
      </c>
      <c r="K212" s="20" t="n">
        <v>-2.007</v>
      </c>
      <c r="M212" s="20" t="n">
        <v>-6.658</v>
      </c>
      <c r="O212" s="20" t="n">
        <v>-50.409</v>
      </c>
      <c r="P212" s="20" t="n">
        <v>-50.407</v>
      </c>
      <c r="Q212" s="20" t="n">
        <v>-136.847</v>
      </c>
      <c r="R212" s="20" t="n">
        <v>-62.785</v>
      </c>
      <c r="S212" s="20" t="n">
        <v>-174.45</v>
      </c>
      <c r="T212" s="20" t="n">
        <v>-232.796</v>
      </c>
      <c r="U212" s="20" t="n">
        <v>-227.104</v>
      </c>
      <c r="V212" s="20" t="n">
        <v>-9.672000000000001</v>
      </c>
      <c r="W212" s="20" t="n">
        <v>-25.578</v>
      </c>
      <c r="X212" s="20" t="n">
        <v>-6.658</v>
      </c>
    </row>
    <row r="213">
      <c r="A213" s="18" t="inlineStr">
        <is>
          <t>무형자산 매각 수입</t>
        </is>
      </c>
      <c r="E213" s="20" t="n">
        <v>4.449</v>
      </c>
      <c r="I213" s="20" t="n">
        <v>1.396</v>
      </c>
      <c r="M213" s="20" t="n">
        <v>0</v>
      </c>
      <c r="P213" s="20" t="n">
        <v>0</v>
      </c>
      <c r="Q213" s="20" t="n">
        <v>0.549</v>
      </c>
      <c r="R213" s="20" t="n">
        <v>0</v>
      </c>
      <c r="T213" s="20" t="n">
        <v>0</v>
      </c>
      <c r="U213" s="20" t="n">
        <v>59.527</v>
      </c>
      <c r="V213" s="20" t="n">
        <v>4.449</v>
      </c>
      <c r="W213" s="20" t="n">
        <v>1.396</v>
      </c>
      <c r="X213" s="20" t="n">
        <v>0</v>
      </c>
    </row>
    <row r="214">
      <c r="A214" s="18" t="inlineStr">
        <is>
          <t>투자유가증권 취득</t>
        </is>
      </c>
      <c r="C214" s="20" t="n">
        <v>-3.453</v>
      </c>
      <c r="E214" s="20" t="n">
        <v>-3.453</v>
      </c>
      <c r="G214" s="20" t="n">
        <v>0</v>
      </c>
      <c r="I214" s="20" t="n">
        <v>0</v>
      </c>
      <c r="O214" s="20" t="n">
        <v>-1.811</v>
      </c>
      <c r="P214" s="20" t="n">
        <v>-4.033</v>
      </c>
      <c r="Q214" s="20" t="n">
        <v>-160.894</v>
      </c>
      <c r="R214" s="20" t="n">
        <v>-1.491</v>
      </c>
      <c r="S214" s="20" t="n">
        <v>-1.689</v>
      </c>
      <c r="T214" s="20" t="n">
        <v>-2.763</v>
      </c>
      <c r="U214" s="20" t="n">
        <v>-3.179</v>
      </c>
      <c r="V214" s="20" t="n">
        <v>-3.453</v>
      </c>
      <c r="W214" s="20" t="n">
        <v>0</v>
      </c>
    </row>
    <row r="215">
      <c r="A215" s="18" t="inlineStr">
        <is>
          <t>투자유가증권 매각</t>
        </is>
      </c>
      <c r="C215" s="20" t="n">
        <v>0</v>
      </c>
      <c r="E215" s="20" t="n">
        <v>0</v>
      </c>
      <c r="G215" s="20" t="n">
        <v>0</v>
      </c>
      <c r="I215" s="20" t="n">
        <v>1.749</v>
      </c>
      <c r="K215" s="20" t="n">
        <v>13.631</v>
      </c>
      <c r="M215" s="20" t="n">
        <v>13.631</v>
      </c>
      <c r="O215" s="20" t="n">
        <v>0.911</v>
      </c>
      <c r="P215" s="20" t="n">
        <v>112.254</v>
      </c>
      <c r="Q215" s="20" t="n">
        <v>147.665</v>
      </c>
      <c r="R215" s="20" t="n">
        <v>1.05</v>
      </c>
      <c r="S215" s="20" t="n">
        <v>6.691</v>
      </c>
      <c r="T215" s="20" t="n">
        <v>108.613</v>
      </c>
      <c r="U215" s="20" t="n">
        <v>84.926</v>
      </c>
      <c r="V215" s="20" t="n">
        <v>0</v>
      </c>
      <c r="W215" s="20" t="n">
        <v>1.749</v>
      </c>
      <c r="X215" s="20" t="n">
        <v>13.631</v>
      </c>
    </row>
    <row r="216">
      <c r="A216" s="18" t="inlineStr">
        <is>
          <t>관계회사 주식 취득</t>
        </is>
      </c>
      <c r="C216" s="20" t="n">
        <v>-57.5</v>
      </c>
      <c r="E216" s="20" t="n">
        <v>-55</v>
      </c>
      <c r="G216" s="20" t="n">
        <v>-47.432</v>
      </c>
      <c r="I216" s="20" t="n">
        <v>-145.664</v>
      </c>
      <c r="K216" s="20" t="n">
        <v>-6.278</v>
      </c>
      <c r="M216" s="20" t="n">
        <v>-6.33</v>
      </c>
      <c r="O216" s="20" t="n">
        <v>0</v>
      </c>
      <c r="P216" s="20" t="n">
        <v>-71</v>
      </c>
      <c r="Q216" s="20" t="n">
        <v>0</v>
      </c>
      <c r="R216" s="20" t="n">
        <v>-131</v>
      </c>
      <c r="S216" s="20" t="n">
        <v>-148.491</v>
      </c>
      <c r="T216" s="20" t="n">
        <v>-456.906</v>
      </c>
      <c r="U216" s="20" t="n">
        <v>-138.39</v>
      </c>
      <c r="V216" s="20" t="n">
        <v>-55</v>
      </c>
      <c r="W216" s="20" t="n">
        <v>-145.664</v>
      </c>
      <c r="X216" s="20" t="n">
        <v>-6.33</v>
      </c>
    </row>
    <row r="217">
      <c r="A217" s="18" t="inlineStr">
        <is>
          <t>관계회사 주식 매각</t>
        </is>
      </c>
      <c r="O217" s="20" t="n">
        <v>0</v>
      </c>
      <c r="P217" s="20" t="n">
        <v>7.716</v>
      </c>
      <c r="Q217" s="20" t="n">
        <v>0</v>
      </c>
      <c r="R217" s="20" t="n">
        <v>10.519</v>
      </c>
      <c r="S217" s="20" t="n">
        <v>0</v>
      </c>
    </row>
    <row r="218">
      <c r="A218" s="18" t="inlineStr">
        <is>
          <t>대여</t>
        </is>
      </c>
      <c r="O218" s="20" t="n">
        <v>0</v>
      </c>
      <c r="P218" s="20" t="n">
        <v>-52</v>
      </c>
      <c r="Q218" s="20" t="n">
        <v>-11</v>
      </c>
      <c r="R218" s="20" t="n">
        <v>0</v>
      </c>
      <c r="S218" s="20" t="n">
        <v>-513</v>
      </c>
      <c r="T218" s="20" t="n">
        <v>0</v>
      </c>
    </row>
    <row r="219">
      <c r="A219" s="18" t="inlineStr">
        <is>
          <t>사업양수 지출</t>
        </is>
      </c>
      <c r="C219" s="20" t="n">
        <v>0</v>
      </c>
      <c r="E219" s="20" t="n">
        <v>0</v>
      </c>
      <c r="G219" s="20" t="n">
        <v>-590.27</v>
      </c>
      <c r="I219" s="20" t="n">
        <v>-590.27</v>
      </c>
      <c r="K219" s="20" t="n">
        <v>0</v>
      </c>
      <c r="M219" s="20" t="n">
        <v>0</v>
      </c>
      <c r="P219" s="20" t="n">
        <v>0</v>
      </c>
      <c r="Q219" s="20" t="n">
        <v>-719.375</v>
      </c>
      <c r="R219" s="20" t="n">
        <v>0</v>
      </c>
      <c r="T219" s="20" t="n">
        <v>0</v>
      </c>
      <c r="U219" s="20" t="n">
        <v>-150</v>
      </c>
      <c r="V219" s="20" t="n">
        <v>0</v>
      </c>
      <c r="W219" s="20" t="n">
        <v>-590.27</v>
      </c>
      <c r="X219" s="20" t="n">
        <v>0</v>
      </c>
    </row>
    <row r="220">
      <c r="A220" s="18" t="inlineStr">
        <is>
          <t>연결범위 변경 자회사 주식 취득</t>
        </is>
      </c>
      <c r="C220" s="20" t="n">
        <v>-257.717</v>
      </c>
      <c r="E220" s="20" t="n">
        <v>-257.717</v>
      </c>
      <c r="G220" s="20" t="n">
        <v>0</v>
      </c>
      <c r="I220" s="20" t="n">
        <v>0</v>
      </c>
      <c r="K220" s="20" t="n">
        <v>-217.759</v>
      </c>
      <c r="M220" s="20" t="n">
        <v>-282.215</v>
      </c>
      <c r="P220" s="20" t="n">
        <v>0</v>
      </c>
      <c r="Q220" s="20" t="n">
        <v>-622.784</v>
      </c>
      <c r="R220" s="20" t="n">
        <v>-210.88</v>
      </c>
      <c r="S220" s="20" t="n">
        <v>-1428.078</v>
      </c>
      <c r="T220" s="20" t="n">
        <v>-3518.539</v>
      </c>
      <c r="U220" s="20" t="n">
        <v>0</v>
      </c>
      <c r="V220" s="20" t="n">
        <v>-257.717</v>
      </c>
      <c r="W220" s="20" t="n">
        <v>0</v>
      </c>
      <c r="X220" s="20" t="n">
        <v>-282.215</v>
      </c>
    </row>
    <row r="221">
      <c r="A221" s="18" t="inlineStr">
        <is>
          <t>연결범위 변경 자회사 주식 매각</t>
        </is>
      </c>
      <c r="I221" s="20" t="n">
        <v>0</v>
      </c>
      <c r="M221" s="20" t="n">
        <v>630.433</v>
      </c>
      <c r="O221" s="20" t="n">
        <v>7.264</v>
      </c>
      <c r="P221" s="20" t="n">
        <v>0</v>
      </c>
      <c r="W221" s="20" t="n">
        <v>0</v>
      </c>
      <c r="X221" s="20" t="n">
        <v>630.433</v>
      </c>
    </row>
    <row r="222">
      <c r="A222" s="18" t="inlineStr">
        <is>
          <t>기타</t>
        </is>
      </c>
      <c r="C222" s="20" t="n">
        <v>135.995</v>
      </c>
      <c r="E222" s="20" t="n">
        <v>-11.804</v>
      </c>
      <c r="G222" s="20" t="n">
        <v>-19.303</v>
      </c>
      <c r="I222" s="20" t="n">
        <v>17.672</v>
      </c>
      <c r="K222" s="20" t="n">
        <v>126.62</v>
      </c>
      <c r="M222" s="20" t="n">
        <v>129.994</v>
      </c>
      <c r="O222" s="20" t="n">
        <v>-5.202</v>
      </c>
      <c r="P222" s="20" t="n">
        <v>10.558</v>
      </c>
      <c r="Q222" s="20" t="n">
        <v>24.294</v>
      </c>
      <c r="R222" s="20" t="n">
        <v>-12.702</v>
      </c>
      <c r="S222" s="20" t="n">
        <v>-43.842</v>
      </c>
      <c r="T222" s="20" t="n">
        <v>6.121</v>
      </c>
      <c r="U222" s="20" t="n">
        <v>-18.696</v>
      </c>
      <c r="V222" s="20" t="n">
        <v>-11.804</v>
      </c>
      <c r="W222" s="20" t="n">
        <v>17.672</v>
      </c>
      <c r="X222" s="20" t="n">
        <v>129.994</v>
      </c>
    </row>
    <row r="223">
      <c r="A223" s="9" t="inlineStr">
        <is>
          <t>투자활동 현금흐름</t>
        </is>
      </c>
      <c r="C223" s="12" t="n">
        <v>-368.467</v>
      </c>
      <c r="E223" s="12" t="n">
        <v>-835.124</v>
      </c>
      <c r="G223" s="12" t="n">
        <v>-867.259</v>
      </c>
      <c r="I223" s="12" t="n">
        <v>-955.4690000000001</v>
      </c>
      <c r="K223" s="12" t="n">
        <v>-280.54</v>
      </c>
      <c r="M223" s="12" t="n">
        <v>131.917</v>
      </c>
      <c r="O223" s="12" t="n">
        <v>-6.642</v>
      </c>
      <c r="P223" s="12" t="n">
        <v>-307.67</v>
      </c>
      <c r="Q223" s="12" t="n">
        <v>-683.664</v>
      </c>
      <c r="R223" s="12" t="n">
        <v>-334.174</v>
      </c>
      <c r="S223" s="12" t="n">
        <v>-2329.114</v>
      </c>
      <c r="T223" s="12" t="n">
        <v>-4585.247</v>
      </c>
      <c r="U223" s="12" t="n">
        <v>-864.448</v>
      </c>
      <c r="V223" s="12" t="n">
        <v>-835.124</v>
      </c>
      <c r="W223" s="12" t="n">
        <v>-955.4690000000001</v>
      </c>
      <c r="X223" s="12" t="n">
        <v>131.917</v>
      </c>
    </row>
    <row r="224">
      <c r="A224" s="18" t="inlineStr">
        <is>
          <t>단기차입금 순증감</t>
        </is>
      </c>
      <c r="C224" s="20" t="n">
        <v>49.4</v>
      </c>
      <c r="E224" s="20" t="n">
        <v>-236.49</v>
      </c>
      <c r="G224" s="20" t="n">
        <v>402.16</v>
      </c>
      <c r="I224" s="20" t="n">
        <v>1046.352</v>
      </c>
      <c r="K224" s="20" t="n">
        <v>-464.501</v>
      </c>
      <c r="M224" s="20" t="n">
        <v>-1456.621</v>
      </c>
      <c r="O224" s="20" t="n">
        <v>-1622.547</v>
      </c>
      <c r="P224" s="20" t="n">
        <v>-1504.764</v>
      </c>
      <c r="Q224" s="20" t="n">
        <v>532.67</v>
      </c>
      <c r="R224" s="20" t="n">
        <v>642.476</v>
      </c>
      <c r="S224" s="20" t="n">
        <v>1828.622</v>
      </c>
      <c r="T224" s="20" t="n">
        <v>-1267.088</v>
      </c>
      <c r="U224" s="20" t="n">
        <v>1700</v>
      </c>
      <c r="V224" s="20" t="n">
        <v>-236.49</v>
      </c>
      <c r="W224" s="20" t="n">
        <v>1046.352</v>
      </c>
      <c r="X224" s="20" t="n">
        <v>-1456.621</v>
      </c>
    </row>
    <row r="225">
      <c r="A225" s="18" t="inlineStr">
        <is>
          <t>장기차입</t>
        </is>
      </c>
      <c r="C225" s="20" t="n">
        <v>800</v>
      </c>
      <c r="E225" s="20" t="n">
        <v>1900</v>
      </c>
      <c r="G225" s="20" t="n">
        <v>1729.496</v>
      </c>
      <c r="I225" s="20" t="n">
        <v>2128.926</v>
      </c>
      <c r="K225" s="20" t="n">
        <v>1200</v>
      </c>
      <c r="M225" s="20" t="n">
        <v>1500</v>
      </c>
      <c r="O225" s="20" t="n">
        <v>1200</v>
      </c>
      <c r="P225" s="20" t="n">
        <v>800</v>
      </c>
      <c r="Q225" s="20" t="n">
        <v>1000</v>
      </c>
      <c r="R225" s="20" t="n">
        <v>1700</v>
      </c>
      <c r="S225" s="20" t="n">
        <v>3400</v>
      </c>
      <c r="T225" s="20" t="n">
        <v>2800</v>
      </c>
      <c r="U225" s="20" t="n">
        <v>2600</v>
      </c>
      <c r="V225" s="20" t="n">
        <v>1900</v>
      </c>
      <c r="W225" s="20" t="n">
        <v>2128.926</v>
      </c>
      <c r="X225" s="20" t="n">
        <v>1500</v>
      </c>
    </row>
    <row r="226">
      <c r="A226" s="18" t="inlineStr">
        <is>
          <t>장기차입금 상환</t>
        </is>
      </c>
      <c r="C226" s="20" t="n">
        <v>-1242.453</v>
      </c>
      <c r="E226" s="20" t="n">
        <v>-2779.522</v>
      </c>
      <c r="G226" s="20" t="n">
        <v>-1339.883</v>
      </c>
      <c r="I226" s="20" t="n">
        <v>-2607.093</v>
      </c>
      <c r="K226" s="20" t="n">
        <v>-1367.966</v>
      </c>
      <c r="M226" s="20" t="n">
        <v>-2733.057</v>
      </c>
      <c r="O226" s="20" t="n">
        <v>-805.313</v>
      </c>
      <c r="P226" s="20" t="n">
        <v>-808.681</v>
      </c>
      <c r="Q226" s="20" t="n">
        <v>-906.643</v>
      </c>
      <c r="R226" s="20" t="n">
        <v>-1093.136</v>
      </c>
      <c r="S226" s="20" t="n">
        <v>-936.309</v>
      </c>
      <c r="T226" s="20" t="n">
        <v>-1932.699</v>
      </c>
      <c r="U226" s="20" t="n">
        <v>-2255.173</v>
      </c>
      <c r="V226" s="20" t="n">
        <v>-2779.522</v>
      </c>
      <c r="W226" s="20" t="n">
        <v>-2607.093</v>
      </c>
      <c r="X226" s="20" t="n">
        <v>-2733.057</v>
      </c>
    </row>
    <row r="227">
      <c r="A227" s="18" t="inlineStr">
        <is>
          <t>사채 상환</t>
        </is>
      </c>
      <c r="E227" s="20" t="n">
        <v>0</v>
      </c>
      <c r="S227" s="20" t="n">
        <v>0</v>
      </c>
      <c r="T227" s="20" t="n">
        <v>-25</v>
      </c>
      <c r="U227" s="20" t="n">
        <v>-50</v>
      </c>
      <c r="V227" s="20" t="n">
        <v>0</v>
      </c>
    </row>
    <row r="228">
      <c r="A228" s="18" t="inlineStr">
        <is>
          <t>신디케이트론 수수료 지급</t>
        </is>
      </c>
      <c r="E228" s="20" t="n">
        <v>-1</v>
      </c>
      <c r="I228" s="20" t="n">
        <v>-1</v>
      </c>
      <c r="R228" s="20" t="n">
        <v>0</v>
      </c>
      <c r="S228" s="20" t="n">
        <v>-37</v>
      </c>
      <c r="T228" s="20" t="n">
        <v>-1</v>
      </c>
      <c r="U228" s="20" t="n">
        <v>-1</v>
      </c>
      <c r="V228" s="20" t="n">
        <v>-1</v>
      </c>
      <c r="W228" s="20" t="n">
        <v>-1</v>
      </c>
    </row>
    <row r="229">
      <c r="A229" s="18" t="inlineStr">
        <is>
          <t>지급수수료 지급</t>
        </is>
      </c>
      <c r="E229" s="20" t="n">
        <v>-5.25</v>
      </c>
      <c r="U229" s="20" t="n">
        <v>0</v>
      </c>
      <c r="V229" s="20" t="n">
        <v>-5.25</v>
      </c>
    </row>
    <row r="230">
      <c r="A230" s="18" t="inlineStr">
        <is>
          <t>지급수수료 지급</t>
        </is>
      </c>
      <c r="E230" s="20" t="n">
        <v>-5.25</v>
      </c>
      <c r="I230" s="20" t="n">
        <v>0</v>
      </c>
      <c r="V230" s="20" t="n">
        <v>-5.25</v>
      </c>
      <c r="W230" s="20" t="n">
        <v>0</v>
      </c>
    </row>
    <row r="231">
      <c r="A231" s="18" t="inlineStr">
        <is>
          <t>금융리스부채 상환</t>
        </is>
      </c>
      <c r="C231" s="20" t="n">
        <v>-106.548</v>
      </c>
      <c r="E231" s="20" t="n">
        <v>-255.555</v>
      </c>
      <c r="G231" s="20" t="n">
        <v>-164.156</v>
      </c>
      <c r="I231" s="20" t="n">
        <v>-290.933</v>
      </c>
      <c r="K231" s="20" t="n">
        <v>-155.386</v>
      </c>
      <c r="M231" s="20" t="n">
        <v>-306.794</v>
      </c>
      <c r="O231" s="20" t="n">
        <v>-56.398</v>
      </c>
      <c r="P231" s="20" t="n">
        <v>-58.657</v>
      </c>
      <c r="Q231" s="20" t="n">
        <v>-25.888</v>
      </c>
      <c r="R231" s="20" t="n">
        <v>-31.284</v>
      </c>
      <c r="S231" s="20" t="n">
        <v>-38.507</v>
      </c>
      <c r="T231" s="20" t="n">
        <v>-93.515</v>
      </c>
      <c r="U231" s="20" t="n">
        <v>-199.289</v>
      </c>
      <c r="V231" s="20" t="n">
        <v>-255.555</v>
      </c>
      <c r="W231" s="20" t="n">
        <v>-290.933</v>
      </c>
      <c r="X231" s="20" t="n">
        <v>-306.794</v>
      </c>
    </row>
    <row r="232">
      <c r="A232" s="18" t="inlineStr">
        <is>
          <t>배당금 지급</t>
        </is>
      </c>
      <c r="C232" s="20" t="n">
        <v>0</v>
      </c>
      <c r="E232" s="20" t="n">
        <v>0</v>
      </c>
      <c r="G232" s="20" t="n">
        <v>-134.77</v>
      </c>
      <c r="I232" s="20" t="n">
        <v>-134.77</v>
      </c>
      <c r="K232" s="20" t="n">
        <v>-161.723</v>
      </c>
      <c r="M232" s="20" t="n">
        <v>-161.723</v>
      </c>
      <c r="O232" s="20" t="n">
        <v>-26.955</v>
      </c>
      <c r="P232" s="20" t="n">
        <v>-26.955</v>
      </c>
      <c r="Q232" s="20" t="n">
        <v>-53.909</v>
      </c>
      <c r="R232" s="20" t="n">
        <v>-53.909</v>
      </c>
      <c r="S232" s="20" t="n">
        <v>-202.157</v>
      </c>
      <c r="T232" s="20" t="n">
        <v>-269.543</v>
      </c>
      <c r="U232" s="20" t="n">
        <v>-269.54</v>
      </c>
      <c r="V232" s="20" t="n">
        <v>0</v>
      </c>
      <c r="W232" s="20" t="n">
        <v>-134.77</v>
      </c>
      <c r="X232" s="20" t="n">
        <v>-161.723</v>
      </c>
    </row>
    <row r="233">
      <c r="A233" s="18" t="inlineStr">
        <is>
          <t>연결범위 변경 없는 자회사 주식 취득</t>
        </is>
      </c>
      <c r="C233" s="20" t="n">
        <v>-70.98</v>
      </c>
      <c r="E233" s="20" t="n">
        <v>-127.543</v>
      </c>
      <c r="G233" s="20" t="n">
        <v>0</v>
      </c>
      <c r="I233" s="20" t="n">
        <v>0</v>
      </c>
      <c r="K233" s="20" t="n">
        <v>-18.076</v>
      </c>
      <c r="M233" s="20" t="n">
        <v>-18.076</v>
      </c>
      <c r="O233" s="20" t="n">
        <v>-34.947</v>
      </c>
      <c r="P233" s="20" t="n">
        <v>0</v>
      </c>
      <c r="U233" s="20" t="n">
        <v>0</v>
      </c>
      <c r="V233" s="20" t="n">
        <v>-127.543</v>
      </c>
      <c r="W233" s="20" t="n">
        <v>0</v>
      </c>
      <c r="X233" s="20" t="n">
        <v>-18.076</v>
      </c>
    </row>
    <row r="234">
      <c r="A234" s="18" t="inlineStr">
        <is>
          <t>기타</t>
        </is>
      </c>
      <c r="C234" s="20" t="n">
        <v>-0</v>
      </c>
      <c r="E234" s="20" t="n">
        <v>-0</v>
      </c>
      <c r="G234" s="20" t="n">
        <v>-0.005</v>
      </c>
      <c r="I234" s="20" t="n">
        <v>-0.005</v>
      </c>
      <c r="K234" s="20" t="n">
        <v>0</v>
      </c>
      <c r="M234" s="20" t="n">
        <v>0</v>
      </c>
      <c r="O234" s="20" t="n">
        <v>-0.03</v>
      </c>
      <c r="P234" s="20" t="n">
        <v>-0.061</v>
      </c>
      <c r="Q234" s="20" t="n">
        <v>-0.07099999999999999</v>
      </c>
      <c r="R234" s="20" t="n">
        <v>-0.108</v>
      </c>
      <c r="S234" s="20" t="n">
        <v>0</v>
      </c>
      <c r="T234" s="20" t="n">
        <v>-0.22</v>
      </c>
      <c r="U234" s="20" t="n">
        <v>0</v>
      </c>
      <c r="V234" s="20" t="n">
        <v>-0</v>
      </c>
      <c r="W234" s="20" t="n">
        <v>-0.005</v>
      </c>
      <c r="X234" s="20" t="n">
        <v>0</v>
      </c>
    </row>
    <row r="235">
      <c r="A235" s="9" t="inlineStr">
        <is>
          <t>재무활동 현금흐름</t>
        </is>
      </c>
      <c r="C235" s="12" t="n">
        <v>-570.581</v>
      </c>
      <c r="E235" s="12" t="n">
        <v>-1505.362</v>
      </c>
      <c r="G235" s="12" t="n">
        <v>492.841</v>
      </c>
      <c r="I235" s="12" t="n">
        <v>142.477</v>
      </c>
      <c r="K235" s="12" t="n">
        <v>-967.653</v>
      </c>
      <c r="M235" s="12" t="n">
        <v>-3176.274</v>
      </c>
      <c r="O235" s="12" t="n">
        <v>-1346.192</v>
      </c>
      <c r="P235" s="12" t="n">
        <v>-1599.119</v>
      </c>
      <c r="Q235" s="12" t="n">
        <v>546.157</v>
      </c>
      <c r="R235" s="12" t="n">
        <v>1164.037</v>
      </c>
      <c r="S235" s="12" t="n">
        <v>4014.648</v>
      </c>
      <c r="T235" s="12" t="n">
        <v>-789.068</v>
      </c>
      <c r="U235" s="12" t="n">
        <v>1524.997</v>
      </c>
      <c r="V235" s="12" t="n">
        <v>-1505.362</v>
      </c>
      <c r="W235" s="12" t="n">
        <v>142.477</v>
      </c>
      <c r="X235" s="12" t="n">
        <v>-3176.274</v>
      </c>
    </row>
    <row r="236">
      <c r="A236" s="18" t="inlineStr">
        <is>
          <t>현금성자산 환산차이</t>
        </is>
      </c>
      <c r="C236" s="20" t="n">
        <v>126.31</v>
      </c>
      <c r="E236" s="20" t="n">
        <v>113.803</v>
      </c>
      <c r="G236" s="20" t="n">
        <v>200.093</v>
      </c>
      <c r="I236" s="20" t="n">
        <v>152.746</v>
      </c>
      <c r="K236" s="20" t="n">
        <v>-98.61499999999999</v>
      </c>
      <c r="M236" s="20" t="n">
        <v>134.64</v>
      </c>
      <c r="O236" s="20" t="n">
        <v>-44.488</v>
      </c>
      <c r="P236" s="20" t="n">
        <v>53.999</v>
      </c>
      <c r="Q236" s="20" t="n">
        <v>-52.592</v>
      </c>
      <c r="R236" s="20" t="n">
        <v>-5.25</v>
      </c>
      <c r="S236" s="20" t="n">
        <v>-19.497</v>
      </c>
      <c r="T236" s="20" t="n">
        <v>86.80800000000001</v>
      </c>
      <c r="U236" s="20" t="n">
        <v>148.953</v>
      </c>
      <c r="V236" s="20" t="n">
        <v>113.803</v>
      </c>
      <c r="W236" s="20" t="n">
        <v>152.746</v>
      </c>
      <c r="X236" s="20" t="n">
        <v>134.64</v>
      </c>
    </row>
    <row r="237">
      <c r="A237" s="18" t="inlineStr">
        <is>
          <t>현금성자산 증감</t>
        </is>
      </c>
      <c r="C237" s="20" t="n">
        <v>-847.527</v>
      </c>
      <c r="E237" s="20" t="n">
        <v>-857.694</v>
      </c>
      <c r="G237" s="20" t="n">
        <v>708.306</v>
      </c>
      <c r="I237" s="20" t="n">
        <v>189.92</v>
      </c>
      <c r="K237" s="20" t="n">
        <v>1445.709</v>
      </c>
      <c r="M237" s="20" t="n">
        <v>1102.574</v>
      </c>
      <c r="O237" s="20" t="n">
        <v>429.395</v>
      </c>
      <c r="P237" s="20" t="n">
        <v>-32.508</v>
      </c>
      <c r="Q237" s="20" t="n">
        <v>275.003</v>
      </c>
      <c r="R237" s="20" t="n">
        <v>2874.999</v>
      </c>
      <c r="S237" s="20" t="n">
        <v>3320.099</v>
      </c>
      <c r="T237" s="20" t="n">
        <v>-4257.695</v>
      </c>
      <c r="U237" s="20" t="n">
        <v>-461.81</v>
      </c>
      <c r="V237" s="20" t="n">
        <v>-857.694</v>
      </c>
      <c r="W237" s="20" t="n">
        <v>189.92</v>
      </c>
      <c r="X237" s="20" t="n">
        <v>1102.574</v>
      </c>
    </row>
    <row r="238">
      <c r="A238" s="18" t="inlineStr">
        <is>
          <t>연결자회사 결산기 변경에 따른 현금성자산 증감액</t>
        </is>
      </c>
      <c r="O238" s="20" t="n">
        <v>45.565</v>
      </c>
      <c r="P238" s="20" t="n">
        <v>0</v>
      </c>
    </row>
    <row r="239">
      <c r="A239" s="18" t="inlineStr">
        <is>
          <t>신규 연결 현금성자산 증가</t>
        </is>
      </c>
      <c r="C239" s="20" t="n">
        <v>365.592</v>
      </c>
      <c r="E239" s="20" t="n">
        <v>365.592</v>
      </c>
      <c r="G239" s="20" t="n">
        <v>0</v>
      </c>
      <c r="I239" s="20" t="n">
        <v>57.592</v>
      </c>
      <c r="K239" s="20" t="n">
        <v>61.301</v>
      </c>
      <c r="M239" s="20" t="n">
        <v>53.098</v>
      </c>
      <c r="Q239" s="20" t="n">
        <v>0</v>
      </c>
      <c r="R239" s="20" t="n">
        <v>9.965999999999999</v>
      </c>
      <c r="S239" s="20" t="n">
        <v>0</v>
      </c>
      <c r="T239" s="20" t="n">
        <v>118.563</v>
      </c>
      <c r="U239" s="20" t="n">
        <v>0</v>
      </c>
      <c r="V239" s="20" t="n">
        <v>365.592</v>
      </c>
      <c r="W239" s="20" t="n">
        <v>57.592</v>
      </c>
      <c r="X239" s="20" t="n">
        <v>53.098</v>
      </c>
    </row>
    <row r="240">
      <c r="A240" s="18" t="inlineStr">
        <is>
          <t>비연결 자회사 합병에 따른 현금성자산 증가</t>
        </is>
      </c>
      <c r="R240" s="20" t="n">
        <v>0</v>
      </c>
      <c r="S240" s="20" t="n">
        <v>10.888</v>
      </c>
      <c r="T240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6629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25938.73</v>
      </c>
      <c r="D5" s="12" t="n">
        <v>26079.631</v>
      </c>
      <c r="E5" s="12" t="n">
        <v>26491.4</v>
      </c>
      <c r="F5" s="12" t="n">
        <v>30731</v>
      </c>
      <c r="G5" s="12" t="n">
        <v>31079</v>
      </c>
      <c r="H5" s="11" t="n">
        <v>20934.482</v>
      </c>
      <c r="I5" s="12" t="n">
        <v>27386.688</v>
      </c>
      <c r="J5" s="12" t="n">
        <v>26360.765</v>
      </c>
      <c r="K5" s="12" t="n">
        <v>28398.735</v>
      </c>
      <c r="L5" s="12" t="n">
        <v>30731</v>
      </c>
    </row>
    <row r="6">
      <c r="A6" s="18" t="inlineStr">
        <is>
          <t>현금및현금성자산</t>
        </is>
      </c>
      <c r="B6" s="10" t="n"/>
      <c r="C6" s="19" t="n">
        <v>4759.411</v>
      </c>
      <c r="D6" s="20" t="n">
        <v>4945.729</v>
      </c>
      <c r="E6" s="20" t="n">
        <v>4473.545</v>
      </c>
      <c r="F6" s="20" t="n">
        <v>4688</v>
      </c>
      <c r="G6" s="20" t="n">
        <v>5808</v>
      </c>
      <c r="H6" s="19" t="n">
        <v>4145.116</v>
      </c>
      <c r="I6" s="20" t="n">
        <v>3683.306</v>
      </c>
      <c r="J6" s="20" t="n">
        <v>3191.204</v>
      </c>
      <c r="K6" s="20" t="n">
        <v>3438.718</v>
      </c>
      <c r="L6" s="20" t="n">
        <v>4688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9631.311</v>
      </c>
      <c r="D8" s="20" t="n">
        <v>10080.845</v>
      </c>
      <c r="E8" s="20" t="n">
        <v>10218.493</v>
      </c>
      <c r="F8" s="20" t="n">
        <v>15177</v>
      </c>
      <c r="G8" s="20" t="n">
        <v>13550</v>
      </c>
      <c r="H8" s="19" t="n">
        <v>7753.192</v>
      </c>
      <c r="I8" s="20" t="n">
        <v>11296.378</v>
      </c>
      <c r="J8" s="20" t="n">
        <v>11024.927</v>
      </c>
      <c r="K8" s="20" t="n">
        <v>14204.473</v>
      </c>
      <c r="L8" s="20" t="n">
        <v>15177</v>
      </c>
    </row>
    <row r="9">
      <c r="A9" s="18" t="inlineStr">
        <is>
          <t>재고자산</t>
        </is>
      </c>
      <c r="B9" s="10" t="n"/>
      <c r="C9" s="19" t="n">
        <v>8655.332</v>
      </c>
      <c r="D9" s="20" t="n">
        <v>8646.1</v>
      </c>
      <c r="E9" s="20" t="n">
        <v>8486.353999999999</v>
      </c>
      <c r="F9" s="20" t="n">
        <v>7636</v>
      </c>
      <c r="G9" s="20" t="n">
        <v>8902</v>
      </c>
      <c r="H9" s="19" t="n">
        <v>6663.39</v>
      </c>
      <c r="I9" s="20" t="n">
        <v>9259.075999999999</v>
      </c>
      <c r="J9" s="20" t="n">
        <v>8549.945</v>
      </c>
      <c r="K9" s="20" t="n">
        <v>8011.746</v>
      </c>
      <c r="L9" s="20" t="n">
        <v>7636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8712.282999999999</v>
      </c>
      <c r="D11" s="12" t="n">
        <v>8503.528</v>
      </c>
      <c r="E11" s="12" t="n">
        <v>8466.358</v>
      </c>
      <c r="F11" s="12" t="n">
        <v>8680</v>
      </c>
      <c r="G11" s="12" t="n">
        <v>8820</v>
      </c>
      <c r="H11" s="11" t="n">
        <v>10846.555</v>
      </c>
      <c r="I11" s="12" t="n">
        <v>9516.825000000001</v>
      </c>
      <c r="J11" s="12" t="n">
        <v>9731.77</v>
      </c>
      <c r="K11" s="12" t="n">
        <v>8998.273999999999</v>
      </c>
      <c r="L11" s="12" t="n">
        <v>8680</v>
      </c>
    </row>
    <row r="12">
      <c r="A12" s="18" t="inlineStr">
        <is>
          <t>유형자산</t>
        </is>
      </c>
      <c r="B12" s="10" t="n"/>
      <c r="C12" s="19" t="n">
        <v>5338.75</v>
      </c>
      <c r="D12" s="20" t="n">
        <v>5213.82</v>
      </c>
      <c r="E12" s="20" t="n">
        <v>5179.666</v>
      </c>
      <c r="F12" s="20" t="n">
        <v>5158</v>
      </c>
      <c r="G12" s="20" t="n">
        <v>5244</v>
      </c>
      <c r="H12" s="19" t="n">
        <v>4690.059</v>
      </c>
      <c r="I12" s="20" t="n">
        <v>4754.55</v>
      </c>
      <c r="J12" s="20" t="n">
        <v>5361.729</v>
      </c>
      <c r="K12" s="20" t="n">
        <v>5363.805</v>
      </c>
      <c r="L12" s="20" t="n">
        <v>5158</v>
      </c>
    </row>
    <row r="13">
      <c r="A13" s="18" t="inlineStr">
        <is>
          <t>무형자산</t>
        </is>
      </c>
      <c r="B13" s="10" t="n"/>
      <c r="C13" s="19" t="n">
        <v>2007.377</v>
      </c>
      <c r="D13" s="20" t="n">
        <v>2071.822</v>
      </c>
      <c r="E13" s="20" t="n">
        <v>1944.596</v>
      </c>
      <c r="F13" s="20" t="n">
        <v>2223</v>
      </c>
      <c r="G13" s="20" t="n">
        <v>2146</v>
      </c>
      <c r="H13" s="19" t="n">
        <v>4162.542</v>
      </c>
      <c r="I13" s="20" t="n">
        <v>2994.46</v>
      </c>
      <c r="J13" s="20" t="n">
        <v>2738.924</v>
      </c>
      <c r="K13" s="20" t="n">
        <v>2219.929</v>
      </c>
      <c r="L13" s="20" t="n">
        <v>2223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34651.014</v>
      </c>
      <c r="D16" s="12" t="n">
        <v>34583.16</v>
      </c>
      <c r="E16" s="12" t="n">
        <v>34957.759</v>
      </c>
      <c r="F16" s="12" t="n">
        <v>39412</v>
      </c>
      <c r="G16" s="12" t="n">
        <v>39899</v>
      </c>
      <c r="H16" s="11" t="n">
        <v>31781.037</v>
      </c>
      <c r="I16" s="12" t="n">
        <v>36903.513</v>
      </c>
      <c r="J16" s="12" t="n">
        <v>36092.535</v>
      </c>
      <c r="K16" s="12" t="n">
        <v>37397.01</v>
      </c>
      <c r="L16" s="12" t="n">
        <v>39412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20087.762</v>
      </c>
      <c r="D18" s="12" t="n">
        <v>20049.106</v>
      </c>
      <c r="E18" s="12" t="n">
        <v>20245.533</v>
      </c>
      <c r="F18" s="12" t="n">
        <v>23562</v>
      </c>
      <c r="G18" s="12" t="n">
        <v>24319</v>
      </c>
      <c r="H18" s="11" t="n">
        <v>16546.508</v>
      </c>
      <c r="I18" s="12" t="n">
        <v>22758.809</v>
      </c>
      <c r="J18" s="12" t="n">
        <v>21127.567</v>
      </c>
      <c r="K18" s="12" t="n">
        <v>22560.911</v>
      </c>
      <c r="L18" s="12" t="n">
        <v>23562</v>
      </c>
    </row>
    <row r="19">
      <c r="A19" s="18" t="inlineStr">
        <is>
          <t>매입채무</t>
        </is>
      </c>
      <c r="B19" s="10" t="n"/>
      <c r="C19" s="19" t="n">
        <v>4958.806</v>
      </c>
      <c r="D19" s="20" t="n">
        <v>4463.274</v>
      </c>
      <c r="E19" s="20" t="n">
        <v>4769.16</v>
      </c>
      <c r="F19" s="20" t="n">
        <v>6944</v>
      </c>
      <c r="G19" s="20" t="n">
        <v>5786</v>
      </c>
      <c r="H19" s="19" t="n">
        <v>4489.846</v>
      </c>
      <c r="I19" s="20" t="n">
        <v>8388.380999999999</v>
      </c>
      <c r="J19" s="20" t="n">
        <v>6082.846</v>
      </c>
      <c r="K19" s="20" t="n">
        <v>5713.329</v>
      </c>
      <c r="L19" s="20" t="n">
        <v>6944</v>
      </c>
    </row>
    <row r="20">
      <c r="A20" s="18" t="inlineStr">
        <is>
          <t>단기차입금</t>
        </is>
      </c>
      <c r="B20" s="10" t="n"/>
      <c r="C20" s="19" t="n">
        <v>8931.018</v>
      </c>
      <c r="D20" s="20" t="n">
        <v>9155.949000000001</v>
      </c>
      <c r="E20" s="20" t="n">
        <v>8756.442999999999</v>
      </c>
      <c r="F20" s="20" t="n">
        <v>8166</v>
      </c>
      <c r="G20" s="20" t="n">
        <v>10021</v>
      </c>
      <c r="H20" s="19" t="n">
        <v>9168.540000000001</v>
      </c>
      <c r="I20" s="20" t="n">
        <v>11190.648</v>
      </c>
      <c r="J20" s="20" t="n">
        <v>10775.909</v>
      </c>
      <c r="K20" s="20" t="n">
        <v>9623.762000000001</v>
      </c>
      <c r="L20" s="20" t="n">
        <v>8166</v>
      </c>
    </row>
    <row r="21">
      <c r="A21" s="18" t="inlineStr">
        <is>
          <t>유동성장기부채</t>
        </is>
      </c>
      <c r="B21" s="10" t="n"/>
      <c r="C21" s="19" t="n">
        <v>2479.217</v>
      </c>
      <c r="D21" s="20" t="n">
        <v>2307.82</v>
      </c>
      <c r="E21" s="20" t="n">
        <v>2124.441</v>
      </c>
      <c r="F21" s="20" t="n">
        <v>1944</v>
      </c>
      <c r="G21" s="20" t="n">
        <v>1856</v>
      </c>
      <c r="H21" s="19" t="n">
        <v>50</v>
      </c>
      <c r="I21" s="20" t="n">
        <v>0</v>
      </c>
      <c r="J21" s="20" t="n"/>
      <c r="K21" s="20" t="n">
        <v>2434.983</v>
      </c>
      <c r="L21" s="20" t="n">
        <v>1944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5275.207</v>
      </c>
      <c r="D23" s="12" t="n">
        <v>4751.087</v>
      </c>
      <c r="E23" s="12" t="n">
        <v>4519.915</v>
      </c>
      <c r="F23" s="12" t="n">
        <v>3572</v>
      </c>
      <c r="G23" s="12" t="n">
        <v>3143</v>
      </c>
      <c r="H23" s="11" t="n">
        <v>5499.35</v>
      </c>
      <c r="I23" s="12" t="n">
        <v>5433.521</v>
      </c>
      <c r="J23" s="12" t="n">
        <v>5151.482</v>
      </c>
      <c r="K23" s="12" t="n">
        <v>4738.061</v>
      </c>
      <c r="L23" s="12" t="n">
        <v>3572</v>
      </c>
    </row>
    <row r="24">
      <c r="A24" s="18" t="inlineStr">
        <is>
          <t>장기차입금</t>
        </is>
      </c>
      <c r="B24" s="10" t="n"/>
      <c r="C24" s="19" t="n">
        <v>4390.955</v>
      </c>
      <c r="D24" s="20" t="n">
        <v>3910.784</v>
      </c>
      <c r="E24" s="20" t="n">
        <v>3704.117</v>
      </c>
      <c r="F24" s="20" t="n">
        <v>2874</v>
      </c>
      <c r="G24" s="20" t="n">
        <v>2456</v>
      </c>
      <c r="H24" s="19" t="n">
        <v>4676.169</v>
      </c>
      <c r="I24" s="20" t="n">
        <v>4698.09</v>
      </c>
      <c r="J24" s="20" t="n">
        <v>4211.652</v>
      </c>
      <c r="K24" s="20" t="n">
        <v>3877.465</v>
      </c>
      <c r="L24" s="20" t="n">
        <v>2874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0</v>
      </c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25362.969</v>
      </c>
      <c r="D27" s="12" t="n">
        <v>24800.194</v>
      </c>
      <c r="E27" s="12" t="n">
        <v>24765.448</v>
      </c>
      <c r="F27" s="12" t="n">
        <v>27134</v>
      </c>
      <c r="G27" s="12" t="n">
        <v>27462</v>
      </c>
      <c r="H27" s="11" t="n">
        <v>22045.859</v>
      </c>
      <c r="I27" s="12" t="n">
        <v>28192.331</v>
      </c>
      <c r="J27" s="12" t="n">
        <v>26279.049</v>
      </c>
      <c r="K27" s="12" t="n">
        <v>27298.973</v>
      </c>
      <c r="L27" s="12" t="n">
        <v>27134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9288.045</v>
      </c>
      <c r="D31" s="12" t="n">
        <v>9782.966</v>
      </c>
      <c r="E31" s="12" t="n">
        <v>10192.31</v>
      </c>
      <c r="F31" s="12" t="n">
        <v>12277</v>
      </c>
      <c r="G31" s="12" t="n">
        <v>12436</v>
      </c>
      <c r="H31" s="11" t="n">
        <v>9735.178</v>
      </c>
      <c r="I31" s="12" t="n">
        <v>8704.940000000001</v>
      </c>
      <c r="J31" s="12" t="n">
        <v>9799.662</v>
      </c>
      <c r="K31" s="12" t="n">
        <v>10088.632</v>
      </c>
      <c r="L31" s="12" t="n">
        <v>12277</v>
      </c>
    </row>
    <row r="32">
      <c r="A32" s="18" t="inlineStr">
        <is>
          <t>자본금</t>
        </is>
      </c>
      <c r="B32" s="10" t="n"/>
      <c r="C32" s="19" t="n">
        <v>2500</v>
      </c>
      <c r="D32" s="20" t="n">
        <v>2500</v>
      </c>
      <c r="E32" s="20" t="n">
        <v>2500</v>
      </c>
      <c r="F32" s="20" t="n">
        <v>2500</v>
      </c>
      <c r="G32" s="20" t="n">
        <v>2500</v>
      </c>
      <c r="H32" s="19" t="n">
        <v>2500</v>
      </c>
      <c r="I32" s="20" t="n">
        <v>2500</v>
      </c>
      <c r="J32" s="20" t="n">
        <v>2500</v>
      </c>
      <c r="K32" s="20" t="n">
        <v>2500</v>
      </c>
      <c r="L32" s="20" t="n">
        <v>2500</v>
      </c>
    </row>
    <row r="33">
      <c r="A33" s="18" t="inlineStr">
        <is>
          <t>이익잉여금</t>
        </is>
      </c>
      <c r="B33" s="10" t="n"/>
      <c r="C33" s="19" t="n">
        <v>2959.652</v>
      </c>
      <c r="D33" s="20" t="n">
        <v>3562.627</v>
      </c>
      <c r="E33" s="20" t="n">
        <v>3961.782</v>
      </c>
      <c r="F33" s="20" t="n">
        <v>5567</v>
      </c>
      <c r="G33" s="20" t="n">
        <v>5607</v>
      </c>
      <c r="H33" s="19" t="n">
        <v>4931.603</v>
      </c>
      <c r="I33" s="20" t="n">
        <v>3108.635</v>
      </c>
      <c r="J33" s="20" t="n">
        <v>4051.751</v>
      </c>
      <c r="K33" s="20" t="n">
        <v>3347.091</v>
      </c>
      <c r="L33" s="20" t="n">
        <v>5567</v>
      </c>
    </row>
    <row r="34">
      <c r="A34" s="18" t="inlineStr">
        <is>
          <t>비지배지분</t>
        </is>
      </c>
      <c r="B34" s="10" t="n"/>
      <c r="C34" s="19" t="n">
        <v>0</v>
      </c>
      <c r="D34" s="20" t="n">
        <v>0</v>
      </c>
      <c r="E34" s="20" t="n">
        <v>0</v>
      </c>
      <c r="F34" s="20" t="n">
        <v>0</v>
      </c>
      <c r="G34" s="20" t="n"/>
      <c r="H34" s="19" t="n">
        <v>0</v>
      </c>
      <c r="I34" s="20" t="n">
        <v>6.241</v>
      </c>
      <c r="J34" s="20" t="n">
        <v>13.823</v>
      </c>
      <c r="K34" s="20" t="n">
        <v>9.404999999999999</v>
      </c>
      <c r="L34" s="20" t="n">
        <v>0</v>
      </c>
    </row>
    <row r="35">
      <c r="A35" s="9" t="inlineStr">
        <is>
          <t>자본총계</t>
        </is>
      </c>
      <c r="B35" s="10" t="n"/>
      <c r="C35" s="11" t="n">
        <v>9288.045</v>
      </c>
      <c r="D35" s="12" t="n">
        <v>9782.966</v>
      </c>
      <c r="E35" s="12" t="n">
        <v>10192.31</v>
      </c>
      <c r="F35" s="12" t="n">
        <v>12277</v>
      </c>
      <c r="G35" s="12" t="n">
        <v>12436</v>
      </c>
      <c r="H35" s="11" t="n">
        <v>9735.178</v>
      </c>
      <c r="I35" s="12" t="n">
        <v>8711.181</v>
      </c>
      <c r="J35" s="12" t="n">
        <v>9813.485000000001</v>
      </c>
      <c r="K35" s="12" t="n">
        <v>10098.037</v>
      </c>
      <c r="L35" s="12" t="n">
        <v>12277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2760.053</v>
      </c>
      <c r="E37" s="12" t="n"/>
      <c r="F37" s="12" t="n">
        <v>4012.29</v>
      </c>
      <c r="G37" s="12" t="n"/>
      <c r="H37" s="11" t="n">
        <v>1029.812</v>
      </c>
      <c r="I37" s="12" t="n">
        <v>-1271.312</v>
      </c>
      <c r="J37" s="12" t="n">
        <v>1368.989</v>
      </c>
      <c r="K37" s="12" t="n">
        <v>850.165</v>
      </c>
      <c r="L37" s="12" t="n">
        <v>4012.29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328.339</v>
      </c>
      <c r="E38" s="20" t="n"/>
      <c r="F38" s="20" t="n">
        <v>374.377</v>
      </c>
      <c r="G38" s="20" t="n"/>
      <c r="H38" s="19" t="n">
        <v>750.8680000000001</v>
      </c>
      <c r="I38" s="20" t="n">
        <v>709.835</v>
      </c>
      <c r="J38" s="20" t="n">
        <v>619.053</v>
      </c>
      <c r="K38" s="20" t="n">
        <v>339.742</v>
      </c>
      <c r="L38" s="20" t="n">
        <v>374.377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161.723</v>
      </c>
      <c r="E40" s="20" t="n"/>
      <c r="F40" s="20" t="n">
        <v>161.723</v>
      </c>
      <c r="G40" s="20" t="n"/>
      <c r="H40" s="19" t="n">
        <v>269.543</v>
      </c>
      <c r="I40" s="20" t="n">
        <v>269.54</v>
      </c>
      <c r="J40" s="20" t="n">
        <v>0</v>
      </c>
      <c r="K40" s="20" t="n">
        <v>134.77</v>
      </c>
      <c r="L40" s="20" t="n">
        <v>161.723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IFERROR((IF(COUNT('연간'!G19:J19)&lt;4,"",SUM('연간'!G19:J19)))/(IF(COUNT('연간'!G41:J41)&lt;4,"",SUM('연간'!G41:J41))),"")</f>
        <v/>
      </c>
      <c r="D48" s="31">
        <f>IFERROR((IF(COUNT('연간'!H19:K19)&lt;4,"",SUM('연간'!H19:K19)))/(IF(COUNT('연간'!H41:K41)&lt;4,"",SUM('연간'!H41:K41))),"")</f>
        <v/>
      </c>
      <c r="E48" s="31">
        <f>IFERROR((IF(COUNT('연간'!I19:L19)&lt;4,"",SUM('연간'!I19:L19)))/(IF(COUNT('연간'!I41:L41)&lt;4,"",SUM('연간'!I41:L41))),"")</f>
        <v/>
      </c>
      <c r="F48" s="31">
        <f>IFERROR((IF(COUNT('연간'!J19:M19)&lt;4,"",SUM('연간'!J19:M19)))/(IF(COUNT('연간'!J41:M41)&lt;4,"",SUM('연간'!J41:M41))),"")</f>
        <v/>
      </c>
      <c r="G48" s="31">
        <f>IFERROR((IF(COUNT('연간'!K19:N19)&lt;4,"",SUM('연간'!K19:N19)))/(IF(COUNT('연간'!K41:N41)&lt;4,"",SUM('연간'!K41:N41))),"")</f>
        <v/>
      </c>
      <c r="H48" s="30">
        <f>IFERROR(('연간'!T19)/('연간'!T41),"")</f>
        <v/>
      </c>
      <c r="I48" s="31">
        <f>IFERROR(('연간'!U19)/('연간'!U41),"")</f>
        <v/>
      </c>
      <c r="J48" s="31">
        <f>IFERROR(('연간'!V19)/('연간'!V41),"")</f>
        <v/>
      </c>
      <c r="K48" s="31">
        <f>IFERROR(('연간'!W19)/('연간'!W41),"")</f>
        <v/>
      </c>
      <c r="L48" s="31">
        <f>IFERROR(('연간'!X19)/('연간'!X41),"")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IFERROR(IF((IF(COUNT('연간'!G47:J47)&lt;4,"",SUM('연간'!G47:J47)))&lt;=0,"적자",C28/(IF(COUNT('연간'!G47:J47)&lt;4,"",SUM('연간'!G47:J47)))),"")</f>
        <v/>
      </c>
      <c r="D49" s="46">
        <f>IFERROR(IF((IF(COUNT('연간'!H47:K47)&lt;4,"",SUM('연간'!H47:K47)))&lt;=0,"적자",D28/(IF(COUNT('연간'!H47:K47)&lt;4,"",SUM('연간'!H47:K47)))),"")</f>
        <v/>
      </c>
      <c r="E49" s="46">
        <f>IFERROR(IF((IF(COUNT('연간'!I47:L47)&lt;4,"",SUM('연간'!I47:L47)))&lt;=0,"적자",E28/(IF(COUNT('연간'!I47:L47)&lt;4,"",SUM('연간'!I47:L47)))),"")</f>
        <v/>
      </c>
      <c r="F49" s="46">
        <f>IFERROR(IF((IF(COUNT('연간'!J47:M47)&lt;4,"",SUM('연간'!J47:M47)))&lt;=0,"적자",F28/(IF(COUNT('연간'!J47:M47)&lt;4,"",SUM('연간'!J47:M47)))),"")</f>
        <v/>
      </c>
      <c r="G49" s="46">
        <f>IFERROR(IF((IF(COUNT('연간'!K47:N47)&lt;4,"",SUM('연간'!K47:N47)))&lt;=0,"적자",G28/(IF(COUNT('연간'!K47:N47)&lt;4,"",SUM('연간'!K47:N47)))),"")</f>
        <v/>
      </c>
      <c r="H49" s="45">
        <f>IFERROR(IF(('연간'!T47)&lt;=0,"적자",H28/('연간'!T47)),"")</f>
        <v/>
      </c>
      <c r="I49" s="46">
        <f>IFERROR(IF(('연간'!U47)&lt;=0,"적자",I28/('연간'!U47)),"")</f>
        <v/>
      </c>
      <c r="J49" s="46">
        <f>IFERROR(IF(('연간'!V47)&lt;=0,"적자",J28/('연간'!V47)),"")</f>
        <v/>
      </c>
      <c r="K49" s="46">
        <f>IFERROR(IF(('연간'!W47)&lt;=0,"적자",K28/('연간'!W47)),"")</f>
        <v/>
      </c>
      <c r="L49" s="46">
        <f>IFERROR(IF(('연간'!X47)&lt;=0,"적자",L28/('연간'!X47)),"")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IFERROR((IF(COUNT('연간'!G47:J47)&lt;4,"",SUM('연간'!G47:J47)))/C31,"")</f>
        <v/>
      </c>
      <c r="D51" s="36">
        <f>IFERROR((IF(COUNT('연간'!H47:K47)&lt;4,"",SUM('연간'!H47:K47)))/D31,"")</f>
        <v/>
      </c>
      <c r="E51" s="36">
        <f>IFERROR((IF(COUNT('연간'!I47:L47)&lt;4,"",SUM('연간'!I47:L47)))/E31,"")</f>
        <v/>
      </c>
      <c r="F51" s="36">
        <f>IFERROR((IF(COUNT('연간'!J47:M47)&lt;4,"",SUM('연간'!J47:M47)))/F31,"")</f>
        <v/>
      </c>
      <c r="G51" s="36">
        <f>IFERROR((IF(COUNT('연간'!K47:N47)&lt;4,"",SUM('연간'!K47:N47)))/G31,"")</f>
        <v/>
      </c>
      <c r="H51" s="35">
        <f>IFERROR(('연간'!T47)/H31,"")</f>
        <v/>
      </c>
      <c r="I51" s="36">
        <f>IFERROR(('연간'!U47)/I31,"")</f>
        <v/>
      </c>
      <c r="J51" s="36">
        <f>IFERROR(('연간'!V47)/J31,"")</f>
        <v/>
      </c>
      <c r="K51" s="36">
        <f>IFERROR(('연간'!W47)/K31,"")</f>
        <v/>
      </c>
      <c r="L51" s="36">
        <f>IFERROR(('연간'!X47)/L31,"")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IFERROR((IF(COUNT('연간'!G46:J46)&lt;4,"",SUM('연간'!G46:J46)))/C16,"")</f>
        <v/>
      </c>
      <c r="D52" s="36">
        <f>IFERROR((IF(COUNT('연간'!H46:K46)&lt;4,"",SUM('연간'!H46:K46)))/D16,"")</f>
        <v/>
      </c>
      <c r="E52" s="36">
        <f>IFERROR((IF(COUNT('연간'!I46:L46)&lt;4,"",SUM('연간'!I46:L46)))/E16,"")</f>
        <v/>
      </c>
      <c r="F52" s="36">
        <f>IFERROR((IF(COUNT('연간'!J46:M46)&lt;4,"",SUM('연간'!J46:M46)))/F16,"")</f>
        <v/>
      </c>
      <c r="G52" s="36">
        <f>IFERROR((IF(COUNT('연간'!K46:N46)&lt;4,"",SUM('연간'!K46:N46)))/G16,"")</f>
        <v/>
      </c>
      <c r="H52" s="35">
        <f>IFERROR(('연간'!T46)/H16,"")</f>
        <v/>
      </c>
      <c r="I52" s="36">
        <f>IFERROR(('연간'!U46)/I16,"")</f>
        <v/>
      </c>
      <c r="J52" s="36">
        <f>IFERROR(('연간'!V46)/J16,"")</f>
        <v/>
      </c>
      <c r="K52" s="36">
        <f>IFERROR(('연간'!W46)/K16,"")</f>
        <v/>
      </c>
      <c r="L52" s="36">
        <f>IFERROR(('연간'!X46)/L16,"")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IFERROR((IF(COUNT('연간'!G19:J19)&lt;4,"",SUM('연간'!G19:J19)))*(1-0.3)/(C35+C29),"")</f>
        <v/>
      </c>
      <c r="D53" s="36">
        <f>IFERROR((IF(COUNT('연간'!H19:K19)&lt;4,"",SUM('연간'!H19:K19)))*(1-0.3)/(D35+D29),"")</f>
        <v/>
      </c>
      <c r="E53" s="36">
        <f>IFERROR((IF(COUNT('연간'!I19:L19)&lt;4,"",SUM('연간'!I19:L19)))*(1-0.3)/(E35+E29),"")</f>
        <v/>
      </c>
      <c r="F53" s="36">
        <f>IFERROR((IF(COUNT('연간'!J19:M19)&lt;4,"",SUM('연간'!J19:M19)))*(1-0.3)/(F35+F29),"")</f>
        <v/>
      </c>
      <c r="G53" s="36">
        <f>IFERROR((IF(COUNT('연간'!K19:N19)&lt;4,"",SUM('연간'!K19:N19)))*(1-0.3)/(G35+G29),"")</f>
        <v/>
      </c>
      <c r="H53" s="35">
        <f>IFERROR(('연간'!T19)*(1-0.3)/(H35+H29),"")</f>
        <v/>
      </c>
      <c r="I53" s="36">
        <f>IFERROR(('연간'!U19)*(1-0.3)/(I35+I29),"")</f>
        <v/>
      </c>
      <c r="J53" s="36">
        <f>IFERROR(('연간'!V19)*(1-0.3)/(J35+J29),"")</f>
        <v/>
      </c>
      <c r="K53" s="36">
        <f>IFERROR(('연간'!W19)*(1-0.3)/(K35+K29),"")</f>
        <v/>
      </c>
      <c r="L53" s="36">
        <f>IFERROR(('연간'!X19)*(1-0.3)/(L35+L29),"")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IFERROR((IF(COUNT('연간'!G15:J15)&lt;4,"",SUM('연간'!G15:J15)))/(IF(COUNT('연간'!G4:J4)&lt;4,"",SUM('연간'!G4:J4))),"")</f>
        <v/>
      </c>
      <c r="D54" s="36">
        <f>IFERROR((IF(COUNT('연간'!H15:K15)&lt;4,"",SUM('연간'!H15:K15)))/(IF(COUNT('연간'!H4:K4)&lt;4,"",SUM('연간'!H4:K4))),"")</f>
        <v/>
      </c>
      <c r="E54" s="36">
        <f>IFERROR((IF(COUNT('연간'!I15:L15)&lt;4,"",SUM('연간'!I15:L15)))/(IF(COUNT('연간'!I4:L4)&lt;4,"",SUM('연간'!I4:L4))),"")</f>
        <v/>
      </c>
      <c r="F54" s="36">
        <f>IFERROR((IF(COUNT('연간'!J15:M15)&lt;4,"",SUM('연간'!J15:M15)))/(IF(COUNT('연간'!J4:M4)&lt;4,"",SUM('연간'!J4:M4))),"")</f>
        <v/>
      </c>
      <c r="G54" s="36">
        <f>IFERROR((IF(COUNT('연간'!K15:N15)&lt;4,"",SUM('연간'!K15:N15)))/(IF(COUNT('연간'!K4:N4)&lt;4,"",SUM('연간'!K4:N4))),"")</f>
        <v/>
      </c>
      <c r="H54" s="35">
        <f>IFERROR(('연간'!T15)/('연간'!T4),"")</f>
        <v/>
      </c>
      <c r="I54" s="36">
        <f>IFERROR(('연간'!U15)/('연간'!U4),"")</f>
        <v/>
      </c>
      <c r="J54" s="36">
        <f>IFERROR(('연간'!V15)/('연간'!V4),"")</f>
        <v/>
      </c>
      <c r="K54" s="36">
        <f>IFERROR(('연간'!W15)/('연간'!W4),"")</f>
        <v/>
      </c>
      <c r="L54" s="36">
        <f>IFERROR(('연간'!X15)/('연간'!X4),"")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IFERROR((IF(COUNT('연간'!G19:J19)&lt;4,"",SUM('연간'!G19:J19)))/(IF(COUNT('연간'!G4:J4)&lt;4,"",SUM('연간'!G4:J4))),"")</f>
        <v/>
      </c>
      <c r="D55" s="36">
        <f>IFERROR((IF(COUNT('연간'!H19:K19)&lt;4,"",SUM('연간'!H19:K19)))/(IF(COUNT('연간'!H4:K4)&lt;4,"",SUM('연간'!H4:K4))),"")</f>
        <v/>
      </c>
      <c r="E55" s="36">
        <f>IFERROR((IF(COUNT('연간'!I19:L19)&lt;4,"",SUM('연간'!I19:L19)))/(IF(COUNT('연간'!I4:L4)&lt;4,"",SUM('연간'!I4:L4))),"")</f>
        <v/>
      </c>
      <c r="F55" s="36">
        <f>IFERROR((IF(COUNT('연간'!J19:M19)&lt;4,"",SUM('연간'!J19:M19)))/(IF(COUNT('연간'!J4:M4)&lt;4,"",SUM('연간'!J4:M4))),"")</f>
        <v/>
      </c>
      <c r="G55" s="36">
        <f>IFERROR((IF(COUNT('연간'!K19:N19)&lt;4,"",SUM('연간'!K19:N19)))/(IF(COUNT('연간'!K4:N4)&lt;4,"",SUM('연간'!K4:N4))),"")</f>
        <v/>
      </c>
      <c r="H55" s="35">
        <f>IFERROR(('연간'!T19)/('연간'!T4),"")</f>
        <v/>
      </c>
      <c r="I55" s="36">
        <f>IFERROR(('연간'!U19)/('연간'!U4),"")</f>
        <v/>
      </c>
      <c r="J55" s="36">
        <f>IFERROR(('연간'!V19)/('연간'!V4),"")</f>
        <v/>
      </c>
      <c r="K55" s="36">
        <f>IFERROR(('연간'!W19)/('연간'!W4),"")</f>
        <v/>
      </c>
      <c r="L55" s="36">
        <f>IFERROR(('연간'!X19)/('연간'!X4),"")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IFERROR((IF(COUNT('연간'!G46:J46)&lt;4,"",SUM('연간'!G46:J46)))/(IF(COUNT('연간'!G4:J4)&lt;4,"",SUM('연간'!G4:J4))),"")</f>
        <v/>
      </c>
      <c r="D56" s="36">
        <f>IFERROR((IF(COUNT('연간'!H46:K46)&lt;4,"",SUM('연간'!H46:K46)))/(IF(COUNT('연간'!H4:K4)&lt;4,"",SUM('연간'!H4:K4))),"")</f>
        <v/>
      </c>
      <c r="E56" s="36">
        <f>IFERROR((IF(COUNT('연간'!I46:L46)&lt;4,"",SUM('연간'!I46:L46)))/(IF(COUNT('연간'!I4:L4)&lt;4,"",SUM('연간'!I4:L4))),"")</f>
        <v/>
      </c>
      <c r="F56" s="36">
        <f>IFERROR((IF(COUNT('연간'!J46:M46)&lt;4,"",SUM('연간'!J46:M46)))/(IF(COUNT('연간'!J4:M4)&lt;4,"",SUM('연간'!J4:M4))),"")</f>
        <v/>
      </c>
      <c r="G56" s="36">
        <f>IFERROR((IF(COUNT('연간'!K46:N46)&lt;4,"",SUM('연간'!K46:N46)))/(IF(COUNT('연간'!K4:N4)&lt;4,"",SUM('연간'!K4:N4))),"")</f>
        <v/>
      </c>
      <c r="H56" s="35">
        <f>IFERROR(('연간'!T46)/('연간'!T4),"")</f>
        <v/>
      </c>
      <c r="I56" s="36">
        <f>IFERROR(('연간'!U46)/('연간'!U4),"")</f>
        <v/>
      </c>
      <c r="J56" s="36">
        <f>IFERROR(('연간'!V46)/('연간'!V4),"")</f>
        <v/>
      </c>
      <c r="K56" s="36">
        <f>IFERROR(('연간'!W46)/('연간'!W4),"")</f>
        <v/>
      </c>
      <c r="L56" s="36">
        <f>IFERROR(('연간'!X46)/('연간'!X4),"")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IFERROR(C9/(IF(COUNT('연간'!G14:J14)&lt;4,"",SUM('연간'!G14:J14)))*365,"")</f>
        <v/>
      </c>
      <c r="D60" s="48">
        <f>IFERROR(D9/(IF(COUNT('연간'!H14:K14)&lt;4,"",SUM('연간'!H14:K14)))*365,"")</f>
        <v/>
      </c>
      <c r="E60" s="48">
        <f>IFERROR(E9/(IF(COUNT('연간'!I14:L14)&lt;4,"",SUM('연간'!I14:L14)))*365,"")</f>
        <v/>
      </c>
      <c r="F60" s="48">
        <f>IFERROR(F9/(IF(COUNT('연간'!J14:M14)&lt;4,"",SUM('연간'!J14:M14)))*365,"")</f>
        <v/>
      </c>
      <c r="G60" s="48">
        <f>IFERROR(G9/(IF(COUNT('연간'!K14:N14)&lt;4,"",SUM('연간'!K14:N14)))*365,"")</f>
        <v/>
      </c>
      <c r="H60" s="47">
        <f>IFERROR(H9/('연간'!T14)*365,"")</f>
        <v/>
      </c>
      <c r="I60" s="48">
        <f>IFERROR(I9/('연간'!U14)*365,"")</f>
        <v/>
      </c>
      <c r="J60" s="48">
        <f>IFERROR(J9/('연간'!V14)*365,"")</f>
        <v/>
      </c>
      <c r="K60" s="48">
        <f>IFERROR(K9/('연간'!W14)*365,"")</f>
        <v/>
      </c>
      <c r="L60" s="48">
        <f>IFERROR(L9/('연간'!X14)*365,"")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IFERROR(C19/(IF(COUNT('연간'!G14:J14)&lt;4,"",SUM('연간'!G14:J14)))*365,"")</f>
        <v/>
      </c>
      <c r="D61" s="48">
        <f>IFERROR(D19/(IF(COUNT('연간'!H14:K14)&lt;4,"",SUM('연간'!H14:K14)))*365,"")</f>
        <v/>
      </c>
      <c r="E61" s="48">
        <f>IFERROR(E19/(IF(COUNT('연간'!I14:L14)&lt;4,"",SUM('연간'!I14:L14)))*365,"")</f>
        <v/>
      </c>
      <c r="F61" s="48">
        <f>IFERROR(F19/(IF(COUNT('연간'!J14:M14)&lt;4,"",SUM('연간'!J14:M14)))*365,"")</f>
        <v/>
      </c>
      <c r="G61" s="48">
        <f>IFERROR(G19/(IF(COUNT('연간'!K14:N14)&lt;4,"",SUM('연간'!K14:N14)))*365,"")</f>
        <v/>
      </c>
      <c r="H61" s="47">
        <f>IFERROR(H19/('연간'!T14)*365,"")</f>
        <v/>
      </c>
      <c r="I61" s="48">
        <f>IFERROR(I19/('연간'!U14)*365,"")</f>
        <v/>
      </c>
      <c r="J61" s="48">
        <f>IFERROR(J19/('연간'!V14)*365,"")</f>
        <v/>
      </c>
      <c r="K61" s="48">
        <f>IFERROR(K19/('연간'!W14)*365,"")</f>
        <v/>
      </c>
      <c r="L61" s="48">
        <f>IFERROR(L19/('연간'!X14)*365,"")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IF(C37="","",IFERROR(C37/(IF(COUNT('연간'!G46:J46)&lt;4,"",SUM('연간'!G46:J46))),""))</f>
        <v/>
      </c>
      <c r="D64" s="31">
        <f>IF(D37="","",IFERROR(D37/(IF(COUNT('연간'!H46:K46)&lt;4,"",SUM('연간'!H46:K46))),""))</f>
        <v/>
      </c>
      <c r="E64" s="31">
        <f>IF(E37="","",IFERROR(E37/(IF(COUNT('연간'!I46:L46)&lt;4,"",SUM('연간'!I46:L46))),""))</f>
        <v/>
      </c>
      <c r="F64" s="31">
        <f>IF(F37="","",IFERROR(F37/(IF(COUNT('연간'!J46:M46)&lt;4,"",SUM('연간'!J46:M46))),""))</f>
        <v/>
      </c>
      <c r="G64" s="31">
        <f>IF(G37="","",IFERROR(G37/(IF(COUNT('연간'!K46:N46)&lt;4,"",SUM('연간'!K46:N46))),""))</f>
        <v/>
      </c>
      <c r="H64" s="30">
        <f>IF(H37="","",IFERROR(H37/('연간'!T46),""))</f>
        <v/>
      </c>
      <c r="I64" s="31">
        <f>IF(I37="","",IFERROR(I37/('연간'!U46),""))</f>
        <v/>
      </c>
      <c r="J64" s="31">
        <f>IF(J37="","",IFERROR(J37/('연간'!V46),""))</f>
        <v/>
      </c>
      <c r="K64" s="31">
        <f>IF(K37="","",IFERROR(K37/('연간'!W46),""))</f>
        <v/>
      </c>
      <c r="L64" s="31">
        <f>IF(L37="","",IFERROR(L37/('연간'!X46),""))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IF(C40="","",IFERROR(C40/(IF(COUNT('연간'!G47:J47)&lt;4,"",SUM('연간'!G47:J47))),""))</f>
        <v/>
      </c>
      <c r="D67" s="36">
        <f>IF(D40="","",IFERROR(D40/(IF(COUNT('연간'!H47:K47)&lt;4,"",SUM('연간'!H47:K47))),""))</f>
        <v/>
      </c>
      <c r="E67" s="36">
        <f>IF(E40="","",IFERROR(E40/(IF(COUNT('연간'!I47:L47)&lt;4,"",SUM('연간'!I47:L47))),""))</f>
        <v/>
      </c>
      <c r="F67" s="36">
        <f>IF(F40="","",IFERROR(F40/(IF(COUNT('연간'!J47:M47)&lt;4,"",SUM('연간'!J47:M47))),""))</f>
        <v/>
      </c>
      <c r="G67" s="36">
        <f>IF(G40="","",IFERROR(G40/(IF(COUNT('연간'!K47:N47)&lt;4,"",SUM('연간'!K47:N47))),""))</f>
        <v/>
      </c>
      <c r="H67" s="35">
        <f>IF(H40="","",IFERROR(H40/('연간'!T47),""))</f>
        <v/>
      </c>
      <c r="I67" s="36">
        <f>IF(I40="","",IFERROR(I40/('연간'!U47),""))</f>
        <v/>
      </c>
      <c r="J67" s="36">
        <f>IF(J40="","",IFERROR(J40/('연간'!V47),""))</f>
        <v/>
      </c>
      <c r="K67" s="36">
        <f>IF(K40="","",IFERROR(K40/('연간'!W47),""))</f>
        <v/>
      </c>
      <c r="L67" s="36">
        <f>IF(L40="","",IFERROR(L40/('연간'!X47),""))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4759.411</v>
      </c>
      <c r="D71" s="20" t="n">
        <v>4945.729</v>
      </c>
      <c r="E71" s="20" t="n">
        <v>4473.545</v>
      </c>
      <c r="F71" s="20" t="n">
        <v>4688</v>
      </c>
      <c r="G71" s="20" t="n">
        <v>5808</v>
      </c>
      <c r="H71" s="20" t="n">
        <v>4145.116</v>
      </c>
      <c r="I71" s="20" t="n">
        <v>3683.306</v>
      </c>
      <c r="J71" s="20" t="n">
        <v>3191.204</v>
      </c>
      <c r="K71" s="20" t="n">
        <v>3438.718</v>
      </c>
      <c r="L71" s="20" t="n">
        <v>4688</v>
      </c>
    </row>
    <row r="72">
      <c r="A72" s="18" t="inlineStr">
        <is>
          <t>받을어음·매출채권</t>
        </is>
      </c>
      <c r="C72" s="20" t="n">
        <v>9631.311</v>
      </c>
      <c r="D72" s="20" t="n">
        <v>10080.845</v>
      </c>
      <c r="E72" s="20" t="n">
        <v>10218.493</v>
      </c>
      <c r="H72" s="20" t="n">
        <v>7753.192</v>
      </c>
      <c r="I72" s="20" t="n">
        <v>11296.378</v>
      </c>
      <c r="J72" s="20" t="n">
        <v>11024.927</v>
      </c>
      <c r="K72" s="20" t="n">
        <v>13513.574</v>
      </c>
    </row>
    <row r="73">
      <c r="A73" s="18" t="inlineStr">
        <is>
          <t>받을어음·매출채권·계약자산</t>
        </is>
      </c>
      <c r="F73" s="20" t="n">
        <v>15177</v>
      </c>
      <c r="G73" s="20" t="n">
        <v>13550</v>
      </c>
      <c r="K73" s="20" t="n">
        <v>14204.473</v>
      </c>
      <c r="L73" s="20" t="n">
        <v>15177</v>
      </c>
    </row>
    <row r="74">
      <c r="A74" s="18" t="inlineStr">
        <is>
          <t>전자기록채권</t>
        </is>
      </c>
      <c r="C74" s="20" t="n">
        <v>900.095</v>
      </c>
      <c r="D74" s="20" t="n">
        <v>775.419</v>
      </c>
      <c r="E74" s="20" t="n">
        <v>843.593</v>
      </c>
      <c r="F74" s="20" t="n">
        <v>989</v>
      </c>
      <c r="G74" s="20" t="n">
        <v>1076</v>
      </c>
      <c r="H74" s="20" t="n">
        <v>821.683</v>
      </c>
      <c r="I74" s="20" t="n">
        <v>1215.782</v>
      </c>
      <c r="J74" s="20" t="n">
        <v>1157.19</v>
      </c>
      <c r="K74" s="20" t="n">
        <v>809.5839999999999</v>
      </c>
      <c r="L74" s="20" t="n">
        <v>989</v>
      </c>
    </row>
    <row r="75">
      <c r="A75" s="18" t="inlineStr">
        <is>
          <t>상품·제품</t>
        </is>
      </c>
      <c r="C75" s="20" t="n">
        <v>4332.227</v>
      </c>
      <c r="D75" s="20" t="n">
        <v>4369.038</v>
      </c>
      <c r="E75" s="20" t="n">
        <v>4177.233</v>
      </c>
      <c r="F75" s="20" t="n">
        <v>3940</v>
      </c>
      <c r="G75" s="20" t="n">
        <v>4585</v>
      </c>
      <c r="H75" s="20" t="n">
        <v>3039.37</v>
      </c>
      <c r="I75" s="20" t="n">
        <v>4430.548</v>
      </c>
      <c r="J75" s="20" t="n">
        <v>3836.739</v>
      </c>
      <c r="K75" s="20" t="n">
        <v>3867.308</v>
      </c>
      <c r="L75" s="20" t="n">
        <v>3940</v>
      </c>
    </row>
    <row r="76">
      <c r="A76" s="18" t="inlineStr">
        <is>
          <t>재공품</t>
        </is>
      </c>
      <c r="C76" s="20" t="n">
        <v>1401.285</v>
      </c>
      <c r="D76" s="20" t="n">
        <v>1404.01</v>
      </c>
      <c r="E76" s="20" t="n">
        <v>1530.794</v>
      </c>
      <c r="F76" s="20" t="n">
        <v>1232</v>
      </c>
      <c r="G76" s="20" t="n">
        <v>1624</v>
      </c>
      <c r="H76" s="20" t="n">
        <v>1100.529</v>
      </c>
      <c r="I76" s="20" t="n">
        <v>1314.332</v>
      </c>
      <c r="J76" s="20" t="n">
        <v>1427.979</v>
      </c>
      <c r="K76" s="20" t="n">
        <v>1142.259</v>
      </c>
      <c r="L76" s="20" t="n">
        <v>1232</v>
      </c>
    </row>
    <row r="77">
      <c r="A77" s="18" t="inlineStr">
        <is>
          <t>원재료·저장품</t>
        </is>
      </c>
      <c r="C77" s="20" t="n">
        <v>2921.82</v>
      </c>
      <c r="D77" s="20" t="n">
        <v>2873.052</v>
      </c>
      <c r="E77" s="20" t="n">
        <v>2778.327</v>
      </c>
      <c r="F77" s="20" t="n">
        <v>2464</v>
      </c>
      <c r="G77" s="20" t="n">
        <v>2693</v>
      </c>
      <c r="H77" s="20" t="n">
        <v>2523.491</v>
      </c>
      <c r="I77" s="20" t="n">
        <v>3514.196</v>
      </c>
      <c r="J77" s="20" t="n">
        <v>3285.227</v>
      </c>
      <c r="K77" s="20" t="n">
        <v>3002.179</v>
      </c>
      <c r="L77" s="20" t="n">
        <v>2464</v>
      </c>
    </row>
    <row r="78">
      <c r="A78" s="18" t="inlineStr">
        <is>
          <t>기타</t>
        </is>
      </c>
      <c r="C78" s="20" t="n">
        <v>2152.986</v>
      </c>
      <c r="D78" s="20" t="n">
        <v>1773.642</v>
      </c>
      <c r="E78" s="20" t="n">
        <v>2580.591</v>
      </c>
      <c r="F78" s="20" t="n">
        <v>2366</v>
      </c>
      <c r="G78" s="20" t="n">
        <v>1857</v>
      </c>
      <c r="H78" s="20" t="n">
        <v>1634.278</v>
      </c>
      <c r="I78" s="20" t="n">
        <v>2037.788</v>
      </c>
      <c r="J78" s="20" t="n">
        <v>2535.305</v>
      </c>
      <c r="K78" s="20" t="n">
        <v>2103.655</v>
      </c>
      <c r="L78" s="20" t="n">
        <v>2366</v>
      </c>
    </row>
    <row r="79">
      <c r="A79" s="18" t="inlineStr">
        <is>
          <t>대손충당금</t>
        </is>
      </c>
      <c r="C79" s="20" t="n">
        <v>-160.407</v>
      </c>
      <c r="D79" s="20" t="n">
        <v>-142.105</v>
      </c>
      <c r="E79" s="20" t="n">
        <v>-111.178</v>
      </c>
      <c r="F79" s="20" t="n">
        <v>-128</v>
      </c>
      <c r="G79" s="20" t="n">
        <v>-116</v>
      </c>
      <c r="H79" s="20" t="n">
        <v>-83.181</v>
      </c>
      <c r="I79" s="20" t="n">
        <v>-105.645</v>
      </c>
      <c r="J79" s="20" t="n">
        <v>-97.81</v>
      </c>
      <c r="K79" s="20" t="n">
        <v>-169.444</v>
      </c>
      <c r="L79" s="20" t="n">
        <v>-128</v>
      </c>
    </row>
    <row r="80">
      <c r="A80" s="9" t="inlineStr">
        <is>
          <t>유동자산 합계</t>
        </is>
      </c>
      <c r="C80" s="12" t="n">
        <v>25938.73</v>
      </c>
      <c r="D80" s="12" t="n">
        <v>26079.631</v>
      </c>
      <c r="E80" s="12" t="n">
        <v>26491.4</v>
      </c>
      <c r="F80" s="12" t="n">
        <v>30731</v>
      </c>
      <c r="G80" s="12" t="n">
        <v>31079</v>
      </c>
      <c r="H80" s="12" t="n">
        <v>20934.482</v>
      </c>
      <c r="I80" s="12" t="n">
        <v>27386.688</v>
      </c>
      <c r="J80" s="12" t="n">
        <v>26360.765</v>
      </c>
      <c r="K80" s="12" t="n">
        <v>28398.735</v>
      </c>
      <c r="L80" s="12" t="n">
        <v>30731</v>
      </c>
    </row>
    <row r="81">
      <c r="A81" s="18" t="inlineStr">
        <is>
          <t>건물·구축물</t>
        </is>
      </c>
      <c r="F81" s="20" t="n">
        <v>3327.765</v>
      </c>
      <c r="H81" s="20" t="n">
        <v>3012.957</v>
      </c>
      <c r="I81" s="20" t="n">
        <v>3058.118</v>
      </c>
      <c r="J81" s="20" t="n">
        <v>3186.215</v>
      </c>
      <c r="K81" s="20" t="n">
        <v>3394.308</v>
      </c>
      <c r="L81" s="20" t="n">
        <v>3327.765</v>
      </c>
    </row>
    <row r="82">
      <c r="A82" s="18" t="inlineStr">
        <is>
          <t>감가상각누계액</t>
        </is>
      </c>
      <c r="F82" s="20" t="n">
        <v>-2391.477</v>
      </c>
      <c r="H82" s="20" t="n">
        <v>-2021.661</v>
      </c>
      <c r="I82" s="20" t="n">
        <v>-2023.939</v>
      </c>
      <c r="J82" s="20" t="n">
        <v>-2123.244</v>
      </c>
      <c r="K82" s="20" t="n">
        <v>-2423.383</v>
      </c>
      <c r="L82" s="20" t="n">
        <v>-2391.477</v>
      </c>
    </row>
    <row r="83">
      <c r="A83" s="18" t="inlineStr">
        <is>
          <t>건물·구축물(순액)</t>
        </is>
      </c>
      <c r="C83" s="20" t="n">
        <v>947.325</v>
      </c>
      <c r="D83" s="20" t="n">
        <v>949.427</v>
      </c>
      <c r="E83" s="20" t="n">
        <v>932.271</v>
      </c>
      <c r="F83" s="20" t="n">
        <v>936</v>
      </c>
      <c r="G83" s="20" t="n">
        <v>922</v>
      </c>
      <c r="H83" s="20" t="n">
        <v>991.296</v>
      </c>
      <c r="I83" s="20" t="n">
        <v>1034.179</v>
      </c>
      <c r="J83" s="20" t="n">
        <v>1062.971</v>
      </c>
      <c r="K83" s="20" t="n">
        <v>970.925</v>
      </c>
      <c r="L83" s="20" t="n">
        <v>936</v>
      </c>
    </row>
    <row r="84">
      <c r="A84" s="18" t="inlineStr">
        <is>
          <t>기계장치·운반구</t>
        </is>
      </c>
      <c r="F84" s="20" t="n">
        <v>1291.336</v>
      </c>
      <c r="H84" s="20" t="n">
        <v>967.066</v>
      </c>
      <c r="I84" s="20" t="n">
        <v>994.974</v>
      </c>
      <c r="J84" s="20" t="n">
        <v>1166.896</v>
      </c>
      <c r="K84" s="20" t="n">
        <v>1582.874</v>
      </c>
      <c r="L84" s="20" t="n">
        <v>1291.336</v>
      </c>
    </row>
    <row r="85">
      <c r="A85" s="18" t="inlineStr">
        <is>
          <t>감가상각누계액</t>
        </is>
      </c>
      <c r="F85" s="20" t="n">
        <v>-845.2089999999999</v>
      </c>
      <c r="H85" s="20" t="n">
        <v>-530.4690000000001</v>
      </c>
      <c r="I85" s="20" t="n">
        <v>-545.147</v>
      </c>
      <c r="J85" s="20" t="n">
        <v>-564.205</v>
      </c>
      <c r="K85" s="20" t="n">
        <v>-1028.857</v>
      </c>
      <c r="L85" s="20" t="n">
        <v>-845.2089999999999</v>
      </c>
    </row>
    <row r="86">
      <c r="A86" s="18" t="inlineStr">
        <is>
          <t>기계장치·운반구(순액)</t>
        </is>
      </c>
      <c r="F86" s="20" t="n">
        <v>446.126</v>
      </c>
      <c r="H86" s="20" t="n">
        <v>436.597</v>
      </c>
      <c r="I86" s="20" t="n">
        <v>449.826</v>
      </c>
      <c r="J86" s="20" t="n">
        <v>602.691</v>
      </c>
      <c r="K86" s="20" t="n">
        <v>554.0170000000001</v>
      </c>
      <c r="L86" s="20" t="n">
        <v>446.126</v>
      </c>
    </row>
    <row r="87">
      <c r="A87" s="18" t="inlineStr">
        <is>
          <t>토지</t>
        </is>
      </c>
      <c r="C87" s="20" t="n">
        <v>2769.656</v>
      </c>
      <c r="D87" s="20" t="n">
        <v>2729.431</v>
      </c>
      <c r="E87" s="20" t="n">
        <v>2729.431</v>
      </c>
      <c r="F87" s="20" t="n">
        <v>2767</v>
      </c>
      <c r="G87" s="20" t="n">
        <v>2767</v>
      </c>
      <c r="H87" s="20" t="n">
        <v>2541.88</v>
      </c>
      <c r="I87" s="20" t="n">
        <v>2541.88</v>
      </c>
      <c r="J87" s="20" t="n">
        <v>2588.962</v>
      </c>
      <c r="K87" s="20" t="n">
        <v>2769.656</v>
      </c>
      <c r="L87" s="20" t="n">
        <v>2767</v>
      </c>
    </row>
    <row r="88">
      <c r="A88" s="18" t="inlineStr">
        <is>
          <t>리스자산</t>
        </is>
      </c>
      <c r="F88" s="20" t="n">
        <v>1455.149</v>
      </c>
      <c r="H88" s="20" t="n">
        <v>677.2380000000001</v>
      </c>
      <c r="I88" s="20" t="n">
        <v>809.3099999999999</v>
      </c>
      <c r="J88" s="20" t="n">
        <v>1102.667</v>
      </c>
      <c r="K88" s="20" t="n">
        <v>1341.577</v>
      </c>
      <c r="L88" s="20" t="n">
        <v>1455.149</v>
      </c>
    </row>
    <row r="89">
      <c r="A89" s="18" t="inlineStr">
        <is>
          <t>감가상각누계액</t>
        </is>
      </c>
      <c r="F89" s="20" t="n">
        <v>-903.29</v>
      </c>
      <c r="H89" s="20" t="n">
        <v>-301.821</v>
      </c>
      <c r="I89" s="20" t="n">
        <v>-463.062</v>
      </c>
      <c r="J89" s="20" t="n">
        <v>-465.297</v>
      </c>
      <c r="K89" s="20" t="n">
        <v>-742.951</v>
      </c>
      <c r="L89" s="20" t="n">
        <v>-903.29</v>
      </c>
    </row>
    <row r="90">
      <c r="A90" s="18" t="inlineStr">
        <is>
          <t>리스자산(순액)</t>
        </is>
      </c>
      <c r="F90" s="20" t="n">
        <v>551.859</v>
      </c>
      <c r="H90" s="20" t="n">
        <v>375.417</v>
      </c>
      <c r="I90" s="20" t="n">
        <v>346.247</v>
      </c>
      <c r="J90" s="20" t="n">
        <v>637.369</v>
      </c>
      <c r="K90" s="20" t="n">
        <v>598.626</v>
      </c>
      <c r="L90" s="20" t="n">
        <v>551.859</v>
      </c>
    </row>
    <row r="91">
      <c r="A91" s="18" t="inlineStr">
        <is>
          <t>건설중인자산</t>
        </is>
      </c>
      <c r="F91" s="20" t="n">
        <v>102.197</v>
      </c>
      <c r="H91" s="20" t="n">
        <v>46.017</v>
      </c>
      <c r="I91" s="20" t="n">
        <v>29.137</v>
      </c>
      <c r="J91" s="20" t="n">
        <v>126.284</v>
      </c>
      <c r="K91" s="20" t="n">
        <v>114.243</v>
      </c>
      <c r="L91" s="20" t="n">
        <v>102.197</v>
      </c>
    </row>
    <row r="92">
      <c r="A92" s="18" t="inlineStr">
        <is>
          <t>기타</t>
        </is>
      </c>
      <c r="F92" s="20" t="n">
        <v>2224.656</v>
      </c>
      <c r="H92" s="20" t="n">
        <v>1778.725</v>
      </c>
      <c r="I92" s="20" t="n">
        <v>1941.206</v>
      </c>
      <c r="J92" s="20" t="n">
        <v>1949.535</v>
      </c>
      <c r="K92" s="20" t="n">
        <v>2352.956</v>
      </c>
      <c r="L92" s="20" t="n">
        <v>2224.656</v>
      </c>
    </row>
    <row r="93">
      <c r="A93" s="18" t="inlineStr">
        <is>
          <t>감가상각누계액</t>
        </is>
      </c>
      <c r="F93" s="20" t="n">
        <v>-1869.784</v>
      </c>
      <c r="H93" s="20" t="n">
        <v>-1479.874</v>
      </c>
      <c r="I93" s="20" t="n">
        <v>-1587.927</v>
      </c>
      <c r="J93" s="20" t="n">
        <v>-1606.086</v>
      </c>
      <c r="K93" s="20" t="n">
        <v>-1996.62</v>
      </c>
      <c r="L93" s="20" t="n">
        <v>-1869.784</v>
      </c>
    </row>
    <row r="94">
      <c r="A94" s="18" t="inlineStr">
        <is>
          <t>기타(순액)</t>
        </is>
      </c>
      <c r="C94" s="20" t="n">
        <v>1621.767</v>
      </c>
      <c r="D94" s="20" t="n">
        <v>1534.962</v>
      </c>
      <c r="E94" s="20" t="n">
        <v>1517.964</v>
      </c>
      <c r="F94" s="20" t="n">
        <v>1455</v>
      </c>
      <c r="G94" s="20" t="n">
        <v>1553</v>
      </c>
      <c r="H94" s="20" t="n">
        <v>298.85</v>
      </c>
      <c r="I94" s="20" t="n">
        <v>353.278</v>
      </c>
      <c r="J94" s="20" t="n">
        <v>343.449</v>
      </c>
      <c r="K94" s="20" t="n">
        <v>356.335</v>
      </c>
      <c r="L94" s="20" t="n">
        <v>1455</v>
      </c>
    </row>
    <row r="95">
      <c r="A95" s="18" t="inlineStr">
        <is>
          <t>유형자산 합계</t>
        </is>
      </c>
      <c r="C95" s="20" t="n">
        <v>5338.75</v>
      </c>
      <c r="D95" s="20" t="n">
        <v>5213.82</v>
      </c>
      <c r="E95" s="20" t="n">
        <v>5179.666</v>
      </c>
      <c r="F95" s="20" t="n">
        <v>5158</v>
      </c>
      <c r="G95" s="20" t="n">
        <v>5244</v>
      </c>
      <c r="H95" s="20" t="n">
        <v>4690.059</v>
      </c>
      <c r="I95" s="20" t="n">
        <v>4754.55</v>
      </c>
      <c r="J95" s="20" t="n">
        <v>5361.729</v>
      </c>
      <c r="K95" s="20" t="n">
        <v>5363.805</v>
      </c>
      <c r="L95" s="20" t="n">
        <v>5158</v>
      </c>
    </row>
    <row r="96">
      <c r="A96" s="18" t="inlineStr">
        <is>
          <t>영업권</t>
        </is>
      </c>
      <c r="C96" s="20" t="n">
        <v>727.035</v>
      </c>
      <c r="D96" s="20" t="n">
        <v>826.129</v>
      </c>
      <c r="E96" s="20" t="n">
        <v>727.423</v>
      </c>
      <c r="F96" s="20" t="n">
        <v>997</v>
      </c>
      <c r="G96" s="20" t="n">
        <v>938</v>
      </c>
      <c r="H96" s="20" t="n">
        <v>2526.122</v>
      </c>
      <c r="I96" s="20" t="n">
        <v>1454.908</v>
      </c>
      <c r="J96" s="20" t="n">
        <v>1308.266</v>
      </c>
      <c r="K96" s="20" t="n">
        <v>823.1900000000001</v>
      </c>
      <c r="L96" s="20" t="n">
        <v>997</v>
      </c>
    </row>
    <row r="97">
      <c r="A97" s="18" t="inlineStr">
        <is>
          <t>고객관계자산</t>
        </is>
      </c>
      <c r="F97" s="20" t="n">
        <v>983.859</v>
      </c>
      <c r="H97" s="20" t="n">
        <v>1033.502</v>
      </c>
      <c r="I97" s="20" t="n">
        <v>1090.594</v>
      </c>
      <c r="J97" s="20" t="n">
        <v>1072.511</v>
      </c>
      <c r="K97" s="20" t="n">
        <v>1052.833</v>
      </c>
      <c r="L97" s="20" t="n">
        <v>983.859</v>
      </c>
    </row>
    <row r="98">
      <c r="A98" s="18" t="inlineStr">
        <is>
          <t>소프트웨어</t>
        </is>
      </c>
      <c r="F98" s="20" t="n">
        <v>229.28</v>
      </c>
      <c r="H98" s="20" t="n">
        <v>463.081</v>
      </c>
      <c r="I98" s="20" t="n">
        <v>409.088</v>
      </c>
      <c r="J98" s="20" t="n">
        <v>335.764</v>
      </c>
      <c r="K98" s="20" t="n">
        <v>330.151</v>
      </c>
      <c r="L98" s="20" t="n">
        <v>229.28</v>
      </c>
    </row>
    <row r="99">
      <c r="A99" s="18" t="inlineStr">
        <is>
          <t>개발 중 소프트웨어</t>
        </is>
      </c>
      <c r="F99" s="20" t="n">
        <v>2.331</v>
      </c>
      <c r="H99" s="20" t="n">
        <v>117.615</v>
      </c>
      <c r="I99" s="20" t="n">
        <v>21.753</v>
      </c>
      <c r="J99" s="20" t="n">
        <v>7.463</v>
      </c>
      <c r="K99" s="20" t="n">
        <v>0</v>
      </c>
      <c r="L99" s="20" t="n">
        <v>2.331</v>
      </c>
    </row>
    <row r="100">
      <c r="A100" s="18" t="inlineStr">
        <is>
          <t>기타</t>
        </is>
      </c>
      <c r="C100" s="20" t="n">
        <v>1280.341</v>
      </c>
      <c r="D100" s="20" t="n">
        <v>1245.693</v>
      </c>
      <c r="E100" s="20" t="n">
        <v>1217.173</v>
      </c>
      <c r="F100" s="20" t="n">
        <v>1225</v>
      </c>
      <c r="G100" s="20" t="n">
        <v>1207</v>
      </c>
      <c r="H100" s="20" t="n">
        <v>22.22</v>
      </c>
      <c r="I100" s="20" t="n">
        <v>18.115</v>
      </c>
      <c r="J100" s="20" t="n">
        <v>14.918</v>
      </c>
      <c r="K100" s="20" t="n">
        <v>13.754</v>
      </c>
      <c r="L100" s="20" t="n">
        <v>1225</v>
      </c>
    </row>
    <row r="101">
      <c r="A101" s="18" t="inlineStr">
        <is>
          <t>무형자산 합계</t>
        </is>
      </c>
      <c r="C101" s="20" t="n">
        <v>2007.377</v>
      </c>
      <c r="D101" s="20" t="n">
        <v>2071.822</v>
      </c>
      <c r="E101" s="20" t="n">
        <v>1944.596</v>
      </c>
      <c r="F101" s="20" t="n">
        <v>2223</v>
      </c>
      <c r="G101" s="20" t="n">
        <v>2146</v>
      </c>
      <c r="H101" s="20" t="n">
        <v>4162.542</v>
      </c>
      <c r="I101" s="20" t="n">
        <v>2994.46</v>
      </c>
      <c r="J101" s="20" t="n">
        <v>2738.924</v>
      </c>
      <c r="K101" s="20" t="n">
        <v>2219.929</v>
      </c>
      <c r="L101" s="20" t="n">
        <v>2223</v>
      </c>
    </row>
    <row r="102">
      <c r="A102" s="18" t="inlineStr">
        <is>
          <t>투자유가증권</t>
        </is>
      </c>
      <c r="F102" s="20" t="n">
        <v>373.697</v>
      </c>
      <c r="H102" s="20" t="n">
        <v>808.782</v>
      </c>
      <c r="I102" s="20" t="n">
        <v>879.903</v>
      </c>
      <c r="J102" s="20" t="n">
        <v>387.179</v>
      </c>
      <c r="K102" s="20" t="n">
        <v>457.291</v>
      </c>
      <c r="L102" s="20" t="n">
        <v>373.697</v>
      </c>
    </row>
    <row r="103">
      <c r="A103" s="18" t="inlineStr">
        <is>
          <t>이연법인세자산</t>
        </is>
      </c>
      <c r="F103" s="20" t="n">
        <v>314.553</v>
      </c>
      <c r="H103" s="20" t="n">
        <v>693.442</v>
      </c>
      <c r="I103" s="20" t="n">
        <v>171.942</v>
      </c>
      <c r="J103" s="20" t="n">
        <v>268.858</v>
      </c>
      <c r="K103" s="20" t="n">
        <v>311.589</v>
      </c>
      <c r="L103" s="20" t="n">
        <v>314.553</v>
      </c>
    </row>
    <row r="104">
      <c r="A104" s="18" t="inlineStr">
        <is>
          <t>기타</t>
        </is>
      </c>
      <c r="C104" s="20" t="n">
        <v>1407.972</v>
      </c>
      <c r="D104" s="20" t="n">
        <v>1259.702</v>
      </c>
      <c r="E104" s="20" t="n">
        <v>1383.911</v>
      </c>
      <c r="F104" s="20" t="n">
        <v>1301</v>
      </c>
      <c r="G104" s="20" t="n">
        <v>1433</v>
      </c>
      <c r="H104" s="20" t="n">
        <v>530.062</v>
      </c>
      <c r="I104" s="20" t="n">
        <v>755.72</v>
      </c>
      <c r="J104" s="20" t="n">
        <v>1014.831</v>
      </c>
      <c r="K104" s="20" t="n">
        <v>687.475</v>
      </c>
      <c r="L104" s="20" t="n">
        <v>1301</v>
      </c>
    </row>
    <row r="105">
      <c r="A105" s="18" t="inlineStr">
        <is>
          <t>대손충당금</t>
        </is>
      </c>
      <c r="C105" s="20" t="n">
        <v>-41.816</v>
      </c>
      <c r="D105" s="20" t="n">
        <v>-41.816</v>
      </c>
      <c r="E105" s="20" t="n">
        <v>-41.816</v>
      </c>
      <c r="F105" s="20" t="n">
        <v>-3</v>
      </c>
      <c r="G105" s="20" t="n">
        <v>-3</v>
      </c>
      <c r="H105" s="20" t="n">
        <v>-38.333</v>
      </c>
      <c r="I105" s="20" t="n">
        <v>-39.752</v>
      </c>
      <c r="J105" s="20" t="n">
        <v>-39.752</v>
      </c>
      <c r="K105" s="20" t="n">
        <v>-41.816</v>
      </c>
      <c r="L105" s="20" t="n">
        <v>-3</v>
      </c>
    </row>
    <row r="106">
      <c r="A106" s="18" t="inlineStr">
        <is>
          <t>투자 및 기타자산 합계</t>
        </is>
      </c>
      <c r="C106" s="20" t="n">
        <v>1366.156</v>
      </c>
      <c r="D106" s="20" t="n">
        <v>1217.885</v>
      </c>
      <c r="E106" s="20" t="n">
        <v>1342.095</v>
      </c>
      <c r="F106" s="20" t="n">
        <v>1298</v>
      </c>
      <c r="G106" s="20" t="n">
        <v>1430</v>
      </c>
      <c r="H106" s="20" t="n">
        <v>1993.953</v>
      </c>
      <c r="I106" s="20" t="n">
        <v>1767.814</v>
      </c>
      <c r="J106" s="20" t="n">
        <v>1631.116</v>
      </c>
      <c r="K106" s="20" t="n">
        <v>1414.54</v>
      </c>
      <c r="L106" s="20" t="n">
        <v>1298</v>
      </c>
    </row>
    <row r="107">
      <c r="A107" s="9" t="inlineStr">
        <is>
          <t>비유동자산 합계</t>
        </is>
      </c>
      <c r="C107" s="12" t="n">
        <v>8712.282999999999</v>
      </c>
      <c r="D107" s="12" t="n">
        <v>8503.528</v>
      </c>
      <c r="E107" s="12" t="n">
        <v>8466.358</v>
      </c>
      <c r="F107" s="12" t="n">
        <v>8680</v>
      </c>
      <c r="G107" s="12" t="n">
        <v>8820</v>
      </c>
      <c r="H107" s="12" t="n">
        <v>10846.555</v>
      </c>
      <c r="I107" s="12" t="n">
        <v>9516.825000000001</v>
      </c>
      <c r="J107" s="12" t="n">
        <v>9731.77</v>
      </c>
      <c r="K107" s="12" t="n">
        <v>8998.273999999999</v>
      </c>
      <c r="L107" s="12" t="n">
        <v>8680</v>
      </c>
    </row>
    <row r="108">
      <c r="A108" s="9" t="inlineStr">
        <is>
          <t>자산 합계</t>
        </is>
      </c>
      <c r="C108" s="12" t="n">
        <v>34651.014</v>
      </c>
      <c r="D108" s="12" t="n">
        <v>34583.16</v>
      </c>
      <c r="E108" s="12" t="n">
        <v>34957.759</v>
      </c>
      <c r="F108" s="12" t="n">
        <v>39412</v>
      </c>
      <c r="G108" s="12" t="n">
        <v>39899</v>
      </c>
      <c r="H108" s="12" t="n">
        <v>31781.037</v>
      </c>
      <c r="I108" s="12" t="n">
        <v>36903.513</v>
      </c>
      <c r="J108" s="12" t="n">
        <v>36092.535</v>
      </c>
      <c r="K108" s="12" t="n">
        <v>37397.01</v>
      </c>
      <c r="L108" s="12" t="n">
        <v>39412</v>
      </c>
    </row>
    <row r="109">
      <c r="A109" s="18" t="inlineStr">
        <is>
          <t>지급어음·매입채무</t>
        </is>
      </c>
      <c r="C109" s="20" t="n">
        <v>4958.806</v>
      </c>
      <c r="D109" s="20" t="n">
        <v>4463.274</v>
      </c>
      <c r="E109" s="20" t="n">
        <v>4769.16</v>
      </c>
      <c r="F109" s="20" t="n">
        <v>6944</v>
      </c>
      <c r="G109" s="20" t="n">
        <v>5786</v>
      </c>
      <c r="H109" s="20" t="n">
        <v>4489.846</v>
      </c>
      <c r="I109" s="20" t="n">
        <v>8388.380999999999</v>
      </c>
      <c r="J109" s="20" t="n">
        <v>6082.846</v>
      </c>
      <c r="K109" s="20" t="n">
        <v>5713.329</v>
      </c>
      <c r="L109" s="20" t="n">
        <v>6944</v>
      </c>
    </row>
    <row r="110">
      <c r="A110" s="18" t="inlineStr">
        <is>
          <t>전자기록채무</t>
        </is>
      </c>
      <c r="F110" s="20" t="n">
        <v>192</v>
      </c>
      <c r="G110" s="20" t="n">
        <v>260</v>
      </c>
      <c r="K110" s="20" t="n">
        <v>548.864</v>
      </c>
      <c r="L110" s="20" t="n">
        <v>192</v>
      </c>
    </row>
    <row r="111">
      <c r="A111" s="18" t="inlineStr">
        <is>
          <t>단기차입금</t>
        </is>
      </c>
      <c r="C111" s="20" t="n">
        <v>8931.018</v>
      </c>
      <c r="D111" s="20" t="n">
        <v>9155.949000000001</v>
      </c>
      <c r="E111" s="20" t="n">
        <v>8756.442999999999</v>
      </c>
      <c r="F111" s="20" t="n">
        <v>8166</v>
      </c>
      <c r="G111" s="20" t="n">
        <v>10021</v>
      </c>
      <c r="H111" s="20" t="n">
        <v>9168.540000000001</v>
      </c>
      <c r="I111" s="20" t="n">
        <v>11190.648</v>
      </c>
      <c r="J111" s="20" t="n">
        <v>10775.909</v>
      </c>
      <c r="K111" s="20" t="n">
        <v>9623.762000000001</v>
      </c>
      <c r="L111" s="20" t="n">
        <v>8166</v>
      </c>
    </row>
    <row r="112">
      <c r="A112" s="18" t="inlineStr">
        <is>
          <t>1년 내 상환 사채</t>
        </is>
      </c>
      <c r="H112" s="20" t="n">
        <v>50</v>
      </c>
      <c r="I112" s="20" t="n">
        <v>0</v>
      </c>
    </row>
    <row r="113">
      <c r="A113" s="18" t="inlineStr">
        <is>
          <t>1년 내 상환 장기차입금</t>
        </is>
      </c>
      <c r="C113" s="20" t="n">
        <v>2479.217</v>
      </c>
      <c r="D113" s="20" t="n">
        <v>2307.82</v>
      </c>
      <c r="E113" s="20" t="n">
        <v>2124.441</v>
      </c>
      <c r="F113" s="20" t="n">
        <v>1944</v>
      </c>
      <c r="G113" s="20" t="n">
        <v>1856</v>
      </c>
      <c r="K113" s="20" t="n">
        <v>2434.983</v>
      </c>
      <c r="L113" s="20" t="n">
        <v>1944</v>
      </c>
    </row>
    <row r="114">
      <c r="A114" s="18" t="inlineStr">
        <is>
          <t>리스부채</t>
        </is>
      </c>
      <c r="F114" s="20" t="n">
        <v>272.063</v>
      </c>
      <c r="H114" s="20" t="n">
        <v>172.851</v>
      </c>
      <c r="I114" s="20" t="n">
        <v>172.021</v>
      </c>
      <c r="J114" s="20" t="n">
        <v>215.439</v>
      </c>
      <c r="K114" s="20" t="n">
        <v>255.172</v>
      </c>
      <c r="L114" s="20" t="n">
        <v>272.063</v>
      </c>
    </row>
    <row r="115">
      <c r="A115" s="18" t="inlineStr">
        <is>
          <t>미지급법인세</t>
        </is>
      </c>
      <c r="C115" s="20" t="n">
        <v>147.792</v>
      </c>
      <c r="D115" s="20" t="n">
        <v>363.964</v>
      </c>
      <c r="E115" s="20" t="n">
        <v>422.578</v>
      </c>
      <c r="F115" s="20" t="n">
        <v>683</v>
      </c>
      <c r="G115" s="20" t="n">
        <v>311</v>
      </c>
      <c r="H115" s="20" t="n">
        <v>303.885</v>
      </c>
      <c r="I115" s="20" t="n">
        <v>261.2</v>
      </c>
      <c r="J115" s="20" t="n">
        <v>271.644</v>
      </c>
      <c r="K115" s="20" t="n">
        <v>226.144</v>
      </c>
      <c r="L115" s="20" t="n">
        <v>683</v>
      </c>
    </row>
    <row r="116">
      <c r="A116" s="18" t="inlineStr">
        <is>
          <t>상여충당금</t>
        </is>
      </c>
      <c r="C116" s="20" t="n">
        <v>159.01</v>
      </c>
      <c r="D116" s="20" t="n">
        <v>360.424</v>
      </c>
      <c r="E116" s="20" t="n">
        <v>198.823</v>
      </c>
      <c r="F116" s="20" t="n">
        <v>391</v>
      </c>
      <c r="G116" s="20" t="n">
        <v>262</v>
      </c>
      <c r="H116" s="20" t="n">
        <v>234.951</v>
      </c>
      <c r="I116" s="20" t="n">
        <v>247.69</v>
      </c>
      <c r="J116" s="20" t="n">
        <v>272.498</v>
      </c>
      <c r="K116" s="20" t="n">
        <v>309.424</v>
      </c>
      <c r="L116" s="20" t="n">
        <v>391</v>
      </c>
    </row>
    <row r="117">
      <c r="A117" s="18" t="inlineStr">
        <is>
          <t>기타</t>
        </is>
      </c>
      <c r="C117" s="20" t="n">
        <v>3411.916</v>
      </c>
      <c r="D117" s="20" t="n">
        <v>3397.672</v>
      </c>
      <c r="E117" s="20" t="n">
        <v>3974.085</v>
      </c>
      <c r="F117" s="20" t="n">
        <v>5239</v>
      </c>
      <c r="G117" s="20" t="n">
        <v>5820</v>
      </c>
      <c r="H117" s="20" t="n">
        <v>2126.433</v>
      </c>
      <c r="I117" s="20" t="n">
        <v>2498.867</v>
      </c>
      <c r="J117" s="20" t="n">
        <v>3509.228</v>
      </c>
      <c r="K117" s="20" t="n">
        <v>3449.229</v>
      </c>
      <c r="L117" s="20" t="n">
        <v>5239</v>
      </c>
    </row>
    <row r="118">
      <c r="A118" s="9" t="inlineStr">
        <is>
          <t>유동부채 합계</t>
        </is>
      </c>
      <c r="C118" s="12" t="n">
        <v>20087.762</v>
      </c>
      <c r="D118" s="12" t="n">
        <v>20049.106</v>
      </c>
      <c r="E118" s="12" t="n">
        <v>20245.533</v>
      </c>
      <c r="F118" s="12" t="n">
        <v>23562</v>
      </c>
      <c r="G118" s="12" t="n">
        <v>24319</v>
      </c>
      <c r="H118" s="12" t="n">
        <v>16546.508</v>
      </c>
      <c r="I118" s="12" t="n">
        <v>22758.809</v>
      </c>
      <c r="J118" s="12" t="n">
        <v>21127.567</v>
      </c>
      <c r="K118" s="12" t="n">
        <v>22560.911</v>
      </c>
      <c r="L118" s="12" t="n">
        <v>23562</v>
      </c>
    </row>
    <row r="119">
      <c r="A119" s="18" t="inlineStr">
        <is>
          <t>사채</t>
        </is>
      </c>
      <c r="H119" s="20" t="n">
        <v>0</v>
      </c>
    </row>
    <row r="120">
      <c r="A120" s="18" t="inlineStr">
        <is>
          <t>장기차입금</t>
        </is>
      </c>
      <c r="C120" s="20" t="n">
        <v>4390.955</v>
      </c>
      <c r="D120" s="20" t="n">
        <v>3910.784</v>
      </c>
      <c r="E120" s="20" t="n">
        <v>3704.117</v>
      </c>
      <c r="F120" s="20" t="n">
        <v>2874</v>
      </c>
      <c r="G120" s="20" t="n">
        <v>2456</v>
      </c>
      <c r="H120" s="20" t="n">
        <v>4676.169</v>
      </c>
      <c r="I120" s="20" t="n">
        <v>4698.09</v>
      </c>
      <c r="J120" s="20" t="n">
        <v>4211.652</v>
      </c>
      <c r="K120" s="20" t="n">
        <v>3877.465</v>
      </c>
      <c r="L120" s="20" t="n">
        <v>2874</v>
      </c>
    </row>
    <row r="121">
      <c r="A121" s="18" t="inlineStr">
        <is>
          <t>리스부채</t>
        </is>
      </c>
      <c r="F121" s="20" t="n">
        <v>343.339</v>
      </c>
      <c r="H121" s="20" t="n">
        <v>245.263</v>
      </c>
      <c r="I121" s="20" t="n">
        <v>237.113</v>
      </c>
      <c r="J121" s="20" t="n">
        <v>480.274</v>
      </c>
      <c r="K121" s="20" t="n">
        <v>402.556</v>
      </c>
      <c r="L121" s="20" t="n">
        <v>343.339</v>
      </c>
    </row>
    <row r="122">
      <c r="A122" s="18" t="inlineStr">
        <is>
          <t>이연법인세부채</t>
        </is>
      </c>
      <c r="F122" s="20" t="n">
        <v>217.829</v>
      </c>
      <c r="H122" s="20" t="n">
        <v>221.159</v>
      </c>
      <c r="I122" s="20" t="n">
        <v>290.383</v>
      </c>
      <c r="J122" s="20" t="n">
        <v>275.525</v>
      </c>
      <c r="K122" s="20" t="n">
        <v>332.094</v>
      </c>
      <c r="L122" s="20" t="n">
        <v>217.829</v>
      </c>
    </row>
    <row r="123">
      <c r="A123" s="18" t="inlineStr">
        <is>
          <t>퇴직급여부채</t>
        </is>
      </c>
      <c r="C123" s="20" t="n">
        <v>13.443</v>
      </c>
      <c r="D123" s="20" t="n">
        <v>13.294</v>
      </c>
      <c r="E123" s="20" t="n">
        <v>13.257</v>
      </c>
      <c r="F123" s="20" t="n">
        <v>25</v>
      </c>
      <c r="G123" s="20" t="n">
        <v>21</v>
      </c>
      <c r="H123" s="20" t="n">
        <v>140.09</v>
      </c>
      <c r="I123" s="20" t="n">
        <v>61.881</v>
      </c>
      <c r="J123" s="20" t="n">
        <v>18.896</v>
      </c>
      <c r="K123" s="20" t="n">
        <v>14.092</v>
      </c>
      <c r="L123" s="20" t="n">
        <v>25</v>
      </c>
    </row>
    <row r="124">
      <c r="A124" s="18" t="inlineStr">
        <is>
          <t>기타</t>
        </is>
      </c>
      <c r="C124" s="20" t="n">
        <v>870.807</v>
      </c>
      <c r="D124" s="20" t="n">
        <v>827.008</v>
      </c>
      <c r="E124" s="20" t="n">
        <v>802.54</v>
      </c>
      <c r="F124" s="20" t="n">
        <v>671</v>
      </c>
      <c r="G124" s="20" t="n">
        <v>665</v>
      </c>
      <c r="H124" s="20" t="n">
        <v>216.667</v>
      </c>
      <c r="I124" s="20" t="n">
        <v>146.052</v>
      </c>
      <c r="J124" s="20" t="n">
        <v>165.133</v>
      </c>
      <c r="K124" s="20" t="n">
        <v>111.853</v>
      </c>
      <c r="L124" s="20" t="n">
        <v>671</v>
      </c>
    </row>
    <row r="125">
      <c r="A125" s="9" t="inlineStr">
        <is>
          <t>비유동부채 합계</t>
        </is>
      </c>
      <c r="C125" s="12" t="n">
        <v>5275.207</v>
      </c>
      <c r="D125" s="12" t="n">
        <v>4751.087</v>
      </c>
      <c r="E125" s="12" t="n">
        <v>4519.915</v>
      </c>
      <c r="F125" s="12" t="n">
        <v>3572</v>
      </c>
      <c r="G125" s="12" t="n">
        <v>3143</v>
      </c>
      <c r="H125" s="12" t="n">
        <v>5499.35</v>
      </c>
      <c r="I125" s="12" t="n">
        <v>5433.521</v>
      </c>
      <c r="J125" s="12" t="n">
        <v>5151.482</v>
      </c>
      <c r="K125" s="12" t="n">
        <v>4738.061</v>
      </c>
      <c r="L125" s="12" t="n">
        <v>3572</v>
      </c>
    </row>
    <row r="126">
      <c r="A126" s="9" t="inlineStr">
        <is>
          <t>부채 합계</t>
        </is>
      </c>
      <c r="C126" s="12" t="n">
        <v>25362.969</v>
      </c>
      <c r="D126" s="12" t="n">
        <v>24800.194</v>
      </c>
      <c r="E126" s="12" t="n">
        <v>24765.448</v>
      </c>
      <c r="F126" s="12" t="n">
        <v>27134</v>
      </c>
      <c r="G126" s="12" t="n">
        <v>27462</v>
      </c>
      <c r="H126" s="12" t="n">
        <v>22045.859</v>
      </c>
      <c r="I126" s="12" t="n">
        <v>28192.331</v>
      </c>
      <c r="J126" s="12" t="n">
        <v>26279.049</v>
      </c>
      <c r="K126" s="12" t="n">
        <v>27298.973</v>
      </c>
      <c r="L126" s="12" t="n">
        <v>27134</v>
      </c>
    </row>
    <row r="127">
      <c r="A127" s="18" t="inlineStr">
        <is>
          <t>자본금</t>
        </is>
      </c>
      <c r="C127" s="20" t="n">
        <v>2500</v>
      </c>
      <c r="D127" s="20" t="n">
        <v>2500</v>
      </c>
      <c r="E127" s="20" t="n">
        <v>2500</v>
      </c>
      <c r="F127" s="20" t="n">
        <v>2500</v>
      </c>
      <c r="G127" s="20" t="n">
        <v>2500</v>
      </c>
      <c r="H127" s="20" t="n">
        <v>2500</v>
      </c>
      <c r="I127" s="20" t="n">
        <v>2500</v>
      </c>
      <c r="J127" s="20" t="n">
        <v>2500</v>
      </c>
      <c r="K127" s="20" t="n">
        <v>2500</v>
      </c>
      <c r="L127" s="20" t="n">
        <v>2500</v>
      </c>
    </row>
    <row r="128">
      <c r="A128" s="18" t="inlineStr">
        <is>
          <t>자본잉여금</t>
        </is>
      </c>
      <c r="C128" s="20" t="n">
        <v>3447.621</v>
      </c>
      <c r="D128" s="20" t="n">
        <v>3447.621</v>
      </c>
      <c r="E128" s="20" t="n">
        <v>3447.621</v>
      </c>
      <c r="F128" s="20" t="n">
        <v>3447</v>
      </c>
      <c r="G128" s="20" t="n">
        <v>3447</v>
      </c>
      <c r="H128" s="20" t="n">
        <v>3486.269</v>
      </c>
      <c r="I128" s="20" t="n">
        <v>3486.269</v>
      </c>
      <c r="J128" s="20" t="n">
        <v>3456.918</v>
      </c>
      <c r="K128" s="20" t="n">
        <v>3456.918</v>
      </c>
      <c r="L128" s="20" t="n">
        <v>3447</v>
      </c>
    </row>
    <row r="129">
      <c r="A129" s="18" t="inlineStr">
        <is>
          <t>이익잉여금</t>
        </is>
      </c>
      <c r="C129" s="20" t="n">
        <v>2959.652</v>
      </c>
      <c r="D129" s="20" t="n">
        <v>3562.627</v>
      </c>
      <c r="E129" s="20" t="n">
        <v>3961.782</v>
      </c>
      <c r="F129" s="20" t="n">
        <v>5567</v>
      </c>
      <c r="G129" s="20" t="n">
        <v>5607</v>
      </c>
      <c r="H129" s="20" t="n">
        <v>4931.603</v>
      </c>
      <c r="I129" s="20" t="n">
        <v>3108.635</v>
      </c>
      <c r="J129" s="20" t="n">
        <v>4051.751</v>
      </c>
      <c r="K129" s="20" t="n">
        <v>3347.091</v>
      </c>
      <c r="L129" s="20" t="n">
        <v>5567</v>
      </c>
    </row>
    <row r="130">
      <c r="A130" s="18" t="inlineStr">
        <is>
          <t>자기주식</t>
        </is>
      </c>
      <c r="C130" s="20" t="n">
        <v>-1917.647</v>
      </c>
      <c r="D130" s="20" t="n">
        <v>-1917.647</v>
      </c>
      <c r="E130" s="20" t="n">
        <v>-1917.647</v>
      </c>
      <c r="F130" s="20" t="n">
        <v>-1917</v>
      </c>
      <c r="G130" s="20" t="n">
        <v>-1917</v>
      </c>
      <c r="H130" s="20" t="n">
        <v>-1917.642</v>
      </c>
      <c r="I130" s="20" t="n">
        <v>-1917.642</v>
      </c>
      <c r="J130" s="20" t="n">
        <v>-1917.642</v>
      </c>
      <c r="K130" s="20" t="n">
        <v>-1917.647</v>
      </c>
      <c r="L130" s="20" t="n">
        <v>-1917</v>
      </c>
    </row>
    <row r="131">
      <c r="A131" s="9" t="inlineStr">
        <is>
          <t>주주자본 합계</t>
        </is>
      </c>
      <c r="C131" s="12" t="n">
        <v>6989.626</v>
      </c>
      <c r="D131" s="12" t="n">
        <v>7592.601</v>
      </c>
      <c r="E131" s="12" t="n">
        <v>7991.756</v>
      </c>
      <c r="F131" s="12" t="n">
        <v>9597</v>
      </c>
      <c r="G131" s="12" t="n">
        <v>9637</v>
      </c>
      <c r="H131" s="12" t="n">
        <v>9000.231</v>
      </c>
      <c r="I131" s="12" t="n">
        <v>7177.263</v>
      </c>
      <c r="J131" s="12" t="n">
        <v>8091.028</v>
      </c>
      <c r="K131" s="12" t="n">
        <v>7386.362</v>
      </c>
      <c r="L131" s="12" t="n">
        <v>9597</v>
      </c>
    </row>
    <row r="132">
      <c r="A132" s="18" t="inlineStr">
        <is>
          <t>기타유가증권 평가차액</t>
        </is>
      </c>
      <c r="C132" s="20" t="n">
        <v>-3.009</v>
      </c>
      <c r="D132" s="20" t="n">
        <v>2.838</v>
      </c>
      <c r="E132" s="20" t="n">
        <v>9.603999999999999</v>
      </c>
      <c r="F132" s="20" t="n">
        <v>16</v>
      </c>
      <c r="G132" s="20" t="n">
        <v>23</v>
      </c>
      <c r="H132" s="20" t="n">
        <v>14.664</v>
      </c>
      <c r="I132" s="20" t="n">
        <v>-1.194</v>
      </c>
      <c r="J132" s="20" t="n">
        <v>-0.062</v>
      </c>
      <c r="K132" s="20" t="n">
        <v>-3.382</v>
      </c>
      <c r="L132" s="20" t="n">
        <v>16</v>
      </c>
    </row>
    <row r="133">
      <c r="A133" s="18" t="inlineStr">
        <is>
          <t>해외사업환산조정</t>
        </is>
      </c>
      <c r="C133" s="20" t="n">
        <v>2305.728</v>
      </c>
      <c r="D133" s="20" t="n">
        <v>2191.906</v>
      </c>
      <c r="E133" s="20" t="n">
        <v>2195.399</v>
      </c>
      <c r="F133" s="20" t="n">
        <v>2672</v>
      </c>
      <c r="G133" s="20" t="n">
        <v>2784</v>
      </c>
      <c r="H133" s="20" t="n">
        <v>720.282</v>
      </c>
      <c r="I133" s="20" t="n">
        <v>1528.871</v>
      </c>
      <c r="J133" s="20" t="n">
        <v>1708.696</v>
      </c>
      <c r="K133" s="20" t="n">
        <v>2705.65</v>
      </c>
      <c r="L133" s="20" t="n">
        <v>2672</v>
      </c>
    </row>
    <row r="134">
      <c r="A134" s="18" t="inlineStr">
        <is>
          <t>퇴직급여 조정누계액</t>
        </is>
      </c>
      <c r="C134" s="20" t="n">
        <v>-4.301</v>
      </c>
      <c r="D134" s="20" t="n">
        <v>-4.38</v>
      </c>
      <c r="E134" s="20" t="n">
        <v>-4.45</v>
      </c>
      <c r="F134" s="20" t="n">
        <v>-9</v>
      </c>
      <c r="G134" s="20" t="n">
        <v>-9</v>
      </c>
      <c r="H134" s="20" t="n">
        <v>0</v>
      </c>
      <c r="K134" s="20" t="n">
        <v>0</v>
      </c>
      <c r="L134" s="20" t="n">
        <v>-9</v>
      </c>
    </row>
    <row r="135">
      <c r="A135" s="18" t="inlineStr">
        <is>
          <t>기타포괄손익누계액 합계</t>
        </is>
      </c>
      <c r="C135" s="20" t="n">
        <v>2298.418</v>
      </c>
      <c r="D135" s="20" t="n">
        <v>2190.365</v>
      </c>
      <c r="E135" s="20" t="n">
        <v>2200.553</v>
      </c>
      <c r="F135" s="20" t="n">
        <v>2680</v>
      </c>
      <c r="G135" s="20" t="n">
        <v>2799</v>
      </c>
      <c r="H135" s="20" t="n">
        <v>734.947</v>
      </c>
      <c r="I135" s="20" t="n">
        <v>1527.676</v>
      </c>
      <c r="J135" s="20" t="n">
        <v>1708.633</v>
      </c>
      <c r="K135" s="20" t="n">
        <v>2702.268</v>
      </c>
      <c r="L135" s="20" t="n">
        <v>2680</v>
      </c>
    </row>
    <row r="136">
      <c r="A136" s="18" t="inlineStr">
        <is>
          <t>비지배지분</t>
        </is>
      </c>
      <c r="C136" s="20" t="n">
        <v>0</v>
      </c>
      <c r="D136" s="20" t="n">
        <v>0</v>
      </c>
      <c r="E136" s="20" t="n">
        <v>0</v>
      </c>
      <c r="F136" s="20" t="n">
        <v>0</v>
      </c>
      <c r="H136" s="20" t="n">
        <v>0</v>
      </c>
      <c r="I136" s="20" t="n">
        <v>6.241</v>
      </c>
      <c r="J136" s="20" t="n">
        <v>13.823</v>
      </c>
      <c r="K136" s="20" t="n">
        <v>9.404999999999999</v>
      </c>
      <c r="L136" s="20" t="n">
        <v>0</v>
      </c>
    </row>
    <row r="137">
      <c r="A137" s="9" t="inlineStr">
        <is>
          <t>순자산 합계</t>
        </is>
      </c>
      <c r="C137" s="12" t="n">
        <v>9288.045</v>
      </c>
      <c r="D137" s="12" t="n">
        <v>9782.966</v>
      </c>
      <c r="E137" s="12" t="n">
        <v>10192.31</v>
      </c>
      <c r="F137" s="12" t="n">
        <v>12277</v>
      </c>
      <c r="G137" s="12" t="n">
        <v>12436</v>
      </c>
      <c r="H137" s="12" t="n">
        <v>9735.178</v>
      </c>
      <c r="I137" s="12" t="n">
        <v>8711.181</v>
      </c>
      <c r="J137" s="12" t="n">
        <v>9813.485000000001</v>
      </c>
      <c r="K137" s="12" t="n">
        <v>10098.037</v>
      </c>
      <c r="L137" s="12" t="n">
        <v>12277</v>
      </c>
    </row>
    <row r="138">
      <c r="A138" s="9" t="inlineStr">
        <is>
          <t>부채·순자산 합계</t>
        </is>
      </c>
      <c r="C138" s="12" t="n">
        <v>34651.014</v>
      </c>
      <c r="D138" s="12" t="n">
        <v>34583.16</v>
      </c>
      <c r="E138" s="12" t="n">
        <v>34957.759</v>
      </c>
      <c r="F138" s="12" t="n">
        <v>39412</v>
      </c>
      <c r="G138" s="12" t="n">
        <v>39899</v>
      </c>
      <c r="H138" s="12" t="n">
        <v>31781.037</v>
      </c>
      <c r="I138" s="12" t="n">
        <v>36903.513</v>
      </c>
      <c r="J138" s="12" t="n">
        <v>36092.535</v>
      </c>
      <c r="K138" s="12" t="n">
        <v>37397.01</v>
      </c>
      <c r="L138" s="12" t="n">
        <v>39412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2026-07-24</t>
        </is>
      </c>
      <c r="B4" t="inlineStr">
        <is>
          <t>2027년 3월 결산기 １분기 결산단신</t>
        </is>
      </c>
      <c r="C4" t="inlineStr">
        <is>
          <t>https://www2.jpx.co.jp/disc/66290/140120260716595094.pdf</t>
        </is>
      </c>
    </row>
    <row r="5">
      <c r="A5" t="inlineStr">
        <is>
          <t>2026-05-08</t>
        </is>
      </c>
      <c r="B5" t="inlineStr">
        <is>
          <t>2026년 3월 결산기 연간 결산단신</t>
        </is>
      </c>
      <c r="C5" t="inlineStr">
        <is>
          <t>https://www2.jpx.co.jp/disc/66290/140120260430514193.pdf</t>
        </is>
      </c>
    </row>
    <row r="6">
      <c r="A6" t="inlineStr">
        <is>
          <t>2026-01-23</t>
        </is>
      </c>
      <c r="B6" t="inlineStr">
        <is>
          <t>2026년 3월 결산기 ３분기 결산단신</t>
        </is>
      </c>
      <c r="C6" t="inlineStr">
        <is>
          <t>https://www2.jpx.co.jp/disc/66290/140120260119535393.pdf</t>
        </is>
      </c>
    </row>
    <row r="7">
      <c r="A7" t="inlineStr">
        <is>
          <t>2025-10-24</t>
        </is>
      </c>
      <c r="B7" t="inlineStr">
        <is>
          <t>2026년 3월 결산기 ２분기 결산단신</t>
        </is>
      </c>
      <c r="C7" t="inlineStr">
        <is>
          <t>https://www2.jpx.co.jp/disc/66290/140120251021576688.pdf</t>
        </is>
      </c>
    </row>
    <row r="8">
      <c r="A8" t="inlineStr">
        <is>
          <t>2025-07-25</t>
        </is>
      </c>
      <c r="B8" t="inlineStr">
        <is>
          <t>2026년 3월 결산기 １분기 결산단신</t>
        </is>
      </c>
      <c r="C8" t="inlineStr">
        <is>
          <t>https://www2.jpx.co.jp/disc/66290/140120250718516787.pdf</t>
        </is>
      </c>
    </row>
    <row r="9">
      <c r="A9" t="inlineStr">
        <is>
          <t>2025-05-09</t>
        </is>
      </c>
      <c r="B9" t="inlineStr">
        <is>
          <t>2025년 3월 결산기 연간 결산단신</t>
        </is>
      </c>
      <c r="C9" t="inlineStr">
        <is>
          <t>https://www2.jpx.co.jp/disc/66290/140120250505530882.pdf</t>
        </is>
      </c>
    </row>
    <row r="10">
      <c r="A10" t="inlineStr">
        <is>
          <t>2025-01-24</t>
        </is>
      </c>
      <c r="B10" t="inlineStr">
        <is>
          <t>2025년 3월 결산기 ３분기 결산단신</t>
        </is>
      </c>
      <c r="C10" t="inlineStr">
        <is>
          <t>https://www2.jpx.co.jp/disc/66290/140120250117552160.pdf</t>
        </is>
      </c>
    </row>
    <row r="11">
      <c r="A11" t="inlineStr">
        <is>
          <t>2024-10-25</t>
        </is>
      </c>
      <c r="B11" t="inlineStr">
        <is>
          <t>2025년 3월 결산기 ２분기 결산단신</t>
        </is>
      </c>
      <c r="C11" t="inlineStr">
        <is>
          <t>https://www2.jpx.co.jp/disc/66290/140120241021500216.pdf</t>
        </is>
      </c>
    </row>
    <row r="12">
      <c r="A12" t="inlineStr">
        <is>
          <t>2024-07-26</t>
        </is>
      </c>
      <c r="B12" t="inlineStr">
        <is>
          <t>2025년 3월 결산기 １분기 결산단신</t>
        </is>
      </c>
      <c r="C12" t="inlineStr">
        <is>
          <t>https://www2.jpx.co.jp/disc/66290/140120240717550460.pdf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https://www2.jpx.co.jp/disc/66290/140120240506582137.pdf</t>
        </is>
      </c>
    </row>
    <row r="14">
      <c r="A14" t="inlineStr">
        <is>
          <t>2024-01-25</t>
        </is>
      </c>
      <c r="B14" t="inlineStr">
        <is>
          <t>2024년 3월 결산기 ３분기 결산단신</t>
        </is>
      </c>
      <c r="C14" t="inlineStr">
        <is>
          <t>https://www2.jpx.co.jp/disc/66290/140120240122517536.pdf</t>
        </is>
      </c>
    </row>
    <row r="15">
      <c r="A15" t="inlineStr">
        <is>
          <t>2023-10-25</t>
        </is>
      </c>
      <c r="B15" t="inlineStr">
        <is>
          <t>2024년 3월 결산기 ２분기 결산단신</t>
        </is>
      </c>
      <c r="C15" t="inlineStr">
        <is>
          <t>https://www2.jpx.co.jp/disc/66290/140120231020569167.pdf</t>
        </is>
      </c>
    </row>
    <row r="16">
      <c r="A16" t="inlineStr">
        <is>
          <t>2023-07-25</t>
        </is>
      </c>
      <c r="B16" t="inlineStr">
        <is>
          <t>2024년 3월 결산기 １분기 결산단신</t>
        </is>
      </c>
      <c r="C16" t="inlineStr">
        <is>
          <t>https://www2.jpx.co.jp/disc/66290/140120230710519655.pdf</t>
        </is>
      </c>
    </row>
    <row r="17">
      <c r="A17" t="inlineStr">
        <is>
          <t>2023-05-10</t>
        </is>
      </c>
      <c r="B17" t="inlineStr">
        <is>
          <t>2023년 3월 결산기 연간 결산단신</t>
        </is>
      </c>
      <c r="C17" t="inlineStr">
        <is>
          <t>https://www2.jpx.co.jp/disc/66290/140120230428556960.pdf</t>
        </is>
      </c>
    </row>
    <row r="18">
      <c r="A18" t="inlineStr">
        <is>
          <t>2023-01-25</t>
        </is>
      </c>
      <c r="B18" t="inlineStr">
        <is>
          <t>2023년 3월 결산기 ３분기 결산단신</t>
        </is>
      </c>
      <c r="C18" t="inlineStr">
        <is>
          <t>https://www2.jpx.co.jp/disc/66290/140120230119591192.pdf</t>
        </is>
      </c>
    </row>
    <row r="19">
      <c r="A19" t="inlineStr">
        <is>
          <t>2022-10-25</t>
        </is>
      </c>
      <c r="B19" t="inlineStr">
        <is>
          <t>2023년 3월 결산기 ２분기 결산단신</t>
        </is>
      </c>
      <c r="C19" t="inlineStr">
        <is>
          <t>https://www2.jpx.co.jp/disc/66290/140120221020547061.pdf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https://www2.jpx.co.jp/disc/66290/140120220428530789.pdf</t>
        </is>
      </c>
    </row>
    <row r="21">
      <c r="A21" t="inlineStr">
        <is>
          <t>2021-05-10</t>
        </is>
      </c>
      <c r="B21" t="inlineStr">
        <is>
          <t>2021년 3월 결산기 연간 결산단신</t>
        </is>
      </c>
      <c r="C21" t="inlineStr">
        <is>
          <t>https://www2.jpx.co.jp/disc/66290/140120210428402690.pdf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https://www2.jpx.co.jp/disc/66290/140120200428402047.pdf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https://www2.jpx.co.jp/disc/66290/140120190502414235.pdf</t>
        </is>
      </c>
    </row>
    <row r="24">
      <c r="A24" t="inlineStr">
        <is>
          <t>2018-05-15</t>
        </is>
      </c>
      <c r="B24" t="inlineStr">
        <is>
          <t>연간 결산단신</t>
        </is>
      </c>
      <c r="C24" t="inlineStr">
        <is>
          <t>https://www2.jpx.co.jp/disc/66290/140120180501425295.pdf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2026-10-25T17:47:26Z</dcterms:created>
  <dcterms:modified xmlns:dcterms="http://purl.org/dc/terms/" xmlns:xsi="http://www.w3.org/2001/XMLSchema-instance" xsi:type="dcterms:W3CDTF">2026-10-25T17:47:26Z</dcterms:modified>
</cp:coreProperties>
</file>