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46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6629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11142.892</v>
      </c>
      <c r="D4" s="12" t="n">
        <v>14194.35</v>
      </c>
      <c r="E4" s="12" t="n">
        <v>11184.626</v>
      </c>
      <c r="F4" s="12" t="n">
        <v>12318.724</v>
      </c>
      <c r="G4" s="12" t="n">
        <v>12477.03</v>
      </c>
      <c r="H4" s="12" t="n">
        <v>14644.324</v>
      </c>
      <c r="I4" s="12" t="n">
        <v>10469</v>
      </c>
      <c r="J4" s="12" t="n">
        <v>12402</v>
      </c>
      <c r="K4" s="12" t="n">
        <v>11954.217</v>
      </c>
      <c r="L4" s="12" t="n">
        <v>16555.415</v>
      </c>
      <c r="M4" s="12" t="n">
        <v>13334</v>
      </c>
      <c r="N4" s="12" t="n">
        <v>17756</v>
      </c>
      <c r="O4" s="11" t="n">
        <v>20075.594</v>
      </c>
      <c r="P4" s="12" t="n">
        <v>19398.574</v>
      </c>
      <c r="Q4" s="12" t="n">
        <v>19615.664</v>
      </c>
      <c r="R4" s="12" t="n">
        <v>22357.72</v>
      </c>
      <c r="S4" s="12" t="n">
        <v>26481.026</v>
      </c>
      <c r="T4" s="12" t="n">
        <v>34521.523</v>
      </c>
      <c r="U4" s="12" t="n">
        <v>43765.067</v>
      </c>
      <c r="V4" s="12" t="n">
        <v>48623.725</v>
      </c>
      <c r="W4" s="12" t="n">
        <v>50624.704</v>
      </c>
      <c r="X4" s="12" t="n">
        <v>51380.632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영상·IT 사업</t>
        </is>
      </c>
      <c r="B7" s="10" t="n"/>
      <c r="C7" s="19" t="n">
        <v>7032.856</v>
      </c>
      <c r="D7" s="20" t="n">
        <v>8881.030000000001</v>
      </c>
      <c r="E7" s="20" t="n">
        <v>7465.286</v>
      </c>
      <c r="F7" s="20" t="n">
        <v>8947.918</v>
      </c>
      <c r="G7" s="20" t="n">
        <v>9241.781000000001</v>
      </c>
      <c r="H7" s="20" t="n">
        <v>10173.408</v>
      </c>
      <c r="I7" s="20" t="n">
        <v>7801</v>
      </c>
      <c r="J7" s="20" t="n">
        <v>8868</v>
      </c>
      <c r="K7" s="20" t="n">
        <v>8874.773999999999</v>
      </c>
      <c r="L7" s="20" t="n">
        <v>12225.099</v>
      </c>
      <c r="M7" s="20" t="n">
        <v>10645</v>
      </c>
      <c r="N7" s="20" t="n">
        <v>14341</v>
      </c>
      <c r="O7" s="19" t="n"/>
      <c r="P7" s="20" t="n"/>
      <c r="Q7" s="20" t="n"/>
      <c r="R7" s="20" t="n"/>
      <c r="S7" s="20" t="n"/>
      <c r="T7" s="20" t="n"/>
      <c r="U7" s="20" t="n"/>
      <c r="V7" s="20" t="n">
        <v>30696.417</v>
      </c>
      <c r="W7" s="20" t="n">
        <v>35828.393</v>
      </c>
      <c r="X7" s="20" t="n">
        <v>37768.873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로보틱스 사업</t>
        </is>
      </c>
      <c r="B10" s="10" t="n"/>
      <c r="C10" s="19" t="n">
        <v>4110.036</v>
      </c>
      <c r="D10" s="20" t="n">
        <v>5313.32</v>
      </c>
      <c r="E10" s="20" t="n">
        <v>3719.339</v>
      </c>
      <c r="F10" s="20" t="n">
        <v>3370.807</v>
      </c>
      <c r="G10" s="20" t="n">
        <v>3235.249</v>
      </c>
      <c r="H10" s="20" t="n">
        <v>4470.915</v>
      </c>
      <c r="I10" s="20" t="n">
        <v>2667</v>
      </c>
      <c r="J10" s="20" t="n">
        <v>3534</v>
      </c>
      <c r="K10" s="20" t="n">
        <v>3080.442</v>
      </c>
      <c r="L10" s="20" t="n">
        <v>4330.316</v>
      </c>
      <c r="M10" s="20" t="n">
        <v>2689</v>
      </c>
      <c r="N10" s="20" t="n">
        <v>3414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17927.307</v>
      </c>
      <c r="W10" s="20" t="n">
        <v>14796.31</v>
      </c>
      <c r="X10" s="20" t="n">
        <v>13611.758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8952.998</v>
      </c>
      <c r="D14" s="20" t="n">
        <v>10676.523</v>
      </c>
      <c r="E14" s="20" t="n">
        <v>9087.281000000001</v>
      </c>
      <c r="F14" s="20" t="n">
        <v>9492.803</v>
      </c>
      <c r="G14" s="20" t="n">
        <v>9726.063</v>
      </c>
      <c r="H14" s="20" t="n">
        <v>11964.932</v>
      </c>
      <c r="I14" s="20" t="n">
        <v>8259</v>
      </c>
      <c r="J14" s="20" t="n">
        <v>9025</v>
      </c>
      <c r="K14" s="20" t="n">
        <v>9221.870000000001</v>
      </c>
      <c r="L14" s="20" t="n">
        <v>13078.631</v>
      </c>
      <c r="M14" s="20" t="n">
        <v>10426</v>
      </c>
      <c r="N14" s="20" t="n">
        <v>13800</v>
      </c>
      <c r="O14" s="19" t="n">
        <v>15335.636</v>
      </c>
      <c r="P14" s="20" t="n">
        <v>14325.589</v>
      </c>
      <c r="Q14" s="20" t="n">
        <v>14154.555</v>
      </c>
      <c r="R14" s="20" t="n">
        <v>16075.626</v>
      </c>
      <c r="S14" s="20" t="n">
        <v>18384.372</v>
      </c>
      <c r="T14" s="20" t="n">
        <v>25437.162</v>
      </c>
      <c r="U14" s="20" t="n">
        <v>34930.82</v>
      </c>
      <c r="V14" s="20" t="n">
        <v>38217.518</v>
      </c>
      <c r="W14" s="20" t="n">
        <v>40271.079</v>
      </c>
      <c r="X14" s="20" t="n">
        <v>39584.501</v>
      </c>
      <c r="Y14" s="19" t="n"/>
      <c r="Z14" s="20" t="n"/>
      <c r="AA14" s="20" t="n"/>
      <c r="AB14" s="20" t="n"/>
      <c r="AC14" s="20" t="n"/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IF(OR(G14="",C14=""),"",IF(C14&lt;=0,"",IFERROR(G14/C14-1,"")))</f>
        <v/>
      </c>
      <c r="H15" s="15">
        <f>IF(OR(H14="",D14=""),"",IF(D14&lt;=0,"",IFERROR(H14/D14-1,"")))</f>
        <v/>
      </c>
      <c r="I15" s="15">
        <f>IF(OR(I14="",E14=""),"",IF(E14&lt;=0,"",IFERROR(I14/E14-1,"")))</f>
        <v/>
      </c>
      <c r="J15" s="15">
        <f>IF(OR(J14="",F14=""),"",IF(F14&lt;=0,"",IFERROR(J14/F14-1,"")))</f>
        <v/>
      </c>
      <c r="K15" s="15">
        <f>IF(OR(K14="",G14=""),"",IF(G14&lt;=0,"",IFERROR(K14/G14-1,"")))</f>
        <v/>
      </c>
      <c r="L15" s="15">
        <f>IF(OR(L14="",H14=""),"",IF(H14&lt;=0,"",IFERROR(L14/H14-1,"")))</f>
        <v/>
      </c>
      <c r="M15" s="15">
        <f>IF(OR(M14="",I14=""),"",IF(I14&lt;=0,"",IFERROR(M14/I14-1,"")))</f>
        <v/>
      </c>
      <c r="N15" s="15">
        <f>IF(OR(N14="",J14=""),"",IF(J14&lt;=0,"",IFERROR(N14/J14-1,"")))</f>
        <v/>
      </c>
      <c r="O15" s="14" t="n"/>
      <c r="P15" s="15">
        <f>IF(OR(P14="",O14=""),"",IF(O14&lt;=0,"",IFERROR(P14/O14-1,"")))</f>
        <v/>
      </c>
      <c r="Q15" s="15">
        <f>IF(OR(Q14="",P14=""),"",IF(P14&lt;=0,"",IFERROR(Q14/P14-1,"")))</f>
        <v/>
      </c>
      <c r="R15" s="15">
        <f>IF(OR(R14="",Q14=""),"",IF(Q14&lt;=0,"",IFERROR(R14/Q14-1,"")))</f>
        <v/>
      </c>
      <c r="S15" s="15">
        <f>IF(OR(S14="",R14=""),"",IF(R14&lt;=0,"",IFERROR(S14/R14-1,"")))</f>
        <v/>
      </c>
      <c r="T15" s="15">
        <f>IF(OR(T14="",S14=""),"",IF(S14&lt;=0,"",IFERROR(T14/S14-1,"")))</f>
        <v/>
      </c>
      <c r="U15" s="15">
        <f>IF(OR(U14="",T14=""),"",IF(T14&lt;=0,"",IFERROR(U14/T14-1,"")))</f>
        <v/>
      </c>
      <c r="V15" s="15">
        <f>IF(OR(V14="",U14=""),"",IF(U14&lt;=0,"",IFERROR(V14/U14-1,"")))</f>
        <v/>
      </c>
      <c r="W15" s="15">
        <f>IF(OR(W14="",V14=""),"",IF(V14&lt;=0,"",IFERROR(W14/V14-1,"")))</f>
        <v/>
      </c>
      <c r="X15" s="15">
        <f>IF(OR(X14="",W14=""),"",IF(W14&lt;=0,"",IFERROR(X14/W14-1,"")))</f>
        <v/>
      </c>
      <c r="Y15" s="14">
        <f>IF(OR(Y14="",X14=""),"",IF(X14&lt;=0,"",IFERROR(Y14/X14-1,"")))</f>
        <v/>
      </c>
      <c r="Z15" s="15">
        <f>IF(OR(Z14="",Y14=""),"",IF(Y14&lt;=0,"",IFERROR(Z14/Y14-1,"")))</f>
        <v/>
      </c>
      <c r="AA15" s="15">
        <f>IF(OR(AA14="",Z14=""),"",IF(Z14&lt;=0,"",IFERROR(AA14/Z14-1,"")))</f>
        <v/>
      </c>
      <c r="AB15" s="15">
        <f>IF(OR(AB14="",AA14=""),"",IF(AA14&lt;=0,"",IFERROR(AB14/AA14-1,"")))</f>
        <v/>
      </c>
      <c r="AC15" s="15">
        <f>IF(OR(AC14="",AB14=""),"",IF(AB14&lt;=0,"",IFERROR(AC14/AB14-1,"")))</f>
        <v/>
      </c>
    </row>
    <row r="16">
      <c r="A16" s="18" t="inlineStr">
        <is>
          <t>매출총이익</t>
        </is>
      </c>
      <c r="B16" s="10" t="n"/>
      <c r="C16" s="19">
        <f>IF(OR(C4="",C14=""),"",IFERROR(C4-C14,""))</f>
        <v/>
      </c>
      <c r="D16" s="20">
        <f>IF(OR(D4="",D14=""),"",IFERROR(D4-D14,""))</f>
        <v/>
      </c>
      <c r="E16" s="20">
        <f>IF(OR(E4="",E14=""),"",IFERROR(E4-E14,""))</f>
        <v/>
      </c>
      <c r="F16" s="20">
        <f>IF(OR(F4="",F14=""),"",IFERROR(F4-F14,""))</f>
        <v/>
      </c>
      <c r="G16" s="20">
        <f>IF(OR(G4="",G14=""),"",IFERROR(G4-G14,""))</f>
        <v/>
      </c>
      <c r="H16" s="20">
        <f>IF(OR(H4="",H14=""),"",IFERROR(H4-H14,""))</f>
        <v/>
      </c>
      <c r="I16" s="20">
        <f>IF(OR(I4="",I14=""),"",IFERROR(I4-I14,""))</f>
        <v/>
      </c>
      <c r="J16" s="20">
        <f>IF(OR(J4="",J14=""),"",IFERROR(J4-J14,""))</f>
        <v/>
      </c>
      <c r="K16" s="20">
        <f>IF(OR(K4="",K14=""),"",IFERROR(K4-K14,""))</f>
        <v/>
      </c>
      <c r="L16" s="20">
        <f>IF(OR(L4="",L14=""),"",IFERROR(L4-L14,""))</f>
        <v/>
      </c>
      <c r="M16" s="20">
        <f>IF(OR(M4="",M14=""),"",IFERROR(M4-M14,""))</f>
        <v/>
      </c>
      <c r="N16" s="20">
        <f>IF(OR(N4="",N14=""),"",IFERROR(N4-N14,""))</f>
        <v/>
      </c>
      <c r="O16" s="19">
        <f>IF(OR(O4="",O14=""),"",IFERROR(O4-O14,""))</f>
        <v/>
      </c>
      <c r="P16" s="20">
        <f>IF(OR(P4="",P14=""),"",IFERROR(P4-P14,""))</f>
        <v/>
      </c>
      <c r="Q16" s="20">
        <f>IF(OR(Q4="",Q14=""),"",IFERROR(Q4-Q14,""))</f>
        <v/>
      </c>
      <c r="R16" s="20">
        <f>IF(OR(R4="",R14=""),"",IFERROR(R4-R14,""))</f>
        <v/>
      </c>
      <c r="S16" s="20">
        <f>IF(OR(S4="",S14=""),"",IFERROR(S4-S14,""))</f>
        <v/>
      </c>
      <c r="T16" s="20">
        <f>IF(OR(T4="",T14=""),"",IFERROR(T4-T14,""))</f>
        <v/>
      </c>
      <c r="U16" s="20">
        <f>IF(OR(U4="",U14=""),"",IFERROR(U4-U14,""))</f>
        <v/>
      </c>
      <c r="V16" s="20">
        <f>IF(OR(V4="",V14=""),"",IFERROR(V4-V14,""))</f>
        <v/>
      </c>
      <c r="W16" s="20">
        <f>IF(OR(W4="",W14=""),"",IFERROR(W4-W14,""))</f>
        <v/>
      </c>
      <c r="X16" s="20">
        <f>IF(OR(X4="",X14=""),"",IFERROR(X4-X14,""))</f>
        <v/>
      </c>
      <c r="Y16" s="19" t="n"/>
      <c r="Z16" s="20" t="n"/>
      <c r="AA16" s="20" t="n"/>
      <c r="AB16" s="20" t="n"/>
      <c r="AC16" s="20" t="n"/>
    </row>
    <row r="17">
      <c r="A17" s="13" t="inlineStr">
        <is>
          <t>GPM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IF(OR(G16="",C16=""),"",IF(C16&lt;=0,"",IFERROR(G16/C16-1,"")))</f>
        <v/>
      </c>
      <c r="H18" s="15">
        <f>IF(OR(H16="",D16=""),"",IF(D16&lt;=0,"",IFERROR(H16/D16-1,"")))</f>
        <v/>
      </c>
      <c r="I18" s="15">
        <f>IF(OR(I16="",E16=""),"",IF(E16&lt;=0,"",IFERROR(I16/E16-1,"")))</f>
        <v/>
      </c>
      <c r="J18" s="15">
        <f>IF(OR(J16="",F16=""),"",IF(F16&lt;=0,"",IFERROR(J16/F16-1,"")))</f>
        <v/>
      </c>
      <c r="K18" s="15">
        <f>IF(OR(K16="",G16=""),"",IF(G16&lt;=0,"",IFERROR(K16/G16-1,"")))</f>
        <v/>
      </c>
      <c r="L18" s="15">
        <f>IF(OR(L16="",H16=""),"",IF(H16&lt;=0,"",IFERROR(L16/H16-1,"")))</f>
        <v/>
      </c>
      <c r="M18" s="15">
        <f>IF(OR(M16="",I16=""),"",IF(I16&lt;=0,"",IFERROR(M16/I16-1,"")))</f>
        <v/>
      </c>
      <c r="N18" s="15">
        <f>IF(OR(N16="",J16=""),"",IF(J16&lt;=0,"",IFERROR(N16/J16-1,"")))</f>
        <v/>
      </c>
      <c r="O18" s="14" t="n"/>
      <c r="P18" s="15">
        <f>IF(OR(P16="",O16=""),"",IF(O16&lt;=0,"",IFERROR(P16/O16-1,"")))</f>
        <v/>
      </c>
      <c r="Q18" s="15">
        <f>IF(OR(Q16="",P16=""),"",IF(P16&lt;=0,"",IFERROR(Q16/P16-1,"")))</f>
        <v/>
      </c>
      <c r="R18" s="15">
        <f>IF(OR(R16="",Q16=""),"",IF(Q16&lt;=0,"",IFERROR(R16/Q16-1,"")))</f>
        <v/>
      </c>
      <c r="S18" s="15">
        <f>IF(OR(S16="",R16=""),"",IF(R16&lt;=0,"",IFERROR(S16/R16-1,"")))</f>
        <v/>
      </c>
      <c r="T18" s="15">
        <f>IF(OR(T16="",S16=""),"",IF(S16&lt;=0,"",IFERROR(T16/S16-1,"")))</f>
        <v/>
      </c>
      <c r="U18" s="15">
        <f>IF(OR(U16="",T16=""),"",IF(T16&lt;=0,"",IFERROR(U16/T16-1,"")))</f>
        <v/>
      </c>
      <c r="V18" s="15">
        <f>IF(OR(V16="",U16=""),"",IF(U16&lt;=0,"",IFERROR(V16/U16-1,"")))</f>
        <v/>
      </c>
      <c r="W18" s="15">
        <f>IF(OR(W16="",V16=""),"",IF(V16&lt;=0,"",IFERROR(W16/V16-1,"")))</f>
        <v/>
      </c>
      <c r="X18" s="15">
        <f>IF(OR(X16="",W16=""),"",IF(W16&lt;=0,"",IFERROR(X16/W16-1,"")))</f>
        <v/>
      </c>
      <c r="Y18" s="14">
        <f>IF(OR(Y16="",X16=""),"",IF(X16&lt;=0,"",IFERROR(Y16/X16-1,"")))</f>
        <v/>
      </c>
      <c r="Z18" s="15">
        <f>IF(OR(Z16="",Y16=""),"",IF(Y16&lt;=0,"",IFERROR(Z16/Y16-1,"")))</f>
        <v/>
      </c>
      <c r="AA18" s="15">
        <f>IF(OR(AA16="",Z16=""),"",IF(Z16&lt;=0,"",IFERROR(AA16/Z16-1,"")))</f>
        <v/>
      </c>
      <c r="AB18" s="15">
        <f>IF(OR(AB16="",AA16=""),"",IF(AA16&lt;=0,"",IFERROR(AB16/AA16-1,"")))</f>
        <v/>
      </c>
      <c r="AC18" s="15">
        <f>IF(OR(AC16="",AB16=""),"",IF(AB16&lt;=0,"",IFERROR(AC16/AB16-1,"")))</f>
        <v/>
      </c>
    </row>
    <row r="19">
      <c r="A19" s="23" t="inlineStr">
        <is>
          <t>판매관리비</t>
        </is>
      </c>
      <c r="B19" s="23" t="n"/>
      <c r="C19" s="24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4" t="n"/>
      <c r="Z19" s="23" t="n"/>
      <c r="AA19" s="23" t="n"/>
      <c r="AB19" s="23" t="n"/>
      <c r="AC19" s="23" t="n"/>
    </row>
    <row r="20">
      <c r="A20" s="18" t="inlineStr">
        <is>
          <t>전체 판관비</t>
        </is>
      </c>
      <c r="B20" s="10" t="n"/>
      <c r="C20" s="19" t="n">
        <v>2290.474</v>
      </c>
      <c r="D20" s="20" t="n">
        <v>2541.667</v>
      </c>
      <c r="E20" s="20" t="n">
        <v>2372.764</v>
      </c>
      <c r="F20" s="20" t="n">
        <v>2402.165</v>
      </c>
      <c r="G20" s="20" t="n">
        <v>2569.185</v>
      </c>
      <c r="H20" s="20" t="n">
        <v>2635.864</v>
      </c>
      <c r="I20" s="20" t="n">
        <v>2188</v>
      </c>
      <c r="J20" s="20" t="n">
        <v>2507</v>
      </c>
      <c r="K20" s="20" t="n">
        <v>2362.927</v>
      </c>
      <c r="L20" s="20" t="n">
        <v>2406.088</v>
      </c>
      <c r="M20" s="20" t="n">
        <v>2407</v>
      </c>
      <c r="N20" s="20" t="n">
        <v>2760</v>
      </c>
      <c r="O20" s="19" t="n">
        <v>4264.692</v>
      </c>
      <c r="P20" s="20" t="n">
        <v>4072.766</v>
      </c>
      <c r="Q20" s="20" t="n">
        <v>4320.106</v>
      </c>
      <c r="R20" s="20" t="n">
        <v>4838.302</v>
      </c>
      <c r="S20" s="20" t="n">
        <v>5678.878</v>
      </c>
      <c r="T20" s="20" t="n">
        <v>8334.532999999999</v>
      </c>
      <c r="U20" s="20" t="n">
        <v>9364.725</v>
      </c>
      <c r="V20" s="20" t="n">
        <v>9369.314</v>
      </c>
      <c r="W20" s="20" t="n">
        <v>9979.977999999999</v>
      </c>
      <c r="X20" s="20" t="n">
        <v>9464.014999999999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-100.58</v>
      </c>
      <c r="D22" s="12" t="n">
        <v>976.159</v>
      </c>
      <c r="E22" s="12" t="n">
        <v>-275.419</v>
      </c>
      <c r="F22" s="12" t="n">
        <v>423.755</v>
      </c>
      <c r="G22" s="12" t="n">
        <v>181.782</v>
      </c>
      <c r="H22" s="12" t="n">
        <v>43.527</v>
      </c>
      <c r="I22" s="12" t="n">
        <v>21</v>
      </c>
      <c r="J22" s="12" t="n">
        <v>870</v>
      </c>
      <c r="K22" s="12" t="n">
        <v>370.418</v>
      </c>
      <c r="L22" s="12" t="n">
        <v>1070.697</v>
      </c>
      <c r="M22" s="12" t="n">
        <v>501</v>
      </c>
      <c r="N22" s="12" t="n">
        <v>1194</v>
      </c>
      <c r="O22" s="11" t="n">
        <v>475.265</v>
      </c>
      <c r="P22" s="12" t="n">
        <v>1000.219</v>
      </c>
      <c r="Q22" s="12" t="n">
        <v>1141.002</v>
      </c>
      <c r="R22" s="12" t="n">
        <v>1443.791</v>
      </c>
      <c r="S22" s="12" t="n">
        <v>2417.775</v>
      </c>
      <c r="T22" s="12" t="n">
        <v>749.827</v>
      </c>
      <c r="U22" s="12" t="n">
        <v>-530.478</v>
      </c>
      <c r="V22" s="12" t="n">
        <v>1036.891</v>
      </c>
      <c r="W22" s="12" t="n">
        <v>373.645</v>
      </c>
      <c r="X22" s="12" t="n">
        <v>2332.115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IF(O20="","",O20)</f>
        <v/>
      </c>
      <c r="P26" s="12">
        <f>IF(P20="","",P20)</f>
        <v/>
      </c>
      <c r="Q26" s="12">
        <f>IF(Q20="","",Q20)</f>
        <v/>
      </c>
      <c r="R26" s="12">
        <f>IF(R20="","",R20)</f>
        <v/>
      </c>
      <c r="S26" s="12">
        <f>IF(S20="","",S20)</f>
        <v/>
      </c>
      <c r="T26" s="12">
        <f>IF(T20="","",T20)</f>
        <v/>
      </c>
      <c r="U26" s="12">
        <f>IF(U20="","",U20)</f>
        <v/>
      </c>
      <c r="V26" s="12">
        <f>IF(V20="","",V20)</f>
        <v/>
      </c>
      <c r="W26" s="12">
        <f>IF(W20="","",W20)</f>
        <v/>
      </c>
      <c r="X26" s="12">
        <f>IF(X20="","",X20)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1.382</v>
      </c>
      <c r="D38" s="20" t="n">
        <v>40.3</v>
      </c>
      <c r="E38" s="20" t="n"/>
      <c r="F38" s="20" t="n"/>
      <c r="G38" s="20" t="n">
        <v>2.669</v>
      </c>
      <c r="H38" s="20" t="n">
        <v>82.657</v>
      </c>
      <c r="I38" s="20" t="n"/>
      <c r="J38" s="20" t="n"/>
      <c r="K38" s="20" t="n"/>
      <c r="L38" s="20" t="n"/>
      <c r="M38" s="20" t="n"/>
      <c r="N38" s="20" t="n"/>
      <c r="O38" s="19" t="n">
        <v>24.533</v>
      </c>
      <c r="P38" s="20" t="n">
        <v>133.078</v>
      </c>
      <c r="Q38" s="20" t="n">
        <v>1.219</v>
      </c>
      <c r="R38" s="20" t="n">
        <v>230.076</v>
      </c>
      <c r="S38" s="20" t="n">
        <v>148.411</v>
      </c>
      <c r="T38" s="20" t="n">
        <v>30.941</v>
      </c>
      <c r="U38" s="20" t="n">
        <v>170.55</v>
      </c>
      <c r="V38" s="20" t="n">
        <v>44.985</v>
      </c>
      <c r="W38" s="20" t="n">
        <v>87.861</v>
      </c>
      <c r="X38" s="20" t="n">
        <v>639.321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21.373</v>
      </c>
      <c r="D40" s="20" t="n">
        <v>118.799</v>
      </c>
      <c r="E40" s="20" t="n">
        <v>1.124</v>
      </c>
      <c r="F40" s="20" t="n">
        <v>-1.124</v>
      </c>
      <c r="G40" s="20" t="n">
        <v>0</v>
      </c>
      <c r="H40" s="20" t="n">
        <v>656.527</v>
      </c>
      <c r="I40" s="20" t="n"/>
      <c r="J40" s="20" t="n"/>
      <c r="K40" s="20" t="n">
        <v>-23.35</v>
      </c>
      <c r="L40" s="20" t="n">
        <v>168.883</v>
      </c>
      <c r="M40" s="20" t="n"/>
      <c r="N40" s="20" t="n"/>
      <c r="O40" s="19" t="n">
        <v>157.72</v>
      </c>
      <c r="P40" s="20" t="n">
        <v>257.117</v>
      </c>
      <c r="Q40" s="20" t="n">
        <v>389.643</v>
      </c>
      <c r="R40" s="20" t="n">
        <v>26.709</v>
      </c>
      <c r="S40" s="20" t="n">
        <v>6.975</v>
      </c>
      <c r="T40" s="20" t="n">
        <v>16.229</v>
      </c>
      <c r="U40" s="20" t="n">
        <v>535.364</v>
      </c>
      <c r="V40" s="20" t="n">
        <v>351.879</v>
      </c>
      <c r="W40" s="20" t="n">
        <v>656.527</v>
      </c>
      <c r="X40" s="20" t="n">
        <v>326.533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-67.976</v>
      </c>
      <c r="D42" s="20" t="n">
        <v>297.301</v>
      </c>
      <c r="E42" s="20" t="n">
        <v>268.723</v>
      </c>
      <c r="F42" s="20" t="n">
        <v>-161.717</v>
      </c>
      <c r="G42" s="20" t="n">
        <v>275.361</v>
      </c>
      <c r="H42" s="20" t="n">
        <v>-131.583</v>
      </c>
      <c r="I42" s="20" t="n">
        <v>107</v>
      </c>
      <c r="J42" s="20" t="n">
        <v>116</v>
      </c>
      <c r="K42" s="20" t="n">
        <v>261.086</v>
      </c>
      <c r="L42" s="20" t="n">
        <v>308.569</v>
      </c>
      <c r="M42" s="20" t="n">
        <v>175</v>
      </c>
      <c r="N42" s="20" t="n">
        <v>-38</v>
      </c>
      <c r="O42" s="19" t="n">
        <v>47.123</v>
      </c>
      <c r="P42" s="20" t="n">
        <v>161.616</v>
      </c>
      <c r="Q42" s="20" t="n">
        <v>38.896</v>
      </c>
      <c r="R42" s="20" t="n">
        <v>71.297</v>
      </c>
      <c r="S42" s="20" t="n">
        <v>233.61</v>
      </c>
      <c r="T42" s="20" t="n">
        <v>319.057</v>
      </c>
      <c r="U42" s="20" t="n">
        <v>227.403</v>
      </c>
      <c r="V42" s="20" t="n">
        <v>800.521</v>
      </c>
      <c r="W42" s="20" t="n">
        <v>250.784</v>
      </c>
      <c r="X42" s="20" t="n">
        <v>792.655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32.645</v>
      </c>
      <c r="D44" s="20" t="n">
        <v>43.5</v>
      </c>
      <c r="E44" s="20" t="n">
        <v>40.559</v>
      </c>
      <c r="F44" s="20" t="n">
        <v>221.36</v>
      </c>
      <c r="G44" s="20" t="n">
        <v>-138.702</v>
      </c>
      <c r="H44" s="20" t="n">
        <v>131.626</v>
      </c>
      <c r="I44" s="20" t="n">
        <v>175</v>
      </c>
      <c r="J44" s="20" t="n">
        <v>-41</v>
      </c>
      <c r="K44" s="20" t="n">
        <v>74.739</v>
      </c>
      <c r="L44" s="20" t="n">
        <v>29.218</v>
      </c>
      <c r="M44" s="20" t="n">
        <v>62</v>
      </c>
      <c r="N44" s="20" t="n">
        <v>150</v>
      </c>
      <c r="O44" s="19" t="n">
        <v>149.994</v>
      </c>
      <c r="P44" s="20" t="n">
        <v>51.434</v>
      </c>
      <c r="Q44" s="20" t="n">
        <v>69.504</v>
      </c>
      <c r="R44" s="20" t="n">
        <v>130.386</v>
      </c>
      <c r="S44" s="20" t="n">
        <v>121.078</v>
      </c>
      <c r="T44" s="20" t="n">
        <v>113.661</v>
      </c>
      <c r="U44" s="20" t="n">
        <v>102.515</v>
      </c>
      <c r="V44" s="20" t="n">
        <v>128.029</v>
      </c>
      <c r="W44" s="20" t="n">
        <v>254.843</v>
      </c>
      <c r="X44" s="20" t="n">
        <v>237.957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-221.192</v>
      </c>
      <c r="D46" s="12" t="n">
        <v>1151.461</v>
      </c>
      <c r="E46" s="12" t="n">
        <v>-47.255</v>
      </c>
      <c r="F46" s="12" t="n">
        <v>40.679</v>
      </c>
      <c r="G46" s="12" t="n">
        <v>595.8440000000001</v>
      </c>
      <c r="H46" s="12" t="n">
        <v>-788.347</v>
      </c>
      <c r="I46" s="12" t="n">
        <v>-46</v>
      </c>
      <c r="J46" s="12" t="n">
        <v>844</v>
      </c>
      <c r="K46" s="12" t="n">
        <v>581.114</v>
      </c>
      <c r="L46" s="12" t="n">
        <v>1820.487</v>
      </c>
      <c r="M46" s="12" t="n">
        <v>613</v>
      </c>
      <c r="N46" s="12" t="n">
        <v>1007</v>
      </c>
      <c r="O46" s="11" t="n">
        <v>239.208</v>
      </c>
      <c r="P46" s="12" t="n">
        <v>986.362</v>
      </c>
      <c r="Q46" s="12" t="n">
        <v>721.9690000000001</v>
      </c>
      <c r="R46" s="12" t="n">
        <v>1588.069</v>
      </c>
      <c r="S46" s="12" t="n">
        <v>2671.743</v>
      </c>
      <c r="T46" s="12" t="n">
        <v>969.9349999999999</v>
      </c>
      <c r="U46" s="12" t="n">
        <v>-770.404</v>
      </c>
      <c r="V46" s="12" t="n">
        <v>1402.489</v>
      </c>
      <c r="W46" s="12" t="n">
        <v>-199.079</v>
      </c>
      <c r="X46" s="12" t="n">
        <v>3199.601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3" t="inlineStr">
        <is>
          <t>YoY</t>
        </is>
      </c>
      <c r="B47" s="10" t="n"/>
      <c r="C47" s="14" t="n"/>
      <c r="D47" s="15" t="n"/>
      <c r="E47" s="15" t="n"/>
      <c r="F47" s="15" t="n"/>
      <c r="G47" s="15">
        <f>IF(OR(G46="",C46=""),"",IF(C46&lt;=0,"",IFERROR(G46/C46-1,"")))</f>
        <v/>
      </c>
      <c r="H47" s="15">
        <f>IF(OR(H46="",D46=""),"",IF(D46&lt;=0,"",IFERROR(H46/D46-1,"")))</f>
        <v/>
      </c>
      <c r="I47" s="15">
        <f>IF(OR(I46="",E46=""),"",IF(E46&lt;=0,"",IFERROR(I46/E46-1,"")))</f>
        <v/>
      </c>
      <c r="J47" s="15">
        <f>IF(OR(J46="",F46=""),"",IF(F46&lt;=0,"",IFERROR(J46/F46-1,"")))</f>
        <v/>
      </c>
      <c r="K47" s="15">
        <f>IF(OR(K46="",G46=""),"",IF(G46&lt;=0,"",IFERROR(K46/G46-1,"")))</f>
        <v/>
      </c>
      <c r="L47" s="15">
        <f>IF(OR(L46="",H46=""),"",IF(H46&lt;=0,"",IFERROR(L46/H46-1,"")))</f>
        <v/>
      </c>
      <c r="M47" s="15">
        <f>IF(OR(M46="",I46=""),"",IF(I46&lt;=0,"",IFERROR(M46/I46-1,"")))</f>
        <v/>
      </c>
      <c r="N47" s="15">
        <f>IF(OR(N46="",J46=""),"",IF(J46&lt;=0,"",IFERROR(N46/J46-1,"")))</f>
        <v/>
      </c>
      <c r="O47" s="14" t="n"/>
      <c r="P47" s="15">
        <f>IF(OR(P46="",O46=""),"",IF(O46&lt;=0,"",IFERROR(P46/O46-1,"")))</f>
        <v/>
      </c>
      <c r="Q47" s="15">
        <f>IF(OR(Q46="",P46=""),"",IF(P46&lt;=0,"",IFERROR(Q46/P46-1,"")))</f>
        <v/>
      </c>
      <c r="R47" s="15">
        <f>IF(OR(R46="",Q46=""),"",IF(Q46&lt;=0,"",IFERROR(R46/Q46-1,"")))</f>
        <v/>
      </c>
      <c r="S47" s="15">
        <f>IF(OR(S46="",R46=""),"",IF(R46&lt;=0,"",IFERROR(S46/R46-1,"")))</f>
        <v/>
      </c>
      <c r="T47" s="15">
        <f>IF(OR(T46="",S46=""),"",IF(S46&lt;=0,"",IFERROR(T46/S46-1,"")))</f>
        <v/>
      </c>
      <c r="U47" s="15">
        <f>IF(OR(U46="",T46=""),"",IF(T46&lt;=0,"",IFERROR(U46/T46-1,"")))</f>
        <v/>
      </c>
      <c r="V47" s="15">
        <f>IF(OR(V46="",U46=""),"",IF(U46&lt;=0,"",IFERROR(V46/U46-1,"")))</f>
        <v/>
      </c>
      <c r="W47" s="15">
        <f>IF(OR(W46="",V46=""),"",IF(V46&lt;=0,"",IFERROR(W46/V46-1,"")))</f>
        <v/>
      </c>
      <c r="X47" s="15">
        <f>IF(OR(X46="",W46=""),"",IF(W46&lt;=0,"",IFERROR(X46/W46-1,"")))</f>
        <v/>
      </c>
      <c r="Y47" s="14">
        <f>IF(OR(Y46="",X46=""),"",IF(X46&lt;=0,"",IFERROR(Y46/X46-1,"")))</f>
        <v/>
      </c>
      <c r="Z47" s="15">
        <f>IF(OR(Z46="",Y46=""),"",IF(Y46&lt;=0,"",IFERROR(Z46/Y46-1,"")))</f>
        <v/>
      </c>
      <c r="AA47" s="15">
        <f>IF(OR(AA46="",Z46=""),"",IF(Z46&lt;=0,"",IFERROR(AA46/Z46-1,"")))</f>
        <v/>
      </c>
      <c r="AB47" s="15">
        <f>IF(OR(AB46="",AA46=""),"",IF(AA46&lt;=0,"",IFERROR(AB46/AA46-1,"")))</f>
        <v/>
      </c>
      <c r="AC47" s="15">
        <f>IF(OR(AC46="",AB46=""),"",IF(AB46&lt;=0,"",IFERROR(AC46/AB46-1,"")))</f>
        <v/>
      </c>
    </row>
    <row r="48">
      <c r="A48" s="18" t="inlineStr">
        <is>
          <t>법인세비용(수익)</t>
        </is>
      </c>
      <c r="B48" s="10" t="n"/>
      <c r="C48" s="19" t="n">
        <v>95.48</v>
      </c>
      <c r="D48" s="20" t="n">
        <v>120.902</v>
      </c>
      <c r="E48" s="20" t="n">
        <v>171.096</v>
      </c>
      <c r="F48" s="20" t="n">
        <v>96.562</v>
      </c>
      <c r="G48" s="20" t="n">
        <v>71.687</v>
      </c>
      <c r="H48" s="20" t="n">
        <v>82.15000000000001</v>
      </c>
      <c r="I48" s="20" t="n">
        <v>93</v>
      </c>
      <c r="J48" s="20" t="n">
        <v>248</v>
      </c>
      <c r="K48" s="20" t="n">
        <v>182.504</v>
      </c>
      <c r="L48" s="20" t="n">
        <v>214.699</v>
      </c>
      <c r="M48" s="20" t="n">
        <v>169</v>
      </c>
      <c r="N48" s="20" t="n">
        <v>246</v>
      </c>
      <c r="O48" s="19" t="n">
        <v>388.615</v>
      </c>
      <c r="P48" s="20" t="n">
        <v>221.917</v>
      </c>
      <c r="Q48" s="20" t="n">
        <v>75.732</v>
      </c>
      <c r="R48" s="20" t="n">
        <v>268.487</v>
      </c>
      <c r="S48" s="20" t="n">
        <v>527.693</v>
      </c>
      <c r="T48" s="20" t="n">
        <v>538.867</v>
      </c>
      <c r="U48" s="20" t="n">
        <v>776.7809999999999</v>
      </c>
      <c r="V48" s="20" t="n">
        <v>380.322</v>
      </c>
      <c r="W48" s="20" t="n">
        <v>421.495</v>
      </c>
      <c r="X48" s="20" t="n">
        <v>738.203</v>
      </c>
      <c r="Y48" s="19">
        <f>IF(OR(Y46="",Y49=""),"",IFERROR(MAX(Y46,0)*Y49,""))</f>
        <v/>
      </c>
      <c r="Z48" s="20">
        <f>IF(OR(Z46="",Z49=""),"",IFERROR(MAX(Z46,0)*Z49,""))</f>
        <v/>
      </c>
      <c r="AA48" s="20">
        <f>IF(OR(AA46="",AA49=""),"",IFERROR(MAX(AA46,0)*AA49,""))</f>
        <v/>
      </c>
      <c r="AB48" s="20">
        <f>IF(OR(AB46="",AB49=""),"",IFERROR(MAX(AB46,0)*AB49,""))</f>
        <v/>
      </c>
      <c r="AC48" s="20">
        <f>IF(OR(AC46="",AC49=""),"",IFERROR(MAX(AC46,0)*AC49,""))</f>
        <v/>
      </c>
    </row>
    <row r="49">
      <c r="A49" s="13" t="inlineStr">
        <is>
          <t>법인세율</t>
        </is>
      </c>
      <c r="B49" s="10" t="inlineStr">
        <is>
          <t>MW 기본 30%</t>
        </is>
      </c>
      <c r="C49" s="14">
        <f>IF(OR(C48="",C46=""),"",IFERROR(C48/C46,""))</f>
        <v/>
      </c>
      <c r="D49" s="15">
        <f>IF(OR(D48="",D46=""),"",IFERROR(D48/D46,""))</f>
        <v/>
      </c>
      <c r="E49" s="15">
        <f>IF(OR(E48="",E46=""),"",IFERROR(E48/E46,""))</f>
        <v/>
      </c>
      <c r="F49" s="15">
        <f>IF(OR(F48="",F46=""),"",IFERROR(F48/F46,""))</f>
        <v/>
      </c>
      <c r="G49" s="15">
        <f>IF(OR(G48="",G46=""),"",IFERROR(G48/G46,""))</f>
        <v/>
      </c>
      <c r="H49" s="15">
        <f>IF(OR(H48="",H46=""),"",IFERROR(H48/H46,""))</f>
        <v/>
      </c>
      <c r="I49" s="15">
        <f>IF(OR(I48="",I46=""),"",IFERROR(I48/I46,""))</f>
        <v/>
      </c>
      <c r="J49" s="15">
        <f>IF(OR(J48="",J46=""),"",IFERROR(J48/J46,""))</f>
        <v/>
      </c>
      <c r="K49" s="15">
        <f>IF(OR(K48="",K46=""),"",IFERROR(K48/K46,""))</f>
        <v/>
      </c>
      <c r="L49" s="15">
        <f>IF(OR(L48="",L46=""),"",IFERROR(L48/L46,""))</f>
        <v/>
      </c>
      <c r="M49" s="15">
        <f>IF(OR(M48="",M46=""),"",IFERROR(M48/M46,""))</f>
        <v/>
      </c>
      <c r="N49" s="15">
        <f>IF(OR(N48="",N46=""),"",IFERROR(N48/N46,""))</f>
        <v/>
      </c>
      <c r="O49" s="14">
        <f>IF(OR(O48="",O46=""),"",IFERROR(O48/O46,""))</f>
        <v/>
      </c>
      <c r="P49" s="15">
        <f>IF(OR(P48="",P46=""),"",IFERROR(P48/P46,""))</f>
        <v/>
      </c>
      <c r="Q49" s="15">
        <f>IF(OR(Q48="",Q46=""),"",IFERROR(Q48/Q46,""))</f>
        <v/>
      </c>
      <c r="R49" s="15">
        <f>IF(OR(R48="",R46=""),"",IFERROR(R48/R46,""))</f>
        <v/>
      </c>
      <c r="S49" s="15">
        <f>IF(OR(S48="",S46=""),"",IFERROR(S48/S46,""))</f>
        <v/>
      </c>
      <c r="T49" s="15">
        <f>IF(OR(T48="",T46=""),"",IFERROR(T48/T46,""))</f>
        <v/>
      </c>
      <c r="U49" s="15">
        <f>IF(OR(U48="",U46=""),"",IFERROR(U48/U46,""))</f>
        <v/>
      </c>
      <c r="V49" s="15">
        <f>IF(OR(V48="",V46=""),"",IFERROR(V48/V46,""))</f>
        <v/>
      </c>
      <c r="W49" s="15">
        <f>IF(OR(W48="",W46=""),"",IFERROR(W48/W46,""))</f>
        <v/>
      </c>
      <c r="X49" s="15">
        <f>IF(OR(X48="",X46=""),"",IFERROR(X48/X46,""))</f>
        <v/>
      </c>
      <c r="Y49" s="25" t="n">
        <v>0.3</v>
      </c>
      <c r="Z49" s="26" t="n">
        <v>0.3</v>
      </c>
      <c r="AA49" s="26" t="n">
        <v>0.3</v>
      </c>
      <c r="AB49" s="26" t="n">
        <v>0.3</v>
      </c>
      <c r="AC49" s="26" t="n">
        <v>0.3</v>
      </c>
    </row>
    <row r="50">
      <c r="A50" s="9" t="inlineStr">
        <is>
          <t>당기순이익(손실)</t>
        </is>
      </c>
      <c r="B50" s="10" t="n"/>
      <c r="C50" s="11" t="n">
        <v>-316.672</v>
      </c>
      <c r="D50" s="12" t="n">
        <v>1030.558</v>
      </c>
      <c r="E50" s="12" t="n">
        <v>-218.352</v>
      </c>
      <c r="F50" s="12" t="n">
        <v>-55.883</v>
      </c>
      <c r="G50" s="12" t="n">
        <v>524.158</v>
      </c>
      <c r="H50" s="12" t="n">
        <v>-870.498</v>
      </c>
      <c r="I50" s="12" t="n">
        <v>-139</v>
      </c>
      <c r="J50" s="12" t="n">
        <v>595</v>
      </c>
      <c r="K50" s="12" t="n">
        <v>399.609</v>
      </c>
      <c r="L50" s="12" t="n">
        <v>1605.789</v>
      </c>
      <c r="M50" s="12" t="n">
        <v>444</v>
      </c>
      <c r="N50" s="12" t="n">
        <v>760</v>
      </c>
      <c r="O50" s="11" t="n">
        <v>-149.406</v>
      </c>
      <c r="P50" s="12" t="n">
        <v>764.4450000000001</v>
      </c>
      <c r="Q50" s="12" t="n">
        <v>646.236</v>
      </c>
      <c r="R50" s="12" t="n">
        <v>1319.582</v>
      </c>
      <c r="S50" s="12" t="n">
        <v>2144.05</v>
      </c>
      <c r="T50" s="12" t="n">
        <v>431.068</v>
      </c>
      <c r="U50" s="12" t="n">
        <v>-1547.185</v>
      </c>
      <c r="V50" s="12" t="n">
        <v>1022.166</v>
      </c>
      <c r="W50" s="12" t="n">
        <v>-620.575</v>
      </c>
      <c r="X50" s="12" t="n">
        <v>2461.398</v>
      </c>
      <c r="Y50" s="11">
        <f>IF(OR(Y46=""),"",IFERROR(Y46-Y48,""))</f>
        <v/>
      </c>
      <c r="Z50" s="12">
        <f>IF(OR(Z46=""),"",IFERROR(Z46-Z48,""))</f>
        <v/>
      </c>
      <c r="AA50" s="12">
        <f>IF(OR(AA46=""),"",IFERROR(AA46-AA48,""))</f>
        <v/>
      </c>
      <c r="AB50" s="12">
        <f>IF(OR(AB46=""),"",IFERROR(AB46-AB48,""))</f>
        <v/>
      </c>
      <c r="AC50" s="12">
        <f>IF(OR(AC46=""),"",IFERROR(AC46-AC48,""))</f>
        <v/>
      </c>
    </row>
    <row r="51">
      <c r="A51" s="13" t="inlineStr">
        <is>
          <t>YoY</t>
        </is>
      </c>
      <c r="B51" s="10" t="n"/>
      <c r="C51" s="14" t="n"/>
      <c r="D51" s="15" t="n"/>
      <c r="E51" s="15" t="n"/>
      <c r="F51" s="15" t="n"/>
      <c r="G51" s="15">
        <f>IF(OR(G50="",C50=""),"",IF(C50&lt;=0,"",IFERROR(G50/C50-1,"")))</f>
        <v/>
      </c>
      <c r="H51" s="15">
        <f>IF(OR(H50="",D50=""),"",IF(D50&lt;=0,"",IFERROR(H50/D50-1,"")))</f>
        <v/>
      </c>
      <c r="I51" s="15">
        <f>IF(OR(I50="",E50=""),"",IF(E50&lt;=0,"",IFERROR(I50/E50-1,"")))</f>
        <v/>
      </c>
      <c r="J51" s="15">
        <f>IF(OR(J50="",F50=""),"",IF(F50&lt;=0,"",IFERROR(J50/F50-1,"")))</f>
        <v/>
      </c>
      <c r="K51" s="15">
        <f>IF(OR(K50="",G50=""),"",IF(G50&lt;=0,"",IFERROR(K50/G50-1,"")))</f>
        <v/>
      </c>
      <c r="L51" s="15">
        <f>IF(OR(L50="",H50=""),"",IF(H50&lt;=0,"",IFERROR(L50/H50-1,"")))</f>
        <v/>
      </c>
      <c r="M51" s="15">
        <f>IF(OR(M50="",I50=""),"",IF(I50&lt;=0,"",IFERROR(M50/I50-1,"")))</f>
        <v/>
      </c>
      <c r="N51" s="15">
        <f>IF(OR(N50="",J50=""),"",IF(J50&lt;=0,"",IFERROR(N50/J50-1,"")))</f>
        <v/>
      </c>
      <c r="O51" s="14" t="n"/>
      <c r="P51" s="15">
        <f>IF(OR(P50="",O50=""),"",IF(O50&lt;=0,"",IFERROR(P50/O50-1,"")))</f>
        <v/>
      </c>
      <c r="Q51" s="15">
        <f>IF(OR(Q50="",P50=""),"",IF(P50&lt;=0,"",IFERROR(Q50/P50-1,"")))</f>
        <v/>
      </c>
      <c r="R51" s="15">
        <f>IF(OR(R50="",Q50=""),"",IF(Q50&lt;=0,"",IFERROR(R50/Q50-1,"")))</f>
        <v/>
      </c>
      <c r="S51" s="15">
        <f>IF(OR(S50="",R50=""),"",IF(R50&lt;=0,"",IFERROR(S50/R50-1,"")))</f>
        <v/>
      </c>
      <c r="T51" s="15">
        <f>IF(OR(T50="",S50=""),"",IF(S50&lt;=0,"",IFERROR(T50/S50-1,"")))</f>
        <v/>
      </c>
      <c r="U51" s="15">
        <f>IF(OR(U50="",T50=""),"",IF(T50&lt;=0,"",IFERROR(U50/T50-1,"")))</f>
        <v/>
      </c>
      <c r="V51" s="15">
        <f>IF(OR(V50="",U50=""),"",IF(U50&lt;=0,"",IFERROR(V50/U50-1,"")))</f>
        <v/>
      </c>
      <c r="W51" s="15">
        <f>IF(OR(W50="",V50=""),"",IF(V50&lt;=0,"",IFERROR(W50/V50-1,"")))</f>
        <v/>
      </c>
      <c r="X51" s="15">
        <f>IF(OR(X50="",W50=""),"",IF(W50&lt;=0,"",IFERROR(X50/W50-1,"")))</f>
        <v/>
      </c>
      <c r="Y51" s="14">
        <f>IF(OR(Y50="",X50=""),"",IF(X50&lt;=0,"",IFERROR(Y50/X50-1,"")))</f>
        <v/>
      </c>
      <c r="Z51" s="15">
        <f>IF(OR(Z50="",Y50=""),"",IF(Y50&lt;=0,"",IFERROR(Z50/Y50-1,"")))</f>
        <v/>
      </c>
      <c r="AA51" s="15">
        <f>IF(OR(AA50="",Z50=""),"",IF(Z50&lt;=0,"",IFERROR(AA50/Z50-1,"")))</f>
        <v/>
      </c>
      <c r="AB51" s="15">
        <f>IF(OR(AB50="",AA50=""),"",IF(AA50&lt;=0,"",IFERROR(AB50/AA50-1,"")))</f>
        <v/>
      </c>
      <c r="AC51" s="15">
        <f>IF(OR(AC50="",AB50=""),"",IF(AB50&lt;=0,"",IFERROR(AC50/AB50-1,"")))</f>
        <v/>
      </c>
    </row>
    <row r="52">
      <c r="A52" s="9" t="inlineStr">
        <is>
          <t>지배주주 순이익</t>
        </is>
      </c>
      <c r="B52" s="10" t="n"/>
      <c r="C52" s="11" t="n">
        <v>-321.663</v>
      </c>
      <c r="D52" s="12" t="n">
        <v>1029.133</v>
      </c>
      <c r="E52" s="12" t="n">
        <v>-219.211</v>
      </c>
      <c r="F52" s="12" t="n">
        <v>-57.101</v>
      </c>
      <c r="G52" s="12" t="n">
        <v>523.8579999999999</v>
      </c>
      <c r="H52" s="12" t="n">
        <v>-863.703</v>
      </c>
      <c r="I52" s="12" t="n">
        <v>-138</v>
      </c>
      <c r="J52" s="12" t="n">
        <v>595</v>
      </c>
      <c r="K52" s="12" t="n">
        <v>399.235</v>
      </c>
      <c r="L52" s="12" t="n">
        <v>1605.789</v>
      </c>
      <c r="M52" s="12" t="n">
        <v>444</v>
      </c>
      <c r="N52" s="12" t="n">
        <v>760</v>
      </c>
      <c r="O52" s="11" t="n">
        <v>-148.256</v>
      </c>
      <c r="P52" s="12" t="n">
        <v>764.4450000000001</v>
      </c>
      <c r="Q52" s="12" t="n">
        <v>646.236</v>
      </c>
      <c r="R52" s="12" t="n">
        <v>1319.582</v>
      </c>
      <c r="S52" s="12" t="n">
        <v>2144.05</v>
      </c>
      <c r="T52" s="12" t="n">
        <v>431.068</v>
      </c>
      <c r="U52" s="12" t="n">
        <v>-1553.427</v>
      </c>
      <c r="V52" s="12" t="n">
        <v>1001.355</v>
      </c>
      <c r="W52" s="12" t="n">
        <v>-616.157</v>
      </c>
      <c r="X52" s="12" t="n">
        <v>2462.024</v>
      </c>
      <c r="Y52" s="11">
        <f>IF(OR(Y50="",Y53=""),"",IFERROR(Y50*Y53,""))</f>
        <v/>
      </c>
      <c r="Z52" s="12">
        <f>IF(OR(Z50="",Z53=""),"",IFERROR(Z50*Z53,""))</f>
        <v/>
      </c>
      <c r="AA52" s="12">
        <f>IF(OR(AA50="",AA53=""),"",IFERROR(AA50*AA53,""))</f>
        <v/>
      </c>
      <c r="AB52" s="12">
        <f>IF(OR(AB50="",AB53=""),"",IFERROR(AB50*AB53,""))</f>
        <v/>
      </c>
      <c r="AC52" s="12">
        <f>IF(OR(AC50="",AC53=""),"",IFERROR(AC50*AC53,""))</f>
        <v/>
      </c>
    </row>
    <row r="53">
      <c r="A53" s="13" t="inlineStr">
        <is>
          <t>지배주주 순이익률</t>
        </is>
      </c>
      <c r="B53" s="10" t="inlineStr">
        <is>
          <t>MW 기본 100%</t>
        </is>
      </c>
      <c r="C53" s="14">
        <f>IF(OR(C52="",C50=""),"",IFERROR(C52/C50,""))</f>
        <v/>
      </c>
      <c r="D53" s="15">
        <f>IF(OR(D52="",D50=""),"",IFERROR(D52/D50,""))</f>
        <v/>
      </c>
      <c r="E53" s="15">
        <f>IF(OR(E52="",E50=""),"",IFERROR(E52/E50,""))</f>
        <v/>
      </c>
      <c r="F53" s="15">
        <f>IF(OR(F52="",F50=""),"",IFERROR(F52/F50,""))</f>
        <v/>
      </c>
      <c r="G53" s="15">
        <f>IF(OR(G52="",G50=""),"",IFERROR(G52/G50,""))</f>
        <v/>
      </c>
      <c r="H53" s="15">
        <f>IF(OR(H52="",H50=""),"",IFERROR(H52/H50,""))</f>
        <v/>
      </c>
      <c r="I53" s="15">
        <f>IF(OR(I52="",I50=""),"",IFERROR(I52/I50,""))</f>
        <v/>
      </c>
      <c r="J53" s="15">
        <f>IF(OR(J52="",J50=""),"",IFERROR(J52/J50,""))</f>
        <v/>
      </c>
      <c r="K53" s="15">
        <f>IF(OR(K52="",K50=""),"",IFERROR(K52/K50,""))</f>
        <v/>
      </c>
      <c r="L53" s="15">
        <f>IF(OR(L52="",L50=""),"",IFERROR(L52/L50,""))</f>
        <v/>
      </c>
      <c r="M53" s="15">
        <f>IF(OR(M52="",M50=""),"",IFERROR(M52/M50,""))</f>
        <v/>
      </c>
      <c r="N53" s="15">
        <f>IF(OR(N52="",N50=""),"",IFERROR(N52/N50,""))</f>
        <v/>
      </c>
      <c r="O53" s="14">
        <f>IF(OR(O52="",O50=""),"",IFERROR(O52/O50,""))</f>
        <v/>
      </c>
      <c r="P53" s="15">
        <f>IF(OR(P52="",P50=""),"",IFERROR(P52/P50,""))</f>
        <v/>
      </c>
      <c r="Q53" s="15">
        <f>IF(OR(Q52="",Q50=""),"",IFERROR(Q52/Q50,""))</f>
        <v/>
      </c>
      <c r="R53" s="15">
        <f>IF(OR(R52="",R50=""),"",IFERROR(R52/R50,""))</f>
        <v/>
      </c>
      <c r="S53" s="15">
        <f>IF(OR(S52="",S50=""),"",IFERROR(S52/S50,""))</f>
        <v/>
      </c>
      <c r="T53" s="15">
        <f>IF(OR(T52="",T50=""),"",IFERROR(T52/T50,""))</f>
        <v/>
      </c>
      <c r="U53" s="15">
        <f>IF(OR(U52="",U50=""),"",IFERROR(U52/U50,""))</f>
        <v/>
      </c>
      <c r="V53" s="15">
        <f>IF(OR(V52="",V50=""),"",IFERROR(V52/V50,""))</f>
        <v/>
      </c>
      <c r="W53" s="15">
        <f>IF(OR(W52="",W50=""),"",IFERROR(W52/W50,""))</f>
        <v/>
      </c>
      <c r="X53" s="15">
        <f>IF(OR(X52="",X50=""),"",IFERROR(X52/X50,""))</f>
        <v/>
      </c>
      <c r="Y53" s="25" t="n">
        <v>1</v>
      </c>
      <c r="Z53" s="26" t="n">
        <v>1</v>
      </c>
      <c r="AA53" s="26" t="n">
        <v>1</v>
      </c>
      <c r="AB53" s="26" t="n">
        <v>1</v>
      </c>
      <c r="AC53" s="26" t="n">
        <v>1</v>
      </c>
    </row>
    <row r="54">
      <c r="A54" s="13" t="inlineStr">
        <is>
          <t>지배주주 순이익 YoY</t>
        </is>
      </c>
      <c r="B54" s="10" t="n"/>
      <c r="C54" s="14" t="n"/>
      <c r="D54" s="15" t="n"/>
      <c r="E54" s="15" t="n"/>
      <c r="F54" s="15" t="n"/>
      <c r="G54" s="15">
        <f>IF(OR(G52="",C52=""),"",IF(C52&lt;=0,"",IFERROR(G52/C52-1,"")))</f>
        <v/>
      </c>
      <c r="H54" s="15">
        <f>IF(OR(H52="",D52=""),"",IF(D52&lt;=0,"",IFERROR(H52/D52-1,"")))</f>
        <v/>
      </c>
      <c r="I54" s="15">
        <f>IF(OR(I52="",E52=""),"",IF(E52&lt;=0,"",IFERROR(I52/E52-1,"")))</f>
        <v/>
      </c>
      <c r="J54" s="15">
        <f>IF(OR(J52="",F52=""),"",IF(F52&lt;=0,"",IFERROR(J52/F52-1,"")))</f>
        <v/>
      </c>
      <c r="K54" s="15">
        <f>IF(OR(K52="",G52=""),"",IF(G52&lt;=0,"",IFERROR(K52/G52-1,"")))</f>
        <v/>
      </c>
      <c r="L54" s="15">
        <f>IF(OR(L52="",H52=""),"",IF(H52&lt;=0,"",IFERROR(L52/H52-1,"")))</f>
        <v/>
      </c>
      <c r="M54" s="15">
        <f>IF(OR(M52="",I52=""),"",IF(I52&lt;=0,"",IFERROR(M52/I52-1,"")))</f>
        <v/>
      </c>
      <c r="N54" s="15">
        <f>IF(OR(N52="",J52=""),"",IF(J52&lt;=0,"",IFERROR(N52/J52-1,"")))</f>
        <v/>
      </c>
      <c r="O54" s="14" t="n"/>
      <c r="P54" s="15">
        <f>IF(OR(P52="",O52=""),"",IF(O52&lt;=0,"",IFERROR(P52/O52-1,"")))</f>
        <v/>
      </c>
      <c r="Q54" s="15">
        <f>IF(OR(Q52="",P52=""),"",IF(P52&lt;=0,"",IFERROR(Q52/P52-1,"")))</f>
        <v/>
      </c>
      <c r="R54" s="15">
        <f>IF(OR(R52="",Q52=""),"",IF(Q52&lt;=0,"",IFERROR(R52/Q52-1,"")))</f>
        <v/>
      </c>
      <c r="S54" s="15">
        <f>IF(OR(S52="",R52=""),"",IF(R52&lt;=0,"",IFERROR(S52/R52-1,"")))</f>
        <v/>
      </c>
      <c r="T54" s="15">
        <f>IF(OR(T52="",S52=""),"",IF(S52&lt;=0,"",IFERROR(T52/S52-1,"")))</f>
        <v/>
      </c>
      <c r="U54" s="15">
        <f>IF(OR(U52="",T52=""),"",IF(T52&lt;=0,"",IFERROR(U52/T52-1,"")))</f>
        <v/>
      </c>
      <c r="V54" s="15">
        <f>IF(OR(V52="",U52=""),"",IF(U52&lt;=0,"",IFERROR(V52/U52-1,"")))</f>
        <v/>
      </c>
      <c r="W54" s="15">
        <f>IF(OR(W52="",V52=""),"",IF(V52&lt;=0,"",IFERROR(W52/V52-1,"")))</f>
        <v/>
      </c>
      <c r="X54" s="15">
        <f>IF(OR(X52="",W52=""),"",IF(W52&lt;=0,"",IFERROR(X52/W52-1,"")))</f>
        <v/>
      </c>
      <c r="Y54" s="14">
        <f>IF(OR(Y52="",X52=""),"",IF(X52&lt;=0,"",IFERROR(Y52/X52-1,"")))</f>
        <v/>
      </c>
      <c r="Z54" s="15">
        <f>IF(OR(Z52="",Y52=""),"",IF(Y52&lt;=0,"",IFERROR(Z52/Y52-1,"")))</f>
        <v/>
      </c>
      <c r="AA54" s="15">
        <f>IF(OR(AA52="",Z52=""),"",IF(Z52&lt;=0,"",IFERROR(AA52/Z52-1,"")))</f>
        <v/>
      </c>
      <c r="AB54" s="15">
        <f>IF(OR(AB52="",AA52=""),"",IF(AA52&lt;=0,"",IFERROR(AB52/AA52-1,"")))</f>
        <v/>
      </c>
      <c r="AC54" s="15">
        <f>IF(OR(AC52="",AB52=""),"",IF(AB52&lt;=0,"",IFERROR(AC52/AB52-1,"")))</f>
        <v/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(2026.10.30)</t>
        </is>
      </c>
      <c r="B56" s="27" t="n">
        <v>897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21063240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IF(O23="","",O23)</f>
        <v/>
      </c>
      <c r="P59" s="15">
        <f>IF(P23="","",P23)</f>
        <v/>
      </c>
      <c r="Q59" s="15">
        <f>IF(Q23="","",Q23)</f>
        <v/>
      </c>
      <c r="R59" s="15">
        <f>IF(R23="","",R23)</f>
        <v/>
      </c>
      <c r="S59" s="15">
        <f>IF(S23="","",S23)</f>
        <v/>
      </c>
      <c r="T59" s="15">
        <f>IF(T23="","",T23)</f>
        <v/>
      </c>
      <c r="U59" s="15">
        <f>IF(U23="","",U23)</f>
        <v/>
      </c>
      <c r="V59" s="15">
        <f>IF(V23="","",V23)</f>
        <v/>
      </c>
      <c r="W59" s="15">
        <f>IF(W23="","",W23)</f>
        <v/>
      </c>
      <c r="X59" s="15">
        <f>IF(X23="","",X23)</f>
        <v/>
      </c>
      <c r="Y59" s="14">
        <f>IF(Y23="","",Y23)</f>
        <v/>
      </c>
      <c r="Z59" s="15">
        <f>IF(Z23="","",Z23)</f>
        <v/>
      </c>
      <c r="AA59" s="15">
        <f>IF(AA23="","",AA23)</f>
        <v/>
      </c>
      <c r="AB59" s="15">
        <f>IF(AB23="","",AB23)</f>
        <v/>
      </c>
      <c r="AC59" s="15">
        <f>IF(AC23="","",AC23)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IF(OR(P52="",O52=""),"",IFERROR(P52/O52-1,""))</f>
        <v/>
      </c>
      <c r="Q60" s="15">
        <f>IF(OR(Q52="",P52=""),"",IFERROR(Q52/P52-1,""))</f>
        <v/>
      </c>
      <c r="R60" s="15">
        <f>IF(OR(R52="",Q52=""),"",IFERROR(R52/Q52-1,""))</f>
        <v/>
      </c>
      <c r="S60" s="15">
        <f>IF(OR(S52="",R52=""),"",IFERROR(S52/R52-1,""))</f>
        <v/>
      </c>
      <c r="T60" s="15">
        <f>IF(OR(T52="",S52=""),"",IFERROR(T52/S52-1,""))</f>
        <v/>
      </c>
      <c r="U60" s="15">
        <f>IF(OR(U52="",T52=""),"",IFERROR(U52/T52-1,""))</f>
        <v/>
      </c>
      <c r="V60" s="15">
        <f>IF(OR(V52="",U52=""),"",IFERROR(V52/U52-1,""))</f>
        <v/>
      </c>
      <c r="W60" s="15">
        <f>IF(OR(W52="",V52=""),"",IFERROR(W52/V52-1,""))</f>
        <v/>
      </c>
      <c r="X60" s="15">
        <f>IF(OR(X52="",W52=""),"",IFERROR(X52/W52-1,""))</f>
        <v/>
      </c>
      <c r="Y60" s="14">
        <f>IF(OR(Y52="",X52=""),"",IFERROR(Y52/X52-1,""))</f>
        <v/>
      </c>
      <c r="Z60" s="15">
        <f>IF(OR(Z52="",Y52=""),"",IFERROR(Z52/Y52-1,""))</f>
        <v/>
      </c>
      <c r="AA60" s="15">
        <f>IF(OR(AA52="",Z52=""),"",IFERROR(AA52/Z52-1,""))</f>
        <v/>
      </c>
      <c r="AB60" s="15">
        <f>IF(OR(AB52="",AA52=""),"",IFERROR(AB52/AA52-1,""))</f>
        <v/>
      </c>
      <c r="AC60" s="15">
        <f>IF(OR(AC52="",AB52=""),"",IFERROR(AC52/AB52-1,""))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IF(OR($B$58="",X52=""),"",IFERROR($B$58/X52,""))</f>
        <v/>
      </c>
      <c r="Y61" s="30">
        <f>IF(OR($B$58="",Y52=""),"",IFERROR($B$58/Y52,""))</f>
        <v/>
      </c>
      <c r="Z61" s="31">
        <f>IF(OR($B$58="",Z52=""),"",IFERROR($B$58/Z52,""))</f>
        <v/>
      </c>
      <c r="AA61" s="31">
        <f>IF(OR($B$58="",AA52=""),"",IFERROR($B$58/AA52,""))</f>
        <v/>
      </c>
      <c r="AB61" s="31">
        <f>IF(OR($B$58="",AB52=""),"",IFERROR($B$58/AB52,""))</f>
        <v/>
      </c>
      <c r="AC61" s="31">
        <f>IF(OR($B$58="",AC52=""),"",IFERROR($B$58/AC52,""))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IF(OR(O52="",$B$57=""),"",IFERROR(O52*1000000.0/$B$57,""))</f>
        <v/>
      </c>
      <c r="P63" s="29">
        <f>IF(OR(P52="",$B$57=""),"",IFERROR(P52*1000000.0/$B$57,""))</f>
        <v/>
      </c>
      <c r="Q63" s="29">
        <f>IF(OR(Q52="",$B$57=""),"",IFERROR(Q52*1000000.0/$B$57,""))</f>
        <v/>
      </c>
      <c r="R63" s="29">
        <f>IF(OR(R52="",$B$57=""),"",IFERROR(R52*1000000.0/$B$57,""))</f>
        <v/>
      </c>
      <c r="S63" s="29">
        <f>IF(OR(S52="",$B$57=""),"",IFERROR(S52*1000000.0/$B$57,""))</f>
        <v/>
      </c>
      <c r="T63" s="29">
        <f>IF(OR(T52="",$B$57=""),"",IFERROR(T52*1000000.0/$B$57,""))</f>
        <v/>
      </c>
      <c r="U63" s="29">
        <f>IF(OR(U52="",$B$57=""),"",IFERROR(U52*1000000.0/$B$57,""))</f>
        <v/>
      </c>
      <c r="V63" s="29">
        <f>IF(OR(V52="",$B$57=""),"",IFERROR(V52*1000000.0/$B$57,""))</f>
        <v/>
      </c>
      <c r="W63" s="29">
        <f>IF(OR(W52="",$B$57=""),"",IFERROR(W52*1000000.0/$B$57,""))</f>
        <v/>
      </c>
      <c r="X63" s="29">
        <f>IF(OR(X52="",$B$57=""),"",IFERROR(X52*1000000.0/$B$57,""))</f>
        <v/>
      </c>
      <c r="Y63" s="28">
        <f>IF(OR(Y52="",$B$57=""),"",IFERROR(Y52*1000000.0/$B$57,""))</f>
        <v/>
      </c>
      <c r="Z63" s="29">
        <f>IF(OR(Z52="",$B$57=""),"",IFERROR(Z52*1000000.0/$B$57,""))</f>
        <v/>
      </c>
      <c r="AA63" s="29">
        <f>IF(OR(AA52="",$B$57=""),"",IFERROR(AA52*1000000.0/$B$57,""))</f>
        <v/>
      </c>
      <c r="AB63" s="29">
        <f>IF(OR(AB52="",$B$57=""),"",IFERROR(AB52*1000000.0/$B$57,""))</f>
        <v/>
      </c>
      <c r="AC63" s="29">
        <f>IF(OR(AC52="",$B$57=""),"",IFERROR(AC52*1000000.0/$B$57,""))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IF(OR(Y52="",Y62=""),"",IFERROR(Y52*Y62,""))</f>
        <v/>
      </c>
      <c r="Z75" s="20">
        <f>IF(OR(Z52="",Z62=""),"",IFERROR(Z52*Z62,""))</f>
        <v/>
      </c>
      <c r="AA75" s="20">
        <f>IF(OR(AA52="",AA62=""),"",IFERROR(AA52*AA62,""))</f>
        <v/>
      </c>
      <c r="AB75" s="20">
        <f>IF(OR(AB52="",AB62=""),"",IFERROR(AB52*AB62,""))</f>
        <v/>
      </c>
      <c r="AC75" s="20">
        <f>IF(OR(AC52="",AC62=""),"",IFERROR(AC52*AC62,""))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2026.10.30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2024.3Q</t>
        </is>
      </c>
      <c r="D86" s="5" t="inlineStr">
        <is>
          <t>2024.4Q</t>
        </is>
      </c>
      <c r="E86" s="5" t="inlineStr">
        <is>
          <t>2025.1Q</t>
        </is>
      </c>
      <c r="F86" s="5" t="inlineStr">
        <is>
          <t>2025.2Q</t>
        </is>
      </c>
      <c r="G86" s="5" t="inlineStr">
        <is>
          <t>2025.3Q</t>
        </is>
      </c>
      <c r="H86" s="5" t="inlineStr">
        <is>
          <t>2025.4Q</t>
        </is>
      </c>
      <c r="I86" s="5" t="inlineStr">
        <is>
          <t>2026.1Q</t>
        </is>
      </c>
      <c r="J86" s="5" t="inlineStr">
        <is>
          <t>2026.2Q</t>
        </is>
      </c>
      <c r="K86" s="5" t="inlineStr">
        <is>
          <t>2026.3Q</t>
        </is>
      </c>
      <c r="L86" s="5" t="inlineStr">
        <is>
          <t>2026.4Q</t>
        </is>
      </c>
      <c r="M86" s="5" t="inlineStr">
        <is>
          <t>2027.1Q</t>
        </is>
      </c>
      <c r="N86" s="5" t="inlineStr">
        <is>
          <t>2027.2Q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11142.892</v>
      </c>
      <c r="D87" s="12" t="n">
        <v>14194.35</v>
      </c>
      <c r="E87" s="12" t="n">
        <v>11184.626</v>
      </c>
      <c r="F87" s="12" t="n">
        <v>12318.724</v>
      </c>
      <c r="G87" s="12" t="n">
        <v>12477.03</v>
      </c>
      <c r="H87" s="12" t="n">
        <v>14644.324</v>
      </c>
      <c r="I87" s="12" t="n">
        <v>10469</v>
      </c>
      <c r="J87" s="12" t="n">
        <v>12402</v>
      </c>
      <c r="K87" s="12" t="n">
        <v>11954.217</v>
      </c>
      <c r="L87" s="12" t="n">
        <v>16555.415</v>
      </c>
      <c r="M87" s="12" t="n">
        <v>13334</v>
      </c>
      <c r="N87" s="12" t="n">
        <v>17756</v>
      </c>
      <c r="T87" s="12" t="n">
        <v>11045.789</v>
      </c>
      <c r="U87" s="12" t="n">
        <v>14054.09</v>
      </c>
      <c r="V87" s="12" t="n">
        <v>14194.35</v>
      </c>
      <c r="W87" s="12" t="n">
        <v>14644.324</v>
      </c>
      <c r="X87" s="12" t="n">
        <v>16555.415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8952.998</v>
      </c>
      <c r="D89" s="20" t="n">
        <v>10676.523</v>
      </c>
      <c r="E89" s="20" t="n">
        <v>9087.281000000001</v>
      </c>
      <c r="F89" s="20" t="n">
        <v>9492.803</v>
      </c>
      <c r="G89" s="20" t="n">
        <v>9726.063</v>
      </c>
      <c r="H89" s="20" t="n">
        <v>11964.932</v>
      </c>
      <c r="I89" s="20" t="n">
        <v>8259</v>
      </c>
      <c r="J89" s="20" t="n">
        <v>9025</v>
      </c>
      <c r="K89" s="20" t="n">
        <v>9221.870000000001</v>
      </c>
      <c r="L89" s="20" t="n">
        <v>13078.631</v>
      </c>
      <c r="M89" s="20" t="n">
        <v>10426</v>
      </c>
      <c r="N89" s="20" t="n">
        <v>13800</v>
      </c>
      <c r="T89" s="20" t="n">
        <v>8398.799999999999</v>
      </c>
      <c r="U89" s="20" t="n">
        <v>10995.763</v>
      </c>
      <c r="V89" s="20" t="n">
        <v>10676.523</v>
      </c>
      <c r="W89" s="20" t="n">
        <v>11964.932</v>
      </c>
      <c r="X89" s="20" t="n">
        <v>13078.631</v>
      </c>
    </row>
    <row r="90">
      <c r="A90" s="43" t="inlineStr">
        <is>
          <t>YoY</t>
        </is>
      </c>
      <c r="B90" s="3" t="inlineStr">
        <is>
          <t>전년 같은 분기·전년 대비</t>
        </is>
      </c>
      <c r="G90" s="15">
        <f>IF(OR(G89="",C89=""),"",IF(G89*C89&lt;=0,"",IFERROR(G89/C89-1,"")))</f>
        <v/>
      </c>
      <c r="H90" s="15">
        <f>IF(OR(H89="",D89=""),"",IF(H89*D89&lt;=0,"",IFERROR(H89/D89-1,"")))</f>
        <v/>
      </c>
      <c r="I90" s="15">
        <f>IF(OR(I89="",E89=""),"",IF(I89*E89&lt;=0,"",IFERROR(I89/E89-1,"")))</f>
        <v/>
      </c>
      <c r="J90" s="15">
        <f>IF(OR(J89="",F89=""),"",IF(J89*F89&lt;=0,"",IFERROR(J89/F89-1,"")))</f>
        <v/>
      </c>
      <c r="K90" s="15">
        <f>IF(OR(K89="",G89=""),"",IF(K89*G89&lt;=0,"",IFERROR(K89/G89-1,"")))</f>
        <v/>
      </c>
      <c r="L90" s="15">
        <f>IF(OR(L89="",H89=""),"",IF(L89*H89&lt;=0,"",IFERROR(L89/H89-1,"")))</f>
        <v/>
      </c>
      <c r="M90" s="15">
        <f>IF(OR(M89="",I89=""),"",IF(M89*I89&lt;=0,"",IFERROR(M89/I89-1,"")))</f>
        <v/>
      </c>
      <c r="N90" s="15">
        <f>IF(OR(N89="",J89=""),"",IF(N89*J89&lt;=0,"",IFERROR(N89/J89-1,"")))</f>
        <v/>
      </c>
      <c r="T90" s="15">
        <f>IF(OR(T89="",S89=""),"",IF(T89*S89&lt;=0,"",IFERROR(T89/S89-1,"")))</f>
        <v/>
      </c>
      <c r="U90" s="15">
        <f>IF(OR(U89="",T89=""),"",IF(U89*T89&lt;=0,"",IFERROR(U89/T89-1,"")))</f>
        <v/>
      </c>
      <c r="V90" s="15">
        <f>IF(OR(V89="",U89=""),"",IF(V89*U89&lt;=0,"",IFERROR(V89/U89-1,"")))</f>
        <v/>
      </c>
      <c r="W90" s="15">
        <f>IF(OR(W89="",V89=""),"",IF(W89*V89&lt;=0,"",IFERROR(W89/V89-1,"")))</f>
        <v/>
      </c>
      <c r="X90" s="15">
        <f>IF(OR(X89="",W89=""),"",IF(X89*W89&lt;=0,"",IFERROR(X89/W89-1,"")))</f>
        <v/>
      </c>
    </row>
    <row r="91">
      <c r="A91" s="9" t="inlineStr">
        <is>
          <t>매출총이익</t>
        </is>
      </c>
      <c r="C91" s="12" t="n">
        <v>2189.894</v>
      </c>
      <c r="D91" s="12" t="n">
        <v>3517.827</v>
      </c>
      <c r="E91" s="12" t="n">
        <v>2097.344</v>
      </c>
      <c r="F91" s="12" t="n">
        <v>2825.921</v>
      </c>
      <c r="G91" s="12" t="n">
        <v>2750.968</v>
      </c>
      <c r="H91" s="12" t="n">
        <v>2679.391</v>
      </c>
      <c r="I91" s="12" t="n">
        <v>2209</v>
      </c>
      <c r="J91" s="12" t="n">
        <v>3377</v>
      </c>
      <c r="K91" s="12" t="n">
        <v>2733.346</v>
      </c>
      <c r="L91" s="12" t="n">
        <v>3476.784</v>
      </c>
      <c r="M91" s="12" t="n">
        <v>2908</v>
      </c>
      <c r="N91" s="12" t="n">
        <v>3955</v>
      </c>
      <c r="T91" s="12" t="n">
        <v>2646.989</v>
      </c>
      <c r="U91" s="12" t="n">
        <v>3058.328</v>
      </c>
      <c r="V91" s="12" t="n">
        <v>3517.827</v>
      </c>
      <c r="W91" s="12" t="n">
        <v>2679.391</v>
      </c>
      <c r="X91" s="12" t="n">
        <v>3476.784</v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IF(OR(G91="",C91=""),"",IF(C91&lt;=0,"",IFERROR(G91/C91-1,"")))</f>
        <v/>
      </c>
      <c r="H92" s="15">
        <f>IF(OR(H91="",D91=""),"",IF(D91&lt;=0,"",IFERROR(H91/D91-1,"")))</f>
        <v/>
      </c>
      <c r="I92" s="15">
        <f>IF(OR(I91="",E91=""),"",IF(E91&lt;=0,"",IFERROR(I91/E91-1,"")))</f>
        <v/>
      </c>
      <c r="J92" s="15">
        <f>IF(OR(J91="",F91=""),"",IF(F91&lt;=0,"",IFERROR(J91/F91-1,"")))</f>
        <v/>
      </c>
      <c r="K92" s="15">
        <f>IF(OR(K91="",G91=""),"",IF(G91&lt;=0,"",IFERROR(K91/G91-1,"")))</f>
        <v/>
      </c>
      <c r="L92" s="15">
        <f>IF(OR(L91="",H91=""),"",IF(H91&lt;=0,"",IFERROR(L91/H91-1,"")))</f>
        <v/>
      </c>
      <c r="M92" s="15">
        <f>IF(OR(M91="",I91=""),"",IF(I91&lt;=0,"",IFERROR(M91/I91-1,"")))</f>
        <v/>
      </c>
      <c r="N92" s="15">
        <f>IF(OR(N91="",J91=""),"",IF(J91&lt;=0,"",IFERROR(N91/J91-1,"")))</f>
        <v/>
      </c>
      <c r="T92" s="15">
        <f>IF(OR(T91="",S91=""),"",IF(S91&lt;=0,"",IFERROR(T91/S91-1,"")))</f>
        <v/>
      </c>
      <c r="U92" s="15">
        <f>IF(OR(U91="",T91=""),"",IF(T91&lt;=0,"",IFERROR(U91/T91-1,"")))</f>
        <v/>
      </c>
      <c r="V92" s="15">
        <f>IF(OR(V91="",U91=""),"",IF(U91&lt;=0,"",IFERROR(V91/U91-1,"")))</f>
        <v/>
      </c>
      <c r="W92" s="15">
        <f>IF(OR(W91="",V91=""),"",IF(V91&lt;=0,"",IFERROR(W91/V91-1,"")))</f>
        <v/>
      </c>
      <c r="X92" s="15">
        <f>IF(OR(X91="",W91=""),"",IF(W91&lt;=0,"",IFERROR(X91/W91-1,"")))</f>
        <v/>
      </c>
    </row>
    <row r="93">
      <c r="A93" s="18" t="inlineStr">
        <is>
          <t>판매비와 관리비</t>
        </is>
      </c>
      <c r="C93" s="20" t="n">
        <v>2290.474</v>
      </c>
      <c r="D93" s="20" t="n">
        <v>2541.667</v>
      </c>
      <c r="E93" s="20" t="n">
        <v>2372.764</v>
      </c>
      <c r="F93" s="20" t="n">
        <v>2402.165</v>
      </c>
      <c r="G93" s="20" t="n">
        <v>2569.185</v>
      </c>
      <c r="H93" s="20" t="n">
        <v>2635.864</v>
      </c>
      <c r="I93" s="20" t="n">
        <v>2188</v>
      </c>
      <c r="J93" s="20" t="n">
        <v>2507</v>
      </c>
      <c r="K93" s="20" t="n">
        <v>2362.927</v>
      </c>
      <c r="L93" s="20" t="n">
        <v>2406.088</v>
      </c>
      <c r="M93" s="20" t="n">
        <v>2407</v>
      </c>
      <c r="N93" s="20" t="n">
        <v>2760</v>
      </c>
      <c r="T93" s="20" t="n">
        <v>2244.918</v>
      </c>
      <c r="U93" s="20" t="n">
        <v>2386.562</v>
      </c>
      <c r="V93" s="20" t="n">
        <v>2541.667</v>
      </c>
      <c r="W93" s="20" t="n">
        <v>2635.864</v>
      </c>
      <c r="X93" s="20" t="n">
        <v>2406.088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IF(OR(G93="",C93=""),"",IF(G93*C93&lt;=0,"",IFERROR(G93/C93-1,"")))</f>
        <v/>
      </c>
      <c r="H94" s="15">
        <f>IF(OR(H93="",D93=""),"",IF(H93*D93&lt;=0,"",IFERROR(H93/D93-1,"")))</f>
        <v/>
      </c>
      <c r="I94" s="15">
        <f>IF(OR(I93="",E93=""),"",IF(I93*E93&lt;=0,"",IFERROR(I93/E93-1,"")))</f>
        <v/>
      </c>
      <c r="J94" s="15">
        <f>IF(OR(J93="",F93=""),"",IF(J93*F93&lt;=0,"",IFERROR(J93/F93-1,"")))</f>
        <v/>
      </c>
      <c r="K94" s="15">
        <f>IF(OR(K93="",G93=""),"",IF(K93*G93&lt;=0,"",IFERROR(K93/G93-1,"")))</f>
        <v/>
      </c>
      <c r="L94" s="15">
        <f>IF(OR(L93="",H93=""),"",IF(L93*H93&lt;=0,"",IFERROR(L93/H93-1,"")))</f>
        <v/>
      </c>
      <c r="M94" s="15">
        <f>IF(OR(M93="",I93=""),"",IF(M93*I93&lt;=0,"",IFERROR(M93/I93-1,"")))</f>
        <v/>
      </c>
      <c r="N94" s="15">
        <f>IF(OR(N93="",J93=""),"",IF(N93*J93&lt;=0,"",IFERROR(N93/J93-1,"")))</f>
        <v/>
      </c>
      <c r="T94" s="15">
        <f>IF(OR(T93="",S93=""),"",IF(T93*S93&lt;=0,"",IFERROR(T93/S93-1,"")))</f>
        <v/>
      </c>
      <c r="U94" s="15">
        <f>IF(OR(U93="",T93=""),"",IF(U93*T93&lt;=0,"",IFERROR(U93/T93-1,"")))</f>
        <v/>
      </c>
      <c r="V94" s="15">
        <f>IF(OR(V93="",U93=""),"",IF(V93*U93&lt;=0,"",IFERROR(V93/U93-1,"")))</f>
        <v/>
      </c>
      <c r="W94" s="15">
        <f>IF(OR(W93="",V93=""),"",IF(W93*V93&lt;=0,"",IFERROR(W93/V93-1,"")))</f>
        <v/>
      </c>
      <c r="X94" s="15">
        <f>IF(OR(X93="",W93=""),"",IF(X93*W93&lt;=0,"",IFERROR(X93/W93-1,"")))</f>
        <v/>
      </c>
    </row>
    <row r="95">
      <c r="A95" s="9" t="inlineStr">
        <is>
          <t>영업이익</t>
        </is>
      </c>
      <c r="C95" s="12" t="n">
        <v>-100.58</v>
      </c>
      <c r="D95" s="12" t="n">
        <v>976.159</v>
      </c>
      <c r="E95" s="12" t="n">
        <v>-275.419</v>
      </c>
      <c r="F95" s="12" t="n">
        <v>423.755</v>
      </c>
      <c r="G95" s="12" t="n">
        <v>181.782</v>
      </c>
      <c r="H95" s="12" t="n">
        <v>43.527</v>
      </c>
      <c r="I95" s="12" t="n">
        <v>21</v>
      </c>
      <c r="J95" s="12" t="n">
        <v>870</v>
      </c>
      <c r="K95" s="12" t="n">
        <v>370.418</v>
      </c>
      <c r="L95" s="12" t="n">
        <v>1070.697</v>
      </c>
      <c r="M95" s="12" t="n">
        <v>501</v>
      </c>
      <c r="N95" s="12" t="n">
        <v>1194</v>
      </c>
      <c r="T95" s="12" t="n">
        <v>402.071</v>
      </c>
      <c r="U95" s="12" t="n">
        <v>671.766</v>
      </c>
      <c r="V95" s="12" t="n">
        <v>976.159</v>
      </c>
      <c r="W95" s="12" t="n">
        <v>43.527</v>
      </c>
      <c r="X95" s="12" t="n">
        <v>1070.697</v>
      </c>
    </row>
    <row r="96">
      <c r="A96" s="43" t="inlineStr">
        <is>
          <t>OPM</t>
        </is>
      </c>
      <c r="B96" s="3" t="inlineStr">
        <is>
          <t>영업이익 ÷ 매출</t>
        </is>
      </c>
      <c r="C96" s="15">
        <f>IF(OR(C95="",C87=""),"",IF(C87&lt;=0,"",IFERROR(C95/C87,"")))</f>
        <v/>
      </c>
      <c r="D96" s="15">
        <f>IF(OR(D95="",D87=""),"",IF(D87&lt;=0,"",IFERROR(D95/D87,"")))</f>
        <v/>
      </c>
      <c r="E96" s="15">
        <f>IF(OR(E95="",E87=""),"",IF(E87&lt;=0,"",IFERROR(E95/E87,"")))</f>
        <v/>
      </c>
      <c r="F96" s="15">
        <f>IF(OR(F95="",F87=""),"",IF(F87&lt;=0,"",IFERROR(F95/F87,"")))</f>
        <v/>
      </c>
      <c r="G96" s="15">
        <f>IF(OR(G95="",G87=""),"",IF(G87&lt;=0,"",IFERROR(G95/G87,"")))</f>
        <v/>
      </c>
      <c r="H96" s="15">
        <f>IF(OR(H95="",H87=""),"",IF(H87&lt;=0,"",IFERROR(H95/H87,"")))</f>
        <v/>
      </c>
      <c r="I96" s="15">
        <f>IF(OR(I95="",I87=""),"",IF(I87&lt;=0,"",IFERROR(I95/I87,"")))</f>
        <v/>
      </c>
      <c r="J96" s="15">
        <f>IF(OR(J95="",J87=""),"",IF(J87&lt;=0,"",IFERROR(J95/J87,"")))</f>
        <v/>
      </c>
      <c r="K96" s="15">
        <f>IF(OR(K95="",K87=""),"",IF(K87&lt;=0,"",IFERROR(K95/K87,"")))</f>
        <v/>
      </c>
      <c r="L96" s="15">
        <f>IF(OR(L95="",L87=""),"",IF(L87&lt;=0,"",IFERROR(L95/L87,"")))</f>
        <v/>
      </c>
      <c r="M96" s="15">
        <f>IF(OR(M95="",M87=""),"",IF(M87&lt;=0,"",IFERROR(M95/M87,"")))</f>
        <v/>
      </c>
      <c r="N96" s="15">
        <f>IF(OR(N95="",N87=""),"",IF(N87&lt;=0,"",IFERROR(N95/N87,"")))</f>
        <v/>
      </c>
      <c r="T96" s="15">
        <f>IF(OR(T95="",T87=""),"",IF(T87&lt;=0,"",IFERROR(T95/T87,"")))</f>
        <v/>
      </c>
      <c r="U96" s="15">
        <f>IF(OR(U95="",U87=""),"",IF(U87&lt;=0,"",IFERROR(U95/U87,"")))</f>
        <v/>
      </c>
      <c r="V96" s="15">
        <f>IF(OR(V95="",V87=""),"",IF(V87&lt;=0,"",IFERROR(V95/V87,"")))</f>
        <v/>
      </c>
      <c r="W96" s="15">
        <f>IF(OR(W95="",W87=""),"",IF(W87&lt;=0,"",IFERROR(W95/W87,"")))</f>
        <v/>
      </c>
      <c r="X96" s="15">
        <f>IF(OR(X95="",X87=""),"",IF(X87&lt;=0,"",IFERROR(X95/X87,"")))</f>
        <v/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IF(OR(G95="",C95=""),"",IF(C95&lt;=0,"",IFERROR(G95/C95-1,"")))</f>
        <v/>
      </c>
      <c r="H97" s="15">
        <f>IF(OR(H95="",D95=""),"",IF(D95&lt;=0,"",IFERROR(H95/D95-1,"")))</f>
        <v/>
      </c>
      <c r="I97" s="15">
        <f>IF(OR(I95="",E95=""),"",IF(E95&lt;=0,"",IFERROR(I95/E95-1,"")))</f>
        <v/>
      </c>
      <c r="J97" s="15">
        <f>IF(OR(J95="",F95=""),"",IF(F95&lt;=0,"",IFERROR(J95/F95-1,"")))</f>
        <v/>
      </c>
      <c r="K97" s="15">
        <f>IF(OR(K95="",G95=""),"",IF(G95&lt;=0,"",IFERROR(K95/G95-1,"")))</f>
        <v/>
      </c>
      <c r="L97" s="15">
        <f>IF(OR(L95="",H95=""),"",IF(H95&lt;=0,"",IFERROR(L95/H95-1,"")))</f>
        <v/>
      </c>
      <c r="M97" s="15">
        <f>IF(OR(M95="",I95=""),"",IF(I95&lt;=0,"",IFERROR(M95/I95-1,"")))</f>
        <v/>
      </c>
      <c r="N97" s="15">
        <f>IF(OR(N95="",J95=""),"",IF(J95&lt;=0,"",IFERROR(N95/J95-1,"")))</f>
        <v/>
      </c>
      <c r="T97" s="15">
        <f>IF(OR(T95="",S95=""),"",IF(S95&lt;=0,"",IFERROR(T95/S95-1,"")))</f>
        <v/>
      </c>
      <c r="U97" s="15">
        <f>IF(OR(U95="",T95=""),"",IF(T95&lt;=0,"",IFERROR(U95/T95-1,"")))</f>
        <v/>
      </c>
      <c r="V97" s="15">
        <f>IF(OR(V95="",U95=""),"",IF(U95&lt;=0,"",IFERROR(V95/U95-1,"")))</f>
        <v/>
      </c>
      <c r="W97" s="15">
        <f>IF(OR(W95="",V95=""),"",IF(V95&lt;=0,"",IFERROR(W95/V95-1,"")))</f>
        <v/>
      </c>
      <c r="X97" s="15">
        <f>IF(OR(X95="",W95=""),"",IF(W95&lt;=0,"",IFERROR(X95/W95-1,"")))</f>
        <v/>
      </c>
    </row>
    <row r="98">
      <c r="A98" s="18" t="inlineStr">
        <is>
          <t>이자수익</t>
        </is>
      </c>
      <c r="C98" s="20" t="n">
        <v>2.756</v>
      </c>
      <c r="D98" s="20" t="n">
        <v>2.899</v>
      </c>
      <c r="E98" s="20" t="n">
        <v>2.965</v>
      </c>
      <c r="F98" s="20" t="n">
        <v>5.312</v>
      </c>
      <c r="G98" s="20" t="n">
        <v>3.078</v>
      </c>
      <c r="H98" s="20" t="n">
        <v>2.188</v>
      </c>
      <c r="I98" s="20" t="n">
        <v>10</v>
      </c>
      <c r="J98" s="20" t="n">
        <v>13</v>
      </c>
      <c r="K98" s="20" t="n">
        <v>9.59</v>
      </c>
      <c r="L98" s="20" t="n">
        <v>7.473</v>
      </c>
      <c r="M98" s="20" t="n">
        <v>11</v>
      </c>
      <c r="N98" s="20" t="n">
        <v>12</v>
      </c>
      <c r="T98" s="20" t="n">
        <v>0.394</v>
      </c>
      <c r="U98" s="20" t="n">
        <v>1.904</v>
      </c>
      <c r="V98" s="20" t="n">
        <v>2.899</v>
      </c>
      <c r="W98" s="20" t="n">
        <v>2.188</v>
      </c>
      <c r="X98" s="20" t="n">
        <v>7.473</v>
      </c>
    </row>
    <row r="99">
      <c r="A99" s="18" t="inlineStr">
        <is>
          <t>배당금수익</t>
        </is>
      </c>
      <c r="C99" s="20" t="n">
        <v>0.444</v>
      </c>
      <c r="D99" s="20" t="n">
        <v>21.761</v>
      </c>
      <c r="E99" s="20" t="n">
        <v>7.687</v>
      </c>
      <c r="F99" s="20" t="n">
        <v>0.361</v>
      </c>
      <c r="G99" s="20" t="n">
        <v>0.648</v>
      </c>
      <c r="H99" s="20" t="n">
        <v>0.494</v>
      </c>
      <c r="I99" s="20" t="n">
        <v>41</v>
      </c>
      <c r="J99" s="20" t="n">
        <v>0</v>
      </c>
      <c r="K99" s="20" t="n">
        <v>-35.965</v>
      </c>
      <c r="L99" s="20" t="n">
        <v>0.356</v>
      </c>
      <c r="M99" s="20" t="n">
        <v>1</v>
      </c>
      <c r="N99" s="20" t="n">
        <v>11</v>
      </c>
      <c r="T99" s="20" t="n">
        <v>0.672</v>
      </c>
      <c r="U99" s="20" t="n">
        <v>0.267</v>
      </c>
      <c r="V99" s="20" t="n">
        <v>21.761</v>
      </c>
      <c r="W99" s="20" t="n">
        <v>0.494</v>
      </c>
      <c r="X99" s="20" t="n">
        <v>0.356</v>
      </c>
    </row>
    <row r="100">
      <c r="A100" s="18" t="inlineStr">
        <is>
          <t>외환차익</t>
        </is>
      </c>
      <c r="C100" s="20" t="n">
        <v>-116.133</v>
      </c>
      <c r="D100" s="20" t="n">
        <v>166.64</v>
      </c>
      <c r="E100" s="20" t="n">
        <v>221.44</v>
      </c>
      <c r="F100" s="20" t="n">
        <v>-221.44</v>
      </c>
      <c r="G100" s="20" t="n">
        <v>221.76</v>
      </c>
      <c r="H100" s="20" t="n">
        <v>-221.76</v>
      </c>
      <c r="I100" s="20" t="n">
        <v>0</v>
      </c>
      <c r="J100" s="20" t="n">
        <v>26</v>
      </c>
      <c r="K100" s="20" t="n">
        <v>226.473</v>
      </c>
      <c r="L100" s="20" t="n">
        <v>211.088</v>
      </c>
      <c r="M100" s="20" t="n">
        <v>99</v>
      </c>
      <c r="N100" s="20" t="n">
        <v>-99</v>
      </c>
      <c r="T100" s="20" t="n">
        <v>85.03100000000001</v>
      </c>
      <c r="U100" s="20" t="n">
        <v>-30.15</v>
      </c>
      <c r="V100" s="20" t="n">
        <v>166.64</v>
      </c>
      <c r="W100" s="20" t="n">
        <v>-221.76</v>
      </c>
      <c r="X100" s="20" t="n">
        <v>211.088</v>
      </c>
    </row>
    <row r="101">
      <c r="A101" s="18" t="inlineStr">
        <is>
          <t>부동산 임대료</t>
        </is>
      </c>
      <c r="C101" s="20" t="n">
        <v>1.737</v>
      </c>
      <c r="D101" s="20" t="n">
        <v>1.737</v>
      </c>
      <c r="E101" s="20" t="n">
        <v>1.737</v>
      </c>
      <c r="F101" s="20" t="n">
        <v>1.737</v>
      </c>
      <c r="G101" s="20" t="n">
        <v>1.737</v>
      </c>
      <c r="H101" s="20" t="n">
        <v>1.737</v>
      </c>
      <c r="I101" s="20" t="n">
        <v>1</v>
      </c>
      <c r="J101" s="20" t="n">
        <v>2</v>
      </c>
      <c r="K101" s="20" t="n">
        <v>2.211</v>
      </c>
      <c r="L101" s="20" t="n">
        <v>1.737</v>
      </c>
      <c r="M101" s="20" t="n">
        <v>4</v>
      </c>
      <c r="N101" s="20" t="n">
        <v>1</v>
      </c>
      <c r="T101" s="20" t="n">
        <v>1.737</v>
      </c>
      <c r="U101" s="20" t="n">
        <v>1.737</v>
      </c>
      <c r="V101" s="20" t="n">
        <v>1.737</v>
      </c>
      <c r="W101" s="20" t="n">
        <v>1.737</v>
      </c>
      <c r="X101" s="20" t="n">
        <v>1.737</v>
      </c>
    </row>
    <row r="102">
      <c r="A102" s="18" t="inlineStr">
        <is>
          <t>보조금 수입</t>
        </is>
      </c>
      <c r="C102" s="20" t="n">
        <v>7.445</v>
      </c>
      <c r="D102" s="20" t="n">
        <v>0.6</v>
      </c>
      <c r="E102" s="20" t="n">
        <v>3.656</v>
      </c>
      <c r="F102" s="20" t="n">
        <v>3.696</v>
      </c>
      <c r="G102" s="20" t="n">
        <v>1.917</v>
      </c>
      <c r="H102" s="20" t="n">
        <v>9.682</v>
      </c>
      <c r="I102" s="20" t="n">
        <v>7</v>
      </c>
      <c r="J102" s="20" t="n">
        <v>1</v>
      </c>
      <c r="K102" s="20" t="n">
        <v>5.502</v>
      </c>
      <c r="L102" s="20" t="n">
        <v>2.772</v>
      </c>
      <c r="M102" s="20" t="n">
        <v>4</v>
      </c>
      <c r="N102" s="20" t="n">
        <v>5</v>
      </c>
      <c r="T102" s="20" t="n">
        <v>26.525</v>
      </c>
      <c r="U102" s="20" t="n">
        <v>1.766</v>
      </c>
      <c r="V102" s="20" t="n">
        <v>0.6</v>
      </c>
      <c r="W102" s="20" t="n">
        <v>9.682</v>
      </c>
      <c r="X102" s="20" t="n">
        <v>2.772</v>
      </c>
    </row>
    <row r="103">
      <c r="A103" s="18" t="inlineStr">
        <is>
          <t>보험금 수익</t>
        </is>
      </c>
      <c r="C103" s="20" t="n">
        <v>12.765</v>
      </c>
      <c r="D103" s="20" t="n">
        <v>61.155</v>
      </c>
      <c r="E103" s="20" t="n">
        <v>10.95</v>
      </c>
      <c r="F103" s="20" t="n">
        <v>21.611</v>
      </c>
      <c r="G103" s="20" t="n">
        <v>32.003</v>
      </c>
      <c r="H103" s="20" t="n">
        <v>19.838</v>
      </c>
      <c r="I103" s="20" t="n">
        <v>30</v>
      </c>
      <c r="J103" s="20" t="n">
        <v>24</v>
      </c>
      <c r="K103" s="20" t="n">
        <v>18.439</v>
      </c>
      <c r="L103" s="20" t="n">
        <v>16.78</v>
      </c>
      <c r="M103" s="20" t="n">
        <v>18</v>
      </c>
      <c r="N103" s="20" t="n">
        <v>10</v>
      </c>
      <c r="V103" s="20" t="n">
        <v>61.155</v>
      </c>
      <c r="W103" s="20" t="n">
        <v>19.838</v>
      </c>
      <c r="X103" s="20" t="n">
        <v>16.78</v>
      </c>
    </row>
    <row r="104">
      <c r="A104" s="18" t="inlineStr">
        <is>
          <t>기타</t>
        </is>
      </c>
      <c r="C104" s="20" t="n">
        <v>23.01</v>
      </c>
      <c r="D104" s="20" t="n">
        <v>42.508</v>
      </c>
      <c r="E104" s="20" t="n">
        <v>20.285</v>
      </c>
      <c r="F104" s="20" t="n">
        <v>27.006</v>
      </c>
      <c r="G104" s="20" t="n">
        <v>14.217</v>
      </c>
      <c r="H104" s="20" t="n">
        <v>56.241</v>
      </c>
      <c r="I104" s="20" t="n">
        <v>16</v>
      </c>
      <c r="J104" s="20" t="n">
        <v>49</v>
      </c>
      <c r="K104" s="20" t="n">
        <v>37.834</v>
      </c>
      <c r="L104" s="20" t="n">
        <v>50.985</v>
      </c>
      <c r="M104" s="20" t="n">
        <v>34</v>
      </c>
      <c r="N104" s="20" t="n">
        <v>23</v>
      </c>
      <c r="T104" s="20" t="n">
        <v>16.411</v>
      </c>
      <c r="U104" s="20" t="n">
        <v>47.394</v>
      </c>
      <c r="V104" s="20" t="n">
        <v>42.508</v>
      </c>
      <c r="W104" s="20" t="n">
        <v>56.241</v>
      </c>
      <c r="X104" s="20" t="n">
        <v>50.985</v>
      </c>
    </row>
    <row r="105">
      <c r="A105" s="18" t="inlineStr">
        <is>
          <t>영업외수익 합계</t>
        </is>
      </c>
      <c r="C105" s="20" t="n">
        <v>-67.976</v>
      </c>
      <c r="D105" s="20" t="n">
        <v>297.301</v>
      </c>
      <c r="E105" s="20" t="n">
        <v>268.723</v>
      </c>
      <c r="F105" s="20" t="n">
        <v>-161.717</v>
      </c>
      <c r="G105" s="20" t="n">
        <v>275.361</v>
      </c>
      <c r="H105" s="20" t="n">
        <v>-131.583</v>
      </c>
      <c r="I105" s="20" t="n">
        <v>107</v>
      </c>
      <c r="J105" s="20" t="n">
        <v>116</v>
      </c>
      <c r="K105" s="20" t="n">
        <v>261.086</v>
      </c>
      <c r="L105" s="20" t="n">
        <v>308.569</v>
      </c>
      <c r="M105" s="20" t="n">
        <v>175</v>
      </c>
      <c r="N105" s="20" t="n">
        <v>-38</v>
      </c>
      <c r="T105" s="20" t="n">
        <v>130.771</v>
      </c>
      <c r="U105" s="20" t="n">
        <v>39.686</v>
      </c>
      <c r="V105" s="20" t="n">
        <v>297.301</v>
      </c>
      <c r="W105" s="20" t="n">
        <v>-131.583</v>
      </c>
      <c r="X105" s="20" t="n">
        <v>308.569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18" t="inlineStr">
        <is>
          <t>이자비용</t>
        </is>
      </c>
      <c r="C107" s="20" t="n">
        <v>27.706</v>
      </c>
      <c r="D107" s="20" t="n">
        <v>36.554</v>
      </c>
      <c r="E107" s="20" t="n">
        <v>34.844</v>
      </c>
      <c r="F107" s="20" t="n">
        <v>33.626</v>
      </c>
      <c r="G107" s="20" t="n">
        <v>42.397</v>
      </c>
      <c r="H107" s="20" t="n">
        <v>50.646</v>
      </c>
      <c r="I107" s="20" t="n">
        <v>56</v>
      </c>
      <c r="J107" s="20" t="n">
        <v>54</v>
      </c>
      <c r="K107" s="20" t="n">
        <v>46.482</v>
      </c>
      <c r="L107" s="20" t="n">
        <v>44.928</v>
      </c>
      <c r="M107" s="20" t="n">
        <v>60</v>
      </c>
      <c r="N107" s="20" t="n">
        <v>62</v>
      </c>
      <c r="T107" s="20" t="n">
        <v>22.103</v>
      </c>
      <c r="U107" s="20" t="n">
        <v>20.693</v>
      </c>
      <c r="V107" s="20" t="n">
        <v>36.554</v>
      </c>
      <c r="W107" s="20" t="n">
        <v>50.646</v>
      </c>
      <c r="X107" s="20" t="n">
        <v>44.928</v>
      </c>
    </row>
    <row r="108">
      <c r="A108" s="18" t="inlineStr">
        <is>
          <t>고정자산 제각손실</t>
        </is>
      </c>
      <c r="G108" s="20" t="n">
        <v>2.369</v>
      </c>
      <c r="K108" s="20" t="n">
        <v>0.261</v>
      </c>
    </row>
    <row r="109">
      <c r="A109" s="18" t="inlineStr">
        <is>
          <t>외환차손</t>
        </is>
      </c>
      <c r="E109" s="20" t="n">
        <v>0</v>
      </c>
      <c r="F109" s="20" t="n">
        <v>185.009</v>
      </c>
      <c r="I109" s="20" t="n">
        <v>108</v>
      </c>
      <c r="J109" s="20" t="n">
        <v>-108</v>
      </c>
      <c r="M109" s="20" t="n">
        <v>0</v>
      </c>
      <c r="N109" s="20" t="n">
        <v>80</v>
      </c>
    </row>
    <row r="110">
      <c r="A110" s="18" t="inlineStr">
        <is>
          <t>지분법손실</t>
        </is>
      </c>
      <c r="T110" s="20" t="n">
        <v>2.515</v>
      </c>
      <c r="U110" s="20" t="n">
        <v>0</v>
      </c>
    </row>
    <row r="111">
      <c r="A111" s="18" t="inlineStr">
        <is>
          <t>지급수수료</t>
        </is>
      </c>
      <c r="D111" s="20" t="n">
        <v>0</v>
      </c>
      <c r="E111" s="20" t="n">
        <v>0</v>
      </c>
      <c r="H111" s="20" t="n">
        <v>0</v>
      </c>
      <c r="I111" s="20" t="n">
        <v>3.48</v>
      </c>
      <c r="U111" s="20" t="n">
        <v>0</v>
      </c>
      <c r="V111" s="20" t="n">
        <v>0</v>
      </c>
      <c r="W111" s="20" t="n">
        <v>0</v>
      </c>
    </row>
    <row r="112">
      <c r="A112" s="18" t="inlineStr">
        <is>
          <t>기타</t>
        </is>
      </c>
      <c r="C112" s="20" t="n">
        <v>-0.312</v>
      </c>
      <c r="D112" s="20" t="n">
        <v>5.946</v>
      </c>
      <c r="E112" s="20" t="n">
        <v>5.714</v>
      </c>
      <c r="F112" s="20" t="n">
        <v>1.601</v>
      </c>
      <c r="G112" s="20" t="n">
        <v>1.54</v>
      </c>
      <c r="H112" s="20" t="n">
        <v>7.295</v>
      </c>
      <c r="I112" s="20" t="n">
        <v>11</v>
      </c>
      <c r="J112" s="20" t="n">
        <v>13</v>
      </c>
      <c r="K112" s="20" t="n">
        <v>17.649</v>
      </c>
      <c r="L112" s="20" t="n">
        <v>-5.103</v>
      </c>
      <c r="M112" s="20" t="n">
        <v>1</v>
      </c>
      <c r="N112" s="20" t="n">
        <v>8</v>
      </c>
      <c r="T112" s="20" t="n">
        <v>14.204</v>
      </c>
      <c r="U112" s="20" t="n">
        <v>11.108</v>
      </c>
      <c r="V112" s="20" t="n">
        <v>5.946</v>
      </c>
      <c r="W112" s="20" t="n">
        <v>7.295</v>
      </c>
      <c r="X112" s="20" t="n">
        <v>-5.103</v>
      </c>
    </row>
    <row r="113">
      <c r="A113" s="18" t="inlineStr">
        <is>
          <t>영업외비용 합계</t>
        </is>
      </c>
      <c r="C113" s="20" t="n">
        <v>32.645</v>
      </c>
      <c r="D113" s="20" t="n">
        <v>43.5</v>
      </c>
      <c r="E113" s="20" t="n">
        <v>40.559</v>
      </c>
      <c r="F113" s="20" t="n">
        <v>221.36</v>
      </c>
      <c r="G113" s="20" t="n">
        <v>-138.702</v>
      </c>
      <c r="H113" s="20" t="n">
        <v>131.626</v>
      </c>
      <c r="I113" s="20" t="n">
        <v>175</v>
      </c>
      <c r="J113" s="20" t="n">
        <v>-41</v>
      </c>
      <c r="K113" s="20" t="n">
        <v>74.739</v>
      </c>
      <c r="L113" s="20" t="n">
        <v>29.218</v>
      </c>
      <c r="M113" s="20" t="n">
        <v>62</v>
      </c>
      <c r="N113" s="20" t="n">
        <v>150</v>
      </c>
      <c r="T113" s="20" t="n">
        <v>39.822</v>
      </c>
      <c r="U113" s="20" t="n">
        <v>32.8</v>
      </c>
      <c r="V113" s="20" t="n">
        <v>43.5</v>
      </c>
      <c r="W113" s="20" t="n">
        <v>131.626</v>
      </c>
      <c r="X113" s="20" t="n">
        <v>29.218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경상이익</t>
        </is>
      </c>
      <c r="C115" s="12" t="n">
        <v>-201.201</v>
      </c>
      <c r="D115" s="12" t="n">
        <v>1229.959</v>
      </c>
      <c r="E115" s="12" t="n">
        <v>-47.255</v>
      </c>
      <c r="F115" s="12" t="n">
        <v>40.679</v>
      </c>
      <c r="G115" s="12" t="n">
        <v>595.8440000000001</v>
      </c>
      <c r="H115" s="12" t="n">
        <v>-219.683</v>
      </c>
      <c r="I115" s="12" t="n">
        <v>-46</v>
      </c>
      <c r="J115" s="12" t="n">
        <v>1026</v>
      </c>
      <c r="K115" s="12" t="n">
        <v>556.764</v>
      </c>
      <c r="L115" s="12" t="n">
        <v>1350.049</v>
      </c>
      <c r="M115" s="12" t="n">
        <v>613</v>
      </c>
      <c r="N115" s="12" t="n">
        <v>1007</v>
      </c>
      <c r="T115" s="12" t="n">
        <v>493.02</v>
      </c>
      <c r="U115" s="12" t="n">
        <v>678.651</v>
      </c>
      <c r="V115" s="12" t="n">
        <v>1229.959</v>
      </c>
      <c r="W115" s="12" t="n">
        <v>-219.683</v>
      </c>
      <c r="X115" s="12" t="n">
        <v>1350.049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고정자산 매각이익</t>
        </is>
      </c>
      <c r="C117" s="20" t="n">
        <v>1.382</v>
      </c>
      <c r="D117" s="20" t="n">
        <v>0.193</v>
      </c>
      <c r="G117" s="20" t="n">
        <v>1.962</v>
      </c>
      <c r="H117" s="20" t="n">
        <v>19.272</v>
      </c>
      <c r="T117" s="20" t="n">
        <v>7.842</v>
      </c>
      <c r="U117" s="20" t="n">
        <v>0.188</v>
      </c>
      <c r="V117" s="20" t="n">
        <v>0.193</v>
      </c>
      <c r="W117" s="20" t="n">
        <v>19.272</v>
      </c>
    </row>
    <row r="118">
      <c r="A118" s="18" t="inlineStr">
        <is>
          <t>투자유가증권 매각이익</t>
        </is>
      </c>
      <c r="C118" s="20" t="n">
        <v>0</v>
      </c>
      <c r="D118" s="20" t="n">
        <v>0</v>
      </c>
      <c r="H118" s="20" t="n">
        <v>0</v>
      </c>
      <c r="T118" s="20" t="n">
        <v>1.497</v>
      </c>
      <c r="U118" s="20" t="n">
        <v>38.31</v>
      </c>
      <c r="V118" s="20" t="n">
        <v>0</v>
      </c>
      <c r="W118" s="20" t="n">
        <v>0</v>
      </c>
    </row>
    <row r="119">
      <c r="A119" s="18" t="inlineStr">
        <is>
          <t>부의 영업권 발생이익</t>
        </is>
      </c>
      <c r="D119" s="20" t="n">
        <v>0</v>
      </c>
      <c r="T119" s="20" t="n">
        <v>0</v>
      </c>
      <c r="U119" s="20" t="n">
        <v>0</v>
      </c>
      <c r="V119" s="20" t="n">
        <v>0</v>
      </c>
    </row>
    <row r="120">
      <c r="A120" s="18" t="inlineStr">
        <is>
          <t>출자금 매각이익</t>
        </is>
      </c>
      <c r="T120" s="20" t="n">
        <v>0</v>
      </c>
      <c r="U120" s="20" t="n">
        <v>0</v>
      </c>
    </row>
    <row r="121">
      <c r="A121" s="18" t="inlineStr">
        <is>
          <t>관계회사 청산이익</t>
        </is>
      </c>
      <c r="C121" s="20" t="n">
        <v>0</v>
      </c>
      <c r="D121" s="20" t="n">
        <v>40.107</v>
      </c>
      <c r="T121" s="20" t="n">
        <v>0</v>
      </c>
      <c r="U121" s="20" t="n">
        <v>0</v>
      </c>
      <c r="V121" s="20" t="n">
        <v>40.107</v>
      </c>
    </row>
    <row r="122">
      <c r="A122" s="18" t="inlineStr">
        <is>
          <t>특별이익 합계</t>
        </is>
      </c>
      <c r="C122" s="20" t="n">
        <v>1.382</v>
      </c>
      <c r="D122" s="20" t="n">
        <v>40.3</v>
      </c>
      <c r="G122" s="20" t="n">
        <v>2.669</v>
      </c>
      <c r="H122" s="20" t="n">
        <v>82.657</v>
      </c>
      <c r="T122" s="20" t="n">
        <v>9.339</v>
      </c>
      <c r="U122" s="20" t="n">
        <v>38.498</v>
      </c>
      <c r="V122" s="20" t="n">
        <v>40.3</v>
      </c>
      <c r="W122" s="20" t="n">
        <v>82.657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</row>
    <row r="124">
      <c r="A124" s="18" t="inlineStr">
        <is>
          <t>고정자산 매각손실</t>
        </is>
      </c>
      <c r="C124" s="20" t="n">
        <v>0.001</v>
      </c>
      <c r="D124" s="20" t="n">
        <v>0.654</v>
      </c>
      <c r="G124" s="20" t="n">
        <v>0.522</v>
      </c>
      <c r="H124" s="20" t="n">
        <v>0.001</v>
      </c>
      <c r="T124" s="20" t="n">
        <v>0.11</v>
      </c>
      <c r="U124" s="20" t="n">
        <v>0</v>
      </c>
      <c r="V124" s="20" t="n">
        <v>0.654</v>
      </c>
      <c r="W124" s="20" t="n">
        <v>0.001</v>
      </c>
    </row>
    <row r="125">
      <c r="A125" s="18" t="inlineStr">
        <is>
          <t>고정자산 제각손실</t>
        </is>
      </c>
      <c r="C125" s="20" t="n">
        <v>0.399</v>
      </c>
      <c r="D125" s="20" t="n">
        <v>4.002</v>
      </c>
      <c r="E125" s="20" t="n">
        <v>1.124</v>
      </c>
      <c r="F125" s="20" t="n">
        <v>0</v>
      </c>
      <c r="G125" s="20" t="n">
        <v>2.369</v>
      </c>
      <c r="H125" s="20" t="n">
        <v>1.168</v>
      </c>
      <c r="T125" s="20" t="n">
        <v>0.606</v>
      </c>
      <c r="U125" s="20" t="n">
        <v>11.684</v>
      </c>
      <c r="V125" s="20" t="n">
        <v>4.002</v>
      </c>
      <c r="W125" s="20" t="n">
        <v>1.168</v>
      </c>
    </row>
    <row r="126">
      <c r="A126" s="18" t="inlineStr">
        <is>
          <t>손상차손</t>
        </is>
      </c>
      <c r="G126" s="20" t="n">
        <v>0</v>
      </c>
      <c r="H126" s="20" t="n">
        <v>201.146</v>
      </c>
      <c r="K126" s="20" t="n">
        <v>0.605</v>
      </c>
      <c r="L126" s="20" t="n">
        <v>38.059</v>
      </c>
      <c r="W126" s="20" t="n">
        <v>201.146</v>
      </c>
      <c r="X126" s="20" t="n">
        <v>38.059</v>
      </c>
    </row>
    <row r="127">
      <c r="A127" s="18" t="inlineStr">
        <is>
          <t>투자유가증권 매각손실</t>
        </is>
      </c>
      <c r="C127" s="20" t="n">
        <v>0</v>
      </c>
      <c r="D127" s="20" t="n">
        <v>0</v>
      </c>
      <c r="T127" s="20" t="n">
        <v>1.316</v>
      </c>
      <c r="U127" s="20" t="n">
        <v>0</v>
      </c>
      <c r="V127" s="20" t="n">
        <v>0</v>
      </c>
    </row>
    <row r="128">
      <c r="A128" s="18" t="inlineStr">
        <is>
          <t>제품보증충당금 전입액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0</v>
      </c>
      <c r="U128" s="20" t="n">
        <v>0</v>
      </c>
      <c r="V128" s="20" t="n">
        <v>0</v>
      </c>
      <c r="W128" s="20" t="n">
        <v>0</v>
      </c>
    </row>
    <row r="129">
      <c r="A129" s="18" t="inlineStr">
        <is>
          <t>기타</t>
        </is>
      </c>
      <c r="C129" s="20" t="n">
        <v>0</v>
      </c>
      <c r="D129" s="20" t="n">
        <v>20.974</v>
      </c>
      <c r="G129" s="20" t="n">
        <v>0</v>
      </c>
      <c r="H129" s="20" t="n">
        <v>0</v>
      </c>
      <c r="T129" s="20" t="n">
        <v>0.587</v>
      </c>
      <c r="U129" s="20" t="n">
        <v>28.898</v>
      </c>
      <c r="V129" s="20" t="n">
        <v>20.974</v>
      </c>
      <c r="W129" s="20" t="n">
        <v>0</v>
      </c>
    </row>
    <row r="130">
      <c r="A130" s="18" t="inlineStr">
        <is>
          <t>사업구조개선비용</t>
        </is>
      </c>
      <c r="G130" s="20" t="n">
        <v>0</v>
      </c>
      <c r="H130" s="20" t="n">
        <v>0</v>
      </c>
      <c r="K130" s="20" t="n">
        <v>20.392</v>
      </c>
      <c r="L130" s="20" t="n">
        <v>74.30800000000001</v>
      </c>
      <c r="W130" s="20" t="n">
        <v>0</v>
      </c>
      <c r="X130" s="20" t="n">
        <v>74.30800000000001</v>
      </c>
    </row>
    <row r="131">
      <c r="A131" s="18" t="inlineStr">
        <is>
          <t>관계회사 청산손실</t>
        </is>
      </c>
      <c r="G131" s="20" t="n">
        <v>0</v>
      </c>
      <c r="H131" s="20" t="n">
        <v>0</v>
      </c>
      <c r="K131" s="20" t="n">
        <v>-43.348</v>
      </c>
      <c r="L131" s="20" t="n">
        <v>0</v>
      </c>
      <c r="W131" s="20" t="n">
        <v>0</v>
      </c>
      <c r="X131" s="20" t="n">
        <v>0</v>
      </c>
    </row>
    <row r="132">
      <c r="A132" s="18" t="inlineStr">
        <is>
          <t>특별손실 합계</t>
        </is>
      </c>
      <c r="C132" s="20" t="n">
        <v>21.373</v>
      </c>
      <c r="D132" s="20" t="n">
        <v>118.799</v>
      </c>
      <c r="E132" s="20" t="n">
        <v>1.124</v>
      </c>
      <c r="F132" s="20" t="n">
        <v>-1.124</v>
      </c>
      <c r="G132" s="20" t="n">
        <v>0</v>
      </c>
      <c r="H132" s="20" t="n">
        <v>656.527</v>
      </c>
      <c r="K132" s="20" t="n">
        <v>-23.35</v>
      </c>
      <c r="L132" s="20" t="n">
        <v>168.883</v>
      </c>
      <c r="T132" s="20" t="n">
        <v>1.464</v>
      </c>
      <c r="U132" s="20" t="n">
        <v>506.766</v>
      </c>
      <c r="V132" s="20" t="n">
        <v>118.799</v>
      </c>
      <c r="W132" s="20" t="n">
        <v>656.527</v>
      </c>
      <c r="X132" s="20" t="n">
        <v>168.883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법인세차감전 순이익</t>
        </is>
      </c>
      <c r="C134" s="12" t="n">
        <v>-221.192</v>
      </c>
      <c r="D134" s="12" t="n">
        <v>1151.461</v>
      </c>
      <c r="E134" s="12" t="n">
        <v>-47.255</v>
      </c>
      <c r="F134" s="12" t="n">
        <v>40.679</v>
      </c>
      <c r="G134" s="12" t="n">
        <v>595.8440000000001</v>
      </c>
      <c r="H134" s="12" t="n">
        <v>-788.347</v>
      </c>
      <c r="I134" s="12" t="n">
        <v>-46</v>
      </c>
      <c r="J134" s="12" t="n">
        <v>844</v>
      </c>
      <c r="K134" s="12" t="n">
        <v>581.114</v>
      </c>
      <c r="L134" s="12" t="n">
        <v>1820.487</v>
      </c>
      <c r="M134" s="12" t="n">
        <v>613</v>
      </c>
      <c r="N134" s="12" t="n">
        <v>1007</v>
      </c>
      <c r="T134" s="12" t="n">
        <v>500.896</v>
      </c>
      <c r="U134" s="12" t="n">
        <v>210.383</v>
      </c>
      <c r="V134" s="12" t="n">
        <v>1151.461</v>
      </c>
      <c r="W134" s="12" t="n">
        <v>-788.347</v>
      </c>
      <c r="X134" s="12" t="n">
        <v>1820.487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법인세 등</t>
        </is>
      </c>
      <c r="C136" s="20" t="n">
        <v>95.48</v>
      </c>
      <c r="D136" s="20" t="n">
        <v>120.902</v>
      </c>
      <c r="E136" s="20" t="n">
        <v>171.096</v>
      </c>
      <c r="F136" s="20" t="n">
        <v>96.562</v>
      </c>
      <c r="G136" s="20" t="n">
        <v>71.687</v>
      </c>
      <c r="H136" s="20" t="n">
        <v>82.15000000000001</v>
      </c>
      <c r="I136" s="20" t="n">
        <v>93</v>
      </c>
      <c r="J136" s="20" t="n">
        <v>248</v>
      </c>
      <c r="K136" s="20" t="n">
        <v>182.504</v>
      </c>
      <c r="L136" s="20" t="n">
        <v>214.699</v>
      </c>
      <c r="M136" s="20" t="n">
        <v>169</v>
      </c>
      <c r="N136" s="20" t="n">
        <v>246</v>
      </c>
      <c r="T136" s="20" t="n">
        <v>81.935</v>
      </c>
      <c r="U136" s="20" t="n">
        <v>-27.382</v>
      </c>
      <c r="V136" s="20" t="n">
        <v>120.902</v>
      </c>
      <c r="W136" s="20" t="n">
        <v>82.15000000000001</v>
      </c>
      <c r="X136" s="20" t="n">
        <v>214.699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V137" s="15">
        <f>IF(OR(V136="",U136=""),"",IF(V136*U136&lt;=0,"",IFERROR(V136/U136-1,"")))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9" t="inlineStr">
        <is>
          <t>순이익</t>
        </is>
      </c>
      <c r="C138" s="12" t="n">
        <v>-316.672</v>
      </c>
      <c r="D138" s="12" t="n">
        <v>1030.558</v>
      </c>
      <c r="E138" s="12" t="n">
        <v>-218.352</v>
      </c>
      <c r="F138" s="12" t="n">
        <v>-55.883</v>
      </c>
      <c r="G138" s="12" t="n">
        <v>524.158</v>
      </c>
      <c r="H138" s="12" t="n">
        <v>-870.498</v>
      </c>
      <c r="I138" s="12" t="n">
        <v>-139</v>
      </c>
      <c r="J138" s="12" t="n">
        <v>595</v>
      </c>
      <c r="K138" s="12" t="n">
        <v>399.609</v>
      </c>
      <c r="L138" s="12" t="n">
        <v>1605.789</v>
      </c>
      <c r="M138" s="12" t="n">
        <v>444</v>
      </c>
      <c r="N138" s="12" t="n">
        <v>760</v>
      </c>
      <c r="T138" s="12" t="n">
        <v>418.962</v>
      </c>
      <c r="U138" s="12" t="n">
        <v>237.765</v>
      </c>
      <c r="V138" s="12" t="n">
        <v>1030.558</v>
      </c>
      <c r="W138" s="12" t="n">
        <v>-870.498</v>
      </c>
      <c r="X138" s="12" t="n">
        <v>1605.789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9" t="inlineStr">
        <is>
          <t>비지배주주 당기순손실</t>
        </is>
      </c>
      <c r="C140" s="12" t="n">
        <v>4.99</v>
      </c>
      <c r="D140" s="12" t="n">
        <v>1.426</v>
      </c>
      <c r="E140" s="12" t="n">
        <v>0.859</v>
      </c>
      <c r="F140" s="12" t="n">
        <v>1.218</v>
      </c>
      <c r="G140" s="12" t="n">
        <v>0.299</v>
      </c>
      <c r="H140" s="12" t="n">
        <v>-6.794</v>
      </c>
      <c r="I140" s="12" t="n">
        <v>-0</v>
      </c>
      <c r="J140" s="12" t="n">
        <v>0</v>
      </c>
      <c r="K140" s="12" t="n">
        <v>-0.626</v>
      </c>
      <c r="L140" s="12" t="n">
        <v>0</v>
      </c>
      <c r="M140" s="12" t="n">
        <v>0</v>
      </c>
      <c r="N140" s="12" t="n">
        <v>0</v>
      </c>
      <c r="U140" s="12" t="n">
        <v>6.241</v>
      </c>
      <c r="V140" s="12" t="n">
        <v>1.426</v>
      </c>
      <c r="W140" s="12" t="n">
        <v>-6.794</v>
      </c>
      <c r="X140" s="12" t="n">
        <v>0</v>
      </c>
    </row>
    <row r="141">
      <c r="A141" s="9" t="inlineStr">
        <is>
          <t>지배주주 순이익</t>
        </is>
      </c>
      <c r="C141" s="12" t="n">
        <v>-321.663</v>
      </c>
      <c r="D141" s="12" t="n">
        <v>1029.133</v>
      </c>
      <c r="E141" s="12" t="n">
        <v>-219.211</v>
      </c>
      <c r="F141" s="12" t="n">
        <v>-57.101</v>
      </c>
      <c r="G141" s="12" t="n">
        <v>523.8579999999999</v>
      </c>
      <c r="H141" s="12" t="n">
        <v>-863.703</v>
      </c>
      <c r="I141" s="12" t="n">
        <v>-138</v>
      </c>
      <c r="J141" s="12" t="n">
        <v>595</v>
      </c>
      <c r="K141" s="12" t="n">
        <v>399.235</v>
      </c>
      <c r="L141" s="12" t="n">
        <v>1605.789</v>
      </c>
      <c r="M141" s="12" t="n">
        <v>444</v>
      </c>
      <c r="N141" s="12" t="n">
        <v>760</v>
      </c>
      <c r="T141" s="12" t="n">
        <v>418.962</v>
      </c>
      <c r="U141" s="12" t="n">
        <v>231.523</v>
      </c>
      <c r="V141" s="12" t="n">
        <v>1029.133</v>
      </c>
      <c r="W141" s="12" t="n">
        <v>-863.703</v>
      </c>
      <c r="X141" s="12" t="n">
        <v>1605.789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4">
      <c r="A144" s="16" t="inlineStr">
        <is>
          <t>포괄손익 · 전 항목</t>
        </is>
      </c>
      <c r="B144" s="42" t="inlineStr">
        <is>
          <t>분기 = 3개월 단독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2024.3Q</t>
        </is>
      </c>
      <c r="D145" s="5" t="inlineStr">
        <is>
          <t>2024.4Q</t>
        </is>
      </c>
      <c r="E145" s="5" t="inlineStr">
        <is>
          <t>2025.1Q</t>
        </is>
      </c>
      <c r="F145" s="5" t="inlineStr">
        <is>
          <t>2025.2Q</t>
        </is>
      </c>
      <c r="G145" s="5" t="inlineStr">
        <is>
          <t>2025.3Q</t>
        </is>
      </c>
      <c r="H145" s="5" t="inlineStr">
        <is>
          <t>2025.4Q</t>
        </is>
      </c>
      <c r="I145" s="5" t="inlineStr">
        <is>
          <t>2026.1Q</t>
        </is>
      </c>
      <c r="J145" s="5" t="inlineStr">
        <is>
          <t>2026.2Q</t>
        </is>
      </c>
      <c r="K145" s="5" t="inlineStr">
        <is>
          <t>2026.3Q</t>
        </is>
      </c>
      <c r="L145" s="5" t="inlineStr">
        <is>
          <t>2026.4Q</t>
        </is>
      </c>
      <c r="M145" s="5" t="inlineStr">
        <is>
          <t>2027.1Q</t>
        </is>
      </c>
      <c r="N145" s="5" t="inlineStr">
        <is>
          <t>2027.2Q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순이익</t>
        </is>
      </c>
      <c r="C146" s="12" t="n">
        <v>-316.672</v>
      </c>
      <c r="D146" s="12" t="n">
        <v>1030.558</v>
      </c>
      <c r="E146" s="12" t="n">
        <v>-218.352</v>
      </c>
      <c r="F146" s="12" t="n">
        <v>-55.883</v>
      </c>
      <c r="G146" s="12" t="n">
        <v>524.158</v>
      </c>
      <c r="H146" s="12" t="n">
        <v>-870.498</v>
      </c>
      <c r="I146" s="12" t="n">
        <v>-139</v>
      </c>
      <c r="J146" s="12" t="n">
        <v>595</v>
      </c>
      <c r="K146" s="12" t="n">
        <v>399.609</v>
      </c>
      <c r="L146" s="12" t="n">
        <v>1605.789</v>
      </c>
      <c r="M146" s="12" t="n">
        <v>444</v>
      </c>
      <c r="N146" s="12" t="n">
        <v>760</v>
      </c>
      <c r="T146" s="12" t="n">
        <v>418.962</v>
      </c>
      <c r="U146" s="12" t="n">
        <v>237.765</v>
      </c>
      <c r="V146" s="12" t="n">
        <v>1030.558</v>
      </c>
      <c r="W146" s="12" t="n">
        <v>-870.498</v>
      </c>
      <c r="X146" s="12" t="n">
        <v>1605.789</v>
      </c>
    </row>
    <row r="147">
      <c r="A147" s="18" t="inlineStr">
        <is>
          <t>기타유가증권 평가차액</t>
        </is>
      </c>
      <c r="C147" s="20" t="n">
        <v>-0.463</v>
      </c>
      <c r="D147" s="20" t="n">
        <v>3.403</v>
      </c>
      <c r="E147" s="20" t="n">
        <v>1.945</v>
      </c>
      <c r="F147" s="20" t="n">
        <v>-8.875999999999999</v>
      </c>
      <c r="G147" s="20" t="n">
        <v>0.967</v>
      </c>
      <c r="H147" s="20" t="n">
        <v>2.645</v>
      </c>
      <c r="I147" s="20" t="n">
        <v>0</v>
      </c>
      <c r="J147" s="20" t="n">
        <v>6</v>
      </c>
      <c r="K147" s="20" t="n">
        <v>6.986</v>
      </c>
      <c r="L147" s="20" t="n">
        <v>7.277</v>
      </c>
      <c r="M147" s="20" t="n">
        <v>6</v>
      </c>
      <c r="N147" s="20" t="n">
        <v>8</v>
      </c>
      <c r="T147" s="20" t="n">
        <v>-11.151</v>
      </c>
      <c r="U147" s="20" t="n">
        <v>-24.088</v>
      </c>
      <c r="V147" s="20" t="n">
        <v>3.403</v>
      </c>
      <c r="W147" s="20" t="n">
        <v>2.645</v>
      </c>
      <c r="X147" s="20" t="n">
        <v>7.277</v>
      </c>
    </row>
    <row r="148">
      <c r="A148" s="18" t="inlineStr">
        <is>
          <t>해외사업환산조정</t>
        </is>
      </c>
      <c r="C148" s="20" t="n">
        <v>403.649</v>
      </c>
      <c r="D148" s="20" t="n">
        <v>-504.581</v>
      </c>
      <c r="E148" s="20" t="n">
        <v>253.932</v>
      </c>
      <c r="F148" s="20" t="n">
        <v>971.335</v>
      </c>
      <c r="G148" s="20" t="n">
        <v>-1240.852</v>
      </c>
      <c r="H148" s="20" t="n">
        <v>1007.672</v>
      </c>
      <c r="I148" s="20" t="n">
        <v>-399</v>
      </c>
      <c r="J148" s="20" t="n">
        <v>-114</v>
      </c>
      <c r="K148" s="20" t="n">
        <v>2.749</v>
      </c>
      <c r="L148" s="20" t="n">
        <v>476.961</v>
      </c>
      <c r="M148" s="20" t="n">
        <v>112</v>
      </c>
      <c r="N148" s="20" t="n">
        <v>346</v>
      </c>
      <c r="T148" s="20" t="n">
        <v>198.308</v>
      </c>
      <c r="U148" s="20" t="n">
        <v>-381.954</v>
      </c>
      <c r="V148" s="20" t="n">
        <v>-504.581</v>
      </c>
      <c r="W148" s="20" t="n">
        <v>1007.672</v>
      </c>
      <c r="X148" s="20" t="n">
        <v>476.961</v>
      </c>
    </row>
    <row r="149">
      <c r="A149" s="18" t="inlineStr">
        <is>
          <t>퇴직급여 조정액</t>
        </is>
      </c>
      <c r="E149" s="20" t="n">
        <v>0</v>
      </c>
      <c r="I149" s="20" t="n">
        <v>-4</v>
      </c>
      <c r="M149" s="20" t="n">
        <v>-0</v>
      </c>
      <c r="T149" s="20" t="n">
        <v>0</v>
      </c>
      <c r="U149" s="20" t="n">
        <v>0</v>
      </c>
    </row>
    <row r="150">
      <c r="A150" s="18" t="inlineStr">
        <is>
          <t>지분법 적용회사 지분 해당액</t>
        </is>
      </c>
      <c r="T150" s="20" t="n">
        <v>0</v>
      </c>
      <c r="U150" s="20" t="n">
        <v>0</v>
      </c>
    </row>
    <row r="151">
      <c r="A151" s="18" t="inlineStr">
        <is>
          <t>퇴직급여 조정액</t>
        </is>
      </c>
      <c r="K151" s="20" t="n">
        <v>-0.45</v>
      </c>
    </row>
    <row r="152">
      <c r="A152" s="18" t="inlineStr">
        <is>
          <t>기타포괄손익 합계</t>
        </is>
      </c>
      <c r="C152" s="20" t="n">
        <v>403.185</v>
      </c>
      <c r="D152" s="20" t="n">
        <v>-501.176</v>
      </c>
      <c r="E152" s="20" t="n">
        <v>255.877</v>
      </c>
      <c r="F152" s="20" t="n">
        <v>962.458</v>
      </c>
      <c r="G152" s="20" t="n">
        <v>-1239.885</v>
      </c>
      <c r="H152" s="20" t="n">
        <v>1010.318</v>
      </c>
      <c r="I152" s="20" t="n">
        <v>-403</v>
      </c>
      <c r="J152" s="20" t="n">
        <v>-108</v>
      </c>
      <c r="K152" s="20" t="n">
        <v>9.286</v>
      </c>
      <c r="L152" s="20" t="n">
        <v>479.626</v>
      </c>
      <c r="M152" s="20" t="n">
        <v>118</v>
      </c>
      <c r="N152" s="20" t="n">
        <v>354</v>
      </c>
      <c r="T152" s="20" t="n">
        <v>187.156</v>
      </c>
      <c r="U152" s="20" t="n">
        <v>-406.043</v>
      </c>
      <c r="V152" s="20" t="n">
        <v>-501.176</v>
      </c>
      <c r="W152" s="20" t="n">
        <v>1010.318</v>
      </c>
      <c r="X152" s="20" t="n">
        <v>479.626</v>
      </c>
    </row>
    <row r="153">
      <c r="A153" s="9" t="inlineStr">
        <is>
          <t>포괄이익</t>
        </is>
      </c>
      <c r="C153" s="12" t="n">
        <v>86.512</v>
      </c>
      <c r="D153" s="12" t="n">
        <v>529.3819999999999</v>
      </c>
      <c r="E153" s="12" t="n">
        <v>37.525</v>
      </c>
      <c r="F153" s="12" t="n">
        <v>906.575</v>
      </c>
      <c r="G153" s="12" t="n">
        <v>-715.727</v>
      </c>
      <c r="H153" s="12" t="n">
        <v>139.819</v>
      </c>
      <c r="I153" s="12" t="n">
        <v>-543</v>
      </c>
      <c r="J153" s="12" t="n">
        <v>488</v>
      </c>
      <c r="K153" s="12" t="n">
        <v>408.894</v>
      </c>
      <c r="L153" s="12" t="n">
        <v>2085.416</v>
      </c>
      <c r="M153" s="12" t="n">
        <v>563</v>
      </c>
      <c r="N153" s="12" t="n">
        <v>1113</v>
      </c>
      <c r="T153" s="12" t="n">
        <v>606.117</v>
      </c>
      <c r="U153" s="12" t="n">
        <v>-168.278</v>
      </c>
      <c r="V153" s="12" t="n">
        <v>529.3819999999999</v>
      </c>
      <c r="W153" s="12" t="n">
        <v>139.819</v>
      </c>
      <c r="X153" s="12" t="n">
        <v>2085.416</v>
      </c>
    </row>
    <row r="154">
      <c r="A154" s="9" t="inlineStr">
        <is>
          <t>지배주주 포괄이익</t>
        </is>
      </c>
      <c r="C154" s="12" t="n">
        <v>81.36799999999999</v>
      </c>
      <c r="D154" s="12" t="n">
        <v>528.417</v>
      </c>
      <c r="E154" s="12" t="n">
        <v>36.666</v>
      </c>
      <c r="F154" s="12" t="n">
        <v>905.357</v>
      </c>
      <c r="G154" s="12" t="n">
        <v>-716.027</v>
      </c>
      <c r="H154" s="12" t="n">
        <v>146.614</v>
      </c>
      <c r="I154" s="12" t="n">
        <v>-542</v>
      </c>
      <c r="J154" s="12" t="n">
        <v>488</v>
      </c>
      <c r="K154" s="12" t="n">
        <v>408.521</v>
      </c>
      <c r="L154" s="12" t="n">
        <v>2085.415</v>
      </c>
      <c r="M154" s="12" t="n">
        <v>563</v>
      </c>
      <c r="N154" s="12" t="n">
        <v>1113</v>
      </c>
      <c r="T154" s="12" t="n">
        <v>606.117</v>
      </c>
      <c r="U154" s="12" t="n">
        <v>-174.519</v>
      </c>
      <c r="V154" s="12" t="n">
        <v>528.417</v>
      </c>
      <c r="W154" s="12" t="n">
        <v>146.614</v>
      </c>
      <c r="X154" s="12" t="n">
        <v>2085.415</v>
      </c>
    </row>
    <row r="155">
      <c r="A155" s="9" t="inlineStr">
        <is>
          <t>비지배주주 포괄이익</t>
        </is>
      </c>
      <c r="C155" s="12" t="n">
        <v>5.144</v>
      </c>
      <c r="D155" s="12" t="n">
        <v>0.966</v>
      </c>
      <c r="E155" s="12" t="n">
        <v>0.859</v>
      </c>
      <c r="F155" s="12" t="n">
        <v>1.218</v>
      </c>
      <c r="G155" s="12" t="n">
        <v>0.299</v>
      </c>
      <c r="H155" s="12" t="n">
        <v>-6.794</v>
      </c>
      <c r="I155" s="12" t="n">
        <v>-0</v>
      </c>
      <c r="J155" s="12" t="n">
        <v>0</v>
      </c>
      <c r="K155" s="12" t="n">
        <v>-0.626</v>
      </c>
      <c r="L155" s="12" t="n">
        <v>0</v>
      </c>
      <c r="M155" s="12" t="n">
        <v>0</v>
      </c>
      <c r="N155" s="12" t="n">
        <v>0</v>
      </c>
      <c r="U155" s="12" t="n">
        <v>6.241</v>
      </c>
      <c r="V155" s="12" t="n">
        <v>0.966</v>
      </c>
      <c r="W155" s="12" t="n">
        <v>-6.794</v>
      </c>
      <c r="X155" s="12" t="n">
        <v>0</v>
      </c>
    </row>
    <row r="157">
      <c r="A157" s="16" t="inlineStr">
        <is>
          <t>부문 · 전 항목</t>
        </is>
      </c>
      <c r="B157" s="42" t="inlineStr">
        <is>
          <t>부문 · 항목</t>
        </is>
      </c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2024.3Q</t>
        </is>
      </c>
      <c r="D158" s="5" t="inlineStr">
        <is>
          <t>2024.4Q</t>
        </is>
      </c>
      <c r="E158" s="5" t="inlineStr">
        <is>
          <t>2025.1Q</t>
        </is>
      </c>
      <c r="F158" s="5" t="inlineStr">
        <is>
          <t>2025.2Q</t>
        </is>
      </c>
      <c r="G158" s="5" t="inlineStr">
        <is>
          <t>2025.3Q</t>
        </is>
      </c>
      <c r="H158" s="5" t="inlineStr">
        <is>
          <t>2025.4Q</t>
        </is>
      </c>
      <c r="I158" s="5" t="inlineStr">
        <is>
          <t>2026.1Q</t>
        </is>
      </c>
      <c r="J158" s="5" t="inlineStr">
        <is>
          <t>2026.2Q</t>
        </is>
      </c>
      <c r="K158" s="5" t="inlineStr">
        <is>
          <t>2026.3Q</t>
        </is>
      </c>
      <c r="L158" s="5" t="inlineStr">
        <is>
          <t>2026.4Q</t>
        </is>
      </c>
      <c r="M158" s="5" t="inlineStr">
        <is>
          <t>2027.1Q</t>
        </is>
      </c>
      <c r="N158" s="5" t="inlineStr">
        <is>
          <t>2027.2Q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18" t="inlineStr">
        <is>
          <t>영상·IT 사업 · 외부 고객 매출</t>
        </is>
      </c>
      <c r="C159" s="20" t="n">
        <v>7032.856</v>
      </c>
      <c r="D159" s="20" t="n">
        <v>8881.030000000001</v>
      </c>
      <c r="E159" s="20" t="n">
        <v>7465.286</v>
      </c>
      <c r="F159" s="20" t="n">
        <v>8947.918</v>
      </c>
      <c r="G159" s="20" t="n">
        <v>9241.781000000001</v>
      </c>
      <c r="H159" s="20" t="n">
        <v>10173.408</v>
      </c>
      <c r="I159" s="20" t="n">
        <v>7801</v>
      </c>
      <c r="J159" s="20" t="n">
        <v>8868</v>
      </c>
      <c r="K159" s="20" t="n">
        <v>8874.773999999999</v>
      </c>
      <c r="L159" s="20" t="n">
        <v>12225.099</v>
      </c>
      <c r="M159" s="20" t="n">
        <v>10645</v>
      </c>
      <c r="N159" s="20" t="n">
        <v>14341</v>
      </c>
      <c r="V159" s="20" t="n">
        <v>8881.030000000001</v>
      </c>
      <c r="W159" s="20" t="n">
        <v>10173.408</v>
      </c>
      <c r="X159" s="20" t="n">
        <v>12225.099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로보틱스 사업 · 외부 고객 매출</t>
        </is>
      </c>
      <c r="C161" s="20" t="n">
        <v>4110.036</v>
      </c>
      <c r="D161" s="20" t="n">
        <v>5313.32</v>
      </c>
      <c r="E161" s="20" t="n">
        <v>3719.339</v>
      </c>
      <c r="F161" s="20" t="n">
        <v>3370.807</v>
      </c>
      <c r="G161" s="20" t="n">
        <v>3235.249</v>
      </c>
      <c r="H161" s="20" t="n">
        <v>4470.915</v>
      </c>
      <c r="I161" s="20" t="n">
        <v>2667</v>
      </c>
      <c r="J161" s="20" t="n">
        <v>3534</v>
      </c>
      <c r="K161" s="20" t="n">
        <v>3080.442</v>
      </c>
      <c r="L161" s="20" t="n">
        <v>4330.316</v>
      </c>
      <c r="M161" s="20" t="n">
        <v>2689</v>
      </c>
      <c r="N161" s="20" t="n">
        <v>3414</v>
      </c>
      <c r="V161" s="20" t="n">
        <v>5313.32</v>
      </c>
      <c r="W161" s="20" t="n">
        <v>4470.915</v>
      </c>
      <c r="X161" s="20" t="n">
        <v>4330.316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보고부문 합계 · 외부 고객 매출</t>
        </is>
      </c>
      <c r="C163" s="20" t="n">
        <v>11142.892</v>
      </c>
      <c r="D163" s="20" t="n">
        <v>14194.35</v>
      </c>
      <c r="E163" s="20" t="n">
        <v>11184.626</v>
      </c>
      <c r="F163" s="20" t="n">
        <v>12318.724</v>
      </c>
      <c r="G163" s="20" t="n">
        <v>12477.03</v>
      </c>
      <c r="H163" s="20" t="n">
        <v>14644.324</v>
      </c>
      <c r="I163" s="20" t="n">
        <v>10469</v>
      </c>
      <c r="J163" s="20" t="n">
        <v>12402</v>
      </c>
      <c r="K163" s="20" t="n">
        <v>11954.217</v>
      </c>
      <c r="L163" s="20" t="n">
        <v>16555.415</v>
      </c>
      <c r="M163" s="20" t="n">
        <v>13334</v>
      </c>
      <c r="N163" s="20" t="n">
        <v>17756</v>
      </c>
      <c r="V163" s="20" t="n">
        <v>14194.35</v>
      </c>
      <c r="W163" s="20" t="n">
        <v>14644.324</v>
      </c>
      <c r="X163" s="20" t="n">
        <v>16555.415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조정액 · 외부 고객 매출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9" t="inlineStr">
        <is>
          <t>외부 고객 매출</t>
        </is>
      </c>
      <c r="C166" s="12" t="n">
        <v>11142.892</v>
      </c>
      <c r="D166" s="12" t="n">
        <v>14194.35</v>
      </c>
      <c r="E166" s="12" t="n">
        <v>11184.626</v>
      </c>
      <c r="F166" s="12" t="n">
        <v>12318.724</v>
      </c>
      <c r="G166" s="12" t="n">
        <v>12477.03</v>
      </c>
      <c r="H166" s="12" t="n">
        <v>14644.324</v>
      </c>
      <c r="I166" s="12" t="n">
        <v>10469</v>
      </c>
      <c r="J166" s="12" t="n">
        <v>12402</v>
      </c>
      <c r="K166" s="12" t="n">
        <v>11954.217</v>
      </c>
      <c r="L166" s="12" t="n">
        <v>16555.415</v>
      </c>
      <c r="M166" s="12" t="n">
        <v>13334</v>
      </c>
      <c r="N166" s="12" t="n">
        <v>17756</v>
      </c>
      <c r="V166" s="12" t="n">
        <v>14194.35</v>
      </c>
      <c r="W166" s="12" t="n">
        <v>14644.324</v>
      </c>
      <c r="X166" s="12" t="n">
        <v>16555.415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영상·IT 사업 · 부문 간 내부매출·대체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7.815</v>
      </c>
      <c r="I168" s="20" t="n">
        <v>0</v>
      </c>
      <c r="J168" s="20" t="n">
        <v>3</v>
      </c>
      <c r="K168" s="20" t="n">
        <v>0.736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7.815</v>
      </c>
      <c r="X168" s="20" t="n">
        <v>0</v>
      </c>
    </row>
    <row r="169">
      <c r="A169" s="18" t="inlineStr">
        <is>
          <t>로보틱스 사업 · 부문 간 내부매출·대체</t>
        </is>
      </c>
      <c r="C169" s="20" t="n">
        <v>200.211</v>
      </c>
      <c r="D169" s="20" t="n">
        <v>164.835</v>
      </c>
      <c r="E169" s="20" t="n">
        <v>66.509</v>
      </c>
      <c r="F169" s="20" t="n">
        <v>244.604</v>
      </c>
      <c r="G169" s="20" t="n">
        <v>232.781</v>
      </c>
      <c r="H169" s="20" t="n">
        <v>134.019</v>
      </c>
      <c r="I169" s="20" t="n">
        <v>88</v>
      </c>
      <c r="J169" s="20" t="n">
        <v>254</v>
      </c>
      <c r="K169" s="20" t="n">
        <v>218.797</v>
      </c>
      <c r="L169" s="20" t="n">
        <v>137.78</v>
      </c>
      <c r="M169" s="20" t="n">
        <v>58</v>
      </c>
      <c r="N169" s="20" t="n">
        <v>187</v>
      </c>
      <c r="V169" s="20" t="n">
        <v>164.835</v>
      </c>
      <c r="W169" s="20" t="n">
        <v>134.019</v>
      </c>
      <c r="X169" s="20" t="n">
        <v>137.78</v>
      </c>
    </row>
    <row r="170">
      <c r="A170" s="18" t="inlineStr">
        <is>
          <t>보고부문 합계 · 부문 간 내부매출·대체</t>
        </is>
      </c>
      <c r="C170" s="20" t="n">
        <v>200.211</v>
      </c>
      <c r="D170" s="20" t="n">
        <v>164.835</v>
      </c>
      <c r="E170" s="20" t="n">
        <v>66.509</v>
      </c>
      <c r="F170" s="20" t="n">
        <v>244.604</v>
      </c>
      <c r="G170" s="20" t="n">
        <v>232.781</v>
      </c>
      <c r="H170" s="20" t="n">
        <v>141.834</v>
      </c>
      <c r="I170" s="20" t="n">
        <v>88</v>
      </c>
      <c r="J170" s="20" t="n">
        <v>258</v>
      </c>
      <c r="K170" s="20" t="n">
        <v>218.533</v>
      </c>
      <c r="L170" s="20" t="n">
        <v>137.78</v>
      </c>
      <c r="M170" s="20" t="n">
        <v>58</v>
      </c>
      <c r="N170" s="20" t="n">
        <v>187</v>
      </c>
      <c r="V170" s="20" t="n">
        <v>164.835</v>
      </c>
      <c r="W170" s="20" t="n">
        <v>141.834</v>
      </c>
      <c r="X170" s="20" t="n">
        <v>137.78</v>
      </c>
    </row>
    <row r="171">
      <c r="A171" s="18" t="inlineStr">
        <is>
          <t>조정액 · 부문 간 내부매출·대체</t>
        </is>
      </c>
      <c r="C171" s="20" t="n">
        <v>-200.211</v>
      </c>
      <c r="D171" s="20" t="n">
        <v>-164.835</v>
      </c>
      <c r="E171" s="20" t="n">
        <v>-66.509</v>
      </c>
      <c r="F171" s="20" t="n">
        <v>-244.604</v>
      </c>
      <c r="G171" s="20" t="n">
        <v>-232.781</v>
      </c>
      <c r="H171" s="20" t="n">
        <v>-141.834</v>
      </c>
      <c r="I171" s="20" t="n">
        <v>-88</v>
      </c>
      <c r="J171" s="20" t="n">
        <v>-258</v>
      </c>
      <c r="K171" s="20" t="n">
        <v>-218.533</v>
      </c>
      <c r="L171" s="20" t="n">
        <v>-137.78</v>
      </c>
      <c r="M171" s="20" t="n">
        <v>-58</v>
      </c>
      <c r="N171" s="20" t="n">
        <v>-187</v>
      </c>
      <c r="V171" s="20" t="n">
        <v>-164.835</v>
      </c>
      <c r="W171" s="20" t="n">
        <v>-141.834</v>
      </c>
      <c r="X171" s="20" t="n">
        <v>-137.78</v>
      </c>
    </row>
    <row r="172">
      <c r="A172" s="18" t="inlineStr">
        <is>
          <t>부문 간 내부매출·대체</t>
        </is>
      </c>
      <c r="C172" s="20" t="n">
        <v>0</v>
      </c>
      <c r="D172" s="20" t="n">
        <v>0</v>
      </c>
      <c r="E172" s="20" t="n">
        <v>0</v>
      </c>
      <c r="F172" s="20" t="n">
        <v>0</v>
      </c>
      <c r="G172" s="20" t="n">
        <v>0</v>
      </c>
      <c r="H172" s="20" t="n">
        <v>0</v>
      </c>
      <c r="I172" s="20" t="n">
        <v>0</v>
      </c>
      <c r="J172" s="20" t="n">
        <v>0</v>
      </c>
      <c r="K172" s="20" t="n">
        <v>0</v>
      </c>
      <c r="L172" s="20" t="n">
        <v>0</v>
      </c>
      <c r="M172" s="20" t="n">
        <v>0</v>
      </c>
      <c r="N172" s="20" t="n">
        <v>0</v>
      </c>
      <c r="V172" s="20" t="n">
        <v>0</v>
      </c>
      <c r="W172" s="20" t="n">
        <v>0</v>
      </c>
      <c r="X172" s="20" t="n">
        <v>0</v>
      </c>
    </row>
    <row r="173">
      <c r="A173" s="18" t="inlineStr">
        <is>
          <t>영상·IT 사업 · 계</t>
        </is>
      </c>
      <c r="C173" s="20" t="n">
        <v>7032.856</v>
      </c>
      <c r="D173" s="20" t="n">
        <v>8881.030000000001</v>
      </c>
      <c r="E173" s="20" t="n">
        <v>7465.286</v>
      </c>
      <c r="F173" s="20" t="n">
        <v>8947.918</v>
      </c>
      <c r="G173" s="20" t="n">
        <v>9241.781000000001</v>
      </c>
      <c r="H173" s="20" t="n">
        <v>10181.223</v>
      </c>
      <c r="I173" s="20" t="n">
        <v>7801</v>
      </c>
      <c r="J173" s="20" t="n">
        <v>8872</v>
      </c>
      <c r="K173" s="20" t="n">
        <v>8874.51</v>
      </c>
      <c r="L173" s="20" t="n">
        <v>12225.099</v>
      </c>
      <c r="M173" s="20" t="n">
        <v>10645</v>
      </c>
      <c r="N173" s="20" t="n">
        <v>14341</v>
      </c>
      <c r="V173" s="20" t="n">
        <v>8881.030000000001</v>
      </c>
      <c r="W173" s="20" t="n">
        <v>10181.223</v>
      </c>
      <c r="X173" s="20" t="n">
        <v>12225.099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로보틱스 사업 · 계</t>
        </is>
      </c>
      <c r="C175" s="20" t="n">
        <v>4310.246</v>
      </c>
      <c r="D175" s="20" t="n">
        <v>5478.156</v>
      </c>
      <c r="E175" s="20" t="n">
        <v>3785.848</v>
      </c>
      <c r="F175" s="20" t="n">
        <v>3615.412</v>
      </c>
      <c r="G175" s="20" t="n">
        <v>3468.029</v>
      </c>
      <c r="H175" s="20" t="n">
        <v>4604.934</v>
      </c>
      <c r="I175" s="20" t="n">
        <v>2755</v>
      </c>
      <c r="J175" s="20" t="n">
        <v>3788</v>
      </c>
      <c r="K175" s="20" t="n">
        <v>3299.24</v>
      </c>
      <c r="L175" s="20" t="n">
        <v>4468.096</v>
      </c>
      <c r="M175" s="20" t="n">
        <v>2747</v>
      </c>
      <c r="N175" s="20" t="n">
        <v>3602</v>
      </c>
      <c r="V175" s="20" t="n">
        <v>5478.156</v>
      </c>
      <c r="W175" s="20" t="n">
        <v>4604.934</v>
      </c>
      <c r="X175" s="20" t="n">
        <v>4468.096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보고부문 합계 · 계</t>
        </is>
      </c>
      <c r="C177" s="20" t="n">
        <v>11343.102</v>
      </c>
      <c r="D177" s="20" t="n">
        <v>14359.186</v>
      </c>
      <c r="E177" s="20" t="n">
        <v>11251.135</v>
      </c>
      <c r="F177" s="20" t="n">
        <v>12563.329</v>
      </c>
      <c r="G177" s="20" t="n">
        <v>12709.81</v>
      </c>
      <c r="H177" s="20" t="n">
        <v>14786.158</v>
      </c>
      <c r="I177" s="20" t="n">
        <v>10557</v>
      </c>
      <c r="J177" s="20" t="n">
        <v>12660</v>
      </c>
      <c r="K177" s="20" t="n">
        <v>12172.75</v>
      </c>
      <c r="L177" s="20" t="n">
        <v>16693.195</v>
      </c>
      <c r="M177" s="20" t="n">
        <v>13392</v>
      </c>
      <c r="N177" s="20" t="n">
        <v>17944</v>
      </c>
      <c r="V177" s="20" t="n">
        <v>14359.186</v>
      </c>
      <c r="W177" s="20" t="n">
        <v>14786.158</v>
      </c>
      <c r="X177" s="20" t="n">
        <v>16693.195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계</t>
        </is>
      </c>
      <c r="C179" s="20" t="n">
        <v>-200.211</v>
      </c>
      <c r="D179" s="20" t="n">
        <v>-164.835</v>
      </c>
      <c r="E179" s="20" t="n">
        <v>-66.509</v>
      </c>
      <c r="F179" s="20" t="n">
        <v>-244.604</v>
      </c>
      <c r="G179" s="20" t="n">
        <v>-232.781</v>
      </c>
      <c r="H179" s="20" t="n">
        <v>-141.834</v>
      </c>
      <c r="I179" s="20" t="n">
        <v>-88</v>
      </c>
      <c r="J179" s="20" t="n">
        <v>-258</v>
      </c>
      <c r="K179" s="20" t="n">
        <v>-218.533</v>
      </c>
      <c r="L179" s="20" t="n">
        <v>-137.78</v>
      </c>
      <c r="M179" s="20" t="n">
        <v>-58</v>
      </c>
      <c r="N179" s="20" t="n">
        <v>-187</v>
      </c>
      <c r="V179" s="20" t="n">
        <v>-164.835</v>
      </c>
      <c r="W179" s="20" t="n">
        <v>-141.834</v>
      </c>
      <c r="X179" s="20" t="n">
        <v>-137.78</v>
      </c>
    </row>
    <row r="180">
      <c r="A180" s="9" t="inlineStr">
        <is>
          <t>계</t>
        </is>
      </c>
      <c r="C180" s="12" t="n">
        <v>11142.892</v>
      </c>
      <c r="D180" s="12" t="n">
        <v>14194.35</v>
      </c>
      <c r="E180" s="12" t="n">
        <v>11184.626</v>
      </c>
      <c r="F180" s="12" t="n">
        <v>12318.724</v>
      </c>
      <c r="G180" s="12" t="n">
        <v>12477.03</v>
      </c>
      <c r="H180" s="12" t="n">
        <v>14644.324</v>
      </c>
      <c r="I180" s="12" t="n">
        <v>10469</v>
      </c>
      <c r="J180" s="12" t="n">
        <v>12402</v>
      </c>
      <c r="K180" s="12" t="n">
        <v>11954.217</v>
      </c>
      <c r="L180" s="12" t="n">
        <v>16555.415</v>
      </c>
      <c r="M180" s="12" t="n">
        <v>13334</v>
      </c>
      <c r="N180" s="12" t="n">
        <v>17756</v>
      </c>
      <c r="V180" s="12" t="n">
        <v>14194.35</v>
      </c>
      <c r="W180" s="12" t="n">
        <v>14644.324</v>
      </c>
      <c r="X180" s="12" t="n">
        <v>16555.415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영상·IT 사업 · 부문 이익(손실)</t>
        </is>
      </c>
      <c r="C182" s="20" t="n">
        <v>-183.213</v>
      </c>
      <c r="D182" s="20" t="n">
        <v>464.872</v>
      </c>
      <c r="E182" s="20" t="n">
        <v>-86.81699999999999</v>
      </c>
      <c r="F182" s="20" t="n">
        <v>521.79</v>
      </c>
      <c r="G182" s="20" t="n">
        <v>299.378</v>
      </c>
      <c r="H182" s="20" t="n">
        <v>232.924</v>
      </c>
      <c r="I182" s="20" t="n">
        <v>177</v>
      </c>
      <c r="J182" s="20" t="n">
        <v>757</v>
      </c>
      <c r="K182" s="20" t="n">
        <v>246.025</v>
      </c>
      <c r="L182" s="20" t="n">
        <v>688.646</v>
      </c>
      <c r="M182" s="20" t="n">
        <v>530</v>
      </c>
      <c r="N182" s="20" t="n">
        <v>1098</v>
      </c>
      <c r="V182" s="20" t="n">
        <v>464.872</v>
      </c>
      <c r="W182" s="20" t="n">
        <v>232.924</v>
      </c>
      <c r="X182" s="20" t="n">
        <v>688.646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IF(OR(C182="",C173=""),"",IF(C173&lt;=0,"",IFERROR(C182/C173,"")))</f>
        <v/>
      </c>
      <c r="D183" s="15">
        <f>IF(OR(D182="",D173=""),"",IF(D173&lt;=0,"",IFERROR(D182/D173,"")))</f>
        <v/>
      </c>
      <c r="E183" s="15">
        <f>IF(OR(E182="",E173=""),"",IF(E173&lt;=0,"",IFERROR(E182/E173,"")))</f>
        <v/>
      </c>
      <c r="F183" s="15">
        <f>IF(OR(F182="",F173=""),"",IF(F173&lt;=0,"",IFERROR(F182/F173,"")))</f>
        <v/>
      </c>
      <c r="G183" s="15">
        <f>IF(OR(G182="",G173=""),"",IF(G173&lt;=0,"",IFERROR(G182/G173,"")))</f>
        <v/>
      </c>
      <c r="H183" s="15">
        <f>IF(OR(H182="",H173=""),"",IF(H173&lt;=0,"",IFERROR(H182/H173,"")))</f>
        <v/>
      </c>
      <c r="I183" s="15">
        <f>IF(OR(I182="",I173=""),"",IF(I173&lt;=0,"",IFERROR(I182/I173,"")))</f>
        <v/>
      </c>
      <c r="J183" s="15">
        <f>IF(OR(J182="",J173=""),"",IF(J173&lt;=0,"",IFERROR(J182/J173,"")))</f>
        <v/>
      </c>
      <c r="K183" s="15">
        <f>IF(OR(K182="",K173=""),"",IF(K173&lt;=0,"",IFERROR(K182/K173,"")))</f>
        <v/>
      </c>
      <c r="L183" s="15">
        <f>IF(OR(L182="",L173=""),"",IF(L173&lt;=0,"",IFERROR(L182/L173,"")))</f>
        <v/>
      </c>
      <c r="M183" s="15">
        <f>IF(OR(M182="",M173=""),"",IF(M173&lt;=0,"",IFERROR(M182/M173,"")))</f>
        <v/>
      </c>
      <c r="N183" s="15">
        <f>IF(OR(N182="",N173=""),"",IF(N173&lt;=0,"",IFERROR(N182/N173,"")))</f>
        <v/>
      </c>
      <c r="V183" s="15">
        <f>IF(OR(V182="",V173=""),"",IF(V173&lt;=0,"",IFERROR(V182/V173,"")))</f>
        <v/>
      </c>
      <c r="W183" s="15">
        <f>IF(OR(W182="",W173=""),"",IF(W173&lt;=0,"",IFERROR(W182/W173,"")))</f>
        <v/>
      </c>
      <c r="X183" s="15">
        <f>IF(OR(X182="",X173=""),"",IF(X173&lt;=0,"",IFERROR(X182/X173,"")))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로보틱스 사업 · 부문 이익(손실)</t>
        </is>
      </c>
      <c r="C185" s="20" t="n">
        <v>86.402</v>
      </c>
      <c r="D185" s="20" t="n">
        <v>503.908</v>
      </c>
      <c r="E185" s="20" t="n">
        <v>-188.763</v>
      </c>
      <c r="F185" s="20" t="n">
        <v>-101.263</v>
      </c>
      <c r="G185" s="20" t="n">
        <v>-115.966</v>
      </c>
      <c r="H185" s="20" t="n">
        <v>-193.605</v>
      </c>
      <c r="I185" s="20" t="n">
        <v>-157</v>
      </c>
      <c r="J185" s="20" t="n">
        <v>121</v>
      </c>
      <c r="K185" s="20" t="n">
        <v>117.121</v>
      </c>
      <c r="L185" s="20" t="n">
        <v>380.188</v>
      </c>
      <c r="M185" s="20" t="n">
        <v>-27</v>
      </c>
      <c r="N185" s="20" t="n">
        <v>102</v>
      </c>
      <c r="V185" s="20" t="n">
        <v>503.908</v>
      </c>
      <c r="W185" s="20" t="n">
        <v>-193.605</v>
      </c>
      <c r="X185" s="20" t="n">
        <v>380.188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IF(OR(C185="",C175=""),"",IF(C175&lt;=0,"",IFERROR(C185/C175,"")))</f>
        <v/>
      </c>
      <c r="D186" s="15">
        <f>IF(OR(D185="",D175=""),"",IF(D175&lt;=0,"",IFERROR(D185/D175,"")))</f>
        <v/>
      </c>
      <c r="E186" s="15">
        <f>IF(OR(E185="",E175=""),"",IF(E175&lt;=0,"",IFERROR(E185/E175,"")))</f>
        <v/>
      </c>
      <c r="F186" s="15">
        <f>IF(OR(F185="",F175=""),"",IF(F175&lt;=0,"",IFERROR(F185/F175,"")))</f>
        <v/>
      </c>
      <c r="G186" s="15">
        <f>IF(OR(G185="",G175=""),"",IF(G175&lt;=0,"",IFERROR(G185/G175,"")))</f>
        <v/>
      </c>
      <c r="H186" s="15">
        <f>IF(OR(H185="",H175=""),"",IF(H175&lt;=0,"",IFERROR(H185/H175,"")))</f>
        <v/>
      </c>
      <c r="I186" s="15">
        <f>IF(OR(I185="",I175=""),"",IF(I175&lt;=0,"",IFERROR(I185/I175,"")))</f>
        <v/>
      </c>
      <c r="J186" s="15">
        <f>IF(OR(J185="",J175=""),"",IF(J175&lt;=0,"",IFERROR(J185/J175,"")))</f>
        <v/>
      </c>
      <c r="K186" s="15">
        <f>IF(OR(K185="",K175=""),"",IF(K175&lt;=0,"",IFERROR(K185/K175,"")))</f>
        <v/>
      </c>
      <c r="L186" s="15">
        <f>IF(OR(L185="",L175=""),"",IF(L175&lt;=0,"",IFERROR(L185/L175,"")))</f>
        <v/>
      </c>
      <c r="M186" s="15">
        <f>IF(OR(M185="",M175=""),"",IF(M175&lt;=0,"",IFERROR(M185/M175,"")))</f>
        <v/>
      </c>
      <c r="N186" s="15">
        <f>IF(OR(N185="",N175=""),"",IF(N175&lt;=0,"",IFERROR(N185/N175,"")))</f>
        <v/>
      </c>
      <c r="V186" s="15">
        <f>IF(OR(V185="",V175=""),"",IF(V175&lt;=0,"",IFERROR(V185/V175,"")))</f>
        <v/>
      </c>
      <c r="W186" s="15">
        <f>IF(OR(W185="",W175=""),"",IF(W175&lt;=0,"",IFERROR(W185/W175,"")))</f>
        <v/>
      </c>
      <c r="X186" s="15">
        <f>IF(OR(X185="",X175=""),"",IF(X175&lt;=0,"",IFERROR(X185/X175,"")))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보고부문 합계 · 부문 이익(손실)</t>
        </is>
      </c>
      <c r="C188" s="20" t="n">
        <v>-96.81</v>
      </c>
      <c r="D188" s="20" t="n">
        <v>968.7809999999999</v>
      </c>
      <c r="E188" s="20" t="n">
        <v>-275.58</v>
      </c>
      <c r="F188" s="20" t="n">
        <v>420.526</v>
      </c>
      <c r="G188" s="20" t="n">
        <v>183.412</v>
      </c>
      <c r="H188" s="20" t="n">
        <v>39.319</v>
      </c>
      <c r="I188" s="20" t="n">
        <v>20</v>
      </c>
      <c r="J188" s="20" t="n">
        <v>878</v>
      </c>
      <c r="K188" s="20" t="n">
        <v>363.146</v>
      </c>
      <c r="L188" s="20" t="n">
        <v>1068.835</v>
      </c>
      <c r="M188" s="20" t="n">
        <v>502</v>
      </c>
      <c r="N188" s="20" t="n">
        <v>1202</v>
      </c>
      <c r="V188" s="20" t="n">
        <v>968.7809999999999</v>
      </c>
      <c r="W188" s="20" t="n">
        <v>39.319</v>
      </c>
      <c r="X188" s="20" t="n">
        <v>1068.835</v>
      </c>
    </row>
    <row r="189">
      <c r="A189" s="43" t="inlineStr">
        <is>
          <t>OPM</t>
        </is>
      </c>
      <c r="B189" s="3" t="inlineStr">
        <is>
          <t>영업이익 ÷ 매출</t>
        </is>
      </c>
      <c r="C189" s="15">
        <f>IF(OR(C188="",C177=""),"",IF(C177&lt;=0,"",IFERROR(C188/C177,"")))</f>
        <v/>
      </c>
      <c r="D189" s="15">
        <f>IF(OR(D188="",D177=""),"",IF(D177&lt;=0,"",IFERROR(D188/D177,"")))</f>
        <v/>
      </c>
      <c r="E189" s="15">
        <f>IF(OR(E188="",E177=""),"",IF(E177&lt;=0,"",IFERROR(E188/E177,"")))</f>
        <v/>
      </c>
      <c r="F189" s="15">
        <f>IF(OR(F188="",F177=""),"",IF(F177&lt;=0,"",IFERROR(F188/F177,"")))</f>
        <v/>
      </c>
      <c r="G189" s="15">
        <f>IF(OR(G188="",G177=""),"",IF(G177&lt;=0,"",IFERROR(G188/G177,"")))</f>
        <v/>
      </c>
      <c r="H189" s="15">
        <f>IF(OR(H188="",H177=""),"",IF(H177&lt;=0,"",IFERROR(H188/H177,"")))</f>
        <v/>
      </c>
      <c r="I189" s="15">
        <f>IF(OR(I188="",I177=""),"",IF(I177&lt;=0,"",IFERROR(I188/I177,"")))</f>
        <v/>
      </c>
      <c r="J189" s="15">
        <f>IF(OR(J188="",J177=""),"",IF(J177&lt;=0,"",IFERROR(J188/J177,"")))</f>
        <v/>
      </c>
      <c r="K189" s="15">
        <f>IF(OR(K188="",K177=""),"",IF(K177&lt;=0,"",IFERROR(K188/K177,"")))</f>
        <v/>
      </c>
      <c r="L189" s="15">
        <f>IF(OR(L188="",L177=""),"",IF(L177&lt;=0,"",IFERROR(L188/L177,"")))</f>
        <v/>
      </c>
      <c r="M189" s="15">
        <f>IF(OR(M188="",M177=""),"",IF(M177&lt;=0,"",IFERROR(M188/M177,"")))</f>
        <v/>
      </c>
      <c r="N189" s="15">
        <f>IF(OR(N188="",N177=""),"",IF(N177&lt;=0,"",IFERROR(N188/N177,"")))</f>
        <v/>
      </c>
      <c r="V189" s="15">
        <f>IF(OR(V188="",V177=""),"",IF(V177&lt;=0,"",IFERROR(V188/V177,"")))</f>
        <v/>
      </c>
      <c r="W189" s="15">
        <f>IF(OR(W188="",W177=""),"",IF(W177&lt;=0,"",IFERROR(W188/W177,"")))</f>
        <v/>
      </c>
      <c r="X189" s="15">
        <f>IF(OR(X188="",X177=""),"",IF(X177&lt;=0,"",IFERROR(X188/X177,"")))</f>
        <v/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IF(OR(G188="",C188=""),"",IF(C188&lt;=0,"",IFERROR(G188/C188-1,"")))</f>
        <v/>
      </c>
      <c r="H190" s="15">
        <f>IF(OR(H188="",D188=""),"",IF(D188&lt;=0,"",IFERROR(H188/D188-1,"")))</f>
        <v/>
      </c>
      <c r="I190" s="15">
        <f>IF(OR(I188="",E188=""),"",IF(E188&lt;=0,"",IFERROR(I188/E188-1,"")))</f>
        <v/>
      </c>
      <c r="J190" s="15">
        <f>IF(OR(J188="",F188=""),"",IF(F188&lt;=0,"",IFERROR(J188/F188-1,"")))</f>
        <v/>
      </c>
      <c r="K190" s="15">
        <f>IF(OR(K188="",G188=""),"",IF(G188&lt;=0,"",IFERROR(K188/G188-1,"")))</f>
        <v/>
      </c>
      <c r="L190" s="15">
        <f>IF(OR(L188="",H188=""),"",IF(H188&lt;=0,"",IFERROR(L188/H188-1,"")))</f>
        <v/>
      </c>
      <c r="M190" s="15">
        <f>IF(OR(M188="",I188=""),"",IF(I188&lt;=0,"",IFERROR(M188/I188-1,"")))</f>
        <v/>
      </c>
      <c r="N190" s="15">
        <f>IF(OR(N188="",J188=""),"",IF(J188&lt;=0,"",IFERROR(N188/J188-1,"")))</f>
        <v/>
      </c>
      <c r="V190" s="15">
        <f>IF(OR(V188="",U188=""),"",IF(U188&lt;=0,"",IFERROR(V188/U188-1,"")))</f>
        <v/>
      </c>
      <c r="W190" s="15">
        <f>IF(OR(W188="",V188=""),"",IF(V188&lt;=0,"",IFERROR(W188/V188-1,"")))</f>
        <v/>
      </c>
      <c r="X190" s="15">
        <f>IF(OR(X188="",W188=""),"",IF(W188&lt;=0,"",IFERROR(X188/W188-1,"")))</f>
        <v/>
      </c>
    </row>
    <row r="191">
      <c r="A191" s="18" t="inlineStr">
        <is>
          <t>조정액 · 부문 이익(손실)</t>
        </is>
      </c>
      <c r="C191" s="20" t="n">
        <v>-3.77</v>
      </c>
      <c r="D191" s="20" t="n">
        <v>7.379</v>
      </c>
      <c r="E191" s="20" t="n">
        <v>0.161</v>
      </c>
      <c r="F191" s="20" t="n">
        <v>3.228</v>
      </c>
      <c r="G191" s="20" t="n">
        <v>-1.629</v>
      </c>
      <c r="H191" s="20" t="n">
        <v>4.207</v>
      </c>
      <c r="I191" s="20" t="n">
        <v>1</v>
      </c>
      <c r="J191" s="20" t="n">
        <v>-8</v>
      </c>
      <c r="K191" s="20" t="n">
        <v>7.271</v>
      </c>
      <c r="L191" s="20" t="n">
        <v>1.862</v>
      </c>
      <c r="M191" s="20" t="n">
        <v>-1</v>
      </c>
      <c r="N191" s="20" t="n">
        <v>-7</v>
      </c>
      <c r="V191" s="20" t="n">
        <v>7.379</v>
      </c>
      <c r="W191" s="20" t="n">
        <v>4.207</v>
      </c>
      <c r="X191" s="20" t="n">
        <v>1.862</v>
      </c>
    </row>
    <row r="192">
      <c r="A192" s="9" t="inlineStr">
        <is>
          <t>부문 이익(손실)</t>
        </is>
      </c>
      <c r="C192" s="12" t="n">
        <v>-100.58</v>
      </c>
      <c r="D192" s="12" t="n">
        <v>976.159</v>
      </c>
      <c r="E192" s="12" t="n">
        <v>-275.419</v>
      </c>
      <c r="F192" s="12" t="n">
        <v>423.755</v>
      </c>
      <c r="G192" s="12" t="n">
        <v>181.782</v>
      </c>
      <c r="H192" s="12" t="n">
        <v>43.527</v>
      </c>
      <c r="I192" s="12" t="n">
        <v>21</v>
      </c>
      <c r="J192" s="12" t="n">
        <v>870</v>
      </c>
      <c r="K192" s="12" t="n">
        <v>370.418</v>
      </c>
      <c r="L192" s="12" t="n">
        <v>1070.697</v>
      </c>
      <c r="M192" s="12" t="n">
        <v>501</v>
      </c>
      <c r="N192" s="12" t="n">
        <v>1194</v>
      </c>
      <c r="V192" s="12" t="n">
        <v>976.159</v>
      </c>
      <c r="W192" s="12" t="n">
        <v>43.527</v>
      </c>
      <c r="X192" s="12" t="n">
        <v>1070.697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IF(OR(C192="",C166=""),"",IF(C166&lt;=0,"",IFERROR(C192/C166,"")))</f>
        <v/>
      </c>
      <c r="D193" s="15">
        <f>IF(OR(D192="",D166=""),"",IF(D166&lt;=0,"",IFERROR(D192/D166,"")))</f>
        <v/>
      </c>
      <c r="E193" s="15">
        <f>IF(OR(E192="",E166=""),"",IF(E166&lt;=0,"",IFERROR(E192/E166,"")))</f>
        <v/>
      </c>
      <c r="F193" s="15">
        <f>IF(OR(F192="",F166=""),"",IF(F166&lt;=0,"",IFERROR(F192/F166,"")))</f>
        <v/>
      </c>
      <c r="G193" s="15">
        <f>IF(OR(G192="",G166=""),"",IF(G166&lt;=0,"",IFERROR(G192/G166,"")))</f>
        <v/>
      </c>
      <c r="H193" s="15">
        <f>IF(OR(H192="",H166=""),"",IF(H166&lt;=0,"",IFERROR(H192/H166,"")))</f>
        <v/>
      </c>
      <c r="I193" s="15">
        <f>IF(OR(I192="",I166=""),"",IF(I166&lt;=0,"",IFERROR(I192/I166,"")))</f>
        <v/>
      </c>
      <c r="J193" s="15">
        <f>IF(OR(J192="",J166=""),"",IF(J166&lt;=0,"",IFERROR(J192/J166,"")))</f>
        <v/>
      </c>
      <c r="K193" s="15">
        <f>IF(OR(K192="",K166=""),"",IF(K166&lt;=0,"",IFERROR(K192/K166,"")))</f>
        <v/>
      </c>
      <c r="L193" s="15">
        <f>IF(OR(L192="",L166=""),"",IF(L166&lt;=0,"",IFERROR(L192/L166,"")))</f>
        <v/>
      </c>
      <c r="M193" s="15">
        <f>IF(OR(M192="",M166=""),"",IF(M166&lt;=0,"",IFERROR(M192/M166,"")))</f>
        <v/>
      </c>
      <c r="N193" s="15">
        <f>IF(OR(N192="",N166=""),"",IF(N166&lt;=0,"",IFERROR(N192/N166,"")))</f>
        <v/>
      </c>
      <c r="V193" s="15">
        <f>IF(OR(V192="",V166=""),"",IF(V166&lt;=0,"",IFERROR(V192/V166,"")))</f>
        <v/>
      </c>
      <c r="W193" s="15">
        <f>IF(OR(W192="",W166=""),"",IF(W166&lt;=0,"",IFERROR(W192/W166,"")))</f>
        <v/>
      </c>
      <c r="X193" s="15">
        <f>IF(OR(X192="",X166=""),"",IF(X166&lt;=0,"",IFERROR(X192/X166,"")))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6">
      <c r="A196" s="16" t="inlineStr">
        <is>
          <t>현금흐름표 · 전 항목</t>
        </is>
      </c>
      <c r="B196" s="42" t="inlineStr">
        <is>
          <t>분기 = 결산기 첫날부터 누계(공시 그대로)</t>
        </is>
      </c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</row>
    <row r="197">
      <c r="A197" s="5" t="inlineStr">
        <is>
          <t>항목</t>
        </is>
      </c>
      <c r="B197" s="5" t="inlineStr">
        <is>
          <t>참고</t>
        </is>
      </c>
      <c r="C197" s="5" t="inlineStr">
        <is>
          <t>2024.3Q</t>
        </is>
      </c>
      <c r="D197" s="5" t="inlineStr">
        <is>
          <t>2024.4Q</t>
        </is>
      </c>
      <c r="E197" s="5" t="inlineStr">
        <is>
          <t>2025.1Q</t>
        </is>
      </c>
      <c r="F197" s="5" t="inlineStr">
        <is>
          <t>2025.2Q</t>
        </is>
      </c>
      <c r="G197" s="5" t="inlineStr">
        <is>
          <t>2025.3Q</t>
        </is>
      </c>
      <c r="H197" s="5" t="inlineStr">
        <is>
          <t>2025.4Q</t>
        </is>
      </c>
      <c r="I197" s="5" t="inlineStr">
        <is>
          <t>2026.1Q</t>
        </is>
      </c>
      <c r="J197" s="5" t="inlineStr">
        <is>
          <t>2026.2Q</t>
        </is>
      </c>
      <c r="K197" s="5" t="inlineStr">
        <is>
          <t>2026.3Q</t>
        </is>
      </c>
      <c r="L197" s="5" t="inlineStr">
        <is>
          <t>2026.4Q</t>
        </is>
      </c>
      <c r="M197" s="5" t="inlineStr">
        <is>
          <t>2027.1Q</t>
        </is>
      </c>
      <c r="N197" s="5" t="inlineStr">
        <is>
          <t>2027.2Q</t>
        </is>
      </c>
      <c r="O197" s="5" t="inlineStr">
        <is>
          <t>2017</t>
        </is>
      </c>
      <c r="P197" s="5" t="inlineStr">
        <is>
          <t>2018</t>
        </is>
      </c>
      <c r="Q197" s="5" t="inlineStr">
        <is>
          <t>2019</t>
        </is>
      </c>
      <c r="R197" s="5" t="inlineStr">
        <is>
          <t>2020</t>
        </is>
      </c>
      <c r="S197" s="5" t="inlineStr">
        <is>
          <t>2021</t>
        </is>
      </c>
      <c r="T197" s="5" t="inlineStr">
        <is>
          <t>2022</t>
        </is>
      </c>
      <c r="U197" s="5" t="inlineStr">
        <is>
          <t>2023</t>
        </is>
      </c>
      <c r="V197" s="5" t="inlineStr">
        <is>
          <t>2024</t>
        </is>
      </c>
      <c r="W197" s="5" t="inlineStr">
        <is>
          <t>2025</t>
        </is>
      </c>
      <c r="X197" s="5" t="inlineStr">
        <is>
          <t>2026</t>
        </is>
      </c>
      <c r="Y197" s="5" t="inlineStr">
        <is>
          <t>2027(MW)</t>
        </is>
      </c>
      <c r="Z197" s="5" t="inlineStr">
        <is>
          <t>2028(MW)</t>
        </is>
      </c>
      <c r="AA197" s="5" t="inlineStr">
        <is>
          <t>2029(MW)</t>
        </is>
      </c>
      <c r="AB197" s="5" t="inlineStr">
        <is>
          <t>2030(MW)</t>
        </is>
      </c>
      <c r="AC197" s="5" t="inlineStr">
        <is>
          <t>2031(MW)</t>
        </is>
      </c>
    </row>
    <row r="198">
      <c r="A198" s="9" t="inlineStr">
        <is>
          <t>법인세차감전 순이익</t>
        </is>
      </c>
      <c r="D198" s="12" t="n">
        <v>1402.489</v>
      </c>
      <c r="F198" s="12" t="n">
        <v>-6.576</v>
      </c>
      <c r="H198" s="12" t="n">
        <v>-199.079</v>
      </c>
      <c r="J198" s="12" t="n">
        <v>798</v>
      </c>
      <c r="L198" s="12" t="n">
        <v>3199.601</v>
      </c>
      <c r="N198" s="12" t="n">
        <v>1620</v>
      </c>
      <c r="O198" s="12" t="n">
        <v>239.208</v>
      </c>
      <c r="P198" s="12" t="n">
        <v>986.362</v>
      </c>
      <c r="Q198" s="12" t="n">
        <v>721.9690000000001</v>
      </c>
      <c r="R198" s="12" t="n">
        <v>1588.069</v>
      </c>
      <c r="S198" s="12" t="n">
        <v>2671.743</v>
      </c>
      <c r="T198" s="12" t="n">
        <v>969.9349999999999</v>
      </c>
      <c r="U198" s="12" t="n">
        <v>-770.404</v>
      </c>
      <c r="V198" s="12" t="n">
        <v>1402.489</v>
      </c>
      <c r="W198" s="12" t="n">
        <v>-199.079</v>
      </c>
      <c r="X198" s="12" t="n">
        <v>3199.601</v>
      </c>
    </row>
    <row r="199">
      <c r="A199" s="18" t="inlineStr">
        <is>
          <t>감가상각비</t>
        </is>
      </c>
      <c r="D199" s="20" t="n">
        <v>916.699</v>
      </c>
      <c r="F199" s="20" t="n">
        <v>480.047</v>
      </c>
      <c r="H199" s="20" t="n">
        <v>986.461</v>
      </c>
      <c r="J199" s="20" t="n">
        <v>465</v>
      </c>
      <c r="L199" s="20" t="n">
        <v>931.3049999999999</v>
      </c>
      <c r="N199" s="20" t="n">
        <v>422</v>
      </c>
      <c r="O199" s="20" t="n">
        <v>616.159</v>
      </c>
      <c r="P199" s="20" t="n">
        <v>395.248</v>
      </c>
      <c r="Q199" s="20" t="n">
        <v>333.286</v>
      </c>
      <c r="R199" s="20" t="n">
        <v>429.721</v>
      </c>
      <c r="S199" s="20" t="n">
        <v>464.608</v>
      </c>
      <c r="T199" s="20" t="n">
        <v>713.279</v>
      </c>
      <c r="U199" s="20" t="n">
        <v>899.273</v>
      </c>
      <c r="V199" s="20" t="n">
        <v>916.699</v>
      </c>
      <c r="W199" s="20" t="n">
        <v>986.461</v>
      </c>
      <c r="X199" s="20" t="n">
        <v>931.3049999999999</v>
      </c>
    </row>
    <row r="200">
      <c r="A200" s="18" t="inlineStr">
        <is>
          <t>신주예약권 환입이익</t>
        </is>
      </c>
      <c r="O200" s="20" t="n">
        <v>-13.64</v>
      </c>
      <c r="P200" s="20" t="n">
        <v>0</v>
      </c>
    </row>
    <row r="201">
      <c r="A201" s="18" t="inlineStr">
        <is>
          <t>손상차손</t>
        </is>
      </c>
      <c r="D201" s="20" t="n">
        <v>71.143</v>
      </c>
      <c r="F201" s="20" t="n">
        <v>0</v>
      </c>
      <c r="H201" s="20" t="n">
        <v>201.146</v>
      </c>
      <c r="J201" s="20" t="n">
        <v>74</v>
      </c>
      <c r="L201" s="20" t="n">
        <v>112.664</v>
      </c>
      <c r="N201" s="20" t="n">
        <v>0</v>
      </c>
      <c r="O201" s="20" t="n">
        <v>113.642</v>
      </c>
      <c r="P201" s="20" t="n">
        <v>227.926</v>
      </c>
      <c r="Q201" s="20" t="n">
        <v>374.453</v>
      </c>
      <c r="R201" s="20" t="n">
        <v>0</v>
      </c>
      <c r="T201" s="20" t="n">
        <v>0</v>
      </c>
      <c r="U201" s="20" t="n">
        <v>483.278</v>
      </c>
      <c r="V201" s="20" t="n">
        <v>71.143</v>
      </c>
      <c r="W201" s="20" t="n">
        <v>201.146</v>
      </c>
      <c r="X201" s="20" t="n">
        <v>112.664</v>
      </c>
    </row>
    <row r="202">
      <c r="A202" s="18" t="inlineStr">
        <is>
          <t>특별퇴직금</t>
        </is>
      </c>
      <c r="O202" s="20" t="n">
        <v>39.092</v>
      </c>
      <c r="P202" s="20" t="n">
        <v>0</v>
      </c>
    </row>
    <row r="203">
      <c r="A203" s="18" t="inlineStr">
        <is>
          <t>영업권 상각</t>
        </is>
      </c>
      <c r="D203" s="20" t="n">
        <v>523.1130000000001</v>
      </c>
      <c r="F203" s="20" t="n">
        <v>229.592</v>
      </c>
      <c r="H203" s="20" t="n">
        <v>466.459</v>
      </c>
      <c r="J203" s="20" t="n">
        <v>207</v>
      </c>
      <c r="L203" s="20" t="n">
        <v>370.678</v>
      </c>
      <c r="N203" s="20" t="n">
        <v>138</v>
      </c>
      <c r="P203" s="20" t="n">
        <v>0</v>
      </c>
      <c r="Q203" s="20" t="n">
        <v>64.324</v>
      </c>
      <c r="R203" s="20" t="n">
        <v>212.351</v>
      </c>
      <c r="S203" s="20" t="n">
        <v>312.417</v>
      </c>
      <c r="T203" s="20" t="n">
        <v>604.65</v>
      </c>
      <c r="U203" s="20" t="n">
        <v>728.771</v>
      </c>
      <c r="V203" s="20" t="n">
        <v>523.1130000000001</v>
      </c>
      <c r="W203" s="20" t="n">
        <v>466.459</v>
      </c>
      <c r="X203" s="20" t="n">
        <v>370.678</v>
      </c>
    </row>
    <row r="204">
      <c r="A204" s="18" t="inlineStr">
        <is>
          <t>부의 영업권 발생이익</t>
        </is>
      </c>
      <c r="D204" s="20" t="n">
        <v>0</v>
      </c>
      <c r="T204" s="20" t="n">
        <v>0</v>
      </c>
      <c r="U204" s="20" t="n">
        <v>-116.692</v>
      </c>
      <c r="V204" s="20" t="n">
        <v>0</v>
      </c>
    </row>
    <row r="205">
      <c r="A205" s="18" t="inlineStr">
        <is>
          <t>상여충당금 증감</t>
        </is>
      </c>
      <c r="D205" s="20" t="n">
        <v>11.613</v>
      </c>
      <c r="F205" s="20" t="n">
        <v>-6.39</v>
      </c>
      <c r="H205" s="20" t="n">
        <v>33.932</v>
      </c>
      <c r="J205" s="20" t="n">
        <v>51</v>
      </c>
      <c r="L205" s="20" t="n">
        <v>85.303</v>
      </c>
      <c r="N205" s="20" t="n">
        <v>193</v>
      </c>
      <c r="O205" s="20" t="n">
        <v>107.695</v>
      </c>
      <c r="P205" s="20" t="n">
        <v>69.038</v>
      </c>
      <c r="Q205" s="20" t="n">
        <v>-20.133</v>
      </c>
      <c r="R205" s="20" t="n">
        <v>39.956</v>
      </c>
      <c r="S205" s="20" t="n">
        <v>-81.30500000000001</v>
      </c>
      <c r="T205" s="20" t="n">
        <v>-43.599</v>
      </c>
      <c r="U205" s="20" t="n">
        <v>11.823</v>
      </c>
      <c r="V205" s="20" t="n">
        <v>11.613</v>
      </c>
      <c r="W205" s="20" t="n">
        <v>33.932</v>
      </c>
      <c r="X205" s="20" t="n">
        <v>85.303</v>
      </c>
    </row>
    <row r="206">
      <c r="A206" s="18" t="inlineStr">
        <is>
          <t>퇴직급여부채 증감</t>
        </is>
      </c>
      <c r="D206" s="20" t="n">
        <v>-44.103</v>
      </c>
      <c r="F206" s="20" t="n">
        <v>-0.679</v>
      </c>
      <c r="H206" s="20" t="n">
        <v>-6.225</v>
      </c>
      <c r="J206" s="20" t="n">
        <v>-4</v>
      </c>
      <c r="L206" s="20" t="n">
        <v>-2.074</v>
      </c>
      <c r="N206" s="20" t="n">
        <v>-4</v>
      </c>
      <c r="O206" s="20" t="n">
        <v>-255.222</v>
      </c>
      <c r="P206" s="20" t="n">
        <v>-168.213</v>
      </c>
      <c r="Q206" s="20" t="n">
        <v>-121.404</v>
      </c>
      <c r="R206" s="20" t="n">
        <v>-105.508</v>
      </c>
      <c r="S206" s="20" t="n">
        <v>-88.2</v>
      </c>
      <c r="T206" s="20" t="n">
        <v>-212.614</v>
      </c>
      <c r="U206" s="20" t="n">
        <v>-84.126</v>
      </c>
      <c r="V206" s="20" t="n">
        <v>-44.103</v>
      </c>
      <c r="W206" s="20" t="n">
        <v>-6.225</v>
      </c>
      <c r="X206" s="20" t="n">
        <v>-2.074</v>
      </c>
    </row>
    <row r="207">
      <c r="A207" s="18" t="inlineStr">
        <is>
          <t>대손충당금 증감</t>
        </is>
      </c>
      <c r="D207" s="20" t="n">
        <v>-15.894</v>
      </c>
      <c r="F207" s="20" t="n">
        <v>-11.554</v>
      </c>
      <c r="H207" s="20" t="n">
        <v>65.053</v>
      </c>
      <c r="J207" s="20" t="n">
        <v>-18</v>
      </c>
      <c r="L207" s="20" t="n">
        <v>-79.911</v>
      </c>
      <c r="N207" s="20" t="n">
        <v>-10</v>
      </c>
      <c r="O207" s="20" t="n">
        <v>25.135</v>
      </c>
      <c r="P207" s="20" t="n">
        <v>5.295</v>
      </c>
      <c r="Q207" s="20" t="n">
        <v>28.511</v>
      </c>
      <c r="R207" s="20" t="n">
        <v>-9.696</v>
      </c>
      <c r="S207" s="20" t="n">
        <v>-84.983</v>
      </c>
      <c r="T207" s="20" t="n">
        <v>48.405</v>
      </c>
      <c r="U207" s="20" t="n">
        <v>17.902</v>
      </c>
      <c r="V207" s="20" t="n">
        <v>-15.894</v>
      </c>
      <c r="W207" s="20" t="n">
        <v>65.053</v>
      </c>
      <c r="X207" s="20" t="n">
        <v>-79.911</v>
      </c>
    </row>
    <row r="208">
      <c r="A208" s="18" t="inlineStr">
        <is>
          <t>이자·배당금 수익</t>
        </is>
      </c>
      <c r="D208" s="20" t="n">
        <v>-31.554</v>
      </c>
      <c r="F208" s="20" t="n">
        <v>-16.326</v>
      </c>
      <c r="H208" s="20" t="n">
        <v>-22.733</v>
      </c>
      <c r="J208" s="20" t="n">
        <v>-64</v>
      </c>
      <c r="L208" s="20" t="n">
        <v>-45.454</v>
      </c>
      <c r="N208" s="20" t="n">
        <v>-36</v>
      </c>
      <c r="O208" s="20" t="n">
        <v>-8.013999999999999</v>
      </c>
      <c r="P208" s="20" t="n">
        <v>-6.568</v>
      </c>
      <c r="Q208" s="20" t="n">
        <v>-9.568</v>
      </c>
      <c r="R208" s="20" t="n">
        <v>-4.783</v>
      </c>
      <c r="S208" s="20" t="n">
        <v>-24.706</v>
      </c>
      <c r="T208" s="20" t="n">
        <v>-40.32</v>
      </c>
      <c r="U208" s="20" t="n">
        <v>-67.672</v>
      </c>
      <c r="V208" s="20" t="n">
        <v>-31.554</v>
      </c>
      <c r="W208" s="20" t="n">
        <v>-22.733</v>
      </c>
      <c r="X208" s="20" t="n">
        <v>-45.454</v>
      </c>
    </row>
    <row r="209">
      <c r="A209" s="18" t="inlineStr">
        <is>
          <t>보조금 수입</t>
        </is>
      </c>
      <c r="D209" s="20" t="n">
        <v>-17.737</v>
      </c>
      <c r="F209" s="20" t="n">
        <v>-7.352</v>
      </c>
      <c r="H209" s="20" t="n">
        <v>-18.951</v>
      </c>
      <c r="J209" s="20" t="n">
        <v>-8</v>
      </c>
      <c r="L209" s="20" t="n">
        <v>-16.274</v>
      </c>
      <c r="N209" s="20" t="n">
        <v>-9</v>
      </c>
      <c r="R209" s="20" t="n">
        <v>0</v>
      </c>
      <c r="S209" s="20" t="n">
        <v>-33.243</v>
      </c>
      <c r="T209" s="20" t="n">
        <v>-59.737</v>
      </c>
      <c r="U209" s="20" t="n">
        <v>-39.982</v>
      </c>
      <c r="V209" s="20" t="n">
        <v>-17.737</v>
      </c>
      <c r="W209" s="20" t="n">
        <v>-18.951</v>
      </c>
      <c r="X209" s="20" t="n">
        <v>-16.274</v>
      </c>
    </row>
    <row r="210">
      <c r="A210" s="18" t="inlineStr">
        <is>
          <t>이전 보상금</t>
        </is>
      </c>
      <c r="R210" s="20" t="n">
        <v>0</v>
      </c>
      <c r="S210" s="20" t="n">
        <v>-89.19499999999999</v>
      </c>
      <c r="T210" s="20" t="n">
        <v>0</v>
      </c>
    </row>
    <row r="211">
      <c r="A211" s="18" t="inlineStr">
        <is>
          <t>보험금 수익</t>
        </is>
      </c>
      <c r="D211" s="20" t="n">
        <v>-81.75700000000001</v>
      </c>
      <c r="F211" s="20" t="n">
        <v>-32.561</v>
      </c>
      <c r="H211" s="20" t="n">
        <v>-84.402</v>
      </c>
      <c r="J211" s="20" t="n">
        <v>-54</v>
      </c>
      <c r="L211" s="20" t="n">
        <v>-89.21899999999999</v>
      </c>
      <c r="N211" s="20" t="n">
        <v>-28</v>
      </c>
      <c r="U211" s="20" t="n">
        <v>-16.765</v>
      </c>
      <c r="V211" s="20" t="n">
        <v>-81.75700000000001</v>
      </c>
      <c r="W211" s="20" t="n">
        <v>-84.402</v>
      </c>
      <c r="X211" s="20" t="n">
        <v>-89.21899999999999</v>
      </c>
    </row>
    <row r="212">
      <c r="A212" s="18" t="inlineStr">
        <is>
          <t>관계회사 청산손익</t>
        </is>
      </c>
      <c r="D212" s="20" t="n">
        <v>-40.107</v>
      </c>
      <c r="F212" s="20" t="n">
        <v>0</v>
      </c>
      <c r="H212" s="20" t="n">
        <v>0</v>
      </c>
      <c r="J212" s="20" t="n">
        <v>60</v>
      </c>
      <c r="L212" s="20" t="n">
        <v>16.652</v>
      </c>
      <c r="N212" s="20" t="n">
        <v>0</v>
      </c>
      <c r="T212" s="20" t="n">
        <v>0</v>
      </c>
      <c r="U212" s="20" t="n">
        <v>-7.874</v>
      </c>
      <c r="V212" s="20" t="n">
        <v>-40.107</v>
      </c>
      <c r="W212" s="20" t="n">
        <v>0</v>
      </c>
      <c r="X212" s="20" t="n">
        <v>16.652</v>
      </c>
    </row>
    <row r="213">
      <c r="A213" s="18" t="inlineStr">
        <is>
          <t>이자비용</t>
        </is>
      </c>
      <c r="D213" s="20" t="n">
        <v>106.47</v>
      </c>
      <c r="F213" s="20" t="n">
        <v>68.47</v>
      </c>
      <c r="H213" s="20" t="n">
        <v>161.513</v>
      </c>
      <c r="J213" s="20" t="n">
        <v>110</v>
      </c>
      <c r="L213" s="20" t="n">
        <v>201.41</v>
      </c>
      <c r="N213" s="20" t="n">
        <v>122</v>
      </c>
      <c r="O213" s="20" t="n">
        <v>56.05</v>
      </c>
      <c r="P213" s="20" t="n">
        <v>45.357</v>
      </c>
      <c r="Q213" s="20" t="n">
        <v>42.302</v>
      </c>
      <c r="R213" s="20" t="n">
        <v>40.777</v>
      </c>
      <c r="S213" s="20" t="n">
        <v>50.25</v>
      </c>
      <c r="T213" s="20" t="n">
        <v>85.545</v>
      </c>
      <c r="U213" s="20" t="n">
        <v>76.23099999999999</v>
      </c>
      <c r="V213" s="20" t="n">
        <v>106.47</v>
      </c>
      <c r="W213" s="20" t="n">
        <v>161.513</v>
      </c>
      <c r="X213" s="20" t="n">
        <v>201.41</v>
      </c>
    </row>
    <row r="214">
      <c r="A214" s="18" t="inlineStr">
        <is>
          <t>외환차손익</t>
        </is>
      </c>
      <c r="D214" s="20" t="n">
        <v>-304.442</v>
      </c>
      <c r="F214" s="20" t="n">
        <v>174.374</v>
      </c>
      <c r="H214" s="20" t="n">
        <v>39.096</v>
      </c>
      <c r="J214" s="20" t="n">
        <v>19</v>
      </c>
      <c r="L214" s="20" t="n">
        <v>-262.578</v>
      </c>
      <c r="N214" s="20" t="n">
        <v>60</v>
      </c>
      <c r="U214" s="20" t="n">
        <v>-60.286</v>
      </c>
      <c r="V214" s="20" t="n">
        <v>-304.442</v>
      </c>
      <c r="W214" s="20" t="n">
        <v>39.096</v>
      </c>
      <c r="X214" s="20" t="n">
        <v>-262.578</v>
      </c>
    </row>
    <row r="215">
      <c r="A215" s="18" t="inlineStr">
        <is>
          <t>신디케이트론 수수료</t>
        </is>
      </c>
      <c r="D215" s="20" t="n">
        <v>1</v>
      </c>
      <c r="H215" s="20" t="n">
        <v>1</v>
      </c>
      <c r="R215" s="20" t="n">
        <v>0</v>
      </c>
      <c r="S215" s="20" t="n">
        <v>37</v>
      </c>
      <c r="T215" s="20" t="n">
        <v>1</v>
      </c>
      <c r="U215" s="20" t="n">
        <v>1</v>
      </c>
      <c r="V215" s="20" t="n">
        <v>1</v>
      </c>
      <c r="W215" s="20" t="n">
        <v>1</v>
      </c>
    </row>
    <row r="216">
      <c r="A216" s="18" t="inlineStr">
        <is>
          <t>지급수수료</t>
        </is>
      </c>
      <c r="D216" s="20" t="n">
        <v>5.25</v>
      </c>
      <c r="H216" s="20" t="n">
        <v>0</v>
      </c>
      <c r="U216" s="20" t="n">
        <v>0</v>
      </c>
      <c r="V216" s="20" t="n">
        <v>5.25</v>
      </c>
      <c r="W216" s="20" t="n">
        <v>0</v>
      </c>
    </row>
    <row r="217">
      <c r="A217" s="18" t="inlineStr">
        <is>
          <t>투자유가증권 매각손익</t>
        </is>
      </c>
      <c r="D217" s="20" t="n">
        <v>0</v>
      </c>
      <c r="H217" s="20" t="n">
        <v>-0.706</v>
      </c>
      <c r="O217" s="20" t="n">
        <v>-0.396</v>
      </c>
      <c r="P217" s="20" t="n">
        <v>-77.80500000000001</v>
      </c>
      <c r="Q217" s="20" t="n">
        <v>-0.177</v>
      </c>
      <c r="R217" s="20" t="n">
        <v>-0.05</v>
      </c>
      <c r="S217" s="20" t="n">
        <v>-0.026</v>
      </c>
      <c r="T217" s="20" t="n">
        <v>-5.587</v>
      </c>
      <c r="U217" s="20" t="n">
        <v>-29.792</v>
      </c>
      <c r="V217" s="20" t="n">
        <v>0</v>
      </c>
      <c r="W217" s="20" t="n">
        <v>-0.706</v>
      </c>
    </row>
    <row r="218">
      <c r="A218" s="18" t="inlineStr">
        <is>
          <t>투자유가증권 평가손익</t>
        </is>
      </c>
      <c r="P218" s="20" t="n">
        <v>0</v>
      </c>
      <c r="Q218" s="20" t="n">
        <v>4.662</v>
      </c>
      <c r="R218" s="20" t="n">
        <v>0</v>
      </c>
    </row>
    <row r="219">
      <c r="A219" s="18" t="inlineStr">
        <is>
          <t>고정자산 제각손실</t>
        </is>
      </c>
      <c r="D219" s="20" t="n">
        <v>11.481</v>
      </c>
      <c r="F219" s="20" t="n">
        <v>1.124</v>
      </c>
      <c r="H219" s="20" t="n">
        <v>4.661</v>
      </c>
      <c r="J219" s="20" t="n">
        <v>10.346</v>
      </c>
      <c r="O219" s="20" t="n">
        <v>0.949</v>
      </c>
      <c r="P219" s="20" t="n">
        <v>12.19</v>
      </c>
      <c r="Q219" s="20" t="n">
        <v>5.002</v>
      </c>
      <c r="R219" s="20" t="n">
        <v>10.215</v>
      </c>
      <c r="S219" s="20" t="n">
        <v>6.81</v>
      </c>
      <c r="T219" s="20" t="n">
        <v>9.464</v>
      </c>
      <c r="U219" s="20" t="n">
        <v>14.667</v>
      </c>
      <c r="V219" s="20" t="n">
        <v>11.481</v>
      </c>
      <c r="W219" s="20" t="n">
        <v>4.661</v>
      </c>
    </row>
    <row r="220">
      <c r="A220" s="18" t="inlineStr">
        <is>
          <t>고정자산 매각손익</t>
        </is>
      </c>
      <c r="D220" s="20" t="n">
        <v>-1.543</v>
      </c>
      <c r="F220" s="20" t="n">
        <v>-2.418</v>
      </c>
      <c r="H220" s="20" t="n">
        <v>-23.13</v>
      </c>
      <c r="O220" s="20" t="n">
        <v>-9.848000000000001</v>
      </c>
      <c r="P220" s="20" t="n">
        <v>-3.005</v>
      </c>
      <c r="Q220" s="20" t="n">
        <v>-0.704</v>
      </c>
      <c r="R220" s="20" t="n">
        <v>-217.248</v>
      </c>
      <c r="S220" s="20" t="n">
        <v>-59.189</v>
      </c>
      <c r="T220" s="20" t="n">
        <v>-5.537</v>
      </c>
      <c r="U220" s="20" t="n">
        <v>-7.67</v>
      </c>
      <c r="V220" s="20" t="n">
        <v>-1.543</v>
      </c>
      <c r="W220" s="20" t="n">
        <v>-23.13</v>
      </c>
    </row>
    <row r="221">
      <c r="A221" s="18" t="inlineStr">
        <is>
          <t>관계회사 주식 매각손익</t>
        </is>
      </c>
      <c r="O221" s="20" t="n">
        <v>0</v>
      </c>
      <c r="P221" s="20" t="n">
        <v>3.744</v>
      </c>
      <c r="Q221" s="20" t="n">
        <v>0</v>
      </c>
    </row>
    <row r="222">
      <c r="A222" s="18" t="inlineStr">
        <is>
          <t>환산조정 환입이익</t>
        </is>
      </c>
      <c r="O222" s="20" t="n">
        <v>0</v>
      </c>
      <c r="P222" s="20" t="n">
        <v>-52.267</v>
      </c>
    </row>
    <row r="223">
      <c r="A223" s="18" t="inlineStr">
        <is>
          <t>환산조정 환입이익</t>
        </is>
      </c>
      <c r="P223" s="20" t="n">
        <v>-52.267</v>
      </c>
      <c r="Q223" s="20" t="n">
        <v>0</v>
      </c>
    </row>
    <row r="224">
      <c r="A224" s="18" t="inlineStr">
        <is>
          <t>매출채권 증감</t>
        </is>
      </c>
      <c r="D224" s="20" t="n">
        <v>1801.491</v>
      </c>
      <c r="F224" s="20" t="n">
        <v>1481.193</v>
      </c>
      <c r="H224" s="20" t="n">
        <v>-1414.858</v>
      </c>
      <c r="J224" s="20" t="n">
        <v>3095.574</v>
      </c>
      <c r="O224" s="20" t="n">
        <v>-204.593</v>
      </c>
      <c r="P224" s="20" t="n">
        <v>-115.025</v>
      </c>
      <c r="Q224" s="20" t="n">
        <v>-542.942</v>
      </c>
      <c r="R224" s="20" t="n">
        <v>853.122</v>
      </c>
      <c r="S224" s="20" t="n">
        <v>-2267.814</v>
      </c>
      <c r="T224" s="20" t="n">
        <v>1372.689</v>
      </c>
      <c r="U224" s="20" t="n">
        <v>-3457.694</v>
      </c>
      <c r="V224" s="20" t="n">
        <v>1801.491</v>
      </c>
      <c r="W224" s="20" t="n">
        <v>-1414.858</v>
      </c>
    </row>
    <row r="225">
      <c r="A225" s="18" t="inlineStr">
        <is>
          <t>지분법손익</t>
        </is>
      </c>
      <c r="H225" s="20" t="n">
        <v>0</v>
      </c>
      <c r="L225" s="20" t="n">
        <v>-17.378</v>
      </c>
      <c r="O225" s="20" t="n">
        <v>-2.554</v>
      </c>
      <c r="P225" s="20" t="n">
        <v>-7.736</v>
      </c>
      <c r="Q225" s="20" t="n">
        <v>13.489</v>
      </c>
      <c r="R225" s="20" t="n">
        <v>-17.768</v>
      </c>
      <c r="S225" s="20" t="n">
        <v>-29.133</v>
      </c>
      <c r="T225" s="20" t="n">
        <v>3.896</v>
      </c>
      <c r="U225" s="20" t="n">
        <v>0</v>
      </c>
      <c r="W225" s="20" t="n">
        <v>0</v>
      </c>
      <c r="X225" s="20" t="n">
        <v>-17.378</v>
      </c>
    </row>
    <row r="226">
      <c r="A226" s="18" t="inlineStr">
        <is>
          <t>소프트웨어 평가손</t>
        </is>
      </c>
      <c r="D226" s="20" t="n">
        <v>0</v>
      </c>
      <c r="H226" s="20" t="n">
        <v>423.167</v>
      </c>
      <c r="L226" s="20" t="n">
        <v>0</v>
      </c>
      <c r="V226" s="20" t="n">
        <v>0</v>
      </c>
      <c r="W226" s="20" t="n">
        <v>423.167</v>
      </c>
      <c r="X226" s="20" t="n">
        <v>0</v>
      </c>
    </row>
    <row r="227">
      <c r="A227" s="18" t="inlineStr">
        <is>
          <t>관계회사 주식 평가손실</t>
        </is>
      </c>
      <c r="D227" s="20" t="n">
        <v>43</v>
      </c>
      <c r="H227" s="20" t="n">
        <v>32.212</v>
      </c>
      <c r="L227" s="20" t="n">
        <v>56.515</v>
      </c>
      <c r="U227" s="20" t="n">
        <v>0</v>
      </c>
      <c r="V227" s="20" t="n">
        <v>43</v>
      </c>
      <c r="W227" s="20" t="n">
        <v>32.212</v>
      </c>
      <c r="X227" s="20" t="n">
        <v>56.515</v>
      </c>
    </row>
    <row r="228">
      <c r="A228" s="18" t="inlineStr">
        <is>
          <t>매출채권·계약자산 증감</t>
        </is>
      </c>
      <c r="H228" s="20" t="n">
        <v>-1395.088</v>
      </c>
      <c r="J228" s="20" t="n">
        <v>3511</v>
      </c>
      <c r="L228" s="20" t="n">
        <v>-427.482</v>
      </c>
      <c r="N228" s="20" t="n">
        <v>-1880</v>
      </c>
      <c r="W228" s="20" t="n">
        <v>-1395.088</v>
      </c>
      <c r="X228" s="20" t="n">
        <v>-427.482</v>
      </c>
    </row>
    <row r="229">
      <c r="A229" s="18" t="inlineStr">
        <is>
          <t>재고자산 증감</t>
        </is>
      </c>
      <c r="D229" s="20" t="n">
        <v>1677.721</v>
      </c>
      <c r="F229" s="20" t="n">
        <v>-794.066</v>
      </c>
      <c r="H229" s="20" t="n">
        <v>1240.502</v>
      </c>
      <c r="J229" s="20" t="n">
        <v>-828</v>
      </c>
      <c r="L229" s="20" t="n">
        <v>523.587</v>
      </c>
      <c r="N229" s="20" t="n">
        <v>-949</v>
      </c>
      <c r="O229" s="20" t="n">
        <v>1245.46</v>
      </c>
      <c r="P229" s="20" t="n">
        <v>306.483</v>
      </c>
      <c r="Q229" s="20" t="n">
        <v>65.565</v>
      </c>
      <c r="R229" s="20" t="n">
        <v>-159.903</v>
      </c>
      <c r="S229" s="20" t="n">
        <v>707.111</v>
      </c>
      <c r="T229" s="20" t="n">
        <v>-1983.62</v>
      </c>
      <c r="U229" s="20" t="n">
        <v>-2204.626</v>
      </c>
      <c r="V229" s="20" t="n">
        <v>1677.721</v>
      </c>
      <c r="W229" s="20" t="n">
        <v>1240.502</v>
      </c>
      <c r="X229" s="20" t="n">
        <v>523.587</v>
      </c>
    </row>
    <row r="230">
      <c r="A230" s="18" t="inlineStr">
        <is>
          <t>선급비용 증감</t>
        </is>
      </c>
      <c r="D230" s="20" t="n">
        <v>-322.918</v>
      </c>
      <c r="F230" s="20" t="n">
        <v>94.239</v>
      </c>
      <c r="H230" s="20" t="n">
        <v>-96.199</v>
      </c>
      <c r="U230" s="20" t="n">
        <v>-1.294</v>
      </c>
      <c r="V230" s="20" t="n">
        <v>-322.918</v>
      </c>
      <c r="W230" s="20" t="n">
        <v>-96.199</v>
      </c>
    </row>
    <row r="231">
      <c r="A231" s="18" t="inlineStr">
        <is>
          <t>매입채무 증감</t>
        </is>
      </c>
      <c r="D231" s="20" t="n">
        <v>-3420.637</v>
      </c>
      <c r="F231" s="20" t="n">
        <v>-355.515</v>
      </c>
      <c r="H231" s="20" t="n">
        <v>-207.915</v>
      </c>
      <c r="J231" s="20" t="n">
        <v>-1561</v>
      </c>
      <c r="L231" s="20" t="n">
        <v>415.427</v>
      </c>
      <c r="N231" s="20" t="n">
        <v>-328</v>
      </c>
      <c r="O231" s="20" t="n">
        <v>89.316</v>
      </c>
      <c r="P231" s="20" t="n">
        <v>42.048</v>
      </c>
      <c r="Q231" s="20" t="n">
        <v>23.763</v>
      </c>
      <c r="R231" s="20" t="n">
        <v>-403.814</v>
      </c>
      <c r="S231" s="20" t="n">
        <v>616.023</v>
      </c>
      <c r="T231" s="20" t="n">
        <v>-88.355</v>
      </c>
      <c r="U231" s="20" t="n">
        <v>3458.653</v>
      </c>
      <c r="V231" s="20" t="n">
        <v>-3420.637</v>
      </c>
      <c r="W231" s="20" t="n">
        <v>-207.915</v>
      </c>
      <c r="X231" s="20" t="n">
        <v>415.427</v>
      </c>
    </row>
    <row r="232">
      <c r="A232" s="18" t="inlineStr">
        <is>
          <t>미지급금 증감</t>
        </is>
      </c>
      <c r="D232" s="20" t="n">
        <v>-12.373</v>
      </c>
      <c r="F232" s="20" t="n">
        <v>-347.257</v>
      </c>
      <c r="H232" s="20" t="n">
        <v>-271.583</v>
      </c>
      <c r="V232" s="20" t="n">
        <v>-12.373</v>
      </c>
      <c r="W232" s="20" t="n">
        <v>-271.583</v>
      </c>
    </row>
    <row r="233">
      <c r="A233" s="18" t="inlineStr">
        <is>
          <t>미지급 소비세 증감</t>
        </is>
      </c>
      <c r="F233" s="20" t="n">
        <v>-196.517</v>
      </c>
    </row>
    <row r="234">
      <c r="A234" s="18" t="inlineStr">
        <is>
          <t>선수수익 증감</t>
        </is>
      </c>
      <c r="D234" s="20" t="n">
        <v>-97.41</v>
      </c>
      <c r="H234" s="20" t="n">
        <v>60.645</v>
      </c>
      <c r="U234" s="20" t="n">
        <v>-108.9</v>
      </c>
      <c r="V234" s="20" t="n">
        <v>-97.41</v>
      </c>
      <c r="W234" s="20" t="n">
        <v>60.645</v>
      </c>
    </row>
    <row r="235">
      <c r="A235" s="18" t="inlineStr">
        <is>
          <t>장기미지급금 증감</t>
        </is>
      </c>
      <c r="D235" s="20" t="n">
        <v>-68.372</v>
      </c>
      <c r="H235" s="20" t="n">
        <v>-19.843</v>
      </c>
      <c r="U235" s="20" t="n">
        <v>-71.893</v>
      </c>
      <c r="V235" s="20" t="n">
        <v>-68.372</v>
      </c>
      <c r="W235" s="20" t="n">
        <v>-19.843</v>
      </c>
    </row>
    <row r="236">
      <c r="A236" s="18" t="inlineStr">
        <is>
          <t>기타</t>
        </is>
      </c>
      <c r="D236" s="20" t="n">
        <v>-240.627</v>
      </c>
      <c r="F236" s="20" t="n">
        <v>-72.182</v>
      </c>
      <c r="H236" s="20" t="n">
        <v>-309.955</v>
      </c>
      <c r="J236" s="20" t="n">
        <v>212</v>
      </c>
      <c r="L236" s="20" t="n">
        <v>-491.47</v>
      </c>
      <c r="N236" s="20" t="n">
        <v>345</v>
      </c>
      <c r="O236" s="20" t="n">
        <v>-64.251</v>
      </c>
      <c r="P236" s="20" t="n">
        <v>296.508</v>
      </c>
      <c r="Q236" s="20" t="n">
        <v>-298.116</v>
      </c>
      <c r="R236" s="20" t="n">
        <v>60.789</v>
      </c>
      <c r="S236" s="20" t="n">
        <v>-287.73</v>
      </c>
      <c r="T236" s="20" t="n">
        <v>115.084</v>
      </c>
      <c r="U236" s="20" t="n">
        <v>359.882</v>
      </c>
      <c r="V236" s="20" t="n">
        <v>-240.627</v>
      </c>
      <c r="W236" s="20" t="n">
        <v>-309.955</v>
      </c>
      <c r="X236" s="20" t="n">
        <v>-491.47</v>
      </c>
    </row>
    <row r="237">
      <c r="A237" s="18" t="inlineStr">
        <is>
          <t>소계</t>
        </is>
      </c>
      <c r="D237" s="20" t="n">
        <v>1871.993</v>
      </c>
      <c r="F237" s="20" t="n">
        <v>1131.595</v>
      </c>
      <c r="H237" s="20" t="n">
        <v>1405.194</v>
      </c>
      <c r="J237" s="20" t="n">
        <v>2972</v>
      </c>
      <c r="L237" s="20" t="n">
        <v>4481.304</v>
      </c>
      <c r="N237" s="20" t="n">
        <v>-343</v>
      </c>
      <c r="O237" s="20" t="n">
        <v>1974.191</v>
      </c>
      <c r="P237" s="20" t="n">
        <v>1959.581</v>
      </c>
      <c r="Q237" s="20" t="n">
        <v>684.285</v>
      </c>
      <c r="R237" s="20" t="n">
        <v>2316.23</v>
      </c>
      <c r="S237" s="20" t="n">
        <v>1820.435</v>
      </c>
      <c r="T237" s="20" t="n">
        <v>1484.577</v>
      </c>
      <c r="U237" s="20" t="n">
        <v>-994.191</v>
      </c>
      <c r="V237" s="20" t="n">
        <v>1871.993</v>
      </c>
      <c r="W237" s="20" t="n">
        <v>1405.194</v>
      </c>
      <c r="X237" s="20" t="n">
        <v>4481.304</v>
      </c>
    </row>
    <row r="238">
      <c r="A238" s="18" t="inlineStr">
        <is>
          <t>이자·배당금 수취</t>
        </is>
      </c>
      <c r="D238" s="20" t="n">
        <v>5.647</v>
      </c>
      <c r="F238" s="20" t="n">
        <v>33.997</v>
      </c>
      <c r="H238" s="20" t="n">
        <v>35.402</v>
      </c>
      <c r="J238" s="20" t="n">
        <v>61</v>
      </c>
      <c r="L238" s="20" t="n">
        <v>40.323</v>
      </c>
      <c r="N238" s="20" t="n">
        <v>53</v>
      </c>
      <c r="O238" s="20" t="n">
        <v>8.013999999999999</v>
      </c>
      <c r="P238" s="20" t="n">
        <v>6.568</v>
      </c>
      <c r="Q238" s="20" t="n">
        <v>9.568</v>
      </c>
      <c r="R238" s="20" t="n">
        <v>4.783</v>
      </c>
      <c r="S238" s="20" t="n">
        <v>24.568</v>
      </c>
      <c r="T238" s="20" t="n">
        <v>39.902</v>
      </c>
      <c r="U238" s="20" t="n">
        <v>66.047</v>
      </c>
      <c r="V238" s="20" t="n">
        <v>5.647</v>
      </c>
      <c r="W238" s="20" t="n">
        <v>35.402</v>
      </c>
      <c r="X238" s="20" t="n">
        <v>40.323</v>
      </c>
    </row>
    <row r="239">
      <c r="A239" s="18" t="inlineStr">
        <is>
          <t>보조금 수취</t>
        </is>
      </c>
      <c r="D239" s="20" t="n">
        <v>17.737</v>
      </c>
      <c r="F239" s="20" t="n">
        <v>7.352</v>
      </c>
      <c r="H239" s="20" t="n">
        <v>18.951</v>
      </c>
      <c r="J239" s="20" t="n">
        <v>8</v>
      </c>
      <c r="L239" s="20" t="n">
        <v>16.274</v>
      </c>
      <c r="N239" s="20" t="n">
        <v>9</v>
      </c>
      <c r="R239" s="20" t="n">
        <v>0</v>
      </c>
      <c r="S239" s="20" t="n">
        <v>33.243</v>
      </c>
      <c r="T239" s="20" t="n">
        <v>59.737</v>
      </c>
      <c r="U239" s="20" t="n">
        <v>39.982</v>
      </c>
      <c r="V239" s="20" t="n">
        <v>17.737</v>
      </c>
      <c r="W239" s="20" t="n">
        <v>18.951</v>
      </c>
      <c r="X239" s="20" t="n">
        <v>16.274</v>
      </c>
    </row>
    <row r="240">
      <c r="A240" s="18" t="inlineStr">
        <is>
          <t>이전 보상금 수취</t>
        </is>
      </c>
      <c r="R240" s="20" t="n">
        <v>0</v>
      </c>
      <c r="S240" s="20" t="n">
        <v>89.19499999999999</v>
      </c>
      <c r="T240" s="20" t="n">
        <v>0</v>
      </c>
    </row>
    <row r="241">
      <c r="A241" s="18" t="inlineStr">
        <is>
          <t>보험금 수취</t>
        </is>
      </c>
      <c r="D241" s="20" t="n">
        <v>81.75700000000001</v>
      </c>
      <c r="F241" s="20" t="n">
        <v>32.561</v>
      </c>
      <c r="H241" s="20" t="n">
        <v>84.402</v>
      </c>
      <c r="J241" s="20" t="n">
        <v>54</v>
      </c>
      <c r="L241" s="20" t="n">
        <v>89.21899999999999</v>
      </c>
      <c r="N241" s="20" t="n">
        <v>28</v>
      </c>
      <c r="U241" s="20" t="n">
        <v>16.765</v>
      </c>
      <c r="V241" s="20" t="n">
        <v>81.75700000000001</v>
      </c>
      <c r="W241" s="20" t="n">
        <v>84.402</v>
      </c>
      <c r="X241" s="20" t="n">
        <v>89.21899999999999</v>
      </c>
    </row>
    <row r="242">
      <c r="A242" s="18" t="inlineStr">
        <is>
          <t>이자 지급</t>
        </is>
      </c>
      <c r="D242" s="20" t="n">
        <v>-104.217</v>
      </c>
      <c r="F242" s="20" t="n">
        <v>-67.276</v>
      </c>
      <c r="H242" s="20" t="n">
        <v>-161.929</v>
      </c>
      <c r="J242" s="20" t="n">
        <v>-112</v>
      </c>
      <c r="L242" s="20" t="n">
        <v>-205.024</v>
      </c>
      <c r="N242" s="20" t="n">
        <v>-131</v>
      </c>
      <c r="O242" s="20" t="n">
        <v>-55.066</v>
      </c>
      <c r="P242" s="20" t="n">
        <v>-44.619</v>
      </c>
      <c r="Q242" s="20" t="n">
        <v>-42.089</v>
      </c>
      <c r="R242" s="20" t="n">
        <v>-41.567</v>
      </c>
      <c r="S242" s="20" t="n">
        <v>-50.834</v>
      </c>
      <c r="T242" s="20" t="n">
        <v>-90.03100000000001</v>
      </c>
      <c r="U242" s="20" t="n">
        <v>-80.663</v>
      </c>
      <c r="V242" s="20" t="n">
        <v>-104.217</v>
      </c>
      <c r="W242" s="20" t="n">
        <v>-161.929</v>
      </c>
      <c r="X242" s="20" t="n">
        <v>-205.024</v>
      </c>
    </row>
    <row r="243">
      <c r="A243" s="18" t="inlineStr">
        <is>
          <t>법인세 납부</t>
        </is>
      </c>
      <c r="D243" s="20" t="n">
        <v>-551.371</v>
      </c>
      <c r="F243" s="20" t="n">
        <v>-273.157</v>
      </c>
      <c r="H243" s="20" t="n">
        <v>-549.679</v>
      </c>
      <c r="J243" s="20" t="n">
        <v>-229</v>
      </c>
      <c r="L243" s="20" t="n">
        <v>-447.97</v>
      </c>
      <c r="N243" s="20" t="n">
        <v>-635</v>
      </c>
      <c r="O243" s="20" t="n">
        <v>-142.467</v>
      </c>
      <c r="P243" s="20" t="n">
        <v>-269.274</v>
      </c>
      <c r="Q243" s="20" t="n">
        <v>-219.976</v>
      </c>
      <c r="R243" s="20" t="n">
        <v>-373.139</v>
      </c>
      <c r="S243" s="20" t="n">
        <v>-450.08</v>
      </c>
      <c r="T243" s="20" t="n">
        <v>-660.785</v>
      </c>
      <c r="U243" s="20" t="n">
        <v>-382.61</v>
      </c>
      <c r="V243" s="20" t="n">
        <v>-551.371</v>
      </c>
      <c r="W243" s="20" t="n">
        <v>-549.679</v>
      </c>
      <c r="X243" s="20" t="n">
        <v>-447.97</v>
      </c>
    </row>
    <row r="244">
      <c r="A244" s="18" t="inlineStr">
        <is>
          <t>법인세 환급</t>
        </is>
      </c>
      <c r="D244" s="20" t="n">
        <v>47.442</v>
      </c>
      <c r="F244" s="20" t="n">
        <v>17.557</v>
      </c>
      <c r="H244" s="20" t="n">
        <v>17.824</v>
      </c>
      <c r="J244" s="20" t="n">
        <v>37</v>
      </c>
      <c r="L244" s="20" t="n">
        <v>38.164</v>
      </c>
      <c r="N244" s="20" t="n">
        <v>31</v>
      </c>
      <c r="O244" s="20" t="n">
        <v>81.14100000000001</v>
      </c>
      <c r="P244" s="20" t="n">
        <v>168.025</v>
      </c>
      <c r="Q244" s="20" t="n">
        <v>33.316</v>
      </c>
      <c r="R244" s="20" t="n">
        <v>144.081</v>
      </c>
      <c r="S244" s="20" t="n">
        <v>187.533</v>
      </c>
      <c r="T244" s="20" t="n">
        <v>196.411</v>
      </c>
      <c r="U244" s="20" t="n">
        <v>63.356</v>
      </c>
      <c r="V244" s="20" t="n">
        <v>47.442</v>
      </c>
      <c r="W244" s="20" t="n">
        <v>17.824</v>
      </c>
      <c r="X244" s="20" t="n">
        <v>38.164</v>
      </c>
    </row>
    <row r="245">
      <c r="A245" s="18" t="inlineStr">
        <is>
          <t>특별퇴직금 지급액</t>
        </is>
      </c>
      <c r="O245" s="20" t="n">
        <v>-39.092</v>
      </c>
      <c r="P245" s="20" t="n">
        <v>0</v>
      </c>
    </row>
    <row r="246">
      <c r="A246" s="9" t="inlineStr">
        <is>
          <t>영업활동 현금흐름</t>
        </is>
      </c>
      <c r="D246" s="12" t="n">
        <v>1368.989</v>
      </c>
      <c r="F246" s="12" t="n">
        <v>882.63</v>
      </c>
      <c r="H246" s="12" t="n">
        <v>850.165</v>
      </c>
      <c r="J246" s="12" t="n">
        <v>2792</v>
      </c>
      <c r="L246" s="12" t="n">
        <v>4012.29</v>
      </c>
      <c r="N246" s="12" t="n">
        <v>-989</v>
      </c>
      <c r="O246" s="12" t="n">
        <v>1826.72</v>
      </c>
      <c r="P246" s="12" t="n">
        <v>1820.282</v>
      </c>
      <c r="Q246" s="12" t="n">
        <v>465.103</v>
      </c>
      <c r="R246" s="12" t="n">
        <v>2050.387</v>
      </c>
      <c r="S246" s="12" t="n">
        <v>1654.062</v>
      </c>
      <c r="T246" s="12" t="n">
        <v>1029.812</v>
      </c>
      <c r="U246" s="12" t="n">
        <v>-1271.312</v>
      </c>
      <c r="V246" s="12" t="n">
        <v>1368.989</v>
      </c>
      <c r="W246" s="12" t="n">
        <v>850.165</v>
      </c>
      <c r="X246" s="12" t="n">
        <v>4012.29</v>
      </c>
    </row>
    <row r="247">
      <c r="A247" s="18" t="inlineStr">
        <is>
          <t>정기예금 예입</t>
        </is>
      </c>
      <c r="J247" s="20" t="n">
        <v>0</v>
      </c>
      <c r="N247" s="20" t="n">
        <v>-694</v>
      </c>
    </row>
    <row r="248">
      <c r="A248" s="18" t="inlineStr">
        <is>
          <t>정기예금 인출</t>
        </is>
      </c>
      <c r="H248" s="20" t="n">
        <v>0</v>
      </c>
      <c r="J248" s="20" t="n">
        <v>0</v>
      </c>
      <c r="L248" s="20" t="n">
        <v>8.202999999999999</v>
      </c>
      <c r="N248" s="20" t="n">
        <v>535</v>
      </c>
      <c r="W248" s="20" t="n">
        <v>0</v>
      </c>
      <c r="X248" s="20" t="n">
        <v>8.202999999999999</v>
      </c>
    </row>
    <row r="249">
      <c r="A249" s="18" t="inlineStr">
        <is>
          <t>유형자산 취득(설비투자)</t>
        </is>
      </c>
      <c r="D249" s="20" t="n">
        <v>-609.381</v>
      </c>
      <c r="F249" s="20" t="n">
        <v>-196.019</v>
      </c>
      <c r="H249" s="20" t="n">
        <v>-314.164</v>
      </c>
      <c r="J249" s="20" t="n">
        <v>-201</v>
      </c>
      <c r="L249" s="20" t="n">
        <v>-367.719</v>
      </c>
      <c r="N249" s="20" t="n">
        <v>-303</v>
      </c>
      <c r="O249" s="20" t="n">
        <v>-169.408</v>
      </c>
      <c r="P249" s="20" t="n">
        <v>-263.762</v>
      </c>
      <c r="Q249" s="20" t="n">
        <v>-263.194</v>
      </c>
      <c r="R249" s="20" t="n">
        <v>-328.912</v>
      </c>
      <c r="S249" s="20" t="n">
        <v>-296.624</v>
      </c>
      <c r="T249" s="20" t="n">
        <v>-518.072</v>
      </c>
      <c r="U249" s="20" t="n">
        <v>-482.731</v>
      </c>
      <c r="V249" s="20" t="n">
        <v>-609.381</v>
      </c>
      <c r="W249" s="20" t="n">
        <v>-314.164</v>
      </c>
      <c r="X249" s="20" t="n">
        <v>-367.719</v>
      </c>
    </row>
    <row r="250">
      <c r="A250" s="18" t="inlineStr">
        <is>
          <t>유형자산 매각</t>
        </is>
      </c>
      <c r="D250" s="20" t="n">
        <v>107.455</v>
      </c>
      <c r="F250" s="20" t="n">
        <v>4.582</v>
      </c>
      <c r="H250" s="20" t="n">
        <v>99.39</v>
      </c>
      <c r="J250" s="20" t="n">
        <v>6</v>
      </c>
      <c r="L250" s="20" t="n">
        <v>12.579</v>
      </c>
      <c r="N250" s="20" t="n">
        <v>22</v>
      </c>
      <c r="O250" s="20" t="n">
        <v>212.014</v>
      </c>
      <c r="P250" s="20" t="n">
        <v>3.005</v>
      </c>
      <c r="Q250" s="20" t="n">
        <v>1057.922</v>
      </c>
      <c r="R250" s="20" t="n">
        <v>402.027</v>
      </c>
      <c r="S250" s="20" t="n">
        <v>270.371</v>
      </c>
      <c r="T250" s="20" t="n">
        <v>29.097</v>
      </c>
      <c r="U250" s="20" t="n">
        <v>11.197</v>
      </c>
      <c r="V250" s="20" t="n">
        <v>107.455</v>
      </c>
      <c r="W250" s="20" t="n">
        <v>99.39</v>
      </c>
      <c r="X250" s="20" t="n">
        <v>12.579</v>
      </c>
    </row>
    <row r="251">
      <c r="A251" s="18" t="inlineStr">
        <is>
          <t>무형자산 취득</t>
        </is>
      </c>
      <c r="D251" s="20" t="n">
        <v>-9.672000000000001</v>
      </c>
      <c r="F251" s="20" t="n">
        <v>-18.815</v>
      </c>
      <c r="H251" s="20" t="n">
        <v>-25.578</v>
      </c>
      <c r="J251" s="20" t="n">
        <v>-2</v>
      </c>
      <c r="L251" s="20" t="n">
        <v>-6.658</v>
      </c>
      <c r="N251" s="20" t="n">
        <v>-6</v>
      </c>
      <c r="O251" s="20" t="n">
        <v>-50.409</v>
      </c>
      <c r="P251" s="20" t="n">
        <v>-50.407</v>
      </c>
      <c r="Q251" s="20" t="n">
        <v>-136.847</v>
      </c>
      <c r="R251" s="20" t="n">
        <v>-62.785</v>
      </c>
      <c r="S251" s="20" t="n">
        <v>-174.45</v>
      </c>
      <c r="T251" s="20" t="n">
        <v>-232.796</v>
      </c>
      <c r="U251" s="20" t="n">
        <v>-227.104</v>
      </c>
      <c r="V251" s="20" t="n">
        <v>-9.672000000000001</v>
      </c>
      <c r="W251" s="20" t="n">
        <v>-25.578</v>
      </c>
      <c r="X251" s="20" t="n">
        <v>-6.658</v>
      </c>
    </row>
    <row r="252">
      <c r="A252" s="18" t="inlineStr">
        <is>
          <t>무형자산 매각 수입</t>
        </is>
      </c>
      <c r="D252" s="20" t="n">
        <v>4.449</v>
      </c>
      <c r="H252" s="20" t="n">
        <v>1.396</v>
      </c>
      <c r="L252" s="20" t="n">
        <v>0</v>
      </c>
      <c r="P252" s="20" t="n">
        <v>0</v>
      </c>
      <c r="Q252" s="20" t="n">
        <v>0.549</v>
      </c>
      <c r="R252" s="20" t="n">
        <v>0</v>
      </c>
      <c r="T252" s="20" t="n">
        <v>0</v>
      </c>
      <c r="U252" s="20" t="n">
        <v>59.527</v>
      </c>
      <c r="V252" s="20" t="n">
        <v>4.449</v>
      </c>
      <c r="W252" s="20" t="n">
        <v>1.396</v>
      </c>
      <c r="X252" s="20" t="n">
        <v>0</v>
      </c>
    </row>
    <row r="253">
      <c r="A253" s="18" t="inlineStr">
        <is>
          <t>투자유가증권 취득</t>
        </is>
      </c>
      <c r="D253" s="20" t="n">
        <v>-3.453</v>
      </c>
      <c r="F253" s="20" t="n">
        <v>0</v>
      </c>
      <c r="H253" s="20" t="n">
        <v>0</v>
      </c>
      <c r="O253" s="20" t="n">
        <v>-1.811</v>
      </c>
      <c r="P253" s="20" t="n">
        <v>-4.033</v>
      </c>
      <c r="Q253" s="20" t="n">
        <v>-160.894</v>
      </c>
      <c r="R253" s="20" t="n">
        <v>-1.491</v>
      </c>
      <c r="S253" s="20" t="n">
        <v>-1.689</v>
      </c>
      <c r="T253" s="20" t="n">
        <v>-2.763</v>
      </c>
      <c r="U253" s="20" t="n">
        <v>-3.179</v>
      </c>
      <c r="V253" s="20" t="n">
        <v>-3.453</v>
      </c>
      <c r="W253" s="20" t="n">
        <v>0</v>
      </c>
    </row>
    <row r="254">
      <c r="A254" s="18" t="inlineStr">
        <is>
          <t>투자유가증권 매각</t>
        </is>
      </c>
      <c r="D254" s="20" t="n">
        <v>0</v>
      </c>
      <c r="F254" s="20" t="n">
        <v>0</v>
      </c>
      <c r="H254" s="20" t="n">
        <v>1.749</v>
      </c>
      <c r="J254" s="20" t="n">
        <v>13</v>
      </c>
      <c r="L254" s="20" t="n">
        <v>13.631</v>
      </c>
      <c r="N254" s="20" t="n">
        <v>0</v>
      </c>
      <c r="O254" s="20" t="n">
        <v>0.911</v>
      </c>
      <c r="P254" s="20" t="n">
        <v>112.254</v>
      </c>
      <c r="Q254" s="20" t="n">
        <v>147.665</v>
      </c>
      <c r="R254" s="20" t="n">
        <v>1.05</v>
      </c>
      <c r="S254" s="20" t="n">
        <v>6.691</v>
      </c>
      <c r="T254" s="20" t="n">
        <v>108.613</v>
      </c>
      <c r="U254" s="20" t="n">
        <v>84.926</v>
      </c>
      <c r="V254" s="20" t="n">
        <v>0</v>
      </c>
      <c r="W254" s="20" t="n">
        <v>1.749</v>
      </c>
      <c r="X254" s="20" t="n">
        <v>13.631</v>
      </c>
    </row>
    <row r="255">
      <c r="A255" s="18" t="inlineStr">
        <is>
          <t>관계회사 주식 취득</t>
        </is>
      </c>
      <c r="D255" s="20" t="n">
        <v>-55</v>
      </c>
      <c r="F255" s="20" t="n">
        <v>-47.432</v>
      </c>
      <c r="H255" s="20" t="n">
        <v>-145.664</v>
      </c>
      <c r="J255" s="20" t="n">
        <v>-6</v>
      </c>
      <c r="L255" s="20" t="n">
        <v>-6.33</v>
      </c>
      <c r="N255" s="20" t="n">
        <v>0</v>
      </c>
      <c r="O255" s="20" t="n">
        <v>0</v>
      </c>
      <c r="P255" s="20" t="n">
        <v>-71</v>
      </c>
      <c r="Q255" s="20" t="n">
        <v>0</v>
      </c>
      <c r="R255" s="20" t="n">
        <v>-131</v>
      </c>
      <c r="S255" s="20" t="n">
        <v>-148.491</v>
      </c>
      <c r="T255" s="20" t="n">
        <v>-456.906</v>
      </c>
      <c r="U255" s="20" t="n">
        <v>-138.39</v>
      </c>
      <c r="V255" s="20" t="n">
        <v>-55</v>
      </c>
      <c r="W255" s="20" t="n">
        <v>-145.664</v>
      </c>
      <c r="X255" s="20" t="n">
        <v>-6.33</v>
      </c>
    </row>
    <row r="256">
      <c r="A256" s="18" t="inlineStr">
        <is>
          <t>관계회사 주식 매각</t>
        </is>
      </c>
      <c r="O256" s="20" t="n">
        <v>0</v>
      </c>
      <c r="P256" s="20" t="n">
        <v>7.716</v>
      </c>
      <c r="Q256" s="20" t="n">
        <v>0</v>
      </c>
      <c r="R256" s="20" t="n">
        <v>10.519</v>
      </c>
      <c r="S256" s="20" t="n">
        <v>0</v>
      </c>
    </row>
    <row r="257">
      <c r="A257" s="18" t="inlineStr">
        <is>
          <t>대여</t>
        </is>
      </c>
      <c r="O257" s="20" t="n">
        <v>0</v>
      </c>
      <c r="P257" s="20" t="n">
        <v>-52</v>
      </c>
      <c r="Q257" s="20" t="n">
        <v>-11</v>
      </c>
      <c r="R257" s="20" t="n">
        <v>0</v>
      </c>
      <c r="S257" s="20" t="n">
        <v>-513</v>
      </c>
      <c r="T257" s="20" t="n">
        <v>0</v>
      </c>
    </row>
    <row r="258">
      <c r="A258" s="18" t="inlineStr">
        <is>
          <t>사업양수 지출</t>
        </is>
      </c>
      <c r="D258" s="20" t="n">
        <v>0</v>
      </c>
      <c r="F258" s="20" t="n">
        <v>-590.27</v>
      </c>
      <c r="H258" s="20" t="n">
        <v>-590.27</v>
      </c>
      <c r="J258" s="20" t="n">
        <v>0</v>
      </c>
      <c r="L258" s="20" t="n">
        <v>0</v>
      </c>
      <c r="P258" s="20" t="n">
        <v>0</v>
      </c>
      <c r="Q258" s="20" t="n">
        <v>-719.375</v>
      </c>
      <c r="R258" s="20" t="n">
        <v>0</v>
      </c>
      <c r="T258" s="20" t="n">
        <v>0</v>
      </c>
      <c r="U258" s="20" t="n">
        <v>-150</v>
      </c>
      <c r="V258" s="20" t="n">
        <v>0</v>
      </c>
      <c r="W258" s="20" t="n">
        <v>-590.27</v>
      </c>
      <c r="X258" s="20" t="n">
        <v>0</v>
      </c>
    </row>
    <row r="259">
      <c r="A259" s="18" t="inlineStr">
        <is>
          <t>연결범위 변경 자회사 주식 취득</t>
        </is>
      </c>
      <c r="D259" s="20" t="n">
        <v>-257.717</v>
      </c>
      <c r="F259" s="20" t="n">
        <v>0</v>
      </c>
      <c r="H259" s="20" t="n">
        <v>0</v>
      </c>
      <c r="J259" s="20" t="n">
        <v>-217</v>
      </c>
      <c r="L259" s="20" t="n">
        <v>-282.215</v>
      </c>
      <c r="N259" s="20" t="n">
        <v>-1942</v>
      </c>
      <c r="P259" s="20" t="n">
        <v>0</v>
      </c>
      <c r="Q259" s="20" t="n">
        <v>-622.784</v>
      </c>
      <c r="R259" s="20" t="n">
        <v>-210.88</v>
      </c>
      <c r="S259" s="20" t="n">
        <v>-1428.078</v>
      </c>
      <c r="T259" s="20" t="n">
        <v>-3518.539</v>
      </c>
      <c r="U259" s="20" t="n">
        <v>0</v>
      </c>
      <c r="V259" s="20" t="n">
        <v>-257.717</v>
      </c>
      <c r="W259" s="20" t="n">
        <v>0</v>
      </c>
      <c r="X259" s="20" t="n">
        <v>-282.215</v>
      </c>
    </row>
    <row r="260">
      <c r="A260" s="18" t="inlineStr">
        <is>
          <t>연결범위 변경 자회사 주식 매각</t>
        </is>
      </c>
      <c r="H260" s="20" t="n">
        <v>0</v>
      </c>
      <c r="L260" s="20" t="n">
        <v>630.433</v>
      </c>
      <c r="O260" s="20" t="n">
        <v>7.264</v>
      </c>
      <c r="P260" s="20" t="n">
        <v>0</v>
      </c>
      <c r="W260" s="20" t="n">
        <v>0</v>
      </c>
      <c r="X260" s="20" t="n">
        <v>630.433</v>
      </c>
    </row>
    <row r="261">
      <c r="A261" s="18" t="inlineStr">
        <is>
          <t>기타</t>
        </is>
      </c>
      <c r="D261" s="20" t="n">
        <v>-11.804</v>
      </c>
      <c r="F261" s="20" t="n">
        <v>-19.303</v>
      </c>
      <c r="H261" s="20" t="n">
        <v>17.672</v>
      </c>
      <c r="J261" s="20" t="n">
        <v>126</v>
      </c>
      <c r="L261" s="20" t="n">
        <v>129.994</v>
      </c>
      <c r="N261" s="20" t="n">
        <v>-127</v>
      </c>
      <c r="O261" s="20" t="n">
        <v>-5.202</v>
      </c>
      <c r="P261" s="20" t="n">
        <v>10.558</v>
      </c>
      <c r="Q261" s="20" t="n">
        <v>24.294</v>
      </c>
      <c r="R261" s="20" t="n">
        <v>-12.702</v>
      </c>
      <c r="S261" s="20" t="n">
        <v>-43.842</v>
      </c>
      <c r="T261" s="20" t="n">
        <v>6.121</v>
      </c>
      <c r="U261" s="20" t="n">
        <v>-18.696</v>
      </c>
      <c r="V261" s="20" t="n">
        <v>-11.804</v>
      </c>
      <c r="W261" s="20" t="n">
        <v>17.672</v>
      </c>
      <c r="X261" s="20" t="n">
        <v>129.994</v>
      </c>
    </row>
    <row r="262">
      <c r="A262" s="9" t="inlineStr">
        <is>
          <t>투자활동 현금흐름</t>
        </is>
      </c>
      <c r="D262" s="12" t="n">
        <v>-835.124</v>
      </c>
      <c r="F262" s="12" t="n">
        <v>-867.259</v>
      </c>
      <c r="H262" s="12" t="n">
        <v>-955.4690000000001</v>
      </c>
      <c r="J262" s="12" t="n">
        <v>-280</v>
      </c>
      <c r="L262" s="12" t="n">
        <v>131.917</v>
      </c>
      <c r="N262" s="12" t="n">
        <v>-2516</v>
      </c>
      <c r="O262" s="12" t="n">
        <v>-6.642</v>
      </c>
      <c r="P262" s="12" t="n">
        <v>-307.67</v>
      </c>
      <c r="Q262" s="12" t="n">
        <v>-683.664</v>
      </c>
      <c r="R262" s="12" t="n">
        <v>-334.174</v>
      </c>
      <c r="S262" s="12" t="n">
        <v>-2329.114</v>
      </c>
      <c r="T262" s="12" t="n">
        <v>-4585.247</v>
      </c>
      <c r="U262" s="12" t="n">
        <v>-864.448</v>
      </c>
      <c r="V262" s="12" t="n">
        <v>-835.124</v>
      </c>
      <c r="W262" s="12" t="n">
        <v>-955.4690000000001</v>
      </c>
      <c r="X262" s="12" t="n">
        <v>131.917</v>
      </c>
    </row>
    <row r="263">
      <c r="A263" s="18" t="inlineStr">
        <is>
          <t>단기차입금 순증감</t>
        </is>
      </c>
      <c r="D263" s="20" t="n">
        <v>-236.49</v>
      </c>
      <c r="F263" s="20" t="n">
        <v>402.16</v>
      </c>
      <c r="H263" s="20" t="n">
        <v>1046.352</v>
      </c>
      <c r="J263" s="20" t="n">
        <v>-464</v>
      </c>
      <c r="L263" s="20" t="n">
        <v>-1456.621</v>
      </c>
      <c r="N263" s="20" t="n">
        <v>2228</v>
      </c>
      <c r="O263" s="20" t="n">
        <v>-1622.547</v>
      </c>
      <c r="P263" s="20" t="n">
        <v>-1504.764</v>
      </c>
      <c r="Q263" s="20" t="n">
        <v>532.67</v>
      </c>
      <c r="R263" s="20" t="n">
        <v>642.476</v>
      </c>
      <c r="S263" s="20" t="n">
        <v>1828.622</v>
      </c>
      <c r="T263" s="20" t="n">
        <v>-1267.088</v>
      </c>
      <c r="U263" s="20" t="n">
        <v>1700</v>
      </c>
      <c r="V263" s="20" t="n">
        <v>-236.49</v>
      </c>
      <c r="W263" s="20" t="n">
        <v>1046.352</v>
      </c>
      <c r="X263" s="20" t="n">
        <v>-1456.621</v>
      </c>
    </row>
    <row r="264">
      <c r="A264" s="18" t="inlineStr">
        <is>
          <t>장기차입</t>
        </is>
      </c>
      <c r="D264" s="20" t="n">
        <v>1900</v>
      </c>
      <c r="F264" s="20" t="n">
        <v>1729.496</v>
      </c>
      <c r="H264" s="20" t="n">
        <v>2128.926</v>
      </c>
      <c r="J264" s="20" t="n">
        <v>1200</v>
      </c>
      <c r="L264" s="20" t="n">
        <v>1500</v>
      </c>
      <c r="N264" s="20" t="n">
        <v>3505</v>
      </c>
      <c r="O264" s="20" t="n">
        <v>1200</v>
      </c>
      <c r="P264" s="20" t="n">
        <v>800</v>
      </c>
      <c r="Q264" s="20" t="n">
        <v>1000</v>
      </c>
      <c r="R264" s="20" t="n">
        <v>1700</v>
      </c>
      <c r="S264" s="20" t="n">
        <v>3400</v>
      </c>
      <c r="T264" s="20" t="n">
        <v>2800</v>
      </c>
      <c r="U264" s="20" t="n">
        <v>2600</v>
      </c>
      <c r="V264" s="20" t="n">
        <v>1900</v>
      </c>
      <c r="W264" s="20" t="n">
        <v>2128.926</v>
      </c>
      <c r="X264" s="20" t="n">
        <v>1500</v>
      </c>
    </row>
    <row r="265">
      <c r="A265" s="18" t="inlineStr">
        <is>
          <t>장기차입금 상환</t>
        </is>
      </c>
      <c r="D265" s="20" t="n">
        <v>-2779.522</v>
      </c>
      <c r="F265" s="20" t="n">
        <v>-1339.883</v>
      </c>
      <c r="H265" s="20" t="n">
        <v>-2607.093</v>
      </c>
      <c r="J265" s="20" t="n">
        <v>-1367</v>
      </c>
      <c r="L265" s="20" t="n">
        <v>-2733.057</v>
      </c>
      <c r="N265" s="20" t="n">
        <v>-1122</v>
      </c>
      <c r="O265" s="20" t="n">
        <v>-805.313</v>
      </c>
      <c r="P265" s="20" t="n">
        <v>-808.681</v>
      </c>
      <c r="Q265" s="20" t="n">
        <v>-906.643</v>
      </c>
      <c r="R265" s="20" t="n">
        <v>-1093.136</v>
      </c>
      <c r="S265" s="20" t="n">
        <v>-936.309</v>
      </c>
      <c r="T265" s="20" t="n">
        <v>-1932.699</v>
      </c>
      <c r="U265" s="20" t="n">
        <v>-2255.173</v>
      </c>
      <c r="V265" s="20" t="n">
        <v>-2779.522</v>
      </c>
      <c r="W265" s="20" t="n">
        <v>-2607.093</v>
      </c>
      <c r="X265" s="20" t="n">
        <v>-2733.057</v>
      </c>
    </row>
    <row r="266">
      <c r="A266" s="18" t="inlineStr">
        <is>
          <t>사채 상환</t>
        </is>
      </c>
      <c r="D266" s="20" t="n">
        <v>0</v>
      </c>
      <c r="S266" s="20" t="n">
        <v>0</v>
      </c>
      <c r="T266" s="20" t="n">
        <v>-25</v>
      </c>
      <c r="U266" s="20" t="n">
        <v>-50</v>
      </c>
      <c r="V266" s="20" t="n">
        <v>0</v>
      </c>
    </row>
    <row r="267">
      <c r="A267" s="18" t="inlineStr">
        <is>
          <t>신디케이트론 수수료 지급</t>
        </is>
      </c>
      <c r="D267" s="20" t="n">
        <v>-1</v>
      </c>
      <c r="H267" s="20" t="n">
        <v>-1</v>
      </c>
      <c r="R267" s="20" t="n">
        <v>0</v>
      </c>
      <c r="S267" s="20" t="n">
        <v>-37</v>
      </c>
      <c r="T267" s="20" t="n">
        <v>-1</v>
      </c>
      <c r="U267" s="20" t="n">
        <v>-1</v>
      </c>
      <c r="V267" s="20" t="n">
        <v>-1</v>
      </c>
      <c r="W267" s="20" t="n">
        <v>-1</v>
      </c>
    </row>
    <row r="268">
      <c r="A268" s="18" t="inlineStr">
        <is>
          <t>지급수수료 지급</t>
        </is>
      </c>
      <c r="D268" s="20" t="n">
        <v>-5.25</v>
      </c>
      <c r="U268" s="20" t="n">
        <v>0</v>
      </c>
      <c r="V268" s="20" t="n">
        <v>-5.25</v>
      </c>
    </row>
    <row r="269">
      <c r="A269" s="18" t="inlineStr">
        <is>
          <t>지급수수료 지급</t>
        </is>
      </c>
      <c r="D269" s="20" t="n">
        <v>-5.25</v>
      </c>
      <c r="H269" s="20" t="n">
        <v>0</v>
      </c>
      <c r="V269" s="20" t="n">
        <v>-5.25</v>
      </c>
      <c r="W269" s="20" t="n">
        <v>0</v>
      </c>
    </row>
    <row r="270">
      <c r="A270" s="18" t="inlineStr">
        <is>
          <t>금융리스부채 상환</t>
        </is>
      </c>
      <c r="D270" s="20" t="n">
        <v>-255.555</v>
      </c>
      <c r="F270" s="20" t="n">
        <v>-164.156</v>
      </c>
      <c r="H270" s="20" t="n">
        <v>-290.933</v>
      </c>
      <c r="J270" s="20" t="n">
        <v>-155</v>
      </c>
      <c r="L270" s="20" t="n">
        <v>-306.794</v>
      </c>
      <c r="N270" s="20" t="n">
        <v>-166</v>
      </c>
      <c r="O270" s="20" t="n">
        <v>-56.398</v>
      </c>
      <c r="P270" s="20" t="n">
        <v>-58.657</v>
      </c>
      <c r="Q270" s="20" t="n">
        <v>-25.888</v>
      </c>
      <c r="R270" s="20" t="n">
        <v>-31.284</v>
      </c>
      <c r="S270" s="20" t="n">
        <v>-38.507</v>
      </c>
      <c r="T270" s="20" t="n">
        <v>-93.515</v>
      </c>
      <c r="U270" s="20" t="n">
        <v>-199.289</v>
      </c>
      <c r="V270" s="20" t="n">
        <v>-255.555</v>
      </c>
      <c r="W270" s="20" t="n">
        <v>-290.933</v>
      </c>
      <c r="X270" s="20" t="n">
        <v>-306.794</v>
      </c>
    </row>
    <row r="271">
      <c r="A271" s="18" t="inlineStr">
        <is>
          <t>배당금 지급</t>
        </is>
      </c>
      <c r="D271" s="20" t="n">
        <v>0</v>
      </c>
      <c r="F271" s="20" t="n">
        <v>-134.77</v>
      </c>
      <c r="H271" s="20" t="n">
        <v>-134.77</v>
      </c>
      <c r="J271" s="20" t="n">
        <v>-161</v>
      </c>
      <c r="L271" s="20" t="n">
        <v>-161.723</v>
      </c>
      <c r="N271" s="20" t="n">
        <v>-404</v>
      </c>
      <c r="O271" s="20" t="n">
        <v>-26.955</v>
      </c>
      <c r="P271" s="20" t="n">
        <v>-26.955</v>
      </c>
      <c r="Q271" s="20" t="n">
        <v>-53.909</v>
      </c>
      <c r="R271" s="20" t="n">
        <v>-53.909</v>
      </c>
      <c r="S271" s="20" t="n">
        <v>-202.157</v>
      </c>
      <c r="T271" s="20" t="n">
        <v>-269.543</v>
      </c>
      <c r="U271" s="20" t="n">
        <v>-269.54</v>
      </c>
      <c r="V271" s="20" t="n">
        <v>0</v>
      </c>
      <c r="W271" s="20" t="n">
        <v>-134.77</v>
      </c>
      <c r="X271" s="20" t="n">
        <v>-161.723</v>
      </c>
    </row>
    <row r="272">
      <c r="A272" s="18" t="inlineStr">
        <is>
          <t>연결범위 변경 없는 자회사 주식 취득</t>
        </is>
      </c>
      <c r="D272" s="20" t="n">
        <v>-127.543</v>
      </c>
      <c r="F272" s="20" t="n">
        <v>0</v>
      </c>
      <c r="H272" s="20" t="n">
        <v>0</v>
      </c>
      <c r="J272" s="20" t="n">
        <v>-18</v>
      </c>
      <c r="L272" s="20" t="n">
        <v>-18.076</v>
      </c>
      <c r="N272" s="20" t="n">
        <v>0</v>
      </c>
      <c r="O272" s="20" t="n">
        <v>-34.947</v>
      </c>
      <c r="P272" s="20" t="n">
        <v>0</v>
      </c>
      <c r="U272" s="20" t="n">
        <v>0</v>
      </c>
      <c r="V272" s="20" t="n">
        <v>-127.543</v>
      </c>
      <c r="W272" s="20" t="n">
        <v>0</v>
      </c>
      <c r="X272" s="20" t="n">
        <v>-18.076</v>
      </c>
    </row>
    <row r="273">
      <c r="A273" s="18" t="inlineStr">
        <is>
          <t>기타</t>
        </is>
      </c>
      <c r="D273" s="20" t="n">
        <v>-0</v>
      </c>
      <c r="F273" s="20" t="n">
        <v>-0.005</v>
      </c>
      <c r="H273" s="20" t="n">
        <v>-0.005</v>
      </c>
      <c r="J273" s="20" t="n">
        <v>0</v>
      </c>
      <c r="L273" s="20" t="n">
        <v>0</v>
      </c>
      <c r="O273" s="20" t="n">
        <v>-0.03</v>
      </c>
      <c r="P273" s="20" t="n">
        <v>-0.061</v>
      </c>
      <c r="Q273" s="20" t="n">
        <v>-0.07099999999999999</v>
      </c>
      <c r="R273" s="20" t="n">
        <v>-0.108</v>
      </c>
      <c r="S273" s="20" t="n">
        <v>0</v>
      </c>
      <c r="T273" s="20" t="n">
        <v>-0.22</v>
      </c>
      <c r="U273" s="20" t="n">
        <v>0</v>
      </c>
      <c r="V273" s="20" t="n">
        <v>-0</v>
      </c>
      <c r="W273" s="20" t="n">
        <v>-0.005</v>
      </c>
      <c r="X273" s="20" t="n">
        <v>0</v>
      </c>
    </row>
    <row r="274">
      <c r="A274" s="9" t="inlineStr">
        <is>
          <t>재무활동 현금흐름</t>
        </is>
      </c>
      <c r="D274" s="12" t="n">
        <v>-1505.362</v>
      </c>
      <c r="F274" s="12" t="n">
        <v>492.841</v>
      </c>
      <c r="H274" s="12" t="n">
        <v>142.477</v>
      </c>
      <c r="J274" s="12" t="n">
        <v>-967</v>
      </c>
      <c r="L274" s="12" t="n">
        <v>-3176.274</v>
      </c>
      <c r="N274" s="12" t="n">
        <v>4040</v>
      </c>
      <c r="O274" s="12" t="n">
        <v>-1346.192</v>
      </c>
      <c r="P274" s="12" t="n">
        <v>-1599.119</v>
      </c>
      <c r="Q274" s="12" t="n">
        <v>546.157</v>
      </c>
      <c r="R274" s="12" t="n">
        <v>1164.037</v>
      </c>
      <c r="S274" s="12" t="n">
        <v>4014.648</v>
      </c>
      <c r="T274" s="12" t="n">
        <v>-789.068</v>
      </c>
      <c r="U274" s="12" t="n">
        <v>1524.997</v>
      </c>
      <c r="V274" s="12" t="n">
        <v>-1505.362</v>
      </c>
      <c r="W274" s="12" t="n">
        <v>142.477</v>
      </c>
      <c r="X274" s="12" t="n">
        <v>-3176.274</v>
      </c>
    </row>
    <row r="275">
      <c r="A275" s="18" t="inlineStr">
        <is>
          <t>현금성자산 환산차이</t>
        </is>
      </c>
      <c r="D275" s="20" t="n">
        <v>113.803</v>
      </c>
      <c r="F275" s="20" t="n">
        <v>200.093</v>
      </c>
      <c r="H275" s="20" t="n">
        <v>152.746</v>
      </c>
      <c r="J275" s="20" t="n">
        <v>-98</v>
      </c>
      <c r="L275" s="20" t="n">
        <v>134.64</v>
      </c>
      <c r="N275" s="20" t="n">
        <v>112</v>
      </c>
      <c r="O275" s="20" t="n">
        <v>-44.488</v>
      </c>
      <c r="P275" s="20" t="n">
        <v>53.999</v>
      </c>
      <c r="Q275" s="20" t="n">
        <v>-52.592</v>
      </c>
      <c r="R275" s="20" t="n">
        <v>-5.25</v>
      </c>
      <c r="S275" s="20" t="n">
        <v>-19.497</v>
      </c>
      <c r="T275" s="20" t="n">
        <v>86.80800000000001</v>
      </c>
      <c r="U275" s="20" t="n">
        <v>148.953</v>
      </c>
      <c r="V275" s="20" t="n">
        <v>113.803</v>
      </c>
      <c r="W275" s="20" t="n">
        <v>152.746</v>
      </c>
      <c r="X275" s="20" t="n">
        <v>134.64</v>
      </c>
    </row>
    <row r="276">
      <c r="A276" s="18" t="inlineStr">
        <is>
          <t>현금성자산 증감</t>
        </is>
      </c>
      <c r="D276" s="20" t="n">
        <v>-857.694</v>
      </c>
      <c r="F276" s="20" t="n">
        <v>708.306</v>
      </c>
      <c r="H276" s="20" t="n">
        <v>189.92</v>
      </c>
      <c r="J276" s="20" t="n">
        <v>1445</v>
      </c>
      <c r="L276" s="20" t="n">
        <v>1102.574</v>
      </c>
      <c r="N276" s="20" t="n">
        <v>646</v>
      </c>
      <c r="O276" s="20" t="n">
        <v>429.395</v>
      </c>
      <c r="P276" s="20" t="n">
        <v>-32.508</v>
      </c>
      <c r="Q276" s="20" t="n">
        <v>275.003</v>
      </c>
      <c r="R276" s="20" t="n">
        <v>2874.999</v>
      </c>
      <c r="S276" s="20" t="n">
        <v>3320.099</v>
      </c>
      <c r="T276" s="20" t="n">
        <v>-4257.695</v>
      </c>
      <c r="U276" s="20" t="n">
        <v>-461.81</v>
      </c>
      <c r="V276" s="20" t="n">
        <v>-857.694</v>
      </c>
      <c r="W276" s="20" t="n">
        <v>189.92</v>
      </c>
      <c r="X276" s="20" t="n">
        <v>1102.574</v>
      </c>
    </row>
    <row r="277">
      <c r="A277" s="18" t="inlineStr">
        <is>
          <t>연결자회사 결산기 변경에 따른 현금성자산 증감액</t>
        </is>
      </c>
      <c r="O277" s="20" t="n">
        <v>45.565</v>
      </c>
      <c r="P277" s="20" t="n">
        <v>0</v>
      </c>
    </row>
    <row r="278">
      <c r="A278" s="18" t="inlineStr">
        <is>
          <t>신규 연결 현금성자산 증가</t>
        </is>
      </c>
      <c r="D278" s="20" t="n">
        <v>365.592</v>
      </c>
      <c r="F278" s="20" t="n">
        <v>0</v>
      </c>
      <c r="H278" s="20" t="n">
        <v>57.592</v>
      </c>
      <c r="J278" s="20" t="n">
        <v>61</v>
      </c>
      <c r="L278" s="20" t="n">
        <v>53.098</v>
      </c>
      <c r="N278" s="20" t="n">
        <v>0</v>
      </c>
      <c r="Q278" s="20" t="n">
        <v>0</v>
      </c>
      <c r="R278" s="20" t="n">
        <v>9.965999999999999</v>
      </c>
      <c r="S278" s="20" t="n">
        <v>0</v>
      </c>
      <c r="T278" s="20" t="n">
        <v>118.563</v>
      </c>
      <c r="U278" s="20" t="n">
        <v>0</v>
      </c>
      <c r="V278" s="20" t="n">
        <v>365.592</v>
      </c>
      <c r="W278" s="20" t="n">
        <v>57.592</v>
      </c>
      <c r="X278" s="20" t="n">
        <v>53.098</v>
      </c>
    </row>
    <row r="279">
      <c r="A279" s="18" t="inlineStr">
        <is>
          <t>비연결 자회사 합병에 따른 현금성자산 증가</t>
        </is>
      </c>
      <c r="R279" s="20" t="n">
        <v>0</v>
      </c>
      <c r="S279" s="20" t="n">
        <v>10.888</v>
      </c>
      <c r="T27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6629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26079.631</v>
      </c>
      <c r="D5" s="12" t="n">
        <v>26491.4</v>
      </c>
      <c r="E5" s="12" t="n">
        <v>30731</v>
      </c>
      <c r="F5" s="12" t="n">
        <v>31079</v>
      </c>
      <c r="G5" s="12" t="n">
        <v>35287</v>
      </c>
      <c r="H5" s="11" t="n">
        <v>20934.482</v>
      </c>
      <c r="I5" s="12" t="n">
        <v>27386.688</v>
      </c>
      <c r="J5" s="12" t="n">
        <v>26360.765</v>
      </c>
      <c r="K5" s="12" t="n">
        <v>28398.735</v>
      </c>
      <c r="L5" s="12" t="n">
        <v>30731</v>
      </c>
    </row>
    <row r="6">
      <c r="A6" s="18" t="inlineStr">
        <is>
          <t>현금및현금성자산</t>
        </is>
      </c>
      <c r="B6" s="10" t="n"/>
      <c r="C6" s="19" t="n">
        <v>4945.729</v>
      </c>
      <c r="D6" s="20" t="n">
        <v>4473.545</v>
      </c>
      <c r="E6" s="20" t="n">
        <v>4688</v>
      </c>
      <c r="F6" s="20" t="n">
        <v>5808</v>
      </c>
      <c r="G6" s="20" t="n">
        <v>5497</v>
      </c>
      <c r="H6" s="19" t="n">
        <v>4145.116</v>
      </c>
      <c r="I6" s="20" t="n">
        <v>3683.306</v>
      </c>
      <c r="J6" s="20" t="n">
        <v>3191.204</v>
      </c>
      <c r="K6" s="20" t="n">
        <v>3438.718</v>
      </c>
      <c r="L6" s="20" t="n">
        <v>4688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10080.845</v>
      </c>
      <c r="D8" s="20" t="n">
        <v>10218.493</v>
      </c>
      <c r="E8" s="20" t="n">
        <v>15177</v>
      </c>
      <c r="F8" s="20" t="n">
        <v>13550</v>
      </c>
      <c r="G8" s="20" t="n">
        <v>17701</v>
      </c>
      <c r="H8" s="19" t="n">
        <v>7753.192</v>
      </c>
      <c r="I8" s="20" t="n">
        <v>11296.378</v>
      </c>
      <c r="J8" s="20" t="n">
        <v>11024.927</v>
      </c>
      <c r="K8" s="20" t="n">
        <v>14204.473</v>
      </c>
      <c r="L8" s="20" t="n">
        <v>15177</v>
      </c>
    </row>
    <row r="9">
      <c r="A9" s="18" t="inlineStr">
        <is>
          <t>재고자산</t>
        </is>
      </c>
      <c r="B9" s="10" t="n"/>
      <c r="C9" s="19" t="n">
        <v>8646.1</v>
      </c>
      <c r="D9" s="20" t="n">
        <v>8486.353999999999</v>
      </c>
      <c r="E9" s="20" t="n">
        <v>7636</v>
      </c>
      <c r="F9" s="20" t="n">
        <v>8902</v>
      </c>
      <c r="G9" s="20" t="n">
        <v>8731</v>
      </c>
      <c r="H9" s="19" t="n">
        <v>6663.39</v>
      </c>
      <c r="I9" s="20" t="n">
        <v>9259.075999999999</v>
      </c>
      <c r="J9" s="20" t="n">
        <v>8549.945</v>
      </c>
      <c r="K9" s="20" t="n">
        <v>8011.746</v>
      </c>
      <c r="L9" s="20" t="n">
        <v>7636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8503.528</v>
      </c>
      <c r="D11" s="12" t="n">
        <v>8466.358</v>
      </c>
      <c r="E11" s="12" t="n">
        <v>8680</v>
      </c>
      <c r="F11" s="12" t="n">
        <v>8820</v>
      </c>
      <c r="G11" s="12" t="n">
        <v>10595</v>
      </c>
      <c r="H11" s="11" t="n">
        <v>10846.555</v>
      </c>
      <c r="I11" s="12" t="n">
        <v>9516.825000000001</v>
      </c>
      <c r="J11" s="12" t="n">
        <v>9731.77</v>
      </c>
      <c r="K11" s="12" t="n">
        <v>8998.273999999999</v>
      </c>
      <c r="L11" s="12" t="n">
        <v>8680</v>
      </c>
    </row>
    <row r="12">
      <c r="A12" s="18" t="inlineStr">
        <is>
          <t>유형자산</t>
        </is>
      </c>
      <c r="B12" s="10" t="n"/>
      <c r="C12" s="19" t="n">
        <v>5213.82</v>
      </c>
      <c r="D12" s="20" t="n">
        <v>5179.666</v>
      </c>
      <c r="E12" s="20" t="n">
        <v>5158</v>
      </c>
      <c r="F12" s="20" t="n">
        <v>5244</v>
      </c>
      <c r="G12" s="20" t="n">
        <v>5216</v>
      </c>
      <c r="H12" s="19" t="n">
        <v>4690.059</v>
      </c>
      <c r="I12" s="20" t="n">
        <v>4754.55</v>
      </c>
      <c r="J12" s="20" t="n">
        <v>5361.729</v>
      </c>
      <c r="K12" s="20" t="n">
        <v>5363.805</v>
      </c>
      <c r="L12" s="20" t="n">
        <v>5158</v>
      </c>
    </row>
    <row r="13">
      <c r="A13" s="18" t="inlineStr">
        <is>
          <t>무형자산</t>
        </is>
      </c>
      <c r="B13" s="10" t="n"/>
      <c r="C13" s="19" t="n">
        <v>2071.822</v>
      </c>
      <c r="D13" s="20" t="n">
        <v>1944.596</v>
      </c>
      <c r="E13" s="20" t="n">
        <v>2223</v>
      </c>
      <c r="F13" s="20" t="n">
        <v>2146</v>
      </c>
      <c r="G13" s="20" t="n">
        <v>3794</v>
      </c>
      <c r="H13" s="19" t="n">
        <v>4162.542</v>
      </c>
      <c r="I13" s="20" t="n">
        <v>2994.46</v>
      </c>
      <c r="J13" s="20" t="n">
        <v>2738.924</v>
      </c>
      <c r="K13" s="20" t="n">
        <v>2219.929</v>
      </c>
      <c r="L13" s="20" t="n">
        <v>2223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34583.16</v>
      </c>
      <c r="D16" s="12" t="n">
        <v>34957.759</v>
      </c>
      <c r="E16" s="12" t="n">
        <v>39412</v>
      </c>
      <c r="F16" s="12" t="n">
        <v>39899</v>
      </c>
      <c r="G16" s="12" t="n">
        <v>45882</v>
      </c>
      <c r="H16" s="11" t="n">
        <v>31781.037</v>
      </c>
      <c r="I16" s="12" t="n">
        <v>36903.513</v>
      </c>
      <c r="J16" s="12" t="n">
        <v>36092.535</v>
      </c>
      <c r="K16" s="12" t="n">
        <v>37397.01</v>
      </c>
      <c r="L16" s="12" t="n">
        <v>39412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20049.106</v>
      </c>
      <c r="D18" s="12" t="n">
        <v>20245.533</v>
      </c>
      <c r="E18" s="12" t="n">
        <v>23562</v>
      </c>
      <c r="F18" s="12" t="n">
        <v>24319</v>
      </c>
      <c r="G18" s="12" t="n">
        <v>26845</v>
      </c>
      <c r="H18" s="11" t="n">
        <v>16546.508</v>
      </c>
      <c r="I18" s="12" t="n">
        <v>22758.809</v>
      </c>
      <c r="J18" s="12" t="n">
        <v>21127.567</v>
      </c>
      <c r="K18" s="12" t="n">
        <v>22560.911</v>
      </c>
      <c r="L18" s="12" t="n">
        <v>23562</v>
      </c>
    </row>
    <row r="19">
      <c r="A19" s="18" t="inlineStr">
        <is>
          <t>매입채무</t>
        </is>
      </c>
      <c r="B19" s="10" t="n"/>
      <c r="C19" s="19" t="n">
        <v>4463.274</v>
      </c>
      <c r="D19" s="20" t="n">
        <v>4769.16</v>
      </c>
      <c r="E19" s="20" t="n">
        <v>6944</v>
      </c>
      <c r="F19" s="20" t="n">
        <v>5786</v>
      </c>
      <c r="G19" s="20" t="n">
        <v>6982</v>
      </c>
      <c r="H19" s="19" t="n">
        <v>4489.846</v>
      </c>
      <c r="I19" s="20" t="n">
        <v>8388.380999999999</v>
      </c>
      <c r="J19" s="20" t="n">
        <v>6082.846</v>
      </c>
      <c r="K19" s="20" t="n">
        <v>5713.329</v>
      </c>
      <c r="L19" s="20" t="n">
        <v>6944</v>
      </c>
    </row>
    <row r="20">
      <c r="A20" s="18" t="inlineStr">
        <is>
          <t>단기차입금</t>
        </is>
      </c>
      <c r="B20" s="10" t="n"/>
      <c r="C20" s="19" t="n">
        <v>9155.949000000001</v>
      </c>
      <c r="D20" s="20" t="n">
        <v>8756.442999999999</v>
      </c>
      <c r="E20" s="20" t="n">
        <v>8166</v>
      </c>
      <c r="F20" s="20" t="n">
        <v>10021</v>
      </c>
      <c r="G20" s="20" t="n">
        <v>10396</v>
      </c>
      <c r="H20" s="19" t="n">
        <v>9168.540000000001</v>
      </c>
      <c r="I20" s="20" t="n">
        <v>11190.648</v>
      </c>
      <c r="J20" s="20" t="n">
        <v>10775.909</v>
      </c>
      <c r="K20" s="20" t="n">
        <v>9623.762000000001</v>
      </c>
      <c r="L20" s="20" t="n">
        <v>8166</v>
      </c>
    </row>
    <row r="21">
      <c r="A21" s="18" t="inlineStr">
        <is>
          <t>유동성장기부채</t>
        </is>
      </c>
      <c r="B21" s="10" t="n"/>
      <c r="C21" s="19" t="n">
        <v>2307.82</v>
      </c>
      <c r="D21" s="20" t="n">
        <v>2124.441</v>
      </c>
      <c r="E21" s="20" t="n">
        <v>1944</v>
      </c>
      <c r="F21" s="20" t="n">
        <v>1856</v>
      </c>
      <c r="G21" s="20" t="n">
        <v>2340</v>
      </c>
      <c r="H21" s="19" t="n">
        <v>50</v>
      </c>
      <c r="I21" s="20" t="n">
        <v>0</v>
      </c>
      <c r="J21" s="20" t="n"/>
      <c r="K21" s="20" t="n">
        <v>2434.983</v>
      </c>
      <c r="L21" s="20" t="n">
        <v>1944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4751.087</v>
      </c>
      <c r="D23" s="12" t="n">
        <v>4519.915</v>
      </c>
      <c r="E23" s="12" t="n">
        <v>3572</v>
      </c>
      <c r="F23" s="12" t="n">
        <v>3143</v>
      </c>
      <c r="G23" s="12" t="n">
        <v>5486</v>
      </c>
      <c r="H23" s="11" t="n">
        <v>5499.35</v>
      </c>
      <c r="I23" s="12" t="n">
        <v>5433.521</v>
      </c>
      <c r="J23" s="12" t="n">
        <v>5151.482</v>
      </c>
      <c r="K23" s="12" t="n">
        <v>4738.061</v>
      </c>
      <c r="L23" s="12" t="n">
        <v>3572</v>
      </c>
    </row>
    <row r="24">
      <c r="A24" s="18" t="inlineStr">
        <is>
          <t>장기차입금</t>
        </is>
      </c>
      <c r="B24" s="10" t="n"/>
      <c r="C24" s="19" t="n">
        <v>3910.784</v>
      </c>
      <c r="D24" s="20" t="n">
        <v>3704.117</v>
      </c>
      <c r="E24" s="20" t="n">
        <v>2874</v>
      </c>
      <c r="F24" s="20" t="n">
        <v>2456</v>
      </c>
      <c r="G24" s="20" t="n">
        <v>4862</v>
      </c>
      <c r="H24" s="19" t="n">
        <v>4676.169</v>
      </c>
      <c r="I24" s="20" t="n">
        <v>4698.09</v>
      </c>
      <c r="J24" s="20" t="n">
        <v>4211.652</v>
      </c>
      <c r="K24" s="20" t="n">
        <v>3877.465</v>
      </c>
      <c r="L24" s="20" t="n">
        <v>2874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24800.194</v>
      </c>
      <c r="D27" s="12" t="n">
        <v>24765.448</v>
      </c>
      <c r="E27" s="12" t="n">
        <v>27134</v>
      </c>
      <c r="F27" s="12" t="n">
        <v>27462</v>
      </c>
      <c r="G27" s="12" t="n">
        <v>32332</v>
      </c>
      <c r="H27" s="11" t="n">
        <v>22045.859</v>
      </c>
      <c r="I27" s="12" t="n">
        <v>28192.331</v>
      </c>
      <c r="J27" s="12" t="n">
        <v>26279.049</v>
      </c>
      <c r="K27" s="12" t="n">
        <v>27298.973</v>
      </c>
      <c r="L27" s="12" t="n">
        <v>27134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9782.966</v>
      </c>
      <c r="D31" s="12" t="n">
        <v>10192.31</v>
      </c>
      <c r="E31" s="12" t="n">
        <v>12277</v>
      </c>
      <c r="F31" s="12" t="n">
        <v>12436</v>
      </c>
      <c r="G31" s="12" t="n">
        <v>13550</v>
      </c>
      <c r="H31" s="11" t="n">
        <v>9735.178</v>
      </c>
      <c r="I31" s="12" t="n">
        <v>8704.940000000001</v>
      </c>
      <c r="J31" s="12" t="n">
        <v>9799.662</v>
      </c>
      <c r="K31" s="12" t="n">
        <v>10088.632</v>
      </c>
      <c r="L31" s="12" t="n">
        <v>12277</v>
      </c>
    </row>
    <row r="32">
      <c r="A32" s="18" t="inlineStr">
        <is>
          <t>자본금</t>
        </is>
      </c>
      <c r="B32" s="10" t="n"/>
      <c r="C32" s="19" t="n">
        <v>2500</v>
      </c>
      <c r="D32" s="20" t="n">
        <v>2500</v>
      </c>
      <c r="E32" s="20" t="n">
        <v>2500</v>
      </c>
      <c r="F32" s="20" t="n">
        <v>2500</v>
      </c>
      <c r="G32" s="20" t="n">
        <v>2500</v>
      </c>
      <c r="H32" s="19" t="n">
        <v>2500</v>
      </c>
      <c r="I32" s="20" t="n">
        <v>2500</v>
      </c>
      <c r="J32" s="20" t="n">
        <v>2500</v>
      </c>
      <c r="K32" s="20" t="n">
        <v>2500</v>
      </c>
      <c r="L32" s="20" t="n">
        <v>2500</v>
      </c>
    </row>
    <row r="33">
      <c r="A33" s="18" t="inlineStr">
        <is>
          <t>이익잉여금</t>
        </is>
      </c>
      <c r="B33" s="10" t="n"/>
      <c r="C33" s="19" t="n">
        <v>3562.627</v>
      </c>
      <c r="D33" s="20" t="n">
        <v>3961.782</v>
      </c>
      <c r="E33" s="20" t="n">
        <v>5567</v>
      </c>
      <c r="F33" s="20" t="n">
        <v>5607</v>
      </c>
      <c r="G33" s="20" t="n">
        <v>6367</v>
      </c>
      <c r="H33" s="19" t="n">
        <v>4931.603</v>
      </c>
      <c r="I33" s="20" t="n">
        <v>3108.635</v>
      </c>
      <c r="J33" s="20" t="n">
        <v>4051.751</v>
      </c>
      <c r="K33" s="20" t="n">
        <v>3347.091</v>
      </c>
      <c r="L33" s="20" t="n">
        <v>5567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/>
      <c r="G34" s="20" t="n"/>
      <c r="H34" s="19" t="n">
        <v>0</v>
      </c>
      <c r="I34" s="20" t="n">
        <v>6.241</v>
      </c>
      <c r="J34" s="20" t="n">
        <v>13.823</v>
      </c>
      <c r="K34" s="20" t="n">
        <v>9.404999999999999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9782.966</v>
      </c>
      <c r="D35" s="12" t="n">
        <v>10192.31</v>
      </c>
      <c r="E35" s="12" t="n">
        <v>12277</v>
      </c>
      <c r="F35" s="12" t="n">
        <v>12436</v>
      </c>
      <c r="G35" s="12" t="n">
        <v>13550</v>
      </c>
      <c r="H35" s="11" t="n">
        <v>9735.178</v>
      </c>
      <c r="I35" s="12" t="n">
        <v>8711.181</v>
      </c>
      <c r="J35" s="12" t="n">
        <v>9813.485000000001</v>
      </c>
      <c r="K35" s="12" t="n">
        <v>10098.037</v>
      </c>
      <c r="L35" s="12" t="n">
        <v>12277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2759.535</v>
      </c>
      <c r="D37" s="12" t="n"/>
      <c r="E37" s="12" t="n">
        <v>4012.29</v>
      </c>
      <c r="F37" s="12" t="n"/>
      <c r="G37" s="12" t="n">
        <v>231.29</v>
      </c>
      <c r="H37" s="11" t="n">
        <v>1029.812</v>
      </c>
      <c r="I37" s="12" t="n">
        <v>-1271.312</v>
      </c>
      <c r="J37" s="12" t="n">
        <v>1368.989</v>
      </c>
      <c r="K37" s="12" t="n">
        <v>850.165</v>
      </c>
      <c r="L37" s="12" t="n">
        <v>4012.29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327.908</v>
      </c>
      <c r="D38" s="20" t="n"/>
      <c r="E38" s="20" t="n">
        <v>374.377</v>
      </c>
      <c r="F38" s="20" t="n"/>
      <c r="G38" s="20" t="n">
        <v>480.377</v>
      </c>
      <c r="H38" s="19" t="n">
        <v>750.8680000000001</v>
      </c>
      <c r="I38" s="20" t="n">
        <v>709.835</v>
      </c>
      <c r="J38" s="20" t="n">
        <v>619.053</v>
      </c>
      <c r="K38" s="20" t="n">
        <v>339.742</v>
      </c>
      <c r="L38" s="20" t="n">
        <v>374.377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161</v>
      </c>
      <c r="D40" s="20" t="n"/>
      <c r="E40" s="20" t="n">
        <v>161.723</v>
      </c>
      <c r="F40" s="20" t="n"/>
      <c r="G40" s="20" t="n">
        <v>404.723</v>
      </c>
      <c r="H40" s="19" t="n">
        <v>269.543</v>
      </c>
      <c r="I40" s="20" t="n">
        <v>269.54</v>
      </c>
      <c r="J40" s="20" t="n">
        <v>0</v>
      </c>
      <c r="K40" s="20" t="n">
        <v>134.77</v>
      </c>
      <c r="L40" s="20" t="n">
        <v>161.723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IFERROR(IF((IF(COUNT('연간'!G52:J52)&lt;4,"",SUM('연간'!G52:J52)))&lt;=0,"적자",C28/(IF(COUNT('연간'!G52:J52)&lt;4,"",SUM('연간'!G52:J52)))),"")</f>
        <v/>
      </c>
      <c r="D49" s="47">
        <f>IFERROR(IF((IF(COUNT('연간'!H52:K52)&lt;4,"",SUM('연간'!H52:K52)))&lt;=0,"적자",D28/(IF(COUNT('연간'!H52:K52)&lt;4,"",SUM('연간'!H52:K52)))),"")</f>
        <v/>
      </c>
      <c r="E49" s="47">
        <f>IFERROR(IF((IF(COUNT('연간'!I52:L52)&lt;4,"",SUM('연간'!I52:L52)))&lt;=0,"적자",E28/(IF(COUNT('연간'!I52:L52)&lt;4,"",SUM('연간'!I52:L52)))),"")</f>
        <v/>
      </c>
      <c r="F49" s="47">
        <f>IFERROR(IF((IF(COUNT('연간'!J52:M52)&lt;4,"",SUM('연간'!J52:M52)))&lt;=0,"적자",F28/(IF(COUNT('연간'!J52:M52)&lt;4,"",SUM('연간'!J52:M52)))),"")</f>
        <v/>
      </c>
      <c r="G49" s="47">
        <f>IFERROR(IF((IF(COUNT('연간'!K52:N52)&lt;4,"",SUM('연간'!K52:N52)))&lt;=0,"적자",G28/(IF(COUNT('연간'!K52:N52)&lt;4,"",SUM('연간'!K52:N52)))),"")</f>
        <v/>
      </c>
      <c r="H49" s="46">
        <f>IFERROR(IF(('연간'!T52)&lt;=0,"적자",H28/('연간'!T52)),"")</f>
        <v/>
      </c>
      <c r="I49" s="47">
        <f>IFERROR(IF(('연간'!U52)&lt;=0,"적자",I28/('연간'!U52)),"")</f>
        <v/>
      </c>
      <c r="J49" s="47">
        <f>IFERROR(IF(('연간'!V52)&lt;=0,"적자",J28/('연간'!V52)),"")</f>
        <v/>
      </c>
      <c r="K49" s="47">
        <f>IFERROR(IF(('연간'!W52)&lt;=0,"적자",K28/('연간'!W52)),"")</f>
        <v/>
      </c>
      <c r="L49" s="47">
        <f>IFERROR(IF(('연간'!X52)&lt;=0,"적자",L28/('연간'!X52)),"")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IFERROR((IF(COUNT('연간'!G52:J52)&lt;4,"",SUM('연간'!G52:J52)))/C31,"")</f>
        <v/>
      </c>
      <c r="D51" s="36">
        <f>IFERROR((IF(COUNT('연간'!H52:K52)&lt;4,"",SUM('연간'!H52:K52)))/D31,"")</f>
        <v/>
      </c>
      <c r="E51" s="36">
        <f>IFERROR((IF(COUNT('연간'!I52:L52)&lt;4,"",SUM('연간'!I52:L52)))/E31,"")</f>
        <v/>
      </c>
      <c r="F51" s="36">
        <f>IFERROR((IF(COUNT('연간'!J52:M52)&lt;4,"",SUM('연간'!J52:M52)))/F31,"")</f>
        <v/>
      </c>
      <c r="G51" s="36">
        <f>IFERROR((IF(COUNT('연간'!K52:N52)&lt;4,"",SUM('연간'!K52:N52)))/G31,"")</f>
        <v/>
      </c>
      <c r="H51" s="35">
        <f>IFERROR(('연간'!T52)/H31,"")</f>
        <v/>
      </c>
      <c r="I51" s="36">
        <f>IFERROR(('연간'!U52)/I31,"")</f>
        <v/>
      </c>
      <c r="J51" s="36">
        <f>IFERROR(('연간'!V52)/J31,"")</f>
        <v/>
      </c>
      <c r="K51" s="36">
        <f>IFERROR(('연간'!W52)/K31,"")</f>
        <v/>
      </c>
      <c r="L51" s="36">
        <f>IFERROR(('연간'!X52)/L31,"")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IFERROR((IF(COUNT('연간'!G50:J50)&lt;4,"",SUM('연간'!G50:J50)))/C16,"")</f>
        <v/>
      </c>
      <c r="D52" s="36">
        <f>IFERROR((IF(COUNT('연간'!H50:K50)&lt;4,"",SUM('연간'!H50:K50)))/D16,"")</f>
        <v/>
      </c>
      <c r="E52" s="36">
        <f>IFERROR((IF(COUNT('연간'!I50:L50)&lt;4,"",SUM('연간'!I50:L50)))/E16,"")</f>
        <v/>
      </c>
      <c r="F52" s="36">
        <f>IFERROR((IF(COUNT('연간'!J50:M50)&lt;4,"",SUM('연간'!J50:M50)))/F16,"")</f>
        <v/>
      </c>
      <c r="G52" s="36">
        <f>IFERROR((IF(COUNT('연간'!K50:N50)&lt;4,"",SUM('연간'!K50:N50)))/G16,"")</f>
        <v/>
      </c>
      <c r="H52" s="35">
        <f>IFERROR(('연간'!T50)/H16,"")</f>
        <v/>
      </c>
      <c r="I52" s="36">
        <f>IFERROR(('연간'!U50)/I16,"")</f>
        <v/>
      </c>
      <c r="J52" s="36">
        <f>IFERROR(('연간'!V50)/J16,"")</f>
        <v/>
      </c>
      <c r="K52" s="36">
        <f>IFERROR(('연간'!W50)/K16,"")</f>
        <v/>
      </c>
      <c r="L52" s="36">
        <f>IFERROR(('연간'!X50)/L16,"")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IFERROR((IF(COUNT('연간'!G16:J16)&lt;4,"",SUM('연간'!G16:J16)))/(IF(COUNT('연간'!G4:J4)&lt;4,"",SUM('연간'!G4:J4))),"")</f>
        <v/>
      </c>
      <c r="D54" s="36">
        <f>IFERROR((IF(COUNT('연간'!H16:K16)&lt;4,"",SUM('연간'!H16:K16)))/(IF(COUNT('연간'!H4:K4)&lt;4,"",SUM('연간'!H4:K4))),"")</f>
        <v/>
      </c>
      <c r="E54" s="36">
        <f>IFERROR((IF(COUNT('연간'!I16:L16)&lt;4,"",SUM('연간'!I16:L16)))/(IF(COUNT('연간'!I4:L4)&lt;4,"",SUM('연간'!I4:L4))),"")</f>
        <v/>
      </c>
      <c r="F54" s="36">
        <f>IFERROR((IF(COUNT('연간'!J16:M16)&lt;4,"",SUM('연간'!J16:M16)))/(IF(COUNT('연간'!J4:M4)&lt;4,"",SUM('연간'!J4:M4))),"")</f>
        <v/>
      </c>
      <c r="G54" s="36">
        <f>IFERROR((IF(COUNT('연간'!K16:N16)&lt;4,"",SUM('연간'!K16:N16)))/(IF(COUNT('연간'!K4:N4)&lt;4,"",SUM('연간'!K4:N4))),"")</f>
        <v/>
      </c>
      <c r="H54" s="35">
        <f>IFERROR(('연간'!T16)/('연간'!T4),"")</f>
        <v/>
      </c>
      <c r="I54" s="36">
        <f>IFERROR(('연간'!U16)/('연간'!U4),"")</f>
        <v/>
      </c>
      <c r="J54" s="36">
        <f>IFERROR(('연간'!V16)/('연간'!V4),"")</f>
        <v/>
      </c>
      <c r="K54" s="36">
        <f>IFERROR(('연간'!W16)/('연간'!W4),"")</f>
        <v/>
      </c>
      <c r="L54" s="36">
        <f>IFERROR(('연간'!X16)/('연간'!X4),"")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IFERROR((IF(COUNT('연간'!G50:J50)&lt;4,"",SUM('연간'!G50:J50)))/(IF(COUNT('연간'!G4:J4)&lt;4,"",SUM('연간'!G4:J4))),"")</f>
        <v/>
      </c>
      <c r="D56" s="36">
        <f>IFERROR((IF(COUNT('연간'!H50:K50)&lt;4,"",SUM('연간'!H50:K50)))/(IF(COUNT('연간'!H4:K4)&lt;4,"",SUM('연간'!H4:K4))),"")</f>
        <v/>
      </c>
      <c r="E56" s="36">
        <f>IFERROR((IF(COUNT('연간'!I50:L50)&lt;4,"",SUM('연간'!I50:L50)))/(IF(COUNT('연간'!I4:L4)&lt;4,"",SUM('연간'!I4:L4))),"")</f>
        <v/>
      </c>
      <c r="F56" s="36">
        <f>IFERROR((IF(COUNT('연간'!J50:M50)&lt;4,"",SUM('연간'!J50:M50)))/(IF(COUNT('연간'!J4:M4)&lt;4,"",SUM('연간'!J4:M4))),"")</f>
        <v/>
      </c>
      <c r="G56" s="36">
        <f>IFERROR((IF(COUNT('연간'!K50:N50)&lt;4,"",SUM('연간'!K50:N50)))/(IF(COUNT('연간'!K4:N4)&lt;4,"",SUM('연간'!K4:N4))),"")</f>
        <v/>
      </c>
      <c r="H56" s="35">
        <f>IFERROR(('연간'!T50)/('연간'!T4),"")</f>
        <v/>
      </c>
      <c r="I56" s="36">
        <f>IFERROR(('연간'!U50)/('연간'!U4),"")</f>
        <v/>
      </c>
      <c r="J56" s="36">
        <f>IFERROR(('연간'!V50)/('연간'!V4),"")</f>
        <v/>
      </c>
      <c r="K56" s="36">
        <f>IFERROR(('연간'!W50)/('연간'!W4),"")</f>
        <v/>
      </c>
      <c r="L56" s="36">
        <f>IFERROR(('연간'!X50)/('연간'!X4),"")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IF(C37="","",IFERROR(C37/(IF(COUNT('연간'!G50:J50)&lt;4,"",SUM('연간'!G50:J50))),""))</f>
        <v/>
      </c>
      <c r="D64" s="31">
        <f>IF(D37="","",IFERROR(D37/(IF(COUNT('연간'!H50:K50)&lt;4,"",SUM('연간'!H50:K50))),""))</f>
        <v/>
      </c>
      <c r="E64" s="31">
        <f>IF(E37="","",IFERROR(E37/(IF(COUNT('연간'!I50:L50)&lt;4,"",SUM('연간'!I50:L50))),""))</f>
        <v/>
      </c>
      <c r="F64" s="31">
        <f>IF(F37="","",IFERROR(F37/(IF(COUNT('연간'!J50:M50)&lt;4,"",SUM('연간'!J50:M50))),""))</f>
        <v/>
      </c>
      <c r="G64" s="31">
        <f>IF(G37="","",IFERROR(G37/(IF(COUNT('연간'!K50:N50)&lt;4,"",SUM('연간'!K50:N50))),""))</f>
        <v/>
      </c>
      <c r="H64" s="30">
        <f>IF(H37="","",IFERROR(H37/('연간'!T50),""))</f>
        <v/>
      </c>
      <c r="I64" s="31">
        <f>IF(I37="","",IFERROR(I37/('연간'!U50),""))</f>
        <v/>
      </c>
      <c r="J64" s="31">
        <f>IF(J37="","",IFERROR(J37/('연간'!V50),""))</f>
        <v/>
      </c>
      <c r="K64" s="31">
        <f>IF(K37="","",IFERROR(K37/('연간'!W50),""))</f>
        <v/>
      </c>
      <c r="L64" s="31">
        <f>IF(L37="","",IFERROR(L37/('연간'!X50),""))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IF(C40="","",IFERROR(C40/(IF(COUNT('연간'!G52:J52)&lt;4,"",SUM('연간'!G52:J52))),""))</f>
        <v/>
      </c>
      <c r="D67" s="36">
        <f>IF(D40="","",IFERROR(D40/(IF(COUNT('연간'!H52:K52)&lt;4,"",SUM('연간'!H52:K52))),""))</f>
        <v/>
      </c>
      <c r="E67" s="36">
        <f>IF(E40="","",IFERROR(E40/(IF(COUNT('연간'!I52:L52)&lt;4,"",SUM('연간'!I52:L52))),""))</f>
        <v/>
      </c>
      <c r="F67" s="36">
        <f>IF(F40="","",IFERROR(F40/(IF(COUNT('연간'!J52:M52)&lt;4,"",SUM('연간'!J52:M52))),""))</f>
        <v/>
      </c>
      <c r="G67" s="36">
        <f>IF(G40="","",IFERROR(G40/(IF(COUNT('연간'!K52:N52)&lt;4,"",SUM('연간'!K52:N52))),""))</f>
        <v/>
      </c>
      <c r="H67" s="35">
        <f>IF(H40="","",IFERROR(H40/('연간'!T52),""))</f>
        <v/>
      </c>
      <c r="I67" s="36">
        <f>IF(I40="","",IFERROR(I40/('연간'!U52),""))</f>
        <v/>
      </c>
      <c r="J67" s="36">
        <f>IF(J40="","",IFERROR(J40/('연간'!V52),""))</f>
        <v/>
      </c>
      <c r="K67" s="36">
        <f>IF(K40="","",IFERROR(K40/('연간'!W52),""))</f>
        <v/>
      </c>
      <c r="L67" s="36">
        <f>IF(L40="","",IFERROR(L40/('연간'!X52),""))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4945.729</v>
      </c>
      <c r="D71" s="20" t="n">
        <v>4473.545</v>
      </c>
      <c r="E71" s="20" t="n">
        <v>4688</v>
      </c>
      <c r="F71" s="20" t="n">
        <v>5808</v>
      </c>
      <c r="G71" s="20" t="n">
        <v>5497</v>
      </c>
      <c r="H71" s="20" t="n">
        <v>4145.116</v>
      </c>
      <c r="I71" s="20" t="n">
        <v>3683.306</v>
      </c>
      <c r="J71" s="20" t="n">
        <v>3191.204</v>
      </c>
      <c r="K71" s="20" t="n">
        <v>3438.718</v>
      </c>
      <c r="L71" s="20" t="n">
        <v>4688</v>
      </c>
    </row>
    <row r="72">
      <c r="A72" s="18" t="inlineStr">
        <is>
          <t>받을어음·매출채권</t>
        </is>
      </c>
      <c r="C72" s="20" t="n">
        <v>10080.845</v>
      </c>
      <c r="D72" s="20" t="n">
        <v>10218.493</v>
      </c>
      <c r="H72" s="20" t="n">
        <v>7753.192</v>
      </c>
      <c r="I72" s="20" t="n">
        <v>11296.378</v>
      </c>
      <c r="J72" s="20" t="n">
        <v>11024.927</v>
      </c>
      <c r="K72" s="20" t="n">
        <v>13513.574</v>
      </c>
    </row>
    <row r="73">
      <c r="A73" s="18" t="inlineStr">
        <is>
          <t>받을어음·매출채권·계약자산</t>
        </is>
      </c>
      <c r="E73" s="20" t="n">
        <v>15177</v>
      </c>
      <c r="F73" s="20" t="n">
        <v>13550</v>
      </c>
      <c r="G73" s="20" t="n">
        <v>17701</v>
      </c>
      <c r="K73" s="20" t="n">
        <v>14204.473</v>
      </c>
      <c r="L73" s="20" t="n">
        <v>15177</v>
      </c>
    </row>
    <row r="74">
      <c r="A74" s="18" t="inlineStr">
        <is>
          <t>전자기록채권</t>
        </is>
      </c>
      <c r="C74" s="20" t="n">
        <v>775.419</v>
      </c>
      <c r="D74" s="20" t="n">
        <v>843.593</v>
      </c>
      <c r="E74" s="20" t="n">
        <v>989</v>
      </c>
      <c r="F74" s="20" t="n">
        <v>1076</v>
      </c>
      <c r="G74" s="20" t="n">
        <v>825</v>
      </c>
      <c r="H74" s="20" t="n">
        <v>821.683</v>
      </c>
      <c r="I74" s="20" t="n">
        <v>1215.782</v>
      </c>
      <c r="J74" s="20" t="n">
        <v>1157.19</v>
      </c>
      <c r="K74" s="20" t="n">
        <v>809.5839999999999</v>
      </c>
      <c r="L74" s="20" t="n">
        <v>989</v>
      </c>
    </row>
    <row r="75">
      <c r="A75" s="18" t="inlineStr">
        <is>
          <t>상품·제품</t>
        </is>
      </c>
      <c r="C75" s="20" t="n">
        <v>4369.038</v>
      </c>
      <c r="D75" s="20" t="n">
        <v>4177.233</v>
      </c>
      <c r="E75" s="20" t="n">
        <v>3940</v>
      </c>
      <c r="F75" s="20" t="n">
        <v>4585</v>
      </c>
      <c r="G75" s="20" t="n">
        <v>4115</v>
      </c>
      <c r="H75" s="20" t="n">
        <v>3039.37</v>
      </c>
      <c r="I75" s="20" t="n">
        <v>4430.548</v>
      </c>
      <c r="J75" s="20" t="n">
        <v>3836.739</v>
      </c>
      <c r="K75" s="20" t="n">
        <v>3867.308</v>
      </c>
      <c r="L75" s="20" t="n">
        <v>3940</v>
      </c>
    </row>
    <row r="76">
      <c r="A76" s="18" t="inlineStr">
        <is>
          <t>재공품</t>
        </is>
      </c>
      <c r="C76" s="20" t="n">
        <v>1404.01</v>
      </c>
      <c r="D76" s="20" t="n">
        <v>1530.794</v>
      </c>
      <c r="E76" s="20" t="n">
        <v>1232</v>
      </c>
      <c r="F76" s="20" t="n">
        <v>1624</v>
      </c>
      <c r="G76" s="20" t="n">
        <v>1683</v>
      </c>
      <c r="H76" s="20" t="n">
        <v>1100.529</v>
      </c>
      <c r="I76" s="20" t="n">
        <v>1314.332</v>
      </c>
      <c r="J76" s="20" t="n">
        <v>1427.979</v>
      </c>
      <c r="K76" s="20" t="n">
        <v>1142.259</v>
      </c>
      <c r="L76" s="20" t="n">
        <v>1232</v>
      </c>
    </row>
    <row r="77">
      <c r="A77" s="18" t="inlineStr">
        <is>
          <t>원재료·저장품</t>
        </is>
      </c>
      <c r="C77" s="20" t="n">
        <v>2873.052</v>
      </c>
      <c r="D77" s="20" t="n">
        <v>2778.327</v>
      </c>
      <c r="E77" s="20" t="n">
        <v>2464</v>
      </c>
      <c r="F77" s="20" t="n">
        <v>2693</v>
      </c>
      <c r="G77" s="20" t="n">
        <v>2933</v>
      </c>
      <c r="H77" s="20" t="n">
        <v>2523.491</v>
      </c>
      <c r="I77" s="20" t="n">
        <v>3514.196</v>
      </c>
      <c r="J77" s="20" t="n">
        <v>3285.227</v>
      </c>
      <c r="K77" s="20" t="n">
        <v>3002.179</v>
      </c>
      <c r="L77" s="20" t="n">
        <v>2464</v>
      </c>
    </row>
    <row r="78">
      <c r="A78" s="18" t="inlineStr">
        <is>
          <t>기타</t>
        </is>
      </c>
      <c r="C78" s="20" t="n">
        <v>1773.642</v>
      </c>
      <c r="D78" s="20" t="n">
        <v>2580.591</v>
      </c>
      <c r="E78" s="20" t="n">
        <v>2366</v>
      </c>
      <c r="F78" s="20" t="n">
        <v>1857</v>
      </c>
      <c r="G78" s="20" t="n">
        <v>2652</v>
      </c>
      <c r="H78" s="20" t="n">
        <v>1634.278</v>
      </c>
      <c r="I78" s="20" t="n">
        <v>2037.788</v>
      </c>
      <c r="J78" s="20" t="n">
        <v>2535.305</v>
      </c>
      <c r="K78" s="20" t="n">
        <v>2103.655</v>
      </c>
      <c r="L78" s="20" t="n">
        <v>2366</v>
      </c>
    </row>
    <row r="79">
      <c r="A79" s="18" t="inlineStr">
        <is>
          <t>대손충당금</t>
        </is>
      </c>
      <c r="C79" s="20" t="n">
        <v>-142.105</v>
      </c>
      <c r="D79" s="20" t="n">
        <v>-111.178</v>
      </c>
      <c r="E79" s="20" t="n">
        <v>-128</v>
      </c>
      <c r="F79" s="20" t="n">
        <v>-116</v>
      </c>
      <c r="G79" s="20" t="n">
        <v>-121</v>
      </c>
      <c r="H79" s="20" t="n">
        <v>-83.181</v>
      </c>
      <c r="I79" s="20" t="n">
        <v>-105.645</v>
      </c>
      <c r="J79" s="20" t="n">
        <v>-97.81</v>
      </c>
      <c r="K79" s="20" t="n">
        <v>-169.444</v>
      </c>
      <c r="L79" s="20" t="n">
        <v>-128</v>
      </c>
    </row>
    <row r="80">
      <c r="A80" s="9" t="inlineStr">
        <is>
          <t>유동자산 합계</t>
        </is>
      </c>
      <c r="C80" s="12" t="n">
        <v>26079.631</v>
      </c>
      <c r="D80" s="12" t="n">
        <v>26491.4</v>
      </c>
      <c r="E80" s="12" t="n">
        <v>30731</v>
      </c>
      <c r="F80" s="12" t="n">
        <v>31079</v>
      </c>
      <c r="G80" s="12" t="n">
        <v>35287</v>
      </c>
      <c r="H80" s="12" t="n">
        <v>20934.482</v>
      </c>
      <c r="I80" s="12" t="n">
        <v>27386.688</v>
      </c>
      <c r="J80" s="12" t="n">
        <v>26360.765</v>
      </c>
      <c r="K80" s="12" t="n">
        <v>28398.735</v>
      </c>
      <c r="L80" s="12" t="n">
        <v>30731</v>
      </c>
    </row>
    <row r="81">
      <c r="A81" s="18" t="inlineStr">
        <is>
          <t>건물·구축물</t>
        </is>
      </c>
      <c r="E81" s="20" t="n">
        <v>3327.765</v>
      </c>
      <c r="H81" s="20" t="n">
        <v>3012.957</v>
      </c>
      <c r="I81" s="20" t="n">
        <v>3058.118</v>
      </c>
      <c r="J81" s="20" t="n">
        <v>3186.215</v>
      </c>
      <c r="K81" s="20" t="n">
        <v>3394.308</v>
      </c>
      <c r="L81" s="20" t="n">
        <v>3327.765</v>
      </c>
    </row>
    <row r="82">
      <c r="A82" s="18" t="inlineStr">
        <is>
          <t>감가상각누계액</t>
        </is>
      </c>
      <c r="E82" s="20" t="n">
        <v>-2391.477</v>
      </c>
      <c r="H82" s="20" t="n">
        <v>-2021.661</v>
      </c>
      <c r="I82" s="20" t="n">
        <v>-2023.939</v>
      </c>
      <c r="J82" s="20" t="n">
        <v>-2123.244</v>
      </c>
      <c r="K82" s="20" t="n">
        <v>-2423.383</v>
      </c>
      <c r="L82" s="20" t="n">
        <v>-2391.477</v>
      </c>
    </row>
    <row r="83">
      <c r="A83" s="18" t="inlineStr">
        <is>
          <t>건물·구축물(순액)</t>
        </is>
      </c>
      <c r="C83" s="20" t="n">
        <v>949.427</v>
      </c>
      <c r="D83" s="20" t="n">
        <v>932.271</v>
      </c>
      <c r="E83" s="20" t="n">
        <v>936</v>
      </c>
      <c r="F83" s="20" t="n">
        <v>922</v>
      </c>
      <c r="G83" s="20" t="n">
        <v>924</v>
      </c>
      <c r="H83" s="20" t="n">
        <v>991.296</v>
      </c>
      <c r="I83" s="20" t="n">
        <v>1034.179</v>
      </c>
      <c r="J83" s="20" t="n">
        <v>1062.971</v>
      </c>
      <c r="K83" s="20" t="n">
        <v>970.925</v>
      </c>
      <c r="L83" s="20" t="n">
        <v>936</v>
      </c>
    </row>
    <row r="84">
      <c r="A84" s="18" t="inlineStr">
        <is>
          <t>기계장치·운반구</t>
        </is>
      </c>
      <c r="E84" s="20" t="n">
        <v>1291.336</v>
      </c>
      <c r="H84" s="20" t="n">
        <v>967.066</v>
      </c>
      <c r="I84" s="20" t="n">
        <v>994.974</v>
      </c>
      <c r="J84" s="20" t="n">
        <v>1166.896</v>
      </c>
      <c r="K84" s="20" t="n">
        <v>1582.874</v>
      </c>
      <c r="L84" s="20" t="n">
        <v>1291.336</v>
      </c>
    </row>
    <row r="85">
      <c r="A85" s="18" t="inlineStr">
        <is>
          <t>감가상각누계액</t>
        </is>
      </c>
      <c r="E85" s="20" t="n">
        <v>-845.2089999999999</v>
      </c>
      <c r="H85" s="20" t="n">
        <v>-530.4690000000001</v>
      </c>
      <c r="I85" s="20" t="n">
        <v>-545.147</v>
      </c>
      <c r="J85" s="20" t="n">
        <v>-564.205</v>
      </c>
      <c r="K85" s="20" t="n">
        <v>-1028.857</v>
      </c>
      <c r="L85" s="20" t="n">
        <v>-845.2089999999999</v>
      </c>
    </row>
    <row r="86">
      <c r="A86" s="18" t="inlineStr">
        <is>
          <t>기계장치·운반구(순액)</t>
        </is>
      </c>
      <c r="E86" s="20" t="n">
        <v>446.126</v>
      </c>
      <c r="H86" s="20" t="n">
        <v>436.597</v>
      </c>
      <c r="I86" s="20" t="n">
        <v>449.826</v>
      </c>
      <c r="J86" s="20" t="n">
        <v>602.691</v>
      </c>
      <c r="K86" s="20" t="n">
        <v>554.0170000000001</v>
      </c>
      <c r="L86" s="20" t="n">
        <v>446.126</v>
      </c>
    </row>
    <row r="87">
      <c r="A87" s="18" t="inlineStr">
        <is>
          <t>토지</t>
        </is>
      </c>
      <c r="C87" s="20" t="n">
        <v>2729.431</v>
      </c>
      <c r="D87" s="20" t="n">
        <v>2729.431</v>
      </c>
      <c r="E87" s="20" t="n">
        <v>2767</v>
      </c>
      <c r="F87" s="20" t="n">
        <v>2767</v>
      </c>
      <c r="G87" s="20" t="n">
        <v>2767</v>
      </c>
      <c r="H87" s="20" t="n">
        <v>2541.88</v>
      </c>
      <c r="I87" s="20" t="n">
        <v>2541.88</v>
      </c>
      <c r="J87" s="20" t="n">
        <v>2588.962</v>
      </c>
      <c r="K87" s="20" t="n">
        <v>2769.656</v>
      </c>
      <c r="L87" s="20" t="n">
        <v>2767</v>
      </c>
    </row>
    <row r="88">
      <c r="A88" s="18" t="inlineStr">
        <is>
          <t>리스자산</t>
        </is>
      </c>
      <c r="E88" s="20" t="n">
        <v>1455.149</v>
      </c>
      <c r="H88" s="20" t="n">
        <v>677.2380000000001</v>
      </c>
      <c r="I88" s="20" t="n">
        <v>809.3099999999999</v>
      </c>
      <c r="J88" s="20" t="n">
        <v>1102.667</v>
      </c>
      <c r="K88" s="20" t="n">
        <v>1341.577</v>
      </c>
      <c r="L88" s="20" t="n">
        <v>1455.149</v>
      </c>
    </row>
    <row r="89">
      <c r="A89" s="18" t="inlineStr">
        <is>
          <t>감가상각누계액</t>
        </is>
      </c>
      <c r="E89" s="20" t="n">
        <v>-903.29</v>
      </c>
      <c r="H89" s="20" t="n">
        <v>-301.821</v>
      </c>
      <c r="I89" s="20" t="n">
        <v>-463.062</v>
      </c>
      <c r="J89" s="20" t="n">
        <v>-465.297</v>
      </c>
      <c r="K89" s="20" t="n">
        <v>-742.951</v>
      </c>
      <c r="L89" s="20" t="n">
        <v>-903.29</v>
      </c>
    </row>
    <row r="90">
      <c r="A90" s="18" t="inlineStr">
        <is>
          <t>리스자산(순액)</t>
        </is>
      </c>
      <c r="E90" s="20" t="n">
        <v>551.859</v>
      </c>
      <c r="H90" s="20" t="n">
        <v>375.417</v>
      </c>
      <c r="I90" s="20" t="n">
        <v>346.247</v>
      </c>
      <c r="J90" s="20" t="n">
        <v>637.369</v>
      </c>
      <c r="K90" s="20" t="n">
        <v>598.626</v>
      </c>
      <c r="L90" s="20" t="n">
        <v>551.859</v>
      </c>
    </row>
    <row r="91">
      <c r="A91" s="18" t="inlineStr">
        <is>
          <t>건설중인자산</t>
        </is>
      </c>
      <c r="E91" s="20" t="n">
        <v>102.197</v>
      </c>
      <c r="H91" s="20" t="n">
        <v>46.017</v>
      </c>
      <c r="I91" s="20" t="n">
        <v>29.137</v>
      </c>
      <c r="J91" s="20" t="n">
        <v>126.284</v>
      </c>
      <c r="K91" s="20" t="n">
        <v>114.243</v>
      </c>
      <c r="L91" s="20" t="n">
        <v>102.197</v>
      </c>
    </row>
    <row r="92">
      <c r="A92" s="18" t="inlineStr">
        <is>
          <t>기타</t>
        </is>
      </c>
      <c r="E92" s="20" t="n">
        <v>2224.656</v>
      </c>
      <c r="H92" s="20" t="n">
        <v>1778.725</v>
      </c>
      <c r="I92" s="20" t="n">
        <v>1941.206</v>
      </c>
      <c r="J92" s="20" t="n">
        <v>1949.535</v>
      </c>
      <c r="K92" s="20" t="n">
        <v>2352.956</v>
      </c>
      <c r="L92" s="20" t="n">
        <v>2224.656</v>
      </c>
    </row>
    <row r="93">
      <c r="A93" s="18" t="inlineStr">
        <is>
          <t>감가상각누계액</t>
        </is>
      </c>
      <c r="E93" s="20" t="n">
        <v>-1869.784</v>
      </c>
      <c r="H93" s="20" t="n">
        <v>-1479.874</v>
      </c>
      <c r="I93" s="20" t="n">
        <v>-1587.927</v>
      </c>
      <c r="J93" s="20" t="n">
        <v>-1606.086</v>
      </c>
      <c r="K93" s="20" t="n">
        <v>-1996.62</v>
      </c>
      <c r="L93" s="20" t="n">
        <v>-1869.784</v>
      </c>
    </row>
    <row r="94">
      <c r="A94" s="18" t="inlineStr">
        <is>
          <t>기타(순액)</t>
        </is>
      </c>
      <c r="C94" s="20" t="n">
        <v>1534.962</v>
      </c>
      <c r="D94" s="20" t="n">
        <v>1517.964</v>
      </c>
      <c r="E94" s="20" t="n">
        <v>1455</v>
      </c>
      <c r="F94" s="20" t="n">
        <v>1553</v>
      </c>
      <c r="G94" s="20" t="n">
        <v>1524</v>
      </c>
      <c r="H94" s="20" t="n">
        <v>298.85</v>
      </c>
      <c r="I94" s="20" t="n">
        <v>353.278</v>
      </c>
      <c r="J94" s="20" t="n">
        <v>343.449</v>
      </c>
      <c r="K94" s="20" t="n">
        <v>356.335</v>
      </c>
      <c r="L94" s="20" t="n">
        <v>1455</v>
      </c>
    </row>
    <row r="95">
      <c r="A95" s="18" t="inlineStr">
        <is>
          <t>유형자산 합계</t>
        </is>
      </c>
      <c r="C95" s="20" t="n">
        <v>5213.82</v>
      </c>
      <c r="D95" s="20" t="n">
        <v>5179.666</v>
      </c>
      <c r="E95" s="20" t="n">
        <v>5158</v>
      </c>
      <c r="F95" s="20" t="n">
        <v>5244</v>
      </c>
      <c r="G95" s="20" t="n">
        <v>5216</v>
      </c>
      <c r="H95" s="20" t="n">
        <v>4690.059</v>
      </c>
      <c r="I95" s="20" t="n">
        <v>4754.55</v>
      </c>
      <c r="J95" s="20" t="n">
        <v>5361.729</v>
      </c>
      <c r="K95" s="20" t="n">
        <v>5363.805</v>
      </c>
      <c r="L95" s="20" t="n">
        <v>5158</v>
      </c>
    </row>
    <row r="96">
      <c r="A96" s="18" t="inlineStr">
        <is>
          <t>영업권</t>
        </is>
      </c>
      <c r="C96" s="20" t="n">
        <v>826.129</v>
      </c>
      <c r="D96" s="20" t="n">
        <v>727.423</v>
      </c>
      <c r="E96" s="20" t="n">
        <v>997</v>
      </c>
      <c r="F96" s="20" t="n">
        <v>938</v>
      </c>
      <c r="G96" s="20" t="n">
        <v>2597</v>
      </c>
      <c r="H96" s="20" t="n">
        <v>2526.122</v>
      </c>
      <c r="I96" s="20" t="n">
        <v>1454.908</v>
      </c>
      <c r="J96" s="20" t="n">
        <v>1308.266</v>
      </c>
      <c r="K96" s="20" t="n">
        <v>823.1900000000001</v>
      </c>
      <c r="L96" s="20" t="n">
        <v>997</v>
      </c>
    </row>
    <row r="97">
      <c r="A97" s="18" t="inlineStr">
        <is>
          <t>고객관계자산</t>
        </is>
      </c>
      <c r="E97" s="20" t="n">
        <v>983.859</v>
      </c>
      <c r="H97" s="20" t="n">
        <v>1033.502</v>
      </c>
      <c r="I97" s="20" t="n">
        <v>1090.594</v>
      </c>
      <c r="J97" s="20" t="n">
        <v>1072.511</v>
      </c>
      <c r="K97" s="20" t="n">
        <v>1052.833</v>
      </c>
      <c r="L97" s="20" t="n">
        <v>983.859</v>
      </c>
    </row>
    <row r="98">
      <c r="A98" s="18" t="inlineStr">
        <is>
          <t>소프트웨어</t>
        </is>
      </c>
      <c r="E98" s="20" t="n">
        <v>229.28</v>
      </c>
      <c r="H98" s="20" t="n">
        <v>463.081</v>
      </c>
      <c r="I98" s="20" t="n">
        <v>409.088</v>
      </c>
      <c r="J98" s="20" t="n">
        <v>335.764</v>
      </c>
      <c r="K98" s="20" t="n">
        <v>330.151</v>
      </c>
      <c r="L98" s="20" t="n">
        <v>229.28</v>
      </c>
    </row>
    <row r="99">
      <c r="A99" s="18" t="inlineStr">
        <is>
          <t>개발 중 소프트웨어</t>
        </is>
      </c>
      <c r="E99" s="20" t="n">
        <v>2.331</v>
      </c>
      <c r="H99" s="20" t="n">
        <v>117.615</v>
      </c>
      <c r="I99" s="20" t="n">
        <v>21.753</v>
      </c>
      <c r="J99" s="20" t="n">
        <v>7.463</v>
      </c>
      <c r="K99" s="20" t="n">
        <v>0</v>
      </c>
      <c r="L99" s="20" t="n">
        <v>2.331</v>
      </c>
    </row>
    <row r="100">
      <c r="A100" s="18" t="inlineStr">
        <is>
          <t>기타</t>
        </is>
      </c>
      <c r="C100" s="20" t="n">
        <v>1245.693</v>
      </c>
      <c r="D100" s="20" t="n">
        <v>1217.173</v>
      </c>
      <c r="E100" s="20" t="n">
        <v>1225</v>
      </c>
      <c r="F100" s="20" t="n">
        <v>1207</v>
      </c>
      <c r="G100" s="20" t="n">
        <v>1197</v>
      </c>
      <c r="H100" s="20" t="n">
        <v>22.22</v>
      </c>
      <c r="I100" s="20" t="n">
        <v>18.115</v>
      </c>
      <c r="J100" s="20" t="n">
        <v>14.918</v>
      </c>
      <c r="K100" s="20" t="n">
        <v>13.754</v>
      </c>
      <c r="L100" s="20" t="n">
        <v>1225</v>
      </c>
    </row>
    <row r="101">
      <c r="A101" s="18" t="inlineStr">
        <is>
          <t>무형자산 합계</t>
        </is>
      </c>
      <c r="C101" s="20" t="n">
        <v>2071.822</v>
      </c>
      <c r="D101" s="20" t="n">
        <v>1944.596</v>
      </c>
      <c r="E101" s="20" t="n">
        <v>2223</v>
      </c>
      <c r="F101" s="20" t="n">
        <v>2146</v>
      </c>
      <c r="G101" s="20" t="n">
        <v>3794</v>
      </c>
      <c r="H101" s="20" t="n">
        <v>4162.542</v>
      </c>
      <c r="I101" s="20" t="n">
        <v>2994.46</v>
      </c>
      <c r="J101" s="20" t="n">
        <v>2738.924</v>
      </c>
      <c r="K101" s="20" t="n">
        <v>2219.929</v>
      </c>
      <c r="L101" s="20" t="n">
        <v>2223</v>
      </c>
    </row>
    <row r="102">
      <c r="A102" s="18" t="inlineStr">
        <is>
          <t>투자유가증권</t>
        </is>
      </c>
      <c r="E102" s="20" t="n">
        <v>373.697</v>
      </c>
      <c r="H102" s="20" t="n">
        <v>808.782</v>
      </c>
      <c r="I102" s="20" t="n">
        <v>879.903</v>
      </c>
      <c r="J102" s="20" t="n">
        <v>387.179</v>
      </c>
      <c r="K102" s="20" t="n">
        <v>457.291</v>
      </c>
      <c r="L102" s="20" t="n">
        <v>373.697</v>
      </c>
    </row>
    <row r="103">
      <c r="A103" s="18" t="inlineStr">
        <is>
          <t>이연법인세자산</t>
        </is>
      </c>
      <c r="E103" s="20" t="n">
        <v>314.553</v>
      </c>
      <c r="H103" s="20" t="n">
        <v>693.442</v>
      </c>
      <c r="I103" s="20" t="n">
        <v>171.942</v>
      </c>
      <c r="J103" s="20" t="n">
        <v>268.858</v>
      </c>
      <c r="K103" s="20" t="n">
        <v>311.589</v>
      </c>
      <c r="L103" s="20" t="n">
        <v>314.553</v>
      </c>
    </row>
    <row r="104">
      <c r="A104" s="18" t="inlineStr">
        <is>
          <t>기타</t>
        </is>
      </c>
      <c r="C104" s="20" t="n">
        <v>1259.702</v>
      </c>
      <c r="D104" s="20" t="n">
        <v>1383.911</v>
      </c>
      <c r="E104" s="20" t="n">
        <v>1301</v>
      </c>
      <c r="F104" s="20" t="n">
        <v>1433</v>
      </c>
      <c r="G104" s="20" t="n">
        <v>1587</v>
      </c>
      <c r="H104" s="20" t="n">
        <v>530.062</v>
      </c>
      <c r="I104" s="20" t="n">
        <v>755.72</v>
      </c>
      <c r="J104" s="20" t="n">
        <v>1014.831</v>
      </c>
      <c r="K104" s="20" t="n">
        <v>687.475</v>
      </c>
      <c r="L104" s="20" t="n">
        <v>1301</v>
      </c>
    </row>
    <row r="105">
      <c r="A105" s="18" t="inlineStr">
        <is>
          <t>대손충당금</t>
        </is>
      </c>
      <c r="C105" s="20" t="n">
        <v>-41.816</v>
      </c>
      <c r="D105" s="20" t="n">
        <v>-41.816</v>
      </c>
      <c r="E105" s="20" t="n">
        <v>-3</v>
      </c>
      <c r="F105" s="20" t="n">
        <v>-3</v>
      </c>
      <c r="G105" s="20" t="n">
        <v>-3</v>
      </c>
      <c r="H105" s="20" t="n">
        <v>-38.333</v>
      </c>
      <c r="I105" s="20" t="n">
        <v>-39.752</v>
      </c>
      <c r="J105" s="20" t="n">
        <v>-39.752</v>
      </c>
      <c r="K105" s="20" t="n">
        <v>-41.816</v>
      </c>
      <c r="L105" s="20" t="n">
        <v>-3</v>
      </c>
    </row>
    <row r="106">
      <c r="A106" s="18" t="inlineStr">
        <is>
          <t>투자 및 기타자산 합계</t>
        </is>
      </c>
      <c r="C106" s="20" t="n">
        <v>1217.885</v>
      </c>
      <c r="D106" s="20" t="n">
        <v>1342.095</v>
      </c>
      <c r="E106" s="20" t="n">
        <v>1298</v>
      </c>
      <c r="F106" s="20" t="n">
        <v>1430</v>
      </c>
      <c r="G106" s="20" t="n">
        <v>1584</v>
      </c>
      <c r="H106" s="20" t="n">
        <v>1993.953</v>
      </c>
      <c r="I106" s="20" t="n">
        <v>1767.814</v>
      </c>
      <c r="J106" s="20" t="n">
        <v>1631.116</v>
      </c>
      <c r="K106" s="20" t="n">
        <v>1414.54</v>
      </c>
      <c r="L106" s="20" t="n">
        <v>1298</v>
      </c>
    </row>
    <row r="107">
      <c r="A107" s="9" t="inlineStr">
        <is>
          <t>비유동자산 합계</t>
        </is>
      </c>
      <c r="C107" s="12" t="n">
        <v>8503.528</v>
      </c>
      <c r="D107" s="12" t="n">
        <v>8466.358</v>
      </c>
      <c r="E107" s="12" t="n">
        <v>8680</v>
      </c>
      <c r="F107" s="12" t="n">
        <v>8820</v>
      </c>
      <c r="G107" s="12" t="n">
        <v>10595</v>
      </c>
      <c r="H107" s="12" t="n">
        <v>10846.555</v>
      </c>
      <c r="I107" s="12" t="n">
        <v>9516.825000000001</v>
      </c>
      <c r="J107" s="12" t="n">
        <v>9731.77</v>
      </c>
      <c r="K107" s="12" t="n">
        <v>8998.273999999999</v>
      </c>
      <c r="L107" s="12" t="n">
        <v>8680</v>
      </c>
    </row>
    <row r="108">
      <c r="A108" s="9" t="inlineStr">
        <is>
          <t>자산 합계</t>
        </is>
      </c>
      <c r="C108" s="12" t="n">
        <v>34583.16</v>
      </c>
      <c r="D108" s="12" t="n">
        <v>34957.759</v>
      </c>
      <c r="E108" s="12" t="n">
        <v>39412</v>
      </c>
      <c r="F108" s="12" t="n">
        <v>39899</v>
      </c>
      <c r="G108" s="12" t="n">
        <v>45882</v>
      </c>
      <c r="H108" s="12" t="n">
        <v>31781.037</v>
      </c>
      <c r="I108" s="12" t="n">
        <v>36903.513</v>
      </c>
      <c r="J108" s="12" t="n">
        <v>36092.535</v>
      </c>
      <c r="K108" s="12" t="n">
        <v>37397.01</v>
      </c>
      <c r="L108" s="12" t="n">
        <v>39412</v>
      </c>
    </row>
    <row r="109">
      <c r="A109" s="18" t="inlineStr">
        <is>
          <t>지급어음·매입채무</t>
        </is>
      </c>
      <c r="C109" s="20" t="n">
        <v>4463.274</v>
      </c>
      <c r="D109" s="20" t="n">
        <v>4769.16</v>
      </c>
      <c r="E109" s="20" t="n">
        <v>6944</v>
      </c>
      <c r="F109" s="20" t="n">
        <v>5786</v>
      </c>
      <c r="G109" s="20" t="n">
        <v>6982</v>
      </c>
      <c r="H109" s="20" t="n">
        <v>4489.846</v>
      </c>
      <c r="I109" s="20" t="n">
        <v>8388.380999999999</v>
      </c>
      <c r="J109" s="20" t="n">
        <v>6082.846</v>
      </c>
      <c r="K109" s="20" t="n">
        <v>5713.329</v>
      </c>
      <c r="L109" s="20" t="n">
        <v>6944</v>
      </c>
    </row>
    <row r="110">
      <c r="A110" s="18" t="inlineStr">
        <is>
          <t>전자기록채무</t>
        </is>
      </c>
      <c r="E110" s="20" t="n">
        <v>192</v>
      </c>
      <c r="F110" s="20" t="n">
        <v>260</v>
      </c>
      <c r="G110" s="20" t="n">
        <v>388</v>
      </c>
      <c r="K110" s="20" t="n">
        <v>548.864</v>
      </c>
      <c r="L110" s="20" t="n">
        <v>192</v>
      </c>
    </row>
    <row r="111">
      <c r="A111" s="18" t="inlineStr">
        <is>
          <t>단기차입금</t>
        </is>
      </c>
      <c r="C111" s="20" t="n">
        <v>9155.949000000001</v>
      </c>
      <c r="D111" s="20" t="n">
        <v>8756.442999999999</v>
      </c>
      <c r="E111" s="20" t="n">
        <v>8166</v>
      </c>
      <c r="F111" s="20" t="n">
        <v>10021</v>
      </c>
      <c r="G111" s="20" t="n">
        <v>10396</v>
      </c>
      <c r="H111" s="20" t="n">
        <v>9168.540000000001</v>
      </c>
      <c r="I111" s="20" t="n">
        <v>11190.648</v>
      </c>
      <c r="J111" s="20" t="n">
        <v>10775.909</v>
      </c>
      <c r="K111" s="20" t="n">
        <v>9623.762000000001</v>
      </c>
      <c r="L111" s="20" t="n">
        <v>8166</v>
      </c>
    </row>
    <row r="112">
      <c r="A112" s="18" t="inlineStr">
        <is>
          <t>1년 내 상환 사채</t>
        </is>
      </c>
      <c r="H112" s="20" t="n">
        <v>50</v>
      </c>
      <c r="I112" s="20" t="n">
        <v>0</v>
      </c>
    </row>
    <row r="113">
      <c r="A113" s="18" t="inlineStr">
        <is>
          <t>1년 내 상환 장기차입금</t>
        </is>
      </c>
      <c r="C113" s="20" t="n">
        <v>2307.82</v>
      </c>
      <c r="D113" s="20" t="n">
        <v>2124.441</v>
      </c>
      <c r="E113" s="20" t="n">
        <v>1944</v>
      </c>
      <c r="F113" s="20" t="n">
        <v>1856</v>
      </c>
      <c r="G113" s="20" t="n">
        <v>2340</v>
      </c>
      <c r="K113" s="20" t="n">
        <v>2434.983</v>
      </c>
      <c r="L113" s="20" t="n">
        <v>1944</v>
      </c>
    </row>
    <row r="114">
      <c r="A114" s="18" t="inlineStr">
        <is>
          <t>리스부채</t>
        </is>
      </c>
      <c r="E114" s="20" t="n">
        <v>272.063</v>
      </c>
      <c r="H114" s="20" t="n">
        <v>172.851</v>
      </c>
      <c r="I114" s="20" t="n">
        <v>172.021</v>
      </c>
      <c r="J114" s="20" t="n">
        <v>215.439</v>
      </c>
      <c r="K114" s="20" t="n">
        <v>255.172</v>
      </c>
      <c r="L114" s="20" t="n">
        <v>272.063</v>
      </c>
    </row>
    <row r="115">
      <c r="A115" s="18" t="inlineStr">
        <is>
          <t>미지급법인세</t>
        </is>
      </c>
      <c r="C115" s="20" t="n">
        <v>363.964</v>
      </c>
      <c r="D115" s="20" t="n">
        <v>422.578</v>
      </c>
      <c r="E115" s="20" t="n">
        <v>683</v>
      </c>
      <c r="F115" s="20" t="n">
        <v>311</v>
      </c>
      <c r="G115" s="20" t="n">
        <v>519</v>
      </c>
      <c r="H115" s="20" t="n">
        <v>303.885</v>
      </c>
      <c r="I115" s="20" t="n">
        <v>261.2</v>
      </c>
      <c r="J115" s="20" t="n">
        <v>271.644</v>
      </c>
      <c r="K115" s="20" t="n">
        <v>226.144</v>
      </c>
      <c r="L115" s="20" t="n">
        <v>683</v>
      </c>
    </row>
    <row r="116">
      <c r="A116" s="18" t="inlineStr">
        <is>
          <t>상여충당금</t>
        </is>
      </c>
      <c r="C116" s="20" t="n">
        <v>360.424</v>
      </c>
      <c r="D116" s="20" t="n">
        <v>198.823</v>
      </c>
      <c r="E116" s="20" t="n">
        <v>391</v>
      </c>
      <c r="F116" s="20" t="n">
        <v>262</v>
      </c>
      <c r="G116" s="20" t="n">
        <v>614</v>
      </c>
      <c r="H116" s="20" t="n">
        <v>234.951</v>
      </c>
      <c r="I116" s="20" t="n">
        <v>247.69</v>
      </c>
      <c r="J116" s="20" t="n">
        <v>272.498</v>
      </c>
      <c r="K116" s="20" t="n">
        <v>309.424</v>
      </c>
      <c r="L116" s="20" t="n">
        <v>391</v>
      </c>
    </row>
    <row r="117">
      <c r="A117" s="18" t="inlineStr">
        <is>
          <t>기타</t>
        </is>
      </c>
      <c r="C117" s="20" t="n">
        <v>3397.672</v>
      </c>
      <c r="D117" s="20" t="n">
        <v>3974.085</v>
      </c>
      <c r="E117" s="20" t="n">
        <v>5239</v>
      </c>
      <c r="F117" s="20" t="n">
        <v>5820</v>
      </c>
      <c r="G117" s="20" t="n">
        <v>5603</v>
      </c>
      <c r="H117" s="20" t="n">
        <v>2126.433</v>
      </c>
      <c r="I117" s="20" t="n">
        <v>2498.867</v>
      </c>
      <c r="J117" s="20" t="n">
        <v>3509.228</v>
      </c>
      <c r="K117" s="20" t="n">
        <v>3449.229</v>
      </c>
      <c r="L117" s="20" t="n">
        <v>5239</v>
      </c>
    </row>
    <row r="118">
      <c r="A118" s="9" t="inlineStr">
        <is>
          <t>유동부채 합계</t>
        </is>
      </c>
      <c r="C118" s="12" t="n">
        <v>20049.106</v>
      </c>
      <c r="D118" s="12" t="n">
        <v>20245.533</v>
      </c>
      <c r="E118" s="12" t="n">
        <v>23562</v>
      </c>
      <c r="F118" s="12" t="n">
        <v>24319</v>
      </c>
      <c r="G118" s="12" t="n">
        <v>26845</v>
      </c>
      <c r="H118" s="12" t="n">
        <v>16546.508</v>
      </c>
      <c r="I118" s="12" t="n">
        <v>22758.809</v>
      </c>
      <c r="J118" s="12" t="n">
        <v>21127.567</v>
      </c>
      <c r="K118" s="12" t="n">
        <v>22560.911</v>
      </c>
      <c r="L118" s="12" t="n">
        <v>23562</v>
      </c>
    </row>
    <row r="119">
      <c r="A119" s="18" t="inlineStr">
        <is>
          <t>사채</t>
        </is>
      </c>
      <c r="H119" s="20" t="n">
        <v>0</v>
      </c>
    </row>
    <row r="120">
      <c r="A120" s="18" t="inlineStr">
        <is>
          <t>장기차입금</t>
        </is>
      </c>
      <c r="C120" s="20" t="n">
        <v>3910.784</v>
      </c>
      <c r="D120" s="20" t="n">
        <v>3704.117</v>
      </c>
      <c r="E120" s="20" t="n">
        <v>2874</v>
      </c>
      <c r="F120" s="20" t="n">
        <v>2456</v>
      </c>
      <c r="G120" s="20" t="n">
        <v>4862</v>
      </c>
      <c r="H120" s="20" t="n">
        <v>4676.169</v>
      </c>
      <c r="I120" s="20" t="n">
        <v>4698.09</v>
      </c>
      <c r="J120" s="20" t="n">
        <v>4211.652</v>
      </c>
      <c r="K120" s="20" t="n">
        <v>3877.465</v>
      </c>
      <c r="L120" s="20" t="n">
        <v>2874</v>
      </c>
    </row>
    <row r="121">
      <c r="A121" s="18" t="inlineStr">
        <is>
          <t>리스부채</t>
        </is>
      </c>
      <c r="E121" s="20" t="n">
        <v>343.339</v>
      </c>
      <c r="H121" s="20" t="n">
        <v>245.263</v>
      </c>
      <c r="I121" s="20" t="n">
        <v>237.113</v>
      </c>
      <c r="J121" s="20" t="n">
        <v>480.274</v>
      </c>
      <c r="K121" s="20" t="n">
        <v>402.556</v>
      </c>
      <c r="L121" s="20" t="n">
        <v>343.339</v>
      </c>
    </row>
    <row r="122">
      <c r="A122" s="18" t="inlineStr">
        <is>
          <t>이연법인세부채</t>
        </is>
      </c>
      <c r="E122" s="20" t="n">
        <v>217.829</v>
      </c>
      <c r="H122" s="20" t="n">
        <v>221.159</v>
      </c>
      <c r="I122" s="20" t="n">
        <v>290.383</v>
      </c>
      <c r="J122" s="20" t="n">
        <v>275.525</v>
      </c>
      <c r="K122" s="20" t="n">
        <v>332.094</v>
      </c>
      <c r="L122" s="20" t="n">
        <v>217.829</v>
      </c>
    </row>
    <row r="123">
      <c r="A123" s="18" t="inlineStr">
        <is>
          <t>퇴직급여부채</t>
        </is>
      </c>
      <c r="C123" s="20" t="n">
        <v>13.294</v>
      </c>
      <c r="D123" s="20" t="n">
        <v>13.257</v>
      </c>
      <c r="E123" s="20" t="n">
        <v>25</v>
      </c>
      <c r="F123" s="20" t="n">
        <v>21</v>
      </c>
      <c r="G123" s="20" t="n">
        <v>21</v>
      </c>
      <c r="H123" s="20" t="n">
        <v>140.09</v>
      </c>
      <c r="I123" s="20" t="n">
        <v>61.881</v>
      </c>
      <c r="J123" s="20" t="n">
        <v>18.896</v>
      </c>
      <c r="K123" s="20" t="n">
        <v>14.092</v>
      </c>
      <c r="L123" s="20" t="n">
        <v>25</v>
      </c>
    </row>
    <row r="124">
      <c r="A124" s="18" t="inlineStr">
        <is>
          <t>기타</t>
        </is>
      </c>
      <c r="C124" s="20" t="n">
        <v>827.008</v>
      </c>
      <c r="D124" s="20" t="n">
        <v>802.54</v>
      </c>
      <c r="E124" s="20" t="n">
        <v>671</v>
      </c>
      <c r="F124" s="20" t="n">
        <v>665</v>
      </c>
      <c r="G124" s="20" t="n">
        <v>602</v>
      </c>
      <c r="H124" s="20" t="n">
        <v>216.667</v>
      </c>
      <c r="I124" s="20" t="n">
        <v>146.052</v>
      </c>
      <c r="J124" s="20" t="n">
        <v>165.133</v>
      </c>
      <c r="K124" s="20" t="n">
        <v>111.853</v>
      </c>
      <c r="L124" s="20" t="n">
        <v>671</v>
      </c>
    </row>
    <row r="125">
      <c r="A125" s="9" t="inlineStr">
        <is>
          <t>비유동부채 합계</t>
        </is>
      </c>
      <c r="C125" s="12" t="n">
        <v>4751.087</v>
      </c>
      <c r="D125" s="12" t="n">
        <v>4519.915</v>
      </c>
      <c r="E125" s="12" t="n">
        <v>3572</v>
      </c>
      <c r="F125" s="12" t="n">
        <v>3143</v>
      </c>
      <c r="G125" s="12" t="n">
        <v>5486</v>
      </c>
      <c r="H125" s="12" t="n">
        <v>5499.35</v>
      </c>
      <c r="I125" s="12" t="n">
        <v>5433.521</v>
      </c>
      <c r="J125" s="12" t="n">
        <v>5151.482</v>
      </c>
      <c r="K125" s="12" t="n">
        <v>4738.061</v>
      </c>
      <c r="L125" s="12" t="n">
        <v>3572</v>
      </c>
    </row>
    <row r="126">
      <c r="A126" s="9" t="inlineStr">
        <is>
          <t>부채 합계</t>
        </is>
      </c>
      <c r="C126" s="12" t="n">
        <v>24800.194</v>
      </c>
      <c r="D126" s="12" t="n">
        <v>24765.448</v>
      </c>
      <c r="E126" s="12" t="n">
        <v>27134</v>
      </c>
      <c r="F126" s="12" t="n">
        <v>27462</v>
      </c>
      <c r="G126" s="12" t="n">
        <v>32332</v>
      </c>
      <c r="H126" s="12" t="n">
        <v>22045.859</v>
      </c>
      <c r="I126" s="12" t="n">
        <v>28192.331</v>
      </c>
      <c r="J126" s="12" t="n">
        <v>26279.049</v>
      </c>
      <c r="K126" s="12" t="n">
        <v>27298.973</v>
      </c>
      <c r="L126" s="12" t="n">
        <v>27134</v>
      </c>
    </row>
    <row r="127">
      <c r="A127" s="18" t="inlineStr">
        <is>
          <t>자본금</t>
        </is>
      </c>
      <c r="C127" s="20" t="n">
        <v>2500</v>
      </c>
      <c r="D127" s="20" t="n">
        <v>2500</v>
      </c>
      <c r="E127" s="20" t="n">
        <v>2500</v>
      </c>
      <c r="F127" s="20" t="n">
        <v>2500</v>
      </c>
      <c r="G127" s="20" t="n">
        <v>2500</v>
      </c>
      <c r="H127" s="20" t="n">
        <v>2500</v>
      </c>
      <c r="I127" s="20" t="n">
        <v>2500</v>
      </c>
      <c r="J127" s="20" t="n">
        <v>2500</v>
      </c>
      <c r="K127" s="20" t="n">
        <v>2500</v>
      </c>
      <c r="L127" s="20" t="n">
        <v>2500</v>
      </c>
    </row>
    <row r="128">
      <c r="A128" s="18" t="inlineStr">
        <is>
          <t>자본잉여금</t>
        </is>
      </c>
      <c r="C128" s="20" t="n">
        <v>3447.621</v>
      </c>
      <c r="D128" s="20" t="n">
        <v>3447.621</v>
      </c>
      <c r="E128" s="20" t="n">
        <v>3447</v>
      </c>
      <c r="F128" s="20" t="n">
        <v>3447</v>
      </c>
      <c r="G128" s="20" t="n">
        <v>3447</v>
      </c>
      <c r="H128" s="20" t="n">
        <v>3486.269</v>
      </c>
      <c r="I128" s="20" t="n">
        <v>3486.269</v>
      </c>
      <c r="J128" s="20" t="n">
        <v>3456.918</v>
      </c>
      <c r="K128" s="20" t="n">
        <v>3456.918</v>
      </c>
      <c r="L128" s="20" t="n">
        <v>3447</v>
      </c>
    </row>
    <row r="129">
      <c r="A129" s="18" t="inlineStr">
        <is>
          <t>이익잉여금</t>
        </is>
      </c>
      <c r="C129" s="20" t="n">
        <v>3562.627</v>
      </c>
      <c r="D129" s="20" t="n">
        <v>3961.782</v>
      </c>
      <c r="E129" s="20" t="n">
        <v>5567</v>
      </c>
      <c r="F129" s="20" t="n">
        <v>5607</v>
      </c>
      <c r="G129" s="20" t="n">
        <v>6367</v>
      </c>
      <c r="H129" s="20" t="n">
        <v>4931.603</v>
      </c>
      <c r="I129" s="20" t="n">
        <v>3108.635</v>
      </c>
      <c r="J129" s="20" t="n">
        <v>4051.751</v>
      </c>
      <c r="K129" s="20" t="n">
        <v>3347.091</v>
      </c>
      <c r="L129" s="20" t="n">
        <v>5567</v>
      </c>
    </row>
    <row r="130">
      <c r="A130" s="18" t="inlineStr">
        <is>
          <t>자기주식</t>
        </is>
      </c>
      <c r="C130" s="20" t="n">
        <v>-1917.647</v>
      </c>
      <c r="D130" s="20" t="n">
        <v>-1917.647</v>
      </c>
      <c r="E130" s="20" t="n">
        <v>-1917</v>
      </c>
      <c r="F130" s="20" t="n">
        <v>-1917</v>
      </c>
      <c r="G130" s="20" t="n">
        <v>-1917</v>
      </c>
      <c r="H130" s="20" t="n">
        <v>-1917.642</v>
      </c>
      <c r="I130" s="20" t="n">
        <v>-1917.642</v>
      </c>
      <c r="J130" s="20" t="n">
        <v>-1917.642</v>
      </c>
      <c r="K130" s="20" t="n">
        <v>-1917.647</v>
      </c>
      <c r="L130" s="20" t="n">
        <v>-1917</v>
      </c>
    </row>
    <row r="131">
      <c r="A131" s="9" t="inlineStr">
        <is>
          <t>주주자본 합계</t>
        </is>
      </c>
      <c r="C131" s="12" t="n">
        <v>7592.601</v>
      </c>
      <c r="D131" s="12" t="n">
        <v>7991.756</v>
      </c>
      <c r="E131" s="12" t="n">
        <v>9597</v>
      </c>
      <c r="F131" s="12" t="n">
        <v>9637</v>
      </c>
      <c r="G131" s="12" t="n">
        <v>10397</v>
      </c>
      <c r="H131" s="12" t="n">
        <v>9000.231</v>
      </c>
      <c r="I131" s="12" t="n">
        <v>7177.263</v>
      </c>
      <c r="J131" s="12" t="n">
        <v>8091.028</v>
      </c>
      <c r="K131" s="12" t="n">
        <v>7386.362</v>
      </c>
      <c r="L131" s="12" t="n">
        <v>9597</v>
      </c>
    </row>
    <row r="132">
      <c r="A132" s="18" t="inlineStr">
        <is>
          <t>기타유가증권 평가차액</t>
        </is>
      </c>
      <c r="C132" s="20" t="n">
        <v>2.838</v>
      </c>
      <c r="D132" s="20" t="n">
        <v>9.603999999999999</v>
      </c>
      <c r="E132" s="20" t="n">
        <v>16</v>
      </c>
      <c r="F132" s="20" t="n">
        <v>23</v>
      </c>
      <c r="G132" s="20" t="n">
        <v>31</v>
      </c>
      <c r="H132" s="20" t="n">
        <v>14.664</v>
      </c>
      <c r="I132" s="20" t="n">
        <v>-1.194</v>
      </c>
      <c r="J132" s="20" t="n">
        <v>-0.062</v>
      </c>
      <c r="K132" s="20" t="n">
        <v>-3.382</v>
      </c>
      <c r="L132" s="20" t="n">
        <v>16</v>
      </c>
    </row>
    <row r="133">
      <c r="A133" s="18" t="inlineStr">
        <is>
          <t>해외사업환산조정</t>
        </is>
      </c>
      <c r="C133" s="20" t="n">
        <v>2191.906</v>
      </c>
      <c r="D133" s="20" t="n">
        <v>2195.399</v>
      </c>
      <c r="E133" s="20" t="n">
        <v>2672</v>
      </c>
      <c r="F133" s="20" t="n">
        <v>2784</v>
      </c>
      <c r="G133" s="20" t="n">
        <v>3131</v>
      </c>
      <c r="H133" s="20" t="n">
        <v>720.282</v>
      </c>
      <c r="I133" s="20" t="n">
        <v>1528.871</v>
      </c>
      <c r="J133" s="20" t="n">
        <v>1708.696</v>
      </c>
      <c r="K133" s="20" t="n">
        <v>2705.65</v>
      </c>
      <c r="L133" s="20" t="n">
        <v>2672</v>
      </c>
    </row>
    <row r="134">
      <c r="A134" s="18" t="inlineStr">
        <is>
          <t>퇴직급여 조정누계액</t>
        </is>
      </c>
      <c r="C134" s="20" t="n">
        <v>-4.38</v>
      </c>
      <c r="D134" s="20" t="n">
        <v>-4.45</v>
      </c>
      <c r="E134" s="20" t="n">
        <v>-9</v>
      </c>
      <c r="F134" s="20" t="n">
        <v>-9</v>
      </c>
      <c r="G134" s="20" t="n">
        <v>-9</v>
      </c>
      <c r="H134" s="20" t="n">
        <v>0</v>
      </c>
      <c r="K134" s="20" t="n">
        <v>0</v>
      </c>
      <c r="L134" s="20" t="n">
        <v>-9</v>
      </c>
    </row>
    <row r="135">
      <c r="A135" s="18" t="inlineStr">
        <is>
          <t>기타포괄손익누계액 합계</t>
        </is>
      </c>
      <c r="C135" s="20" t="n">
        <v>2190.365</v>
      </c>
      <c r="D135" s="20" t="n">
        <v>2200.553</v>
      </c>
      <c r="E135" s="20" t="n">
        <v>2680</v>
      </c>
      <c r="F135" s="20" t="n">
        <v>2799</v>
      </c>
      <c r="G135" s="20" t="n">
        <v>3152</v>
      </c>
      <c r="H135" s="20" t="n">
        <v>734.947</v>
      </c>
      <c r="I135" s="20" t="n">
        <v>1527.676</v>
      </c>
      <c r="J135" s="20" t="n">
        <v>1708.633</v>
      </c>
      <c r="K135" s="20" t="n">
        <v>2702.268</v>
      </c>
      <c r="L135" s="20" t="n">
        <v>2680</v>
      </c>
    </row>
    <row r="136">
      <c r="A136" s="18" t="inlineStr">
        <is>
          <t>비지배지분</t>
        </is>
      </c>
      <c r="C136" s="20" t="n">
        <v>0</v>
      </c>
      <c r="D136" s="20" t="n">
        <v>0</v>
      </c>
      <c r="E136" s="20" t="n">
        <v>0</v>
      </c>
      <c r="H136" s="20" t="n">
        <v>0</v>
      </c>
      <c r="I136" s="20" t="n">
        <v>6.241</v>
      </c>
      <c r="J136" s="20" t="n">
        <v>13.823</v>
      </c>
      <c r="K136" s="20" t="n">
        <v>9.404999999999999</v>
      </c>
      <c r="L136" s="20" t="n">
        <v>0</v>
      </c>
    </row>
    <row r="137">
      <c r="A137" s="9" t="inlineStr">
        <is>
          <t>순자산 합계</t>
        </is>
      </c>
      <c r="C137" s="12" t="n">
        <v>9782.966</v>
      </c>
      <c r="D137" s="12" t="n">
        <v>10192.31</v>
      </c>
      <c r="E137" s="12" t="n">
        <v>12277</v>
      </c>
      <c r="F137" s="12" t="n">
        <v>12436</v>
      </c>
      <c r="G137" s="12" t="n">
        <v>13550</v>
      </c>
      <c r="H137" s="12" t="n">
        <v>9735.178</v>
      </c>
      <c r="I137" s="12" t="n">
        <v>8711.181</v>
      </c>
      <c r="J137" s="12" t="n">
        <v>9813.485000000001</v>
      </c>
      <c r="K137" s="12" t="n">
        <v>10098.037</v>
      </c>
      <c r="L137" s="12" t="n">
        <v>12277</v>
      </c>
    </row>
    <row r="138">
      <c r="A138" s="9" t="inlineStr">
        <is>
          <t>부채·순자산 합계</t>
        </is>
      </c>
      <c r="C138" s="12" t="n">
        <v>34583.16</v>
      </c>
      <c r="D138" s="12" t="n">
        <v>34957.759</v>
      </c>
      <c r="E138" s="12" t="n">
        <v>39412</v>
      </c>
      <c r="F138" s="12" t="n">
        <v>39899</v>
      </c>
      <c r="G138" s="12" t="n">
        <v>45882</v>
      </c>
      <c r="H138" s="12" t="n">
        <v>31781.037</v>
      </c>
      <c r="I138" s="12" t="n">
        <v>36903.513</v>
      </c>
      <c r="J138" s="12" t="n">
        <v>36092.535</v>
      </c>
      <c r="K138" s="12" t="n">
        <v>37397.01</v>
      </c>
      <c r="L138" s="12" t="n">
        <v>39412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6629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standalone 2Q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177.6</v>
      </c>
      <c r="C6" s="56" t="inlineStr">
        <is>
          <t>2단계 보고서 자료(회사 설명회 자료·공시)</t>
        </is>
      </c>
    </row>
    <row r="7">
      <c r="A7" s="54" t="inlineStr">
        <is>
          <t>매출 ly</t>
        </is>
      </c>
      <c r="B7" s="55" t="n">
        <v>124</v>
      </c>
    </row>
    <row r="8">
      <c r="A8" s="54" t="inlineStr">
        <is>
          <t>매출 YoY %</t>
        </is>
      </c>
      <c r="B8" s="55" t="n">
        <v>43.2</v>
      </c>
    </row>
    <row r="9">
      <c r="A9" s="54" t="inlineStr">
        <is>
          <t>gp</t>
        </is>
      </c>
      <c r="B9" s="55" t="n">
        <v>39.5</v>
      </c>
    </row>
    <row r="10">
      <c r="A10" s="54" t="inlineStr">
        <is>
          <t>매출총이익률</t>
        </is>
      </c>
      <c r="B10" s="55" t="n">
        <v>22.2</v>
      </c>
    </row>
    <row r="11">
      <c r="A11" s="54" t="inlineStr">
        <is>
          <t>gp ly</t>
        </is>
      </c>
      <c r="B11" s="55" t="n">
        <v>33.8</v>
      </c>
    </row>
    <row r="12">
      <c r="A12" s="54" t="inlineStr">
        <is>
          <t>매출총이익률 ly</t>
        </is>
      </c>
      <c r="B12" s="55" t="n">
        <v>27.3</v>
      </c>
    </row>
    <row r="13">
      <c r="A13" s="54" t="inlineStr">
        <is>
          <t>sga</t>
        </is>
      </c>
      <c r="B13" s="55" t="n">
        <v>27.6</v>
      </c>
    </row>
    <row r="14">
      <c r="A14" s="54" t="inlineStr">
        <is>
          <t>sga ly</t>
        </is>
      </c>
      <c r="B14" s="55" t="n">
        <v>25.1</v>
      </c>
    </row>
    <row r="15">
      <c r="A15" s="54" t="inlineStr">
        <is>
          <t>영업이익</t>
        </is>
      </c>
      <c r="B15" s="55" t="n">
        <v>11.9</v>
      </c>
    </row>
    <row r="16">
      <c r="A16" s="54" t="inlineStr">
        <is>
          <t>영업이익 ly</t>
        </is>
      </c>
      <c r="B16" s="55" t="n">
        <v>8.699999999999999</v>
      </c>
    </row>
    <row r="17">
      <c r="A17" s="54" t="inlineStr">
        <is>
          <t>영업이익 YoY %</t>
        </is>
      </c>
      <c r="B17" s="55" t="n">
        <v>36.8</v>
      </c>
    </row>
    <row r="18">
      <c r="A18" s="54" t="inlineStr">
        <is>
          <t>영업이익률</t>
        </is>
      </c>
      <c r="B18" s="55" t="n">
        <v>6.7</v>
      </c>
    </row>
    <row r="19">
      <c r="A19" s="54" t="inlineStr">
        <is>
          <t>영업이익률 ly</t>
        </is>
      </c>
      <c r="B19" s="55" t="n">
        <v>7</v>
      </c>
    </row>
    <row r="20">
      <c r="A20" s="54" t="inlineStr">
        <is>
          <t>ordinary</t>
        </is>
      </c>
      <c r="B20" s="55" t="n">
        <v>10.1</v>
      </c>
    </row>
    <row r="21">
      <c r="A21" s="54" t="inlineStr">
        <is>
          <t>ordinary ly</t>
        </is>
      </c>
      <c r="B21" s="55" t="n">
        <v>10.3</v>
      </c>
    </row>
    <row r="22">
      <c r="A22" s="54" t="inlineStr">
        <is>
          <t>pbt</t>
        </is>
      </c>
      <c r="B22" s="55" t="n">
        <v>10.1</v>
      </c>
    </row>
    <row r="23">
      <c r="A23" s="54" t="inlineStr">
        <is>
          <t>순이익</t>
        </is>
      </c>
      <c r="B23" s="55" t="n">
        <v>7.6</v>
      </c>
    </row>
    <row r="24">
      <c r="A24" s="54" t="inlineStr">
        <is>
          <t>순이익 ly</t>
        </is>
      </c>
      <c r="B24" s="55" t="n">
        <v>6</v>
      </c>
    </row>
    <row r="25">
      <c r="A25" s="54" t="inlineStr">
        <is>
          <t>순이익 YoY %</t>
        </is>
      </c>
      <c r="B25" s="57" t="n">
        <v>27</v>
      </c>
    </row>
    <row r="27">
      <c r="A27" s="52" t="inlineStr">
        <is>
          <t>this quarter · cumulative 1H</t>
        </is>
      </c>
      <c r="B27" s="52" t="n"/>
      <c r="C27" s="52" t="n"/>
    </row>
    <row r="28">
      <c r="A28" s="53" t="inlineStr">
        <is>
          <t>항목</t>
        </is>
      </c>
      <c r="B28" s="53" t="inlineStr">
        <is>
          <t>값</t>
        </is>
      </c>
      <c r="C28" s="53" t="inlineStr">
        <is>
          <t>출처</t>
        </is>
      </c>
    </row>
    <row r="29">
      <c r="A29" s="54" t="inlineStr">
        <is>
          <t>매출</t>
        </is>
      </c>
      <c r="B29" s="55" t="n">
        <v>310.9</v>
      </c>
      <c r="C29" s="56" t="inlineStr">
        <is>
          <t>2단계 보고서 자료(회사 설명회 자료·공시)</t>
        </is>
      </c>
    </row>
    <row r="30">
      <c r="A30" s="54" t="inlineStr">
        <is>
          <t>매출 YoY %</t>
        </is>
      </c>
      <c r="B30" s="55" t="n">
        <v>35.9</v>
      </c>
    </row>
    <row r="31">
      <c r="A31" s="54" t="inlineStr">
        <is>
          <t>영업이익</t>
        </is>
      </c>
      <c r="B31" s="55" t="n">
        <v>16.95</v>
      </c>
    </row>
    <row r="32">
      <c r="A32" s="54" t="inlineStr">
        <is>
          <t>영업이익 YoY %</t>
        </is>
      </c>
      <c r="B32" s="55" t="n">
        <v>90.3</v>
      </c>
    </row>
    <row r="33">
      <c r="A33" s="54" t="inlineStr">
        <is>
          <t>ordinary</t>
        </is>
      </c>
      <c r="B33" s="55" t="n">
        <v>16.2</v>
      </c>
    </row>
    <row r="34">
      <c r="A34" s="54" t="inlineStr">
        <is>
          <t>ordinary YoY %</t>
        </is>
      </c>
      <c r="B34" s="55" t="n">
        <v>65.3</v>
      </c>
    </row>
    <row r="35">
      <c r="A35" s="54" t="inlineStr">
        <is>
          <t>순이익</t>
        </is>
      </c>
      <c r="B35" s="55" t="n">
        <v>12.04</v>
      </c>
    </row>
    <row r="36">
      <c r="A36" s="54" t="inlineStr">
        <is>
          <t>순이익 YoY %</t>
        </is>
      </c>
      <c r="B36" s="55" t="n">
        <v>163.5</v>
      </c>
    </row>
    <row r="37">
      <c r="A37" s="54" t="inlineStr">
        <is>
          <t>EPS</t>
        </is>
      </c>
      <c r="B37" s="55" t="n">
        <v>89.37</v>
      </c>
    </row>
    <row r="38">
      <c r="A38" s="54" t="inlineStr">
        <is>
          <t>매출 ly</t>
        </is>
      </c>
      <c r="B38" s="55" t="n">
        <v>228.7</v>
      </c>
    </row>
    <row r="39">
      <c r="A39" s="54" t="inlineStr">
        <is>
          <t>영업이익 ly</t>
        </is>
      </c>
      <c r="B39" s="55" t="n">
        <v>8.91</v>
      </c>
    </row>
    <row r="40">
      <c r="A40" s="54" t="inlineStr">
        <is>
          <t>순이익 ly</t>
        </is>
      </c>
      <c r="B40" s="55" t="n">
        <v>4.57</v>
      </c>
    </row>
    <row r="41">
      <c r="A41" s="54" t="inlineStr">
        <is>
          <t>gp</t>
        </is>
      </c>
      <c r="B41" s="55" t="n">
        <v>68.63</v>
      </c>
    </row>
    <row r="42">
      <c r="A42" s="54" t="inlineStr">
        <is>
          <t>gp ly</t>
        </is>
      </c>
      <c r="B42" s="55" t="n">
        <v>55.86</v>
      </c>
    </row>
    <row r="43">
      <c r="A43" s="54" t="inlineStr">
        <is>
          <t>sga</t>
        </is>
      </c>
      <c r="B43" s="55" t="n">
        <v>51.67</v>
      </c>
    </row>
    <row r="44">
      <c r="A44" s="54" t="inlineStr">
        <is>
          <t>sga ly</t>
        </is>
      </c>
      <c r="B44" s="55" t="n">
        <v>46.95</v>
      </c>
    </row>
    <row r="45">
      <c r="A45" s="54" t="inlineStr">
        <is>
          <t>cogs</t>
        </is>
      </c>
      <c r="B45" s="55" t="n">
        <v>242.26</v>
      </c>
    </row>
    <row r="47">
      <c r="A47" s="52" t="inlineStr">
        <is>
          <t>this quarter · bs 2026 09</t>
        </is>
      </c>
      <c r="B47" s="52" t="n"/>
      <c r="C47" s="52" t="n"/>
    </row>
    <row r="48">
      <c r="A48" s="53" t="inlineStr">
        <is>
          <t>항목</t>
        </is>
      </c>
      <c r="B48" s="53" t="inlineStr">
        <is>
          <t>값</t>
        </is>
      </c>
      <c r="C48" s="53" t="inlineStr">
        <is>
          <t>출처</t>
        </is>
      </c>
    </row>
    <row r="49">
      <c r="A49" s="54" t="inlineStr">
        <is>
          <t>합계 assets</t>
        </is>
      </c>
      <c r="B49" s="55" t="n">
        <v>458.8</v>
      </c>
      <c r="C49" s="56" t="inlineStr">
        <is>
          <t>2단계 보고서 자료(회사 설명회 자료·공시)</t>
        </is>
      </c>
    </row>
    <row r="50">
      <c r="A50" s="54" t="inlineStr">
        <is>
          <t>equity</t>
        </is>
      </c>
      <c r="B50" s="55" t="n">
        <v>135.5</v>
      </c>
    </row>
    <row r="51">
      <c r="A51" s="54" t="inlineStr">
        <is>
          <t>equity ratio</t>
        </is>
      </c>
      <c r="B51" s="55" t="n">
        <v>29.5</v>
      </c>
    </row>
    <row r="52">
      <c r="A52" s="54" t="inlineStr">
        <is>
          <t>cash</t>
        </is>
      </c>
      <c r="B52" s="55" t="n">
        <v>55</v>
      </c>
    </row>
    <row r="53">
      <c r="A53" s="54" t="inlineStr">
        <is>
          <t>receivables</t>
        </is>
      </c>
      <c r="B53" s="55" t="n">
        <v>177</v>
      </c>
    </row>
    <row r="54">
      <c r="A54" s="54" t="inlineStr">
        <is>
          <t>inventory</t>
        </is>
      </c>
      <c r="B54" s="55" t="n">
        <v>87.3</v>
      </c>
    </row>
    <row r="55">
      <c r="A55" s="54" t="inlineStr">
        <is>
          <t>goodwill</t>
        </is>
      </c>
      <c r="B55" s="55" t="n">
        <v>25.97</v>
      </c>
    </row>
    <row r="56">
      <c r="A56" s="54" t="inlineStr">
        <is>
          <t>goodwill 직전</t>
        </is>
      </c>
      <c r="B56" s="55" t="n">
        <v>9.970000000000001</v>
      </c>
    </row>
    <row r="57">
      <c r="A57" s="54" t="inlineStr">
        <is>
          <t>st debt</t>
        </is>
      </c>
      <c r="B57" s="55" t="n">
        <v>104</v>
      </c>
    </row>
    <row r="58">
      <c r="A58" s="54" t="inlineStr">
        <is>
          <t>ltd current</t>
        </is>
      </c>
      <c r="B58" s="55" t="n">
        <v>23.4</v>
      </c>
    </row>
    <row r="59">
      <c r="A59" s="54" t="inlineStr">
        <is>
          <t>lt debt</t>
        </is>
      </c>
      <c r="B59" s="55" t="n">
        <v>48.6</v>
      </c>
    </row>
    <row r="60">
      <c r="A60" s="54" t="inlineStr">
        <is>
          <t>net debt calc</t>
        </is>
      </c>
      <c r="B60" s="55" t="n">
        <v>121</v>
      </c>
    </row>
    <row r="62">
      <c r="A62" s="52" t="inlineStr">
        <is>
          <t>this quarter · cf 1H</t>
        </is>
      </c>
      <c r="B62" s="52" t="n"/>
      <c r="C62" s="52" t="n"/>
    </row>
    <row r="63">
      <c r="A63" s="53" t="inlineStr">
        <is>
          <t>항목</t>
        </is>
      </c>
      <c r="B63" s="53" t="inlineStr">
        <is>
          <t>값</t>
        </is>
      </c>
      <c r="C63" s="53" t="inlineStr">
        <is>
          <t>출처</t>
        </is>
      </c>
    </row>
    <row r="64">
      <c r="A64" s="54" t="inlineStr">
        <is>
          <t>ocf</t>
        </is>
      </c>
      <c r="B64" s="55" t="n">
        <v>-9.890000000000001</v>
      </c>
      <c r="C64" s="56" t="inlineStr">
        <is>
          <t>2단계 보고서 자료(회사 설명회 자료·공시)</t>
        </is>
      </c>
    </row>
    <row r="65">
      <c r="A65" s="54" t="inlineStr">
        <is>
          <t>ocf ly</t>
        </is>
      </c>
      <c r="B65" s="55" t="n">
        <v>27.92</v>
      </c>
    </row>
    <row r="66">
      <c r="A66" s="54" t="inlineStr">
        <is>
          <t>receivable chg</t>
        </is>
      </c>
      <c r="B66" s="55" t="n">
        <v>-18.8</v>
      </c>
    </row>
    <row r="67">
      <c r="A67" s="54" t="inlineStr">
        <is>
          <t>inventory chg</t>
        </is>
      </c>
      <c r="B67" s="55" t="n">
        <v>-9.49</v>
      </c>
    </row>
    <row r="68">
      <c r="A68" s="54" t="inlineStr">
        <is>
          <t>설비투자</t>
        </is>
      </c>
      <c r="B68" s="55" t="n">
        <v>-3.03</v>
      </c>
    </row>
    <row r="69">
      <c r="A69" s="54" t="inlineStr">
        <is>
          <t>acquisition</t>
        </is>
      </c>
      <c r="B69" s="55" t="n">
        <v>-19.42</v>
      </c>
    </row>
    <row r="70">
      <c r="A70" s="54" t="inlineStr">
        <is>
          <t>icf</t>
        </is>
      </c>
      <c r="B70" s="55" t="n">
        <v>-25.16</v>
      </c>
    </row>
    <row r="71">
      <c r="A71" s="54" t="inlineStr">
        <is>
          <t>fcf</t>
        </is>
      </c>
      <c r="B71" s="55" t="n">
        <v>-35.05</v>
      </c>
    </row>
    <row r="72">
      <c r="A72" s="54" t="inlineStr">
        <is>
          <t>st borrow</t>
        </is>
      </c>
      <c r="B72" s="55" t="n">
        <v>22.28</v>
      </c>
    </row>
    <row r="73">
      <c r="A73" s="54" t="inlineStr">
        <is>
          <t>lt borrow</t>
        </is>
      </c>
      <c r="B73" s="55" t="n">
        <v>35.05</v>
      </c>
    </row>
    <row r="74">
      <c r="A74" s="54" t="inlineStr">
        <is>
          <t>lt repay</t>
        </is>
      </c>
      <c r="B74" s="55" t="n">
        <v>-11.22</v>
      </c>
    </row>
    <row r="75">
      <c r="A75" s="54" t="inlineStr">
        <is>
          <t>dividends</t>
        </is>
      </c>
      <c r="B75" s="55" t="n">
        <v>-4.04</v>
      </c>
    </row>
    <row r="77">
      <c r="A77" s="52" t="inlineStr">
        <is>
          <t>this quarter · shares</t>
        </is>
      </c>
      <c r="B77" s="52" t="n"/>
      <c r="C77" s="52" t="n"/>
    </row>
    <row r="78">
      <c r="A78" s="53" t="inlineStr">
        <is>
          <t>항목</t>
        </is>
      </c>
      <c r="B78" s="53" t="inlineStr">
        <is>
          <t>값</t>
        </is>
      </c>
      <c r="C78" s="53" t="inlineStr">
        <is>
          <t>출처</t>
        </is>
      </c>
    </row>
    <row r="79">
      <c r="A79" s="54" t="inlineStr">
        <is>
          <t>issued</t>
        </is>
      </c>
      <c r="B79" s="57" t="n">
        <v>21063240</v>
      </c>
      <c r="C79" s="56" t="inlineStr">
        <is>
          <t>2단계 보고서 자료(회사 설명회 자료·공시)</t>
        </is>
      </c>
    </row>
    <row r="80">
      <c r="A80" s="54" t="inlineStr">
        <is>
          <t>treasury</t>
        </is>
      </c>
      <c r="B80" s="57" t="n">
        <v>7586242</v>
      </c>
    </row>
    <row r="81">
      <c r="A81" s="54" t="inlineStr">
        <is>
          <t>outstanding</t>
        </is>
      </c>
      <c r="B81" s="57" t="n">
        <v>13476998</v>
      </c>
    </row>
    <row r="83">
      <c r="A83" s="52" t="inlineStr">
        <is>
          <t>market</t>
        </is>
      </c>
      <c r="B83" s="52" t="n"/>
      <c r="C83" s="52" t="n"/>
    </row>
    <row r="84">
      <c r="A84" s="53" t="inlineStr">
        <is>
          <t>항목</t>
        </is>
      </c>
      <c r="B84" s="53" t="inlineStr">
        <is>
          <t>값</t>
        </is>
      </c>
      <c r="C84" s="53" t="inlineStr">
        <is>
          <t>출처</t>
        </is>
      </c>
    </row>
    <row r="85">
      <c r="A85" s="54" t="inlineStr">
        <is>
          <t>가격</t>
        </is>
      </c>
      <c r="B85" s="57" t="n">
        <v>897</v>
      </c>
      <c r="C85" s="56" t="inlineStr">
        <is>
          <t>2단계 보고서 자료(회사 설명회 자료·공시)</t>
        </is>
      </c>
    </row>
    <row r="86">
      <c r="A86" s="54" t="inlineStr">
        <is>
          <t>mcap ex treasury oku</t>
        </is>
      </c>
      <c r="B86" s="55" t="n">
        <v>120.9</v>
      </c>
    </row>
    <row r="87">
      <c r="A87" s="54" t="inlineStr">
        <is>
          <t>mcap issued oku</t>
        </is>
      </c>
      <c r="B87" s="55" t="n">
        <v>188.9</v>
      </c>
    </row>
    <row r="88">
      <c r="A88" s="54" t="inlineStr">
        <is>
          <t>환율 jpykrw</t>
        </is>
      </c>
      <c r="B88" s="55" t="n">
        <v>8.5</v>
      </c>
    </row>
    <row r="89">
      <c r="A89" s="54" t="inlineStr">
        <is>
          <t>mcap krw oku</t>
        </is>
      </c>
      <c r="B89" s="57" t="n">
        <v>1028</v>
      </c>
    </row>
    <row r="90">
      <c r="A90" s="54" t="inlineStr">
        <is>
          <t>PER new guide</t>
        </is>
      </c>
      <c r="B90" s="55" t="n">
        <v>6.36</v>
      </c>
    </row>
    <row r="91">
      <c r="A91" s="54" t="inlineStr">
        <is>
          <t>PER old guide</t>
        </is>
      </c>
      <c r="B91" s="55" t="n">
        <v>7.11</v>
      </c>
    </row>
    <row r="92">
      <c r="A92" s="54" t="inlineStr">
        <is>
          <t>PER FY3 26 실적</t>
        </is>
      </c>
      <c r="B92" s="55" t="n">
        <v>4.91</v>
      </c>
    </row>
    <row r="93">
      <c r="A93" s="54" t="inlineStr">
        <is>
          <t>bps</t>
        </is>
      </c>
      <c r="B93" s="55" t="n">
        <v>1005.4</v>
      </c>
    </row>
    <row r="94">
      <c r="A94" s="54" t="inlineStr">
        <is>
          <t>PBR</t>
        </is>
      </c>
      <c r="B94" s="55" t="n">
        <v>0.89</v>
      </c>
    </row>
    <row r="95">
      <c r="A95" s="54" t="inlineStr">
        <is>
          <t>dps</t>
        </is>
      </c>
      <c r="B95" s="57" t="n">
        <v>33</v>
      </c>
    </row>
    <row r="96">
      <c r="A96" s="54" t="inlineStr">
        <is>
          <t>div yield %</t>
        </is>
      </c>
      <c r="B96" s="55" t="n">
        <v>3.68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https://www2.jpx.co.jp/disc/66290/140120261020553645.pdf</t>
        </is>
      </c>
    </row>
    <row r="5">
      <c r="A5" t="inlineStr">
        <is>
          <t>2026-07-24</t>
        </is>
      </c>
      <c r="B5" t="inlineStr">
        <is>
          <t>2027년 3월 결산기 １분기 결산단신</t>
        </is>
      </c>
      <c r="C5" t="inlineStr">
        <is>
          <t>https://www2.jpx.co.jp/disc/66290/140120260716595094.pdf</t>
        </is>
      </c>
    </row>
    <row r="6">
      <c r="A6" t="inlineStr">
        <is>
          <t>2026-05-08</t>
        </is>
      </c>
      <c r="B6" t="inlineStr">
        <is>
          <t>2026년 3월 결산기 연간 결산단신</t>
        </is>
      </c>
      <c r="C6" t="inlineStr">
        <is>
          <t>https://www2.jpx.co.jp/disc/66290/140120260430514193.pdf</t>
        </is>
      </c>
    </row>
    <row r="7">
      <c r="A7" t="inlineStr">
        <is>
          <t>2026-01-23</t>
        </is>
      </c>
      <c r="B7" t="inlineStr">
        <is>
          <t>2026년 3월 결산기 ３분기 결산단신</t>
        </is>
      </c>
      <c r="C7" t="inlineStr">
        <is>
          <t>https://www2.jpx.co.jp/disc/66290/140120260119535393.pdf</t>
        </is>
      </c>
    </row>
    <row r="8">
      <c r="A8" t="inlineStr">
        <is>
          <t>2025-10-24</t>
        </is>
      </c>
      <c r="B8" t="inlineStr">
        <is>
          <t>2026년 3월 결산기 ２분기 결산단신</t>
        </is>
      </c>
      <c r="C8" t="inlineStr">
        <is>
          <t>https://www2.jpx.co.jp/disc/66290/140120251021576688.pdf</t>
        </is>
      </c>
    </row>
    <row r="9">
      <c r="A9" t="inlineStr">
        <is>
          <t>2025-07-25</t>
        </is>
      </c>
      <c r="B9" t="inlineStr">
        <is>
          <t>2026년 3월 결산기 １분기 결산단신</t>
        </is>
      </c>
      <c r="C9" t="inlineStr">
        <is>
          <t>https://www2.jpx.co.jp/disc/66290/140120250718516787.pdf</t>
        </is>
      </c>
    </row>
    <row r="10">
      <c r="A10" t="inlineStr">
        <is>
          <t>2025-05-09</t>
        </is>
      </c>
      <c r="B10" t="inlineStr">
        <is>
          <t>2025년 3월 결산기 연간 결산단신</t>
        </is>
      </c>
      <c r="C10" t="inlineStr">
        <is>
          <t>https://www2.jpx.co.jp/disc/66290/140120250505530882.pdf</t>
        </is>
      </c>
    </row>
    <row r="11">
      <c r="A11" t="inlineStr">
        <is>
          <t>2025-01-24</t>
        </is>
      </c>
      <c r="B11" t="inlineStr">
        <is>
          <t>2025년 3월 결산기 ３분기 결산단신</t>
        </is>
      </c>
      <c r="C11" t="inlineStr">
        <is>
          <t>https://www2.jpx.co.jp/disc/66290/140120250117552160.pdf</t>
        </is>
      </c>
    </row>
    <row r="12">
      <c r="A12" t="inlineStr">
        <is>
          <t>2024-10-25</t>
        </is>
      </c>
      <c r="B12" t="inlineStr">
        <is>
          <t>2025년 3월 결산기 ２분기 결산단신</t>
        </is>
      </c>
      <c r="C12" t="inlineStr">
        <is>
          <t>https://www2.jpx.co.jp/disc/66290/140120241021500216.pdf</t>
        </is>
      </c>
    </row>
    <row r="13">
      <c r="A13" t="inlineStr">
        <is>
          <t>2024-07-26</t>
        </is>
      </c>
      <c r="B13" t="inlineStr">
        <is>
          <t>2025년 3월 결산기 １분기 결산단신</t>
        </is>
      </c>
      <c r="C13" t="inlineStr">
        <is>
          <t>https://www2.jpx.co.jp/disc/66290/140120240717550460.pdf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https://www2.jpx.co.jp/disc/66290/140120240506582137.pdf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https://www2.jpx.co.jp/disc/66290/140120240122517536.pdf</t>
        </is>
      </c>
    </row>
    <row r="16">
      <c r="A16" t="inlineStr">
        <is>
          <t>2023-10-25</t>
        </is>
      </c>
      <c r="B16" t="inlineStr">
        <is>
          <t>2024년 3월 결산기 ２분기 결산단신</t>
        </is>
      </c>
      <c r="C16" t="inlineStr">
        <is>
          <t>https://www2.jpx.co.jp/disc/66290/140120231020569167.pdf</t>
        </is>
      </c>
    </row>
    <row r="17">
      <c r="A17" t="inlineStr">
        <is>
          <t>2023-07-25</t>
        </is>
      </c>
      <c r="B17" t="inlineStr">
        <is>
          <t>2024년 3월 결산기 １분기 결산단신</t>
        </is>
      </c>
      <c r="C17" t="inlineStr">
        <is>
          <t>https://www2.jpx.co.jp/disc/66290/140120230710519655.pdf</t>
        </is>
      </c>
    </row>
    <row r="18">
      <c r="A18" t="inlineStr">
        <is>
          <t>2023-05-10</t>
        </is>
      </c>
      <c r="B18" t="inlineStr">
        <is>
          <t>2023년 3월 결산기 연간 결산단신</t>
        </is>
      </c>
      <c r="C18" t="inlineStr">
        <is>
          <t>https://www2.jpx.co.jp/disc/66290/140120230428556960.pdf</t>
        </is>
      </c>
    </row>
    <row r="19">
      <c r="A19" t="inlineStr">
        <is>
          <t>2023-01-25</t>
        </is>
      </c>
      <c r="B19" t="inlineStr">
        <is>
          <t>2023년 3월 결산기 ３분기 결산단신</t>
        </is>
      </c>
      <c r="C19" t="inlineStr">
        <is>
          <t>https://www2.jpx.co.jp/disc/66290/140120230119591192.pdf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https://www2.jpx.co.jp/disc/66290/140120220428530789.pdf</t>
        </is>
      </c>
    </row>
    <row r="21">
      <c r="A21" t="inlineStr">
        <is>
          <t>2021-05-10</t>
        </is>
      </c>
      <c r="B21" t="inlineStr">
        <is>
          <t>2021년 3월 결산기 연간 결산단신</t>
        </is>
      </c>
      <c r="C21" t="inlineStr">
        <is>
          <t>https://www2.jpx.co.jp/disc/66290/140120210428402690.pdf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https://www2.jpx.co.jp/disc/66290/140120200428402047.pdf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https://www2.jpx.co.jp/disc/66290/140120190502414235.pdf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https://www2.jpx.co.jp/disc/66290/140120180501425295.pdf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6629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4Q16</t>
        </is>
      </c>
      <c r="C4" s="62" t="inlineStr">
        <is>
          <t>1Q17</t>
        </is>
      </c>
      <c r="D4" s="62" t="inlineStr">
        <is>
          <t>2Q17</t>
        </is>
      </c>
      <c r="E4" s="62" t="inlineStr">
        <is>
          <t>3Q17</t>
        </is>
      </c>
      <c r="F4" s="62" t="inlineStr">
        <is>
          <t>4Q17</t>
        </is>
      </c>
      <c r="G4" s="62" t="inlineStr">
        <is>
          <t>1Q18</t>
        </is>
      </c>
      <c r="H4" s="62" t="inlineStr">
        <is>
          <t>2Q18</t>
        </is>
      </c>
      <c r="I4" s="62" t="inlineStr">
        <is>
          <t>3Q18</t>
        </is>
      </c>
      <c r="J4" s="62" t="inlineStr">
        <is>
          <t>4Q18</t>
        </is>
      </c>
      <c r="K4" s="62" t="inlineStr">
        <is>
          <t>1Q19</t>
        </is>
      </c>
      <c r="L4" s="62" t="inlineStr">
        <is>
          <t>2Q19</t>
        </is>
      </c>
      <c r="M4" s="62" t="inlineStr">
        <is>
          <t>3Q19</t>
        </is>
      </c>
      <c r="N4" s="62" t="inlineStr">
        <is>
          <t>4Q19</t>
        </is>
      </c>
      <c r="O4" s="62" t="inlineStr">
        <is>
          <t>1Q20</t>
        </is>
      </c>
      <c r="P4" s="62" t="inlineStr">
        <is>
          <t>2Q20</t>
        </is>
      </c>
      <c r="Q4" s="62" t="inlineStr">
        <is>
          <t>3Q20</t>
        </is>
      </c>
      <c r="R4" s="62" t="inlineStr">
        <is>
          <t>4Q20</t>
        </is>
      </c>
      <c r="S4" s="62" t="inlineStr">
        <is>
          <t>1Q21</t>
        </is>
      </c>
      <c r="T4" s="62" t="inlineStr">
        <is>
          <t>2Q21</t>
        </is>
      </c>
      <c r="U4" s="62" t="inlineStr">
        <is>
          <t>3Q21</t>
        </is>
      </c>
      <c r="V4" s="62" t="inlineStr">
        <is>
          <t>4Q21</t>
        </is>
      </c>
      <c r="W4" s="62" t="inlineStr">
        <is>
          <t>1Q22</t>
        </is>
      </c>
      <c r="X4" s="62" t="inlineStr">
        <is>
          <t>2Q22</t>
        </is>
      </c>
      <c r="Y4" s="62" t="inlineStr">
        <is>
          <t>3Q22</t>
        </is>
      </c>
      <c r="Z4" s="62" t="inlineStr">
        <is>
          <t>4Q22</t>
        </is>
      </c>
      <c r="AA4" s="62" t="inlineStr">
        <is>
          <t>1Q23</t>
        </is>
      </c>
      <c r="AB4" s="62" t="inlineStr">
        <is>
          <t>2Q23</t>
        </is>
      </c>
      <c r="AC4" s="62" t="inlineStr">
        <is>
          <t>3Q23</t>
        </is>
      </c>
      <c r="AD4" s="62" t="inlineStr">
        <is>
          <t>4Q23</t>
        </is>
      </c>
      <c r="AE4" s="62" t="inlineStr">
        <is>
          <t>1Q24</t>
        </is>
      </c>
      <c r="AF4" s="62" t="inlineStr">
        <is>
          <t>2Q24</t>
        </is>
      </c>
      <c r="AG4" s="62" t="inlineStr">
        <is>
          <t>3Q24</t>
        </is>
      </c>
      <c r="AH4" s="62" t="inlineStr">
        <is>
          <t>4Q24</t>
        </is>
      </c>
      <c r="AI4" s="62" t="inlineStr">
        <is>
          <t>1Q25</t>
        </is>
      </c>
      <c r="AJ4" s="62" t="inlineStr">
        <is>
          <t>2Q25</t>
        </is>
      </c>
      <c r="AK4" s="62" t="inlineStr">
        <is>
          <t>3Q25</t>
        </is>
      </c>
      <c r="AL4" s="62" t="inlineStr">
        <is>
          <t>4Q25</t>
        </is>
      </c>
      <c r="AM4" s="62" t="inlineStr">
        <is>
          <t>1Q26</t>
        </is>
      </c>
      <c r="AN4" s="62" t="inlineStr">
        <is>
          <t>2Q26</t>
        </is>
      </c>
      <c r="AO4" s="62" t="inlineStr">
        <is>
          <t>3Q26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/>
      <c r="C5" s="64" t="n">
        <v>55.1</v>
      </c>
      <c r="D5" s="64" t="n">
        <v>40.7</v>
      </c>
      <c r="E5" s="64" t="n">
        <v>52.9</v>
      </c>
      <c r="F5" s="64" t="n">
        <v>47.1</v>
      </c>
      <c r="G5" s="64" t="n">
        <v>53.2</v>
      </c>
      <c r="H5" s="64" t="n">
        <v>39</v>
      </c>
      <c r="I5" s="64" t="n">
        <v>47.9</v>
      </c>
      <c r="J5" s="64" t="n">
        <v>49.4</v>
      </c>
      <c r="K5" s="64" t="n">
        <v>59.9</v>
      </c>
      <c r="L5" s="64" t="n">
        <v>41.8</v>
      </c>
      <c r="M5" s="64" t="n">
        <v>73.09999999999999</v>
      </c>
      <c r="N5" s="64" t="n">
        <v>55.3</v>
      </c>
      <c r="O5" s="64" t="n">
        <v>53.4</v>
      </c>
      <c r="P5" s="64" t="n">
        <v>43.7</v>
      </c>
      <c r="Q5" s="64" t="n">
        <v>53.8</v>
      </c>
      <c r="R5" s="64" t="n">
        <v>61.2</v>
      </c>
      <c r="S5" s="64" t="n">
        <v>106</v>
      </c>
      <c r="T5" s="64" t="n">
        <v>58.3</v>
      </c>
      <c r="U5" s="64" t="n">
        <v>81.7</v>
      </c>
      <c r="V5" s="64" t="n">
        <v>94.8</v>
      </c>
      <c r="W5" s="64" t="n">
        <v>110.5</v>
      </c>
      <c r="X5" s="64" t="n">
        <v>78.3</v>
      </c>
      <c r="Y5" s="64" t="n">
        <v>111.9</v>
      </c>
      <c r="Z5" s="64" t="n">
        <v>106.9</v>
      </c>
      <c r="AA5" s="64" t="n">
        <v>140.5</v>
      </c>
      <c r="AB5" s="64" t="n">
        <v>107.7</v>
      </c>
      <c r="AC5" s="64" t="n">
        <v>125.2</v>
      </c>
      <c r="AD5" s="64" t="n">
        <v>111.4</v>
      </c>
      <c r="AE5" s="64" t="n">
        <v>141.9</v>
      </c>
      <c r="AF5" s="64" t="n">
        <v>111.8</v>
      </c>
      <c r="AG5" s="64" t="n">
        <v>123.2</v>
      </c>
      <c r="AH5" s="64" t="n">
        <v>124.8</v>
      </c>
      <c r="AI5" s="64" t="n">
        <v>146.4</v>
      </c>
      <c r="AJ5" s="64" t="n">
        <v>104.7</v>
      </c>
      <c r="AK5" s="64" t="n">
        <v>124</v>
      </c>
      <c r="AL5" s="64" t="n">
        <v>119.5</v>
      </c>
      <c r="AM5" s="64" t="n">
        <v>165.6</v>
      </c>
      <c r="AN5" s="64" t="n">
        <v>133.3</v>
      </c>
      <c r="AO5" s="64" t="n">
        <v>177.6</v>
      </c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/>
      <c r="G6" s="65" t="n">
        <v>-3.4</v>
      </c>
      <c r="H6" s="65" t="n">
        <v>-4.2</v>
      </c>
      <c r="I6" s="65" t="n">
        <v>-9.5</v>
      </c>
      <c r="J6" s="65" t="n">
        <v>4.9</v>
      </c>
      <c r="K6" s="65" t="n">
        <v>12.6</v>
      </c>
      <c r="L6" s="65" t="n">
        <v>7.2</v>
      </c>
      <c r="M6" s="65" t="n">
        <v>52.6</v>
      </c>
      <c r="N6" s="65" t="n">
        <v>11.9</v>
      </c>
      <c r="O6" s="65" t="n">
        <v>-10.9</v>
      </c>
      <c r="P6" s="65" t="n">
        <v>4.5</v>
      </c>
      <c r="Q6" s="65" t="n">
        <v>-26.4</v>
      </c>
      <c r="R6" s="65" t="n">
        <v>10.7</v>
      </c>
      <c r="S6" s="65" t="n">
        <v>98.5</v>
      </c>
      <c r="T6" s="65" t="n">
        <v>33.4</v>
      </c>
      <c r="U6" s="65" t="n">
        <v>51.9</v>
      </c>
      <c r="V6" s="65" t="n">
        <v>54.9</v>
      </c>
      <c r="W6" s="65" t="n">
        <v>4.2</v>
      </c>
      <c r="X6" s="65" t="n">
        <v>34.3</v>
      </c>
      <c r="Y6" s="65" t="n">
        <v>37</v>
      </c>
      <c r="Z6" s="65" t="n">
        <v>12.8</v>
      </c>
      <c r="AA6" s="65" t="n">
        <v>27.1</v>
      </c>
      <c r="AB6" s="65" t="n">
        <v>37.5</v>
      </c>
      <c r="AC6" s="65" t="n">
        <v>11.9</v>
      </c>
      <c r="AD6" s="65" t="n">
        <v>4.2</v>
      </c>
      <c r="AE6" s="65" t="n">
        <v>1</v>
      </c>
      <c r="AF6" s="65" t="n">
        <v>3.8</v>
      </c>
      <c r="AG6" s="65" t="n">
        <v>-1.6</v>
      </c>
      <c r="AH6" s="65" t="n">
        <v>12</v>
      </c>
      <c r="AI6" s="65" t="n">
        <v>3.2</v>
      </c>
      <c r="AJ6" s="65" t="n">
        <v>-6.4</v>
      </c>
      <c r="AK6" s="65" t="n">
        <v>0.6</v>
      </c>
      <c r="AL6" s="65" t="n">
        <v>-4.2</v>
      </c>
      <c r="AM6" s="65" t="n">
        <v>13.1</v>
      </c>
      <c r="AN6" s="65" t="n">
        <v>27.3</v>
      </c>
      <c r="AO6" s="65" t="n">
        <v>43.2</v>
      </c>
    </row>
    <row r="7">
      <c r="A7" s="63" t="inlineStr">
        <is>
          <t>영업이익</t>
        </is>
      </c>
      <c r="B7" s="64" t="n"/>
      <c r="C7" s="64" t="n">
        <v>2.9</v>
      </c>
      <c r="D7" s="64" t="n">
        <v>0.8</v>
      </c>
      <c r="E7" s="64" t="n">
        <v>4</v>
      </c>
      <c r="F7" s="64" t="n">
        <v>3</v>
      </c>
      <c r="G7" s="64" t="n">
        <v>2.2</v>
      </c>
      <c r="H7" s="64" t="n">
        <v>0.5</v>
      </c>
      <c r="I7" s="64" t="n">
        <v>2.5</v>
      </c>
      <c r="J7" s="64" t="n">
        <v>3.3</v>
      </c>
      <c r="K7" s="64" t="n">
        <v>5.1</v>
      </c>
      <c r="L7" s="64" t="n">
        <v>-0.4</v>
      </c>
      <c r="M7" s="64" t="n">
        <v>8.4</v>
      </c>
      <c r="N7" s="64" t="n">
        <v>3.3</v>
      </c>
      <c r="O7" s="64" t="n">
        <v>3.2</v>
      </c>
      <c r="P7" s="64" t="n">
        <v>-0.5</v>
      </c>
      <c r="Q7" s="64" t="n">
        <v>1.9</v>
      </c>
      <c r="R7" s="64" t="n">
        <v>8</v>
      </c>
      <c r="S7" s="64" t="n">
        <v>14.8</v>
      </c>
      <c r="T7" s="64" t="n">
        <v>-3.5</v>
      </c>
      <c r="U7" s="64" t="n">
        <v>4.3</v>
      </c>
      <c r="V7" s="64" t="n">
        <v>2.6</v>
      </c>
      <c r="W7" s="64" t="n">
        <v>4</v>
      </c>
      <c r="X7" s="64" t="n">
        <v>-5.4</v>
      </c>
      <c r="Y7" s="64" t="n">
        <v>-1.3</v>
      </c>
      <c r="Z7" s="64" t="n">
        <v>-5.4</v>
      </c>
      <c r="AA7" s="64" t="n">
        <v>6.7</v>
      </c>
      <c r="AB7" s="64" t="n">
        <v>-2.7</v>
      </c>
      <c r="AC7" s="64" t="n">
        <v>4.3</v>
      </c>
      <c r="AD7" s="64" t="n">
        <v>-1</v>
      </c>
      <c r="AE7" s="64" t="n">
        <v>9.800000000000001</v>
      </c>
      <c r="AF7" s="64" t="n">
        <v>-2.8</v>
      </c>
      <c r="AG7" s="64" t="n">
        <v>4.2</v>
      </c>
      <c r="AH7" s="64" t="n">
        <v>1.8</v>
      </c>
      <c r="AI7" s="64" t="n">
        <v>0.4</v>
      </c>
      <c r="AJ7" s="64" t="n">
        <v>0.2</v>
      </c>
      <c r="AK7" s="64" t="n">
        <v>8.699999999999999</v>
      </c>
      <c r="AL7" s="64" t="n">
        <v>3.7</v>
      </c>
      <c r="AM7" s="64" t="n">
        <v>10.7</v>
      </c>
      <c r="AN7" s="64" t="n">
        <v>5</v>
      </c>
      <c r="AO7" s="64" t="n">
        <v>11.9</v>
      </c>
    </row>
    <row r="8">
      <c r="A8" s="63" t="inlineStr">
        <is>
          <t>영업이익률</t>
        </is>
      </c>
      <c r="B8" s="65" t="n"/>
      <c r="C8" s="65" t="n">
        <v>5.3</v>
      </c>
      <c r="D8" s="65" t="n">
        <v>2</v>
      </c>
      <c r="E8" s="65" t="n">
        <v>7.6</v>
      </c>
      <c r="F8" s="65" t="n">
        <v>6.4</v>
      </c>
      <c r="G8" s="65" t="n">
        <v>4.1</v>
      </c>
      <c r="H8" s="65" t="n">
        <v>1.3</v>
      </c>
      <c r="I8" s="65" t="n">
        <v>5.2</v>
      </c>
      <c r="J8" s="65" t="n">
        <v>6.7</v>
      </c>
      <c r="K8" s="65" t="n">
        <v>8.5</v>
      </c>
      <c r="L8" s="65" t="n">
        <v>-1</v>
      </c>
      <c r="M8" s="65" t="n">
        <v>11.5</v>
      </c>
      <c r="N8" s="65" t="n">
        <v>6</v>
      </c>
      <c r="O8" s="65" t="n">
        <v>6</v>
      </c>
      <c r="P8" s="65" t="n">
        <v>-1.1</v>
      </c>
      <c r="Q8" s="65" t="n">
        <v>3.5</v>
      </c>
      <c r="R8" s="65" t="n">
        <v>13.1</v>
      </c>
      <c r="S8" s="65" t="n">
        <v>14</v>
      </c>
      <c r="T8" s="65" t="n">
        <v>-6</v>
      </c>
      <c r="U8" s="65" t="n">
        <v>5.3</v>
      </c>
      <c r="V8" s="65" t="n">
        <v>2.7</v>
      </c>
      <c r="W8" s="65" t="n">
        <v>3.6</v>
      </c>
      <c r="X8" s="65" t="n">
        <v>-6.9</v>
      </c>
      <c r="Y8" s="65" t="n">
        <v>-1.2</v>
      </c>
      <c r="Z8" s="65" t="n">
        <v>-5.1</v>
      </c>
      <c r="AA8" s="65" t="n">
        <v>4.8</v>
      </c>
      <c r="AB8" s="65" t="n">
        <v>-2.5</v>
      </c>
      <c r="AC8" s="65" t="n">
        <v>3.4</v>
      </c>
      <c r="AD8" s="65" t="n">
        <v>-0.9</v>
      </c>
      <c r="AE8" s="65" t="n">
        <v>6.9</v>
      </c>
      <c r="AF8" s="65" t="n">
        <v>-2.5</v>
      </c>
      <c r="AG8" s="65" t="n">
        <v>3.4</v>
      </c>
      <c r="AH8" s="65" t="n">
        <v>1.4</v>
      </c>
      <c r="AI8" s="65" t="n">
        <v>0.3</v>
      </c>
      <c r="AJ8" s="65" t="n">
        <v>0.2</v>
      </c>
      <c r="AK8" s="65" t="n">
        <v>7</v>
      </c>
      <c r="AL8" s="65" t="n">
        <v>3.1</v>
      </c>
      <c r="AM8" s="65" t="n">
        <v>6.5</v>
      </c>
      <c r="AN8" s="65" t="n">
        <v>3.8</v>
      </c>
      <c r="AO8" s="65" t="n">
        <v>6.7</v>
      </c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/>
      <c r="G9" s="65" t="n">
        <v>-24.1</v>
      </c>
      <c r="H9" s="65" t="n">
        <v>-37.5</v>
      </c>
      <c r="I9" s="65" t="n">
        <v>-37.5</v>
      </c>
      <c r="J9" s="65" t="n">
        <v>10</v>
      </c>
      <c r="K9" s="65" t="n">
        <v>131.8</v>
      </c>
      <c r="L9" s="65" t="n">
        <v>-180</v>
      </c>
      <c r="M9" s="65" t="n">
        <v>236</v>
      </c>
      <c r="N9" s="65" t="n">
        <v>0</v>
      </c>
      <c r="O9" s="65" t="n">
        <v>-37.3</v>
      </c>
      <c r="P9" s="65" t="n"/>
      <c r="Q9" s="65" t="n">
        <v>-77.40000000000001</v>
      </c>
      <c r="R9" s="65" t="n">
        <v>142.4</v>
      </c>
      <c r="S9" s="65" t="n">
        <v>362.5</v>
      </c>
      <c r="T9" s="65" t="n"/>
      <c r="U9" s="65" t="n">
        <v>126.3</v>
      </c>
      <c r="V9" s="65" t="n">
        <v>-67.5</v>
      </c>
      <c r="W9" s="65" t="n">
        <v>-73</v>
      </c>
      <c r="X9" s="65" t="n"/>
      <c r="Y9" s="65" t="n">
        <v>-130.2</v>
      </c>
      <c r="Z9" s="65" t="n">
        <v>-307.7</v>
      </c>
      <c r="AA9" s="65" t="n">
        <v>67.5</v>
      </c>
      <c r="AB9" s="65" t="n"/>
      <c r="AC9" s="65" t="n"/>
      <c r="AD9" s="65" t="n"/>
      <c r="AE9" s="65" t="n">
        <v>46.3</v>
      </c>
      <c r="AF9" s="65" t="n"/>
      <c r="AG9" s="65" t="n">
        <v>-2.3</v>
      </c>
      <c r="AH9" s="65" t="n"/>
      <c r="AI9" s="65" t="n">
        <v>-95.90000000000001</v>
      </c>
      <c r="AJ9" s="65" t="n"/>
      <c r="AK9" s="65" t="n">
        <v>107.1</v>
      </c>
      <c r="AL9" s="65" t="n">
        <v>105.6</v>
      </c>
      <c r="AM9" s="65" t="n">
        <v>2575</v>
      </c>
      <c r="AN9" s="65" t="n">
        <v>2400</v>
      </c>
      <c r="AO9" s="65" t="n">
        <v>36.8</v>
      </c>
    </row>
    <row r="10">
      <c r="A10" s="63" t="inlineStr">
        <is>
          <t>유동자산</t>
        </is>
      </c>
      <c r="B10" s="64" t="n"/>
      <c r="C10" s="64" t="n">
        <v>118</v>
      </c>
      <c r="D10" s="64" t="n"/>
      <c r="E10" s="64" t="n"/>
      <c r="F10" s="64" t="n">
        <v>131.1</v>
      </c>
      <c r="G10" s="64" t="n">
        <v>109.7</v>
      </c>
      <c r="H10" s="64" t="n">
        <v>116.3</v>
      </c>
      <c r="I10" s="64" t="n">
        <v>125.6</v>
      </c>
      <c r="J10" s="64" t="n">
        <v>136.3</v>
      </c>
      <c r="K10" s="64" t="n">
        <v>122.1</v>
      </c>
      <c r="L10" s="64" t="n">
        <v>132.9</v>
      </c>
      <c r="M10" s="64" t="n">
        <v>149.7</v>
      </c>
      <c r="N10" s="64" t="n">
        <v>133.1</v>
      </c>
      <c r="O10" s="64" t="n">
        <v>145.1</v>
      </c>
      <c r="P10" s="64" t="n">
        <v>152.2</v>
      </c>
      <c r="Q10" s="64" t="n">
        <v>176</v>
      </c>
      <c r="R10" s="64" t="n">
        <v>183.7</v>
      </c>
      <c r="S10" s="64" t="n">
        <v>213.8</v>
      </c>
      <c r="T10" s="64" t="n">
        <v>208.2</v>
      </c>
      <c r="U10" s="64" t="n">
        <v>215.2</v>
      </c>
      <c r="V10" s="64" t="n">
        <v>215.5</v>
      </c>
      <c r="W10" s="64" t="n">
        <v>209.3</v>
      </c>
      <c r="X10" s="64" t="n">
        <v>212.9</v>
      </c>
      <c r="Y10" s="64" t="n">
        <v>235.7</v>
      </c>
      <c r="Z10" s="64" t="n">
        <v>255.1</v>
      </c>
      <c r="AA10" s="64" t="n">
        <v>273.9</v>
      </c>
      <c r="AB10" s="64" t="n">
        <v>264</v>
      </c>
      <c r="AC10" s="64" t="n">
        <v>271.6</v>
      </c>
      <c r="AD10" s="64" t="n">
        <v>264.9</v>
      </c>
      <c r="AE10" s="64" t="n">
        <v>263.6</v>
      </c>
      <c r="AF10" s="64" t="n">
        <v>271.7</v>
      </c>
      <c r="AG10" s="64" t="n">
        <v>272</v>
      </c>
      <c r="AH10" s="64" t="n">
        <v>264.3</v>
      </c>
      <c r="AI10" s="64" t="n">
        <v>284</v>
      </c>
      <c r="AJ10" s="64" t="n">
        <v>259.4</v>
      </c>
      <c r="AK10" s="64" t="n">
        <v>260.8</v>
      </c>
      <c r="AL10" s="64" t="n">
        <v>264.9</v>
      </c>
      <c r="AM10" s="64" t="n">
        <v>307.3</v>
      </c>
      <c r="AN10" s="64" t="n">
        <v>310.8</v>
      </c>
      <c r="AO10" s="64" t="n">
        <v>352.9</v>
      </c>
    </row>
    <row r="11">
      <c r="A11" s="63" t="inlineStr">
        <is>
          <t>유동부채</t>
        </is>
      </c>
      <c r="B11" s="64" t="n"/>
      <c r="C11" s="64" t="n">
        <v>109.9</v>
      </c>
      <c r="D11" s="64" t="n"/>
      <c r="E11" s="64" t="n"/>
      <c r="F11" s="64" t="n">
        <v>113.6</v>
      </c>
      <c r="G11" s="64" t="n">
        <v>96.5</v>
      </c>
      <c r="H11" s="64" t="n">
        <v>109</v>
      </c>
      <c r="I11" s="64" t="n">
        <v>113.6</v>
      </c>
      <c r="J11" s="64" t="n">
        <v>118.1</v>
      </c>
      <c r="K11" s="64" t="n">
        <v>103.8</v>
      </c>
      <c r="L11" s="64" t="n">
        <v>118.5</v>
      </c>
      <c r="M11" s="64" t="n">
        <v>127</v>
      </c>
      <c r="N11" s="64" t="n">
        <v>109.6</v>
      </c>
      <c r="O11" s="64" t="n">
        <v>111.2</v>
      </c>
      <c r="P11" s="64" t="n">
        <v>124.1</v>
      </c>
      <c r="Q11" s="64" t="n">
        <v>156.4</v>
      </c>
      <c r="R11" s="64" t="n">
        <v>155.4</v>
      </c>
      <c r="S11" s="64" t="n">
        <v>151.2</v>
      </c>
      <c r="T11" s="64" t="n">
        <v>160.9</v>
      </c>
      <c r="U11" s="64" t="n">
        <v>174.3</v>
      </c>
      <c r="V11" s="64" t="n">
        <v>172</v>
      </c>
      <c r="W11" s="64" t="n">
        <v>165.5</v>
      </c>
      <c r="X11" s="64" t="n">
        <v>177.6</v>
      </c>
      <c r="Y11" s="64" t="n">
        <v>192.8</v>
      </c>
      <c r="Z11" s="64" t="n">
        <v>209.1</v>
      </c>
      <c r="AA11" s="64" t="n">
        <v>227.6</v>
      </c>
      <c r="AB11" s="64" t="n">
        <v>225.3</v>
      </c>
      <c r="AC11" s="64" t="n">
        <v>222.5</v>
      </c>
      <c r="AD11" s="64" t="n">
        <v>211.7</v>
      </c>
      <c r="AE11" s="64" t="n">
        <v>211.3</v>
      </c>
      <c r="AF11" s="64" t="n">
        <v>222.8</v>
      </c>
      <c r="AG11" s="64" t="n">
        <v>215.1</v>
      </c>
      <c r="AH11" s="64" t="n">
        <v>216.7</v>
      </c>
      <c r="AI11" s="64" t="n">
        <v>225.6</v>
      </c>
      <c r="AJ11" s="64" t="n">
        <v>200.9</v>
      </c>
      <c r="AK11" s="64" t="n">
        <v>200.5</v>
      </c>
      <c r="AL11" s="64" t="n">
        <v>202.5</v>
      </c>
      <c r="AM11" s="64" t="n">
        <v>235.6</v>
      </c>
      <c r="AN11" s="64" t="n">
        <v>243.2</v>
      </c>
      <c r="AO11" s="64" t="n">
        <v>268.4</v>
      </c>
    </row>
    <row r="12">
      <c r="A12" s="63" t="inlineStr">
        <is>
          <t>부채총계</t>
        </is>
      </c>
      <c r="B12" s="64" t="n"/>
      <c r="C12" s="64" t="n">
        <v>133.3</v>
      </c>
      <c r="D12" s="64" t="n"/>
      <c r="E12" s="64" t="n"/>
      <c r="F12" s="64" t="n">
        <v>136.4</v>
      </c>
      <c r="G12" s="64" t="n">
        <v>117.4</v>
      </c>
      <c r="H12" s="64" t="n">
        <v>128.3</v>
      </c>
      <c r="I12" s="64" t="n">
        <v>133.9</v>
      </c>
      <c r="J12" s="64" t="n">
        <v>140.3</v>
      </c>
      <c r="K12" s="64" t="n">
        <v>124.1</v>
      </c>
      <c r="L12" s="64" t="n">
        <v>138.1</v>
      </c>
      <c r="M12" s="64" t="n">
        <v>144.4</v>
      </c>
      <c r="N12" s="64" t="n">
        <v>124.9</v>
      </c>
      <c r="O12" s="64" t="n">
        <v>136.6</v>
      </c>
      <c r="P12" s="64" t="n">
        <v>146.9</v>
      </c>
      <c r="Q12" s="64" t="n">
        <v>179.1</v>
      </c>
      <c r="R12" s="64" t="n">
        <v>176.4</v>
      </c>
      <c r="S12" s="64" t="n">
        <v>196.4</v>
      </c>
      <c r="T12" s="64" t="n">
        <v>214.5</v>
      </c>
      <c r="U12" s="64" t="n">
        <v>231.8</v>
      </c>
      <c r="V12" s="64" t="n">
        <v>227.7</v>
      </c>
      <c r="W12" s="64" t="n">
        <v>220.5</v>
      </c>
      <c r="X12" s="64" t="n">
        <v>227.7</v>
      </c>
      <c r="Y12" s="64" t="n">
        <v>245.3</v>
      </c>
      <c r="Z12" s="64" t="n">
        <v>266.4</v>
      </c>
      <c r="AA12" s="64" t="n">
        <v>281.9</v>
      </c>
      <c r="AB12" s="64" t="n">
        <v>276.1</v>
      </c>
      <c r="AC12" s="64" t="n">
        <v>274.8</v>
      </c>
      <c r="AD12" s="64" t="n">
        <v>266.6</v>
      </c>
      <c r="AE12" s="64" t="n">
        <v>262.8</v>
      </c>
      <c r="AF12" s="64" t="n">
        <v>277.7</v>
      </c>
      <c r="AG12" s="64" t="n">
        <v>268.8</v>
      </c>
      <c r="AH12" s="64" t="n">
        <v>263.5</v>
      </c>
      <c r="AI12" s="64" t="n">
        <v>273</v>
      </c>
      <c r="AJ12" s="64" t="n">
        <v>253.6</v>
      </c>
      <c r="AK12" s="64" t="n">
        <v>248</v>
      </c>
      <c r="AL12" s="64" t="n">
        <v>247.7</v>
      </c>
      <c r="AM12" s="64" t="n">
        <v>271.3</v>
      </c>
      <c r="AN12" s="64" t="n">
        <v>274.6</v>
      </c>
      <c r="AO12" s="64" t="n">
        <v>323.3</v>
      </c>
    </row>
    <row r="13">
      <c r="A13" s="63" t="inlineStr">
        <is>
          <t>자기자본</t>
        </is>
      </c>
      <c r="B13" s="65" t="n"/>
      <c r="C13" s="65" t="n">
        <v>49.3</v>
      </c>
      <c r="D13" s="65" t="n"/>
      <c r="E13" s="65" t="n"/>
      <c r="F13" s="65" t="n">
        <v>56</v>
      </c>
      <c r="G13" s="65" t="n">
        <v>57.2</v>
      </c>
      <c r="H13" s="65" t="n">
        <v>55.6</v>
      </c>
      <c r="I13" s="65" t="n">
        <v>55.1</v>
      </c>
      <c r="J13" s="65" t="n">
        <v>58.1</v>
      </c>
      <c r="K13" s="65" t="n">
        <v>62.2</v>
      </c>
      <c r="L13" s="65" t="n">
        <v>60.9</v>
      </c>
      <c r="M13" s="65" t="n">
        <v>69</v>
      </c>
      <c r="N13" s="65" t="n">
        <v>70.2</v>
      </c>
      <c r="O13" s="65" t="n">
        <v>74.59999999999999</v>
      </c>
      <c r="P13" s="65" t="n">
        <v>70.90000000000001</v>
      </c>
      <c r="Q13" s="65" t="n">
        <v>72.40000000000001</v>
      </c>
      <c r="R13" s="65" t="n">
        <v>80.59999999999999</v>
      </c>
      <c r="S13" s="65" t="n">
        <v>93.40000000000001</v>
      </c>
      <c r="T13" s="65" t="n">
        <v>88.09999999999999</v>
      </c>
      <c r="U13" s="65" t="n">
        <v>90.8</v>
      </c>
      <c r="V13" s="65" t="n">
        <v>90.90000000000001</v>
      </c>
      <c r="W13" s="65" t="n">
        <v>97.40000000000001</v>
      </c>
      <c r="X13" s="65" t="n">
        <v>93</v>
      </c>
      <c r="Y13" s="65" t="n">
        <v>98.2</v>
      </c>
      <c r="Z13" s="65" t="n">
        <v>88.7</v>
      </c>
      <c r="AA13" s="65" t="n">
        <v>87.09999999999999</v>
      </c>
      <c r="AB13" s="65" t="n">
        <v>83.09999999999999</v>
      </c>
      <c r="AC13" s="65" t="n">
        <v>92.5</v>
      </c>
      <c r="AD13" s="65" t="n">
        <v>93.40000000000001</v>
      </c>
      <c r="AE13" s="65" t="n">
        <v>98.09999999999999</v>
      </c>
      <c r="AF13" s="65" t="n">
        <v>97.5</v>
      </c>
      <c r="AG13" s="65" t="n">
        <v>106.6</v>
      </c>
      <c r="AH13" s="65" t="n">
        <v>99.40000000000001</v>
      </c>
      <c r="AI13" s="65" t="n">
        <v>101</v>
      </c>
      <c r="AJ13" s="65" t="n">
        <v>92.90000000000001</v>
      </c>
      <c r="AK13" s="65" t="n">
        <v>97.8</v>
      </c>
      <c r="AL13" s="65" t="n">
        <v>101.9</v>
      </c>
      <c r="AM13" s="65" t="n">
        <v>122.8</v>
      </c>
      <c r="AN13" s="65" t="n">
        <v>124.4</v>
      </c>
      <c r="AO13" s="65" t="n">
        <v>135.5</v>
      </c>
    </row>
    <row r="14">
      <c r="A14" s="63" t="inlineStr">
        <is>
          <t>유동비율</t>
        </is>
      </c>
      <c r="B14" s="65" t="n"/>
      <c r="C14" s="65" t="n">
        <v>107.4</v>
      </c>
      <c r="D14" s="65" t="n"/>
      <c r="E14" s="65" t="n"/>
      <c r="F14" s="65" t="n">
        <v>115.4</v>
      </c>
      <c r="G14" s="65" t="n">
        <v>113.7</v>
      </c>
      <c r="H14" s="65" t="n">
        <v>106.7</v>
      </c>
      <c r="I14" s="65" t="n">
        <v>110.6</v>
      </c>
      <c r="J14" s="65" t="n">
        <v>115.4</v>
      </c>
      <c r="K14" s="65" t="n">
        <v>117.6</v>
      </c>
      <c r="L14" s="65" t="n">
        <v>112.2</v>
      </c>
      <c r="M14" s="65" t="n">
        <v>117.9</v>
      </c>
      <c r="N14" s="65" t="n">
        <v>121.4</v>
      </c>
      <c r="O14" s="65" t="n">
        <v>130.5</v>
      </c>
      <c r="P14" s="65" t="n">
        <v>122.6</v>
      </c>
      <c r="Q14" s="65" t="n">
        <v>112.5</v>
      </c>
      <c r="R14" s="65" t="n">
        <v>118.2</v>
      </c>
      <c r="S14" s="65" t="n">
        <v>141.4</v>
      </c>
      <c r="T14" s="65" t="n">
        <v>129.4</v>
      </c>
      <c r="U14" s="65" t="n">
        <v>123.5</v>
      </c>
      <c r="V14" s="65" t="n">
        <v>125.3</v>
      </c>
      <c r="W14" s="65" t="n">
        <v>126.5</v>
      </c>
      <c r="X14" s="65" t="n">
        <v>119.9</v>
      </c>
      <c r="Y14" s="65" t="n">
        <v>122.3</v>
      </c>
      <c r="Z14" s="65" t="n">
        <v>122</v>
      </c>
      <c r="AA14" s="65" t="n">
        <v>120.3</v>
      </c>
      <c r="AB14" s="65" t="n">
        <v>117.2</v>
      </c>
      <c r="AC14" s="65" t="n">
        <v>122.1</v>
      </c>
      <c r="AD14" s="65" t="n">
        <v>125.1</v>
      </c>
      <c r="AE14" s="65" t="n">
        <v>124.8</v>
      </c>
      <c r="AF14" s="65" t="n">
        <v>121.9</v>
      </c>
      <c r="AG14" s="65" t="n">
        <v>126.5</v>
      </c>
      <c r="AH14" s="65" t="n">
        <v>122</v>
      </c>
      <c r="AI14" s="65" t="n">
        <v>125.9</v>
      </c>
      <c r="AJ14" s="65" t="n">
        <v>129.1</v>
      </c>
      <c r="AK14" s="65" t="n">
        <v>130.1</v>
      </c>
      <c r="AL14" s="65" t="n">
        <v>130.8</v>
      </c>
      <c r="AM14" s="65" t="n">
        <v>130.4</v>
      </c>
      <c r="AN14" s="65" t="n">
        <v>127.8</v>
      </c>
      <c r="AO14" s="65" t="n">
        <v>131.5</v>
      </c>
    </row>
    <row r="15">
      <c r="A15" s="63" t="inlineStr">
        <is>
          <t>부채비율</t>
        </is>
      </c>
      <c r="B15" s="65" t="n"/>
      <c r="C15" s="65" t="n">
        <v>270.4</v>
      </c>
      <c r="D15" s="65" t="n"/>
      <c r="E15" s="65" t="n"/>
      <c r="F15" s="65" t="n">
        <v>243.6</v>
      </c>
      <c r="G15" s="65" t="n">
        <v>205.2</v>
      </c>
      <c r="H15" s="65" t="n">
        <v>230.8</v>
      </c>
      <c r="I15" s="65" t="n">
        <v>243</v>
      </c>
      <c r="J15" s="65" t="n">
        <v>241.5</v>
      </c>
      <c r="K15" s="65" t="n">
        <v>199.5</v>
      </c>
      <c r="L15" s="65" t="n">
        <v>226.8</v>
      </c>
      <c r="M15" s="65" t="n">
        <v>209.3</v>
      </c>
      <c r="N15" s="65" t="n">
        <v>177.9</v>
      </c>
      <c r="O15" s="65" t="n">
        <v>183.1</v>
      </c>
      <c r="P15" s="65" t="n">
        <v>207.2</v>
      </c>
      <c r="Q15" s="65" t="n">
        <v>247.4</v>
      </c>
      <c r="R15" s="65" t="n">
        <v>218.9</v>
      </c>
      <c r="S15" s="65" t="n">
        <v>210.3</v>
      </c>
      <c r="T15" s="65" t="n">
        <v>243.5</v>
      </c>
      <c r="U15" s="65" t="n">
        <v>255.3</v>
      </c>
      <c r="V15" s="65" t="n">
        <v>250.5</v>
      </c>
      <c r="W15" s="65" t="n">
        <v>226.4</v>
      </c>
      <c r="X15" s="65" t="n">
        <v>244.8</v>
      </c>
      <c r="Y15" s="65" t="n">
        <v>249.8</v>
      </c>
      <c r="Z15" s="65" t="n">
        <v>300.3</v>
      </c>
      <c r="AA15" s="65" t="n">
        <v>323.7</v>
      </c>
      <c r="AB15" s="65" t="n">
        <v>332.3</v>
      </c>
      <c r="AC15" s="65" t="n">
        <v>297.1</v>
      </c>
      <c r="AD15" s="65" t="n">
        <v>285.4</v>
      </c>
      <c r="AE15" s="65" t="n">
        <v>267.9</v>
      </c>
      <c r="AF15" s="65" t="n">
        <v>284.8</v>
      </c>
      <c r="AG15" s="65" t="n">
        <v>252.2</v>
      </c>
      <c r="AH15" s="65" t="n">
        <v>265.1</v>
      </c>
      <c r="AI15" s="65" t="n">
        <v>270.3</v>
      </c>
      <c r="AJ15" s="65" t="n">
        <v>273</v>
      </c>
      <c r="AK15" s="65" t="n">
        <v>253.6</v>
      </c>
      <c r="AL15" s="65" t="n">
        <v>243.1</v>
      </c>
      <c r="AM15" s="65" t="n">
        <v>220.9</v>
      </c>
      <c r="AN15" s="65" t="n">
        <v>220.7</v>
      </c>
      <c r="AO15" s="65" t="n">
        <v>238.6</v>
      </c>
    </row>
    <row r="16">
      <c r="A16" s="63" t="inlineStr">
        <is>
          <t>순차입금/자기자본</t>
        </is>
      </c>
      <c r="B16" s="65" t="n"/>
      <c r="C16" s="65" t="n">
        <v>134.7</v>
      </c>
      <c r="D16" s="65" t="n"/>
      <c r="E16" s="65" t="n"/>
      <c r="F16" s="65" t="n">
        <v>98.8</v>
      </c>
      <c r="G16" s="65" t="n">
        <v>89.90000000000001</v>
      </c>
      <c r="H16" s="65" t="n">
        <v>96</v>
      </c>
      <c r="I16" s="65" t="n">
        <v>93.59999999999999</v>
      </c>
      <c r="J16" s="65" t="n">
        <v>89.7</v>
      </c>
      <c r="K16" s="65" t="n">
        <v>89.5</v>
      </c>
      <c r="L16" s="65" t="n">
        <v>97</v>
      </c>
      <c r="M16" s="65" t="n">
        <v>84.2</v>
      </c>
      <c r="N16" s="65" t="n">
        <v>63</v>
      </c>
      <c r="O16" s="65" t="n">
        <v>54.8</v>
      </c>
      <c r="P16" s="65" t="n">
        <v>71.7</v>
      </c>
      <c r="Q16" s="65" t="n">
        <v>93.40000000000001</v>
      </c>
      <c r="R16" s="65" t="n">
        <v>75.59999999999999</v>
      </c>
      <c r="S16" s="65" t="n">
        <v>56.5</v>
      </c>
      <c r="T16" s="65" t="n">
        <v>91.3</v>
      </c>
      <c r="U16" s="65" t="n">
        <v>109.7</v>
      </c>
      <c r="V16" s="65" t="n">
        <v>114.2</v>
      </c>
      <c r="W16" s="65" t="n">
        <v>104.4</v>
      </c>
      <c r="X16" s="65" t="n">
        <v>107.3</v>
      </c>
      <c r="Y16" s="65" t="n">
        <v>107.2</v>
      </c>
      <c r="Z16" s="65" t="n">
        <v>147.1</v>
      </c>
      <c r="AA16" s="65" t="n">
        <v>144.9</v>
      </c>
      <c r="AB16" s="65" t="n">
        <v>143.2</v>
      </c>
      <c r="AC16" s="65" t="n">
        <v>135.2</v>
      </c>
      <c r="AD16" s="65" t="n">
        <v>130.4</v>
      </c>
      <c r="AE16" s="65" t="n">
        <v>127.4</v>
      </c>
      <c r="AF16" s="65" t="n">
        <v>122.3</v>
      </c>
      <c r="AG16" s="65" t="n">
        <v>111.7</v>
      </c>
      <c r="AH16" s="65" t="n">
        <v>124.2</v>
      </c>
      <c r="AI16" s="65" t="n">
        <v>130.2</v>
      </c>
      <c r="AJ16" s="65" t="n">
        <v>118.8</v>
      </c>
      <c r="AK16" s="65" t="n">
        <v>106.6</v>
      </c>
      <c r="AL16" s="65" t="n">
        <v>99.2</v>
      </c>
      <c r="AM16" s="65" t="n">
        <v>72.5</v>
      </c>
      <c r="AN16" s="65" t="n">
        <v>68.59999999999999</v>
      </c>
      <c r="AO16" s="65" t="n">
        <v>89.3</v>
      </c>
    </row>
    <row r="17">
      <c r="A17" s="63" t="inlineStr">
        <is>
          <t>재고자산</t>
        </is>
      </c>
      <c r="B17" s="64" t="n"/>
      <c r="C17" s="64" t="n">
        <v>39.5</v>
      </c>
      <c r="D17" s="64" t="n"/>
      <c r="E17" s="64" t="n"/>
      <c r="F17" s="64" t="n">
        <v>45.7</v>
      </c>
      <c r="G17" s="64" t="n">
        <v>36.9</v>
      </c>
      <c r="H17" s="64" t="n">
        <v>40.4</v>
      </c>
      <c r="I17" s="64" t="n">
        <v>39.1</v>
      </c>
      <c r="J17" s="64" t="n">
        <v>42.5</v>
      </c>
      <c r="K17" s="64" t="n">
        <v>36.6</v>
      </c>
      <c r="L17" s="64" t="n">
        <v>51.1</v>
      </c>
      <c r="M17" s="64" t="n">
        <v>49.5</v>
      </c>
      <c r="N17" s="64" t="n">
        <v>41.5</v>
      </c>
      <c r="O17" s="64" t="n">
        <v>38.8</v>
      </c>
      <c r="P17" s="64" t="n">
        <v>46.5</v>
      </c>
      <c r="Q17" s="64" t="n">
        <v>48.8</v>
      </c>
      <c r="R17" s="64" t="n">
        <v>46.3</v>
      </c>
      <c r="S17" s="64" t="n">
        <v>34.8</v>
      </c>
      <c r="T17" s="64" t="n">
        <v>61.9</v>
      </c>
      <c r="U17" s="64" t="n">
        <v>75.90000000000001</v>
      </c>
      <c r="V17" s="64" t="n">
        <v>79.3</v>
      </c>
      <c r="W17" s="64" t="n">
        <v>66.59999999999999</v>
      </c>
      <c r="X17" s="64" t="n">
        <v>85.90000000000001</v>
      </c>
      <c r="Y17" s="64" t="n">
        <v>88.2</v>
      </c>
      <c r="Z17" s="64" t="n">
        <v>108.3</v>
      </c>
      <c r="AA17" s="64" t="n">
        <v>92.5</v>
      </c>
      <c r="AB17" s="64" t="n">
        <v>101.7</v>
      </c>
      <c r="AC17" s="64" t="n">
        <v>104</v>
      </c>
      <c r="AD17" s="64" t="n">
        <v>107.3</v>
      </c>
      <c r="AE17" s="64" t="n">
        <v>85.59999999999999</v>
      </c>
      <c r="AF17" s="64" t="n">
        <v>91.2</v>
      </c>
      <c r="AG17" s="64" t="n">
        <v>98.40000000000001</v>
      </c>
      <c r="AH17" s="64" t="n">
        <v>92.2</v>
      </c>
      <c r="AI17" s="64" t="n">
        <v>80.09999999999999</v>
      </c>
      <c r="AJ17" s="64" t="n">
        <v>86.5</v>
      </c>
      <c r="AK17" s="64" t="n">
        <v>86.40000000000001</v>
      </c>
      <c r="AL17" s="64" t="n">
        <v>84.90000000000001</v>
      </c>
      <c r="AM17" s="64" t="n">
        <v>76.3</v>
      </c>
      <c r="AN17" s="64" t="n">
        <v>89</v>
      </c>
      <c r="AO17" s="64" t="n">
        <v>87.2</v>
      </c>
    </row>
    <row r="18">
      <c r="A18" s="63" t="inlineStr">
        <is>
          <t>재고자산 회전일수</t>
        </is>
      </c>
      <c r="B18" s="64" t="n"/>
      <c r="C18" s="64" t="n">
        <v>86</v>
      </c>
      <c r="D18" s="64" t="n"/>
      <c r="E18" s="64" t="n"/>
      <c r="F18" s="64" t="n">
        <v>123</v>
      </c>
      <c r="G18" s="64" t="n">
        <v>82</v>
      </c>
      <c r="H18" s="64" t="n">
        <v>127</v>
      </c>
      <c r="I18" s="64" t="n">
        <v>102</v>
      </c>
      <c r="J18" s="64" t="n">
        <v>110</v>
      </c>
      <c r="K18" s="64" t="n">
        <v>79</v>
      </c>
      <c r="L18" s="64" t="n">
        <v>156</v>
      </c>
      <c r="M18" s="64" t="n">
        <v>85</v>
      </c>
      <c r="N18" s="64" t="n">
        <v>94</v>
      </c>
      <c r="O18" s="64" t="n">
        <v>94</v>
      </c>
      <c r="P18" s="64" t="n">
        <v>133</v>
      </c>
      <c r="Q18" s="64" t="n">
        <v>115</v>
      </c>
      <c r="R18" s="64" t="n">
        <v>105</v>
      </c>
      <c r="S18" s="64" t="n">
        <v>43</v>
      </c>
      <c r="T18" s="64" t="n">
        <v>136</v>
      </c>
      <c r="U18" s="64" t="n">
        <v>121</v>
      </c>
      <c r="V18" s="64" t="n">
        <v>101</v>
      </c>
      <c r="W18" s="64" t="n">
        <v>72</v>
      </c>
      <c r="X18" s="64" t="n">
        <v>128</v>
      </c>
      <c r="Y18" s="64" t="n">
        <v>89</v>
      </c>
      <c r="Z18" s="64" t="n">
        <v>112</v>
      </c>
      <c r="AA18" s="64" t="n">
        <v>77</v>
      </c>
      <c r="AB18" s="64" t="n">
        <v>106</v>
      </c>
      <c r="AC18" s="64" t="n">
        <v>96</v>
      </c>
      <c r="AD18" s="64" t="n">
        <v>109</v>
      </c>
      <c r="AE18" s="64" t="n">
        <v>73</v>
      </c>
      <c r="AF18" s="64" t="n">
        <v>91</v>
      </c>
      <c r="AG18" s="64" t="n">
        <v>94</v>
      </c>
      <c r="AH18" s="64" t="n">
        <v>86</v>
      </c>
      <c r="AI18" s="64" t="n">
        <v>61</v>
      </c>
      <c r="AJ18" s="64" t="n">
        <v>95</v>
      </c>
      <c r="AK18" s="64" t="n">
        <v>87</v>
      </c>
      <c r="AL18" s="64" t="n">
        <v>84</v>
      </c>
      <c r="AM18" s="64" t="n">
        <v>53</v>
      </c>
      <c r="AN18" s="64" t="n">
        <v>78</v>
      </c>
      <c r="AO18" s="64" t="n">
        <v>58</v>
      </c>
    </row>
    <row r="19">
      <c r="A19" s="63" t="inlineStr">
        <is>
          <t>매출채권 회전일수</t>
        </is>
      </c>
      <c r="B19" s="64" t="n"/>
      <c r="C19" s="64" t="n">
        <v>76</v>
      </c>
      <c r="D19" s="64" t="n"/>
      <c r="E19" s="64" t="n"/>
      <c r="F19" s="64" t="n">
        <v>90</v>
      </c>
      <c r="G19" s="64" t="n">
        <v>70</v>
      </c>
      <c r="H19" s="64" t="n">
        <v>77</v>
      </c>
      <c r="I19" s="64" t="n">
        <v>76</v>
      </c>
      <c r="J19" s="64" t="n">
        <v>70</v>
      </c>
      <c r="K19" s="64" t="n">
        <v>72</v>
      </c>
      <c r="L19" s="64" t="n">
        <v>82</v>
      </c>
      <c r="M19" s="64" t="n">
        <v>75</v>
      </c>
      <c r="N19" s="64" t="n">
        <v>73</v>
      </c>
      <c r="O19" s="64" t="n">
        <v>72</v>
      </c>
      <c r="P19" s="64" t="n">
        <v>79</v>
      </c>
      <c r="Q19" s="64" t="n">
        <v>84</v>
      </c>
      <c r="R19" s="64" t="n">
        <v>82</v>
      </c>
      <c r="S19" s="64" t="n">
        <v>64</v>
      </c>
      <c r="T19" s="64" t="n">
        <v>99</v>
      </c>
      <c r="U19" s="64" t="n">
        <v>76</v>
      </c>
      <c r="V19" s="64" t="n">
        <v>67</v>
      </c>
      <c r="W19" s="64" t="n">
        <v>64</v>
      </c>
      <c r="X19" s="64" t="n">
        <v>66</v>
      </c>
      <c r="Y19" s="64" t="n">
        <v>62</v>
      </c>
      <c r="Z19" s="64" t="n">
        <v>71</v>
      </c>
      <c r="AA19" s="64" t="n">
        <v>73</v>
      </c>
      <c r="AB19" s="64" t="n">
        <v>80</v>
      </c>
      <c r="AC19" s="64" t="n">
        <v>75</v>
      </c>
      <c r="AD19" s="64" t="n">
        <v>71</v>
      </c>
      <c r="AE19" s="64" t="n">
        <v>71</v>
      </c>
      <c r="AF19" s="64" t="n">
        <v>82</v>
      </c>
      <c r="AG19" s="64" t="n">
        <v>79</v>
      </c>
      <c r="AH19" s="64" t="n">
        <v>73</v>
      </c>
      <c r="AI19" s="64" t="n">
        <v>88</v>
      </c>
      <c r="AJ19" s="64" t="n">
        <v>84</v>
      </c>
      <c r="AK19" s="64" t="n">
        <v>74</v>
      </c>
      <c r="AL19" s="64" t="n">
        <v>78</v>
      </c>
      <c r="AM19" s="64" t="n">
        <v>83</v>
      </c>
      <c r="AN19" s="64" t="n">
        <v>93</v>
      </c>
      <c r="AO19" s="64" t="n">
        <v>91</v>
      </c>
    </row>
    <row r="20">
      <c r="A20" s="63" t="inlineStr">
        <is>
          <t>매입채무 회전일수</t>
        </is>
      </c>
      <c r="B20" s="64" t="n"/>
      <c r="C20" s="64" t="n">
        <v>56</v>
      </c>
      <c r="D20" s="64" t="n"/>
      <c r="E20" s="64" t="n"/>
      <c r="F20" s="64" t="n">
        <v>80</v>
      </c>
      <c r="G20" s="64" t="n">
        <v>59</v>
      </c>
      <c r="H20" s="64" t="n">
        <v>85</v>
      </c>
      <c r="I20" s="64" t="n">
        <v>82</v>
      </c>
      <c r="J20" s="64" t="n">
        <v>78</v>
      </c>
      <c r="K20" s="64" t="n">
        <v>59</v>
      </c>
      <c r="L20" s="64" t="n">
        <v>96</v>
      </c>
      <c r="M20" s="64" t="n">
        <v>65</v>
      </c>
      <c r="N20" s="64" t="n">
        <v>65</v>
      </c>
      <c r="O20" s="64" t="n">
        <v>57</v>
      </c>
      <c r="P20" s="64" t="n">
        <v>66</v>
      </c>
      <c r="Q20" s="64" t="n">
        <v>68</v>
      </c>
      <c r="R20" s="64" t="n">
        <v>66</v>
      </c>
      <c r="S20" s="64" t="n">
        <v>41</v>
      </c>
      <c r="T20" s="64" t="n">
        <v>93</v>
      </c>
      <c r="U20" s="64" t="n">
        <v>84</v>
      </c>
      <c r="V20" s="64" t="n">
        <v>60</v>
      </c>
      <c r="W20" s="64" t="n">
        <v>49</v>
      </c>
      <c r="X20" s="64" t="n">
        <v>74</v>
      </c>
      <c r="Y20" s="64" t="n">
        <v>61</v>
      </c>
      <c r="Z20" s="64" t="n">
        <v>66</v>
      </c>
      <c r="AA20" s="64" t="n">
        <v>69</v>
      </c>
      <c r="AB20" s="64" t="n">
        <v>76</v>
      </c>
      <c r="AC20" s="64" t="n">
        <v>66</v>
      </c>
      <c r="AD20" s="64" t="n">
        <v>66</v>
      </c>
      <c r="AE20" s="64" t="n">
        <v>52</v>
      </c>
      <c r="AF20" s="64" t="n">
        <v>62</v>
      </c>
      <c r="AG20" s="64" t="n">
        <v>59</v>
      </c>
      <c r="AH20" s="64" t="n">
        <v>48</v>
      </c>
      <c r="AI20" s="64" t="n">
        <v>43</v>
      </c>
      <c r="AJ20" s="64" t="n">
        <v>55</v>
      </c>
      <c r="AK20" s="64" t="n">
        <v>45</v>
      </c>
      <c r="AL20" s="64" t="n">
        <v>47</v>
      </c>
      <c r="AM20" s="64" t="n">
        <v>48</v>
      </c>
      <c r="AN20" s="64" t="n">
        <v>51</v>
      </c>
      <c r="AO20" s="64" t="n">
        <v>46</v>
      </c>
    </row>
    <row r="21">
      <c r="A21" s="63" t="inlineStr">
        <is>
          <t>현금전환주기(CCC)</t>
        </is>
      </c>
      <c r="B21" s="64" t="n"/>
      <c r="C21" s="64" t="n">
        <v>106</v>
      </c>
      <c r="D21" s="64" t="n"/>
      <c r="E21" s="64" t="n"/>
      <c r="F21" s="64" t="n">
        <v>133</v>
      </c>
      <c r="G21" s="64" t="n">
        <v>93</v>
      </c>
      <c r="H21" s="64" t="n">
        <v>119</v>
      </c>
      <c r="I21" s="64" t="n">
        <v>96</v>
      </c>
      <c r="J21" s="64" t="n">
        <v>102</v>
      </c>
      <c r="K21" s="64" t="n">
        <v>92</v>
      </c>
      <c r="L21" s="64" t="n">
        <v>142</v>
      </c>
      <c r="M21" s="64" t="n">
        <v>95</v>
      </c>
      <c r="N21" s="64" t="n">
        <v>102</v>
      </c>
      <c r="O21" s="64" t="n">
        <v>109</v>
      </c>
      <c r="P21" s="64" t="n">
        <v>146</v>
      </c>
      <c r="Q21" s="64" t="n">
        <v>131</v>
      </c>
      <c r="R21" s="64" t="n">
        <v>121</v>
      </c>
      <c r="S21" s="64" t="n">
        <v>66</v>
      </c>
      <c r="T21" s="64" t="n">
        <v>142</v>
      </c>
      <c r="U21" s="64" t="n">
        <v>113</v>
      </c>
      <c r="V21" s="64" t="n">
        <v>108</v>
      </c>
      <c r="W21" s="64" t="n">
        <v>87</v>
      </c>
      <c r="X21" s="64" t="n">
        <v>120</v>
      </c>
      <c r="Y21" s="64" t="n">
        <v>90</v>
      </c>
      <c r="Z21" s="64" t="n">
        <v>117</v>
      </c>
      <c r="AA21" s="64" t="n">
        <v>81</v>
      </c>
      <c r="AB21" s="64" t="n">
        <v>110</v>
      </c>
      <c r="AC21" s="64" t="n">
        <v>105</v>
      </c>
      <c r="AD21" s="64" t="n">
        <v>114</v>
      </c>
      <c r="AE21" s="64" t="n">
        <v>92</v>
      </c>
      <c r="AF21" s="64" t="n">
        <v>111</v>
      </c>
      <c r="AG21" s="64" t="n">
        <v>114</v>
      </c>
      <c r="AH21" s="64" t="n">
        <v>111</v>
      </c>
      <c r="AI21" s="64" t="n">
        <v>106</v>
      </c>
      <c r="AJ21" s="64" t="n">
        <v>124</v>
      </c>
      <c r="AK21" s="64" t="n">
        <v>116</v>
      </c>
      <c r="AL21" s="64" t="n">
        <v>115</v>
      </c>
      <c r="AM21" s="64" t="n">
        <v>88</v>
      </c>
      <c r="AN21" s="64" t="n">
        <v>120</v>
      </c>
      <c r="AO21" s="64" t="n">
        <v>103</v>
      </c>
    </row>
    <row r="22">
      <c r="A22" s="63" t="inlineStr">
        <is>
          <t>총 차입금</t>
        </is>
      </c>
      <c r="B22" s="64" t="n"/>
      <c r="C22" s="64" t="n">
        <v>84.69999999999999</v>
      </c>
      <c r="D22" s="64" t="n"/>
      <c r="E22" s="64" t="n"/>
      <c r="F22" s="64" t="n">
        <v>85</v>
      </c>
      <c r="G22" s="64" t="n">
        <v>69.3</v>
      </c>
      <c r="H22" s="64" t="n">
        <v>81.59999999999999</v>
      </c>
      <c r="I22" s="64" t="n">
        <v>83.7</v>
      </c>
      <c r="J22" s="64" t="n">
        <v>91.09999999999999</v>
      </c>
      <c r="K22" s="64" t="n">
        <v>76.40000000000001</v>
      </c>
      <c r="L22" s="64" t="n">
        <v>85.8</v>
      </c>
      <c r="M22" s="64" t="n">
        <v>84.3</v>
      </c>
      <c r="N22" s="64" t="n">
        <v>75.90000000000001</v>
      </c>
      <c r="O22" s="64" t="n">
        <v>90.40000000000001</v>
      </c>
      <c r="P22" s="64" t="n">
        <v>102.6</v>
      </c>
      <c r="Q22" s="64" t="n">
        <v>123.3</v>
      </c>
      <c r="R22" s="64" t="n">
        <v>121.2</v>
      </c>
      <c r="S22" s="64" t="n">
        <v>135.6</v>
      </c>
      <c r="T22" s="64" t="n">
        <v>144.1</v>
      </c>
      <c r="U22" s="64" t="n">
        <v>147.9</v>
      </c>
      <c r="V22" s="64" t="n">
        <v>144.6</v>
      </c>
      <c r="W22" s="64" t="n">
        <v>143.2</v>
      </c>
      <c r="X22" s="64" t="n">
        <v>140.6</v>
      </c>
      <c r="Y22" s="64" t="n">
        <v>149.7</v>
      </c>
      <c r="Z22" s="64" t="n">
        <v>162.2</v>
      </c>
      <c r="AA22" s="64" t="n">
        <v>163</v>
      </c>
      <c r="AB22" s="64" t="n">
        <v>156.2</v>
      </c>
      <c r="AC22" s="64" t="n">
        <v>157.1</v>
      </c>
      <c r="AD22" s="64" t="n">
        <v>156.2</v>
      </c>
      <c r="AE22" s="64" t="n">
        <v>156.9</v>
      </c>
      <c r="AF22" s="64" t="n">
        <v>161.2</v>
      </c>
      <c r="AG22" s="64" t="n">
        <v>158.1</v>
      </c>
      <c r="AH22" s="64" t="n">
        <v>163.6</v>
      </c>
      <c r="AI22" s="64" t="n">
        <v>165.9</v>
      </c>
      <c r="AJ22" s="64" t="n">
        <v>158</v>
      </c>
      <c r="AK22" s="64" t="n">
        <v>153.8</v>
      </c>
      <c r="AL22" s="64" t="n">
        <v>145.8</v>
      </c>
      <c r="AM22" s="64" t="n">
        <v>135.9</v>
      </c>
      <c r="AN22" s="64" t="n">
        <v>143.4</v>
      </c>
      <c r="AO22" s="64" t="n">
        <v>176</v>
      </c>
    </row>
    <row r="23">
      <c r="A23" s="63" t="inlineStr">
        <is>
          <t>현금</t>
        </is>
      </c>
      <c r="B23" s="64" t="n"/>
      <c r="C23" s="64" t="n">
        <v>18.3</v>
      </c>
      <c r="D23" s="64" t="n"/>
      <c r="E23" s="64" t="n"/>
      <c r="F23" s="64" t="n">
        <v>29.7</v>
      </c>
      <c r="G23" s="64" t="n">
        <v>17.9</v>
      </c>
      <c r="H23" s="64" t="n">
        <v>28.2</v>
      </c>
      <c r="I23" s="64" t="n">
        <v>32.1</v>
      </c>
      <c r="J23" s="64" t="n">
        <v>39</v>
      </c>
      <c r="K23" s="64" t="n">
        <v>20.7</v>
      </c>
      <c r="L23" s="64" t="n">
        <v>26.7</v>
      </c>
      <c r="M23" s="64" t="n">
        <v>26.2</v>
      </c>
      <c r="N23" s="64" t="n">
        <v>31.7</v>
      </c>
      <c r="O23" s="64" t="n">
        <v>49.5</v>
      </c>
      <c r="P23" s="64" t="n">
        <v>51.8</v>
      </c>
      <c r="Q23" s="64" t="n">
        <v>55.7</v>
      </c>
      <c r="R23" s="64" t="n">
        <v>60.3</v>
      </c>
      <c r="S23" s="64" t="n">
        <v>82.8</v>
      </c>
      <c r="T23" s="64" t="n">
        <v>63.7</v>
      </c>
      <c r="U23" s="64" t="n">
        <v>48.3</v>
      </c>
      <c r="V23" s="64" t="n">
        <v>40.8</v>
      </c>
      <c r="W23" s="64" t="n">
        <v>41.5</v>
      </c>
      <c r="X23" s="64" t="n">
        <v>40.8</v>
      </c>
      <c r="Y23" s="64" t="n">
        <v>44.4</v>
      </c>
      <c r="Z23" s="64" t="n">
        <v>31.7</v>
      </c>
      <c r="AA23" s="64" t="n">
        <v>36.8</v>
      </c>
      <c r="AB23" s="64" t="n">
        <v>37.2</v>
      </c>
      <c r="AC23" s="64" t="n">
        <v>32</v>
      </c>
      <c r="AD23" s="64" t="n">
        <v>34.4</v>
      </c>
      <c r="AE23" s="64" t="n">
        <v>31.9</v>
      </c>
      <c r="AF23" s="64" t="n">
        <v>42</v>
      </c>
      <c r="AG23" s="64" t="n">
        <v>39</v>
      </c>
      <c r="AH23" s="64" t="n">
        <v>40.1</v>
      </c>
      <c r="AI23" s="64" t="n">
        <v>34.4</v>
      </c>
      <c r="AJ23" s="64" t="n">
        <v>47.6</v>
      </c>
      <c r="AK23" s="64" t="n">
        <v>49.5</v>
      </c>
      <c r="AL23" s="64" t="n">
        <v>44.7</v>
      </c>
      <c r="AM23" s="64" t="n">
        <v>46.9</v>
      </c>
      <c r="AN23" s="64" t="n">
        <v>58.1</v>
      </c>
      <c r="AO23" s="64" t="n">
        <v>55</v>
      </c>
    </row>
    <row r="24">
      <c r="A24" s="63" t="inlineStr">
        <is>
          <t>부문별 매출 · 映像＆ＩＴ事業、報告セグメント [メンバー]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66.8</v>
      </c>
      <c r="AC24" s="64" t="n">
        <v>81</v>
      </c>
      <c r="AD24" s="64" t="n">
        <v>70.3</v>
      </c>
      <c r="AE24" s="64" t="n">
        <v>88.8</v>
      </c>
      <c r="AF24" s="64" t="n">
        <v>74.7</v>
      </c>
      <c r="AG24" s="64" t="n">
        <v>89.5</v>
      </c>
      <c r="AH24" s="64" t="n">
        <v>92.40000000000001</v>
      </c>
      <c r="AI24" s="64" t="n">
        <v>101.7</v>
      </c>
      <c r="AJ24" s="64" t="n">
        <v>78</v>
      </c>
      <c r="AK24" s="64" t="n">
        <v>88.7</v>
      </c>
      <c r="AL24" s="64" t="n">
        <v>88.7</v>
      </c>
      <c r="AM24" s="64" t="n">
        <v>122.3</v>
      </c>
      <c r="AN24" s="64" t="n">
        <v>106.5</v>
      </c>
      <c r="AO24" s="64" t="n">
        <v>143.4</v>
      </c>
      <c r="AP24" s="60" t="inlineStr">
        <is>
          <t>결산단신 부문 정보(외부 고객 매출)</t>
        </is>
      </c>
    </row>
    <row r="25">
      <c r="A25" s="63" t="inlineStr">
        <is>
          <t>부문별 매출 · ロボティクス事業、報告セグメント [メンバー]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40.9</v>
      </c>
      <c r="AC25" s="64" t="n">
        <v>44.1</v>
      </c>
      <c r="AD25" s="64" t="n">
        <v>41.1</v>
      </c>
      <c r="AE25" s="64" t="n">
        <v>53.1</v>
      </c>
      <c r="AF25" s="64" t="n">
        <v>37.2</v>
      </c>
      <c r="AG25" s="64" t="n">
        <v>33.7</v>
      </c>
      <c r="AH25" s="64" t="n">
        <v>32.4</v>
      </c>
      <c r="AI25" s="64" t="n">
        <v>44.7</v>
      </c>
      <c r="AJ25" s="64" t="n">
        <v>26.7</v>
      </c>
      <c r="AK25" s="64" t="n">
        <v>35.3</v>
      </c>
      <c r="AL25" s="64" t="n">
        <v>30.8</v>
      </c>
      <c r="AM25" s="64" t="n">
        <v>43.3</v>
      </c>
      <c r="AN25" s="64" t="n">
        <v>26.9</v>
      </c>
      <c r="AO25" s="64" t="n">
        <v>34.1</v>
      </c>
      <c r="AP25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2026-10-30T09:57:23Z</dcterms:created>
  <dcterms:modified xmlns:dcterms="http://purl.org/dc/terms/" xmlns:xsi="http://www.w3.org/2001/XMLSchema-instance" xsi:type="dcterms:W3CDTF">2026-10-30T09:57:45Z</dcterms:modified>
</cp:coreProperties>
</file>