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6629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12518.33</v>
      </c>
      <c r="D4" s="12" t="n">
        <v>11142.892</v>
      </c>
      <c r="E4" s="12" t="n">
        <v>14194.35</v>
      </c>
      <c r="F4" s="12" t="n">
        <v>11184.626</v>
      </c>
      <c r="G4" s="12" t="n">
        <v>12318.724</v>
      </c>
      <c r="H4" s="12" t="n">
        <v>12477.03</v>
      </c>
      <c r="I4" s="12" t="n">
        <v>14644.324</v>
      </c>
      <c r="J4" s="12" t="n">
        <v>10469</v>
      </c>
      <c r="K4" s="12" t="n">
        <v>12402.097</v>
      </c>
      <c r="L4" s="12" t="n">
        <v>11954.12</v>
      </c>
      <c r="M4" s="12" t="n">
        <v>16555.415</v>
      </c>
      <c r="N4" s="12" t="n">
        <v>13334</v>
      </c>
      <c r="O4" s="11" t="n">
        <v>20075.594</v>
      </c>
      <c r="P4" s="12" t="n">
        <v>19398.574</v>
      </c>
      <c r="Q4" s="12" t="n">
        <v>19615.664</v>
      </c>
      <c r="R4" s="12" t="n">
        <v>22357.72</v>
      </c>
      <c r="S4" s="12" t="n">
        <v>26481.026</v>
      </c>
      <c r="T4" s="12" t="n">
        <v>34521.523</v>
      </c>
      <c r="U4" s="12" t="n">
        <v>43765.067</v>
      </c>
      <c r="V4" s="12" t="n">
        <v>48623.725</v>
      </c>
      <c r="W4" s="12" t="n">
        <v>50624.704</v>
      </c>
      <c r="X4" s="12" t="n">
        <v>51380.632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Imaging And ITReportable Segments</t>
        </is>
      </c>
      <c r="B7" s="10" t="n"/>
      <c r="C7" s="19" t="n">
        <v>8103.786</v>
      </c>
      <c r="D7" s="20" t="n">
        <v>7032.856</v>
      </c>
      <c r="E7" s="20" t="n">
        <v>8881.030000000001</v>
      </c>
      <c r="F7" s="20" t="n">
        <v>7465.286</v>
      </c>
      <c r="G7" s="20" t="n">
        <v>8947.918</v>
      </c>
      <c r="H7" s="20" t="n">
        <v>9241.781000000001</v>
      </c>
      <c r="I7" s="20" t="n">
        <v>10173.408</v>
      </c>
      <c r="J7" s="20" t="n">
        <v>7801</v>
      </c>
      <c r="K7" s="20" t="n">
        <v>8868.404</v>
      </c>
      <c r="L7" s="20" t="n">
        <v>8874.370000000001</v>
      </c>
      <c r="M7" s="20" t="n">
        <v>12225.099</v>
      </c>
      <c r="N7" s="20" t="n">
        <v>10645</v>
      </c>
      <c r="O7" s="19" t="n"/>
      <c r="P7" s="20" t="n"/>
      <c r="Q7" s="20" t="n"/>
      <c r="R7" s="20" t="n"/>
      <c r="S7" s="20" t="n"/>
      <c r="T7" s="20" t="n"/>
      <c r="U7" s="20" t="n"/>
      <c r="V7" s="20" t="n">
        <v>30696.417</v>
      </c>
      <c r="W7" s="20" t="n">
        <v>35828.393</v>
      </c>
      <c r="X7" s="20" t="n">
        <v>37768.873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Robotics Reportable Segments</t>
        </is>
      </c>
      <c r="B10" s="10" t="n"/>
      <c r="C10" s="19" t="n">
        <v>4414.544</v>
      </c>
      <c r="D10" s="20" t="n">
        <v>4110.036</v>
      </c>
      <c r="E10" s="20" t="n">
        <v>5313.32</v>
      </c>
      <c r="F10" s="20" t="n">
        <v>3719.339</v>
      </c>
      <c r="G10" s="20" t="n">
        <v>3370.807</v>
      </c>
      <c r="H10" s="20" t="n">
        <v>3235.249</v>
      </c>
      <c r="I10" s="20" t="n">
        <v>4470.915</v>
      </c>
      <c r="J10" s="20" t="n">
        <v>2667</v>
      </c>
      <c r="K10" s="20" t="n">
        <v>3534.693</v>
      </c>
      <c r="L10" s="20" t="n">
        <v>3079.749</v>
      </c>
      <c r="M10" s="20" t="n">
        <v>4330.316</v>
      </c>
      <c r="N10" s="20" t="n">
        <v>2689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17927.307</v>
      </c>
      <c r="W10" s="20" t="n">
        <v>14796.31</v>
      </c>
      <c r="X10" s="20" t="n">
        <v>13611.758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9861.934999999999</v>
      </c>
      <c r="D14" s="20" t="n">
        <v>8952.998</v>
      </c>
      <c r="E14" s="20" t="n">
        <v>10676.523</v>
      </c>
      <c r="F14" s="20" t="n">
        <v>9087.281000000001</v>
      </c>
      <c r="G14" s="20" t="n">
        <v>9492.803</v>
      </c>
      <c r="H14" s="20" t="n">
        <v>9726.063</v>
      </c>
      <c r="I14" s="20" t="n">
        <v>11964.932</v>
      </c>
      <c r="J14" s="20" t="n">
        <v>8259</v>
      </c>
      <c r="K14" s="20" t="n">
        <v>9025.794</v>
      </c>
      <c r="L14" s="20" t="n">
        <v>9221.075999999999</v>
      </c>
      <c r="M14" s="20" t="n">
        <v>13078.631</v>
      </c>
      <c r="N14" s="20" t="n">
        <v>10426</v>
      </c>
      <c r="O14" s="19" t="n">
        <v>15335.636</v>
      </c>
      <c r="P14" s="20" t="n">
        <v>14325.589</v>
      </c>
      <c r="Q14" s="20" t="n">
        <v>14154.555</v>
      </c>
      <c r="R14" s="20" t="n">
        <v>16075.626</v>
      </c>
      <c r="S14" s="20" t="n">
        <v>18384.372</v>
      </c>
      <c r="T14" s="20" t="n">
        <v>25437.162</v>
      </c>
      <c r="U14" s="20" t="n">
        <v>34930.82</v>
      </c>
      <c r="V14" s="20" t="n">
        <v>38217.518</v>
      </c>
      <c r="W14" s="20" t="n">
        <v>40271.079</v>
      </c>
      <c r="X14" s="20" t="n">
        <v>39584.501</v>
      </c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>
        <v>2225.697</v>
      </c>
      <c r="D18" s="20" t="n">
        <v>2290.474</v>
      </c>
      <c r="E18" s="20" t="n">
        <v>2541.667</v>
      </c>
      <c r="F18" s="20" t="n">
        <v>2372.764</v>
      </c>
      <c r="G18" s="20" t="n">
        <v>2402.165</v>
      </c>
      <c r="H18" s="20" t="n">
        <v>2569.185</v>
      </c>
      <c r="I18" s="20" t="n">
        <v>2635.864</v>
      </c>
      <c r="J18" s="20" t="n">
        <v>2188</v>
      </c>
      <c r="K18" s="20" t="n">
        <v>2507.107</v>
      </c>
      <c r="L18" s="20" t="n">
        <v>2362.82</v>
      </c>
      <c r="M18" s="20" t="n">
        <v>2406.088</v>
      </c>
      <c r="N18" s="20" t="n">
        <v>2407</v>
      </c>
      <c r="O18" s="19" t="n">
        <v>4264.692</v>
      </c>
      <c r="P18" s="20" t="n">
        <v>4072.766</v>
      </c>
      <c r="Q18" s="20" t="n">
        <v>4320.106</v>
      </c>
      <c r="R18" s="20" t="n">
        <v>4838.302</v>
      </c>
      <c r="S18" s="20" t="n">
        <v>5678.878</v>
      </c>
      <c r="T18" s="20" t="n">
        <v>8334.532999999999</v>
      </c>
      <c r="U18" s="20" t="n">
        <v>9364.725</v>
      </c>
      <c r="V18" s="20" t="n">
        <v>9369.314</v>
      </c>
      <c r="W18" s="20" t="n">
        <v>9979.977999999999</v>
      </c>
      <c r="X18" s="20" t="n">
        <v>9464.014999999999</v>
      </c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430.697</v>
      </c>
      <c r="D19" s="12" t="n">
        <v>-100.58</v>
      </c>
      <c r="E19" s="12" t="n">
        <v>976.159</v>
      </c>
      <c r="F19" s="12" t="n">
        <v>-275.419</v>
      </c>
      <c r="G19" s="12" t="n">
        <v>423.755</v>
      </c>
      <c r="H19" s="12" t="n">
        <v>181.782</v>
      </c>
      <c r="I19" s="12" t="n">
        <v>43.527</v>
      </c>
      <c r="J19" s="12" t="n">
        <v>21</v>
      </c>
      <c r="K19" s="12" t="n">
        <v>870.196</v>
      </c>
      <c r="L19" s="12" t="n">
        <v>370.222</v>
      </c>
      <c r="M19" s="12" t="n">
        <v>1070.697</v>
      </c>
      <c r="N19" s="12" t="n">
        <v>501</v>
      </c>
      <c r="O19" s="11" t="n">
        <v>475.265</v>
      </c>
      <c r="P19" s="12" t="n">
        <v>1000.219</v>
      </c>
      <c r="Q19" s="12" t="n">
        <v>1141.002</v>
      </c>
      <c r="R19" s="12" t="n">
        <v>1443.791</v>
      </c>
      <c r="S19" s="12" t="n">
        <v>2417.775</v>
      </c>
      <c r="T19" s="12" t="n">
        <v>749.827</v>
      </c>
      <c r="U19" s="12" t="n">
        <v>-530.478</v>
      </c>
      <c r="V19" s="12" t="n">
        <v>1036.891</v>
      </c>
      <c r="W19" s="12" t="n">
        <v>373.645</v>
      </c>
      <c r="X19" s="12" t="n">
        <v>2332.115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>
        <v>3.303</v>
      </c>
      <c r="D35" s="20" t="n">
        <v>1.382</v>
      </c>
      <c r="E35" s="20" t="n">
        <v>40.3</v>
      </c>
      <c r="F35" s="20" t="n"/>
      <c r="G35" s="20" t="n"/>
      <c r="H35" s="20" t="n">
        <v>2.669</v>
      </c>
      <c r="I35" s="20" t="n">
        <v>82.657</v>
      </c>
      <c r="J35" s="20" t="n"/>
      <c r="K35" s="20" t="n"/>
      <c r="L35" s="20" t="n"/>
      <c r="M35" s="20" t="n"/>
      <c r="N35" s="20" t="n"/>
      <c r="O35" s="19" t="n">
        <v>24.533</v>
      </c>
      <c r="P35" s="20" t="n">
        <v>133.078</v>
      </c>
      <c r="Q35" s="20" t="n">
        <v>1.219</v>
      </c>
      <c r="R35" s="20" t="n">
        <v>230.076</v>
      </c>
      <c r="S35" s="20" t="n">
        <v>148.411</v>
      </c>
      <c r="T35" s="20" t="n">
        <v>30.941</v>
      </c>
      <c r="U35" s="20" t="n">
        <v>170.55</v>
      </c>
      <c r="V35" s="20" t="n">
        <v>44.985</v>
      </c>
      <c r="W35" s="20" t="n">
        <v>87.861</v>
      </c>
      <c r="X35" s="20" t="n">
        <v>639.321</v>
      </c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>
        <v>9.827</v>
      </c>
      <c r="D37" s="20" t="n">
        <v>21.373</v>
      </c>
      <c r="E37" s="20" t="n">
        <v>118.799</v>
      </c>
      <c r="F37" s="20" t="n">
        <v>1.124</v>
      </c>
      <c r="G37" s="20" t="n">
        <v>-1.124</v>
      </c>
      <c r="H37" s="20" t="n">
        <v>0</v>
      </c>
      <c r="I37" s="20" t="n">
        <v>656.527</v>
      </c>
      <c r="J37" s="20" t="n"/>
      <c r="K37" s="20" t="n"/>
      <c r="L37" s="20" t="n">
        <v>-24.178</v>
      </c>
      <c r="M37" s="20" t="n">
        <v>168.883</v>
      </c>
      <c r="N37" s="20" t="n"/>
      <c r="O37" s="19" t="n">
        <v>157.72</v>
      </c>
      <c r="P37" s="20" t="n">
        <v>257.117</v>
      </c>
      <c r="Q37" s="20" t="n">
        <v>389.643</v>
      </c>
      <c r="R37" s="20" t="n">
        <v>26.709</v>
      </c>
      <c r="S37" s="20" t="n">
        <v>6.975</v>
      </c>
      <c r="T37" s="20" t="n">
        <v>16.229</v>
      </c>
      <c r="U37" s="20" t="n">
        <v>535.364</v>
      </c>
      <c r="V37" s="20" t="n">
        <v>351.879</v>
      </c>
      <c r="W37" s="20" t="n">
        <v>656.527</v>
      </c>
      <c r="X37" s="20" t="n">
        <v>326.533</v>
      </c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>
        <v>183.587</v>
      </c>
      <c r="D39" s="20" t="n">
        <v>-67.976</v>
      </c>
      <c r="E39" s="20" t="n">
        <v>297.301</v>
      </c>
      <c r="F39" s="20" t="n">
        <v>268.723</v>
      </c>
      <c r="G39" s="20" t="n">
        <v>-161.717</v>
      </c>
      <c r="H39" s="20" t="n">
        <v>275.361</v>
      </c>
      <c r="I39" s="20" t="n">
        <v>-131.583</v>
      </c>
      <c r="J39" s="20" t="n">
        <v>107</v>
      </c>
      <c r="K39" s="20" t="n">
        <v>116.444</v>
      </c>
      <c r="L39" s="20" t="n">
        <v>260.642</v>
      </c>
      <c r="M39" s="20" t="n">
        <v>308.569</v>
      </c>
      <c r="N39" s="20" t="n">
        <v>175</v>
      </c>
      <c r="O39" s="19" t="n">
        <v>47.123</v>
      </c>
      <c r="P39" s="20" t="n">
        <v>161.616</v>
      </c>
      <c r="Q39" s="20" t="n">
        <v>38.896</v>
      </c>
      <c r="R39" s="20" t="n">
        <v>71.297</v>
      </c>
      <c r="S39" s="20" t="n">
        <v>233.61</v>
      </c>
      <c r="T39" s="20" t="n">
        <v>319.057</v>
      </c>
      <c r="U39" s="20" t="n">
        <v>227.403</v>
      </c>
      <c r="V39" s="20" t="n">
        <v>800.521</v>
      </c>
      <c r="W39" s="20" t="n">
        <v>250.784</v>
      </c>
      <c r="X39" s="20" t="n">
        <v>792.655</v>
      </c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>
        <v>27.926</v>
      </c>
      <c r="D41" s="20" t="n">
        <v>32.645</v>
      </c>
      <c r="E41" s="20" t="n">
        <v>43.5</v>
      </c>
      <c r="F41" s="20" t="n">
        <v>40.559</v>
      </c>
      <c r="G41" s="20" t="n">
        <v>221.36</v>
      </c>
      <c r="H41" s="20" t="n">
        <v>-138.702</v>
      </c>
      <c r="I41" s="20" t="n">
        <v>131.626</v>
      </c>
      <c r="J41" s="20" t="n">
        <v>175</v>
      </c>
      <c r="K41" s="20" t="n">
        <v>-40.581</v>
      </c>
      <c r="L41" s="20" t="n">
        <v>74.31999999999999</v>
      </c>
      <c r="M41" s="20" t="n">
        <v>29.218</v>
      </c>
      <c r="N41" s="20" t="n">
        <v>62</v>
      </c>
      <c r="O41" s="19" t="n">
        <v>149.994</v>
      </c>
      <c r="P41" s="20" t="n">
        <v>51.434</v>
      </c>
      <c r="Q41" s="20" t="n">
        <v>69.504</v>
      </c>
      <c r="R41" s="20" t="n">
        <v>130.386</v>
      </c>
      <c r="S41" s="20" t="n">
        <v>121.078</v>
      </c>
      <c r="T41" s="20" t="n">
        <v>113.661</v>
      </c>
      <c r="U41" s="20" t="n">
        <v>102.515</v>
      </c>
      <c r="V41" s="20" t="n">
        <v>128.029</v>
      </c>
      <c r="W41" s="20" t="n">
        <v>254.843</v>
      </c>
      <c r="X41" s="20" t="n">
        <v>237.957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579.833</v>
      </c>
      <c r="D43" s="12" t="n">
        <v>-221.192</v>
      </c>
      <c r="E43" s="12" t="n">
        <v>1151.461</v>
      </c>
      <c r="F43" s="12" t="n">
        <v>-47.255</v>
      </c>
      <c r="G43" s="12" t="n">
        <v>40.679</v>
      </c>
      <c r="H43" s="12" t="n">
        <v>595.8440000000001</v>
      </c>
      <c r="I43" s="12" t="n">
        <v>-788.347</v>
      </c>
      <c r="J43" s="12" t="n">
        <v>-46</v>
      </c>
      <c r="K43" s="12" t="n">
        <v>844.393</v>
      </c>
      <c r="L43" s="12" t="n">
        <v>580.721</v>
      </c>
      <c r="M43" s="12" t="n">
        <v>1820.487</v>
      </c>
      <c r="N43" s="12" t="n">
        <v>613</v>
      </c>
      <c r="O43" s="11" t="n">
        <v>239.208</v>
      </c>
      <c r="P43" s="12" t="n">
        <v>986.362</v>
      </c>
      <c r="Q43" s="12" t="n">
        <v>721.9690000000001</v>
      </c>
      <c r="R43" s="12" t="n">
        <v>1588.069</v>
      </c>
      <c r="S43" s="12" t="n">
        <v>2671.743</v>
      </c>
      <c r="T43" s="12" t="n">
        <v>969.9349999999999</v>
      </c>
      <c r="U43" s="12" t="n">
        <v>-770.404</v>
      </c>
      <c r="V43" s="12" t="n">
        <v>1402.489</v>
      </c>
      <c r="W43" s="12" t="n">
        <v>-199.079</v>
      </c>
      <c r="X43" s="12" t="n">
        <v>3199.601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75.681</v>
      </c>
      <c r="D44" s="20" t="n">
        <v>95.48</v>
      </c>
      <c r="E44" s="20" t="n">
        <v>120.902</v>
      </c>
      <c r="F44" s="20" t="n">
        <v>171.096</v>
      </c>
      <c r="G44" s="20" t="n">
        <v>96.562</v>
      </c>
      <c r="H44" s="20" t="n">
        <v>71.687</v>
      </c>
      <c r="I44" s="20" t="n">
        <v>82.15000000000001</v>
      </c>
      <c r="J44" s="20" t="n">
        <v>93</v>
      </c>
      <c r="K44" s="20" t="n">
        <v>248.939</v>
      </c>
      <c r="L44" s="20" t="n">
        <v>181.565</v>
      </c>
      <c r="M44" s="20" t="n">
        <v>214.699</v>
      </c>
      <c r="N44" s="20" t="n">
        <v>169</v>
      </c>
      <c r="O44" s="19" t="n">
        <v>388.615</v>
      </c>
      <c r="P44" s="20" t="n">
        <v>221.917</v>
      </c>
      <c r="Q44" s="20" t="n">
        <v>75.732</v>
      </c>
      <c r="R44" s="20" t="n">
        <v>268.487</v>
      </c>
      <c r="S44" s="20" t="n">
        <v>527.693</v>
      </c>
      <c r="T44" s="20" t="n">
        <v>538.867</v>
      </c>
      <c r="U44" s="20" t="n">
        <v>776.7809999999999</v>
      </c>
      <c r="V44" s="20" t="n">
        <v>380.322</v>
      </c>
      <c r="W44" s="20" t="n">
        <v>421.495</v>
      </c>
      <c r="X44" s="20" t="n">
        <v>738.203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504.153</v>
      </c>
      <c r="D46" s="12" t="n">
        <v>-316.672</v>
      </c>
      <c r="E46" s="12" t="n">
        <v>1030.558</v>
      </c>
      <c r="F46" s="12" t="n">
        <v>-218.352</v>
      </c>
      <c r="G46" s="12" t="n">
        <v>-55.883</v>
      </c>
      <c r="H46" s="12" t="n">
        <v>524.158</v>
      </c>
      <c r="I46" s="12" t="n">
        <v>-870.498</v>
      </c>
      <c r="J46" s="12" t="n">
        <v>-139</v>
      </c>
      <c r="K46" s="12" t="n">
        <v>595.453</v>
      </c>
      <c r="L46" s="12" t="n">
        <v>399.156</v>
      </c>
      <c r="M46" s="12" t="n">
        <v>1605.789</v>
      </c>
      <c r="N46" s="12" t="n">
        <v>444</v>
      </c>
      <c r="O46" s="11" t="n">
        <v>-149.406</v>
      </c>
      <c r="P46" s="12" t="n">
        <v>764.4450000000001</v>
      </c>
      <c r="Q46" s="12" t="n">
        <v>646.236</v>
      </c>
      <c r="R46" s="12" t="n">
        <v>1319.582</v>
      </c>
      <c r="S46" s="12" t="n">
        <v>2144.05</v>
      </c>
      <c r="T46" s="12" t="n">
        <v>431.068</v>
      </c>
      <c r="U46" s="12" t="n">
        <v>-1547.185</v>
      </c>
      <c r="V46" s="12" t="n">
        <v>1022.166</v>
      </c>
      <c r="W46" s="12" t="n">
        <v>-620.575</v>
      </c>
      <c r="X46" s="12" t="n">
        <v>2461.398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496.915</v>
      </c>
      <c r="D47" s="12" t="n">
        <v>-321.663</v>
      </c>
      <c r="E47" s="12" t="n">
        <v>1029.133</v>
      </c>
      <c r="F47" s="12" t="n">
        <v>-219.211</v>
      </c>
      <c r="G47" s="12" t="n">
        <v>-57.101</v>
      </c>
      <c r="H47" s="12" t="n">
        <v>523.8579999999999</v>
      </c>
      <c r="I47" s="12" t="n">
        <v>-863.703</v>
      </c>
      <c r="J47" s="12" t="n">
        <v>-138</v>
      </c>
      <c r="K47" s="12" t="n">
        <v>595.08</v>
      </c>
      <c r="L47" s="12" t="n">
        <v>399.155</v>
      </c>
      <c r="M47" s="12" t="n">
        <v>1605.789</v>
      </c>
      <c r="N47" s="12" t="n">
        <v>444</v>
      </c>
      <c r="O47" s="11" t="n">
        <v>-148.256</v>
      </c>
      <c r="P47" s="12" t="n">
        <v>764.4450000000001</v>
      </c>
      <c r="Q47" s="12" t="n">
        <v>646.236</v>
      </c>
      <c r="R47" s="12" t="n">
        <v>1319.582</v>
      </c>
      <c r="S47" s="12" t="n">
        <v>2144.05</v>
      </c>
      <c r="T47" s="12" t="n">
        <v>431.068</v>
      </c>
      <c r="U47" s="12" t="n">
        <v>-1553.427</v>
      </c>
      <c r="V47" s="12" t="n">
        <v>1001.355</v>
      </c>
      <c r="W47" s="12" t="n">
        <v>-616.157</v>
      </c>
      <c r="X47" s="12" t="n">
        <v>2462.024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(2026.10.26)</t>
        </is>
      </c>
      <c r="B50" s="27" t="n">
        <v>937</v>
      </c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>
        <v>21063240</v>
      </c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 2026.10.26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매출액</t>
        </is>
      </c>
      <c r="C81" s="12" t="n">
        <v>12518.33</v>
      </c>
      <c r="D81" s="12" t="n">
        <v>11142.892</v>
      </c>
      <c r="E81" s="12" t="n">
        <v>14194.35</v>
      </c>
      <c r="F81" s="12" t="n">
        <v>11184.626</v>
      </c>
      <c r="G81" s="12" t="n">
        <v>12318.724</v>
      </c>
      <c r="H81" s="12" t="n">
        <v>12477.03</v>
      </c>
      <c r="I81" s="12" t="n">
        <v>14644.324</v>
      </c>
      <c r="J81" s="12" t="n">
        <v>10469</v>
      </c>
      <c r="K81" s="12" t="n">
        <v>12402.097</v>
      </c>
      <c r="L81" s="12" t="n">
        <v>11954.12</v>
      </c>
      <c r="M81" s="12" t="n">
        <v>16555.415</v>
      </c>
      <c r="N81" s="12" t="n">
        <v>13334</v>
      </c>
      <c r="T81" s="12" t="n">
        <v>11045.789</v>
      </c>
      <c r="U81" s="12" t="n">
        <v>14054.09</v>
      </c>
      <c r="V81" s="12" t="n">
        <v>14194.35</v>
      </c>
      <c r="W81" s="12" t="n">
        <v>14644.324</v>
      </c>
      <c r="X81" s="12" t="n">
        <v>16555.415</v>
      </c>
    </row>
    <row r="82">
      <c r="A82" s="43" t="inlineStr">
        <is>
          <t>YoY</t>
        </is>
      </c>
      <c r="B82" s="3" t="inlineStr">
        <is>
          <t>전년 같은 분기·전년 대비</t>
        </is>
      </c>
      <c r="G82" s="15">
        <f>IF(OR(G81="",C81=""),"",IF(C81&lt;=0,"",IFERROR(G81/C81-1,"")))</f>
        <v/>
      </c>
      <c r="H82" s="15">
        <f>IF(OR(H81="",D81=""),"",IF(D81&lt;=0,"",IFERROR(H81/D81-1,"")))</f>
        <v/>
      </c>
      <c r="I82" s="15">
        <f>IF(OR(I81="",E81=""),"",IF(E81&lt;=0,"",IFERROR(I81/E81-1,"")))</f>
        <v/>
      </c>
      <c r="J82" s="15">
        <f>IF(OR(J81="",F81=""),"",IF(F81&lt;=0,"",IFERROR(J81/F81-1,"")))</f>
        <v/>
      </c>
      <c r="K82" s="15">
        <f>IF(OR(K81="",G81=""),"",IF(G81&lt;=0,"",IFERROR(K81/G81-1,"")))</f>
        <v/>
      </c>
      <c r="L82" s="15">
        <f>IF(OR(L81="",H81=""),"",IF(H81&lt;=0,"",IFERROR(L81/H81-1,"")))</f>
        <v/>
      </c>
      <c r="M82" s="15">
        <f>IF(OR(M81="",I81=""),"",IF(I81&lt;=0,"",IFERROR(M81/I81-1,"")))</f>
        <v/>
      </c>
      <c r="N82" s="15">
        <f>IF(OR(N81="",J81=""),"",IF(J81&lt;=0,"",IFERROR(N81/J81-1,"")))</f>
        <v/>
      </c>
      <c r="T82" s="15">
        <f>IF(OR(T81="",S81=""),"",IF(S81&lt;=0,"",IFERROR(T81/S81-1,"")))</f>
        <v/>
      </c>
      <c r="U82" s="15">
        <f>IF(OR(U81="",T81=""),"",IF(T81&lt;=0,"",IFERROR(U81/T81-1,"")))</f>
        <v/>
      </c>
      <c r="V82" s="15">
        <f>IF(OR(V81="",U81=""),"",IF(U81&lt;=0,"",IFERROR(V81/U81-1,"")))</f>
        <v/>
      </c>
      <c r="W82" s="15">
        <f>IF(OR(W81="",V81=""),"",IF(V81&lt;=0,"",IFERROR(W81/V81-1,"")))</f>
        <v/>
      </c>
      <c r="X82" s="15">
        <f>IF(OR(X81="",W81=""),"",IF(W81&lt;=0,"",IFERROR(X81/W81-1,"")))</f>
        <v/>
      </c>
    </row>
    <row r="83">
      <c r="A83" s="18" t="inlineStr">
        <is>
          <t>매출원가</t>
        </is>
      </c>
      <c r="C83" s="20" t="n">
        <v>9861.934999999999</v>
      </c>
      <c r="D83" s="20" t="n">
        <v>8952.998</v>
      </c>
      <c r="E83" s="20" t="n">
        <v>10676.523</v>
      </c>
      <c r="F83" s="20" t="n">
        <v>9087.281000000001</v>
      </c>
      <c r="G83" s="20" t="n">
        <v>9492.803</v>
      </c>
      <c r="H83" s="20" t="n">
        <v>9726.063</v>
      </c>
      <c r="I83" s="20" t="n">
        <v>11964.932</v>
      </c>
      <c r="J83" s="20" t="n">
        <v>8259</v>
      </c>
      <c r="K83" s="20" t="n">
        <v>9025.794</v>
      </c>
      <c r="L83" s="20" t="n">
        <v>9221.075999999999</v>
      </c>
      <c r="M83" s="20" t="n">
        <v>13078.631</v>
      </c>
      <c r="N83" s="20" t="n">
        <v>10426</v>
      </c>
      <c r="T83" s="20" t="n">
        <v>8398.799999999999</v>
      </c>
      <c r="U83" s="20" t="n">
        <v>10995.763</v>
      </c>
      <c r="V83" s="20" t="n">
        <v>10676.523</v>
      </c>
      <c r="W83" s="20" t="n">
        <v>11964.932</v>
      </c>
      <c r="X83" s="20" t="n">
        <v>13078.631</v>
      </c>
    </row>
    <row r="84">
      <c r="A84" s="9" t="inlineStr">
        <is>
          <t>매출총이익</t>
        </is>
      </c>
      <c r="C84" s="12" t="n">
        <v>2656.395</v>
      </c>
      <c r="D84" s="12" t="n">
        <v>2189.894</v>
      </c>
      <c r="E84" s="12" t="n">
        <v>3517.827</v>
      </c>
      <c r="F84" s="12" t="n">
        <v>2097.344</v>
      </c>
      <c r="G84" s="12" t="n">
        <v>2825.921</v>
      </c>
      <c r="H84" s="12" t="n">
        <v>2750.968</v>
      </c>
      <c r="I84" s="12" t="n">
        <v>2679.391</v>
      </c>
      <c r="J84" s="12" t="n">
        <v>2209</v>
      </c>
      <c r="K84" s="12" t="n">
        <v>3377.303</v>
      </c>
      <c r="L84" s="12" t="n">
        <v>2733.043</v>
      </c>
      <c r="M84" s="12" t="n">
        <v>3476.784</v>
      </c>
      <c r="N84" s="12" t="n">
        <v>2908</v>
      </c>
      <c r="T84" s="12" t="n">
        <v>2646.989</v>
      </c>
      <c r="U84" s="12" t="n">
        <v>3058.328</v>
      </c>
      <c r="V84" s="12" t="n">
        <v>3517.827</v>
      </c>
      <c r="W84" s="12" t="n">
        <v>2679.391</v>
      </c>
      <c r="X84" s="12" t="n">
        <v>3476.784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판매비와 관리비</t>
        </is>
      </c>
      <c r="C86" s="20" t="n">
        <v>2225.697</v>
      </c>
      <c r="D86" s="20" t="n">
        <v>2290.474</v>
      </c>
      <c r="E86" s="20" t="n">
        <v>2541.667</v>
      </c>
      <c r="F86" s="20" t="n">
        <v>2372.764</v>
      </c>
      <c r="G86" s="20" t="n">
        <v>2402.165</v>
      </c>
      <c r="H86" s="20" t="n">
        <v>2569.185</v>
      </c>
      <c r="I86" s="20" t="n">
        <v>2635.864</v>
      </c>
      <c r="J86" s="20" t="n">
        <v>2188</v>
      </c>
      <c r="K86" s="20" t="n">
        <v>2507.107</v>
      </c>
      <c r="L86" s="20" t="n">
        <v>2362.82</v>
      </c>
      <c r="M86" s="20" t="n">
        <v>2406.088</v>
      </c>
      <c r="N86" s="20" t="n">
        <v>2407</v>
      </c>
      <c r="T86" s="20" t="n">
        <v>2244.918</v>
      </c>
      <c r="U86" s="20" t="n">
        <v>2386.562</v>
      </c>
      <c r="V86" s="20" t="n">
        <v>2541.667</v>
      </c>
      <c r="W86" s="20" t="n">
        <v>2635.864</v>
      </c>
      <c r="X86" s="20" t="n">
        <v>2406.088</v>
      </c>
    </row>
    <row r="87">
      <c r="A87" s="9" t="inlineStr">
        <is>
          <t>영업이익</t>
        </is>
      </c>
      <c r="C87" s="12" t="n">
        <v>430.697</v>
      </c>
      <c r="D87" s="12" t="n">
        <v>-100.58</v>
      </c>
      <c r="E87" s="12" t="n">
        <v>976.159</v>
      </c>
      <c r="F87" s="12" t="n">
        <v>-275.419</v>
      </c>
      <c r="G87" s="12" t="n">
        <v>423.755</v>
      </c>
      <c r="H87" s="12" t="n">
        <v>181.782</v>
      </c>
      <c r="I87" s="12" t="n">
        <v>43.527</v>
      </c>
      <c r="J87" s="12" t="n">
        <v>21</v>
      </c>
      <c r="K87" s="12" t="n">
        <v>870.196</v>
      </c>
      <c r="L87" s="12" t="n">
        <v>370.222</v>
      </c>
      <c r="M87" s="12" t="n">
        <v>1070.697</v>
      </c>
      <c r="N87" s="12" t="n">
        <v>501</v>
      </c>
      <c r="T87" s="12" t="n">
        <v>402.071</v>
      </c>
      <c r="U87" s="12" t="n">
        <v>671.766</v>
      </c>
      <c r="V87" s="12" t="n">
        <v>976.159</v>
      </c>
      <c r="W87" s="12" t="n">
        <v>43.527</v>
      </c>
      <c r="X87" s="12" t="n">
        <v>1070.697</v>
      </c>
    </row>
    <row r="88">
      <c r="A88" s="43" t="inlineStr">
        <is>
          <t>OPM</t>
        </is>
      </c>
      <c r="B88" s="3" t="inlineStr">
        <is>
          <t>영업이익 ÷ 매출</t>
        </is>
      </c>
      <c r="C88" s="15">
        <f>IF(OR(C87="",C81=""),"",IF(C81&lt;=0,"",IFERROR(C87/C81,"")))</f>
        <v/>
      </c>
      <c r="D88" s="15">
        <f>IF(OR(D87="",D81=""),"",IF(D81&lt;=0,"",IFERROR(D87/D81,"")))</f>
        <v/>
      </c>
      <c r="E88" s="15">
        <f>IF(OR(E87="",E81=""),"",IF(E81&lt;=0,"",IFERROR(E87/E81,"")))</f>
        <v/>
      </c>
      <c r="F88" s="15">
        <f>IF(OR(F87="",F81=""),"",IF(F81&lt;=0,"",IFERROR(F87/F81,"")))</f>
        <v/>
      </c>
      <c r="G88" s="15">
        <f>IF(OR(G87="",G81=""),"",IF(G81&lt;=0,"",IFERROR(G87/G81,"")))</f>
        <v/>
      </c>
      <c r="H88" s="15">
        <f>IF(OR(H87="",H81=""),"",IF(H81&lt;=0,"",IFERROR(H87/H81,"")))</f>
        <v/>
      </c>
      <c r="I88" s="15">
        <f>IF(OR(I87="",I81=""),"",IF(I81&lt;=0,"",IFERROR(I87/I81,"")))</f>
        <v/>
      </c>
      <c r="J88" s="15">
        <f>IF(OR(J87="",J81=""),"",IF(J81&lt;=0,"",IFERROR(J87/J81,"")))</f>
        <v/>
      </c>
      <c r="K88" s="15">
        <f>IF(OR(K87="",K81=""),"",IF(K81&lt;=0,"",IFERROR(K87/K81,"")))</f>
        <v/>
      </c>
      <c r="L88" s="15">
        <f>IF(OR(L87="",L81=""),"",IF(L81&lt;=0,"",IFERROR(L87/L81,"")))</f>
        <v/>
      </c>
      <c r="M88" s="15">
        <f>IF(OR(M87="",M81=""),"",IF(M81&lt;=0,"",IFERROR(M87/M81,"")))</f>
        <v/>
      </c>
      <c r="N88" s="15">
        <f>IF(OR(N87="",N81=""),"",IF(N81&lt;=0,"",IFERROR(N87/N81,"")))</f>
        <v/>
      </c>
      <c r="T88" s="15">
        <f>IF(OR(T87="",T81=""),"",IF(T81&lt;=0,"",IFERROR(T87/T81,"")))</f>
        <v/>
      </c>
      <c r="U88" s="15">
        <f>IF(OR(U87="",U81=""),"",IF(U81&lt;=0,"",IFERROR(U87/U81,"")))</f>
        <v/>
      </c>
      <c r="V88" s="15">
        <f>IF(OR(V87="",V81=""),"",IF(V81&lt;=0,"",IFERROR(V87/V81,"")))</f>
        <v/>
      </c>
      <c r="W88" s="15">
        <f>IF(OR(W87="",W81=""),"",IF(W81&lt;=0,"",IFERROR(W87/W81,"")))</f>
        <v/>
      </c>
      <c r="X88" s="15">
        <f>IF(OR(X87="",X81=""),"",IF(X81&lt;=0,"",IFERROR(X87/X81,"")))</f>
        <v/>
      </c>
    </row>
    <row r="89">
      <c r="A89" s="43" t="inlineStr">
        <is>
          <t>YoY</t>
        </is>
      </c>
      <c r="B89" s="3" t="inlineStr">
        <is>
          <t>전년 같은 분기·전년 대비</t>
        </is>
      </c>
      <c r="G89" s="15">
        <f>IF(OR(G87="",C87=""),"",IF(C87&lt;=0,"",IFERROR(G87/C87-1,"")))</f>
        <v/>
      </c>
      <c r="H89" s="15">
        <f>IF(OR(H87="",D87=""),"",IF(D87&lt;=0,"",IFERROR(H87/D87-1,"")))</f>
        <v/>
      </c>
      <c r="I89" s="15">
        <f>IF(OR(I87="",E87=""),"",IF(E87&lt;=0,"",IFERROR(I87/E87-1,"")))</f>
        <v/>
      </c>
      <c r="J89" s="15">
        <f>IF(OR(J87="",F87=""),"",IF(F87&lt;=0,"",IFERROR(J87/F87-1,"")))</f>
        <v/>
      </c>
      <c r="K89" s="15">
        <f>IF(OR(K87="",G87=""),"",IF(G87&lt;=0,"",IFERROR(K87/G87-1,"")))</f>
        <v/>
      </c>
      <c r="L89" s="15">
        <f>IF(OR(L87="",H87=""),"",IF(H87&lt;=0,"",IFERROR(L87/H87-1,"")))</f>
        <v/>
      </c>
      <c r="M89" s="15">
        <f>IF(OR(M87="",I87=""),"",IF(I87&lt;=0,"",IFERROR(M87/I87-1,"")))</f>
        <v/>
      </c>
      <c r="N89" s="15">
        <f>IF(OR(N87="",J87=""),"",IF(J87&lt;=0,"",IFERROR(N87/J87-1,"")))</f>
        <v/>
      </c>
      <c r="T89" s="15">
        <f>IF(OR(T87="",S87=""),"",IF(S87&lt;=0,"",IFERROR(T87/S87-1,"")))</f>
        <v/>
      </c>
      <c r="U89" s="15">
        <f>IF(OR(U87="",T87=""),"",IF(T87&lt;=0,"",IFERROR(U87/T87-1,"")))</f>
        <v/>
      </c>
      <c r="V89" s="15">
        <f>IF(OR(V87="",U87=""),"",IF(U87&lt;=0,"",IFERROR(V87/U87-1,"")))</f>
        <v/>
      </c>
      <c r="W89" s="15">
        <f>IF(OR(W87="",V87=""),"",IF(V87&lt;=0,"",IFERROR(W87/V87-1,"")))</f>
        <v/>
      </c>
      <c r="X89" s="15">
        <f>IF(OR(X87="",W87=""),"",IF(W87&lt;=0,"",IFERROR(X87/W87-1,"")))</f>
        <v/>
      </c>
    </row>
    <row r="90">
      <c r="A90" s="18" t="inlineStr">
        <is>
          <t>이자수익</t>
        </is>
      </c>
      <c r="C90" s="20" t="n">
        <v>2.444</v>
      </c>
      <c r="D90" s="20" t="n">
        <v>2.756</v>
      </c>
      <c r="E90" s="20" t="n">
        <v>2.899</v>
      </c>
      <c r="F90" s="20" t="n">
        <v>2.965</v>
      </c>
      <c r="G90" s="20" t="n">
        <v>5.312</v>
      </c>
      <c r="H90" s="20" t="n">
        <v>3.078</v>
      </c>
      <c r="I90" s="20" t="n">
        <v>2.188</v>
      </c>
      <c r="J90" s="20" t="n">
        <v>10</v>
      </c>
      <c r="K90" s="20" t="n">
        <v>13.465</v>
      </c>
      <c r="L90" s="20" t="n">
        <v>9.125</v>
      </c>
      <c r="M90" s="20" t="n">
        <v>7.473</v>
      </c>
      <c r="N90" s="20" t="n">
        <v>11</v>
      </c>
      <c r="T90" s="20" t="n">
        <v>0.394</v>
      </c>
      <c r="U90" s="20" t="n">
        <v>1.904</v>
      </c>
      <c r="V90" s="20" t="n">
        <v>2.899</v>
      </c>
      <c r="W90" s="20" t="n">
        <v>2.188</v>
      </c>
      <c r="X90" s="20" t="n">
        <v>7.473</v>
      </c>
    </row>
    <row r="91">
      <c r="A91" s="18" t="inlineStr">
        <is>
          <t>배당금수익</t>
        </is>
      </c>
      <c r="C91" s="20" t="n">
        <v>0.092</v>
      </c>
      <c r="D91" s="20" t="n">
        <v>0.444</v>
      </c>
      <c r="E91" s="20" t="n">
        <v>21.761</v>
      </c>
      <c r="F91" s="20" t="n">
        <v>7.687</v>
      </c>
      <c r="G91" s="20" t="n">
        <v>0.361</v>
      </c>
      <c r="H91" s="20" t="n">
        <v>0.648</v>
      </c>
      <c r="I91" s="20" t="n">
        <v>0.494</v>
      </c>
      <c r="J91" s="20" t="n">
        <v>41</v>
      </c>
      <c r="K91" s="20" t="n">
        <v>0.222</v>
      </c>
      <c r="L91" s="20" t="n">
        <v>-36.187</v>
      </c>
      <c r="M91" s="20" t="n">
        <v>0.356</v>
      </c>
      <c r="N91" s="20" t="n">
        <v>1</v>
      </c>
      <c r="T91" s="20" t="n">
        <v>0.672</v>
      </c>
      <c r="U91" s="20" t="n">
        <v>0.267</v>
      </c>
      <c r="V91" s="20" t="n">
        <v>21.761</v>
      </c>
      <c r="W91" s="20" t="n">
        <v>0.494</v>
      </c>
      <c r="X91" s="20" t="n">
        <v>0.356</v>
      </c>
    </row>
    <row r="92">
      <c r="A92" s="18" t="inlineStr">
        <is>
          <t>외환차익</t>
        </is>
      </c>
      <c r="C92" s="20" t="n">
        <v>132.62</v>
      </c>
      <c r="D92" s="20" t="n">
        <v>-116.133</v>
      </c>
      <c r="E92" s="20" t="n">
        <v>166.64</v>
      </c>
      <c r="F92" s="20" t="n">
        <v>221.44</v>
      </c>
      <c r="G92" s="20" t="n">
        <v>-221.44</v>
      </c>
      <c r="H92" s="20" t="n">
        <v>221.76</v>
      </c>
      <c r="I92" s="20" t="n">
        <v>-221.76</v>
      </c>
      <c r="J92" s="20" t="n">
        <v>0</v>
      </c>
      <c r="K92" s="20" t="n">
        <v>26.109</v>
      </c>
      <c r="L92" s="20" t="n">
        <v>226.364</v>
      </c>
      <c r="M92" s="20" t="n">
        <v>211.088</v>
      </c>
      <c r="N92" s="20" t="n">
        <v>99</v>
      </c>
      <c r="T92" s="20" t="n">
        <v>85.03100000000001</v>
      </c>
      <c r="U92" s="20" t="n">
        <v>-30.15</v>
      </c>
      <c r="V92" s="20" t="n">
        <v>166.64</v>
      </c>
      <c r="W92" s="20" t="n">
        <v>-221.76</v>
      </c>
      <c r="X92" s="20" t="n">
        <v>211.088</v>
      </c>
    </row>
    <row r="93">
      <c r="A93" s="18" t="inlineStr">
        <is>
          <t>부동산 임대료</t>
        </is>
      </c>
      <c r="C93" s="20" t="n">
        <v>1.737</v>
      </c>
      <c r="D93" s="20" t="n">
        <v>1.737</v>
      </c>
      <c r="E93" s="20" t="n">
        <v>1.737</v>
      </c>
      <c r="F93" s="20" t="n">
        <v>1.737</v>
      </c>
      <c r="G93" s="20" t="n">
        <v>1.737</v>
      </c>
      <c r="H93" s="20" t="n">
        <v>1.737</v>
      </c>
      <c r="I93" s="20" t="n">
        <v>1.737</v>
      </c>
      <c r="J93" s="20" t="n">
        <v>1</v>
      </c>
      <c r="K93" s="20" t="n">
        <v>2.474</v>
      </c>
      <c r="L93" s="20" t="n">
        <v>1.737</v>
      </c>
      <c r="M93" s="20" t="n">
        <v>1.737</v>
      </c>
      <c r="N93" s="20" t="n">
        <v>4</v>
      </c>
      <c r="T93" s="20" t="n">
        <v>1.737</v>
      </c>
      <c r="U93" s="20" t="n">
        <v>1.737</v>
      </c>
      <c r="V93" s="20" t="n">
        <v>1.737</v>
      </c>
      <c r="W93" s="20" t="n">
        <v>1.737</v>
      </c>
      <c r="X93" s="20" t="n">
        <v>1.737</v>
      </c>
    </row>
    <row r="94">
      <c r="A94" s="18" t="inlineStr">
        <is>
          <t>보조금 수입</t>
        </is>
      </c>
      <c r="C94" s="20" t="n">
        <v>1.693</v>
      </c>
      <c r="D94" s="20" t="n">
        <v>7.445</v>
      </c>
      <c r="E94" s="20" t="n">
        <v>0.6</v>
      </c>
      <c r="F94" s="20" t="n">
        <v>3.656</v>
      </c>
      <c r="G94" s="20" t="n">
        <v>3.696</v>
      </c>
      <c r="H94" s="20" t="n">
        <v>1.917</v>
      </c>
      <c r="I94" s="20" t="n">
        <v>9.682</v>
      </c>
      <c r="J94" s="20" t="n">
        <v>7</v>
      </c>
      <c r="K94" s="20" t="n">
        <v>1.703</v>
      </c>
      <c r="L94" s="20" t="n">
        <v>4.799</v>
      </c>
      <c r="M94" s="20" t="n">
        <v>2.772</v>
      </c>
      <c r="N94" s="20" t="n">
        <v>4</v>
      </c>
      <c r="T94" s="20" t="n">
        <v>26.525</v>
      </c>
      <c r="U94" s="20" t="n">
        <v>1.766</v>
      </c>
      <c r="V94" s="20" t="n">
        <v>0.6</v>
      </c>
      <c r="W94" s="20" t="n">
        <v>9.682</v>
      </c>
      <c r="X94" s="20" t="n">
        <v>2.772</v>
      </c>
    </row>
    <row r="95">
      <c r="A95" s="18" t="inlineStr">
        <is>
          <t>보험금 수익</t>
        </is>
      </c>
      <c r="D95" s="20" t="n">
        <v>12.765</v>
      </c>
      <c r="E95" s="20" t="n">
        <v>61.155</v>
      </c>
      <c r="F95" s="20" t="n">
        <v>10.95</v>
      </c>
      <c r="G95" s="20" t="n">
        <v>21.611</v>
      </c>
      <c r="H95" s="20" t="n">
        <v>32.003</v>
      </c>
      <c r="I95" s="20" t="n">
        <v>19.838</v>
      </c>
      <c r="J95" s="20" t="n">
        <v>30</v>
      </c>
      <c r="K95" s="20" t="n">
        <v>24.628</v>
      </c>
      <c r="L95" s="20" t="n">
        <v>17.811</v>
      </c>
      <c r="M95" s="20" t="n">
        <v>16.78</v>
      </c>
      <c r="N95" s="20" t="n">
        <v>18</v>
      </c>
      <c r="V95" s="20" t="n">
        <v>61.155</v>
      </c>
      <c r="W95" s="20" t="n">
        <v>19.838</v>
      </c>
      <c r="X95" s="20" t="n">
        <v>16.78</v>
      </c>
    </row>
    <row r="96">
      <c r="A96" s="18" t="inlineStr">
        <is>
          <t>기타</t>
        </is>
      </c>
      <c r="C96" s="20" t="n">
        <v>37.163</v>
      </c>
      <c r="D96" s="20" t="n">
        <v>23.01</v>
      </c>
      <c r="E96" s="20" t="n">
        <v>42.508</v>
      </c>
      <c r="F96" s="20" t="n">
        <v>20.285</v>
      </c>
      <c r="G96" s="20" t="n">
        <v>27.006</v>
      </c>
      <c r="H96" s="20" t="n">
        <v>14.217</v>
      </c>
      <c r="I96" s="20" t="n">
        <v>56.241</v>
      </c>
      <c r="J96" s="20" t="n">
        <v>16</v>
      </c>
      <c r="K96" s="20" t="n">
        <v>49.839</v>
      </c>
      <c r="L96" s="20" t="n">
        <v>36.995</v>
      </c>
      <c r="M96" s="20" t="n">
        <v>50.985</v>
      </c>
      <c r="N96" s="20" t="n">
        <v>34</v>
      </c>
      <c r="T96" s="20" t="n">
        <v>16.411</v>
      </c>
      <c r="U96" s="20" t="n">
        <v>47.394</v>
      </c>
      <c r="V96" s="20" t="n">
        <v>42.508</v>
      </c>
      <c r="W96" s="20" t="n">
        <v>56.241</v>
      </c>
      <c r="X96" s="20" t="n">
        <v>50.985</v>
      </c>
    </row>
    <row r="97">
      <c r="A97" s="18" t="inlineStr">
        <is>
          <t>영업외수익 합계</t>
        </is>
      </c>
      <c r="C97" s="20" t="n">
        <v>183.587</v>
      </c>
      <c r="D97" s="20" t="n">
        <v>-67.976</v>
      </c>
      <c r="E97" s="20" t="n">
        <v>297.301</v>
      </c>
      <c r="F97" s="20" t="n">
        <v>268.723</v>
      </c>
      <c r="G97" s="20" t="n">
        <v>-161.717</v>
      </c>
      <c r="H97" s="20" t="n">
        <v>275.361</v>
      </c>
      <c r="I97" s="20" t="n">
        <v>-131.583</v>
      </c>
      <c r="J97" s="20" t="n">
        <v>107</v>
      </c>
      <c r="K97" s="20" t="n">
        <v>116.444</v>
      </c>
      <c r="L97" s="20" t="n">
        <v>260.642</v>
      </c>
      <c r="M97" s="20" t="n">
        <v>308.569</v>
      </c>
      <c r="N97" s="20" t="n">
        <v>175</v>
      </c>
      <c r="T97" s="20" t="n">
        <v>130.771</v>
      </c>
      <c r="U97" s="20" t="n">
        <v>39.686</v>
      </c>
      <c r="V97" s="20" t="n">
        <v>297.301</v>
      </c>
      <c r="W97" s="20" t="n">
        <v>-131.583</v>
      </c>
      <c r="X97" s="20" t="n">
        <v>308.569</v>
      </c>
    </row>
    <row r="98">
      <c r="A98" s="18" t="inlineStr">
        <is>
          <t>이자비용</t>
        </is>
      </c>
      <c r="C98" s="20" t="n">
        <v>26.609</v>
      </c>
      <c r="D98" s="20" t="n">
        <v>27.706</v>
      </c>
      <c r="E98" s="20" t="n">
        <v>36.554</v>
      </c>
      <c r="F98" s="20" t="n">
        <v>34.844</v>
      </c>
      <c r="G98" s="20" t="n">
        <v>33.626</v>
      </c>
      <c r="H98" s="20" t="n">
        <v>42.397</v>
      </c>
      <c r="I98" s="20" t="n">
        <v>50.646</v>
      </c>
      <c r="J98" s="20" t="n">
        <v>56</v>
      </c>
      <c r="K98" s="20" t="n">
        <v>54.228</v>
      </c>
      <c r="L98" s="20" t="n">
        <v>46.254</v>
      </c>
      <c r="M98" s="20" t="n">
        <v>44.928</v>
      </c>
      <c r="N98" s="20" t="n">
        <v>60</v>
      </c>
      <c r="T98" s="20" t="n">
        <v>22.103</v>
      </c>
      <c r="U98" s="20" t="n">
        <v>20.693</v>
      </c>
      <c r="V98" s="20" t="n">
        <v>36.554</v>
      </c>
      <c r="W98" s="20" t="n">
        <v>50.646</v>
      </c>
      <c r="X98" s="20" t="n">
        <v>44.928</v>
      </c>
    </row>
    <row r="99">
      <c r="A99" s="18" t="inlineStr">
        <is>
          <t>고정자산 제각손실</t>
        </is>
      </c>
      <c r="H99" s="20" t="n">
        <v>2.369</v>
      </c>
      <c r="L99" s="20" t="n">
        <v>0.261</v>
      </c>
    </row>
    <row r="100">
      <c r="A100" s="18" t="inlineStr">
        <is>
          <t>외환차손</t>
        </is>
      </c>
      <c r="F100" s="20" t="n">
        <v>0</v>
      </c>
      <c r="G100" s="20" t="n">
        <v>185.009</v>
      </c>
      <c r="J100" s="20" t="n">
        <v>108</v>
      </c>
      <c r="K100" s="20" t="n">
        <v>-108</v>
      </c>
      <c r="N100" s="20" t="n">
        <v>0</v>
      </c>
    </row>
    <row r="101">
      <c r="A101" s="18" t="inlineStr">
        <is>
          <t>지분법손실</t>
        </is>
      </c>
      <c r="T101" s="20" t="n">
        <v>2.515</v>
      </c>
      <c r="U101" s="20" t="n">
        <v>0</v>
      </c>
    </row>
    <row r="102">
      <c r="A102" s="18" t="inlineStr">
        <is>
          <t>지급수수료</t>
        </is>
      </c>
      <c r="E102" s="20" t="n">
        <v>0</v>
      </c>
      <c r="F102" s="20" t="n">
        <v>0</v>
      </c>
      <c r="I102" s="20" t="n">
        <v>0</v>
      </c>
      <c r="J102" s="20" t="n">
        <v>3.48</v>
      </c>
      <c r="U102" s="20" t="n">
        <v>0</v>
      </c>
      <c r="V102" s="20" t="n">
        <v>0</v>
      </c>
      <c r="W102" s="20" t="n">
        <v>0</v>
      </c>
    </row>
    <row r="103">
      <c r="A103" s="18" t="inlineStr">
        <is>
          <t>기타</t>
        </is>
      </c>
      <c r="C103" s="20" t="n">
        <v>1.317</v>
      </c>
      <c r="D103" s="20" t="n">
        <v>-0.312</v>
      </c>
      <c r="E103" s="20" t="n">
        <v>5.946</v>
      </c>
      <c r="F103" s="20" t="n">
        <v>5.714</v>
      </c>
      <c r="G103" s="20" t="n">
        <v>1.601</v>
      </c>
      <c r="H103" s="20" t="n">
        <v>1.54</v>
      </c>
      <c r="I103" s="20" t="n">
        <v>7.295</v>
      </c>
      <c r="J103" s="20" t="n">
        <v>11</v>
      </c>
      <c r="K103" s="20" t="n">
        <v>2.844</v>
      </c>
      <c r="L103" s="20" t="n">
        <v>27.805</v>
      </c>
      <c r="M103" s="20" t="n">
        <v>-5.103</v>
      </c>
      <c r="N103" s="20" t="n">
        <v>1</v>
      </c>
      <c r="T103" s="20" t="n">
        <v>14.204</v>
      </c>
      <c r="U103" s="20" t="n">
        <v>11.108</v>
      </c>
      <c r="V103" s="20" t="n">
        <v>5.946</v>
      </c>
      <c r="W103" s="20" t="n">
        <v>7.295</v>
      </c>
      <c r="X103" s="20" t="n">
        <v>-5.103</v>
      </c>
    </row>
    <row r="104">
      <c r="A104" s="18" t="inlineStr">
        <is>
          <t>영업외비용 합계</t>
        </is>
      </c>
      <c r="C104" s="20" t="n">
        <v>27.926</v>
      </c>
      <c r="D104" s="20" t="n">
        <v>32.645</v>
      </c>
      <c r="E104" s="20" t="n">
        <v>43.5</v>
      </c>
      <c r="F104" s="20" t="n">
        <v>40.559</v>
      </c>
      <c r="G104" s="20" t="n">
        <v>221.36</v>
      </c>
      <c r="H104" s="20" t="n">
        <v>-138.702</v>
      </c>
      <c r="I104" s="20" t="n">
        <v>131.626</v>
      </c>
      <c r="J104" s="20" t="n">
        <v>175</v>
      </c>
      <c r="K104" s="20" t="n">
        <v>-40.581</v>
      </c>
      <c r="L104" s="20" t="n">
        <v>74.31999999999999</v>
      </c>
      <c r="M104" s="20" t="n">
        <v>29.218</v>
      </c>
      <c r="N104" s="20" t="n">
        <v>62</v>
      </c>
      <c r="T104" s="20" t="n">
        <v>39.822</v>
      </c>
      <c r="U104" s="20" t="n">
        <v>32.8</v>
      </c>
      <c r="V104" s="20" t="n">
        <v>43.5</v>
      </c>
      <c r="W104" s="20" t="n">
        <v>131.626</v>
      </c>
      <c r="X104" s="20" t="n">
        <v>29.218</v>
      </c>
    </row>
    <row r="105">
      <c r="A105" s="9" t="inlineStr">
        <is>
          <t>경상이익(손실)</t>
        </is>
      </c>
      <c r="C105" s="12" t="n">
        <v>586.3579999999999</v>
      </c>
      <c r="D105" s="12" t="n">
        <v>-201.201</v>
      </c>
      <c r="E105" s="12" t="n">
        <v>1229.959</v>
      </c>
      <c r="F105" s="12" t="n">
        <v>-47.255</v>
      </c>
      <c r="G105" s="12" t="n">
        <v>40.679</v>
      </c>
      <c r="H105" s="12" t="n">
        <v>595.8440000000001</v>
      </c>
      <c r="I105" s="12" t="n">
        <v>-219.683</v>
      </c>
      <c r="J105" s="12" t="n">
        <v>-46</v>
      </c>
      <c r="K105" s="12" t="n">
        <v>1026.221</v>
      </c>
      <c r="L105" s="12" t="n">
        <v>556.543</v>
      </c>
      <c r="M105" s="12" t="n">
        <v>1350.049</v>
      </c>
      <c r="N105" s="12" t="n">
        <v>613</v>
      </c>
      <c r="T105" s="12" t="n">
        <v>493.02</v>
      </c>
      <c r="U105" s="12" t="n">
        <v>678.651</v>
      </c>
      <c r="V105" s="12" t="n">
        <v>1229.959</v>
      </c>
      <c r="W105" s="12" t="n">
        <v>-219.683</v>
      </c>
      <c r="X105" s="12" t="n">
        <v>1350.049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IF(OR(G105="",C105=""),"",IF(C105&lt;=0,"",IFERROR(G105/C105-1,"")))</f>
        <v/>
      </c>
      <c r="H106" s="15">
        <f>IF(OR(H105="",D105=""),"",IF(D105&lt;=0,"",IFERROR(H105/D105-1,"")))</f>
        <v/>
      </c>
      <c r="I106" s="15">
        <f>IF(OR(I105="",E105=""),"",IF(E105&lt;=0,"",IFERROR(I105/E105-1,"")))</f>
        <v/>
      </c>
      <c r="J106" s="15">
        <f>IF(OR(J105="",F105=""),"",IF(F105&lt;=0,"",IFERROR(J105/F105-1,"")))</f>
        <v/>
      </c>
      <c r="K106" s="15">
        <f>IF(OR(K105="",G105=""),"",IF(G105&lt;=0,"",IFERROR(K105/G105-1,"")))</f>
        <v/>
      </c>
      <c r="L106" s="15">
        <f>IF(OR(L105="",H105=""),"",IF(H105&lt;=0,"",IFERROR(L105/H105-1,"")))</f>
        <v/>
      </c>
      <c r="M106" s="15">
        <f>IF(OR(M105="",I105=""),"",IF(I105&lt;=0,"",IFERROR(M105/I105-1,"")))</f>
        <v/>
      </c>
      <c r="N106" s="15">
        <f>IF(OR(N105="",J105=""),"",IF(J105&lt;=0,"",IFERROR(N105/J105-1,"")))</f>
        <v/>
      </c>
      <c r="T106" s="15">
        <f>IF(OR(T105="",S105=""),"",IF(S105&lt;=0,"",IFERROR(T105/S105-1,"")))</f>
        <v/>
      </c>
      <c r="U106" s="15">
        <f>IF(OR(U105="",T105=""),"",IF(T105&lt;=0,"",IFERROR(U105/T105-1,"")))</f>
        <v/>
      </c>
      <c r="V106" s="15">
        <f>IF(OR(V105="",U105=""),"",IF(U105&lt;=0,"",IFERROR(V105/U105-1,"")))</f>
        <v/>
      </c>
      <c r="W106" s="15">
        <f>IF(OR(W105="",V105=""),"",IF(V105&lt;=0,"",IFERROR(W105/V105-1,"")))</f>
        <v/>
      </c>
      <c r="X106" s="15">
        <f>IF(OR(X105="",W105=""),"",IF(W105&lt;=0,"",IFERROR(X105/W105-1,"")))</f>
        <v/>
      </c>
    </row>
    <row r="107">
      <c r="A107" s="18" t="inlineStr">
        <is>
          <t>고정자산 매각이익</t>
        </is>
      </c>
      <c r="C107" s="20" t="n">
        <v>3.303</v>
      </c>
      <c r="D107" s="20" t="n">
        <v>1.382</v>
      </c>
      <c r="E107" s="20" t="n">
        <v>0.193</v>
      </c>
      <c r="H107" s="20" t="n">
        <v>1.962</v>
      </c>
      <c r="I107" s="20" t="n">
        <v>19.272</v>
      </c>
      <c r="T107" s="20" t="n">
        <v>7.842</v>
      </c>
      <c r="U107" s="20" t="n">
        <v>0.188</v>
      </c>
      <c r="V107" s="20" t="n">
        <v>0.193</v>
      </c>
      <c r="W107" s="20" t="n">
        <v>19.272</v>
      </c>
    </row>
    <row r="108">
      <c r="A108" s="18" t="inlineStr">
        <is>
          <t>투자유가증권 매각이익</t>
        </is>
      </c>
      <c r="D108" s="20" t="n">
        <v>0</v>
      </c>
      <c r="E108" s="20" t="n">
        <v>0</v>
      </c>
      <c r="I108" s="20" t="n">
        <v>0</v>
      </c>
      <c r="T108" s="20" t="n">
        <v>1.497</v>
      </c>
      <c r="U108" s="20" t="n">
        <v>38.31</v>
      </c>
      <c r="V108" s="20" t="n">
        <v>0</v>
      </c>
      <c r="W108" s="20" t="n">
        <v>0</v>
      </c>
    </row>
    <row r="109">
      <c r="A109" s="18" t="inlineStr">
        <is>
          <t>부의 영업권 발생이익</t>
        </is>
      </c>
      <c r="E109" s="20" t="n">
        <v>0</v>
      </c>
      <c r="T109" s="20" t="n">
        <v>0</v>
      </c>
      <c r="U109" s="20" t="n">
        <v>0</v>
      </c>
      <c r="V109" s="20" t="n">
        <v>0</v>
      </c>
    </row>
    <row r="110">
      <c r="A110" s="18" t="inlineStr">
        <is>
          <t>Gain On Sale Of Investments In Capital EI</t>
        </is>
      </c>
      <c r="T110" s="20" t="n">
        <v>0</v>
      </c>
      <c r="U110" s="20" t="n">
        <v>0</v>
      </c>
    </row>
    <row r="111">
      <c r="A111" s="18" t="inlineStr">
        <is>
          <t>관계회사 청산이익</t>
        </is>
      </c>
      <c r="D111" s="20" t="n">
        <v>0</v>
      </c>
      <c r="E111" s="20" t="n">
        <v>40.107</v>
      </c>
      <c r="T111" s="20" t="n">
        <v>0</v>
      </c>
      <c r="U111" s="20" t="n">
        <v>0</v>
      </c>
      <c r="V111" s="20" t="n">
        <v>40.107</v>
      </c>
    </row>
    <row r="112">
      <c r="A112" s="18" t="inlineStr">
        <is>
          <t>특별이익 합계</t>
        </is>
      </c>
      <c r="C112" s="20" t="n">
        <v>3.303</v>
      </c>
      <c r="D112" s="20" t="n">
        <v>1.382</v>
      </c>
      <c r="E112" s="20" t="n">
        <v>40.3</v>
      </c>
      <c r="H112" s="20" t="n">
        <v>2.669</v>
      </c>
      <c r="I112" s="20" t="n">
        <v>82.657</v>
      </c>
      <c r="T112" s="20" t="n">
        <v>9.339</v>
      </c>
      <c r="U112" s="20" t="n">
        <v>38.498</v>
      </c>
      <c r="V112" s="20" t="n">
        <v>40.3</v>
      </c>
      <c r="W112" s="20" t="n">
        <v>82.657</v>
      </c>
    </row>
    <row r="113">
      <c r="A113" s="18" t="inlineStr">
        <is>
          <t>고정자산 매각손실</t>
        </is>
      </c>
      <c r="D113" s="20" t="n">
        <v>0.001</v>
      </c>
      <c r="E113" s="20" t="n">
        <v>0.654</v>
      </c>
      <c r="H113" s="20" t="n">
        <v>0.522</v>
      </c>
      <c r="I113" s="20" t="n">
        <v>0.001</v>
      </c>
      <c r="T113" s="20" t="n">
        <v>0.11</v>
      </c>
      <c r="U113" s="20" t="n">
        <v>0</v>
      </c>
      <c r="V113" s="20" t="n">
        <v>0.654</v>
      </c>
      <c r="W113" s="20" t="n">
        <v>0.001</v>
      </c>
    </row>
    <row r="114">
      <c r="A114" s="18" t="inlineStr">
        <is>
          <t>고정자산 제각손실</t>
        </is>
      </c>
      <c r="C114" s="20" t="n">
        <v>7.08</v>
      </c>
      <c r="D114" s="20" t="n">
        <v>0.399</v>
      </c>
      <c r="E114" s="20" t="n">
        <v>4.002</v>
      </c>
      <c r="F114" s="20" t="n">
        <v>1.124</v>
      </c>
      <c r="G114" s="20" t="n">
        <v>0</v>
      </c>
      <c r="H114" s="20" t="n">
        <v>2.369</v>
      </c>
      <c r="I114" s="20" t="n">
        <v>1.168</v>
      </c>
      <c r="T114" s="20" t="n">
        <v>0.606</v>
      </c>
      <c r="U114" s="20" t="n">
        <v>11.684</v>
      </c>
      <c r="V114" s="20" t="n">
        <v>4.002</v>
      </c>
      <c r="W114" s="20" t="n">
        <v>1.168</v>
      </c>
    </row>
    <row r="115">
      <c r="A115" s="18" t="inlineStr">
        <is>
          <t>손상차손</t>
        </is>
      </c>
      <c r="H115" s="20" t="n">
        <v>0</v>
      </c>
      <c r="I115" s="20" t="n">
        <v>201.146</v>
      </c>
      <c r="L115" s="20" t="n">
        <v>-0.159</v>
      </c>
      <c r="M115" s="20" t="n">
        <v>38.059</v>
      </c>
      <c r="W115" s="20" t="n">
        <v>201.146</v>
      </c>
      <c r="X115" s="20" t="n">
        <v>38.059</v>
      </c>
    </row>
    <row r="116">
      <c r="A116" s="18" t="inlineStr">
        <is>
          <t>투자유가증권 매각손실</t>
        </is>
      </c>
      <c r="C116" s="20" t="n">
        <v>0</v>
      </c>
      <c r="D116" s="20" t="n">
        <v>0</v>
      </c>
      <c r="E116" s="20" t="n">
        <v>0</v>
      </c>
      <c r="T116" s="20" t="n">
        <v>1.316</v>
      </c>
      <c r="U116" s="20" t="n">
        <v>0</v>
      </c>
      <c r="V116" s="20" t="n">
        <v>0</v>
      </c>
    </row>
    <row r="117">
      <c r="A117" s="18" t="inlineStr">
        <is>
          <t>Provision For Product Warranties EL</t>
        </is>
      </c>
      <c r="C117" s="20" t="n">
        <v>0</v>
      </c>
      <c r="D117" s="20" t="n">
        <v>0</v>
      </c>
      <c r="E117" s="20" t="n">
        <v>0</v>
      </c>
      <c r="F117" s="20" t="n">
        <v>0</v>
      </c>
      <c r="G117" s="20" t="n">
        <v>0</v>
      </c>
      <c r="H117" s="20" t="n">
        <v>0</v>
      </c>
      <c r="I117" s="20" t="n">
        <v>0</v>
      </c>
      <c r="U117" s="20" t="n">
        <v>0</v>
      </c>
      <c r="V117" s="20" t="n">
        <v>0</v>
      </c>
      <c r="W117" s="20" t="n">
        <v>0</v>
      </c>
    </row>
    <row r="118">
      <c r="A118" s="18" t="inlineStr">
        <is>
          <t>기타</t>
        </is>
      </c>
      <c r="D118" s="20" t="n">
        <v>0</v>
      </c>
      <c r="E118" s="20" t="n">
        <v>20.974</v>
      </c>
      <c r="H118" s="20" t="n">
        <v>0</v>
      </c>
      <c r="I118" s="20" t="n">
        <v>0</v>
      </c>
      <c r="T118" s="20" t="n">
        <v>0.587</v>
      </c>
      <c r="U118" s="20" t="n">
        <v>28.898</v>
      </c>
      <c r="V118" s="20" t="n">
        <v>20.974</v>
      </c>
      <c r="W118" s="20" t="n">
        <v>0</v>
      </c>
    </row>
    <row r="119">
      <c r="A119" s="18" t="inlineStr">
        <is>
          <t>사업구조개선비용</t>
        </is>
      </c>
      <c r="H119" s="20" t="n">
        <v>0</v>
      </c>
      <c r="I119" s="20" t="n">
        <v>0</v>
      </c>
      <c r="L119" s="20" t="n">
        <v>19.969</v>
      </c>
      <c r="M119" s="20" t="n">
        <v>74.30800000000001</v>
      </c>
      <c r="W119" s="20" t="n">
        <v>0</v>
      </c>
      <c r="X119" s="20" t="n">
        <v>74.30800000000001</v>
      </c>
    </row>
    <row r="120">
      <c r="A120" s="18" t="inlineStr">
        <is>
          <t>관계회사 청산손실</t>
        </is>
      </c>
      <c r="H120" s="20" t="n">
        <v>0</v>
      </c>
      <c r="I120" s="20" t="n">
        <v>0</v>
      </c>
      <c r="L120" s="20" t="n">
        <v>-43.988</v>
      </c>
      <c r="M120" s="20" t="n">
        <v>0</v>
      </c>
      <c r="W120" s="20" t="n">
        <v>0</v>
      </c>
      <c r="X120" s="20" t="n">
        <v>0</v>
      </c>
    </row>
    <row r="121">
      <c r="A121" s="18" t="inlineStr">
        <is>
          <t>특별손실 합계</t>
        </is>
      </c>
      <c r="C121" s="20" t="n">
        <v>9.827</v>
      </c>
      <c r="D121" s="20" t="n">
        <v>21.373</v>
      </c>
      <c r="E121" s="20" t="n">
        <v>118.799</v>
      </c>
      <c r="F121" s="20" t="n">
        <v>1.124</v>
      </c>
      <c r="G121" s="20" t="n">
        <v>-1.124</v>
      </c>
      <c r="H121" s="20" t="n">
        <v>0</v>
      </c>
      <c r="I121" s="20" t="n">
        <v>656.527</v>
      </c>
      <c r="L121" s="20" t="n">
        <v>-24.178</v>
      </c>
      <c r="M121" s="20" t="n">
        <v>168.883</v>
      </c>
      <c r="T121" s="20" t="n">
        <v>1.464</v>
      </c>
      <c r="U121" s="20" t="n">
        <v>506.766</v>
      </c>
      <c r="V121" s="20" t="n">
        <v>118.799</v>
      </c>
      <c r="W121" s="20" t="n">
        <v>656.527</v>
      </c>
      <c r="X121" s="20" t="n">
        <v>168.883</v>
      </c>
    </row>
    <row r="122">
      <c r="A122" s="9" t="inlineStr">
        <is>
          <t>법인세차감전 중간순이익(손실)</t>
        </is>
      </c>
      <c r="C122" s="12" t="n">
        <v>579.833</v>
      </c>
      <c r="D122" s="12" t="n">
        <v>-221.192</v>
      </c>
      <c r="E122" s="12" t="n">
        <v>1151.461</v>
      </c>
      <c r="F122" s="12" t="n">
        <v>-47.255</v>
      </c>
      <c r="G122" s="12" t="n">
        <v>40.679</v>
      </c>
      <c r="H122" s="12" t="n">
        <v>595.8440000000001</v>
      </c>
      <c r="I122" s="12" t="n">
        <v>-788.347</v>
      </c>
      <c r="J122" s="12" t="n">
        <v>-46</v>
      </c>
      <c r="K122" s="12" t="n">
        <v>844.393</v>
      </c>
      <c r="L122" s="12" t="n">
        <v>580.721</v>
      </c>
      <c r="M122" s="12" t="n">
        <v>1820.487</v>
      </c>
      <c r="N122" s="12" t="n">
        <v>613</v>
      </c>
      <c r="T122" s="12" t="n">
        <v>500.896</v>
      </c>
      <c r="U122" s="12" t="n">
        <v>210.383</v>
      </c>
      <c r="V122" s="12" t="n">
        <v>1151.461</v>
      </c>
      <c r="W122" s="12" t="n">
        <v>-788.347</v>
      </c>
      <c r="X122" s="12" t="n">
        <v>1820.487</v>
      </c>
    </row>
    <row r="123">
      <c r="A123" s="18" t="inlineStr">
        <is>
          <t>법인세 등</t>
        </is>
      </c>
      <c r="C123" s="20" t="n">
        <v>75.681</v>
      </c>
      <c r="D123" s="20" t="n">
        <v>95.48</v>
      </c>
      <c r="E123" s="20" t="n">
        <v>120.902</v>
      </c>
      <c r="F123" s="20" t="n">
        <v>171.096</v>
      </c>
      <c r="G123" s="20" t="n">
        <v>96.562</v>
      </c>
      <c r="H123" s="20" t="n">
        <v>71.687</v>
      </c>
      <c r="I123" s="20" t="n">
        <v>82.15000000000001</v>
      </c>
      <c r="J123" s="20" t="n">
        <v>93</v>
      </c>
      <c r="K123" s="20" t="n">
        <v>248.939</v>
      </c>
      <c r="L123" s="20" t="n">
        <v>181.565</v>
      </c>
      <c r="M123" s="20" t="n">
        <v>214.699</v>
      </c>
      <c r="N123" s="20" t="n">
        <v>169</v>
      </c>
      <c r="T123" s="20" t="n">
        <v>81.935</v>
      </c>
      <c r="U123" s="20" t="n">
        <v>-27.382</v>
      </c>
      <c r="V123" s="20" t="n">
        <v>120.902</v>
      </c>
      <c r="W123" s="20" t="n">
        <v>82.15000000000001</v>
      </c>
      <c r="X123" s="20" t="n">
        <v>214.699</v>
      </c>
    </row>
    <row r="124">
      <c r="A124" s="9" t="inlineStr">
        <is>
          <t>중간순이익(손실)</t>
        </is>
      </c>
      <c r="C124" s="12" t="n">
        <v>504.153</v>
      </c>
      <c r="D124" s="12" t="n">
        <v>-316.672</v>
      </c>
      <c r="E124" s="12" t="n">
        <v>1030.558</v>
      </c>
      <c r="F124" s="12" t="n">
        <v>-218.352</v>
      </c>
      <c r="G124" s="12" t="n">
        <v>-55.883</v>
      </c>
      <c r="H124" s="12" t="n">
        <v>524.158</v>
      </c>
      <c r="I124" s="12" t="n">
        <v>-870.498</v>
      </c>
      <c r="J124" s="12" t="n">
        <v>-139</v>
      </c>
      <c r="K124" s="12" t="n">
        <v>595.453</v>
      </c>
      <c r="L124" s="12" t="n">
        <v>399.156</v>
      </c>
      <c r="M124" s="12" t="n">
        <v>1605.789</v>
      </c>
      <c r="N124" s="12" t="n">
        <v>444</v>
      </c>
      <c r="T124" s="12" t="n">
        <v>418.962</v>
      </c>
      <c r="U124" s="12" t="n">
        <v>237.765</v>
      </c>
      <c r="V124" s="12" t="n">
        <v>1030.558</v>
      </c>
      <c r="W124" s="12" t="n">
        <v>-870.498</v>
      </c>
      <c r="X124" s="12" t="n">
        <v>1605.789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T125" s="15">
        <f>IF(OR(T124="",S124=""),"",IF(S124&lt;=0,"",IFERROR(T124/S124-1,"")))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6">
      <c r="A126" s="9" t="inlineStr">
        <is>
          <t>비지배주주 당기순손실</t>
        </is>
      </c>
      <c r="C126" s="12" t="n">
        <v>7.238</v>
      </c>
      <c r="D126" s="12" t="n">
        <v>4.99</v>
      </c>
      <c r="E126" s="12" t="n">
        <v>1.426</v>
      </c>
      <c r="F126" s="12" t="n">
        <v>0.859</v>
      </c>
      <c r="G126" s="12" t="n">
        <v>1.218</v>
      </c>
      <c r="H126" s="12" t="n">
        <v>0.299</v>
      </c>
      <c r="I126" s="12" t="n">
        <v>-6.794</v>
      </c>
      <c r="J126" s="12" t="n">
        <v>-0</v>
      </c>
      <c r="K126" s="12" t="n">
        <v>-0.626</v>
      </c>
      <c r="L126" s="12" t="n">
        <v>0</v>
      </c>
      <c r="M126" s="12" t="n">
        <v>0</v>
      </c>
      <c r="N126" s="12" t="n">
        <v>0</v>
      </c>
      <c r="U126" s="12" t="n">
        <v>6.241</v>
      </c>
      <c r="V126" s="12" t="n">
        <v>1.426</v>
      </c>
      <c r="W126" s="12" t="n">
        <v>-6.794</v>
      </c>
      <c r="X126" s="12" t="n">
        <v>0</v>
      </c>
    </row>
    <row r="127">
      <c r="A127" s="9" t="inlineStr">
        <is>
          <t>지배주주 귀속 중간순이익(손실)</t>
        </is>
      </c>
      <c r="C127" s="12" t="n">
        <v>496.915</v>
      </c>
      <c r="D127" s="12" t="n">
        <v>-321.663</v>
      </c>
      <c r="E127" s="12" t="n">
        <v>1029.133</v>
      </c>
      <c r="F127" s="12" t="n">
        <v>-219.211</v>
      </c>
      <c r="G127" s="12" t="n">
        <v>-57.101</v>
      </c>
      <c r="H127" s="12" t="n">
        <v>523.8579999999999</v>
      </c>
      <c r="I127" s="12" t="n">
        <v>-863.703</v>
      </c>
      <c r="J127" s="12" t="n">
        <v>-138</v>
      </c>
      <c r="K127" s="12" t="n">
        <v>595.08</v>
      </c>
      <c r="L127" s="12" t="n">
        <v>399.155</v>
      </c>
      <c r="M127" s="12" t="n">
        <v>1605.789</v>
      </c>
      <c r="N127" s="12" t="n">
        <v>444</v>
      </c>
      <c r="T127" s="12" t="n">
        <v>418.962</v>
      </c>
      <c r="U127" s="12" t="n">
        <v>231.523</v>
      </c>
      <c r="V127" s="12" t="n">
        <v>1029.133</v>
      </c>
      <c r="W127" s="12" t="n">
        <v>-863.703</v>
      </c>
      <c r="X127" s="12" t="n">
        <v>1605.789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K128" s="15">
        <f>IF(OR(K127="",G127=""),"",IF(G127&lt;=0,"",IFERROR(K127/G127-1,"")))</f>
        <v/>
      </c>
      <c r="L128" s="15">
        <f>IF(OR(L127="",H127=""),"",IF(H127&lt;=0,"",IFERROR(L127/H127-1,"")))</f>
        <v/>
      </c>
      <c r="M128" s="15">
        <f>IF(OR(M127="",I127=""),"",IF(I127&lt;=0,"",IFERROR(M127/I127-1,"")))</f>
        <v/>
      </c>
      <c r="N128" s="15">
        <f>IF(OR(N127="",J127=""),"",IF(J127&lt;=0,"",IFERROR(N127/J127-1,"")))</f>
        <v/>
      </c>
      <c r="T128" s="15">
        <f>IF(OR(T127="",S127=""),"",IF(S127&lt;=0,"",IFERROR(T127/S127-1,"")))</f>
        <v/>
      </c>
      <c r="U128" s="15">
        <f>IF(OR(U127="",T127=""),"",IF(T127&lt;=0,"",IFERROR(U127/T127-1,"")))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  <c r="X128" s="15">
        <f>IF(OR(X127="",W127=""),"",IF(W127&lt;=0,"",IFERROR(X127/W127-1,"")))</f>
        <v/>
      </c>
    </row>
    <row r="130">
      <c r="A130" s="16" t="inlineStr">
        <is>
          <t>포괄손익 · 전 항목</t>
        </is>
      </c>
      <c r="B130" s="42" t="inlineStr">
        <is>
          <t>분기 = 3개월 단독</t>
        </is>
      </c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</row>
    <row r="131">
      <c r="A131" s="5" t="inlineStr">
        <is>
          <t>항목</t>
        </is>
      </c>
      <c r="B131" s="5" t="inlineStr">
        <is>
          <t>참고</t>
        </is>
      </c>
      <c r="C131" s="5" t="inlineStr">
        <is>
          <t>2024.2Q</t>
        </is>
      </c>
      <c r="D131" s="5" t="inlineStr">
        <is>
          <t>2024.3Q</t>
        </is>
      </c>
      <c r="E131" s="5" t="inlineStr">
        <is>
          <t>2024.4Q</t>
        </is>
      </c>
      <c r="F131" s="5" t="inlineStr">
        <is>
          <t>2025.1Q</t>
        </is>
      </c>
      <c r="G131" s="5" t="inlineStr">
        <is>
          <t>2025.2Q</t>
        </is>
      </c>
      <c r="H131" s="5" t="inlineStr">
        <is>
          <t>2025.3Q</t>
        </is>
      </c>
      <c r="I131" s="5" t="inlineStr">
        <is>
          <t>2025.4Q</t>
        </is>
      </c>
      <c r="J131" s="5" t="inlineStr">
        <is>
          <t>2026.1Q</t>
        </is>
      </c>
      <c r="K131" s="5" t="inlineStr">
        <is>
          <t>2026.2Q</t>
        </is>
      </c>
      <c r="L131" s="5" t="inlineStr">
        <is>
          <t>2026.3Q</t>
        </is>
      </c>
      <c r="M131" s="5" t="inlineStr">
        <is>
          <t>2026.4Q</t>
        </is>
      </c>
      <c r="N131" s="5" t="inlineStr">
        <is>
          <t>2027.1Q</t>
        </is>
      </c>
      <c r="O131" s="5" t="inlineStr">
        <is>
          <t>2017</t>
        </is>
      </c>
      <c r="P131" s="5" t="inlineStr">
        <is>
          <t>2018</t>
        </is>
      </c>
      <c r="Q131" s="5" t="inlineStr">
        <is>
          <t>2019</t>
        </is>
      </c>
      <c r="R131" s="5" t="inlineStr">
        <is>
          <t>2020</t>
        </is>
      </c>
      <c r="S131" s="5" t="inlineStr">
        <is>
          <t>2021</t>
        </is>
      </c>
      <c r="T131" s="5" t="inlineStr">
        <is>
          <t>2022</t>
        </is>
      </c>
      <c r="U131" s="5" t="inlineStr">
        <is>
          <t>2023</t>
        </is>
      </c>
      <c r="V131" s="5" t="inlineStr">
        <is>
          <t>2024</t>
        </is>
      </c>
      <c r="W131" s="5" t="inlineStr">
        <is>
          <t>2025</t>
        </is>
      </c>
      <c r="X131" s="5" t="inlineStr">
        <is>
          <t>2026</t>
        </is>
      </c>
      <c r="Y131" s="5" t="inlineStr">
        <is>
          <t>2027(MW)</t>
        </is>
      </c>
      <c r="Z131" s="5" t="inlineStr">
        <is>
          <t>2028(MW)</t>
        </is>
      </c>
      <c r="AA131" s="5" t="inlineStr">
        <is>
          <t>2029(MW)</t>
        </is>
      </c>
      <c r="AB131" s="5" t="inlineStr">
        <is>
          <t>2030(MW)</t>
        </is>
      </c>
      <c r="AC131" s="5" t="inlineStr">
        <is>
          <t>2031(MW)</t>
        </is>
      </c>
    </row>
    <row r="132">
      <c r="A132" s="9" t="inlineStr">
        <is>
          <t>중간순이익(손실)</t>
        </is>
      </c>
      <c r="C132" s="12" t="n">
        <v>504.153</v>
      </c>
      <c r="D132" s="12" t="n">
        <v>-316.672</v>
      </c>
      <c r="E132" s="12" t="n">
        <v>1030.558</v>
      </c>
      <c r="F132" s="12" t="n">
        <v>-218.352</v>
      </c>
      <c r="G132" s="12" t="n">
        <v>-55.883</v>
      </c>
      <c r="H132" s="12" t="n">
        <v>524.158</v>
      </c>
      <c r="I132" s="12" t="n">
        <v>-870.498</v>
      </c>
      <c r="J132" s="12" t="n">
        <v>-139</v>
      </c>
      <c r="K132" s="12" t="n">
        <v>595.453</v>
      </c>
      <c r="L132" s="12" t="n">
        <v>399.156</v>
      </c>
      <c r="M132" s="12" t="n">
        <v>1605.789</v>
      </c>
      <c r="N132" s="12" t="n">
        <v>444</v>
      </c>
      <c r="T132" s="12" t="n">
        <v>418.962</v>
      </c>
      <c r="U132" s="12" t="n">
        <v>237.765</v>
      </c>
      <c r="V132" s="12" t="n">
        <v>1030.558</v>
      </c>
      <c r="W132" s="12" t="n">
        <v>-870.498</v>
      </c>
      <c r="X132" s="12" t="n">
        <v>1605.789</v>
      </c>
    </row>
    <row r="133">
      <c r="A133" s="18" t="inlineStr">
        <is>
          <t>기타유가증권 평가차액</t>
        </is>
      </c>
      <c r="C133" s="20" t="n">
        <v>-1.698</v>
      </c>
      <c r="D133" s="20" t="n">
        <v>-0.463</v>
      </c>
      <c r="E133" s="20" t="n">
        <v>3.403</v>
      </c>
      <c r="F133" s="20" t="n">
        <v>1.945</v>
      </c>
      <c r="G133" s="20" t="n">
        <v>-8.875999999999999</v>
      </c>
      <c r="H133" s="20" t="n">
        <v>0.967</v>
      </c>
      <c r="I133" s="20" t="n">
        <v>2.645</v>
      </c>
      <c r="J133" s="20" t="n">
        <v>0</v>
      </c>
      <c r="K133" s="20" t="n">
        <v>6.22</v>
      </c>
      <c r="L133" s="20" t="n">
        <v>6.766</v>
      </c>
      <c r="M133" s="20" t="n">
        <v>7.277</v>
      </c>
      <c r="N133" s="20" t="n">
        <v>6</v>
      </c>
      <c r="T133" s="20" t="n">
        <v>-11.151</v>
      </c>
      <c r="U133" s="20" t="n">
        <v>-24.088</v>
      </c>
      <c r="V133" s="20" t="n">
        <v>3.403</v>
      </c>
      <c r="W133" s="20" t="n">
        <v>2.645</v>
      </c>
      <c r="X133" s="20" t="n">
        <v>7.277</v>
      </c>
    </row>
    <row r="134">
      <c r="A134" s="18" t="inlineStr">
        <is>
          <t>해외사업환산조정</t>
        </is>
      </c>
      <c r="C134" s="20" t="n">
        <v>447.265</v>
      </c>
      <c r="D134" s="20" t="n">
        <v>403.649</v>
      </c>
      <c r="E134" s="20" t="n">
        <v>-504.581</v>
      </c>
      <c r="F134" s="20" t="n">
        <v>253.932</v>
      </c>
      <c r="G134" s="20" t="n">
        <v>971.335</v>
      </c>
      <c r="H134" s="20" t="n">
        <v>-1240.852</v>
      </c>
      <c r="I134" s="20" t="n">
        <v>1007.672</v>
      </c>
      <c r="J134" s="20" t="n">
        <v>-399</v>
      </c>
      <c r="K134" s="20" t="n">
        <v>-114.743</v>
      </c>
      <c r="L134" s="20" t="n">
        <v>3.492</v>
      </c>
      <c r="M134" s="20" t="n">
        <v>476.961</v>
      </c>
      <c r="N134" s="20" t="n">
        <v>112</v>
      </c>
      <c r="T134" s="20" t="n">
        <v>198.308</v>
      </c>
      <c r="U134" s="20" t="n">
        <v>-381.954</v>
      </c>
      <c r="V134" s="20" t="n">
        <v>-504.581</v>
      </c>
      <c r="W134" s="20" t="n">
        <v>1007.672</v>
      </c>
      <c r="X134" s="20" t="n">
        <v>476.961</v>
      </c>
    </row>
    <row r="135">
      <c r="A135" s="18" t="inlineStr">
        <is>
          <t>퇴직급여 조정액</t>
        </is>
      </c>
      <c r="F135" s="20" t="n">
        <v>0</v>
      </c>
      <c r="J135" s="20" t="n">
        <v>-4</v>
      </c>
      <c r="N135" s="20" t="n">
        <v>-0</v>
      </c>
      <c r="T135" s="20" t="n">
        <v>0</v>
      </c>
      <c r="U135" s="20" t="n">
        <v>0</v>
      </c>
    </row>
    <row r="136">
      <c r="A136" s="18" t="inlineStr">
        <is>
          <t>지분법 적용회사 지분 해당액</t>
        </is>
      </c>
      <c r="T136" s="20" t="n">
        <v>0</v>
      </c>
      <c r="U136" s="20" t="n">
        <v>0</v>
      </c>
    </row>
    <row r="137">
      <c r="A137" s="18" t="inlineStr">
        <is>
          <t>기타포괄손익 합계</t>
        </is>
      </c>
      <c r="C137" s="20" t="n">
        <v>445.567</v>
      </c>
      <c r="D137" s="20" t="n">
        <v>403.185</v>
      </c>
      <c r="E137" s="20" t="n">
        <v>-501.176</v>
      </c>
      <c r="F137" s="20" t="n">
        <v>255.877</v>
      </c>
      <c r="G137" s="20" t="n">
        <v>962.458</v>
      </c>
      <c r="H137" s="20" t="n">
        <v>-1239.885</v>
      </c>
      <c r="I137" s="20" t="n">
        <v>1010.318</v>
      </c>
      <c r="J137" s="20" t="n">
        <v>-403</v>
      </c>
      <c r="K137" s="20" t="n">
        <v>-108.903</v>
      </c>
      <c r="L137" s="20" t="n">
        <v>10.189</v>
      </c>
      <c r="M137" s="20" t="n">
        <v>479.626</v>
      </c>
      <c r="N137" s="20" t="n">
        <v>118</v>
      </c>
      <c r="T137" s="20" t="n">
        <v>187.156</v>
      </c>
      <c r="U137" s="20" t="n">
        <v>-406.043</v>
      </c>
      <c r="V137" s="20" t="n">
        <v>-501.176</v>
      </c>
      <c r="W137" s="20" t="n">
        <v>1010.318</v>
      </c>
      <c r="X137" s="20" t="n">
        <v>479.626</v>
      </c>
    </row>
    <row r="138">
      <c r="A138" s="9" t="inlineStr">
        <is>
          <t>포괄이익</t>
        </is>
      </c>
      <c r="C138" s="12" t="n">
        <v>949.721</v>
      </c>
      <c r="D138" s="12" t="n">
        <v>86.512</v>
      </c>
      <c r="E138" s="12" t="n">
        <v>529.3819999999999</v>
      </c>
      <c r="F138" s="12" t="n">
        <v>37.525</v>
      </c>
      <c r="G138" s="12" t="n">
        <v>906.575</v>
      </c>
      <c r="H138" s="12" t="n">
        <v>-715.727</v>
      </c>
      <c r="I138" s="12" t="n">
        <v>139.819</v>
      </c>
      <c r="J138" s="12" t="n">
        <v>-543</v>
      </c>
      <c r="K138" s="12" t="n">
        <v>487.551</v>
      </c>
      <c r="L138" s="12" t="n">
        <v>409.343</v>
      </c>
      <c r="M138" s="12" t="n">
        <v>2085.416</v>
      </c>
      <c r="N138" s="12" t="n">
        <v>563</v>
      </c>
      <c r="T138" s="12" t="n">
        <v>606.117</v>
      </c>
      <c r="U138" s="12" t="n">
        <v>-168.278</v>
      </c>
      <c r="V138" s="12" t="n">
        <v>529.3819999999999</v>
      </c>
      <c r="W138" s="12" t="n">
        <v>139.819</v>
      </c>
      <c r="X138" s="12" t="n">
        <v>2085.416</v>
      </c>
    </row>
    <row r="139">
      <c r="A139" s="9" t="inlineStr">
        <is>
          <t>지배주주 포괄이익</t>
        </is>
      </c>
      <c r="C139" s="12" t="n">
        <v>938.669</v>
      </c>
      <c r="D139" s="12" t="n">
        <v>81.36799999999999</v>
      </c>
      <c r="E139" s="12" t="n">
        <v>528.417</v>
      </c>
      <c r="F139" s="12" t="n">
        <v>36.666</v>
      </c>
      <c r="G139" s="12" t="n">
        <v>905.357</v>
      </c>
      <c r="H139" s="12" t="n">
        <v>-716.027</v>
      </c>
      <c r="I139" s="12" t="n">
        <v>146.614</v>
      </c>
      <c r="J139" s="12" t="n">
        <v>-542</v>
      </c>
      <c r="K139" s="12" t="n">
        <v>487.177</v>
      </c>
      <c r="L139" s="12" t="n">
        <v>409.344</v>
      </c>
      <c r="M139" s="12" t="n">
        <v>2085.415</v>
      </c>
      <c r="N139" s="12" t="n">
        <v>563</v>
      </c>
      <c r="T139" s="12" t="n">
        <v>606.117</v>
      </c>
      <c r="U139" s="12" t="n">
        <v>-174.519</v>
      </c>
      <c r="V139" s="12" t="n">
        <v>528.417</v>
      </c>
      <c r="W139" s="12" t="n">
        <v>146.614</v>
      </c>
      <c r="X139" s="12" t="n">
        <v>2085.415</v>
      </c>
    </row>
    <row r="140">
      <c r="A140" s="9" t="inlineStr">
        <is>
          <t>비지배주주 포괄이익</t>
        </is>
      </c>
      <c r="C140" s="12" t="n">
        <v>11.052</v>
      </c>
      <c r="D140" s="12" t="n">
        <v>5.144</v>
      </c>
      <c r="E140" s="12" t="n">
        <v>0.966</v>
      </c>
      <c r="F140" s="12" t="n">
        <v>0.859</v>
      </c>
      <c r="G140" s="12" t="n">
        <v>1.218</v>
      </c>
      <c r="H140" s="12" t="n">
        <v>0.299</v>
      </c>
      <c r="I140" s="12" t="n">
        <v>-6.794</v>
      </c>
      <c r="J140" s="12" t="n">
        <v>-0</v>
      </c>
      <c r="K140" s="12" t="n">
        <v>-0.626</v>
      </c>
      <c r="L140" s="12" t="n">
        <v>0</v>
      </c>
      <c r="M140" s="12" t="n">
        <v>0</v>
      </c>
      <c r="N140" s="12" t="n">
        <v>0</v>
      </c>
      <c r="U140" s="12" t="n">
        <v>6.241</v>
      </c>
      <c r="V140" s="12" t="n">
        <v>0.966</v>
      </c>
      <c r="W140" s="12" t="n">
        <v>-6.794</v>
      </c>
      <c r="X140" s="12" t="n">
        <v>0</v>
      </c>
    </row>
    <row r="142">
      <c r="A142" s="16" t="inlineStr">
        <is>
          <t>부문 · 전 항목</t>
        </is>
      </c>
      <c r="B142" s="42" t="inlineStr">
        <is>
          <t>부문 · 항목</t>
        </is>
      </c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</row>
    <row r="143">
      <c r="A143" s="5" t="inlineStr">
        <is>
          <t>항목</t>
        </is>
      </c>
      <c r="B143" s="5" t="inlineStr">
        <is>
          <t>참고</t>
        </is>
      </c>
      <c r="C143" s="5" t="inlineStr">
        <is>
          <t>2024.2Q</t>
        </is>
      </c>
      <c r="D143" s="5" t="inlineStr">
        <is>
          <t>2024.3Q</t>
        </is>
      </c>
      <c r="E143" s="5" t="inlineStr">
        <is>
          <t>2024.4Q</t>
        </is>
      </c>
      <c r="F143" s="5" t="inlineStr">
        <is>
          <t>2025.1Q</t>
        </is>
      </c>
      <c r="G143" s="5" t="inlineStr">
        <is>
          <t>2025.2Q</t>
        </is>
      </c>
      <c r="H143" s="5" t="inlineStr">
        <is>
          <t>2025.3Q</t>
        </is>
      </c>
      <c r="I143" s="5" t="inlineStr">
        <is>
          <t>2025.4Q</t>
        </is>
      </c>
      <c r="J143" s="5" t="inlineStr">
        <is>
          <t>2026.1Q</t>
        </is>
      </c>
      <c r="K143" s="5" t="inlineStr">
        <is>
          <t>2026.2Q</t>
        </is>
      </c>
      <c r="L143" s="5" t="inlineStr">
        <is>
          <t>2026.3Q</t>
        </is>
      </c>
      <c r="M143" s="5" t="inlineStr">
        <is>
          <t>2026.4Q</t>
        </is>
      </c>
      <c r="N143" s="5" t="inlineStr">
        <is>
          <t>2027.1Q</t>
        </is>
      </c>
      <c r="O143" s="5" t="inlineStr">
        <is>
          <t>2017</t>
        </is>
      </c>
      <c r="P143" s="5" t="inlineStr">
        <is>
          <t>2018</t>
        </is>
      </c>
      <c r="Q143" s="5" t="inlineStr">
        <is>
          <t>2019</t>
        </is>
      </c>
      <c r="R143" s="5" t="inlineStr">
        <is>
          <t>2020</t>
        </is>
      </c>
      <c r="S143" s="5" t="inlineStr">
        <is>
          <t>2021</t>
        </is>
      </c>
      <c r="T143" s="5" t="inlineStr">
        <is>
          <t>2022</t>
        </is>
      </c>
      <c r="U143" s="5" t="inlineStr">
        <is>
          <t>2023</t>
        </is>
      </c>
      <c r="V143" s="5" t="inlineStr">
        <is>
          <t>2024</t>
        </is>
      </c>
      <c r="W143" s="5" t="inlineStr">
        <is>
          <t>2025</t>
        </is>
      </c>
      <c r="X143" s="5" t="inlineStr">
        <is>
          <t>2026</t>
        </is>
      </c>
      <c r="Y143" s="5" t="inlineStr">
        <is>
          <t>2027(MW)</t>
        </is>
      </c>
      <c r="Z143" s="5" t="inlineStr">
        <is>
          <t>2028(MW)</t>
        </is>
      </c>
      <c r="AA143" s="5" t="inlineStr">
        <is>
          <t>2029(MW)</t>
        </is>
      </c>
      <c r="AB143" s="5" t="inlineStr">
        <is>
          <t>2030(MW)</t>
        </is>
      </c>
      <c r="AC143" s="5" t="inlineStr">
        <is>
          <t>2031(MW)</t>
        </is>
      </c>
    </row>
    <row r="144">
      <c r="A144" s="18" t="inlineStr">
        <is>
          <t>부문 · 외부 고객 매출</t>
        </is>
      </c>
      <c r="C144" s="20" t="n">
        <v>8103.786</v>
      </c>
      <c r="D144" s="20" t="n">
        <v>7032.856</v>
      </c>
      <c r="E144" s="20" t="n">
        <v>8881.030000000001</v>
      </c>
      <c r="F144" s="20" t="n">
        <v>7465.286</v>
      </c>
      <c r="G144" s="20" t="n">
        <v>8947.918</v>
      </c>
      <c r="H144" s="20" t="n">
        <v>9241.781000000001</v>
      </c>
      <c r="I144" s="20" t="n">
        <v>10173.408</v>
      </c>
      <c r="J144" s="20" t="n">
        <v>7801</v>
      </c>
      <c r="K144" s="20" t="n">
        <v>8868.404</v>
      </c>
      <c r="L144" s="20" t="n">
        <v>8874.370000000001</v>
      </c>
      <c r="M144" s="20" t="n">
        <v>12225.099</v>
      </c>
      <c r="N144" s="20" t="n">
        <v>10645</v>
      </c>
      <c r="V144" s="20" t="n">
        <v>8881.030000000001</v>
      </c>
      <c r="W144" s="20" t="n">
        <v>10173.408</v>
      </c>
      <c r="X144" s="20" t="n">
        <v>12225.099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부문 · 외부 고객 매출</t>
        </is>
      </c>
      <c r="C146" s="20" t="n">
        <v>4414.544</v>
      </c>
      <c r="D146" s="20" t="n">
        <v>4110.036</v>
      </c>
      <c r="E146" s="20" t="n">
        <v>5313.32</v>
      </c>
      <c r="F146" s="20" t="n">
        <v>3719.339</v>
      </c>
      <c r="G146" s="20" t="n">
        <v>3370.807</v>
      </c>
      <c r="H146" s="20" t="n">
        <v>3235.249</v>
      </c>
      <c r="I146" s="20" t="n">
        <v>4470.915</v>
      </c>
      <c r="J146" s="20" t="n">
        <v>2667</v>
      </c>
      <c r="K146" s="20" t="n">
        <v>3534.693</v>
      </c>
      <c r="L146" s="20" t="n">
        <v>3079.749</v>
      </c>
      <c r="M146" s="20" t="n">
        <v>4330.316</v>
      </c>
      <c r="N146" s="20" t="n">
        <v>2689</v>
      </c>
      <c r="V146" s="20" t="n">
        <v>5313.32</v>
      </c>
      <c r="W146" s="20" t="n">
        <v>4470.915</v>
      </c>
      <c r="X146" s="20" t="n">
        <v>4330.316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보고부문 합계 · 외부 고객 매출</t>
        </is>
      </c>
      <c r="C148" s="20" t="n">
        <v>12518.33</v>
      </c>
      <c r="D148" s="20" t="n">
        <v>11142.892</v>
      </c>
      <c r="E148" s="20" t="n">
        <v>14194.35</v>
      </c>
      <c r="F148" s="20" t="n">
        <v>11184.626</v>
      </c>
      <c r="G148" s="20" t="n">
        <v>12318.724</v>
      </c>
      <c r="H148" s="20" t="n">
        <v>12477.03</v>
      </c>
      <c r="I148" s="20" t="n">
        <v>14644.324</v>
      </c>
      <c r="J148" s="20" t="n">
        <v>10469</v>
      </c>
      <c r="K148" s="20" t="n">
        <v>12402.097</v>
      </c>
      <c r="L148" s="20" t="n">
        <v>11954.12</v>
      </c>
      <c r="M148" s="20" t="n">
        <v>16555.415</v>
      </c>
      <c r="N148" s="20" t="n">
        <v>13334</v>
      </c>
      <c r="V148" s="20" t="n">
        <v>14194.35</v>
      </c>
      <c r="W148" s="20" t="n">
        <v>14644.324</v>
      </c>
      <c r="X148" s="20" t="n">
        <v>16555.415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조정액 · 외부 고객 매출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V150" s="20" t="n">
        <v>0</v>
      </c>
      <c r="W150" s="20" t="n">
        <v>0</v>
      </c>
      <c r="X150" s="20" t="n">
        <v>0</v>
      </c>
    </row>
    <row r="151">
      <c r="A151" s="9" t="inlineStr">
        <is>
          <t>외부 고객 매출</t>
        </is>
      </c>
      <c r="C151" s="12" t="n">
        <v>12518.33</v>
      </c>
      <c r="D151" s="12" t="n">
        <v>11142.892</v>
      </c>
      <c r="E151" s="12" t="n">
        <v>14194.35</v>
      </c>
      <c r="F151" s="12" t="n">
        <v>11184.626</v>
      </c>
      <c r="G151" s="12" t="n">
        <v>12318.724</v>
      </c>
      <c r="H151" s="12" t="n">
        <v>12477.03</v>
      </c>
      <c r="I151" s="12" t="n">
        <v>14644.324</v>
      </c>
      <c r="J151" s="12" t="n">
        <v>10469</v>
      </c>
      <c r="K151" s="12" t="n">
        <v>12402.097</v>
      </c>
      <c r="L151" s="12" t="n">
        <v>11954.12</v>
      </c>
      <c r="M151" s="12" t="n">
        <v>16555.415</v>
      </c>
      <c r="N151" s="12" t="n">
        <v>13334</v>
      </c>
      <c r="V151" s="12" t="n">
        <v>14194.35</v>
      </c>
      <c r="W151" s="12" t="n">
        <v>14644.324</v>
      </c>
      <c r="X151" s="12" t="n">
        <v>16555.415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부문 · 부문 간 내부매출·대체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7.815</v>
      </c>
      <c r="J153" s="20" t="n">
        <v>0</v>
      </c>
      <c r="K153" s="20" t="n">
        <v>3.736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7.815</v>
      </c>
      <c r="X153" s="20" t="n">
        <v>0</v>
      </c>
    </row>
    <row r="154">
      <c r="A154" s="18" t="inlineStr">
        <is>
          <t>부문 · 부문 간 내부매출·대체</t>
        </is>
      </c>
      <c r="C154" s="20" t="n">
        <v>311.588</v>
      </c>
      <c r="D154" s="20" t="n">
        <v>200.211</v>
      </c>
      <c r="E154" s="20" t="n">
        <v>164.835</v>
      </c>
      <c r="F154" s="20" t="n">
        <v>66.509</v>
      </c>
      <c r="G154" s="20" t="n">
        <v>244.604</v>
      </c>
      <c r="H154" s="20" t="n">
        <v>232.781</v>
      </c>
      <c r="I154" s="20" t="n">
        <v>134.019</v>
      </c>
      <c r="J154" s="20" t="n">
        <v>88</v>
      </c>
      <c r="K154" s="20" t="n">
        <v>254.277</v>
      </c>
      <c r="L154" s="20" t="n">
        <v>218.52</v>
      </c>
      <c r="M154" s="20" t="n">
        <v>137.78</v>
      </c>
      <c r="N154" s="20" t="n">
        <v>58</v>
      </c>
      <c r="V154" s="20" t="n">
        <v>164.835</v>
      </c>
      <c r="W154" s="20" t="n">
        <v>134.019</v>
      </c>
      <c r="X154" s="20" t="n">
        <v>137.78</v>
      </c>
    </row>
    <row r="155">
      <c r="A155" s="18" t="inlineStr">
        <is>
          <t>보고부문 합계 · 부문 간 내부매출·대체</t>
        </is>
      </c>
      <c r="C155" s="20" t="n">
        <v>311.588</v>
      </c>
      <c r="D155" s="20" t="n">
        <v>200.211</v>
      </c>
      <c r="E155" s="20" t="n">
        <v>164.835</v>
      </c>
      <c r="F155" s="20" t="n">
        <v>66.509</v>
      </c>
      <c r="G155" s="20" t="n">
        <v>244.604</v>
      </c>
      <c r="H155" s="20" t="n">
        <v>232.781</v>
      </c>
      <c r="I155" s="20" t="n">
        <v>141.834</v>
      </c>
      <c r="J155" s="20" t="n">
        <v>88</v>
      </c>
      <c r="K155" s="20" t="n">
        <v>258.013</v>
      </c>
      <c r="L155" s="20" t="n">
        <v>218.52</v>
      </c>
      <c r="M155" s="20" t="n">
        <v>137.78</v>
      </c>
      <c r="N155" s="20" t="n">
        <v>58</v>
      </c>
      <c r="V155" s="20" t="n">
        <v>164.835</v>
      </c>
      <c r="W155" s="20" t="n">
        <v>141.834</v>
      </c>
      <c r="X155" s="20" t="n">
        <v>137.78</v>
      </c>
    </row>
    <row r="156">
      <c r="A156" s="18" t="inlineStr">
        <is>
          <t>조정액 · 부문 간 내부매출·대체</t>
        </is>
      </c>
      <c r="C156" s="20" t="n">
        <v>-311.588</v>
      </c>
      <c r="D156" s="20" t="n">
        <v>-200.211</v>
      </c>
      <c r="E156" s="20" t="n">
        <v>-164.835</v>
      </c>
      <c r="F156" s="20" t="n">
        <v>-66.509</v>
      </c>
      <c r="G156" s="20" t="n">
        <v>-244.604</v>
      </c>
      <c r="H156" s="20" t="n">
        <v>-232.781</v>
      </c>
      <c r="I156" s="20" t="n">
        <v>-141.834</v>
      </c>
      <c r="J156" s="20" t="n">
        <v>-88</v>
      </c>
      <c r="K156" s="20" t="n">
        <v>-258.013</v>
      </c>
      <c r="L156" s="20" t="n">
        <v>-218.52</v>
      </c>
      <c r="M156" s="20" t="n">
        <v>-137.78</v>
      </c>
      <c r="N156" s="20" t="n">
        <v>-58</v>
      </c>
      <c r="V156" s="20" t="n">
        <v>-164.835</v>
      </c>
      <c r="W156" s="20" t="n">
        <v>-141.834</v>
      </c>
      <c r="X156" s="20" t="n">
        <v>-137.78</v>
      </c>
    </row>
    <row r="157">
      <c r="A157" s="18" t="inlineStr">
        <is>
          <t>부문 간 내부매출·대체</t>
        </is>
      </c>
      <c r="C157" s="20" t="n">
        <v>0</v>
      </c>
      <c r="D157" s="20" t="n">
        <v>0</v>
      </c>
      <c r="E157" s="20" t="n">
        <v>0</v>
      </c>
      <c r="F157" s="20" t="n">
        <v>0</v>
      </c>
      <c r="G157" s="20" t="n">
        <v>0</v>
      </c>
      <c r="H157" s="20" t="n">
        <v>0</v>
      </c>
      <c r="I157" s="20" t="n">
        <v>0</v>
      </c>
      <c r="J157" s="20" t="n">
        <v>0</v>
      </c>
      <c r="K157" s="20" t="n">
        <v>0</v>
      </c>
      <c r="L157" s="20" t="n">
        <v>0</v>
      </c>
      <c r="M157" s="20" t="n">
        <v>0</v>
      </c>
      <c r="N157" s="20" t="n">
        <v>0</v>
      </c>
      <c r="V157" s="20" t="n">
        <v>0</v>
      </c>
      <c r="W157" s="20" t="n">
        <v>0</v>
      </c>
      <c r="X157" s="20" t="n">
        <v>0</v>
      </c>
    </row>
    <row r="158">
      <c r="A158" s="18" t="inlineStr">
        <is>
          <t>부문 · 계</t>
        </is>
      </c>
      <c r="C158" s="20" t="n">
        <v>8103.786</v>
      </c>
      <c r="D158" s="20" t="n">
        <v>7032.856</v>
      </c>
      <c r="E158" s="20" t="n">
        <v>8881.030000000001</v>
      </c>
      <c r="F158" s="20" t="n">
        <v>7465.286</v>
      </c>
      <c r="G158" s="20" t="n">
        <v>8947.918</v>
      </c>
      <c r="H158" s="20" t="n">
        <v>9241.781000000001</v>
      </c>
      <c r="I158" s="20" t="n">
        <v>10181.223</v>
      </c>
      <c r="J158" s="20" t="n">
        <v>7801</v>
      </c>
      <c r="K158" s="20" t="n">
        <v>8872.139999999999</v>
      </c>
      <c r="L158" s="20" t="n">
        <v>8874.370000000001</v>
      </c>
      <c r="M158" s="20" t="n">
        <v>12225.099</v>
      </c>
      <c r="N158" s="20" t="n">
        <v>10645</v>
      </c>
      <c r="V158" s="20" t="n">
        <v>8881.030000000001</v>
      </c>
      <c r="W158" s="20" t="n">
        <v>10181.223</v>
      </c>
      <c r="X158" s="20" t="n">
        <v>12225.099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부문 · 계</t>
        </is>
      </c>
      <c r="C160" s="20" t="n">
        <v>4726.132</v>
      </c>
      <c r="D160" s="20" t="n">
        <v>4310.246</v>
      </c>
      <c r="E160" s="20" t="n">
        <v>5478.156</v>
      </c>
      <c r="F160" s="20" t="n">
        <v>3785.848</v>
      </c>
      <c r="G160" s="20" t="n">
        <v>3615.412</v>
      </c>
      <c r="H160" s="20" t="n">
        <v>3468.029</v>
      </c>
      <c r="I160" s="20" t="n">
        <v>4604.934</v>
      </c>
      <c r="J160" s="20" t="n">
        <v>2755</v>
      </c>
      <c r="K160" s="20" t="n">
        <v>3788.97</v>
      </c>
      <c r="L160" s="20" t="n">
        <v>3298.27</v>
      </c>
      <c r="M160" s="20" t="n">
        <v>4468.096</v>
      </c>
      <c r="N160" s="20" t="n">
        <v>2747</v>
      </c>
      <c r="V160" s="20" t="n">
        <v>5478.156</v>
      </c>
      <c r="W160" s="20" t="n">
        <v>4604.934</v>
      </c>
      <c r="X160" s="20" t="n">
        <v>4468.096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보고부문 합계 · 계</t>
        </is>
      </c>
      <c r="C162" s="20" t="n">
        <v>12829.918</v>
      </c>
      <c r="D162" s="20" t="n">
        <v>11343.102</v>
      </c>
      <c r="E162" s="20" t="n">
        <v>14359.186</v>
      </c>
      <c r="F162" s="20" t="n">
        <v>11251.135</v>
      </c>
      <c r="G162" s="20" t="n">
        <v>12563.329</v>
      </c>
      <c r="H162" s="20" t="n">
        <v>12709.81</v>
      </c>
      <c r="I162" s="20" t="n">
        <v>14786.158</v>
      </c>
      <c r="J162" s="20" t="n">
        <v>10557</v>
      </c>
      <c r="K162" s="20" t="n">
        <v>12660.11</v>
      </c>
      <c r="L162" s="20" t="n">
        <v>12172.64</v>
      </c>
      <c r="M162" s="20" t="n">
        <v>16693.195</v>
      </c>
      <c r="N162" s="20" t="n">
        <v>13392</v>
      </c>
      <c r="V162" s="20" t="n">
        <v>14359.186</v>
      </c>
      <c r="W162" s="20" t="n">
        <v>14786.158</v>
      </c>
      <c r="X162" s="20" t="n">
        <v>16693.195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조정액 · 계</t>
        </is>
      </c>
      <c r="C164" s="20" t="n">
        <v>-311.588</v>
      </c>
      <c r="D164" s="20" t="n">
        <v>-200.211</v>
      </c>
      <c r="E164" s="20" t="n">
        <v>-164.835</v>
      </c>
      <c r="F164" s="20" t="n">
        <v>-66.509</v>
      </c>
      <c r="G164" s="20" t="n">
        <v>-244.604</v>
      </c>
      <c r="H164" s="20" t="n">
        <v>-232.781</v>
      </c>
      <c r="I164" s="20" t="n">
        <v>-141.834</v>
      </c>
      <c r="J164" s="20" t="n">
        <v>-88</v>
      </c>
      <c r="K164" s="20" t="n">
        <v>-258.013</v>
      </c>
      <c r="L164" s="20" t="n">
        <v>-218.52</v>
      </c>
      <c r="M164" s="20" t="n">
        <v>-137.78</v>
      </c>
      <c r="N164" s="20" t="n">
        <v>-58</v>
      </c>
      <c r="V164" s="20" t="n">
        <v>-164.835</v>
      </c>
      <c r="W164" s="20" t="n">
        <v>-141.834</v>
      </c>
      <c r="X164" s="20" t="n">
        <v>-137.78</v>
      </c>
    </row>
    <row r="165">
      <c r="A165" s="9" t="inlineStr">
        <is>
          <t>계</t>
        </is>
      </c>
      <c r="C165" s="12" t="n">
        <v>12518.33</v>
      </c>
      <c r="D165" s="12" t="n">
        <v>11142.892</v>
      </c>
      <c r="E165" s="12" t="n">
        <v>14194.35</v>
      </c>
      <c r="F165" s="12" t="n">
        <v>11184.626</v>
      </c>
      <c r="G165" s="12" t="n">
        <v>12318.724</v>
      </c>
      <c r="H165" s="12" t="n">
        <v>12477.03</v>
      </c>
      <c r="I165" s="12" t="n">
        <v>14644.324</v>
      </c>
      <c r="J165" s="12" t="n">
        <v>10469</v>
      </c>
      <c r="K165" s="12" t="n">
        <v>12402.097</v>
      </c>
      <c r="L165" s="12" t="n">
        <v>11954.12</v>
      </c>
      <c r="M165" s="12" t="n">
        <v>16555.415</v>
      </c>
      <c r="N165" s="12" t="n">
        <v>13334</v>
      </c>
      <c r="V165" s="12" t="n">
        <v>14194.35</v>
      </c>
      <c r="W165" s="12" t="n">
        <v>14644.324</v>
      </c>
      <c r="X165" s="12" t="n">
        <v>16555.415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부문 · 부문 이익(손실)</t>
        </is>
      </c>
      <c r="C167" s="20" t="n">
        <v>351.736</v>
      </c>
      <c r="D167" s="20" t="n">
        <v>-183.213</v>
      </c>
      <c r="E167" s="20" t="n">
        <v>464.872</v>
      </c>
      <c r="F167" s="20" t="n">
        <v>-86.81699999999999</v>
      </c>
      <c r="G167" s="20" t="n">
        <v>521.79</v>
      </c>
      <c r="H167" s="20" t="n">
        <v>299.378</v>
      </c>
      <c r="I167" s="20" t="n">
        <v>232.924</v>
      </c>
      <c r="J167" s="20" t="n">
        <v>177</v>
      </c>
      <c r="K167" s="20" t="n">
        <v>757.986</v>
      </c>
      <c r="L167" s="20" t="n">
        <v>245.039</v>
      </c>
      <c r="M167" s="20" t="n">
        <v>688.646</v>
      </c>
      <c r="N167" s="20" t="n">
        <v>530</v>
      </c>
      <c r="V167" s="20" t="n">
        <v>464.872</v>
      </c>
      <c r="W167" s="20" t="n">
        <v>232.924</v>
      </c>
      <c r="X167" s="20" t="n">
        <v>688.646</v>
      </c>
    </row>
    <row r="168">
      <c r="A168" s="43" t="inlineStr">
        <is>
          <t>OPM</t>
        </is>
      </c>
      <c r="B168" s="3" t="inlineStr">
        <is>
          <t>영업이익 ÷ 매출</t>
        </is>
      </c>
      <c r="C168" s="15">
        <f>IF(OR(C167="",C158=""),"",IF(C158&lt;=0,"",IFERROR(C167/C158,"")))</f>
        <v/>
      </c>
      <c r="D168" s="15">
        <f>IF(OR(D167="",D158=""),"",IF(D158&lt;=0,"",IFERROR(D167/D158,"")))</f>
        <v/>
      </c>
      <c r="E168" s="15">
        <f>IF(OR(E167="",E158=""),"",IF(E158&lt;=0,"",IFERROR(E167/E158,"")))</f>
        <v/>
      </c>
      <c r="F168" s="15">
        <f>IF(OR(F167="",F158=""),"",IF(F158&lt;=0,"",IFERROR(F167/F158,"")))</f>
        <v/>
      </c>
      <c r="G168" s="15">
        <f>IF(OR(G167="",G158=""),"",IF(G158&lt;=0,"",IFERROR(G167/G158,"")))</f>
        <v/>
      </c>
      <c r="H168" s="15">
        <f>IF(OR(H167="",H158=""),"",IF(H158&lt;=0,"",IFERROR(H167/H158,"")))</f>
        <v/>
      </c>
      <c r="I168" s="15">
        <f>IF(OR(I167="",I158=""),"",IF(I158&lt;=0,"",IFERROR(I167/I158,"")))</f>
        <v/>
      </c>
      <c r="J168" s="15">
        <f>IF(OR(J167="",J158=""),"",IF(J158&lt;=0,"",IFERROR(J167/J158,"")))</f>
        <v/>
      </c>
      <c r="K168" s="15">
        <f>IF(OR(K167="",K158=""),"",IF(K158&lt;=0,"",IFERROR(K167/K158,"")))</f>
        <v/>
      </c>
      <c r="L168" s="15">
        <f>IF(OR(L167="",L158=""),"",IF(L158&lt;=0,"",IFERROR(L167/L158,"")))</f>
        <v/>
      </c>
      <c r="M168" s="15">
        <f>IF(OR(M167="",M158=""),"",IF(M158&lt;=0,"",IFERROR(M167/M158,"")))</f>
        <v/>
      </c>
      <c r="N168" s="15">
        <f>IF(OR(N167="",N158=""),"",IF(N158&lt;=0,"",IFERROR(N167/N158,"")))</f>
        <v/>
      </c>
      <c r="V168" s="15">
        <f>IF(OR(V167="",V158=""),"",IF(V158&lt;=0,"",IFERROR(V167/V158,"")))</f>
        <v/>
      </c>
      <c r="W168" s="15">
        <f>IF(OR(W167="",W158=""),"",IF(W158&lt;=0,"",IFERROR(W167/W158,"")))</f>
        <v/>
      </c>
      <c r="X168" s="15">
        <f>IF(OR(X167="",X158=""),"",IF(X158&lt;=0,"",IFERROR(X167/X158,"")))</f>
        <v/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IF(OR(G167="",C167=""),"",IF(C167&lt;=0,"",IFERROR(G167/C167-1,"")))</f>
        <v/>
      </c>
      <c r="H169" s="15">
        <f>IF(OR(H167="",D167=""),"",IF(D167&lt;=0,"",IFERROR(H167/D167-1,"")))</f>
        <v/>
      </c>
      <c r="I169" s="15">
        <f>IF(OR(I167="",E167=""),"",IF(E167&lt;=0,"",IFERROR(I167/E167-1,"")))</f>
        <v/>
      </c>
      <c r="J169" s="15">
        <f>IF(OR(J167="",F167=""),"",IF(F167&lt;=0,"",IFERROR(J167/F167-1,"")))</f>
        <v/>
      </c>
      <c r="K169" s="15">
        <f>IF(OR(K167="",G167=""),"",IF(G167&lt;=0,"",IFERROR(K167/G167-1,"")))</f>
        <v/>
      </c>
      <c r="L169" s="15">
        <f>IF(OR(L167="",H167=""),"",IF(H167&lt;=0,"",IFERROR(L167/H167-1,"")))</f>
        <v/>
      </c>
      <c r="M169" s="15">
        <f>IF(OR(M167="",I167=""),"",IF(I167&lt;=0,"",IFERROR(M167/I167-1,"")))</f>
        <v/>
      </c>
      <c r="N169" s="15">
        <f>IF(OR(N167="",J167=""),"",IF(J167&lt;=0,"",IFERROR(N167/J167-1,"")))</f>
        <v/>
      </c>
      <c r="V169" s="15">
        <f>IF(OR(V167="",U167=""),"",IF(U167&lt;=0,"",IFERROR(V167/U167-1,"")))</f>
        <v/>
      </c>
      <c r="W169" s="15">
        <f>IF(OR(W167="",V167=""),"",IF(V167&lt;=0,"",IFERROR(W167/V167-1,"")))</f>
        <v/>
      </c>
      <c r="X169" s="15">
        <f>IF(OR(X167="",W167=""),"",IF(W167&lt;=0,"",IFERROR(X167/W167-1,"")))</f>
        <v/>
      </c>
    </row>
    <row r="170">
      <c r="A170" s="18" t="inlineStr">
        <is>
          <t>부문 · 부문 이익(손실)</t>
        </is>
      </c>
      <c r="C170" s="20" t="n">
        <v>83.911</v>
      </c>
      <c r="D170" s="20" t="n">
        <v>86.402</v>
      </c>
      <c r="E170" s="20" t="n">
        <v>503.908</v>
      </c>
      <c r="F170" s="20" t="n">
        <v>-188.763</v>
      </c>
      <c r="G170" s="20" t="n">
        <v>-101.263</v>
      </c>
      <c r="H170" s="20" t="n">
        <v>-115.966</v>
      </c>
      <c r="I170" s="20" t="n">
        <v>-193.605</v>
      </c>
      <c r="J170" s="20" t="n">
        <v>-157</v>
      </c>
      <c r="K170" s="20" t="n">
        <v>120.573</v>
      </c>
      <c r="L170" s="20" t="n">
        <v>117.548</v>
      </c>
      <c r="M170" s="20" t="n">
        <v>380.188</v>
      </c>
      <c r="N170" s="20" t="n">
        <v>-27</v>
      </c>
      <c r="V170" s="20" t="n">
        <v>503.908</v>
      </c>
      <c r="W170" s="20" t="n">
        <v>-193.605</v>
      </c>
      <c r="X170" s="20" t="n">
        <v>380.188</v>
      </c>
    </row>
    <row r="171">
      <c r="A171" s="43" t="inlineStr">
        <is>
          <t>OPM</t>
        </is>
      </c>
      <c r="B171" s="3" t="inlineStr">
        <is>
          <t>영업이익 ÷ 매출</t>
        </is>
      </c>
      <c r="C171" s="15">
        <f>IF(OR(C170="",C160=""),"",IF(C160&lt;=0,"",IFERROR(C170/C160,"")))</f>
        <v/>
      </c>
      <c r="D171" s="15">
        <f>IF(OR(D170="",D160=""),"",IF(D160&lt;=0,"",IFERROR(D170/D160,"")))</f>
        <v/>
      </c>
      <c r="E171" s="15">
        <f>IF(OR(E170="",E160=""),"",IF(E160&lt;=0,"",IFERROR(E170/E160,"")))</f>
        <v/>
      </c>
      <c r="F171" s="15">
        <f>IF(OR(F170="",F160=""),"",IF(F160&lt;=0,"",IFERROR(F170/F160,"")))</f>
        <v/>
      </c>
      <c r="G171" s="15">
        <f>IF(OR(G170="",G160=""),"",IF(G160&lt;=0,"",IFERROR(G170/G160,"")))</f>
        <v/>
      </c>
      <c r="H171" s="15">
        <f>IF(OR(H170="",H160=""),"",IF(H160&lt;=0,"",IFERROR(H170/H160,"")))</f>
        <v/>
      </c>
      <c r="I171" s="15">
        <f>IF(OR(I170="",I160=""),"",IF(I160&lt;=0,"",IFERROR(I170/I160,"")))</f>
        <v/>
      </c>
      <c r="J171" s="15">
        <f>IF(OR(J170="",J160=""),"",IF(J160&lt;=0,"",IFERROR(J170/J160,"")))</f>
        <v/>
      </c>
      <c r="K171" s="15">
        <f>IF(OR(K170="",K160=""),"",IF(K160&lt;=0,"",IFERROR(K170/K160,"")))</f>
        <v/>
      </c>
      <c r="L171" s="15">
        <f>IF(OR(L170="",L160=""),"",IF(L160&lt;=0,"",IFERROR(L170/L160,"")))</f>
        <v/>
      </c>
      <c r="M171" s="15">
        <f>IF(OR(M170="",M160=""),"",IF(M160&lt;=0,"",IFERROR(M170/M160,"")))</f>
        <v/>
      </c>
      <c r="N171" s="15">
        <f>IF(OR(N170="",N160=""),"",IF(N160&lt;=0,"",IFERROR(N170/N160,"")))</f>
        <v/>
      </c>
      <c r="V171" s="15">
        <f>IF(OR(V170="",V160=""),"",IF(V160&lt;=0,"",IFERROR(V170/V160,"")))</f>
        <v/>
      </c>
      <c r="W171" s="15">
        <f>IF(OR(W170="",W160=""),"",IF(W160&lt;=0,"",IFERROR(W170/W160,"")))</f>
        <v/>
      </c>
      <c r="X171" s="15">
        <f>IF(OR(X170="",X160=""),"",IF(X160&lt;=0,"",IFERROR(X170/X160,"")))</f>
        <v/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IF(OR(G170="",C170=""),"",IF(C170&lt;=0,"",IFERROR(G170/C170-1,"")))</f>
        <v/>
      </c>
      <c r="H172" s="15">
        <f>IF(OR(H170="",D170=""),"",IF(D170&lt;=0,"",IFERROR(H170/D170-1,"")))</f>
        <v/>
      </c>
      <c r="I172" s="15">
        <f>IF(OR(I170="",E170=""),"",IF(E170&lt;=0,"",IFERROR(I170/E170-1,"")))</f>
        <v/>
      </c>
      <c r="J172" s="15">
        <f>IF(OR(J170="",F170=""),"",IF(F170&lt;=0,"",IFERROR(J170/F170-1,"")))</f>
        <v/>
      </c>
      <c r="K172" s="15">
        <f>IF(OR(K170="",G170=""),"",IF(G170&lt;=0,"",IFERROR(K170/G170-1,"")))</f>
        <v/>
      </c>
      <c r="L172" s="15">
        <f>IF(OR(L170="",H170=""),"",IF(H170&lt;=0,"",IFERROR(L170/H170-1,"")))</f>
        <v/>
      </c>
      <c r="M172" s="15">
        <f>IF(OR(M170="",I170=""),"",IF(I170&lt;=0,"",IFERROR(M170/I170-1,"")))</f>
        <v/>
      </c>
      <c r="N172" s="15">
        <f>IF(OR(N170="",J170=""),"",IF(J170&lt;=0,"",IFERROR(N170/J170-1,"")))</f>
        <v/>
      </c>
      <c r="V172" s="15">
        <f>IF(OR(V170="",U170=""),"",IF(U170&lt;=0,"",IFERROR(V170/U170-1,"")))</f>
        <v/>
      </c>
      <c r="W172" s="15">
        <f>IF(OR(W170="",V170=""),"",IF(V170&lt;=0,"",IFERROR(W170/V170-1,"")))</f>
        <v/>
      </c>
      <c r="X172" s="15">
        <f>IF(OR(X170="",W170=""),"",IF(W170&lt;=0,"",IFERROR(X170/W170-1,"")))</f>
        <v/>
      </c>
    </row>
    <row r="173">
      <c r="A173" s="18" t="inlineStr">
        <is>
          <t>보고부문 합계 · 부문 이익(손실)</t>
        </is>
      </c>
      <c r="C173" s="20" t="n">
        <v>435.645</v>
      </c>
      <c r="D173" s="20" t="n">
        <v>-96.81</v>
      </c>
      <c r="E173" s="20" t="n">
        <v>968.7809999999999</v>
      </c>
      <c r="F173" s="20" t="n">
        <v>-275.58</v>
      </c>
      <c r="G173" s="20" t="n">
        <v>420.526</v>
      </c>
      <c r="H173" s="20" t="n">
        <v>183.412</v>
      </c>
      <c r="I173" s="20" t="n">
        <v>39.319</v>
      </c>
      <c r="J173" s="20" t="n">
        <v>20</v>
      </c>
      <c r="K173" s="20" t="n">
        <v>878.559</v>
      </c>
      <c r="L173" s="20" t="n">
        <v>362.587</v>
      </c>
      <c r="M173" s="20" t="n">
        <v>1068.835</v>
      </c>
      <c r="N173" s="20" t="n">
        <v>502</v>
      </c>
      <c r="V173" s="20" t="n">
        <v>968.7809999999999</v>
      </c>
      <c r="W173" s="20" t="n">
        <v>39.319</v>
      </c>
      <c r="X173" s="20" t="n">
        <v>1068.835</v>
      </c>
    </row>
    <row r="174">
      <c r="A174" s="43" t="inlineStr">
        <is>
          <t>OPM</t>
        </is>
      </c>
      <c r="B174" s="3" t="inlineStr">
        <is>
          <t>영업이익 ÷ 매출</t>
        </is>
      </c>
      <c r="C174" s="15">
        <f>IF(OR(C173="",C162=""),"",IF(C162&lt;=0,"",IFERROR(C173/C162,"")))</f>
        <v/>
      </c>
      <c r="D174" s="15">
        <f>IF(OR(D173="",D162=""),"",IF(D162&lt;=0,"",IFERROR(D173/D162,"")))</f>
        <v/>
      </c>
      <c r="E174" s="15">
        <f>IF(OR(E173="",E162=""),"",IF(E162&lt;=0,"",IFERROR(E173/E162,"")))</f>
        <v/>
      </c>
      <c r="F174" s="15">
        <f>IF(OR(F173="",F162=""),"",IF(F162&lt;=0,"",IFERROR(F173/F162,"")))</f>
        <v/>
      </c>
      <c r="G174" s="15">
        <f>IF(OR(G173="",G162=""),"",IF(G162&lt;=0,"",IFERROR(G173/G162,"")))</f>
        <v/>
      </c>
      <c r="H174" s="15">
        <f>IF(OR(H173="",H162=""),"",IF(H162&lt;=0,"",IFERROR(H173/H162,"")))</f>
        <v/>
      </c>
      <c r="I174" s="15">
        <f>IF(OR(I173="",I162=""),"",IF(I162&lt;=0,"",IFERROR(I173/I162,"")))</f>
        <v/>
      </c>
      <c r="J174" s="15">
        <f>IF(OR(J173="",J162=""),"",IF(J162&lt;=0,"",IFERROR(J173/J162,"")))</f>
        <v/>
      </c>
      <c r="K174" s="15">
        <f>IF(OR(K173="",K162=""),"",IF(K162&lt;=0,"",IFERROR(K173/K162,"")))</f>
        <v/>
      </c>
      <c r="L174" s="15">
        <f>IF(OR(L173="",L162=""),"",IF(L162&lt;=0,"",IFERROR(L173/L162,"")))</f>
        <v/>
      </c>
      <c r="M174" s="15">
        <f>IF(OR(M173="",M162=""),"",IF(M162&lt;=0,"",IFERROR(M173/M162,"")))</f>
        <v/>
      </c>
      <c r="N174" s="15">
        <f>IF(OR(N173="",N162=""),"",IF(N162&lt;=0,"",IFERROR(N173/N162,"")))</f>
        <v/>
      </c>
      <c r="V174" s="15">
        <f>IF(OR(V173="",V162=""),"",IF(V162&lt;=0,"",IFERROR(V173/V162,"")))</f>
        <v/>
      </c>
      <c r="W174" s="15">
        <f>IF(OR(W173="",W162=""),"",IF(W162&lt;=0,"",IFERROR(W173/W162,"")))</f>
        <v/>
      </c>
      <c r="X174" s="15">
        <f>IF(OR(X173="",X162=""),"",IF(X162&lt;=0,"",IFERROR(X173/X162,"")))</f>
        <v/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IF(OR(G173="",C173=""),"",IF(C173&lt;=0,"",IFERROR(G173/C173-1,"")))</f>
        <v/>
      </c>
      <c r="H175" s="15">
        <f>IF(OR(H173="",D173=""),"",IF(D173&lt;=0,"",IFERROR(H173/D173-1,"")))</f>
        <v/>
      </c>
      <c r="I175" s="15">
        <f>IF(OR(I173="",E173=""),"",IF(E173&lt;=0,"",IFERROR(I173/E173-1,"")))</f>
        <v/>
      </c>
      <c r="J175" s="15">
        <f>IF(OR(J173="",F173=""),"",IF(F173&lt;=0,"",IFERROR(J173/F173-1,"")))</f>
        <v/>
      </c>
      <c r="K175" s="15">
        <f>IF(OR(K173="",G173=""),"",IF(G173&lt;=0,"",IFERROR(K173/G173-1,"")))</f>
        <v/>
      </c>
      <c r="L175" s="15">
        <f>IF(OR(L173="",H173=""),"",IF(H173&lt;=0,"",IFERROR(L173/H173-1,"")))</f>
        <v/>
      </c>
      <c r="M175" s="15">
        <f>IF(OR(M173="",I173=""),"",IF(I173&lt;=0,"",IFERROR(M173/I173-1,"")))</f>
        <v/>
      </c>
      <c r="N175" s="15">
        <f>IF(OR(N173="",J173=""),"",IF(J173&lt;=0,"",IFERROR(N173/J173-1,"")))</f>
        <v/>
      </c>
      <c r="V175" s="15">
        <f>IF(OR(V173="",U173=""),"",IF(U173&lt;=0,"",IFERROR(V173/U173-1,"")))</f>
        <v/>
      </c>
      <c r="W175" s="15">
        <f>IF(OR(W173="",V173=""),"",IF(V173&lt;=0,"",IFERROR(W173/V173-1,"")))</f>
        <v/>
      </c>
      <c r="X175" s="15">
        <f>IF(OR(X173="",W173=""),"",IF(W173&lt;=0,"",IFERROR(X173/W173-1,"")))</f>
        <v/>
      </c>
    </row>
    <row r="176">
      <c r="A176" s="18" t="inlineStr">
        <is>
          <t>조정액 · 부문 이익(손실)</t>
        </is>
      </c>
      <c r="C176" s="20" t="n">
        <v>-4.948</v>
      </c>
      <c r="D176" s="20" t="n">
        <v>-3.77</v>
      </c>
      <c r="E176" s="20" t="n">
        <v>7.379</v>
      </c>
      <c r="F176" s="20" t="n">
        <v>0.161</v>
      </c>
      <c r="G176" s="20" t="n">
        <v>3.228</v>
      </c>
      <c r="H176" s="20" t="n">
        <v>-1.629</v>
      </c>
      <c r="I176" s="20" t="n">
        <v>4.207</v>
      </c>
      <c r="J176" s="20" t="n">
        <v>1</v>
      </c>
      <c r="K176" s="20" t="n">
        <v>-8.362</v>
      </c>
      <c r="L176" s="20" t="n">
        <v>7.633</v>
      </c>
      <c r="M176" s="20" t="n">
        <v>1.862</v>
      </c>
      <c r="N176" s="20" t="n">
        <v>-1</v>
      </c>
      <c r="V176" s="20" t="n">
        <v>7.379</v>
      </c>
      <c r="W176" s="20" t="n">
        <v>4.207</v>
      </c>
      <c r="X176" s="20" t="n">
        <v>1.862</v>
      </c>
    </row>
    <row r="177">
      <c r="A177" s="9" t="inlineStr">
        <is>
          <t>부문 이익(손실)</t>
        </is>
      </c>
      <c r="C177" s="12" t="n">
        <v>430.697</v>
      </c>
      <c r="D177" s="12" t="n">
        <v>-100.58</v>
      </c>
      <c r="E177" s="12" t="n">
        <v>976.159</v>
      </c>
      <c r="F177" s="12" t="n">
        <v>-275.419</v>
      </c>
      <c r="G177" s="12" t="n">
        <v>423.755</v>
      </c>
      <c r="H177" s="12" t="n">
        <v>181.782</v>
      </c>
      <c r="I177" s="12" t="n">
        <v>43.527</v>
      </c>
      <c r="J177" s="12" t="n">
        <v>21</v>
      </c>
      <c r="K177" s="12" t="n">
        <v>870.196</v>
      </c>
      <c r="L177" s="12" t="n">
        <v>370.222</v>
      </c>
      <c r="M177" s="12" t="n">
        <v>1070.697</v>
      </c>
      <c r="N177" s="12" t="n">
        <v>501</v>
      </c>
      <c r="V177" s="12" t="n">
        <v>976.159</v>
      </c>
      <c r="W177" s="12" t="n">
        <v>43.527</v>
      </c>
      <c r="X177" s="12" t="n">
        <v>1070.697</v>
      </c>
    </row>
    <row r="178">
      <c r="A178" s="43" t="inlineStr">
        <is>
          <t>OPM</t>
        </is>
      </c>
      <c r="B178" s="3" t="inlineStr">
        <is>
          <t>영업이익 ÷ 매출</t>
        </is>
      </c>
      <c r="C178" s="15">
        <f>IF(OR(C177="",C151=""),"",IF(C151&lt;=0,"",IFERROR(C177/C151,"")))</f>
        <v/>
      </c>
      <c r="D178" s="15">
        <f>IF(OR(D177="",D151=""),"",IF(D151&lt;=0,"",IFERROR(D177/D151,"")))</f>
        <v/>
      </c>
      <c r="E178" s="15">
        <f>IF(OR(E177="",E151=""),"",IF(E151&lt;=0,"",IFERROR(E177/E151,"")))</f>
        <v/>
      </c>
      <c r="F178" s="15">
        <f>IF(OR(F177="",F151=""),"",IF(F151&lt;=0,"",IFERROR(F177/F151,"")))</f>
        <v/>
      </c>
      <c r="G178" s="15">
        <f>IF(OR(G177="",G151=""),"",IF(G151&lt;=0,"",IFERROR(G177/G151,"")))</f>
        <v/>
      </c>
      <c r="H178" s="15">
        <f>IF(OR(H177="",H151=""),"",IF(H151&lt;=0,"",IFERROR(H177/H151,"")))</f>
        <v/>
      </c>
      <c r="I178" s="15">
        <f>IF(OR(I177="",I151=""),"",IF(I151&lt;=0,"",IFERROR(I177/I151,"")))</f>
        <v/>
      </c>
      <c r="J178" s="15">
        <f>IF(OR(J177="",J151=""),"",IF(J151&lt;=0,"",IFERROR(J177/J151,"")))</f>
        <v/>
      </c>
      <c r="K178" s="15">
        <f>IF(OR(K177="",K151=""),"",IF(K151&lt;=0,"",IFERROR(K177/K151,"")))</f>
        <v/>
      </c>
      <c r="L178" s="15">
        <f>IF(OR(L177="",L151=""),"",IF(L151&lt;=0,"",IFERROR(L177/L151,"")))</f>
        <v/>
      </c>
      <c r="M178" s="15">
        <f>IF(OR(M177="",M151=""),"",IF(M151&lt;=0,"",IFERROR(M177/M151,"")))</f>
        <v/>
      </c>
      <c r="N178" s="15">
        <f>IF(OR(N177="",N151=""),"",IF(N151&lt;=0,"",IFERROR(N177/N151,"")))</f>
        <v/>
      </c>
      <c r="V178" s="15">
        <f>IF(OR(V177="",V151=""),"",IF(V151&lt;=0,"",IFERROR(V177/V151,"")))</f>
        <v/>
      </c>
      <c r="W178" s="15">
        <f>IF(OR(W177="",W151=""),"",IF(W151&lt;=0,"",IFERROR(W177/W151,"")))</f>
        <v/>
      </c>
      <c r="X178" s="15">
        <f>IF(OR(X177="",X151=""),"",IF(X151&lt;=0,"",IFERROR(X177/X151,"")))</f>
        <v/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IF(OR(G177="",C177=""),"",IF(C177&lt;=0,"",IFERROR(G177/C177-1,"")))</f>
        <v/>
      </c>
      <c r="H179" s="15">
        <f>IF(OR(H177="",D177=""),"",IF(D177&lt;=0,"",IFERROR(H177/D177-1,"")))</f>
        <v/>
      </c>
      <c r="I179" s="15">
        <f>IF(OR(I177="",E177=""),"",IF(E177&lt;=0,"",IFERROR(I177/E177-1,"")))</f>
        <v/>
      </c>
      <c r="J179" s="15">
        <f>IF(OR(J177="",F177=""),"",IF(F177&lt;=0,"",IFERROR(J177/F177-1,"")))</f>
        <v/>
      </c>
      <c r="K179" s="15">
        <f>IF(OR(K177="",G177=""),"",IF(G177&lt;=0,"",IFERROR(K177/G177-1,"")))</f>
        <v/>
      </c>
      <c r="L179" s="15">
        <f>IF(OR(L177="",H177=""),"",IF(H177&lt;=0,"",IFERROR(L177/H177-1,"")))</f>
        <v/>
      </c>
      <c r="M179" s="15">
        <f>IF(OR(M177="",I177=""),"",IF(I177&lt;=0,"",IFERROR(M177/I177-1,"")))</f>
        <v/>
      </c>
      <c r="N179" s="15">
        <f>IF(OR(N177="",J177=""),"",IF(J177&lt;=0,"",IFERROR(N177/J177-1,"")))</f>
        <v/>
      </c>
      <c r="V179" s="15">
        <f>IF(OR(V177="",U177=""),"",IF(U177&lt;=0,"",IFERROR(V177/U177-1,"")))</f>
        <v/>
      </c>
      <c r="W179" s="15">
        <f>IF(OR(W177="",V177=""),"",IF(V177&lt;=0,"",IFERROR(W177/V177-1,"")))</f>
        <v/>
      </c>
      <c r="X179" s="15">
        <f>IF(OR(X177="",W177=""),"",IF(W177&lt;=0,"",IFERROR(X177/W177-1,"")))</f>
        <v/>
      </c>
    </row>
    <row r="181">
      <c r="A181" s="16" t="inlineStr">
        <is>
          <t>현금흐름표 · 전 항목</t>
        </is>
      </c>
      <c r="B181" s="42" t="inlineStr">
        <is>
          <t>분기 = 결산기 첫날부터 누계(공시 그대로)</t>
        </is>
      </c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</row>
    <row r="182">
      <c r="A182" s="5" t="inlineStr">
        <is>
          <t>항목</t>
        </is>
      </c>
      <c r="B182" s="5" t="inlineStr">
        <is>
          <t>참고</t>
        </is>
      </c>
      <c r="C182" s="5" t="inlineStr">
        <is>
          <t>2024.2Q</t>
        </is>
      </c>
      <c r="D182" s="5" t="inlineStr">
        <is>
          <t>2024.3Q</t>
        </is>
      </c>
      <c r="E182" s="5" t="inlineStr">
        <is>
          <t>2024.4Q</t>
        </is>
      </c>
      <c r="F182" s="5" t="inlineStr">
        <is>
          <t>2025.1Q</t>
        </is>
      </c>
      <c r="G182" s="5" t="inlineStr">
        <is>
          <t>2025.2Q</t>
        </is>
      </c>
      <c r="H182" s="5" t="inlineStr">
        <is>
          <t>2025.3Q</t>
        </is>
      </c>
      <c r="I182" s="5" t="inlineStr">
        <is>
          <t>2025.4Q</t>
        </is>
      </c>
      <c r="J182" s="5" t="inlineStr">
        <is>
          <t>2026.1Q</t>
        </is>
      </c>
      <c r="K182" s="5" t="inlineStr">
        <is>
          <t>2026.2Q</t>
        </is>
      </c>
      <c r="L182" s="5" t="inlineStr">
        <is>
          <t>2026.3Q</t>
        </is>
      </c>
      <c r="M182" s="5" t="inlineStr">
        <is>
          <t>2026.4Q</t>
        </is>
      </c>
      <c r="N182" s="5" t="inlineStr">
        <is>
          <t>2027.1Q</t>
        </is>
      </c>
      <c r="O182" s="5" t="inlineStr">
        <is>
          <t>2017</t>
        </is>
      </c>
      <c r="P182" s="5" t="inlineStr">
        <is>
          <t>2018</t>
        </is>
      </c>
      <c r="Q182" s="5" t="inlineStr">
        <is>
          <t>2019</t>
        </is>
      </c>
      <c r="R182" s="5" t="inlineStr">
        <is>
          <t>2020</t>
        </is>
      </c>
      <c r="S182" s="5" t="inlineStr">
        <is>
          <t>2021</t>
        </is>
      </c>
      <c r="T182" s="5" t="inlineStr">
        <is>
          <t>2022</t>
        </is>
      </c>
      <c r="U182" s="5" t="inlineStr">
        <is>
          <t>2023</t>
        </is>
      </c>
      <c r="V182" s="5" t="inlineStr">
        <is>
          <t>2024</t>
        </is>
      </c>
      <c r="W182" s="5" t="inlineStr">
        <is>
          <t>2025</t>
        </is>
      </c>
      <c r="X182" s="5" t="inlineStr">
        <is>
          <t>2026</t>
        </is>
      </c>
      <c r="Y182" s="5" t="inlineStr">
        <is>
          <t>2027(MW)</t>
        </is>
      </c>
      <c r="Z182" s="5" t="inlineStr">
        <is>
          <t>2028(MW)</t>
        </is>
      </c>
      <c r="AA182" s="5" t="inlineStr">
        <is>
          <t>2029(MW)</t>
        </is>
      </c>
      <c r="AB182" s="5" t="inlineStr">
        <is>
          <t>2030(MW)</t>
        </is>
      </c>
      <c r="AC182" s="5" t="inlineStr">
        <is>
          <t>2031(MW)</t>
        </is>
      </c>
    </row>
    <row r="183">
      <c r="A183" s="9" t="inlineStr">
        <is>
          <t>법인세차감전 중간순이익(손실)</t>
        </is>
      </c>
      <c r="C183" s="12" t="n">
        <v>472.22</v>
      </c>
      <c r="E183" s="12" t="n">
        <v>1402.489</v>
      </c>
      <c r="G183" s="12" t="n">
        <v>-6.576</v>
      </c>
      <c r="I183" s="12" t="n">
        <v>-199.079</v>
      </c>
      <c r="K183" s="12" t="n">
        <v>798.393</v>
      </c>
      <c r="M183" s="12" t="n">
        <v>3199.601</v>
      </c>
      <c r="O183" s="12" t="n">
        <v>239.208</v>
      </c>
      <c r="P183" s="12" t="n">
        <v>986.362</v>
      </c>
      <c r="Q183" s="12" t="n">
        <v>721.9690000000001</v>
      </c>
      <c r="R183" s="12" t="n">
        <v>1588.069</v>
      </c>
      <c r="S183" s="12" t="n">
        <v>2671.743</v>
      </c>
      <c r="T183" s="12" t="n">
        <v>969.9349999999999</v>
      </c>
      <c r="U183" s="12" t="n">
        <v>-770.404</v>
      </c>
      <c r="V183" s="12" t="n">
        <v>1402.489</v>
      </c>
      <c r="W183" s="12" t="n">
        <v>-199.079</v>
      </c>
      <c r="X183" s="12" t="n">
        <v>3199.601</v>
      </c>
    </row>
    <row r="184">
      <c r="A184" s="18" t="inlineStr">
        <is>
          <t>감가상각비</t>
        </is>
      </c>
      <c r="C184" s="20" t="n">
        <v>448.073</v>
      </c>
      <c r="E184" s="20" t="n">
        <v>916.699</v>
      </c>
      <c r="G184" s="20" t="n">
        <v>480.047</v>
      </c>
      <c r="I184" s="20" t="n">
        <v>986.461</v>
      </c>
      <c r="K184" s="20" t="n">
        <v>465.756</v>
      </c>
      <c r="M184" s="20" t="n">
        <v>931.3049999999999</v>
      </c>
      <c r="O184" s="20" t="n">
        <v>616.159</v>
      </c>
      <c r="P184" s="20" t="n">
        <v>395.248</v>
      </c>
      <c r="Q184" s="20" t="n">
        <v>333.286</v>
      </c>
      <c r="R184" s="20" t="n">
        <v>429.721</v>
      </c>
      <c r="S184" s="20" t="n">
        <v>464.608</v>
      </c>
      <c r="T184" s="20" t="n">
        <v>713.279</v>
      </c>
      <c r="U184" s="20" t="n">
        <v>899.273</v>
      </c>
      <c r="V184" s="20" t="n">
        <v>916.699</v>
      </c>
      <c r="W184" s="20" t="n">
        <v>986.461</v>
      </c>
      <c r="X184" s="20" t="n">
        <v>931.3049999999999</v>
      </c>
    </row>
    <row r="185">
      <c r="A185" s="18" t="inlineStr">
        <is>
          <t>신주예약권 환입이익</t>
        </is>
      </c>
      <c r="O185" s="20" t="n">
        <v>-13.64</v>
      </c>
      <c r="P185" s="20" t="n">
        <v>0</v>
      </c>
    </row>
    <row r="186">
      <c r="A186" s="18" t="inlineStr">
        <is>
          <t>손상차손</t>
        </is>
      </c>
      <c r="E186" s="20" t="n">
        <v>71.143</v>
      </c>
      <c r="G186" s="20" t="n">
        <v>0</v>
      </c>
      <c r="I186" s="20" t="n">
        <v>201.146</v>
      </c>
      <c r="K186" s="20" t="n">
        <v>74.764</v>
      </c>
      <c r="M186" s="20" t="n">
        <v>112.664</v>
      </c>
      <c r="O186" s="20" t="n">
        <v>113.642</v>
      </c>
      <c r="P186" s="20" t="n">
        <v>227.926</v>
      </c>
      <c r="Q186" s="20" t="n">
        <v>374.453</v>
      </c>
      <c r="R186" s="20" t="n">
        <v>0</v>
      </c>
      <c r="T186" s="20" t="n">
        <v>0</v>
      </c>
      <c r="U186" s="20" t="n">
        <v>483.278</v>
      </c>
      <c r="V186" s="20" t="n">
        <v>71.143</v>
      </c>
      <c r="W186" s="20" t="n">
        <v>201.146</v>
      </c>
      <c r="X186" s="20" t="n">
        <v>112.664</v>
      </c>
    </row>
    <row r="187">
      <c r="A187" s="18" t="inlineStr">
        <is>
          <t>특별퇴직금</t>
        </is>
      </c>
      <c r="O187" s="20" t="n">
        <v>39.092</v>
      </c>
      <c r="P187" s="20" t="n">
        <v>0</v>
      </c>
    </row>
    <row r="188">
      <c r="A188" s="18" t="inlineStr">
        <is>
          <t>영업권 상각</t>
        </is>
      </c>
      <c r="C188" s="20" t="n">
        <v>265.367</v>
      </c>
      <c r="E188" s="20" t="n">
        <v>523.1130000000001</v>
      </c>
      <c r="G188" s="20" t="n">
        <v>229.592</v>
      </c>
      <c r="I188" s="20" t="n">
        <v>466.459</v>
      </c>
      <c r="K188" s="20" t="n">
        <v>207.379</v>
      </c>
      <c r="M188" s="20" t="n">
        <v>370.678</v>
      </c>
      <c r="P188" s="20" t="n">
        <v>0</v>
      </c>
      <c r="Q188" s="20" t="n">
        <v>64.324</v>
      </c>
      <c r="R188" s="20" t="n">
        <v>212.351</v>
      </c>
      <c r="S188" s="20" t="n">
        <v>312.417</v>
      </c>
      <c r="T188" s="20" t="n">
        <v>604.65</v>
      </c>
      <c r="U188" s="20" t="n">
        <v>728.771</v>
      </c>
      <c r="V188" s="20" t="n">
        <v>523.1130000000001</v>
      </c>
      <c r="W188" s="20" t="n">
        <v>466.459</v>
      </c>
      <c r="X188" s="20" t="n">
        <v>370.678</v>
      </c>
    </row>
    <row r="189">
      <c r="A189" s="18" t="inlineStr">
        <is>
          <t>부의 영업권 발생이익</t>
        </is>
      </c>
      <c r="E189" s="20" t="n">
        <v>0</v>
      </c>
      <c r="T189" s="20" t="n">
        <v>0</v>
      </c>
      <c r="U189" s="20" t="n">
        <v>-116.692</v>
      </c>
      <c r="V189" s="20" t="n">
        <v>0</v>
      </c>
    </row>
    <row r="190">
      <c r="A190" s="18" t="inlineStr">
        <is>
          <t>상여충당금 증감</t>
        </is>
      </c>
      <c r="C190" s="20" t="n">
        <v>-20.118</v>
      </c>
      <c r="E190" s="20" t="n">
        <v>11.613</v>
      </c>
      <c r="G190" s="20" t="n">
        <v>-6.39</v>
      </c>
      <c r="I190" s="20" t="n">
        <v>33.932</v>
      </c>
      <c r="K190" s="20" t="n">
        <v>51.767</v>
      </c>
      <c r="M190" s="20" t="n">
        <v>85.303</v>
      </c>
      <c r="O190" s="20" t="n">
        <v>107.695</v>
      </c>
      <c r="P190" s="20" t="n">
        <v>69.038</v>
      </c>
      <c r="Q190" s="20" t="n">
        <v>-20.133</v>
      </c>
      <c r="R190" s="20" t="n">
        <v>39.956</v>
      </c>
      <c r="S190" s="20" t="n">
        <v>-81.30500000000001</v>
      </c>
      <c r="T190" s="20" t="n">
        <v>-43.599</v>
      </c>
      <c r="U190" s="20" t="n">
        <v>11.823</v>
      </c>
      <c r="V190" s="20" t="n">
        <v>11.613</v>
      </c>
      <c r="W190" s="20" t="n">
        <v>33.932</v>
      </c>
      <c r="X190" s="20" t="n">
        <v>85.303</v>
      </c>
    </row>
    <row r="191">
      <c r="A191" s="18" t="inlineStr">
        <is>
          <t>퇴직급여부채 증감</t>
        </is>
      </c>
      <c r="C191" s="20" t="n">
        <v>2.353</v>
      </c>
      <c r="E191" s="20" t="n">
        <v>-44.103</v>
      </c>
      <c r="G191" s="20" t="n">
        <v>-0.679</v>
      </c>
      <c r="I191" s="20" t="n">
        <v>-6.225</v>
      </c>
      <c r="K191" s="20" t="n">
        <v>-4.755</v>
      </c>
      <c r="M191" s="20" t="n">
        <v>-2.074</v>
      </c>
      <c r="O191" s="20" t="n">
        <v>-255.222</v>
      </c>
      <c r="P191" s="20" t="n">
        <v>-168.213</v>
      </c>
      <c r="Q191" s="20" t="n">
        <v>-121.404</v>
      </c>
      <c r="R191" s="20" t="n">
        <v>-105.508</v>
      </c>
      <c r="S191" s="20" t="n">
        <v>-88.2</v>
      </c>
      <c r="T191" s="20" t="n">
        <v>-212.614</v>
      </c>
      <c r="U191" s="20" t="n">
        <v>-84.126</v>
      </c>
      <c r="V191" s="20" t="n">
        <v>-44.103</v>
      </c>
      <c r="W191" s="20" t="n">
        <v>-6.225</v>
      </c>
      <c r="X191" s="20" t="n">
        <v>-2.074</v>
      </c>
    </row>
    <row r="192">
      <c r="A192" s="18" t="inlineStr">
        <is>
          <t>대손충당금 증감</t>
        </is>
      </c>
      <c r="C192" s="20" t="n">
        <v>-16.715</v>
      </c>
      <c r="E192" s="20" t="n">
        <v>-15.894</v>
      </c>
      <c r="G192" s="20" t="n">
        <v>-11.554</v>
      </c>
      <c r="I192" s="20" t="n">
        <v>65.053</v>
      </c>
      <c r="K192" s="20" t="n">
        <v>-18.307</v>
      </c>
      <c r="M192" s="20" t="n">
        <v>-79.911</v>
      </c>
      <c r="O192" s="20" t="n">
        <v>25.135</v>
      </c>
      <c r="P192" s="20" t="n">
        <v>5.295</v>
      </c>
      <c r="Q192" s="20" t="n">
        <v>28.511</v>
      </c>
      <c r="R192" s="20" t="n">
        <v>-9.696</v>
      </c>
      <c r="S192" s="20" t="n">
        <v>-84.983</v>
      </c>
      <c r="T192" s="20" t="n">
        <v>48.405</v>
      </c>
      <c r="U192" s="20" t="n">
        <v>17.902</v>
      </c>
      <c r="V192" s="20" t="n">
        <v>-15.894</v>
      </c>
      <c r="W192" s="20" t="n">
        <v>65.053</v>
      </c>
      <c r="X192" s="20" t="n">
        <v>-79.911</v>
      </c>
    </row>
    <row r="193">
      <c r="A193" s="18" t="inlineStr">
        <is>
          <t>이자·배당금 수익</t>
        </is>
      </c>
      <c r="C193" s="20" t="n">
        <v>-3.695</v>
      </c>
      <c r="E193" s="20" t="n">
        <v>-31.554</v>
      </c>
      <c r="G193" s="20" t="n">
        <v>-16.326</v>
      </c>
      <c r="I193" s="20" t="n">
        <v>-22.733</v>
      </c>
      <c r="K193" s="20" t="n">
        <v>-64.688</v>
      </c>
      <c r="M193" s="20" t="n">
        <v>-45.454</v>
      </c>
      <c r="O193" s="20" t="n">
        <v>-8.013999999999999</v>
      </c>
      <c r="P193" s="20" t="n">
        <v>-6.568</v>
      </c>
      <c r="Q193" s="20" t="n">
        <v>-9.568</v>
      </c>
      <c r="R193" s="20" t="n">
        <v>-4.783</v>
      </c>
      <c r="S193" s="20" t="n">
        <v>-24.706</v>
      </c>
      <c r="T193" s="20" t="n">
        <v>-40.32</v>
      </c>
      <c r="U193" s="20" t="n">
        <v>-67.672</v>
      </c>
      <c r="V193" s="20" t="n">
        <v>-31.554</v>
      </c>
      <c r="W193" s="20" t="n">
        <v>-22.733</v>
      </c>
      <c r="X193" s="20" t="n">
        <v>-45.454</v>
      </c>
    </row>
    <row r="194">
      <c r="A194" s="18" t="inlineStr">
        <is>
          <t>보조금 수입</t>
        </is>
      </c>
      <c r="C194" s="20" t="n">
        <v>-9.692</v>
      </c>
      <c r="E194" s="20" t="n">
        <v>-17.737</v>
      </c>
      <c r="G194" s="20" t="n">
        <v>-7.352</v>
      </c>
      <c r="I194" s="20" t="n">
        <v>-18.951</v>
      </c>
      <c r="K194" s="20" t="n">
        <v>-8.702999999999999</v>
      </c>
      <c r="M194" s="20" t="n">
        <v>-16.274</v>
      </c>
      <c r="R194" s="20" t="n">
        <v>0</v>
      </c>
      <c r="S194" s="20" t="n">
        <v>-33.243</v>
      </c>
      <c r="T194" s="20" t="n">
        <v>-59.737</v>
      </c>
      <c r="U194" s="20" t="n">
        <v>-39.982</v>
      </c>
      <c r="V194" s="20" t="n">
        <v>-17.737</v>
      </c>
      <c r="W194" s="20" t="n">
        <v>-18.951</v>
      </c>
      <c r="X194" s="20" t="n">
        <v>-16.274</v>
      </c>
    </row>
    <row r="195">
      <c r="A195" s="18" t="inlineStr">
        <is>
          <t>이전 보상금</t>
        </is>
      </c>
      <c r="R195" s="20" t="n">
        <v>0</v>
      </c>
      <c r="S195" s="20" t="n">
        <v>-89.19499999999999</v>
      </c>
      <c r="T195" s="20" t="n">
        <v>0</v>
      </c>
    </row>
    <row r="196">
      <c r="A196" s="18" t="inlineStr">
        <is>
          <t>보험금 수익</t>
        </is>
      </c>
      <c r="C196" s="20" t="n">
        <v>-7.837</v>
      </c>
      <c r="E196" s="20" t="n">
        <v>-81.75700000000001</v>
      </c>
      <c r="G196" s="20" t="n">
        <v>-32.561</v>
      </c>
      <c r="I196" s="20" t="n">
        <v>-84.402</v>
      </c>
      <c r="K196" s="20" t="n">
        <v>-54.628</v>
      </c>
      <c r="M196" s="20" t="n">
        <v>-89.21899999999999</v>
      </c>
      <c r="U196" s="20" t="n">
        <v>-16.765</v>
      </c>
      <c r="V196" s="20" t="n">
        <v>-81.75700000000001</v>
      </c>
      <c r="W196" s="20" t="n">
        <v>-84.402</v>
      </c>
      <c r="X196" s="20" t="n">
        <v>-89.21899999999999</v>
      </c>
    </row>
    <row r="197">
      <c r="A197" s="18" t="inlineStr">
        <is>
          <t>관계회사 청산손익</t>
        </is>
      </c>
      <c r="C197" s="20" t="n">
        <v>0</v>
      </c>
      <c r="E197" s="20" t="n">
        <v>-40.107</v>
      </c>
      <c r="G197" s="20" t="n">
        <v>0</v>
      </c>
      <c r="I197" s="20" t="n">
        <v>0</v>
      </c>
      <c r="K197" s="20" t="n">
        <v>60.64</v>
      </c>
      <c r="M197" s="20" t="n">
        <v>16.652</v>
      </c>
      <c r="T197" s="20" t="n">
        <v>0</v>
      </c>
      <c r="U197" s="20" t="n">
        <v>-7.874</v>
      </c>
      <c r="V197" s="20" t="n">
        <v>-40.107</v>
      </c>
      <c r="W197" s="20" t="n">
        <v>0</v>
      </c>
      <c r="X197" s="20" t="n">
        <v>16.652</v>
      </c>
    </row>
    <row r="198">
      <c r="A198" s="18" t="inlineStr">
        <is>
          <t>이자비용</t>
        </is>
      </c>
      <c r="C198" s="20" t="n">
        <v>42.21</v>
      </c>
      <c r="E198" s="20" t="n">
        <v>106.47</v>
      </c>
      <c r="G198" s="20" t="n">
        <v>68.47</v>
      </c>
      <c r="I198" s="20" t="n">
        <v>161.513</v>
      </c>
      <c r="K198" s="20" t="n">
        <v>110.228</v>
      </c>
      <c r="M198" s="20" t="n">
        <v>201.41</v>
      </c>
      <c r="O198" s="20" t="n">
        <v>56.05</v>
      </c>
      <c r="P198" s="20" t="n">
        <v>45.357</v>
      </c>
      <c r="Q198" s="20" t="n">
        <v>42.302</v>
      </c>
      <c r="R198" s="20" t="n">
        <v>40.777</v>
      </c>
      <c r="S198" s="20" t="n">
        <v>50.25</v>
      </c>
      <c r="T198" s="20" t="n">
        <v>85.545</v>
      </c>
      <c r="U198" s="20" t="n">
        <v>76.23099999999999</v>
      </c>
      <c r="V198" s="20" t="n">
        <v>106.47</v>
      </c>
      <c r="W198" s="20" t="n">
        <v>161.513</v>
      </c>
      <c r="X198" s="20" t="n">
        <v>201.41</v>
      </c>
    </row>
    <row r="199">
      <c r="A199" s="18" t="inlineStr">
        <is>
          <t>외환차손익</t>
        </is>
      </c>
      <c r="C199" s="20" t="n">
        <v>-275.701</v>
      </c>
      <c r="E199" s="20" t="n">
        <v>-304.442</v>
      </c>
      <c r="G199" s="20" t="n">
        <v>174.374</v>
      </c>
      <c r="I199" s="20" t="n">
        <v>39.096</v>
      </c>
      <c r="K199" s="20" t="n">
        <v>19.958</v>
      </c>
      <c r="M199" s="20" t="n">
        <v>-262.578</v>
      </c>
      <c r="U199" s="20" t="n">
        <v>-60.286</v>
      </c>
      <c r="V199" s="20" t="n">
        <v>-304.442</v>
      </c>
      <c r="W199" s="20" t="n">
        <v>39.096</v>
      </c>
      <c r="X199" s="20" t="n">
        <v>-262.578</v>
      </c>
    </row>
    <row r="200">
      <c r="A200" s="18" t="inlineStr">
        <is>
          <t>신디케이트론 수수료</t>
        </is>
      </c>
      <c r="E200" s="20" t="n">
        <v>1</v>
      </c>
      <c r="I200" s="20" t="n">
        <v>1</v>
      </c>
      <c r="R200" s="20" t="n">
        <v>0</v>
      </c>
      <c r="S200" s="20" t="n">
        <v>37</v>
      </c>
      <c r="T200" s="20" t="n">
        <v>1</v>
      </c>
      <c r="U200" s="20" t="n">
        <v>1</v>
      </c>
      <c r="V200" s="20" t="n">
        <v>1</v>
      </c>
      <c r="W200" s="20" t="n">
        <v>1</v>
      </c>
    </row>
    <row r="201">
      <c r="A201" s="18" t="inlineStr">
        <is>
          <t>지급수수료</t>
        </is>
      </c>
      <c r="E201" s="20" t="n">
        <v>5.25</v>
      </c>
      <c r="I201" s="20" t="n">
        <v>0</v>
      </c>
      <c r="U201" s="20" t="n">
        <v>0</v>
      </c>
      <c r="V201" s="20" t="n">
        <v>5.25</v>
      </c>
      <c r="W201" s="20" t="n">
        <v>0</v>
      </c>
    </row>
    <row r="202">
      <c r="A202" s="18" t="inlineStr">
        <is>
          <t>투자유가증권 매각손익</t>
        </is>
      </c>
      <c r="C202" s="20" t="n">
        <v>0</v>
      </c>
      <c r="E202" s="20" t="n">
        <v>0</v>
      </c>
      <c r="I202" s="20" t="n">
        <v>-0.706</v>
      </c>
      <c r="O202" s="20" t="n">
        <v>-0.396</v>
      </c>
      <c r="P202" s="20" t="n">
        <v>-77.80500000000001</v>
      </c>
      <c r="Q202" s="20" t="n">
        <v>-0.177</v>
      </c>
      <c r="R202" s="20" t="n">
        <v>-0.05</v>
      </c>
      <c r="S202" s="20" t="n">
        <v>-0.026</v>
      </c>
      <c r="T202" s="20" t="n">
        <v>-5.587</v>
      </c>
      <c r="U202" s="20" t="n">
        <v>-29.792</v>
      </c>
      <c r="V202" s="20" t="n">
        <v>0</v>
      </c>
      <c r="W202" s="20" t="n">
        <v>-0.706</v>
      </c>
    </row>
    <row r="203">
      <c r="A203" s="18" t="inlineStr">
        <is>
          <t>투자유가증권 평가손익</t>
        </is>
      </c>
      <c r="P203" s="20" t="n">
        <v>0</v>
      </c>
      <c r="Q203" s="20" t="n">
        <v>4.662</v>
      </c>
      <c r="R203" s="20" t="n">
        <v>0</v>
      </c>
    </row>
    <row r="204">
      <c r="A204" s="18" t="inlineStr">
        <is>
          <t>고정자산 제각손실</t>
        </is>
      </c>
      <c r="C204" s="20" t="n">
        <v>7.08</v>
      </c>
      <c r="E204" s="20" t="n">
        <v>11.481</v>
      </c>
      <c r="G204" s="20" t="n">
        <v>1.124</v>
      </c>
      <c r="I204" s="20" t="n">
        <v>4.661</v>
      </c>
      <c r="K204" s="20" t="n">
        <v>10.346</v>
      </c>
      <c r="O204" s="20" t="n">
        <v>0.949</v>
      </c>
      <c r="P204" s="20" t="n">
        <v>12.19</v>
      </c>
      <c r="Q204" s="20" t="n">
        <v>5.002</v>
      </c>
      <c r="R204" s="20" t="n">
        <v>10.215</v>
      </c>
      <c r="S204" s="20" t="n">
        <v>6.81</v>
      </c>
      <c r="T204" s="20" t="n">
        <v>9.464</v>
      </c>
      <c r="U204" s="20" t="n">
        <v>14.667</v>
      </c>
      <c r="V204" s="20" t="n">
        <v>11.481</v>
      </c>
      <c r="W204" s="20" t="n">
        <v>4.661</v>
      </c>
    </row>
    <row r="205">
      <c r="A205" s="18" t="inlineStr">
        <is>
          <t>고정자산 매각손익</t>
        </is>
      </c>
      <c r="C205" s="20" t="n">
        <v>-0.623</v>
      </c>
      <c r="E205" s="20" t="n">
        <v>-1.543</v>
      </c>
      <c r="G205" s="20" t="n">
        <v>-2.418</v>
      </c>
      <c r="I205" s="20" t="n">
        <v>-23.13</v>
      </c>
      <c r="O205" s="20" t="n">
        <v>-9.848000000000001</v>
      </c>
      <c r="P205" s="20" t="n">
        <v>-3.005</v>
      </c>
      <c r="Q205" s="20" t="n">
        <v>-0.704</v>
      </c>
      <c r="R205" s="20" t="n">
        <v>-217.248</v>
      </c>
      <c r="S205" s="20" t="n">
        <v>-59.189</v>
      </c>
      <c r="T205" s="20" t="n">
        <v>-5.537</v>
      </c>
      <c r="U205" s="20" t="n">
        <v>-7.67</v>
      </c>
      <c r="V205" s="20" t="n">
        <v>-1.543</v>
      </c>
      <c r="W205" s="20" t="n">
        <v>-23.13</v>
      </c>
    </row>
    <row r="206">
      <c r="A206" s="18" t="inlineStr">
        <is>
          <t>관계회사 주식 매각손익</t>
        </is>
      </c>
      <c r="O206" s="20" t="n">
        <v>0</v>
      </c>
      <c r="P206" s="20" t="n">
        <v>3.744</v>
      </c>
      <c r="Q206" s="20" t="n">
        <v>0</v>
      </c>
    </row>
    <row r="207">
      <c r="A207" s="18" t="inlineStr">
        <is>
          <t>환산조정 환입이익</t>
        </is>
      </c>
      <c r="O207" s="20" t="n">
        <v>0</v>
      </c>
      <c r="P207" s="20" t="n">
        <v>-52.267</v>
      </c>
    </row>
    <row r="208">
      <c r="A208" s="18" t="inlineStr">
        <is>
          <t>환산조정 환입이익</t>
        </is>
      </c>
      <c r="P208" s="20" t="n">
        <v>-52.267</v>
      </c>
      <c r="Q208" s="20" t="n">
        <v>0</v>
      </c>
    </row>
    <row r="209">
      <c r="A209" s="18" t="inlineStr">
        <is>
          <t>매출채권 증감</t>
        </is>
      </c>
      <c r="C209" s="20" t="n">
        <v>2709.259</v>
      </c>
      <c r="E209" s="20" t="n">
        <v>1801.491</v>
      </c>
      <c r="G209" s="20" t="n">
        <v>1481.193</v>
      </c>
      <c r="I209" s="20" t="n">
        <v>-1414.858</v>
      </c>
      <c r="K209" s="20" t="n">
        <v>3095.574</v>
      </c>
      <c r="O209" s="20" t="n">
        <v>-204.593</v>
      </c>
      <c r="P209" s="20" t="n">
        <v>-115.025</v>
      </c>
      <c r="Q209" s="20" t="n">
        <v>-542.942</v>
      </c>
      <c r="R209" s="20" t="n">
        <v>853.122</v>
      </c>
      <c r="S209" s="20" t="n">
        <v>-2267.814</v>
      </c>
      <c r="T209" s="20" t="n">
        <v>1372.689</v>
      </c>
      <c r="U209" s="20" t="n">
        <v>-3457.694</v>
      </c>
      <c r="V209" s="20" t="n">
        <v>1801.491</v>
      </c>
      <c r="W209" s="20" t="n">
        <v>-1414.858</v>
      </c>
    </row>
    <row r="210">
      <c r="A210" s="18" t="inlineStr">
        <is>
          <t>지분법손익</t>
        </is>
      </c>
      <c r="I210" s="20" t="n">
        <v>0</v>
      </c>
      <c r="M210" s="20" t="n">
        <v>-17.378</v>
      </c>
      <c r="O210" s="20" t="n">
        <v>-2.554</v>
      </c>
      <c r="P210" s="20" t="n">
        <v>-7.736</v>
      </c>
      <c r="Q210" s="20" t="n">
        <v>13.489</v>
      </c>
      <c r="R210" s="20" t="n">
        <v>-17.768</v>
      </c>
      <c r="S210" s="20" t="n">
        <v>-29.133</v>
      </c>
      <c r="T210" s="20" t="n">
        <v>3.896</v>
      </c>
      <c r="U210" s="20" t="n">
        <v>0</v>
      </c>
      <c r="W210" s="20" t="n">
        <v>0</v>
      </c>
      <c r="X210" s="20" t="n">
        <v>-17.378</v>
      </c>
    </row>
    <row r="211">
      <c r="A211" s="18" t="inlineStr">
        <is>
          <t>Loss On Valuation Of Software Ope CF</t>
        </is>
      </c>
      <c r="E211" s="20" t="n">
        <v>0</v>
      </c>
      <c r="I211" s="20" t="n">
        <v>423.167</v>
      </c>
      <c r="M211" s="20" t="n">
        <v>0</v>
      </c>
      <c r="V211" s="20" t="n">
        <v>0</v>
      </c>
      <c r="W211" s="20" t="n">
        <v>423.167</v>
      </c>
      <c r="X211" s="20" t="n">
        <v>0</v>
      </c>
    </row>
    <row r="212">
      <c r="A212" s="18" t="inlineStr">
        <is>
          <t>관계회사 주식 평가손실</t>
        </is>
      </c>
      <c r="E212" s="20" t="n">
        <v>43</v>
      </c>
      <c r="I212" s="20" t="n">
        <v>32.212</v>
      </c>
      <c r="M212" s="20" t="n">
        <v>56.515</v>
      </c>
      <c r="U212" s="20" t="n">
        <v>0</v>
      </c>
      <c r="V212" s="20" t="n">
        <v>43</v>
      </c>
      <c r="W212" s="20" t="n">
        <v>32.212</v>
      </c>
      <c r="X212" s="20" t="n">
        <v>56.515</v>
      </c>
    </row>
    <row r="213">
      <c r="A213" s="18" t="inlineStr">
        <is>
          <t>매출채권·계약자산 증감</t>
        </is>
      </c>
      <c r="I213" s="20" t="n">
        <v>-1395.088</v>
      </c>
      <c r="M213" s="20" t="n">
        <v>-427.482</v>
      </c>
      <c r="W213" s="20" t="n">
        <v>-1395.088</v>
      </c>
      <c r="X213" s="20" t="n">
        <v>-427.482</v>
      </c>
    </row>
    <row r="214">
      <c r="A214" s="18" t="inlineStr">
        <is>
          <t>재고자산 증감</t>
        </is>
      </c>
      <c r="C214" s="20" t="n">
        <v>-186.878</v>
      </c>
      <c r="E214" s="20" t="n">
        <v>1677.721</v>
      </c>
      <c r="G214" s="20" t="n">
        <v>-794.066</v>
      </c>
      <c r="I214" s="20" t="n">
        <v>1240.502</v>
      </c>
      <c r="K214" s="20" t="n">
        <v>-828.127</v>
      </c>
      <c r="M214" s="20" t="n">
        <v>523.587</v>
      </c>
      <c r="O214" s="20" t="n">
        <v>1245.46</v>
      </c>
      <c r="P214" s="20" t="n">
        <v>306.483</v>
      </c>
      <c r="Q214" s="20" t="n">
        <v>65.565</v>
      </c>
      <c r="R214" s="20" t="n">
        <v>-159.903</v>
      </c>
      <c r="S214" s="20" t="n">
        <v>707.111</v>
      </c>
      <c r="T214" s="20" t="n">
        <v>-1983.62</v>
      </c>
      <c r="U214" s="20" t="n">
        <v>-2204.626</v>
      </c>
      <c r="V214" s="20" t="n">
        <v>1677.721</v>
      </c>
      <c r="W214" s="20" t="n">
        <v>1240.502</v>
      </c>
      <c r="X214" s="20" t="n">
        <v>523.587</v>
      </c>
    </row>
    <row r="215">
      <c r="A215" s="18" t="inlineStr">
        <is>
          <t>선급비용 증감</t>
        </is>
      </c>
      <c r="C215" s="20" t="n">
        <v>-338.96</v>
      </c>
      <c r="E215" s="20" t="n">
        <v>-322.918</v>
      </c>
      <c r="G215" s="20" t="n">
        <v>94.239</v>
      </c>
      <c r="I215" s="20" t="n">
        <v>-96.199</v>
      </c>
      <c r="U215" s="20" t="n">
        <v>-1.294</v>
      </c>
      <c r="V215" s="20" t="n">
        <v>-322.918</v>
      </c>
      <c r="W215" s="20" t="n">
        <v>-96.199</v>
      </c>
    </row>
    <row r="216">
      <c r="A216" s="18" t="inlineStr">
        <is>
          <t>매입채무 증감</t>
        </is>
      </c>
      <c r="C216" s="20" t="n">
        <v>-2297.878</v>
      </c>
      <c r="E216" s="20" t="n">
        <v>-3420.637</v>
      </c>
      <c r="G216" s="20" t="n">
        <v>-355.515</v>
      </c>
      <c r="I216" s="20" t="n">
        <v>-207.915</v>
      </c>
      <c r="K216" s="20" t="n">
        <v>-1561.206</v>
      </c>
      <c r="M216" s="20" t="n">
        <v>415.427</v>
      </c>
      <c r="O216" s="20" t="n">
        <v>89.316</v>
      </c>
      <c r="P216" s="20" t="n">
        <v>42.048</v>
      </c>
      <c r="Q216" s="20" t="n">
        <v>23.763</v>
      </c>
      <c r="R216" s="20" t="n">
        <v>-403.814</v>
      </c>
      <c r="S216" s="20" t="n">
        <v>616.023</v>
      </c>
      <c r="T216" s="20" t="n">
        <v>-88.355</v>
      </c>
      <c r="U216" s="20" t="n">
        <v>3458.653</v>
      </c>
      <c r="V216" s="20" t="n">
        <v>-3420.637</v>
      </c>
      <c r="W216" s="20" t="n">
        <v>-207.915</v>
      </c>
      <c r="X216" s="20" t="n">
        <v>415.427</v>
      </c>
    </row>
    <row r="217">
      <c r="A217" s="18" t="inlineStr">
        <is>
          <t>미지급금 증감</t>
        </is>
      </c>
      <c r="C217" s="20" t="n">
        <v>-217.291</v>
      </c>
      <c r="E217" s="20" t="n">
        <v>-12.373</v>
      </c>
      <c r="G217" s="20" t="n">
        <v>-347.257</v>
      </c>
      <c r="I217" s="20" t="n">
        <v>-271.583</v>
      </c>
      <c r="V217" s="20" t="n">
        <v>-12.373</v>
      </c>
      <c r="W217" s="20" t="n">
        <v>-271.583</v>
      </c>
    </row>
    <row r="218">
      <c r="A218" s="18" t="inlineStr">
        <is>
          <t>미지급 소비세 증감</t>
        </is>
      </c>
      <c r="C218" s="20" t="n">
        <v>-184.049</v>
      </c>
      <c r="G218" s="20" t="n">
        <v>-196.517</v>
      </c>
    </row>
    <row r="219">
      <c r="A219" s="18" t="inlineStr">
        <is>
          <t>선수수익 증감</t>
        </is>
      </c>
      <c r="E219" s="20" t="n">
        <v>-97.41</v>
      </c>
      <c r="I219" s="20" t="n">
        <v>60.645</v>
      </c>
      <c r="U219" s="20" t="n">
        <v>-108.9</v>
      </c>
      <c r="V219" s="20" t="n">
        <v>-97.41</v>
      </c>
      <c r="W219" s="20" t="n">
        <v>60.645</v>
      </c>
    </row>
    <row r="220">
      <c r="A220" s="18" t="inlineStr">
        <is>
          <t>장기미지급금 증감</t>
        </is>
      </c>
      <c r="E220" s="20" t="n">
        <v>-68.372</v>
      </c>
      <c r="I220" s="20" t="n">
        <v>-19.843</v>
      </c>
      <c r="U220" s="20" t="n">
        <v>-71.893</v>
      </c>
      <c r="V220" s="20" t="n">
        <v>-68.372</v>
      </c>
      <c r="W220" s="20" t="n">
        <v>-19.843</v>
      </c>
    </row>
    <row r="221">
      <c r="A221" s="18" t="inlineStr">
        <is>
          <t>기타</t>
        </is>
      </c>
      <c r="C221" s="20" t="n">
        <v>-127.975</v>
      </c>
      <c r="E221" s="20" t="n">
        <v>-240.627</v>
      </c>
      <c r="G221" s="20" t="n">
        <v>-72.182</v>
      </c>
      <c r="I221" s="20" t="n">
        <v>-309.955</v>
      </c>
      <c r="K221" s="20" t="n">
        <v>618.307</v>
      </c>
      <c r="M221" s="20" t="n">
        <v>-491.47</v>
      </c>
      <c r="O221" s="20" t="n">
        <v>-64.251</v>
      </c>
      <c r="P221" s="20" t="n">
        <v>296.508</v>
      </c>
      <c r="Q221" s="20" t="n">
        <v>-298.116</v>
      </c>
      <c r="R221" s="20" t="n">
        <v>60.789</v>
      </c>
      <c r="S221" s="20" t="n">
        <v>-287.73</v>
      </c>
      <c r="T221" s="20" t="n">
        <v>115.084</v>
      </c>
      <c r="U221" s="20" t="n">
        <v>359.882</v>
      </c>
      <c r="V221" s="20" t="n">
        <v>-240.627</v>
      </c>
      <c r="W221" s="20" t="n">
        <v>-309.955</v>
      </c>
      <c r="X221" s="20" t="n">
        <v>-491.47</v>
      </c>
    </row>
    <row r="222">
      <c r="A222" s="18" t="inlineStr">
        <is>
          <t>소계</t>
        </is>
      </c>
      <c r="C222" s="20" t="n">
        <v>259.147</v>
      </c>
      <c r="E222" s="20" t="n">
        <v>1871.993</v>
      </c>
      <c r="G222" s="20" t="n">
        <v>1131.595</v>
      </c>
      <c r="I222" s="20" t="n">
        <v>1405.194</v>
      </c>
      <c r="K222" s="20" t="n">
        <v>2972.698</v>
      </c>
      <c r="M222" s="20" t="n">
        <v>4481.304</v>
      </c>
      <c r="O222" s="20" t="n">
        <v>1974.191</v>
      </c>
      <c r="P222" s="20" t="n">
        <v>1959.581</v>
      </c>
      <c r="Q222" s="20" t="n">
        <v>684.285</v>
      </c>
      <c r="R222" s="20" t="n">
        <v>2316.23</v>
      </c>
      <c r="S222" s="20" t="n">
        <v>1820.435</v>
      </c>
      <c r="T222" s="20" t="n">
        <v>1484.577</v>
      </c>
      <c r="U222" s="20" t="n">
        <v>-994.191</v>
      </c>
      <c r="V222" s="20" t="n">
        <v>1871.993</v>
      </c>
      <c r="W222" s="20" t="n">
        <v>1405.194</v>
      </c>
      <c r="X222" s="20" t="n">
        <v>4481.304</v>
      </c>
    </row>
    <row r="223">
      <c r="A223" s="18" t="inlineStr">
        <is>
          <t>이자·배당금 수취</t>
        </is>
      </c>
      <c r="C223" s="20" t="n">
        <v>4.486</v>
      </c>
      <c r="E223" s="20" t="n">
        <v>5.647</v>
      </c>
      <c r="G223" s="20" t="n">
        <v>33.997</v>
      </c>
      <c r="I223" s="20" t="n">
        <v>35.402</v>
      </c>
      <c r="K223" s="20" t="n">
        <v>61.141</v>
      </c>
      <c r="M223" s="20" t="n">
        <v>40.323</v>
      </c>
      <c r="O223" s="20" t="n">
        <v>8.013999999999999</v>
      </c>
      <c r="P223" s="20" t="n">
        <v>6.568</v>
      </c>
      <c r="Q223" s="20" t="n">
        <v>9.568</v>
      </c>
      <c r="R223" s="20" t="n">
        <v>4.783</v>
      </c>
      <c r="S223" s="20" t="n">
        <v>24.568</v>
      </c>
      <c r="T223" s="20" t="n">
        <v>39.902</v>
      </c>
      <c r="U223" s="20" t="n">
        <v>66.047</v>
      </c>
      <c r="V223" s="20" t="n">
        <v>5.647</v>
      </c>
      <c r="W223" s="20" t="n">
        <v>35.402</v>
      </c>
      <c r="X223" s="20" t="n">
        <v>40.323</v>
      </c>
    </row>
    <row r="224">
      <c r="A224" s="18" t="inlineStr">
        <is>
          <t>보조금 수취</t>
        </is>
      </c>
      <c r="C224" s="20" t="n">
        <v>9.692</v>
      </c>
      <c r="E224" s="20" t="n">
        <v>17.737</v>
      </c>
      <c r="G224" s="20" t="n">
        <v>7.352</v>
      </c>
      <c r="I224" s="20" t="n">
        <v>18.951</v>
      </c>
      <c r="K224" s="20" t="n">
        <v>8.702999999999999</v>
      </c>
      <c r="M224" s="20" t="n">
        <v>16.274</v>
      </c>
      <c r="R224" s="20" t="n">
        <v>0</v>
      </c>
      <c r="S224" s="20" t="n">
        <v>33.243</v>
      </c>
      <c r="T224" s="20" t="n">
        <v>59.737</v>
      </c>
      <c r="U224" s="20" t="n">
        <v>39.982</v>
      </c>
      <c r="V224" s="20" t="n">
        <v>17.737</v>
      </c>
      <c r="W224" s="20" t="n">
        <v>18.951</v>
      </c>
      <c r="X224" s="20" t="n">
        <v>16.274</v>
      </c>
    </row>
    <row r="225">
      <c r="A225" s="18" t="inlineStr">
        <is>
          <t>이전 보상금 수취</t>
        </is>
      </c>
      <c r="R225" s="20" t="n">
        <v>0</v>
      </c>
      <c r="S225" s="20" t="n">
        <v>89.19499999999999</v>
      </c>
      <c r="T225" s="20" t="n">
        <v>0</v>
      </c>
    </row>
    <row r="226">
      <c r="A226" s="18" t="inlineStr">
        <is>
          <t>보험금 수취</t>
        </is>
      </c>
      <c r="C226" s="20" t="n">
        <v>7.837</v>
      </c>
      <c r="E226" s="20" t="n">
        <v>81.75700000000001</v>
      </c>
      <c r="G226" s="20" t="n">
        <v>32.561</v>
      </c>
      <c r="I226" s="20" t="n">
        <v>84.402</v>
      </c>
      <c r="K226" s="20" t="n">
        <v>54.628</v>
      </c>
      <c r="M226" s="20" t="n">
        <v>89.21899999999999</v>
      </c>
      <c r="U226" s="20" t="n">
        <v>16.765</v>
      </c>
      <c r="V226" s="20" t="n">
        <v>81.75700000000001</v>
      </c>
      <c r="W226" s="20" t="n">
        <v>84.402</v>
      </c>
      <c r="X226" s="20" t="n">
        <v>89.21899999999999</v>
      </c>
    </row>
    <row r="227">
      <c r="A227" s="18" t="inlineStr">
        <is>
          <t>이자 지급</t>
        </is>
      </c>
      <c r="C227" s="20" t="n">
        <v>-42.536</v>
      </c>
      <c r="E227" s="20" t="n">
        <v>-104.217</v>
      </c>
      <c r="G227" s="20" t="n">
        <v>-67.276</v>
      </c>
      <c r="I227" s="20" t="n">
        <v>-161.929</v>
      </c>
      <c r="K227" s="20" t="n">
        <v>-112.243</v>
      </c>
      <c r="M227" s="20" t="n">
        <v>-205.024</v>
      </c>
      <c r="O227" s="20" t="n">
        <v>-55.066</v>
      </c>
      <c r="P227" s="20" t="n">
        <v>-44.619</v>
      </c>
      <c r="Q227" s="20" t="n">
        <v>-42.089</v>
      </c>
      <c r="R227" s="20" t="n">
        <v>-41.567</v>
      </c>
      <c r="S227" s="20" t="n">
        <v>-50.834</v>
      </c>
      <c r="T227" s="20" t="n">
        <v>-90.03100000000001</v>
      </c>
      <c r="U227" s="20" t="n">
        <v>-80.663</v>
      </c>
      <c r="V227" s="20" t="n">
        <v>-104.217</v>
      </c>
      <c r="W227" s="20" t="n">
        <v>-161.929</v>
      </c>
      <c r="X227" s="20" t="n">
        <v>-205.024</v>
      </c>
    </row>
    <row r="228">
      <c r="A228" s="18" t="inlineStr">
        <is>
          <t>법인세 납부</t>
        </is>
      </c>
      <c r="C228" s="20" t="n">
        <v>-311.997</v>
      </c>
      <c r="E228" s="20" t="n">
        <v>-551.371</v>
      </c>
      <c r="G228" s="20" t="n">
        <v>-273.157</v>
      </c>
      <c r="I228" s="20" t="n">
        <v>-549.679</v>
      </c>
      <c r="K228" s="20" t="n">
        <v>-229.622</v>
      </c>
      <c r="M228" s="20" t="n">
        <v>-447.97</v>
      </c>
      <c r="O228" s="20" t="n">
        <v>-142.467</v>
      </c>
      <c r="P228" s="20" t="n">
        <v>-269.274</v>
      </c>
      <c r="Q228" s="20" t="n">
        <v>-219.976</v>
      </c>
      <c r="R228" s="20" t="n">
        <v>-373.139</v>
      </c>
      <c r="S228" s="20" t="n">
        <v>-450.08</v>
      </c>
      <c r="T228" s="20" t="n">
        <v>-660.785</v>
      </c>
      <c r="U228" s="20" t="n">
        <v>-382.61</v>
      </c>
      <c r="V228" s="20" t="n">
        <v>-551.371</v>
      </c>
      <c r="W228" s="20" t="n">
        <v>-549.679</v>
      </c>
      <c r="X228" s="20" t="n">
        <v>-447.97</v>
      </c>
    </row>
    <row r="229">
      <c r="A229" s="18" t="inlineStr">
        <is>
          <t>법인세 환급</t>
        </is>
      </c>
      <c r="C229" s="20" t="n">
        <v>38.58</v>
      </c>
      <c r="E229" s="20" t="n">
        <v>47.442</v>
      </c>
      <c r="G229" s="20" t="n">
        <v>17.557</v>
      </c>
      <c r="I229" s="20" t="n">
        <v>17.824</v>
      </c>
      <c r="K229" s="20" t="n">
        <v>37.212</v>
      </c>
      <c r="M229" s="20" t="n">
        <v>38.164</v>
      </c>
      <c r="O229" s="20" t="n">
        <v>81.14100000000001</v>
      </c>
      <c r="P229" s="20" t="n">
        <v>168.025</v>
      </c>
      <c r="Q229" s="20" t="n">
        <v>33.316</v>
      </c>
      <c r="R229" s="20" t="n">
        <v>144.081</v>
      </c>
      <c r="S229" s="20" t="n">
        <v>187.533</v>
      </c>
      <c r="T229" s="20" t="n">
        <v>196.411</v>
      </c>
      <c r="U229" s="20" t="n">
        <v>63.356</v>
      </c>
      <c r="V229" s="20" t="n">
        <v>47.442</v>
      </c>
      <c r="W229" s="20" t="n">
        <v>17.824</v>
      </c>
      <c r="X229" s="20" t="n">
        <v>38.164</v>
      </c>
    </row>
    <row r="230">
      <c r="A230" s="18" t="inlineStr">
        <is>
          <t>특별퇴직금 지급액</t>
        </is>
      </c>
      <c r="O230" s="20" t="n">
        <v>-39.092</v>
      </c>
      <c r="P230" s="20" t="n">
        <v>0</v>
      </c>
    </row>
    <row r="231">
      <c r="A231" s="9" t="inlineStr">
        <is>
          <t>영업활동 현금흐름</t>
        </is>
      </c>
      <c r="C231" s="12" t="n">
        <v>-34.788</v>
      </c>
      <c r="E231" s="12" t="n">
        <v>1368.989</v>
      </c>
      <c r="G231" s="12" t="n">
        <v>882.63</v>
      </c>
      <c r="I231" s="12" t="n">
        <v>850.165</v>
      </c>
      <c r="K231" s="12" t="n">
        <v>2792.518</v>
      </c>
      <c r="M231" s="12" t="n">
        <v>4012.29</v>
      </c>
      <c r="O231" s="12" t="n">
        <v>1826.72</v>
      </c>
      <c r="P231" s="12" t="n">
        <v>1820.282</v>
      </c>
      <c r="Q231" s="12" t="n">
        <v>465.103</v>
      </c>
      <c r="R231" s="12" t="n">
        <v>2050.387</v>
      </c>
      <c r="S231" s="12" t="n">
        <v>1654.062</v>
      </c>
      <c r="T231" s="12" t="n">
        <v>1029.812</v>
      </c>
      <c r="U231" s="12" t="n">
        <v>-1271.312</v>
      </c>
      <c r="V231" s="12" t="n">
        <v>1368.989</v>
      </c>
      <c r="W231" s="12" t="n">
        <v>850.165</v>
      </c>
      <c r="X231" s="12" t="n">
        <v>4012.29</v>
      </c>
    </row>
    <row r="232">
      <c r="A232" s="18" t="inlineStr">
        <is>
          <t>정기예금 인출</t>
        </is>
      </c>
      <c r="I232" s="20" t="n">
        <v>0</v>
      </c>
      <c r="M232" s="20" t="n">
        <v>8.202999999999999</v>
      </c>
      <c r="W232" s="20" t="n">
        <v>0</v>
      </c>
      <c r="X232" s="20" t="n">
        <v>8.202999999999999</v>
      </c>
    </row>
    <row r="233">
      <c r="A233" s="18" t="inlineStr">
        <is>
          <t>유형자산 취득(설비투자)</t>
        </is>
      </c>
      <c r="C233" s="20" t="n">
        <v>-276.144</v>
      </c>
      <c r="E233" s="20" t="n">
        <v>-609.381</v>
      </c>
      <c r="G233" s="20" t="n">
        <v>-196.019</v>
      </c>
      <c r="I233" s="20" t="n">
        <v>-314.164</v>
      </c>
      <c r="K233" s="20" t="n">
        <v>-201.424</v>
      </c>
      <c r="M233" s="20" t="n">
        <v>-367.719</v>
      </c>
      <c r="O233" s="20" t="n">
        <v>-169.408</v>
      </c>
      <c r="P233" s="20" t="n">
        <v>-263.762</v>
      </c>
      <c r="Q233" s="20" t="n">
        <v>-263.194</v>
      </c>
      <c r="R233" s="20" t="n">
        <v>-328.912</v>
      </c>
      <c r="S233" s="20" t="n">
        <v>-296.624</v>
      </c>
      <c r="T233" s="20" t="n">
        <v>-518.072</v>
      </c>
      <c r="U233" s="20" t="n">
        <v>-482.731</v>
      </c>
      <c r="V233" s="20" t="n">
        <v>-609.381</v>
      </c>
      <c r="W233" s="20" t="n">
        <v>-314.164</v>
      </c>
      <c r="X233" s="20" t="n">
        <v>-367.719</v>
      </c>
    </row>
    <row r="234">
      <c r="A234" s="18" t="inlineStr">
        <is>
          <t>유형자산 매각</t>
        </is>
      </c>
      <c r="C234" s="20" t="n">
        <v>103.786</v>
      </c>
      <c r="E234" s="20" t="n">
        <v>107.455</v>
      </c>
      <c r="G234" s="20" t="n">
        <v>4.582</v>
      </c>
      <c r="I234" s="20" t="n">
        <v>99.39</v>
      </c>
      <c r="K234" s="20" t="n">
        <v>6.677</v>
      </c>
      <c r="M234" s="20" t="n">
        <v>12.579</v>
      </c>
      <c r="O234" s="20" t="n">
        <v>212.014</v>
      </c>
      <c r="P234" s="20" t="n">
        <v>3.005</v>
      </c>
      <c r="Q234" s="20" t="n">
        <v>1057.922</v>
      </c>
      <c r="R234" s="20" t="n">
        <v>402.027</v>
      </c>
      <c r="S234" s="20" t="n">
        <v>270.371</v>
      </c>
      <c r="T234" s="20" t="n">
        <v>29.097</v>
      </c>
      <c r="U234" s="20" t="n">
        <v>11.197</v>
      </c>
      <c r="V234" s="20" t="n">
        <v>107.455</v>
      </c>
      <c r="W234" s="20" t="n">
        <v>99.39</v>
      </c>
      <c r="X234" s="20" t="n">
        <v>12.579</v>
      </c>
    </row>
    <row r="235">
      <c r="A235" s="18" t="inlineStr">
        <is>
          <t>무형자산 취득</t>
        </is>
      </c>
      <c r="C235" s="20" t="n">
        <v>-13.433</v>
      </c>
      <c r="E235" s="20" t="n">
        <v>-9.672000000000001</v>
      </c>
      <c r="G235" s="20" t="n">
        <v>-18.815</v>
      </c>
      <c r="I235" s="20" t="n">
        <v>-25.578</v>
      </c>
      <c r="K235" s="20" t="n">
        <v>-2.007</v>
      </c>
      <c r="M235" s="20" t="n">
        <v>-6.658</v>
      </c>
      <c r="O235" s="20" t="n">
        <v>-50.409</v>
      </c>
      <c r="P235" s="20" t="n">
        <v>-50.407</v>
      </c>
      <c r="Q235" s="20" t="n">
        <v>-136.847</v>
      </c>
      <c r="R235" s="20" t="n">
        <v>-62.785</v>
      </c>
      <c r="S235" s="20" t="n">
        <v>-174.45</v>
      </c>
      <c r="T235" s="20" t="n">
        <v>-232.796</v>
      </c>
      <c r="U235" s="20" t="n">
        <v>-227.104</v>
      </c>
      <c r="V235" s="20" t="n">
        <v>-9.672000000000001</v>
      </c>
      <c r="W235" s="20" t="n">
        <v>-25.578</v>
      </c>
      <c r="X235" s="20" t="n">
        <v>-6.658</v>
      </c>
    </row>
    <row r="236">
      <c r="A236" s="18" t="inlineStr">
        <is>
          <t>무형자산 매각 수입</t>
        </is>
      </c>
      <c r="E236" s="20" t="n">
        <v>4.449</v>
      </c>
      <c r="I236" s="20" t="n">
        <v>1.396</v>
      </c>
      <c r="M236" s="20" t="n">
        <v>0</v>
      </c>
      <c r="P236" s="20" t="n">
        <v>0</v>
      </c>
      <c r="Q236" s="20" t="n">
        <v>0.549</v>
      </c>
      <c r="R236" s="20" t="n">
        <v>0</v>
      </c>
      <c r="T236" s="20" t="n">
        <v>0</v>
      </c>
      <c r="U236" s="20" t="n">
        <v>59.527</v>
      </c>
      <c r="V236" s="20" t="n">
        <v>4.449</v>
      </c>
      <c r="W236" s="20" t="n">
        <v>1.396</v>
      </c>
      <c r="X236" s="20" t="n">
        <v>0</v>
      </c>
    </row>
    <row r="237">
      <c r="A237" s="18" t="inlineStr">
        <is>
          <t>투자유가증권 취득</t>
        </is>
      </c>
      <c r="C237" s="20" t="n">
        <v>-3.453</v>
      </c>
      <c r="E237" s="20" t="n">
        <v>-3.453</v>
      </c>
      <c r="G237" s="20" t="n">
        <v>0</v>
      </c>
      <c r="I237" s="20" t="n">
        <v>0</v>
      </c>
      <c r="O237" s="20" t="n">
        <v>-1.811</v>
      </c>
      <c r="P237" s="20" t="n">
        <v>-4.033</v>
      </c>
      <c r="Q237" s="20" t="n">
        <v>-160.894</v>
      </c>
      <c r="R237" s="20" t="n">
        <v>-1.491</v>
      </c>
      <c r="S237" s="20" t="n">
        <v>-1.689</v>
      </c>
      <c r="T237" s="20" t="n">
        <v>-2.763</v>
      </c>
      <c r="U237" s="20" t="n">
        <v>-3.179</v>
      </c>
      <c r="V237" s="20" t="n">
        <v>-3.453</v>
      </c>
      <c r="W237" s="20" t="n">
        <v>0</v>
      </c>
    </row>
    <row r="238">
      <c r="A238" s="18" t="inlineStr">
        <is>
          <t>투자유가증권 매각</t>
        </is>
      </c>
      <c r="C238" s="20" t="n">
        <v>0</v>
      </c>
      <c r="E238" s="20" t="n">
        <v>0</v>
      </c>
      <c r="G238" s="20" t="n">
        <v>0</v>
      </c>
      <c r="I238" s="20" t="n">
        <v>1.749</v>
      </c>
      <c r="K238" s="20" t="n">
        <v>13.631</v>
      </c>
      <c r="M238" s="20" t="n">
        <v>13.631</v>
      </c>
      <c r="O238" s="20" t="n">
        <v>0.911</v>
      </c>
      <c r="P238" s="20" t="n">
        <v>112.254</v>
      </c>
      <c r="Q238" s="20" t="n">
        <v>147.665</v>
      </c>
      <c r="R238" s="20" t="n">
        <v>1.05</v>
      </c>
      <c r="S238" s="20" t="n">
        <v>6.691</v>
      </c>
      <c r="T238" s="20" t="n">
        <v>108.613</v>
      </c>
      <c r="U238" s="20" t="n">
        <v>84.926</v>
      </c>
      <c r="V238" s="20" t="n">
        <v>0</v>
      </c>
      <c r="W238" s="20" t="n">
        <v>1.749</v>
      </c>
      <c r="X238" s="20" t="n">
        <v>13.631</v>
      </c>
    </row>
    <row r="239">
      <c r="A239" s="18" t="inlineStr">
        <is>
          <t>관계회사 주식 취득</t>
        </is>
      </c>
      <c r="C239" s="20" t="n">
        <v>-57.5</v>
      </c>
      <c r="E239" s="20" t="n">
        <v>-55</v>
      </c>
      <c r="G239" s="20" t="n">
        <v>-47.432</v>
      </c>
      <c r="I239" s="20" t="n">
        <v>-145.664</v>
      </c>
      <c r="K239" s="20" t="n">
        <v>-6.278</v>
      </c>
      <c r="M239" s="20" t="n">
        <v>-6.33</v>
      </c>
      <c r="O239" s="20" t="n">
        <v>0</v>
      </c>
      <c r="P239" s="20" t="n">
        <v>-71</v>
      </c>
      <c r="Q239" s="20" t="n">
        <v>0</v>
      </c>
      <c r="R239" s="20" t="n">
        <v>-131</v>
      </c>
      <c r="S239" s="20" t="n">
        <v>-148.491</v>
      </c>
      <c r="T239" s="20" t="n">
        <v>-456.906</v>
      </c>
      <c r="U239" s="20" t="n">
        <v>-138.39</v>
      </c>
      <c r="V239" s="20" t="n">
        <v>-55</v>
      </c>
      <c r="W239" s="20" t="n">
        <v>-145.664</v>
      </c>
      <c r="X239" s="20" t="n">
        <v>-6.33</v>
      </c>
    </row>
    <row r="240">
      <c r="A240" s="18" t="inlineStr">
        <is>
          <t>관계회사 주식 매각</t>
        </is>
      </c>
      <c r="O240" s="20" t="n">
        <v>0</v>
      </c>
      <c r="P240" s="20" t="n">
        <v>7.716</v>
      </c>
      <c r="Q240" s="20" t="n">
        <v>0</v>
      </c>
      <c r="R240" s="20" t="n">
        <v>10.519</v>
      </c>
      <c r="S240" s="20" t="n">
        <v>0</v>
      </c>
    </row>
    <row r="241">
      <c r="A241" s="18" t="inlineStr">
        <is>
          <t>대여</t>
        </is>
      </c>
      <c r="O241" s="20" t="n">
        <v>0</v>
      </c>
      <c r="P241" s="20" t="n">
        <v>-52</v>
      </c>
      <c r="Q241" s="20" t="n">
        <v>-11</v>
      </c>
      <c r="R241" s="20" t="n">
        <v>0</v>
      </c>
      <c r="S241" s="20" t="n">
        <v>-513</v>
      </c>
      <c r="T241" s="20" t="n">
        <v>0</v>
      </c>
    </row>
    <row r="242">
      <c r="A242" s="18" t="inlineStr">
        <is>
          <t>사업양수 지출</t>
        </is>
      </c>
      <c r="C242" s="20" t="n">
        <v>0</v>
      </c>
      <c r="E242" s="20" t="n">
        <v>0</v>
      </c>
      <c r="G242" s="20" t="n">
        <v>-590.27</v>
      </c>
      <c r="I242" s="20" t="n">
        <v>-590.27</v>
      </c>
      <c r="K242" s="20" t="n">
        <v>0</v>
      </c>
      <c r="M242" s="20" t="n">
        <v>0</v>
      </c>
      <c r="P242" s="20" t="n">
        <v>0</v>
      </c>
      <c r="Q242" s="20" t="n">
        <v>-719.375</v>
      </c>
      <c r="R242" s="20" t="n">
        <v>0</v>
      </c>
      <c r="T242" s="20" t="n">
        <v>0</v>
      </c>
      <c r="U242" s="20" t="n">
        <v>-150</v>
      </c>
      <c r="V242" s="20" t="n">
        <v>0</v>
      </c>
      <c r="W242" s="20" t="n">
        <v>-590.27</v>
      </c>
      <c r="X242" s="20" t="n">
        <v>0</v>
      </c>
    </row>
    <row r="243">
      <c r="A243" s="18" t="inlineStr">
        <is>
          <t>연결범위 변경 자회사 주식 취득</t>
        </is>
      </c>
      <c r="C243" s="20" t="n">
        <v>-257.717</v>
      </c>
      <c r="E243" s="20" t="n">
        <v>-257.717</v>
      </c>
      <c r="G243" s="20" t="n">
        <v>0</v>
      </c>
      <c r="I243" s="20" t="n">
        <v>0</v>
      </c>
      <c r="K243" s="20" t="n">
        <v>-217.759</v>
      </c>
      <c r="M243" s="20" t="n">
        <v>-282.215</v>
      </c>
      <c r="P243" s="20" t="n">
        <v>0</v>
      </c>
      <c r="Q243" s="20" t="n">
        <v>-622.784</v>
      </c>
      <c r="R243" s="20" t="n">
        <v>-210.88</v>
      </c>
      <c r="S243" s="20" t="n">
        <v>-1428.078</v>
      </c>
      <c r="T243" s="20" t="n">
        <v>-3518.539</v>
      </c>
      <c r="U243" s="20" t="n">
        <v>0</v>
      </c>
      <c r="V243" s="20" t="n">
        <v>-257.717</v>
      </c>
      <c r="W243" s="20" t="n">
        <v>0</v>
      </c>
      <c r="X243" s="20" t="n">
        <v>-282.215</v>
      </c>
    </row>
    <row r="244">
      <c r="A244" s="18" t="inlineStr">
        <is>
          <t>연결범위 변경 자회사 주식 매각</t>
        </is>
      </c>
      <c r="I244" s="20" t="n">
        <v>0</v>
      </c>
      <c r="M244" s="20" t="n">
        <v>630.433</v>
      </c>
      <c r="O244" s="20" t="n">
        <v>7.264</v>
      </c>
      <c r="P244" s="20" t="n">
        <v>0</v>
      </c>
      <c r="W244" s="20" t="n">
        <v>0</v>
      </c>
      <c r="X244" s="20" t="n">
        <v>630.433</v>
      </c>
    </row>
    <row r="245">
      <c r="A245" s="18" t="inlineStr">
        <is>
          <t>기타</t>
        </is>
      </c>
      <c r="C245" s="20" t="n">
        <v>135.995</v>
      </c>
      <c r="E245" s="20" t="n">
        <v>-11.804</v>
      </c>
      <c r="G245" s="20" t="n">
        <v>-19.303</v>
      </c>
      <c r="I245" s="20" t="n">
        <v>17.672</v>
      </c>
      <c r="K245" s="20" t="n">
        <v>126.62</v>
      </c>
      <c r="M245" s="20" t="n">
        <v>129.994</v>
      </c>
      <c r="O245" s="20" t="n">
        <v>-5.202</v>
      </c>
      <c r="P245" s="20" t="n">
        <v>10.558</v>
      </c>
      <c r="Q245" s="20" t="n">
        <v>24.294</v>
      </c>
      <c r="R245" s="20" t="n">
        <v>-12.702</v>
      </c>
      <c r="S245" s="20" t="n">
        <v>-43.842</v>
      </c>
      <c r="T245" s="20" t="n">
        <v>6.121</v>
      </c>
      <c r="U245" s="20" t="n">
        <v>-18.696</v>
      </c>
      <c r="V245" s="20" t="n">
        <v>-11.804</v>
      </c>
      <c r="W245" s="20" t="n">
        <v>17.672</v>
      </c>
      <c r="X245" s="20" t="n">
        <v>129.994</v>
      </c>
    </row>
    <row r="246">
      <c r="A246" s="9" t="inlineStr">
        <is>
          <t>투자활동 현금흐름</t>
        </is>
      </c>
      <c r="C246" s="12" t="n">
        <v>-368.467</v>
      </c>
      <c r="E246" s="12" t="n">
        <v>-835.124</v>
      </c>
      <c r="G246" s="12" t="n">
        <v>-867.259</v>
      </c>
      <c r="I246" s="12" t="n">
        <v>-955.4690000000001</v>
      </c>
      <c r="K246" s="12" t="n">
        <v>-280.54</v>
      </c>
      <c r="M246" s="12" t="n">
        <v>131.917</v>
      </c>
      <c r="O246" s="12" t="n">
        <v>-6.642</v>
      </c>
      <c r="P246" s="12" t="n">
        <v>-307.67</v>
      </c>
      <c r="Q246" s="12" t="n">
        <v>-683.664</v>
      </c>
      <c r="R246" s="12" t="n">
        <v>-334.174</v>
      </c>
      <c r="S246" s="12" t="n">
        <v>-2329.114</v>
      </c>
      <c r="T246" s="12" t="n">
        <v>-4585.247</v>
      </c>
      <c r="U246" s="12" t="n">
        <v>-864.448</v>
      </c>
      <c r="V246" s="12" t="n">
        <v>-835.124</v>
      </c>
      <c r="W246" s="12" t="n">
        <v>-955.4690000000001</v>
      </c>
      <c r="X246" s="12" t="n">
        <v>131.917</v>
      </c>
    </row>
    <row r="247">
      <c r="A247" s="18" t="inlineStr">
        <is>
          <t>단기차입금 순증감</t>
        </is>
      </c>
      <c r="C247" s="20" t="n">
        <v>49.4</v>
      </c>
      <c r="E247" s="20" t="n">
        <v>-236.49</v>
      </c>
      <c r="G247" s="20" t="n">
        <v>402.16</v>
      </c>
      <c r="I247" s="20" t="n">
        <v>1046.352</v>
      </c>
      <c r="K247" s="20" t="n">
        <v>-464.501</v>
      </c>
      <c r="M247" s="20" t="n">
        <v>-1456.621</v>
      </c>
      <c r="O247" s="20" t="n">
        <v>-1622.547</v>
      </c>
      <c r="P247" s="20" t="n">
        <v>-1504.764</v>
      </c>
      <c r="Q247" s="20" t="n">
        <v>532.67</v>
      </c>
      <c r="R247" s="20" t="n">
        <v>642.476</v>
      </c>
      <c r="S247" s="20" t="n">
        <v>1828.622</v>
      </c>
      <c r="T247" s="20" t="n">
        <v>-1267.088</v>
      </c>
      <c r="U247" s="20" t="n">
        <v>1700</v>
      </c>
      <c r="V247" s="20" t="n">
        <v>-236.49</v>
      </c>
      <c r="W247" s="20" t="n">
        <v>1046.352</v>
      </c>
      <c r="X247" s="20" t="n">
        <v>-1456.621</v>
      </c>
    </row>
    <row r="248">
      <c r="A248" s="18" t="inlineStr">
        <is>
          <t>장기차입</t>
        </is>
      </c>
      <c r="C248" s="20" t="n">
        <v>800</v>
      </c>
      <c r="E248" s="20" t="n">
        <v>1900</v>
      </c>
      <c r="G248" s="20" t="n">
        <v>1729.496</v>
      </c>
      <c r="I248" s="20" t="n">
        <v>2128.926</v>
      </c>
      <c r="K248" s="20" t="n">
        <v>1200</v>
      </c>
      <c r="M248" s="20" t="n">
        <v>1500</v>
      </c>
      <c r="O248" s="20" t="n">
        <v>1200</v>
      </c>
      <c r="P248" s="20" t="n">
        <v>800</v>
      </c>
      <c r="Q248" s="20" t="n">
        <v>1000</v>
      </c>
      <c r="R248" s="20" t="n">
        <v>1700</v>
      </c>
      <c r="S248" s="20" t="n">
        <v>3400</v>
      </c>
      <c r="T248" s="20" t="n">
        <v>2800</v>
      </c>
      <c r="U248" s="20" t="n">
        <v>2600</v>
      </c>
      <c r="V248" s="20" t="n">
        <v>1900</v>
      </c>
      <c r="W248" s="20" t="n">
        <v>2128.926</v>
      </c>
      <c r="X248" s="20" t="n">
        <v>1500</v>
      </c>
    </row>
    <row r="249">
      <c r="A249" s="18" t="inlineStr">
        <is>
          <t>장기차입금 상환</t>
        </is>
      </c>
      <c r="C249" s="20" t="n">
        <v>-1242.453</v>
      </c>
      <c r="E249" s="20" t="n">
        <v>-2779.522</v>
      </c>
      <c r="G249" s="20" t="n">
        <v>-1339.883</v>
      </c>
      <c r="I249" s="20" t="n">
        <v>-2607.093</v>
      </c>
      <c r="K249" s="20" t="n">
        <v>-1367.966</v>
      </c>
      <c r="M249" s="20" t="n">
        <v>-2733.057</v>
      </c>
      <c r="O249" s="20" t="n">
        <v>-805.313</v>
      </c>
      <c r="P249" s="20" t="n">
        <v>-808.681</v>
      </c>
      <c r="Q249" s="20" t="n">
        <v>-906.643</v>
      </c>
      <c r="R249" s="20" t="n">
        <v>-1093.136</v>
      </c>
      <c r="S249" s="20" t="n">
        <v>-936.309</v>
      </c>
      <c r="T249" s="20" t="n">
        <v>-1932.699</v>
      </c>
      <c r="U249" s="20" t="n">
        <v>-2255.173</v>
      </c>
      <c r="V249" s="20" t="n">
        <v>-2779.522</v>
      </c>
      <c r="W249" s="20" t="n">
        <v>-2607.093</v>
      </c>
      <c r="X249" s="20" t="n">
        <v>-2733.057</v>
      </c>
    </row>
    <row r="250">
      <c r="A250" s="18" t="inlineStr">
        <is>
          <t>사채 상환</t>
        </is>
      </c>
      <c r="E250" s="20" t="n">
        <v>0</v>
      </c>
      <c r="S250" s="20" t="n">
        <v>0</v>
      </c>
      <c r="T250" s="20" t="n">
        <v>-25</v>
      </c>
      <c r="U250" s="20" t="n">
        <v>-50</v>
      </c>
      <c r="V250" s="20" t="n">
        <v>0</v>
      </c>
    </row>
    <row r="251">
      <c r="A251" s="18" t="inlineStr">
        <is>
          <t>신디케이트론 수수료 지급</t>
        </is>
      </c>
      <c r="E251" s="20" t="n">
        <v>-1</v>
      </c>
      <c r="I251" s="20" t="n">
        <v>-1</v>
      </c>
      <c r="R251" s="20" t="n">
        <v>0</v>
      </c>
      <c r="S251" s="20" t="n">
        <v>-37</v>
      </c>
      <c r="T251" s="20" t="n">
        <v>-1</v>
      </c>
      <c r="U251" s="20" t="n">
        <v>-1</v>
      </c>
      <c r="V251" s="20" t="n">
        <v>-1</v>
      </c>
      <c r="W251" s="20" t="n">
        <v>-1</v>
      </c>
    </row>
    <row r="252">
      <c r="A252" s="18" t="inlineStr">
        <is>
          <t>지급수수료 지급</t>
        </is>
      </c>
      <c r="E252" s="20" t="n">
        <v>-5.25</v>
      </c>
      <c r="U252" s="20" t="n">
        <v>0</v>
      </c>
      <c r="V252" s="20" t="n">
        <v>-5.25</v>
      </c>
    </row>
    <row r="253">
      <c r="A253" s="18" t="inlineStr">
        <is>
          <t>지급수수료 지급</t>
        </is>
      </c>
      <c r="E253" s="20" t="n">
        <v>-5.25</v>
      </c>
      <c r="I253" s="20" t="n">
        <v>0</v>
      </c>
      <c r="V253" s="20" t="n">
        <v>-5.25</v>
      </c>
      <c r="W253" s="20" t="n">
        <v>0</v>
      </c>
    </row>
    <row r="254">
      <c r="A254" s="18" t="inlineStr">
        <is>
          <t>금융리스부채 상환</t>
        </is>
      </c>
      <c r="C254" s="20" t="n">
        <v>-106.548</v>
      </c>
      <c r="E254" s="20" t="n">
        <v>-255.555</v>
      </c>
      <c r="G254" s="20" t="n">
        <v>-164.156</v>
      </c>
      <c r="I254" s="20" t="n">
        <v>-290.933</v>
      </c>
      <c r="K254" s="20" t="n">
        <v>-155.386</v>
      </c>
      <c r="M254" s="20" t="n">
        <v>-306.794</v>
      </c>
      <c r="O254" s="20" t="n">
        <v>-56.398</v>
      </c>
      <c r="P254" s="20" t="n">
        <v>-58.657</v>
      </c>
      <c r="Q254" s="20" t="n">
        <v>-25.888</v>
      </c>
      <c r="R254" s="20" t="n">
        <v>-31.284</v>
      </c>
      <c r="S254" s="20" t="n">
        <v>-38.507</v>
      </c>
      <c r="T254" s="20" t="n">
        <v>-93.515</v>
      </c>
      <c r="U254" s="20" t="n">
        <v>-199.289</v>
      </c>
      <c r="V254" s="20" t="n">
        <v>-255.555</v>
      </c>
      <c r="W254" s="20" t="n">
        <v>-290.933</v>
      </c>
      <c r="X254" s="20" t="n">
        <v>-306.794</v>
      </c>
    </row>
    <row r="255">
      <c r="A255" s="18" t="inlineStr">
        <is>
          <t>배당금 지급</t>
        </is>
      </c>
      <c r="C255" s="20" t="n">
        <v>0</v>
      </c>
      <c r="E255" s="20" t="n">
        <v>0</v>
      </c>
      <c r="G255" s="20" t="n">
        <v>-134.77</v>
      </c>
      <c r="I255" s="20" t="n">
        <v>-134.77</v>
      </c>
      <c r="K255" s="20" t="n">
        <v>-161.723</v>
      </c>
      <c r="M255" s="20" t="n">
        <v>-161.723</v>
      </c>
      <c r="O255" s="20" t="n">
        <v>-26.955</v>
      </c>
      <c r="P255" s="20" t="n">
        <v>-26.955</v>
      </c>
      <c r="Q255" s="20" t="n">
        <v>-53.909</v>
      </c>
      <c r="R255" s="20" t="n">
        <v>-53.909</v>
      </c>
      <c r="S255" s="20" t="n">
        <v>-202.157</v>
      </c>
      <c r="T255" s="20" t="n">
        <v>-269.543</v>
      </c>
      <c r="U255" s="20" t="n">
        <v>-269.54</v>
      </c>
      <c r="V255" s="20" t="n">
        <v>0</v>
      </c>
      <c r="W255" s="20" t="n">
        <v>-134.77</v>
      </c>
      <c r="X255" s="20" t="n">
        <v>-161.723</v>
      </c>
    </row>
    <row r="256">
      <c r="A256" s="18" t="inlineStr">
        <is>
          <t>연결범위 변경 없는 자회사 주식 취득</t>
        </is>
      </c>
      <c r="C256" s="20" t="n">
        <v>-70.98</v>
      </c>
      <c r="E256" s="20" t="n">
        <v>-127.543</v>
      </c>
      <c r="G256" s="20" t="n">
        <v>0</v>
      </c>
      <c r="I256" s="20" t="n">
        <v>0</v>
      </c>
      <c r="K256" s="20" t="n">
        <v>-18.076</v>
      </c>
      <c r="M256" s="20" t="n">
        <v>-18.076</v>
      </c>
      <c r="O256" s="20" t="n">
        <v>-34.947</v>
      </c>
      <c r="P256" s="20" t="n">
        <v>0</v>
      </c>
      <c r="U256" s="20" t="n">
        <v>0</v>
      </c>
      <c r="V256" s="20" t="n">
        <v>-127.543</v>
      </c>
      <c r="W256" s="20" t="n">
        <v>0</v>
      </c>
      <c r="X256" s="20" t="n">
        <v>-18.076</v>
      </c>
    </row>
    <row r="257">
      <c r="A257" s="18" t="inlineStr">
        <is>
          <t>기타</t>
        </is>
      </c>
      <c r="C257" s="20" t="n">
        <v>-0</v>
      </c>
      <c r="E257" s="20" t="n">
        <v>-0</v>
      </c>
      <c r="G257" s="20" t="n">
        <v>-0.005</v>
      </c>
      <c r="I257" s="20" t="n">
        <v>-0.005</v>
      </c>
      <c r="K257" s="20" t="n">
        <v>0</v>
      </c>
      <c r="M257" s="20" t="n">
        <v>0</v>
      </c>
      <c r="O257" s="20" t="n">
        <v>-0.03</v>
      </c>
      <c r="P257" s="20" t="n">
        <v>-0.061</v>
      </c>
      <c r="Q257" s="20" t="n">
        <v>-0.07099999999999999</v>
      </c>
      <c r="R257" s="20" t="n">
        <v>-0.108</v>
      </c>
      <c r="S257" s="20" t="n">
        <v>0</v>
      </c>
      <c r="T257" s="20" t="n">
        <v>-0.22</v>
      </c>
      <c r="U257" s="20" t="n">
        <v>0</v>
      </c>
      <c r="V257" s="20" t="n">
        <v>-0</v>
      </c>
      <c r="W257" s="20" t="n">
        <v>-0.005</v>
      </c>
      <c r="X257" s="20" t="n">
        <v>0</v>
      </c>
    </row>
    <row r="258">
      <c r="A258" s="9" t="inlineStr">
        <is>
          <t>재무활동 현금흐름</t>
        </is>
      </c>
      <c r="C258" s="12" t="n">
        <v>-570.581</v>
      </c>
      <c r="E258" s="12" t="n">
        <v>-1505.362</v>
      </c>
      <c r="G258" s="12" t="n">
        <v>492.841</v>
      </c>
      <c r="I258" s="12" t="n">
        <v>142.477</v>
      </c>
      <c r="K258" s="12" t="n">
        <v>-967.653</v>
      </c>
      <c r="M258" s="12" t="n">
        <v>-3176.274</v>
      </c>
      <c r="O258" s="12" t="n">
        <v>-1346.192</v>
      </c>
      <c r="P258" s="12" t="n">
        <v>-1599.119</v>
      </c>
      <c r="Q258" s="12" t="n">
        <v>546.157</v>
      </c>
      <c r="R258" s="12" t="n">
        <v>1164.037</v>
      </c>
      <c r="S258" s="12" t="n">
        <v>4014.648</v>
      </c>
      <c r="T258" s="12" t="n">
        <v>-789.068</v>
      </c>
      <c r="U258" s="12" t="n">
        <v>1524.997</v>
      </c>
      <c r="V258" s="12" t="n">
        <v>-1505.362</v>
      </c>
      <c r="W258" s="12" t="n">
        <v>142.477</v>
      </c>
      <c r="X258" s="12" t="n">
        <v>-3176.274</v>
      </c>
    </row>
    <row r="259">
      <c r="A259" s="18" t="inlineStr">
        <is>
          <t>현금성자산 환산차이</t>
        </is>
      </c>
      <c r="C259" s="20" t="n">
        <v>126.31</v>
      </c>
      <c r="E259" s="20" t="n">
        <v>113.803</v>
      </c>
      <c r="G259" s="20" t="n">
        <v>200.093</v>
      </c>
      <c r="I259" s="20" t="n">
        <v>152.746</v>
      </c>
      <c r="K259" s="20" t="n">
        <v>-98.61499999999999</v>
      </c>
      <c r="M259" s="20" t="n">
        <v>134.64</v>
      </c>
      <c r="O259" s="20" t="n">
        <v>-44.488</v>
      </c>
      <c r="P259" s="20" t="n">
        <v>53.999</v>
      </c>
      <c r="Q259" s="20" t="n">
        <v>-52.592</v>
      </c>
      <c r="R259" s="20" t="n">
        <v>-5.25</v>
      </c>
      <c r="S259" s="20" t="n">
        <v>-19.497</v>
      </c>
      <c r="T259" s="20" t="n">
        <v>86.80800000000001</v>
      </c>
      <c r="U259" s="20" t="n">
        <v>148.953</v>
      </c>
      <c r="V259" s="20" t="n">
        <v>113.803</v>
      </c>
      <c r="W259" s="20" t="n">
        <v>152.746</v>
      </c>
      <c r="X259" s="20" t="n">
        <v>134.64</v>
      </c>
    </row>
    <row r="260">
      <c r="A260" s="18" t="inlineStr">
        <is>
          <t>현금성자산 증감</t>
        </is>
      </c>
      <c r="C260" s="20" t="n">
        <v>-847.527</v>
      </c>
      <c r="E260" s="20" t="n">
        <v>-857.694</v>
      </c>
      <c r="G260" s="20" t="n">
        <v>708.306</v>
      </c>
      <c r="I260" s="20" t="n">
        <v>189.92</v>
      </c>
      <c r="K260" s="20" t="n">
        <v>1445.709</v>
      </c>
      <c r="M260" s="20" t="n">
        <v>1102.574</v>
      </c>
      <c r="O260" s="20" t="n">
        <v>429.395</v>
      </c>
      <c r="P260" s="20" t="n">
        <v>-32.508</v>
      </c>
      <c r="Q260" s="20" t="n">
        <v>275.003</v>
      </c>
      <c r="R260" s="20" t="n">
        <v>2874.999</v>
      </c>
      <c r="S260" s="20" t="n">
        <v>3320.099</v>
      </c>
      <c r="T260" s="20" t="n">
        <v>-4257.695</v>
      </c>
      <c r="U260" s="20" t="n">
        <v>-461.81</v>
      </c>
      <c r="V260" s="20" t="n">
        <v>-857.694</v>
      </c>
      <c r="W260" s="20" t="n">
        <v>189.92</v>
      </c>
      <c r="X260" s="20" t="n">
        <v>1102.574</v>
      </c>
    </row>
    <row r="261">
      <c r="A261" s="18" t="inlineStr">
        <is>
          <t>연결자회사 결산기 변경에 따른 현금성자산 증감액</t>
        </is>
      </c>
      <c r="O261" s="20" t="n">
        <v>45.565</v>
      </c>
      <c r="P261" s="20" t="n">
        <v>0</v>
      </c>
    </row>
    <row r="262">
      <c r="A262" s="18" t="inlineStr">
        <is>
          <t>신규 연결 현금성자산 증가</t>
        </is>
      </c>
      <c r="C262" s="20" t="n">
        <v>365.592</v>
      </c>
      <c r="E262" s="20" t="n">
        <v>365.592</v>
      </c>
      <c r="G262" s="20" t="n">
        <v>0</v>
      </c>
      <c r="I262" s="20" t="n">
        <v>57.592</v>
      </c>
      <c r="K262" s="20" t="n">
        <v>61.301</v>
      </c>
      <c r="M262" s="20" t="n">
        <v>53.098</v>
      </c>
      <c r="Q262" s="20" t="n">
        <v>0</v>
      </c>
      <c r="R262" s="20" t="n">
        <v>9.965999999999999</v>
      </c>
      <c r="S262" s="20" t="n">
        <v>0</v>
      </c>
      <c r="T262" s="20" t="n">
        <v>118.563</v>
      </c>
      <c r="U262" s="20" t="n">
        <v>0</v>
      </c>
      <c r="V262" s="20" t="n">
        <v>365.592</v>
      </c>
      <c r="W262" s="20" t="n">
        <v>57.592</v>
      </c>
      <c r="X262" s="20" t="n">
        <v>53.098</v>
      </c>
    </row>
    <row r="263">
      <c r="A263" s="18" t="inlineStr">
        <is>
          <t>비연결 자회사 합병에 따른 현금성자산 증가</t>
        </is>
      </c>
      <c r="R263" s="20" t="n">
        <v>0</v>
      </c>
      <c r="S263" s="20" t="n">
        <v>10.888</v>
      </c>
      <c r="T263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6629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25938.73</v>
      </c>
      <c r="D5" s="12" t="n">
        <v>26079.631</v>
      </c>
      <c r="E5" s="12" t="n">
        <v>26491.4</v>
      </c>
      <c r="F5" s="12" t="n">
        <v>30731</v>
      </c>
      <c r="G5" s="12" t="n">
        <v>31079</v>
      </c>
      <c r="H5" s="11" t="n">
        <v>20934.482</v>
      </c>
      <c r="I5" s="12" t="n">
        <v>27386.688</v>
      </c>
      <c r="J5" s="12" t="n">
        <v>26360.765</v>
      </c>
      <c r="K5" s="12" t="n">
        <v>28398.735</v>
      </c>
      <c r="L5" s="12" t="n">
        <v>30731</v>
      </c>
    </row>
    <row r="6">
      <c r="A6" s="18" t="inlineStr">
        <is>
          <t>현금및현금성자산</t>
        </is>
      </c>
      <c r="B6" s="10" t="n"/>
      <c r="C6" s="19" t="n">
        <v>4759.411</v>
      </c>
      <c r="D6" s="20" t="n">
        <v>4945.729</v>
      </c>
      <c r="E6" s="20" t="n">
        <v>4473.545</v>
      </c>
      <c r="F6" s="20" t="n">
        <v>4688</v>
      </c>
      <c r="G6" s="20" t="n">
        <v>5808</v>
      </c>
      <c r="H6" s="19" t="n">
        <v>4145.116</v>
      </c>
      <c r="I6" s="20" t="n">
        <v>3683.306</v>
      </c>
      <c r="J6" s="20" t="n">
        <v>3191.204</v>
      </c>
      <c r="K6" s="20" t="n">
        <v>3438.718</v>
      </c>
      <c r="L6" s="20" t="n">
        <v>4688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9631.311</v>
      </c>
      <c r="D8" s="20" t="n">
        <v>10080.845</v>
      </c>
      <c r="E8" s="20" t="n">
        <v>10218.493</v>
      </c>
      <c r="F8" s="20" t="n">
        <v>15177</v>
      </c>
      <c r="G8" s="20" t="n">
        <v>13550</v>
      </c>
      <c r="H8" s="19" t="n">
        <v>7753.192</v>
      </c>
      <c r="I8" s="20" t="n">
        <v>11296.378</v>
      </c>
      <c r="J8" s="20" t="n">
        <v>11024.927</v>
      </c>
      <c r="K8" s="20" t="n">
        <v>14204.473</v>
      </c>
      <c r="L8" s="20" t="n">
        <v>15177</v>
      </c>
    </row>
    <row r="9">
      <c r="A9" s="18" t="inlineStr">
        <is>
          <t>재고자산</t>
        </is>
      </c>
      <c r="B9" s="10" t="n"/>
      <c r="C9" s="19" t="n">
        <v>8655.332</v>
      </c>
      <c r="D9" s="20" t="n">
        <v>8646.1</v>
      </c>
      <c r="E9" s="20" t="n">
        <v>8486.353999999999</v>
      </c>
      <c r="F9" s="20" t="n">
        <v>7636</v>
      </c>
      <c r="G9" s="20" t="n">
        <v>8902</v>
      </c>
      <c r="H9" s="19" t="n">
        <v>6663.39</v>
      </c>
      <c r="I9" s="20" t="n">
        <v>9259.075999999999</v>
      </c>
      <c r="J9" s="20" t="n">
        <v>8549.945</v>
      </c>
      <c r="K9" s="20" t="n">
        <v>8011.746</v>
      </c>
      <c r="L9" s="20" t="n">
        <v>7636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8712.282999999999</v>
      </c>
      <c r="D11" s="12" t="n">
        <v>8503.528</v>
      </c>
      <c r="E11" s="12" t="n">
        <v>8466.358</v>
      </c>
      <c r="F11" s="12" t="n">
        <v>8680</v>
      </c>
      <c r="G11" s="12" t="n">
        <v>8820</v>
      </c>
      <c r="H11" s="11" t="n">
        <v>10846.555</v>
      </c>
      <c r="I11" s="12" t="n">
        <v>9516.825000000001</v>
      </c>
      <c r="J11" s="12" t="n">
        <v>9731.77</v>
      </c>
      <c r="K11" s="12" t="n">
        <v>8998.273999999999</v>
      </c>
      <c r="L11" s="12" t="n">
        <v>8680</v>
      </c>
    </row>
    <row r="12">
      <c r="A12" s="18" t="inlineStr">
        <is>
          <t>유형자산</t>
        </is>
      </c>
      <c r="B12" s="10" t="n"/>
      <c r="C12" s="19" t="n">
        <v>5338.75</v>
      </c>
      <c r="D12" s="20" t="n">
        <v>5213.82</v>
      </c>
      <c r="E12" s="20" t="n">
        <v>5179.666</v>
      </c>
      <c r="F12" s="20" t="n">
        <v>5158</v>
      </c>
      <c r="G12" s="20" t="n">
        <v>5244</v>
      </c>
      <c r="H12" s="19" t="n">
        <v>4690.059</v>
      </c>
      <c r="I12" s="20" t="n">
        <v>4754.55</v>
      </c>
      <c r="J12" s="20" t="n">
        <v>5361.729</v>
      </c>
      <c r="K12" s="20" t="n">
        <v>5363.805</v>
      </c>
      <c r="L12" s="20" t="n">
        <v>5158</v>
      </c>
    </row>
    <row r="13">
      <c r="A13" s="18" t="inlineStr">
        <is>
          <t>무형자산</t>
        </is>
      </c>
      <c r="B13" s="10" t="n"/>
      <c r="C13" s="19" t="n">
        <v>2007.377</v>
      </c>
      <c r="D13" s="20" t="n">
        <v>2071.822</v>
      </c>
      <c r="E13" s="20" t="n">
        <v>1944.596</v>
      </c>
      <c r="F13" s="20" t="n">
        <v>2223</v>
      </c>
      <c r="G13" s="20" t="n">
        <v>2146</v>
      </c>
      <c r="H13" s="19" t="n">
        <v>4162.542</v>
      </c>
      <c r="I13" s="20" t="n">
        <v>2994.46</v>
      </c>
      <c r="J13" s="20" t="n">
        <v>2738.924</v>
      </c>
      <c r="K13" s="20" t="n">
        <v>2219.929</v>
      </c>
      <c r="L13" s="20" t="n">
        <v>2223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34651.014</v>
      </c>
      <c r="D16" s="12" t="n">
        <v>34583.16</v>
      </c>
      <c r="E16" s="12" t="n">
        <v>34957.759</v>
      </c>
      <c r="F16" s="12" t="n">
        <v>39412</v>
      </c>
      <c r="G16" s="12" t="n">
        <v>39899</v>
      </c>
      <c r="H16" s="11" t="n">
        <v>31781.037</v>
      </c>
      <c r="I16" s="12" t="n">
        <v>36903.513</v>
      </c>
      <c r="J16" s="12" t="n">
        <v>36092.535</v>
      </c>
      <c r="K16" s="12" t="n">
        <v>37397.01</v>
      </c>
      <c r="L16" s="12" t="n">
        <v>39412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20087.762</v>
      </c>
      <c r="D18" s="12" t="n">
        <v>20049.106</v>
      </c>
      <c r="E18" s="12" t="n">
        <v>20245.533</v>
      </c>
      <c r="F18" s="12" t="n">
        <v>23562</v>
      </c>
      <c r="G18" s="12" t="n">
        <v>24319</v>
      </c>
      <c r="H18" s="11" t="n">
        <v>16546.508</v>
      </c>
      <c r="I18" s="12" t="n">
        <v>22758.809</v>
      </c>
      <c r="J18" s="12" t="n">
        <v>21127.567</v>
      </c>
      <c r="K18" s="12" t="n">
        <v>22560.911</v>
      </c>
      <c r="L18" s="12" t="n">
        <v>23562</v>
      </c>
    </row>
    <row r="19">
      <c r="A19" s="18" t="inlineStr">
        <is>
          <t>매입채무</t>
        </is>
      </c>
      <c r="B19" s="10" t="n"/>
      <c r="C19" s="19" t="n">
        <v>4958.806</v>
      </c>
      <c r="D19" s="20" t="n">
        <v>4463.274</v>
      </c>
      <c r="E19" s="20" t="n">
        <v>4769.16</v>
      </c>
      <c r="F19" s="20" t="n">
        <v>6944</v>
      </c>
      <c r="G19" s="20" t="n">
        <v>5786</v>
      </c>
      <c r="H19" s="19" t="n">
        <v>4489.846</v>
      </c>
      <c r="I19" s="20" t="n">
        <v>8388.380999999999</v>
      </c>
      <c r="J19" s="20" t="n">
        <v>6082.846</v>
      </c>
      <c r="K19" s="20" t="n">
        <v>5713.329</v>
      </c>
      <c r="L19" s="20" t="n">
        <v>6944</v>
      </c>
    </row>
    <row r="20">
      <c r="A20" s="18" t="inlineStr">
        <is>
          <t>단기차입금</t>
        </is>
      </c>
      <c r="B20" s="10" t="n"/>
      <c r="C20" s="19" t="n">
        <v>8931.018</v>
      </c>
      <c r="D20" s="20" t="n">
        <v>9155.949000000001</v>
      </c>
      <c r="E20" s="20" t="n">
        <v>8756.442999999999</v>
      </c>
      <c r="F20" s="20" t="n">
        <v>8166</v>
      </c>
      <c r="G20" s="20" t="n">
        <v>10021</v>
      </c>
      <c r="H20" s="19" t="n">
        <v>9168.540000000001</v>
      </c>
      <c r="I20" s="20" t="n">
        <v>11190.648</v>
      </c>
      <c r="J20" s="20" t="n">
        <v>10775.909</v>
      </c>
      <c r="K20" s="20" t="n">
        <v>9623.762000000001</v>
      </c>
      <c r="L20" s="20" t="n">
        <v>8166</v>
      </c>
    </row>
    <row r="21">
      <c r="A21" s="18" t="inlineStr">
        <is>
          <t>유동성장기부채</t>
        </is>
      </c>
      <c r="B21" s="10" t="n"/>
      <c r="C21" s="19" t="n">
        <v>2479.217</v>
      </c>
      <c r="D21" s="20" t="n">
        <v>2307.82</v>
      </c>
      <c r="E21" s="20" t="n">
        <v>2124.441</v>
      </c>
      <c r="F21" s="20" t="n">
        <v>1944</v>
      </c>
      <c r="G21" s="20" t="n">
        <v>1856</v>
      </c>
      <c r="H21" s="19" t="n">
        <v>50</v>
      </c>
      <c r="I21" s="20" t="n">
        <v>0</v>
      </c>
      <c r="J21" s="20" t="n"/>
      <c r="K21" s="20" t="n">
        <v>2434.983</v>
      </c>
      <c r="L21" s="20" t="n">
        <v>1944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5275.207</v>
      </c>
      <c r="D23" s="12" t="n">
        <v>4751.087</v>
      </c>
      <c r="E23" s="12" t="n">
        <v>4519.915</v>
      </c>
      <c r="F23" s="12" t="n">
        <v>3572</v>
      </c>
      <c r="G23" s="12" t="n">
        <v>3143</v>
      </c>
      <c r="H23" s="11" t="n">
        <v>5499.35</v>
      </c>
      <c r="I23" s="12" t="n">
        <v>5433.521</v>
      </c>
      <c r="J23" s="12" t="n">
        <v>5151.482</v>
      </c>
      <c r="K23" s="12" t="n">
        <v>4738.061</v>
      </c>
      <c r="L23" s="12" t="n">
        <v>3572</v>
      </c>
    </row>
    <row r="24">
      <c r="A24" s="18" t="inlineStr">
        <is>
          <t>장기차입금</t>
        </is>
      </c>
      <c r="B24" s="10" t="n"/>
      <c r="C24" s="19" t="n">
        <v>4390.955</v>
      </c>
      <c r="D24" s="20" t="n">
        <v>3910.784</v>
      </c>
      <c r="E24" s="20" t="n">
        <v>3704.117</v>
      </c>
      <c r="F24" s="20" t="n">
        <v>2874</v>
      </c>
      <c r="G24" s="20" t="n">
        <v>2456</v>
      </c>
      <c r="H24" s="19" t="n">
        <v>4676.169</v>
      </c>
      <c r="I24" s="20" t="n">
        <v>4698.09</v>
      </c>
      <c r="J24" s="20" t="n">
        <v>4211.652</v>
      </c>
      <c r="K24" s="20" t="n">
        <v>3877.465</v>
      </c>
      <c r="L24" s="20" t="n">
        <v>2874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0</v>
      </c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25362.969</v>
      </c>
      <c r="D27" s="12" t="n">
        <v>24800.194</v>
      </c>
      <c r="E27" s="12" t="n">
        <v>24765.448</v>
      </c>
      <c r="F27" s="12" t="n">
        <v>27134</v>
      </c>
      <c r="G27" s="12" t="n">
        <v>27462</v>
      </c>
      <c r="H27" s="11" t="n">
        <v>22045.859</v>
      </c>
      <c r="I27" s="12" t="n">
        <v>28192.331</v>
      </c>
      <c r="J27" s="12" t="n">
        <v>26279.049</v>
      </c>
      <c r="K27" s="12" t="n">
        <v>27298.973</v>
      </c>
      <c r="L27" s="12" t="n">
        <v>27134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9288.045</v>
      </c>
      <c r="D31" s="12" t="n">
        <v>9782.966</v>
      </c>
      <c r="E31" s="12" t="n">
        <v>10192.31</v>
      </c>
      <c r="F31" s="12" t="n">
        <v>12277</v>
      </c>
      <c r="G31" s="12" t="n">
        <v>12436</v>
      </c>
      <c r="H31" s="11" t="n">
        <v>9735.178</v>
      </c>
      <c r="I31" s="12" t="n">
        <v>8704.940000000001</v>
      </c>
      <c r="J31" s="12" t="n">
        <v>9799.662</v>
      </c>
      <c r="K31" s="12" t="n">
        <v>10088.632</v>
      </c>
      <c r="L31" s="12" t="n">
        <v>12277</v>
      </c>
    </row>
    <row r="32">
      <c r="A32" s="18" t="inlineStr">
        <is>
          <t>자본금</t>
        </is>
      </c>
      <c r="B32" s="10" t="n"/>
      <c r="C32" s="19" t="n">
        <v>2500</v>
      </c>
      <c r="D32" s="20" t="n">
        <v>2500</v>
      </c>
      <c r="E32" s="20" t="n">
        <v>2500</v>
      </c>
      <c r="F32" s="20" t="n">
        <v>2500</v>
      </c>
      <c r="G32" s="20" t="n">
        <v>2500</v>
      </c>
      <c r="H32" s="19" t="n">
        <v>2500</v>
      </c>
      <c r="I32" s="20" t="n">
        <v>2500</v>
      </c>
      <c r="J32" s="20" t="n">
        <v>2500</v>
      </c>
      <c r="K32" s="20" t="n">
        <v>2500</v>
      </c>
      <c r="L32" s="20" t="n">
        <v>2500</v>
      </c>
    </row>
    <row r="33">
      <c r="A33" s="18" t="inlineStr">
        <is>
          <t>이익잉여금</t>
        </is>
      </c>
      <c r="B33" s="10" t="n"/>
      <c r="C33" s="19" t="n">
        <v>2959.652</v>
      </c>
      <c r="D33" s="20" t="n">
        <v>3562.627</v>
      </c>
      <c r="E33" s="20" t="n">
        <v>3961.782</v>
      </c>
      <c r="F33" s="20" t="n">
        <v>5567</v>
      </c>
      <c r="G33" s="20" t="n">
        <v>5607</v>
      </c>
      <c r="H33" s="19" t="n">
        <v>4931.603</v>
      </c>
      <c r="I33" s="20" t="n">
        <v>3108.635</v>
      </c>
      <c r="J33" s="20" t="n">
        <v>4051.751</v>
      </c>
      <c r="K33" s="20" t="n">
        <v>3347.091</v>
      </c>
      <c r="L33" s="20" t="n">
        <v>5567</v>
      </c>
    </row>
    <row r="34">
      <c r="A34" s="18" t="inlineStr">
        <is>
          <t>비지배지분</t>
        </is>
      </c>
      <c r="B34" s="10" t="n"/>
      <c r="C34" s="19" t="n">
        <v>0</v>
      </c>
      <c r="D34" s="20" t="n">
        <v>0</v>
      </c>
      <c r="E34" s="20" t="n">
        <v>0</v>
      </c>
      <c r="F34" s="20" t="n">
        <v>0</v>
      </c>
      <c r="G34" s="20" t="n"/>
      <c r="H34" s="19" t="n">
        <v>0</v>
      </c>
      <c r="I34" s="20" t="n">
        <v>6.241</v>
      </c>
      <c r="J34" s="20" t="n">
        <v>13.823</v>
      </c>
      <c r="K34" s="20" t="n">
        <v>9.404999999999999</v>
      </c>
      <c r="L34" s="20" t="n">
        <v>0</v>
      </c>
    </row>
    <row r="35">
      <c r="A35" s="9" t="inlineStr">
        <is>
          <t>자본총계</t>
        </is>
      </c>
      <c r="B35" s="10" t="n"/>
      <c r="C35" s="11" t="n">
        <v>9288.045</v>
      </c>
      <c r="D35" s="12" t="n">
        <v>9782.966</v>
      </c>
      <c r="E35" s="12" t="n">
        <v>10192.31</v>
      </c>
      <c r="F35" s="12" t="n">
        <v>12277</v>
      </c>
      <c r="G35" s="12" t="n">
        <v>12436</v>
      </c>
      <c r="H35" s="11" t="n">
        <v>9735.178</v>
      </c>
      <c r="I35" s="12" t="n">
        <v>8711.181</v>
      </c>
      <c r="J35" s="12" t="n">
        <v>9813.485000000001</v>
      </c>
      <c r="K35" s="12" t="n">
        <v>10098.037</v>
      </c>
      <c r="L35" s="12" t="n">
        <v>12277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2760.053</v>
      </c>
      <c r="E37" s="12" t="n"/>
      <c r="F37" s="12" t="n">
        <v>4012.29</v>
      </c>
      <c r="G37" s="12" t="n"/>
      <c r="H37" s="11" t="n">
        <v>1029.812</v>
      </c>
      <c r="I37" s="12" t="n">
        <v>-1271.312</v>
      </c>
      <c r="J37" s="12" t="n">
        <v>1368.989</v>
      </c>
      <c r="K37" s="12" t="n">
        <v>850.165</v>
      </c>
      <c r="L37" s="12" t="n">
        <v>4012.29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328.339</v>
      </c>
      <c r="E38" s="20" t="n"/>
      <c r="F38" s="20" t="n">
        <v>374.377</v>
      </c>
      <c r="G38" s="20" t="n"/>
      <c r="H38" s="19" t="n">
        <v>750.8680000000001</v>
      </c>
      <c r="I38" s="20" t="n">
        <v>709.835</v>
      </c>
      <c r="J38" s="20" t="n">
        <v>619.053</v>
      </c>
      <c r="K38" s="20" t="n">
        <v>339.742</v>
      </c>
      <c r="L38" s="20" t="n">
        <v>374.377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161.723</v>
      </c>
      <c r="E40" s="20" t="n"/>
      <c r="F40" s="20" t="n">
        <v>161.723</v>
      </c>
      <c r="G40" s="20" t="n"/>
      <c r="H40" s="19" t="n">
        <v>269.543</v>
      </c>
      <c r="I40" s="20" t="n">
        <v>269.54</v>
      </c>
      <c r="J40" s="20" t="n">
        <v>0</v>
      </c>
      <c r="K40" s="20" t="n">
        <v>134.77</v>
      </c>
      <c r="L40" s="20" t="n">
        <v>161.723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IFERROR(IF((IF(COUNT('연간'!G47:J47)&lt;4,"",SUM('연간'!G47:J47)))&lt;=0,"적자",C28/(IF(COUNT('연간'!G47:J47)&lt;4,"",SUM('연간'!G47:J47)))),"")</f>
        <v/>
      </c>
      <c r="D49" s="47">
        <f>IFERROR(IF((IF(COUNT('연간'!H47:K47)&lt;4,"",SUM('연간'!H47:K47)))&lt;=0,"적자",D28/(IF(COUNT('연간'!H47:K47)&lt;4,"",SUM('연간'!H47:K47)))),"")</f>
        <v/>
      </c>
      <c r="E49" s="47">
        <f>IFERROR(IF((IF(COUNT('연간'!I47:L47)&lt;4,"",SUM('연간'!I47:L47)))&lt;=0,"적자",E28/(IF(COUNT('연간'!I47:L47)&lt;4,"",SUM('연간'!I47:L47)))),"")</f>
        <v/>
      </c>
      <c r="F49" s="47">
        <f>IFERROR(IF((IF(COUNT('연간'!J47:M47)&lt;4,"",SUM('연간'!J47:M47)))&lt;=0,"적자",F28/(IF(COUNT('연간'!J47:M47)&lt;4,"",SUM('연간'!J47:M47)))),"")</f>
        <v/>
      </c>
      <c r="G49" s="47">
        <f>IFERROR(IF((IF(COUNT('연간'!K47:N47)&lt;4,"",SUM('연간'!K47:N47)))&lt;=0,"적자",G28/(IF(COUNT('연간'!K47:N47)&lt;4,"",SUM('연간'!K47:N47)))),"")</f>
        <v/>
      </c>
      <c r="H49" s="46">
        <f>IFERROR(IF(('연간'!T47)&lt;=0,"적자",H28/('연간'!T47)),"")</f>
        <v/>
      </c>
      <c r="I49" s="47">
        <f>IFERROR(IF(('연간'!U47)&lt;=0,"적자",I28/('연간'!U47)),"")</f>
        <v/>
      </c>
      <c r="J49" s="47">
        <f>IFERROR(IF(('연간'!V47)&lt;=0,"적자",J28/('연간'!V47)),"")</f>
        <v/>
      </c>
      <c r="K49" s="47">
        <f>IFERROR(IF(('연간'!W47)&lt;=0,"적자",K28/('연간'!W47)),"")</f>
        <v/>
      </c>
      <c r="L49" s="47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4759.411</v>
      </c>
      <c r="D71" s="20" t="n">
        <v>4945.729</v>
      </c>
      <c r="E71" s="20" t="n">
        <v>4473.545</v>
      </c>
      <c r="F71" s="20" t="n">
        <v>4688</v>
      </c>
      <c r="G71" s="20" t="n">
        <v>5808</v>
      </c>
      <c r="H71" s="20" t="n">
        <v>4145.116</v>
      </c>
      <c r="I71" s="20" t="n">
        <v>3683.306</v>
      </c>
      <c r="J71" s="20" t="n">
        <v>3191.204</v>
      </c>
      <c r="K71" s="20" t="n">
        <v>3438.718</v>
      </c>
      <c r="L71" s="20" t="n">
        <v>4688</v>
      </c>
    </row>
    <row r="72">
      <c r="A72" s="18" t="inlineStr">
        <is>
          <t>받을어음·매출채권</t>
        </is>
      </c>
      <c r="C72" s="20" t="n">
        <v>9631.311</v>
      </c>
      <c r="D72" s="20" t="n">
        <v>10080.845</v>
      </c>
      <c r="E72" s="20" t="n">
        <v>10218.493</v>
      </c>
      <c r="H72" s="20" t="n">
        <v>7753.192</v>
      </c>
      <c r="I72" s="20" t="n">
        <v>11296.378</v>
      </c>
      <c r="J72" s="20" t="n">
        <v>11024.927</v>
      </c>
      <c r="K72" s="20" t="n">
        <v>13513.574</v>
      </c>
    </row>
    <row r="73">
      <c r="A73" s="18" t="inlineStr">
        <is>
          <t>받을어음·매출채권·계약자산</t>
        </is>
      </c>
      <c r="F73" s="20" t="n">
        <v>15177</v>
      </c>
      <c r="G73" s="20" t="n">
        <v>13550</v>
      </c>
      <c r="K73" s="20" t="n">
        <v>14204.473</v>
      </c>
      <c r="L73" s="20" t="n">
        <v>15177</v>
      </c>
    </row>
    <row r="74">
      <c r="A74" s="18" t="inlineStr">
        <is>
          <t>전자기록채권</t>
        </is>
      </c>
      <c r="C74" s="20" t="n">
        <v>900.095</v>
      </c>
      <c r="D74" s="20" t="n">
        <v>775.419</v>
      </c>
      <c r="E74" s="20" t="n">
        <v>843.593</v>
      </c>
      <c r="F74" s="20" t="n">
        <v>989</v>
      </c>
      <c r="G74" s="20" t="n">
        <v>1076</v>
      </c>
      <c r="H74" s="20" t="n">
        <v>821.683</v>
      </c>
      <c r="I74" s="20" t="n">
        <v>1215.782</v>
      </c>
      <c r="J74" s="20" t="n">
        <v>1157.19</v>
      </c>
      <c r="K74" s="20" t="n">
        <v>809.5839999999999</v>
      </c>
      <c r="L74" s="20" t="n">
        <v>989</v>
      </c>
    </row>
    <row r="75">
      <c r="A75" s="18" t="inlineStr">
        <is>
          <t>상품·제품</t>
        </is>
      </c>
      <c r="C75" s="20" t="n">
        <v>4332.227</v>
      </c>
      <c r="D75" s="20" t="n">
        <v>4369.038</v>
      </c>
      <c r="E75" s="20" t="n">
        <v>4177.233</v>
      </c>
      <c r="F75" s="20" t="n">
        <v>3940</v>
      </c>
      <c r="G75" s="20" t="n">
        <v>4585</v>
      </c>
      <c r="H75" s="20" t="n">
        <v>3039.37</v>
      </c>
      <c r="I75" s="20" t="n">
        <v>4430.548</v>
      </c>
      <c r="J75" s="20" t="n">
        <v>3836.739</v>
      </c>
      <c r="K75" s="20" t="n">
        <v>3867.308</v>
      </c>
      <c r="L75" s="20" t="n">
        <v>3940</v>
      </c>
    </row>
    <row r="76">
      <c r="A76" s="18" t="inlineStr">
        <is>
          <t>재공품</t>
        </is>
      </c>
      <c r="C76" s="20" t="n">
        <v>1401.285</v>
      </c>
      <c r="D76" s="20" t="n">
        <v>1404.01</v>
      </c>
      <c r="E76" s="20" t="n">
        <v>1530.794</v>
      </c>
      <c r="F76" s="20" t="n">
        <v>1232</v>
      </c>
      <c r="G76" s="20" t="n">
        <v>1624</v>
      </c>
      <c r="H76" s="20" t="n">
        <v>1100.529</v>
      </c>
      <c r="I76" s="20" t="n">
        <v>1314.332</v>
      </c>
      <c r="J76" s="20" t="n">
        <v>1427.979</v>
      </c>
      <c r="K76" s="20" t="n">
        <v>1142.259</v>
      </c>
      <c r="L76" s="20" t="n">
        <v>1232</v>
      </c>
    </row>
    <row r="77">
      <c r="A77" s="18" t="inlineStr">
        <is>
          <t>원재료·저장품</t>
        </is>
      </c>
      <c r="C77" s="20" t="n">
        <v>2921.82</v>
      </c>
      <c r="D77" s="20" t="n">
        <v>2873.052</v>
      </c>
      <c r="E77" s="20" t="n">
        <v>2778.327</v>
      </c>
      <c r="F77" s="20" t="n">
        <v>2464</v>
      </c>
      <c r="G77" s="20" t="n">
        <v>2693</v>
      </c>
      <c r="H77" s="20" t="n">
        <v>2523.491</v>
      </c>
      <c r="I77" s="20" t="n">
        <v>3514.196</v>
      </c>
      <c r="J77" s="20" t="n">
        <v>3285.227</v>
      </c>
      <c r="K77" s="20" t="n">
        <v>3002.179</v>
      </c>
      <c r="L77" s="20" t="n">
        <v>2464</v>
      </c>
    </row>
    <row r="78">
      <c r="A78" s="18" t="inlineStr">
        <is>
          <t>기타</t>
        </is>
      </c>
      <c r="C78" s="20" t="n">
        <v>2152.986</v>
      </c>
      <c r="D78" s="20" t="n">
        <v>1773.642</v>
      </c>
      <c r="E78" s="20" t="n">
        <v>2580.591</v>
      </c>
      <c r="F78" s="20" t="n">
        <v>2366</v>
      </c>
      <c r="G78" s="20" t="n">
        <v>1857</v>
      </c>
      <c r="H78" s="20" t="n">
        <v>1634.278</v>
      </c>
      <c r="I78" s="20" t="n">
        <v>2037.788</v>
      </c>
      <c r="J78" s="20" t="n">
        <v>2535.305</v>
      </c>
      <c r="K78" s="20" t="n">
        <v>2103.655</v>
      </c>
      <c r="L78" s="20" t="n">
        <v>2366</v>
      </c>
    </row>
    <row r="79">
      <c r="A79" s="18" t="inlineStr">
        <is>
          <t>대손충당금</t>
        </is>
      </c>
      <c r="C79" s="20" t="n">
        <v>-160.407</v>
      </c>
      <c r="D79" s="20" t="n">
        <v>-142.105</v>
      </c>
      <c r="E79" s="20" t="n">
        <v>-111.178</v>
      </c>
      <c r="F79" s="20" t="n">
        <v>-128</v>
      </c>
      <c r="G79" s="20" t="n">
        <v>-116</v>
      </c>
      <c r="H79" s="20" t="n">
        <v>-83.181</v>
      </c>
      <c r="I79" s="20" t="n">
        <v>-105.645</v>
      </c>
      <c r="J79" s="20" t="n">
        <v>-97.81</v>
      </c>
      <c r="K79" s="20" t="n">
        <v>-169.444</v>
      </c>
      <c r="L79" s="20" t="n">
        <v>-128</v>
      </c>
    </row>
    <row r="80">
      <c r="A80" s="9" t="inlineStr">
        <is>
          <t>유동자산 합계</t>
        </is>
      </c>
      <c r="C80" s="12" t="n">
        <v>25938.73</v>
      </c>
      <c r="D80" s="12" t="n">
        <v>26079.631</v>
      </c>
      <c r="E80" s="12" t="n">
        <v>26491.4</v>
      </c>
      <c r="F80" s="12" t="n">
        <v>30731</v>
      </c>
      <c r="G80" s="12" t="n">
        <v>31079</v>
      </c>
      <c r="H80" s="12" t="n">
        <v>20934.482</v>
      </c>
      <c r="I80" s="12" t="n">
        <v>27386.688</v>
      </c>
      <c r="J80" s="12" t="n">
        <v>26360.765</v>
      </c>
      <c r="K80" s="12" t="n">
        <v>28398.735</v>
      </c>
      <c r="L80" s="12" t="n">
        <v>30731</v>
      </c>
    </row>
    <row r="81">
      <c r="A81" s="18" t="inlineStr">
        <is>
          <t>건물·구축물</t>
        </is>
      </c>
      <c r="F81" s="20" t="n">
        <v>3327.765</v>
      </c>
      <c r="H81" s="20" t="n">
        <v>3012.957</v>
      </c>
      <c r="I81" s="20" t="n">
        <v>3058.118</v>
      </c>
      <c r="J81" s="20" t="n">
        <v>3186.215</v>
      </c>
      <c r="K81" s="20" t="n">
        <v>3394.308</v>
      </c>
      <c r="L81" s="20" t="n">
        <v>3327.765</v>
      </c>
    </row>
    <row r="82">
      <c r="A82" s="18" t="inlineStr">
        <is>
          <t>감가상각누계액</t>
        </is>
      </c>
      <c r="F82" s="20" t="n">
        <v>-2391.477</v>
      </c>
      <c r="H82" s="20" t="n">
        <v>-2021.661</v>
      </c>
      <c r="I82" s="20" t="n">
        <v>-2023.939</v>
      </c>
      <c r="J82" s="20" t="n">
        <v>-2123.244</v>
      </c>
      <c r="K82" s="20" t="n">
        <v>-2423.383</v>
      </c>
      <c r="L82" s="20" t="n">
        <v>-2391.477</v>
      </c>
    </row>
    <row r="83">
      <c r="A83" s="18" t="inlineStr">
        <is>
          <t>건물·구축물(순액)</t>
        </is>
      </c>
      <c r="C83" s="20" t="n">
        <v>947.325</v>
      </c>
      <c r="D83" s="20" t="n">
        <v>949.427</v>
      </c>
      <c r="E83" s="20" t="n">
        <v>932.271</v>
      </c>
      <c r="F83" s="20" t="n">
        <v>936</v>
      </c>
      <c r="G83" s="20" t="n">
        <v>922</v>
      </c>
      <c r="H83" s="20" t="n">
        <v>991.296</v>
      </c>
      <c r="I83" s="20" t="n">
        <v>1034.179</v>
      </c>
      <c r="J83" s="20" t="n">
        <v>1062.971</v>
      </c>
      <c r="K83" s="20" t="n">
        <v>970.925</v>
      </c>
      <c r="L83" s="20" t="n">
        <v>936</v>
      </c>
    </row>
    <row r="84">
      <c r="A84" s="18" t="inlineStr">
        <is>
          <t>기계장치·운반구</t>
        </is>
      </c>
      <c r="F84" s="20" t="n">
        <v>1291.336</v>
      </c>
      <c r="H84" s="20" t="n">
        <v>967.066</v>
      </c>
      <c r="I84" s="20" t="n">
        <v>994.974</v>
      </c>
      <c r="J84" s="20" t="n">
        <v>1166.896</v>
      </c>
      <c r="K84" s="20" t="n">
        <v>1582.874</v>
      </c>
      <c r="L84" s="20" t="n">
        <v>1291.336</v>
      </c>
    </row>
    <row r="85">
      <c r="A85" s="18" t="inlineStr">
        <is>
          <t>감가상각누계액</t>
        </is>
      </c>
      <c r="F85" s="20" t="n">
        <v>-845.2089999999999</v>
      </c>
      <c r="H85" s="20" t="n">
        <v>-530.4690000000001</v>
      </c>
      <c r="I85" s="20" t="n">
        <v>-545.147</v>
      </c>
      <c r="J85" s="20" t="n">
        <v>-564.205</v>
      </c>
      <c r="K85" s="20" t="n">
        <v>-1028.857</v>
      </c>
      <c r="L85" s="20" t="n">
        <v>-845.2089999999999</v>
      </c>
    </row>
    <row r="86">
      <c r="A86" s="18" t="inlineStr">
        <is>
          <t>기계장치·운반구(순액)</t>
        </is>
      </c>
      <c r="F86" s="20" t="n">
        <v>446.126</v>
      </c>
      <c r="H86" s="20" t="n">
        <v>436.597</v>
      </c>
      <c r="I86" s="20" t="n">
        <v>449.826</v>
      </c>
      <c r="J86" s="20" t="n">
        <v>602.691</v>
      </c>
      <c r="K86" s="20" t="n">
        <v>554.0170000000001</v>
      </c>
      <c r="L86" s="20" t="n">
        <v>446.126</v>
      </c>
    </row>
    <row r="87">
      <c r="A87" s="18" t="inlineStr">
        <is>
          <t>토지</t>
        </is>
      </c>
      <c r="C87" s="20" t="n">
        <v>2769.656</v>
      </c>
      <c r="D87" s="20" t="n">
        <v>2729.431</v>
      </c>
      <c r="E87" s="20" t="n">
        <v>2729.431</v>
      </c>
      <c r="F87" s="20" t="n">
        <v>2767</v>
      </c>
      <c r="G87" s="20" t="n">
        <v>2767</v>
      </c>
      <c r="H87" s="20" t="n">
        <v>2541.88</v>
      </c>
      <c r="I87" s="20" t="n">
        <v>2541.88</v>
      </c>
      <c r="J87" s="20" t="n">
        <v>2588.962</v>
      </c>
      <c r="K87" s="20" t="n">
        <v>2769.656</v>
      </c>
      <c r="L87" s="20" t="n">
        <v>2767</v>
      </c>
    </row>
    <row r="88">
      <c r="A88" s="18" t="inlineStr">
        <is>
          <t>리스자산</t>
        </is>
      </c>
      <c r="F88" s="20" t="n">
        <v>1455.149</v>
      </c>
      <c r="H88" s="20" t="n">
        <v>677.2380000000001</v>
      </c>
      <c r="I88" s="20" t="n">
        <v>809.3099999999999</v>
      </c>
      <c r="J88" s="20" t="n">
        <v>1102.667</v>
      </c>
      <c r="K88" s="20" t="n">
        <v>1341.577</v>
      </c>
      <c r="L88" s="20" t="n">
        <v>1455.149</v>
      </c>
    </row>
    <row r="89">
      <c r="A89" s="18" t="inlineStr">
        <is>
          <t>감가상각누계액</t>
        </is>
      </c>
      <c r="F89" s="20" t="n">
        <v>-903.29</v>
      </c>
      <c r="H89" s="20" t="n">
        <v>-301.821</v>
      </c>
      <c r="I89" s="20" t="n">
        <v>-463.062</v>
      </c>
      <c r="J89" s="20" t="n">
        <v>-465.297</v>
      </c>
      <c r="K89" s="20" t="n">
        <v>-742.951</v>
      </c>
      <c r="L89" s="20" t="n">
        <v>-903.29</v>
      </c>
    </row>
    <row r="90">
      <c r="A90" s="18" t="inlineStr">
        <is>
          <t>리스자산(순액)</t>
        </is>
      </c>
      <c r="F90" s="20" t="n">
        <v>551.859</v>
      </c>
      <c r="H90" s="20" t="n">
        <v>375.417</v>
      </c>
      <c r="I90" s="20" t="n">
        <v>346.247</v>
      </c>
      <c r="J90" s="20" t="n">
        <v>637.369</v>
      </c>
      <c r="K90" s="20" t="n">
        <v>598.626</v>
      </c>
      <c r="L90" s="20" t="n">
        <v>551.859</v>
      </c>
    </row>
    <row r="91">
      <c r="A91" s="18" t="inlineStr">
        <is>
          <t>건설중인자산</t>
        </is>
      </c>
      <c r="F91" s="20" t="n">
        <v>102.197</v>
      </c>
      <c r="H91" s="20" t="n">
        <v>46.017</v>
      </c>
      <c r="I91" s="20" t="n">
        <v>29.137</v>
      </c>
      <c r="J91" s="20" t="n">
        <v>126.284</v>
      </c>
      <c r="K91" s="20" t="n">
        <v>114.243</v>
      </c>
      <c r="L91" s="20" t="n">
        <v>102.197</v>
      </c>
    </row>
    <row r="92">
      <c r="A92" s="18" t="inlineStr">
        <is>
          <t>기타</t>
        </is>
      </c>
      <c r="F92" s="20" t="n">
        <v>2224.656</v>
      </c>
      <c r="H92" s="20" t="n">
        <v>1778.725</v>
      </c>
      <c r="I92" s="20" t="n">
        <v>1941.206</v>
      </c>
      <c r="J92" s="20" t="n">
        <v>1949.535</v>
      </c>
      <c r="K92" s="20" t="n">
        <v>2352.956</v>
      </c>
      <c r="L92" s="20" t="n">
        <v>2224.656</v>
      </c>
    </row>
    <row r="93">
      <c r="A93" s="18" t="inlineStr">
        <is>
          <t>감가상각누계액</t>
        </is>
      </c>
      <c r="F93" s="20" t="n">
        <v>-1869.784</v>
      </c>
      <c r="H93" s="20" t="n">
        <v>-1479.874</v>
      </c>
      <c r="I93" s="20" t="n">
        <v>-1587.927</v>
      </c>
      <c r="J93" s="20" t="n">
        <v>-1606.086</v>
      </c>
      <c r="K93" s="20" t="n">
        <v>-1996.62</v>
      </c>
      <c r="L93" s="20" t="n">
        <v>-1869.784</v>
      </c>
    </row>
    <row r="94">
      <c r="A94" s="18" t="inlineStr">
        <is>
          <t>기타(순액)</t>
        </is>
      </c>
      <c r="C94" s="20" t="n">
        <v>1621.767</v>
      </c>
      <c r="D94" s="20" t="n">
        <v>1534.962</v>
      </c>
      <c r="E94" s="20" t="n">
        <v>1517.964</v>
      </c>
      <c r="F94" s="20" t="n">
        <v>1455</v>
      </c>
      <c r="G94" s="20" t="n">
        <v>1553</v>
      </c>
      <c r="H94" s="20" t="n">
        <v>298.85</v>
      </c>
      <c r="I94" s="20" t="n">
        <v>353.278</v>
      </c>
      <c r="J94" s="20" t="n">
        <v>343.449</v>
      </c>
      <c r="K94" s="20" t="n">
        <v>356.335</v>
      </c>
      <c r="L94" s="20" t="n">
        <v>1455</v>
      </c>
    </row>
    <row r="95">
      <c r="A95" s="18" t="inlineStr">
        <is>
          <t>유형자산 합계</t>
        </is>
      </c>
      <c r="C95" s="20" t="n">
        <v>5338.75</v>
      </c>
      <c r="D95" s="20" t="n">
        <v>5213.82</v>
      </c>
      <c r="E95" s="20" t="n">
        <v>5179.666</v>
      </c>
      <c r="F95" s="20" t="n">
        <v>5158</v>
      </c>
      <c r="G95" s="20" t="n">
        <v>5244</v>
      </c>
      <c r="H95" s="20" t="n">
        <v>4690.059</v>
      </c>
      <c r="I95" s="20" t="n">
        <v>4754.55</v>
      </c>
      <c r="J95" s="20" t="n">
        <v>5361.729</v>
      </c>
      <c r="K95" s="20" t="n">
        <v>5363.805</v>
      </c>
      <c r="L95" s="20" t="n">
        <v>5158</v>
      </c>
    </row>
    <row r="96">
      <c r="A96" s="18" t="inlineStr">
        <is>
          <t>영업권</t>
        </is>
      </c>
      <c r="C96" s="20" t="n">
        <v>727.035</v>
      </c>
      <c r="D96" s="20" t="n">
        <v>826.129</v>
      </c>
      <c r="E96" s="20" t="n">
        <v>727.423</v>
      </c>
      <c r="F96" s="20" t="n">
        <v>997</v>
      </c>
      <c r="G96" s="20" t="n">
        <v>938</v>
      </c>
      <c r="H96" s="20" t="n">
        <v>2526.122</v>
      </c>
      <c r="I96" s="20" t="n">
        <v>1454.908</v>
      </c>
      <c r="J96" s="20" t="n">
        <v>1308.266</v>
      </c>
      <c r="K96" s="20" t="n">
        <v>823.1900000000001</v>
      </c>
      <c r="L96" s="20" t="n">
        <v>997</v>
      </c>
    </row>
    <row r="97">
      <c r="A97" s="18" t="inlineStr">
        <is>
          <t>고객관계자산</t>
        </is>
      </c>
      <c r="F97" s="20" t="n">
        <v>983.859</v>
      </c>
      <c r="H97" s="20" t="n">
        <v>1033.502</v>
      </c>
      <c r="I97" s="20" t="n">
        <v>1090.594</v>
      </c>
      <c r="J97" s="20" t="n">
        <v>1072.511</v>
      </c>
      <c r="K97" s="20" t="n">
        <v>1052.833</v>
      </c>
      <c r="L97" s="20" t="n">
        <v>983.859</v>
      </c>
    </row>
    <row r="98">
      <c r="A98" s="18" t="inlineStr">
        <is>
          <t>소프트웨어</t>
        </is>
      </c>
      <c r="F98" s="20" t="n">
        <v>229.28</v>
      </c>
      <c r="H98" s="20" t="n">
        <v>463.081</v>
      </c>
      <c r="I98" s="20" t="n">
        <v>409.088</v>
      </c>
      <c r="J98" s="20" t="n">
        <v>335.764</v>
      </c>
      <c r="K98" s="20" t="n">
        <v>330.151</v>
      </c>
      <c r="L98" s="20" t="n">
        <v>229.28</v>
      </c>
    </row>
    <row r="99">
      <c r="A99" s="18" t="inlineStr">
        <is>
          <t>개발 중 소프트웨어</t>
        </is>
      </c>
      <c r="F99" s="20" t="n">
        <v>2.331</v>
      </c>
      <c r="H99" s="20" t="n">
        <v>117.615</v>
      </c>
      <c r="I99" s="20" t="n">
        <v>21.753</v>
      </c>
      <c r="J99" s="20" t="n">
        <v>7.463</v>
      </c>
      <c r="K99" s="20" t="n">
        <v>0</v>
      </c>
      <c r="L99" s="20" t="n">
        <v>2.331</v>
      </c>
    </row>
    <row r="100">
      <c r="A100" s="18" t="inlineStr">
        <is>
          <t>기타</t>
        </is>
      </c>
      <c r="C100" s="20" t="n">
        <v>1280.341</v>
      </c>
      <c r="D100" s="20" t="n">
        <v>1245.693</v>
      </c>
      <c r="E100" s="20" t="n">
        <v>1217.173</v>
      </c>
      <c r="F100" s="20" t="n">
        <v>1225</v>
      </c>
      <c r="G100" s="20" t="n">
        <v>1207</v>
      </c>
      <c r="H100" s="20" t="n">
        <v>22.22</v>
      </c>
      <c r="I100" s="20" t="n">
        <v>18.115</v>
      </c>
      <c r="J100" s="20" t="n">
        <v>14.918</v>
      </c>
      <c r="K100" s="20" t="n">
        <v>13.754</v>
      </c>
      <c r="L100" s="20" t="n">
        <v>1225</v>
      </c>
    </row>
    <row r="101">
      <c r="A101" s="18" t="inlineStr">
        <is>
          <t>무형자산 합계</t>
        </is>
      </c>
      <c r="C101" s="20" t="n">
        <v>2007.377</v>
      </c>
      <c r="D101" s="20" t="n">
        <v>2071.822</v>
      </c>
      <c r="E101" s="20" t="n">
        <v>1944.596</v>
      </c>
      <c r="F101" s="20" t="n">
        <v>2223</v>
      </c>
      <c r="G101" s="20" t="n">
        <v>2146</v>
      </c>
      <c r="H101" s="20" t="n">
        <v>4162.542</v>
      </c>
      <c r="I101" s="20" t="n">
        <v>2994.46</v>
      </c>
      <c r="J101" s="20" t="n">
        <v>2738.924</v>
      </c>
      <c r="K101" s="20" t="n">
        <v>2219.929</v>
      </c>
      <c r="L101" s="20" t="n">
        <v>2223</v>
      </c>
    </row>
    <row r="102">
      <c r="A102" s="18" t="inlineStr">
        <is>
          <t>투자유가증권</t>
        </is>
      </c>
      <c r="F102" s="20" t="n">
        <v>373.697</v>
      </c>
      <c r="H102" s="20" t="n">
        <v>808.782</v>
      </c>
      <c r="I102" s="20" t="n">
        <v>879.903</v>
      </c>
      <c r="J102" s="20" t="n">
        <v>387.179</v>
      </c>
      <c r="K102" s="20" t="n">
        <v>457.291</v>
      </c>
      <c r="L102" s="20" t="n">
        <v>373.697</v>
      </c>
    </row>
    <row r="103">
      <c r="A103" s="18" t="inlineStr">
        <is>
          <t>이연법인세자산</t>
        </is>
      </c>
      <c r="F103" s="20" t="n">
        <v>314.553</v>
      </c>
      <c r="H103" s="20" t="n">
        <v>693.442</v>
      </c>
      <c r="I103" s="20" t="n">
        <v>171.942</v>
      </c>
      <c r="J103" s="20" t="n">
        <v>268.858</v>
      </c>
      <c r="K103" s="20" t="n">
        <v>311.589</v>
      </c>
      <c r="L103" s="20" t="n">
        <v>314.553</v>
      </c>
    </row>
    <row r="104">
      <c r="A104" s="18" t="inlineStr">
        <is>
          <t>기타</t>
        </is>
      </c>
      <c r="C104" s="20" t="n">
        <v>1407.972</v>
      </c>
      <c r="D104" s="20" t="n">
        <v>1259.702</v>
      </c>
      <c r="E104" s="20" t="n">
        <v>1383.911</v>
      </c>
      <c r="F104" s="20" t="n">
        <v>1301</v>
      </c>
      <c r="G104" s="20" t="n">
        <v>1433</v>
      </c>
      <c r="H104" s="20" t="n">
        <v>530.062</v>
      </c>
      <c r="I104" s="20" t="n">
        <v>755.72</v>
      </c>
      <c r="J104" s="20" t="n">
        <v>1014.831</v>
      </c>
      <c r="K104" s="20" t="n">
        <v>687.475</v>
      </c>
      <c r="L104" s="20" t="n">
        <v>1301</v>
      </c>
    </row>
    <row r="105">
      <c r="A105" s="18" t="inlineStr">
        <is>
          <t>대손충당금</t>
        </is>
      </c>
      <c r="C105" s="20" t="n">
        <v>-41.816</v>
      </c>
      <c r="D105" s="20" t="n">
        <v>-41.816</v>
      </c>
      <c r="E105" s="20" t="n">
        <v>-41.816</v>
      </c>
      <c r="F105" s="20" t="n">
        <v>-3</v>
      </c>
      <c r="G105" s="20" t="n">
        <v>-3</v>
      </c>
      <c r="H105" s="20" t="n">
        <v>-38.333</v>
      </c>
      <c r="I105" s="20" t="n">
        <v>-39.752</v>
      </c>
      <c r="J105" s="20" t="n">
        <v>-39.752</v>
      </c>
      <c r="K105" s="20" t="n">
        <v>-41.816</v>
      </c>
      <c r="L105" s="20" t="n">
        <v>-3</v>
      </c>
    </row>
    <row r="106">
      <c r="A106" s="18" t="inlineStr">
        <is>
          <t>투자 및 기타자산 합계</t>
        </is>
      </c>
      <c r="C106" s="20" t="n">
        <v>1366.156</v>
      </c>
      <c r="D106" s="20" t="n">
        <v>1217.885</v>
      </c>
      <c r="E106" s="20" t="n">
        <v>1342.095</v>
      </c>
      <c r="F106" s="20" t="n">
        <v>1298</v>
      </c>
      <c r="G106" s="20" t="n">
        <v>1430</v>
      </c>
      <c r="H106" s="20" t="n">
        <v>1993.953</v>
      </c>
      <c r="I106" s="20" t="n">
        <v>1767.814</v>
      </c>
      <c r="J106" s="20" t="n">
        <v>1631.116</v>
      </c>
      <c r="K106" s="20" t="n">
        <v>1414.54</v>
      </c>
      <c r="L106" s="20" t="n">
        <v>1298</v>
      </c>
    </row>
    <row r="107">
      <c r="A107" s="9" t="inlineStr">
        <is>
          <t>비유동자산 합계</t>
        </is>
      </c>
      <c r="C107" s="12" t="n">
        <v>8712.282999999999</v>
      </c>
      <c r="D107" s="12" t="n">
        <v>8503.528</v>
      </c>
      <c r="E107" s="12" t="n">
        <v>8466.358</v>
      </c>
      <c r="F107" s="12" t="n">
        <v>8680</v>
      </c>
      <c r="G107" s="12" t="n">
        <v>8820</v>
      </c>
      <c r="H107" s="12" t="n">
        <v>10846.555</v>
      </c>
      <c r="I107" s="12" t="n">
        <v>9516.825000000001</v>
      </c>
      <c r="J107" s="12" t="n">
        <v>9731.77</v>
      </c>
      <c r="K107" s="12" t="n">
        <v>8998.273999999999</v>
      </c>
      <c r="L107" s="12" t="n">
        <v>8680</v>
      </c>
    </row>
    <row r="108">
      <c r="A108" s="9" t="inlineStr">
        <is>
          <t>자산 합계</t>
        </is>
      </c>
      <c r="C108" s="12" t="n">
        <v>34651.014</v>
      </c>
      <c r="D108" s="12" t="n">
        <v>34583.16</v>
      </c>
      <c r="E108" s="12" t="n">
        <v>34957.759</v>
      </c>
      <c r="F108" s="12" t="n">
        <v>39412</v>
      </c>
      <c r="G108" s="12" t="n">
        <v>39899</v>
      </c>
      <c r="H108" s="12" t="n">
        <v>31781.037</v>
      </c>
      <c r="I108" s="12" t="n">
        <v>36903.513</v>
      </c>
      <c r="J108" s="12" t="n">
        <v>36092.535</v>
      </c>
      <c r="K108" s="12" t="n">
        <v>37397.01</v>
      </c>
      <c r="L108" s="12" t="n">
        <v>39412</v>
      </c>
    </row>
    <row r="109">
      <c r="A109" s="18" t="inlineStr">
        <is>
          <t>지급어음·매입채무</t>
        </is>
      </c>
      <c r="C109" s="20" t="n">
        <v>4958.806</v>
      </c>
      <c r="D109" s="20" t="n">
        <v>4463.274</v>
      </c>
      <c r="E109" s="20" t="n">
        <v>4769.16</v>
      </c>
      <c r="F109" s="20" t="n">
        <v>6944</v>
      </c>
      <c r="G109" s="20" t="n">
        <v>5786</v>
      </c>
      <c r="H109" s="20" t="n">
        <v>4489.846</v>
      </c>
      <c r="I109" s="20" t="n">
        <v>8388.380999999999</v>
      </c>
      <c r="J109" s="20" t="n">
        <v>6082.846</v>
      </c>
      <c r="K109" s="20" t="n">
        <v>5713.329</v>
      </c>
      <c r="L109" s="20" t="n">
        <v>6944</v>
      </c>
    </row>
    <row r="110">
      <c r="A110" s="18" t="inlineStr">
        <is>
          <t>전자기록채무</t>
        </is>
      </c>
      <c r="F110" s="20" t="n">
        <v>192</v>
      </c>
      <c r="G110" s="20" t="n">
        <v>260</v>
      </c>
      <c r="K110" s="20" t="n">
        <v>548.864</v>
      </c>
      <c r="L110" s="20" t="n">
        <v>192</v>
      </c>
    </row>
    <row r="111">
      <c r="A111" s="18" t="inlineStr">
        <is>
          <t>단기차입금</t>
        </is>
      </c>
      <c r="C111" s="20" t="n">
        <v>8931.018</v>
      </c>
      <c r="D111" s="20" t="n">
        <v>9155.949000000001</v>
      </c>
      <c r="E111" s="20" t="n">
        <v>8756.442999999999</v>
      </c>
      <c r="F111" s="20" t="n">
        <v>8166</v>
      </c>
      <c r="G111" s="20" t="n">
        <v>10021</v>
      </c>
      <c r="H111" s="20" t="n">
        <v>9168.540000000001</v>
      </c>
      <c r="I111" s="20" t="n">
        <v>11190.648</v>
      </c>
      <c r="J111" s="20" t="n">
        <v>10775.909</v>
      </c>
      <c r="K111" s="20" t="n">
        <v>9623.762000000001</v>
      </c>
      <c r="L111" s="20" t="n">
        <v>8166</v>
      </c>
    </row>
    <row r="112">
      <c r="A112" s="18" t="inlineStr">
        <is>
          <t>1년 내 상환 사채</t>
        </is>
      </c>
      <c r="H112" s="20" t="n">
        <v>50</v>
      </c>
      <c r="I112" s="20" t="n">
        <v>0</v>
      </c>
    </row>
    <row r="113">
      <c r="A113" s="18" t="inlineStr">
        <is>
          <t>1년 내 상환 장기차입금</t>
        </is>
      </c>
      <c r="C113" s="20" t="n">
        <v>2479.217</v>
      </c>
      <c r="D113" s="20" t="n">
        <v>2307.82</v>
      </c>
      <c r="E113" s="20" t="n">
        <v>2124.441</v>
      </c>
      <c r="F113" s="20" t="n">
        <v>1944</v>
      </c>
      <c r="G113" s="20" t="n">
        <v>1856</v>
      </c>
      <c r="K113" s="20" t="n">
        <v>2434.983</v>
      </c>
      <c r="L113" s="20" t="n">
        <v>1944</v>
      </c>
    </row>
    <row r="114">
      <c r="A114" s="18" t="inlineStr">
        <is>
          <t>리스부채</t>
        </is>
      </c>
      <c r="F114" s="20" t="n">
        <v>272.063</v>
      </c>
      <c r="H114" s="20" t="n">
        <v>172.851</v>
      </c>
      <c r="I114" s="20" t="n">
        <v>172.021</v>
      </c>
      <c r="J114" s="20" t="n">
        <v>215.439</v>
      </c>
      <c r="K114" s="20" t="n">
        <v>255.172</v>
      </c>
      <c r="L114" s="20" t="n">
        <v>272.063</v>
      </c>
    </row>
    <row r="115">
      <c r="A115" s="18" t="inlineStr">
        <is>
          <t>미지급법인세</t>
        </is>
      </c>
      <c r="C115" s="20" t="n">
        <v>147.792</v>
      </c>
      <c r="D115" s="20" t="n">
        <v>363.964</v>
      </c>
      <c r="E115" s="20" t="n">
        <v>422.578</v>
      </c>
      <c r="F115" s="20" t="n">
        <v>683</v>
      </c>
      <c r="G115" s="20" t="n">
        <v>311</v>
      </c>
      <c r="H115" s="20" t="n">
        <v>303.885</v>
      </c>
      <c r="I115" s="20" t="n">
        <v>261.2</v>
      </c>
      <c r="J115" s="20" t="n">
        <v>271.644</v>
      </c>
      <c r="K115" s="20" t="n">
        <v>226.144</v>
      </c>
      <c r="L115" s="20" t="n">
        <v>683</v>
      </c>
    </row>
    <row r="116">
      <c r="A116" s="18" t="inlineStr">
        <is>
          <t>상여충당금</t>
        </is>
      </c>
      <c r="C116" s="20" t="n">
        <v>159.01</v>
      </c>
      <c r="D116" s="20" t="n">
        <v>360.424</v>
      </c>
      <c r="E116" s="20" t="n">
        <v>198.823</v>
      </c>
      <c r="F116" s="20" t="n">
        <v>391</v>
      </c>
      <c r="G116" s="20" t="n">
        <v>262</v>
      </c>
      <c r="H116" s="20" t="n">
        <v>234.951</v>
      </c>
      <c r="I116" s="20" t="n">
        <v>247.69</v>
      </c>
      <c r="J116" s="20" t="n">
        <v>272.498</v>
      </c>
      <c r="K116" s="20" t="n">
        <v>309.424</v>
      </c>
      <c r="L116" s="20" t="n">
        <v>391</v>
      </c>
    </row>
    <row r="117">
      <c r="A117" s="18" t="inlineStr">
        <is>
          <t>기타</t>
        </is>
      </c>
      <c r="C117" s="20" t="n">
        <v>3411.916</v>
      </c>
      <c r="D117" s="20" t="n">
        <v>3397.672</v>
      </c>
      <c r="E117" s="20" t="n">
        <v>3974.085</v>
      </c>
      <c r="F117" s="20" t="n">
        <v>5239</v>
      </c>
      <c r="G117" s="20" t="n">
        <v>5820</v>
      </c>
      <c r="H117" s="20" t="n">
        <v>2126.433</v>
      </c>
      <c r="I117" s="20" t="n">
        <v>2498.867</v>
      </c>
      <c r="J117" s="20" t="n">
        <v>3509.228</v>
      </c>
      <c r="K117" s="20" t="n">
        <v>3449.229</v>
      </c>
      <c r="L117" s="20" t="n">
        <v>5239</v>
      </c>
    </row>
    <row r="118">
      <c r="A118" s="9" t="inlineStr">
        <is>
          <t>유동부채 합계</t>
        </is>
      </c>
      <c r="C118" s="12" t="n">
        <v>20087.762</v>
      </c>
      <c r="D118" s="12" t="n">
        <v>20049.106</v>
      </c>
      <c r="E118" s="12" t="n">
        <v>20245.533</v>
      </c>
      <c r="F118" s="12" t="n">
        <v>23562</v>
      </c>
      <c r="G118" s="12" t="n">
        <v>24319</v>
      </c>
      <c r="H118" s="12" t="n">
        <v>16546.508</v>
      </c>
      <c r="I118" s="12" t="n">
        <v>22758.809</v>
      </c>
      <c r="J118" s="12" t="n">
        <v>21127.567</v>
      </c>
      <c r="K118" s="12" t="n">
        <v>22560.911</v>
      </c>
      <c r="L118" s="12" t="n">
        <v>23562</v>
      </c>
    </row>
    <row r="119">
      <c r="A119" s="18" t="inlineStr">
        <is>
          <t>사채</t>
        </is>
      </c>
      <c r="H119" s="20" t="n">
        <v>0</v>
      </c>
    </row>
    <row r="120">
      <c r="A120" s="18" t="inlineStr">
        <is>
          <t>장기차입금</t>
        </is>
      </c>
      <c r="C120" s="20" t="n">
        <v>4390.955</v>
      </c>
      <c r="D120" s="20" t="n">
        <v>3910.784</v>
      </c>
      <c r="E120" s="20" t="n">
        <v>3704.117</v>
      </c>
      <c r="F120" s="20" t="n">
        <v>2874</v>
      </c>
      <c r="G120" s="20" t="n">
        <v>2456</v>
      </c>
      <c r="H120" s="20" t="n">
        <v>4676.169</v>
      </c>
      <c r="I120" s="20" t="n">
        <v>4698.09</v>
      </c>
      <c r="J120" s="20" t="n">
        <v>4211.652</v>
      </c>
      <c r="K120" s="20" t="n">
        <v>3877.465</v>
      </c>
      <c r="L120" s="20" t="n">
        <v>2874</v>
      </c>
    </row>
    <row r="121">
      <c r="A121" s="18" t="inlineStr">
        <is>
          <t>리스부채</t>
        </is>
      </c>
      <c r="F121" s="20" t="n">
        <v>343.339</v>
      </c>
      <c r="H121" s="20" t="n">
        <v>245.263</v>
      </c>
      <c r="I121" s="20" t="n">
        <v>237.113</v>
      </c>
      <c r="J121" s="20" t="n">
        <v>480.274</v>
      </c>
      <c r="K121" s="20" t="n">
        <v>402.556</v>
      </c>
      <c r="L121" s="20" t="n">
        <v>343.339</v>
      </c>
    </row>
    <row r="122">
      <c r="A122" s="18" t="inlineStr">
        <is>
          <t>이연법인세부채</t>
        </is>
      </c>
      <c r="F122" s="20" t="n">
        <v>217.829</v>
      </c>
      <c r="H122" s="20" t="n">
        <v>221.159</v>
      </c>
      <c r="I122" s="20" t="n">
        <v>290.383</v>
      </c>
      <c r="J122" s="20" t="n">
        <v>275.525</v>
      </c>
      <c r="K122" s="20" t="n">
        <v>332.094</v>
      </c>
      <c r="L122" s="20" t="n">
        <v>217.829</v>
      </c>
    </row>
    <row r="123">
      <c r="A123" s="18" t="inlineStr">
        <is>
          <t>퇴직급여부채</t>
        </is>
      </c>
      <c r="C123" s="20" t="n">
        <v>13.443</v>
      </c>
      <c r="D123" s="20" t="n">
        <v>13.294</v>
      </c>
      <c r="E123" s="20" t="n">
        <v>13.257</v>
      </c>
      <c r="F123" s="20" t="n">
        <v>25</v>
      </c>
      <c r="G123" s="20" t="n">
        <v>21</v>
      </c>
      <c r="H123" s="20" t="n">
        <v>140.09</v>
      </c>
      <c r="I123" s="20" t="n">
        <v>61.881</v>
      </c>
      <c r="J123" s="20" t="n">
        <v>18.896</v>
      </c>
      <c r="K123" s="20" t="n">
        <v>14.092</v>
      </c>
      <c r="L123" s="20" t="n">
        <v>25</v>
      </c>
    </row>
    <row r="124">
      <c r="A124" s="18" t="inlineStr">
        <is>
          <t>기타</t>
        </is>
      </c>
      <c r="C124" s="20" t="n">
        <v>870.807</v>
      </c>
      <c r="D124" s="20" t="n">
        <v>827.008</v>
      </c>
      <c r="E124" s="20" t="n">
        <v>802.54</v>
      </c>
      <c r="F124" s="20" t="n">
        <v>671</v>
      </c>
      <c r="G124" s="20" t="n">
        <v>665</v>
      </c>
      <c r="H124" s="20" t="n">
        <v>216.667</v>
      </c>
      <c r="I124" s="20" t="n">
        <v>146.052</v>
      </c>
      <c r="J124" s="20" t="n">
        <v>165.133</v>
      </c>
      <c r="K124" s="20" t="n">
        <v>111.853</v>
      </c>
      <c r="L124" s="20" t="n">
        <v>671</v>
      </c>
    </row>
    <row r="125">
      <c r="A125" s="9" t="inlineStr">
        <is>
          <t>비유동부채 합계</t>
        </is>
      </c>
      <c r="C125" s="12" t="n">
        <v>5275.207</v>
      </c>
      <c r="D125" s="12" t="n">
        <v>4751.087</v>
      </c>
      <c r="E125" s="12" t="n">
        <v>4519.915</v>
      </c>
      <c r="F125" s="12" t="n">
        <v>3572</v>
      </c>
      <c r="G125" s="12" t="n">
        <v>3143</v>
      </c>
      <c r="H125" s="12" t="n">
        <v>5499.35</v>
      </c>
      <c r="I125" s="12" t="n">
        <v>5433.521</v>
      </c>
      <c r="J125" s="12" t="n">
        <v>5151.482</v>
      </c>
      <c r="K125" s="12" t="n">
        <v>4738.061</v>
      </c>
      <c r="L125" s="12" t="n">
        <v>3572</v>
      </c>
    </row>
    <row r="126">
      <c r="A126" s="9" t="inlineStr">
        <is>
          <t>부채 합계</t>
        </is>
      </c>
      <c r="C126" s="12" t="n">
        <v>25362.969</v>
      </c>
      <c r="D126" s="12" t="n">
        <v>24800.194</v>
      </c>
      <c r="E126" s="12" t="n">
        <v>24765.448</v>
      </c>
      <c r="F126" s="12" t="n">
        <v>27134</v>
      </c>
      <c r="G126" s="12" t="n">
        <v>27462</v>
      </c>
      <c r="H126" s="12" t="n">
        <v>22045.859</v>
      </c>
      <c r="I126" s="12" t="n">
        <v>28192.331</v>
      </c>
      <c r="J126" s="12" t="n">
        <v>26279.049</v>
      </c>
      <c r="K126" s="12" t="n">
        <v>27298.973</v>
      </c>
      <c r="L126" s="12" t="n">
        <v>27134</v>
      </c>
    </row>
    <row r="127">
      <c r="A127" s="18" t="inlineStr">
        <is>
          <t>자본금</t>
        </is>
      </c>
      <c r="C127" s="20" t="n">
        <v>2500</v>
      </c>
      <c r="D127" s="20" t="n">
        <v>2500</v>
      </c>
      <c r="E127" s="20" t="n">
        <v>2500</v>
      </c>
      <c r="F127" s="20" t="n">
        <v>2500</v>
      </c>
      <c r="G127" s="20" t="n">
        <v>2500</v>
      </c>
      <c r="H127" s="20" t="n">
        <v>2500</v>
      </c>
      <c r="I127" s="20" t="n">
        <v>2500</v>
      </c>
      <c r="J127" s="20" t="n">
        <v>2500</v>
      </c>
      <c r="K127" s="20" t="n">
        <v>2500</v>
      </c>
      <c r="L127" s="20" t="n">
        <v>2500</v>
      </c>
    </row>
    <row r="128">
      <c r="A128" s="18" t="inlineStr">
        <is>
          <t>자본잉여금</t>
        </is>
      </c>
      <c r="C128" s="20" t="n">
        <v>3447.621</v>
      </c>
      <c r="D128" s="20" t="n">
        <v>3447.621</v>
      </c>
      <c r="E128" s="20" t="n">
        <v>3447.621</v>
      </c>
      <c r="F128" s="20" t="n">
        <v>3447</v>
      </c>
      <c r="G128" s="20" t="n">
        <v>3447</v>
      </c>
      <c r="H128" s="20" t="n">
        <v>3486.269</v>
      </c>
      <c r="I128" s="20" t="n">
        <v>3486.269</v>
      </c>
      <c r="J128" s="20" t="n">
        <v>3456.918</v>
      </c>
      <c r="K128" s="20" t="n">
        <v>3456.918</v>
      </c>
      <c r="L128" s="20" t="n">
        <v>3447</v>
      </c>
    </row>
    <row r="129">
      <c r="A129" s="18" t="inlineStr">
        <is>
          <t>이익잉여금</t>
        </is>
      </c>
      <c r="C129" s="20" t="n">
        <v>2959.652</v>
      </c>
      <c r="D129" s="20" t="n">
        <v>3562.627</v>
      </c>
      <c r="E129" s="20" t="n">
        <v>3961.782</v>
      </c>
      <c r="F129" s="20" t="n">
        <v>5567</v>
      </c>
      <c r="G129" s="20" t="n">
        <v>5607</v>
      </c>
      <c r="H129" s="20" t="n">
        <v>4931.603</v>
      </c>
      <c r="I129" s="20" t="n">
        <v>3108.635</v>
      </c>
      <c r="J129" s="20" t="n">
        <v>4051.751</v>
      </c>
      <c r="K129" s="20" t="n">
        <v>3347.091</v>
      </c>
      <c r="L129" s="20" t="n">
        <v>5567</v>
      </c>
    </row>
    <row r="130">
      <c r="A130" s="18" t="inlineStr">
        <is>
          <t>자기주식</t>
        </is>
      </c>
      <c r="C130" s="20" t="n">
        <v>-1917.647</v>
      </c>
      <c r="D130" s="20" t="n">
        <v>-1917.647</v>
      </c>
      <c r="E130" s="20" t="n">
        <v>-1917.647</v>
      </c>
      <c r="F130" s="20" t="n">
        <v>-1917</v>
      </c>
      <c r="G130" s="20" t="n">
        <v>-1917</v>
      </c>
      <c r="H130" s="20" t="n">
        <v>-1917.642</v>
      </c>
      <c r="I130" s="20" t="n">
        <v>-1917.642</v>
      </c>
      <c r="J130" s="20" t="n">
        <v>-1917.642</v>
      </c>
      <c r="K130" s="20" t="n">
        <v>-1917.647</v>
      </c>
      <c r="L130" s="20" t="n">
        <v>-1917</v>
      </c>
    </row>
    <row r="131">
      <c r="A131" s="9" t="inlineStr">
        <is>
          <t>주주자본 합계</t>
        </is>
      </c>
      <c r="C131" s="12" t="n">
        <v>6989.626</v>
      </c>
      <c r="D131" s="12" t="n">
        <v>7592.601</v>
      </c>
      <c r="E131" s="12" t="n">
        <v>7991.756</v>
      </c>
      <c r="F131" s="12" t="n">
        <v>9597</v>
      </c>
      <c r="G131" s="12" t="n">
        <v>9637</v>
      </c>
      <c r="H131" s="12" t="n">
        <v>9000.231</v>
      </c>
      <c r="I131" s="12" t="n">
        <v>7177.263</v>
      </c>
      <c r="J131" s="12" t="n">
        <v>8091.028</v>
      </c>
      <c r="K131" s="12" t="n">
        <v>7386.362</v>
      </c>
      <c r="L131" s="12" t="n">
        <v>9597</v>
      </c>
    </row>
    <row r="132">
      <c r="A132" s="18" t="inlineStr">
        <is>
          <t>기타유가증권 평가차액</t>
        </is>
      </c>
      <c r="C132" s="20" t="n">
        <v>-3.009</v>
      </c>
      <c r="D132" s="20" t="n">
        <v>2.838</v>
      </c>
      <c r="E132" s="20" t="n">
        <v>9.603999999999999</v>
      </c>
      <c r="F132" s="20" t="n">
        <v>16</v>
      </c>
      <c r="G132" s="20" t="n">
        <v>23</v>
      </c>
      <c r="H132" s="20" t="n">
        <v>14.664</v>
      </c>
      <c r="I132" s="20" t="n">
        <v>-1.194</v>
      </c>
      <c r="J132" s="20" t="n">
        <v>-0.062</v>
      </c>
      <c r="K132" s="20" t="n">
        <v>-3.382</v>
      </c>
      <c r="L132" s="20" t="n">
        <v>16</v>
      </c>
    </row>
    <row r="133">
      <c r="A133" s="18" t="inlineStr">
        <is>
          <t>해외사업환산조정</t>
        </is>
      </c>
      <c r="C133" s="20" t="n">
        <v>2305.728</v>
      </c>
      <c r="D133" s="20" t="n">
        <v>2191.906</v>
      </c>
      <c r="E133" s="20" t="n">
        <v>2195.399</v>
      </c>
      <c r="F133" s="20" t="n">
        <v>2672</v>
      </c>
      <c r="G133" s="20" t="n">
        <v>2784</v>
      </c>
      <c r="H133" s="20" t="n">
        <v>720.282</v>
      </c>
      <c r="I133" s="20" t="n">
        <v>1528.871</v>
      </c>
      <c r="J133" s="20" t="n">
        <v>1708.696</v>
      </c>
      <c r="K133" s="20" t="n">
        <v>2705.65</v>
      </c>
      <c r="L133" s="20" t="n">
        <v>2672</v>
      </c>
    </row>
    <row r="134">
      <c r="A134" s="18" t="inlineStr">
        <is>
          <t>퇴직급여 조정누계액</t>
        </is>
      </c>
      <c r="C134" s="20" t="n">
        <v>-4.301</v>
      </c>
      <c r="D134" s="20" t="n">
        <v>-4.38</v>
      </c>
      <c r="E134" s="20" t="n">
        <v>-4.45</v>
      </c>
      <c r="F134" s="20" t="n">
        <v>-9</v>
      </c>
      <c r="G134" s="20" t="n">
        <v>-9</v>
      </c>
      <c r="H134" s="20" t="n">
        <v>0</v>
      </c>
      <c r="K134" s="20" t="n">
        <v>0</v>
      </c>
      <c r="L134" s="20" t="n">
        <v>-9</v>
      </c>
    </row>
    <row r="135">
      <c r="A135" s="18" t="inlineStr">
        <is>
          <t>기타포괄손익누계액 합계</t>
        </is>
      </c>
      <c r="C135" s="20" t="n">
        <v>2298.418</v>
      </c>
      <c r="D135" s="20" t="n">
        <v>2190.365</v>
      </c>
      <c r="E135" s="20" t="n">
        <v>2200.553</v>
      </c>
      <c r="F135" s="20" t="n">
        <v>2680</v>
      </c>
      <c r="G135" s="20" t="n">
        <v>2799</v>
      </c>
      <c r="H135" s="20" t="n">
        <v>734.947</v>
      </c>
      <c r="I135" s="20" t="n">
        <v>1527.676</v>
      </c>
      <c r="J135" s="20" t="n">
        <v>1708.633</v>
      </c>
      <c r="K135" s="20" t="n">
        <v>2702.268</v>
      </c>
      <c r="L135" s="20" t="n">
        <v>2680</v>
      </c>
    </row>
    <row r="136">
      <c r="A136" s="18" t="inlineStr">
        <is>
          <t>비지배지분</t>
        </is>
      </c>
      <c r="C136" s="20" t="n">
        <v>0</v>
      </c>
      <c r="D136" s="20" t="n">
        <v>0</v>
      </c>
      <c r="E136" s="20" t="n">
        <v>0</v>
      </c>
      <c r="F136" s="20" t="n">
        <v>0</v>
      </c>
      <c r="H136" s="20" t="n">
        <v>0</v>
      </c>
      <c r="I136" s="20" t="n">
        <v>6.241</v>
      </c>
      <c r="J136" s="20" t="n">
        <v>13.823</v>
      </c>
      <c r="K136" s="20" t="n">
        <v>9.404999999999999</v>
      </c>
      <c r="L136" s="20" t="n">
        <v>0</v>
      </c>
    </row>
    <row r="137">
      <c r="A137" s="9" t="inlineStr">
        <is>
          <t>순자산 합계</t>
        </is>
      </c>
      <c r="C137" s="12" t="n">
        <v>9288.045</v>
      </c>
      <c r="D137" s="12" t="n">
        <v>9782.966</v>
      </c>
      <c r="E137" s="12" t="n">
        <v>10192.31</v>
      </c>
      <c r="F137" s="12" t="n">
        <v>12277</v>
      </c>
      <c r="G137" s="12" t="n">
        <v>12436</v>
      </c>
      <c r="H137" s="12" t="n">
        <v>9735.178</v>
      </c>
      <c r="I137" s="12" t="n">
        <v>8711.181</v>
      </c>
      <c r="J137" s="12" t="n">
        <v>9813.485000000001</v>
      </c>
      <c r="K137" s="12" t="n">
        <v>10098.037</v>
      </c>
      <c r="L137" s="12" t="n">
        <v>12277</v>
      </c>
    </row>
    <row r="138">
      <c r="A138" s="9" t="inlineStr">
        <is>
          <t>부채·순자산 합계</t>
        </is>
      </c>
      <c r="C138" s="12" t="n">
        <v>34651.014</v>
      </c>
      <c r="D138" s="12" t="n">
        <v>34583.16</v>
      </c>
      <c r="E138" s="12" t="n">
        <v>34957.759</v>
      </c>
      <c r="F138" s="12" t="n">
        <v>39412</v>
      </c>
      <c r="G138" s="12" t="n">
        <v>39899</v>
      </c>
      <c r="H138" s="12" t="n">
        <v>31781.037</v>
      </c>
      <c r="I138" s="12" t="n">
        <v>36903.513</v>
      </c>
      <c r="J138" s="12" t="n">
        <v>36092.535</v>
      </c>
      <c r="K138" s="12" t="n">
        <v>37397.01</v>
      </c>
      <c r="L138" s="12" t="n">
        <v>39412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2026-07-24</t>
        </is>
      </c>
      <c r="B4" t="inlineStr">
        <is>
          <t>2027년 3월 결산기 １분기 결산단신</t>
        </is>
      </c>
      <c r="C4" t="inlineStr">
        <is>
          <t>https://www2.jpx.co.jp/disc/66290/140120260716595094.pdf</t>
        </is>
      </c>
    </row>
    <row r="5">
      <c r="A5" t="inlineStr">
        <is>
          <t>2026-05-08</t>
        </is>
      </c>
      <c r="B5" t="inlineStr">
        <is>
          <t>2026년 3월 결산기 연간 결산단신</t>
        </is>
      </c>
      <c r="C5" t="inlineStr">
        <is>
          <t>https://www2.jpx.co.jp/disc/66290/140120260430514193.pdf</t>
        </is>
      </c>
    </row>
    <row r="6">
      <c r="A6" t="inlineStr">
        <is>
          <t>2026-01-23</t>
        </is>
      </c>
      <c r="B6" t="inlineStr">
        <is>
          <t>2026년 3월 결산기 ３분기 결산단신</t>
        </is>
      </c>
      <c r="C6" t="inlineStr">
        <is>
          <t>https://www2.jpx.co.jp/disc/66290/140120260119535393.pdf</t>
        </is>
      </c>
    </row>
    <row r="7">
      <c r="A7" t="inlineStr">
        <is>
          <t>2025-10-24</t>
        </is>
      </c>
      <c r="B7" t="inlineStr">
        <is>
          <t>2026년 3월 결산기 ２분기 결산단신</t>
        </is>
      </c>
      <c r="C7" t="inlineStr">
        <is>
          <t>https://www2.jpx.co.jp/disc/66290/140120251021576688.pdf</t>
        </is>
      </c>
    </row>
    <row r="8">
      <c r="A8" t="inlineStr">
        <is>
          <t>2025-07-25</t>
        </is>
      </c>
      <c r="B8" t="inlineStr">
        <is>
          <t>2026년 3월 결산기 １분기 결산단신</t>
        </is>
      </c>
      <c r="C8" t="inlineStr">
        <is>
          <t>https://www2.jpx.co.jp/disc/66290/140120250718516787.pdf</t>
        </is>
      </c>
    </row>
    <row r="9">
      <c r="A9" t="inlineStr">
        <is>
          <t>2025-05-09</t>
        </is>
      </c>
      <c r="B9" t="inlineStr">
        <is>
          <t>2025년 3월 결산기 연간 결산단신</t>
        </is>
      </c>
      <c r="C9" t="inlineStr">
        <is>
          <t>https://www2.jpx.co.jp/disc/66290/140120250505530882.pdf</t>
        </is>
      </c>
    </row>
    <row r="10">
      <c r="A10" t="inlineStr">
        <is>
          <t>2025-01-24</t>
        </is>
      </c>
      <c r="B10" t="inlineStr">
        <is>
          <t>2025년 3월 결산기 ３분기 결산단신</t>
        </is>
      </c>
      <c r="C10" t="inlineStr">
        <is>
          <t>https://www2.jpx.co.jp/disc/66290/140120250117552160.pdf</t>
        </is>
      </c>
    </row>
    <row r="11">
      <c r="A11" t="inlineStr">
        <is>
          <t>2024-10-25</t>
        </is>
      </c>
      <c r="B11" t="inlineStr">
        <is>
          <t>2025년 3월 결산기 ２분기 결산단신</t>
        </is>
      </c>
      <c r="C11" t="inlineStr">
        <is>
          <t>https://www2.jpx.co.jp/disc/66290/140120241021500216.pdf</t>
        </is>
      </c>
    </row>
    <row r="12">
      <c r="A12" t="inlineStr">
        <is>
          <t>2024-07-26</t>
        </is>
      </c>
      <c r="B12" t="inlineStr">
        <is>
          <t>2025년 3월 결산기 １분기 결산단신</t>
        </is>
      </c>
      <c r="C12" t="inlineStr">
        <is>
          <t>https://www2.jpx.co.jp/disc/66290/140120240717550460.pdf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https://www2.jpx.co.jp/disc/66290/140120240506582137.pdf</t>
        </is>
      </c>
    </row>
    <row r="14">
      <c r="A14" t="inlineStr">
        <is>
          <t>2024-01-25</t>
        </is>
      </c>
      <c r="B14" t="inlineStr">
        <is>
          <t>2024년 3월 결산기 ３분기 결산단신</t>
        </is>
      </c>
      <c r="C14" t="inlineStr">
        <is>
          <t>https://www2.jpx.co.jp/disc/66290/140120240122517536.pdf</t>
        </is>
      </c>
    </row>
    <row r="15">
      <c r="A15" t="inlineStr">
        <is>
          <t>2023-10-25</t>
        </is>
      </c>
      <c r="B15" t="inlineStr">
        <is>
          <t>2024년 3월 결산기 ２분기 결산단신</t>
        </is>
      </c>
      <c r="C15" t="inlineStr">
        <is>
          <t>https://www2.jpx.co.jp/disc/66290/140120231020569167.pdf</t>
        </is>
      </c>
    </row>
    <row r="16">
      <c r="A16" t="inlineStr">
        <is>
          <t>2023-07-25</t>
        </is>
      </c>
      <c r="B16" t="inlineStr">
        <is>
          <t>2024년 3월 결산기 １분기 결산단신</t>
        </is>
      </c>
      <c r="C16" t="inlineStr">
        <is>
          <t>https://www2.jpx.co.jp/disc/66290/140120230710519655.pdf</t>
        </is>
      </c>
    </row>
    <row r="17">
      <c r="A17" t="inlineStr">
        <is>
          <t>2023-05-10</t>
        </is>
      </c>
      <c r="B17" t="inlineStr">
        <is>
          <t>2023년 3월 결산기 연간 결산단신</t>
        </is>
      </c>
      <c r="C17" t="inlineStr">
        <is>
          <t>https://www2.jpx.co.jp/disc/66290/140120230428556960.pdf</t>
        </is>
      </c>
    </row>
    <row r="18">
      <c r="A18" t="inlineStr">
        <is>
          <t>2023-01-25</t>
        </is>
      </c>
      <c r="B18" t="inlineStr">
        <is>
          <t>2023년 3월 결산기 ３분기 결산단신</t>
        </is>
      </c>
      <c r="C18" t="inlineStr">
        <is>
          <t>https://www2.jpx.co.jp/disc/66290/140120230119591192.pdf</t>
        </is>
      </c>
    </row>
    <row r="19">
      <c r="A19" t="inlineStr">
        <is>
          <t>2022-10-25</t>
        </is>
      </c>
      <c r="B19" t="inlineStr">
        <is>
          <t>2023년 3월 결산기 ２분기 결산단신</t>
        </is>
      </c>
      <c r="C19" t="inlineStr">
        <is>
          <t>https://www2.jpx.co.jp/disc/66290/140120221020547061.pdf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https://www2.jpx.co.jp/disc/66290/140120220428530789.pdf</t>
        </is>
      </c>
    </row>
    <row r="21">
      <c r="A21" t="inlineStr">
        <is>
          <t>2021-05-10</t>
        </is>
      </c>
      <c r="B21" t="inlineStr">
        <is>
          <t>2021년 3월 결산기 연간 결산단신</t>
        </is>
      </c>
      <c r="C21" t="inlineStr">
        <is>
          <t>https://www2.jpx.co.jp/disc/66290/140120210428402690.pdf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https://www2.jpx.co.jp/disc/66290/140120200428402047.pdf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https://www2.jpx.co.jp/disc/66290/140120190502414235.pdf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https://www2.jpx.co.jp/disc/66290/140120180501425295.pdf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2026-10-26T10:55:46Z</dcterms:created>
  <dcterms:modified xmlns:dcterms="http://purl.org/dc/terms/" xmlns:xsi="http://www.w3.org/2001/XMLSchema-instance" xsi:type="dcterms:W3CDTF">2026-10-26T10:55:46Z</dcterms:modified>
</cp:coreProperties>
</file>