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이마지니어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1468.222</v>
      </c>
      <c r="D4" s="12" t="n">
        <v>1726.939</v>
      </c>
      <c r="E4" s="12" t="n">
        <v>1391.242</v>
      </c>
      <c r="F4" s="12" t="n">
        <v>1418.625</v>
      </c>
      <c r="G4" s="12" t="n">
        <v>1990.155</v>
      </c>
      <c r="H4" s="12" t="n">
        <v>1686.133</v>
      </c>
      <c r="I4" s="12" t="n">
        <v>1305.287</v>
      </c>
      <c r="J4" s="12" t="n">
        <v>1321.815</v>
      </c>
      <c r="K4" s="12" t="n">
        <v>1613.592</v>
      </c>
      <c r="L4" s="12" t="n">
        <v>1449.745</v>
      </c>
      <c r="M4" s="12" t="n">
        <v>1365.094</v>
      </c>
      <c r="N4" s="12" t="n">
        <v>1605.847</v>
      </c>
      <c r="O4" s="11" t="n">
        <v>4306.072</v>
      </c>
      <c r="P4" s="12" t="n">
        <v>4569.571</v>
      </c>
      <c r="Q4" s="12" t="n">
        <v>5164.88</v>
      </c>
      <c r="R4" s="12" t="n">
        <v>5824.649</v>
      </c>
      <c r="S4" s="12" t="n">
        <v>7205.125</v>
      </c>
      <c r="T4" s="12" t="n">
        <v>6331.381</v>
      </c>
      <c r="U4" s="12" t="n">
        <v>6640.747</v>
      </c>
      <c r="V4" s="12" t="n">
        <v>5960.535</v>
      </c>
      <c r="W4" s="12" t="n">
        <v>6486.155</v>
      </c>
      <c r="X4" s="12" t="n">
        <v>5690.439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506.067</v>
      </c>
      <c r="D11" s="22" t="n">
        <v>633.638</v>
      </c>
      <c r="E11" s="22" t="n">
        <v>578.639</v>
      </c>
      <c r="F11" s="22" t="n">
        <v>445.816</v>
      </c>
      <c r="G11" s="22" t="n">
        <v>680.361</v>
      </c>
      <c r="H11" s="22" t="n">
        <v>684.189</v>
      </c>
      <c r="I11" s="22" t="n">
        <v>514.466</v>
      </c>
      <c r="J11" s="22" t="n">
        <v>494.976</v>
      </c>
      <c r="K11" s="22" t="n">
        <v>598.546</v>
      </c>
      <c r="L11" s="22" t="n">
        <v>521.6369999999999</v>
      </c>
      <c r="M11" s="22" t="n">
        <v>475.138</v>
      </c>
      <c r="N11" s="22" t="n">
        <v>573.999</v>
      </c>
      <c r="O11" s="21" t="n">
        <v>2040.299</v>
      </c>
      <c r="P11" s="22" t="n">
        <v>2070.231</v>
      </c>
      <c r="Q11" s="22" t="n">
        <v>2315.203</v>
      </c>
      <c r="R11" s="22" t="n">
        <v>1916.411</v>
      </c>
      <c r="S11" s="22" t="n">
        <v>2757.914</v>
      </c>
      <c r="T11" s="22" t="n">
        <v>2340.804</v>
      </c>
      <c r="U11" s="22" t="n">
        <v>2606.689</v>
      </c>
      <c r="V11" s="22" t="n">
        <v>2281.408</v>
      </c>
      <c r="W11" s="22" t="n">
        <v>2389.005</v>
      </c>
      <c r="X11" s="22" t="n">
        <v>2129.625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905.89</v>
      </c>
      <c r="D17" s="22" t="n">
        <v>940.83</v>
      </c>
      <c r="E17" s="22" t="n">
        <v>730.548</v>
      </c>
      <c r="F17" s="22" t="n">
        <v>755.252</v>
      </c>
      <c r="G17" s="22" t="n">
        <v>1201.433</v>
      </c>
      <c r="H17" s="22" t="n">
        <v>951.404</v>
      </c>
      <c r="I17" s="22" t="n">
        <v>827.24</v>
      </c>
      <c r="J17" s="22" t="n">
        <v>920.4160000000001</v>
      </c>
      <c r="K17" s="22" t="n">
        <v>883.373</v>
      </c>
      <c r="L17" s="22" t="n">
        <v>784.657</v>
      </c>
      <c r="M17" s="22" t="n">
        <v>715.963</v>
      </c>
      <c r="N17" s="22" t="n">
        <v>985.692</v>
      </c>
      <c r="O17" s="21" t="n">
        <v>1662.157</v>
      </c>
      <c r="P17" s="22" t="n">
        <v>1865.795</v>
      </c>
      <c r="Q17" s="22" t="n">
        <v>2141.448</v>
      </c>
      <c r="R17" s="22" t="n">
        <v>2783.214</v>
      </c>
      <c r="S17" s="22" t="n">
        <v>3022.566</v>
      </c>
      <c r="T17" s="22" t="n">
        <v>2813.265</v>
      </c>
      <c r="U17" s="22" t="n">
        <v>3438.023</v>
      </c>
      <c r="V17" s="22" t="n">
        <v>3333.351</v>
      </c>
      <c r="W17" s="22" t="n">
        <v>3638.637</v>
      </c>
      <c r="X17" s="22" t="n">
        <v>3415.686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56.265</v>
      </c>
      <c r="D19" s="12" t="n">
        <v>152.471</v>
      </c>
      <c r="E19" s="12" t="n">
        <v>82.054</v>
      </c>
      <c r="F19" s="12" t="n">
        <v>217.557</v>
      </c>
      <c r="G19" s="12" t="n">
        <v>108.36</v>
      </c>
      <c r="H19" s="12" t="n">
        <v>50.54</v>
      </c>
      <c r="I19" s="12" t="n">
        <v>-36.419</v>
      </c>
      <c r="J19" s="12" t="n">
        <v>-93.577</v>
      </c>
      <c r="K19" s="12" t="n">
        <v>131.672</v>
      </c>
      <c r="L19" s="12" t="n">
        <v>143.451</v>
      </c>
      <c r="M19" s="12" t="n">
        <v>173.992</v>
      </c>
      <c r="N19" s="12" t="n">
        <v>46.156</v>
      </c>
      <c r="O19" s="11" t="n">
        <v>602.049</v>
      </c>
      <c r="P19" s="12" t="n">
        <v>635.111</v>
      </c>
      <c r="Q19" s="12" t="n">
        <v>706.739</v>
      </c>
      <c r="R19" s="12" t="n">
        <v>1126.512</v>
      </c>
      <c r="S19" s="12" t="n">
        <v>1423.503</v>
      </c>
      <c r="T19" s="12" t="n">
        <v>1177.31</v>
      </c>
      <c r="U19" s="12" t="n">
        <v>596.034</v>
      </c>
      <c r="V19" s="12" t="n">
        <v>345.775</v>
      </c>
      <c r="W19" s="12" t="n">
        <v>458.511</v>
      </c>
      <c r="X19" s="12" t="n">
        <v>145.127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>
        <v>146.807</v>
      </c>
      <c r="P35" s="22" t="n">
        <v>0.662</v>
      </c>
      <c r="Q35" s="22" t="n">
        <v>0</v>
      </c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>
        <v>289.5</v>
      </c>
      <c r="P37" s="22" t="n">
        <v>115.164</v>
      </c>
      <c r="Q37" s="22" t="n">
        <v>26.655</v>
      </c>
      <c r="R37" s="22" t="n">
        <v>0</v>
      </c>
      <c r="S37" s="22" t="n"/>
      <c r="T37" s="22" t="n"/>
      <c r="U37" s="22" t="n"/>
      <c r="V37" s="22" t="n"/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-63.547</v>
      </c>
      <c r="D39" s="22" t="n">
        <v>99.84099999999999</v>
      </c>
      <c r="E39" s="22" t="n">
        <v>218.376</v>
      </c>
      <c r="F39" s="22" t="n">
        <v>55.526</v>
      </c>
      <c r="G39" s="22" t="n">
        <v>136.192</v>
      </c>
      <c r="H39" s="22" t="n">
        <v>248.612</v>
      </c>
      <c r="I39" s="22" t="n">
        <v>214.008</v>
      </c>
      <c r="J39" s="22" t="n">
        <v>52.236</v>
      </c>
      <c r="K39" s="22" t="n">
        <v>269.935</v>
      </c>
      <c r="L39" s="22" t="n">
        <v>478.309</v>
      </c>
      <c r="M39" s="22" t="n">
        <v>319.873</v>
      </c>
      <c r="N39" s="22" t="n">
        <v>471.948</v>
      </c>
      <c r="O39" s="21" t="n">
        <v>233.725</v>
      </c>
      <c r="P39" s="22" t="n">
        <v>296.956</v>
      </c>
      <c r="Q39" s="22" t="n">
        <v>231.01</v>
      </c>
      <c r="R39" s="22" t="n">
        <v>140.235</v>
      </c>
      <c r="S39" s="22" t="n">
        <v>116.377</v>
      </c>
      <c r="T39" s="22" t="n">
        <v>161.886</v>
      </c>
      <c r="U39" s="22" t="n">
        <v>358.628</v>
      </c>
      <c r="V39" s="22" t="n">
        <v>329.105</v>
      </c>
      <c r="W39" s="22" t="n">
        <v>658.706</v>
      </c>
      <c r="X39" s="22" t="n">
        <v>1014.488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0.453</v>
      </c>
      <c r="D41" s="22" t="n">
        <v>0.064</v>
      </c>
      <c r="E41" s="22" t="n">
        <v>0.07199999999999999</v>
      </c>
      <c r="F41" s="22" t="n">
        <v>69.625</v>
      </c>
      <c r="G41" s="22" t="n">
        <v>-48.984</v>
      </c>
      <c r="H41" s="22" t="n">
        <v>172.279</v>
      </c>
      <c r="I41" s="22" t="n">
        <v>42.344</v>
      </c>
      <c r="J41" s="22" t="n">
        <v>-39.87</v>
      </c>
      <c r="K41" s="22" t="n">
        <v>0.38</v>
      </c>
      <c r="L41" s="22" t="n">
        <v>0.051</v>
      </c>
      <c r="M41" s="22" t="n">
        <v>0.031</v>
      </c>
      <c r="N41" s="22" t="n">
        <v>112.671</v>
      </c>
      <c r="O41" s="21" t="n">
        <v>28.336</v>
      </c>
      <c r="P41" s="22" t="n">
        <v>75.042</v>
      </c>
      <c r="Q41" s="22" t="n">
        <v>186.758</v>
      </c>
      <c r="R41" s="22" t="n">
        <v>134.638</v>
      </c>
      <c r="S41" s="22" t="n">
        <v>15.828</v>
      </c>
      <c r="T41" s="22" t="n">
        <v>1.91</v>
      </c>
      <c r="U41" s="22" t="n">
        <v>21.973</v>
      </c>
      <c r="V41" s="22" t="n">
        <v>18.022</v>
      </c>
      <c r="W41" s="22" t="n">
        <v>192.992</v>
      </c>
      <c r="X41" s="22" t="n">
        <v>2.905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-7.734</v>
      </c>
      <c r="D43" s="12" t="n">
        <v>252.248</v>
      </c>
      <c r="E43" s="12" t="n">
        <v>300.359</v>
      </c>
      <c r="F43" s="12" t="n">
        <v>203.457</v>
      </c>
      <c r="G43" s="12" t="n">
        <v>293.537</v>
      </c>
      <c r="H43" s="12" t="n">
        <v>126.872</v>
      </c>
      <c r="I43" s="12" t="n">
        <v>135.244</v>
      </c>
      <c r="J43" s="12" t="n">
        <v>-1.471</v>
      </c>
      <c r="K43" s="12" t="n">
        <v>401.228</v>
      </c>
      <c r="L43" s="12" t="n">
        <v>621.7089999999999</v>
      </c>
      <c r="M43" s="12" t="n">
        <v>493.834</v>
      </c>
      <c r="N43" s="12" t="n">
        <v>405.432</v>
      </c>
      <c r="O43" s="11" t="n">
        <v>664.744</v>
      </c>
      <c r="P43" s="12" t="n">
        <v>742.524</v>
      </c>
      <c r="Q43" s="12" t="n">
        <v>724.336</v>
      </c>
      <c r="R43" s="12" t="n">
        <v>1132.109</v>
      </c>
      <c r="S43" s="12" t="n">
        <v>1524.051</v>
      </c>
      <c r="T43" s="12" t="n">
        <v>1337.287</v>
      </c>
      <c r="U43" s="12" t="n">
        <v>932.689</v>
      </c>
      <c r="V43" s="12" t="n">
        <v>656.8579999999999</v>
      </c>
      <c r="W43" s="12" t="n">
        <v>924.225</v>
      </c>
      <c r="X43" s="12" t="n">
        <v>1156.71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4.796</v>
      </c>
      <c r="D45" s="22" t="n">
        <v>100.61</v>
      </c>
      <c r="E45" s="22" t="n">
        <v>93.428</v>
      </c>
      <c r="F45" s="22" t="n">
        <v>64.13500000000001</v>
      </c>
      <c r="G45" s="22" t="n">
        <v>92.221</v>
      </c>
      <c r="H45" s="22" t="n">
        <v>43.082</v>
      </c>
      <c r="I45" s="22" t="n">
        <v>53.67</v>
      </c>
      <c r="J45" s="22" t="n">
        <v>-20.044</v>
      </c>
      <c r="K45" s="22" t="n">
        <v>128.665</v>
      </c>
      <c r="L45" s="22" t="n">
        <v>214.249</v>
      </c>
      <c r="M45" s="22" t="n">
        <v>160.831</v>
      </c>
      <c r="N45" s="22" t="n">
        <v>126.544</v>
      </c>
      <c r="O45" s="21" t="n">
        <v>118.942</v>
      </c>
      <c r="P45" s="22" t="n">
        <v>271.261</v>
      </c>
      <c r="Q45" s="22" t="n">
        <v>194.676</v>
      </c>
      <c r="R45" s="22" t="n">
        <v>295.178</v>
      </c>
      <c r="S45" s="22" t="n">
        <v>457.137</v>
      </c>
      <c r="T45" s="22" t="n">
        <v>428.298</v>
      </c>
      <c r="U45" s="22" t="n">
        <v>314.567</v>
      </c>
      <c r="V45" s="22" t="n">
        <v>235.181</v>
      </c>
      <c r="W45" s="22" t="n">
        <v>292.866</v>
      </c>
      <c r="X45" s="22" t="n">
        <v>376.54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-12.53</v>
      </c>
      <c r="D47" s="12" t="n">
        <v>151.639</v>
      </c>
      <c r="E47" s="12" t="n">
        <v>206.93</v>
      </c>
      <c r="F47" s="12" t="n">
        <v>139.322</v>
      </c>
      <c r="G47" s="12" t="n">
        <v>201.316</v>
      </c>
      <c r="H47" s="12" t="n">
        <v>83.791</v>
      </c>
      <c r="I47" s="12" t="n">
        <v>81.574</v>
      </c>
      <c r="J47" s="12" t="n">
        <v>18.572</v>
      </c>
      <c r="K47" s="12" t="n">
        <v>272.563</v>
      </c>
      <c r="L47" s="12" t="n">
        <v>407.461</v>
      </c>
      <c r="M47" s="12" t="n">
        <v>333.003</v>
      </c>
      <c r="N47" s="12" t="n">
        <v>278.888</v>
      </c>
      <c r="O47" s="11" t="n">
        <v>545.802</v>
      </c>
      <c r="P47" s="12" t="n">
        <v>471.262</v>
      </c>
      <c r="Q47" s="12" t="n">
        <v>529.66</v>
      </c>
      <c r="R47" s="12" t="n">
        <v>836.9299999999999</v>
      </c>
      <c r="S47" s="12" t="n">
        <v>1066.914</v>
      </c>
      <c r="T47" s="12" t="n">
        <v>908.9880000000001</v>
      </c>
      <c r="U47" s="12" t="n">
        <v>618.122</v>
      </c>
      <c r="V47" s="12" t="n">
        <v>421.677</v>
      </c>
      <c r="W47" s="12" t="n">
        <v>631.359</v>
      </c>
      <c r="X47" s="12" t="n">
        <v>780.17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-15.806</v>
      </c>
      <c r="D49" s="12" t="n">
        <v>148.16</v>
      </c>
      <c r="E49" s="12" t="n">
        <v>196.52</v>
      </c>
      <c r="F49" s="12" t="n">
        <v>136.332</v>
      </c>
      <c r="G49" s="12" t="n">
        <v>196.896</v>
      </c>
      <c r="H49" s="12" t="n">
        <v>73.27800000000001</v>
      </c>
      <c r="I49" s="12" t="n">
        <v>77.66</v>
      </c>
      <c r="J49" s="12" t="n">
        <v>5.054</v>
      </c>
      <c r="K49" s="12" t="n">
        <v>271.093</v>
      </c>
      <c r="L49" s="12" t="n">
        <v>392.443</v>
      </c>
      <c r="M49" s="12" t="n">
        <v>318.251</v>
      </c>
      <c r="N49" s="12" t="n">
        <v>266.627</v>
      </c>
      <c r="O49" s="11" t="n">
        <v>594.5119999999999</v>
      </c>
      <c r="P49" s="12" t="n">
        <v>496.689</v>
      </c>
      <c r="Q49" s="12" t="n">
        <v>503.615</v>
      </c>
      <c r="R49" s="12" t="n">
        <v>778.954</v>
      </c>
      <c r="S49" s="12" t="n">
        <v>1021.781</v>
      </c>
      <c r="T49" s="12" t="n">
        <v>890.912</v>
      </c>
      <c r="U49" s="12" t="n">
        <v>610.79</v>
      </c>
      <c r="V49" s="12" t="n">
        <v>416.351</v>
      </c>
      <c r="W49" s="12" t="n">
        <v>603.026</v>
      </c>
      <c r="X49" s="12" t="n">
        <v>746.25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(2026.10.28)</t>
        </is>
      </c>
      <c r="B53" s="29" t="n">
        <v>1046</v>
      </c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>
        <v>10649000</v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 2026.10.28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1468.222</v>
      </c>
      <c r="D84" s="12" t="n">
        <v>1726.939</v>
      </c>
      <c r="E84" s="12" t="n">
        <v>1391.242</v>
      </c>
      <c r="F84" s="12" t="n">
        <v>1418.625</v>
      </c>
      <c r="G84" s="12" t="n">
        <v>1990.155</v>
      </c>
      <c r="H84" s="12" t="n">
        <v>1686.133</v>
      </c>
      <c r="I84" s="12" t="n">
        <v>1305.287</v>
      </c>
      <c r="J84" s="12" t="n">
        <v>1321.815</v>
      </c>
      <c r="K84" s="12" t="n">
        <v>1613.592</v>
      </c>
      <c r="L84" s="12" t="n">
        <v>1449.745</v>
      </c>
      <c r="M84" s="12" t="n">
        <v>1365.094</v>
      </c>
      <c r="N84" s="12" t="n">
        <v>1605.847</v>
      </c>
      <c r="T84" s="12" t="n">
        <v>1529.002</v>
      </c>
      <c r="U84" s="12" t="n">
        <v>1519.419</v>
      </c>
      <c r="V84" s="12" t="n">
        <v>1726.939</v>
      </c>
      <c r="W84" s="12" t="n">
        <v>1686.133</v>
      </c>
      <c r="X84" s="12" t="n">
        <v>1449.745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506.067</v>
      </c>
      <c r="D86" s="22" t="n">
        <v>633.638</v>
      </c>
      <c r="E86" s="22" t="n">
        <v>578.639</v>
      </c>
      <c r="F86" s="22" t="n">
        <v>445.816</v>
      </c>
      <c r="G86" s="22" t="n">
        <v>680.361</v>
      </c>
      <c r="H86" s="22" t="n">
        <v>684.189</v>
      </c>
      <c r="I86" s="22" t="n">
        <v>514.466</v>
      </c>
      <c r="J86" s="22" t="n">
        <v>494.976</v>
      </c>
      <c r="K86" s="22" t="n">
        <v>598.546</v>
      </c>
      <c r="L86" s="22" t="n">
        <v>521.6369999999999</v>
      </c>
      <c r="M86" s="22" t="n">
        <v>475.138</v>
      </c>
      <c r="N86" s="22" t="n">
        <v>573.999</v>
      </c>
      <c r="T86" s="22" t="n">
        <v>548.34</v>
      </c>
      <c r="U86" s="22" t="n">
        <v>580.197</v>
      </c>
      <c r="V86" s="22" t="n">
        <v>633.638</v>
      </c>
      <c r="W86" s="22" t="n">
        <v>684.189</v>
      </c>
      <c r="X86" s="22" t="n">
        <v>521.6369999999999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962.155</v>
      </c>
      <c r="D88" s="12" t="n">
        <v>1093.302</v>
      </c>
      <c r="E88" s="12" t="n">
        <v>812.602</v>
      </c>
      <c r="F88" s="12" t="n">
        <v>972.809</v>
      </c>
      <c r="G88" s="12" t="n">
        <v>1309.794</v>
      </c>
      <c r="H88" s="12" t="n">
        <v>1001.944</v>
      </c>
      <c r="I88" s="12" t="n">
        <v>790.8200000000001</v>
      </c>
      <c r="J88" s="12" t="n">
        <v>826.8390000000001</v>
      </c>
      <c r="K88" s="12" t="n">
        <v>1015.046</v>
      </c>
      <c r="L88" s="12" t="n">
        <v>928.109</v>
      </c>
      <c r="M88" s="12" t="n">
        <v>889.956</v>
      </c>
      <c r="N88" s="12" t="n">
        <v>1031.848</v>
      </c>
      <c r="T88" s="12" t="n">
        <v>980.662</v>
      </c>
      <c r="U88" s="12" t="n">
        <v>939.223</v>
      </c>
      <c r="V88" s="12" t="n">
        <v>1093.302</v>
      </c>
      <c r="W88" s="12" t="n">
        <v>1001.944</v>
      </c>
      <c r="X88" s="12" t="n">
        <v>928.109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905.89</v>
      </c>
      <c r="D90" s="22" t="n">
        <v>940.83</v>
      </c>
      <c r="E90" s="22" t="n">
        <v>730.548</v>
      </c>
      <c r="F90" s="22" t="n">
        <v>755.252</v>
      </c>
      <c r="G90" s="22" t="n">
        <v>1201.433</v>
      </c>
      <c r="H90" s="22" t="n">
        <v>951.404</v>
      </c>
      <c r="I90" s="22" t="n">
        <v>827.24</v>
      </c>
      <c r="J90" s="22" t="n">
        <v>920.4160000000001</v>
      </c>
      <c r="K90" s="22" t="n">
        <v>883.373</v>
      </c>
      <c r="L90" s="22" t="n">
        <v>784.657</v>
      </c>
      <c r="M90" s="22" t="n">
        <v>715.963</v>
      </c>
      <c r="N90" s="22" t="n">
        <v>985.692</v>
      </c>
      <c r="T90" s="22" t="n">
        <v>723.556</v>
      </c>
      <c r="U90" s="22" t="n">
        <v>1024.201</v>
      </c>
      <c r="V90" s="22" t="n">
        <v>940.83</v>
      </c>
      <c r="W90" s="22" t="n">
        <v>951.404</v>
      </c>
      <c r="X90" s="22" t="n">
        <v>784.657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영업이익(손실)</t>
        </is>
      </c>
      <c r="C92" s="12" t="n">
        <v>56.265</v>
      </c>
      <c r="D92" s="12" t="n">
        <v>152.471</v>
      </c>
      <c r="E92" s="12" t="n">
        <v>82.054</v>
      </c>
      <c r="F92" s="12" t="n">
        <v>217.557</v>
      </c>
      <c r="G92" s="12" t="n">
        <v>108.36</v>
      </c>
      <c r="H92" s="12" t="n">
        <v>50.54</v>
      </c>
      <c r="I92" s="12" t="n">
        <v>-36.419</v>
      </c>
      <c r="J92" s="12" t="n">
        <v>-93.577</v>
      </c>
      <c r="K92" s="12" t="n">
        <v>131.672</v>
      </c>
      <c r="L92" s="12" t="n">
        <v>143.451</v>
      </c>
      <c r="M92" s="12" t="n">
        <v>173.992</v>
      </c>
      <c r="N92" s="12" t="n">
        <v>46.156</v>
      </c>
      <c r="T92" s="12" t="n">
        <v>257.105</v>
      </c>
      <c r="U92" s="12" t="n">
        <v>-84.979</v>
      </c>
      <c r="V92" s="12" t="n">
        <v>152.471</v>
      </c>
      <c r="W92" s="12" t="n">
        <v>50.54</v>
      </c>
      <c r="X92" s="12" t="n">
        <v>143.451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투자유가증권 매각이익</t>
        </is>
      </c>
      <c r="C95" s="22" t="n">
        <v>-3.508</v>
      </c>
      <c r="D95" s="22" t="n">
        <v>11.744</v>
      </c>
      <c r="E95" s="22" t="n">
        <v>72.143</v>
      </c>
      <c r="F95" s="22" t="n">
        <v>92.517</v>
      </c>
      <c r="G95" s="22" t="n">
        <v>69.042</v>
      </c>
      <c r="H95" s="22" t="n">
        <v>262.513</v>
      </c>
      <c r="I95" s="22" t="n">
        <v>200.054</v>
      </c>
      <c r="J95" s="22" t="n">
        <v>24.432</v>
      </c>
      <c r="K95" s="22" t="n">
        <v>193.867</v>
      </c>
      <c r="L95" s="22" t="n">
        <v>336.432</v>
      </c>
      <c r="M95" s="22" t="n">
        <v>278.735</v>
      </c>
      <c r="N95" s="22" t="n">
        <v>487.796</v>
      </c>
      <c r="T95" s="22" t="n">
        <v>1.367</v>
      </c>
      <c r="U95" s="22" t="n">
        <v>0</v>
      </c>
      <c r="V95" s="22" t="n">
        <v>11.744</v>
      </c>
      <c r="W95" s="22" t="n">
        <v>262.513</v>
      </c>
      <c r="X95" s="22" t="n">
        <v>336.432</v>
      </c>
    </row>
    <row r="96">
      <c r="A96" s="20" t="inlineStr">
        <is>
          <t>외환차익</t>
        </is>
      </c>
      <c r="C96" s="22" t="n">
        <v>-64.874</v>
      </c>
      <c r="D96" s="22" t="n">
        <v>74.001</v>
      </c>
      <c r="E96" s="22" t="n">
        <v>101.458</v>
      </c>
      <c r="F96" s="22" t="n">
        <v>-101.458</v>
      </c>
      <c r="I96" s="22" t="n">
        <v>0</v>
      </c>
      <c r="T96" s="22" t="n">
        <v>58.464</v>
      </c>
      <c r="U96" s="22" t="n">
        <v>24.536</v>
      </c>
      <c r="V96" s="22" t="n">
        <v>74.001</v>
      </c>
    </row>
    <row r="97">
      <c r="A97" s="20" t="inlineStr">
        <is>
          <t>기타</t>
        </is>
      </c>
      <c r="C97" s="22" t="n">
        <v>92.54000000000001</v>
      </c>
      <c r="D97" s="22" t="n">
        <v>-118.295</v>
      </c>
      <c r="E97" s="22" t="n">
        <v>44.774</v>
      </c>
      <c r="F97" s="22" t="n">
        <v>64.468</v>
      </c>
      <c r="G97" s="22" t="n">
        <v>67.15000000000001</v>
      </c>
      <c r="H97" s="22" t="n">
        <v>-65.53400000000001</v>
      </c>
      <c r="I97" s="22" t="n">
        <v>13.953</v>
      </c>
      <c r="J97" s="22" t="n">
        <v>27.805</v>
      </c>
      <c r="K97" s="22" t="n">
        <v>76.06699999999999</v>
      </c>
      <c r="L97" s="22" t="n">
        <v>-79.17400000000001</v>
      </c>
      <c r="M97" s="22" t="n">
        <v>41.138</v>
      </c>
      <c r="N97" s="22" t="n">
        <v>-15.849</v>
      </c>
      <c r="T97" s="22" t="n">
        <v>9.548999999999999</v>
      </c>
      <c r="U97" s="22" t="n">
        <v>11.891</v>
      </c>
      <c r="V97" s="22" t="n">
        <v>-118.295</v>
      </c>
      <c r="W97" s="22" t="n">
        <v>-65.53400000000001</v>
      </c>
      <c r="X97" s="22" t="n">
        <v>-79.17400000000001</v>
      </c>
    </row>
    <row r="98">
      <c r="A98" s="20" t="inlineStr">
        <is>
          <t>영업외수익 합계</t>
        </is>
      </c>
      <c r="C98" s="22" t="n">
        <v>-63.547</v>
      </c>
      <c r="D98" s="22" t="n">
        <v>99.84099999999999</v>
      </c>
      <c r="E98" s="22" t="n">
        <v>218.376</v>
      </c>
      <c r="F98" s="22" t="n">
        <v>55.526</v>
      </c>
      <c r="G98" s="22" t="n">
        <v>136.192</v>
      </c>
      <c r="H98" s="22" t="n">
        <v>248.612</v>
      </c>
      <c r="I98" s="22" t="n">
        <v>214.008</v>
      </c>
      <c r="J98" s="22" t="n">
        <v>52.236</v>
      </c>
      <c r="K98" s="22" t="n">
        <v>269.935</v>
      </c>
      <c r="L98" s="22" t="n">
        <v>478.309</v>
      </c>
      <c r="M98" s="22" t="n">
        <v>319.873</v>
      </c>
      <c r="N98" s="22" t="n">
        <v>471.948</v>
      </c>
      <c r="T98" s="22" t="n">
        <v>88.861</v>
      </c>
      <c r="U98" s="22" t="n">
        <v>36.426</v>
      </c>
      <c r="V98" s="22" t="n">
        <v>99.84099999999999</v>
      </c>
      <c r="W98" s="22" t="n">
        <v>248.612</v>
      </c>
      <c r="X98" s="22" t="n">
        <v>478.309</v>
      </c>
    </row>
    <row r="99">
      <c r="A99" s="45" t="inlineStr">
        <is>
          <t>YoY</t>
        </is>
      </c>
      <c r="B99" s="3" t="inlineStr">
        <is>
          <t>전년 같은 분기·전년 대비</t>
        </is>
      </c>
      <c r="G99" s="17">
        <f>IF(OR(G98="",C98=""),"",IF(G98*C98&lt;=0,"",IFERROR(G98/C98-1,"")))</f>
        <v/>
      </c>
      <c r="H99" s="17">
        <f>IF(OR(H98="",D98=""),"",IF(H98*D98&lt;=0,"",IFERROR(H98/D98-1,"")))</f>
        <v/>
      </c>
      <c r="I99" s="17">
        <f>IF(OR(I98="",E98=""),"",IF(I98*E98&lt;=0,"",IFERROR(I98/E98-1,"")))</f>
        <v/>
      </c>
      <c r="J99" s="17">
        <f>IF(OR(J98="",F98=""),"",IF(J98*F98&lt;=0,"",IFERROR(J98/F98-1,"")))</f>
        <v/>
      </c>
      <c r="K99" s="17">
        <f>IF(OR(K98="",G98=""),"",IF(K98*G98&lt;=0,"",IFERROR(K98/G98-1,"")))</f>
        <v/>
      </c>
      <c r="L99" s="17">
        <f>IF(OR(L98="",H98=""),"",IF(L98*H98&lt;=0,"",IFERROR(L98/H98-1,"")))</f>
        <v/>
      </c>
      <c r="M99" s="17">
        <f>IF(OR(M98="",I98=""),"",IF(M98*I98&lt;=0,"",IFERROR(M98/I98-1,"")))</f>
        <v/>
      </c>
      <c r="N99" s="17">
        <f>IF(OR(N98="",J98=""),"",IF(N98*J98&lt;=0,"",IFERROR(N98/J98-1,"")))</f>
        <v/>
      </c>
      <c r="T99" s="17">
        <f>IF(OR(T98="",S98=""),"",IF(T98*S98&lt;=0,"",IFERROR(T98/S98-1,"")))</f>
        <v/>
      </c>
      <c r="U99" s="17">
        <f>IF(OR(U98="",T98=""),"",IF(U98*T98&lt;=0,"",IFERROR(U98/T98-1,"")))</f>
        <v/>
      </c>
      <c r="V99" s="17">
        <f>IF(OR(V98="",U98=""),"",IF(V98*U98&lt;=0,"",IFERROR(V98/U98-1,"")))</f>
        <v/>
      </c>
      <c r="W99" s="17">
        <f>IF(OR(W98="",V98=""),"",IF(W98*V98&lt;=0,"",IFERROR(W98/V98-1,"")))</f>
        <v/>
      </c>
      <c r="X99" s="17">
        <f>IF(OR(X98="",W98=""),"",IF(X98*W98&lt;=0,"",IFERROR(X98/W98-1,"")))</f>
        <v/>
      </c>
    </row>
    <row r="100">
      <c r="A100" s="20" t="inlineStr">
        <is>
          <t>이자비용</t>
        </is>
      </c>
      <c r="E100" s="22" t="n">
        <v>0.054</v>
      </c>
      <c r="I100" s="22" t="n">
        <v>0.034</v>
      </c>
      <c r="M100" s="22" t="n">
        <v>0.013</v>
      </c>
    </row>
    <row r="101">
      <c r="A101" s="20" t="inlineStr">
        <is>
          <t>외환차손</t>
        </is>
      </c>
      <c r="E101" s="22" t="n">
        <v>0</v>
      </c>
      <c r="F101" s="22" t="n">
        <v>69.57599999999999</v>
      </c>
      <c r="I101" s="22" t="n">
        <v>42.152</v>
      </c>
      <c r="J101" s="22" t="n">
        <v>-39.898</v>
      </c>
    </row>
    <row r="102">
      <c r="A102" s="20" t="inlineStr">
        <is>
          <t>투자유가증권 매각손실</t>
        </is>
      </c>
      <c r="C102" s="22" t="n">
        <v>0</v>
      </c>
      <c r="D102" s="22" t="n">
        <v>0</v>
      </c>
      <c r="E102" s="22" t="n">
        <v>0</v>
      </c>
      <c r="F102" s="22" t="n">
        <v>0</v>
      </c>
      <c r="G102" s="22" t="n">
        <v>20.547</v>
      </c>
      <c r="H102" s="22" t="n">
        <v>136.157</v>
      </c>
      <c r="K102" s="22" t="n">
        <v>2.61</v>
      </c>
      <c r="L102" s="22" t="n">
        <v>0</v>
      </c>
      <c r="T102" s="22" t="n">
        <v>0</v>
      </c>
      <c r="U102" s="22" t="n">
        <v>0</v>
      </c>
      <c r="V102" s="22" t="n">
        <v>0</v>
      </c>
      <c r="W102" s="22" t="n">
        <v>136.157</v>
      </c>
      <c r="X102" s="22" t="n">
        <v>0</v>
      </c>
    </row>
    <row r="103">
      <c r="A103" s="20" t="inlineStr">
        <is>
          <t>기타</t>
        </is>
      </c>
      <c r="C103" s="22" t="n">
        <v>0.453</v>
      </c>
      <c r="D103" s="22" t="n">
        <v>-7.468</v>
      </c>
      <c r="E103" s="22" t="n">
        <v>0.07199999999999999</v>
      </c>
      <c r="F103" s="22" t="n">
        <v>0.049</v>
      </c>
      <c r="G103" s="22" t="n">
        <v>0.044</v>
      </c>
      <c r="H103" s="22" t="n">
        <v>0.039</v>
      </c>
      <c r="I103" s="22" t="n">
        <v>42.309</v>
      </c>
      <c r="J103" s="22" t="n">
        <v>-42.089</v>
      </c>
      <c r="K103" s="22" t="n">
        <v>0.024</v>
      </c>
      <c r="L103" s="22" t="n">
        <v>0.051</v>
      </c>
      <c r="M103" s="22" t="n">
        <v>0.018</v>
      </c>
      <c r="N103" s="22" t="n">
        <v>6.133</v>
      </c>
      <c r="T103" s="22" t="n">
        <v>0.051</v>
      </c>
      <c r="U103" s="22" t="n">
        <v>0.008</v>
      </c>
      <c r="V103" s="22" t="n">
        <v>-7.468</v>
      </c>
      <c r="W103" s="22" t="n">
        <v>0.039</v>
      </c>
      <c r="X103" s="22" t="n">
        <v>0.051</v>
      </c>
    </row>
    <row r="104">
      <c r="A104" s="20" t="inlineStr">
        <is>
          <t>영업외비용 합계</t>
        </is>
      </c>
      <c r="C104" s="22" t="n">
        <v>0.453</v>
      </c>
      <c r="D104" s="22" t="n">
        <v>0.064</v>
      </c>
      <c r="E104" s="22" t="n">
        <v>0.07199999999999999</v>
      </c>
      <c r="F104" s="22" t="n">
        <v>69.625</v>
      </c>
      <c r="G104" s="22" t="n">
        <v>-48.984</v>
      </c>
      <c r="H104" s="22" t="n">
        <v>172.279</v>
      </c>
      <c r="I104" s="22" t="n">
        <v>42.344</v>
      </c>
      <c r="J104" s="22" t="n">
        <v>-39.87</v>
      </c>
      <c r="K104" s="22" t="n">
        <v>0.38</v>
      </c>
      <c r="L104" s="22" t="n">
        <v>0.051</v>
      </c>
      <c r="M104" s="22" t="n">
        <v>0.031</v>
      </c>
      <c r="N104" s="22" t="n">
        <v>112.671</v>
      </c>
      <c r="T104" s="22" t="n">
        <v>1.863</v>
      </c>
      <c r="U104" s="22" t="n">
        <v>0.008</v>
      </c>
      <c r="V104" s="22" t="n">
        <v>0.064</v>
      </c>
      <c r="W104" s="22" t="n">
        <v>172.279</v>
      </c>
      <c r="X104" s="22" t="n">
        <v>0.051</v>
      </c>
    </row>
    <row r="105">
      <c r="A105" s="45" t="inlineStr">
        <is>
          <t>YoY</t>
        </is>
      </c>
      <c r="B105" s="3" t="inlineStr">
        <is>
          <t>전년 같은 분기·전년 대비</t>
        </is>
      </c>
      <c r="G105" s="17">
        <f>IF(OR(G104="",C104=""),"",IF(G104*C104&lt;=0,"",IFERROR(G104/C104-1,"")))</f>
        <v/>
      </c>
      <c r="H105" s="17">
        <f>IF(OR(H104="",D104=""),"",IF(H104*D104&lt;=0,"",IFERROR(H104/D104-1,"")))</f>
        <v/>
      </c>
      <c r="I105" s="17">
        <f>IF(OR(I104="",E104=""),"",IF(I104*E104&lt;=0,"",IFERROR(I104/E104-1,"")))</f>
        <v/>
      </c>
      <c r="J105" s="17">
        <f>IF(OR(J104="",F104=""),"",IF(J104*F104&lt;=0,"",IFERROR(J104/F104-1,"")))</f>
        <v/>
      </c>
      <c r="K105" s="17">
        <f>IF(OR(K104="",G104=""),"",IF(K104*G104&lt;=0,"",IFERROR(K104/G104-1,"")))</f>
        <v/>
      </c>
      <c r="L105" s="17">
        <f>IF(OR(L104="",H104=""),"",IF(L104*H104&lt;=0,"",IFERROR(L104/H104-1,"")))</f>
        <v/>
      </c>
      <c r="M105" s="17">
        <f>IF(OR(M104="",I104=""),"",IF(M104*I104&lt;=0,"",IFERROR(M104/I104-1,"")))</f>
        <v/>
      </c>
      <c r="N105" s="17">
        <f>IF(OR(N104="",J104=""),"",IF(N104*J104&lt;=0,"",IFERROR(N104/J104-1,"")))</f>
        <v/>
      </c>
      <c r="T105" s="17">
        <f>IF(OR(T104="",S104=""),"",IF(T104*S104&lt;=0,"",IFERROR(T104/S104-1,"")))</f>
        <v/>
      </c>
      <c r="U105" s="17">
        <f>IF(OR(U104="",T104=""),"",IF(U104*T104&lt;=0,"",IFERROR(U104/T104-1,"")))</f>
        <v/>
      </c>
      <c r="V105" s="17">
        <f>IF(OR(V104="",U104=""),"",IF(V104*U104&lt;=0,"",IFERROR(V104/U104-1,"")))</f>
        <v/>
      </c>
      <c r="W105" s="17">
        <f>IF(OR(W104="",V104=""),"",IF(W104*V104&lt;=0,"",IFERROR(W104/V104-1,"")))</f>
        <v/>
      </c>
      <c r="X105" s="17">
        <f>IF(OR(X104="",W104=""),"",IF(X104*W104&lt;=0,"",IFERROR(X104/W104-1,"")))</f>
        <v/>
      </c>
    </row>
    <row r="106">
      <c r="A106" s="9" t="inlineStr">
        <is>
          <t>경상이익</t>
        </is>
      </c>
      <c r="C106" s="12" t="n">
        <v>-7.734</v>
      </c>
      <c r="D106" s="12" t="n">
        <v>252.248</v>
      </c>
      <c r="E106" s="12" t="n">
        <v>300.359</v>
      </c>
      <c r="F106" s="12" t="n">
        <v>203.457</v>
      </c>
      <c r="G106" s="12" t="n">
        <v>293.537</v>
      </c>
      <c r="H106" s="12" t="n">
        <v>126.872</v>
      </c>
      <c r="I106" s="12" t="n">
        <v>135.244</v>
      </c>
      <c r="J106" s="12" t="n">
        <v>-1.471</v>
      </c>
      <c r="K106" s="12" t="n">
        <v>401.228</v>
      </c>
      <c r="L106" s="12" t="n">
        <v>621.7089999999999</v>
      </c>
      <c r="M106" s="12" t="n">
        <v>493.834</v>
      </c>
      <c r="N106" s="12" t="n">
        <v>405.432</v>
      </c>
      <c r="T106" s="12" t="n">
        <v>344.104</v>
      </c>
      <c r="U106" s="12" t="n">
        <v>-48.56</v>
      </c>
      <c r="V106" s="12" t="n">
        <v>252.248</v>
      </c>
      <c r="W106" s="12" t="n">
        <v>126.872</v>
      </c>
      <c r="X106" s="12" t="n">
        <v>621.7089999999999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IF(OR(G106="",C106=""),"",IF(C106&lt;=0,"",IFERROR(G106/C106-1,"")))</f>
        <v/>
      </c>
      <c r="H107" s="17">
        <f>IF(OR(H106="",D106=""),"",IF(D106&lt;=0,"",IFERROR(H106/D106-1,"")))</f>
        <v/>
      </c>
      <c r="I107" s="17">
        <f>IF(OR(I106="",E106=""),"",IF(E106&lt;=0,"",IFERROR(I106/E106-1,"")))</f>
        <v/>
      </c>
      <c r="J107" s="17">
        <f>IF(OR(J106="",F106=""),"",IF(F106&lt;=0,"",IFERROR(J106/F106-1,"")))</f>
        <v/>
      </c>
      <c r="K107" s="17">
        <f>IF(OR(K106="",G106=""),"",IF(G106&lt;=0,"",IFERROR(K106/G106-1,"")))</f>
        <v/>
      </c>
      <c r="L107" s="17">
        <f>IF(OR(L106="",H106=""),"",IF(H106&lt;=0,"",IFERROR(L106/H106-1,"")))</f>
        <v/>
      </c>
      <c r="M107" s="17">
        <f>IF(OR(M106="",I106=""),"",IF(I106&lt;=0,"",IFERROR(M106/I106-1,"")))</f>
        <v/>
      </c>
      <c r="N107" s="17">
        <f>IF(OR(N106="",J106=""),"",IF(J106&lt;=0,"",IFERROR(N106/J106-1,"")))</f>
        <v/>
      </c>
      <c r="T107" s="17">
        <f>IF(OR(T106="",S106=""),"",IF(S106&lt;=0,"",IFERROR(T106/S106-1,"")))</f>
        <v/>
      </c>
      <c r="U107" s="17">
        <f>IF(OR(U106="",T106=""),"",IF(T106&lt;=0,"",IFERROR(U106/T106-1,"")))</f>
        <v/>
      </c>
      <c r="V107" s="17">
        <f>IF(OR(V106="",U106=""),"",IF(U106&lt;=0,"",IFERROR(V106/U106-1,"")))</f>
        <v/>
      </c>
      <c r="W107" s="17">
        <f>IF(OR(W106="",V106=""),"",IF(V106&lt;=0,"",IFERROR(W106/V106-1,"")))</f>
        <v/>
      </c>
      <c r="X107" s="17">
        <f>IF(OR(X106="",W106=""),"",IF(W106&lt;=0,"",IFERROR(X106/W106-1,"")))</f>
        <v/>
      </c>
    </row>
    <row r="108">
      <c r="A108" s="9" t="inlineStr">
        <is>
          <t>법인세차감전 순이익</t>
        </is>
      </c>
      <c r="C108" s="12" t="n">
        <v>-7.734</v>
      </c>
      <c r="D108" s="12" t="n">
        <v>252.248</v>
      </c>
      <c r="E108" s="12" t="n">
        <v>300.359</v>
      </c>
      <c r="F108" s="12" t="n">
        <v>203.457</v>
      </c>
      <c r="G108" s="12" t="n">
        <v>293.537</v>
      </c>
      <c r="H108" s="12" t="n">
        <v>126.872</v>
      </c>
      <c r="I108" s="12" t="n">
        <v>135.244</v>
      </c>
      <c r="J108" s="12" t="n">
        <v>-1.471</v>
      </c>
      <c r="K108" s="12" t="n">
        <v>401.228</v>
      </c>
      <c r="L108" s="12" t="n">
        <v>621.7089999999999</v>
      </c>
      <c r="M108" s="12" t="n">
        <v>493.834</v>
      </c>
      <c r="N108" s="12" t="n">
        <v>405.432</v>
      </c>
      <c r="T108" s="12" t="n">
        <v>344.104</v>
      </c>
      <c r="U108" s="12" t="n">
        <v>-48.56</v>
      </c>
      <c r="V108" s="12" t="n">
        <v>252.248</v>
      </c>
      <c r="W108" s="12" t="n">
        <v>126.872</v>
      </c>
      <c r="X108" s="12" t="n">
        <v>621.7089999999999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T109" s="17">
        <f>IF(OR(T108="",S108=""),"",IF(S108&lt;=0,"",IFERROR(T108/S108-1,"")))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20" t="inlineStr">
        <is>
          <t>법인세·주민세·사업세</t>
        </is>
      </c>
      <c r="C110" s="22" t="n">
        <v>36.546</v>
      </c>
      <c r="D110" s="22" t="n">
        <v>139.415</v>
      </c>
      <c r="E110" s="22" t="n">
        <v>97.405</v>
      </c>
      <c r="F110" s="22" t="n">
        <v>44.355</v>
      </c>
      <c r="G110" s="22" t="n">
        <v>154.788</v>
      </c>
      <c r="H110" s="22" t="n">
        <v>108.576</v>
      </c>
      <c r="I110" s="22" t="n">
        <v>0.666</v>
      </c>
      <c r="J110" s="22" t="n">
        <v>19.407</v>
      </c>
      <c r="K110" s="22" t="n">
        <v>102.47</v>
      </c>
      <c r="L110" s="22" t="n">
        <v>147.353</v>
      </c>
      <c r="M110" s="22" t="n">
        <v>103.496</v>
      </c>
      <c r="N110" s="22" t="n">
        <v>172.204</v>
      </c>
      <c r="T110" s="22" t="n">
        <v>127.138</v>
      </c>
      <c r="U110" s="22" t="n">
        <v>70.32599999999999</v>
      </c>
      <c r="V110" s="22" t="n">
        <v>139.415</v>
      </c>
      <c r="W110" s="22" t="n">
        <v>108.576</v>
      </c>
      <c r="X110" s="22" t="n">
        <v>147.353</v>
      </c>
    </row>
    <row r="111">
      <c r="A111" s="20" t="inlineStr">
        <is>
          <t>법인세 조정액</t>
        </is>
      </c>
      <c r="C111" s="22" t="n">
        <v>-31.751</v>
      </c>
      <c r="D111" s="22" t="n">
        <v>-38.805</v>
      </c>
      <c r="E111" s="22" t="n">
        <v>-3.977</v>
      </c>
      <c r="F111" s="22" t="n">
        <v>19.78</v>
      </c>
      <c r="G111" s="22" t="n">
        <v>-62.566</v>
      </c>
      <c r="H111" s="22" t="n">
        <v>-65.495</v>
      </c>
      <c r="I111" s="22" t="n">
        <v>53.003</v>
      </c>
      <c r="J111" s="22" t="n">
        <v>-39.45</v>
      </c>
      <c r="K111" s="22" t="n">
        <v>26.195</v>
      </c>
      <c r="L111" s="22" t="n">
        <v>66.895</v>
      </c>
      <c r="M111" s="22" t="n">
        <v>57.334</v>
      </c>
      <c r="N111" s="22" t="n">
        <v>-45.66</v>
      </c>
      <c r="T111" s="22" t="n">
        <v>-22.146</v>
      </c>
      <c r="U111" s="22" t="n">
        <v>-51.448</v>
      </c>
      <c r="V111" s="22" t="n">
        <v>-38.805</v>
      </c>
      <c r="W111" s="22" t="n">
        <v>-65.495</v>
      </c>
      <c r="X111" s="22" t="n">
        <v>66.895</v>
      </c>
    </row>
    <row r="112">
      <c r="A112" s="20" t="inlineStr">
        <is>
          <t>법인세 등 합계</t>
        </is>
      </c>
      <c r="C112" s="22" t="n">
        <v>4.796</v>
      </c>
      <c r="D112" s="22" t="n">
        <v>100.61</v>
      </c>
      <c r="E112" s="22" t="n">
        <v>93.428</v>
      </c>
      <c r="F112" s="22" t="n">
        <v>64.13500000000001</v>
      </c>
      <c r="G112" s="22" t="n">
        <v>92.221</v>
      </c>
      <c r="H112" s="22" t="n">
        <v>43.082</v>
      </c>
      <c r="I112" s="22" t="n">
        <v>53.67</v>
      </c>
      <c r="J112" s="22" t="n">
        <v>-20.044</v>
      </c>
      <c r="K112" s="22" t="n">
        <v>128.665</v>
      </c>
      <c r="L112" s="22" t="n">
        <v>214.249</v>
      </c>
      <c r="M112" s="22" t="n">
        <v>160.831</v>
      </c>
      <c r="N112" s="22" t="n">
        <v>126.544</v>
      </c>
      <c r="T112" s="22" t="n">
        <v>104.991</v>
      </c>
      <c r="U112" s="22" t="n">
        <v>18.878</v>
      </c>
      <c r="V112" s="22" t="n">
        <v>100.61</v>
      </c>
      <c r="W112" s="22" t="n">
        <v>43.082</v>
      </c>
      <c r="X112" s="22" t="n">
        <v>214.249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IF(OR(G112="",C112=""),"",IF(G112*C112&lt;=0,"",IFERROR(G112/C112-1,"")))</f>
        <v/>
      </c>
      <c r="H113" s="17">
        <f>IF(OR(H112="",D112=""),"",IF(H112*D112&lt;=0,"",IFERROR(H112/D112-1,"")))</f>
        <v/>
      </c>
      <c r="I113" s="17">
        <f>IF(OR(I112="",E112=""),"",IF(I112*E112&lt;=0,"",IFERROR(I112/E112-1,"")))</f>
        <v/>
      </c>
      <c r="J113" s="17">
        <f>IF(OR(J112="",F112=""),"",IF(J112*F112&lt;=0,"",IFERROR(J112/F112-1,"")))</f>
        <v/>
      </c>
      <c r="K113" s="17">
        <f>IF(OR(K112="",G112=""),"",IF(K112*G112&lt;=0,"",IFERROR(K112/G112-1,"")))</f>
        <v/>
      </c>
      <c r="L113" s="17">
        <f>IF(OR(L112="",H112=""),"",IF(L112*H112&lt;=0,"",IFERROR(L112/H112-1,"")))</f>
        <v/>
      </c>
      <c r="M113" s="17">
        <f>IF(OR(M112="",I112=""),"",IF(M112*I112&lt;=0,"",IFERROR(M112/I112-1,"")))</f>
        <v/>
      </c>
      <c r="N113" s="17">
        <f>IF(OR(N112="",J112=""),"",IF(N112*J112&lt;=0,"",IFERROR(N112/J112-1,"")))</f>
        <v/>
      </c>
      <c r="T113" s="17">
        <f>IF(OR(T112="",S112=""),"",IF(T112*S112&lt;=0,"",IFERROR(T112/S112-1,"")))</f>
        <v/>
      </c>
      <c r="U113" s="17">
        <f>IF(OR(U112="",T112=""),"",IF(U112*T112&lt;=0,"",IFERROR(U112/T112-1,"")))</f>
        <v/>
      </c>
      <c r="V113" s="17">
        <f>IF(OR(V112="",U112=""),"",IF(V112*U112&lt;=0,"",IFERROR(V112/U112-1,"")))</f>
        <v/>
      </c>
      <c r="W113" s="17">
        <f>IF(OR(W112="",V112=""),"",IF(W112*V112&lt;=0,"",IFERROR(W112/V112-1,"")))</f>
        <v/>
      </c>
      <c r="X113" s="17">
        <f>IF(OR(X112="",W112=""),"",IF(X112*W112&lt;=0,"",IFERROR(X112/W112-1,"")))</f>
        <v/>
      </c>
    </row>
    <row r="114">
      <c r="A114" s="9" t="inlineStr">
        <is>
          <t>순이익</t>
        </is>
      </c>
      <c r="C114" s="12" t="n">
        <v>-12.53</v>
      </c>
      <c r="D114" s="12" t="n">
        <v>151.639</v>
      </c>
      <c r="E114" s="12" t="n">
        <v>206.93</v>
      </c>
      <c r="F114" s="12" t="n">
        <v>139.322</v>
      </c>
      <c r="G114" s="12" t="n">
        <v>201.316</v>
      </c>
      <c r="H114" s="12" t="n">
        <v>83.791</v>
      </c>
      <c r="I114" s="12" t="n">
        <v>81.574</v>
      </c>
      <c r="J114" s="12" t="n">
        <v>18.572</v>
      </c>
      <c r="K114" s="12" t="n">
        <v>272.563</v>
      </c>
      <c r="L114" s="12" t="n">
        <v>407.461</v>
      </c>
      <c r="M114" s="12" t="n">
        <v>333.003</v>
      </c>
      <c r="N114" s="12" t="n">
        <v>278.888</v>
      </c>
      <c r="T114" s="12" t="n">
        <v>239.113</v>
      </c>
      <c r="U114" s="12" t="n">
        <v>-67.438</v>
      </c>
      <c r="V114" s="12" t="n">
        <v>151.639</v>
      </c>
      <c r="W114" s="12" t="n">
        <v>83.791</v>
      </c>
      <c r="X114" s="12" t="n">
        <v>407.461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IF(OR(G114="",C114=""),"",IF(C114&lt;=0,"",IFERROR(G114/C114-1,"")))</f>
        <v/>
      </c>
      <c r="H115" s="17">
        <f>IF(OR(H114="",D114=""),"",IF(D114&lt;=0,"",IFERROR(H114/D114-1,"")))</f>
        <v/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T115" s="17">
        <f>IF(OR(T114="",S114=""),"",IF(S114&lt;=0,"",IFERROR(T114/S114-1,"")))</f>
        <v/>
      </c>
      <c r="U115" s="17">
        <f>IF(OR(U114="",T114=""),"",IF(T114&lt;=0,"",IFERROR(U114/T114-1,"")))</f>
        <v/>
      </c>
      <c r="V115" s="17">
        <f>IF(OR(V114="",U114=""),"",IF(U114&lt;=0,"",IFERROR(V114/U114-1,"")))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6">
      <c r="A116" s="9" t="inlineStr">
        <is>
          <t>비지배주주 순이익</t>
        </is>
      </c>
      <c r="C116" s="12" t="n">
        <v>3.275</v>
      </c>
      <c r="D116" s="12" t="n">
        <v>3.478</v>
      </c>
      <c r="E116" s="12" t="n">
        <v>10.409</v>
      </c>
      <c r="F116" s="12" t="n">
        <v>2.991</v>
      </c>
      <c r="G116" s="12" t="n">
        <v>4.42</v>
      </c>
      <c r="H116" s="12" t="n">
        <v>10.512</v>
      </c>
      <c r="I116" s="12" t="n">
        <v>3.913</v>
      </c>
      <c r="J116" s="12" t="n">
        <v>13.518</v>
      </c>
      <c r="K116" s="12" t="n">
        <v>1.471</v>
      </c>
      <c r="L116" s="12" t="n">
        <v>15.018</v>
      </c>
      <c r="M116" s="12" t="n">
        <v>14.751</v>
      </c>
      <c r="N116" s="12" t="n">
        <v>12.261</v>
      </c>
      <c r="T116" s="12" t="n">
        <v>2.186</v>
      </c>
      <c r="U116" s="12" t="n">
        <v>-1.317</v>
      </c>
      <c r="V116" s="12" t="n">
        <v>3.478</v>
      </c>
      <c r="W116" s="12" t="n">
        <v>10.512</v>
      </c>
      <c r="X116" s="12" t="n">
        <v>15.018</v>
      </c>
    </row>
    <row r="117">
      <c r="A117" s="9" t="inlineStr">
        <is>
          <t>지배주주 순이익</t>
        </is>
      </c>
      <c r="C117" s="12" t="n">
        <v>-15.806</v>
      </c>
      <c r="D117" s="12" t="n">
        <v>148.16</v>
      </c>
      <c r="E117" s="12" t="n">
        <v>196.52</v>
      </c>
      <c r="F117" s="12" t="n">
        <v>136.332</v>
      </c>
      <c r="G117" s="12" t="n">
        <v>196.896</v>
      </c>
      <c r="H117" s="12" t="n">
        <v>73.27800000000001</v>
      </c>
      <c r="I117" s="12" t="n">
        <v>77.66</v>
      </c>
      <c r="J117" s="12" t="n">
        <v>5.054</v>
      </c>
      <c r="K117" s="12" t="n">
        <v>271.093</v>
      </c>
      <c r="L117" s="12" t="n">
        <v>392.443</v>
      </c>
      <c r="M117" s="12" t="n">
        <v>318.251</v>
      </c>
      <c r="N117" s="12" t="n">
        <v>266.627</v>
      </c>
      <c r="T117" s="12" t="n">
        <v>236.926</v>
      </c>
      <c r="U117" s="12" t="n">
        <v>-66.121</v>
      </c>
      <c r="V117" s="12" t="n">
        <v>148.16</v>
      </c>
      <c r="W117" s="12" t="n">
        <v>73.27800000000001</v>
      </c>
      <c r="X117" s="12" t="n">
        <v>392.443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IF(OR(G117="",C117=""),"",IF(C117&lt;=0,"",IFERROR(G117/C117-1,"")))</f>
        <v/>
      </c>
      <c r="H118" s="17">
        <f>IF(OR(H117="",D117=""),"",IF(D117&lt;=0,"",IFERROR(H117/D117-1,"")))</f>
        <v/>
      </c>
      <c r="I118" s="17">
        <f>IF(OR(I117="",E117=""),"",IF(E117&lt;=0,"",IFERROR(I117/E117-1,"")))</f>
        <v/>
      </c>
      <c r="J118" s="17">
        <f>IF(OR(J117="",F117=""),"",IF(F117&lt;=0,"",IFERROR(J117/F117-1,"")))</f>
        <v/>
      </c>
      <c r="K118" s="17">
        <f>IF(OR(K117="",G117=""),"",IF(G117&lt;=0,"",IFERROR(K117/G117-1,"")))</f>
        <v/>
      </c>
      <c r="L118" s="17">
        <f>IF(OR(L117="",H117=""),"",IF(H117&lt;=0,"",IFERROR(L117/H117-1,"")))</f>
        <v/>
      </c>
      <c r="M118" s="17">
        <f>IF(OR(M117="",I117=""),"",IF(I117&lt;=0,"",IFERROR(M117/I117-1,"")))</f>
        <v/>
      </c>
      <c r="N118" s="17">
        <f>IF(OR(N117="",J117=""),"",IF(J117&lt;=0,"",IFERROR(N117/J117-1,"")))</f>
        <v/>
      </c>
      <c r="T118" s="17">
        <f>IF(OR(T117="",S117=""),"",IF(S117&lt;=0,"",IFERROR(T117/S117-1,"")))</f>
        <v/>
      </c>
      <c r="U118" s="17">
        <f>IF(OR(U117="",T117=""),"",IF(T117&lt;=0,"",IFERROR(U117/T117-1,"")))</f>
        <v/>
      </c>
      <c r="V118" s="17">
        <f>IF(OR(V117="",U117=""),"",IF(U117&lt;=0,"",IFERROR(V117/U117-1,"")))</f>
        <v/>
      </c>
      <c r="W118" s="17">
        <f>IF(OR(W117="",V117=""),"",IF(V117&lt;=0,"",IFERROR(W117/V117-1,"")))</f>
        <v/>
      </c>
      <c r="X118" s="17">
        <f>IF(OR(X117="",W117=""),"",IF(W117&lt;=0,"",IFERROR(X117/W117-1,"")))</f>
        <v/>
      </c>
    </row>
    <row r="120">
      <c r="A120" s="18" t="inlineStr">
        <is>
          <t>포괄손익 · 전 항목</t>
        </is>
      </c>
      <c r="B120" s="44" t="inlineStr">
        <is>
          <t>분기 = 3개월 단독</t>
        </is>
      </c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</row>
    <row r="121">
      <c r="A121" s="5" t="inlineStr">
        <is>
          <t>항목</t>
        </is>
      </c>
      <c r="B121" s="5" t="inlineStr">
        <is>
          <t>참고</t>
        </is>
      </c>
      <c r="C121" s="5" t="inlineStr">
        <is>
          <t>2024.3Q</t>
        </is>
      </c>
      <c r="D121" s="5" t="inlineStr">
        <is>
          <t>2024.4Q</t>
        </is>
      </c>
      <c r="E121" s="5" t="inlineStr">
        <is>
          <t>2025.1Q</t>
        </is>
      </c>
      <c r="F121" s="5" t="inlineStr">
        <is>
          <t>2025.2Q</t>
        </is>
      </c>
      <c r="G121" s="5" t="inlineStr">
        <is>
          <t>2025.3Q</t>
        </is>
      </c>
      <c r="H121" s="5" t="inlineStr">
        <is>
          <t>2025.4Q</t>
        </is>
      </c>
      <c r="I121" s="5" t="inlineStr">
        <is>
          <t>2026.1Q</t>
        </is>
      </c>
      <c r="J121" s="5" t="inlineStr">
        <is>
          <t>2026.2Q</t>
        </is>
      </c>
      <c r="K121" s="5" t="inlineStr">
        <is>
          <t>2026.3Q</t>
        </is>
      </c>
      <c r="L121" s="5" t="inlineStr">
        <is>
          <t>2026.4Q</t>
        </is>
      </c>
      <c r="M121" s="5" t="inlineStr">
        <is>
          <t>2027.1Q</t>
        </is>
      </c>
      <c r="N121" s="5" t="inlineStr">
        <is>
          <t>2027.2Q</t>
        </is>
      </c>
      <c r="O121" s="5" t="inlineStr">
        <is>
          <t>2017</t>
        </is>
      </c>
      <c r="P121" s="5" t="inlineStr">
        <is>
          <t>2018</t>
        </is>
      </c>
      <c r="Q121" s="5" t="inlineStr">
        <is>
          <t>2019</t>
        </is>
      </c>
      <c r="R121" s="5" t="inlineStr">
        <is>
          <t>2020</t>
        </is>
      </c>
      <c r="S121" s="5" t="inlineStr">
        <is>
          <t>2021</t>
        </is>
      </c>
      <c r="T121" s="5" t="inlineStr">
        <is>
          <t>2022</t>
        </is>
      </c>
      <c r="U121" s="5" t="inlineStr">
        <is>
          <t>2023</t>
        </is>
      </c>
      <c r="V121" s="5" t="inlineStr">
        <is>
          <t>2024</t>
        </is>
      </c>
      <c r="W121" s="5" t="inlineStr">
        <is>
          <t>2025</t>
        </is>
      </c>
      <c r="X121" s="5" t="inlineStr">
        <is>
          <t>2026</t>
        </is>
      </c>
      <c r="Y121" s="5" t="inlineStr">
        <is>
          <t>2027(MW)</t>
        </is>
      </c>
      <c r="Z121" s="5" t="inlineStr">
        <is>
          <t>2028(MW)</t>
        </is>
      </c>
      <c r="AA121" s="5" t="inlineStr">
        <is>
          <t>2029(MW)</t>
        </is>
      </c>
      <c r="AB121" s="5" t="inlineStr">
        <is>
          <t>2030(MW)</t>
        </is>
      </c>
      <c r="AC121" s="5" t="inlineStr">
        <is>
          <t>2031(MW)</t>
        </is>
      </c>
    </row>
    <row r="122">
      <c r="A122" s="9" t="inlineStr">
        <is>
          <t>순이익</t>
        </is>
      </c>
      <c r="C122" s="12" t="n">
        <v>-12.53</v>
      </c>
      <c r="D122" s="12" t="n">
        <v>151.639</v>
      </c>
      <c r="E122" s="12" t="n">
        <v>206.93</v>
      </c>
      <c r="F122" s="12" t="n">
        <v>139.322</v>
      </c>
      <c r="G122" s="12" t="n">
        <v>201.316</v>
      </c>
      <c r="H122" s="12" t="n">
        <v>83.791</v>
      </c>
      <c r="I122" s="12" t="n">
        <v>81.574</v>
      </c>
      <c r="J122" s="12" t="n">
        <v>18.572</v>
      </c>
      <c r="K122" s="12" t="n">
        <v>272.563</v>
      </c>
      <c r="L122" s="12" t="n">
        <v>407.461</v>
      </c>
      <c r="M122" s="12" t="n">
        <v>333.003</v>
      </c>
      <c r="N122" s="12" t="n">
        <v>278.888</v>
      </c>
      <c r="T122" s="12" t="n">
        <v>239.113</v>
      </c>
      <c r="U122" s="12" t="n">
        <v>-67.438</v>
      </c>
      <c r="V122" s="12" t="n">
        <v>151.639</v>
      </c>
      <c r="W122" s="12" t="n">
        <v>83.791</v>
      </c>
      <c r="X122" s="12" t="n">
        <v>407.461</v>
      </c>
    </row>
    <row r="123">
      <c r="A123" s="20" t="inlineStr">
        <is>
          <t>기타유가증권 평가차액</t>
        </is>
      </c>
      <c r="C123" s="22" t="n">
        <v>0.06</v>
      </c>
      <c r="D123" s="22" t="n">
        <v>30.321</v>
      </c>
      <c r="E123" s="22" t="n">
        <v>65.057</v>
      </c>
      <c r="F123" s="22" t="n">
        <v>-420.405</v>
      </c>
      <c r="G123" s="22" t="n">
        <v>306.737</v>
      </c>
      <c r="H123" s="22" t="n">
        <v>-8.237</v>
      </c>
      <c r="I123" s="22" t="n">
        <v>-4.871</v>
      </c>
      <c r="J123" s="22" t="n">
        <v>31.359</v>
      </c>
      <c r="K123" s="22" t="n">
        <v>21.829</v>
      </c>
      <c r="L123" s="22" t="n">
        <v>-355.269</v>
      </c>
      <c r="M123" s="22" t="n">
        <v>346.623</v>
      </c>
      <c r="N123" s="22" t="n">
        <v>-6.53</v>
      </c>
      <c r="T123" s="22" t="n">
        <v>90.54900000000001</v>
      </c>
      <c r="U123" s="22" t="n">
        <v>-7.835</v>
      </c>
      <c r="V123" s="22" t="n">
        <v>30.321</v>
      </c>
      <c r="W123" s="22" t="n">
        <v>-8.237</v>
      </c>
      <c r="X123" s="22" t="n">
        <v>-355.269</v>
      </c>
    </row>
    <row r="124">
      <c r="A124" s="20" t="inlineStr">
        <is>
          <t>기타포괄손익 합계</t>
        </is>
      </c>
      <c r="C124" s="22" t="n">
        <v>0.06</v>
      </c>
      <c r="D124" s="22" t="n">
        <v>30.321</v>
      </c>
      <c r="E124" s="22" t="n">
        <v>65.057</v>
      </c>
      <c r="F124" s="22" t="n">
        <v>-420.405</v>
      </c>
      <c r="G124" s="22" t="n">
        <v>306.737</v>
      </c>
      <c r="H124" s="22" t="n">
        <v>-8.237</v>
      </c>
      <c r="I124" s="22" t="n">
        <v>-4.871</v>
      </c>
      <c r="J124" s="22" t="n">
        <v>31.359</v>
      </c>
      <c r="K124" s="22" t="n">
        <v>21.829</v>
      </c>
      <c r="L124" s="22" t="n">
        <v>-355.269</v>
      </c>
      <c r="M124" s="22" t="n">
        <v>346.623</v>
      </c>
      <c r="N124" s="22" t="n">
        <v>-6.53</v>
      </c>
      <c r="T124" s="22" t="n">
        <v>90.54900000000001</v>
      </c>
      <c r="U124" s="22" t="n">
        <v>-7.835</v>
      </c>
      <c r="V124" s="22" t="n">
        <v>30.321</v>
      </c>
      <c r="W124" s="22" t="n">
        <v>-8.237</v>
      </c>
      <c r="X124" s="22" t="n">
        <v>-355.269</v>
      </c>
    </row>
    <row r="125">
      <c r="A125" s="9" t="inlineStr">
        <is>
          <t>포괄이익</t>
        </is>
      </c>
      <c r="C125" s="12" t="n">
        <v>-12.47</v>
      </c>
      <c r="D125" s="12" t="n">
        <v>181.96</v>
      </c>
      <c r="E125" s="12" t="n">
        <v>271.988</v>
      </c>
      <c r="F125" s="12" t="n">
        <v>-281.083</v>
      </c>
      <c r="G125" s="12" t="n">
        <v>508.052</v>
      </c>
      <c r="H125" s="12" t="n">
        <v>75.553</v>
      </c>
      <c r="I125" s="12" t="n">
        <v>76.703</v>
      </c>
      <c r="J125" s="12" t="n">
        <v>49.932</v>
      </c>
      <c r="K125" s="12" t="n">
        <v>294.391</v>
      </c>
      <c r="L125" s="12" t="n">
        <v>52.192</v>
      </c>
      <c r="M125" s="12" t="n">
        <v>679.626</v>
      </c>
      <c r="N125" s="12" t="n">
        <v>272.358</v>
      </c>
      <c r="T125" s="12" t="n">
        <v>329.661</v>
      </c>
      <c r="U125" s="12" t="n">
        <v>-75.273</v>
      </c>
      <c r="V125" s="12" t="n">
        <v>181.96</v>
      </c>
      <c r="W125" s="12" t="n">
        <v>75.553</v>
      </c>
      <c r="X125" s="12" t="n">
        <v>52.192</v>
      </c>
    </row>
    <row r="126">
      <c r="A126" s="9" t="inlineStr">
        <is>
          <t>지배주주 포괄이익</t>
        </is>
      </c>
      <c r="C126" s="12" t="n">
        <v>-15.746</v>
      </c>
      <c r="D126" s="12" t="n">
        <v>178.482</v>
      </c>
      <c r="E126" s="12" t="n">
        <v>261.578</v>
      </c>
      <c r="F126" s="12" t="n">
        <v>-284.074</v>
      </c>
      <c r="G126" s="12" t="n">
        <v>503.632</v>
      </c>
      <c r="H126" s="12" t="n">
        <v>65.042</v>
      </c>
      <c r="I126" s="12" t="n">
        <v>72.789</v>
      </c>
      <c r="J126" s="12" t="n">
        <v>36.414</v>
      </c>
      <c r="K126" s="12" t="n">
        <v>292.921</v>
      </c>
      <c r="L126" s="12" t="n">
        <v>37.173</v>
      </c>
      <c r="M126" s="12" t="n">
        <v>664.874</v>
      </c>
      <c r="N126" s="12" t="n">
        <v>260.097</v>
      </c>
      <c r="T126" s="12" t="n">
        <v>327.475</v>
      </c>
      <c r="U126" s="12" t="n">
        <v>-73.956</v>
      </c>
      <c r="V126" s="12" t="n">
        <v>178.482</v>
      </c>
      <c r="W126" s="12" t="n">
        <v>65.042</v>
      </c>
      <c r="X126" s="12" t="n">
        <v>37.173</v>
      </c>
    </row>
    <row r="127">
      <c r="A127" s="9" t="inlineStr">
        <is>
          <t>비지배주주 포괄이익</t>
        </is>
      </c>
      <c r="C127" s="12" t="n">
        <v>3.275</v>
      </c>
      <c r="D127" s="12" t="n">
        <v>3.478</v>
      </c>
      <c r="E127" s="12" t="n">
        <v>10.409</v>
      </c>
      <c r="F127" s="12" t="n">
        <v>2.991</v>
      </c>
      <c r="G127" s="12" t="n">
        <v>4.42</v>
      </c>
      <c r="H127" s="12" t="n">
        <v>10.512</v>
      </c>
      <c r="I127" s="12" t="n">
        <v>3.913</v>
      </c>
      <c r="J127" s="12" t="n">
        <v>13.518</v>
      </c>
      <c r="K127" s="12" t="n">
        <v>1.471</v>
      </c>
      <c r="L127" s="12" t="n">
        <v>15.018</v>
      </c>
      <c r="M127" s="12" t="n">
        <v>14.751</v>
      </c>
      <c r="N127" s="12" t="n">
        <v>12.261</v>
      </c>
      <c r="T127" s="12" t="n">
        <v>2.186</v>
      </c>
      <c r="U127" s="12" t="n">
        <v>-1.317</v>
      </c>
      <c r="V127" s="12" t="n">
        <v>3.478</v>
      </c>
      <c r="W127" s="12" t="n">
        <v>10.512</v>
      </c>
      <c r="X127" s="12" t="n">
        <v>15.018</v>
      </c>
    </row>
    <row r="129">
      <c r="A129" s="18" t="inlineStr">
        <is>
          <t>현금흐름표 · 전 항목</t>
        </is>
      </c>
      <c r="B129" s="44" t="inlineStr">
        <is>
          <t>분기 = 결산기 첫날부터 누계(공시 그대로)</t>
        </is>
      </c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2024.3Q</t>
        </is>
      </c>
      <c r="D130" s="5" t="inlineStr">
        <is>
          <t>2024.4Q</t>
        </is>
      </c>
      <c r="E130" s="5" t="inlineStr">
        <is>
          <t>2025.1Q</t>
        </is>
      </c>
      <c r="F130" s="5" t="inlineStr">
        <is>
          <t>2025.2Q</t>
        </is>
      </c>
      <c r="G130" s="5" t="inlineStr">
        <is>
          <t>2025.3Q</t>
        </is>
      </c>
      <c r="H130" s="5" t="inlineStr">
        <is>
          <t>2025.4Q</t>
        </is>
      </c>
      <c r="I130" s="5" t="inlineStr">
        <is>
          <t>2026.1Q</t>
        </is>
      </c>
      <c r="J130" s="5" t="inlineStr">
        <is>
          <t>2026.2Q</t>
        </is>
      </c>
      <c r="K130" s="5" t="inlineStr">
        <is>
          <t>2026.3Q</t>
        </is>
      </c>
      <c r="L130" s="5" t="inlineStr">
        <is>
          <t>2026.4Q</t>
        </is>
      </c>
      <c r="M130" s="5" t="inlineStr">
        <is>
          <t>2027.1Q</t>
        </is>
      </c>
      <c r="N130" s="5" t="inlineStr">
        <is>
          <t>2027.2Q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9" t="inlineStr">
        <is>
          <t>법인세차감전 순이익</t>
        </is>
      </c>
      <c r="D131" s="12" t="n">
        <v>656.8579999999999</v>
      </c>
      <c r="F131" s="12" t="n">
        <v>503.816</v>
      </c>
      <c r="H131" s="12" t="n">
        <v>924.225</v>
      </c>
      <c r="J131" s="12" t="n">
        <v>133.773</v>
      </c>
      <c r="L131" s="12" t="n">
        <v>1156.71</v>
      </c>
      <c r="N131" s="12" t="n">
        <v>899.266</v>
      </c>
      <c r="O131" s="12" t="n">
        <v>664.744</v>
      </c>
      <c r="P131" s="12" t="n">
        <v>742.524</v>
      </c>
      <c r="Q131" s="12" t="n">
        <v>724.336</v>
      </c>
      <c r="R131" s="12" t="n">
        <v>1132.109</v>
      </c>
      <c r="S131" s="12" t="n">
        <v>1524.051</v>
      </c>
      <c r="T131" s="12" t="n">
        <v>1337.287</v>
      </c>
      <c r="U131" s="12" t="n">
        <v>932.689</v>
      </c>
      <c r="V131" s="12" t="n">
        <v>656.8579999999999</v>
      </c>
      <c r="W131" s="12" t="n">
        <v>924.225</v>
      </c>
      <c r="X131" s="12" t="n">
        <v>1156.71</v>
      </c>
    </row>
    <row r="132">
      <c r="A132" s="20" t="inlineStr">
        <is>
          <t>감가상각비</t>
        </is>
      </c>
      <c r="D132" s="22" t="n">
        <v>18.428</v>
      </c>
      <c r="F132" s="22" t="n">
        <v>10.703</v>
      </c>
      <c r="H132" s="22" t="n">
        <v>21.434</v>
      </c>
      <c r="J132" s="22" t="n">
        <v>6.55</v>
      </c>
      <c r="L132" s="22" t="n">
        <v>13.793</v>
      </c>
      <c r="N132" s="22" t="n">
        <v>7.046</v>
      </c>
      <c r="O132" s="22" t="n">
        <v>25.618</v>
      </c>
      <c r="P132" s="22" t="n">
        <v>20.805</v>
      </c>
      <c r="Q132" s="22" t="n">
        <v>16.172</v>
      </c>
      <c r="R132" s="22" t="n">
        <v>13.721</v>
      </c>
      <c r="S132" s="22" t="n">
        <v>19.334</v>
      </c>
      <c r="T132" s="22" t="n">
        <v>20.131</v>
      </c>
      <c r="U132" s="22" t="n">
        <v>19.326</v>
      </c>
      <c r="V132" s="22" t="n">
        <v>18.428</v>
      </c>
      <c r="W132" s="22" t="n">
        <v>21.434</v>
      </c>
      <c r="X132" s="22" t="n">
        <v>13.793</v>
      </c>
    </row>
    <row r="133">
      <c r="A133" s="20" t="inlineStr">
        <is>
          <t>손상차손</t>
        </is>
      </c>
      <c r="P133" s="22" t="n">
        <v>0</v>
      </c>
      <c r="Q133" s="22" t="n">
        <v>26.655</v>
      </c>
      <c r="R133" s="22" t="n">
        <v>0</v>
      </c>
    </row>
    <row r="134">
      <c r="A134" s="20" t="inlineStr">
        <is>
          <t>대손충당금 증감</t>
        </is>
      </c>
      <c r="D134" s="22" t="n">
        <v>19.323</v>
      </c>
      <c r="F134" s="22" t="n">
        <v>-9.336</v>
      </c>
      <c r="H134" s="22" t="n">
        <v>-2.051</v>
      </c>
      <c r="J134" s="22" t="n">
        <v>-0.634</v>
      </c>
      <c r="L134" s="22" t="n">
        <v>11.203</v>
      </c>
      <c r="N134" s="22" t="n">
        <v>-2.715</v>
      </c>
      <c r="O134" s="22" t="n">
        <v>-3.28</v>
      </c>
      <c r="P134" s="22" t="n">
        <v>114.452</v>
      </c>
      <c r="Q134" s="22" t="n">
        <v>5.021</v>
      </c>
      <c r="R134" s="22" t="n">
        <v>-2.623</v>
      </c>
      <c r="S134" s="22" t="n">
        <v>6.022</v>
      </c>
      <c r="T134" s="22" t="n">
        <v>10.328</v>
      </c>
      <c r="U134" s="22" t="n">
        <v>11.686</v>
      </c>
      <c r="V134" s="22" t="n">
        <v>19.323</v>
      </c>
      <c r="W134" s="22" t="n">
        <v>-2.051</v>
      </c>
      <c r="X134" s="22" t="n">
        <v>11.203</v>
      </c>
    </row>
    <row r="135">
      <c r="A135" s="20" t="inlineStr">
        <is>
          <t>상여충당금 증감</t>
        </is>
      </c>
      <c r="D135" s="22" t="n">
        <v>0</v>
      </c>
      <c r="F135" s="22" t="n">
        <v>16.5</v>
      </c>
      <c r="H135" s="22" t="n">
        <v>0</v>
      </c>
      <c r="J135" s="22" t="n">
        <v>15.25</v>
      </c>
      <c r="N135" s="22" t="n">
        <v>10.3</v>
      </c>
      <c r="S135" s="22" t="n">
        <v>0</v>
      </c>
      <c r="T135" s="22" t="n">
        <v>7.95</v>
      </c>
      <c r="U135" s="22" t="n">
        <v>-0.04</v>
      </c>
      <c r="V135" s="22" t="n">
        <v>0</v>
      </c>
      <c r="W135" s="22" t="n">
        <v>0</v>
      </c>
    </row>
    <row r="136">
      <c r="A136" s="20" t="inlineStr">
        <is>
          <t>반품조정 충당금 증감</t>
        </is>
      </c>
      <c r="O136" s="22" t="n">
        <v>1.566</v>
      </c>
      <c r="P136" s="22" t="n">
        <v>-1.566</v>
      </c>
      <c r="Q136" s="22" t="n">
        <v>1.488</v>
      </c>
      <c r="R136" s="22" t="n">
        <v>-1.488</v>
      </c>
      <c r="S136" s="22" t="n">
        <v>1.141</v>
      </c>
      <c r="T136" s="22" t="n">
        <v>0</v>
      </c>
    </row>
    <row r="137">
      <c r="A137" s="20" t="inlineStr">
        <is>
          <t>이자·배당금 수익</t>
        </is>
      </c>
      <c r="D137" s="22" t="n">
        <v>-64.014</v>
      </c>
      <c r="F137" s="22" t="n">
        <v>-84.09099999999999</v>
      </c>
      <c r="H137" s="22" t="n">
        <v>-133.625</v>
      </c>
      <c r="J137" s="22" t="n">
        <v>-35.938</v>
      </c>
      <c r="L137" s="22" t="n">
        <v>-147.103</v>
      </c>
      <c r="N137" s="22" t="n">
        <v>-22.738</v>
      </c>
      <c r="O137" s="22" t="n">
        <v>-164.141</v>
      </c>
      <c r="P137" s="22" t="n">
        <v>-178.961</v>
      </c>
      <c r="Q137" s="22" t="n">
        <v>-182.623</v>
      </c>
      <c r="R137" s="22" t="n">
        <v>-85.39400000000001</v>
      </c>
      <c r="S137" s="22" t="n">
        <v>-85.961</v>
      </c>
      <c r="T137" s="22" t="n">
        <v>-50.337</v>
      </c>
      <c r="U137" s="22" t="n">
        <v>-3.995</v>
      </c>
      <c r="V137" s="22" t="n">
        <v>-64.014</v>
      </c>
      <c r="W137" s="22" t="n">
        <v>-133.625</v>
      </c>
      <c r="X137" s="22" t="n">
        <v>-147.103</v>
      </c>
    </row>
    <row r="138">
      <c r="A138" s="20" t="inlineStr">
        <is>
          <t>외환차손익</t>
        </is>
      </c>
      <c r="D138" s="22" t="n">
        <v>-13.345</v>
      </c>
      <c r="F138" s="22" t="n">
        <v>-3.371</v>
      </c>
      <c r="H138" s="22" t="n">
        <v>-8.218</v>
      </c>
      <c r="J138" s="22" t="n">
        <v>-2.125</v>
      </c>
      <c r="L138" s="22" t="n">
        <v>-17.813</v>
      </c>
      <c r="N138" s="22" t="n">
        <v>10.349</v>
      </c>
      <c r="O138" s="22" t="n">
        <v>29.863</v>
      </c>
      <c r="P138" s="22" t="n">
        <v>18.766</v>
      </c>
      <c r="Q138" s="22" t="n">
        <v>4.086</v>
      </c>
      <c r="R138" s="22" t="n">
        <v>6.511</v>
      </c>
      <c r="S138" s="22" t="n">
        <v>1.511</v>
      </c>
      <c r="T138" s="22" t="n">
        <v>-21.446</v>
      </c>
      <c r="U138" s="22" t="n">
        <v>-19.185</v>
      </c>
      <c r="V138" s="22" t="n">
        <v>-13.345</v>
      </c>
      <c r="W138" s="22" t="n">
        <v>-8.218</v>
      </c>
      <c r="X138" s="22" t="n">
        <v>-17.813</v>
      </c>
    </row>
    <row r="139">
      <c r="A139" s="20" t="inlineStr">
        <is>
          <t>투자유가증권 매각손익</t>
        </is>
      </c>
      <c r="D139" s="22" t="n">
        <v>-85.11799999999999</v>
      </c>
      <c r="F139" s="22" t="n">
        <v>-164.66</v>
      </c>
      <c r="H139" s="22" t="n">
        <v>-339.511</v>
      </c>
      <c r="J139" s="22" t="n">
        <v>-224.486</v>
      </c>
      <c r="L139" s="22" t="n">
        <v>-752.175</v>
      </c>
      <c r="N139" s="22" t="n">
        <v>-690.585</v>
      </c>
      <c r="O139" s="22" t="n">
        <v>-93.337</v>
      </c>
      <c r="P139" s="22" t="n">
        <v>-3.42</v>
      </c>
      <c r="Q139" s="22" t="n">
        <v>170.356</v>
      </c>
      <c r="R139" s="22" t="n">
        <v>112.124</v>
      </c>
      <c r="S139" s="22" t="n">
        <v>0</v>
      </c>
      <c r="T139" s="22" t="n">
        <v>-1.367</v>
      </c>
      <c r="U139" s="22" t="n">
        <v>-166.298</v>
      </c>
      <c r="V139" s="22" t="n">
        <v>-85.11799999999999</v>
      </c>
      <c r="W139" s="22" t="n">
        <v>-339.511</v>
      </c>
      <c r="X139" s="22" t="n">
        <v>-752.175</v>
      </c>
    </row>
    <row r="140">
      <c r="A140" s="20" t="inlineStr">
        <is>
          <t>투자유가증권 평가손익</t>
        </is>
      </c>
      <c r="O140" s="22" t="n">
        <v>0.391</v>
      </c>
      <c r="P140" s="22" t="n">
        <v>17.701</v>
      </c>
      <c r="Q140" s="22" t="n">
        <v>0</v>
      </c>
      <c r="R140" s="22" t="n">
        <v>0.152</v>
      </c>
      <c r="S140" s="22" t="n">
        <v>15.705</v>
      </c>
    </row>
    <row r="141">
      <c r="A141" s="20" t="inlineStr">
        <is>
          <t>투자사업조합 운용 손익(△는 이익)</t>
        </is>
      </c>
      <c r="O141" s="22" t="n">
        <v>-55.475</v>
      </c>
      <c r="P141" s="22" t="n">
        <v>-83.093</v>
      </c>
      <c r="Q141" s="22" t="n">
        <v>-1.777</v>
      </c>
    </row>
    <row r="142">
      <c r="A142" s="20" t="inlineStr">
        <is>
          <t>출자금 운용손익</t>
        </is>
      </c>
      <c r="D142" s="22" t="n">
        <v>-3.689</v>
      </c>
      <c r="F142" s="22" t="n">
        <v>-23.78</v>
      </c>
      <c r="H142" s="22" t="n">
        <v>-26.104</v>
      </c>
      <c r="J142" s="22" t="n">
        <v>-1.381</v>
      </c>
      <c r="L142" s="22" t="n">
        <v>-2.613</v>
      </c>
      <c r="N142" s="22" t="n">
        <v>-0.398</v>
      </c>
      <c r="Q142" s="22" t="n">
        <v>0</v>
      </c>
      <c r="R142" s="22" t="n">
        <v>-43.192</v>
      </c>
      <c r="S142" s="22" t="n">
        <v>-10.842</v>
      </c>
      <c r="T142" s="22" t="n">
        <v>-19.48</v>
      </c>
      <c r="U142" s="22" t="n">
        <v>-40.138</v>
      </c>
      <c r="V142" s="22" t="n">
        <v>-3.689</v>
      </c>
      <c r="W142" s="22" t="n">
        <v>-26.104</v>
      </c>
      <c r="X142" s="22" t="n">
        <v>-2.613</v>
      </c>
    </row>
    <row r="143">
      <c r="A143" s="20" t="inlineStr">
        <is>
          <t>지분법손익</t>
        </is>
      </c>
      <c r="O143" s="22" t="n">
        <v>-5.467</v>
      </c>
      <c r="P143" s="22" t="n">
        <v>-10.855</v>
      </c>
      <c r="Q143" s="22" t="n">
        <v>-1.464</v>
      </c>
      <c r="R143" s="22" t="n">
        <v>1.039</v>
      </c>
      <c r="S143" s="22" t="n">
        <v>0</v>
      </c>
    </row>
    <row r="144">
      <c r="A144" s="20" t="inlineStr">
        <is>
          <t>매출채권 증감</t>
        </is>
      </c>
      <c r="D144" s="22" t="n">
        <v>-325.805</v>
      </c>
      <c r="F144" s="22" t="n">
        <v>151.89</v>
      </c>
      <c r="H144" s="22" t="n">
        <v>-52.498</v>
      </c>
      <c r="J144" s="22" t="n">
        <v>337.369</v>
      </c>
      <c r="L144" s="22" t="n">
        <v>150.059</v>
      </c>
      <c r="N144" s="22" t="n">
        <v>-8.603</v>
      </c>
      <c r="O144" s="22" t="n">
        <v>-260.236</v>
      </c>
      <c r="P144" s="22" t="n">
        <v>322.295</v>
      </c>
      <c r="Q144" s="22" t="n">
        <v>42.955</v>
      </c>
      <c r="R144" s="22" t="n">
        <v>-586.182</v>
      </c>
      <c r="S144" s="22" t="n">
        <v>227.97</v>
      </c>
      <c r="T144" s="22" t="n">
        <v>59.055</v>
      </c>
      <c r="U144" s="22" t="n">
        <v>-495.64</v>
      </c>
      <c r="V144" s="22" t="n">
        <v>-325.805</v>
      </c>
      <c r="W144" s="22" t="n">
        <v>-52.498</v>
      </c>
      <c r="X144" s="22" t="n">
        <v>150.059</v>
      </c>
    </row>
    <row r="145">
      <c r="A145" s="20" t="inlineStr">
        <is>
          <t>선급금 증감</t>
        </is>
      </c>
      <c r="F145" s="22" t="n">
        <v>-225.664</v>
      </c>
      <c r="H145" s="22" t="n">
        <v>19.341</v>
      </c>
      <c r="J145" s="22" t="n">
        <v>-114.212</v>
      </c>
      <c r="L145" s="22" t="n">
        <v>-104.377</v>
      </c>
      <c r="N145" s="22" t="n">
        <v>33.503</v>
      </c>
      <c r="W145" s="22" t="n">
        <v>19.341</v>
      </c>
      <c r="X145" s="22" t="n">
        <v>-104.377</v>
      </c>
    </row>
    <row r="146">
      <c r="A146" s="20" t="inlineStr">
        <is>
          <t>Decrease Increase In Advance Expense Payments Other Ope CF</t>
        </is>
      </c>
      <c r="D146" s="22" t="n">
        <v>100.312</v>
      </c>
      <c r="F146" s="22" t="n">
        <v>28.585</v>
      </c>
      <c r="H146" s="22" t="n">
        <v>-6.616</v>
      </c>
      <c r="J146" s="22" t="n">
        <v>20.485</v>
      </c>
      <c r="L146" s="22" t="n">
        <v>23.477</v>
      </c>
      <c r="N146" s="22" t="n">
        <v>35.669</v>
      </c>
      <c r="O146" s="22" t="n">
        <v>-161.692</v>
      </c>
      <c r="P146" s="22" t="n">
        <v>46.833</v>
      </c>
      <c r="Q146" s="22" t="n">
        <v>121.746</v>
      </c>
      <c r="R146" s="22" t="n">
        <v>-15.432</v>
      </c>
      <c r="S146" s="22" t="n">
        <v>-228.306</v>
      </c>
      <c r="T146" s="22" t="n">
        <v>-100.362</v>
      </c>
      <c r="U146" s="22" t="n">
        <v>51.069</v>
      </c>
      <c r="V146" s="22" t="n">
        <v>100.312</v>
      </c>
      <c r="W146" s="22" t="n">
        <v>-6.616</v>
      </c>
      <c r="X146" s="22" t="n">
        <v>23.477</v>
      </c>
    </row>
    <row r="147">
      <c r="A147" s="20" t="inlineStr">
        <is>
          <t>파산갱생채권 증감</t>
        </is>
      </c>
      <c r="O147" s="22" t="n">
        <v>0</v>
      </c>
      <c r="P147" s="22" t="n">
        <v>-115.164</v>
      </c>
      <c r="Q147" s="22" t="n">
        <v>-5.149</v>
      </c>
      <c r="R147" s="22" t="n">
        <v>2.341</v>
      </c>
      <c r="S147" s="22" t="n">
        <v>-2.037</v>
      </c>
      <c r="T147" s="22" t="n">
        <v>-12.661</v>
      </c>
    </row>
    <row r="148">
      <c r="A148" s="20" t="inlineStr">
        <is>
          <t>매입채무 증감</t>
        </is>
      </c>
      <c r="D148" s="22" t="n">
        <v>-7.945</v>
      </c>
      <c r="F148" s="22" t="n">
        <v>-7.778</v>
      </c>
      <c r="H148" s="22" t="n">
        <v>-8.042999999999999</v>
      </c>
      <c r="J148" s="22" t="n">
        <v>4.715</v>
      </c>
      <c r="L148" s="22" t="n">
        <v>5.373</v>
      </c>
      <c r="N148" s="22" t="n">
        <v>37.338</v>
      </c>
      <c r="O148" s="22" t="n">
        <v>-43.891</v>
      </c>
      <c r="P148" s="22" t="n">
        <v>5.024</v>
      </c>
      <c r="Q148" s="22" t="n">
        <v>4.144</v>
      </c>
      <c r="R148" s="22" t="n">
        <v>5.454</v>
      </c>
      <c r="S148" s="22" t="n">
        <v>0.5629999999999999</v>
      </c>
      <c r="T148" s="22" t="n">
        <v>-10.598</v>
      </c>
      <c r="U148" s="22" t="n">
        <v>6.517</v>
      </c>
      <c r="V148" s="22" t="n">
        <v>-7.945</v>
      </c>
      <c r="W148" s="22" t="n">
        <v>-8.042999999999999</v>
      </c>
      <c r="X148" s="22" t="n">
        <v>5.373</v>
      </c>
    </row>
    <row r="149">
      <c r="A149" s="20" t="inlineStr">
        <is>
          <t>Increase Decrease In Accounts Payable Ope CF</t>
        </is>
      </c>
      <c r="D149" s="22" t="n">
        <v>162.167</v>
      </c>
      <c r="F149" s="22" t="n">
        <v>-399.452</v>
      </c>
      <c r="H149" s="22" t="n">
        <v>-277.226</v>
      </c>
      <c r="J149" s="22" t="n">
        <v>-117.036</v>
      </c>
      <c r="L149" s="22" t="n">
        <v>-86.407</v>
      </c>
      <c r="N149" s="22" t="n">
        <v>-56.085</v>
      </c>
      <c r="O149" s="22" t="n">
        <v>-1.955</v>
      </c>
      <c r="P149" s="22" t="n">
        <v>155.865</v>
      </c>
      <c r="Q149" s="22" t="n">
        <v>70.248</v>
      </c>
      <c r="R149" s="22" t="n">
        <v>-81.962</v>
      </c>
      <c r="S149" s="22" t="n">
        <v>184.89</v>
      </c>
      <c r="T149" s="22" t="n">
        <v>-182.405</v>
      </c>
      <c r="U149" s="22" t="n">
        <v>113.511</v>
      </c>
      <c r="V149" s="22" t="n">
        <v>162.167</v>
      </c>
      <c r="W149" s="22" t="n">
        <v>-277.226</v>
      </c>
      <c r="X149" s="22" t="n">
        <v>-86.407</v>
      </c>
    </row>
    <row r="150">
      <c r="A150" s="20" t="inlineStr">
        <is>
          <t>미지급금 증감</t>
        </is>
      </c>
      <c r="D150" s="22" t="n">
        <v>116.314</v>
      </c>
      <c r="F150" s="22" t="n">
        <v>-104.93</v>
      </c>
      <c r="H150" s="22" t="n">
        <v>-18.073</v>
      </c>
      <c r="J150" s="22" t="n">
        <v>-69.61199999999999</v>
      </c>
      <c r="L150" s="22" t="n">
        <v>-58.46</v>
      </c>
      <c r="N150" s="22" t="n">
        <v>-44.259</v>
      </c>
      <c r="O150" s="22" t="n">
        <v>-65.98</v>
      </c>
      <c r="P150" s="22" t="n">
        <v>110.384</v>
      </c>
      <c r="Q150" s="22" t="n">
        <v>-9.08</v>
      </c>
      <c r="R150" s="22" t="n">
        <v>430.492</v>
      </c>
      <c r="S150" s="22" t="n">
        <v>-149.054</v>
      </c>
      <c r="T150" s="22" t="n">
        <v>-276.782</v>
      </c>
      <c r="U150" s="22" t="n">
        <v>5.361</v>
      </c>
      <c r="V150" s="22" t="n">
        <v>116.314</v>
      </c>
      <c r="W150" s="22" t="n">
        <v>-18.073</v>
      </c>
      <c r="X150" s="22" t="n">
        <v>-58.46</v>
      </c>
    </row>
    <row r="151">
      <c r="A151" s="20" t="inlineStr">
        <is>
          <t>선수금 증감</t>
        </is>
      </c>
      <c r="D151" s="22" t="n">
        <v>40.281</v>
      </c>
      <c r="H151" s="22" t="n">
        <v>32.612</v>
      </c>
      <c r="Q151" s="22" t="n">
        <v>9.042999999999999</v>
      </c>
      <c r="R151" s="22" t="n">
        <v>-24.19</v>
      </c>
      <c r="S151" s="22" t="n">
        <v>21.358</v>
      </c>
      <c r="T151" s="22" t="n">
        <v>98.92100000000001</v>
      </c>
      <c r="U151" s="22" t="n">
        <v>4.466</v>
      </c>
      <c r="V151" s="22" t="n">
        <v>40.281</v>
      </c>
      <c r="W151" s="22" t="n">
        <v>32.612</v>
      </c>
    </row>
    <row r="152">
      <c r="A152" s="20" t="inlineStr">
        <is>
          <t>미지급·미수 소비세 등 증감액</t>
        </is>
      </c>
      <c r="D152" s="22" t="n">
        <v>78.678</v>
      </c>
      <c r="H152" s="22" t="n">
        <v>25.042</v>
      </c>
      <c r="L152" s="22" t="n">
        <v>-90.486</v>
      </c>
      <c r="S152" s="22" t="n">
        <v>-152.579</v>
      </c>
      <c r="T152" s="22" t="n">
        <v>7.094</v>
      </c>
      <c r="U152" s="22" t="n">
        <v>-21.012</v>
      </c>
      <c r="V152" s="22" t="n">
        <v>78.678</v>
      </c>
      <c r="W152" s="22" t="n">
        <v>25.042</v>
      </c>
      <c r="X152" s="22" t="n">
        <v>-90.486</v>
      </c>
    </row>
    <row r="153">
      <c r="A153" s="20" t="inlineStr">
        <is>
          <t>미지급 소비세 증감</t>
        </is>
      </c>
      <c r="F153" s="22" t="n">
        <v>-8.868</v>
      </c>
      <c r="J153" s="22" t="n">
        <v>-85.542</v>
      </c>
      <c r="N153" s="22" t="n">
        <v>48.189</v>
      </c>
      <c r="O153" s="22" t="n">
        <v>64.339</v>
      </c>
      <c r="P153" s="22" t="n">
        <v>36.476</v>
      </c>
      <c r="Q153" s="22" t="n">
        <v>-14.969</v>
      </c>
      <c r="R153" s="22" t="n">
        <v>115.237</v>
      </c>
      <c r="S153" s="22" t="n">
        <v>-152.579</v>
      </c>
    </row>
    <row r="154">
      <c r="A154" s="20" t="inlineStr">
        <is>
          <t>기타</t>
        </is>
      </c>
      <c r="D154" s="22" t="n">
        <v>-49.188</v>
      </c>
      <c r="F154" s="22" t="n">
        <v>-35.233</v>
      </c>
      <c r="H154" s="22" t="n">
        <v>-45.974</v>
      </c>
      <c r="J154" s="22" t="n">
        <v>63.836</v>
      </c>
      <c r="L154" s="22" t="n">
        <v>22.763</v>
      </c>
      <c r="N154" s="22" t="n">
        <v>46.135</v>
      </c>
      <c r="O154" s="22" t="n">
        <v>286.011</v>
      </c>
      <c r="P154" s="22" t="n">
        <v>8.210000000000001</v>
      </c>
      <c r="Q154" s="22" t="n">
        <v>-3.428</v>
      </c>
      <c r="R154" s="22" t="n">
        <v>-3.084</v>
      </c>
      <c r="S154" s="22" t="n">
        <v>-3.625</v>
      </c>
      <c r="T154" s="22" t="n">
        <v>-53.921</v>
      </c>
      <c r="U154" s="22" t="n">
        <v>13.43</v>
      </c>
      <c r="V154" s="22" t="n">
        <v>-49.188</v>
      </c>
      <c r="W154" s="22" t="n">
        <v>-45.974</v>
      </c>
      <c r="X154" s="22" t="n">
        <v>22.763</v>
      </c>
    </row>
    <row r="155">
      <c r="A155" s="20" t="inlineStr">
        <is>
          <t>소계</t>
        </is>
      </c>
      <c r="D155" s="22" t="n">
        <v>643.256</v>
      </c>
      <c r="F155" s="22" t="n">
        <v>-355.672</v>
      </c>
      <c r="H155" s="22" t="n">
        <v>72.102</v>
      </c>
      <c r="J155" s="22" t="n">
        <v>-68.98999999999999</v>
      </c>
      <c r="L155" s="22" t="n">
        <v>123.943</v>
      </c>
      <c r="N155" s="22" t="n">
        <v>302.412</v>
      </c>
      <c r="O155" s="22" t="n">
        <v>217.076</v>
      </c>
      <c r="P155" s="22" t="n">
        <v>1206.279</v>
      </c>
      <c r="Q155" s="22" t="n">
        <v>979.542</v>
      </c>
      <c r="R155" s="22" t="n">
        <v>975.633</v>
      </c>
      <c r="S155" s="22" t="n">
        <v>1354.437</v>
      </c>
      <c r="T155" s="22" t="n">
        <v>824.066</v>
      </c>
      <c r="U155" s="22" t="n">
        <v>411.748</v>
      </c>
      <c r="V155" s="22" t="n">
        <v>643.256</v>
      </c>
      <c r="W155" s="22" t="n">
        <v>72.102</v>
      </c>
      <c r="X155" s="22" t="n">
        <v>123.943</v>
      </c>
    </row>
    <row r="156">
      <c r="A156" s="20" t="inlineStr">
        <is>
          <t>이자·배당금 수취</t>
        </is>
      </c>
      <c r="D156" s="22" t="n">
        <v>28.194</v>
      </c>
      <c r="F156" s="22" t="n">
        <v>32.973</v>
      </c>
      <c r="H156" s="22" t="n">
        <v>116.91</v>
      </c>
      <c r="J156" s="22" t="n">
        <v>17.429</v>
      </c>
      <c r="L156" s="22" t="n">
        <v>45.005</v>
      </c>
      <c r="N156" s="22" t="n">
        <v>122.562</v>
      </c>
      <c r="O156" s="22" t="n">
        <v>79.813</v>
      </c>
      <c r="P156" s="22" t="n">
        <v>191.725</v>
      </c>
      <c r="Q156" s="22" t="n">
        <v>151.248</v>
      </c>
      <c r="R156" s="22" t="n">
        <v>70.011</v>
      </c>
      <c r="S156" s="22" t="n">
        <v>61.799</v>
      </c>
      <c r="T156" s="22" t="n">
        <v>19.351</v>
      </c>
      <c r="U156" s="22" t="n">
        <v>0.73</v>
      </c>
      <c r="V156" s="22" t="n">
        <v>28.194</v>
      </c>
      <c r="W156" s="22" t="n">
        <v>116.91</v>
      </c>
      <c r="X156" s="22" t="n">
        <v>45.005</v>
      </c>
    </row>
    <row r="157">
      <c r="A157" s="20" t="inlineStr">
        <is>
          <t>이자 지급</t>
        </is>
      </c>
      <c r="D157" s="22" t="n">
        <v>-0.081</v>
      </c>
      <c r="F157" s="22" t="n">
        <v>-0.103</v>
      </c>
      <c r="H157" s="22" t="n">
        <v>-0.186</v>
      </c>
      <c r="J157" s="22" t="n">
        <v>-0.063</v>
      </c>
      <c r="L157" s="22" t="n">
        <v>-0.106</v>
      </c>
      <c r="N157" s="22" t="n">
        <v>-0.022</v>
      </c>
      <c r="O157" s="22" t="n">
        <v>-0.041</v>
      </c>
      <c r="P157" s="22" t="n">
        <v>-0.101</v>
      </c>
      <c r="Q157" s="22" t="n">
        <v>-0.059</v>
      </c>
      <c r="R157" s="22" t="n">
        <v>-0.048</v>
      </c>
      <c r="S157" s="22" t="n">
        <v>-0.102</v>
      </c>
      <c r="T157" s="22" t="n">
        <v>-0.057</v>
      </c>
      <c r="U157" s="22" t="n">
        <v>-0.057</v>
      </c>
      <c r="V157" s="22" t="n">
        <v>-0.081</v>
      </c>
      <c r="W157" s="22" t="n">
        <v>-0.186</v>
      </c>
      <c r="X157" s="22" t="n">
        <v>-0.106</v>
      </c>
    </row>
    <row r="158">
      <c r="A158" s="20" t="inlineStr">
        <is>
          <t>법인세 환급</t>
        </is>
      </c>
      <c r="D158" s="22" t="n">
        <v>2.544</v>
      </c>
      <c r="F158" s="22" t="n">
        <v>0.467</v>
      </c>
      <c r="H158" s="22" t="n">
        <v>0.699</v>
      </c>
      <c r="J158" s="22" t="n">
        <v>0</v>
      </c>
      <c r="L158" s="22" t="n">
        <v>0</v>
      </c>
      <c r="N158" s="22" t="n">
        <v>0.003</v>
      </c>
      <c r="O158" s="22" t="n">
        <v>0</v>
      </c>
      <c r="P158" s="22" t="n">
        <v>3.457</v>
      </c>
      <c r="Q158" s="22" t="n">
        <v>0</v>
      </c>
      <c r="R158" s="22" t="n">
        <v>0</v>
      </c>
      <c r="S158" s="22" t="n">
        <v>0.075</v>
      </c>
      <c r="T158" s="22" t="n">
        <v>0.075</v>
      </c>
      <c r="U158" s="22" t="n">
        <v>1.208</v>
      </c>
      <c r="V158" s="22" t="n">
        <v>2.544</v>
      </c>
      <c r="W158" s="22" t="n">
        <v>0.699</v>
      </c>
      <c r="X158" s="22" t="n">
        <v>0</v>
      </c>
    </row>
    <row r="159">
      <c r="A159" s="20" t="inlineStr">
        <is>
          <t>법인세 납부</t>
        </is>
      </c>
      <c r="D159" s="22" t="n">
        <v>-498.689</v>
      </c>
      <c r="F159" s="22" t="n">
        <v>-76.54600000000001</v>
      </c>
      <c r="H159" s="22" t="n">
        <v>-232.071</v>
      </c>
      <c r="J159" s="22" t="n">
        <v>-246.661</v>
      </c>
      <c r="L159" s="22" t="n">
        <v>-438.937</v>
      </c>
      <c r="N159" s="22" t="n">
        <v>-89.107</v>
      </c>
      <c r="O159" s="22" t="n">
        <v>-280.481</v>
      </c>
      <c r="P159" s="22" t="n">
        <v>-203.572</v>
      </c>
      <c r="Q159" s="22" t="n">
        <v>-249.826</v>
      </c>
      <c r="R159" s="22" t="n">
        <v>-111.168</v>
      </c>
      <c r="S159" s="22" t="n">
        <v>-597.553</v>
      </c>
      <c r="T159" s="22" t="n">
        <v>-532.301</v>
      </c>
      <c r="U159" s="22" t="n">
        <v>-346.203</v>
      </c>
      <c r="V159" s="22" t="n">
        <v>-498.689</v>
      </c>
      <c r="W159" s="22" t="n">
        <v>-232.071</v>
      </c>
      <c r="X159" s="22" t="n">
        <v>-438.937</v>
      </c>
    </row>
    <row r="160">
      <c r="A160" s="9" t="inlineStr">
        <is>
          <t>영업활동 현금흐름</t>
        </is>
      </c>
      <c r="D160" s="12" t="n">
        <v>175.224</v>
      </c>
      <c r="F160" s="12" t="n">
        <v>-398.881</v>
      </c>
      <c r="H160" s="12" t="n">
        <v>-42.544</v>
      </c>
      <c r="J160" s="12" t="n">
        <v>-298.285</v>
      </c>
      <c r="L160" s="12" t="n">
        <v>-270.093</v>
      </c>
      <c r="N160" s="12" t="n">
        <v>335.848</v>
      </c>
      <c r="O160" s="12" t="n">
        <v>16.368</v>
      </c>
      <c r="P160" s="12" t="n">
        <v>1197.788</v>
      </c>
      <c r="Q160" s="12" t="n">
        <v>880.905</v>
      </c>
      <c r="R160" s="12" t="n">
        <v>934.427</v>
      </c>
      <c r="S160" s="12" t="n">
        <v>818.655</v>
      </c>
      <c r="T160" s="12" t="n">
        <v>311.133</v>
      </c>
      <c r="U160" s="12" t="n">
        <v>67.426</v>
      </c>
      <c r="V160" s="12" t="n">
        <v>175.224</v>
      </c>
      <c r="W160" s="12" t="n">
        <v>-42.544</v>
      </c>
      <c r="X160" s="12" t="n">
        <v>-270.093</v>
      </c>
    </row>
    <row r="161">
      <c r="A161" s="20" t="inlineStr">
        <is>
          <t>유가증권 매각·상환 수입</t>
        </is>
      </c>
      <c r="D161" s="22" t="n">
        <v>0</v>
      </c>
      <c r="O161" s="22" t="n">
        <v>121.592</v>
      </c>
      <c r="P161" s="22" t="n">
        <v>177.344</v>
      </c>
      <c r="Q161" s="22" t="n">
        <v>2.613</v>
      </c>
      <c r="R161" s="22" t="n">
        <v>0</v>
      </c>
      <c r="S161" s="22" t="n">
        <v>0</v>
      </c>
      <c r="T161" s="22" t="n">
        <v>3.029</v>
      </c>
      <c r="U161" s="22" t="n">
        <v>10.813</v>
      </c>
      <c r="V161" s="22" t="n">
        <v>0</v>
      </c>
    </row>
    <row r="162">
      <c r="A162" s="20" t="inlineStr">
        <is>
          <t>유형자산 취득(설비투자)</t>
        </is>
      </c>
      <c r="O162" s="22" t="n">
        <v>-45.096</v>
      </c>
      <c r="P162" s="22" t="n">
        <v>-16.263</v>
      </c>
    </row>
    <row r="163">
      <c r="A163" s="20" t="inlineStr">
        <is>
          <t>투자유가증권 취득</t>
        </is>
      </c>
      <c r="D163" s="22" t="n">
        <v>-4824.977</v>
      </c>
      <c r="F163" s="22" t="n">
        <v>-4630.253</v>
      </c>
      <c r="H163" s="22" t="n">
        <v>-9343.325999999999</v>
      </c>
      <c r="J163" s="22" t="n">
        <v>-4302.783</v>
      </c>
      <c r="L163" s="22" t="n">
        <v>-19829.995</v>
      </c>
      <c r="N163" s="22" t="n">
        <v>-10997.289</v>
      </c>
      <c r="O163" s="22" t="n">
        <v>-10951.549</v>
      </c>
      <c r="P163" s="22" t="n">
        <v>-5795.559</v>
      </c>
      <c r="Q163" s="22" t="n">
        <v>-1422.694</v>
      </c>
      <c r="R163" s="22" t="n">
        <v>0</v>
      </c>
      <c r="S163" s="22" t="n">
        <v>0</v>
      </c>
      <c r="T163" s="22" t="n">
        <v>-561.431</v>
      </c>
      <c r="U163" s="22" t="n">
        <v>0</v>
      </c>
      <c r="V163" s="22" t="n">
        <v>-4824.977</v>
      </c>
      <c r="W163" s="22" t="n">
        <v>-9343.325999999999</v>
      </c>
      <c r="X163" s="22" t="n">
        <v>-19829.995</v>
      </c>
    </row>
    <row r="164">
      <c r="A164" s="20" t="inlineStr">
        <is>
          <t>투자유가증권 매각·상환 수입</t>
        </is>
      </c>
      <c r="D164" s="22" t="n">
        <v>3185.906</v>
      </c>
      <c r="F164" s="22" t="n">
        <v>2104.83</v>
      </c>
      <c r="H164" s="22" t="n">
        <v>10673.054</v>
      </c>
      <c r="J164" s="22" t="n">
        <v>3422.914</v>
      </c>
      <c r="L164" s="22" t="n">
        <v>14084.886</v>
      </c>
      <c r="N164" s="22" t="n">
        <v>18803.727</v>
      </c>
      <c r="O164" s="22" t="n">
        <v>5866.512</v>
      </c>
      <c r="P164" s="22" t="n">
        <v>8171.058</v>
      </c>
      <c r="Q164" s="22" t="n">
        <v>3146.043</v>
      </c>
      <c r="R164" s="22" t="n">
        <v>456.647</v>
      </c>
      <c r="S164" s="22" t="n">
        <v>0</v>
      </c>
      <c r="T164" s="22" t="n">
        <v>12.76</v>
      </c>
      <c r="U164" s="22" t="n">
        <v>3018.581</v>
      </c>
      <c r="V164" s="22" t="n">
        <v>3185.906</v>
      </c>
      <c r="W164" s="22" t="n">
        <v>10673.054</v>
      </c>
      <c r="X164" s="22" t="n">
        <v>14084.886</v>
      </c>
    </row>
    <row r="165">
      <c r="A165" s="20" t="inlineStr">
        <is>
          <t>무형자산 취득</t>
        </is>
      </c>
      <c r="R165" s="22" t="n">
        <v>-10.687</v>
      </c>
      <c r="S165" s="22" t="n">
        <v>-28.322</v>
      </c>
    </row>
    <row r="166">
      <c r="A166" s="20" t="inlineStr">
        <is>
          <t>임차보증금·보증금 납입</t>
        </is>
      </c>
      <c r="R166" s="22" t="n">
        <v>-19.127</v>
      </c>
      <c r="S166" s="22" t="n">
        <v>-64.971</v>
      </c>
    </row>
    <row r="167">
      <c r="A167" s="20" t="inlineStr">
        <is>
          <t>단기대여금 회수 수입</t>
        </is>
      </c>
      <c r="R167" s="22" t="n">
        <v>0</v>
      </c>
      <c r="S167" s="22" t="n">
        <v>40</v>
      </c>
      <c r="T167" s="22" t="n">
        <v>0</v>
      </c>
    </row>
    <row r="168">
      <c r="A168" s="20" t="inlineStr">
        <is>
          <t>장기대여금 회수</t>
        </is>
      </c>
      <c r="R168" s="22" t="n">
        <v>0</v>
      </c>
      <c r="S168" s="22" t="n">
        <v>95</v>
      </c>
      <c r="T168" s="22" t="n">
        <v>0</v>
      </c>
    </row>
    <row r="169">
      <c r="A169" s="20" t="inlineStr">
        <is>
          <t>출자금 분배 수입</t>
        </is>
      </c>
      <c r="D169" s="22" t="n">
        <v>3.411</v>
      </c>
      <c r="F169" s="22" t="n">
        <v>38.705</v>
      </c>
      <c r="H169" s="22" t="n">
        <v>42.903</v>
      </c>
      <c r="J169" s="22" t="n">
        <v>0.73</v>
      </c>
      <c r="L169" s="22" t="n">
        <v>2.16</v>
      </c>
      <c r="N169" s="22" t="n">
        <v>17.56</v>
      </c>
      <c r="R169" s="22" t="n">
        <v>0.01</v>
      </c>
      <c r="S169" s="22" t="n">
        <v>67.38800000000001</v>
      </c>
      <c r="T169" s="22" t="n">
        <v>2.016</v>
      </c>
      <c r="U169" s="22" t="n">
        <v>61.465</v>
      </c>
      <c r="V169" s="22" t="n">
        <v>3.411</v>
      </c>
      <c r="W169" s="22" t="n">
        <v>42.903</v>
      </c>
      <c r="X169" s="22" t="n">
        <v>2.16</v>
      </c>
    </row>
    <row r="170">
      <c r="A170" s="20" t="inlineStr">
        <is>
          <t>기타</t>
        </is>
      </c>
      <c r="D170" s="22" t="n">
        <v>-44.222</v>
      </c>
      <c r="F170" s="22" t="n">
        <v>-3.04</v>
      </c>
      <c r="H170" s="22" t="n">
        <v>-15.822</v>
      </c>
      <c r="J170" s="22" t="n">
        <v>-6.937</v>
      </c>
      <c r="L170" s="22" t="n">
        <v>-14.043</v>
      </c>
      <c r="N170" s="22" t="n">
        <v>-18.525</v>
      </c>
      <c r="O170" s="22" t="n">
        <v>-51.133</v>
      </c>
      <c r="P170" s="22" t="n">
        <v>-63.383</v>
      </c>
      <c r="Q170" s="22" t="n">
        <v>-19.547</v>
      </c>
      <c r="R170" s="22" t="n">
        <v>-16.02</v>
      </c>
      <c r="S170" s="22" t="n">
        <v>-30.244</v>
      </c>
      <c r="T170" s="22" t="n">
        <v>-25.362</v>
      </c>
      <c r="U170" s="22" t="n">
        <v>-9.432</v>
      </c>
      <c r="V170" s="22" t="n">
        <v>-44.222</v>
      </c>
      <c r="W170" s="22" t="n">
        <v>-15.822</v>
      </c>
      <c r="X170" s="22" t="n">
        <v>-14.043</v>
      </c>
    </row>
    <row r="171">
      <c r="A171" s="9" t="inlineStr">
        <is>
          <t>투자활동 현금흐름</t>
        </is>
      </c>
      <c r="D171" s="12" t="n">
        <v>-1679.881</v>
      </c>
      <c r="F171" s="12" t="n">
        <v>-2489.757</v>
      </c>
      <c r="H171" s="12" t="n">
        <v>1356.809</v>
      </c>
      <c r="J171" s="12" t="n">
        <v>-886.076</v>
      </c>
      <c r="L171" s="12" t="n">
        <v>-5756.992</v>
      </c>
      <c r="N171" s="12" t="n">
        <v>7805.473</v>
      </c>
      <c r="O171" s="12" t="n">
        <v>-5059.673</v>
      </c>
      <c r="P171" s="12" t="n">
        <v>2489.46</v>
      </c>
      <c r="Q171" s="12" t="n">
        <v>1706.416</v>
      </c>
      <c r="R171" s="12" t="n">
        <v>410.821</v>
      </c>
      <c r="S171" s="12" t="n">
        <v>104.755</v>
      </c>
      <c r="T171" s="12" t="n">
        <v>-568.986</v>
      </c>
      <c r="U171" s="12" t="n">
        <v>3081.428</v>
      </c>
      <c r="V171" s="12" t="n">
        <v>-1679.881</v>
      </c>
      <c r="W171" s="12" t="n">
        <v>1356.809</v>
      </c>
      <c r="X171" s="12" t="n">
        <v>-5756.992</v>
      </c>
    </row>
    <row r="172">
      <c r="A172" s="20" t="inlineStr">
        <is>
          <t>배당금 지급</t>
        </is>
      </c>
      <c r="D172" s="22" t="n">
        <v>-344.436</v>
      </c>
      <c r="F172" s="22" t="n">
        <v>-238.683</v>
      </c>
      <c r="H172" s="22" t="n">
        <v>-454.536</v>
      </c>
      <c r="J172" s="22" t="n">
        <v>-311.449</v>
      </c>
      <c r="L172" s="22" t="n">
        <v>-551.077</v>
      </c>
      <c r="N172" s="22" t="n">
        <v>-341.794</v>
      </c>
      <c r="O172" s="22" t="n">
        <v>-304.745</v>
      </c>
      <c r="P172" s="22" t="n">
        <v>-209.871</v>
      </c>
      <c r="Q172" s="22" t="n">
        <v>-261.893</v>
      </c>
      <c r="R172" s="22" t="n">
        <v>-261.587</v>
      </c>
      <c r="S172" s="22" t="n">
        <v>-285.963</v>
      </c>
      <c r="T172" s="22" t="n">
        <v>-381.752</v>
      </c>
      <c r="U172" s="22" t="n">
        <v>-315.412</v>
      </c>
      <c r="V172" s="22" t="n">
        <v>-344.436</v>
      </c>
      <c r="W172" s="22" t="n">
        <v>-454.536</v>
      </c>
      <c r="X172" s="22" t="n">
        <v>-551.077</v>
      </c>
    </row>
    <row r="173">
      <c r="A173" s="20" t="inlineStr">
        <is>
          <t>비지배주주 납입</t>
        </is>
      </c>
      <c r="O173" s="22" t="n">
        <v>50</v>
      </c>
      <c r="P173" s="22" t="n">
        <v>50</v>
      </c>
      <c r="Q173" s="22" t="n">
        <v>0</v>
      </c>
    </row>
    <row r="174">
      <c r="A174" s="20" t="inlineStr">
        <is>
          <t>비지배주주 환급</t>
        </is>
      </c>
      <c r="R174" s="22" t="n">
        <v>0</v>
      </c>
      <c r="S174" s="22" t="n">
        <v>-145.05</v>
      </c>
      <c r="T174" s="22" t="n">
        <v>0</v>
      </c>
    </row>
    <row r="175">
      <c r="A175" s="20" t="inlineStr">
        <is>
          <t>기타</t>
        </is>
      </c>
      <c r="D175" s="22" t="n">
        <v>-2.203</v>
      </c>
      <c r="F175" s="22" t="n">
        <v>-2.991</v>
      </c>
      <c r="H175" s="22" t="n">
        <v>-6.003</v>
      </c>
      <c r="J175" s="22" t="n">
        <v>-3.032</v>
      </c>
      <c r="L175" s="22" t="n">
        <v>-6.085</v>
      </c>
      <c r="N175" s="22" t="n">
        <v>-3.072</v>
      </c>
      <c r="O175" s="22" t="n">
        <v>9.574999999999999</v>
      </c>
      <c r="P175" s="22" t="n">
        <v>-4.668</v>
      </c>
      <c r="Q175" s="22" t="n">
        <v>-4.753</v>
      </c>
      <c r="R175" s="22" t="n">
        <v>-5.433</v>
      </c>
      <c r="S175" s="22" t="n">
        <v>-5.245</v>
      </c>
      <c r="T175" s="22" t="n">
        <v>-5.105</v>
      </c>
      <c r="U175" s="22" t="n">
        <v>-4.96</v>
      </c>
      <c r="V175" s="22" t="n">
        <v>-2.203</v>
      </c>
      <c r="W175" s="22" t="n">
        <v>-6.003</v>
      </c>
      <c r="X175" s="22" t="n">
        <v>-6.085</v>
      </c>
    </row>
    <row r="176">
      <c r="A176" s="9" t="inlineStr">
        <is>
          <t>재무활동 현금흐름</t>
        </is>
      </c>
      <c r="D176" s="12" t="n">
        <v>-346.639</v>
      </c>
      <c r="F176" s="12" t="n">
        <v>-241.675</v>
      </c>
      <c r="H176" s="12" t="n">
        <v>-460.54</v>
      </c>
      <c r="J176" s="12" t="n">
        <v>-314.482</v>
      </c>
      <c r="L176" s="12" t="n">
        <v>-557.162</v>
      </c>
      <c r="N176" s="12" t="n">
        <v>-344.866</v>
      </c>
      <c r="O176" s="12" t="n">
        <v>-245.17</v>
      </c>
      <c r="P176" s="12" t="n">
        <v>-164.54</v>
      </c>
      <c r="Q176" s="12" t="n">
        <v>-266.646</v>
      </c>
      <c r="R176" s="12" t="n">
        <v>-267.02</v>
      </c>
      <c r="S176" s="12" t="n">
        <v>-436.258</v>
      </c>
      <c r="T176" s="12" t="n">
        <v>-386.858</v>
      </c>
      <c r="U176" s="12" t="n">
        <v>-320.373</v>
      </c>
      <c r="V176" s="12" t="n">
        <v>-346.639</v>
      </c>
      <c r="W176" s="12" t="n">
        <v>-460.54</v>
      </c>
      <c r="X176" s="12" t="n">
        <v>-557.162</v>
      </c>
    </row>
    <row r="177">
      <c r="A177" s="20" t="inlineStr">
        <is>
          <t>현금성자산 환산차이</t>
        </is>
      </c>
      <c r="D177" s="22" t="n">
        <v>13.345</v>
      </c>
      <c r="F177" s="22" t="n">
        <v>3.371</v>
      </c>
      <c r="H177" s="22" t="n">
        <v>8.218</v>
      </c>
      <c r="J177" s="22" t="n">
        <v>2.125</v>
      </c>
      <c r="L177" s="22" t="n">
        <v>17.813</v>
      </c>
      <c r="N177" s="22" t="n">
        <v>-10.349</v>
      </c>
      <c r="O177" s="22" t="n">
        <v>-29.863</v>
      </c>
      <c r="P177" s="22" t="n">
        <v>-18.766</v>
      </c>
      <c r="Q177" s="22" t="n">
        <v>-4.086</v>
      </c>
      <c r="R177" s="22" t="n">
        <v>-6.511</v>
      </c>
      <c r="S177" s="22" t="n">
        <v>-1.511</v>
      </c>
      <c r="T177" s="22" t="n">
        <v>21.446</v>
      </c>
      <c r="U177" s="22" t="n">
        <v>19.185</v>
      </c>
      <c r="V177" s="22" t="n">
        <v>13.345</v>
      </c>
      <c r="W177" s="22" t="n">
        <v>8.218</v>
      </c>
      <c r="X177" s="22" t="n">
        <v>17.813</v>
      </c>
    </row>
    <row r="178">
      <c r="A178" s="20" t="inlineStr">
        <is>
          <t>현금성자산 증감</t>
        </is>
      </c>
      <c r="D178" s="22" t="n">
        <v>-1837.95</v>
      </c>
      <c r="F178" s="22" t="n">
        <v>-3126.942</v>
      </c>
      <c r="H178" s="22" t="n">
        <v>861.942</v>
      </c>
      <c r="J178" s="22" t="n">
        <v>-1496.719</v>
      </c>
      <c r="L178" s="22" t="n">
        <v>-6566.435</v>
      </c>
      <c r="N178" s="22" t="n">
        <v>7786.105</v>
      </c>
      <c r="O178" s="22" t="n">
        <v>-5318.339</v>
      </c>
      <c r="P178" s="22" t="n">
        <v>3503.942</v>
      </c>
      <c r="Q178" s="22" t="n">
        <v>2316.587</v>
      </c>
      <c r="R178" s="22" t="n">
        <v>1071.717</v>
      </c>
      <c r="S178" s="22" t="n">
        <v>485.64</v>
      </c>
      <c r="T178" s="22" t="n">
        <v>-623.265</v>
      </c>
      <c r="U178" s="22" t="n">
        <v>2847.668</v>
      </c>
      <c r="V178" s="22" t="n">
        <v>-1837.95</v>
      </c>
      <c r="W178" s="22" t="n">
        <v>861.942</v>
      </c>
      <c r="X178" s="22" t="n">
        <v>-6566.435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이마지니어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9995.725</v>
      </c>
      <c r="D5" s="12" t="n">
        <v>9264.540999999999</v>
      </c>
      <c r="E5" s="12" t="n">
        <v>5190.204</v>
      </c>
      <c r="F5" s="12" t="n">
        <v>11935.825</v>
      </c>
      <c r="G5" s="12" t="n">
        <v>12779.787</v>
      </c>
      <c r="H5" s="11" t="n">
        <v>9088.843999999999</v>
      </c>
      <c r="I5" s="12" t="n">
        <v>12363.378</v>
      </c>
      <c r="J5" s="12" t="n">
        <v>10796.7</v>
      </c>
      <c r="K5" s="12" t="n">
        <v>11760.82</v>
      </c>
      <c r="L5" s="12" t="n">
        <v>5190.204</v>
      </c>
    </row>
    <row r="6">
      <c r="A6" s="20" t="inlineStr">
        <is>
          <t>현금및현금성자산</t>
        </is>
      </c>
      <c r="B6" s="10" t="n"/>
      <c r="C6" s="21" t="n">
        <v>2259.584</v>
      </c>
      <c r="D6" s="22" t="n">
        <v>3823.542</v>
      </c>
      <c r="E6" s="22" t="n">
        <v>1676.89</v>
      </c>
      <c r="F6" s="22" t="n">
        <v>1464.14</v>
      </c>
      <c r="G6" s="22" t="n">
        <v>1663.734</v>
      </c>
      <c r="H6" s="21" t="n">
        <v>7297.863</v>
      </c>
      <c r="I6" s="22" t="n">
        <v>7231.849</v>
      </c>
      <c r="J6" s="22" t="n">
        <v>4754.579</v>
      </c>
      <c r="K6" s="22" t="n">
        <v>1588.558</v>
      </c>
      <c r="L6" s="22" t="n">
        <v>1676.89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>
        <v>0</v>
      </c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1841.962</v>
      </c>
      <c r="D8" s="22" t="n">
        <v>2059.512</v>
      </c>
      <c r="E8" s="22" t="n">
        <v>2029.272</v>
      </c>
      <c r="F8" s="22" t="n">
        <v>2066.495</v>
      </c>
      <c r="G8" s="22" t="n">
        <v>2037.876</v>
      </c>
      <c r="H8" s="21" t="n">
        <v>1305.387</v>
      </c>
      <c r="I8" s="22" t="n">
        <v>1801.028</v>
      </c>
      <c r="J8" s="22" t="n">
        <v>2126.834</v>
      </c>
      <c r="K8" s="22" t="n">
        <v>2179.332</v>
      </c>
      <c r="L8" s="22" t="n">
        <v>2029.272</v>
      </c>
    </row>
    <row r="9">
      <c r="A9" s="20" t="inlineStr">
        <is>
          <t>재고자산</t>
        </is>
      </c>
      <c r="B9" s="10" t="n"/>
      <c r="C9" s="21" t="n">
        <v>26.789</v>
      </c>
      <c r="D9" s="22" t="n">
        <v>36.953</v>
      </c>
      <c r="E9" s="22" t="n">
        <v>26.612</v>
      </c>
      <c r="F9" s="22" t="n">
        <v>27.713</v>
      </c>
      <c r="G9" s="22" t="n">
        <v>27.707</v>
      </c>
      <c r="H9" s="21" t="n">
        <v>16.871</v>
      </c>
      <c r="I9" s="22" t="n">
        <v>18.7</v>
      </c>
      <c r="J9" s="22" t="n">
        <v>22.69</v>
      </c>
      <c r="K9" s="22" t="n">
        <v>34.89</v>
      </c>
      <c r="L9" s="22" t="n">
        <v>26.612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3127.271</v>
      </c>
      <c r="D11" s="12" t="n">
        <v>3790.871</v>
      </c>
      <c r="E11" s="12" t="n">
        <v>7802.683</v>
      </c>
      <c r="F11" s="12" t="n">
        <v>1415.946</v>
      </c>
      <c r="G11" s="12" t="n">
        <v>1013.078</v>
      </c>
      <c r="H11" s="11" t="n">
        <v>3569.957</v>
      </c>
      <c r="I11" s="12" t="n">
        <v>1301.136</v>
      </c>
      <c r="J11" s="12" t="n">
        <v>2654.363</v>
      </c>
      <c r="K11" s="12" t="n">
        <v>1723.408</v>
      </c>
      <c r="L11" s="12" t="n">
        <v>7802.683</v>
      </c>
    </row>
    <row r="12">
      <c r="A12" s="20" t="inlineStr">
        <is>
          <t>유형자산</t>
        </is>
      </c>
      <c r="B12" s="10" t="n"/>
      <c r="C12" s="21" t="n">
        <v>26.28</v>
      </c>
      <c r="D12" s="22" t="n">
        <v>25.465</v>
      </c>
      <c r="E12" s="22" t="n">
        <v>23.961</v>
      </c>
      <c r="F12" s="22" t="n">
        <v>22.68</v>
      </c>
      <c r="G12" s="22" t="n">
        <v>23.017</v>
      </c>
      <c r="H12" s="21" t="n">
        <v>41.732</v>
      </c>
      <c r="I12" s="22" t="n">
        <v>33.305</v>
      </c>
      <c r="J12" s="22" t="n">
        <v>39.027</v>
      </c>
      <c r="K12" s="22" t="n">
        <v>29.204</v>
      </c>
      <c r="L12" s="22" t="n">
        <v>23.961</v>
      </c>
    </row>
    <row r="13">
      <c r="A13" s="20" t="inlineStr">
        <is>
          <t>무형자산</t>
        </is>
      </c>
      <c r="B13" s="10" t="n"/>
      <c r="C13" s="21" t="n">
        <v>10.141</v>
      </c>
      <c r="D13" s="22" t="n">
        <v>9.106</v>
      </c>
      <c r="E13" s="22" t="n">
        <v>8.739000000000001</v>
      </c>
      <c r="F13" s="22" t="n">
        <v>7.927</v>
      </c>
      <c r="G13" s="22" t="n">
        <v>7.114</v>
      </c>
      <c r="H13" s="21" t="n">
        <v>27.515</v>
      </c>
      <c r="I13" s="22" t="n">
        <v>20.515</v>
      </c>
      <c r="J13" s="22" t="n">
        <v>23.5</v>
      </c>
      <c r="K13" s="22" t="n">
        <v>12.21</v>
      </c>
      <c r="L13" s="22" t="n">
        <v>8.739000000000001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13122.996</v>
      </c>
      <c r="D16" s="12" t="n">
        <v>13055.413</v>
      </c>
      <c r="E16" s="12" t="n">
        <v>12992.888</v>
      </c>
      <c r="F16" s="12" t="n">
        <v>13351.771</v>
      </c>
      <c r="G16" s="12" t="n">
        <v>13792.866</v>
      </c>
      <c r="H16" s="11" t="n">
        <v>12658.801</v>
      </c>
      <c r="I16" s="12" t="n">
        <v>13664.515</v>
      </c>
      <c r="J16" s="12" t="n">
        <v>13451.063</v>
      </c>
      <c r="K16" s="12" t="n">
        <v>13484.228</v>
      </c>
      <c r="L16" s="12" t="n">
        <v>12992.888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1129.125</v>
      </c>
      <c r="D18" s="12" t="n">
        <v>1009.67</v>
      </c>
      <c r="E18" s="12" t="n">
        <v>895.035</v>
      </c>
      <c r="F18" s="12" t="n">
        <v>911.658</v>
      </c>
      <c r="G18" s="12" t="n">
        <v>1076.396</v>
      </c>
      <c r="H18" s="11" t="n">
        <v>962.025</v>
      </c>
      <c r="I18" s="12" t="n">
        <v>1746.049</v>
      </c>
      <c r="J18" s="12" t="n">
        <v>1398.861</v>
      </c>
      <c r="K18" s="12" t="n">
        <v>1310.874</v>
      </c>
      <c r="L18" s="12" t="n">
        <v>895.035</v>
      </c>
    </row>
    <row r="19">
      <c r="A19" s="20" t="inlineStr">
        <is>
          <t>매입채무</t>
        </is>
      </c>
      <c r="B19" s="10" t="n"/>
      <c r="C19" s="21" t="n">
        <v>9.603</v>
      </c>
      <c r="D19" s="22" t="n">
        <v>30.05</v>
      </c>
      <c r="E19" s="22" t="n">
        <v>10.26</v>
      </c>
      <c r="F19" s="22" t="n">
        <v>10.06</v>
      </c>
      <c r="G19" s="22" t="n">
        <v>47.599</v>
      </c>
      <c r="H19" s="21" t="n">
        <v>14.358</v>
      </c>
      <c r="I19" s="22" t="n">
        <v>20.875</v>
      </c>
      <c r="J19" s="22" t="n">
        <v>12.93</v>
      </c>
      <c r="K19" s="22" t="n">
        <v>4.887</v>
      </c>
      <c r="L19" s="22" t="n">
        <v>10.26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1.625</v>
      </c>
      <c r="D23" s="12" t="n">
        <v>0.081</v>
      </c>
      <c r="E23" s="12" t="n">
        <v>0</v>
      </c>
      <c r="F23" s="12" t="n"/>
      <c r="G23" s="12" t="n"/>
      <c r="H23" s="11" t="n">
        <v>3.701</v>
      </c>
      <c r="I23" s="12" t="n">
        <v>2.747</v>
      </c>
      <c r="J23" s="12" t="n">
        <v>10.782</v>
      </c>
      <c r="K23" s="12" t="n">
        <v>4.698</v>
      </c>
      <c r="L23" s="12" t="n">
        <v>0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1130.751</v>
      </c>
      <c r="D27" s="12" t="n">
        <v>1009.752</v>
      </c>
      <c r="E27" s="12" t="n">
        <v>895.035</v>
      </c>
      <c r="F27" s="12" t="n">
        <v>911.658</v>
      </c>
      <c r="G27" s="12" t="n">
        <v>1076.396</v>
      </c>
      <c r="H27" s="11" t="n">
        <v>965.726</v>
      </c>
      <c r="I27" s="12" t="n">
        <v>1748.796</v>
      </c>
      <c r="J27" s="12" t="n">
        <v>1409.643</v>
      </c>
      <c r="K27" s="12" t="n">
        <v>1315.572</v>
      </c>
      <c r="L27" s="12" t="n">
        <v>895.035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11870.247</v>
      </c>
      <c r="D31" s="12" t="n">
        <v>11922.193</v>
      </c>
      <c r="E31" s="12" t="n">
        <v>11959.365</v>
      </c>
      <c r="F31" s="12" t="n">
        <v>12286.875</v>
      </c>
      <c r="G31" s="12" t="n">
        <v>12550.97</v>
      </c>
      <c r="H31" s="11" t="n">
        <v>11629.499</v>
      </c>
      <c r="I31" s="12" t="n">
        <v>11844.811</v>
      </c>
      <c r="J31" s="12" t="n">
        <v>11965.186</v>
      </c>
      <c r="K31" s="12" t="n">
        <v>12064.09</v>
      </c>
      <c r="L31" s="12" t="n">
        <v>11959.365</v>
      </c>
    </row>
    <row r="32">
      <c r="A32" s="20" t="inlineStr">
        <is>
          <t>자본금</t>
        </is>
      </c>
      <c r="B32" s="10" t="n"/>
      <c r="C32" s="21" t="n">
        <v>2669</v>
      </c>
      <c r="D32" s="22" t="n">
        <v>2669</v>
      </c>
      <c r="E32" s="22" t="n">
        <v>2669</v>
      </c>
      <c r="F32" s="22" t="n">
        <v>2669</v>
      </c>
      <c r="G32" s="22" t="n">
        <v>2669</v>
      </c>
      <c r="H32" s="21" t="n">
        <v>2669</v>
      </c>
      <c r="I32" s="22" t="n">
        <v>2669</v>
      </c>
      <c r="J32" s="22" t="n">
        <v>2669</v>
      </c>
      <c r="K32" s="22" t="n">
        <v>2669</v>
      </c>
      <c r="L32" s="22" t="n">
        <v>2669</v>
      </c>
    </row>
    <row r="33">
      <c r="A33" s="20" t="inlineStr">
        <is>
          <t>이익잉여금</t>
        </is>
      </c>
      <c r="B33" s="10" t="n"/>
      <c r="C33" s="21" t="n">
        <v>7313.082</v>
      </c>
      <c r="D33" s="22" t="n">
        <v>7343.199</v>
      </c>
      <c r="E33" s="22" t="n">
        <v>7735.642</v>
      </c>
      <c r="F33" s="22" t="n">
        <v>7716.527</v>
      </c>
      <c r="G33" s="22" t="n">
        <v>7977.155</v>
      </c>
      <c r="H33" s="21" t="n">
        <v>7033.647</v>
      </c>
      <c r="I33" s="22" t="n">
        <v>7327.511</v>
      </c>
      <c r="J33" s="22" t="n">
        <v>7397.652</v>
      </c>
      <c r="K33" s="22" t="n">
        <v>7543.409</v>
      </c>
      <c r="L33" s="22" t="n">
        <v>7735.642</v>
      </c>
    </row>
    <row r="34">
      <c r="A34" s="20" t="inlineStr">
        <is>
          <t>비지배지분</t>
        </is>
      </c>
      <c r="B34" s="10" t="n"/>
      <c r="C34" s="21" t="n">
        <v>121.998</v>
      </c>
      <c r="D34" s="22" t="n">
        <v>123.468</v>
      </c>
      <c r="E34" s="22" t="n">
        <v>138.487</v>
      </c>
      <c r="F34" s="22" t="n">
        <v>153.238</v>
      </c>
      <c r="G34" s="22" t="n">
        <v>165.499</v>
      </c>
      <c r="H34" s="21" t="n">
        <v>63.576</v>
      </c>
      <c r="I34" s="22" t="n">
        <v>70.907</v>
      </c>
      <c r="J34" s="22" t="n">
        <v>76.233</v>
      </c>
      <c r="K34" s="22" t="n">
        <v>104.566</v>
      </c>
      <c r="L34" s="22" t="n">
        <v>138.487</v>
      </c>
    </row>
    <row r="35">
      <c r="A35" s="9" t="inlineStr">
        <is>
          <t>자본총계</t>
        </is>
      </c>
      <c r="B35" s="10" t="n"/>
      <c r="C35" s="11" t="n">
        <v>11992.245</v>
      </c>
      <c r="D35" s="12" t="n">
        <v>12045.661</v>
      </c>
      <c r="E35" s="12" t="n">
        <v>12097.852</v>
      </c>
      <c r="F35" s="12" t="n">
        <v>12440.113</v>
      </c>
      <c r="G35" s="12" t="n">
        <v>12716.469</v>
      </c>
      <c r="H35" s="11" t="n">
        <v>11693.075</v>
      </c>
      <c r="I35" s="12" t="n">
        <v>11915.718</v>
      </c>
      <c r="J35" s="12" t="n">
        <v>12041.419</v>
      </c>
      <c r="K35" s="12" t="n">
        <v>12168.656</v>
      </c>
      <c r="L35" s="12" t="n">
        <v>12097.852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58.052</v>
      </c>
      <c r="D37" s="12" t="n"/>
      <c r="E37" s="12" t="n">
        <v>-270.093</v>
      </c>
      <c r="F37" s="12" t="n"/>
      <c r="G37" s="12" t="n">
        <v>364.04</v>
      </c>
      <c r="H37" s="11" t="n">
        <v>311.133</v>
      </c>
      <c r="I37" s="12" t="n">
        <v>67.426</v>
      </c>
      <c r="J37" s="12" t="n">
        <v>175.224</v>
      </c>
      <c r="K37" s="12" t="n">
        <v>-42.544</v>
      </c>
      <c r="L37" s="12" t="n">
        <v>-270.093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/>
      <c r="G38" s="22" t="n"/>
      <c r="H38" s="21" t="n"/>
      <c r="I38" s="22" t="n"/>
      <c r="J38" s="22" t="n"/>
      <c r="K38" s="22" t="n"/>
      <c r="L38" s="22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527.302</v>
      </c>
      <c r="D40" s="22" t="n"/>
      <c r="E40" s="22" t="n">
        <v>551.077</v>
      </c>
      <c r="F40" s="22" t="n"/>
      <c r="G40" s="22" t="n">
        <v>581.422</v>
      </c>
      <c r="H40" s="21" t="n">
        <v>381.752</v>
      </c>
      <c r="I40" s="22" t="n">
        <v>315.412</v>
      </c>
      <c r="J40" s="22" t="n">
        <v>344.436</v>
      </c>
      <c r="K40" s="22" t="n">
        <v>454.536</v>
      </c>
      <c r="L40" s="22" t="n">
        <v>551.077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2259.584</v>
      </c>
      <c r="D71" s="22" t="n">
        <v>3823.542</v>
      </c>
      <c r="E71" s="22" t="n">
        <v>1676.89</v>
      </c>
      <c r="F71" s="22" t="n">
        <v>1464.14</v>
      </c>
      <c r="G71" s="22" t="n">
        <v>1663.734</v>
      </c>
      <c r="H71" s="22" t="n">
        <v>7297.863</v>
      </c>
      <c r="I71" s="22" t="n">
        <v>7231.849</v>
      </c>
      <c r="J71" s="22" t="n">
        <v>4754.579</v>
      </c>
      <c r="K71" s="22" t="n">
        <v>1588.558</v>
      </c>
      <c r="L71" s="22" t="n">
        <v>1676.89</v>
      </c>
    </row>
    <row r="72">
      <c r="A72" s="20" t="inlineStr">
        <is>
          <t>매출채권</t>
        </is>
      </c>
      <c r="C72" s="22" t="n">
        <v>1841.962</v>
      </c>
      <c r="D72" s="22" t="n">
        <v>2059.512</v>
      </c>
      <c r="E72" s="22" t="n">
        <v>2029.272</v>
      </c>
      <c r="F72" s="22" t="n">
        <v>2066.495</v>
      </c>
      <c r="G72" s="22" t="n">
        <v>2037.876</v>
      </c>
      <c r="H72" s="22" t="n">
        <v>1305.387</v>
      </c>
      <c r="I72" s="22" t="n">
        <v>1801.028</v>
      </c>
      <c r="J72" s="22" t="n">
        <v>2126.834</v>
      </c>
      <c r="K72" s="22" t="n">
        <v>2179.332</v>
      </c>
      <c r="L72" s="22" t="n">
        <v>2029.272</v>
      </c>
    </row>
    <row r="73">
      <c r="A73" s="20" t="inlineStr">
        <is>
          <t>유가증권</t>
        </is>
      </c>
      <c r="H73" s="22" t="n">
        <v>0</v>
      </c>
    </row>
    <row r="74">
      <c r="A74" s="20" t="inlineStr">
        <is>
          <t>상품·제품</t>
        </is>
      </c>
      <c r="C74" s="22" t="n">
        <v>20.208</v>
      </c>
      <c r="D74" s="22" t="n">
        <v>26.97</v>
      </c>
      <c r="E74" s="22" t="n">
        <v>23.404</v>
      </c>
      <c r="F74" s="22" t="n">
        <v>24.733</v>
      </c>
      <c r="G74" s="22" t="n">
        <v>25.916</v>
      </c>
      <c r="H74" s="22" t="n">
        <v>5.806</v>
      </c>
      <c r="I74" s="22" t="n">
        <v>11.66</v>
      </c>
      <c r="J74" s="22" t="n">
        <v>15.017</v>
      </c>
      <c r="K74" s="22" t="n">
        <v>19.764</v>
      </c>
      <c r="L74" s="22" t="n">
        <v>23.404</v>
      </c>
    </row>
    <row r="75">
      <c r="A75" s="20" t="inlineStr">
        <is>
          <t>재공품</t>
        </is>
      </c>
      <c r="C75" s="22" t="n">
        <v>6.56</v>
      </c>
      <c r="D75" s="22" t="n">
        <v>9.952</v>
      </c>
      <c r="E75" s="22" t="n">
        <v>3.188</v>
      </c>
      <c r="F75" s="22" t="n">
        <v>2.96</v>
      </c>
      <c r="G75" s="22" t="n">
        <v>1.771</v>
      </c>
      <c r="H75" s="22" t="n">
        <v>11.04</v>
      </c>
      <c r="I75" s="22" t="n">
        <v>7.017</v>
      </c>
      <c r="J75" s="22" t="n">
        <v>7.652</v>
      </c>
      <c r="K75" s="22" t="n">
        <v>15.105</v>
      </c>
      <c r="L75" s="22" t="n">
        <v>3.188</v>
      </c>
    </row>
    <row r="76">
      <c r="A76" s="20" t="inlineStr">
        <is>
          <t>원재료·저장품</t>
        </is>
      </c>
      <c r="C76" s="22" t="n">
        <v>0.021</v>
      </c>
      <c r="D76" s="22" t="n">
        <v>0.031</v>
      </c>
      <c r="E76" s="22" t="n">
        <v>0.02</v>
      </c>
      <c r="F76" s="22" t="n">
        <v>0.02</v>
      </c>
      <c r="G76" s="22" t="n">
        <v>0.02</v>
      </c>
      <c r="H76" s="22" t="n">
        <v>0.025</v>
      </c>
      <c r="I76" s="22" t="n">
        <v>0.023</v>
      </c>
      <c r="J76" s="22" t="n">
        <v>0.021</v>
      </c>
      <c r="K76" s="22" t="n">
        <v>0.021</v>
      </c>
      <c r="L76" s="22" t="n">
        <v>0.02</v>
      </c>
    </row>
    <row r="77">
      <c r="A77" s="20" t="inlineStr">
        <is>
          <t>예치금</t>
        </is>
      </c>
      <c r="C77" s="22" t="n">
        <v>5415.974</v>
      </c>
      <c r="D77" s="22" t="n">
        <v>2836.846</v>
      </c>
      <c r="E77" s="22" t="n">
        <v>928.952</v>
      </c>
      <c r="F77" s="22" t="n">
        <v>7882.933</v>
      </c>
      <c r="G77" s="22" t="n">
        <v>8728.214</v>
      </c>
      <c r="H77" s="22" t="n">
        <v>2.754</v>
      </c>
      <c r="I77" s="22" t="n">
        <v>2916.436</v>
      </c>
      <c r="J77" s="22" t="n">
        <v>3555.756</v>
      </c>
      <c r="K77" s="22" t="n">
        <v>7583.719</v>
      </c>
      <c r="L77" s="22" t="n">
        <v>928.952</v>
      </c>
    </row>
    <row r="78">
      <c r="A78" s="20" t="inlineStr">
        <is>
          <t>기타</t>
        </is>
      </c>
      <c r="C78" s="22" t="n">
        <v>451.603</v>
      </c>
      <c r="D78" s="22" t="n">
        <v>507.888</v>
      </c>
      <c r="E78" s="22" t="n">
        <v>528.579</v>
      </c>
      <c r="F78" s="22" t="n">
        <v>494.662</v>
      </c>
      <c r="G78" s="22" t="n">
        <v>322.384</v>
      </c>
      <c r="H78" s="22" t="n">
        <v>466.548</v>
      </c>
      <c r="I78" s="22" t="n">
        <v>395.555</v>
      </c>
      <c r="J78" s="22" t="n">
        <v>336.972</v>
      </c>
      <c r="K78" s="22" t="n">
        <v>374.449</v>
      </c>
      <c r="L78" s="22" t="n">
        <v>528.579</v>
      </c>
    </row>
    <row r="79">
      <c r="A79" s="20" t="inlineStr">
        <is>
          <t>대손충당금</t>
        </is>
      </c>
      <c r="C79" s="22" t="n">
        <v>-0.189</v>
      </c>
      <c r="D79" s="22" t="n">
        <v>-0.202</v>
      </c>
      <c r="E79" s="22" t="n">
        <v>-0.104</v>
      </c>
      <c r="F79" s="22" t="n">
        <v>-0.12</v>
      </c>
      <c r="G79" s="22" t="n">
        <v>-0.131</v>
      </c>
      <c r="H79" s="22" t="n">
        <v>-0.581</v>
      </c>
      <c r="I79" s="22" t="n">
        <v>-0.192</v>
      </c>
      <c r="J79" s="22" t="n">
        <v>-0.133</v>
      </c>
      <c r="K79" s="22" t="n">
        <v>-0.131</v>
      </c>
      <c r="L79" s="22" t="n">
        <v>-0.104</v>
      </c>
    </row>
    <row r="80">
      <c r="A80" s="9" t="inlineStr">
        <is>
          <t>유동자산 합계</t>
        </is>
      </c>
      <c r="C80" s="12" t="n">
        <v>9995.725</v>
      </c>
      <c r="D80" s="12" t="n">
        <v>9264.540999999999</v>
      </c>
      <c r="E80" s="12" t="n">
        <v>5190.204</v>
      </c>
      <c r="F80" s="12" t="n">
        <v>11935.825</v>
      </c>
      <c r="G80" s="12" t="n">
        <v>12779.787</v>
      </c>
      <c r="H80" s="12" t="n">
        <v>9088.843999999999</v>
      </c>
      <c r="I80" s="12" t="n">
        <v>12363.378</v>
      </c>
      <c r="J80" s="12" t="n">
        <v>10796.7</v>
      </c>
      <c r="K80" s="12" t="n">
        <v>11760.82</v>
      </c>
      <c r="L80" s="12" t="n">
        <v>5190.204</v>
      </c>
    </row>
    <row r="81">
      <c r="A81" s="20" t="inlineStr">
        <is>
          <t>건물·구축물</t>
        </is>
      </c>
      <c r="E81" s="22" t="n">
        <v>107.005</v>
      </c>
      <c r="H81" s="22" t="n">
        <v>107.005</v>
      </c>
      <c r="I81" s="22" t="n">
        <v>107.005</v>
      </c>
      <c r="J81" s="22" t="n">
        <v>107.005</v>
      </c>
      <c r="K81" s="22" t="n">
        <v>107.005</v>
      </c>
      <c r="L81" s="22" t="n">
        <v>107.005</v>
      </c>
    </row>
    <row r="82">
      <c r="A82" s="20" t="inlineStr">
        <is>
          <t>감가상각누계액</t>
        </is>
      </c>
      <c r="E82" s="22" t="n">
        <v>-91.58199999999999</v>
      </c>
      <c r="H82" s="22" t="n">
        <v>-81.467</v>
      </c>
      <c r="I82" s="22" t="n">
        <v>-84.262</v>
      </c>
      <c r="J82" s="22" t="n">
        <v>-86.977</v>
      </c>
      <c r="K82" s="22" t="n">
        <v>-89.67</v>
      </c>
      <c r="L82" s="22" t="n">
        <v>-91.58199999999999</v>
      </c>
    </row>
    <row r="83">
      <c r="A83" s="20" t="inlineStr">
        <is>
          <t>건물·구축물(순액)</t>
        </is>
      </c>
      <c r="E83" s="22" t="n">
        <v>15.422</v>
      </c>
      <c r="H83" s="22" t="n">
        <v>25.538</v>
      </c>
      <c r="I83" s="22" t="n">
        <v>22.743</v>
      </c>
      <c r="J83" s="22" t="n">
        <v>20.028</v>
      </c>
      <c r="K83" s="22" t="n">
        <v>17.334</v>
      </c>
      <c r="L83" s="22" t="n">
        <v>15.422</v>
      </c>
    </row>
    <row r="84">
      <c r="A84" s="20" t="inlineStr">
        <is>
          <t>공구·기구·비품</t>
        </is>
      </c>
      <c r="E84" s="22" t="n">
        <v>89.309</v>
      </c>
      <c r="H84" s="22" t="n">
        <v>94.723</v>
      </c>
      <c r="I84" s="22" t="n">
        <v>87.127</v>
      </c>
      <c r="J84" s="22" t="n">
        <v>84.598</v>
      </c>
      <c r="K84" s="22" t="n">
        <v>84.92</v>
      </c>
      <c r="L84" s="22" t="n">
        <v>89.309</v>
      </c>
    </row>
    <row r="85">
      <c r="A85" s="20" t="inlineStr">
        <is>
          <t>감가상각누계액</t>
        </is>
      </c>
      <c r="E85" s="22" t="n">
        <v>-84.578</v>
      </c>
      <c r="H85" s="22" t="n">
        <v>-85.97</v>
      </c>
      <c r="I85" s="22" t="n">
        <v>-79.905</v>
      </c>
      <c r="J85" s="22" t="n">
        <v>-80.395</v>
      </c>
      <c r="K85" s="22" t="n">
        <v>-82.351</v>
      </c>
      <c r="L85" s="22" t="n">
        <v>-84.578</v>
      </c>
    </row>
    <row r="86">
      <c r="A86" s="20" t="inlineStr">
        <is>
          <t>공구·기구·비품(순액)</t>
        </is>
      </c>
      <c r="E86" s="22" t="n">
        <v>4.73</v>
      </c>
      <c r="H86" s="22" t="n">
        <v>8.752000000000001</v>
      </c>
      <c r="I86" s="22" t="n">
        <v>7.221</v>
      </c>
      <c r="J86" s="22" t="n">
        <v>4.203</v>
      </c>
      <c r="K86" s="22" t="n">
        <v>2.568</v>
      </c>
      <c r="L86" s="22" t="n">
        <v>4.73</v>
      </c>
    </row>
    <row r="87">
      <c r="A87" s="20" t="inlineStr">
        <is>
          <t>기타</t>
        </is>
      </c>
      <c r="E87" s="22" t="n">
        <v>18.224</v>
      </c>
      <c r="H87" s="22" t="n">
        <v>18.233</v>
      </c>
      <c r="I87" s="22" t="n">
        <v>4.356</v>
      </c>
      <c r="J87" s="22" t="n">
        <v>18.224</v>
      </c>
      <c r="K87" s="22" t="n">
        <v>18.224</v>
      </c>
      <c r="L87" s="22" t="n">
        <v>18.224</v>
      </c>
    </row>
    <row r="88">
      <c r="A88" s="20" t="inlineStr">
        <is>
          <t>감가상각누계액</t>
        </is>
      </c>
      <c r="E88" s="22" t="n">
        <v>-14.416</v>
      </c>
      <c r="H88" s="22" t="n">
        <v>-10.792</v>
      </c>
      <c r="I88" s="22" t="n">
        <v>-1.016</v>
      </c>
      <c r="J88" s="22" t="n">
        <v>-3.428</v>
      </c>
      <c r="K88" s="22" t="n">
        <v>-8.922000000000001</v>
      </c>
      <c r="L88" s="22" t="n">
        <v>-14.416</v>
      </c>
    </row>
    <row r="89">
      <c r="A89" s="20" t="inlineStr">
        <is>
          <t>기타(순액)</t>
        </is>
      </c>
      <c r="E89" s="22" t="n">
        <v>3.807</v>
      </c>
      <c r="H89" s="22" t="n">
        <v>7.44</v>
      </c>
      <c r="I89" s="22" t="n">
        <v>3.34</v>
      </c>
      <c r="J89" s="22" t="n">
        <v>14.795</v>
      </c>
      <c r="K89" s="22" t="n">
        <v>9.301</v>
      </c>
      <c r="L89" s="22" t="n">
        <v>3.807</v>
      </c>
    </row>
    <row r="90">
      <c r="A90" s="20" t="inlineStr">
        <is>
          <t>유형자산</t>
        </is>
      </c>
      <c r="C90" s="22" t="n">
        <v>26.28</v>
      </c>
      <c r="D90" s="22" t="n">
        <v>25.465</v>
      </c>
      <c r="E90" s="22" t="n">
        <v>23.961</v>
      </c>
      <c r="F90" s="22" t="n">
        <v>22.68</v>
      </c>
      <c r="G90" s="22" t="n">
        <v>23.017</v>
      </c>
      <c r="H90" s="22" t="n">
        <v>41.732</v>
      </c>
      <c r="I90" s="22" t="n">
        <v>33.305</v>
      </c>
      <c r="J90" s="22" t="n">
        <v>39.027</v>
      </c>
      <c r="K90" s="22" t="n">
        <v>29.204</v>
      </c>
      <c r="L90" s="22" t="n">
        <v>23.961</v>
      </c>
    </row>
    <row r="91">
      <c r="A91" s="20" t="inlineStr">
        <is>
          <t>무형자산</t>
        </is>
      </c>
      <c r="C91" s="22" t="n">
        <v>10.141</v>
      </c>
      <c r="D91" s="22" t="n">
        <v>9.106</v>
      </c>
      <c r="E91" s="22" t="n">
        <v>8.739000000000001</v>
      </c>
      <c r="F91" s="22" t="n">
        <v>7.927</v>
      </c>
      <c r="G91" s="22" t="n">
        <v>7.114</v>
      </c>
      <c r="H91" s="22" t="n">
        <v>27.515</v>
      </c>
      <c r="I91" s="22" t="n">
        <v>20.515</v>
      </c>
      <c r="J91" s="22" t="n">
        <v>23.5</v>
      </c>
      <c r="K91" s="22" t="n">
        <v>12.21</v>
      </c>
      <c r="L91" s="22" t="n">
        <v>8.739000000000001</v>
      </c>
    </row>
    <row r="92">
      <c r="A92" s="20" t="inlineStr">
        <is>
          <t>투자유가증권</t>
        </is>
      </c>
      <c r="C92" s="22" t="n">
        <v>2176.466</v>
      </c>
      <c r="D92" s="22" t="n">
        <v>2875.892</v>
      </c>
      <c r="E92" s="22" t="n">
        <v>6792.589</v>
      </c>
      <c r="F92" s="22" t="n">
        <v>612.078</v>
      </c>
      <c r="G92" s="22" t="n">
        <v>159.824</v>
      </c>
      <c r="H92" s="22" t="n">
        <v>2989.843</v>
      </c>
      <c r="I92" s="22" t="n">
        <v>555.6319999999999</v>
      </c>
      <c r="J92" s="22" t="n">
        <v>1804.075</v>
      </c>
      <c r="K92" s="22" t="n">
        <v>746.086</v>
      </c>
      <c r="L92" s="22" t="n">
        <v>6792.589</v>
      </c>
    </row>
    <row r="93">
      <c r="A93" s="20" t="inlineStr">
        <is>
          <t>이연법인세자산</t>
        </is>
      </c>
      <c r="E93" s="22" t="n">
        <v>729.2</v>
      </c>
      <c r="H93" s="22" t="n">
        <v>311.711</v>
      </c>
      <c r="I93" s="22" t="n">
        <v>488.479</v>
      </c>
      <c r="J93" s="22" t="n">
        <v>556.726</v>
      </c>
      <c r="K93" s="22" t="n">
        <v>694.5599999999999</v>
      </c>
      <c r="L93" s="22" t="n">
        <v>729.2</v>
      </c>
    </row>
    <row r="94">
      <c r="A94" s="20" t="inlineStr">
        <is>
          <t>기타</t>
        </is>
      </c>
      <c r="C94" s="22" t="n">
        <v>1079.168</v>
      </c>
      <c r="D94" s="22" t="n">
        <v>1053.517</v>
      </c>
      <c r="E94" s="22" t="n">
        <v>1154.103</v>
      </c>
      <c r="F94" s="22" t="n">
        <v>952.6900000000001</v>
      </c>
      <c r="G94" s="22" t="n">
        <v>997.0890000000001</v>
      </c>
      <c r="H94" s="22" t="n">
        <v>335.225</v>
      </c>
      <c r="I94" s="22" t="n">
        <v>351.35</v>
      </c>
      <c r="J94" s="22" t="n">
        <v>398.561</v>
      </c>
      <c r="K94" s="22" t="n">
        <v>406.825</v>
      </c>
      <c r="L94" s="22" t="n">
        <v>1154.103</v>
      </c>
    </row>
    <row r="95">
      <c r="A95" s="20" t="inlineStr">
        <is>
          <t>대손충당금</t>
        </is>
      </c>
      <c r="C95" s="22" t="n">
        <v>-164.785</v>
      </c>
      <c r="D95" s="22" t="n">
        <v>-173.111</v>
      </c>
      <c r="E95" s="22" t="n">
        <v>-176.709</v>
      </c>
      <c r="F95" s="22" t="n">
        <v>-179.43</v>
      </c>
      <c r="G95" s="22" t="n">
        <v>-173.967</v>
      </c>
      <c r="H95" s="22" t="n">
        <v>-136.07</v>
      </c>
      <c r="I95" s="22" t="n">
        <v>-148.146</v>
      </c>
      <c r="J95" s="22" t="n">
        <v>-167.528</v>
      </c>
      <c r="K95" s="22" t="n">
        <v>-165.479</v>
      </c>
      <c r="L95" s="22" t="n">
        <v>-176.709</v>
      </c>
    </row>
    <row r="96">
      <c r="A96" s="20" t="inlineStr">
        <is>
          <t>투자 및 기타자산 합계</t>
        </is>
      </c>
      <c r="C96" s="22" t="n">
        <v>3090.849</v>
      </c>
      <c r="D96" s="22" t="n">
        <v>3756.299</v>
      </c>
      <c r="E96" s="22" t="n">
        <v>7769.983</v>
      </c>
      <c r="F96" s="22" t="n">
        <v>1385.338</v>
      </c>
      <c r="G96" s="22" t="n">
        <v>982.946</v>
      </c>
      <c r="H96" s="22" t="n">
        <v>3500.709</v>
      </c>
      <c r="I96" s="22" t="n">
        <v>1247.315</v>
      </c>
      <c r="J96" s="22" t="n">
        <v>2591.835</v>
      </c>
      <c r="K96" s="22" t="n">
        <v>1681.993</v>
      </c>
      <c r="L96" s="22" t="n">
        <v>7769.983</v>
      </c>
    </row>
    <row r="97">
      <c r="A97" s="9" t="inlineStr">
        <is>
          <t>비유동자산 합계</t>
        </is>
      </c>
      <c r="C97" s="12" t="n">
        <v>3127.271</v>
      </c>
      <c r="D97" s="12" t="n">
        <v>3790.871</v>
      </c>
      <c r="E97" s="12" t="n">
        <v>7802.683</v>
      </c>
      <c r="F97" s="12" t="n">
        <v>1415.946</v>
      </c>
      <c r="G97" s="12" t="n">
        <v>1013.078</v>
      </c>
      <c r="H97" s="12" t="n">
        <v>3569.957</v>
      </c>
      <c r="I97" s="12" t="n">
        <v>1301.136</v>
      </c>
      <c r="J97" s="12" t="n">
        <v>2654.363</v>
      </c>
      <c r="K97" s="12" t="n">
        <v>1723.408</v>
      </c>
      <c r="L97" s="12" t="n">
        <v>7802.683</v>
      </c>
    </row>
    <row r="98">
      <c r="A98" s="9" t="inlineStr">
        <is>
          <t>자산 합계</t>
        </is>
      </c>
      <c r="C98" s="12" t="n">
        <v>13122.996</v>
      </c>
      <c r="D98" s="12" t="n">
        <v>13055.413</v>
      </c>
      <c r="E98" s="12" t="n">
        <v>12992.888</v>
      </c>
      <c r="F98" s="12" t="n">
        <v>13351.771</v>
      </c>
      <c r="G98" s="12" t="n">
        <v>13792.866</v>
      </c>
      <c r="H98" s="12" t="n">
        <v>12658.801</v>
      </c>
      <c r="I98" s="12" t="n">
        <v>13664.515</v>
      </c>
      <c r="J98" s="12" t="n">
        <v>13451.063</v>
      </c>
      <c r="K98" s="12" t="n">
        <v>13484.228</v>
      </c>
      <c r="L98" s="12" t="n">
        <v>12992.888</v>
      </c>
    </row>
    <row r="99">
      <c r="A99" s="20" t="inlineStr">
        <is>
          <t>매입채무</t>
        </is>
      </c>
      <c r="C99" s="22" t="n">
        <v>9.603</v>
      </c>
      <c r="D99" s="22" t="n">
        <v>30.05</v>
      </c>
      <c r="E99" s="22" t="n">
        <v>10.26</v>
      </c>
      <c r="F99" s="22" t="n">
        <v>10.06</v>
      </c>
      <c r="G99" s="22" t="n">
        <v>47.599</v>
      </c>
      <c r="H99" s="22" t="n">
        <v>14.358</v>
      </c>
      <c r="I99" s="22" t="n">
        <v>20.875</v>
      </c>
      <c r="J99" s="22" t="n">
        <v>12.93</v>
      </c>
      <c r="K99" s="22" t="n">
        <v>4.887</v>
      </c>
      <c r="L99" s="22" t="n">
        <v>10.26</v>
      </c>
    </row>
    <row r="100">
      <c r="A100" s="20" t="inlineStr">
        <is>
          <t>영업미지급금</t>
        </is>
      </c>
      <c r="C100" s="22" t="n">
        <v>254.568</v>
      </c>
      <c r="D100" s="22" t="n">
        <v>300.078</v>
      </c>
      <c r="E100" s="22" t="n">
        <v>285.197</v>
      </c>
      <c r="F100" s="22" t="n">
        <v>244.798</v>
      </c>
      <c r="G100" s="22" t="n">
        <v>229.111</v>
      </c>
      <c r="H100" s="22" t="n">
        <v>373.152</v>
      </c>
      <c r="I100" s="22" t="n">
        <v>486.663</v>
      </c>
      <c r="J100" s="22" t="n">
        <v>648.831</v>
      </c>
      <c r="K100" s="22" t="n">
        <v>371.605</v>
      </c>
      <c r="L100" s="22" t="n">
        <v>285.197</v>
      </c>
    </row>
    <row r="101">
      <c r="A101" s="20" t="inlineStr">
        <is>
          <t>미지급금</t>
        </is>
      </c>
      <c r="H101" s="22" t="n">
        <v>216.477</v>
      </c>
      <c r="I101" s="22" t="n">
        <v>767.4930000000001</v>
      </c>
    </row>
    <row r="102">
      <c r="A102" s="20" t="inlineStr">
        <is>
          <t>미지급법인세</t>
        </is>
      </c>
      <c r="C102" s="22" t="n">
        <v>33.741</v>
      </c>
      <c r="D102" s="22" t="n">
        <v>3.302</v>
      </c>
      <c r="E102" s="22" t="n">
        <v>86.812</v>
      </c>
      <c r="F102" s="22" t="n">
        <v>94.98</v>
      </c>
      <c r="G102" s="22" t="n">
        <v>275.645</v>
      </c>
      <c r="H102" s="22" t="n">
        <v>151.811</v>
      </c>
      <c r="I102" s="22" t="n">
        <v>262.725</v>
      </c>
      <c r="J102" s="22" t="n">
        <v>82.099</v>
      </c>
      <c r="K102" s="22" t="n">
        <v>262.084</v>
      </c>
      <c r="L102" s="22" t="n">
        <v>86.812</v>
      </c>
    </row>
    <row r="103">
      <c r="A103" s="20" t="inlineStr">
        <is>
          <t>상여충당금</t>
        </is>
      </c>
      <c r="C103" s="22" t="n">
        <v>15.25</v>
      </c>
      <c r="D103" s="22" t="n">
        <v>16.375</v>
      </c>
      <c r="E103" s="22" t="n">
        <v>0</v>
      </c>
      <c r="F103" s="22" t="n">
        <v>5.15</v>
      </c>
      <c r="G103" s="22" t="n">
        <v>10.3</v>
      </c>
      <c r="H103" s="22" t="n">
        <v>7.95</v>
      </c>
      <c r="I103" s="22" t="n">
        <v>0</v>
      </c>
      <c r="J103" s="22" t="n">
        <v>0</v>
      </c>
      <c r="K103" s="22" t="n">
        <v>0</v>
      </c>
      <c r="L103" s="22" t="n">
        <v>0</v>
      </c>
    </row>
    <row r="104">
      <c r="A104" s="20" t="inlineStr">
        <is>
          <t>반품조정 충당금</t>
        </is>
      </c>
      <c r="H104" s="22" t="n">
        <v>0</v>
      </c>
    </row>
    <row r="105">
      <c r="A105" s="20" t="inlineStr">
        <is>
          <t>기타</t>
        </is>
      </c>
      <c r="C105" s="22" t="n">
        <v>815.962</v>
      </c>
      <c r="D105" s="22" t="n">
        <v>659.864</v>
      </c>
      <c r="E105" s="22" t="n">
        <v>512.765</v>
      </c>
      <c r="F105" s="22" t="n">
        <v>556.668</v>
      </c>
      <c r="G105" s="22" t="n">
        <v>513.74</v>
      </c>
      <c r="H105" s="22" t="n">
        <v>198.275</v>
      </c>
      <c r="I105" s="22" t="n">
        <v>975.784</v>
      </c>
      <c r="J105" s="22" t="n">
        <v>654.999</v>
      </c>
      <c r="K105" s="22" t="n">
        <v>672.297</v>
      </c>
      <c r="L105" s="22" t="n">
        <v>512.765</v>
      </c>
    </row>
    <row r="106">
      <c r="A106" s="9" t="inlineStr">
        <is>
          <t>유동부채 합계</t>
        </is>
      </c>
      <c r="C106" s="12" t="n">
        <v>1129.125</v>
      </c>
      <c r="D106" s="12" t="n">
        <v>1009.67</v>
      </c>
      <c r="E106" s="12" t="n">
        <v>895.035</v>
      </c>
      <c r="F106" s="12" t="n">
        <v>911.658</v>
      </c>
      <c r="G106" s="12" t="n">
        <v>1076.396</v>
      </c>
      <c r="H106" s="12" t="n">
        <v>962.025</v>
      </c>
      <c r="I106" s="12" t="n">
        <v>1746.049</v>
      </c>
      <c r="J106" s="12" t="n">
        <v>1398.861</v>
      </c>
      <c r="K106" s="12" t="n">
        <v>1310.874</v>
      </c>
      <c r="L106" s="12" t="n">
        <v>895.035</v>
      </c>
    </row>
    <row r="107">
      <c r="A107" s="9" t="inlineStr">
        <is>
          <t>비유동부채</t>
        </is>
      </c>
      <c r="C107" s="12" t="n">
        <v>1.625</v>
      </c>
      <c r="D107" s="12" t="n">
        <v>0.081</v>
      </c>
      <c r="E107" s="12" t="n">
        <v>0</v>
      </c>
      <c r="H107" s="12" t="n">
        <v>3.701</v>
      </c>
      <c r="I107" s="12" t="n">
        <v>2.747</v>
      </c>
      <c r="J107" s="12" t="n">
        <v>10.782</v>
      </c>
      <c r="K107" s="12" t="n">
        <v>4.698</v>
      </c>
      <c r="L107" s="12" t="n">
        <v>0</v>
      </c>
    </row>
    <row r="108">
      <c r="A108" s="9" t="inlineStr">
        <is>
          <t>부채 합계</t>
        </is>
      </c>
      <c r="C108" s="12" t="n">
        <v>1130.751</v>
      </c>
      <c r="D108" s="12" t="n">
        <v>1009.752</v>
      </c>
      <c r="E108" s="12" t="n">
        <v>895.035</v>
      </c>
      <c r="F108" s="12" t="n">
        <v>911.658</v>
      </c>
      <c r="G108" s="12" t="n">
        <v>1076.396</v>
      </c>
      <c r="H108" s="12" t="n">
        <v>965.726</v>
      </c>
      <c r="I108" s="12" t="n">
        <v>1748.796</v>
      </c>
      <c r="J108" s="12" t="n">
        <v>1409.643</v>
      </c>
      <c r="K108" s="12" t="n">
        <v>1315.572</v>
      </c>
      <c r="L108" s="12" t="n">
        <v>895.035</v>
      </c>
    </row>
    <row r="109">
      <c r="A109" s="20" t="inlineStr">
        <is>
          <t>자본금</t>
        </is>
      </c>
      <c r="C109" s="22" t="n">
        <v>2669</v>
      </c>
      <c r="D109" s="22" t="n">
        <v>2669</v>
      </c>
      <c r="E109" s="22" t="n">
        <v>2669</v>
      </c>
      <c r="F109" s="22" t="n">
        <v>2669</v>
      </c>
      <c r="G109" s="22" t="n">
        <v>2669</v>
      </c>
      <c r="H109" s="22" t="n">
        <v>2669</v>
      </c>
      <c r="I109" s="22" t="n">
        <v>2669</v>
      </c>
      <c r="J109" s="22" t="n">
        <v>2669</v>
      </c>
      <c r="K109" s="22" t="n">
        <v>2669</v>
      </c>
      <c r="L109" s="22" t="n">
        <v>2669</v>
      </c>
    </row>
    <row r="110">
      <c r="A110" s="20" t="inlineStr">
        <is>
          <t>자본잉여금</t>
        </is>
      </c>
      <c r="C110" s="22" t="n">
        <v>2483.666</v>
      </c>
      <c r="D110" s="22" t="n">
        <v>2483.666</v>
      </c>
      <c r="E110" s="22" t="n">
        <v>2483.666</v>
      </c>
      <c r="F110" s="22" t="n">
        <v>2483.666</v>
      </c>
      <c r="G110" s="22" t="n">
        <v>2487.927</v>
      </c>
      <c r="H110" s="22" t="n">
        <v>2466.023</v>
      </c>
      <c r="I110" s="22" t="n">
        <v>2470.153</v>
      </c>
      <c r="J110" s="22" t="n">
        <v>2475.478</v>
      </c>
      <c r="K110" s="22" t="n">
        <v>2479.496</v>
      </c>
      <c r="L110" s="22" t="n">
        <v>2483.666</v>
      </c>
    </row>
    <row r="111">
      <c r="A111" s="20" t="inlineStr">
        <is>
          <t>이익잉여금</t>
        </is>
      </c>
      <c r="C111" s="22" t="n">
        <v>7313.082</v>
      </c>
      <c r="D111" s="22" t="n">
        <v>7343.199</v>
      </c>
      <c r="E111" s="22" t="n">
        <v>7735.642</v>
      </c>
      <c r="F111" s="22" t="n">
        <v>7716.527</v>
      </c>
      <c r="G111" s="22" t="n">
        <v>7977.155</v>
      </c>
      <c r="H111" s="22" t="n">
        <v>7033.647</v>
      </c>
      <c r="I111" s="22" t="n">
        <v>7327.511</v>
      </c>
      <c r="J111" s="22" t="n">
        <v>7397.652</v>
      </c>
      <c r="K111" s="22" t="n">
        <v>7543.409</v>
      </c>
      <c r="L111" s="22" t="n">
        <v>7735.642</v>
      </c>
    </row>
    <row r="112">
      <c r="A112" s="20" t="inlineStr">
        <is>
          <t>자기주식</t>
        </is>
      </c>
      <c r="C112" s="22" t="n">
        <v>-596.313</v>
      </c>
      <c r="D112" s="22" t="n">
        <v>-596.313</v>
      </c>
      <c r="E112" s="22" t="n">
        <v>-596.313</v>
      </c>
      <c r="F112" s="22" t="n">
        <v>-596.313</v>
      </c>
      <c r="G112" s="22" t="n">
        <v>-590.577</v>
      </c>
      <c r="H112" s="22" t="n">
        <v>-622.652</v>
      </c>
      <c r="I112" s="22" t="n">
        <v>-614.785</v>
      </c>
      <c r="J112" s="22" t="n">
        <v>-608.117</v>
      </c>
      <c r="K112" s="22" t="n">
        <v>-602.139</v>
      </c>
      <c r="L112" s="22" t="n">
        <v>-596.313</v>
      </c>
    </row>
    <row r="113">
      <c r="A113" s="9" t="inlineStr">
        <is>
          <t>주주자본 합계</t>
        </is>
      </c>
      <c r="C113" s="12" t="n">
        <v>11869.435</v>
      </c>
      <c r="D113" s="12" t="n">
        <v>11899.551</v>
      </c>
      <c r="E113" s="12" t="n">
        <v>12291.995</v>
      </c>
      <c r="F113" s="12" t="n">
        <v>12272.88</v>
      </c>
      <c r="G113" s="12" t="n">
        <v>12543.505</v>
      </c>
      <c r="H113" s="12" t="n">
        <v>11546.018</v>
      </c>
      <c r="I113" s="12" t="n">
        <v>11851.879</v>
      </c>
      <c r="J113" s="12" t="n">
        <v>11934.013</v>
      </c>
      <c r="K113" s="12" t="n">
        <v>12089.766</v>
      </c>
      <c r="L113" s="12" t="n">
        <v>12291.995</v>
      </c>
    </row>
    <row r="114">
      <c r="A114" s="20" t="inlineStr">
        <is>
          <t>기타유가증권 평가차액</t>
        </is>
      </c>
      <c r="C114" s="22" t="n">
        <v>0.8110000000000001</v>
      </c>
      <c r="D114" s="22" t="n">
        <v>22.64</v>
      </c>
      <c r="E114" s="22" t="n">
        <v>-332.629</v>
      </c>
      <c r="F114" s="22" t="n">
        <v>13.993</v>
      </c>
      <c r="G114" s="22" t="n">
        <v>7.464</v>
      </c>
      <c r="H114" s="22" t="n">
        <v>83.48</v>
      </c>
      <c r="I114" s="22" t="n">
        <v>-7.068</v>
      </c>
      <c r="J114" s="22" t="n">
        <v>31.172</v>
      </c>
      <c r="K114" s="22" t="n">
        <v>-25.676</v>
      </c>
      <c r="L114" s="22" t="n">
        <v>-332.629</v>
      </c>
    </row>
    <row r="115">
      <c r="A115" s="20" t="inlineStr">
        <is>
          <t>기타포괄손익누계액 합계</t>
        </is>
      </c>
      <c r="C115" s="22" t="n">
        <v>0.8110000000000001</v>
      </c>
      <c r="D115" s="22" t="n">
        <v>22.64</v>
      </c>
      <c r="E115" s="22" t="n">
        <v>-332.629</v>
      </c>
      <c r="F115" s="22" t="n">
        <v>13.993</v>
      </c>
      <c r="G115" s="22" t="n">
        <v>7.464</v>
      </c>
      <c r="H115" s="22" t="n">
        <v>83.48</v>
      </c>
      <c r="I115" s="22" t="n">
        <v>-7.068</v>
      </c>
      <c r="J115" s="22" t="n">
        <v>31.172</v>
      </c>
      <c r="K115" s="22" t="n">
        <v>-25.676</v>
      </c>
      <c r="L115" s="22" t="n">
        <v>-332.629</v>
      </c>
    </row>
    <row r="116">
      <c r="A116" s="20" t="inlineStr">
        <is>
          <t>비지배지분</t>
        </is>
      </c>
      <c r="C116" s="22" t="n">
        <v>121.998</v>
      </c>
      <c r="D116" s="22" t="n">
        <v>123.468</v>
      </c>
      <c r="E116" s="22" t="n">
        <v>138.487</v>
      </c>
      <c r="F116" s="22" t="n">
        <v>153.238</v>
      </c>
      <c r="G116" s="22" t="n">
        <v>165.499</v>
      </c>
      <c r="H116" s="22" t="n">
        <v>63.576</v>
      </c>
      <c r="I116" s="22" t="n">
        <v>70.907</v>
      </c>
      <c r="J116" s="22" t="n">
        <v>76.233</v>
      </c>
      <c r="K116" s="22" t="n">
        <v>104.566</v>
      </c>
      <c r="L116" s="22" t="n">
        <v>138.487</v>
      </c>
    </row>
    <row r="117">
      <c r="A117" s="9" t="inlineStr">
        <is>
          <t>순자산 합계</t>
        </is>
      </c>
      <c r="C117" s="12" t="n">
        <v>11992.245</v>
      </c>
      <c r="D117" s="12" t="n">
        <v>12045.661</v>
      </c>
      <c r="E117" s="12" t="n">
        <v>12097.852</v>
      </c>
      <c r="F117" s="12" t="n">
        <v>12440.113</v>
      </c>
      <c r="G117" s="12" t="n">
        <v>12716.469</v>
      </c>
      <c r="H117" s="12" t="n">
        <v>11693.075</v>
      </c>
      <c r="I117" s="12" t="n">
        <v>11915.718</v>
      </c>
      <c r="J117" s="12" t="n">
        <v>12041.419</v>
      </c>
      <c r="K117" s="12" t="n">
        <v>12168.656</v>
      </c>
      <c r="L117" s="12" t="n">
        <v>12097.852</v>
      </c>
    </row>
    <row r="118">
      <c r="A118" s="9" t="inlineStr">
        <is>
          <t>부채·순자산 합계</t>
        </is>
      </c>
      <c r="C118" s="12" t="n">
        <v>13122.996</v>
      </c>
      <c r="D118" s="12" t="n">
        <v>13055.413</v>
      </c>
      <c r="E118" s="12" t="n">
        <v>12992.888</v>
      </c>
      <c r="F118" s="12" t="n">
        <v>13351.771</v>
      </c>
      <c r="G118" s="12" t="n">
        <v>13792.866</v>
      </c>
      <c r="H118" s="12" t="n">
        <v>12658.801</v>
      </c>
      <c r="I118" s="12" t="n">
        <v>13664.515</v>
      </c>
      <c r="J118" s="12" t="n">
        <v>13451.063</v>
      </c>
      <c r="K118" s="12" t="n">
        <v>13484.228</v>
      </c>
      <c r="L118" s="12" t="n">
        <v>12992.888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2026-10-28</t>
        </is>
      </c>
      <c r="B4" t="inlineStr">
        <is>
          <t>2027년 3월 결산기 2분기 결산단신</t>
        </is>
      </c>
      <c r="C4" t="inlineStr">
        <is>
          <t>https://www2.jpx.co.jp/disc/46440/140120261020553344.pdf</t>
        </is>
      </c>
    </row>
    <row r="5">
      <c r="A5" t="inlineStr">
        <is>
          <t>2026-07-27</t>
        </is>
      </c>
      <c r="B5" t="inlineStr">
        <is>
          <t>2027년 3월 결산기 1분기 결산단신</t>
        </is>
      </c>
      <c r="C5" t="inlineStr">
        <is>
          <t>https://www2.jpx.co.jp/disc/46440/140120260717595817.pdf</t>
        </is>
      </c>
    </row>
    <row r="6">
      <c r="A6" t="inlineStr">
        <is>
          <t>2026-05-15</t>
        </is>
      </c>
      <c r="B6" t="inlineStr">
        <is>
          <t>2026년 3월 결산기 연간 결산단신</t>
        </is>
      </c>
      <c r="C6" t="inlineStr">
        <is>
          <t>https://www2.jpx.co.jp/disc/46440/140120260424510291.pdf</t>
        </is>
      </c>
    </row>
    <row r="7">
      <c r="A7" t="inlineStr">
        <is>
          <t>2026-01-30</t>
        </is>
      </c>
      <c r="B7" t="inlineStr">
        <is>
          <t>2026년 3월 결산기 3분기 결산단신</t>
        </is>
      </c>
      <c r="C7" t="inlineStr">
        <is>
          <t>https://www2.jpx.co.jp/disc/46440/140120260122536910.pdf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https://www2.jpx.co.jp/disc/46440/140120251021576319.pdf</t>
        </is>
      </c>
    </row>
    <row r="9">
      <c r="A9" t="inlineStr">
        <is>
          <t>2025-07-31</t>
        </is>
      </c>
      <c r="B9" t="inlineStr">
        <is>
          <t>2026년 3월 결산기 1분기 결산단신</t>
        </is>
      </c>
      <c r="C9" t="inlineStr">
        <is>
          <t>https://www2.jpx.co.jp/disc/46440/140120250718516595.pdf</t>
        </is>
      </c>
    </row>
    <row r="10">
      <c r="A10" t="inlineStr">
        <is>
          <t>2025-05-15</t>
        </is>
      </c>
      <c r="B10" t="inlineStr">
        <is>
          <t>2025년 3월 결산기 연간 결산단신</t>
        </is>
      </c>
      <c r="C10" t="inlineStr">
        <is>
          <t>https://www2.jpx.co.jp/disc/46440/140120250428525315.pdf</t>
        </is>
      </c>
    </row>
    <row r="11">
      <c r="A11" t="inlineStr">
        <is>
          <t>2025-01-30</t>
        </is>
      </c>
      <c r="B11" t="inlineStr">
        <is>
          <t>2025년 3월 결산기 3분기 결산단신</t>
        </is>
      </c>
      <c r="C11" t="inlineStr">
        <is>
          <t>https://www2.jpx.co.jp/disc/46440/140120250121553372.pdf</t>
        </is>
      </c>
    </row>
    <row r="12">
      <c r="A12" t="inlineStr">
        <is>
          <t>2024-10-31</t>
        </is>
      </c>
      <c r="B12" t="inlineStr">
        <is>
          <t>2025년 3월 결산기 2분기 결산단신</t>
        </is>
      </c>
      <c r="C12" t="inlineStr">
        <is>
          <t>https://www2.jpx.co.jp/disc/46440/140120241021500573.pdf</t>
        </is>
      </c>
    </row>
    <row r="13">
      <c r="A13" t="inlineStr">
        <is>
          <t>2024-07-31</t>
        </is>
      </c>
      <c r="B13" t="inlineStr">
        <is>
          <t>2025년 3월 결산기 1분기 결산단신</t>
        </is>
      </c>
      <c r="C13" t="inlineStr">
        <is>
          <t>https://www2.jpx.co.jp/disc/46440/140120240718551074.pdf</t>
        </is>
      </c>
    </row>
    <row r="14">
      <c r="A14" t="inlineStr">
        <is>
          <t>2024-05-15</t>
        </is>
      </c>
      <c r="B14" t="inlineStr">
        <is>
          <t>2024년 3월 결산기 연간 결산단신</t>
        </is>
      </c>
      <c r="C14" t="inlineStr">
        <is>
          <t>https://www2.jpx.co.jp/disc/46440/140120240424575847.pdf</t>
        </is>
      </c>
    </row>
    <row r="15">
      <c r="A15" t="inlineStr">
        <is>
          <t>2024-01-31</t>
        </is>
      </c>
      <c r="B15" t="inlineStr">
        <is>
          <t>2024년 3월 결산기 3분기 결산단신</t>
        </is>
      </c>
      <c r="C15" t="inlineStr">
        <is>
          <t>https://www2.jpx.co.jp/disc/46440/140120240125519125.pdf</t>
        </is>
      </c>
    </row>
    <row r="16">
      <c r="A16" t="inlineStr">
        <is>
          <t>2023-10-31</t>
        </is>
      </c>
      <c r="B16" t="inlineStr">
        <is>
          <t>2024년 3월 결산기 2분기 결산단신</t>
        </is>
      </c>
      <c r="C16" t="inlineStr">
        <is>
          <t>https://www2.jpx.co.jp/disc/46440/140120231023570147.pdf</t>
        </is>
      </c>
    </row>
    <row r="17">
      <c r="A17" t="inlineStr">
        <is>
          <t>2023-07-31</t>
        </is>
      </c>
      <c r="B17" t="inlineStr">
        <is>
          <t>2024년 3월 결산기 1분기 결산단신</t>
        </is>
      </c>
      <c r="C17" t="inlineStr">
        <is>
          <t>https://www2.jpx.co.jp/disc/46440/140120230720524475.pdf</t>
        </is>
      </c>
    </row>
    <row r="18">
      <c r="A18" t="inlineStr">
        <is>
          <t>2023-05-15</t>
        </is>
      </c>
      <c r="B18" t="inlineStr">
        <is>
          <t>2023년 3월 결산기 연간 결산단신</t>
        </is>
      </c>
      <c r="C18" t="inlineStr">
        <is>
          <t>https://www2.jpx.co.jp/disc/46440/140120230427554287.pdf</t>
        </is>
      </c>
    </row>
    <row r="19">
      <c r="A19" t="inlineStr">
        <is>
          <t>2023-01-31</t>
        </is>
      </c>
      <c r="B19" t="inlineStr">
        <is>
          <t>2023년 3월 결산기 3분기 결산단신</t>
        </is>
      </c>
      <c r="C19" t="inlineStr">
        <is>
          <t>https://www2.jpx.co.jp/disc/46440/140120230124592901.pdf</t>
        </is>
      </c>
    </row>
    <row r="20">
      <c r="A20" t="inlineStr">
        <is>
          <t>2022-05-16</t>
        </is>
      </c>
      <c r="B20" t="inlineStr">
        <is>
          <t>2022년 3월 결산기 연간 결산단신</t>
        </is>
      </c>
      <c r="C20" t="inlineStr">
        <is>
          <t>https://www2.jpx.co.jp/disc/46440/140120220426527935.pdf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https://www2.jpx.co.jp/disc/46440/140120210426400105.pdf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https://www2.jpx.co.jp/disc/46440/140120200430403327.pdf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https://www2.jpx.co.jp/disc/46440/140120190507415941.pdf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https://www2.jpx.co.jp/disc/46440/140120180425419501.pdf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2026-10-28T07:03:24Z</dcterms:created>
  <dcterms:modified xmlns:dcterms="http://purl.org/dc/terms/" xmlns:xsi="http://www.w3.org/2001/XMLSchema-instance" xsi:type="dcterms:W3CDTF">2026-10-28T07:03:24Z</dcterms:modified>
</cp:coreProperties>
</file>