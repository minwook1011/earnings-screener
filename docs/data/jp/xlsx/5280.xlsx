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0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5280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1676.665</v>
      </c>
      <c r="D4" s="12" t="n">
        <v>15264.185</v>
      </c>
      <c r="E4" s="12" t="n">
        <v>3613.286</v>
      </c>
      <c r="F4" s="12" t="n">
        <v>4317.703</v>
      </c>
      <c r="G4" s="12" t="n">
        <v>10033.902</v>
      </c>
      <c r="H4" s="12" t="n">
        <v>9510.036</v>
      </c>
      <c r="I4" s="12" t="n">
        <v>2738.25</v>
      </c>
      <c r="J4" s="12" t="n">
        <v>10609.186</v>
      </c>
      <c r="K4" s="12" t="n">
        <v>3945.964</v>
      </c>
      <c r="L4" s="12" t="n">
        <v>11830.094</v>
      </c>
      <c r="M4" s="12" t="n">
        <v>1700.636</v>
      </c>
      <c r="N4" s="12" t="n">
        <v>8891.18</v>
      </c>
      <c r="O4" s="11" t="n">
        <v>19212.443</v>
      </c>
      <c r="P4" s="12" t="n">
        <v>21823.43</v>
      </c>
      <c r="Q4" s="12" t="n">
        <v>21777.967</v>
      </c>
      <c r="R4" s="12" t="n">
        <v>17500.654</v>
      </c>
      <c r="S4" s="12" t="n">
        <v>21081.553</v>
      </c>
      <c r="T4" s="12" t="n">
        <v>20067.946</v>
      </c>
      <c r="U4" s="12" t="n">
        <v>14704.095</v>
      </c>
      <c r="V4" s="12" t="n">
        <v>23913.617</v>
      </c>
      <c r="W4" s="12" t="n">
        <v>27474.927</v>
      </c>
      <c r="X4" s="12" t="n">
        <v>29123.494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ResidenceReportableSegmentsMember</t>
        </is>
      </c>
      <c r="B7" s="10" t="n"/>
      <c r="C7" s="19" t="n">
        <v>0.025</v>
      </c>
      <c r="D7" s="20" t="n">
        <v>2763.986</v>
      </c>
      <c r="E7" s="20" t="n">
        <v>0.06</v>
      </c>
      <c r="F7" s="20" t="n">
        <v>-0.06</v>
      </c>
      <c r="G7" s="20" t="n">
        <v>1916.289</v>
      </c>
      <c r="H7" s="20" t="n">
        <v>6132.703</v>
      </c>
      <c r="I7" s="20" t="n">
        <v>40.547</v>
      </c>
      <c r="J7" s="20" t="n">
        <v>246.936</v>
      </c>
      <c r="K7" s="20" t="n">
        <v>0</v>
      </c>
      <c r="L7" s="20" t="n">
        <v>2210.13</v>
      </c>
      <c r="M7" s="20" t="n">
        <v>44.491</v>
      </c>
      <c r="N7" s="20" t="n">
        <v>138.008</v>
      </c>
      <c r="O7" s="19" t="n"/>
      <c r="P7" s="20" t="n"/>
      <c r="Q7" s="20" t="n"/>
      <c r="R7" s="20" t="n"/>
      <c r="S7" s="20" t="n"/>
      <c r="T7" s="20" t="n"/>
      <c r="U7" s="20" t="n"/>
      <c r="V7" s="20" t="n">
        <v>2806.845</v>
      </c>
      <c r="W7" s="20" t="n">
        <v>8048.992</v>
      </c>
      <c r="X7" s="20" t="n">
        <v>2497.613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RealEstateDevelopmentReportableSegmentsMember</t>
        </is>
      </c>
      <c r="B10" s="10" t="n"/>
      <c r="C10" s="19" t="n">
        <v>469.381</v>
      </c>
      <c r="D10" s="20" t="n">
        <v>11208.307</v>
      </c>
      <c r="E10" s="20" t="n">
        <v>2855.368</v>
      </c>
      <c r="F10" s="20" t="n">
        <v>3505.137</v>
      </c>
      <c r="G10" s="20" t="n">
        <v>6977.605</v>
      </c>
      <c r="H10" s="20" t="n">
        <v>1933.346</v>
      </c>
      <c r="I10" s="20" t="n">
        <v>557.9109999999999</v>
      </c>
      <c r="J10" s="20" t="n">
        <v>8258.445</v>
      </c>
      <c r="K10" s="20" t="n">
        <v>2383.041</v>
      </c>
      <c r="L10" s="20" t="n">
        <v>8265.263999999999</v>
      </c>
      <c r="M10" s="20" t="n">
        <v>398.961</v>
      </c>
      <c r="N10" s="20" t="n">
        <v>7411.254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15850.741</v>
      </c>
      <c r="W10" s="20" t="n">
        <v>15271.456</v>
      </c>
      <c r="X10" s="20" t="n">
        <v>19464.661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LeasingAndManagementReportableSegmentsMember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>
        <v>436.003</v>
      </c>
      <c r="J13" s="20" t="n"/>
      <c r="K13" s="20" t="n"/>
      <c r="L13" s="20" t="n"/>
      <c r="M13" s="20" t="n">
        <v>570.119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LeasingAndManagementAndOthersReportableSegmentsMember</t>
        </is>
      </c>
      <c r="B16" s="10" t="n"/>
      <c r="C16" s="19" t="n">
        <v>1029.946</v>
      </c>
      <c r="D16" s="20" t="n">
        <v>1106.123</v>
      </c>
      <c r="E16" s="20" t="n">
        <v>583.2089999999999</v>
      </c>
      <c r="F16" s="20" t="n">
        <v>699.46</v>
      </c>
      <c r="G16" s="20" t="n">
        <v>971.77</v>
      </c>
      <c r="H16" s="20" t="n">
        <v>1255.46</v>
      </c>
      <c r="I16" s="20" t="n">
        <v>1962.533</v>
      </c>
      <c r="J16" s="20" t="n">
        <v>-978.157</v>
      </c>
      <c r="K16" s="20" t="n">
        <v>4257.415</v>
      </c>
      <c r="L16" s="20" t="n">
        <v>1187.107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4350.673</v>
      </c>
      <c r="W16" s="20" t="n">
        <v>3509.899</v>
      </c>
      <c r="X16" s="20" t="n">
        <v>6428.898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ConstructionReportableSegmentMember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>
        <v>1526.53</v>
      </c>
      <c r="J19" s="20" t="n">
        <v>1324.567</v>
      </c>
      <c r="K19" s="20" t="n"/>
      <c r="L19" s="20" t="n"/>
      <c r="M19" s="20" t="n">
        <v>483.346</v>
      </c>
      <c r="N19" s="20" t="n">
        <v>657.543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MaterialReportableSegmentsMember</t>
        </is>
      </c>
      <c r="B22" s="10" t="n"/>
      <c r="C22" s="19" t="n">
        <v>165.885</v>
      </c>
      <c r="D22" s="20" t="n">
        <v>179.804</v>
      </c>
      <c r="E22" s="20" t="n">
        <v>151.82</v>
      </c>
      <c r="F22" s="20" t="n">
        <v>105.147</v>
      </c>
      <c r="G22" s="20" t="n">
        <v>157.393</v>
      </c>
      <c r="H22" s="20" t="n">
        <v>185.288</v>
      </c>
      <c r="I22" s="20" t="n">
        <v>160.288</v>
      </c>
      <c r="J22" s="20" t="n">
        <v>224.803</v>
      </c>
      <c r="K22" s="20" t="n">
        <v>145.757</v>
      </c>
      <c r="L22" s="20" t="n">
        <v>162.76</v>
      </c>
      <c r="M22" s="20" t="n">
        <v>188.559</v>
      </c>
      <c r="N22" s="20" t="n">
        <v>195.483</v>
      </c>
      <c r="O22" s="19" t="n"/>
      <c r="P22" s="20" t="n"/>
      <c r="Q22" s="20" t="n"/>
      <c r="R22" s="20" t="n"/>
      <c r="S22" s="20" t="n"/>
      <c r="T22" s="20" t="n"/>
      <c r="U22" s="20" t="n"/>
      <c r="V22" s="20" t="n">
        <v>853.774</v>
      </c>
      <c r="W22" s="20" t="n">
        <v>599.648</v>
      </c>
      <c r="X22" s="20" t="n">
        <v>693.6079999999999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기타</t>
        </is>
      </c>
      <c r="B25" s="10" t="n"/>
      <c r="C25" s="19" t="n">
        <v>11.428</v>
      </c>
      <c r="D25" s="20" t="n">
        <v>5.965</v>
      </c>
      <c r="E25" s="20" t="n">
        <v>22.826</v>
      </c>
      <c r="F25" s="20" t="n">
        <v>8.021000000000001</v>
      </c>
      <c r="G25" s="20" t="n">
        <v>10.845</v>
      </c>
      <c r="H25" s="20" t="n">
        <v>3.238</v>
      </c>
      <c r="I25" s="20" t="n">
        <v>16.969</v>
      </c>
      <c r="J25" s="20" t="n">
        <v>6.061</v>
      </c>
      <c r="K25" s="20" t="n">
        <v>10.849</v>
      </c>
      <c r="L25" s="20" t="n">
        <v>4.834</v>
      </c>
      <c r="M25" s="20" t="n">
        <v>15.158</v>
      </c>
      <c r="N25" s="20" t="n">
        <v>6.495</v>
      </c>
      <c r="O25" s="19" t="n"/>
      <c r="P25" s="20" t="n"/>
      <c r="Q25" s="20" t="n"/>
      <c r="R25" s="20" t="n"/>
      <c r="S25" s="20" t="n"/>
      <c r="T25" s="20" t="n"/>
      <c r="U25" s="20" t="n"/>
      <c r="V25" s="20" t="n">
        <v>51.582</v>
      </c>
      <c r="W25" s="20" t="n">
        <v>44.93</v>
      </c>
      <c r="X25" s="20" t="n">
        <v>38.713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1323.31</v>
      </c>
      <c r="D29" s="20" t="n">
        <v>11550.949</v>
      </c>
      <c r="E29" s="20" t="n">
        <v>3169.445</v>
      </c>
      <c r="F29" s="20" t="n">
        <v>3198.722</v>
      </c>
      <c r="G29" s="20" t="n">
        <v>6281.968</v>
      </c>
      <c r="H29" s="20" t="n">
        <v>6961.747</v>
      </c>
      <c r="I29" s="20" t="n">
        <v>2147.336</v>
      </c>
      <c r="J29" s="20" t="n">
        <v>8243.483</v>
      </c>
      <c r="K29" s="20" t="n">
        <v>2906.932</v>
      </c>
      <c r="L29" s="20" t="n">
        <v>9187.278</v>
      </c>
      <c r="M29" s="20" t="n">
        <v>1256.4</v>
      </c>
      <c r="N29" s="20" t="n">
        <v>6315.742</v>
      </c>
      <c r="O29" s="19" t="n">
        <v>14011.331</v>
      </c>
      <c r="P29" s="20" t="n">
        <v>16427.206</v>
      </c>
      <c r="Q29" s="20" t="n">
        <v>17182.61</v>
      </c>
      <c r="R29" s="20" t="n">
        <v>14841.074</v>
      </c>
      <c r="S29" s="20" t="n">
        <v>17173.666</v>
      </c>
      <c r="T29" s="20" t="n">
        <v>15669.436</v>
      </c>
      <c r="U29" s="20" t="n">
        <v>11514.367</v>
      </c>
      <c r="V29" s="20" t="n">
        <v>18564.061</v>
      </c>
      <c r="W29" s="20" t="n">
        <v>19611.882</v>
      </c>
      <c r="X29" s="20" t="n">
        <v>22485.029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434.951</v>
      </c>
      <c r="D35" s="20" t="n">
        <v>986.322</v>
      </c>
      <c r="E35" s="20" t="n">
        <v>730.397</v>
      </c>
      <c r="F35" s="20" t="n">
        <v>633.8049999999999</v>
      </c>
      <c r="G35" s="20" t="n">
        <v>851.24</v>
      </c>
      <c r="H35" s="20" t="n">
        <v>969.087</v>
      </c>
      <c r="I35" s="20" t="n">
        <v>567.812</v>
      </c>
      <c r="J35" s="20" t="n">
        <v>615.7910000000001</v>
      </c>
      <c r="K35" s="20" t="n">
        <v>616.812</v>
      </c>
      <c r="L35" s="20" t="n">
        <v>934.4299999999999</v>
      </c>
      <c r="M35" s="20" t="n">
        <v>803.223</v>
      </c>
      <c r="N35" s="20" t="n">
        <v>580.423</v>
      </c>
      <c r="O35" s="19" t="n">
        <v>2276.261</v>
      </c>
      <c r="P35" s="20" t="n">
        <v>2229.422</v>
      </c>
      <c r="Q35" s="20" t="n">
        <v>2248.156</v>
      </c>
      <c r="R35" s="20" t="n">
        <v>1931.573</v>
      </c>
      <c r="S35" s="20" t="n">
        <v>2249.689</v>
      </c>
      <c r="T35" s="20" t="n">
        <v>2024.971</v>
      </c>
      <c r="U35" s="20" t="n">
        <v>1774.744</v>
      </c>
      <c r="V35" s="20" t="n">
        <v>2305.368</v>
      </c>
      <c r="W35" s="20" t="n">
        <v>3184.529</v>
      </c>
      <c r="X35" s="20" t="n">
        <v>2734.845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-81.595</v>
      </c>
      <c r="D37" s="12" t="n">
        <v>2726.915</v>
      </c>
      <c r="E37" s="12" t="n">
        <v>-286.555</v>
      </c>
      <c r="F37" s="12" t="n">
        <v>485.174</v>
      </c>
      <c r="G37" s="12" t="n">
        <v>2900.694</v>
      </c>
      <c r="H37" s="12" t="n">
        <v>1579.202</v>
      </c>
      <c r="I37" s="12" t="n">
        <v>23.101</v>
      </c>
      <c r="J37" s="12" t="n">
        <v>1749.912</v>
      </c>
      <c r="K37" s="12" t="n">
        <v>422.22</v>
      </c>
      <c r="L37" s="12" t="n">
        <v>1708.386</v>
      </c>
      <c r="M37" s="12" t="n">
        <v>-358.986</v>
      </c>
      <c r="N37" s="12" t="n">
        <v>1995.013</v>
      </c>
      <c r="O37" s="11" t="n">
        <v>2924.85</v>
      </c>
      <c r="P37" s="12" t="n">
        <v>3166.8</v>
      </c>
      <c r="Q37" s="12" t="n">
        <v>2347.2</v>
      </c>
      <c r="R37" s="12" t="n">
        <v>728.006</v>
      </c>
      <c r="S37" s="12" t="n">
        <v>1658.197</v>
      </c>
      <c r="T37" s="12" t="n">
        <v>2373.537</v>
      </c>
      <c r="U37" s="12" t="n">
        <v>1414.983</v>
      </c>
      <c r="V37" s="12" t="n">
        <v>3044.188</v>
      </c>
      <c r="W37" s="12" t="n">
        <v>4678.515</v>
      </c>
      <c r="X37" s="12" t="n">
        <v>3903.619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0</v>
      </c>
      <c r="D53" s="20" t="n">
        <v>0</v>
      </c>
      <c r="E53" s="20" t="n">
        <v>0.6889999999999999</v>
      </c>
      <c r="F53" s="20" t="n">
        <v>0.554</v>
      </c>
      <c r="G53" s="20" t="n">
        <v>0.064</v>
      </c>
      <c r="H53" s="20" t="n">
        <v>0.324</v>
      </c>
      <c r="I53" s="20" t="n">
        <v>2.55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19" t="n">
        <v>23.87</v>
      </c>
      <c r="P53" s="20" t="n">
        <v>204.316</v>
      </c>
      <c r="Q53" s="20" t="n">
        <v>150.599</v>
      </c>
      <c r="R53" s="20" t="n">
        <v>471.754</v>
      </c>
      <c r="S53" s="20" t="n">
        <v>31.333</v>
      </c>
      <c r="T53" s="20" t="n">
        <v>7.592</v>
      </c>
      <c r="U53" s="20" t="n">
        <v>209.263</v>
      </c>
      <c r="V53" s="20" t="n">
        <v>0.541</v>
      </c>
      <c r="W53" s="20" t="n">
        <v>1.631</v>
      </c>
      <c r="X53" s="20" t="n">
        <v>2.55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>
        <v>0.615</v>
      </c>
      <c r="D55" s="20" t="n">
        <v>0.201</v>
      </c>
      <c r="E55" s="20" t="n">
        <v>5.714</v>
      </c>
      <c r="F55" s="20" t="n">
        <v>0</v>
      </c>
      <c r="G55" s="20" t="n">
        <v>1.097</v>
      </c>
      <c r="H55" s="20" t="n">
        <v>-6.693</v>
      </c>
      <c r="I55" s="20" t="n">
        <v>0</v>
      </c>
      <c r="J55" s="20" t="n">
        <v>0</v>
      </c>
      <c r="K55" s="20" t="n">
        <v>0.008999999999999999</v>
      </c>
      <c r="L55" s="20" t="n">
        <v>0.271</v>
      </c>
      <c r="M55" s="20" t="n"/>
      <c r="N55" s="20" t="n"/>
      <c r="O55" s="19" t="n">
        <v>115.653</v>
      </c>
      <c r="P55" s="20" t="n">
        <v>23.126</v>
      </c>
      <c r="Q55" s="20" t="n">
        <v>168.412</v>
      </c>
      <c r="R55" s="20" t="n">
        <v>17.448</v>
      </c>
      <c r="S55" s="20" t="n">
        <v>75.45999999999999</v>
      </c>
      <c r="T55" s="20" t="n">
        <v>5.201</v>
      </c>
      <c r="U55" s="20" t="n">
        <v>21.356</v>
      </c>
      <c r="V55" s="20" t="n">
        <v>3.845</v>
      </c>
      <c r="W55" s="20" t="n">
        <v>0.118</v>
      </c>
      <c r="X55" s="20" t="n">
        <v>0.28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77.411</v>
      </c>
      <c r="D57" s="20" t="n">
        <v>146.231</v>
      </c>
      <c r="E57" s="20" t="n">
        <v>7.247</v>
      </c>
      <c r="F57" s="20" t="n">
        <v>79.53</v>
      </c>
      <c r="G57" s="20" t="n">
        <v>5.548</v>
      </c>
      <c r="H57" s="20" t="n">
        <v>81.372</v>
      </c>
      <c r="I57" s="20" t="n">
        <v>105.199</v>
      </c>
      <c r="J57" s="20" t="n">
        <v>89.843</v>
      </c>
      <c r="K57" s="20" t="n">
        <v>18.066</v>
      </c>
      <c r="L57" s="20" t="n">
        <v>203.068</v>
      </c>
      <c r="M57" s="20" t="n">
        <v>4.177</v>
      </c>
      <c r="N57" s="20" t="n">
        <v>92.998</v>
      </c>
      <c r="O57" s="19" t="n">
        <v>370.509</v>
      </c>
      <c r="P57" s="20" t="n">
        <v>82.881</v>
      </c>
      <c r="Q57" s="20" t="n">
        <v>264.683</v>
      </c>
      <c r="R57" s="20" t="n">
        <v>546.61</v>
      </c>
      <c r="S57" s="20" t="n">
        <v>858.561</v>
      </c>
      <c r="T57" s="20" t="n">
        <v>307.192</v>
      </c>
      <c r="U57" s="20" t="n">
        <v>369.598</v>
      </c>
      <c r="V57" s="20" t="n">
        <v>366.103</v>
      </c>
      <c r="W57" s="20" t="n">
        <v>173.697</v>
      </c>
      <c r="X57" s="20" t="n">
        <v>416.176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23.63</v>
      </c>
      <c r="D59" s="20" t="n">
        <v>61.327</v>
      </c>
      <c r="E59" s="20" t="n">
        <v>10.919</v>
      </c>
      <c r="F59" s="20" t="n">
        <v>24.698</v>
      </c>
      <c r="G59" s="20" t="n">
        <v>27.404</v>
      </c>
      <c r="H59" s="20" t="n">
        <v>75.22499999999999</v>
      </c>
      <c r="I59" s="20" t="n">
        <v>30.456</v>
      </c>
      <c r="J59" s="20" t="n">
        <v>43.413</v>
      </c>
      <c r="K59" s="20" t="n">
        <v>29.991</v>
      </c>
      <c r="L59" s="20" t="n">
        <v>49.044</v>
      </c>
      <c r="M59" s="20" t="n">
        <v>43.602</v>
      </c>
      <c r="N59" s="20" t="n">
        <v>61.15</v>
      </c>
      <c r="O59" s="19" t="n">
        <v>94.489</v>
      </c>
      <c r="P59" s="20" t="n">
        <v>75.485</v>
      </c>
      <c r="Q59" s="20" t="n">
        <v>74.85599999999999</v>
      </c>
      <c r="R59" s="20" t="n">
        <v>76.983</v>
      </c>
      <c r="S59" s="20" t="n">
        <v>95.068</v>
      </c>
      <c r="T59" s="20" t="n">
        <v>61.385</v>
      </c>
      <c r="U59" s="20" t="n">
        <v>69.63500000000001</v>
      </c>
      <c r="V59" s="20" t="n">
        <v>121.094</v>
      </c>
      <c r="W59" s="20" t="n">
        <v>138.246</v>
      </c>
      <c r="X59" s="20" t="n">
        <v>152.904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-28.428</v>
      </c>
      <c r="D61" s="12" t="n">
        <v>2811.618</v>
      </c>
      <c r="E61" s="12" t="n">
        <v>-295.253</v>
      </c>
      <c r="F61" s="12" t="n">
        <v>540.562</v>
      </c>
      <c r="G61" s="12" t="n">
        <v>2877.804</v>
      </c>
      <c r="H61" s="12" t="n">
        <v>1592.366</v>
      </c>
      <c r="I61" s="12" t="n">
        <v>100.394</v>
      </c>
      <c r="J61" s="12" t="n">
        <v>1796.341</v>
      </c>
      <c r="K61" s="12" t="n">
        <v>410.287</v>
      </c>
      <c r="L61" s="12" t="n">
        <v>1862.139</v>
      </c>
      <c r="M61" s="12" t="n">
        <v>-398.412</v>
      </c>
      <c r="N61" s="12" t="n">
        <v>2026.839</v>
      </c>
      <c r="O61" s="11" t="n">
        <v>3109.086</v>
      </c>
      <c r="P61" s="12" t="n">
        <v>3355.386</v>
      </c>
      <c r="Q61" s="12" t="n">
        <v>2519.214</v>
      </c>
      <c r="R61" s="12" t="n">
        <v>1651.938</v>
      </c>
      <c r="S61" s="12" t="n">
        <v>2377.563</v>
      </c>
      <c r="T61" s="12" t="n">
        <v>2621.736</v>
      </c>
      <c r="U61" s="12" t="n">
        <v>1902.854</v>
      </c>
      <c r="V61" s="12" t="n">
        <v>3285.893</v>
      </c>
      <c r="W61" s="12" t="n">
        <v>4715.479</v>
      </c>
      <c r="X61" s="12" t="n">
        <v>4169.161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-0.401</v>
      </c>
      <c r="D63" s="20" t="n">
        <v>975.116</v>
      </c>
      <c r="E63" s="20" t="n">
        <v>-90.09399999999999</v>
      </c>
      <c r="F63" s="20" t="n">
        <v>195.625</v>
      </c>
      <c r="G63" s="20" t="n">
        <v>973.99</v>
      </c>
      <c r="H63" s="20" t="n">
        <v>585.715</v>
      </c>
      <c r="I63" s="20" t="n">
        <v>31.151</v>
      </c>
      <c r="J63" s="20" t="n">
        <v>606.873</v>
      </c>
      <c r="K63" s="20" t="n">
        <v>131.329</v>
      </c>
      <c r="L63" s="20" t="n">
        <v>691.2380000000001</v>
      </c>
      <c r="M63" s="20" t="n">
        <v>-128.808</v>
      </c>
      <c r="N63" s="20" t="n">
        <v>688.994</v>
      </c>
      <c r="O63" s="19" t="n">
        <v>1157.072</v>
      </c>
      <c r="P63" s="20" t="n">
        <v>1170.599</v>
      </c>
      <c r="Q63" s="20" t="n">
        <v>884.529</v>
      </c>
      <c r="R63" s="20" t="n">
        <v>596.168</v>
      </c>
      <c r="S63" s="20" t="n">
        <v>905.9</v>
      </c>
      <c r="T63" s="20" t="n">
        <v>920.538</v>
      </c>
      <c r="U63" s="20" t="n">
        <v>700.823</v>
      </c>
      <c r="V63" s="20" t="n">
        <v>1146.808</v>
      </c>
      <c r="W63" s="20" t="n">
        <v>1665.236</v>
      </c>
      <c r="X63" s="20" t="n">
        <v>1460.591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-28.028</v>
      </c>
      <c r="D65" s="12" t="n">
        <v>1836.503</v>
      </c>
      <c r="E65" s="12" t="n">
        <v>-205.158</v>
      </c>
      <c r="F65" s="12" t="n">
        <v>344.935</v>
      </c>
      <c r="G65" s="12" t="n">
        <v>1903.815</v>
      </c>
      <c r="H65" s="12" t="n">
        <v>1006.651</v>
      </c>
      <c r="I65" s="12" t="n">
        <v>69.24299999999999</v>
      </c>
      <c r="J65" s="12" t="n">
        <v>1189.468</v>
      </c>
      <c r="K65" s="12" t="n">
        <v>278.958</v>
      </c>
      <c r="L65" s="12" t="n">
        <v>1170.901</v>
      </c>
      <c r="M65" s="12" t="n">
        <v>-269.603</v>
      </c>
      <c r="N65" s="12" t="n">
        <v>1337.844</v>
      </c>
      <c r="O65" s="11" t="n">
        <v>1952.014</v>
      </c>
      <c r="P65" s="12" t="n">
        <v>2184.787</v>
      </c>
      <c r="Q65" s="12" t="n">
        <v>1634.684</v>
      </c>
      <c r="R65" s="12" t="n">
        <v>1055.77</v>
      </c>
      <c r="S65" s="12" t="n">
        <v>1471.663</v>
      </c>
      <c r="T65" s="12" t="n">
        <v>1701.198</v>
      </c>
      <c r="U65" s="12" t="n">
        <v>1202.031</v>
      </c>
      <c r="V65" s="12" t="n">
        <v>2139.085</v>
      </c>
      <c r="W65" s="12" t="n">
        <v>3050.243</v>
      </c>
      <c r="X65" s="12" t="n">
        <v>2708.57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-30.531</v>
      </c>
      <c r="D67" s="12" t="n">
        <v>1811.649</v>
      </c>
      <c r="E67" s="12" t="n">
        <v>-209.358</v>
      </c>
      <c r="F67" s="12" t="n">
        <v>341.279</v>
      </c>
      <c r="G67" s="12" t="n">
        <v>1896.929</v>
      </c>
      <c r="H67" s="12" t="n">
        <v>988.853</v>
      </c>
      <c r="I67" s="12" t="n">
        <v>66.58799999999999</v>
      </c>
      <c r="J67" s="12" t="n">
        <v>1175.608</v>
      </c>
      <c r="K67" s="12" t="n">
        <v>271.966</v>
      </c>
      <c r="L67" s="12" t="n">
        <v>1147.045</v>
      </c>
      <c r="M67" s="12" t="n">
        <v>-303.076</v>
      </c>
      <c r="N67" s="12" t="n">
        <v>1331.008</v>
      </c>
      <c r="O67" s="11" t="n">
        <v>1950.924</v>
      </c>
      <c r="P67" s="12" t="n">
        <v>2184.072</v>
      </c>
      <c r="Q67" s="12" t="n">
        <v>1636.066</v>
      </c>
      <c r="R67" s="12" t="n">
        <v>1039.514</v>
      </c>
      <c r="S67" s="12" t="n">
        <v>1460.486</v>
      </c>
      <c r="T67" s="12" t="n">
        <v>1643.561</v>
      </c>
      <c r="U67" s="12" t="n">
        <v>1166.181</v>
      </c>
      <c r="V67" s="12" t="n">
        <v>2102.235</v>
      </c>
      <c r="W67" s="12" t="n">
        <v>3017.703</v>
      </c>
      <c r="X67" s="12" t="n">
        <v>2661.207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()</t>
        </is>
      </c>
      <c r="B71" s="27" t="n"/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/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2024.3Q</t>
        </is>
      </c>
      <c r="D101" s="5" t="inlineStr">
        <is>
          <t>2024.4Q</t>
        </is>
      </c>
      <c r="E101" s="5" t="inlineStr">
        <is>
          <t>2025.1Q</t>
        </is>
      </c>
      <c r="F101" s="5" t="inlineStr">
        <is>
          <t>2025.2Q</t>
        </is>
      </c>
      <c r="G101" s="5" t="inlineStr">
        <is>
          <t>2025.3Q</t>
        </is>
      </c>
      <c r="H101" s="5" t="inlineStr">
        <is>
          <t>2025.4Q</t>
        </is>
      </c>
      <c r="I101" s="5" t="inlineStr">
        <is>
          <t>2026.1Q</t>
        </is>
      </c>
      <c r="J101" s="5" t="inlineStr">
        <is>
          <t>2026.2Q</t>
        </is>
      </c>
      <c r="K101" s="5" t="inlineStr">
        <is>
          <t>2026.3Q</t>
        </is>
      </c>
      <c r="L101" s="5" t="inlineStr">
        <is>
          <t>2026.4Q</t>
        </is>
      </c>
      <c r="M101" s="5" t="inlineStr">
        <is>
          <t>2027.1Q</t>
        </is>
      </c>
      <c r="N101" s="5" t="inlineStr">
        <is>
          <t>2027.2Q</t>
        </is>
      </c>
      <c r="O101" s="5" t="inlineStr">
        <is>
          <t>2017</t>
        </is>
      </c>
      <c r="P101" s="5" t="inlineStr">
        <is>
          <t>2018</t>
        </is>
      </c>
      <c r="Q101" s="5" t="inlineStr">
        <is>
          <t>2019</t>
        </is>
      </c>
      <c r="R101" s="5" t="inlineStr">
        <is>
          <t>2020</t>
        </is>
      </c>
      <c r="S101" s="5" t="inlineStr">
        <is>
          <t>2021</t>
        </is>
      </c>
      <c r="T101" s="5" t="inlineStr">
        <is>
          <t>2022</t>
        </is>
      </c>
      <c r="U101" s="5" t="inlineStr">
        <is>
          <t>2023</t>
        </is>
      </c>
      <c r="V101" s="5" t="inlineStr">
        <is>
          <t>2024</t>
        </is>
      </c>
      <c r="W101" s="5" t="inlineStr">
        <is>
          <t>2025</t>
        </is>
      </c>
      <c r="X101" s="5" t="inlineStr">
        <is>
          <t>2026</t>
        </is>
      </c>
      <c r="Y101" s="5" t="inlineStr">
        <is>
          <t>2027(MW)</t>
        </is>
      </c>
      <c r="Z101" s="5" t="inlineStr">
        <is>
          <t>2028(MW)</t>
        </is>
      </c>
      <c r="AA101" s="5" t="inlineStr">
        <is>
          <t>2029(MW)</t>
        </is>
      </c>
      <c r="AB101" s="5" t="inlineStr">
        <is>
          <t>2030(MW)</t>
        </is>
      </c>
      <c r="AC101" s="5" t="inlineStr">
        <is>
          <t>2031(MW)</t>
        </is>
      </c>
    </row>
    <row r="102">
      <c r="A102" s="9" t="inlineStr">
        <is>
          <t>매출액</t>
        </is>
      </c>
      <c r="C102" s="12" t="n">
        <v>1676.665</v>
      </c>
      <c r="D102" s="12" t="n">
        <v>15264.185</v>
      </c>
      <c r="E102" s="12" t="n">
        <v>3613.286</v>
      </c>
      <c r="F102" s="12" t="n">
        <v>4317.703</v>
      </c>
      <c r="G102" s="12" t="n">
        <v>10033.902</v>
      </c>
      <c r="H102" s="12" t="n">
        <v>9510.036</v>
      </c>
      <c r="I102" s="12" t="n">
        <v>2738.25</v>
      </c>
      <c r="J102" s="12" t="n">
        <v>10609.186</v>
      </c>
      <c r="K102" s="12" t="n">
        <v>3945.964</v>
      </c>
      <c r="L102" s="12" t="n">
        <v>11830.094</v>
      </c>
      <c r="M102" s="12" t="n">
        <v>1700.636</v>
      </c>
      <c r="N102" s="12" t="n">
        <v>8891.18</v>
      </c>
      <c r="T102" s="12" t="n">
        <v>7651.161</v>
      </c>
      <c r="U102" s="12" t="n">
        <v>5242.953</v>
      </c>
      <c r="V102" s="12" t="n">
        <v>15264.185</v>
      </c>
      <c r="W102" s="12" t="n">
        <v>9510.036</v>
      </c>
      <c r="X102" s="12" t="n">
        <v>11830.094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1323.31</v>
      </c>
      <c r="D104" s="20" t="n">
        <v>11550.949</v>
      </c>
      <c r="E104" s="20" t="n">
        <v>3169.445</v>
      </c>
      <c r="F104" s="20" t="n">
        <v>3198.722</v>
      </c>
      <c r="G104" s="20" t="n">
        <v>6281.968</v>
      </c>
      <c r="H104" s="20" t="n">
        <v>6961.747</v>
      </c>
      <c r="I104" s="20" t="n">
        <v>2147.336</v>
      </c>
      <c r="J104" s="20" t="n">
        <v>8243.483</v>
      </c>
      <c r="K104" s="20" t="n">
        <v>2906.932</v>
      </c>
      <c r="L104" s="20" t="n">
        <v>9187.278</v>
      </c>
      <c r="M104" s="20" t="n">
        <v>1256.4</v>
      </c>
      <c r="N104" s="20" t="n">
        <v>6315.742</v>
      </c>
      <c r="T104" s="20" t="n">
        <v>6345.153</v>
      </c>
      <c r="U104" s="20" t="n">
        <v>3926.552</v>
      </c>
      <c r="V104" s="20" t="n">
        <v>11550.949</v>
      </c>
      <c r="W104" s="20" t="n">
        <v>6961.747</v>
      </c>
      <c r="X104" s="20" t="n">
        <v>9187.278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353.356</v>
      </c>
      <c r="D106" s="12" t="n">
        <v>3713.236</v>
      </c>
      <c r="E106" s="12" t="n">
        <v>443.841</v>
      </c>
      <c r="F106" s="12" t="n">
        <v>1118.98</v>
      </c>
      <c r="G106" s="12" t="n">
        <v>3751.935</v>
      </c>
      <c r="H106" s="12" t="n">
        <v>2548.288</v>
      </c>
      <c r="I106" s="12" t="n">
        <v>590.914</v>
      </c>
      <c r="J106" s="12" t="n">
        <v>2365.702</v>
      </c>
      <c r="K106" s="12" t="n">
        <v>1039.032</v>
      </c>
      <c r="L106" s="12" t="n">
        <v>2642.817</v>
      </c>
      <c r="M106" s="12" t="n">
        <v>444.236</v>
      </c>
      <c r="N106" s="12" t="n">
        <v>2575.438</v>
      </c>
      <c r="T106" s="12" t="n">
        <v>1306.007</v>
      </c>
      <c r="U106" s="12" t="n">
        <v>1316.4</v>
      </c>
      <c r="V106" s="12" t="n">
        <v>3713.236</v>
      </c>
      <c r="W106" s="12" t="n">
        <v>2548.288</v>
      </c>
      <c r="X106" s="12" t="n">
        <v>2642.817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434.951</v>
      </c>
      <c r="D108" s="20" t="n">
        <v>986.322</v>
      </c>
      <c r="E108" s="20" t="n">
        <v>730.397</v>
      </c>
      <c r="F108" s="20" t="n">
        <v>633.8049999999999</v>
      </c>
      <c r="G108" s="20" t="n">
        <v>851.24</v>
      </c>
      <c r="H108" s="20" t="n">
        <v>969.087</v>
      </c>
      <c r="I108" s="20" t="n">
        <v>567.812</v>
      </c>
      <c r="J108" s="20" t="n">
        <v>615.7910000000001</v>
      </c>
      <c r="K108" s="20" t="n">
        <v>616.812</v>
      </c>
      <c r="L108" s="20" t="n">
        <v>934.4299999999999</v>
      </c>
      <c r="M108" s="20" t="n">
        <v>803.223</v>
      </c>
      <c r="N108" s="20" t="n">
        <v>580.423</v>
      </c>
      <c r="T108" s="20" t="n">
        <v>728.88</v>
      </c>
      <c r="U108" s="20" t="n">
        <v>542.812</v>
      </c>
      <c r="V108" s="20" t="n">
        <v>986.322</v>
      </c>
      <c r="W108" s="20" t="n">
        <v>969.087</v>
      </c>
      <c r="X108" s="20" t="n">
        <v>934.4299999999999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T109" s="15">
        <f>IF(OR(T108="",S108=""),"",IF(T108*S108&lt;=0,"",IFERROR(T108/S108-1,"")))</f>
        <v/>
      </c>
      <c r="U109" s="15">
        <f>IF(OR(U108="",T108=""),"",IF(U108*T108&lt;=0,"",IFERROR(U108/T108-1,"")))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</t>
        </is>
      </c>
      <c r="C110" s="12" t="n">
        <v>-81.595</v>
      </c>
      <c r="D110" s="12" t="n">
        <v>2726.915</v>
      </c>
      <c r="E110" s="12" t="n">
        <v>-286.555</v>
      </c>
      <c r="F110" s="12" t="n">
        <v>485.174</v>
      </c>
      <c r="G110" s="12" t="n">
        <v>2900.694</v>
      </c>
      <c r="H110" s="12" t="n">
        <v>1579.202</v>
      </c>
      <c r="I110" s="12" t="n">
        <v>23.101</v>
      </c>
      <c r="J110" s="12" t="n">
        <v>1749.912</v>
      </c>
      <c r="K110" s="12" t="n">
        <v>422.22</v>
      </c>
      <c r="L110" s="12" t="n">
        <v>1708.386</v>
      </c>
      <c r="M110" s="12" t="n">
        <v>-358.986</v>
      </c>
      <c r="N110" s="12" t="n">
        <v>1995.013</v>
      </c>
      <c r="T110" s="12" t="n">
        <v>577.126</v>
      </c>
      <c r="U110" s="12" t="n">
        <v>773.588</v>
      </c>
      <c r="V110" s="12" t="n">
        <v>2726.915</v>
      </c>
      <c r="W110" s="12" t="n">
        <v>1579.202</v>
      </c>
      <c r="X110" s="12" t="n">
        <v>1708.386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T111" s="15">
        <f>IF(OR(T110="",T102=""),"",IF(T102&lt;=0,"",IFERROR(T110/T102,"")))</f>
        <v/>
      </c>
      <c r="U111" s="15">
        <f>IF(OR(U110="",U102=""),"",IF(U102&lt;=0,"",IFERROR(U110/U102,"")))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T112" s="15">
        <f>IF(OR(T110="",S110=""),"",IF(S110&lt;=0,"",IFERROR(T110/S110-1,"")))</f>
        <v/>
      </c>
      <c r="U112" s="15">
        <f>IF(OR(U110="",T110=""),"",IF(T110&lt;=0,"",IFERROR(U110/T110-1,"")))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0.043</v>
      </c>
      <c r="D113" s="20" t="n">
        <v>0.043</v>
      </c>
      <c r="E113" s="20" t="n">
        <v>0.012</v>
      </c>
      <c r="F113" s="20" t="n">
        <v>0.105</v>
      </c>
      <c r="G113" s="20" t="n">
        <v>0.048</v>
      </c>
      <c r="H113" s="20" t="n">
        <v>0.71</v>
      </c>
      <c r="I113" s="20" t="n">
        <v>0.208</v>
      </c>
      <c r="J113" s="20" t="n">
        <v>1.495</v>
      </c>
      <c r="K113" s="20" t="n">
        <v>0.5669999999999999</v>
      </c>
      <c r="L113" s="20" t="n">
        <v>1.441</v>
      </c>
      <c r="M113" s="20" t="n">
        <v>0.134</v>
      </c>
      <c r="N113" s="20" t="n">
        <v>2.71</v>
      </c>
      <c r="T113" s="20" t="n">
        <v>0.032</v>
      </c>
      <c r="U113" s="20" t="n">
        <v>0.063</v>
      </c>
      <c r="V113" s="20" t="n">
        <v>0.043</v>
      </c>
      <c r="W113" s="20" t="n">
        <v>0.71</v>
      </c>
      <c r="X113" s="20" t="n">
        <v>1.441</v>
      </c>
    </row>
    <row r="114">
      <c r="A114" s="18" t="inlineStr">
        <is>
          <t>배당금수익</t>
        </is>
      </c>
      <c r="C114" s="20" t="n">
        <v>1.664</v>
      </c>
      <c r="D114" s="20" t="n">
        <v>73.411</v>
      </c>
      <c r="E114" s="20" t="n">
        <v>1.817</v>
      </c>
      <c r="F114" s="20" t="n">
        <v>73.917</v>
      </c>
      <c r="G114" s="20" t="n">
        <v>1.322</v>
      </c>
      <c r="H114" s="20" t="n">
        <v>71.40900000000001</v>
      </c>
      <c r="I114" s="20" t="n">
        <v>2.476</v>
      </c>
      <c r="J114" s="20" t="n">
        <v>84.569</v>
      </c>
      <c r="K114" s="20" t="n">
        <v>0.09</v>
      </c>
      <c r="L114" s="20" t="n">
        <v>79.087</v>
      </c>
      <c r="M114" s="20" t="n">
        <v>1.144</v>
      </c>
      <c r="N114" s="20" t="n">
        <v>84.569</v>
      </c>
      <c r="T114" s="20" t="n">
        <v>44.909</v>
      </c>
      <c r="U114" s="20" t="n">
        <v>58.953</v>
      </c>
      <c r="V114" s="20" t="n">
        <v>73.411</v>
      </c>
      <c r="W114" s="20" t="n">
        <v>71.40900000000001</v>
      </c>
      <c r="X114" s="20" t="n">
        <v>79.087</v>
      </c>
    </row>
    <row r="115">
      <c r="A115" s="18" t="inlineStr">
        <is>
          <t>매입할인</t>
        </is>
      </c>
      <c r="C115" s="20" t="n">
        <v>4.633</v>
      </c>
      <c r="D115" s="20" t="n">
        <v>3.553</v>
      </c>
      <c r="E115" s="20" t="n">
        <v>1.589</v>
      </c>
      <c r="F115" s="20" t="n">
        <v>1.213</v>
      </c>
      <c r="G115" s="20" t="n">
        <v>2.369</v>
      </c>
      <c r="H115" s="20" t="n">
        <v>2.174</v>
      </c>
      <c r="I115" s="20" t="n">
        <v>0.712</v>
      </c>
      <c r="J115" s="20" t="n">
        <v>0.439</v>
      </c>
      <c r="K115" s="20" t="n">
        <v>0.653</v>
      </c>
      <c r="L115" s="20" t="n">
        <v>0.654</v>
      </c>
      <c r="M115" s="20" t="n">
        <v>0.26</v>
      </c>
      <c r="N115" s="20" t="n">
        <v>0.277</v>
      </c>
      <c r="T115" s="20" t="n">
        <v>1.185</v>
      </c>
      <c r="U115" s="20" t="n">
        <v>6.645</v>
      </c>
      <c r="V115" s="20" t="n">
        <v>3.553</v>
      </c>
      <c r="W115" s="20" t="n">
        <v>2.174</v>
      </c>
      <c r="X115" s="20" t="n">
        <v>0.654</v>
      </c>
    </row>
    <row r="116">
      <c r="A116" s="18" t="inlineStr">
        <is>
          <t>투자유가증권 매각이익</t>
        </is>
      </c>
      <c r="C116" s="20" t="n">
        <v>66.78100000000001</v>
      </c>
      <c r="D116" s="20" t="n">
        <v>54.397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98.136</v>
      </c>
      <c r="J116" s="20" t="n">
        <v>0</v>
      </c>
      <c r="K116" s="20" t="n">
        <v>12.577</v>
      </c>
      <c r="L116" s="20" t="n">
        <v>117.969</v>
      </c>
      <c r="M116" s="20" t="n">
        <v>0</v>
      </c>
      <c r="N116" s="20" t="n">
        <v>0</v>
      </c>
      <c r="U116" s="20" t="n">
        <v>29.821</v>
      </c>
      <c r="V116" s="20" t="n">
        <v>54.397</v>
      </c>
      <c r="W116" s="20" t="n">
        <v>0</v>
      </c>
      <c r="X116" s="20" t="n">
        <v>117.969</v>
      </c>
    </row>
    <row r="117">
      <c r="A117" s="18" t="inlineStr">
        <is>
          <t>보조금 수입</t>
        </is>
      </c>
      <c r="C117" s="20" t="n">
        <v>0</v>
      </c>
      <c r="D117" s="20" t="n">
        <v>0.215</v>
      </c>
      <c r="T117" s="20" t="n">
        <v>7.637</v>
      </c>
      <c r="U117" s="20" t="n">
        <v>3.697</v>
      </c>
      <c r="V117" s="20" t="n">
        <v>0.215</v>
      </c>
    </row>
    <row r="118">
      <c r="A118" s="18" t="inlineStr">
        <is>
          <t>보조금 수입</t>
        </is>
      </c>
      <c r="C118" s="20" t="n">
        <v>1.954</v>
      </c>
      <c r="D118" s="20" t="n">
        <v>0</v>
      </c>
      <c r="H118" s="20" t="n">
        <v>0</v>
      </c>
      <c r="T118" s="20" t="n">
        <v>0</v>
      </c>
      <c r="U118" s="20" t="n">
        <v>1.292</v>
      </c>
      <c r="V118" s="20" t="n">
        <v>0</v>
      </c>
      <c r="W118" s="20" t="n">
        <v>0</v>
      </c>
    </row>
    <row r="119">
      <c r="A119" s="18" t="inlineStr">
        <is>
          <t>부동산 취득세 환급금</t>
        </is>
      </c>
      <c r="C119" s="20" t="n">
        <v>0</v>
      </c>
      <c r="D119" s="20" t="n">
        <v>0</v>
      </c>
      <c r="E119" s="20" t="n">
        <v>1.527</v>
      </c>
      <c r="F119" s="20" t="n">
        <v>2.154</v>
      </c>
      <c r="G119" s="20" t="n">
        <v>0</v>
      </c>
      <c r="H119" s="20" t="n">
        <v>3.905</v>
      </c>
      <c r="I119" s="20" t="n">
        <v>2.226</v>
      </c>
      <c r="J119" s="20" t="n">
        <v>-0.62</v>
      </c>
      <c r="K119" s="20" t="n">
        <v>0</v>
      </c>
      <c r="L119" s="20" t="n">
        <v>0</v>
      </c>
      <c r="M119" s="20" t="n">
        <v>0.428</v>
      </c>
      <c r="N119" s="20" t="n">
        <v>0</v>
      </c>
      <c r="V119" s="20" t="n">
        <v>0</v>
      </c>
      <c r="W119" s="20" t="n">
        <v>3.905</v>
      </c>
      <c r="X119" s="20" t="n">
        <v>0</v>
      </c>
    </row>
    <row r="120">
      <c r="A120" s="18" t="inlineStr">
        <is>
          <t>익명조합 투자이익</t>
        </is>
      </c>
      <c r="C120" s="20" t="n">
        <v>0</v>
      </c>
      <c r="D120" s="20" t="n">
        <v>0</v>
      </c>
      <c r="T120" s="20" t="n">
        <v>-4.683</v>
      </c>
      <c r="U120" s="20" t="n">
        <v>62.752</v>
      </c>
      <c r="V120" s="20" t="n">
        <v>0</v>
      </c>
    </row>
    <row r="121">
      <c r="A121" s="18" t="inlineStr">
        <is>
          <t>수수료 수익</t>
        </is>
      </c>
      <c r="C121" s="20" t="n">
        <v>0.531</v>
      </c>
      <c r="D121" s="20" t="n">
        <v>0.539</v>
      </c>
      <c r="E121" s="20" t="n">
        <v>0.492</v>
      </c>
      <c r="F121" s="20" t="n">
        <v>0.519</v>
      </c>
      <c r="G121" s="20" t="n">
        <v>0.636</v>
      </c>
      <c r="H121" s="20" t="n">
        <v>0.46</v>
      </c>
      <c r="I121" s="20" t="n">
        <v>0.481</v>
      </c>
      <c r="J121" s="20" t="n">
        <v>0.499</v>
      </c>
      <c r="K121" s="20" t="n">
        <v>0.46</v>
      </c>
      <c r="L121" s="20" t="n">
        <v>0.47</v>
      </c>
      <c r="M121" s="20" t="n">
        <v>0.458</v>
      </c>
      <c r="N121" s="20" t="n">
        <v>0.726</v>
      </c>
      <c r="T121" s="20" t="n">
        <v>0.547</v>
      </c>
      <c r="U121" s="20" t="n">
        <v>0.598</v>
      </c>
      <c r="V121" s="20" t="n">
        <v>0.539</v>
      </c>
      <c r="W121" s="20" t="n">
        <v>0.46</v>
      </c>
      <c r="X121" s="20" t="n">
        <v>0.47</v>
      </c>
    </row>
    <row r="122">
      <c r="A122" s="18" t="inlineStr">
        <is>
          <t>기타</t>
        </is>
      </c>
      <c r="C122" s="20" t="n">
        <v>1.805</v>
      </c>
      <c r="D122" s="20" t="n">
        <v>14.073</v>
      </c>
      <c r="E122" s="20" t="n">
        <v>1.807</v>
      </c>
      <c r="F122" s="20" t="n">
        <v>1.623</v>
      </c>
      <c r="G122" s="20" t="n">
        <v>1.173</v>
      </c>
      <c r="H122" s="20" t="n">
        <v>1.859</v>
      </c>
      <c r="I122" s="20" t="n">
        <v>0.957</v>
      </c>
      <c r="J122" s="20" t="n">
        <v>3.46</v>
      </c>
      <c r="K122" s="20" t="n">
        <v>3.72</v>
      </c>
      <c r="L122" s="20" t="n">
        <v>3.448</v>
      </c>
      <c r="M122" s="20" t="n">
        <v>1.751</v>
      </c>
      <c r="N122" s="20" t="n">
        <v>4.715</v>
      </c>
      <c r="T122" s="20" t="n">
        <v>16.78</v>
      </c>
      <c r="U122" s="20" t="n">
        <v>-9.724</v>
      </c>
      <c r="V122" s="20" t="n">
        <v>14.073</v>
      </c>
      <c r="W122" s="20" t="n">
        <v>1.859</v>
      </c>
      <c r="X122" s="20" t="n">
        <v>3.448</v>
      </c>
    </row>
    <row r="123">
      <c r="A123" s="18" t="inlineStr">
        <is>
          <t>영업외수익 합계</t>
        </is>
      </c>
      <c r="C123" s="20" t="n">
        <v>77.411</v>
      </c>
      <c r="D123" s="20" t="n">
        <v>146.231</v>
      </c>
      <c r="E123" s="20" t="n">
        <v>7.247</v>
      </c>
      <c r="F123" s="20" t="n">
        <v>79.53</v>
      </c>
      <c r="G123" s="20" t="n">
        <v>5.548</v>
      </c>
      <c r="H123" s="20" t="n">
        <v>81.372</v>
      </c>
      <c r="I123" s="20" t="n">
        <v>105.199</v>
      </c>
      <c r="J123" s="20" t="n">
        <v>89.843</v>
      </c>
      <c r="K123" s="20" t="n">
        <v>18.066</v>
      </c>
      <c r="L123" s="20" t="n">
        <v>203.068</v>
      </c>
      <c r="M123" s="20" t="n">
        <v>4.177</v>
      </c>
      <c r="N123" s="20" t="n">
        <v>92.998</v>
      </c>
      <c r="T123" s="20" t="n">
        <v>69.459</v>
      </c>
      <c r="U123" s="20" t="n">
        <v>157.582</v>
      </c>
      <c r="V123" s="20" t="n">
        <v>146.231</v>
      </c>
      <c r="W123" s="20" t="n">
        <v>81.372</v>
      </c>
      <c r="X123" s="20" t="n">
        <v>203.068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18" t="inlineStr">
        <is>
          <t>이자비용</t>
        </is>
      </c>
      <c r="C125" s="20" t="n">
        <v>21.727</v>
      </c>
      <c r="D125" s="20" t="n">
        <v>22.666</v>
      </c>
      <c r="E125" s="20" t="n">
        <v>10.724</v>
      </c>
      <c r="F125" s="20" t="n">
        <v>24.173</v>
      </c>
      <c r="G125" s="20" t="n">
        <v>26.984</v>
      </c>
      <c r="H125" s="20" t="n">
        <v>21.966</v>
      </c>
      <c r="I125" s="20" t="n">
        <v>27.281</v>
      </c>
      <c r="J125" s="20" t="n">
        <v>40.881</v>
      </c>
      <c r="K125" s="20" t="n">
        <v>31.653</v>
      </c>
      <c r="L125" s="20" t="n">
        <v>49.736</v>
      </c>
      <c r="M125" s="20" t="n">
        <v>43.408</v>
      </c>
      <c r="N125" s="20" t="n">
        <v>59.879</v>
      </c>
      <c r="T125" s="20" t="n">
        <v>12.397</v>
      </c>
      <c r="U125" s="20" t="n">
        <v>13.921</v>
      </c>
      <c r="V125" s="20" t="n">
        <v>22.666</v>
      </c>
      <c r="W125" s="20" t="n">
        <v>21.966</v>
      </c>
      <c r="X125" s="20" t="n">
        <v>49.736</v>
      </c>
    </row>
    <row r="126">
      <c r="A126" s="18" t="inlineStr">
        <is>
          <t>유휴자산 감가상각비</t>
        </is>
      </c>
      <c r="C126" s="20" t="n">
        <v>0.365</v>
      </c>
      <c r="D126" s="20" t="n">
        <v>0.364</v>
      </c>
      <c r="E126" s="20" t="n">
        <v>0.184</v>
      </c>
      <c r="F126" s="20" t="n">
        <v>0.185</v>
      </c>
      <c r="G126" s="20" t="n">
        <v>0.185</v>
      </c>
      <c r="H126" s="20" t="n">
        <v>0.185</v>
      </c>
      <c r="I126" s="20" t="n">
        <v>0.006</v>
      </c>
      <c r="J126" s="20" t="n">
        <v>0.006</v>
      </c>
      <c r="K126" s="20" t="n">
        <v>0.006</v>
      </c>
      <c r="L126" s="20" t="n">
        <v>0.007</v>
      </c>
      <c r="M126" s="20" t="n">
        <v>0.006</v>
      </c>
      <c r="N126" s="20" t="n">
        <v>0.006</v>
      </c>
      <c r="T126" s="20" t="n">
        <v>0</v>
      </c>
      <c r="U126" s="20" t="n">
        <v>9.137</v>
      </c>
      <c r="V126" s="20" t="n">
        <v>0.364</v>
      </c>
      <c r="W126" s="20" t="n">
        <v>0.185</v>
      </c>
      <c r="X126" s="20" t="n">
        <v>0.007</v>
      </c>
    </row>
    <row r="127">
      <c r="A127" s="18" t="inlineStr">
        <is>
          <t>익명조합 투자손실</t>
        </is>
      </c>
      <c r="E127" s="20" t="n">
        <v>0</v>
      </c>
    </row>
    <row r="128">
      <c r="A128" s="18" t="inlineStr">
        <is>
          <t>기타</t>
        </is>
      </c>
      <c r="C128" s="20" t="n">
        <v>1.539</v>
      </c>
      <c r="D128" s="20" t="n">
        <v>1.432</v>
      </c>
      <c r="E128" s="20" t="n">
        <v>0.01</v>
      </c>
      <c r="F128" s="20" t="n">
        <v>0.34</v>
      </c>
      <c r="G128" s="20" t="n">
        <v>0.234</v>
      </c>
      <c r="H128" s="20" t="n">
        <v>0.268</v>
      </c>
      <c r="I128" s="20" t="n">
        <v>3.168</v>
      </c>
      <c r="J128" s="20" t="n">
        <v>2.526</v>
      </c>
      <c r="K128" s="20" t="n">
        <v>-1.668</v>
      </c>
      <c r="L128" s="20" t="n">
        <v>-1.454</v>
      </c>
      <c r="M128" s="20" t="n">
        <v>0.187</v>
      </c>
      <c r="N128" s="20" t="n">
        <v>1.265</v>
      </c>
      <c r="T128" s="20" t="n">
        <v>2.024</v>
      </c>
      <c r="U128" s="20" t="n">
        <v>-0.862</v>
      </c>
      <c r="V128" s="20" t="n">
        <v>1.432</v>
      </c>
      <c r="W128" s="20" t="n">
        <v>0.268</v>
      </c>
      <c r="X128" s="20" t="n">
        <v>-1.454</v>
      </c>
    </row>
    <row r="129">
      <c r="A129" s="18" t="inlineStr">
        <is>
          <t>영업외비용 합계</t>
        </is>
      </c>
      <c r="C129" s="20" t="n">
        <v>23.63</v>
      </c>
      <c r="D129" s="20" t="n">
        <v>61.327</v>
      </c>
      <c r="E129" s="20" t="n">
        <v>10.919</v>
      </c>
      <c r="F129" s="20" t="n">
        <v>24.698</v>
      </c>
      <c r="G129" s="20" t="n">
        <v>27.404</v>
      </c>
      <c r="H129" s="20" t="n">
        <v>75.22499999999999</v>
      </c>
      <c r="I129" s="20" t="n">
        <v>30.456</v>
      </c>
      <c r="J129" s="20" t="n">
        <v>43.413</v>
      </c>
      <c r="K129" s="20" t="n">
        <v>29.991</v>
      </c>
      <c r="L129" s="20" t="n">
        <v>49.044</v>
      </c>
      <c r="M129" s="20" t="n">
        <v>43.602</v>
      </c>
      <c r="N129" s="20" t="n">
        <v>61.15</v>
      </c>
      <c r="T129" s="20" t="n">
        <v>13.166</v>
      </c>
      <c r="U129" s="20" t="n">
        <v>22.991</v>
      </c>
      <c r="V129" s="20" t="n">
        <v>61.327</v>
      </c>
      <c r="W129" s="20" t="n">
        <v>75.22499999999999</v>
      </c>
      <c r="X129" s="20" t="n">
        <v>49.044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경상이익</t>
        </is>
      </c>
      <c r="C131" s="12" t="n">
        <v>-27.813</v>
      </c>
      <c r="D131" s="12" t="n">
        <v>2811.819</v>
      </c>
      <c r="E131" s="12" t="n">
        <v>-290.228</v>
      </c>
      <c r="F131" s="12" t="n">
        <v>540.0069999999999</v>
      </c>
      <c r="G131" s="12" t="n">
        <v>2878.838</v>
      </c>
      <c r="H131" s="12" t="n">
        <v>1585.35</v>
      </c>
      <c r="I131" s="12" t="n">
        <v>97.84399999999999</v>
      </c>
      <c r="J131" s="12" t="n">
        <v>1796.341</v>
      </c>
      <c r="K131" s="12" t="n">
        <v>410.296</v>
      </c>
      <c r="L131" s="12" t="n">
        <v>1862.41</v>
      </c>
      <c r="M131" s="12" t="n">
        <v>-398.412</v>
      </c>
      <c r="N131" s="12" t="n">
        <v>2026.862</v>
      </c>
      <c r="T131" s="12" t="n">
        <v>633.42</v>
      </c>
      <c r="U131" s="12" t="n">
        <v>908.1799999999999</v>
      </c>
      <c r="V131" s="12" t="n">
        <v>2811.819</v>
      </c>
      <c r="W131" s="12" t="n">
        <v>1585.35</v>
      </c>
      <c r="X131" s="12" t="n">
        <v>1862.41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18" t="inlineStr">
        <is>
          <t>고정자산 매각이익</t>
        </is>
      </c>
      <c r="C133" s="20" t="n">
        <v>0</v>
      </c>
      <c r="D133" s="20" t="n">
        <v>0</v>
      </c>
      <c r="E133" s="20" t="n">
        <v>0.6889999999999999</v>
      </c>
      <c r="F133" s="20" t="n">
        <v>0.554</v>
      </c>
      <c r="G133" s="20" t="n">
        <v>0.064</v>
      </c>
      <c r="H133" s="20" t="n">
        <v>0.324</v>
      </c>
      <c r="I133" s="20" t="n">
        <v>2.55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</v>
      </c>
      <c r="T133" s="20" t="n">
        <v>0</v>
      </c>
      <c r="U133" s="20" t="n">
        <v>0</v>
      </c>
      <c r="V133" s="20" t="n">
        <v>0</v>
      </c>
      <c r="W133" s="20" t="n">
        <v>0.324</v>
      </c>
      <c r="X133" s="20" t="n">
        <v>0</v>
      </c>
    </row>
    <row r="134">
      <c r="A134" s="18" t="inlineStr">
        <is>
          <t>특별이익 합계</t>
        </is>
      </c>
      <c r="C134" s="20" t="n">
        <v>0</v>
      </c>
      <c r="D134" s="20" t="n">
        <v>0</v>
      </c>
      <c r="E134" s="20" t="n">
        <v>0.6889999999999999</v>
      </c>
      <c r="F134" s="20" t="n">
        <v>0.554</v>
      </c>
      <c r="G134" s="20" t="n">
        <v>0.064</v>
      </c>
      <c r="H134" s="20" t="n">
        <v>0.324</v>
      </c>
      <c r="I134" s="20" t="n">
        <v>2.55</v>
      </c>
      <c r="J134" s="20" t="n">
        <v>0</v>
      </c>
      <c r="K134" s="20" t="n">
        <v>0</v>
      </c>
      <c r="L134" s="20" t="n">
        <v>0</v>
      </c>
      <c r="M134" s="20" t="n">
        <v>0</v>
      </c>
      <c r="N134" s="20" t="n">
        <v>0</v>
      </c>
      <c r="T134" s="20" t="n">
        <v>0</v>
      </c>
      <c r="U134" s="20" t="n">
        <v>203.477</v>
      </c>
      <c r="V134" s="20" t="n">
        <v>0</v>
      </c>
      <c r="W134" s="20" t="n">
        <v>0.324</v>
      </c>
      <c r="X134" s="20" t="n">
        <v>0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T135" s="15">
        <f>IF(OR(T134="",S134=""),"",IF(T134*S134&lt;=0,"",IFERROR(T134/S134-1,"")))</f>
        <v/>
      </c>
      <c r="U135" s="15">
        <f>IF(OR(U134="",T134=""),"",IF(U134*T134&lt;=0,"",IFERROR(U134/T134-1,"")))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18" t="inlineStr">
        <is>
          <t>고정자산 제각손실</t>
        </is>
      </c>
      <c r="C136" s="20" t="n">
        <v>0.615</v>
      </c>
      <c r="D136" s="20" t="n">
        <v>0.201</v>
      </c>
      <c r="E136" s="20" t="n">
        <v>5.714</v>
      </c>
      <c r="F136" s="20" t="n">
        <v>0</v>
      </c>
      <c r="G136" s="20" t="n">
        <v>1.097</v>
      </c>
      <c r="H136" s="20" t="n">
        <v>-6.693</v>
      </c>
      <c r="I136" s="20" t="n">
        <v>0</v>
      </c>
      <c r="J136" s="20" t="n">
        <v>0</v>
      </c>
      <c r="K136" s="20" t="n">
        <v>0.008999999999999999</v>
      </c>
      <c r="L136" s="20" t="n">
        <v>0.271</v>
      </c>
      <c r="T136" s="20" t="n">
        <v>0</v>
      </c>
      <c r="U136" s="20" t="n">
        <v>1.292</v>
      </c>
      <c r="V136" s="20" t="n">
        <v>0.201</v>
      </c>
      <c r="W136" s="20" t="n">
        <v>-6.693</v>
      </c>
      <c r="X136" s="20" t="n">
        <v>0.271</v>
      </c>
    </row>
    <row r="137">
      <c r="A137" s="18" t="inlineStr">
        <is>
          <t>특별손실 합계</t>
        </is>
      </c>
      <c r="C137" s="20" t="n">
        <v>0.615</v>
      </c>
      <c r="D137" s="20" t="n">
        <v>0.201</v>
      </c>
      <c r="E137" s="20" t="n">
        <v>5.714</v>
      </c>
      <c r="F137" s="20" t="n">
        <v>0</v>
      </c>
      <c r="G137" s="20" t="n">
        <v>1.097</v>
      </c>
      <c r="H137" s="20" t="n">
        <v>-6.693</v>
      </c>
      <c r="I137" s="20" t="n">
        <v>0</v>
      </c>
      <c r="J137" s="20" t="n">
        <v>0</v>
      </c>
      <c r="K137" s="20" t="n">
        <v>0.008999999999999999</v>
      </c>
      <c r="L137" s="20" t="n">
        <v>0.271</v>
      </c>
      <c r="T137" s="20" t="n">
        <v>0</v>
      </c>
      <c r="U137" s="20" t="n">
        <v>18.238</v>
      </c>
      <c r="V137" s="20" t="n">
        <v>0.201</v>
      </c>
      <c r="W137" s="20" t="n">
        <v>-6.693</v>
      </c>
      <c r="X137" s="20" t="n">
        <v>0.271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법인세차감전 순이익</t>
        </is>
      </c>
      <c r="C139" s="12" t="n">
        <v>-28.428</v>
      </c>
      <c r="D139" s="12" t="n">
        <v>2811.618</v>
      </c>
      <c r="E139" s="12" t="n">
        <v>-295.253</v>
      </c>
      <c r="F139" s="12" t="n">
        <v>540.562</v>
      </c>
      <c r="G139" s="12" t="n">
        <v>2877.804</v>
      </c>
      <c r="H139" s="12" t="n">
        <v>1592.366</v>
      </c>
      <c r="I139" s="12" t="n">
        <v>100.394</v>
      </c>
      <c r="J139" s="12" t="n">
        <v>1796.341</v>
      </c>
      <c r="K139" s="12" t="n">
        <v>410.287</v>
      </c>
      <c r="L139" s="12" t="n">
        <v>1862.139</v>
      </c>
      <c r="M139" s="12" t="n">
        <v>-398.412</v>
      </c>
      <c r="N139" s="12" t="n">
        <v>2026.839</v>
      </c>
      <c r="T139" s="12" t="n">
        <v>633.42</v>
      </c>
      <c r="U139" s="12" t="n">
        <v>1093.42</v>
      </c>
      <c r="V139" s="12" t="n">
        <v>2811.618</v>
      </c>
      <c r="W139" s="12" t="n">
        <v>1592.366</v>
      </c>
      <c r="X139" s="12" t="n">
        <v>1862.139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법인세·주민세·사업세</t>
        </is>
      </c>
      <c r="C141" s="20" t="n">
        <v>-24.919</v>
      </c>
      <c r="D141" s="20" t="n">
        <v>1311.811</v>
      </c>
      <c r="E141" s="20" t="n">
        <v>8.327</v>
      </c>
      <c r="F141" s="20" t="n">
        <v>18.996</v>
      </c>
      <c r="G141" s="20" t="n">
        <v>873.715</v>
      </c>
      <c r="H141" s="20" t="n">
        <v>668.481</v>
      </c>
      <c r="I141" s="20" t="n">
        <v>33.776</v>
      </c>
      <c r="J141" s="20" t="n">
        <v>652.559</v>
      </c>
      <c r="K141" s="20" t="n">
        <v>192.703</v>
      </c>
      <c r="L141" s="20" t="n">
        <v>748.771</v>
      </c>
      <c r="M141" s="20" t="n">
        <v>37.404</v>
      </c>
      <c r="N141" s="20" t="n">
        <v>527.297</v>
      </c>
      <c r="T141" s="20" t="n">
        <v>357.522</v>
      </c>
      <c r="U141" s="20" t="n">
        <v>478.746</v>
      </c>
      <c r="V141" s="20" t="n">
        <v>1311.811</v>
      </c>
      <c r="W141" s="20" t="n">
        <v>668.481</v>
      </c>
      <c r="X141" s="20" t="n">
        <v>748.771</v>
      </c>
    </row>
    <row r="142">
      <c r="A142" s="18" t="inlineStr">
        <is>
          <t>법인세 조정액</t>
        </is>
      </c>
      <c r="C142" s="20" t="n">
        <v>24.517</v>
      </c>
      <c r="D142" s="20" t="n">
        <v>-336.693</v>
      </c>
      <c r="E142" s="20" t="n">
        <v>-98.422</v>
      </c>
      <c r="F142" s="20" t="n">
        <v>176.629</v>
      </c>
      <c r="G142" s="20" t="n">
        <v>100.276</v>
      </c>
      <c r="H142" s="20" t="n">
        <v>-82.767</v>
      </c>
      <c r="I142" s="20" t="n">
        <v>-2.625</v>
      </c>
      <c r="J142" s="20" t="n">
        <v>-45.685</v>
      </c>
      <c r="K142" s="20" t="n">
        <v>-61.375</v>
      </c>
      <c r="L142" s="20" t="n">
        <v>-57.533</v>
      </c>
      <c r="M142" s="20" t="n">
        <v>-166.212</v>
      </c>
      <c r="N142" s="20" t="n">
        <v>161.698</v>
      </c>
      <c r="T142" s="20" t="n">
        <v>-77.05200000000001</v>
      </c>
      <c r="U142" s="20" t="n">
        <v>-65.08499999999999</v>
      </c>
      <c r="V142" s="20" t="n">
        <v>-336.693</v>
      </c>
      <c r="W142" s="20" t="n">
        <v>-82.767</v>
      </c>
      <c r="X142" s="20" t="n">
        <v>-57.533</v>
      </c>
    </row>
    <row r="143">
      <c r="A143" s="18" t="inlineStr">
        <is>
          <t>법인세 등 합계</t>
        </is>
      </c>
      <c r="C143" s="20" t="n">
        <v>-0.401</v>
      </c>
      <c r="D143" s="20" t="n">
        <v>975.116</v>
      </c>
      <c r="E143" s="20" t="n">
        <v>-90.09399999999999</v>
      </c>
      <c r="F143" s="20" t="n">
        <v>195.625</v>
      </c>
      <c r="G143" s="20" t="n">
        <v>973.99</v>
      </c>
      <c r="H143" s="20" t="n">
        <v>585.715</v>
      </c>
      <c r="I143" s="20" t="n">
        <v>31.151</v>
      </c>
      <c r="J143" s="20" t="n">
        <v>606.873</v>
      </c>
      <c r="K143" s="20" t="n">
        <v>131.329</v>
      </c>
      <c r="L143" s="20" t="n">
        <v>691.2380000000001</v>
      </c>
      <c r="M143" s="20" t="n">
        <v>-128.808</v>
      </c>
      <c r="N143" s="20" t="n">
        <v>688.994</v>
      </c>
      <c r="T143" s="20" t="n">
        <v>280.469</v>
      </c>
      <c r="U143" s="20" t="n">
        <v>413.661</v>
      </c>
      <c r="V143" s="20" t="n">
        <v>975.116</v>
      </c>
      <c r="W143" s="20" t="n">
        <v>585.715</v>
      </c>
      <c r="X143" s="20" t="n">
        <v>691.2380000000001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IF(OR(G143="",C143=""),"",IF(G143*C143&lt;=0,"",IFERROR(G143/C143-1,"")))</f>
        <v/>
      </c>
      <c r="H144" s="15">
        <f>IF(OR(H143="",D143=""),"",IF(H143*D143&lt;=0,"",IFERROR(H143/D143-1,"")))</f>
        <v/>
      </c>
      <c r="I144" s="15">
        <f>IF(OR(I143="",E143=""),"",IF(I143*E143&lt;=0,"",IFERROR(I143/E143-1,"")))</f>
        <v/>
      </c>
      <c r="J144" s="15">
        <f>IF(OR(J143="",F143=""),"",IF(J143*F143&lt;=0,"",IFERROR(J143/F143-1,"")))</f>
        <v/>
      </c>
      <c r="K144" s="15">
        <f>IF(OR(K143="",G143=""),"",IF(K143*G143&lt;=0,"",IFERROR(K143/G143-1,"")))</f>
        <v/>
      </c>
      <c r="L144" s="15">
        <f>IF(OR(L143="",H143=""),"",IF(L143*H143&lt;=0,"",IFERROR(L143/H143-1,"")))</f>
        <v/>
      </c>
      <c r="M144" s="15">
        <f>IF(OR(M143="",I143=""),"",IF(M143*I143&lt;=0,"",IFERROR(M143/I143-1,"")))</f>
        <v/>
      </c>
      <c r="N144" s="15">
        <f>IF(OR(N143="",J143=""),"",IF(N143*J143&lt;=0,"",IFERROR(N143/J143-1,"")))</f>
        <v/>
      </c>
      <c r="T144" s="15">
        <f>IF(OR(T143="",S143=""),"",IF(T143*S143&lt;=0,"",IFERROR(T143/S143-1,"")))</f>
        <v/>
      </c>
      <c r="U144" s="15">
        <f>IF(OR(U143="",T143=""),"",IF(U143*T143&lt;=0,"",IFERROR(U143/T143-1,"")))</f>
        <v/>
      </c>
      <c r="V144" s="15">
        <f>IF(OR(V143="",U143=""),"",IF(V143*U143&lt;=0,"",IFERROR(V143/U143-1,"")))</f>
        <v/>
      </c>
      <c r="W144" s="15">
        <f>IF(OR(W143="",V143=""),"",IF(W143*V143&lt;=0,"",IFERROR(W143/V143-1,"")))</f>
        <v/>
      </c>
      <c r="X144" s="15">
        <f>IF(OR(X143="",W143=""),"",IF(X143*W143&lt;=0,"",IFERROR(X143/W143-1,"")))</f>
        <v/>
      </c>
    </row>
    <row r="145">
      <c r="A145" s="9" t="inlineStr">
        <is>
          <t>순이익</t>
        </is>
      </c>
      <c r="C145" s="12" t="n">
        <v>-28.028</v>
      </c>
      <c r="D145" s="12" t="n">
        <v>1836.503</v>
      </c>
      <c r="E145" s="12" t="n">
        <v>-205.158</v>
      </c>
      <c r="F145" s="12" t="n">
        <v>344.935</v>
      </c>
      <c r="G145" s="12" t="n">
        <v>1903.815</v>
      </c>
      <c r="H145" s="12" t="n">
        <v>1006.651</v>
      </c>
      <c r="I145" s="12" t="n">
        <v>69.24299999999999</v>
      </c>
      <c r="J145" s="12" t="n">
        <v>1189.468</v>
      </c>
      <c r="K145" s="12" t="n">
        <v>278.958</v>
      </c>
      <c r="L145" s="12" t="n">
        <v>1170.901</v>
      </c>
      <c r="M145" s="12" t="n">
        <v>-269.603</v>
      </c>
      <c r="N145" s="12" t="n">
        <v>1337.844</v>
      </c>
      <c r="T145" s="12" t="n">
        <v>352.952</v>
      </c>
      <c r="U145" s="12" t="n">
        <v>679.759</v>
      </c>
      <c r="V145" s="12" t="n">
        <v>1836.503</v>
      </c>
      <c r="W145" s="12" t="n">
        <v>1006.651</v>
      </c>
      <c r="X145" s="12" t="n">
        <v>1170.901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9" t="inlineStr">
        <is>
          <t>비지배주주 순이익</t>
        </is>
      </c>
      <c r="C147" s="12" t="n">
        <v>2.503</v>
      </c>
      <c r="D147" s="12" t="n">
        <v>24.853</v>
      </c>
      <c r="E147" s="12" t="n">
        <v>4.199</v>
      </c>
      <c r="F147" s="12" t="n">
        <v>3.657</v>
      </c>
      <c r="G147" s="12" t="n">
        <v>6.885</v>
      </c>
      <c r="H147" s="12" t="n">
        <v>17.799</v>
      </c>
      <c r="I147" s="12" t="n">
        <v>2.654</v>
      </c>
      <c r="J147" s="12" t="n">
        <v>13.86</v>
      </c>
      <c r="K147" s="12" t="n">
        <v>6.992</v>
      </c>
      <c r="L147" s="12" t="n">
        <v>23.857</v>
      </c>
      <c r="M147" s="12" t="n">
        <v>33.473</v>
      </c>
      <c r="N147" s="12" t="n">
        <v>6.835</v>
      </c>
      <c r="T147" s="12" t="n">
        <v>6.107</v>
      </c>
      <c r="U147" s="12" t="n">
        <v>28.437</v>
      </c>
      <c r="V147" s="12" t="n">
        <v>24.853</v>
      </c>
      <c r="W147" s="12" t="n">
        <v>17.799</v>
      </c>
      <c r="X147" s="12" t="n">
        <v>23.857</v>
      </c>
    </row>
    <row r="148">
      <c r="A148" s="9" t="inlineStr">
        <is>
          <t>지배주주 순이익</t>
        </is>
      </c>
      <c r="C148" s="12" t="n">
        <v>-30.531</v>
      </c>
      <c r="D148" s="12" t="n">
        <v>1811.649</v>
      </c>
      <c r="E148" s="12" t="n">
        <v>-209.358</v>
      </c>
      <c r="F148" s="12" t="n">
        <v>341.279</v>
      </c>
      <c r="G148" s="12" t="n">
        <v>1896.929</v>
      </c>
      <c r="H148" s="12" t="n">
        <v>988.853</v>
      </c>
      <c r="I148" s="12" t="n">
        <v>66.58799999999999</v>
      </c>
      <c r="J148" s="12" t="n">
        <v>1175.608</v>
      </c>
      <c r="K148" s="12" t="n">
        <v>271.966</v>
      </c>
      <c r="L148" s="12" t="n">
        <v>1147.045</v>
      </c>
      <c r="M148" s="12" t="n">
        <v>-303.076</v>
      </c>
      <c r="N148" s="12" t="n">
        <v>1331.008</v>
      </c>
      <c r="T148" s="12" t="n">
        <v>346.845</v>
      </c>
      <c r="U148" s="12" t="n">
        <v>651.323</v>
      </c>
      <c r="V148" s="12" t="n">
        <v>1811.649</v>
      </c>
      <c r="W148" s="12" t="n">
        <v>988.853</v>
      </c>
      <c r="X148" s="12" t="n">
        <v>1147.045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1">
      <c r="A151" s="16" t="inlineStr">
        <is>
          <t>포괄손익 · 전 항목</t>
        </is>
      </c>
      <c r="B151" s="42" t="inlineStr">
        <is>
          <t>분기 = 3개월 단독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2024.3Q</t>
        </is>
      </c>
      <c r="D152" s="5" t="inlineStr">
        <is>
          <t>2024.4Q</t>
        </is>
      </c>
      <c r="E152" s="5" t="inlineStr">
        <is>
          <t>2025.1Q</t>
        </is>
      </c>
      <c r="F152" s="5" t="inlineStr">
        <is>
          <t>2025.2Q</t>
        </is>
      </c>
      <c r="G152" s="5" t="inlineStr">
        <is>
          <t>2025.3Q</t>
        </is>
      </c>
      <c r="H152" s="5" t="inlineStr">
        <is>
          <t>2025.4Q</t>
        </is>
      </c>
      <c r="I152" s="5" t="inlineStr">
        <is>
          <t>2026.1Q</t>
        </is>
      </c>
      <c r="J152" s="5" t="inlineStr">
        <is>
          <t>2026.2Q</t>
        </is>
      </c>
      <c r="K152" s="5" t="inlineStr">
        <is>
          <t>2026.3Q</t>
        </is>
      </c>
      <c r="L152" s="5" t="inlineStr">
        <is>
          <t>2026.4Q</t>
        </is>
      </c>
      <c r="M152" s="5" t="inlineStr">
        <is>
          <t>2027.1Q</t>
        </is>
      </c>
      <c r="N152" s="5" t="inlineStr">
        <is>
          <t>2027.2Q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9" t="inlineStr">
        <is>
          <t>순이익</t>
        </is>
      </c>
      <c r="C153" s="12" t="n">
        <v>-28.028</v>
      </c>
      <c r="D153" s="12" t="n">
        <v>1836.503</v>
      </c>
      <c r="E153" s="12" t="n">
        <v>-205.158</v>
      </c>
      <c r="F153" s="12" t="n">
        <v>344.935</v>
      </c>
      <c r="G153" s="12" t="n">
        <v>1903.815</v>
      </c>
      <c r="H153" s="12" t="n">
        <v>1006.651</v>
      </c>
      <c r="I153" s="12" t="n">
        <v>69.24299999999999</v>
      </c>
      <c r="J153" s="12" t="n">
        <v>1189.468</v>
      </c>
      <c r="K153" s="12" t="n">
        <v>278.958</v>
      </c>
      <c r="L153" s="12" t="n">
        <v>1170.901</v>
      </c>
      <c r="M153" s="12" t="n">
        <v>-269.603</v>
      </c>
      <c r="N153" s="12" t="n">
        <v>1337.844</v>
      </c>
      <c r="T153" s="12" t="n">
        <v>352.952</v>
      </c>
      <c r="U153" s="12" t="n">
        <v>679.759</v>
      </c>
      <c r="V153" s="12" t="n">
        <v>1836.503</v>
      </c>
      <c r="W153" s="12" t="n">
        <v>1006.651</v>
      </c>
      <c r="X153" s="12" t="n">
        <v>1170.901</v>
      </c>
    </row>
    <row r="154">
      <c r="A154" s="18" t="inlineStr">
        <is>
          <t>기타유가증권 평가차액</t>
        </is>
      </c>
      <c r="C154" s="20" t="n">
        <v>-3.481</v>
      </c>
      <c r="D154" s="20" t="n">
        <v>58.837</v>
      </c>
      <c r="E154" s="20" t="n">
        <v>-115.326</v>
      </c>
      <c r="F154" s="20" t="n">
        <v>-148.15</v>
      </c>
      <c r="G154" s="20" t="n">
        <v>-74.982</v>
      </c>
      <c r="H154" s="20" t="n">
        <v>12.802</v>
      </c>
      <c r="I154" s="20" t="n">
        <v>62.345</v>
      </c>
      <c r="J154" s="20" t="n">
        <v>41.463</v>
      </c>
      <c r="K154" s="20" t="n">
        <v>21.81</v>
      </c>
      <c r="L154" s="20" t="n">
        <v>-243.264</v>
      </c>
      <c r="M154" s="20" t="n">
        <v>-50.243</v>
      </c>
      <c r="N154" s="20" t="n">
        <v>-218.937</v>
      </c>
      <c r="T154" s="20" t="n">
        <v>40.163</v>
      </c>
      <c r="U154" s="20" t="n">
        <v>-38.091</v>
      </c>
      <c r="V154" s="20" t="n">
        <v>58.837</v>
      </c>
      <c r="W154" s="20" t="n">
        <v>12.802</v>
      </c>
      <c r="X154" s="20" t="n">
        <v>-243.264</v>
      </c>
    </row>
    <row r="155">
      <c r="A155" s="18" t="inlineStr">
        <is>
          <t>기타포괄손익 합계</t>
        </is>
      </c>
      <c r="C155" s="20" t="n">
        <v>-3.481</v>
      </c>
      <c r="D155" s="20" t="n">
        <v>58.837</v>
      </c>
      <c r="E155" s="20" t="n">
        <v>-115.326</v>
      </c>
      <c r="F155" s="20" t="n">
        <v>-148.15</v>
      </c>
      <c r="G155" s="20" t="n">
        <v>-74.982</v>
      </c>
      <c r="H155" s="20" t="n">
        <v>12.802</v>
      </c>
      <c r="I155" s="20" t="n">
        <v>62.345</v>
      </c>
      <c r="J155" s="20" t="n">
        <v>41.463</v>
      </c>
      <c r="K155" s="20" t="n">
        <v>21.81</v>
      </c>
      <c r="L155" s="20" t="n">
        <v>-243.264</v>
      </c>
      <c r="M155" s="20" t="n">
        <v>-50.243</v>
      </c>
      <c r="N155" s="20" t="n">
        <v>-218.937</v>
      </c>
      <c r="T155" s="20" t="n">
        <v>40.163</v>
      </c>
      <c r="U155" s="20" t="n">
        <v>-38.091</v>
      </c>
      <c r="V155" s="20" t="n">
        <v>58.837</v>
      </c>
      <c r="W155" s="20" t="n">
        <v>12.802</v>
      </c>
      <c r="X155" s="20" t="n">
        <v>-243.264</v>
      </c>
    </row>
    <row r="156">
      <c r="A156" s="9" t="inlineStr">
        <is>
          <t>포괄이익</t>
        </is>
      </c>
      <c r="C156" s="12" t="n">
        <v>-31.509</v>
      </c>
      <c r="D156" s="12" t="n">
        <v>1895.339</v>
      </c>
      <c r="E156" s="12" t="n">
        <v>-320.485</v>
      </c>
      <c r="F156" s="12" t="n">
        <v>196.786</v>
      </c>
      <c r="G156" s="12" t="n">
        <v>1828.832</v>
      </c>
      <c r="H156" s="12" t="n">
        <v>1019.454</v>
      </c>
      <c r="I156" s="12" t="n">
        <v>131.588</v>
      </c>
      <c r="J156" s="12" t="n">
        <v>1230.931</v>
      </c>
      <c r="K156" s="12" t="n">
        <v>300.769</v>
      </c>
      <c r="L156" s="12" t="n">
        <v>927.635</v>
      </c>
      <c r="M156" s="12" t="n">
        <v>-319.847</v>
      </c>
      <c r="N156" s="12" t="n">
        <v>1118.908</v>
      </c>
      <c r="T156" s="12" t="n">
        <v>393.114</v>
      </c>
      <c r="U156" s="12" t="n">
        <v>641.668</v>
      </c>
      <c r="V156" s="12" t="n">
        <v>1895.339</v>
      </c>
      <c r="W156" s="12" t="n">
        <v>1019.454</v>
      </c>
      <c r="X156" s="12" t="n">
        <v>927.635</v>
      </c>
    </row>
    <row r="157">
      <c r="A157" s="9" t="inlineStr">
        <is>
          <t>지배주주 포괄이익</t>
        </is>
      </c>
      <c r="C157" s="12" t="n">
        <v>-34.013</v>
      </c>
      <c r="D157" s="12" t="n">
        <v>1870.487</v>
      </c>
      <c r="E157" s="12" t="n">
        <v>-324.685</v>
      </c>
      <c r="F157" s="12" t="n">
        <v>193.13</v>
      </c>
      <c r="G157" s="12" t="n">
        <v>1821.946</v>
      </c>
      <c r="H157" s="12" t="n">
        <v>1001.655</v>
      </c>
      <c r="I157" s="12" t="n">
        <v>128.934</v>
      </c>
      <c r="J157" s="12" t="n">
        <v>1217.071</v>
      </c>
      <c r="K157" s="12" t="n">
        <v>289.572</v>
      </c>
      <c r="L157" s="12" t="n">
        <v>908.884</v>
      </c>
      <c r="M157" s="12" t="n">
        <v>-351.303</v>
      </c>
      <c r="N157" s="12" t="n">
        <v>1120.755</v>
      </c>
      <c r="T157" s="12" t="n">
        <v>387.007</v>
      </c>
      <c r="U157" s="12" t="n">
        <v>613.231</v>
      </c>
      <c r="V157" s="12" t="n">
        <v>1870.487</v>
      </c>
      <c r="W157" s="12" t="n">
        <v>1001.655</v>
      </c>
      <c r="X157" s="12" t="n">
        <v>908.884</v>
      </c>
    </row>
    <row r="158">
      <c r="A158" s="9" t="inlineStr">
        <is>
          <t>비지배주주 포괄이익</t>
        </is>
      </c>
      <c r="C158" s="12" t="n">
        <v>2.503</v>
      </c>
      <c r="D158" s="12" t="n">
        <v>24.853</v>
      </c>
      <c r="E158" s="12" t="n">
        <v>4.199</v>
      </c>
      <c r="F158" s="12" t="n">
        <v>3.657</v>
      </c>
      <c r="G158" s="12" t="n">
        <v>6.885</v>
      </c>
      <c r="H158" s="12" t="n">
        <v>17.799</v>
      </c>
      <c r="I158" s="12" t="n">
        <v>2.654</v>
      </c>
      <c r="J158" s="12" t="n">
        <v>13.86</v>
      </c>
      <c r="K158" s="12" t="n">
        <v>11.196</v>
      </c>
      <c r="L158" s="12" t="n">
        <v>18.751</v>
      </c>
      <c r="M158" s="12" t="n">
        <v>31.455</v>
      </c>
      <c r="N158" s="12" t="n">
        <v>-1.846</v>
      </c>
      <c r="T158" s="12" t="n">
        <v>6.107</v>
      </c>
      <c r="U158" s="12" t="n">
        <v>28.437</v>
      </c>
      <c r="V158" s="12" t="n">
        <v>24.853</v>
      </c>
      <c r="W158" s="12" t="n">
        <v>17.799</v>
      </c>
      <c r="X158" s="12" t="n">
        <v>18.751</v>
      </c>
    </row>
    <row r="160">
      <c r="A160" s="16" t="inlineStr">
        <is>
          <t>부문 · 전 항목</t>
        </is>
      </c>
      <c r="B160" s="42" t="inlineStr">
        <is>
          <t>부문 · 항목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2024.3Q</t>
        </is>
      </c>
      <c r="D161" s="5" t="inlineStr">
        <is>
          <t>2024.4Q</t>
        </is>
      </c>
      <c r="E161" s="5" t="inlineStr">
        <is>
          <t>2025.1Q</t>
        </is>
      </c>
      <c r="F161" s="5" t="inlineStr">
        <is>
          <t>2025.2Q</t>
        </is>
      </c>
      <c r="G161" s="5" t="inlineStr">
        <is>
          <t>2025.3Q</t>
        </is>
      </c>
      <c r="H161" s="5" t="inlineStr">
        <is>
          <t>2025.4Q</t>
        </is>
      </c>
      <c r="I161" s="5" t="inlineStr">
        <is>
          <t>2026.1Q</t>
        </is>
      </c>
      <c r="J161" s="5" t="inlineStr">
        <is>
          <t>2026.2Q</t>
        </is>
      </c>
      <c r="K161" s="5" t="inlineStr">
        <is>
          <t>2026.3Q</t>
        </is>
      </c>
      <c r="L161" s="5" t="inlineStr">
        <is>
          <t>2026.4Q</t>
        </is>
      </c>
      <c r="M161" s="5" t="inlineStr">
        <is>
          <t>2027.1Q</t>
        </is>
      </c>
      <c r="N161" s="5" t="inlineStr">
        <is>
          <t>2027.2Q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18" t="inlineStr">
        <is>
          <t>ResidenceReportableSegmentsMember · 외부 고객 매출</t>
        </is>
      </c>
      <c r="C162" s="20" t="n">
        <v>0.025</v>
      </c>
      <c r="D162" s="20" t="n">
        <v>2763.986</v>
      </c>
      <c r="E162" s="20" t="n">
        <v>0.06</v>
      </c>
      <c r="F162" s="20" t="n">
        <v>-0.06</v>
      </c>
      <c r="G162" s="20" t="n">
        <v>1916.289</v>
      </c>
      <c r="H162" s="20" t="n">
        <v>6132.703</v>
      </c>
      <c r="I162" s="20" t="n">
        <v>40.547</v>
      </c>
      <c r="J162" s="20" t="n">
        <v>246.936</v>
      </c>
      <c r="K162" s="20" t="n">
        <v>0</v>
      </c>
      <c r="L162" s="20" t="n">
        <v>2210.13</v>
      </c>
      <c r="M162" s="20" t="n">
        <v>44.491</v>
      </c>
      <c r="N162" s="20" t="n">
        <v>138.008</v>
      </c>
      <c r="V162" s="20" t="n">
        <v>2763.986</v>
      </c>
      <c r="W162" s="20" t="n">
        <v>6132.703</v>
      </c>
      <c r="X162" s="20" t="n">
        <v>2210.13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RealEstateDevelopmentReportableSegmentsMember · 외부 고객 매출</t>
        </is>
      </c>
      <c r="C164" s="20" t="n">
        <v>469.381</v>
      </c>
      <c r="D164" s="20" t="n">
        <v>11208.307</v>
      </c>
      <c r="E164" s="20" t="n">
        <v>2855.368</v>
      </c>
      <c r="F164" s="20" t="n">
        <v>3505.137</v>
      </c>
      <c r="G164" s="20" t="n">
        <v>6977.605</v>
      </c>
      <c r="H164" s="20" t="n">
        <v>1933.346</v>
      </c>
      <c r="I164" s="20" t="n">
        <v>557.9109999999999</v>
      </c>
      <c r="J164" s="20" t="n">
        <v>8258.445</v>
      </c>
      <c r="K164" s="20" t="n">
        <v>2383.041</v>
      </c>
      <c r="L164" s="20" t="n">
        <v>8265.263999999999</v>
      </c>
      <c r="M164" s="20" t="n">
        <v>398.961</v>
      </c>
      <c r="N164" s="20" t="n">
        <v>7411.254</v>
      </c>
      <c r="V164" s="20" t="n">
        <v>11208.307</v>
      </c>
      <c r="W164" s="20" t="n">
        <v>1933.346</v>
      </c>
      <c r="X164" s="20" t="n">
        <v>8265.263999999999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LeasingAndManagementReportableSegmentsMember · 외부 고객 매출</t>
        </is>
      </c>
      <c r="I166" s="20" t="n">
        <v>436.003</v>
      </c>
      <c r="M166" s="20" t="n">
        <v>570.119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I167" s="15">
        <f>IF(OR(I166="",E166=""),"",IF(E166&lt;=0,"",IFERROR(I166/E166-1,"")))</f>
        <v/>
      </c>
      <c r="M167" s="15">
        <f>IF(OR(M166="",I166=""),"",IF(I166&lt;=0,"",IFERROR(M166/I166-1,"")))</f>
        <v/>
      </c>
    </row>
    <row r="168">
      <c r="A168" s="18" t="inlineStr">
        <is>
          <t>LeasingAndManagementAndOthersReportableSegmentsMember · 외부 고객 매출</t>
        </is>
      </c>
      <c r="C168" s="20" t="n">
        <v>1029.946</v>
      </c>
      <c r="D168" s="20" t="n">
        <v>1106.123</v>
      </c>
      <c r="E168" s="20" t="n">
        <v>583.2089999999999</v>
      </c>
      <c r="F168" s="20" t="n">
        <v>699.46</v>
      </c>
      <c r="G168" s="20" t="n">
        <v>971.77</v>
      </c>
      <c r="H168" s="20" t="n">
        <v>1255.46</v>
      </c>
      <c r="I168" s="20" t="n">
        <v>1962.533</v>
      </c>
      <c r="J168" s="20" t="n">
        <v>-978.157</v>
      </c>
      <c r="K168" s="20" t="n">
        <v>4257.415</v>
      </c>
      <c r="L168" s="20" t="n">
        <v>1187.107</v>
      </c>
      <c r="V168" s="20" t="n">
        <v>1106.123</v>
      </c>
      <c r="W168" s="20" t="n">
        <v>1255.46</v>
      </c>
      <c r="X168" s="20" t="n">
        <v>1187.107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ConstructionReportableSegmentMember · 외부 고객 매출</t>
        </is>
      </c>
      <c r="I170" s="20" t="n">
        <v>1526.53</v>
      </c>
      <c r="J170" s="20" t="n">
        <v>1324.567</v>
      </c>
      <c r="M170" s="20" t="n">
        <v>483.346</v>
      </c>
      <c r="N170" s="20" t="n">
        <v>657.543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</row>
    <row r="172">
      <c r="A172" s="18" t="inlineStr">
        <is>
          <t>MaterialReportableSegmentsMember · 외부 고객 매출</t>
        </is>
      </c>
      <c r="C172" s="20" t="n">
        <v>165.885</v>
      </c>
      <c r="D172" s="20" t="n">
        <v>179.804</v>
      </c>
      <c r="E172" s="20" t="n">
        <v>151.82</v>
      </c>
      <c r="F172" s="20" t="n">
        <v>105.147</v>
      </c>
      <c r="G172" s="20" t="n">
        <v>157.393</v>
      </c>
      <c r="H172" s="20" t="n">
        <v>185.288</v>
      </c>
      <c r="I172" s="20" t="n">
        <v>160.288</v>
      </c>
      <c r="J172" s="20" t="n">
        <v>224.803</v>
      </c>
      <c r="K172" s="20" t="n">
        <v>145.757</v>
      </c>
      <c r="L172" s="20" t="n">
        <v>162.76</v>
      </c>
      <c r="M172" s="20" t="n">
        <v>188.559</v>
      </c>
      <c r="N172" s="20" t="n">
        <v>195.483</v>
      </c>
      <c r="V172" s="20" t="n">
        <v>179.804</v>
      </c>
      <c r="W172" s="20" t="n">
        <v>185.288</v>
      </c>
      <c r="X172" s="20" t="n">
        <v>162.76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보고부문 합계 · 외부 고객 매출</t>
        </is>
      </c>
      <c r="C174" s="20" t="n">
        <v>1665.238</v>
      </c>
      <c r="D174" s="20" t="n">
        <v>15258.22</v>
      </c>
      <c r="E174" s="20" t="n">
        <v>3590.459</v>
      </c>
      <c r="F174" s="20" t="n">
        <v>4309.683</v>
      </c>
      <c r="G174" s="20" t="n">
        <v>10023.057</v>
      </c>
      <c r="H174" s="20" t="n">
        <v>9506.798000000001</v>
      </c>
      <c r="I174" s="20" t="n">
        <v>2721.28</v>
      </c>
      <c r="J174" s="20" t="n">
        <v>10603.125</v>
      </c>
      <c r="K174" s="20" t="n">
        <v>3935.115</v>
      </c>
      <c r="L174" s="20" t="n">
        <v>11825.261</v>
      </c>
      <c r="M174" s="20" t="n">
        <v>1685.477</v>
      </c>
      <c r="N174" s="20" t="n">
        <v>8884.684999999999</v>
      </c>
      <c r="V174" s="20" t="n">
        <v>15258.22</v>
      </c>
      <c r="W174" s="20" t="n">
        <v>9506.798000000001</v>
      </c>
      <c r="X174" s="20" t="n">
        <v>11825.261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기타 · 외부 고객 매출</t>
        </is>
      </c>
      <c r="C176" s="20" t="n">
        <v>11.428</v>
      </c>
      <c r="D176" s="20" t="n">
        <v>5.965</v>
      </c>
      <c r="E176" s="20" t="n">
        <v>22.826</v>
      </c>
      <c r="F176" s="20" t="n">
        <v>8.021000000000001</v>
      </c>
      <c r="G176" s="20" t="n">
        <v>10.845</v>
      </c>
      <c r="H176" s="20" t="n">
        <v>3.238</v>
      </c>
      <c r="I176" s="20" t="n">
        <v>16.969</v>
      </c>
      <c r="J176" s="20" t="n">
        <v>6.061</v>
      </c>
      <c r="K176" s="20" t="n">
        <v>10.849</v>
      </c>
      <c r="L176" s="20" t="n">
        <v>4.834</v>
      </c>
      <c r="M176" s="20" t="n">
        <v>15.158</v>
      </c>
      <c r="N176" s="20" t="n">
        <v>6.495</v>
      </c>
      <c r="V176" s="20" t="n">
        <v>5.965</v>
      </c>
      <c r="W176" s="20" t="n">
        <v>3.238</v>
      </c>
      <c r="X176" s="20" t="n">
        <v>4.834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합계 · 외부 고객 매출</t>
        </is>
      </c>
      <c r="C178" s="20" t="n">
        <v>1676.665</v>
      </c>
      <c r="D178" s="20" t="n">
        <v>15264.185</v>
      </c>
      <c r="E178" s="20" t="n">
        <v>3613.286</v>
      </c>
      <c r="F178" s="20" t="n">
        <v>4317.703</v>
      </c>
      <c r="G178" s="20" t="n">
        <v>10033.902</v>
      </c>
      <c r="H178" s="20" t="n">
        <v>9510.036</v>
      </c>
      <c r="I178" s="20" t="n">
        <v>2738.25</v>
      </c>
      <c r="J178" s="20" t="n">
        <v>10609.186</v>
      </c>
      <c r="K178" s="20" t="n">
        <v>3945.964</v>
      </c>
      <c r="L178" s="20" t="n">
        <v>11830.094</v>
      </c>
      <c r="M178" s="20" t="n">
        <v>1700.636</v>
      </c>
      <c r="N178" s="20" t="n">
        <v>8891.18</v>
      </c>
      <c r="V178" s="20" t="n">
        <v>15264.185</v>
      </c>
      <c r="W178" s="20" t="n">
        <v>9510.036</v>
      </c>
      <c r="X178" s="20" t="n">
        <v>11830.094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ResidenceReportableSegmentsMember · 부문 간 내부매출·대체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  <c r="K180" s="20" t="n">
        <v>0</v>
      </c>
      <c r="L180" s="20" t="n">
        <v>0</v>
      </c>
      <c r="M180" s="20" t="n">
        <v>0</v>
      </c>
      <c r="N180" s="20" t="n">
        <v>0</v>
      </c>
      <c r="V180" s="20" t="n">
        <v>0</v>
      </c>
      <c r="W180" s="20" t="n">
        <v>0</v>
      </c>
      <c r="X180" s="20" t="n">
        <v>0</v>
      </c>
    </row>
    <row r="181">
      <c r="A181" s="18" t="inlineStr">
        <is>
          <t>RealEstateDevelopmentReportableSegmentsMember · 부문 간 내부매출·대체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0" t="n">
        <v>0</v>
      </c>
      <c r="V181" s="20" t="n">
        <v>0</v>
      </c>
      <c r="W181" s="20" t="n">
        <v>0</v>
      </c>
      <c r="X181" s="20" t="n">
        <v>0</v>
      </c>
    </row>
    <row r="182">
      <c r="A182" s="18" t="inlineStr">
        <is>
          <t>LeasingAndManagementReportableSegmentsMember · 부문 간 내부매출·대체</t>
        </is>
      </c>
      <c r="I182" s="20" t="n">
        <v>1.355</v>
      </c>
      <c r="M182" s="20" t="n">
        <v>2.363</v>
      </c>
    </row>
    <row r="183">
      <c r="A183" s="18" t="inlineStr">
        <is>
          <t>LeasingAndManagementAndOthersReportableSegmentsMember · 부문 간 내부매출·대체</t>
        </is>
      </c>
      <c r="C183" s="20" t="n">
        <v>95.818</v>
      </c>
      <c r="D183" s="20" t="n">
        <v>246.902</v>
      </c>
      <c r="E183" s="20" t="n">
        <v>262.998</v>
      </c>
      <c r="F183" s="20" t="n">
        <v>252.887</v>
      </c>
      <c r="G183" s="20" t="n">
        <v>782.353</v>
      </c>
      <c r="H183" s="20" t="n">
        <v>353.362</v>
      </c>
      <c r="I183" s="20" t="n">
        <v>496.282</v>
      </c>
      <c r="J183" s="20" t="n">
        <v>-492.8</v>
      </c>
      <c r="K183" s="20" t="n">
        <v>1907.465</v>
      </c>
      <c r="L183" s="20" t="n">
        <v>201.704</v>
      </c>
      <c r="V183" s="20" t="n">
        <v>246.902</v>
      </c>
      <c r="W183" s="20" t="n">
        <v>353.362</v>
      </c>
      <c r="X183" s="20" t="n">
        <v>201.704</v>
      </c>
    </row>
    <row r="184">
      <c r="A184" s="18" t="inlineStr">
        <is>
          <t>ConstructionReportableSegmentMember · 부문 간 내부매출·대체</t>
        </is>
      </c>
      <c r="I184" s="20" t="n">
        <v>495.032</v>
      </c>
      <c r="J184" s="20" t="n">
        <v>727.83</v>
      </c>
      <c r="M184" s="20" t="n">
        <v>72.708</v>
      </c>
      <c r="N184" s="20" t="n">
        <v>164.627</v>
      </c>
    </row>
    <row r="185">
      <c r="A185" s="18" t="inlineStr">
        <is>
          <t>MaterialReportableSegmentsMember · 부문 간 내부매출·대체</t>
        </is>
      </c>
      <c r="C185" s="20" t="n">
        <v>353.35</v>
      </c>
      <c r="D185" s="20" t="n">
        <v>29.985</v>
      </c>
      <c r="E185" s="20" t="n">
        <v>189.203</v>
      </c>
      <c r="F185" s="20" t="n">
        <v>298.611</v>
      </c>
      <c r="G185" s="20" t="n">
        <v>556.897</v>
      </c>
      <c r="H185" s="20" t="n">
        <v>231.01</v>
      </c>
      <c r="I185" s="20" t="n">
        <v>234.434</v>
      </c>
      <c r="J185" s="20" t="n">
        <v>224.797</v>
      </c>
      <c r="K185" s="20" t="n">
        <v>255.09</v>
      </c>
      <c r="L185" s="20" t="n">
        <v>173.316</v>
      </c>
      <c r="M185" s="20" t="n">
        <v>184.863</v>
      </c>
      <c r="N185" s="20" t="n">
        <v>108.604</v>
      </c>
      <c r="V185" s="20" t="n">
        <v>29.985</v>
      </c>
      <c r="W185" s="20" t="n">
        <v>231.01</v>
      </c>
      <c r="X185" s="20" t="n">
        <v>173.316</v>
      </c>
    </row>
    <row r="186">
      <c r="A186" s="18" t="inlineStr">
        <is>
          <t>보고부문 합계 · 부문 간 내부매출·대체</t>
        </is>
      </c>
      <c r="C186" s="20" t="n">
        <v>449.167</v>
      </c>
      <c r="D186" s="20" t="n">
        <v>276.887</v>
      </c>
      <c r="E186" s="20" t="n">
        <v>452.202</v>
      </c>
      <c r="F186" s="20" t="n">
        <v>551.498</v>
      </c>
      <c r="G186" s="20" t="n">
        <v>1339.25</v>
      </c>
      <c r="H186" s="20" t="n">
        <v>584.372</v>
      </c>
      <c r="I186" s="20" t="n">
        <v>730.822</v>
      </c>
      <c r="J186" s="20" t="n">
        <v>954.754</v>
      </c>
      <c r="K186" s="20" t="n">
        <v>939.693</v>
      </c>
      <c r="L186" s="20" t="n">
        <v>375.02</v>
      </c>
      <c r="M186" s="20" t="n">
        <v>259.935</v>
      </c>
      <c r="N186" s="20" t="n">
        <v>275.4</v>
      </c>
      <c r="V186" s="20" t="n">
        <v>276.887</v>
      </c>
      <c r="W186" s="20" t="n">
        <v>584.372</v>
      </c>
      <c r="X186" s="20" t="n">
        <v>375.02</v>
      </c>
    </row>
    <row r="187">
      <c r="A187" s="18" t="inlineStr">
        <is>
          <t>기타 · 부문 간 내부매출·대체</t>
        </is>
      </c>
      <c r="C187" s="20" t="n">
        <v>1.653</v>
      </c>
      <c r="D187" s="20" t="n">
        <v>0</v>
      </c>
      <c r="E187" s="20" t="n">
        <v>0.79</v>
      </c>
      <c r="F187" s="20" t="n">
        <v>0</v>
      </c>
      <c r="G187" s="20" t="n">
        <v>0.633</v>
      </c>
      <c r="H187" s="20" t="n">
        <v>0.478</v>
      </c>
      <c r="I187" s="20" t="n">
        <v>1.256</v>
      </c>
      <c r="J187" s="20" t="n">
        <v>0</v>
      </c>
      <c r="K187" s="20" t="n">
        <v>1.434</v>
      </c>
      <c r="L187" s="20" t="n">
        <v>0</v>
      </c>
      <c r="M187" s="20" t="n">
        <v>1.328</v>
      </c>
      <c r="N187" s="20" t="n">
        <v>0</v>
      </c>
      <c r="V187" s="20" t="n">
        <v>0</v>
      </c>
      <c r="W187" s="20" t="n">
        <v>0.478</v>
      </c>
      <c r="X187" s="20" t="n">
        <v>0</v>
      </c>
    </row>
    <row r="188">
      <c r="A188" s="18" t="inlineStr">
        <is>
          <t>합계 · 부문 간 내부매출·대체</t>
        </is>
      </c>
      <c r="C188" s="20" t="n">
        <v>450.82</v>
      </c>
      <c r="D188" s="20" t="n">
        <v>276.887</v>
      </c>
      <c r="E188" s="20" t="n">
        <v>452.993</v>
      </c>
      <c r="F188" s="20" t="n">
        <v>551.498</v>
      </c>
      <c r="G188" s="20" t="n">
        <v>1339.882</v>
      </c>
      <c r="H188" s="20" t="n">
        <v>584.85</v>
      </c>
      <c r="I188" s="20" t="n">
        <v>732.078</v>
      </c>
      <c r="J188" s="20" t="n">
        <v>954.754</v>
      </c>
      <c r="K188" s="20" t="n">
        <v>941.127</v>
      </c>
      <c r="L188" s="20" t="n">
        <v>375.02</v>
      </c>
      <c r="M188" s="20" t="n">
        <v>261.263</v>
      </c>
      <c r="N188" s="20" t="n">
        <v>275.4</v>
      </c>
      <c r="V188" s="20" t="n">
        <v>276.887</v>
      </c>
      <c r="W188" s="20" t="n">
        <v>584.85</v>
      </c>
      <c r="X188" s="20" t="n">
        <v>375.02</v>
      </c>
    </row>
    <row r="189">
      <c r="A189" s="18" t="inlineStr">
        <is>
          <t>ResidenceReportableSegmentsMember · 계</t>
        </is>
      </c>
      <c r="C189" s="20" t="n">
        <v>0.025</v>
      </c>
      <c r="D189" s="20" t="n">
        <v>2763.986</v>
      </c>
      <c r="E189" s="20" t="n">
        <v>0.06</v>
      </c>
      <c r="F189" s="20" t="n">
        <v>-0.06</v>
      </c>
      <c r="G189" s="20" t="n">
        <v>1916.289</v>
      </c>
      <c r="H189" s="20" t="n">
        <v>6132.703</v>
      </c>
      <c r="I189" s="20" t="n">
        <v>40.547</v>
      </c>
      <c r="J189" s="20" t="n">
        <v>246.936</v>
      </c>
      <c r="K189" s="20" t="n">
        <v>0</v>
      </c>
      <c r="L189" s="20" t="n">
        <v>2210.13</v>
      </c>
      <c r="M189" s="20" t="n">
        <v>44.491</v>
      </c>
      <c r="N189" s="20" t="n">
        <v>138.008</v>
      </c>
      <c r="V189" s="20" t="n">
        <v>2763.986</v>
      </c>
      <c r="W189" s="20" t="n">
        <v>6132.703</v>
      </c>
      <c r="X189" s="20" t="n">
        <v>2210.13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RealEstateDevelopmentReportableSegmentsMember · 계</t>
        </is>
      </c>
      <c r="C191" s="20" t="n">
        <v>469.381</v>
      </c>
      <c r="D191" s="20" t="n">
        <v>11208.307</v>
      </c>
      <c r="E191" s="20" t="n">
        <v>2855.368</v>
      </c>
      <c r="F191" s="20" t="n">
        <v>3505.137</v>
      </c>
      <c r="G191" s="20" t="n">
        <v>6977.605</v>
      </c>
      <c r="H191" s="20" t="n">
        <v>1933.346</v>
      </c>
      <c r="I191" s="20" t="n">
        <v>557.9109999999999</v>
      </c>
      <c r="J191" s="20" t="n">
        <v>8258.445</v>
      </c>
      <c r="K191" s="20" t="n">
        <v>2383.041</v>
      </c>
      <c r="L191" s="20" t="n">
        <v>8265.263999999999</v>
      </c>
      <c r="M191" s="20" t="n">
        <v>398.961</v>
      </c>
      <c r="N191" s="20" t="n">
        <v>7411.254</v>
      </c>
      <c r="V191" s="20" t="n">
        <v>11208.307</v>
      </c>
      <c r="W191" s="20" t="n">
        <v>1933.346</v>
      </c>
      <c r="X191" s="20" t="n">
        <v>8265.263999999999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LeasingAndManagementReportableSegmentsMember · 계</t>
        </is>
      </c>
      <c r="I193" s="20" t="n">
        <v>437.358</v>
      </c>
      <c r="M193" s="20" t="n">
        <v>572.482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I194" s="15">
        <f>IF(OR(I193="",E193=""),"",IF(E193&lt;=0,"",IFERROR(I193/E193-1,"")))</f>
        <v/>
      </c>
      <c r="M194" s="15">
        <f>IF(OR(M193="",I193=""),"",IF(I193&lt;=0,"",IFERROR(M193/I193-1,"")))</f>
        <v/>
      </c>
    </row>
    <row r="195">
      <c r="A195" s="18" t="inlineStr">
        <is>
          <t>LeasingAndManagementAndOthersReportableSegmentsMember · 계</t>
        </is>
      </c>
      <c r="C195" s="20" t="n">
        <v>1125.763</v>
      </c>
      <c r="D195" s="20" t="n">
        <v>1353.025</v>
      </c>
      <c r="E195" s="20" t="n">
        <v>846.208</v>
      </c>
      <c r="F195" s="20" t="n">
        <v>952.347</v>
      </c>
      <c r="G195" s="20" t="n">
        <v>1754.123</v>
      </c>
      <c r="H195" s="20" t="n">
        <v>1608.822</v>
      </c>
      <c r="I195" s="20" t="n">
        <v>2458.816</v>
      </c>
      <c r="J195" s="20" t="n">
        <v>-1470.957</v>
      </c>
      <c r="K195" s="20" t="n">
        <v>6164.879</v>
      </c>
      <c r="L195" s="20" t="n">
        <v>1388.812</v>
      </c>
      <c r="V195" s="20" t="n">
        <v>1353.025</v>
      </c>
      <c r="W195" s="20" t="n">
        <v>1608.822</v>
      </c>
      <c r="X195" s="20" t="n">
        <v>1388.812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ConstructionReportableSegmentMember · 계</t>
        </is>
      </c>
      <c r="I197" s="20" t="n">
        <v>2021.563</v>
      </c>
      <c r="J197" s="20" t="n">
        <v>2052.396</v>
      </c>
      <c r="M197" s="20" t="n">
        <v>556.054</v>
      </c>
      <c r="N197" s="20" t="n">
        <v>822.17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</row>
    <row r="199">
      <c r="A199" s="18" t="inlineStr">
        <is>
          <t>MaterialReportableSegmentsMember · 계</t>
        </is>
      </c>
      <c r="C199" s="20" t="n">
        <v>519.236</v>
      </c>
      <c r="D199" s="20" t="n">
        <v>209.789</v>
      </c>
      <c r="E199" s="20" t="n">
        <v>341.024</v>
      </c>
      <c r="F199" s="20" t="n">
        <v>403.757</v>
      </c>
      <c r="G199" s="20" t="n">
        <v>714.2910000000001</v>
      </c>
      <c r="H199" s="20" t="n">
        <v>416.297</v>
      </c>
      <c r="I199" s="20" t="n">
        <v>394.723</v>
      </c>
      <c r="J199" s="20" t="n">
        <v>449.6</v>
      </c>
      <c r="K199" s="20" t="n">
        <v>400.847</v>
      </c>
      <c r="L199" s="20" t="n">
        <v>336.076</v>
      </c>
      <c r="M199" s="20" t="n">
        <v>373.423</v>
      </c>
      <c r="N199" s="20" t="n">
        <v>304.087</v>
      </c>
      <c r="V199" s="20" t="n">
        <v>209.789</v>
      </c>
      <c r="W199" s="20" t="n">
        <v>416.297</v>
      </c>
      <c r="X199" s="20" t="n">
        <v>336.076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IF(OR(G199="",C199=""),"",IF(C199&lt;=0,"",IFERROR(G199/C199-1,"")))</f>
        <v/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J200" s="15">
        <f>IF(OR(J199="",F199=""),"",IF(F199&lt;=0,"",IFERROR(J199/F199-1,"")))</f>
        <v/>
      </c>
      <c r="K200" s="15">
        <f>IF(OR(K199="",G199=""),"",IF(G199&lt;=0,"",IFERROR(K199/G199-1,"")))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N200" s="15">
        <f>IF(OR(N199="",J199=""),"",IF(J199&lt;=0,"",IFERROR(N199/J199-1,"")))</f>
        <v/>
      </c>
      <c r="V200" s="15">
        <f>IF(OR(V199="",U199=""),"",IF(U199&lt;=0,"",IFERROR(V199/U199-1,"")))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보고부문 합계 · 계</t>
        </is>
      </c>
      <c r="C201" s="20" t="n">
        <v>2114.406</v>
      </c>
      <c r="D201" s="20" t="n">
        <v>15535.107</v>
      </c>
      <c r="E201" s="20" t="n">
        <v>4042.662</v>
      </c>
      <c r="F201" s="20" t="n">
        <v>4861.18</v>
      </c>
      <c r="G201" s="20" t="n">
        <v>11362.307</v>
      </c>
      <c r="H201" s="20" t="n">
        <v>10091.17</v>
      </c>
      <c r="I201" s="20" t="n">
        <v>3452.103</v>
      </c>
      <c r="J201" s="20" t="n">
        <v>11557.879</v>
      </c>
      <c r="K201" s="20" t="n">
        <v>4874.807</v>
      </c>
      <c r="L201" s="20" t="n">
        <v>12200.281</v>
      </c>
      <c r="M201" s="20" t="n">
        <v>1945.413</v>
      </c>
      <c r="N201" s="20" t="n">
        <v>9160.084000000001</v>
      </c>
      <c r="V201" s="20" t="n">
        <v>15535.107</v>
      </c>
      <c r="W201" s="20" t="n">
        <v>10091.17</v>
      </c>
      <c r="X201" s="20" t="n">
        <v>12200.281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IF(OR(G201="",C201=""),"",IF(C201&lt;=0,"",IFERROR(G201/C201-1,"")))</f>
        <v/>
      </c>
      <c r="H202" s="15">
        <f>IF(OR(H201="",D201=""),"",IF(D201&lt;=0,"",IFERROR(H201/D201-1,"")))</f>
        <v/>
      </c>
      <c r="I202" s="15">
        <f>IF(OR(I201="",E201=""),"",IF(E201&lt;=0,"",IFERROR(I201/E201-1,"")))</f>
        <v/>
      </c>
      <c r="J202" s="15">
        <f>IF(OR(J201="",F201=""),"",IF(F201&lt;=0,"",IFERROR(J201/F201-1,"")))</f>
        <v/>
      </c>
      <c r="K202" s="15">
        <f>IF(OR(K201="",G201=""),"",IF(G201&lt;=0,"",IFERROR(K201/G201-1,"")))</f>
        <v/>
      </c>
      <c r="L202" s="15">
        <f>IF(OR(L201="",H201=""),"",IF(H201&lt;=0,"",IFERROR(L201/H201-1,"")))</f>
        <v/>
      </c>
      <c r="M202" s="15">
        <f>IF(OR(M201="",I201=""),"",IF(I201&lt;=0,"",IFERROR(M201/I201-1,"")))</f>
        <v/>
      </c>
      <c r="N202" s="15">
        <f>IF(OR(N201="",J201=""),"",IF(J201&lt;=0,"",IFERROR(N201/J201-1,"")))</f>
        <v/>
      </c>
      <c r="V202" s="15">
        <f>IF(OR(V201="",U201=""),"",IF(U201&lt;=0,"",IFERROR(V201/U201-1,"")))</f>
        <v/>
      </c>
      <c r="W202" s="15">
        <f>IF(OR(W201="",V201=""),"",IF(V201&lt;=0,"",IFERROR(W201/V201-1,"")))</f>
        <v/>
      </c>
      <c r="X202" s="15">
        <f>IF(OR(X201="",W201=""),"",IF(W201&lt;=0,"",IFERROR(X201/W201-1,"")))</f>
        <v/>
      </c>
    </row>
    <row r="203">
      <c r="A203" s="18" t="inlineStr">
        <is>
          <t>기타 · 계</t>
        </is>
      </c>
      <c r="C203" s="20" t="n">
        <v>13.081</v>
      </c>
      <c r="D203" s="20" t="n">
        <v>5.965</v>
      </c>
      <c r="E203" s="20" t="n">
        <v>23.617</v>
      </c>
      <c r="F203" s="20" t="n">
        <v>8.021000000000001</v>
      </c>
      <c r="G203" s="20" t="n">
        <v>11.477</v>
      </c>
      <c r="H203" s="20" t="n">
        <v>3.717</v>
      </c>
      <c r="I203" s="20" t="n">
        <v>18.225</v>
      </c>
      <c r="J203" s="20" t="n">
        <v>6.061</v>
      </c>
      <c r="K203" s="20" t="n">
        <v>12.283</v>
      </c>
      <c r="L203" s="20" t="n">
        <v>4.834</v>
      </c>
      <c r="M203" s="20" t="n">
        <v>16.486</v>
      </c>
      <c r="N203" s="20" t="n">
        <v>6.495</v>
      </c>
      <c r="V203" s="20" t="n">
        <v>5.965</v>
      </c>
      <c r="W203" s="20" t="n">
        <v>3.717</v>
      </c>
      <c r="X203" s="20" t="n">
        <v>4.834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IF(OR(G203="",C203=""),"",IF(C203&lt;=0,"",IFERROR(G203/C203-1,"")))</f>
        <v/>
      </c>
      <c r="H204" s="15">
        <f>IF(OR(H203="",D203=""),"",IF(D203&lt;=0,"",IFERROR(H203/D203-1,"")))</f>
        <v/>
      </c>
      <c r="I204" s="15">
        <f>IF(OR(I203="",E203=""),"",IF(E203&lt;=0,"",IFERROR(I203/E203-1,"")))</f>
        <v/>
      </c>
      <c r="J204" s="15">
        <f>IF(OR(J203="",F203=""),"",IF(F203&lt;=0,"",IFERROR(J203/F203-1,"")))</f>
        <v/>
      </c>
      <c r="K204" s="15">
        <f>IF(OR(K203="",G203=""),"",IF(G203&lt;=0,"",IFERROR(K203/G203-1,"")))</f>
        <v/>
      </c>
      <c r="L204" s="15">
        <f>IF(OR(L203="",H203=""),"",IF(H203&lt;=0,"",IFERROR(L203/H203-1,"")))</f>
        <v/>
      </c>
      <c r="M204" s="15">
        <f>IF(OR(M203="",I203=""),"",IF(I203&lt;=0,"",IFERROR(M203/I203-1,"")))</f>
        <v/>
      </c>
      <c r="N204" s="15">
        <f>IF(OR(N203="",J203=""),"",IF(J203&lt;=0,"",IFERROR(N203/J203-1,"")))</f>
        <v/>
      </c>
      <c r="V204" s="15">
        <f>IF(OR(V203="",U203=""),"",IF(U203&lt;=0,"",IFERROR(V203/U203-1,"")))</f>
        <v/>
      </c>
      <c r="W204" s="15">
        <f>IF(OR(W203="",V203=""),"",IF(V203&lt;=0,"",IFERROR(W203/V203-1,"")))</f>
        <v/>
      </c>
      <c r="X204" s="15">
        <f>IF(OR(X203="",W203=""),"",IF(W203&lt;=0,"",IFERROR(X203/W203-1,"")))</f>
        <v/>
      </c>
    </row>
    <row r="205">
      <c r="A205" s="18" t="inlineStr">
        <is>
          <t>합계 · 계</t>
        </is>
      </c>
      <c r="C205" s="20" t="n">
        <v>2127.486</v>
      </c>
      <c r="D205" s="20" t="n">
        <v>15541.072</v>
      </c>
      <c r="E205" s="20" t="n">
        <v>4066.28</v>
      </c>
      <c r="F205" s="20" t="n">
        <v>4869.2</v>
      </c>
      <c r="G205" s="20" t="n">
        <v>11373.785</v>
      </c>
      <c r="H205" s="20" t="n">
        <v>10094.886</v>
      </c>
      <c r="I205" s="20" t="n">
        <v>3470.329</v>
      </c>
      <c r="J205" s="20" t="n">
        <v>11563.939</v>
      </c>
      <c r="K205" s="20" t="n">
        <v>4887.091</v>
      </c>
      <c r="L205" s="20" t="n">
        <v>12205.114</v>
      </c>
      <c r="M205" s="20" t="n">
        <v>1961.9</v>
      </c>
      <c r="N205" s="20" t="n">
        <v>9166.579</v>
      </c>
      <c r="V205" s="20" t="n">
        <v>15541.072</v>
      </c>
      <c r="W205" s="20" t="n">
        <v>10094.886</v>
      </c>
      <c r="X205" s="20" t="n">
        <v>12205.114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IF(OR(G205="",C205=""),"",IF(C205&lt;=0,"",IFERROR(G205/C205-1,"")))</f>
        <v/>
      </c>
      <c r="H206" s="15">
        <f>IF(OR(H205="",D205=""),"",IF(D205&lt;=0,"",IFERROR(H205/D205-1,"")))</f>
        <v/>
      </c>
      <c r="I206" s="15">
        <f>IF(OR(I205="",E205=""),"",IF(E205&lt;=0,"",IFERROR(I205/E205-1,"")))</f>
        <v/>
      </c>
      <c r="J206" s="15">
        <f>IF(OR(J205="",F205=""),"",IF(F205&lt;=0,"",IFERROR(J205/F205-1,"")))</f>
        <v/>
      </c>
      <c r="K206" s="15">
        <f>IF(OR(K205="",G205=""),"",IF(G205&lt;=0,"",IFERROR(K205/G205-1,"")))</f>
        <v/>
      </c>
      <c r="L206" s="15">
        <f>IF(OR(L205="",H205=""),"",IF(H205&lt;=0,"",IFERROR(L205/H205-1,"")))</f>
        <v/>
      </c>
      <c r="M206" s="15">
        <f>IF(OR(M205="",I205=""),"",IF(I205&lt;=0,"",IFERROR(M205/I205-1,"")))</f>
        <v/>
      </c>
      <c r="N206" s="15">
        <f>IF(OR(N205="",J205=""),"",IF(J205&lt;=0,"",IFERROR(N205/J205-1,"")))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  <c r="X206" s="15">
        <f>IF(OR(X205="",W205=""),"",IF(W205&lt;=0,"",IFERROR(X205/W205-1,"")))</f>
        <v/>
      </c>
    </row>
    <row r="207">
      <c r="A207" s="18" t="inlineStr">
        <is>
          <t>ResidenceReportableSegmentsMember · 부문 이익</t>
        </is>
      </c>
      <c r="C207" s="20" t="n">
        <v>-37.882</v>
      </c>
      <c r="D207" s="20" t="n">
        <v>250.698</v>
      </c>
      <c r="E207" s="20" t="n">
        <v>-39.281</v>
      </c>
      <c r="F207" s="20" t="n">
        <v>-44.756</v>
      </c>
      <c r="G207" s="20" t="n">
        <v>513.213</v>
      </c>
      <c r="H207" s="20" t="n">
        <v>1251.456</v>
      </c>
      <c r="I207" s="20" t="n">
        <v>-7.386</v>
      </c>
      <c r="J207" s="20" t="n">
        <v>31.968</v>
      </c>
      <c r="K207" s="20" t="n">
        <v>-23.155</v>
      </c>
      <c r="L207" s="20" t="n">
        <v>265.466</v>
      </c>
      <c r="M207" s="20" t="n">
        <v>-39.147</v>
      </c>
      <c r="N207" s="20" t="n">
        <v>-43.289</v>
      </c>
      <c r="V207" s="20" t="n">
        <v>250.698</v>
      </c>
      <c r="W207" s="20" t="n">
        <v>1251.456</v>
      </c>
      <c r="X207" s="20" t="n">
        <v>265.466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IF(OR(C207="",C189=""),"",IF(C189&lt;=0,"",IFERROR(C207/C189,"")))</f>
        <v/>
      </c>
      <c r="D208" s="15">
        <f>IF(OR(D207="",D189=""),"",IF(D189&lt;=0,"",IFERROR(D207/D189,"")))</f>
        <v/>
      </c>
      <c r="E208" s="15">
        <f>IF(OR(E207="",E189=""),"",IF(E189&lt;=0,"",IFERROR(E207/E189,"")))</f>
        <v/>
      </c>
      <c r="F208" s="15">
        <f>IF(OR(F207="",F189=""),"",IF(F189&lt;=0,"",IFERROR(F207/F189,"")))</f>
        <v/>
      </c>
      <c r="G208" s="15">
        <f>IF(OR(G207="",G189=""),"",IF(G189&lt;=0,"",IFERROR(G207/G189,"")))</f>
        <v/>
      </c>
      <c r="H208" s="15">
        <f>IF(OR(H207="",H189=""),"",IF(H189&lt;=0,"",IFERROR(H207/H189,"")))</f>
        <v/>
      </c>
      <c r="I208" s="15">
        <f>IF(OR(I207="",I189=""),"",IF(I189&lt;=0,"",IFERROR(I207/I189,"")))</f>
        <v/>
      </c>
      <c r="J208" s="15">
        <f>IF(OR(J207="",J189=""),"",IF(J189&lt;=0,"",IFERROR(J207/J189,"")))</f>
        <v/>
      </c>
      <c r="K208" s="15">
        <f>IF(OR(K207="",K189=""),"",IF(K189&lt;=0,"",IFERROR(K207/K189,"")))</f>
        <v/>
      </c>
      <c r="L208" s="15">
        <f>IF(OR(L207="",L189=""),"",IF(L189&lt;=0,"",IFERROR(L207/L189,"")))</f>
        <v/>
      </c>
      <c r="M208" s="15">
        <f>IF(OR(M207="",M189=""),"",IF(M189&lt;=0,"",IFERROR(M207/M189,"")))</f>
        <v/>
      </c>
      <c r="N208" s="15">
        <f>IF(OR(N207="",N189=""),"",IF(N189&lt;=0,"",IFERROR(N207/N189,"")))</f>
        <v/>
      </c>
      <c r="V208" s="15">
        <f>IF(OR(V207="",V189=""),"",IF(V189&lt;=0,"",IFERROR(V207/V189,"")))</f>
        <v/>
      </c>
      <c r="W208" s="15">
        <f>IF(OR(W207="",W189=""),"",IF(W189&lt;=0,"",IFERROR(W207/W189,"")))</f>
        <v/>
      </c>
      <c r="X208" s="15">
        <f>IF(OR(X207="",X189=""),"",IF(X189&lt;=0,"",IFERROR(X207/X189,"")))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RealEstateDevelopmentReportableSegmentsMember · 부문 이익</t>
        </is>
      </c>
      <c r="C210" s="20" t="n">
        <v>-6</v>
      </c>
      <c r="D210" s="20" t="n">
        <v>2725.968</v>
      </c>
      <c r="E210" s="20" t="n">
        <v>-211.638</v>
      </c>
      <c r="F210" s="20" t="n">
        <v>589.008</v>
      </c>
      <c r="G210" s="20" t="n">
        <v>2354.606</v>
      </c>
      <c r="H210" s="20" t="n">
        <v>420.36</v>
      </c>
      <c r="I210" s="20" t="n">
        <v>-85.697</v>
      </c>
      <c r="J210" s="20" t="n">
        <v>1529.502</v>
      </c>
      <c r="K210" s="20" t="n">
        <v>434.67</v>
      </c>
      <c r="L210" s="20" t="n">
        <v>1592.971</v>
      </c>
      <c r="M210" s="20" t="n">
        <v>-106.585</v>
      </c>
      <c r="N210" s="20" t="n">
        <v>2008.966</v>
      </c>
      <c r="V210" s="20" t="n">
        <v>2725.968</v>
      </c>
      <c r="W210" s="20" t="n">
        <v>420.36</v>
      </c>
      <c r="X210" s="20" t="n">
        <v>1592.971</v>
      </c>
    </row>
    <row r="211">
      <c r="A211" s="43" t="inlineStr">
        <is>
          <t>OPM</t>
        </is>
      </c>
      <c r="B211" s="3" t="inlineStr">
        <is>
          <t>영업이익 ÷ 매출</t>
        </is>
      </c>
      <c r="C211" s="15">
        <f>IF(OR(C210="",C191=""),"",IF(C191&lt;=0,"",IFERROR(C210/C191,"")))</f>
        <v/>
      </c>
      <c r="D211" s="15">
        <f>IF(OR(D210="",D191=""),"",IF(D191&lt;=0,"",IFERROR(D210/D191,"")))</f>
        <v/>
      </c>
      <c r="E211" s="15">
        <f>IF(OR(E210="",E191=""),"",IF(E191&lt;=0,"",IFERROR(E210/E191,"")))</f>
        <v/>
      </c>
      <c r="F211" s="15">
        <f>IF(OR(F210="",F191=""),"",IF(F191&lt;=0,"",IFERROR(F210/F191,"")))</f>
        <v/>
      </c>
      <c r="G211" s="15">
        <f>IF(OR(G210="",G191=""),"",IF(G191&lt;=0,"",IFERROR(G210/G191,"")))</f>
        <v/>
      </c>
      <c r="H211" s="15">
        <f>IF(OR(H210="",H191=""),"",IF(H191&lt;=0,"",IFERROR(H210/H191,"")))</f>
        <v/>
      </c>
      <c r="I211" s="15">
        <f>IF(OR(I210="",I191=""),"",IF(I191&lt;=0,"",IFERROR(I210/I191,"")))</f>
        <v/>
      </c>
      <c r="J211" s="15">
        <f>IF(OR(J210="",J191=""),"",IF(J191&lt;=0,"",IFERROR(J210/J191,"")))</f>
        <v/>
      </c>
      <c r="K211" s="15">
        <f>IF(OR(K210="",K191=""),"",IF(K191&lt;=0,"",IFERROR(K210/K191,"")))</f>
        <v/>
      </c>
      <c r="L211" s="15">
        <f>IF(OR(L210="",L191=""),"",IF(L191&lt;=0,"",IFERROR(L210/L191,"")))</f>
        <v/>
      </c>
      <c r="M211" s="15">
        <f>IF(OR(M210="",M191=""),"",IF(M191&lt;=0,"",IFERROR(M210/M191,"")))</f>
        <v/>
      </c>
      <c r="N211" s="15">
        <f>IF(OR(N210="",N191=""),"",IF(N191&lt;=0,"",IFERROR(N210/N191,"")))</f>
        <v/>
      </c>
      <c r="V211" s="15">
        <f>IF(OR(V210="",V191=""),"",IF(V191&lt;=0,"",IFERROR(V210/V191,"")))</f>
        <v/>
      </c>
      <c r="W211" s="15">
        <f>IF(OR(W210="",W191=""),"",IF(W191&lt;=0,"",IFERROR(W210/W191,"")))</f>
        <v/>
      </c>
      <c r="X211" s="15">
        <f>IF(OR(X210="",X191=""),"",IF(X191&lt;=0,"",IFERROR(X210/X191,"")))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IF(OR(G210="",C210=""),"",IF(C210&lt;=0,"",IFERROR(G210/C210-1,"")))</f>
        <v/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K212" s="15">
        <f>IF(OR(K210="",G210=""),"",IF(G210&lt;=0,"",IFERROR(K210/G210-1,"")))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3">
      <c r="A213" s="18" t="inlineStr">
        <is>
          <t>LeasingAndManagementReportableSegmentsMember · 부문 이익 또는 손실(△)</t>
        </is>
      </c>
      <c r="I213" s="20" t="n">
        <v>184.285</v>
      </c>
      <c r="M213" s="20" t="n">
        <v>17.334</v>
      </c>
    </row>
    <row r="214">
      <c r="A214" s="43" t="inlineStr">
        <is>
          <t>OPM</t>
        </is>
      </c>
      <c r="B214" s="3" t="inlineStr">
        <is>
          <t>영업이익 ÷ 매출</t>
        </is>
      </c>
      <c r="I214" s="15">
        <f>IF(OR(I213="",I193=""),"",IF(I193&lt;=0,"",IFERROR(I213/I193,"")))</f>
        <v/>
      </c>
      <c r="M214" s="15">
        <f>IF(OR(M213="",M193=""),"",IF(M193&lt;=0,"",IFERROR(M213/M193,"")))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I215" s="15">
        <f>IF(OR(I213="",E213=""),"",IF(E213&lt;=0,"",IFERROR(I213/E213-1,"")))</f>
        <v/>
      </c>
      <c r="M215" s="15">
        <f>IF(OR(M213="",I213=""),"",IF(I213&lt;=0,"",IFERROR(M213/I213-1,"")))</f>
        <v/>
      </c>
    </row>
    <row r="216">
      <c r="A216" s="18" t="inlineStr">
        <is>
          <t>LeasingAndManagementAndOthersReportableSegmentsMember · 부문 이익</t>
        </is>
      </c>
      <c r="C216" s="20" t="n">
        <v>96.97199999999999</v>
      </c>
      <c r="D216" s="20" t="n">
        <v>193.003</v>
      </c>
      <c r="E216" s="20" t="n">
        <v>109.86</v>
      </c>
      <c r="F216" s="20" t="n">
        <v>145.006</v>
      </c>
      <c r="G216" s="20" t="n">
        <v>278.737</v>
      </c>
      <c r="H216" s="20" t="n">
        <v>271.515</v>
      </c>
      <c r="I216" s="20" t="n">
        <v>326.248</v>
      </c>
      <c r="J216" s="20" t="n">
        <v>124.776</v>
      </c>
      <c r="K216" s="20" t="n">
        <v>575.13</v>
      </c>
      <c r="L216" s="20" t="n">
        <v>134.859</v>
      </c>
      <c r="V216" s="20" t="n">
        <v>193.003</v>
      </c>
      <c r="W216" s="20" t="n">
        <v>271.515</v>
      </c>
      <c r="X216" s="20" t="n">
        <v>134.859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IF(OR(C216="",C195=""),"",IF(C195&lt;=0,"",IFERROR(C216/C195,"")))</f>
        <v/>
      </c>
      <c r="D217" s="15">
        <f>IF(OR(D216="",D195=""),"",IF(D195&lt;=0,"",IFERROR(D216/D195,"")))</f>
        <v/>
      </c>
      <c r="E217" s="15">
        <f>IF(OR(E216="",E195=""),"",IF(E195&lt;=0,"",IFERROR(E216/E195,"")))</f>
        <v/>
      </c>
      <c r="F217" s="15">
        <f>IF(OR(F216="",F195=""),"",IF(F195&lt;=0,"",IFERROR(F216/F195,"")))</f>
        <v/>
      </c>
      <c r="G217" s="15">
        <f>IF(OR(G216="",G195=""),"",IF(G195&lt;=0,"",IFERROR(G216/G195,"")))</f>
        <v/>
      </c>
      <c r="H217" s="15">
        <f>IF(OR(H216="",H195=""),"",IF(H195&lt;=0,"",IFERROR(H216/H195,"")))</f>
        <v/>
      </c>
      <c r="I217" s="15">
        <f>IF(OR(I216="",I195=""),"",IF(I195&lt;=0,"",IFERROR(I216/I195,"")))</f>
        <v/>
      </c>
      <c r="J217" s="15">
        <f>IF(OR(J216="",J195=""),"",IF(J195&lt;=0,"",IFERROR(J216/J195,"")))</f>
        <v/>
      </c>
      <c r="K217" s="15">
        <f>IF(OR(K216="",K195=""),"",IF(K195&lt;=0,"",IFERROR(K216/K195,"")))</f>
        <v/>
      </c>
      <c r="L217" s="15">
        <f>IF(OR(L216="",L195=""),"",IF(L195&lt;=0,"",IFERROR(L216/L195,"")))</f>
        <v/>
      </c>
      <c r="V217" s="15">
        <f>IF(OR(V216="",V195=""),"",IF(V195&lt;=0,"",IFERROR(V216/V195,"")))</f>
        <v/>
      </c>
      <c r="W217" s="15">
        <f>IF(OR(W216="",W195=""),"",IF(W195&lt;=0,"",IFERROR(W216/W195,"")))</f>
        <v/>
      </c>
      <c r="X217" s="15">
        <f>IF(OR(X216="",X195=""),"",IF(X195&lt;=0,"",IFERROR(X216/X195,"")))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ConstructionReportableSegmentMember · 부문 이익</t>
        </is>
      </c>
      <c r="I219" s="20" t="n">
        <v>156.711</v>
      </c>
      <c r="J219" s="20" t="n">
        <v>151.014</v>
      </c>
      <c r="M219" s="20" t="n">
        <v>-17.6</v>
      </c>
      <c r="N219" s="20" t="n">
        <v>30.255</v>
      </c>
    </row>
    <row r="220">
      <c r="A220" s="43" t="inlineStr">
        <is>
          <t>OPM</t>
        </is>
      </c>
      <c r="B220" s="3" t="inlineStr">
        <is>
          <t>영업이익 ÷ 매출</t>
        </is>
      </c>
      <c r="I220" s="15">
        <f>IF(OR(I219="",I197=""),"",IF(I197&lt;=0,"",IFERROR(I219/I197,"")))</f>
        <v/>
      </c>
      <c r="J220" s="15">
        <f>IF(OR(J219="",J197=""),"",IF(J197&lt;=0,"",IFERROR(J219/J197,"")))</f>
        <v/>
      </c>
      <c r="M220" s="15">
        <f>IF(OR(M219="",M197=""),"",IF(M197&lt;=0,"",IFERROR(M219/M197,"")))</f>
        <v/>
      </c>
      <c r="N220" s="15">
        <f>IF(OR(N219="",N197=""),"",IF(N197&lt;=0,"",IFERROR(N219/N197,"")))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I221" s="15">
        <f>IF(OR(I219="",E219=""),"",IF(E219&lt;=0,"",IFERROR(I219/E219-1,"")))</f>
        <v/>
      </c>
      <c r="J221" s="15">
        <f>IF(OR(J219="",F219=""),"",IF(F219&lt;=0,"",IFERROR(J219/F219-1,"")))</f>
        <v/>
      </c>
      <c r="M221" s="15">
        <f>IF(OR(M219="",I219=""),"",IF(I219&lt;=0,"",IFERROR(M219/I219-1,"")))</f>
        <v/>
      </c>
      <c r="N221" s="15">
        <f>IF(OR(N219="",J219=""),"",IF(J219&lt;=0,"",IFERROR(N219/J219-1,"")))</f>
        <v/>
      </c>
    </row>
    <row r="222">
      <c r="A222" s="18" t="inlineStr">
        <is>
          <t>MaterialReportableSegmentsMember · 부문 이익</t>
        </is>
      </c>
      <c r="C222" s="20" t="n">
        <v>15.67</v>
      </c>
      <c r="D222" s="20" t="n">
        <v>3.057</v>
      </c>
      <c r="E222" s="20" t="n">
        <v>4.442</v>
      </c>
      <c r="F222" s="20" t="n">
        <v>3.317</v>
      </c>
      <c r="G222" s="20" t="n">
        <v>-10.493</v>
      </c>
      <c r="H222" s="20" t="n">
        <v>-1.492</v>
      </c>
      <c r="I222" s="20" t="n">
        <v>2.365</v>
      </c>
      <c r="J222" s="20" t="n">
        <v>3.564</v>
      </c>
      <c r="K222" s="20" t="n">
        <v>2.333</v>
      </c>
      <c r="L222" s="20" t="n">
        <v>1.54</v>
      </c>
      <c r="M222" s="20" t="n">
        <v>6.113</v>
      </c>
      <c r="N222" s="20" t="n">
        <v>0.755</v>
      </c>
      <c r="V222" s="20" t="n">
        <v>3.057</v>
      </c>
      <c r="W222" s="20" t="n">
        <v>-1.492</v>
      </c>
      <c r="X222" s="20" t="n">
        <v>1.54</v>
      </c>
    </row>
    <row r="223">
      <c r="A223" s="43" t="inlineStr">
        <is>
          <t>OPM</t>
        </is>
      </c>
      <c r="B223" s="3" t="inlineStr">
        <is>
          <t>영업이익 ÷ 매출</t>
        </is>
      </c>
      <c r="C223" s="15">
        <f>IF(OR(C222="",C199=""),"",IF(C199&lt;=0,"",IFERROR(C222/C199,"")))</f>
        <v/>
      </c>
      <c r="D223" s="15">
        <f>IF(OR(D222="",D199=""),"",IF(D199&lt;=0,"",IFERROR(D222/D199,"")))</f>
        <v/>
      </c>
      <c r="E223" s="15">
        <f>IF(OR(E222="",E199=""),"",IF(E199&lt;=0,"",IFERROR(E222/E199,"")))</f>
        <v/>
      </c>
      <c r="F223" s="15">
        <f>IF(OR(F222="",F199=""),"",IF(F199&lt;=0,"",IFERROR(F222/F199,"")))</f>
        <v/>
      </c>
      <c r="G223" s="15">
        <f>IF(OR(G222="",G199=""),"",IF(G199&lt;=0,"",IFERROR(G222/G199,"")))</f>
        <v/>
      </c>
      <c r="H223" s="15">
        <f>IF(OR(H222="",H199=""),"",IF(H199&lt;=0,"",IFERROR(H222/H199,"")))</f>
        <v/>
      </c>
      <c r="I223" s="15">
        <f>IF(OR(I222="",I199=""),"",IF(I199&lt;=0,"",IFERROR(I222/I199,"")))</f>
        <v/>
      </c>
      <c r="J223" s="15">
        <f>IF(OR(J222="",J199=""),"",IF(J199&lt;=0,"",IFERROR(J222/J199,"")))</f>
        <v/>
      </c>
      <c r="K223" s="15">
        <f>IF(OR(K222="",K199=""),"",IF(K199&lt;=0,"",IFERROR(K222/K199,"")))</f>
        <v/>
      </c>
      <c r="L223" s="15">
        <f>IF(OR(L222="",L199=""),"",IF(L199&lt;=0,"",IFERROR(L222/L199,"")))</f>
        <v/>
      </c>
      <c r="M223" s="15">
        <f>IF(OR(M222="",M199=""),"",IF(M199&lt;=0,"",IFERROR(M222/M199,"")))</f>
        <v/>
      </c>
      <c r="N223" s="15">
        <f>IF(OR(N222="",N199=""),"",IF(N199&lt;=0,"",IFERROR(N222/N199,"")))</f>
        <v/>
      </c>
      <c r="V223" s="15">
        <f>IF(OR(V222="",V199=""),"",IF(V199&lt;=0,"",IFERROR(V222/V199,"")))</f>
        <v/>
      </c>
      <c r="W223" s="15">
        <f>IF(OR(W222="",W199=""),"",IF(W199&lt;=0,"",IFERROR(W222/W199,"")))</f>
        <v/>
      </c>
      <c r="X223" s="15">
        <f>IF(OR(X222="",X199=""),"",IF(X199&lt;=0,"",IFERROR(X222/X199,"")))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G224" s="15">
        <f>IF(OR(G222="",C222=""),"",IF(C222&lt;=0,"",IFERROR(G222/C222-1,"")))</f>
        <v/>
      </c>
      <c r="H224" s="15">
        <f>IF(OR(H222="",D222=""),"",IF(D222&lt;=0,"",IFERROR(H222/D222-1,"")))</f>
        <v/>
      </c>
      <c r="I224" s="15">
        <f>IF(OR(I222="",E222=""),"",IF(E222&lt;=0,"",IFERROR(I222/E222-1,"")))</f>
        <v/>
      </c>
      <c r="J224" s="15">
        <f>IF(OR(J222="",F222=""),"",IF(F222&lt;=0,"",IFERROR(J222/F222-1,"")))</f>
        <v/>
      </c>
      <c r="K224" s="15">
        <f>IF(OR(K222="",G222=""),"",IF(G222&lt;=0,"",IFERROR(K222/G222-1,"")))</f>
        <v/>
      </c>
      <c r="L224" s="15">
        <f>IF(OR(L222="",H222=""),"",IF(H222&lt;=0,"",IFERROR(L222/H222-1,"")))</f>
        <v/>
      </c>
      <c r="M224" s="15">
        <f>IF(OR(M222="",I222=""),"",IF(I222&lt;=0,"",IFERROR(M222/I222-1,"")))</f>
        <v/>
      </c>
      <c r="N224" s="15">
        <f>IF(OR(N222="",J222=""),"",IF(J222&lt;=0,"",IFERROR(N222/J222-1,"")))</f>
        <v/>
      </c>
      <c r="V224" s="15">
        <f>IF(OR(V222="",U222=""),"",IF(U222&lt;=0,"",IFERROR(V222/U222-1,"")))</f>
        <v/>
      </c>
      <c r="W224" s="15">
        <f>IF(OR(W222="",V222=""),"",IF(V222&lt;=0,"",IFERROR(W222/V222-1,"")))</f>
        <v/>
      </c>
      <c r="X224" s="15">
        <f>IF(OR(X222="",W222=""),"",IF(W222&lt;=0,"",IFERROR(X222/W222-1,"")))</f>
        <v/>
      </c>
    </row>
    <row r="225">
      <c r="A225" s="18" t="inlineStr">
        <is>
          <t>보고부문 합계 · 부문 이익</t>
        </is>
      </c>
      <c r="C225" s="20" t="n">
        <v>68.759</v>
      </c>
      <c r="D225" s="20" t="n">
        <v>3172.728</v>
      </c>
      <c r="E225" s="20" t="n">
        <v>-136.616</v>
      </c>
      <c r="F225" s="20" t="n">
        <v>692.574</v>
      </c>
      <c r="G225" s="20" t="n">
        <v>3136.063</v>
      </c>
      <c r="H225" s="20" t="n">
        <v>1941.839</v>
      </c>
      <c r="I225" s="20" t="n">
        <v>250.278</v>
      </c>
      <c r="J225" s="20" t="n">
        <v>1982.788</v>
      </c>
      <c r="K225" s="20" t="n">
        <v>681.253</v>
      </c>
      <c r="L225" s="20" t="n">
        <v>1994.836</v>
      </c>
      <c r="M225" s="20" t="n">
        <v>-139.886</v>
      </c>
      <c r="N225" s="20" t="n">
        <v>2117.546</v>
      </c>
      <c r="V225" s="20" t="n">
        <v>3172.728</v>
      </c>
      <c r="W225" s="20" t="n">
        <v>1941.839</v>
      </c>
      <c r="X225" s="20" t="n">
        <v>1994.836</v>
      </c>
    </row>
    <row r="226">
      <c r="A226" s="43" t="inlineStr">
        <is>
          <t>OPM</t>
        </is>
      </c>
      <c r="B226" s="3" t="inlineStr">
        <is>
          <t>영업이익 ÷ 매출</t>
        </is>
      </c>
      <c r="C226" s="15">
        <f>IF(OR(C225="",C201=""),"",IF(C201&lt;=0,"",IFERROR(C225/C201,"")))</f>
        <v/>
      </c>
      <c r="D226" s="15">
        <f>IF(OR(D225="",D201=""),"",IF(D201&lt;=0,"",IFERROR(D225/D201,"")))</f>
        <v/>
      </c>
      <c r="E226" s="15">
        <f>IF(OR(E225="",E201=""),"",IF(E201&lt;=0,"",IFERROR(E225/E201,"")))</f>
        <v/>
      </c>
      <c r="F226" s="15">
        <f>IF(OR(F225="",F201=""),"",IF(F201&lt;=0,"",IFERROR(F225/F201,"")))</f>
        <v/>
      </c>
      <c r="G226" s="15">
        <f>IF(OR(G225="",G201=""),"",IF(G201&lt;=0,"",IFERROR(G225/G201,"")))</f>
        <v/>
      </c>
      <c r="H226" s="15">
        <f>IF(OR(H225="",H201=""),"",IF(H201&lt;=0,"",IFERROR(H225/H201,"")))</f>
        <v/>
      </c>
      <c r="I226" s="15">
        <f>IF(OR(I225="",I201=""),"",IF(I201&lt;=0,"",IFERROR(I225/I201,"")))</f>
        <v/>
      </c>
      <c r="J226" s="15">
        <f>IF(OR(J225="",J201=""),"",IF(J201&lt;=0,"",IFERROR(J225/J201,"")))</f>
        <v/>
      </c>
      <c r="K226" s="15">
        <f>IF(OR(K225="",K201=""),"",IF(K201&lt;=0,"",IFERROR(K225/K201,"")))</f>
        <v/>
      </c>
      <c r="L226" s="15">
        <f>IF(OR(L225="",L201=""),"",IF(L201&lt;=0,"",IFERROR(L225/L201,"")))</f>
        <v/>
      </c>
      <c r="M226" s="15">
        <f>IF(OR(M225="",M201=""),"",IF(M201&lt;=0,"",IFERROR(M225/M201,"")))</f>
        <v/>
      </c>
      <c r="N226" s="15">
        <f>IF(OR(N225="",N201=""),"",IF(N201&lt;=0,"",IFERROR(N225/N201,"")))</f>
        <v/>
      </c>
      <c r="V226" s="15">
        <f>IF(OR(V225="",V201=""),"",IF(V201&lt;=0,"",IFERROR(V225/V201,"")))</f>
        <v/>
      </c>
      <c r="W226" s="15">
        <f>IF(OR(W225="",W201=""),"",IF(W201&lt;=0,"",IFERROR(W225/W201,"")))</f>
        <v/>
      </c>
      <c r="X226" s="15">
        <f>IF(OR(X225="",X201=""),"",IF(X201&lt;=0,"",IFERROR(X225/X201,"")))</f>
        <v/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G227" s="15">
        <f>IF(OR(G225="",C225=""),"",IF(C225&lt;=0,"",IFERROR(G225/C225-1,"")))</f>
        <v/>
      </c>
      <c r="H227" s="15">
        <f>IF(OR(H225="",D225=""),"",IF(D225&lt;=0,"",IFERROR(H225/D225-1,"")))</f>
        <v/>
      </c>
      <c r="I227" s="15">
        <f>IF(OR(I225="",E225=""),"",IF(E225&lt;=0,"",IFERROR(I225/E225-1,"")))</f>
        <v/>
      </c>
      <c r="J227" s="15">
        <f>IF(OR(J225="",F225=""),"",IF(F225&lt;=0,"",IFERROR(J225/F225-1,"")))</f>
        <v/>
      </c>
      <c r="K227" s="15">
        <f>IF(OR(K225="",G225=""),"",IF(G225&lt;=0,"",IFERROR(K225/G225-1,"")))</f>
        <v/>
      </c>
      <c r="L227" s="15">
        <f>IF(OR(L225="",H225=""),"",IF(H225&lt;=0,"",IFERROR(L225/H225-1,"")))</f>
        <v/>
      </c>
      <c r="M227" s="15">
        <f>IF(OR(M225="",I225=""),"",IF(I225&lt;=0,"",IFERROR(M225/I225-1,"")))</f>
        <v/>
      </c>
      <c r="N227" s="15">
        <f>IF(OR(N225="",J225=""),"",IF(J225&lt;=0,"",IFERROR(N225/J225-1,"")))</f>
        <v/>
      </c>
      <c r="V227" s="15">
        <f>IF(OR(V225="",U225=""),"",IF(U225&lt;=0,"",IFERROR(V225/U225-1,"")))</f>
        <v/>
      </c>
      <c r="W227" s="15">
        <f>IF(OR(W225="",V225=""),"",IF(V225&lt;=0,"",IFERROR(W225/V225-1,"")))</f>
        <v/>
      </c>
      <c r="X227" s="15">
        <f>IF(OR(X225="",W225=""),"",IF(W225&lt;=0,"",IFERROR(X225/W225-1,"")))</f>
        <v/>
      </c>
    </row>
    <row r="228">
      <c r="A228" s="18" t="inlineStr">
        <is>
          <t>기타 · 부문 이익</t>
        </is>
      </c>
      <c r="C228" s="20" t="n">
        <v>7.376</v>
      </c>
      <c r="D228" s="20" t="n">
        <v>5.856</v>
      </c>
      <c r="E228" s="20" t="n">
        <v>16.689</v>
      </c>
      <c r="F228" s="20" t="n">
        <v>9.047000000000001</v>
      </c>
      <c r="G228" s="20" t="n">
        <v>5.613</v>
      </c>
      <c r="H228" s="20" t="n">
        <v>2.268</v>
      </c>
      <c r="I228" s="20" t="n">
        <v>9.946</v>
      </c>
      <c r="J228" s="20" t="n">
        <v>3.15</v>
      </c>
      <c r="K228" s="20" t="n">
        <v>4.933</v>
      </c>
      <c r="L228" s="20" t="n">
        <v>1.265</v>
      </c>
      <c r="M228" s="20" t="n">
        <v>9.256</v>
      </c>
      <c r="N228" s="20" t="n">
        <v>4.343</v>
      </c>
      <c r="V228" s="20" t="n">
        <v>5.856</v>
      </c>
      <c r="W228" s="20" t="n">
        <v>2.268</v>
      </c>
      <c r="X228" s="20" t="n">
        <v>1.265</v>
      </c>
    </row>
    <row r="229">
      <c r="A229" s="43" t="inlineStr">
        <is>
          <t>OPM</t>
        </is>
      </c>
      <c r="B229" s="3" t="inlineStr">
        <is>
          <t>영업이익 ÷ 매출</t>
        </is>
      </c>
      <c r="C229" s="15">
        <f>IF(OR(C228="",C203=""),"",IF(C203&lt;=0,"",IFERROR(C228/C203,"")))</f>
        <v/>
      </c>
      <c r="D229" s="15">
        <f>IF(OR(D228="",D203=""),"",IF(D203&lt;=0,"",IFERROR(D228/D203,"")))</f>
        <v/>
      </c>
      <c r="E229" s="15">
        <f>IF(OR(E228="",E203=""),"",IF(E203&lt;=0,"",IFERROR(E228/E203,"")))</f>
        <v/>
      </c>
      <c r="F229" s="15">
        <f>IF(OR(F228="",F203=""),"",IF(F203&lt;=0,"",IFERROR(F228/F203,"")))</f>
        <v/>
      </c>
      <c r="G229" s="15">
        <f>IF(OR(G228="",G203=""),"",IF(G203&lt;=0,"",IFERROR(G228/G203,"")))</f>
        <v/>
      </c>
      <c r="H229" s="15">
        <f>IF(OR(H228="",H203=""),"",IF(H203&lt;=0,"",IFERROR(H228/H203,"")))</f>
        <v/>
      </c>
      <c r="I229" s="15">
        <f>IF(OR(I228="",I203=""),"",IF(I203&lt;=0,"",IFERROR(I228/I203,"")))</f>
        <v/>
      </c>
      <c r="J229" s="15">
        <f>IF(OR(J228="",J203=""),"",IF(J203&lt;=0,"",IFERROR(J228/J203,"")))</f>
        <v/>
      </c>
      <c r="K229" s="15">
        <f>IF(OR(K228="",K203=""),"",IF(K203&lt;=0,"",IFERROR(K228/K203,"")))</f>
        <v/>
      </c>
      <c r="L229" s="15">
        <f>IF(OR(L228="",L203=""),"",IF(L203&lt;=0,"",IFERROR(L228/L203,"")))</f>
        <v/>
      </c>
      <c r="M229" s="15">
        <f>IF(OR(M228="",M203=""),"",IF(M203&lt;=0,"",IFERROR(M228/M203,"")))</f>
        <v/>
      </c>
      <c r="N229" s="15">
        <f>IF(OR(N228="",N203=""),"",IF(N203&lt;=0,"",IFERROR(N228/N203,"")))</f>
        <v/>
      </c>
      <c r="V229" s="15">
        <f>IF(OR(V228="",V203=""),"",IF(V203&lt;=0,"",IFERROR(V228/V203,"")))</f>
        <v/>
      </c>
      <c r="W229" s="15">
        <f>IF(OR(W228="",W203=""),"",IF(W203&lt;=0,"",IFERROR(W228/W203,"")))</f>
        <v/>
      </c>
      <c r="X229" s="15">
        <f>IF(OR(X228="",X203=""),"",IF(X203&lt;=0,"",IFERROR(X228/X203,"")))</f>
        <v/>
      </c>
    </row>
    <row r="230">
      <c r="A230" s="43" t="inlineStr">
        <is>
          <t>YoY</t>
        </is>
      </c>
      <c r="B230" s="3" t="inlineStr">
        <is>
          <t>전년 같은 분기·전년 대비</t>
        </is>
      </c>
      <c r="G230" s="15">
        <f>IF(OR(G228="",C228=""),"",IF(C228&lt;=0,"",IFERROR(G228/C228-1,"")))</f>
        <v/>
      </c>
      <c r="H230" s="15">
        <f>IF(OR(H228="",D228=""),"",IF(D228&lt;=0,"",IFERROR(H228/D228-1,"")))</f>
        <v/>
      </c>
      <c r="I230" s="15">
        <f>IF(OR(I228="",E228=""),"",IF(E228&lt;=0,"",IFERROR(I228/E228-1,"")))</f>
        <v/>
      </c>
      <c r="J230" s="15">
        <f>IF(OR(J228="",F228=""),"",IF(F228&lt;=0,"",IFERROR(J228/F228-1,"")))</f>
        <v/>
      </c>
      <c r="K230" s="15">
        <f>IF(OR(K228="",G228=""),"",IF(G228&lt;=0,"",IFERROR(K228/G228-1,"")))</f>
        <v/>
      </c>
      <c r="L230" s="15">
        <f>IF(OR(L228="",H228=""),"",IF(H228&lt;=0,"",IFERROR(L228/H228-1,"")))</f>
        <v/>
      </c>
      <c r="M230" s="15">
        <f>IF(OR(M228="",I228=""),"",IF(I228&lt;=0,"",IFERROR(M228/I228-1,"")))</f>
        <v/>
      </c>
      <c r="N230" s="15">
        <f>IF(OR(N228="",J228=""),"",IF(J228&lt;=0,"",IFERROR(N228/J228-1,"")))</f>
        <v/>
      </c>
      <c r="V230" s="15">
        <f>IF(OR(V228="",U228=""),"",IF(U228&lt;=0,"",IFERROR(V228/U228-1,"")))</f>
        <v/>
      </c>
      <c r="W230" s="15">
        <f>IF(OR(W228="",V228=""),"",IF(V228&lt;=0,"",IFERROR(W228/V228-1,"")))</f>
        <v/>
      </c>
      <c r="X230" s="15">
        <f>IF(OR(X228="",W228=""),"",IF(W228&lt;=0,"",IFERROR(X228/W228-1,"")))</f>
        <v/>
      </c>
    </row>
    <row r="231">
      <c r="A231" s="18" t="inlineStr">
        <is>
          <t>합계 · 부문 이익</t>
        </is>
      </c>
      <c r="C231" s="20" t="n">
        <v>76.13500000000001</v>
      </c>
      <c r="D231" s="20" t="n">
        <v>3178.585</v>
      </c>
      <c r="E231" s="20" t="n">
        <v>-119.927</v>
      </c>
      <c r="F231" s="20" t="n">
        <v>701.622</v>
      </c>
      <c r="G231" s="20" t="n">
        <v>3141.675</v>
      </c>
      <c r="H231" s="20" t="n">
        <v>1944.108</v>
      </c>
      <c r="I231" s="20" t="n">
        <v>260.225</v>
      </c>
      <c r="J231" s="20" t="n">
        <v>1985.938</v>
      </c>
      <c r="K231" s="20" t="n">
        <v>686.186</v>
      </c>
      <c r="L231" s="20" t="n">
        <v>1996.101</v>
      </c>
      <c r="M231" s="20" t="n">
        <v>-130.629</v>
      </c>
      <c r="N231" s="20" t="n">
        <v>2121.889</v>
      </c>
      <c r="V231" s="20" t="n">
        <v>3178.585</v>
      </c>
      <c r="W231" s="20" t="n">
        <v>1944.108</v>
      </c>
      <c r="X231" s="20" t="n">
        <v>1996.101</v>
      </c>
    </row>
    <row r="232">
      <c r="A232" s="43" t="inlineStr">
        <is>
          <t>OPM</t>
        </is>
      </c>
      <c r="B232" s="3" t="inlineStr">
        <is>
          <t>영업이익 ÷ 매출</t>
        </is>
      </c>
      <c r="C232" s="15">
        <f>IF(OR(C231="",C205=""),"",IF(C205&lt;=0,"",IFERROR(C231/C205,"")))</f>
        <v/>
      </c>
      <c r="D232" s="15">
        <f>IF(OR(D231="",D205=""),"",IF(D205&lt;=0,"",IFERROR(D231/D205,"")))</f>
        <v/>
      </c>
      <c r="E232" s="15">
        <f>IF(OR(E231="",E205=""),"",IF(E205&lt;=0,"",IFERROR(E231/E205,"")))</f>
        <v/>
      </c>
      <c r="F232" s="15">
        <f>IF(OR(F231="",F205=""),"",IF(F205&lt;=0,"",IFERROR(F231/F205,"")))</f>
        <v/>
      </c>
      <c r="G232" s="15">
        <f>IF(OR(G231="",G205=""),"",IF(G205&lt;=0,"",IFERROR(G231/G205,"")))</f>
        <v/>
      </c>
      <c r="H232" s="15">
        <f>IF(OR(H231="",H205=""),"",IF(H205&lt;=0,"",IFERROR(H231/H205,"")))</f>
        <v/>
      </c>
      <c r="I232" s="15">
        <f>IF(OR(I231="",I205=""),"",IF(I205&lt;=0,"",IFERROR(I231/I205,"")))</f>
        <v/>
      </c>
      <c r="J232" s="15">
        <f>IF(OR(J231="",J205=""),"",IF(J205&lt;=0,"",IFERROR(J231/J205,"")))</f>
        <v/>
      </c>
      <c r="K232" s="15">
        <f>IF(OR(K231="",K205=""),"",IF(K205&lt;=0,"",IFERROR(K231/K205,"")))</f>
        <v/>
      </c>
      <c r="L232" s="15">
        <f>IF(OR(L231="",L205=""),"",IF(L205&lt;=0,"",IFERROR(L231/L205,"")))</f>
        <v/>
      </c>
      <c r="M232" s="15">
        <f>IF(OR(M231="",M205=""),"",IF(M205&lt;=0,"",IFERROR(M231/M205,"")))</f>
        <v/>
      </c>
      <c r="N232" s="15">
        <f>IF(OR(N231="",N205=""),"",IF(N205&lt;=0,"",IFERROR(N231/N205,"")))</f>
        <v/>
      </c>
      <c r="V232" s="15">
        <f>IF(OR(V231="",V205=""),"",IF(V205&lt;=0,"",IFERROR(V231/V205,"")))</f>
        <v/>
      </c>
      <c r="W232" s="15">
        <f>IF(OR(W231="",W205=""),"",IF(W205&lt;=0,"",IFERROR(W231/W205,"")))</f>
        <v/>
      </c>
      <c r="X232" s="15">
        <f>IF(OR(X231="",X205=""),"",IF(X205&lt;=0,"",IFERROR(X231/X205,"")))</f>
        <v/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G233" s="15">
        <f>IF(OR(G231="",C231=""),"",IF(C231&lt;=0,"",IFERROR(G231/C231-1,"")))</f>
        <v/>
      </c>
      <c r="H233" s="15">
        <f>IF(OR(H231="",D231=""),"",IF(D231&lt;=0,"",IFERROR(H231/D231-1,"")))</f>
        <v/>
      </c>
      <c r="I233" s="15">
        <f>IF(OR(I231="",E231=""),"",IF(E231&lt;=0,"",IFERROR(I231/E231-1,"")))</f>
        <v/>
      </c>
      <c r="J233" s="15">
        <f>IF(OR(J231="",F231=""),"",IF(F231&lt;=0,"",IFERROR(J231/F231-1,"")))</f>
        <v/>
      </c>
      <c r="K233" s="15">
        <f>IF(OR(K231="",G231=""),"",IF(G231&lt;=0,"",IFERROR(K231/G231-1,"")))</f>
        <v/>
      </c>
      <c r="L233" s="15">
        <f>IF(OR(L231="",H231=""),"",IF(H231&lt;=0,"",IFERROR(L231/H231-1,"")))</f>
        <v/>
      </c>
      <c r="M233" s="15">
        <f>IF(OR(M231="",I231=""),"",IF(I231&lt;=0,"",IFERROR(M231/I231-1,"")))</f>
        <v/>
      </c>
      <c r="N233" s="15">
        <f>IF(OR(N231="",J231=""),"",IF(J231&lt;=0,"",IFERROR(N231/J231-1,"")))</f>
        <v/>
      </c>
      <c r="V233" s="15">
        <f>IF(OR(V231="",U231=""),"",IF(U231&lt;=0,"",IFERROR(V231/U231-1,"")))</f>
        <v/>
      </c>
      <c r="W233" s="15">
        <f>IF(OR(W231="",V231=""),"",IF(V231&lt;=0,"",IFERROR(W231/V231-1,"")))</f>
        <v/>
      </c>
      <c r="X233" s="15">
        <f>IF(OR(X231="",W231=""),"",IF(W231&lt;=0,"",IFERROR(X231/W231-1,"")))</f>
        <v/>
      </c>
    </row>
    <row r="235">
      <c r="A235" s="16" t="inlineStr">
        <is>
          <t>현금흐름표 · 전 항목</t>
        </is>
      </c>
      <c r="B235" s="42" t="inlineStr">
        <is>
          <t>분기 = 결산기 첫날부터 누계(공시 그대로)</t>
        </is>
      </c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</row>
    <row r="236">
      <c r="A236" s="5" t="inlineStr">
        <is>
          <t>항목</t>
        </is>
      </c>
      <c r="B236" s="5" t="inlineStr">
        <is>
          <t>참고</t>
        </is>
      </c>
      <c r="C236" s="5" t="inlineStr">
        <is>
          <t>2024.3Q</t>
        </is>
      </c>
      <c r="D236" s="5" t="inlineStr">
        <is>
          <t>2024.4Q</t>
        </is>
      </c>
      <c r="E236" s="5" t="inlineStr">
        <is>
          <t>2025.1Q</t>
        </is>
      </c>
      <c r="F236" s="5" t="inlineStr">
        <is>
          <t>2025.2Q</t>
        </is>
      </c>
      <c r="G236" s="5" t="inlineStr">
        <is>
          <t>2025.3Q</t>
        </is>
      </c>
      <c r="H236" s="5" t="inlineStr">
        <is>
          <t>2025.4Q</t>
        </is>
      </c>
      <c r="I236" s="5" t="inlineStr">
        <is>
          <t>2026.1Q</t>
        </is>
      </c>
      <c r="J236" s="5" t="inlineStr">
        <is>
          <t>2026.2Q</t>
        </is>
      </c>
      <c r="K236" s="5" t="inlineStr">
        <is>
          <t>2026.3Q</t>
        </is>
      </c>
      <c r="L236" s="5" t="inlineStr">
        <is>
          <t>2026.4Q</t>
        </is>
      </c>
      <c r="M236" s="5" t="inlineStr">
        <is>
          <t>2027.1Q</t>
        </is>
      </c>
      <c r="N236" s="5" t="inlineStr">
        <is>
          <t>2027.2Q</t>
        </is>
      </c>
      <c r="O236" s="5" t="inlineStr">
        <is>
          <t>2017</t>
        </is>
      </c>
      <c r="P236" s="5" t="inlineStr">
        <is>
          <t>2018</t>
        </is>
      </c>
      <c r="Q236" s="5" t="inlineStr">
        <is>
          <t>2019</t>
        </is>
      </c>
      <c r="R236" s="5" t="inlineStr">
        <is>
          <t>2020</t>
        </is>
      </c>
      <c r="S236" s="5" t="inlineStr">
        <is>
          <t>2021</t>
        </is>
      </c>
      <c r="T236" s="5" t="inlineStr">
        <is>
          <t>2022</t>
        </is>
      </c>
      <c r="U236" s="5" t="inlineStr">
        <is>
          <t>2023</t>
        </is>
      </c>
      <c r="V236" s="5" t="inlineStr">
        <is>
          <t>2024</t>
        </is>
      </c>
      <c r="W236" s="5" t="inlineStr">
        <is>
          <t>2025</t>
        </is>
      </c>
      <c r="X236" s="5" t="inlineStr">
        <is>
          <t>2026</t>
        </is>
      </c>
      <c r="Y236" s="5" t="inlineStr">
        <is>
          <t>2027(MW)</t>
        </is>
      </c>
      <c r="Z236" s="5" t="inlineStr">
        <is>
          <t>2028(MW)</t>
        </is>
      </c>
      <c r="AA236" s="5" t="inlineStr">
        <is>
          <t>2029(MW)</t>
        </is>
      </c>
      <c r="AB236" s="5" t="inlineStr">
        <is>
          <t>2030(MW)</t>
        </is>
      </c>
      <c r="AC236" s="5" t="inlineStr">
        <is>
          <t>2031(MW)</t>
        </is>
      </c>
    </row>
    <row r="237">
      <c r="A237" s="9" t="inlineStr">
        <is>
          <t>법인세차감전 순이익</t>
        </is>
      </c>
      <c r="D237" s="12" t="n">
        <v>3285.893</v>
      </c>
      <c r="F237" s="12" t="n">
        <v>245.309</v>
      </c>
      <c r="H237" s="12" t="n">
        <v>4715.479</v>
      </c>
      <c r="J237" s="12" t="n">
        <v>1896.735</v>
      </c>
      <c r="L237" s="12" t="n">
        <v>4169.161</v>
      </c>
      <c r="N237" s="12" t="n">
        <v>1628.427</v>
      </c>
      <c r="O237" s="12" t="n">
        <v>3109.086</v>
      </c>
      <c r="P237" s="12" t="n">
        <v>3355.386</v>
      </c>
      <c r="Q237" s="12" t="n">
        <v>2519.214</v>
      </c>
      <c r="R237" s="12" t="n">
        <v>1651.938</v>
      </c>
      <c r="S237" s="12" t="n">
        <v>2377.563</v>
      </c>
      <c r="T237" s="12" t="n">
        <v>2621.736</v>
      </c>
      <c r="U237" s="12" t="n">
        <v>1902.854</v>
      </c>
      <c r="V237" s="12" t="n">
        <v>3285.893</v>
      </c>
      <c r="W237" s="12" t="n">
        <v>4715.479</v>
      </c>
      <c r="X237" s="12" t="n">
        <v>4169.161</v>
      </c>
    </row>
    <row r="238">
      <c r="A238" s="18" t="inlineStr">
        <is>
          <t>감가상각비</t>
        </is>
      </c>
      <c r="D238" s="20" t="n">
        <v>71.646</v>
      </c>
      <c r="F238" s="20" t="n">
        <v>35.226</v>
      </c>
      <c r="H238" s="20" t="n">
        <v>82.994</v>
      </c>
      <c r="J238" s="20" t="n">
        <v>37.375</v>
      </c>
      <c r="L238" s="20" t="n">
        <v>74.93300000000001</v>
      </c>
      <c r="N238" s="20" t="n">
        <v>28.412</v>
      </c>
      <c r="O238" s="20" t="n">
        <v>197.951</v>
      </c>
      <c r="P238" s="20" t="n">
        <v>183.075</v>
      </c>
      <c r="Q238" s="20" t="n">
        <v>157.928</v>
      </c>
      <c r="R238" s="20" t="n">
        <v>136.355</v>
      </c>
      <c r="S238" s="20" t="n">
        <v>99.517</v>
      </c>
      <c r="T238" s="20" t="n">
        <v>82.527</v>
      </c>
      <c r="U238" s="20" t="n">
        <v>85.151</v>
      </c>
      <c r="V238" s="20" t="n">
        <v>71.646</v>
      </c>
      <c r="W238" s="20" t="n">
        <v>82.994</v>
      </c>
      <c r="X238" s="20" t="n">
        <v>74.93300000000001</v>
      </c>
    </row>
    <row r="239">
      <c r="A239" s="18" t="inlineStr">
        <is>
          <t>손상차손</t>
        </is>
      </c>
      <c r="D239" s="20" t="n">
        <v>0</v>
      </c>
      <c r="O239" s="20" t="n">
        <v>105.537</v>
      </c>
      <c r="P239" s="20" t="n">
        <v>22.275</v>
      </c>
      <c r="Q239" s="20" t="n">
        <v>10.077</v>
      </c>
      <c r="R239" s="20" t="n">
        <v>0</v>
      </c>
      <c r="S239" s="20" t="n">
        <v>60.86</v>
      </c>
      <c r="T239" s="20" t="n">
        <v>0</v>
      </c>
      <c r="U239" s="20" t="n">
        <v>16.945</v>
      </c>
      <c r="V239" s="20" t="n">
        <v>0</v>
      </c>
    </row>
    <row r="240">
      <c r="A240" s="18" t="inlineStr">
        <is>
          <t>수취 손해배상금</t>
        </is>
      </c>
      <c r="O240" s="20" t="n">
        <v>-20.25</v>
      </c>
      <c r="P240" s="20" t="n">
        <v>-173.166</v>
      </c>
      <c r="Q240" s="20" t="n">
        <v>0</v>
      </c>
    </row>
    <row r="241">
      <c r="A241" s="18" t="inlineStr">
        <is>
          <t>익명조합 투자손익</t>
        </is>
      </c>
      <c r="D241" s="20" t="n">
        <v>8.581</v>
      </c>
      <c r="F241" s="20" t="n">
        <v>0</v>
      </c>
      <c r="H241" s="20" t="n">
        <v>0</v>
      </c>
      <c r="O241" s="20" t="n">
        <v>-277.455</v>
      </c>
      <c r="P241" s="20" t="n">
        <v>0</v>
      </c>
      <c r="Q241" s="20" t="n">
        <v>-151.516</v>
      </c>
      <c r="R241" s="20" t="n">
        <v>-463.82</v>
      </c>
      <c r="S241" s="20" t="n">
        <v>-693.982</v>
      </c>
      <c r="T241" s="20" t="n">
        <v>-142.728</v>
      </c>
      <c r="U241" s="20" t="n">
        <v>-148.458</v>
      </c>
      <c r="V241" s="20" t="n">
        <v>8.581</v>
      </c>
      <c r="W241" s="20" t="n">
        <v>0</v>
      </c>
    </row>
    <row r="242">
      <c r="A242" s="18" t="inlineStr">
        <is>
          <t>판매용 부동산 평가손</t>
        </is>
      </c>
      <c r="D242" s="20" t="n">
        <v>211.117</v>
      </c>
      <c r="H242" s="20" t="n">
        <v>32</v>
      </c>
      <c r="O242" s="20" t="n">
        <v>34.353</v>
      </c>
      <c r="P242" s="20" t="n">
        <v>30.706</v>
      </c>
      <c r="Q242" s="20" t="n">
        <v>0</v>
      </c>
      <c r="R242" s="20" t="n">
        <v>100</v>
      </c>
      <c r="S242" s="20" t="n">
        <v>46.408</v>
      </c>
      <c r="T242" s="20" t="n">
        <v>0</v>
      </c>
      <c r="U242" s="20" t="n">
        <v>0</v>
      </c>
      <c r="V242" s="20" t="n">
        <v>211.117</v>
      </c>
      <c r="W242" s="20" t="n">
        <v>32</v>
      </c>
    </row>
    <row r="243">
      <c r="A243" s="18" t="inlineStr">
        <is>
          <t>투자유가증권 매각손익</t>
        </is>
      </c>
      <c r="D243" s="20" t="n">
        <v>-165.088</v>
      </c>
      <c r="F243" s="20" t="n">
        <v>0</v>
      </c>
      <c r="H243" s="20" t="n">
        <v>13.87</v>
      </c>
      <c r="J243" s="20" t="n">
        <v>-98.136</v>
      </c>
      <c r="L243" s="20" t="n">
        <v>-228.682</v>
      </c>
      <c r="N243" s="20" t="n">
        <v>0</v>
      </c>
      <c r="O243" s="20" t="n">
        <v>-1.774</v>
      </c>
      <c r="P243" s="20" t="n">
        <v>-7.348</v>
      </c>
      <c r="U243" s="20" t="n">
        <v>-29.821</v>
      </c>
      <c r="V243" s="20" t="n">
        <v>-165.088</v>
      </c>
      <c r="W243" s="20" t="n">
        <v>13.87</v>
      </c>
      <c r="X243" s="20" t="n">
        <v>-228.682</v>
      </c>
    </row>
    <row r="244">
      <c r="A244" s="18" t="inlineStr">
        <is>
          <t>관계회사 주식 매각손익</t>
        </is>
      </c>
      <c r="D244" s="20" t="n">
        <v>0</v>
      </c>
      <c r="T244" s="20" t="n">
        <v>0</v>
      </c>
      <c r="U244" s="20" t="n">
        <v>-203.477</v>
      </c>
      <c r="V244" s="20" t="n">
        <v>0</v>
      </c>
    </row>
    <row r="245">
      <c r="A245" s="18" t="inlineStr">
        <is>
          <t>대손충당금 증감</t>
        </is>
      </c>
      <c r="D245" s="20" t="n">
        <v>4.308</v>
      </c>
      <c r="F245" s="20" t="n">
        <v>3.254</v>
      </c>
      <c r="H245" s="20" t="n">
        <v>8.635999999999999</v>
      </c>
      <c r="J245" s="20" t="n">
        <v>10.491</v>
      </c>
      <c r="L245" s="20" t="n">
        <v>2.325</v>
      </c>
      <c r="N245" s="20" t="n">
        <v>1.35</v>
      </c>
      <c r="O245" s="20" t="n">
        <v>6.051</v>
      </c>
      <c r="P245" s="20" t="n">
        <v>-1.11</v>
      </c>
      <c r="Q245" s="20" t="n">
        <v>-4.488</v>
      </c>
      <c r="R245" s="20" t="n">
        <v>-3.99</v>
      </c>
      <c r="S245" s="20" t="n">
        <v>3.71</v>
      </c>
      <c r="T245" s="20" t="n">
        <v>3.081</v>
      </c>
      <c r="U245" s="20" t="n">
        <v>-0.214</v>
      </c>
      <c r="V245" s="20" t="n">
        <v>4.308</v>
      </c>
      <c r="W245" s="20" t="n">
        <v>8.635999999999999</v>
      </c>
      <c r="X245" s="20" t="n">
        <v>2.325</v>
      </c>
    </row>
    <row r="246">
      <c r="A246" s="18" t="inlineStr">
        <is>
          <t>상여충당금 증감</t>
        </is>
      </c>
      <c r="D246" s="20" t="n">
        <v>-4.388</v>
      </c>
      <c r="F246" s="20" t="n">
        <v>5.299</v>
      </c>
      <c r="H246" s="20" t="n">
        <v>7.315</v>
      </c>
      <c r="J246" s="20" t="n">
        <v>4.471</v>
      </c>
      <c r="L246" s="20" t="n">
        <v>5.904</v>
      </c>
      <c r="N246" s="20" t="n">
        <v>3.782</v>
      </c>
      <c r="O246" s="20" t="n">
        <v>2.437</v>
      </c>
      <c r="P246" s="20" t="n">
        <v>5.065</v>
      </c>
      <c r="Q246" s="20" t="n">
        <v>3.223</v>
      </c>
      <c r="R246" s="20" t="n">
        <v>-7.423</v>
      </c>
      <c r="S246" s="20" t="n">
        <v>-10.881</v>
      </c>
      <c r="T246" s="20" t="n">
        <v>2.262</v>
      </c>
      <c r="U246" s="20" t="n">
        <v>2.862</v>
      </c>
      <c r="V246" s="20" t="n">
        <v>-4.388</v>
      </c>
      <c r="W246" s="20" t="n">
        <v>7.315</v>
      </c>
      <c r="X246" s="20" t="n">
        <v>5.904</v>
      </c>
    </row>
    <row r="247">
      <c r="A247" s="18" t="inlineStr">
        <is>
          <t>임원 상여충당금 증감</t>
        </is>
      </c>
      <c r="D247" s="20" t="n">
        <v>200</v>
      </c>
      <c r="F247" s="20" t="n">
        <v>-200</v>
      </c>
      <c r="H247" s="20" t="n">
        <v>0</v>
      </c>
      <c r="J247" s="20" t="n">
        <v>-200</v>
      </c>
      <c r="N247" s="20" t="n">
        <v>-200</v>
      </c>
      <c r="O247" s="20" t="n">
        <v>10</v>
      </c>
      <c r="P247" s="20" t="n">
        <v>10</v>
      </c>
      <c r="Q247" s="20" t="n">
        <v>0</v>
      </c>
      <c r="R247" s="20" t="n">
        <v>-50</v>
      </c>
      <c r="S247" s="20" t="n">
        <v>74</v>
      </c>
      <c r="T247" s="20" t="n">
        <v>36</v>
      </c>
      <c r="U247" s="20" t="n">
        <v>-180</v>
      </c>
      <c r="V247" s="20" t="n">
        <v>200</v>
      </c>
      <c r="W247" s="20" t="n">
        <v>0</v>
      </c>
    </row>
    <row r="248">
      <c r="A248" s="18" t="inlineStr">
        <is>
          <t>퇴직급여부채 증감</t>
        </is>
      </c>
      <c r="O248" s="20" t="n">
        <v>-10.47</v>
      </c>
      <c r="P248" s="20" t="n">
        <v>0</v>
      </c>
    </row>
    <row r="249">
      <c r="A249" s="18" t="inlineStr">
        <is>
          <t>예수 보증금 등 해약 이익</t>
        </is>
      </c>
      <c r="P249" s="20" t="n">
        <v>0</v>
      </c>
      <c r="Q249" s="20" t="n">
        <v>-70</v>
      </c>
      <c r="R249" s="20" t="n">
        <v>0</v>
      </c>
    </row>
    <row r="250">
      <c r="A250" s="18" t="inlineStr">
        <is>
          <t>주식보상비용</t>
        </is>
      </c>
      <c r="D250" s="20" t="n">
        <v>0</v>
      </c>
      <c r="F250" s="20" t="n">
        <v>49.999</v>
      </c>
      <c r="H250" s="20" t="n">
        <v>149.999</v>
      </c>
      <c r="J250" s="20" t="n">
        <v>99.999</v>
      </c>
      <c r="L250" s="20" t="n">
        <v>199.998</v>
      </c>
      <c r="N250" s="20" t="n">
        <v>99.999</v>
      </c>
      <c r="Q250" s="20" t="n">
        <v>0</v>
      </c>
      <c r="R250" s="20" t="n">
        <v>149.927</v>
      </c>
      <c r="S250" s="20" t="n">
        <v>182.425</v>
      </c>
      <c r="T250" s="20" t="n">
        <v>44.15</v>
      </c>
      <c r="U250" s="20" t="n">
        <v>0</v>
      </c>
      <c r="V250" s="20" t="n">
        <v>0</v>
      </c>
      <c r="W250" s="20" t="n">
        <v>149.999</v>
      </c>
      <c r="X250" s="20" t="n">
        <v>199.998</v>
      </c>
    </row>
    <row r="251">
      <c r="A251" s="18" t="inlineStr">
        <is>
          <t>투자유가증권 평가손익</t>
        </is>
      </c>
      <c r="D251" s="20" t="n">
        <v>34.588</v>
      </c>
      <c r="H251" s="20" t="n">
        <v>0</v>
      </c>
      <c r="U251" s="20" t="n">
        <v>0</v>
      </c>
      <c r="V251" s="20" t="n">
        <v>34.588</v>
      </c>
      <c r="W251" s="20" t="n">
        <v>0</v>
      </c>
    </row>
    <row r="252">
      <c r="A252" s="18" t="inlineStr">
        <is>
          <t>이자·배당금 수익</t>
        </is>
      </c>
      <c r="D252" s="20" t="n">
        <v>-156.992</v>
      </c>
      <c r="F252" s="20" t="n">
        <v>-75.851</v>
      </c>
      <c r="H252" s="20" t="n">
        <v>-149.341</v>
      </c>
      <c r="J252" s="20" t="n">
        <v>-88.749</v>
      </c>
      <c r="L252" s="20" t="n">
        <v>-169.933</v>
      </c>
      <c r="N252" s="20" t="n">
        <v>-88.55800000000001</v>
      </c>
      <c r="O252" s="20" t="n">
        <v>-11.562</v>
      </c>
      <c r="P252" s="20" t="n">
        <v>-10.608</v>
      </c>
      <c r="Q252" s="20" t="n">
        <v>-11.458</v>
      </c>
      <c r="R252" s="20" t="n">
        <v>-12.132</v>
      </c>
      <c r="S252" s="20" t="n">
        <v>-13.146</v>
      </c>
      <c r="T252" s="20" t="n">
        <v>-57.407</v>
      </c>
      <c r="U252" s="20" t="n">
        <v>-128.377</v>
      </c>
      <c r="V252" s="20" t="n">
        <v>-156.992</v>
      </c>
      <c r="W252" s="20" t="n">
        <v>-149.341</v>
      </c>
      <c r="X252" s="20" t="n">
        <v>-169.933</v>
      </c>
    </row>
    <row r="253">
      <c r="A253" s="18" t="inlineStr">
        <is>
          <t>이자비용</t>
        </is>
      </c>
      <c r="D253" s="20" t="n">
        <v>73.31699999999999</v>
      </c>
      <c r="F253" s="20" t="n">
        <v>34.897</v>
      </c>
      <c r="H253" s="20" t="n">
        <v>83.84699999999999</v>
      </c>
      <c r="J253" s="20" t="n">
        <v>68.16200000000001</v>
      </c>
      <c r="L253" s="20" t="n">
        <v>149.551</v>
      </c>
      <c r="N253" s="20" t="n">
        <v>103.287</v>
      </c>
      <c r="O253" s="20" t="n">
        <v>64.09999999999999</v>
      </c>
      <c r="P253" s="20" t="n">
        <v>71.836</v>
      </c>
      <c r="Q253" s="20" t="n">
        <v>68.994</v>
      </c>
      <c r="R253" s="20" t="n">
        <v>74.261</v>
      </c>
      <c r="S253" s="20" t="n">
        <v>77.07599999999999</v>
      </c>
      <c r="T253" s="20" t="n">
        <v>58.85</v>
      </c>
      <c r="U253" s="20" t="n">
        <v>41.951</v>
      </c>
      <c r="V253" s="20" t="n">
        <v>73.31699999999999</v>
      </c>
      <c r="W253" s="20" t="n">
        <v>83.84699999999999</v>
      </c>
      <c r="X253" s="20" t="n">
        <v>149.551</v>
      </c>
    </row>
    <row r="254">
      <c r="A254" s="18" t="inlineStr">
        <is>
          <t>손해배상금</t>
        </is>
      </c>
      <c r="R254" s="20" t="n">
        <v>0</v>
      </c>
      <c r="S254" s="20" t="n">
        <v>12</v>
      </c>
      <c r="T254" s="20" t="n">
        <v>0</v>
      </c>
    </row>
    <row r="255">
      <c r="A255" s="18" t="inlineStr">
        <is>
          <t>고정자산 매각손익</t>
        </is>
      </c>
      <c r="D255" s="20" t="n">
        <v>-0.541</v>
      </c>
      <c r="F255" s="20" t="n">
        <v>-1.243</v>
      </c>
      <c r="H255" s="20" t="n">
        <v>-1.631</v>
      </c>
      <c r="J255" s="20" t="n">
        <v>-2.55</v>
      </c>
      <c r="L255" s="20" t="n">
        <v>-2.55</v>
      </c>
      <c r="N255" s="20" t="n">
        <v>0</v>
      </c>
      <c r="O255" s="20" t="n">
        <v>-1.846</v>
      </c>
      <c r="P255" s="20" t="n">
        <v>-31.15</v>
      </c>
      <c r="Q255" s="20" t="n">
        <v>-80.599</v>
      </c>
      <c r="R255" s="20" t="n">
        <v>-422.841</v>
      </c>
      <c r="S255" s="20" t="n">
        <v>-30.77</v>
      </c>
      <c r="T255" s="20" t="n">
        <v>-7.592</v>
      </c>
      <c r="U255" s="20" t="n">
        <v>-5.786</v>
      </c>
      <c r="V255" s="20" t="n">
        <v>-0.541</v>
      </c>
      <c r="W255" s="20" t="n">
        <v>-1.631</v>
      </c>
      <c r="X255" s="20" t="n">
        <v>-2.55</v>
      </c>
    </row>
    <row r="256">
      <c r="A256" s="18" t="inlineStr">
        <is>
          <t>고정자산 제각손실</t>
        </is>
      </c>
      <c r="D256" s="20" t="n">
        <v>3.845</v>
      </c>
      <c r="F256" s="20" t="n">
        <v>5.714</v>
      </c>
      <c r="H256" s="20" t="n">
        <v>39.02</v>
      </c>
      <c r="J256" s="20" t="n">
        <v>0</v>
      </c>
      <c r="L256" s="20" t="n">
        <v>0.28</v>
      </c>
      <c r="N256" s="20" t="n">
        <v>0.022</v>
      </c>
      <c r="O256" s="20" t="n">
        <v>10.116</v>
      </c>
      <c r="P256" s="20" t="n">
        <v>0.85</v>
      </c>
      <c r="Q256" s="20" t="n">
        <v>121.304</v>
      </c>
      <c r="R256" s="20" t="n">
        <v>17.2</v>
      </c>
      <c r="S256" s="20" t="n">
        <v>14.037</v>
      </c>
      <c r="T256" s="20" t="n">
        <v>5.201</v>
      </c>
      <c r="U256" s="20" t="n">
        <v>4.41</v>
      </c>
      <c r="V256" s="20" t="n">
        <v>3.845</v>
      </c>
      <c r="W256" s="20" t="n">
        <v>39.02</v>
      </c>
      <c r="X256" s="20" t="n">
        <v>0.28</v>
      </c>
    </row>
    <row r="257">
      <c r="A257" s="18" t="inlineStr">
        <is>
          <t>보조금 수입</t>
        </is>
      </c>
      <c r="D257" s="20" t="n">
        <v>-0.215</v>
      </c>
      <c r="H257" s="20" t="n">
        <v>-0.855</v>
      </c>
      <c r="L257" s="20" t="n">
        <v>0</v>
      </c>
      <c r="S257" s="20" t="n">
        <v>-68.515</v>
      </c>
      <c r="T257" s="20" t="n">
        <v>-35.331</v>
      </c>
      <c r="U257" s="20" t="n">
        <v>-18.574</v>
      </c>
      <c r="V257" s="20" t="n">
        <v>-0.215</v>
      </c>
      <c r="W257" s="20" t="n">
        <v>-0.855</v>
      </c>
      <c r="X257" s="20" t="n">
        <v>0</v>
      </c>
    </row>
    <row r="258">
      <c r="A258" s="18" t="inlineStr">
        <is>
          <t>보조금 수입</t>
        </is>
      </c>
      <c r="D258" s="20" t="n">
        <v>-1.954</v>
      </c>
      <c r="H258" s="20" t="n">
        <v>0</v>
      </c>
      <c r="T258" s="20" t="n">
        <v>-6.054</v>
      </c>
      <c r="U258" s="20" t="n">
        <v>-7.659</v>
      </c>
      <c r="V258" s="20" t="n">
        <v>-1.954</v>
      </c>
      <c r="W258" s="20" t="n">
        <v>0</v>
      </c>
    </row>
    <row r="259">
      <c r="A259" s="18" t="inlineStr">
        <is>
          <t>유휴자산 감가상각비</t>
        </is>
      </c>
      <c r="D259" s="20" t="n">
        <v>1.446</v>
      </c>
      <c r="F259" s="20" t="n">
        <v>0.369</v>
      </c>
      <c r="H259" s="20" t="n">
        <v>0.739</v>
      </c>
      <c r="J259" s="20" t="n">
        <v>0.012</v>
      </c>
      <c r="L259" s="20" t="n">
        <v>0.025</v>
      </c>
      <c r="N259" s="20" t="n">
        <v>0.012</v>
      </c>
      <c r="T259" s="20" t="n">
        <v>0</v>
      </c>
      <c r="U259" s="20" t="n">
        <v>26.003</v>
      </c>
      <c r="V259" s="20" t="n">
        <v>1.446</v>
      </c>
      <c r="W259" s="20" t="n">
        <v>0.739</v>
      </c>
      <c r="X259" s="20" t="n">
        <v>0.025</v>
      </c>
    </row>
    <row r="260">
      <c r="A260" s="18" t="inlineStr">
        <is>
          <t>매출채권 증감</t>
        </is>
      </c>
      <c r="D260" s="20" t="n">
        <v>-340.026</v>
      </c>
      <c r="F260" s="20" t="n">
        <v>571.841</v>
      </c>
      <c r="H260" s="20" t="n">
        <v>578.453</v>
      </c>
      <c r="J260" s="20" t="n">
        <v>-926.711</v>
      </c>
      <c r="L260" s="20" t="n">
        <v>231.874</v>
      </c>
      <c r="N260" s="20" t="n">
        <v>-673.229</v>
      </c>
      <c r="O260" s="20" t="n">
        <v>-127.215</v>
      </c>
      <c r="P260" s="20" t="n">
        <v>-401.591</v>
      </c>
      <c r="Q260" s="20" t="n">
        <v>63.067</v>
      </c>
      <c r="R260" s="20" t="n">
        <v>725.761</v>
      </c>
      <c r="S260" s="20" t="n">
        <v>-0.864</v>
      </c>
      <c r="T260" s="20" t="n">
        <v>-132.873</v>
      </c>
      <c r="U260" s="20" t="n">
        <v>-506.362</v>
      </c>
      <c r="V260" s="20" t="n">
        <v>-340.026</v>
      </c>
      <c r="W260" s="20" t="n">
        <v>578.453</v>
      </c>
      <c r="X260" s="20" t="n">
        <v>231.874</v>
      </c>
    </row>
    <row r="261">
      <c r="A261" s="18" t="inlineStr">
        <is>
          <t>재고자산 증감</t>
        </is>
      </c>
      <c r="D261" s="20" t="n">
        <v>-4923.465</v>
      </c>
      <c r="F261" s="20" t="n">
        <v>-5109.591</v>
      </c>
      <c r="H261" s="20" t="n">
        <v>-4619.673</v>
      </c>
      <c r="J261" s="20" t="n">
        <v>-560.5119999999999</v>
      </c>
      <c r="L261" s="20" t="n">
        <v>-461.027</v>
      </c>
      <c r="N261" s="20" t="n">
        <v>-1152.713</v>
      </c>
      <c r="O261" s="20" t="n">
        <v>-7903.811</v>
      </c>
      <c r="P261" s="20" t="n">
        <v>4186.403</v>
      </c>
      <c r="Q261" s="20" t="n">
        <v>1074.92</v>
      </c>
      <c r="R261" s="20" t="n">
        <v>-2411.181</v>
      </c>
      <c r="S261" s="20" t="n">
        <v>1088.736</v>
      </c>
      <c r="T261" s="20" t="n">
        <v>3289.518</v>
      </c>
      <c r="U261" s="20" t="n">
        <v>-6281.862</v>
      </c>
      <c r="V261" s="20" t="n">
        <v>-4923.465</v>
      </c>
      <c r="W261" s="20" t="n">
        <v>-4619.673</v>
      </c>
      <c r="X261" s="20" t="n">
        <v>-461.027</v>
      </c>
    </row>
    <row r="262">
      <c r="A262" s="18" t="inlineStr">
        <is>
          <t>미수 소비세 증감</t>
        </is>
      </c>
      <c r="D262" s="20" t="n">
        <v>-22.795</v>
      </c>
      <c r="F262" s="20" t="n">
        <v>149.46</v>
      </c>
      <c r="H262" s="20" t="n">
        <v>51.19</v>
      </c>
      <c r="J262" s="20" t="n">
        <v>-263.169</v>
      </c>
      <c r="L262" s="20" t="n">
        <v>-161.769</v>
      </c>
      <c r="N262" s="20" t="n">
        <v>204</v>
      </c>
      <c r="O262" s="20" t="n">
        <v>-218.249</v>
      </c>
      <c r="P262" s="20" t="n">
        <v>215.313</v>
      </c>
      <c r="Q262" s="20" t="n">
        <v>-5.687</v>
      </c>
      <c r="R262" s="20" t="n">
        <v>-36.694</v>
      </c>
      <c r="S262" s="20" t="n">
        <v>-217.531</v>
      </c>
      <c r="T262" s="20" t="n">
        <v>251.265</v>
      </c>
      <c r="U262" s="20" t="n">
        <v>-129.603</v>
      </c>
      <c r="V262" s="20" t="n">
        <v>-22.795</v>
      </c>
      <c r="W262" s="20" t="n">
        <v>51.19</v>
      </c>
      <c r="X262" s="20" t="n">
        <v>-161.769</v>
      </c>
    </row>
    <row r="263">
      <c r="A263" s="18" t="inlineStr">
        <is>
          <t>매입채무 증감</t>
        </is>
      </c>
      <c r="D263" s="20" t="n">
        <v>-229.307</v>
      </c>
      <c r="F263" s="20" t="n">
        <v>4.81</v>
      </c>
      <c r="H263" s="20" t="n">
        <v>3555.548</v>
      </c>
      <c r="J263" s="20" t="n">
        <v>-4064.746</v>
      </c>
      <c r="L263" s="20" t="n">
        <v>-3865.214</v>
      </c>
      <c r="N263" s="20" t="n">
        <v>417.568</v>
      </c>
      <c r="O263" s="20" t="n">
        <v>3872.097</v>
      </c>
      <c r="P263" s="20" t="n">
        <v>-3789.68</v>
      </c>
      <c r="Q263" s="20" t="n">
        <v>714.801</v>
      </c>
      <c r="R263" s="20" t="n">
        <v>-85.872</v>
      </c>
      <c r="S263" s="20" t="n">
        <v>366.324</v>
      </c>
      <c r="T263" s="20" t="n">
        <v>-808.463</v>
      </c>
      <c r="U263" s="20" t="n">
        <v>440.4</v>
      </c>
      <c r="V263" s="20" t="n">
        <v>-229.307</v>
      </c>
      <c r="W263" s="20" t="n">
        <v>3555.548</v>
      </c>
      <c r="X263" s="20" t="n">
        <v>-3865.214</v>
      </c>
    </row>
    <row r="264">
      <c r="A264" s="18" t="inlineStr">
        <is>
          <t>미수금 증감</t>
        </is>
      </c>
      <c r="D264" s="20" t="n">
        <v>132.473</v>
      </c>
      <c r="H264" s="20" t="n">
        <v>59.748</v>
      </c>
      <c r="L264" s="20" t="n">
        <v>-1.531</v>
      </c>
      <c r="O264" s="20" t="n">
        <v>-68.434</v>
      </c>
      <c r="P264" s="20" t="n">
        <v>101.545</v>
      </c>
      <c r="Q264" s="20" t="n">
        <v>0.5580000000000001</v>
      </c>
      <c r="R264" s="20" t="n">
        <v>-29.106</v>
      </c>
      <c r="S264" s="20" t="n">
        <v>26.667</v>
      </c>
      <c r="T264" s="20" t="n">
        <v>8.029999999999999</v>
      </c>
      <c r="U264" s="20" t="n">
        <v>-143.827</v>
      </c>
      <c r="V264" s="20" t="n">
        <v>132.473</v>
      </c>
      <c r="W264" s="20" t="n">
        <v>59.748</v>
      </c>
      <c r="X264" s="20" t="n">
        <v>-1.531</v>
      </c>
    </row>
    <row r="265">
      <c r="A265" s="18" t="inlineStr">
        <is>
          <t>미지급금 증감</t>
        </is>
      </c>
      <c r="D265" s="20" t="n">
        <v>-135.359</v>
      </c>
      <c r="F265" s="20" t="n">
        <v>0.784</v>
      </c>
      <c r="H265" s="20" t="n">
        <v>152.738</v>
      </c>
      <c r="J265" s="20" t="n">
        <v>158.016</v>
      </c>
      <c r="L265" s="20" t="n">
        <v>-305.649</v>
      </c>
      <c r="N265" s="20" t="n">
        <v>242.763</v>
      </c>
      <c r="O265" s="20" t="n">
        <v>282.132</v>
      </c>
      <c r="P265" s="20" t="n">
        <v>118.778</v>
      </c>
      <c r="Q265" s="20" t="n">
        <v>3.498</v>
      </c>
      <c r="R265" s="20" t="n">
        <v>-394.564</v>
      </c>
      <c r="S265" s="20" t="n">
        <v>71.19199999999999</v>
      </c>
      <c r="T265" s="20" t="n">
        <v>-79.53700000000001</v>
      </c>
      <c r="U265" s="20" t="n">
        <v>402.088</v>
      </c>
      <c r="V265" s="20" t="n">
        <v>-135.359</v>
      </c>
      <c r="W265" s="20" t="n">
        <v>152.738</v>
      </c>
      <c r="X265" s="20" t="n">
        <v>-305.649</v>
      </c>
    </row>
    <row r="266">
      <c r="A266" s="18" t="inlineStr">
        <is>
          <t>미지급 소비세 증감</t>
        </is>
      </c>
      <c r="D266" s="20" t="n">
        <v>23.364</v>
      </c>
      <c r="F266" s="20" t="n">
        <v>44.279</v>
      </c>
      <c r="H266" s="20" t="n">
        <v>103.133</v>
      </c>
      <c r="J266" s="20" t="n">
        <v>-126.076</v>
      </c>
      <c r="L266" s="20" t="n">
        <v>10.121</v>
      </c>
      <c r="N266" s="20" t="n">
        <v>-35.964</v>
      </c>
      <c r="O266" s="20" t="n">
        <v>-133.036</v>
      </c>
      <c r="P266" s="20" t="n">
        <v>14.771</v>
      </c>
      <c r="Q266" s="20" t="n">
        <v>254.26</v>
      </c>
      <c r="R266" s="20" t="n">
        <v>-259.09</v>
      </c>
      <c r="S266" s="20" t="n">
        <v>-9.407999999999999</v>
      </c>
      <c r="T266" s="20" t="n">
        <v>164.911</v>
      </c>
      <c r="U266" s="20" t="n">
        <v>-152.694</v>
      </c>
      <c r="V266" s="20" t="n">
        <v>23.364</v>
      </c>
      <c r="W266" s="20" t="n">
        <v>103.133</v>
      </c>
      <c r="X266" s="20" t="n">
        <v>10.121</v>
      </c>
    </row>
    <row r="267">
      <c r="A267" s="18" t="inlineStr">
        <is>
          <t>선수금 증감</t>
        </is>
      </c>
      <c r="D267" s="20" t="n">
        <v>298.49</v>
      </c>
      <c r="F267" s="20" t="n">
        <v>828.962</v>
      </c>
      <c r="H267" s="20" t="n">
        <v>-253.098</v>
      </c>
      <c r="J267" s="20" t="n">
        <v>726.943</v>
      </c>
      <c r="L267" s="20" t="n">
        <v>-665.778</v>
      </c>
      <c r="N267" s="20" t="n">
        <v>34.036</v>
      </c>
      <c r="O267" s="20" t="n">
        <v>209.003</v>
      </c>
      <c r="P267" s="20" t="n">
        <v>138.007</v>
      </c>
      <c r="Q267" s="20" t="n">
        <v>1257.13</v>
      </c>
      <c r="R267" s="20" t="n">
        <v>-637.901</v>
      </c>
      <c r="S267" s="20" t="n">
        <v>-532.777</v>
      </c>
      <c r="T267" s="20" t="n">
        <v>1055.036</v>
      </c>
      <c r="U267" s="20" t="n">
        <v>-525.36</v>
      </c>
      <c r="V267" s="20" t="n">
        <v>298.49</v>
      </c>
      <c r="W267" s="20" t="n">
        <v>-253.098</v>
      </c>
      <c r="X267" s="20" t="n">
        <v>-665.778</v>
      </c>
    </row>
    <row r="268">
      <c r="A268" s="18" t="inlineStr">
        <is>
          <t>예수금 증감</t>
        </is>
      </c>
      <c r="D268" s="20" t="n">
        <v>-231.471</v>
      </c>
      <c r="F268" s="20" t="n">
        <v>-14.22</v>
      </c>
      <c r="H268" s="20" t="n">
        <v>-11.019</v>
      </c>
      <c r="J268" s="20" t="n">
        <v>-8.714</v>
      </c>
      <c r="L268" s="20" t="n">
        <v>89.087</v>
      </c>
      <c r="N268" s="20" t="n">
        <v>-35.21</v>
      </c>
      <c r="O268" s="20" t="n">
        <v>19.968</v>
      </c>
      <c r="P268" s="20" t="n">
        <v>-5.742</v>
      </c>
      <c r="Q268" s="20" t="n">
        <v>68.29900000000001</v>
      </c>
      <c r="R268" s="20" t="n">
        <v>-2.785</v>
      </c>
      <c r="S268" s="20" t="n">
        <v>-23.092</v>
      </c>
      <c r="T268" s="20" t="n">
        <v>4.285</v>
      </c>
      <c r="U268" s="20" t="n">
        <v>237.403</v>
      </c>
      <c r="V268" s="20" t="n">
        <v>-231.471</v>
      </c>
      <c r="W268" s="20" t="n">
        <v>-11.019</v>
      </c>
      <c r="X268" s="20" t="n">
        <v>89.087</v>
      </c>
    </row>
    <row r="269">
      <c r="A269" s="18" t="inlineStr">
        <is>
          <t>기타</t>
        </is>
      </c>
      <c r="D269" s="20" t="n">
        <v>228.441</v>
      </c>
      <c r="F269" s="20" t="n">
        <v>-18.248</v>
      </c>
      <c r="H269" s="20" t="n">
        <v>65.70999999999999</v>
      </c>
      <c r="J269" s="20" t="n">
        <v>359.769</v>
      </c>
      <c r="L269" s="20" t="n">
        <v>81.369</v>
      </c>
      <c r="N269" s="20" t="n">
        <v>137.895</v>
      </c>
      <c r="O269" s="20" t="n">
        <v>145.157</v>
      </c>
      <c r="P269" s="20" t="n">
        <v>200.448</v>
      </c>
      <c r="Q269" s="20" t="n">
        <v>-1.498</v>
      </c>
      <c r="R269" s="20" t="n">
        <v>120.125</v>
      </c>
      <c r="S269" s="20" t="n">
        <v>163.804</v>
      </c>
      <c r="T269" s="20" t="n">
        <v>329.672</v>
      </c>
      <c r="U269" s="20" t="n">
        <v>-59.794</v>
      </c>
      <c r="V269" s="20" t="n">
        <v>228.441</v>
      </c>
      <c r="W269" s="20" t="n">
        <v>65.70999999999999</v>
      </c>
      <c r="X269" s="20" t="n">
        <v>81.369</v>
      </c>
    </row>
    <row r="270">
      <c r="A270" s="18" t="inlineStr">
        <is>
          <t>소계</t>
        </is>
      </c>
      <c r="D270" s="20" t="n">
        <v>-1634.093</v>
      </c>
      <c r="F270" s="20" t="n">
        <v>-3438.947</v>
      </c>
      <c r="H270" s="20" t="n">
        <v>4632.806</v>
      </c>
      <c r="J270" s="20" t="n">
        <v>-2977.39</v>
      </c>
      <c r="L270" s="20" t="n">
        <v>-847.504</v>
      </c>
      <c r="N270" s="20" t="n">
        <v>715.8819999999999</v>
      </c>
      <c r="O270" s="20" t="n">
        <v>-706.11</v>
      </c>
      <c r="P270" s="20" t="n">
        <v>4241.415</v>
      </c>
      <c r="Q270" s="20" t="n">
        <v>5992.03</v>
      </c>
      <c r="R270" s="20" t="n">
        <v>-1841.834</v>
      </c>
      <c r="S270" s="20" t="n">
        <v>3063.353</v>
      </c>
      <c r="T270" s="20" t="n">
        <v>6686.541</v>
      </c>
      <c r="U270" s="20" t="n">
        <v>-5361.802</v>
      </c>
      <c r="V270" s="20" t="n">
        <v>-1634.093</v>
      </c>
      <c r="W270" s="20" t="n">
        <v>4632.806</v>
      </c>
      <c r="X270" s="20" t="n">
        <v>-847.504</v>
      </c>
    </row>
    <row r="271">
      <c r="A271" s="18" t="inlineStr">
        <is>
          <t>이자·배당금 수취</t>
        </is>
      </c>
      <c r="D271" s="20" t="n">
        <v>83.633</v>
      </c>
      <c r="F271" s="20" t="n">
        <v>81.666</v>
      </c>
      <c r="H271" s="20" t="n">
        <v>154.032</v>
      </c>
      <c r="J271" s="20" t="n">
        <v>81.59399999999999</v>
      </c>
      <c r="L271" s="20" t="n">
        <v>165.098</v>
      </c>
      <c r="N271" s="20" t="n">
        <v>87.08799999999999</v>
      </c>
      <c r="O271" s="20" t="n">
        <v>11.562</v>
      </c>
      <c r="P271" s="20" t="n">
        <v>10.602</v>
      </c>
      <c r="Q271" s="20" t="n">
        <v>11.458</v>
      </c>
      <c r="R271" s="20" t="n">
        <v>12.132</v>
      </c>
      <c r="S271" s="20" t="n">
        <v>13.152</v>
      </c>
      <c r="T271" s="20" t="n">
        <v>12.434</v>
      </c>
      <c r="U271" s="20" t="n">
        <v>114.34</v>
      </c>
      <c r="V271" s="20" t="n">
        <v>83.633</v>
      </c>
      <c r="W271" s="20" t="n">
        <v>154.032</v>
      </c>
      <c r="X271" s="20" t="n">
        <v>165.098</v>
      </c>
    </row>
    <row r="272">
      <c r="A272" s="18" t="inlineStr">
        <is>
          <t>이자 지급</t>
        </is>
      </c>
      <c r="D272" s="20" t="n">
        <v>-74.336</v>
      </c>
      <c r="F272" s="20" t="n">
        <v>-42.007</v>
      </c>
      <c r="H272" s="20" t="n">
        <v>-85.98099999999999</v>
      </c>
      <c r="J272" s="20" t="n">
        <v>-69.096</v>
      </c>
      <c r="L272" s="20" t="n">
        <v>-153.611</v>
      </c>
      <c r="N272" s="20" t="n">
        <v>-103.776</v>
      </c>
      <c r="O272" s="20" t="n">
        <v>-63.654</v>
      </c>
      <c r="P272" s="20" t="n">
        <v>-71.232</v>
      </c>
      <c r="Q272" s="20" t="n">
        <v>-69.09099999999999</v>
      </c>
      <c r="R272" s="20" t="n">
        <v>-76.39</v>
      </c>
      <c r="S272" s="20" t="n">
        <v>-75.81399999999999</v>
      </c>
      <c r="T272" s="20" t="n">
        <v>-53.861</v>
      </c>
      <c r="U272" s="20" t="n">
        <v>-42.678</v>
      </c>
      <c r="V272" s="20" t="n">
        <v>-74.336</v>
      </c>
      <c r="W272" s="20" t="n">
        <v>-85.98099999999999</v>
      </c>
      <c r="X272" s="20" t="n">
        <v>-153.611</v>
      </c>
    </row>
    <row r="273">
      <c r="A273" s="18" t="inlineStr">
        <is>
          <t>손해배상금 수취액</t>
        </is>
      </c>
      <c r="O273" s="20" t="n">
        <v>20.25</v>
      </c>
      <c r="P273" s="20" t="n">
        <v>173.166</v>
      </c>
      <c r="Q273" s="20" t="n">
        <v>0</v>
      </c>
    </row>
    <row r="274">
      <c r="A274" s="18" t="inlineStr">
        <is>
          <t>손해배상금 지급</t>
        </is>
      </c>
      <c r="R274" s="20" t="n">
        <v>0</v>
      </c>
      <c r="S274" s="20" t="n">
        <v>-12</v>
      </c>
      <c r="T274" s="20" t="n">
        <v>0</v>
      </c>
    </row>
    <row r="275">
      <c r="A275" s="18" t="inlineStr">
        <is>
          <t>보조금 수취</t>
        </is>
      </c>
      <c r="D275" s="20" t="n">
        <v>0.215</v>
      </c>
      <c r="H275" s="20" t="n">
        <v>0.855</v>
      </c>
      <c r="L275" s="20" t="n">
        <v>0</v>
      </c>
      <c r="S275" s="20" t="n">
        <v>64.16</v>
      </c>
      <c r="T275" s="20" t="n">
        <v>36.309</v>
      </c>
      <c r="U275" s="20" t="n">
        <v>20.598</v>
      </c>
      <c r="V275" s="20" t="n">
        <v>0.215</v>
      </c>
      <c r="W275" s="20" t="n">
        <v>0.855</v>
      </c>
      <c r="X275" s="20" t="n">
        <v>0</v>
      </c>
    </row>
    <row r="276">
      <c r="A276" s="18" t="inlineStr">
        <is>
          <t>보조금 수취</t>
        </is>
      </c>
      <c r="D276" s="20" t="n">
        <v>1.954</v>
      </c>
      <c r="H276" s="20" t="n">
        <v>0</v>
      </c>
      <c r="T276" s="20" t="n">
        <v>6.054</v>
      </c>
      <c r="U276" s="20" t="n">
        <v>7.659</v>
      </c>
      <c r="V276" s="20" t="n">
        <v>1.954</v>
      </c>
      <c r="W276" s="20" t="n">
        <v>0</v>
      </c>
    </row>
    <row r="277">
      <c r="A277" s="18" t="inlineStr">
        <is>
          <t>법인세 납부</t>
        </is>
      </c>
      <c r="D277" s="20" t="n">
        <v>-393.475</v>
      </c>
      <c r="F277" s="20" t="n">
        <v>-1177.858</v>
      </c>
      <c r="H277" s="20" t="n">
        <v>-1905.044</v>
      </c>
      <c r="J277" s="20" t="n">
        <v>-842.592</v>
      </c>
      <c r="L277" s="20" t="n">
        <v>-1627.264</v>
      </c>
      <c r="N277" s="20" t="n">
        <v>-870.284</v>
      </c>
      <c r="O277" s="20" t="n">
        <v>-1440.621</v>
      </c>
      <c r="P277" s="20" t="n">
        <v>-1416.458</v>
      </c>
      <c r="Q277" s="20" t="n">
        <v>-625.08</v>
      </c>
      <c r="R277" s="20" t="n">
        <v>-1200.303</v>
      </c>
      <c r="S277" s="20" t="n">
        <v>-308.325</v>
      </c>
      <c r="T277" s="20" t="n">
        <v>-1252.762</v>
      </c>
      <c r="U277" s="20" t="n">
        <v>-818.592</v>
      </c>
      <c r="V277" s="20" t="n">
        <v>-393.475</v>
      </c>
      <c r="W277" s="20" t="n">
        <v>-1905.044</v>
      </c>
      <c r="X277" s="20" t="n">
        <v>-1627.264</v>
      </c>
    </row>
    <row r="278">
      <c r="A278" s="9" t="inlineStr">
        <is>
          <t>영업활동 현금흐름</t>
        </is>
      </c>
      <c r="D278" s="12" t="n">
        <v>-2016.1</v>
      </c>
      <c r="F278" s="12" t="n">
        <v>-4577.146</v>
      </c>
      <c r="H278" s="12" t="n">
        <v>2796.668</v>
      </c>
      <c r="J278" s="12" t="n">
        <v>-3807.484</v>
      </c>
      <c r="L278" s="12" t="n">
        <v>-2463.282</v>
      </c>
      <c r="N278" s="12" t="n">
        <v>-171.088</v>
      </c>
      <c r="O278" s="12" t="n">
        <v>-2178.573</v>
      </c>
      <c r="P278" s="12" t="n">
        <v>2937.493</v>
      </c>
      <c r="Q278" s="12" t="n">
        <v>5309.317</v>
      </c>
      <c r="R278" s="12" t="n">
        <v>-3106.396</v>
      </c>
      <c r="S278" s="12" t="n">
        <v>2744.525</v>
      </c>
      <c r="T278" s="12" t="n">
        <v>5434.716</v>
      </c>
      <c r="U278" s="12" t="n">
        <v>-6080.476</v>
      </c>
      <c r="V278" s="12" t="n">
        <v>-2016.1</v>
      </c>
      <c r="W278" s="12" t="n">
        <v>2796.668</v>
      </c>
      <c r="X278" s="12" t="n">
        <v>-2463.282</v>
      </c>
    </row>
    <row r="279">
      <c r="A279" s="18" t="inlineStr">
        <is>
          <t>유가증권 상환 수입</t>
        </is>
      </c>
      <c r="O279" s="20" t="n">
        <v>1</v>
      </c>
      <c r="P279" s="20" t="n">
        <v>1</v>
      </c>
      <c r="Q279" s="20" t="n">
        <v>0</v>
      </c>
    </row>
    <row r="280">
      <c r="A280" s="18" t="inlineStr">
        <is>
          <t>정기예금 증감</t>
        </is>
      </c>
      <c r="H280" s="20" t="n">
        <v>0</v>
      </c>
      <c r="L280" s="20" t="n">
        <v>-5</v>
      </c>
      <c r="S280" s="20" t="n">
        <v>0</v>
      </c>
      <c r="T280" s="20" t="n">
        <v>100</v>
      </c>
      <c r="U280" s="20" t="n">
        <v>0</v>
      </c>
      <c r="W280" s="20" t="n">
        <v>0</v>
      </c>
      <c r="X280" s="20" t="n">
        <v>-5</v>
      </c>
    </row>
    <row r="281">
      <c r="A281" s="18" t="inlineStr">
        <is>
          <t>고정자산 취득</t>
        </is>
      </c>
      <c r="D281" s="20" t="n">
        <v>-153.74</v>
      </c>
      <c r="F281" s="20" t="n">
        <v>-74.678</v>
      </c>
      <c r="H281" s="20" t="n">
        <v>-353.901</v>
      </c>
      <c r="J281" s="20" t="n">
        <v>-12.277</v>
      </c>
      <c r="L281" s="20" t="n">
        <v>-27.779</v>
      </c>
      <c r="N281" s="20" t="n">
        <v>-11.211</v>
      </c>
      <c r="O281" s="20" t="n">
        <v>-398.71</v>
      </c>
      <c r="P281" s="20" t="n">
        <v>-66.125</v>
      </c>
      <c r="Q281" s="20" t="n">
        <v>-298.079</v>
      </c>
      <c r="R281" s="20" t="n">
        <v>-145.08</v>
      </c>
      <c r="S281" s="20" t="n">
        <v>-1224.485</v>
      </c>
      <c r="T281" s="20" t="n">
        <v>-77.02</v>
      </c>
      <c r="U281" s="20" t="n">
        <v>-44.816</v>
      </c>
      <c r="V281" s="20" t="n">
        <v>-153.74</v>
      </c>
      <c r="W281" s="20" t="n">
        <v>-353.901</v>
      </c>
      <c r="X281" s="20" t="n">
        <v>-27.779</v>
      </c>
    </row>
    <row r="282">
      <c r="A282" s="18" t="inlineStr">
        <is>
          <t>고정자산 매각</t>
        </is>
      </c>
      <c r="D282" s="20" t="n">
        <v>0.541</v>
      </c>
      <c r="F282" s="20" t="n">
        <v>12.188</v>
      </c>
      <c r="H282" s="20" t="n">
        <v>1.762</v>
      </c>
      <c r="J282" s="20" t="n">
        <v>3.135</v>
      </c>
      <c r="L282" s="20" t="n">
        <v>3.405</v>
      </c>
      <c r="N282" s="20" t="n">
        <v>0</v>
      </c>
      <c r="O282" s="20" t="n">
        <v>4.746</v>
      </c>
      <c r="P282" s="20" t="n">
        <v>116.399</v>
      </c>
      <c r="Q282" s="20" t="n">
        <v>81.985</v>
      </c>
      <c r="R282" s="20" t="n">
        <v>952.462</v>
      </c>
      <c r="S282" s="20" t="n">
        <v>42.058</v>
      </c>
      <c r="T282" s="20" t="n">
        <v>9.221</v>
      </c>
      <c r="U282" s="20" t="n">
        <v>6.518</v>
      </c>
      <c r="V282" s="20" t="n">
        <v>0.541</v>
      </c>
      <c r="W282" s="20" t="n">
        <v>1.762</v>
      </c>
      <c r="X282" s="20" t="n">
        <v>3.405</v>
      </c>
    </row>
    <row r="283">
      <c r="A283" s="18" t="inlineStr">
        <is>
          <t>투자유가증권 취득</t>
        </is>
      </c>
      <c r="D283" s="20" t="n">
        <v>-158.008</v>
      </c>
      <c r="F283" s="20" t="n">
        <v>0</v>
      </c>
      <c r="H283" s="20" t="n">
        <v>-629.463</v>
      </c>
      <c r="J283" s="20" t="n">
        <v>-358.305</v>
      </c>
      <c r="L283" s="20" t="n">
        <v>-1186.492</v>
      </c>
      <c r="N283" s="20" t="n">
        <v>0</v>
      </c>
      <c r="O283" s="20" t="n">
        <v>0</v>
      </c>
      <c r="P283" s="20" t="n">
        <v>-540.758</v>
      </c>
      <c r="Q283" s="20" t="n">
        <v>-3637.812</v>
      </c>
      <c r="R283" s="20" t="n">
        <v>-3488.603</v>
      </c>
      <c r="S283" s="20" t="n">
        <v>-44.77</v>
      </c>
      <c r="T283" s="20" t="n">
        <v>-3227</v>
      </c>
      <c r="U283" s="20" t="n">
        <v>-778.028</v>
      </c>
      <c r="V283" s="20" t="n">
        <v>-158.008</v>
      </c>
      <c r="W283" s="20" t="n">
        <v>-629.463</v>
      </c>
      <c r="X283" s="20" t="n">
        <v>-1186.492</v>
      </c>
    </row>
    <row r="284">
      <c r="A284" s="18" t="inlineStr">
        <is>
          <t>투자유가증권 매각</t>
        </is>
      </c>
      <c r="D284" s="20" t="n">
        <v>516.222</v>
      </c>
      <c r="F284" s="20" t="n">
        <v>0</v>
      </c>
      <c r="H284" s="20" t="n">
        <v>185.288</v>
      </c>
      <c r="J284" s="20" t="n">
        <v>260.672</v>
      </c>
      <c r="L284" s="20" t="n">
        <v>794.797</v>
      </c>
      <c r="N284" s="20" t="n">
        <v>0</v>
      </c>
      <c r="O284" s="20" t="n">
        <v>595.533</v>
      </c>
      <c r="P284" s="20" t="n">
        <v>248.107</v>
      </c>
      <c r="Q284" s="20" t="n">
        <v>39.643</v>
      </c>
      <c r="R284" s="20" t="n">
        <v>1275.505</v>
      </c>
      <c r="S284" s="20" t="n">
        <v>557.778</v>
      </c>
      <c r="T284" s="20" t="n">
        <v>1228.463</v>
      </c>
      <c r="U284" s="20" t="n">
        <v>478.903</v>
      </c>
      <c r="V284" s="20" t="n">
        <v>516.222</v>
      </c>
      <c r="W284" s="20" t="n">
        <v>185.288</v>
      </c>
      <c r="X284" s="20" t="n">
        <v>794.797</v>
      </c>
    </row>
    <row r="285">
      <c r="A285" s="18" t="inlineStr">
        <is>
          <t>관계회사 주식 매각</t>
        </is>
      </c>
      <c r="D285" s="20" t="n">
        <v>0</v>
      </c>
      <c r="T285" s="20" t="n">
        <v>0</v>
      </c>
      <c r="U285" s="20" t="n">
        <v>350.03</v>
      </c>
      <c r="V285" s="20" t="n">
        <v>0</v>
      </c>
    </row>
    <row r="286">
      <c r="A286" s="18" t="inlineStr">
        <is>
          <t>익명조합 출자금 환급 수입</t>
        </is>
      </c>
      <c r="D286" s="20" t="n">
        <v>525</v>
      </c>
      <c r="F286" s="20" t="n">
        <v>0</v>
      </c>
      <c r="H286" s="20" t="n">
        <v>0</v>
      </c>
      <c r="S286" s="20" t="n">
        <v>0</v>
      </c>
      <c r="T286" s="20" t="n">
        <v>6461.803</v>
      </c>
      <c r="U286" s="20" t="n">
        <v>1401.516</v>
      </c>
      <c r="V286" s="20" t="n">
        <v>525</v>
      </c>
      <c r="W286" s="20" t="n">
        <v>0</v>
      </c>
    </row>
    <row r="287">
      <c r="A287" s="18" t="inlineStr">
        <is>
          <t>보험적립금 해약</t>
        </is>
      </c>
      <c r="S287" s="20" t="n">
        <v>0</v>
      </c>
      <c r="T287" s="20" t="n">
        <v>52.208</v>
      </c>
      <c r="U287" s="20" t="n">
        <v>0</v>
      </c>
    </row>
    <row r="288">
      <c r="A288" s="18" t="inlineStr">
        <is>
          <t>대여</t>
        </is>
      </c>
      <c r="D288" s="20" t="n">
        <v>0</v>
      </c>
      <c r="Q288" s="20" t="n">
        <v>0</v>
      </c>
      <c r="R288" s="20" t="n">
        <v>-6</v>
      </c>
      <c r="S288" s="20" t="n">
        <v>0</v>
      </c>
      <c r="T288" s="20" t="n">
        <v>0</v>
      </c>
      <c r="U288" s="20" t="n">
        <v>-5</v>
      </c>
      <c r="V288" s="20" t="n">
        <v>0</v>
      </c>
    </row>
    <row r="289">
      <c r="A289" s="18" t="inlineStr">
        <is>
          <t>대여금 회수</t>
        </is>
      </c>
      <c r="D289" s="20" t="n">
        <v>3</v>
      </c>
      <c r="F289" s="20" t="n">
        <v>1.5</v>
      </c>
      <c r="H289" s="20" t="n">
        <v>2</v>
      </c>
      <c r="J289" s="20" t="n">
        <v>0</v>
      </c>
      <c r="L289" s="20" t="n">
        <v>0</v>
      </c>
      <c r="O289" s="20" t="n">
        <v>0.188</v>
      </c>
      <c r="P289" s="20" t="n">
        <v>0.241</v>
      </c>
      <c r="Q289" s="20" t="n">
        <v>0.203</v>
      </c>
      <c r="R289" s="20" t="n">
        <v>1.212</v>
      </c>
      <c r="S289" s="20" t="n">
        <v>3.22</v>
      </c>
      <c r="T289" s="20" t="n">
        <v>2.075</v>
      </c>
      <c r="U289" s="20" t="n">
        <v>0</v>
      </c>
      <c r="V289" s="20" t="n">
        <v>3</v>
      </c>
      <c r="W289" s="20" t="n">
        <v>2</v>
      </c>
      <c r="X289" s="20" t="n">
        <v>0</v>
      </c>
    </row>
    <row r="290">
      <c r="A290" s="18" t="inlineStr">
        <is>
          <t>기타</t>
        </is>
      </c>
      <c r="D290" s="20" t="n">
        <v>-139.403</v>
      </c>
      <c r="F290" s="20" t="n">
        <v>-36.37</v>
      </c>
      <c r="H290" s="20" t="n">
        <v>-39.264</v>
      </c>
      <c r="J290" s="20" t="n">
        <v>-7.467</v>
      </c>
      <c r="L290" s="20" t="n">
        <v>5.448</v>
      </c>
      <c r="N290" s="20" t="n">
        <v>-2.996</v>
      </c>
      <c r="O290" s="20" t="n">
        <v>4.11</v>
      </c>
      <c r="P290" s="20" t="n">
        <v>21.03</v>
      </c>
      <c r="Q290" s="20" t="n">
        <v>-10.002</v>
      </c>
      <c r="R290" s="20" t="n">
        <v>51.206</v>
      </c>
      <c r="S290" s="20" t="n">
        <v>-28.308</v>
      </c>
      <c r="T290" s="20" t="n">
        <v>-85.324</v>
      </c>
      <c r="U290" s="20" t="n">
        <v>-11.636</v>
      </c>
      <c r="V290" s="20" t="n">
        <v>-139.403</v>
      </c>
      <c r="W290" s="20" t="n">
        <v>-39.264</v>
      </c>
      <c r="X290" s="20" t="n">
        <v>5.448</v>
      </c>
    </row>
    <row r="291">
      <c r="A291" s="9" t="inlineStr">
        <is>
          <t>투자활동 현금흐름</t>
        </is>
      </c>
      <c r="D291" s="12" t="n">
        <v>593.611</v>
      </c>
      <c r="F291" s="12" t="n">
        <v>-97.36</v>
      </c>
      <c r="H291" s="12" t="n">
        <v>-833.577</v>
      </c>
      <c r="J291" s="12" t="n">
        <v>-114.242</v>
      </c>
      <c r="L291" s="12" t="n">
        <v>-415.62</v>
      </c>
      <c r="N291" s="12" t="n">
        <v>-14.207</v>
      </c>
      <c r="O291" s="12" t="n">
        <v>206.868</v>
      </c>
      <c r="P291" s="12" t="n">
        <v>-220.105</v>
      </c>
      <c r="Q291" s="12" t="n">
        <v>-3824.061</v>
      </c>
      <c r="R291" s="12" t="n">
        <v>-1359.297</v>
      </c>
      <c r="S291" s="12" t="n">
        <v>-694.506</v>
      </c>
      <c r="T291" s="12" t="n">
        <v>4464.428</v>
      </c>
      <c r="U291" s="12" t="n">
        <v>1397.487</v>
      </c>
      <c r="V291" s="12" t="n">
        <v>593.611</v>
      </c>
      <c r="W291" s="12" t="n">
        <v>-833.577</v>
      </c>
      <c r="X291" s="12" t="n">
        <v>-415.62</v>
      </c>
    </row>
    <row r="292">
      <c r="A292" s="18" t="inlineStr">
        <is>
          <t>연결범위 변경 없는 자회사 주식 취득</t>
        </is>
      </c>
      <c r="O292" s="20" t="n">
        <v>0</v>
      </c>
      <c r="P292" s="20" t="n">
        <v>-7</v>
      </c>
      <c r="Q292" s="20" t="n">
        <v>0</v>
      </c>
    </row>
    <row r="293">
      <c r="A293" s="18" t="inlineStr">
        <is>
          <t>단기차입금 순증감</t>
        </is>
      </c>
      <c r="D293" s="20" t="n">
        <v>1618.8</v>
      </c>
      <c r="F293" s="20" t="n">
        <v>5338.6</v>
      </c>
      <c r="H293" s="20" t="n">
        <v>194.532</v>
      </c>
      <c r="J293" s="20" t="n">
        <v>3413.332</v>
      </c>
      <c r="L293" s="20" t="n">
        <v>2788.332</v>
      </c>
      <c r="N293" s="20" t="n">
        <v>473.336</v>
      </c>
      <c r="O293" s="20" t="n">
        <v>4106.2</v>
      </c>
      <c r="P293" s="20" t="n">
        <v>-3154.006</v>
      </c>
      <c r="Q293" s="20" t="n">
        <v>78.928</v>
      </c>
      <c r="R293" s="20" t="n">
        <v>3815.812</v>
      </c>
      <c r="S293" s="20" t="n">
        <v>-1256.034</v>
      </c>
      <c r="T293" s="20" t="n">
        <v>-8001.55</v>
      </c>
      <c r="U293" s="20" t="n">
        <v>3510</v>
      </c>
      <c r="V293" s="20" t="n">
        <v>1618.8</v>
      </c>
      <c r="W293" s="20" t="n">
        <v>194.532</v>
      </c>
      <c r="X293" s="20" t="n">
        <v>2788.332</v>
      </c>
    </row>
    <row r="294">
      <c r="A294" s="18" t="inlineStr">
        <is>
          <t>장기차입</t>
        </is>
      </c>
      <c r="D294" s="20" t="n">
        <v>0</v>
      </c>
      <c r="F294" s="20" t="n">
        <v>347</v>
      </c>
      <c r="H294" s="20" t="n">
        <v>597</v>
      </c>
      <c r="J294" s="20" t="n">
        <v>0</v>
      </c>
      <c r="L294" s="20" t="n">
        <v>0</v>
      </c>
      <c r="O294" s="20" t="n">
        <v>550</v>
      </c>
      <c r="P294" s="20" t="n">
        <v>490</v>
      </c>
      <c r="Q294" s="20" t="n">
        <v>2060</v>
      </c>
      <c r="R294" s="20" t="n">
        <v>469</v>
      </c>
      <c r="S294" s="20" t="n">
        <v>620</v>
      </c>
      <c r="T294" s="20" t="n">
        <v>2585</v>
      </c>
      <c r="U294" s="20" t="n">
        <v>0</v>
      </c>
      <c r="V294" s="20" t="n">
        <v>0</v>
      </c>
      <c r="W294" s="20" t="n">
        <v>597</v>
      </c>
      <c r="X294" s="20" t="n">
        <v>0</v>
      </c>
    </row>
    <row r="295">
      <c r="A295" s="18" t="inlineStr">
        <is>
          <t>장기차입금 상환</t>
        </is>
      </c>
      <c r="D295" s="20" t="n">
        <v>-462.475</v>
      </c>
      <c r="F295" s="20" t="n">
        <v>-114.5</v>
      </c>
      <c r="H295" s="20" t="n">
        <v>-285.026</v>
      </c>
      <c r="J295" s="20" t="n">
        <v>-23.652</v>
      </c>
      <c r="L295" s="20" t="n">
        <v>-47.304</v>
      </c>
      <c r="N295" s="20" t="n">
        <v>-23.652</v>
      </c>
      <c r="O295" s="20" t="n">
        <v>-1950.943</v>
      </c>
      <c r="P295" s="20" t="n">
        <v>-304.694</v>
      </c>
      <c r="Q295" s="20" t="n">
        <v>-1307.526</v>
      </c>
      <c r="R295" s="20" t="n">
        <v>-679.768</v>
      </c>
      <c r="S295" s="20" t="n">
        <v>-1289.828</v>
      </c>
      <c r="T295" s="20" t="n">
        <v>-914.289</v>
      </c>
      <c r="U295" s="20" t="n">
        <v>-273.981</v>
      </c>
      <c r="V295" s="20" t="n">
        <v>-462.475</v>
      </c>
      <c r="W295" s="20" t="n">
        <v>-285.026</v>
      </c>
      <c r="X295" s="20" t="n">
        <v>-47.304</v>
      </c>
    </row>
    <row r="296">
      <c r="A296" s="18" t="inlineStr">
        <is>
          <t>리스부채 상환</t>
        </is>
      </c>
      <c r="O296" s="20" t="n">
        <v>-24.819</v>
      </c>
      <c r="P296" s="20" t="n">
        <v>-27.741</v>
      </c>
      <c r="Q296" s="20" t="n">
        <v>-23.465</v>
      </c>
      <c r="R296" s="20" t="n">
        <v>-127.994</v>
      </c>
      <c r="S296" s="20" t="n">
        <v>0</v>
      </c>
    </row>
    <row r="297">
      <c r="A297" s="18" t="inlineStr">
        <is>
          <t>자기주식 취득</t>
        </is>
      </c>
      <c r="D297" s="20" t="n">
        <v>0</v>
      </c>
      <c r="F297" s="20" t="n">
        <v>-173.615</v>
      </c>
      <c r="H297" s="20" t="n">
        <v>-299.996</v>
      </c>
      <c r="J297" s="20" t="n">
        <v>-37.515</v>
      </c>
      <c r="L297" s="20" t="n">
        <v>-301.123</v>
      </c>
      <c r="N297" s="20" t="n">
        <v>-293.042</v>
      </c>
      <c r="O297" s="20" t="n">
        <v>-93.47499999999999</v>
      </c>
      <c r="P297" s="20" t="n">
        <v>-9.292999999999999</v>
      </c>
      <c r="Q297" s="20" t="n">
        <v>-0.04</v>
      </c>
      <c r="R297" s="20" t="n">
        <v>-109.948</v>
      </c>
      <c r="S297" s="20" t="n">
        <v>0</v>
      </c>
      <c r="T297" s="20" t="n">
        <v>-338.552</v>
      </c>
      <c r="U297" s="20" t="n">
        <v>-101.04</v>
      </c>
      <c r="V297" s="20" t="n">
        <v>0</v>
      </c>
      <c r="W297" s="20" t="n">
        <v>-299.996</v>
      </c>
      <c r="X297" s="20" t="n">
        <v>-301.123</v>
      </c>
    </row>
    <row r="298">
      <c r="A298" s="18" t="inlineStr">
        <is>
          <t>비지배주주 납입</t>
        </is>
      </c>
      <c r="P298" s="20" t="n">
        <v>0</v>
      </c>
      <c r="Q298" s="20" t="n">
        <v>5.1</v>
      </c>
      <c r="R298" s="20" t="n">
        <v>0</v>
      </c>
    </row>
    <row r="299">
      <c r="A299" s="18" t="inlineStr">
        <is>
          <t>배당금 지급</t>
        </is>
      </c>
      <c r="D299" s="20" t="n">
        <v>-355.025</v>
      </c>
      <c r="F299" s="20" t="n">
        <v>-390.057</v>
      </c>
      <c r="H299" s="20" t="n">
        <v>-390.54</v>
      </c>
      <c r="J299" s="20" t="n">
        <v>-525.955</v>
      </c>
      <c r="L299" s="20" t="n">
        <v>-526.151</v>
      </c>
      <c r="N299" s="20" t="n">
        <v>-593.831</v>
      </c>
      <c r="O299" s="20" t="n">
        <v>-175.039</v>
      </c>
      <c r="P299" s="20" t="n">
        <v>-231.123</v>
      </c>
      <c r="Q299" s="20" t="n">
        <v>-274.112</v>
      </c>
      <c r="R299" s="20" t="n">
        <v>-302.962</v>
      </c>
      <c r="S299" s="20" t="n">
        <v>-328.137</v>
      </c>
      <c r="T299" s="20" t="n">
        <v>-352.038</v>
      </c>
      <c r="U299" s="20" t="n">
        <v>-349.535</v>
      </c>
      <c r="V299" s="20" t="n">
        <v>-355.025</v>
      </c>
      <c r="W299" s="20" t="n">
        <v>-390.54</v>
      </c>
      <c r="X299" s="20" t="n">
        <v>-526.151</v>
      </c>
    </row>
    <row r="300">
      <c r="A300" s="18" t="inlineStr">
        <is>
          <t>연결범위 변동 없는 자회사 주식 매각 수입</t>
        </is>
      </c>
      <c r="J300" s="20" t="n">
        <v>0</v>
      </c>
      <c r="N300" s="20" t="n">
        <v>21</v>
      </c>
      <c r="S300" s="20" t="n">
        <v>0</v>
      </c>
      <c r="T300" s="20" t="n">
        <v>45</v>
      </c>
      <c r="U300" s="20" t="n">
        <v>0</v>
      </c>
    </row>
    <row r="301">
      <c r="A301" s="9" t="inlineStr">
        <is>
          <t>재무활동 현금흐름</t>
        </is>
      </c>
      <c r="D301" s="12" t="n">
        <v>801.298</v>
      </c>
      <c r="F301" s="12" t="n">
        <v>5007.427</v>
      </c>
      <c r="H301" s="12" t="n">
        <v>-184.031</v>
      </c>
      <c r="J301" s="12" t="n">
        <v>2826.208</v>
      </c>
      <c r="L301" s="12" t="n">
        <v>1913.753</v>
      </c>
      <c r="N301" s="12" t="n">
        <v>-416.19</v>
      </c>
      <c r="O301" s="12" t="n">
        <v>2411.921</v>
      </c>
      <c r="P301" s="12" t="n">
        <v>-3243.858</v>
      </c>
      <c r="Q301" s="12" t="n">
        <v>538.883</v>
      </c>
      <c r="R301" s="12" t="n">
        <v>3064.139</v>
      </c>
      <c r="S301" s="12" t="n">
        <v>-2253.999</v>
      </c>
      <c r="T301" s="12" t="n">
        <v>-6976.429</v>
      </c>
      <c r="U301" s="12" t="n">
        <v>2785.443</v>
      </c>
      <c r="V301" s="12" t="n">
        <v>801.298</v>
      </c>
      <c r="W301" s="12" t="n">
        <v>-184.031</v>
      </c>
      <c r="X301" s="12" t="n">
        <v>1913.753</v>
      </c>
    </row>
    <row r="302">
      <c r="A302" s="18" t="inlineStr">
        <is>
          <t>현금성자산 증감</t>
        </is>
      </c>
      <c r="D302" s="20" t="n">
        <v>-621.1900000000001</v>
      </c>
      <c r="F302" s="20" t="n">
        <v>332.92</v>
      </c>
      <c r="H302" s="20" t="n">
        <v>1779.059</v>
      </c>
      <c r="J302" s="20" t="n">
        <v>-1095.517</v>
      </c>
      <c r="L302" s="20" t="n">
        <v>-965.149</v>
      </c>
      <c r="N302" s="20" t="n">
        <v>-601.486</v>
      </c>
      <c r="O302" s="20" t="n">
        <v>440.216</v>
      </c>
      <c r="P302" s="20" t="n">
        <v>-526.47</v>
      </c>
      <c r="Q302" s="20" t="n">
        <v>2024.138</v>
      </c>
      <c r="R302" s="20" t="n">
        <v>-1401.554</v>
      </c>
      <c r="S302" s="20" t="n">
        <v>-203.98</v>
      </c>
      <c r="T302" s="20" t="n">
        <v>2922.714</v>
      </c>
      <c r="U302" s="20" t="n">
        <v>-1897.545</v>
      </c>
      <c r="V302" s="20" t="n">
        <v>-621.1900000000001</v>
      </c>
      <c r="W302" s="20" t="n">
        <v>1779.059</v>
      </c>
      <c r="X302" s="20" t="n">
        <v>-965.149</v>
      </c>
    </row>
    <row r="303">
      <c r="A303" s="18" t="inlineStr">
        <is>
          <t>연결범위 변경에 따른 현금성자산 증감</t>
        </is>
      </c>
      <c r="S303" s="20" t="n">
        <v>0</v>
      </c>
      <c r="T303" s="20" t="n">
        <v>-207.61</v>
      </c>
      <c r="U303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5280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38803.237</v>
      </c>
      <c r="D5" s="12" t="n">
        <v>42481.735</v>
      </c>
      <c r="E5" s="12" t="n">
        <v>37815.413</v>
      </c>
      <c r="F5" s="12" t="n">
        <v>40337.427</v>
      </c>
      <c r="G5" s="12" t="n">
        <v>38726.822</v>
      </c>
      <c r="H5" s="11" t="n">
        <v>25037.803</v>
      </c>
      <c r="I5" s="12" t="n">
        <v>30095.737</v>
      </c>
      <c r="J5" s="12" t="n">
        <v>32496.956</v>
      </c>
      <c r="K5" s="12" t="n">
        <v>38675.872</v>
      </c>
      <c r="L5" s="12" t="n">
        <v>37815.413</v>
      </c>
    </row>
    <row r="6">
      <c r="A6" s="18" t="inlineStr">
        <is>
          <t>현금및현금성자산</t>
        </is>
      </c>
      <c r="B6" s="10" t="n"/>
      <c r="C6" s="19" t="n">
        <v>2419.157</v>
      </c>
      <c r="D6" s="20" t="n">
        <v>2028.62</v>
      </c>
      <c r="E6" s="20" t="n">
        <v>2554.525</v>
      </c>
      <c r="F6" s="20" t="n">
        <v>1834.654</v>
      </c>
      <c r="G6" s="20" t="n">
        <v>1953.038</v>
      </c>
      <c r="H6" s="19" t="n">
        <v>4254.351</v>
      </c>
      <c r="I6" s="20" t="n">
        <v>2356.806</v>
      </c>
      <c r="J6" s="20" t="n">
        <v>1735.615</v>
      </c>
      <c r="K6" s="20" t="n">
        <v>3514.675</v>
      </c>
      <c r="L6" s="20" t="n">
        <v>2554.525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1939.364</v>
      </c>
      <c r="D8" s="20" t="n">
        <v>1329.5</v>
      </c>
      <c r="E8" s="20" t="n">
        <v>780.777</v>
      </c>
      <c r="F8" s="20" t="n">
        <v>1117.512</v>
      </c>
      <c r="G8" s="20" t="n">
        <v>1454.007</v>
      </c>
      <c r="H8" s="19" t="n">
        <v>893.479</v>
      </c>
      <c r="I8" s="20" t="n">
        <v>1251.079</v>
      </c>
      <c r="J8" s="20" t="n">
        <v>1591.105</v>
      </c>
      <c r="K8" s="20" t="n">
        <v>1012.652</v>
      </c>
      <c r="L8" s="20" t="n">
        <v>780.777</v>
      </c>
    </row>
    <row r="9">
      <c r="A9" s="18" t="inlineStr">
        <is>
          <t>재고자산</t>
        </is>
      </c>
      <c r="B9" s="10" t="n"/>
      <c r="C9" s="19" t="n">
        <v>33543.622</v>
      </c>
      <c r="D9" s="20" t="n">
        <v>38354.833</v>
      </c>
      <c r="E9" s="20" t="n">
        <v>33438.169</v>
      </c>
      <c r="F9" s="20" t="n">
        <v>36344.816</v>
      </c>
      <c r="G9" s="20" t="n">
        <v>34601.336</v>
      </c>
      <c r="H9" s="19" t="n">
        <v>19656.21</v>
      </c>
      <c r="I9" s="20" t="n">
        <v>25632.242</v>
      </c>
      <c r="J9" s="20" t="n">
        <v>28456.567</v>
      </c>
      <c r="K9" s="20" t="n">
        <v>28526.855</v>
      </c>
      <c r="L9" s="20" t="n">
        <v>33438.169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5928.811</v>
      </c>
      <c r="D11" s="12" t="n">
        <v>5991.856</v>
      </c>
      <c r="E11" s="12" t="n">
        <v>6214.844</v>
      </c>
      <c r="F11" s="12" t="n">
        <v>6334.185</v>
      </c>
      <c r="G11" s="12" t="n">
        <v>5935.004</v>
      </c>
      <c r="H11" s="11" t="n">
        <v>7178.864</v>
      </c>
      <c r="I11" s="12" t="n">
        <v>5775.021</v>
      </c>
      <c r="J11" s="12" t="n">
        <v>5604.918</v>
      </c>
      <c r="K11" s="12" t="n">
        <v>5636.477</v>
      </c>
      <c r="L11" s="12" t="n">
        <v>6214.844</v>
      </c>
    </row>
    <row r="12">
      <c r="A12" s="18" t="inlineStr">
        <is>
          <t>유형자산</t>
        </is>
      </c>
      <c r="B12" s="10" t="n"/>
      <c r="C12" s="19" t="n">
        <v>1769.901</v>
      </c>
      <c r="D12" s="20" t="n">
        <v>1760.422</v>
      </c>
      <c r="E12" s="20" t="n">
        <v>1748.268</v>
      </c>
      <c r="F12" s="20" t="n">
        <v>1735.891</v>
      </c>
      <c r="G12" s="20" t="n">
        <v>1721.347</v>
      </c>
      <c r="H12" s="19" t="n">
        <v>2220.893</v>
      </c>
      <c r="I12" s="20" t="n">
        <v>1806.989</v>
      </c>
      <c r="J12" s="20" t="n">
        <v>1827.9</v>
      </c>
      <c r="K12" s="20" t="n">
        <v>1830.611</v>
      </c>
      <c r="L12" s="20" t="n">
        <v>1748.268</v>
      </c>
    </row>
    <row r="13">
      <c r="A13" s="18" t="inlineStr">
        <is>
          <t>무형자산</t>
        </is>
      </c>
      <c r="B13" s="10" t="n"/>
      <c r="C13" s="19" t="n">
        <v>28.613</v>
      </c>
      <c r="D13" s="20" t="n">
        <v>27.897</v>
      </c>
      <c r="E13" s="20" t="n">
        <v>27.783</v>
      </c>
      <c r="F13" s="20" t="n">
        <v>27.088</v>
      </c>
      <c r="G13" s="20" t="n">
        <v>28.082</v>
      </c>
      <c r="H13" s="19" t="n">
        <v>54.59</v>
      </c>
      <c r="I13" s="20" t="n">
        <v>34.28</v>
      </c>
      <c r="J13" s="20" t="n">
        <v>33.404</v>
      </c>
      <c r="K13" s="20" t="n">
        <v>29.934</v>
      </c>
      <c r="L13" s="20" t="n">
        <v>27.783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44732.048</v>
      </c>
      <c r="D16" s="12" t="n">
        <v>48473.592</v>
      </c>
      <c r="E16" s="12" t="n">
        <v>44030.257</v>
      </c>
      <c r="F16" s="12" t="n">
        <v>46671.612</v>
      </c>
      <c r="G16" s="12" t="n">
        <v>44661.826</v>
      </c>
      <c r="H16" s="11" t="n">
        <v>32216.668</v>
      </c>
      <c r="I16" s="12" t="n">
        <v>35870.758</v>
      </c>
      <c r="J16" s="12" t="n">
        <v>38101.874</v>
      </c>
      <c r="K16" s="12" t="n">
        <v>44312.349</v>
      </c>
      <c r="L16" s="12" t="n">
        <v>44030.257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14897.902</v>
      </c>
      <c r="D18" s="12" t="n">
        <v>18491.567</v>
      </c>
      <c r="E18" s="12" t="n">
        <v>13210.45</v>
      </c>
      <c r="F18" s="12" t="n">
        <v>17027.431</v>
      </c>
      <c r="G18" s="12" t="n">
        <v>13806.707</v>
      </c>
      <c r="H18" s="11" t="n">
        <v>6053.879</v>
      </c>
      <c r="I18" s="12" t="n">
        <v>9562.339</v>
      </c>
      <c r="J18" s="12" t="n">
        <v>11835.413</v>
      </c>
      <c r="K18" s="12" t="n">
        <v>15158.894</v>
      </c>
      <c r="L18" s="12" t="n">
        <v>13210.45</v>
      </c>
    </row>
    <row r="19">
      <c r="A19" s="18" t="inlineStr">
        <is>
          <t>매입채무</t>
        </is>
      </c>
      <c r="B19" s="10" t="n"/>
      <c r="C19" s="19" t="n">
        <v>613.702</v>
      </c>
      <c r="D19" s="20" t="n">
        <v>646.46</v>
      </c>
      <c r="E19" s="20" t="n">
        <v>813.234</v>
      </c>
      <c r="F19" s="20" t="n">
        <v>584.509</v>
      </c>
      <c r="G19" s="20" t="n">
        <v>1230.802</v>
      </c>
      <c r="H19" s="19" t="n">
        <v>1032.699</v>
      </c>
      <c r="I19" s="20" t="n">
        <v>1352.208</v>
      </c>
      <c r="J19" s="20" t="n">
        <v>1122.9</v>
      </c>
      <c r="K19" s="20" t="n">
        <v>4678.449</v>
      </c>
      <c r="L19" s="20" t="n">
        <v>813.234</v>
      </c>
    </row>
    <row r="20">
      <c r="A20" s="18" t="inlineStr">
        <is>
          <t>단기차입금</t>
        </is>
      </c>
      <c r="B20" s="10" t="n"/>
      <c r="C20" s="19" t="n">
        <v>10736.664</v>
      </c>
      <c r="D20" s="20" t="n">
        <v>15216.666</v>
      </c>
      <c r="E20" s="20" t="n">
        <v>10111.664</v>
      </c>
      <c r="F20" s="20" t="n">
        <v>15200</v>
      </c>
      <c r="G20" s="20" t="n">
        <v>10585</v>
      </c>
      <c r="H20" s="19" t="n">
        <v>2000</v>
      </c>
      <c r="I20" s="20" t="n">
        <v>5510</v>
      </c>
      <c r="J20" s="20" t="n">
        <v>7128.8</v>
      </c>
      <c r="K20" s="20" t="n">
        <v>7323.332</v>
      </c>
      <c r="L20" s="20" t="n">
        <v>10111.664</v>
      </c>
    </row>
    <row r="21">
      <c r="A21" s="18" t="inlineStr">
        <is>
          <t>유동성장기부채</t>
        </is>
      </c>
      <c r="B21" s="10" t="n"/>
      <c r="C21" s="19" t="n">
        <v>47.304</v>
      </c>
      <c r="D21" s="20" t="n">
        <v>47.304</v>
      </c>
      <c r="E21" s="20" t="n">
        <v>47.304</v>
      </c>
      <c r="F21" s="20" t="n">
        <v>47.304</v>
      </c>
      <c r="G21" s="20" t="n">
        <v>47.304</v>
      </c>
      <c r="H21" s="19" t="n">
        <v>274.135</v>
      </c>
      <c r="I21" s="20" t="n">
        <v>419.224</v>
      </c>
      <c r="J21" s="20" t="n">
        <v>146</v>
      </c>
      <c r="K21" s="20" t="n">
        <v>47.304</v>
      </c>
      <c r="L21" s="20" t="n">
        <v>47.304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1151.027</v>
      </c>
      <c r="D23" s="12" t="n">
        <v>1119.492</v>
      </c>
      <c r="E23" s="12" t="n">
        <v>1171.893</v>
      </c>
      <c r="F23" s="12" t="n">
        <v>1157.903</v>
      </c>
      <c r="G23" s="12" t="n">
        <v>1081.447</v>
      </c>
      <c r="H23" s="11" t="n">
        <v>3459.703</v>
      </c>
      <c r="I23" s="12" t="n">
        <v>2810.089</v>
      </c>
      <c r="J23" s="12" t="n">
        <v>815.522</v>
      </c>
      <c r="K23" s="12" t="n">
        <v>1468.637</v>
      </c>
      <c r="L23" s="12" t="n">
        <v>1171.893</v>
      </c>
    </row>
    <row r="24">
      <c r="A24" s="18" t="inlineStr">
        <is>
          <t>장기차입금</t>
        </is>
      </c>
      <c r="B24" s="10" t="n"/>
      <c r="C24" s="19" t="n">
        <v>491.018</v>
      </c>
      <c r="D24" s="20" t="n">
        <v>483.134</v>
      </c>
      <c r="E24" s="20" t="n">
        <v>467.366</v>
      </c>
      <c r="F24" s="20" t="n">
        <v>455.54</v>
      </c>
      <c r="G24" s="20" t="n">
        <v>443.714</v>
      </c>
      <c r="H24" s="19" t="n">
        <v>2843.483</v>
      </c>
      <c r="I24" s="20" t="n">
        <v>2188.847</v>
      </c>
      <c r="J24" s="20" t="n">
        <v>104</v>
      </c>
      <c r="K24" s="20" t="n">
        <v>514.67</v>
      </c>
      <c r="L24" s="20" t="n">
        <v>467.366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16048.929</v>
      </c>
      <c r="D27" s="12" t="n">
        <v>19611.06</v>
      </c>
      <c r="E27" s="12" t="n">
        <v>14382.343</v>
      </c>
      <c r="F27" s="12" t="n">
        <v>18185.335</v>
      </c>
      <c r="G27" s="12" t="n">
        <v>14888.154</v>
      </c>
      <c r="H27" s="11" t="n">
        <v>9513.583000000001</v>
      </c>
      <c r="I27" s="12" t="n">
        <v>12372.429</v>
      </c>
      <c r="J27" s="12" t="n">
        <v>12650.935</v>
      </c>
      <c r="K27" s="12" t="n">
        <v>16627.531</v>
      </c>
      <c r="L27" s="12" t="n">
        <v>14382.343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28421.42</v>
      </c>
      <c r="D31" s="12" t="n">
        <v>28592.885</v>
      </c>
      <c r="E31" s="12" t="n">
        <v>29359.516</v>
      </c>
      <c r="F31" s="12" t="n">
        <v>28143.24</v>
      </c>
      <c r="G31" s="12" t="n">
        <v>29432.481</v>
      </c>
      <c r="H31" s="11" t="n">
        <v>22558.282</v>
      </c>
      <c r="I31" s="12" t="n">
        <v>23322.536</v>
      </c>
      <c r="J31" s="12" t="n">
        <v>25238.296</v>
      </c>
      <c r="K31" s="12" t="n">
        <v>27439.634</v>
      </c>
      <c r="L31" s="12" t="n">
        <v>29359.516</v>
      </c>
    </row>
    <row r="32">
      <c r="A32" s="18" t="inlineStr">
        <is>
          <t>자본금</t>
        </is>
      </c>
      <c r="B32" s="10" t="n"/>
      <c r="C32" s="19" t="n">
        <v>100</v>
      </c>
      <c r="D32" s="20" t="n">
        <v>100</v>
      </c>
      <c r="E32" s="20" t="n">
        <v>100</v>
      </c>
      <c r="F32" s="20" t="n">
        <v>100</v>
      </c>
      <c r="G32" s="20" t="n">
        <v>100</v>
      </c>
      <c r="H32" s="19" t="n">
        <v>100</v>
      </c>
      <c r="I32" s="20" t="n">
        <v>100</v>
      </c>
      <c r="J32" s="20" t="n">
        <v>100</v>
      </c>
      <c r="K32" s="20" t="n">
        <v>100</v>
      </c>
      <c r="L32" s="20" t="n">
        <v>100</v>
      </c>
    </row>
    <row r="33">
      <c r="A33" s="18" t="inlineStr">
        <is>
          <t>이익잉여금</t>
        </is>
      </c>
      <c r="B33" s="10" t="n"/>
      <c r="C33" s="19" t="n">
        <v>25238.108</v>
      </c>
      <c r="D33" s="20" t="n">
        <v>25510.075</v>
      </c>
      <c r="E33" s="20" t="n">
        <v>26657.119</v>
      </c>
      <c r="F33" s="20" t="n">
        <v>25760.971</v>
      </c>
      <c r="G33" s="20" t="n">
        <v>27090.578</v>
      </c>
      <c r="H33" s="19" t="n">
        <v>19326.629</v>
      </c>
      <c r="I33" s="20" t="n">
        <v>20148.579</v>
      </c>
      <c r="J33" s="20" t="n">
        <v>21895.622</v>
      </c>
      <c r="K33" s="20" t="n">
        <v>24522.613</v>
      </c>
      <c r="L33" s="20" t="n">
        <v>26657.119</v>
      </c>
    </row>
    <row r="34">
      <c r="A34" s="18" t="inlineStr">
        <is>
          <t>비지배지분</t>
        </is>
      </c>
      <c r="B34" s="10" t="n"/>
      <c r="C34" s="19" t="n">
        <v>261.698</v>
      </c>
      <c r="D34" s="20" t="n">
        <v>269.647</v>
      </c>
      <c r="E34" s="20" t="n">
        <v>288.398</v>
      </c>
      <c r="F34" s="20" t="n">
        <v>343.037</v>
      </c>
      <c r="G34" s="20" t="n">
        <v>341.19</v>
      </c>
      <c r="H34" s="19" t="n">
        <v>144.803</v>
      </c>
      <c r="I34" s="20" t="n">
        <v>175.793</v>
      </c>
      <c r="J34" s="20" t="n">
        <v>212.643</v>
      </c>
      <c r="K34" s="20" t="n">
        <v>245.183</v>
      </c>
      <c r="L34" s="20" t="n">
        <v>288.398</v>
      </c>
    </row>
    <row r="35">
      <c r="A35" s="9" t="inlineStr">
        <is>
          <t>자본총계</t>
        </is>
      </c>
      <c r="B35" s="10" t="n"/>
      <c r="C35" s="11" t="n">
        <v>28683.118</v>
      </c>
      <c r="D35" s="12" t="n">
        <v>28862.532</v>
      </c>
      <c r="E35" s="12" t="n">
        <v>29647.914</v>
      </c>
      <c r="F35" s="12" t="n">
        <v>28486.277</v>
      </c>
      <c r="G35" s="12" t="n">
        <v>29773.671</v>
      </c>
      <c r="H35" s="11" t="n">
        <v>22703.085</v>
      </c>
      <c r="I35" s="12" t="n">
        <v>23498.329</v>
      </c>
      <c r="J35" s="12" t="n">
        <v>25450.939</v>
      </c>
      <c r="K35" s="12" t="n">
        <v>27684.817</v>
      </c>
      <c r="L35" s="12" t="n">
        <v>29647.914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3566.33</v>
      </c>
      <c r="D37" s="12" t="n"/>
      <c r="E37" s="12" t="n">
        <v>-2463.282</v>
      </c>
      <c r="F37" s="12" t="n"/>
      <c r="G37" s="12" t="n">
        <v>1173.114</v>
      </c>
      <c r="H37" s="11" t="n">
        <v>5434.716</v>
      </c>
      <c r="I37" s="12" t="n">
        <v>-6080.476</v>
      </c>
      <c r="J37" s="12" t="n">
        <v>-2016.1</v>
      </c>
      <c r="K37" s="12" t="n">
        <v>2796.668</v>
      </c>
      <c r="L37" s="12" t="n">
        <v>-2463.282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526.438</v>
      </c>
      <c r="D40" s="20" t="n"/>
      <c r="E40" s="20" t="n">
        <v>526.151</v>
      </c>
      <c r="F40" s="20" t="n"/>
      <c r="G40" s="20" t="n">
        <v>594.027</v>
      </c>
      <c r="H40" s="19" t="n">
        <v>352.038</v>
      </c>
      <c r="I40" s="20" t="n">
        <v>349.535</v>
      </c>
      <c r="J40" s="20" t="n">
        <v>355.025</v>
      </c>
      <c r="K40" s="20" t="n">
        <v>390.54</v>
      </c>
      <c r="L40" s="20" t="n">
        <v>526.151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2419.157</v>
      </c>
      <c r="D71" s="20" t="n">
        <v>2028.62</v>
      </c>
      <c r="E71" s="20" t="n">
        <v>2554.525</v>
      </c>
      <c r="F71" s="20" t="n">
        <v>1834.654</v>
      </c>
      <c r="G71" s="20" t="n">
        <v>1953.038</v>
      </c>
      <c r="H71" s="20" t="n">
        <v>4254.351</v>
      </c>
      <c r="I71" s="20" t="n">
        <v>2356.806</v>
      </c>
      <c r="J71" s="20" t="n">
        <v>1735.615</v>
      </c>
      <c r="K71" s="20" t="n">
        <v>3514.675</v>
      </c>
      <c r="L71" s="20" t="n">
        <v>2554.525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1939.364</v>
      </c>
      <c r="D73" s="20" t="n">
        <v>1329.5</v>
      </c>
      <c r="E73" s="20" t="n">
        <v>780.777</v>
      </c>
      <c r="F73" s="20" t="n">
        <v>1117.512</v>
      </c>
      <c r="G73" s="20" t="n">
        <v>1454.007</v>
      </c>
      <c r="H73" s="20" t="n">
        <v>893.479</v>
      </c>
      <c r="I73" s="20" t="n">
        <v>1251.079</v>
      </c>
      <c r="J73" s="20" t="n">
        <v>1591.105</v>
      </c>
      <c r="K73" s="20" t="n">
        <v>1012.652</v>
      </c>
      <c r="L73" s="20" t="n">
        <v>780.777</v>
      </c>
    </row>
    <row r="74">
      <c r="A74" s="18" t="inlineStr">
        <is>
          <t>상품·제품</t>
        </is>
      </c>
      <c r="H74" s="20" t="n">
        <v>21.231</v>
      </c>
      <c r="I74" s="20" t="n">
        <v>13.351</v>
      </c>
      <c r="J74" s="20" t="n">
        <v>8.284000000000001</v>
      </c>
    </row>
    <row r="75">
      <c r="A75" s="18" t="inlineStr">
        <is>
          <t>재공품</t>
        </is>
      </c>
      <c r="H75" s="20" t="n">
        <v>0</v>
      </c>
    </row>
    <row r="76">
      <c r="A76" s="18" t="inlineStr">
        <is>
          <t>원재료·저장품</t>
        </is>
      </c>
      <c r="H76" s="20" t="n">
        <v>13.242</v>
      </c>
      <c r="I76" s="20" t="n">
        <v>0</v>
      </c>
      <c r="J76" s="20" t="n">
        <v>0</v>
      </c>
    </row>
    <row r="77">
      <c r="A77" s="18" t="inlineStr">
        <is>
          <t>상품</t>
        </is>
      </c>
      <c r="J77" s="20" t="n">
        <v>8.284000000000001</v>
      </c>
      <c r="K77" s="20" t="n">
        <v>0</v>
      </c>
    </row>
    <row r="78">
      <c r="A78" s="18" t="inlineStr">
        <is>
          <t>판매용 부동산</t>
        </is>
      </c>
      <c r="C78" s="20" t="n">
        <v>33543.622</v>
      </c>
      <c r="D78" s="20" t="n">
        <v>38354.833</v>
      </c>
      <c r="E78" s="20" t="n">
        <v>33438.169</v>
      </c>
      <c r="F78" s="20" t="n">
        <v>36344.816</v>
      </c>
      <c r="G78" s="20" t="n">
        <v>34601.336</v>
      </c>
      <c r="H78" s="20" t="n">
        <v>19621.737</v>
      </c>
      <c r="I78" s="20" t="n">
        <v>25618.891</v>
      </c>
      <c r="J78" s="20" t="n">
        <v>28439.999</v>
      </c>
      <c r="K78" s="20" t="n">
        <v>28526.855</v>
      </c>
      <c r="L78" s="20" t="n">
        <v>33438.169</v>
      </c>
    </row>
    <row r="79">
      <c r="A79" s="18" t="inlineStr">
        <is>
          <t>신탁 판매용 부동산</t>
        </is>
      </c>
      <c r="C79" s="20" t="n">
        <v>0</v>
      </c>
      <c r="D79" s="20" t="n">
        <v>0</v>
      </c>
      <c r="E79" s="20" t="n">
        <v>0</v>
      </c>
      <c r="J79" s="20" t="n">
        <v>0</v>
      </c>
      <c r="K79" s="20" t="n">
        <v>4447.612</v>
      </c>
      <c r="L79" s="20" t="n">
        <v>0</v>
      </c>
    </row>
    <row r="80">
      <c r="A80" s="18" t="inlineStr">
        <is>
          <t>미성공사 지출금</t>
        </is>
      </c>
      <c r="C80" s="20" t="n">
        <v>0.095</v>
      </c>
      <c r="D80" s="20" t="n">
        <v>7.168</v>
      </c>
      <c r="E80" s="20" t="n">
        <v>6.063</v>
      </c>
      <c r="F80" s="20" t="n">
        <v>7.415</v>
      </c>
      <c r="G80" s="20" t="n">
        <v>6.914</v>
      </c>
      <c r="H80" s="20" t="n">
        <v>11.296</v>
      </c>
      <c r="I80" s="20" t="n">
        <v>0.262</v>
      </c>
      <c r="J80" s="20" t="n">
        <v>57.464</v>
      </c>
      <c r="K80" s="20" t="n">
        <v>8.737</v>
      </c>
      <c r="L80" s="20" t="n">
        <v>6.063</v>
      </c>
    </row>
    <row r="81">
      <c r="A81" s="18" t="inlineStr">
        <is>
          <t>기타</t>
        </is>
      </c>
      <c r="C81" s="20" t="n">
        <v>913.855</v>
      </c>
      <c r="D81" s="20" t="n">
        <v>769.075</v>
      </c>
      <c r="E81" s="20" t="n">
        <v>1038.257</v>
      </c>
      <c r="F81" s="20" t="n">
        <v>1035.241</v>
      </c>
      <c r="G81" s="20" t="n">
        <v>713.936</v>
      </c>
      <c r="H81" s="20" t="n">
        <v>225.607</v>
      </c>
      <c r="I81" s="20" t="n">
        <v>860.812</v>
      </c>
      <c r="J81" s="20" t="n">
        <v>670.904</v>
      </c>
      <c r="K81" s="20" t="n">
        <v>1173.043</v>
      </c>
      <c r="L81" s="20" t="n">
        <v>1038.257</v>
      </c>
    </row>
    <row r="82">
      <c r="A82" s="18" t="inlineStr">
        <is>
          <t>대손충당금</t>
        </is>
      </c>
      <c r="C82" s="20" t="n">
        <v>-12.857</v>
      </c>
      <c r="D82" s="20" t="n">
        <v>-7.464</v>
      </c>
      <c r="E82" s="20" t="n">
        <v>-2.379</v>
      </c>
      <c r="F82" s="20" t="n">
        <v>-2.213</v>
      </c>
      <c r="G82" s="20" t="n">
        <v>-2.411</v>
      </c>
      <c r="H82" s="20" t="n">
        <v>-3.141</v>
      </c>
      <c r="I82" s="20" t="n">
        <v>-5.467</v>
      </c>
      <c r="J82" s="20" t="n">
        <v>-6.418</v>
      </c>
      <c r="K82" s="20" t="n">
        <v>-7.703</v>
      </c>
      <c r="L82" s="20" t="n">
        <v>-2.379</v>
      </c>
    </row>
    <row r="83">
      <c r="A83" s="9" t="inlineStr">
        <is>
          <t>유동자산 합계</t>
        </is>
      </c>
      <c r="C83" s="12" t="n">
        <v>38803.237</v>
      </c>
      <c r="D83" s="12" t="n">
        <v>42481.735</v>
      </c>
      <c r="E83" s="12" t="n">
        <v>37815.413</v>
      </c>
      <c r="F83" s="12" t="n">
        <v>40337.427</v>
      </c>
      <c r="G83" s="12" t="n">
        <v>38726.822</v>
      </c>
      <c r="H83" s="12" t="n">
        <v>25037.803</v>
      </c>
      <c r="I83" s="12" t="n">
        <v>30095.737</v>
      </c>
      <c r="J83" s="12" t="n">
        <v>32496.956</v>
      </c>
      <c r="K83" s="12" t="n">
        <v>38675.872</v>
      </c>
      <c r="L83" s="12" t="n">
        <v>37815.413</v>
      </c>
    </row>
    <row r="84">
      <c r="A84" s="18" t="inlineStr">
        <is>
          <t>건물·구축물</t>
        </is>
      </c>
      <c r="E84" s="20" t="n">
        <v>877.473</v>
      </c>
      <c r="H84" s="20" t="n">
        <v>1181.021</v>
      </c>
      <c r="I84" s="20" t="n">
        <v>950.837</v>
      </c>
      <c r="J84" s="20" t="n">
        <v>1007.714</v>
      </c>
      <c r="K84" s="20" t="n">
        <v>1179.374</v>
      </c>
      <c r="L84" s="20" t="n">
        <v>877.473</v>
      </c>
    </row>
    <row r="85">
      <c r="A85" s="18" t="inlineStr">
        <is>
          <t>감가상각누계액</t>
        </is>
      </c>
      <c r="E85" s="20" t="n">
        <v>-419.731</v>
      </c>
      <c r="H85" s="20" t="n">
        <v>-711.604</v>
      </c>
      <c r="I85" s="20" t="n">
        <v>-629.5890000000001</v>
      </c>
      <c r="J85" s="20" t="n">
        <v>-666.918</v>
      </c>
      <c r="K85" s="20" t="n">
        <v>-649.652</v>
      </c>
      <c r="L85" s="20" t="n">
        <v>-419.731</v>
      </c>
    </row>
    <row r="86">
      <c r="A86" s="18" t="inlineStr">
        <is>
          <t>건물·구축물(순액)</t>
        </is>
      </c>
      <c r="C86" s="20" t="n">
        <v>476.8</v>
      </c>
      <c r="D86" s="20" t="n">
        <v>468.427</v>
      </c>
      <c r="E86" s="20" t="n">
        <v>457.742</v>
      </c>
      <c r="F86" s="20" t="n">
        <v>438.296</v>
      </c>
      <c r="G86" s="20" t="n">
        <v>432.097</v>
      </c>
      <c r="H86" s="20" t="n">
        <v>469.417</v>
      </c>
      <c r="I86" s="20" t="n">
        <v>321.248</v>
      </c>
      <c r="J86" s="20" t="n">
        <v>340.796</v>
      </c>
      <c r="K86" s="20" t="n">
        <v>529.721</v>
      </c>
      <c r="L86" s="20" t="n">
        <v>457.742</v>
      </c>
    </row>
    <row r="87">
      <c r="A87" s="18" t="inlineStr">
        <is>
          <t>기계장치·운반구</t>
        </is>
      </c>
      <c r="E87" s="20" t="n">
        <v>113.05</v>
      </c>
      <c r="H87" s="20" t="n">
        <v>297.083</v>
      </c>
      <c r="I87" s="20" t="n">
        <v>132.892</v>
      </c>
      <c r="J87" s="20" t="n">
        <v>141.388</v>
      </c>
      <c r="K87" s="20" t="n">
        <v>125.711</v>
      </c>
      <c r="L87" s="20" t="n">
        <v>113.05</v>
      </c>
    </row>
    <row r="88">
      <c r="A88" s="18" t="inlineStr">
        <is>
          <t>감가상각누계액</t>
        </is>
      </c>
      <c r="E88" s="20" t="n">
        <v>-86.833</v>
      </c>
      <c r="H88" s="20" t="n">
        <v>-224.598</v>
      </c>
      <c r="I88" s="20" t="n">
        <v>-102.655</v>
      </c>
      <c r="J88" s="20" t="n">
        <v>-102.894</v>
      </c>
      <c r="K88" s="20" t="n">
        <v>-89.045</v>
      </c>
      <c r="L88" s="20" t="n">
        <v>-86.833</v>
      </c>
    </row>
    <row r="89">
      <c r="A89" s="18" t="inlineStr">
        <is>
          <t>기계장치·운반구(순액)</t>
        </is>
      </c>
      <c r="E89" s="20" t="n">
        <v>26.216</v>
      </c>
      <c r="H89" s="20" t="n">
        <v>72.48399999999999</v>
      </c>
      <c r="I89" s="20" t="n">
        <v>30.237</v>
      </c>
      <c r="J89" s="20" t="n">
        <v>38.494</v>
      </c>
      <c r="K89" s="20" t="n">
        <v>36.665</v>
      </c>
      <c r="L89" s="20" t="n">
        <v>26.216</v>
      </c>
    </row>
    <row r="90">
      <c r="A90" s="18" t="inlineStr">
        <is>
          <t>토지</t>
        </is>
      </c>
      <c r="C90" s="20" t="n">
        <v>1247.45</v>
      </c>
      <c r="D90" s="20" t="n">
        <v>1247.45</v>
      </c>
      <c r="E90" s="20" t="n">
        <v>1247.45</v>
      </c>
      <c r="F90" s="20" t="n">
        <v>1247.45</v>
      </c>
      <c r="G90" s="20" t="n">
        <v>1247.45</v>
      </c>
      <c r="H90" s="20" t="n">
        <v>1655.252</v>
      </c>
      <c r="I90" s="20" t="n">
        <v>1435.739</v>
      </c>
      <c r="J90" s="20" t="n">
        <v>1432.739</v>
      </c>
      <c r="K90" s="20" t="n">
        <v>1248.035</v>
      </c>
      <c r="L90" s="20" t="n">
        <v>1247.45</v>
      </c>
    </row>
    <row r="91">
      <c r="A91" s="18" t="inlineStr">
        <is>
          <t>기타</t>
        </is>
      </c>
      <c r="E91" s="20" t="n">
        <v>95.471</v>
      </c>
      <c r="H91" s="20" t="n">
        <v>158.181</v>
      </c>
      <c r="I91" s="20" t="n">
        <v>113.211</v>
      </c>
      <c r="J91" s="20" t="n">
        <v>109.771</v>
      </c>
      <c r="K91" s="20" t="n">
        <v>119.04</v>
      </c>
      <c r="L91" s="20" t="n">
        <v>95.471</v>
      </c>
    </row>
    <row r="92">
      <c r="A92" s="18" t="inlineStr">
        <is>
          <t>감가상각누계액</t>
        </is>
      </c>
      <c r="E92" s="20" t="n">
        <v>-78.611</v>
      </c>
      <c r="H92" s="20" t="n">
        <v>-134.442</v>
      </c>
      <c r="I92" s="20" t="n">
        <v>-93.446</v>
      </c>
      <c r="J92" s="20" t="n">
        <v>-93.901</v>
      </c>
      <c r="K92" s="20" t="n">
        <v>-102.85</v>
      </c>
      <c r="L92" s="20" t="n">
        <v>-78.611</v>
      </c>
    </row>
    <row r="93">
      <c r="A93" s="18" t="inlineStr">
        <is>
          <t>기타(순액)</t>
        </is>
      </c>
      <c r="C93" s="20" t="n">
        <v>45.65</v>
      </c>
      <c r="D93" s="20" t="n">
        <v>44.544</v>
      </c>
      <c r="E93" s="20" t="n">
        <v>43.075</v>
      </c>
      <c r="F93" s="20" t="n">
        <v>50.144</v>
      </c>
      <c r="G93" s="20" t="n">
        <v>41.8</v>
      </c>
      <c r="H93" s="20" t="n">
        <v>23.739</v>
      </c>
      <c r="I93" s="20" t="n">
        <v>19.764</v>
      </c>
      <c r="J93" s="20" t="n">
        <v>15.87</v>
      </c>
      <c r="K93" s="20" t="n">
        <v>16.189</v>
      </c>
      <c r="L93" s="20" t="n">
        <v>43.075</v>
      </c>
    </row>
    <row r="94">
      <c r="A94" s="18" t="inlineStr">
        <is>
          <t>유형자산 합계</t>
        </is>
      </c>
      <c r="C94" s="20" t="n">
        <v>1769.901</v>
      </c>
      <c r="D94" s="20" t="n">
        <v>1760.422</v>
      </c>
      <c r="E94" s="20" t="n">
        <v>1748.268</v>
      </c>
      <c r="F94" s="20" t="n">
        <v>1735.891</v>
      </c>
      <c r="G94" s="20" t="n">
        <v>1721.347</v>
      </c>
      <c r="H94" s="20" t="n">
        <v>2220.893</v>
      </c>
      <c r="I94" s="20" t="n">
        <v>1806.989</v>
      </c>
      <c r="J94" s="20" t="n">
        <v>1827.9</v>
      </c>
      <c r="K94" s="20" t="n">
        <v>1830.611</v>
      </c>
      <c r="L94" s="20" t="n">
        <v>1748.268</v>
      </c>
    </row>
    <row r="95">
      <c r="A95" s="18" t="inlineStr">
        <is>
          <t>무형자산</t>
        </is>
      </c>
      <c r="C95" s="20" t="n">
        <v>28.613</v>
      </c>
      <c r="D95" s="20" t="n">
        <v>27.897</v>
      </c>
      <c r="E95" s="20" t="n">
        <v>27.783</v>
      </c>
      <c r="F95" s="20" t="n">
        <v>27.088</v>
      </c>
      <c r="G95" s="20" t="n">
        <v>28.082</v>
      </c>
      <c r="H95" s="20" t="n">
        <v>54.59</v>
      </c>
      <c r="I95" s="20" t="n">
        <v>34.28</v>
      </c>
      <c r="J95" s="20" t="n">
        <v>33.404</v>
      </c>
      <c r="K95" s="20" t="n">
        <v>29.934</v>
      </c>
      <c r="L95" s="20" t="n">
        <v>27.783</v>
      </c>
    </row>
    <row r="96">
      <c r="A96" s="18" t="inlineStr">
        <is>
          <t>투자유가증권</t>
        </is>
      </c>
      <c r="C96" s="20" t="n">
        <v>3340.419</v>
      </c>
      <c r="D96" s="20" t="n">
        <v>3369.426</v>
      </c>
      <c r="E96" s="20" t="n">
        <v>3425.839</v>
      </c>
      <c r="F96" s="20" t="n">
        <v>3348.885</v>
      </c>
      <c r="G96" s="20" t="n">
        <v>3001.804</v>
      </c>
      <c r="H96" s="20" t="n">
        <v>4447.87</v>
      </c>
      <c r="I96" s="20" t="n">
        <v>3565.743</v>
      </c>
      <c r="J96" s="20" t="n">
        <v>3045.373</v>
      </c>
      <c r="K96" s="20" t="n">
        <v>2985.654</v>
      </c>
      <c r="L96" s="20" t="n">
        <v>3425.839</v>
      </c>
    </row>
    <row r="97">
      <c r="A97" s="18" t="inlineStr">
        <is>
          <t>장기대여금</t>
        </is>
      </c>
      <c r="H97" s="20" t="n">
        <v>2.052</v>
      </c>
      <c r="I97" s="20" t="n">
        <v>6.803</v>
      </c>
      <c r="J97" s="20" t="n">
        <v>1.544</v>
      </c>
      <c r="K97" s="20" t="n">
        <v>0</v>
      </c>
    </row>
    <row r="98">
      <c r="A98" s="18" t="inlineStr">
        <is>
          <t>이연법인세자산</t>
        </is>
      </c>
      <c r="C98" s="20" t="n">
        <v>293.392</v>
      </c>
      <c r="D98" s="20" t="n">
        <v>348.016</v>
      </c>
      <c r="E98" s="20" t="n">
        <v>530.032</v>
      </c>
      <c r="F98" s="20" t="n">
        <v>738.84</v>
      </c>
      <c r="G98" s="20" t="n">
        <v>681.729</v>
      </c>
      <c r="H98" s="20" t="n">
        <v>144.332</v>
      </c>
      <c r="I98" s="20" t="n">
        <v>41.392</v>
      </c>
      <c r="J98" s="20" t="n">
        <v>235.527</v>
      </c>
      <c r="K98" s="20" t="n">
        <v>300.269</v>
      </c>
      <c r="L98" s="20" t="n">
        <v>530.032</v>
      </c>
    </row>
    <row r="99">
      <c r="A99" s="18" t="inlineStr">
        <is>
          <t>기타</t>
        </is>
      </c>
      <c r="C99" s="20" t="n">
        <v>583.742</v>
      </c>
      <c r="D99" s="20" t="n">
        <v>573.407</v>
      </c>
      <c r="E99" s="20" t="n">
        <v>572.49</v>
      </c>
      <c r="F99" s="20" t="n">
        <v>572.932</v>
      </c>
      <c r="G99" s="20" t="n">
        <v>592.928</v>
      </c>
      <c r="H99" s="20" t="n">
        <v>382.877</v>
      </c>
      <c r="I99" s="20" t="n">
        <v>391.023</v>
      </c>
      <c r="J99" s="20" t="n">
        <v>535.736</v>
      </c>
      <c r="K99" s="20" t="n">
        <v>571.927</v>
      </c>
      <c r="L99" s="20" t="n">
        <v>572.49</v>
      </c>
    </row>
    <row r="100">
      <c r="A100" s="18" t="inlineStr">
        <is>
          <t>대손충당금</t>
        </is>
      </c>
      <c r="C100" s="20" t="n">
        <v>-87.258</v>
      </c>
      <c r="D100" s="20" t="n">
        <v>-87.313</v>
      </c>
      <c r="E100" s="20" t="n">
        <v>-89.569</v>
      </c>
      <c r="F100" s="20" t="n">
        <v>-89.45399999999999</v>
      </c>
      <c r="G100" s="20" t="n">
        <v>-90.88800000000001</v>
      </c>
      <c r="H100" s="20" t="n">
        <v>-73.751</v>
      </c>
      <c r="I100" s="20" t="n">
        <v>-71.211</v>
      </c>
      <c r="J100" s="20" t="n">
        <v>-74.569</v>
      </c>
      <c r="K100" s="20" t="n">
        <v>-81.92</v>
      </c>
      <c r="L100" s="20" t="n">
        <v>-89.569</v>
      </c>
    </row>
    <row r="101">
      <c r="A101" s="18" t="inlineStr">
        <is>
          <t>투자 및 기타자산 합계</t>
        </is>
      </c>
      <c r="C101" s="20" t="n">
        <v>4130.296</v>
      </c>
      <c r="D101" s="20" t="n">
        <v>4203.536</v>
      </c>
      <c r="E101" s="20" t="n">
        <v>4438.792</v>
      </c>
      <c r="F101" s="20" t="n">
        <v>4571.204</v>
      </c>
      <c r="G101" s="20" t="n">
        <v>4185.574</v>
      </c>
      <c r="H101" s="20" t="n">
        <v>4903.38</v>
      </c>
      <c r="I101" s="20" t="n">
        <v>3933.751</v>
      </c>
      <c r="J101" s="20" t="n">
        <v>3743.613</v>
      </c>
      <c r="K101" s="20" t="n">
        <v>3775.931</v>
      </c>
      <c r="L101" s="20" t="n">
        <v>4438.792</v>
      </c>
    </row>
    <row r="102">
      <c r="A102" s="9" t="inlineStr">
        <is>
          <t>비유동자산 합계</t>
        </is>
      </c>
      <c r="C102" s="12" t="n">
        <v>5928.811</v>
      </c>
      <c r="D102" s="12" t="n">
        <v>5991.856</v>
      </c>
      <c r="E102" s="12" t="n">
        <v>6214.844</v>
      </c>
      <c r="F102" s="12" t="n">
        <v>6334.185</v>
      </c>
      <c r="G102" s="12" t="n">
        <v>5935.004</v>
      </c>
      <c r="H102" s="12" t="n">
        <v>7178.864</v>
      </c>
      <c r="I102" s="12" t="n">
        <v>5775.021</v>
      </c>
      <c r="J102" s="12" t="n">
        <v>5604.918</v>
      </c>
      <c r="K102" s="12" t="n">
        <v>5636.477</v>
      </c>
      <c r="L102" s="12" t="n">
        <v>6214.844</v>
      </c>
    </row>
    <row r="103">
      <c r="A103" s="9" t="inlineStr">
        <is>
          <t>자산 합계</t>
        </is>
      </c>
      <c r="C103" s="12" t="n">
        <v>44732.048</v>
      </c>
      <c r="D103" s="12" t="n">
        <v>48473.592</v>
      </c>
      <c r="E103" s="12" t="n">
        <v>44030.257</v>
      </c>
      <c r="F103" s="12" t="n">
        <v>46671.612</v>
      </c>
      <c r="G103" s="12" t="n">
        <v>44661.826</v>
      </c>
      <c r="H103" s="12" t="n">
        <v>32216.668</v>
      </c>
      <c r="I103" s="12" t="n">
        <v>35870.758</v>
      </c>
      <c r="J103" s="12" t="n">
        <v>38101.874</v>
      </c>
      <c r="K103" s="12" t="n">
        <v>44312.349</v>
      </c>
      <c r="L103" s="12" t="n">
        <v>44030.257</v>
      </c>
    </row>
    <row r="104">
      <c r="A104" s="18" t="inlineStr">
        <is>
          <t>지급어음·매입채무</t>
        </is>
      </c>
      <c r="C104" s="20" t="n">
        <v>613.702</v>
      </c>
      <c r="D104" s="20" t="n">
        <v>646.46</v>
      </c>
      <c r="E104" s="20" t="n">
        <v>813.234</v>
      </c>
      <c r="F104" s="20" t="n">
        <v>584.509</v>
      </c>
      <c r="G104" s="20" t="n">
        <v>1230.802</v>
      </c>
      <c r="H104" s="20" t="n">
        <v>1032.699</v>
      </c>
      <c r="I104" s="20" t="n">
        <v>1352.208</v>
      </c>
      <c r="J104" s="20" t="n">
        <v>1122.9</v>
      </c>
      <c r="K104" s="20" t="n">
        <v>4678.449</v>
      </c>
      <c r="L104" s="20" t="n">
        <v>813.234</v>
      </c>
    </row>
    <row r="105">
      <c r="A105" s="18" t="inlineStr">
        <is>
          <t>단기차입금</t>
        </is>
      </c>
      <c r="C105" s="20" t="n">
        <v>10736.664</v>
      </c>
      <c r="D105" s="20" t="n">
        <v>15216.666</v>
      </c>
      <c r="E105" s="20" t="n">
        <v>10111.664</v>
      </c>
      <c r="F105" s="20" t="n">
        <v>15200</v>
      </c>
      <c r="G105" s="20" t="n">
        <v>10585</v>
      </c>
      <c r="H105" s="20" t="n">
        <v>2000</v>
      </c>
      <c r="I105" s="20" t="n">
        <v>5510</v>
      </c>
      <c r="J105" s="20" t="n">
        <v>7128.8</v>
      </c>
      <c r="K105" s="20" t="n">
        <v>7323.332</v>
      </c>
      <c r="L105" s="20" t="n">
        <v>10111.664</v>
      </c>
    </row>
    <row r="106">
      <c r="A106" s="18" t="inlineStr">
        <is>
          <t>1년 내 상환 장기차입금</t>
        </is>
      </c>
      <c r="C106" s="20" t="n">
        <v>47.304</v>
      </c>
      <c r="D106" s="20" t="n">
        <v>47.304</v>
      </c>
      <c r="E106" s="20" t="n">
        <v>47.304</v>
      </c>
      <c r="F106" s="20" t="n">
        <v>47.304</v>
      </c>
      <c r="G106" s="20" t="n">
        <v>47.304</v>
      </c>
      <c r="H106" s="20" t="n">
        <v>274.135</v>
      </c>
      <c r="I106" s="20" t="n">
        <v>419.224</v>
      </c>
      <c r="J106" s="20" t="n">
        <v>146</v>
      </c>
      <c r="K106" s="20" t="n">
        <v>47.304</v>
      </c>
      <c r="L106" s="20" t="n">
        <v>47.304</v>
      </c>
    </row>
    <row r="107">
      <c r="A107" s="18" t="inlineStr">
        <is>
          <t>미지급금</t>
        </is>
      </c>
      <c r="E107" s="20" t="n">
        <v>311.787</v>
      </c>
      <c r="H107" s="20" t="n">
        <v>221.028</v>
      </c>
      <c r="I107" s="20" t="n">
        <v>654.549</v>
      </c>
      <c r="J107" s="20" t="n">
        <v>463.973</v>
      </c>
      <c r="K107" s="20" t="n">
        <v>624.54</v>
      </c>
      <c r="L107" s="20" t="n">
        <v>311.787</v>
      </c>
    </row>
    <row r="108">
      <c r="A108" s="18" t="inlineStr">
        <is>
          <t>미지급법인세</t>
        </is>
      </c>
      <c r="C108" s="20" t="n">
        <v>700.538</v>
      </c>
      <c r="D108" s="20" t="n">
        <v>146.957</v>
      </c>
      <c r="E108" s="20" t="n">
        <v>857.526</v>
      </c>
      <c r="F108" s="20" t="n">
        <v>38.005</v>
      </c>
      <c r="G108" s="20" t="n">
        <v>551.716</v>
      </c>
      <c r="H108" s="20" t="n">
        <v>402.56</v>
      </c>
      <c r="I108" s="20" t="n">
        <v>131.942</v>
      </c>
      <c r="J108" s="20" t="n">
        <v>1192.698</v>
      </c>
      <c r="K108" s="20" t="n">
        <v>857.903</v>
      </c>
      <c r="L108" s="20" t="n">
        <v>857.526</v>
      </c>
    </row>
    <row r="109">
      <c r="A109" s="18" t="inlineStr">
        <is>
          <t>계약부채</t>
        </is>
      </c>
      <c r="E109" s="20" t="n">
        <v>455.224</v>
      </c>
      <c r="H109" s="20" t="n">
        <v>1601.026</v>
      </c>
      <c r="I109" s="20" t="n">
        <v>1075.61</v>
      </c>
      <c r="J109" s="20" t="n">
        <v>1374.101</v>
      </c>
      <c r="K109" s="20" t="n">
        <v>1121.003</v>
      </c>
      <c r="L109" s="20" t="n">
        <v>455.224</v>
      </c>
    </row>
    <row r="110">
      <c r="A110" s="18" t="inlineStr">
        <is>
          <t>상여충당금</t>
        </is>
      </c>
      <c r="C110" s="20" t="n">
        <v>49.903</v>
      </c>
      <c r="D110" s="20" t="n">
        <v>23.528</v>
      </c>
      <c r="E110" s="20" t="n">
        <v>51.336</v>
      </c>
      <c r="F110" s="20" t="n">
        <v>34.516</v>
      </c>
      <c r="G110" s="20" t="n">
        <v>55.118</v>
      </c>
      <c r="H110" s="20" t="n">
        <v>45.705</v>
      </c>
      <c r="I110" s="20" t="n">
        <v>42.505</v>
      </c>
      <c r="J110" s="20" t="n">
        <v>38.117</v>
      </c>
      <c r="K110" s="20" t="n">
        <v>45.432</v>
      </c>
      <c r="L110" s="20" t="n">
        <v>51.336</v>
      </c>
    </row>
    <row r="111">
      <c r="A111" s="18" t="inlineStr">
        <is>
          <t>임원 상여충당금</t>
        </is>
      </c>
      <c r="C111" s="20" t="n">
        <v>0</v>
      </c>
      <c r="D111" s="20" t="n">
        <v>0</v>
      </c>
      <c r="E111" s="20" t="n">
        <v>200</v>
      </c>
      <c r="F111" s="20" t="n">
        <v>0</v>
      </c>
      <c r="G111" s="20" t="n">
        <v>0</v>
      </c>
      <c r="H111" s="20" t="n">
        <v>180</v>
      </c>
      <c r="I111" s="20" t="n">
        <v>0</v>
      </c>
      <c r="J111" s="20" t="n">
        <v>200</v>
      </c>
      <c r="K111" s="20" t="n">
        <v>200</v>
      </c>
      <c r="L111" s="20" t="n">
        <v>200</v>
      </c>
    </row>
    <row r="112">
      <c r="A112" s="18" t="inlineStr">
        <is>
          <t>기타</t>
        </is>
      </c>
      <c r="C112" s="20" t="n">
        <v>2749.789</v>
      </c>
      <c r="D112" s="20" t="n">
        <v>2410.651</v>
      </c>
      <c r="E112" s="20" t="n">
        <v>1129.385</v>
      </c>
      <c r="F112" s="20" t="n">
        <v>1123.096</v>
      </c>
      <c r="G112" s="20" t="n">
        <v>1336.765</v>
      </c>
      <c r="H112" s="20" t="n">
        <v>296.723</v>
      </c>
      <c r="I112" s="20" t="n">
        <v>376.299</v>
      </c>
      <c r="J112" s="20" t="n">
        <v>168.822</v>
      </c>
      <c r="K112" s="20" t="n">
        <v>260.93</v>
      </c>
      <c r="L112" s="20" t="n">
        <v>1129.385</v>
      </c>
    </row>
    <row r="113">
      <c r="A113" s="9" t="inlineStr">
        <is>
          <t>유동부채 합계</t>
        </is>
      </c>
      <c r="C113" s="12" t="n">
        <v>14897.902</v>
      </c>
      <c r="D113" s="12" t="n">
        <v>18491.567</v>
      </c>
      <c r="E113" s="12" t="n">
        <v>13210.45</v>
      </c>
      <c r="F113" s="12" t="n">
        <v>17027.431</v>
      </c>
      <c r="G113" s="12" t="n">
        <v>13806.707</v>
      </c>
      <c r="H113" s="12" t="n">
        <v>6053.879</v>
      </c>
      <c r="I113" s="12" t="n">
        <v>9562.339</v>
      </c>
      <c r="J113" s="12" t="n">
        <v>11835.413</v>
      </c>
      <c r="K113" s="12" t="n">
        <v>15158.894</v>
      </c>
      <c r="L113" s="12" t="n">
        <v>13210.45</v>
      </c>
    </row>
    <row r="114">
      <c r="A114" s="18" t="inlineStr">
        <is>
          <t>장기차입금</t>
        </is>
      </c>
      <c r="C114" s="20" t="n">
        <v>491.018</v>
      </c>
      <c r="D114" s="20" t="n">
        <v>483.134</v>
      </c>
      <c r="E114" s="20" t="n">
        <v>467.366</v>
      </c>
      <c r="F114" s="20" t="n">
        <v>455.54</v>
      </c>
      <c r="G114" s="20" t="n">
        <v>443.714</v>
      </c>
      <c r="H114" s="20" t="n">
        <v>2843.483</v>
      </c>
      <c r="I114" s="20" t="n">
        <v>2188.847</v>
      </c>
      <c r="J114" s="20" t="n">
        <v>104</v>
      </c>
      <c r="K114" s="20" t="n">
        <v>514.67</v>
      </c>
      <c r="L114" s="20" t="n">
        <v>467.366</v>
      </c>
    </row>
    <row r="115">
      <c r="A115" s="18" t="inlineStr">
        <is>
          <t>이연법인세부채</t>
        </is>
      </c>
      <c r="H115" s="20" t="n">
        <v>0</v>
      </c>
      <c r="I115" s="20" t="n">
        <v>56.231</v>
      </c>
      <c r="J115" s="20" t="n">
        <v>3.908</v>
      </c>
      <c r="K115" s="20" t="n">
        <v>0</v>
      </c>
    </row>
    <row r="116">
      <c r="A116" s="18" t="inlineStr">
        <is>
          <t>기타</t>
        </is>
      </c>
      <c r="C116" s="20" t="n">
        <v>660.009</v>
      </c>
      <c r="D116" s="20" t="n">
        <v>636.3579999999999</v>
      </c>
      <c r="E116" s="20" t="n">
        <v>704.527</v>
      </c>
      <c r="F116" s="20" t="n">
        <v>702.3630000000001</v>
      </c>
      <c r="G116" s="20" t="n">
        <v>637.7329999999999</v>
      </c>
      <c r="H116" s="20" t="n">
        <v>616.22</v>
      </c>
      <c r="I116" s="20" t="n">
        <v>565.011</v>
      </c>
      <c r="J116" s="20" t="n">
        <v>707.6130000000001</v>
      </c>
      <c r="K116" s="20" t="n">
        <v>953.967</v>
      </c>
      <c r="L116" s="20" t="n">
        <v>704.527</v>
      </c>
    </row>
    <row r="117">
      <c r="A117" s="9" t="inlineStr">
        <is>
          <t>비유동부채 합계</t>
        </is>
      </c>
      <c r="C117" s="12" t="n">
        <v>1151.027</v>
      </c>
      <c r="D117" s="12" t="n">
        <v>1119.492</v>
      </c>
      <c r="E117" s="12" t="n">
        <v>1171.893</v>
      </c>
      <c r="F117" s="12" t="n">
        <v>1157.903</v>
      </c>
      <c r="G117" s="12" t="n">
        <v>1081.447</v>
      </c>
      <c r="H117" s="12" t="n">
        <v>3459.703</v>
      </c>
      <c r="I117" s="12" t="n">
        <v>2810.089</v>
      </c>
      <c r="J117" s="12" t="n">
        <v>815.522</v>
      </c>
      <c r="K117" s="12" t="n">
        <v>1468.637</v>
      </c>
      <c r="L117" s="12" t="n">
        <v>1171.893</v>
      </c>
    </row>
    <row r="118">
      <c r="A118" s="9" t="inlineStr">
        <is>
          <t>부채 합계</t>
        </is>
      </c>
      <c r="C118" s="12" t="n">
        <v>16048.929</v>
      </c>
      <c r="D118" s="12" t="n">
        <v>19611.06</v>
      </c>
      <c r="E118" s="12" t="n">
        <v>14382.343</v>
      </c>
      <c r="F118" s="12" t="n">
        <v>18185.335</v>
      </c>
      <c r="G118" s="12" t="n">
        <v>14888.154</v>
      </c>
      <c r="H118" s="12" t="n">
        <v>9513.583000000001</v>
      </c>
      <c r="I118" s="12" t="n">
        <v>12372.429</v>
      </c>
      <c r="J118" s="12" t="n">
        <v>12650.935</v>
      </c>
      <c r="K118" s="12" t="n">
        <v>16627.531</v>
      </c>
      <c r="L118" s="12" t="n">
        <v>14382.343</v>
      </c>
    </row>
    <row r="119">
      <c r="A119" s="18" t="inlineStr">
        <is>
          <t>자본금</t>
        </is>
      </c>
      <c r="C119" s="20" t="n">
        <v>100</v>
      </c>
      <c r="D119" s="20" t="n">
        <v>100</v>
      </c>
      <c r="E119" s="20" t="n">
        <v>100</v>
      </c>
      <c r="F119" s="20" t="n">
        <v>100</v>
      </c>
      <c r="G119" s="20" t="n">
        <v>100</v>
      </c>
      <c r="H119" s="20" t="n">
        <v>100</v>
      </c>
      <c r="I119" s="20" t="n">
        <v>100</v>
      </c>
      <c r="J119" s="20" t="n">
        <v>100</v>
      </c>
      <c r="K119" s="20" t="n">
        <v>100</v>
      </c>
      <c r="L119" s="20" t="n">
        <v>100</v>
      </c>
    </row>
    <row r="120">
      <c r="A120" s="18" t="inlineStr">
        <is>
          <t>자본잉여금</t>
        </is>
      </c>
      <c r="C120" s="20" t="n">
        <v>3798.554</v>
      </c>
      <c r="D120" s="20" t="n">
        <v>3798.554</v>
      </c>
      <c r="E120" s="20" t="n">
        <v>3798.554</v>
      </c>
      <c r="F120" s="20" t="n">
        <v>3796.888</v>
      </c>
      <c r="G120" s="20" t="n">
        <v>3885.423</v>
      </c>
      <c r="H120" s="20" t="n">
        <v>3587.284</v>
      </c>
      <c r="I120" s="20" t="n">
        <v>3587.284</v>
      </c>
      <c r="J120" s="20" t="n">
        <v>3587.284</v>
      </c>
      <c r="K120" s="20" t="n">
        <v>3689.672</v>
      </c>
      <c r="L120" s="20" t="n">
        <v>3798.554</v>
      </c>
    </row>
    <row r="121">
      <c r="A121" s="18" t="inlineStr">
        <is>
          <t>이익잉여금</t>
        </is>
      </c>
      <c r="C121" s="20" t="n">
        <v>25238.108</v>
      </c>
      <c r="D121" s="20" t="n">
        <v>25510.075</v>
      </c>
      <c r="E121" s="20" t="n">
        <v>26657.119</v>
      </c>
      <c r="F121" s="20" t="n">
        <v>25760.971</v>
      </c>
      <c r="G121" s="20" t="n">
        <v>27090.578</v>
      </c>
      <c r="H121" s="20" t="n">
        <v>19326.629</v>
      </c>
      <c r="I121" s="20" t="n">
        <v>20148.579</v>
      </c>
      <c r="J121" s="20" t="n">
        <v>21895.622</v>
      </c>
      <c r="K121" s="20" t="n">
        <v>24522.613</v>
      </c>
      <c r="L121" s="20" t="n">
        <v>26657.119</v>
      </c>
    </row>
    <row r="122">
      <c r="A122" s="18" t="inlineStr">
        <is>
          <t>자기주식</t>
        </is>
      </c>
      <c r="C122" s="20" t="n">
        <v>-943.71</v>
      </c>
      <c r="D122" s="20" t="n">
        <v>-1065.065</v>
      </c>
      <c r="E122" s="20" t="n">
        <v>-1207.318</v>
      </c>
      <c r="F122" s="20" t="n">
        <v>-1477.922</v>
      </c>
      <c r="G122" s="20" t="n">
        <v>-1388.897</v>
      </c>
      <c r="H122" s="20" t="n">
        <v>-693.886</v>
      </c>
      <c r="I122" s="20" t="n">
        <v>-794.926</v>
      </c>
      <c r="J122" s="20" t="n">
        <v>-794.926</v>
      </c>
      <c r="K122" s="20" t="n">
        <v>-997.312</v>
      </c>
      <c r="L122" s="20" t="n">
        <v>-1207.318</v>
      </c>
    </row>
    <row r="123">
      <c r="A123" s="9" t="inlineStr">
        <is>
          <t>주주자본 합계</t>
        </is>
      </c>
      <c r="C123" s="12" t="n">
        <v>28192.952</v>
      </c>
      <c r="D123" s="12" t="n">
        <v>28343.564</v>
      </c>
      <c r="E123" s="12" t="n">
        <v>29348.354</v>
      </c>
      <c r="F123" s="12" t="n">
        <v>28179.936</v>
      </c>
      <c r="G123" s="12" t="n">
        <v>29687.104</v>
      </c>
      <c r="H123" s="12" t="n">
        <v>22320.027</v>
      </c>
      <c r="I123" s="12" t="n">
        <v>23040.937</v>
      </c>
      <c r="J123" s="12" t="n">
        <v>24787.98</v>
      </c>
      <c r="K123" s="12" t="n">
        <v>27314.974</v>
      </c>
      <c r="L123" s="12" t="n">
        <v>29348.354</v>
      </c>
    </row>
    <row r="124">
      <c r="A124" s="18" t="inlineStr">
        <is>
          <t>기타유가증권 평가차액</t>
        </is>
      </c>
      <c r="C124" s="20" t="n">
        <v>228.468</v>
      </c>
      <c r="D124" s="20" t="n">
        <v>249.32</v>
      </c>
      <c r="E124" s="20" t="n">
        <v>11.16</v>
      </c>
      <c r="F124" s="20" t="n">
        <v>-36.697</v>
      </c>
      <c r="G124" s="20" t="n">
        <v>-254.623</v>
      </c>
      <c r="H124" s="20" t="n">
        <v>238.254</v>
      </c>
      <c r="I124" s="20" t="n">
        <v>281.598</v>
      </c>
      <c r="J124" s="20" t="n">
        <v>450.316</v>
      </c>
      <c r="K124" s="20" t="n">
        <v>124.659</v>
      </c>
      <c r="L124" s="20" t="n">
        <v>11.16</v>
      </c>
    </row>
    <row r="125">
      <c r="A125" s="18" t="inlineStr">
        <is>
          <t>기타포괄손익누계액 합계</t>
        </is>
      </c>
      <c r="C125" s="20" t="n">
        <v>228.468</v>
      </c>
      <c r="D125" s="20" t="n">
        <v>249.32</v>
      </c>
      <c r="E125" s="20" t="n">
        <v>11.16</v>
      </c>
      <c r="F125" s="20" t="n">
        <v>-36.697</v>
      </c>
      <c r="G125" s="20" t="n">
        <v>-254.623</v>
      </c>
      <c r="H125" s="20" t="n">
        <v>238.254</v>
      </c>
      <c r="I125" s="20" t="n">
        <v>281.598</v>
      </c>
      <c r="J125" s="20" t="n">
        <v>450.316</v>
      </c>
      <c r="K125" s="20" t="n">
        <v>124.659</v>
      </c>
      <c r="L125" s="20" t="n">
        <v>11.16</v>
      </c>
    </row>
    <row r="126">
      <c r="A126" s="18" t="inlineStr">
        <is>
          <t>비지배지분</t>
        </is>
      </c>
      <c r="C126" s="20" t="n">
        <v>261.698</v>
      </c>
      <c r="D126" s="20" t="n">
        <v>269.647</v>
      </c>
      <c r="E126" s="20" t="n">
        <v>288.398</v>
      </c>
      <c r="F126" s="20" t="n">
        <v>343.037</v>
      </c>
      <c r="G126" s="20" t="n">
        <v>341.19</v>
      </c>
      <c r="H126" s="20" t="n">
        <v>144.803</v>
      </c>
      <c r="I126" s="20" t="n">
        <v>175.793</v>
      </c>
      <c r="J126" s="20" t="n">
        <v>212.643</v>
      </c>
      <c r="K126" s="20" t="n">
        <v>245.183</v>
      </c>
      <c r="L126" s="20" t="n">
        <v>288.398</v>
      </c>
    </row>
    <row r="127">
      <c r="A127" s="9" t="inlineStr">
        <is>
          <t>순자산 합계</t>
        </is>
      </c>
      <c r="C127" s="12" t="n">
        <v>28683.118</v>
      </c>
      <c r="D127" s="12" t="n">
        <v>28862.532</v>
      </c>
      <c r="E127" s="12" t="n">
        <v>29647.914</v>
      </c>
      <c r="F127" s="12" t="n">
        <v>28486.277</v>
      </c>
      <c r="G127" s="12" t="n">
        <v>29773.671</v>
      </c>
      <c r="H127" s="12" t="n">
        <v>22703.085</v>
      </c>
      <c r="I127" s="12" t="n">
        <v>23498.329</v>
      </c>
      <c r="J127" s="12" t="n">
        <v>25450.939</v>
      </c>
      <c r="K127" s="12" t="n">
        <v>27684.817</v>
      </c>
      <c r="L127" s="12" t="n">
        <v>29647.914</v>
      </c>
    </row>
    <row r="128">
      <c r="A128" s="9" t="inlineStr">
        <is>
          <t>부채·순자산 합계</t>
        </is>
      </c>
      <c r="C128" s="12" t="n">
        <v>44732.048</v>
      </c>
      <c r="D128" s="12" t="n">
        <v>48473.592</v>
      </c>
      <c r="E128" s="12" t="n">
        <v>44030.257</v>
      </c>
      <c r="F128" s="12" t="n">
        <v>46671.612</v>
      </c>
      <c r="G128" s="12" t="n">
        <v>44661.826</v>
      </c>
      <c r="H128" s="12" t="n">
        <v>32216.668</v>
      </c>
      <c r="I128" s="12" t="n">
        <v>35870.758</v>
      </c>
      <c r="J128" s="12" t="n">
        <v>38101.874</v>
      </c>
      <c r="K128" s="12" t="n">
        <v>44312.349</v>
      </c>
      <c r="L128" s="12" t="n">
        <v>44030.257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5280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상반기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105.92</v>
      </c>
      <c r="G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30.2</v>
      </c>
    </row>
    <row r="8">
      <c r="A8" s="54" t="inlineStr">
        <is>
          <t>sga</t>
        </is>
      </c>
      <c r="B8" s="55" t="n">
        <v>13.84</v>
      </c>
    </row>
    <row r="9">
      <c r="A9" s="54" t="inlineStr">
        <is>
          <t>영업이익</t>
        </is>
      </c>
      <c r="B9" s="55" t="n">
        <v>16.36</v>
      </c>
    </row>
    <row r="10">
      <c r="A10" s="54" t="inlineStr">
        <is>
          <t>ordinary</t>
        </is>
      </c>
      <c r="B10" s="55" t="n">
        <v>16.28</v>
      </c>
    </row>
    <row r="11">
      <c r="A11" s="54" t="inlineStr">
        <is>
          <t>pbt</t>
        </is>
      </c>
      <c r="B11" s="55" t="n">
        <v>16.28</v>
      </c>
    </row>
    <row r="12">
      <c r="A12" s="54" t="inlineStr">
        <is>
          <t>순이익</t>
        </is>
      </c>
      <c r="B12" s="55" t="n">
        <v>10.28</v>
      </c>
    </row>
    <row r="13">
      <c r="A13" s="54" t="inlineStr">
        <is>
          <t>EPS</t>
        </is>
      </c>
      <c r="B13" s="55" t="n">
        <v>148.08</v>
      </c>
    </row>
    <row r="15">
      <c r="A15" s="52" t="inlineStr">
        <is>
          <t>this quarter · 상반기 직전</t>
        </is>
      </c>
      <c r="B15" s="52" t="n"/>
      <c r="C15" s="52" t="n"/>
      <c r="D15" s="52" t="n"/>
      <c r="E15" s="52" t="n"/>
      <c r="F15" s="52" t="n"/>
      <c r="G15" s="52" t="n"/>
    </row>
    <row r="16">
      <c r="A16" s="53" t="inlineStr">
        <is>
          <t>항목</t>
        </is>
      </c>
      <c r="B16" s="53" t="inlineStr">
        <is>
          <t>값</t>
        </is>
      </c>
      <c r="G16" s="53" t="inlineStr">
        <is>
          <t>출처</t>
        </is>
      </c>
    </row>
    <row r="17">
      <c r="A17" s="54" t="inlineStr">
        <is>
          <t>매출</t>
        </is>
      </c>
      <c r="B17" s="55" t="n">
        <v>133.47</v>
      </c>
      <c r="G17" s="56" t="inlineStr">
        <is>
          <t>2단계 보고서 자료(회사 설명회 자료·공시)</t>
        </is>
      </c>
    </row>
    <row r="18">
      <c r="A18" s="54" t="inlineStr">
        <is>
          <t>gp</t>
        </is>
      </c>
      <c r="B18" s="55" t="n">
        <v>29.57</v>
      </c>
    </row>
    <row r="19">
      <c r="A19" s="54" t="inlineStr">
        <is>
          <t>sga</t>
        </is>
      </c>
      <c r="B19" s="55" t="n">
        <v>11.84</v>
      </c>
    </row>
    <row r="20">
      <c r="A20" s="54" t="inlineStr">
        <is>
          <t>영업이익</t>
        </is>
      </c>
      <c r="B20" s="55" t="n">
        <v>17.73</v>
      </c>
    </row>
    <row r="21">
      <c r="A21" s="54" t="inlineStr">
        <is>
          <t>ordinary</t>
        </is>
      </c>
      <c r="B21" s="55" t="n">
        <v>18.94</v>
      </c>
    </row>
    <row r="22">
      <c r="A22" s="54" t="inlineStr">
        <is>
          <t>pbt</t>
        </is>
      </c>
      <c r="B22" s="55" t="n">
        <v>18.97</v>
      </c>
    </row>
    <row r="23">
      <c r="A23" s="54" t="inlineStr">
        <is>
          <t>순이익</t>
        </is>
      </c>
      <c r="B23" s="55" t="n">
        <v>12.42</v>
      </c>
    </row>
    <row r="24">
      <c r="A24" s="54" t="inlineStr">
        <is>
          <t>EPS</t>
        </is>
      </c>
      <c r="B24" s="55" t="n">
        <v>176.26</v>
      </c>
    </row>
    <row r="26">
      <c r="A26" s="52" t="inlineStr">
        <is>
          <t>this quarter · 상반기 계획</t>
        </is>
      </c>
      <c r="B26" s="52" t="n"/>
      <c r="C26" s="52" t="n"/>
      <c r="D26" s="52" t="n"/>
      <c r="E26" s="52" t="n"/>
      <c r="F26" s="52" t="n"/>
      <c r="G26" s="52" t="n"/>
    </row>
    <row r="27">
      <c r="A27" s="53" t="inlineStr">
        <is>
          <t>항목</t>
        </is>
      </c>
      <c r="B27" s="53" t="inlineStr">
        <is>
          <t>값</t>
        </is>
      </c>
      <c r="G27" s="53" t="inlineStr">
        <is>
          <t>출처</t>
        </is>
      </c>
    </row>
    <row r="28">
      <c r="A28" s="54" t="inlineStr">
        <is>
          <t>매출</t>
        </is>
      </c>
      <c r="B28" s="55" t="n">
        <v>100</v>
      </c>
      <c r="G28" s="56" t="inlineStr">
        <is>
          <t>2단계 보고서 자료(회사 설명회 자료·공시)</t>
        </is>
      </c>
    </row>
    <row r="29">
      <c r="A29" s="54" t="inlineStr">
        <is>
          <t>영업이익</t>
        </is>
      </c>
      <c r="B29" s="55" t="n">
        <v>14</v>
      </c>
    </row>
    <row r="30">
      <c r="A30" s="54" t="inlineStr">
        <is>
          <t>ordinary</t>
        </is>
      </c>
      <c r="B30" s="55" t="n">
        <v>14</v>
      </c>
    </row>
    <row r="31">
      <c r="A31" s="54" t="inlineStr">
        <is>
          <t>순이익</t>
        </is>
      </c>
      <c r="B31" s="55" t="n">
        <v>9</v>
      </c>
    </row>
    <row r="32">
      <c r="A32" s="54" t="inlineStr">
        <is>
          <t>EPS</t>
        </is>
      </c>
      <c r="B32" s="55" t="n">
        <v>128.69</v>
      </c>
    </row>
    <row r="34">
      <c r="A34" s="52" t="inlineStr">
        <is>
          <t>this quarter · FY guide unchanged</t>
        </is>
      </c>
      <c r="B34" s="52" t="n"/>
      <c r="C34" s="52" t="n"/>
      <c r="D34" s="52" t="n"/>
      <c r="E34" s="52" t="n"/>
      <c r="F34" s="52" t="n"/>
      <c r="G34" s="52" t="n"/>
    </row>
    <row r="35">
      <c r="A35" s="53" t="inlineStr">
        <is>
          <t>항목</t>
        </is>
      </c>
      <c r="B35" s="53" t="inlineStr">
        <is>
          <t>값</t>
        </is>
      </c>
      <c r="G35" s="53" t="inlineStr">
        <is>
          <t>출처</t>
        </is>
      </c>
    </row>
    <row r="36">
      <c r="A36" s="54" t="inlineStr">
        <is>
          <t>매출</t>
        </is>
      </c>
      <c r="B36" s="57" t="n">
        <v>300</v>
      </c>
      <c r="G36" s="56" t="inlineStr">
        <is>
          <t>2단계 보고서 자료(회사 설명회 자료·공시)</t>
        </is>
      </c>
    </row>
    <row r="37">
      <c r="A37" s="54" t="inlineStr">
        <is>
          <t>영업이익</t>
        </is>
      </c>
      <c r="B37" s="57" t="n">
        <v>43</v>
      </c>
    </row>
    <row r="38">
      <c r="A38" s="54" t="inlineStr">
        <is>
          <t>ordinary</t>
        </is>
      </c>
      <c r="B38" s="57" t="n">
        <v>43</v>
      </c>
    </row>
    <row r="39">
      <c r="A39" s="54" t="inlineStr">
        <is>
          <t>순이익</t>
        </is>
      </c>
      <c r="B39" s="57" t="n">
        <v>28</v>
      </c>
    </row>
    <row r="40">
      <c r="A40" s="54" t="inlineStr">
        <is>
          <t>EPS</t>
        </is>
      </c>
      <c r="B40" s="55" t="n">
        <v>400.35</v>
      </c>
    </row>
    <row r="41">
      <c r="A41" s="54" t="inlineStr">
        <is>
          <t>dps</t>
        </is>
      </c>
      <c r="B41" s="57" t="n">
        <v>90</v>
      </c>
    </row>
    <row r="43">
      <c r="A43" s="52" t="inlineStr">
        <is>
          <t>this quarter · 2Q standalone</t>
        </is>
      </c>
      <c r="B43" s="52" t="n"/>
      <c r="C43" s="52" t="n"/>
      <c r="D43" s="52" t="n"/>
      <c r="E43" s="52" t="n"/>
      <c r="F43" s="52" t="n"/>
      <c r="G43" s="52" t="n"/>
    </row>
    <row r="44">
      <c r="A44" s="53" t="inlineStr">
        <is>
          <t>항목</t>
        </is>
      </c>
      <c r="B44" s="53" t="inlineStr">
        <is>
          <t>값</t>
        </is>
      </c>
      <c r="G44" s="53" t="inlineStr">
        <is>
          <t>출처</t>
        </is>
      </c>
    </row>
    <row r="45">
      <c r="A45" s="54" t="inlineStr">
        <is>
          <t>매출</t>
        </is>
      </c>
      <c r="B45" s="55" t="n">
        <v>88.90000000000001</v>
      </c>
      <c r="G45" s="56" t="inlineStr">
        <is>
          <t>2단계 보고서 자료(회사 설명회 자료·공시)</t>
        </is>
      </c>
    </row>
    <row r="46">
      <c r="A46" s="54" t="inlineStr">
        <is>
          <t>gp</t>
        </is>
      </c>
      <c r="B46" s="55" t="n">
        <v>25.8</v>
      </c>
    </row>
    <row r="47">
      <c r="A47" s="54" t="inlineStr">
        <is>
          <t>sga</t>
        </is>
      </c>
      <c r="B47" s="55" t="n">
        <v>5.8</v>
      </c>
    </row>
    <row r="48">
      <c r="A48" s="54" t="inlineStr">
        <is>
          <t>영업이익</t>
        </is>
      </c>
      <c r="B48" s="55" t="n">
        <v>20</v>
      </c>
    </row>
    <row r="49">
      <c r="A49" s="54" t="inlineStr">
        <is>
          <t>pbt</t>
        </is>
      </c>
      <c r="B49" s="55" t="n">
        <v>20.3</v>
      </c>
    </row>
    <row r="50">
      <c r="A50" s="54" t="inlineStr">
        <is>
          <t>순이익</t>
        </is>
      </c>
      <c r="B50" s="55" t="n">
        <v>13.3</v>
      </c>
    </row>
    <row r="51">
      <c r="A51" s="54" t="inlineStr">
        <is>
          <t>EPS approx</t>
        </is>
      </c>
      <c r="B51" s="55" t="n">
        <v>191.8</v>
      </c>
    </row>
    <row r="53">
      <c r="A53" s="52" t="inlineStr">
        <is>
          <t>this quarter · bs 26 9</t>
        </is>
      </c>
      <c r="B53" s="52" t="n"/>
      <c r="C53" s="52" t="n"/>
      <c r="D53" s="52" t="n"/>
      <c r="E53" s="52" t="n"/>
      <c r="F53" s="52" t="n"/>
      <c r="G53" s="52" t="n"/>
    </row>
    <row r="54">
      <c r="A54" s="53" t="inlineStr">
        <is>
          <t>항목</t>
        </is>
      </c>
      <c r="B54" s="53" t="inlineStr">
        <is>
          <t>값</t>
        </is>
      </c>
      <c r="G54" s="53" t="inlineStr">
        <is>
          <t>출처</t>
        </is>
      </c>
    </row>
    <row r="55">
      <c r="A55" s="54" t="inlineStr">
        <is>
          <t>합계 assets</t>
        </is>
      </c>
      <c r="B55" s="55" t="n">
        <v>446.6</v>
      </c>
      <c r="G55" s="56" t="inlineStr">
        <is>
          <t>2단계 보고서 자료(회사 설명회 자료·공시)</t>
        </is>
      </c>
    </row>
    <row r="56">
      <c r="A56" s="54" t="inlineStr">
        <is>
          <t>cash</t>
        </is>
      </c>
      <c r="B56" s="55" t="n">
        <v>19.5</v>
      </c>
    </row>
    <row r="57">
      <c r="A57" s="54" t="inlineStr">
        <is>
          <t>receivables</t>
        </is>
      </c>
      <c r="B57" s="55" t="n">
        <v>14.5</v>
      </c>
    </row>
    <row r="58">
      <c r="A58" s="54" t="inlineStr">
        <is>
          <t>inventory re</t>
        </is>
      </c>
      <c r="B58" s="55" t="n">
        <v>346</v>
      </c>
    </row>
    <row r="59">
      <c r="A59" s="54" t="inlineStr">
        <is>
          <t>st debt</t>
        </is>
      </c>
      <c r="B59" s="55" t="n">
        <v>105.85</v>
      </c>
    </row>
    <row r="60">
      <c r="A60" s="54" t="inlineStr">
        <is>
          <t>lt debt</t>
        </is>
      </c>
      <c r="B60" s="55" t="n">
        <v>4.44</v>
      </c>
    </row>
    <row r="61">
      <c r="A61" s="54" t="inlineStr">
        <is>
          <t>cur ltd</t>
        </is>
      </c>
      <c r="B61" s="55" t="n">
        <v>0.47</v>
      </c>
    </row>
    <row r="62">
      <c r="A62" s="54" t="inlineStr">
        <is>
          <t>payables</t>
        </is>
      </c>
      <c r="B62" s="55" t="n">
        <v>12.3</v>
      </c>
    </row>
    <row r="63">
      <c r="A63" s="54" t="inlineStr">
        <is>
          <t>net assets</t>
        </is>
      </c>
      <c r="B63" s="55" t="n">
        <v>297.7</v>
      </c>
    </row>
    <row r="64">
      <c r="A64" s="54" t="inlineStr">
        <is>
          <t>equity ratio</t>
        </is>
      </c>
      <c r="B64" s="55" t="n">
        <v>65.90000000000001</v>
      </c>
    </row>
    <row r="65">
      <c r="A65" s="54" t="inlineStr">
        <is>
          <t>equity owner</t>
        </is>
      </c>
      <c r="B65" s="55" t="n">
        <v>294.3</v>
      </c>
    </row>
    <row r="66">
      <c r="A66" s="54" t="inlineStr">
        <is>
          <t>inv securities</t>
        </is>
      </c>
      <c r="B66" s="55" t="n">
        <v>30</v>
      </c>
    </row>
    <row r="68">
      <c r="A68" s="52" t="inlineStr">
        <is>
          <t>this quarter · cf 상반기</t>
        </is>
      </c>
      <c r="B68" s="52" t="n"/>
      <c r="C68" s="52" t="n"/>
      <c r="D68" s="52" t="n"/>
      <c r="E68" s="52" t="n"/>
      <c r="F68" s="52" t="n"/>
      <c r="G68" s="52" t="n"/>
    </row>
    <row r="69">
      <c r="A69" s="53" t="inlineStr">
        <is>
          <t>항목</t>
        </is>
      </c>
      <c r="B69" s="53" t="inlineStr">
        <is>
          <t>값</t>
        </is>
      </c>
      <c r="G69" s="53" t="inlineStr">
        <is>
          <t>출처</t>
        </is>
      </c>
    </row>
    <row r="70">
      <c r="A70" s="54" t="inlineStr">
        <is>
          <t>ocf</t>
        </is>
      </c>
      <c r="B70" s="55" t="n">
        <v>-1.71</v>
      </c>
      <c r="G70" s="56" t="inlineStr">
        <is>
          <t>2단계 보고서 자료(회사 설명회 자료·공시)</t>
        </is>
      </c>
    </row>
    <row r="71">
      <c r="A71" s="54" t="inlineStr">
        <is>
          <t>inventory chg</t>
        </is>
      </c>
      <c r="B71" s="55" t="n">
        <v>-11.53</v>
      </c>
    </row>
    <row r="72">
      <c r="A72" s="54" t="inlineStr">
        <is>
          <t>icf</t>
        </is>
      </c>
      <c r="B72" s="55" t="n">
        <v>-0.14</v>
      </c>
    </row>
    <row r="73">
      <c r="A73" s="54" t="inlineStr">
        <is>
          <t>buyback</t>
        </is>
      </c>
      <c r="B73" s="55" t="n">
        <v>-2.93</v>
      </c>
    </row>
    <row r="74">
      <c r="A74" s="54" t="inlineStr">
        <is>
          <t>dividends</t>
        </is>
      </c>
      <c r="B74" s="55" t="n">
        <v>-5.94</v>
      </c>
    </row>
    <row r="75">
      <c r="A75" s="54" t="inlineStr">
        <is>
          <t>st debt net</t>
        </is>
      </c>
      <c r="B75" s="55" t="n">
        <v>4.73</v>
      </c>
    </row>
    <row r="76">
      <c r="A76" s="54" t="inlineStr">
        <is>
          <t>직전 ocf</t>
        </is>
      </c>
      <c r="B76" s="55" t="n">
        <v>-38.07</v>
      </c>
    </row>
    <row r="78">
      <c r="A78" s="52" t="inlineStr">
        <is>
          <t>EPS annual</t>
        </is>
      </c>
      <c r="B78" s="52" t="n"/>
      <c r="C78" s="52" t="n"/>
      <c r="D78" s="52" t="n"/>
      <c r="E78" s="52" t="n"/>
      <c r="F78" s="52" t="n"/>
      <c r="G78" s="52" t="n"/>
    </row>
    <row r="79">
      <c r="A79" s="53" t="inlineStr">
        <is>
          <t>항목</t>
        </is>
      </c>
      <c r="B79" s="53" t="inlineStr">
        <is>
          <t>값</t>
        </is>
      </c>
      <c r="G79" s="53" t="inlineStr">
        <is>
          <t>출처</t>
        </is>
      </c>
    </row>
    <row r="80">
      <c r="A80" s="54" t="inlineStr">
        <is>
          <t>FY2017</t>
        </is>
      </c>
      <c r="B80" s="55" t="n">
        <v>269.71</v>
      </c>
      <c r="G80" s="56" t="inlineStr">
        <is>
          <t>2단계 보고서 자료(회사 설명회 자료·공시)</t>
        </is>
      </c>
    </row>
    <row r="81">
      <c r="A81" s="54" t="inlineStr">
        <is>
          <t>FY2018</t>
        </is>
      </c>
      <c r="B81" s="55" t="n">
        <v>302.53</v>
      </c>
    </row>
    <row r="82">
      <c r="A82" s="54" t="inlineStr">
        <is>
          <t>FY2019</t>
        </is>
      </c>
      <c r="B82" s="55" t="n">
        <v>226.75</v>
      </c>
    </row>
    <row r="83">
      <c r="A83" s="54" t="inlineStr">
        <is>
          <t>FY2020</t>
        </is>
      </c>
      <c r="B83" s="55" t="n">
        <v>142.86</v>
      </c>
    </row>
    <row r="84">
      <c r="A84" s="54" t="inlineStr">
        <is>
          <t>FY2021</t>
        </is>
      </c>
      <c r="B84" s="55" t="n">
        <v>196.4</v>
      </c>
    </row>
    <row r="85">
      <c r="A85" s="54" t="inlineStr">
        <is>
          <t>FY2022</t>
        </is>
      </c>
      <c r="B85" s="55" t="n">
        <v>223.96</v>
      </c>
    </row>
    <row r="86">
      <c r="A86" s="54" t="inlineStr">
        <is>
          <t>FY2023</t>
        </is>
      </c>
      <c r="B86" s="55" t="n">
        <v>162.92</v>
      </c>
    </row>
    <row r="87">
      <c r="A87" s="54" t="inlineStr">
        <is>
          <t>FY2024</t>
        </is>
      </c>
      <c r="B87" s="55" t="n">
        <v>295.93</v>
      </c>
    </row>
    <row r="88">
      <c r="A88" s="54" t="inlineStr">
        <is>
          <t>FY2025</t>
        </is>
      </c>
      <c r="B88" s="55" t="n">
        <v>425.42</v>
      </c>
    </row>
    <row r="89">
      <c r="A89" s="54" t="inlineStr">
        <is>
          <t>FY2026</t>
        </is>
      </c>
      <c r="B89" s="55" t="n">
        <v>377.57</v>
      </c>
    </row>
    <row r="91">
      <c r="A91" s="52" t="inlineStr">
        <is>
          <t>dps annual</t>
        </is>
      </c>
      <c r="B91" s="52" t="n"/>
      <c r="C91" s="52" t="n"/>
      <c r="D91" s="52" t="n"/>
      <c r="E91" s="52" t="n"/>
      <c r="F91" s="52" t="n"/>
      <c r="G91" s="52" t="n"/>
    </row>
    <row r="92">
      <c r="A92" s="53" t="inlineStr">
        <is>
          <t>항목</t>
        </is>
      </c>
      <c r="B92" s="53" t="inlineStr">
        <is>
          <t>값</t>
        </is>
      </c>
      <c r="G92" s="53" t="inlineStr">
        <is>
          <t>출처</t>
        </is>
      </c>
    </row>
    <row r="93">
      <c r="A93" s="54" t="inlineStr">
        <is>
          <t>FY2017</t>
        </is>
      </c>
      <c r="B93" s="57" t="n">
        <v>32</v>
      </c>
      <c r="G93" s="56" t="inlineStr">
        <is>
          <t>2단계 보고서 자료(회사 설명회 자료·공시)</t>
        </is>
      </c>
    </row>
    <row r="94">
      <c r="A94" s="54" t="inlineStr">
        <is>
          <t>FY2018</t>
        </is>
      </c>
      <c r="B94" s="57" t="n">
        <v>38</v>
      </c>
    </row>
    <row r="95">
      <c r="A95" s="54" t="inlineStr">
        <is>
          <t>FY2019</t>
        </is>
      </c>
      <c r="B95" s="57" t="n">
        <v>42</v>
      </c>
    </row>
    <row r="96">
      <c r="A96" s="54" t="inlineStr">
        <is>
          <t>FY2020</t>
        </is>
      </c>
      <c r="B96" s="57" t="n">
        <v>45</v>
      </c>
    </row>
    <row r="97">
      <c r="A97" s="54" t="inlineStr">
        <is>
          <t>FY2021</t>
        </is>
      </c>
      <c r="B97" s="57" t="n">
        <v>47</v>
      </c>
    </row>
    <row r="98">
      <c r="A98" s="54" t="inlineStr">
        <is>
          <t>FY2022</t>
        </is>
      </c>
      <c r="B98" s="55" t="n">
        <v>48.5</v>
      </c>
    </row>
    <row r="99">
      <c r="A99" s="54" t="inlineStr">
        <is>
          <t>FY2023</t>
        </is>
      </c>
      <c r="B99" s="57" t="n">
        <v>50</v>
      </c>
    </row>
    <row r="100">
      <c r="A100" s="54" t="inlineStr">
        <is>
          <t>FY2024</t>
        </is>
      </c>
      <c r="B100" s="57" t="n">
        <v>55</v>
      </c>
    </row>
    <row r="101">
      <c r="A101" s="54" t="inlineStr">
        <is>
          <t>FY2025</t>
        </is>
      </c>
      <c r="B101" s="57" t="n">
        <v>75</v>
      </c>
    </row>
    <row r="102">
      <c r="A102" s="54" t="inlineStr">
        <is>
          <t>FY2026</t>
        </is>
      </c>
      <c r="B102" s="57" t="n">
        <v>85</v>
      </c>
    </row>
    <row r="103">
      <c r="A103" s="54" t="inlineStr">
        <is>
          <t>FY2027G</t>
        </is>
      </c>
      <c r="B103" s="57" t="n">
        <v>90</v>
      </c>
    </row>
    <row r="105">
      <c r="A105" s="52" t="inlineStr">
        <is>
          <t>bs annual</t>
        </is>
      </c>
      <c r="B105" s="52" t="n"/>
      <c r="C105" s="52" t="n"/>
      <c r="D105" s="52" t="n"/>
      <c r="E105" s="52" t="n"/>
      <c r="F105" s="52" t="n"/>
      <c r="G105" s="52" t="n"/>
    </row>
    <row r="106">
      <c r="A106" s="53" t="inlineStr">
        <is>
          <t>항목</t>
        </is>
      </c>
      <c r="B106" s="53" t="inlineStr">
        <is>
          <t>2022</t>
        </is>
      </c>
      <c r="C106" s="53" t="inlineStr">
        <is>
          <t>2023</t>
        </is>
      </c>
      <c r="D106" s="53" t="inlineStr">
        <is>
          <t>2024</t>
        </is>
      </c>
      <c r="E106" s="53" t="inlineStr">
        <is>
          <t>2025</t>
        </is>
      </c>
      <c r="F106" s="53" t="inlineStr">
        <is>
          <t>2026</t>
        </is>
      </c>
      <c r="G106" s="53" t="inlineStr">
        <is>
          <t>출처</t>
        </is>
      </c>
    </row>
    <row r="107">
      <c r="A107" s="54" t="inlineStr">
        <is>
          <t>labels</t>
        </is>
      </c>
      <c r="B107" s="57" t="n">
        <v>2022</v>
      </c>
      <c r="C107" s="57" t="n">
        <v>2023</v>
      </c>
      <c r="D107" s="57" t="n">
        <v>2024</v>
      </c>
      <c r="E107" s="57" t="n">
        <v>2025</v>
      </c>
      <c r="F107" s="57" t="n">
        <v>2026</v>
      </c>
      <c r="G107" s="56" t="inlineStr">
        <is>
          <t>2단계 보고서 자료(회사 설명회 자료·공시)</t>
        </is>
      </c>
    </row>
    <row r="108">
      <c r="A108" s="54" t="inlineStr">
        <is>
          <t>current assets</t>
        </is>
      </c>
      <c r="B108" s="55" t="n">
        <v>250.4</v>
      </c>
      <c r="C108" s="55" t="n">
        <v>301</v>
      </c>
      <c r="D108" s="55" t="n">
        <v>325</v>
      </c>
      <c r="E108" s="55" t="n">
        <v>386.8</v>
      </c>
      <c r="F108" s="55" t="n">
        <v>378.2</v>
      </c>
    </row>
    <row r="109">
      <c r="A109" s="54" t="inlineStr">
        <is>
          <t>cash</t>
        </is>
      </c>
      <c r="B109" s="55" t="n">
        <v>42.5</v>
      </c>
      <c r="C109" s="55" t="n">
        <v>23.6</v>
      </c>
      <c r="D109" s="55" t="n">
        <v>17.4</v>
      </c>
      <c r="E109" s="55" t="n">
        <v>35.1</v>
      </c>
      <c r="F109" s="55" t="n">
        <v>25.5</v>
      </c>
    </row>
    <row r="110">
      <c r="A110" s="54" t="inlineStr">
        <is>
          <t>st fin</t>
        </is>
      </c>
      <c r="B110" s="58" t="n"/>
      <c r="C110" s="58" t="n"/>
      <c r="D110" s="58" t="n"/>
      <c r="E110" s="58" t="n"/>
      <c r="F110" s="58" t="n"/>
    </row>
    <row r="111">
      <c r="A111" s="54" t="inlineStr">
        <is>
          <t>receivables</t>
        </is>
      </c>
      <c r="B111" s="55" t="n">
        <v>8.9</v>
      </c>
      <c r="C111" s="55" t="n">
        <v>12.5</v>
      </c>
      <c r="D111" s="55" t="n">
        <v>15.9</v>
      </c>
      <c r="E111" s="55" t="n">
        <v>10.1</v>
      </c>
      <c r="F111" s="55" t="n">
        <v>7.8</v>
      </c>
    </row>
    <row r="112">
      <c r="A112" s="54" t="inlineStr">
        <is>
          <t>inventory</t>
        </is>
      </c>
      <c r="B112" s="55" t="n">
        <v>196.6</v>
      </c>
      <c r="C112" s="55" t="n">
        <v>256.3</v>
      </c>
      <c r="D112" s="55" t="n">
        <v>284.6</v>
      </c>
      <c r="E112" s="55" t="n">
        <v>285.3</v>
      </c>
      <c r="F112" s="55" t="n">
        <v>334.4</v>
      </c>
    </row>
    <row r="113">
      <c r="A113" s="54" t="inlineStr">
        <is>
          <t>noncurrent assets</t>
        </is>
      </c>
      <c r="B113" s="55" t="n">
        <v>71.8</v>
      </c>
      <c r="C113" s="55" t="n">
        <v>57.8</v>
      </c>
      <c r="D113" s="55" t="n">
        <v>56</v>
      </c>
      <c r="E113" s="55" t="n">
        <v>56.4</v>
      </c>
      <c r="F113" s="55" t="n">
        <v>62.1</v>
      </c>
    </row>
    <row r="114">
      <c r="A114" s="54" t="inlineStr">
        <is>
          <t>ppe</t>
        </is>
      </c>
      <c r="B114" s="55" t="n">
        <v>22.2</v>
      </c>
      <c r="C114" s="55" t="n">
        <v>18.1</v>
      </c>
      <c r="D114" s="55" t="n">
        <v>18.3</v>
      </c>
      <c r="E114" s="55" t="n">
        <v>18.3</v>
      </c>
      <c r="F114" s="55" t="n">
        <v>17.5</v>
      </c>
    </row>
    <row r="115">
      <c r="A115" s="54" t="inlineStr">
        <is>
          <t>intangibles</t>
        </is>
      </c>
      <c r="B115" s="55" t="n">
        <v>0.5</v>
      </c>
      <c r="C115" s="55" t="n">
        <v>0.3</v>
      </c>
      <c r="D115" s="55" t="n">
        <v>0.3</v>
      </c>
      <c r="E115" s="55" t="n">
        <v>0.3</v>
      </c>
      <c r="F115" s="55" t="n">
        <v>0.3</v>
      </c>
    </row>
    <row r="116">
      <c r="A116" s="54" t="inlineStr">
        <is>
          <t>inv property</t>
        </is>
      </c>
      <c r="B116" s="58" t="n"/>
      <c r="C116" s="58" t="n"/>
      <c r="D116" s="58" t="n"/>
      <c r="E116" s="58" t="n"/>
      <c r="F116" s="58" t="n"/>
    </row>
    <row r="117">
      <c r="A117" s="54" t="inlineStr">
        <is>
          <t>합계 assets</t>
        </is>
      </c>
      <c r="B117" s="55" t="n">
        <v>322.2</v>
      </c>
      <c r="C117" s="55" t="n">
        <v>358.7</v>
      </c>
      <c r="D117" s="55" t="n">
        <v>381</v>
      </c>
      <c r="E117" s="55" t="n">
        <v>443.1</v>
      </c>
      <c r="F117" s="55" t="n">
        <v>440.3</v>
      </c>
    </row>
    <row r="118">
      <c r="A118" s="54" t="inlineStr">
        <is>
          <t>current liab</t>
        </is>
      </c>
      <c r="B118" s="55" t="n">
        <v>60.5</v>
      </c>
      <c r="C118" s="55" t="n">
        <v>95.59999999999999</v>
      </c>
      <c r="D118" s="55" t="n">
        <v>118.4</v>
      </c>
      <c r="E118" s="55" t="n">
        <v>151.6</v>
      </c>
      <c r="F118" s="55" t="n">
        <v>132.1</v>
      </c>
    </row>
    <row r="119">
      <c r="A119" s="54" t="inlineStr">
        <is>
          <t>payables</t>
        </is>
      </c>
      <c r="B119" s="55" t="n">
        <v>10.3</v>
      </c>
      <c r="C119" s="55" t="n">
        <v>13.5</v>
      </c>
      <c r="D119" s="55" t="n">
        <v>11.2</v>
      </c>
      <c r="E119" s="55" t="n">
        <v>46.8</v>
      </c>
      <c r="F119" s="55" t="n">
        <v>8.1</v>
      </c>
    </row>
    <row r="120">
      <c r="A120" s="54" t="inlineStr">
        <is>
          <t>st debt</t>
        </is>
      </c>
      <c r="B120" s="55" t="n">
        <v>20</v>
      </c>
      <c r="C120" s="55" t="n">
        <v>55.1</v>
      </c>
      <c r="D120" s="55" t="n">
        <v>71.3</v>
      </c>
      <c r="E120" s="55" t="n">
        <v>73.2</v>
      </c>
      <c r="F120" s="55" t="n">
        <v>101.1</v>
      </c>
    </row>
    <row r="121">
      <c r="A121" s="54" t="inlineStr">
        <is>
          <t>noncurrent liab</t>
        </is>
      </c>
      <c r="B121" s="55" t="n">
        <v>34.6</v>
      </c>
      <c r="C121" s="55" t="n">
        <v>28.1</v>
      </c>
      <c r="D121" s="55" t="n">
        <v>8.199999999999999</v>
      </c>
      <c r="E121" s="55" t="n">
        <v>14.7</v>
      </c>
      <c r="F121" s="55" t="n">
        <v>11.7</v>
      </c>
    </row>
    <row r="122">
      <c r="A122" s="54" t="inlineStr">
        <is>
          <t>lt debt</t>
        </is>
      </c>
      <c r="B122" s="55" t="n">
        <v>28.4</v>
      </c>
      <c r="C122" s="55" t="n">
        <v>21.9</v>
      </c>
      <c r="D122" s="55" t="n">
        <v>1</v>
      </c>
      <c r="E122" s="55" t="n">
        <v>5.1</v>
      </c>
      <c r="F122" s="55" t="n">
        <v>4.7</v>
      </c>
    </row>
    <row r="123">
      <c r="A123" s="54" t="inlineStr">
        <is>
          <t>bonds</t>
        </is>
      </c>
      <c r="B123" s="58" t="n"/>
      <c r="C123" s="58" t="n"/>
      <c r="D123" s="58" t="n"/>
      <c r="E123" s="58" t="n"/>
      <c r="F123" s="58" t="n"/>
    </row>
    <row r="124">
      <c r="A124" s="54" t="inlineStr">
        <is>
          <t>합계 liab</t>
        </is>
      </c>
      <c r="B124" s="55" t="n">
        <v>95.09999999999999</v>
      </c>
      <c r="C124" s="55" t="n">
        <v>123.7</v>
      </c>
      <c r="D124" s="55" t="n">
        <v>126.5</v>
      </c>
      <c r="E124" s="55" t="n">
        <v>166.3</v>
      </c>
      <c r="F124" s="55" t="n">
        <v>143.8</v>
      </c>
    </row>
    <row r="125">
      <c r="A125" s="54" t="inlineStr">
        <is>
          <t>capital stock</t>
        </is>
      </c>
      <c r="B125" s="55" t="n">
        <v>1</v>
      </c>
      <c r="C125" s="55" t="n">
        <v>1</v>
      </c>
      <c r="D125" s="55" t="n">
        <v>1</v>
      </c>
      <c r="E125" s="55" t="n">
        <v>1</v>
      </c>
      <c r="F125" s="55" t="n">
        <v>1</v>
      </c>
    </row>
    <row r="126">
      <c r="A126" s="54" t="inlineStr">
        <is>
          <t>retained</t>
        </is>
      </c>
      <c r="B126" s="55" t="n">
        <v>193.3</v>
      </c>
      <c r="C126" s="55" t="n">
        <v>201.5</v>
      </c>
      <c r="D126" s="55" t="n">
        <v>219</v>
      </c>
      <c r="E126" s="55" t="n">
        <v>245.2</v>
      </c>
      <c r="F126" s="55" t="n">
        <v>266.6</v>
      </c>
    </row>
    <row r="127">
      <c r="A127" s="54" t="inlineStr">
        <is>
          <t>nci</t>
        </is>
      </c>
      <c r="B127" s="55" t="n">
        <v>1.4</v>
      </c>
      <c r="C127" s="55" t="n">
        <v>1.8</v>
      </c>
      <c r="D127" s="55" t="n">
        <v>2.1</v>
      </c>
      <c r="E127" s="55" t="n">
        <v>2.5</v>
      </c>
      <c r="F127" s="55" t="n">
        <v>2.9</v>
      </c>
    </row>
    <row r="128">
      <c r="A128" s="54" t="inlineStr">
        <is>
          <t>합계 equity</t>
        </is>
      </c>
      <c r="B128" s="55" t="n">
        <v>227</v>
      </c>
      <c r="C128" s="55" t="n">
        <v>235</v>
      </c>
      <c r="D128" s="55" t="n">
        <v>254.5</v>
      </c>
      <c r="E128" s="55" t="n">
        <v>276.8</v>
      </c>
      <c r="F128" s="55" t="n">
        <v>296.5</v>
      </c>
    </row>
    <row r="129">
      <c r="A129" s="54" t="inlineStr">
        <is>
          <t>current ltd</t>
        </is>
      </c>
      <c r="B129" s="55" t="n">
        <v>2.7</v>
      </c>
      <c r="C129" s="55" t="n">
        <v>4.2</v>
      </c>
      <c r="D129" s="55" t="n">
        <v>1.5</v>
      </c>
      <c r="E129" s="55" t="n">
        <v>0.5</v>
      </c>
      <c r="F129" s="55" t="n">
        <v>0.5</v>
      </c>
    </row>
    <row r="130">
      <c r="A130" s="54" t="inlineStr">
        <is>
          <t>equity owner</t>
        </is>
      </c>
      <c r="B130" s="55" t="n">
        <v>225.6</v>
      </c>
      <c r="C130" s="55" t="n">
        <v>233.2</v>
      </c>
      <c r="D130" s="55" t="n">
        <v>252.4</v>
      </c>
      <c r="E130" s="55" t="n">
        <v>274.4</v>
      </c>
      <c r="F130" s="55" t="n">
        <v>293.6</v>
      </c>
    </row>
    <row r="132">
      <c r="A132" s="52" t="inlineStr">
        <is>
          <t>cf annual</t>
        </is>
      </c>
      <c r="B132" s="52" t="n"/>
      <c r="C132" s="52" t="n"/>
      <c r="D132" s="52" t="n"/>
      <c r="E132" s="52" t="n"/>
      <c r="F132" s="52" t="n"/>
      <c r="G132" s="52" t="n"/>
    </row>
    <row r="133">
      <c r="A133" s="53" t="inlineStr">
        <is>
          <t>항목</t>
        </is>
      </c>
      <c r="B133" s="53" t="inlineStr">
        <is>
          <t>2022</t>
        </is>
      </c>
      <c r="C133" s="53" t="inlineStr">
        <is>
          <t>2023</t>
        </is>
      </c>
      <c r="D133" s="53" t="inlineStr">
        <is>
          <t>2024</t>
        </is>
      </c>
      <c r="E133" s="53" t="inlineStr">
        <is>
          <t>2025</t>
        </is>
      </c>
      <c r="F133" s="53" t="inlineStr">
        <is>
          <t>2026</t>
        </is>
      </c>
      <c r="G133" s="53" t="inlineStr">
        <is>
          <t>출처</t>
        </is>
      </c>
    </row>
    <row r="134">
      <c r="A134" s="54" t="inlineStr">
        <is>
          <t>labels</t>
        </is>
      </c>
      <c r="B134" s="57" t="n">
        <v>2022</v>
      </c>
      <c r="C134" s="57" t="n">
        <v>2023</v>
      </c>
      <c r="D134" s="57" t="n">
        <v>2024</v>
      </c>
      <c r="E134" s="57" t="n">
        <v>2025</v>
      </c>
      <c r="F134" s="57" t="n">
        <v>2026</v>
      </c>
      <c r="G134" s="56" t="inlineStr">
        <is>
          <t>2단계 보고서 자료(회사 설명회 자료·공시)</t>
        </is>
      </c>
    </row>
    <row r="135">
      <c r="A135" s="54" t="inlineStr">
        <is>
          <t>ocf</t>
        </is>
      </c>
      <c r="B135" s="55" t="n">
        <v>54.3</v>
      </c>
      <c r="C135" s="55" t="n">
        <v>-60.8</v>
      </c>
      <c r="D135" s="55" t="n">
        <v>-20.2</v>
      </c>
      <c r="E135" s="55" t="n">
        <v>28</v>
      </c>
      <c r="F135" s="55" t="n">
        <v>-24.6</v>
      </c>
    </row>
    <row r="136">
      <c r="A136" s="54" t="inlineStr">
        <is>
          <t>설비투자</t>
        </is>
      </c>
      <c r="B136" s="58" t="n"/>
      <c r="C136" s="58" t="n"/>
      <c r="D136" s="58" t="n"/>
      <c r="E136" s="58" t="n"/>
      <c r="F136" s="58" t="n"/>
    </row>
    <row r="137">
      <c r="A137" s="54" t="inlineStr">
        <is>
          <t>dividends</t>
        </is>
      </c>
      <c r="B137" s="55" t="n">
        <v>3.5</v>
      </c>
      <c r="C137" s="55" t="n">
        <v>3.5</v>
      </c>
      <c r="D137" s="55" t="n">
        <v>3.6</v>
      </c>
      <c r="E137" s="55" t="n">
        <v>3.9</v>
      </c>
      <c r="F137" s="55" t="n">
        <v>5.3</v>
      </c>
    </row>
    <row r="139">
      <c r="A139" s="52" t="inlineStr">
        <is>
          <t>reactions</t>
        </is>
      </c>
      <c r="B139" s="52" t="n"/>
      <c r="C139" s="52" t="n"/>
      <c r="D139" s="52" t="n"/>
      <c r="E139" s="52" t="n"/>
      <c r="F139" s="52" t="n"/>
      <c r="G139" s="52" t="n"/>
    </row>
    <row r="140">
      <c r="A140" s="53" t="inlineStr">
        <is>
          <t>항목</t>
        </is>
      </c>
      <c r="B140" s="53" t="inlineStr">
        <is>
          <t>기준일</t>
        </is>
      </c>
      <c r="C140" s="53" t="inlineStr">
        <is>
          <t>다음날</t>
        </is>
      </c>
      <c r="D140" s="53" t="inlineStr">
        <is>
          <t>등락%</t>
        </is>
      </c>
      <c r="G140" s="53" t="inlineStr">
        <is>
          <t>출처</t>
        </is>
      </c>
    </row>
    <row r="141">
      <c r="A141" s="54" t="inlineStr">
        <is>
          <t>2025-01-31</t>
        </is>
      </c>
      <c r="B141" s="58" t="inlineStr">
        <is>
          <t>2025-01-31</t>
        </is>
      </c>
      <c r="C141" s="58" t="inlineStr">
        <is>
          <t>2025-02-03</t>
        </is>
      </c>
      <c r="D141" s="55" t="n">
        <v>11.6</v>
      </c>
      <c r="G141" s="56" t="inlineStr">
        <is>
          <t>2단계 보고서 자료(회사 설명회 자료·공시)</t>
        </is>
      </c>
    </row>
    <row r="142">
      <c r="A142" s="54" t="inlineStr">
        <is>
          <t>2025-04-30</t>
        </is>
      </c>
      <c r="B142" s="58" t="inlineStr">
        <is>
          <t>2025-04-30</t>
        </is>
      </c>
      <c r="C142" s="58" t="inlineStr">
        <is>
          <t>2025-05-01</t>
        </is>
      </c>
      <c r="D142" s="55" t="n">
        <v>9.6</v>
      </c>
    </row>
    <row r="143">
      <c r="A143" s="54" t="inlineStr">
        <is>
          <t>2025-07-31</t>
        </is>
      </c>
      <c r="B143" s="58" t="inlineStr">
        <is>
          <t>2025-07-31</t>
        </is>
      </c>
      <c r="C143" s="58" t="inlineStr">
        <is>
          <t>2025-08-01</t>
        </is>
      </c>
      <c r="D143" s="55" t="n">
        <v>-2.5</v>
      </c>
    </row>
    <row r="144">
      <c r="A144" s="54" t="inlineStr">
        <is>
          <t>2025-10-31</t>
        </is>
      </c>
      <c r="B144" s="58" t="inlineStr">
        <is>
          <t>2025-10-31</t>
        </is>
      </c>
      <c r="C144" s="58" t="inlineStr">
        <is>
          <t>2025-11-04</t>
        </is>
      </c>
      <c r="D144" s="55" t="n">
        <v>3.6</v>
      </c>
    </row>
    <row r="145">
      <c r="A145" s="54" t="inlineStr">
        <is>
          <t>2026-01-30</t>
        </is>
      </c>
      <c r="B145" s="58" t="inlineStr">
        <is>
          <t>2026-01-30</t>
        </is>
      </c>
      <c r="C145" s="58" t="inlineStr">
        <is>
          <t>2026-02-02</t>
        </is>
      </c>
      <c r="D145" s="55" t="n">
        <v>-7</v>
      </c>
    </row>
    <row r="146">
      <c r="A146" s="54" t="inlineStr">
        <is>
          <t>2026-04-30</t>
        </is>
      </c>
      <c r="B146" s="58" t="inlineStr">
        <is>
          <t>2026-04-30</t>
        </is>
      </c>
      <c r="C146" s="58" t="inlineStr">
        <is>
          <t>2026-05-01</t>
        </is>
      </c>
      <c r="D146" s="55" t="n">
        <v>-9.6</v>
      </c>
    </row>
    <row r="147">
      <c r="A147" s="54" t="inlineStr">
        <is>
          <t>2026-07-31</t>
        </is>
      </c>
      <c r="B147" s="58" t="inlineStr">
        <is>
          <t>2026-07-31</t>
        </is>
      </c>
      <c r="C147" s="58" t="inlineStr">
        <is>
          <t>2026-08-03</t>
        </is>
      </c>
      <c r="D147" s="55" t="n">
        <v>-5.7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https://www2.jpx.co.jp/disc/52800/140120261029559236.pdf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https://www2.jpx.co.jp/disc/52800/140120260730504212.pdf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https://www2.jpx.co.jp/disc/52800/140120260428513857.pdf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https://www2.jpx.co.jp/disc/52800/140120260128540218.pdf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https://www2.jpx.co.jp/disc/52800/140120251030583134.pdf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https://www2.jpx.co.jp/disc/52800/140120250731524866.pdf</t>
        </is>
      </c>
    </row>
    <row r="10">
      <c r="A10" t="inlineStr">
        <is>
          <t>2025-04-30</t>
        </is>
      </c>
      <c r="B10" t="inlineStr">
        <is>
          <t>2025년 3월 결산기 연간 결산단신</t>
        </is>
      </c>
      <c r="C10" t="inlineStr">
        <is>
          <t>https://www2.jpx.co.jp/disc/52800/140120250430527509.pdf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https://www2.jpx.co.jp/disc/52800/140120250130558388.pdf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https://www2.jpx.co.jp/disc/52800/140120241030506876.pdf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https://www2.jpx.co.jp/disc/52800/140120240731558990.pdf</t>
        </is>
      </c>
    </row>
    <row r="14">
      <c r="A14" t="inlineStr">
        <is>
          <t>2024-05-02</t>
        </is>
      </c>
      <c r="B14" t="inlineStr">
        <is>
          <t>2024년 3월 결산기 연간 결산단신</t>
        </is>
      </c>
      <c r="C14" t="inlineStr">
        <is>
          <t>https://www2.jpx.co.jp/disc/52800/140120240426578120.pdf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https://www2.jpx.co.jp/disc/52800/140120240105511693.pdf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https://www2.jpx.co.jp/disc/52800/140120231025571096.pdf</t>
        </is>
      </c>
    </row>
    <row r="17">
      <c r="A17" t="inlineStr">
        <is>
          <t>2023-08-10</t>
        </is>
      </c>
      <c r="B17" t="inlineStr">
        <is>
          <t>2024년 3월 결산기 １분기 결산단신</t>
        </is>
      </c>
      <c r="C17" t="inlineStr">
        <is>
          <t>https://www2.jpx.co.jp/disc/52800/140120230726527161.pdf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https://www2.jpx.co.jp/disc/52800/140120230428556421.pdf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https://www2.jpx.co.jp/disc/52800/140120230130596519.pdf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https://www2.jpx.co.jp/disc/52800/140120220428531561.pdf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https://www2.jpx.co.jp/disc/52800/140120210430404092.pdf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https://www2.jpx.co.jp/disc/52800/140120200514414328.pdf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https://www2.jpx.co.jp/disc/52800/140120190426412387.pdf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https://www2.jpx.co.jp/disc/52800/140120180425420118.pdf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5280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88</v>
      </c>
      <c r="D5" s="65" t="n">
        <v>32.4</v>
      </c>
      <c r="E5" s="65" t="n">
        <v>72.59999999999999</v>
      </c>
      <c r="F5" s="65" t="n">
        <v>32.8</v>
      </c>
      <c r="G5" s="65" t="n">
        <v>80.3</v>
      </c>
      <c r="H5" s="65" t="n">
        <v>31.3</v>
      </c>
      <c r="I5" s="65" t="n">
        <v>42</v>
      </c>
      <c r="J5" s="65" t="n">
        <v>53.3</v>
      </c>
      <c r="K5" s="65" t="n">
        <v>91.2</v>
      </c>
      <c r="L5" s="65" t="n">
        <v>27</v>
      </c>
      <c r="M5" s="65" t="n">
        <v>79.90000000000001</v>
      </c>
      <c r="N5" s="65" t="n">
        <v>22</v>
      </c>
      <c r="O5" s="65" t="n">
        <v>46.2</v>
      </c>
      <c r="P5" s="65" t="n">
        <v>31.4</v>
      </c>
      <c r="Q5" s="65" t="n">
        <v>35.9</v>
      </c>
      <c r="R5" s="65" t="n">
        <v>21.6</v>
      </c>
      <c r="S5" s="65" t="n">
        <v>122</v>
      </c>
      <c r="T5" s="65" t="n">
        <v>62.3</v>
      </c>
      <c r="U5" s="65" t="n">
        <v>31.4</v>
      </c>
      <c r="V5" s="65" t="n">
        <v>30.4</v>
      </c>
      <c r="W5" s="65" t="n">
        <v>76.5</v>
      </c>
      <c r="X5" s="65" t="n">
        <v>52.9</v>
      </c>
      <c r="Y5" s="65" t="n">
        <v>26.7</v>
      </c>
      <c r="Z5" s="65" t="n">
        <v>15.1</v>
      </c>
      <c r="AA5" s="65" t="n">
        <v>52.4</v>
      </c>
      <c r="AB5" s="65" t="n">
        <v>47.3</v>
      </c>
      <c r="AC5" s="65" t="n">
        <v>22.4</v>
      </c>
      <c r="AD5" s="65" t="n">
        <v>16.8</v>
      </c>
      <c r="AE5" s="65" t="n">
        <v>152.6</v>
      </c>
      <c r="AF5" s="65" t="n">
        <v>36.1</v>
      </c>
      <c r="AG5" s="65" t="n">
        <v>43.2</v>
      </c>
      <c r="AH5" s="65" t="n">
        <v>100.3</v>
      </c>
      <c r="AI5" s="65" t="n">
        <v>95.09999999999999</v>
      </c>
      <c r="AJ5" s="65" t="n">
        <v>27.4</v>
      </c>
      <c r="AK5" s="65" t="n">
        <v>106.1</v>
      </c>
      <c r="AL5" s="65" t="n">
        <v>39.5</v>
      </c>
      <c r="AM5" s="65" t="n">
        <v>118.3</v>
      </c>
      <c r="AN5" s="65" t="n">
        <v>17</v>
      </c>
      <c r="AO5" s="65" t="n">
        <v>88.90000000000001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-8.800000000000001</v>
      </c>
      <c r="H6" s="66" t="n">
        <v>-3.4</v>
      </c>
      <c r="I6" s="66" t="n">
        <v>-42.1</v>
      </c>
      <c r="J6" s="66" t="n">
        <v>62.5</v>
      </c>
      <c r="K6" s="66" t="n">
        <v>13.6</v>
      </c>
      <c r="L6" s="66" t="n">
        <v>-13.7</v>
      </c>
      <c r="M6" s="66" t="n">
        <v>90.2</v>
      </c>
      <c r="N6" s="66" t="n">
        <v>-58.7</v>
      </c>
      <c r="O6" s="66" t="n">
        <v>-49.3</v>
      </c>
      <c r="P6" s="66" t="n">
        <v>16.3</v>
      </c>
      <c r="Q6" s="66" t="n">
        <v>-55.1</v>
      </c>
      <c r="R6" s="66" t="n">
        <v>-1.8</v>
      </c>
      <c r="S6" s="66" t="n">
        <v>164.1</v>
      </c>
      <c r="T6" s="66" t="n">
        <v>98.40000000000001</v>
      </c>
      <c r="U6" s="66" t="n">
        <v>-12.5</v>
      </c>
      <c r="V6" s="66" t="n">
        <v>40.7</v>
      </c>
      <c r="W6" s="66" t="n">
        <v>-37.3</v>
      </c>
      <c r="X6" s="66" t="n">
        <v>-15.1</v>
      </c>
      <c r="Y6" s="66" t="n">
        <v>-15</v>
      </c>
      <c r="Z6" s="66" t="n">
        <v>-50.3</v>
      </c>
      <c r="AA6" s="66" t="n">
        <v>-31.5</v>
      </c>
      <c r="AB6" s="66" t="n">
        <v>-10.6</v>
      </c>
      <c r="AC6" s="66" t="n">
        <v>-16.1</v>
      </c>
      <c r="AD6" s="66" t="n">
        <v>11.3</v>
      </c>
      <c r="AE6" s="66" t="n">
        <v>191.2</v>
      </c>
      <c r="AF6" s="66" t="n">
        <v>-23.7</v>
      </c>
      <c r="AG6" s="66" t="n">
        <v>92.90000000000001</v>
      </c>
      <c r="AH6" s="66" t="n">
        <v>497</v>
      </c>
      <c r="AI6" s="66" t="n">
        <v>-37.7</v>
      </c>
      <c r="AJ6" s="66" t="n">
        <v>-24.1</v>
      </c>
      <c r="AK6" s="66" t="n">
        <v>145.6</v>
      </c>
      <c r="AL6" s="66" t="n">
        <v>-60.6</v>
      </c>
      <c r="AM6" s="66" t="n">
        <v>24.4</v>
      </c>
      <c r="AN6" s="66" t="n">
        <v>-38</v>
      </c>
      <c r="AO6" s="66" t="n">
        <v>-16.2</v>
      </c>
    </row>
    <row r="7">
      <c r="A7" s="64" t="inlineStr">
        <is>
          <t>영업이익</t>
        </is>
      </c>
      <c r="B7" s="65" t="n"/>
      <c r="C7" s="65" t="n">
        <v>16.4</v>
      </c>
      <c r="D7" s="65" t="n">
        <v>1.5</v>
      </c>
      <c r="E7" s="65" t="n">
        <v>14.5</v>
      </c>
      <c r="F7" s="65" t="n">
        <v>1</v>
      </c>
      <c r="G7" s="65" t="n">
        <v>14.7</v>
      </c>
      <c r="H7" s="65" t="n">
        <v>-0</v>
      </c>
      <c r="I7" s="65" t="n">
        <v>1.7</v>
      </c>
      <c r="J7" s="65" t="n">
        <v>9.9</v>
      </c>
      <c r="K7" s="65" t="n">
        <v>11.9</v>
      </c>
      <c r="L7" s="65" t="n">
        <v>-0.9</v>
      </c>
      <c r="M7" s="65" t="n">
        <v>8.9</v>
      </c>
      <c r="N7" s="65" t="n">
        <v>-1.8</v>
      </c>
      <c r="O7" s="65" t="n">
        <v>1.1</v>
      </c>
      <c r="P7" s="65" t="n">
        <v>2.2</v>
      </c>
      <c r="Q7" s="65" t="n">
        <v>0.9</v>
      </c>
      <c r="R7" s="65" t="n">
        <v>-0.1</v>
      </c>
      <c r="S7" s="65" t="n">
        <v>13.6</v>
      </c>
      <c r="T7" s="65" t="n">
        <v>9.300000000000001</v>
      </c>
      <c r="U7" s="65" t="n">
        <v>1.5</v>
      </c>
      <c r="V7" s="65" t="n">
        <v>7.2</v>
      </c>
      <c r="W7" s="65" t="n">
        <v>5.8</v>
      </c>
      <c r="X7" s="65" t="n">
        <v>6.5</v>
      </c>
      <c r="Y7" s="65" t="n">
        <v>1.6</v>
      </c>
      <c r="Z7" s="65" t="n">
        <v>-1.7</v>
      </c>
      <c r="AA7" s="65" t="n">
        <v>7.7</v>
      </c>
      <c r="AB7" s="65" t="n">
        <v>0.2</v>
      </c>
      <c r="AC7" s="65" t="n">
        <v>3.8</v>
      </c>
      <c r="AD7" s="65" t="n">
        <v>-0.8</v>
      </c>
      <c r="AE7" s="65" t="n">
        <v>27.3</v>
      </c>
      <c r="AF7" s="65" t="n">
        <v>-2.9</v>
      </c>
      <c r="AG7" s="65" t="n">
        <v>4.9</v>
      </c>
      <c r="AH7" s="65" t="n">
        <v>29</v>
      </c>
      <c r="AI7" s="65" t="n">
        <v>15.8</v>
      </c>
      <c r="AJ7" s="65" t="n">
        <v>0.2</v>
      </c>
      <c r="AK7" s="65" t="n">
        <v>17.5</v>
      </c>
      <c r="AL7" s="65" t="n">
        <v>4.2</v>
      </c>
      <c r="AM7" s="65" t="n">
        <v>17.1</v>
      </c>
      <c r="AN7" s="65" t="n">
        <v>-3.6</v>
      </c>
      <c r="AO7" s="65" t="n">
        <v>20</v>
      </c>
    </row>
    <row r="8">
      <c r="A8" s="64" t="inlineStr">
        <is>
          <t>영업이익률</t>
        </is>
      </c>
      <c r="B8" s="66" t="n"/>
      <c r="C8" s="66" t="n">
        <v>18.6</v>
      </c>
      <c r="D8" s="66" t="n">
        <v>4.6</v>
      </c>
      <c r="E8" s="66" t="n">
        <v>20</v>
      </c>
      <c r="F8" s="66" t="n">
        <v>3</v>
      </c>
      <c r="G8" s="66" t="n">
        <v>18.3</v>
      </c>
      <c r="H8" s="66" t="n">
        <v>-0</v>
      </c>
      <c r="I8" s="66" t="n">
        <v>4</v>
      </c>
      <c r="J8" s="66" t="n">
        <v>18.6</v>
      </c>
      <c r="K8" s="66" t="n">
        <v>13</v>
      </c>
      <c r="L8" s="66" t="n">
        <v>-3.3</v>
      </c>
      <c r="M8" s="66" t="n">
        <v>11.1</v>
      </c>
      <c r="N8" s="66" t="n">
        <v>-8.199999999999999</v>
      </c>
      <c r="O8" s="66" t="n">
        <v>2.4</v>
      </c>
      <c r="P8" s="66" t="n">
        <v>7</v>
      </c>
      <c r="Q8" s="66" t="n">
        <v>2.5</v>
      </c>
      <c r="R8" s="66" t="n">
        <v>-0.5</v>
      </c>
      <c r="S8" s="66" t="n">
        <v>11.1</v>
      </c>
      <c r="T8" s="66" t="n">
        <v>14.9</v>
      </c>
      <c r="U8" s="66" t="n">
        <v>4.8</v>
      </c>
      <c r="V8" s="66" t="n">
        <v>23.7</v>
      </c>
      <c r="W8" s="66" t="n">
        <v>7.6</v>
      </c>
      <c r="X8" s="66" t="n">
        <v>12.3</v>
      </c>
      <c r="Y8" s="66" t="n">
        <v>6</v>
      </c>
      <c r="Z8" s="66" t="n">
        <v>-11.3</v>
      </c>
      <c r="AA8" s="66" t="n">
        <v>14.7</v>
      </c>
      <c r="AB8" s="66" t="n">
        <v>0.4</v>
      </c>
      <c r="AC8" s="66" t="n">
        <v>17</v>
      </c>
      <c r="AD8" s="66" t="n">
        <v>-4.8</v>
      </c>
      <c r="AE8" s="66" t="n">
        <v>17.9</v>
      </c>
      <c r="AF8" s="66" t="n">
        <v>-8</v>
      </c>
      <c r="AG8" s="66" t="n">
        <v>11.3</v>
      </c>
      <c r="AH8" s="66" t="n">
        <v>28.9</v>
      </c>
      <c r="AI8" s="66" t="n">
        <v>16.6</v>
      </c>
      <c r="AJ8" s="66" t="n">
        <v>0.7</v>
      </c>
      <c r="AK8" s="66" t="n">
        <v>16.5</v>
      </c>
      <c r="AL8" s="66" t="n">
        <v>10.6</v>
      </c>
      <c r="AM8" s="66" t="n">
        <v>14.5</v>
      </c>
      <c r="AN8" s="66" t="n">
        <v>-21.2</v>
      </c>
      <c r="AO8" s="66" t="n">
        <v>22.5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-10.4</v>
      </c>
      <c r="H9" s="66" t="n">
        <v>-100</v>
      </c>
      <c r="I9" s="66" t="n">
        <v>-88.3</v>
      </c>
      <c r="J9" s="66" t="n">
        <v>890</v>
      </c>
      <c r="K9" s="66" t="n">
        <v>-19</v>
      </c>
      <c r="L9" s="66" t="n"/>
      <c r="M9" s="66" t="n">
        <v>423.5</v>
      </c>
      <c r="N9" s="66" t="n">
        <v>-118.2</v>
      </c>
      <c r="O9" s="66" t="n">
        <v>-90.8</v>
      </c>
      <c r="P9" s="66" t="n"/>
      <c r="Q9" s="66" t="n">
        <v>-89.90000000000001</v>
      </c>
      <c r="R9" s="66" t="n"/>
      <c r="S9" s="66" t="n">
        <v>1136.4</v>
      </c>
      <c r="T9" s="66" t="n">
        <v>322.7</v>
      </c>
      <c r="U9" s="66" t="n">
        <v>66.7</v>
      </c>
      <c r="V9" s="66" t="n"/>
      <c r="W9" s="66" t="n">
        <v>-57.4</v>
      </c>
      <c r="X9" s="66" t="n">
        <v>-30.1</v>
      </c>
      <c r="Y9" s="66" t="n">
        <v>6.7</v>
      </c>
      <c r="Z9" s="66" t="n">
        <v>-123.6</v>
      </c>
      <c r="AA9" s="66" t="n">
        <v>32.8</v>
      </c>
      <c r="AB9" s="66" t="n">
        <v>-96.90000000000001</v>
      </c>
      <c r="AC9" s="66" t="n">
        <v>137.5</v>
      </c>
      <c r="AD9" s="66" t="n"/>
      <c r="AE9" s="66" t="n">
        <v>254.5</v>
      </c>
      <c r="AF9" s="66" t="n">
        <v>-1550</v>
      </c>
      <c r="AG9" s="66" t="n">
        <v>28.9</v>
      </c>
      <c r="AH9" s="66" t="n"/>
      <c r="AI9" s="66" t="n">
        <v>-42.1</v>
      </c>
      <c r="AJ9" s="66" t="n"/>
      <c r="AK9" s="66" t="n">
        <v>257.1</v>
      </c>
      <c r="AL9" s="66" t="n">
        <v>-85.5</v>
      </c>
      <c r="AM9" s="66" t="n">
        <v>8.199999999999999</v>
      </c>
      <c r="AN9" s="66" t="n">
        <v>-1900</v>
      </c>
      <c r="AO9" s="66" t="n">
        <v>14.3</v>
      </c>
    </row>
    <row r="10">
      <c r="A10" s="64" t="inlineStr">
        <is>
          <t>유동자산</t>
        </is>
      </c>
      <c r="B10" s="65" t="n"/>
      <c r="C10" s="65" t="n">
        <v>305.9</v>
      </c>
      <c r="D10" s="65" t="n"/>
      <c r="E10" s="65" t="n"/>
      <c r="F10" s="65" t="n">
        <v>263.1</v>
      </c>
      <c r="G10" s="65" t="n">
        <v>259.9</v>
      </c>
      <c r="H10" s="65" t="n">
        <v>284.5</v>
      </c>
      <c r="I10" s="65" t="n">
        <v>281</v>
      </c>
      <c r="J10" s="65" t="n">
        <v>273.5</v>
      </c>
      <c r="K10" s="65" t="n">
        <v>269</v>
      </c>
      <c r="L10" s="65" t="n">
        <v>283.7</v>
      </c>
      <c r="M10" s="65" t="n">
        <v>272.8</v>
      </c>
      <c r="N10" s="65" t="n">
        <v>274.1</v>
      </c>
      <c r="O10" s="65" t="n">
        <v>270.5</v>
      </c>
      <c r="P10" s="65" t="n">
        <v>273.3</v>
      </c>
      <c r="Q10" s="65" t="n">
        <v>296.9</v>
      </c>
      <c r="R10" s="65" t="n">
        <v>306.9</v>
      </c>
      <c r="S10" s="65" t="n">
        <v>257.6</v>
      </c>
      <c r="T10" s="65" t="n">
        <v>248.8</v>
      </c>
      <c r="U10" s="65" t="n">
        <v>262.8</v>
      </c>
      <c r="V10" s="65" t="n">
        <v>274.2</v>
      </c>
      <c r="W10" s="65" t="n">
        <v>250.4</v>
      </c>
      <c r="X10" s="65" t="n">
        <v>243</v>
      </c>
      <c r="Y10" s="65" t="n">
        <v>226</v>
      </c>
      <c r="Z10" s="65" t="n">
        <v>270</v>
      </c>
      <c r="AA10" s="65" t="n">
        <v>301</v>
      </c>
      <c r="AB10" s="65" t="n">
        <v>293.6</v>
      </c>
      <c r="AC10" s="65" t="n">
        <v>327</v>
      </c>
      <c r="AD10" s="65" t="n">
        <v>397.2</v>
      </c>
      <c r="AE10" s="65" t="n">
        <v>325</v>
      </c>
      <c r="AF10" s="65" t="n">
        <v>375</v>
      </c>
      <c r="AG10" s="65" t="n">
        <v>376</v>
      </c>
      <c r="AH10" s="65" t="n">
        <v>364.4</v>
      </c>
      <c r="AI10" s="65" t="n">
        <v>386.8</v>
      </c>
      <c r="AJ10" s="65" t="n">
        <v>401.5</v>
      </c>
      <c r="AK10" s="65" t="n">
        <v>388</v>
      </c>
      <c r="AL10" s="65" t="n">
        <v>424.8</v>
      </c>
      <c r="AM10" s="65" t="n">
        <v>378.2</v>
      </c>
      <c r="AN10" s="65" t="n">
        <v>403.4</v>
      </c>
      <c r="AO10" s="65" t="n">
        <v>387.3</v>
      </c>
    </row>
    <row r="11">
      <c r="A11" s="64" t="inlineStr">
        <is>
          <t>유동부채</t>
        </is>
      </c>
      <c r="B11" s="65" t="n"/>
      <c r="C11" s="65" t="n">
        <v>179.6</v>
      </c>
      <c r="D11" s="65" t="n"/>
      <c r="E11" s="65" t="n"/>
      <c r="F11" s="65" t="n">
        <v>125.1</v>
      </c>
      <c r="G11" s="65" t="n">
        <v>112.5</v>
      </c>
      <c r="H11" s="65" t="n">
        <v>138.1</v>
      </c>
      <c r="I11" s="65" t="n">
        <v>132.6</v>
      </c>
      <c r="J11" s="65" t="n">
        <v>147.6</v>
      </c>
      <c r="K11" s="65" t="n">
        <v>136.1</v>
      </c>
      <c r="L11" s="65" t="n">
        <v>154.3</v>
      </c>
      <c r="M11" s="65" t="n">
        <v>155</v>
      </c>
      <c r="N11" s="65" t="n">
        <v>144.9</v>
      </c>
      <c r="O11" s="65" t="n">
        <v>155.4</v>
      </c>
      <c r="P11" s="65" t="n">
        <v>158.4</v>
      </c>
      <c r="Q11" s="65" t="n">
        <v>174.8</v>
      </c>
      <c r="R11" s="65" t="n">
        <v>184</v>
      </c>
      <c r="S11" s="65" t="n">
        <v>142.1</v>
      </c>
      <c r="T11" s="65" t="n">
        <v>119.6</v>
      </c>
      <c r="U11" s="65" t="n">
        <v>63.8</v>
      </c>
      <c r="V11" s="65" t="n">
        <v>65.40000000000001</v>
      </c>
      <c r="W11" s="65" t="n">
        <v>60.5</v>
      </c>
      <c r="X11" s="65" t="n">
        <v>54.9</v>
      </c>
      <c r="Y11" s="65" t="n">
        <v>37.4</v>
      </c>
      <c r="Z11" s="65" t="n">
        <v>80.09999999999999</v>
      </c>
      <c r="AA11" s="65" t="n">
        <v>95.59999999999999</v>
      </c>
      <c r="AB11" s="65" t="n">
        <v>88</v>
      </c>
      <c r="AC11" s="65" t="n">
        <v>117.9</v>
      </c>
      <c r="AD11" s="65" t="n">
        <v>188.7</v>
      </c>
      <c r="AE11" s="65" t="n">
        <v>118.4</v>
      </c>
      <c r="AF11" s="65" t="n">
        <v>172.4</v>
      </c>
      <c r="AG11" s="65" t="n">
        <v>167.1</v>
      </c>
      <c r="AH11" s="65" t="n">
        <v>136.1</v>
      </c>
      <c r="AI11" s="65" t="n">
        <v>151.6</v>
      </c>
      <c r="AJ11" s="65" t="n">
        <v>170.3</v>
      </c>
      <c r="AK11" s="65" t="n">
        <v>149</v>
      </c>
      <c r="AL11" s="65" t="n">
        <v>184.9</v>
      </c>
      <c r="AM11" s="65" t="n">
        <v>132.1</v>
      </c>
      <c r="AN11" s="65" t="n">
        <v>170.3</v>
      </c>
      <c r="AO11" s="65" t="n">
        <v>138.1</v>
      </c>
    </row>
    <row r="12">
      <c r="A12" s="64" t="inlineStr">
        <is>
          <t>부채총계</t>
        </is>
      </c>
      <c r="B12" s="65" t="n"/>
      <c r="C12" s="65" t="n">
        <v>194.3</v>
      </c>
      <c r="D12" s="65" t="n"/>
      <c r="E12" s="65" t="n"/>
      <c r="F12" s="65" t="n">
        <v>139.6</v>
      </c>
      <c r="G12" s="65" t="n">
        <v>127.1</v>
      </c>
      <c r="H12" s="65" t="n">
        <v>154.3</v>
      </c>
      <c r="I12" s="65" t="n">
        <v>149.6</v>
      </c>
      <c r="J12" s="65" t="n">
        <v>171.8</v>
      </c>
      <c r="K12" s="65" t="n">
        <v>159</v>
      </c>
      <c r="L12" s="65" t="n">
        <v>176</v>
      </c>
      <c r="M12" s="65" t="n">
        <v>173.8</v>
      </c>
      <c r="N12" s="65" t="n">
        <v>162.5</v>
      </c>
      <c r="O12" s="65" t="n">
        <v>171.9</v>
      </c>
      <c r="P12" s="65" t="n">
        <v>175.2</v>
      </c>
      <c r="Q12" s="65" t="n">
        <v>195.7</v>
      </c>
      <c r="R12" s="65" t="n">
        <v>204</v>
      </c>
      <c r="S12" s="65" t="n">
        <v>158.2</v>
      </c>
      <c r="T12" s="65" t="n">
        <v>158.6</v>
      </c>
      <c r="U12" s="65" t="n">
        <v>99.90000000000001</v>
      </c>
      <c r="V12" s="65" t="n">
        <v>102.3</v>
      </c>
      <c r="W12" s="65" t="n">
        <v>95.09999999999999</v>
      </c>
      <c r="X12" s="65" t="n">
        <v>87.40000000000001</v>
      </c>
      <c r="Y12" s="65" t="n">
        <v>67.59999999999999</v>
      </c>
      <c r="Z12" s="65" t="n">
        <v>111.7</v>
      </c>
      <c r="AA12" s="65" t="n">
        <v>123.7</v>
      </c>
      <c r="AB12" s="65" t="n">
        <v>116</v>
      </c>
      <c r="AC12" s="65" t="n">
        <v>145.6</v>
      </c>
      <c r="AD12" s="65" t="n">
        <v>215.6</v>
      </c>
      <c r="AE12" s="65" t="n">
        <v>126.5</v>
      </c>
      <c r="AF12" s="65" t="n">
        <v>183.5</v>
      </c>
      <c r="AG12" s="65" t="n">
        <v>177.2</v>
      </c>
      <c r="AH12" s="65" t="n">
        <v>150.9</v>
      </c>
      <c r="AI12" s="65" t="n">
        <v>166.3</v>
      </c>
      <c r="AJ12" s="65" t="n">
        <v>184.9</v>
      </c>
      <c r="AK12" s="65" t="n">
        <v>160.5</v>
      </c>
      <c r="AL12" s="65" t="n">
        <v>196.1</v>
      </c>
      <c r="AM12" s="65" t="n">
        <v>143.8</v>
      </c>
      <c r="AN12" s="65" t="n">
        <v>181.9</v>
      </c>
      <c r="AO12" s="65" t="n">
        <v>148.9</v>
      </c>
    </row>
    <row r="13">
      <c r="A13" s="64" t="inlineStr">
        <is>
          <t>자기자본</t>
        </is>
      </c>
      <c r="B13" s="66" t="n"/>
      <c r="C13" s="66" t="n">
        <v>159.6</v>
      </c>
      <c r="D13" s="66" t="n"/>
      <c r="E13" s="66" t="n"/>
      <c r="F13" s="66" t="n">
        <v>170.6</v>
      </c>
      <c r="G13" s="66" t="n">
        <v>179.5</v>
      </c>
      <c r="H13" s="66" t="n">
        <v>177</v>
      </c>
      <c r="I13" s="66" t="n">
        <v>178.8</v>
      </c>
      <c r="J13" s="66" t="n">
        <v>184.9</v>
      </c>
      <c r="K13" s="66" t="n">
        <v>192.8</v>
      </c>
      <c r="L13" s="66" t="n">
        <v>190.1</v>
      </c>
      <c r="M13" s="66" t="n">
        <v>197.7</v>
      </c>
      <c r="N13" s="66" t="n">
        <v>198.2</v>
      </c>
      <c r="O13" s="66" t="n">
        <v>200.7</v>
      </c>
      <c r="P13" s="66" t="n">
        <v>200.2</v>
      </c>
      <c r="Q13" s="66" t="n">
        <v>204.1</v>
      </c>
      <c r="R13" s="66" t="n">
        <v>205.3</v>
      </c>
      <c r="S13" s="66" t="n">
        <v>214.2</v>
      </c>
      <c r="T13" s="66" t="n">
        <v>220.5</v>
      </c>
      <c r="U13" s="66" t="n">
        <v>218.2</v>
      </c>
      <c r="V13" s="66" t="n">
        <v>223.6</v>
      </c>
      <c r="W13" s="66" t="n">
        <v>227</v>
      </c>
      <c r="X13" s="66" t="n">
        <v>228.1</v>
      </c>
      <c r="Y13" s="66" t="n">
        <v>229.5</v>
      </c>
      <c r="Z13" s="66" t="n">
        <v>228.9</v>
      </c>
      <c r="AA13" s="66" t="n">
        <v>235</v>
      </c>
      <c r="AB13" s="66" t="n">
        <v>233</v>
      </c>
      <c r="AC13" s="66" t="n">
        <v>235.9</v>
      </c>
      <c r="AD13" s="66" t="n">
        <v>235.6</v>
      </c>
      <c r="AE13" s="66" t="n">
        <v>254.5</v>
      </c>
      <c r="AF13" s="66" t="n">
        <v>247.4</v>
      </c>
      <c r="AG13" s="66" t="n">
        <v>249.6</v>
      </c>
      <c r="AH13" s="66" t="n">
        <v>267.3</v>
      </c>
      <c r="AI13" s="66" t="n">
        <v>276.8</v>
      </c>
      <c r="AJ13" s="66" t="n">
        <v>272.5</v>
      </c>
      <c r="AK13" s="66" t="n">
        <v>286.8</v>
      </c>
      <c r="AL13" s="66" t="n">
        <v>288.6</v>
      </c>
      <c r="AM13" s="66" t="n">
        <v>296.5</v>
      </c>
      <c r="AN13" s="66" t="n">
        <v>284.9</v>
      </c>
      <c r="AO13" s="66" t="n">
        <v>297.7</v>
      </c>
    </row>
    <row r="14">
      <c r="A14" s="64" t="inlineStr">
        <is>
          <t>유동비율</t>
        </is>
      </c>
      <c r="B14" s="66" t="n"/>
      <c r="C14" s="66" t="n">
        <v>170.3</v>
      </c>
      <c r="D14" s="66" t="n"/>
      <c r="E14" s="66" t="n"/>
      <c r="F14" s="66" t="n">
        <v>210.3</v>
      </c>
      <c r="G14" s="66" t="n">
        <v>231</v>
      </c>
      <c r="H14" s="66" t="n">
        <v>206</v>
      </c>
      <c r="I14" s="66" t="n">
        <v>211.9</v>
      </c>
      <c r="J14" s="66" t="n">
        <v>185.3</v>
      </c>
      <c r="K14" s="66" t="n">
        <v>197.6</v>
      </c>
      <c r="L14" s="66" t="n">
        <v>183.9</v>
      </c>
      <c r="M14" s="66" t="n">
        <v>176</v>
      </c>
      <c r="N14" s="66" t="n">
        <v>189.2</v>
      </c>
      <c r="O14" s="66" t="n">
        <v>174.1</v>
      </c>
      <c r="P14" s="66" t="n">
        <v>172.5</v>
      </c>
      <c r="Q14" s="66" t="n">
        <v>169.9</v>
      </c>
      <c r="R14" s="66" t="n">
        <v>166.8</v>
      </c>
      <c r="S14" s="66" t="n">
        <v>181.3</v>
      </c>
      <c r="T14" s="66" t="n">
        <v>208</v>
      </c>
      <c r="U14" s="66" t="n">
        <v>411.9</v>
      </c>
      <c r="V14" s="66" t="n">
        <v>419.3</v>
      </c>
      <c r="W14" s="66" t="n">
        <v>413.9</v>
      </c>
      <c r="X14" s="66" t="n">
        <v>442.6</v>
      </c>
      <c r="Y14" s="66" t="n">
        <v>604.3</v>
      </c>
      <c r="Z14" s="66" t="n">
        <v>337.1</v>
      </c>
      <c r="AA14" s="66" t="n">
        <v>314.9</v>
      </c>
      <c r="AB14" s="66" t="n">
        <v>333.6</v>
      </c>
      <c r="AC14" s="66" t="n">
        <v>277.4</v>
      </c>
      <c r="AD14" s="66" t="n">
        <v>210.5</v>
      </c>
      <c r="AE14" s="66" t="n">
        <v>274.5</v>
      </c>
      <c r="AF14" s="66" t="n">
        <v>217.5</v>
      </c>
      <c r="AG14" s="66" t="n">
        <v>225</v>
      </c>
      <c r="AH14" s="66" t="n">
        <v>267.7</v>
      </c>
      <c r="AI14" s="66" t="n">
        <v>255.1</v>
      </c>
      <c r="AJ14" s="66" t="n">
        <v>235.8</v>
      </c>
      <c r="AK14" s="66" t="n">
        <v>260.4</v>
      </c>
      <c r="AL14" s="66" t="n">
        <v>229.7</v>
      </c>
      <c r="AM14" s="66" t="n">
        <v>286.3</v>
      </c>
      <c r="AN14" s="66" t="n">
        <v>236.9</v>
      </c>
      <c r="AO14" s="66" t="n">
        <v>280.4</v>
      </c>
    </row>
    <row r="15">
      <c r="A15" s="64" t="inlineStr">
        <is>
          <t>부채비율</t>
        </is>
      </c>
      <c r="B15" s="66" t="n"/>
      <c r="C15" s="66" t="n">
        <v>121.7</v>
      </c>
      <c r="D15" s="66" t="n"/>
      <c r="E15" s="66" t="n"/>
      <c r="F15" s="66" t="n">
        <v>81.8</v>
      </c>
      <c r="G15" s="66" t="n">
        <v>70.8</v>
      </c>
      <c r="H15" s="66" t="n">
        <v>87.2</v>
      </c>
      <c r="I15" s="66" t="n">
        <v>83.7</v>
      </c>
      <c r="J15" s="66" t="n">
        <v>92.90000000000001</v>
      </c>
      <c r="K15" s="66" t="n">
        <v>82.5</v>
      </c>
      <c r="L15" s="66" t="n">
        <v>92.59999999999999</v>
      </c>
      <c r="M15" s="66" t="n">
        <v>87.90000000000001</v>
      </c>
      <c r="N15" s="66" t="n">
        <v>82</v>
      </c>
      <c r="O15" s="66" t="n">
        <v>85.7</v>
      </c>
      <c r="P15" s="66" t="n">
        <v>87.5</v>
      </c>
      <c r="Q15" s="66" t="n">
        <v>95.90000000000001</v>
      </c>
      <c r="R15" s="66" t="n">
        <v>99.40000000000001</v>
      </c>
      <c r="S15" s="66" t="n">
        <v>73.90000000000001</v>
      </c>
      <c r="T15" s="66" t="n">
        <v>71.90000000000001</v>
      </c>
      <c r="U15" s="66" t="n">
        <v>45.8</v>
      </c>
      <c r="V15" s="66" t="n">
        <v>45.8</v>
      </c>
      <c r="W15" s="66" t="n">
        <v>41.9</v>
      </c>
      <c r="X15" s="66" t="n">
        <v>38.3</v>
      </c>
      <c r="Y15" s="66" t="n">
        <v>29.5</v>
      </c>
      <c r="Z15" s="66" t="n">
        <v>48.8</v>
      </c>
      <c r="AA15" s="66" t="n">
        <v>52.6</v>
      </c>
      <c r="AB15" s="66" t="n">
        <v>49.8</v>
      </c>
      <c r="AC15" s="66" t="n">
        <v>61.7</v>
      </c>
      <c r="AD15" s="66" t="n">
        <v>91.5</v>
      </c>
      <c r="AE15" s="66" t="n">
        <v>49.7</v>
      </c>
      <c r="AF15" s="66" t="n">
        <v>74.2</v>
      </c>
      <c r="AG15" s="66" t="n">
        <v>71</v>
      </c>
      <c r="AH15" s="66" t="n">
        <v>56.5</v>
      </c>
      <c r="AI15" s="66" t="n">
        <v>60.1</v>
      </c>
      <c r="AJ15" s="66" t="n">
        <v>67.90000000000001</v>
      </c>
      <c r="AK15" s="66" t="n">
        <v>56</v>
      </c>
      <c r="AL15" s="66" t="n">
        <v>67.90000000000001</v>
      </c>
      <c r="AM15" s="66" t="n">
        <v>48.5</v>
      </c>
      <c r="AN15" s="66" t="n">
        <v>63.8</v>
      </c>
      <c r="AO15" s="66" t="n">
        <v>50</v>
      </c>
    </row>
    <row r="16">
      <c r="A16" s="64" t="inlineStr">
        <is>
          <t>순차입금/자기자본</t>
        </is>
      </c>
      <c r="B16" s="66" t="n"/>
      <c r="C16" s="66" t="n">
        <v>64.8</v>
      </c>
      <c r="D16" s="66" t="n"/>
      <c r="E16" s="66" t="n"/>
      <c r="F16" s="66" t="n">
        <v>63.9</v>
      </c>
      <c r="G16" s="66" t="n">
        <v>43.9</v>
      </c>
      <c r="H16" s="66" t="n">
        <v>65.2</v>
      </c>
      <c r="I16" s="66" t="n">
        <v>62</v>
      </c>
      <c r="J16" s="66" t="n">
        <v>61.8</v>
      </c>
      <c r="K16" s="66" t="n">
        <v>34.6</v>
      </c>
      <c r="L16" s="66" t="n">
        <v>64.59999999999999</v>
      </c>
      <c r="M16" s="66" t="n">
        <v>66.8</v>
      </c>
      <c r="N16" s="66" t="n">
        <v>63.3</v>
      </c>
      <c r="O16" s="66" t="n">
        <v>57.5</v>
      </c>
      <c r="P16" s="66" t="n">
        <v>64.3</v>
      </c>
      <c r="Q16" s="66" t="n">
        <v>69</v>
      </c>
      <c r="R16" s="66" t="n">
        <v>73</v>
      </c>
      <c r="S16" s="66" t="n">
        <v>45.8</v>
      </c>
      <c r="T16" s="66" t="n">
        <v>51.5</v>
      </c>
      <c r="U16" s="66" t="n">
        <v>20.3</v>
      </c>
      <c r="V16" s="66" t="n">
        <v>16.4</v>
      </c>
      <c r="W16" s="66" t="n">
        <v>3.8</v>
      </c>
      <c r="X16" s="66" t="n">
        <v>-0</v>
      </c>
      <c r="Y16" s="66" t="n">
        <v>11.5</v>
      </c>
      <c r="Z16" s="66" t="n">
        <v>27.6</v>
      </c>
      <c r="AA16" s="66" t="n">
        <v>24.5</v>
      </c>
      <c r="AB16" s="66" t="n">
        <v>26.4</v>
      </c>
      <c r="AC16" s="66" t="n">
        <v>37.8</v>
      </c>
      <c r="AD16" s="66" t="n">
        <v>69.5</v>
      </c>
      <c r="AE16" s="66" t="n">
        <v>22.2</v>
      </c>
      <c r="AF16" s="66" t="n">
        <v>45.4</v>
      </c>
      <c r="AG16" s="66" t="n">
        <v>43.6</v>
      </c>
      <c r="AH16" s="66" t="n">
        <v>23.8</v>
      </c>
      <c r="AI16" s="66" t="n">
        <v>15.8</v>
      </c>
      <c r="AJ16" s="66" t="n">
        <v>40.4</v>
      </c>
      <c r="AK16" s="66" t="n">
        <v>30.9</v>
      </c>
      <c r="AL16" s="66" t="n">
        <v>47.5</v>
      </c>
      <c r="AM16" s="66" t="n">
        <v>27.3</v>
      </c>
      <c r="AN16" s="66" t="n">
        <v>48.7</v>
      </c>
      <c r="AO16" s="66" t="n">
        <v>30.6</v>
      </c>
    </row>
    <row r="17">
      <c r="A17" s="64" t="inlineStr">
        <is>
          <t>재고자산</t>
        </is>
      </c>
      <c r="B17" s="65" t="n"/>
      <c r="C17" s="65" t="n">
        <v>268.1</v>
      </c>
      <c r="D17" s="65" t="n"/>
      <c r="E17" s="65" t="n"/>
      <c r="F17" s="65" t="n">
        <v>234.8</v>
      </c>
      <c r="G17" s="65" t="n">
        <v>227.3</v>
      </c>
      <c r="H17" s="65" t="n">
        <v>252</v>
      </c>
      <c r="I17" s="65" t="n">
        <v>249.1</v>
      </c>
      <c r="J17" s="65" t="n">
        <v>236</v>
      </c>
      <c r="K17" s="65" t="n">
        <v>207.3</v>
      </c>
      <c r="L17" s="65" t="n">
        <v>237.1</v>
      </c>
      <c r="M17" s="65" t="n">
        <v>238.9</v>
      </c>
      <c r="N17" s="65" t="n">
        <v>240.6</v>
      </c>
      <c r="O17" s="65" t="n">
        <v>236.1</v>
      </c>
      <c r="P17" s="65" t="n">
        <v>245.9</v>
      </c>
      <c r="Q17" s="65" t="n">
        <v>269.9</v>
      </c>
      <c r="R17" s="65" t="n">
        <v>276.7</v>
      </c>
      <c r="S17" s="65" t="n">
        <v>226.9</v>
      </c>
      <c r="T17" s="65" t="n">
        <v>213.6</v>
      </c>
      <c r="U17" s="65" t="n">
        <v>224.2</v>
      </c>
      <c r="V17" s="65" t="n">
        <v>224.3</v>
      </c>
      <c r="W17" s="65" t="n">
        <v>196.5</v>
      </c>
      <c r="X17" s="65" t="n">
        <v>190.6</v>
      </c>
      <c r="Y17" s="65" t="n">
        <v>195.9</v>
      </c>
      <c r="Z17" s="65" t="n">
        <v>232.2</v>
      </c>
      <c r="AA17" s="65" t="n">
        <v>256.3</v>
      </c>
      <c r="AB17" s="65" t="n">
        <v>245</v>
      </c>
      <c r="AC17" s="65" t="n">
        <v>284</v>
      </c>
      <c r="AD17" s="65" t="n">
        <v>361.4</v>
      </c>
      <c r="AE17" s="65" t="n">
        <v>284.6</v>
      </c>
      <c r="AF17" s="65" t="n">
        <v>296.7</v>
      </c>
      <c r="AG17" s="65" t="n">
        <v>296</v>
      </c>
      <c r="AH17" s="65" t="n">
        <v>275.7</v>
      </c>
      <c r="AI17" s="65" t="n">
        <v>285.3</v>
      </c>
      <c r="AJ17" s="65" t="n">
        <v>307.4</v>
      </c>
      <c r="AK17" s="65" t="n">
        <v>335.4</v>
      </c>
      <c r="AL17" s="65" t="n">
        <v>383.5</v>
      </c>
      <c r="AM17" s="65" t="n">
        <v>334.4</v>
      </c>
      <c r="AN17" s="65" t="n">
        <v>363.4</v>
      </c>
      <c r="AO17" s="65" t="n">
        <v>346</v>
      </c>
    </row>
    <row r="18">
      <c r="A18" s="64" t="inlineStr">
        <is>
          <t>재고자산 회전일수</t>
        </is>
      </c>
      <c r="B18" s="65" t="n"/>
      <c r="C18" s="65" t="n">
        <v>383</v>
      </c>
      <c r="D18" s="65" t="n"/>
      <c r="E18" s="65" t="n"/>
      <c r="F18" s="65" t="n">
        <v>791</v>
      </c>
      <c r="G18" s="65" t="n">
        <v>352</v>
      </c>
      <c r="H18" s="65" t="n">
        <v>875</v>
      </c>
      <c r="I18" s="65" t="n">
        <v>653</v>
      </c>
      <c r="J18" s="65" t="n">
        <v>561</v>
      </c>
      <c r="K18" s="65" t="n">
        <v>260</v>
      </c>
      <c r="L18" s="65" t="n">
        <v>914</v>
      </c>
      <c r="M18" s="65" t="n">
        <v>329</v>
      </c>
      <c r="N18" s="65" t="n">
        <v>1140</v>
      </c>
      <c r="O18" s="65" t="n">
        <v>544</v>
      </c>
      <c r="P18" s="65" t="n">
        <v>917</v>
      </c>
      <c r="Q18" s="65" t="n">
        <v>808</v>
      </c>
      <c r="R18" s="65" t="n">
        <v>1447</v>
      </c>
      <c r="S18" s="65" t="n">
        <v>207</v>
      </c>
      <c r="T18" s="65" t="n">
        <v>405</v>
      </c>
      <c r="U18" s="65" t="n">
        <v>794</v>
      </c>
      <c r="V18" s="65" t="n">
        <v>1041</v>
      </c>
      <c r="W18" s="65" t="n">
        <v>282</v>
      </c>
      <c r="X18" s="65" t="n">
        <v>410</v>
      </c>
      <c r="Y18" s="65" t="n">
        <v>857</v>
      </c>
      <c r="Z18" s="65" t="n">
        <v>1651</v>
      </c>
      <c r="AA18" s="65" t="n">
        <v>593</v>
      </c>
      <c r="AB18" s="65" t="n">
        <v>525</v>
      </c>
      <c r="AC18" s="65" t="n">
        <v>1795</v>
      </c>
      <c r="AD18" s="65" t="n">
        <v>2491</v>
      </c>
      <c r="AE18" s="65" t="n">
        <v>224</v>
      </c>
      <c r="AF18" s="65" t="n">
        <v>852</v>
      </c>
      <c r="AG18" s="65" t="n">
        <v>842</v>
      </c>
      <c r="AH18" s="65" t="n">
        <v>400</v>
      </c>
      <c r="AI18" s="65" t="n">
        <v>373</v>
      </c>
      <c r="AJ18" s="65" t="n">
        <v>1301</v>
      </c>
      <c r="AK18" s="65" t="n">
        <v>370</v>
      </c>
      <c r="AL18" s="65" t="n">
        <v>1199</v>
      </c>
      <c r="AM18" s="65" t="n">
        <v>331</v>
      </c>
      <c r="AN18" s="65" t="n">
        <v>2625</v>
      </c>
      <c r="AO18" s="65" t="n">
        <v>498</v>
      </c>
    </row>
    <row r="19">
      <c r="A19" s="64" t="inlineStr">
        <is>
          <t>매출채권 회전일수</t>
        </is>
      </c>
      <c r="B19" s="65" t="n"/>
      <c r="C19" s="65" t="n">
        <v>11</v>
      </c>
      <c r="D19" s="65" t="n"/>
      <c r="E19" s="65" t="n"/>
      <c r="F19" s="65" t="n">
        <v>24</v>
      </c>
      <c r="G19" s="65" t="n">
        <v>17</v>
      </c>
      <c r="H19" s="65" t="n">
        <v>39</v>
      </c>
      <c r="I19" s="65" t="n">
        <v>29</v>
      </c>
      <c r="J19" s="65" t="n">
        <v>18</v>
      </c>
      <c r="K19" s="65" t="n">
        <v>14</v>
      </c>
      <c r="L19" s="65" t="n">
        <v>30</v>
      </c>
      <c r="M19" s="65" t="n">
        <v>10</v>
      </c>
      <c r="N19" s="65" t="n">
        <v>34</v>
      </c>
      <c r="O19" s="65" t="n">
        <v>14</v>
      </c>
      <c r="P19" s="65" t="n">
        <v>19</v>
      </c>
      <c r="Q19" s="65" t="n">
        <v>15</v>
      </c>
      <c r="R19" s="65" t="n">
        <v>28</v>
      </c>
      <c r="S19" s="65" t="n">
        <v>0</v>
      </c>
      <c r="T19" s="65" t="n">
        <v>19</v>
      </c>
      <c r="U19" s="65" t="n">
        <v>19</v>
      </c>
      <c r="V19" s="65" t="n">
        <v>22</v>
      </c>
      <c r="W19" s="65" t="n">
        <v>11</v>
      </c>
      <c r="X19" s="65" t="n">
        <v>14</v>
      </c>
      <c r="Y19" s="65" t="n">
        <v>39</v>
      </c>
      <c r="Z19" s="65" t="n">
        <v>73</v>
      </c>
      <c r="AA19" s="65" t="n">
        <v>22</v>
      </c>
      <c r="AB19" s="65" t="n">
        <v>32</v>
      </c>
      <c r="AC19" s="65" t="n">
        <v>56</v>
      </c>
      <c r="AD19" s="65" t="n">
        <v>70</v>
      </c>
      <c r="AE19" s="65" t="n">
        <v>9</v>
      </c>
      <c r="AF19" s="65" t="n">
        <v>22</v>
      </c>
      <c r="AG19" s="65" t="n">
        <v>21</v>
      </c>
      <c r="AH19" s="65" t="n">
        <v>13</v>
      </c>
      <c r="AI19" s="65" t="n">
        <v>10</v>
      </c>
      <c r="AJ19" s="65" t="n">
        <v>48</v>
      </c>
      <c r="AK19" s="65" t="n">
        <v>17</v>
      </c>
      <c r="AL19" s="65" t="n">
        <v>31</v>
      </c>
      <c r="AM19" s="65" t="n">
        <v>6</v>
      </c>
      <c r="AN19" s="65" t="n">
        <v>60</v>
      </c>
      <c r="AO19" s="65" t="n">
        <v>15</v>
      </c>
    </row>
    <row r="20">
      <c r="A20" s="64" t="inlineStr">
        <is>
          <t>매입채무 회전일수</t>
        </is>
      </c>
      <c r="B20" s="65" t="n"/>
      <c r="C20" s="65" t="n">
        <v>66</v>
      </c>
      <c r="D20" s="65" t="n"/>
      <c r="E20" s="65" t="n"/>
      <c r="F20" s="65" t="n">
        <v>12</v>
      </c>
      <c r="G20" s="65" t="n">
        <v>13</v>
      </c>
      <c r="H20" s="65" t="n">
        <v>15</v>
      </c>
      <c r="I20" s="65" t="n">
        <v>16</v>
      </c>
      <c r="J20" s="65" t="n">
        <v>18</v>
      </c>
      <c r="K20" s="65" t="n">
        <v>20</v>
      </c>
      <c r="L20" s="65" t="n">
        <v>22</v>
      </c>
      <c r="M20" s="65" t="n">
        <v>8</v>
      </c>
      <c r="N20" s="65" t="n">
        <v>28</v>
      </c>
      <c r="O20" s="65" t="n">
        <v>34</v>
      </c>
      <c r="P20" s="65" t="n">
        <v>23</v>
      </c>
      <c r="Q20" s="65" t="n">
        <v>31</v>
      </c>
      <c r="R20" s="65" t="n">
        <v>26</v>
      </c>
      <c r="S20" s="65" t="n">
        <v>17</v>
      </c>
      <c r="T20" s="65" t="n">
        <v>11</v>
      </c>
      <c r="U20" s="65" t="n">
        <v>17</v>
      </c>
      <c r="V20" s="65" t="n">
        <v>43</v>
      </c>
      <c r="W20" s="65" t="n">
        <v>15</v>
      </c>
      <c r="X20" s="65" t="n">
        <v>59</v>
      </c>
      <c r="Y20" s="65" t="n">
        <v>41</v>
      </c>
      <c r="Z20" s="65" t="n">
        <v>72</v>
      </c>
      <c r="AA20" s="65" t="n">
        <v>31</v>
      </c>
      <c r="AB20" s="65" t="n">
        <v>18</v>
      </c>
      <c r="AC20" s="65" t="n">
        <v>46</v>
      </c>
      <c r="AD20" s="65" t="n">
        <v>58</v>
      </c>
      <c r="AE20" s="65" t="n">
        <v>9</v>
      </c>
      <c r="AF20" s="65" t="n">
        <v>51</v>
      </c>
      <c r="AG20" s="65" t="n">
        <v>32</v>
      </c>
      <c r="AH20" s="65" t="n">
        <v>28</v>
      </c>
      <c r="AI20" s="65" t="n">
        <v>61</v>
      </c>
      <c r="AJ20" s="65" t="n">
        <v>26</v>
      </c>
      <c r="AK20" s="65" t="n">
        <v>7</v>
      </c>
      <c r="AL20" s="65" t="n">
        <v>20</v>
      </c>
      <c r="AM20" s="65" t="n">
        <v>8</v>
      </c>
      <c r="AN20" s="65" t="n">
        <v>42</v>
      </c>
      <c r="AO20" s="65" t="n">
        <v>18</v>
      </c>
    </row>
    <row r="21">
      <c r="A21" s="64" t="inlineStr">
        <is>
          <t>현금전환주기(CCC)</t>
        </is>
      </c>
      <c r="B21" s="65" t="n"/>
      <c r="C21" s="65" t="n">
        <v>328</v>
      </c>
      <c r="D21" s="65" t="n"/>
      <c r="E21" s="65" t="n"/>
      <c r="F21" s="65" t="n">
        <v>803</v>
      </c>
      <c r="G21" s="65" t="n">
        <v>356</v>
      </c>
      <c r="H21" s="65" t="n">
        <v>899</v>
      </c>
      <c r="I21" s="65" t="n">
        <v>666</v>
      </c>
      <c r="J21" s="65" t="n">
        <v>561</v>
      </c>
      <c r="K21" s="65" t="n">
        <v>254</v>
      </c>
      <c r="L21" s="65" t="n">
        <v>922</v>
      </c>
      <c r="M21" s="65" t="n">
        <v>331</v>
      </c>
      <c r="N21" s="65" t="n">
        <v>1146</v>
      </c>
      <c r="O21" s="65" t="n">
        <v>524</v>
      </c>
      <c r="P21" s="65" t="n">
        <v>913</v>
      </c>
      <c r="Q21" s="65" t="n">
        <v>792</v>
      </c>
      <c r="R21" s="65" t="n">
        <v>1449</v>
      </c>
      <c r="S21" s="65" t="n">
        <v>190</v>
      </c>
      <c r="T21" s="65" t="n">
        <v>413</v>
      </c>
      <c r="U21" s="65" t="n">
        <v>796</v>
      </c>
      <c r="V21" s="65" t="n">
        <v>1020</v>
      </c>
      <c r="W21" s="65" t="n">
        <v>278</v>
      </c>
      <c r="X21" s="65" t="n">
        <v>365</v>
      </c>
      <c r="Y21" s="65" t="n">
        <v>855</v>
      </c>
      <c r="Z21" s="65" t="n">
        <v>1652</v>
      </c>
      <c r="AA21" s="65" t="n">
        <v>584</v>
      </c>
      <c r="AB21" s="65" t="n">
        <v>539</v>
      </c>
      <c r="AC21" s="65" t="n">
        <v>1805</v>
      </c>
      <c r="AD21" s="65" t="n">
        <v>2503</v>
      </c>
      <c r="AE21" s="65" t="n">
        <v>224</v>
      </c>
      <c r="AF21" s="65" t="n">
        <v>823</v>
      </c>
      <c r="AG21" s="65" t="n">
        <v>831</v>
      </c>
      <c r="AH21" s="65" t="n">
        <v>385</v>
      </c>
      <c r="AI21" s="65" t="n">
        <v>322</v>
      </c>
      <c r="AJ21" s="65" t="n">
        <v>1323</v>
      </c>
      <c r="AK21" s="65" t="n">
        <v>380</v>
      </c>
      <c r="AL21" s="65" t="n">
        <v>1210</v>
      </c>
      <c r="AM21" s="65" t="n">
        <v>329</v>
      </c>
      <c r="AN21" s="65" t="n">
        <v>2643</v>
      </c>
      <c r="AO21" s="65" t="n">
        <v>495</v>
      </c>
    </row>
    <row r="22">
      <c r="A22" s="64" t="inlineStr">
        <is>
          <t>총 차입금</t>
        </is>
      </c>
      <c r="B22" s="65" t="n"/>
      <c r="C22" s="65" t="n">
        <v>121</v>
      </c>
      <c r="D22" s="65" t="n"/>
      <c r="E22" s="65" t="n"/>
      <c r="F22" s="65" t="n">
        <v>120</v>
      </c>
      <c r="G22" s="65" t="n">
        <v>91</v>
      </c>
      <c r="H22" s="65" t="n">
        <v>128.8</v>
      </c>
      <c r="I22" s="65" t="n">
        <v>122.9</v>
      </c>
      <c r="J22" s="65" t="n">
        <v>130.1</v>
      </c>
      <c r="K22" s="65" t="n">
        <v>99.10000000000001</v>
      </c>
      <c r="L22" s="65" t="n">
        <v>136.4</v>
      </c>
      <c r="M22" s="65" t="n">
        <v>147.5</v>
      </c>
      <c r="N22" s="65" t="n">
        <v>140.7</v>
      </c>
      <c r="O22" s="65" t="n">
        <v>133.9</v>
      </c>
      <c r="P22" s="65" t="n">
        <v>141.5</v>
      </c>
      <c r="Q22" s="65" t="n">
        <v>155.5</v>
      </c>
      <c r="R22" s="65" t="n">
        <v>164</v>
      </c>
      <c r="S22" s="65" t="n">
        <v>114.6</v>
      </c>
      <c r="T22" s="65" t="n">
        <v>130.2</v>
      </c>
      <c r="U22" s="65" t="n">
        <v>73.2</v>
      </c>
      <c r="V22" s="65" t="n">
        <v>70.2</v>
      </c>
      <c r="W22" s="65" t="n">
        <v>51.1</v>
      </c>
      <c r="X22" s="65" t="n">
        <v>42.4</v>
      </c>
      <c r="Y22" s="65" t="n">
        <v>42.2</v>
      </c>
      <c r="Z22" s="65" t="n">
        <v>80.09999999999999</v>
      </c>
      <c r="AA22" s="65" t="n">
        <v>81.2</v>
      </c>
      <c r="AB22" s="65" t="n">
        <v>82.3</v>
      </c>
      <c r="AC22" s="65" t="n">
        <v>110.4</v>
      </c>
      <c r="AD22" s="65" t="n">
        <v>180.6</v>
      </c>
      <c r="AE22" s="65" t="n">
        <v>73.8</v>
      </c>
      <c r="AF22" s="65" t="n">
        <v>133.7</v>
      </c>
      <c r="AG22" s="65" t="n">
        <v>129.6</v>
      </c>
      <c r="AH22" s="65" t="n">
        <v>89.89999999999999</v>
      </c>
      <c r="AI22" s="65" t="n">
        <v>78.8</v>
      </c>
      <c r="AJ22" s="65" t="n">
        <v>135.1</v>
      </c>
      <c r="AK22" s="65" t="n">
        <v>112.8</v>
      </c>
      <c r="AL22" s="65" t="n">
        <v>157.5</v>
      </c>
      <c r="AM22" s="65" t="n">
        <v>106.3</v>
      </c>
      <c r="AN22" s="65" t="n">
        <v>157.1</v>
      </c>
      <c r="AO22" s="65" t="n">
        <v>110.7</v>
      </c>
    </row>
    <row r="23">
      <c r="A23" s="64" t="inlineStr">
        <is>
          <t>현금</t>
        </is>
      </c>
      <c r="B23" s="65" t="n"/>
      <c r="C23" s="65" t="n">
        <v>17.5</v>
      </c>
      <c r="D23" s="65" t="n"/>
      <c r="E23" s="65" t="n"/>
      <c r="F23" s="65" t="n">
        <v>11</v>
      </c>
      <c r="G23" s="65" t="n">
        <v>12.2</v>
      </c>
      <c r="H23" s="65" t="n">
        <v>13.4</v>
      </c>
      <c r="I23" s="65" t="n">
        <v>12.1</v>
      </c>
      <c r="J23" s="65" t="n">
        <v>15.9</v>
      </c>
      <c r="K23" s="65" t="n">
        <v>32.4</v>
      </c>
      <c r="L23" s="65" t="n">
        <v>13.6</v>
      </c>
      <c r="M23" s="65" t="n">
        <v>15.5</v>
      </c>
      <c r="N23" s="65" t="n">
        <v>15.3</v>
      </c>
      <c r="O23" s="65" t="n">
        <v>18.4</v>
      </c>
      <c r="P23" s="65" t="n">
        <v>12.7</v>
      </c>
      <c r="Q23" s="65" t="n">
        <v>14.6</v>
      </c>
      <c r="R23" s="65" t="n">
        <v>14.1</v>
      </c>
      <c r="S23" s="65" t="n">
        <v>16.4</v>
      </c>
      <c r="T23" s="65" t="n">
        <v>16.6</v>
      </c>
      <c r="U23" s="65" t="n">
        <v>28.8</v>
      </c>
      <c r="V23" s="65" t="n">
        <v>33.6</v>
      </c>
      <c r="W23" s="65" t="n">
        <v>42.5</v>
      </c>
      <c r="X23" s="65" t="n">
        <v>42.5</v>
      </c>
      <c r="Y23" s="65" t="n">
        <v>15.9</v>
      </c>
      <c r="Z23" s="65" t="n">
        <v>17</v>
      </c>
      <c r="AA23" s="65" t="n">
        <v>23.6</v>
      </c>
      <c r="AB23" s="65" t="n">
        <v>20.8</v>
      </c>
      <c r="AC23" s="65" t="n">
        <v>21.3</v>
      </c>
      <c r="AD23" s="65" t="n">
        <v>16.9</v>
      </c>
      <c r="AE23" s="65" t="n">
        <v>17.4</v>
      </c>
      <c r="AF23" s="65" t="n">
        <v>21.5</v>
      </c>
      <c r="AG23" s="65" t="n">
        <v>20.7</v>
      </c>
      <c r="AH23" s="65" t="n">
        <v>26.3</v>
      </c>
      <c r="AI23" s="65" t="n">
        <v>35.1</v>
      </c>
      <c r="AJ23" s="65" t="n">
        <v>25</v>
      </c>
      <c r="AK23" s="65" t="n">
        <v>24.2</v>
      </c>
      <c r="AL23" s="65" t="n">
        <v>20.3</v>
      </c>
      <c r="AM23" s="65" t="n">
        <v>25.5</v>
      </c>
      <c r="AN23" s="65" t="n">
        <v>18.3</v>
      </c>
      <c r="AO23" s="65" t="n">
        <v>19.5</v>
      </c>
    </row>
    <row r="24">
      <c r="A24" s="64" t="inlineStr">
        <is>
          <t>부문별 매출 · ResidenceReportableSegmentsMember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0</v>
      </c>
      <c r="AC24" s="65" t="n">
        <v>0.4</v>
      </c>
      <c r="AD24" s="65" t="n">
        <v>0</v>
      </c>
      <c r="AE24" s="65" t="n">
        <v>27.6</v>
      </c>
      <c r="AF24" s="65" t="n">
        <v>0</v>
      </c>
      <c r="AG24" s="65" t="n">
        <v>-0</v>
      </c>
      <c r="AH24" s="65" t="n">
        <v>19.2</v>
      </c>
      <c r="AI24" s="65" t="n">
        <v>61.3</v>
      </c>
      <c r="AJ24" s="65" t="n">
        <v>0.4</v>
      </c>
      <c r="AK24" s="65" t="n">
        <v>2.5</v>
      </c>
      <c r="AL24" s="65" t="n">
        <v>0</v>
      </c>
      <c r="AM24" s="65" t="n">
        <v>22.1</v>
      </c>
      <c r="AN24" s="65" t="n">
        <v>0.4</v>
      </c>
      <c r="AO24" s="65" t="n">
        <v>1.4</v>
      </c>
      <c r="AP24" s="61" t="inlineStr">
        <is>
          <t>결산단신 부문 정보(외부 고객 매출)</t>
        </is>
      </c>
    </row>
    <row r="25">
      <c r="A25" s="64" t="inlineStr">
        <is>
          <t>부문별 매출 · RealEstateDevelopmentReportableSegmentsMember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34.1</v>
      </c>
      <c r="AC25" s="65" t="n">
        <v>7.6</v>
      </c>
      <c r="AD25" s="65" t="n">
        <v>4.7</v>
      </c>
      <c r="AE25" s="65" t="n">
        <v>112.1</v>
      </c>
      <c r="AF25" s="65" t="n">
        <v>28.6</v>
      </c>
      <c r="AG25" s="65" t="n">
        <v>35.1</v>
      </c>
      <c r="AH25" s="65" t="n">
        <v>69.8</v>
      </c>
      <c r="AI25" s="65" t="n">
        <v>19.3</v>
      </c>
      <c r="AJ25" s="65" t="n">
        <v>5.6</v>
      </c>
      <c r="AK25" s="65" t="n">
        <v>82.59999999999999</v>
      </c>
      <c r="AL25" s="65" t="n">
        <v>23.8</v>
      </c>
      <c r="AM25" s="65" t="n">
        <v>82.7</v>
      </c>
      <c r="AN25" s="65" t="n">
        <v>4</v>
      </c>
      <c r="AO25" s="65" t="n">
        <v>74.09999999999999</v>
      </c>
      <c r="AP25" s="61" t="inlineStr">
        <is>
          <t>결산단신 부문 정보(외부 고객 매출)</t>
        </is>
      </c>
    </row>
    <row r="26">
      <c r="A26" s="64" t="inlineStr">
        <is>
          <t>부문별 매출 · LeasingAndManagementAndOthersReportableSegmentsMember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10.5</v>
      </c>
      <c r="AC26" s="65" t="n">
        <v>11.7</v>
      </c>
      <c r="AD26" s="65" t="n">
        <v>10.3</v>
      </c>
      <c r="AE26" s="65" t="n">
        <v>11.1</v>
      </c>
      <c r="AF26" s="65" t="n">
        <v>5.8</v>
      </c>
      <c r="AG26" s="65" t="n">
        <v>7</v>
      </c>
      <c r="AH26" s="65" t="n">
        <v>9.699999999999999</v>
      </c>
      <c r="AI26" s="65" t="n">
        <v>12.6</v>
      </c>
      <c r="AJ26" s="65" t="n">
        <v>19.6</v>
      </c>
      <c r="AK26" s="65" t="n">
        <v>-9.800000000000001</v>
      </c>
      <c r="AL26" s="65" t="n">
        <v>42.6</v>
      </c>
      <c r="AM26" s="65" t="n">
        <v>11.9</v>
      </c>
      <c r="AN26" s="65" t="n"/>
      <c r="AO26" s="65" t="n"/>
      <c r="AP26" s="61" t="inlineStr">
        <is>
          <t>결산단신 부문 정보(외부 고객 매출)</t>
        </is>
      </c>
    </row>
    <row r="27">
      <c r="A27" s="64" t="inlineStr">
        <is>
          <t>부문별 매출 · ConstructionReportableSegmentMember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>
        <v>15.3</v>
      </c>
      <c r="AK27" s="65" t="n">
        <v>13.2</v>
      </c>
      <c r="AL27" s="65" t="n"/>
      <c r="AM27" s="65" t="n"/>
      <c r="AN27" s="65" t="n">
        <v>4.8</v>
      </c>
      <c r="AO27" s="65" t="n">
        <v>6.6</v>
      </c>
      <c r="AP27" s="61" t="inlineStr">
        <is>
          <t>결산단신 부문 정보(외부 고객 매출)</t>
        </is>
      </c>
    </row>
    <row r="28">
      <c r="A28" s="64" t="inlineStr">
        <is>
          <t>부문별 매출 · MaterialReportableSegmentsMember</t>
        </is>
      </c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>
        <v>2.5</v>
      </c>
      <c r="AC28" s="65" t="n">
        <v>2.6</v>
      </c>
      <c r="AD28" s="65" t="n">
        <v>1.7</v>
      </c>
      <c r="AE28" s="65" t="n">
        <v>1.8</v>
      </c>
      <c r="AF28" s="65" t="n">
        <v>1.5</v>
      </c>
      <c r="AG28" s="65" t="n">
        <v>1.1</v>
      </c>
      <c r="AH28" s="65" t="n">
        <v>1.6</v>
      </c>
      <c r="AI28" s="65" t="n">
        <v>1.9</v>
      </c>
      <c r="AJ28" s="65" t="n">
        <v>1.6</v>
      </c>
      <c r="AK28" s="65" t="n">
        <v>2.2</v>
      </c>
      <c r="AL28" s="65" t="n">
        <v>1.5</v>
      </c>
      <c r="AM28" s="65" t="n">
        <v>1.6</v>
      </c>
      <c r="AN28" s="65" t="n">
        <v>1.9</v>
      </c>
      <c r="AO28" s="65" t="n">
        <v>2</v>
      </c>
      <c r="AP28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2026-10-30T11:44:39Z</dcterms:created>
  <dcterms:modified xmlns:dcterms="http://purl.org/dc/terms/" xmlns:xsi="http://www.w3.org/2001/XMLSchema-instance" xsi:type="dcterms:W3CDTF">2026-10-30T11:44:58Z</dcterms:modified>
</cp:coreProperties>
</file>