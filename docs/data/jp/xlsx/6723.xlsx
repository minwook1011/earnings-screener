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6723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IFRS · 2025.4Q = 2025년 12월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2023.1Q</t>
        </is>
      </c>
      <c r="D3" s="5" t="inlineStr">
        <is>
          <t>2023.2Q</t>
        </is>
      </c>
      <c r="E3" s="5" t="inlineStr">
        <is>
          <t>2023.3Q</t>
        </is>
      </c>
      <c r="F3" s="5" t="inlineStr">
        <is>
          <t>2023.4Q</t>
        </is>
      </c>
      <c r="G3" s="5" t="inlineStr">
        <is>
          <t>2024.1Q</t>
        </is>
      </c>
      <c r="H3" s="5" t="inlineStr">
        <is>
          <t>2024.2Q</t>
        </is>
      </c>
      <c r="I3" s="5" t="inlineStr">
        <is>
          <t>2024.3Q</t>
        </is>
      </c>
      <c r="J3" s="5" t="inlineStr">
        <is>
          <t>2024.4Q</t>
        </is>
      </c>
      <c r="K3" s="5" t="inlineStr">
        <is>
          <t>2025.1Q</t>
        </is>
      </c>
      <c r="L3" s="5" t="inlineStr">
        <is>
          <t>2025.2Q</t>
        </is>
      </c>
      <c r="M3" s="5" t="inlineStr">
        <is>
          <t>2025.3Q</t>
        </is>
      </c>
      <c r="N3" s="5" t="inlineStr">
        <is>
          <t>2025.4Q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>
        <v>780261</v>
      </c>
      <c r="Q4" s="12" t="n">
        <v>631220</v>
      </c>
      <c r="R4" s="12" t="n">
        <v>554313</v>
      </c>
      <c r="S4" s="12" t="n">
        <v>563908</v>
      </c>
      <c r="T4" s="12" t="n">
        <v>771277</v>
      </c>
      <c r="U4" s="12" t="n">
        <v>1075144</v>
      </c>
      <c r="V4" s="12" t="n">
        <v>1065819</v>
      </c>
      <c r="W4" s="12" t="n">
        <v>973959</v>
      </c>
      <c r="X4" s="12" t="n">
        <v>926986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AutomotiveReportableSegmentMember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660409</v>
      </c>
      <c r="W7" s="20" t="n">
        <v>702812</v>
      </c>
      <c r="X7" s="20" t="n">
        <v>639690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IndustrialInfrastructureIoTReportableSegmentMember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799338</v>
      </c>
      <c r="W10" s="20" t="n">
        <v>636760</v>
      </c>
      <c r="X10" s="20" t="n">
        <v>671760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9960</v>
      </c>
      <c r="W13" s="20" t="n">
        <v>8907</v>
      </c>
      <c r="X13" s="20" t="n">
        <v>7032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AdjustmentMember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0</v>
      </c>
      <c r="W16" s="20" t="n">
        <v>0</v>
      </c>
      <c r="X16" s="20" t="n">
        <v>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19" t="n"/>
      <c r="P20" s="20" t="n">
        <v>427463</v>
      </c>
      <c r="Q20" s="20" t="n">
        <v>379586</v>
      </c>
      <c r="R20" s="20" t="n">
        <v>368165</v>
      </c>
      <c r="S20" s="20" t="n">
        <v>375726</v>
      </c>
      <c r="T20" s="20" t="n">
        <v>454068</v>
      </c>
      <c r="U20" s="20" t="n">
        <v>559947</v>
      </c>
      <c r="V20" s="20" t="n">
        <v>541307</v>
      </c>
      <c r="W20" s="20" t="n">
        <v>536757</v>
      </c>
      <c r="X20" s="20" t="n">
        <v>522366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>
        <v>274398</v>
      </c>
      <c r="Q24" s="20" t="n">
        <v>178391</v>
      </c>
      <c r="R24" s="20" t="n">
        <v>152327</v>
      </c>
      <c r="S24" s="20" t="n">
        <v>138735</v>
      </c>
      <c r="T24" s="20" t="n">
        <v>152203</v>
      </c>
      <c r="U24" s="20" t="n">
        <v>164206</v>
      </c>
      <c r="V24" s="20" t="n">
        <v>209753</v>
      </c>
      <c r="W24" s="20" t="n">
        <v>195201</v>
      </c>
      <c r="X24" s="20" t="n">
        <v>179977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1" t="n"/>
      <c r="P25" s="12" t="n">
        <v>78400</v>
      </c>
      <c r="Q25" s="12" t="n">
        <v>73243</v>
      </c>
      <c r="R25" s="12" t="n">
        <v>33822</v>
      </c>
      <c r="S25" s="12" t="n">
        <v>49447</v>
      </c>
      <c r="T25" s="12" t="n">
        <v>165006</v>
      </c>
      <c r="U25" s="12" t="n">
        <v>350991</v>
      </c>
      <c r="V25" s="12" t="n">
        <v>314758</v>
      </c>
      <c r="W25" s="12" t="n">
        <v>242001</v>
      </c>
      <c r="X25" s="12" t="n">
        <v>224642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기타이익</t>
        </is>
      </c>
      <c r="B41" s="10" t="n"/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>
        <v>15369</v>
      </c>
      <c r="Q41" s="20" t="n">
        <v>2096</v>
      </c>
      <c r="R41" s="20" t="n">
        <v>7228</v>
      </c>
      <c r="S41" s="20" t="n">
        <v>3175</v>
      </c>
      <c r="T41" s="20" t="n">
        <v>856</v>
      </c>
      <c r="U41" s="20" t="n">
        <v>10218</v>
      </c>
      <c r="V41" s="20" t="n">
        <v>19412</v>
      </c>
      <c r="W41" s="20" t="n">
        <v>12780</v>
      </c>
      <c r="X41" s="20" t="n">
        <v>2931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기타손실</t>
        </is>
      </c>
      <c r="B43" s="10" t="n"/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>
        <v>5865</v>
      </c>
      <c r="Q43" s="20" t="n">
        <v>13957</v>
      </c>
      <c r="R43" s="20" t="n">
        <v>6264</v>
      </c>
      <c r="S43" s="20" t="n">
        <v>1962</v>
      </c>
      <c r="T43" s="20" t="n">
        <v>3736</v>
      </c>
      <c r="U43" s="20" t="n">
        <v>1337</v>
      </c>
      <c r="V43" s="20" t="n">
        <v>1504</v>
      </c>
      <c r="W43" s="20" t="n">
        <v>3687</v>
      </c>
      <c r="X43" s="20" t="n">
        <v>14395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금융수익</t>
        </is>
      </c>
      <c r="B45" s="10" t="n"/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>
        <v>2061</v>
      </c>
      <c r="Q45" s="20" t="n">
        <v>1444</v>
      </c>
      <c r="R45" s="20" t="n">
        <v>1081</v>
      </c>
      <c r="S45" s="20" t="n">
        <v>11917</v>
      </c>
      <c r="T45" s="20" t="n">
        <v>2943</v>
      </c>
      <c r="U45" s="20" t="n">
        <v>2259</v>
      </c>
      <c r="V45" s="20" t="n">
        <v>5076</v>
      </c>
      <c r="W45" s="20" t="n">
        <v>19056</v>
      </c>
      <c r="X45" s="20" t="n">
        <v>20706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금융원가</t>
        </is>
      </c>
      <c r="B47" s="10" t="n"/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 t="n"/>
      <c r="P47" s="20" t="n">
        <v>5173</v>
      </c>
      <c r="Q47" s="20" t="n">
        <v>5822</v>
      </c>
      <c r="R47" s="20" t="n">
        <v>18554</v>
      </c>
      <c r="S47" s="20" t="n">
        <v>8521</v>
      </c>
      <c r="T47" s="20" t="n">
        <v>38088</v>
      </c>
      <c r="U47" s="20" t="n">
        <v>73765</v>
      </c>
      <c r="V47" s="20" t="n">
        <v>22793</v>
      </c>
      <c r="W47" s="20" t="n">
        <v>48165</v>
      </c>
      <c r="X47" s="20" t="n">
        <v>35857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1" t="n"/>
      <c r="P49" s="12" t="n">
        <v>84792</v>
      </c>
      <c r="Q49" s="12" t="n">
        <v>57003</v>
      </c>
      <c r="R49" s="12" t="n">
        <v>17313</v>
      </c>
      <c r="S49" s="12" t="n">
        <v>54056</v>
      </c>
      <c r="T49" s="12" t="n">
        <v>126982</v>
      </c>
      <c r="U49" s="12" t="n">
        <v>288365</v>
      </c>
      <c r="V49" s="12" t="n">
        <v>314950</v>
      </c>
      <c r="W49" s="12" t="n">
        <v>221986</v>
      </c>
      <c r="X49" s="12" t="n">
        <v>198028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/>
      <c r="P50" s="20" t="n">
        <v>7517</v>
      </c>
      <c r="Q50" s="20" t="n">
        <v>7787</v>
      </c>
      <c r="R50" s="20" t="n">
        <v>284</v>
      </c>
      <c r="S50" s="20" t="n">
        <v>6598</v>
      </c>
      <c r="T50" s="20" t="n">
        <v>13054</v>
      </c>
      <c r="U50" s="20" t="n">
        <v>75718</v>
      </c>
      <c r="V50" s="20" t="n">
        <v>63079</v>
      </c>
      <c r="W50" s="20" t="n">
        <v>32013</v>
      </c>
      <c r="X50" s="20" t="n">
        <v>39373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1" t="n"/>
      <c r="P52" s="12" t="n">
        <v>77275</v>
      </c>
      <c r="Q52" s="12" t="n">
        <v>49216</v>
      </c>
      <c r="R52" s="12" t="n">
        <v>17029</v>
      </c>
      <c r="S52" s="12" t="n">
        <v>47458</v>
      </c>
      <c r="T52" s="12" t="n">
        <v>113928</v>
      </c>
      <c r="U52" s="12" t="n">
        <v>212647</v>
      </c>
      <c r="V52" s="12" t="n">
        <v>251871</v>
      </c>
      <c r="W52" s="12" t="n">
        <v>189972</v>
      </c>
      <c r="X52" s="12" t="n">
        <v>158654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1" t="n"/>
      <c r="P53" s="12" t="n">
        <v>77196</v>
      </c>
      <c r="Q53" s="12" t="n">
        <v>50989</v>
      </c>
      <c r="R53" s="12" t="n">
        <v>-6317</v>
      </c>
      <c r="S53" s="12" t="n">
        <v>45626</v>
      </c>
      <c r="T53" s="12" t="n">
        <v>119536</v>
      </c>
      <c r="U53" s="12" t="n">
        <v>256615</v>
      </c>
      <c r="V53" s="12" t="n">
        <v>337086</v>
      </c>
      <c r="W53" s="12" t="n">
        <v>219084</v>
      </c>
      <c r="X53" s="12" t="n">
        <v>-51763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()</t>
        </is>
      </c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</t>
        </is>
      </c>
      <c r="C83" s="39" t="n"/>
      <c r="O83" s="39" t="n"/>
      <c r="Y83" s="39" t="n"/>
    </row>
    <row r="85">
      <c r="A85" s="16" t="inlineStr">
        <is>
          <t>현금흐름표 · 전 항목</t>
        </is>
      </c>
      <c r="B85" s="42" t="inlineStr">
        <is>
          <t>분기 = 결산기 첫날부터 누계(공시 그대로)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2023.1Q</t>
        </is>
      </c>
      <c r="D86" s="5" t="inlineStr">
        <is>
          <t>2023.2Q</t>
        </is>
      </c>
      <c r="E86" s="5" t="inlineStr">
        <is>
          <t>2023.3Q</t>
        </is>
      </c>
      <c r="F86" s="5" t="inlineStr">
        <is>
          <t>2023.4Q</t>
        </is>
      </c>
      <c r="G86" s="5" t="inlineStr">
        <is>
          <t>2024.1Q</t>
        </is>
      </c>
      <c r="H86" s="5" t="inlineStr">
        <is>
          <t>2024.2Q</t>
        </is>
      </c>
      <c r="I86" s="5" t="inlineStr">
        <is>
          <t>2024.3Q</t>
        </is>
      </c>
      <c r="J86" s="5" t="inlineStr">
        <is>
          <t>2024.4Q</t>
        </is>
      </c>
      <c r="K86" s="5" t="inlineStr">
        <is>
          <t>2025.1Q</t>
        </is>
      </c>
      <c r="L86" s="5" t="inlineStr">
        <is>
          <t>2025.2Q</t>
        </is>
      </c>
      <c r="M86" s="5" t="inlineStr">
        <is>
          <t>2025.3Q</t>
        </is>
      </c>
      <c r="N86" s="5" t="inlineStr">
        <is>
          <t>2025.4Q</t>
        </is>
      </c>
      <c r="O86" s="5" t="inlineStr">
        <is>
          <t>2016</t>
        </is>
      </c>
      <c r="P86" s="5" t="inlineStr">
        <is>
          <t>2017</t>
        </is>
      </c>
      <c r="Q86" s="5" t="inlineStr">
        <is>
          <t>2018</t>
        </is>
      </c>
      <c r="R86" s="5" t="inlineStr">
        <is>
          <t>2019</t>
        </is>
      </c>
      <c r="S86" s="5" t="inlineStr">
        <is>
          <t>2020</t>
        </is>
      </c>
      <c r="T86" s="5" t="inlineStr">
        <is>
          <t>2021</t>
        </is>
      </c>
      <c r="U86" s="5" t="inlineStr">
        <is>
          <t>2022</t>
        </is>
      </c>
      <c r="V86" s="5" t="inlineStr">
        <is>
          <t>2023</t>
        </is>
      </c>
      <c r="W86" s="5" t="inlineStr">
        <is>
          <t>2024</t>
        </is>
      </c>
      <c r="X86" s="5" t="inlineStr">
        <is>
          <t>2025</t>
        </is>
      </c>
      <c r="Y86" s="5" t="inlineStr">
        <is>
          <t>2026(MW)</t>
        </is>
      </c>
      <c r="Z86" s="5" t="inlineStr">
        <is>
          <t>2027(MW)</t>
        </is>
      </c>
      <c r="AA86" s="5" t="inlineStr">
        <is>
          <t>2028(MW)</t>
        </is>
      </c>
      <c r="AB86" s="5" t="inlineStr">
        <is>
          <t>2029(MW)</t>
        </is>
      </c>
      <c r="AC86" s="5" t="inlineStr">
        <is>
          <t>2030(MW)</t>
        </is>
      </c>
    </row>
    <row r="87">
      <c r="A87" s="9" t="inlineStr">
        <is>
          <t>법인세차감전 이익</t>
        </is>
      </c>
      <c r="F87" s="12" t="n">
        <v>422173</v>
      </c>
      <c r="J87" s="12" t="n">
        <v>263833</v>
      </c>
      <c r="N87" s="12" t="n">
        <v>-30275</v>
      </c>
      <c r="Q87" s="12" t="n">
        <v>67723</v>
      </c>
      <c r="R87" s="12" t="n">
        <v>-325</v>
      </c>
      <c r="S87" s="12" t="n">
        <v>65216</v>
      </c>
      <c r="T87" s="12" t="n">
        <v>142718</v>
      </c>
      <c r="U87" s="12" t="n">
        <v>362282</v>
      </c>
      <c r="V87" s="12" t="n">
        <v>422173</v>
      </c>
      <c r="W87" s="12" t="n">
        <v>263833</v>
      </c>
      <c r="X87" s="12" t="n">
        <v>-30275</v>
      </c>
    </row>
    <row r="88">
      <c r="A88" s="18" t="inlineStr">
        <is>
          <t>감가상각비 및 상각비</t>
        </is>
      </c>
      <c r="F88" s="20" t="n">
        <v>186009</v>
      </c>
      <c r="J88" s="20" t="n">
        <v>210728</v>
      </c>
      <c r="N88" s="20" t="n">
        <v>188597</v>
      </c>
      <c r="Q88" s="20" t="n">
        <v>112743</v>
      </c>
      <c r="R88" s="20" t="n">
        <v>148026</v>
      </c>
      <c r="S88" s="20" t="n">
        <v>141527</v>
      </c>
      <c r="T88" s="20" t="n">
        <v>146047</v>
      </c>
      <c r="U88" s="20" t="n">
        <v>186049</v>
      </c>
      <c r="V88" s="20" t="n">
        <v>186009</v>
      </c>
      <c r="W88" s="20" t="n">
        <v>210728</v>
      </c>
      <c r="X88" s="20" t="n">
        <v>188597</v>
      </c>
    </row>
    <row r="89">
      <c r="A89" s="18" t="inlineStr">
        <is>
          <t>손상차손</t>
        </is>
      </c>
      <c r="F89" s="20" t="n">
        <v>4872</v>
      </c>
      <c r="J89" s="20" t="n">
        <v>3015</v>
      </c>
      <c r="N89" s="20" t="n">
        <v>18430</v>
      </c>
      <c r="Q89" s="20" t="n">
        <v>1526</v>
      </c>
      <c r="R89" s="20" t="n">
        <v>2256</v>
      </c>
      <c r="S89" s="20" t="n">
        <v>2070</v>
      </c>
      <c r="T89" s="20" t="n">
        <v>135</v>
      </c>
      <c r="U89" s="20" t="n">
        <v>7719</v>
      </c>
      <c r="V89" s="20" t="n">
        <v>4872</v>
      </c>
      <c r="W89" s="20" t="n">
        <v>3015</v>
      </c>
      <c r="X89" s="20" t="n">
        <v>18430</v>
      </c>
    </row>
    <row r="90">
      <c r="A90" s="18" t="inlineStr">
        <is>
          <t>Finance Income And Finance Costs Ope CF</t>
        </is>
      </c>
      <c r="F90" s="20" t="n">
        <v>-22847</v>
      </c>
      <c r="J90" s="20" t="n">
        <v>-26053</v>
      </c>
      <c r="N90" s="20" t="n">
        <v>230979</v>
      </c>
      <c r="Q90" s="20" t="n">
        <v>649</v>
      </c>
      <c r="R90" s="20" t="n">
        <v>5927</v>
      </c>
      <c r="S90" s="20" t="n">
        <v>5221</v>
      </c>
      <c r="T90" s="20" t="n">
        <v>6944</v>
      </c>
      <c r="U90" s="20" t="n">
        <v>9959</v>
      </c>
      <c r="V90" s="20" t="n">
        <v>-22847</v>
      </c>
      <c r="W90" s="20" t="n">
        <v>-26053</v>
      </c>
      <c r="X90" s="20" t="n">
        <v>230979</v>
      </c>
    </row>
    <row r="91">
      <c r="A91" s="18" t="inlineStr">
        <is>
          <t>Share Of Loss Profit Of Investments Accounted For Using Equity Method Ope CF</t>
        </is>
      </c>
      <c r="Q91" s="20" t="n">
        <v>-49</v>
      </c>
      <c r="R91" s="20" t="n">
        <v>0</v>
      </c>
    </row>
    <row r="92">
      <c r="A92" s="18" t="inlineStr">
        <is>
          <t>주식보상비용</t>
        </is>
      </c>
      <c r="F92" s="20" t="n">
        <v>23283</v>
      </c>
      <c r="J92" s="20" t="n">
        <v>36299</v>
      </c>
      <c r="N92" s="20" t="n">
        <v>37085</v>
      </c>
      <c r="Q92" s="20" t="n">
        <v>4208</v>
      </c>
      <c r="R92" s="20" t="n">
        <v>11896</v>
      </c>
      <c r="S92" s="20" t="n">
        <v>14564</v>
      </c>
      <c r="T92" s="20" t="n">
        <v>14899</v>
      </c>
      <c r="U92" s="20" t="n">
        <v>18144</v>
      </c>
      <c r="V92" s="20" t="n">
        <v>23283</v>
      </c>
      <c r="W92" s="20" t="n">
        <v>36299</v>
      </c>
      <c r="X92" s="20" t="n">
        <v>37085</v>
      </c>
    </row>
    <row r="93">
      <c r="A93" s="18" t="inlineStr">
        <is>
          <t>Loss Gain On Sale Of Fixed Assets Ope CF</t>
        </is>
      </c>
      <c r="Q93" s="20" t="n">
        <v>-1025</v>
      </c>
      <c r="R93" s="20" t="n">
        <v>-515</v>
      </c>
      <c r="S93" s="20" t="n">
        <v>-717</v>
      </c>
    </row>
    <row r="94">
      <c r="A94" s="18" t="inlineStr">
        <is>
          <t>보험금 수익</t>
        </is>
      </c>
      <c r="F94" s="20" t="n">
        <v>-30665</v>
      </c>
      <c r="J94" s="20" t="n">
        <v>-587</v>
      </c>
      <c r="N94" s="20" t="n">
        <v>-169</v>
      </c>
      <c r="U94" s="20" t="n">
        <v>-1467</v>
      </c>
      <c r="V94" s="20" t="n">
        <v>-30665</v>
      </c>
      <c r="W94" s="20" t="n">
        <v>-587</v>
      </c>
      <c r="X94" s="20" t="n">
        <v>-169</v>
      </c>
    </row>
    <row r="95">
      <c r="A95" s="18" t="inlineStr">
        <is>
          <t>고정자산 압축손실</t>
        </is>
      </c>
      <c r="F95" s="20" t="n">
        <v>1068</v>
      </c>
      <c r="J95" s="20" t="n">
        <v>4879</v>
      </c>
      <c r="V95" s="20" t="n">
        <v>1068</v>
      </c>
      <c r="W95" s="20" t="n">
        <v>4879</v>
      </c>
    </row>
    <row r="96">
      <c r="A96" s="18" t="inlineStr">
        <is>
          <t>보조금 수입</t>
        </is>
      </c>
      <c r="F96" s="20" t="n">
        <v>-1088</v>
      </c>
      <c r="J96" s="20" t="n">
        <v>-5124</v>
      </c>
      <c r="V96" s="20" t="n">
        <v>-1088</v>
      </c>
      <c r="W96" s="20" t="n">
        <v>-5124</v>
      </c>
    </row>
    <row r="97">
      <c r="A97" s="18" t="inlineStr">
        <is>
          <t>외환차손익</t>
        </is>
      </c>
      <c r="F97" s="20" t="n">
        <v>-7589</v>
      </c>
      <c r="J97" s="20" t="n">
        <v>-292</v>
      </c>
      <c r="N97" s="20" t="n">
        <v>2927</v>
      </c>
      <c r="S97" s="20" t="n">
        <v>-3780</v>
      </c>
      <c r="T97" s="20" t="n">
        <v>23761</v>
      </c>
      <c r="U97" s="20" t="n">
        <v>42997</v>
      </c>
      <c r="V97" s="20" t="n">
        <v>-7589</v>
      </c>
      <c r="W97" s="20" t="n">
        <v>-292</v>
      </c>
      <c r="X97" s="20" t="n">
        <v>2927</v>
      </c>
    </row>
    <row r="98">
      <c r="A98" s="18" t="inlineStr">
        <is>
          <t>Loss Gain On Sale Of Property Plant And Equipment And Intangible Assets Ope CF</t>
        </is>
      </c>
      <c r="F98" s="20" t="n">
        <v>-1337</v>
      </c>
      <c r="J98" s="20" t="n">
        <v>-293</v>
      </c>
      <c r="N98" s="20" t="n">
        <v>-1625</v>
      </c>
      <c r="S98" s="20" t="n">
        <v>-717</v>
      </c>
      <c r="T98" s="20" t="n">
        <v>-5557</v>
      </c>
      <c r="U98" s="20" t="n">
        <v>-9583</v>
      </c>
      <c r="V98" s="20" t="n">
        <v>-1337</v>
      </c>
      <c r="W98" s="20" t="n">
        <v>-293</v>
      </c>
      <c r="X98" s="20" t="n">
        <v>-1625</v>
      </c>
    </row>
    <row r="99">
      <c r="A99" s="18" t="inlineStr">
        <is>
          <t>고정자산 폐기손실</t>
        </is>
      </c>
      <c r="J99" s="20" t="n">
        <v>1665</v>
      </c>
      <c r="N99" s="20" t="n">
        <v>4127</v>
      </c>
      <c r="W99" s="20" t="n">
        <v>1665</v>
      </c>
      <c r="X99" s="20" t="n">
        <v>4127</v>
      </c>
    </row>
    <row r="100">
      <c r="A100" s="18" t="inlineStr">
        <is>
          <t>재고자산 증감</t>
        </is>
      </c>
      <c r="F100" s="20" t="n">
        <v>30070</v>
      </c>
      <c r="J100" s="20" t="n">
        <v>-5070</v>
      </c>
      <c r="N100" s="20" t="n">
        <v>-8605</v>
      </c>
      <c r="Q100" s="20" t="n">
        <v>6956</v>
      </c>
      <c r="R100" s="20" t="n">
        <v>44549</v>
      </c>
      <c r="S100" s="20" t="n">
        <v>79</v>
      </c>
      <c r="T100" s="20" t="n">
        <v>-6253</v>
      </c>
      <c r="U100" s="20" t="n">
        <v>-41546</v>
      </c>
      <c r="V100" s="20" t="n">
        <v>30070</v>
      </c>
      <c r="W100" s="20" t="n">
        <v>-5070</v>
      </c>
      <c r="X100" s="20" t="n">
        <v>-8605</v>
      </c>
    </row>
    <row r="101">
      <c r="A101" s="18" t="inlineStr">
        <is>
          <t>매출채권 및 기타채권 증감액</t>
        </is>
      </c>
      <c r="F101" s="20" t="n">
        <v>5126</v>
      </c>
      <c r="J101" s="20" t="n">
        <v>25918</v>
      </c>
      <c r="N101" s="20" t="n">
        <v>887</v>
      </c>
      <c r="Q101" s="20" t="n">
        <v>22336</v>
      </c>
      <c r="R101" s="20" t="n">
        <v>9882</v>
      </c>
      <c r="S101" s="20" t="n">
        <v>1228</v>
      </c>
      <c r="T101" s="20" t="n">
        <v>-9512</v>
      </c>
      <c r="U101" s="20" t="n">
        <v>-7886</v>
      </c>
      <c r="V101" s="20" t="n">
        <v>5126</v>
      </c>
      <c r="W101" s="20" t="n">
        <v>25918</v>
      </c>
      <c r="X101" s="20" t="n">
        <v>887</v>
      </c>
    </row>
    <row r="102">
      <c r="A102" s="18" t="inlineStr">
        <is>
          <t>Decrease Increase In Other Financial Assets Ope CF</t>
        </is>
      </c>
      <c r="F102" s="20" t="n">
        <v>-6786</v>
      </c>
      <c r="J102" s="20" t="n">
        <v>1166</v>
      </c>
      <c r="N102" s="20" t="n">
        <v>19885</v>
      </c>
      <c r="S102" s="20" t="n">
        <v>-7413</v>
      </c>
      <c r="T102" s="20" t="n">
        <v>-9699</v>
      </c>
      <c r="U102" s="20" t="n">
        <v>-29303</v>
      </c>
      <c r="V102" s="20" t="n">
        <v>-6786</v>
      </c>
      <c r="W102" s="20" t="n">
        <v>1166</v>
      </c>
      <c r="X102" s="20" t="n">
        <v>19885</v>
      </c>
    </row>
    <row r="103">
      <c r="A103" s="18" t="inlineStr">
        <is>
          <t>장기선급비용 증감</t>
        </is>
      </c>
      <c r="F103" s="20" t="n">
        <v>0</v>
      </c>
      <c r="J103" s="20" t="n">
        <v>-28154</v>
      </c>
      <c r="N103" s="20" t="n">
        <v>0</v>
      </c>
      <c r="V103" s="20" t="n">
        <v>0</v>
      </c>
      <c r="W103" s="20" t="n">
        <v>-28154</v>
      </c>
      <c r="X103" s="20" t="n">
        <v>0</v>
      </c>
    </row>
    <row r="104">
      <c r="A104" s="18" t="inlineStr">
        <is>
          <t>매입채무 및 기타채무 증감액</t>
        </is>
      </c>
      <c r="F104" s="20" t="n">
        <v>2438</v>
      </c>
      <c r="J104" s="20" t="n">
        <v>-35562</v>
      </c>
      <c r="N104" s="20" t="n">
        <v>-208</v>
      </c>
      <c r="Q104" s="20" t="n">
        <v>-27999</v>
      </c>
      <c r="R104" s="20" t="n">
        <v>-36</v>
      </c>
      <c r="S104" s="20" t="n">
        <v>10192</v>
      </c>
      <c r="T104" s="20" t="n">
        <v>50413</v>
      </c>
      <c r="U104" s="20" t="n">
        <v>13882</v>
      </c>
      <c r="V104" s="20" t="n">
        <v>2438</v>
      </c>
      <c r="W104" s="20" t="n">
        <v>-35562</v>
      </c>
      <c r="X104" s="20" t="n">
        <v>-208</v>
      </c>
    </row>
    <row r="105">
      <c r="A105" s="18" t="inlineStr">
        <is>
          <t>퇴직급여부채 증감</t>
        </is>
      </c>
      <c r="F105" s="20" t="n">
        <v>-303</v>
      </c>
      <c r="J105" s="20" t="n">
        <v>-1821</v>
      </c>
      <c r="N105" s="20" t="n">
        <v>-2100</v>
      </c>
      <c r="Q105" s="20" t="n">
        <v>-1265</v>
      </c>
      <c r="R105" s="20" t="n">
        <v>-3044</v>
      </c>
      <c r="S105" s="20" t="n">
        <v>194</v>
      </c>
      <c r="T105" s="20" t="n">
        <v>-2560</v>
      </c>
      <c r="U105" s="20" t="n">
        <v>-4600</v>
      </c>
      <c r="V105" s="20" t="n">
        <v>-303</v>
      </c>
      <c r="W105" s="20" t="n">
        <v>-1821</v>
      </c>
      <c r="X105" s="20" t="n">
        <v>-2100</v>
      </c>
    </row>
    <row r="106">
      <c r="A106" s="18" t="inlineStr">
        <is>
          <t>충당금 증감</t>
        </is>
      </c>
      <c r="F106" s="20" t="n">
        <v>2112</v>
      </c>
      <c r="J106" s="20" t="n">
        <v>-749</v>
      </c>
      <c r="N106" s="20" t="n">
        <v>-6747</v>
      </c>
      <c r="Q106" s="20" t="n">
        <v>-2055</v>
      </c>
      <c r="R106" s="20" t="n">
        <v>411</v>
      </c>
      <c r="S106" s="20" t="n">
        <v>-1713</v>
      </c>
      <c r="T106" s="20" t="n">
        <v>3845</v>
      </c>
      <c r="U106" s="20" t="n">
        <v>-4414</v>
      </c>
      <c r="V106" s="20" t="n">
        <v>2112</v>
      </c>
      <c r="W106" s="20" t="n">
        <v>-749</v>
      </c>
      <c r="X106" s="20" t="n">
        <v>-6747</v>
      </c>
    </row>
    <row r="107">
      <c r="A107" s="18" t="inlineStr">
        <is>
          <t>Increase In Other Current Liabilities Ope CF</t>
        </is>
      </c>
      <c r="R107" s="20" t="n">
        <v>-11609</v>
      </c>
      <c r="S107" s="20" t="n">
        <v>3675</v>
      </c>
    </row>
    <row r="108">
      <c r="A108" s="18" t="inlineStr">
        <is>
          <t>기타 유동부채 증감</t>
        </is>
      </c>
      <c r="F108" s="20" t="n">
        <v>-6972</v>
      </c>
      <c r="J108" s="20" t="n">
        <v>-23898</v>
      </c>
      <c r="N108" s="20" t="n">
        <v>21947</v>
      </c>
      <c r="S108" s="20" t="n">
        <v>3675</v>
      </c>
      <c r="T108" s="20" t="n">
        <v>-20225</v>
      </c>
      <c r="U108" s="20" t="n">
        <v>-286</v>
      </c>
      <c r="V108" s="20" t="n">
        <v>-6972</v>
      </c>
      <c r="W108" s="20" t="n">
        <v>-23898</v>
      </c>
      <c r="X108" s="20" t="n">
        <v>21947</v>
      </c>
    </row>
    <row r="109">
      <c r="A109" s="18" t="inlineStr">
        <is>
          <t>기타</t>
        </is>
      </c>
      <c r="Q109" s="20" t="n">
        <v>5433</v>
      </c>
      <c r="R109" s="20" t="n">
        <v>42</v>
      </c>
      <c r="S109" s="20" t="n">
        <v>2931</v>
      </c>
      <c r="T109" s="20" t="n">
        <v>-4466</v>
      </c>
    </row>
    <row r="110">
      <c r="A110" s="18" t="inlineStr">
        <is>
          <t>Increase Decrease In Other Financial Liabilities Ope CF</t>
        </is>
      </c>
      <c r="F110" s="20" t="n">
        <v>-3987</v>
      </c>
      <c r="J110" s="20" t="n">
        <v>-2405</v>
      </c>
      <c r="N110" s="20" t="n">
        <v>501</v>
      </c>
      <c r="T110" s="20" t="n">
        <v>4681</v>
      </c>
      <c r="U110" s="20" t="n">
        <v>-1454</v>
      </c>
      <c r="V110" s="20" t="n">
        <v>-3987</v>
      </c>
      <c r="W110" s="20" t="n">
        <v>-2405</v>
      </c>
      <c r="X110" s="20" t="n">
        <v>501</v>
      </c>
    </row>
    <row r="111">
      <c r="A111" s="18" t="inlineStr">
        <is>
          <t>기타</t>
        </is>
      </c>
      <c r="F111" s="20" t="n">
        <v>-5753</v>
      </c>
      <c r="J111" s="20" t="n">
        <v>-5852</v>
      </c>
      <c r="N111" s="20" t="n">
        <v>669</v>
      </c>
      <c r="Q111" s="20" t="n">
        <v>-3403</v>
      </c>
      <c r="R111" s="20" t="n">
        <v>-962</v>
      </c>
      <c r="S111" s="20" t="n">
        <v>-10035</v>
      </c>
      <c r="T111" s="20" t="n">
        <v>-9327</v>
      </c>
      <c r="U111" s="20" t="n">
        <v>-7826</v>
      </c>
      <c r="V111" s="20" t="n">
        <v>-5753</v>
      </c>
      <c r="W111" s="20" t="n">
        <v>-5852</v>
      </c>
      <c r="X111" s="20" t="n">
        <v>669</v>
      </c>
    </row>
    <row r="112">
      <c r="A112" s="18" t="inlineStr">
        <is>
          <t>소계</t>
        </is>
      </c>
      <c r="F112" s="20" t="n">
        <v>589824</v>
      </c>
      <c r="J112" s="20" t="n">
        <v>411888</v>
      </c>
      <c r="N112" s="20" t="n">
        <v>476305</v>
      </c>
      <c r="Q112" s="20" t="n">
        <v>185778</v>
      </c>
      <c r="R112" s="20" t="n">
        <v>206456</v>
      </c>
      <c r="S112" s="20" t="n">
        <v>233274</v>
      </c>
      <c r="T112" s="20" t="n">
        <v>330310</v>
      </c>
      <c r="U112" s="20" t="n">
        <v>532667</v>
      </c>
      <c r="V112" s="20" t="n">
        <v>589824</v>
      </c>
      <c r="W112" s="20" t="n">
        <v>411888</v>
      </c>
      <c r="X112" s="20" t="n">
        <v>476305</v>
      </c>
    </row>
    <row r="113">
      <c r="A113" s="18" t="inlineStr">
        <is>
          <t>이자 수취</t>
        </is>
      </c>
      <c r="F113" s="20" t="n">
        <v>25286</v>
      </c>
      <c r="J113" s="20" t="n">
        <v>27752</v>
      </c>
      <c r="N113" s="20" t="n">
        <v>10449</v>
      </c>
      <c r="Q113" s="20" t="n">
        <v>1485</v>
      </c>
      <c r="R113" s="20" t="n">
        <v>1326</v>
      </c>
      <c r="S113" s="20" t="n">
        <v>307</v>
      </c>
      <c r="T113" s="20" t="n">
        <v>242</v>
      </c>
      <c r="U113" s="20" t="n">
        <v>491</v>
      </c>
      <c r="V113" s="20" t="n">
        <v>25286</v>
      </c>
      <c r="W113" s="20" t="n">
        <v>27752</v>
      </c>
      <c r="X113" s="20" t="n">
        <v>10449</v>
      </c>
    </row>
    <row r="114">
      <c r="A114" s="18" t="inlineStr">
        <is>
          <t>배당금 수취액</t>
        </is>
      </c>
      <c r="F114" s="20" t="n">
        <v>388</v>
      </c>
      <c r="J114" s="20" t="n">
        <v>866</v>
      </c>
      <c r="N114" s="20" t="n">
        <v>1544</v>
      </c>
      <c r="Q114" s="20" t="n">
        <v>48</v>
      </c>
      <c r="R114" s="20" t="n">
        <v>238</v>
      </c>
      <c r="S114" s="20" t="n">
        <v>240</v>
      </c>
      <c r="T114" s="20" t="n">
        <v>300</v>
      </c>
      <c r="U114" s="20" t="n">
        <v>219</v>
      </c>
      <c r="V114" s="20" t="n">
        <v>388</v>
      </c>
      <c r="W114" s="20" t="n">
        <v>866</v>
      </c>
      <c r="X114" s="20" t="n">
        <v>1544</v>
      </c>
    </row>
    <row r="115">
      <c r="A115" s="18" t="inlineStr">
        <is>
          <t>보험금 수취</t>
        </is>
      </c>
      <c r="F115" s="20" t="n">
        <v>17332</v>
      </c>
      <c r="J115" s="20" t="n">
        <v>587</v>
      </c>
      <c r="N115" s="20" t="n">
        <v>169</v>
      </c>
      <c r="U115" s="20" t="n">
        <v>1467</v>
      </c>
      <c r="V115" s="20" t="n">
        <v>17332</v>
      </c>
      <c r="W115" s="20" t="n">
        <v>587</v>
      </c>
      <c r="X115" s="20" t="n">
        <v>169</v>
      </c>
    </row>
    <row r="116">
      <c r="A116" s="18" t="inlineStr">
        <is>
          <t>법인소득세 지급액</t>
        </is>
      </c>
      <c r="F116" s="20" t="n">
        <v>-136203</v>
      </c>
      <c r="J116" s="20" t="n">
        <v>-108506</v>
      </c>
      <c r="N116" s="20" t="n">
        <v>-35610</v>
      </c>
      <c r="Q116" s="20" t="n">
        <v>-15003</v>
      </c>
      <c r="R116" s="20" t="n">
        <v>-6060</v>
      </c>
      <c r="S116" s="20" t="n">
        <v>-9932</v>
      </c>
      <c r="T116" s="20" t="n">
        <v>-23468</v>
      </c>
      <c r="U116" s="20" t="n">
        <v>-55519</v>
      </c>
      <c r="V116" s="20" t="n">
        <v>-136203</v>
      </c>
      <c r="W116" s="20" t="n">
        <v>-108506</v>
      </c>
      <c r="X116" s="20" t="n">
        <v>-35610</v>
      </c>
    </row>
    <row r="117">
      <c r="A117" s="18" t="inlineStr">
        <is>
          <t>Income Taxes Refund Ope CF</t>
        </is>
      </c>
      <c r="F117" s="20" t="n">
        <v>0</v>
      </c>
      <c r="J117" s="20" t="n">
        <v>7897</v>
      </c>
      <c r="N117" s="20" t="n">
        <v>0</v>
      </c>
      <c r="V117" s="20" t="n">
        <v>0</v>
      </c>
      <c r="W117" s="20" t="n">
        <v>7897</v>
      </c>
      <c r="X117" s="20" t="n">
        <v>0</v>
      </c>
    </row>
    <row r="118">
      <c r="A118" s="9" t="inlineStr">
        <is>
          <t>영업활동 현금흐름</t>
        </is>
      </c>
      <c r="F118" s="12" t="n">
        <v>496627</v>
      </c>
      <c r="J118" s="12" t="n">
        <v>340484</v>
      </c>
      <c r="N118" s="12" t="n">
        <v>452857</v>
      </c>
      <c r="Q118" s="12" t="n">
        <v>172308</v>
      </c>
      <c r="R118" s="12" t="n">
        <v>201960</v>
      </c>
      <c r="S118" s="12" t="n">
        <v>223889</v>
      </c>
      <c r="T118" s="12" t="n">
        <v>307384</v>
      </c>
      <c r="U118" s="12" t="n">
        <v>479325</v>
      </c>
      <c r="V118" s="12" t="n">
        <v>496627</v>
      </c>
      <c r="W118" s="12" t="n">
        <v>340484</v>
      </c>
      <c r="X118" s="12" t="n">
        <v>452857</v>
      </c>
    </row>
    <row r="119">
      <c r="A119" s="18" t="inlineStr">
        <is>
          <t>유형자산 취득(설비투자)</t>
        </is>
      </c>
      <c r="F119" s="20" t="n">
        <v>-88223</v>
      </c>
      <c r="J119" s="20" t="n">
        <v>-129889</v>
      </c>
      <c r="N119" s="20" t="n">
        <v>-89151</v>
      </c>
      <c r="Q119" s="20" t="n">
        <v>-64513</v>
      </c>
      <c r="R119" s="20" t="n">
        <v>-38284</v>
      </c>
      <c r="S119" s="20" t="n">
        <v>-22261</v>
      </c>
      <c r="T119" s="20" t="n">
        <v>-36938</v>
      </c>
      <c r="U119" s="20" t="n">
        <v>-66135</v>
      </c>
      <c r="V119" s="20" t="n">
        <v>-88223</v>
      </c>
      <c r="W119" s="20" t="n">
        <v>-129889</v>
      </c>
      <c r="X119" s="20" t="n">
        <v>-89151</v>
      </c>
    </row>
    <row r="120">
      <c r="A120" s="18" t="inlineStr">
        <is>
          <t>유형자산 매각</t>
        </is>
      </c>
      <c r="F120" s="20" t="n">
        <v>1783</v>
      </c>
      <c r="J120" s="20" t="n">
        <v>878</v>
      </c>
      <c r="N120" s="20" t="n">
        <v>5238</v>
      </c>
      <c r="Q120" s="20" t="n">
        <v>2248</v>
      </c>
      <c r="R120" s="20" t="n">
        <v>755</v>
      </c>
      <c r="S120" s="20" t="n">
        <v>960</v>
      </c>
      <c r="T120" s="20" t="n">
        <v>8408</v>
      </c>
      <c r="U120" s="20" t="n">
        <v>10627</v>
      </c>
      <c r="V120" s="20" t="n">
        <v>1783</v>
      </c>
      <c r="W120" s="20" t="n">
        <v>878</v>
      </c>
      <c r="X120" s="20" t="n">
        <v>5238</v>
      </c>
    </row>
    <row r="121">
      <c r="A121" s="18" t="inlineStr">
        <is>
          <t>무형자산 취득 지출</t>
        </is>
      </c>
      <c r="F121" s="20" t="n">
        <v>-40904</v>
      </c>
      <c r="J121" s="20" t="n">
        <v>-39946</v>
      </c>
      <c r="N121" s="20" t="n">
        <v>-44619</v>
      </c>
      <c r="Q121" s="20" t="n">
        <v>-22361</v>
      </c>
      <c r="R121" s="20" t="n">
        <v>-18084</v>
      </c>
      <c r="S121" s="20" t="n">
        <v>-15925</v>
      </c>
      <c r="T121" s="20" t="n">
        <v>-15408</v>
      </c>
      <c r="U121" s="20" t="n">
        <v>-22064</v>
      </c>
      <c r="V121" s="20" t="n">
        <v>-40904</v>
      </c>
      <c r="W121" s="20" t="n">
        <v>-39946</v>
      </c>
      <c r="X121" s="20" t="n">
        <v>-44619</v>
      </c>
    </row>
    <row r="122">
      <c r="A122" s="18" t="inlineStr">
        <is>
          <t>Purchase Of Other Financial Assets Inv CF</t>
        </is>
      </c>
      <c r="F122" s="20" t="n">
        <v>-5548</v>
      </c>
      <c r="J122" s="20" t="n">
        <v>-3964</v>
      </c>
      <c r="N122" s="20" t="n">
        <v>-5219</v>
      </c>
      <c r="Q122" s="20" t="n">
        <v>-766</v>
      </c>
      <c r="R122" s="20" t="n">
        <v>-545</v>
      </c>
      <c r="S122" s="20" t="n">
        <v>-568</v>
      </c>
      <c r="T122" s="20" t="n">
        <v>-1416</v>
      </c>
      <c r="U122" s="20" t="n">
        <v>-5602</v>
      </c>
      <c r="V122" s="20" t="n">
        <v>-5548</v>
      </c>
      <c r="W122" s="20" t="n">
        <v>-3964</v>
      </c>
      <c r="X122" s="20" t="n">
        <v>-5219</v>
      </c>
    </row>
    <row r="123">
      <c r="A123" s="18" t="inlineStr">
        <is>
          <t>Proceeds From Sale Of Other Financial Assets Inv CF</t>
        </is>
      </c>
      <c r="F123" s="20" t="n">
        <v>676</v>
      </c>
      <c r="J123" s="20" t="n">
        <v>2422</v>
      </c>
      <c r="N123" s="20" t="n">
        <v>4449</v>
      </c>
      <c r="Q123" s="20" t="n">
        <v>3175</v>
      </c>
      <c r="R123" s="20" t="n">
        <v>1431</v>
      </c>
      <c r="S123" s="20" t="n">
        <v>430</v>
      </c>
      <c r="T123" s="20" t="n">
        <v>579</v>
      </c>
      <c r="U123" s="20" t="n">
        <v>1268</v>
      </c>
      <c r="V123" s="20" t="n">
        <v>676</v>
      </c>
      <c r="W123" s="20" t="n">
        <v>2422</v>
      </c>
      <c r="X123" s="20" t="n">
        <v>4449</v>
      </c>
    </row>
    <row r="124">
      <c r="A124" s="18" t="inlineStr">
        <is>
          <t>자회사 주식 취득</t>
        </is>
      </c>
      <c r="R124" s="20" t="n">
        <v>-685831</v>
      </c>
      <c r="S124" s="20" t="n">
        <v>0</v>
      </c>
    </row>
    <row r="125">
      <c r="A125" s="18" t="inlineStr">
        <is>
          <t>자회사 취득 지출</t>
        </is>
      </c>
      <c r="F125" s="20" t="n">
        <v>-9738</v>
      </c>
      <c r="J125" s="20" t="n">
        <v>-962825</v>
      </c>
      <c r="N125" s="20" t="n">
        <v>-6663</v>
      </c>
      <c r="Q125" s="20" t="n">
        <v>0</v>
      </c>
      <c r="R125" s="20" t="n">
        <v>-685831</v>
      </c>
      <c r="S125" s="20" t="n">
        <v>0</v>
      </c>
      <c r="T125" s="20" t="n">
        <v>-614816</v>
      </c>
      <c r="U125" s="20" t="n">
        <v>-6748</v>
      </c>
      <c r="V125" s="20" t="n">
        <v>-9738</v>
      </c>
      <c r="W125" s="20" t="n">
        <v>-962825</v>
      </c>
      <c r="X125" s="20" t="n">
        <v>-6663</v>
      </c>
    </row>
    <row r="126">
      <c r="A126" s="18" t="inlineStr">
        <is>
          <t>Proceeds From Sale Of Investments Accounted For Using Equity Method Inv CF</t>
        </is>
      </c>
      <c r="Q126" s="20" t="n">
        <v>1378</v>
      </c>
      <c r="R126" s="20" t="n">
        <v>0</v>
      </c>
    </row>
    <row r="127">
      <c r="A127" s="18" t="inlineStr">
        <is>
          <t>Purchase Of Subsidiary Shares At Conditional Acquisition Price Inv CF</t>
        </is>
      </c>
      <c r="F127" s="20" t="n">
        <v>-210</v>
      </c>
      <c r="J127" s="20" t="n">
        <v>0</v>
      </c>
      <c r="T127" s="20" t="n">
        <v>0</v>
      </c>
      <c r="U127" s="20" t="n">
        <v>-2103</v>
      </c>
      <c r="V127" s="20" t="n">
        <v>-210</v>
      </c>
      <c r="W127" s="20" t="n">
        <v>0</v>
      </c>
    </row>
    <row r="128">
      <c r="A128" s="18" t="inlineStr">
        <is>
          <t>관계회사 주식 취득</t>
        </is>
      </c>
      <c r="F128" s="20" t="n">
        <v>0</v>
      </c>
      <c r="J128" s="20" t="n">
        <v>-284</v>
      </c>
      <c r="N128" s="20" t="n">
        <v>-975</v>
      </c>
      <c r="V128" s="20" t="n">
        <v>0</v>
      </c>
      <c r="W128" s="20" t="n">
        <v>-284</v>
      </c>
      <c r="X128" s="20" t="n">
        <v>-975</v>
      </c>
    </row>
    <row r="129">
      <c r="A129" s="18" t="inlineStr">
        <is>
          <t>보험금 수취</t>
        </is>
      </c>
      <c r="F129" s="20" t="n">
        <v>13333</v>
      </c>
      <c r="J129" s="20" t="n">
        <v>0</v>
      </c>
      <c r="U129" s="20" t="n">
        <v>0</v>
      </c>
      <c r="V129" s="20" t="n">
        <v>13333</v>
      </c>
      <c r="W129" s="20" t="n">
        <v>0</v>
      </c>
    </row>
    <row r="130">
      <c r="A130" s="18" t="inlineStr">
        <is>
          <t>보조금 수입</t>
        </is>
      </c>
      <c r="F130" s="20" t="n">
        <v>5493</v>
      </c>
      <c r="U130" s="20" t="n">
        <v>0</v>
      </c>
      <c r="V130" s="20" t="n">
        <v>5493</v>
      </c>
    </row>
    <row r="131">
      <c r="A131" s="18" t="inlineStr">
        <is>
          <t>보조금 수취</t>
        </is>
      </c>
      <c r="F131" s="20" t="n">
        <v>5493</v>
      </c>
      <c r="J131" s="20" t="n">
        <v>9791</v>
      </c>
      <c r="N131" s="20" t="n">
        <v>4143</v>
      </c>
      <c r="V131" s="20" t="n">
        <v>5493</v>
      </c>
      <c r="W131" s="20" t="n">
        <v>9791</v>
      </c>
      <c r="X131" s="20" t="n">
        <v>4143</v>
      </c>
    </row>
    <row r="132">
      <c r="A132" s="18" t="inlineStr">
        <is>
          <t>장기대여</t>
        </is>
      </c>
      <c r="F132" s="20" t="n">
        <v>-144150</v>
      </c>
      <c r="J132" s="20" t="n">
        <v>-155220</v>
      </c>
      <c r="N132" s="20" t="n">
        <v>0</v>
      </c>
      <c r="U132" s="20" t="n">
        <v>0</v>
      </c>
      <c r="V132" s="20" t="n">
        <v>-144150</v>
      </c>
      <c r="W132" s="20" t="n">
        <v>-155220</v>
      </c>
      <c r="X132" s="20" t="n">
        <v>0</v>
      </c>
    </row>
    <row r="133">
      <c r="A133" s="18" t="inlineStr">
        <is>
          <t>사업양도 수입</t>
        </is>
      </c>
      <c r="J133" s="20" t="n">
        <v>0</v>
      </c>
      <c r="N133" s="20" t="n">
        <v>4728</v>
      </c>
      <c r="W133" s="20" t="n">
        <v>0</v>
      </c>
      <c r="X133" s="20" t="n">
        <v>4728</v>
      </c>
    </row>
    <row r="134">
      <c r="A134" s="18" t="inlineStr">
        <is>
          <t>기타</t>
        </is>
      </c>
      <c r="F134" s="20" t="n">
        <v>-4</v>
      </c>
      <c r="J134" s="20" t="n">
        <v>-5068</v>
      </c>
      <c r="N134" s="20" t="n">
        <v>3383</v>
      </c>
      <c r="Q134" s="20" t="n">
        <v>-33</v>
      </c>
      <c r="R134" s="20" t="n">
        <v>-1604</v>
      </c>
      <c r="S134" s="20" t="n">
        <v>-2799</v>
      </c>
      <c r="T134" s="20" t="n">
        <v>-3535</v>
      </c>
      <c r="U134" s="20" t="n">
        <v>-6766</v>
      </c>
      <c r="V134" s="20" t="n">
        <v>-4</v>
      </c>
      <c r="W134" s="20" t="n">
        <v>-5068</v>
      </c>
      <c r="X134" s="20" t="n">
        <v>3383</v>
      </c>
    </row>
    <row r="135">
      <c r="A135" s="9" t="inlineStr">
        <is>
          <t>투자활동 현금흐름</t>
        </is>
      </c>
      <c r="F135" s="12" t="n">
        <v>-267492</v>
      </c>
      <c r="J135" s="12" t="n">
        <v>-1284105</v>
      </c>
      <c r="N135" s="12" t="n">
        <v>-124686</v>
      </c>
      <c r="Q135" s="12" t="n">
        <v>-80872</v>
      </c>
      <c r="R135" s="12" t="n">
        <v>-742162</v>
      </c>
      <c r="S135" s="12" t="n">
        <v>-40163</v>
      </c>
      <c r="T135" s="12" t="n">
        <v>-663126</v>
      </c>
      <c r="U135" s="12" t="n">
        <v>-97523</v>
      </c>
      <c r="V135" s="12" t="n">
        <v>-267492</v>
      </c>
      <c r="W135" s="12" t="n">
        <v>-1284105</v>
      </c>
      <c r="X135" s="12" t="n">
        <v>-124686</v>
      </c>
    </row>
    <row r="136">
      <c r="A136" s="18" t="inlineStr">
        <is>
          <t>단기차입금 순증감액</t>
        </is>
      </c>
      <c r="Q136" s="20" t="n">
        <v>10000</v>
      </c>
      <c r="R136" s="20" t="n">
        <v>-45000</v>
      </c>
      <c r="S136" s="20" t="n">
        <v>0</v>
      </c>
    </row>
    <row r="137">
      <c r="A137" s="18" t="inlineStr">
        <is>
          <t>단기차입</t>
        </is>
      </c>
      <c r="F137" s="20" t="n">
        <v>0</v>
      </c>
      <c r="J137" s="20" t="n">
        <v>180000</v>
      </c>
      <c r="N137" s="20" t="n">
        <v>38000</v>
      </c>
      <c r="S137" s="20" t="n">
        <v>0</v>
      </c>
      <c r="T137" s="20" t="n">
        <v>270000</v>
      </c>
      <c r="U137" s="20" t="n">
        <v>50000</v>
      </c>
      <c r="V137" s="20" t="n">
        <v>0</v>
      </c>
      <c r="W137" s="20" t="n">
        <v>180000</v>
      </c>
      <c r="X137" s="20" t="n">
        <v>38000</v>
      </c>
    </row>
    <row r="138">
      <c r="A138" s="18" t="inlineStr">
        <is>
          <t>단기차입금 상환</t>
        </is>
      </c>
      <c r="F138" s="20" t="n">
        <v>0</v>
      </c>
      <c r="J138" s="20" t="n">
        <v>-180316</v>
      </c>
      <c r="N138" s="20" t="n">
        <v>-38000</v>
      </c>
      <c r="S138" s="20" t="n">
        <v>0</v>
      </c>
      <c r="T138" s="20" t="n">
        <v>-270000</v>
      </c>
      <c r="U138" s="20" t="n">
        <v>-51180</v>
      </c>
      <c r="V138" s="20" t="n">
        <v>0</v>
      </c>
      <c r="W138" s="20" t="n">
        <v>-180316</v>
      </c>
      <c r="X138" s="20" t="n">
        <v>-38000</v>
      </c>
    </row>
    <row r="139">
      <c r="A139" s="18" t="inlineStr">
        <is>
          <t>장기차입</t>
        </is>
      </c>
      <c r="F139" s="20" t="n">
        <v>0</v>
      </c>
      <c r="J139" s="20" t="n">
        <v>1187000</v>
      </c>
      <c r="N139" s="20" t="n">
        <v>0</v>
      </c>
      <c r="Q139" s="20" t="n">
        <v>0</v>
      </c>
      <c r="R139" s="20" t="n">
        <v>847000</v>
      </c>
      <c r="S139" s="20" t="n">
        <v>0</v>
      </c>
      <c r="T139" s="20" t="n">
        <v>240000</v>
      </c>
      <c r="U139" s="20" t="n">
        <v>47096</v>
      </c>
      <c r="V139" s="20" t="n">
        <v>0</v>
      </c>
      <c r="W139" s="20" t="n">
        <v>1187000</v>
      </c>
      <c r="X139" s="20" t="n">
        <v>0</v>
      </c>
    </row>
    <row r="140">
      <c r="A140" s="18" t="inlineStr">
        <is>
          <t>장기차입금 상환</t>
        </is>
      </c>
      <c r="F140" s="20" t="n">
        <v>-120015</v>
      </c>
      <c r="J140" s="20" t="n">
        <v>-377529</v>
      </c>
      <c r="N140" s="20" t="n">
        <v>-192738</v>
      </c>
      <c r="Q140" s="20" t="n">
        <v>-46529</v>
      </c>
      <c r="R140" s="20" t="n">
        <v>-217645</v>
      </c>
      <c r="S140" s="20" t="n">
        <v>-93295</v>
      </c>
      <c r="T140" s="20" t="n">
        <v>-262777</v>
      </c>
      <c r="U140" s="20" t="n">
        <v>-128767</v>
      </c>
      <c r="V140" s="20" t="n">
        <v>-120015</v>
      </c>
      <c r="W140" s="20" t="n">
        <v>-377529</v>
      </c>
      <c r="X140" s="20" t="n">
        <v>-192738</v>
      </c>
    </row>
    <row r="141">
      <c r="A141" s="18" t="inlineStr">
        <is>
          <t>사채 발행</t>
        </is>
      </c>
      <c r="S141" s="20" t="n">
        <v>0</v>
      </c>
      <c r="T141" s="20" t="n">
        <v>154359</v>
      </c>
      <c r="U141" s="20" t="n">
        <v>0</v>
      </c>
    </row>
    <row r="142">
      <c r="A142" s="18" t="inlineStr">
        <is>
          <t>주식 발행</t>
        </is>
      </c>
      <c r="S142" s="20" t="n">
        <v>0</v>
      </c>
      <c r="T142" s="20" t="n">
        <v>223799</v>
      </c>
      <c r="U142" s="20" t="n">
        <v>0</v>
      </c>
    </row>
    <row r="143">
      <c r="A143" s="18" t="inlineStr">
        <is>
          <t>Payments Of Common Shares Issuance Costs Fin CF</t>
        </is>
      </c>
      <c r="S143" s="20" t="n">
        <v>0</v>
      </c>
      <c r="T143" s="20" t="n">
        <v>-1179</v>
      </c>
      <c r="U143" s="20" t="n">
        <v>0</v>
      </c>
    </row>
    <row r="144">
      <c r="A144" s="18" t="inlineStr">
        <is>
          <t>사채 상환</t>
        </is>
      </c>
      <c r="F144" s="20" t="n">
        <v>0</v>
      </c>
      <c r="J144" s="20" t="n">
        <v>-57170</v>
      </c>
      <c r="N144" s="20" t="n">
        <v>0</v>
      </c>
      <c r="V144" s="20" t="n">
        <v>0</v>
      </c>
      <c r="W144" s="20" t="n">
        <v>-57170</v>
      </c>
      <c r="X144" s="20" t="n">
        <v>0</v>
      </c>
    </row>
    <row r="145">
      <c r="A145" s="18" t="inlineStr">
        <is>
          <t>자기주식 취득</t>
        </is>
      </c>
      <c r="F145" s="20" t="n">
        <v>-50000</v>
      </c>
      <c r="J145" s="20" t="n">
        <v>0</v>
      </c>
      <c r="T145" s="20" t="n">
        <v>0</v>
      </c>
      <c r="U145" s="20" t="n">
        <v>-200000</v>
      </c>
      <c r="V145" s="20" t="n">
        <v>-50000</v>
      </c>
      <c r="W145" s="20" t="n">
        <v>0</v>
      </c>
    </row>
    <row r="146">
      <c r="A146" s="18" t="inlineStr">
        <is>
          <t>배당금 지급</t>
        </is>
      </c>
      <c r="F146" s="20" t="n">
        <v>0</v>
      </c>
      <c r="J146" s="20" t="n">
        <v>-49702</v>
      </c>
      <c r="N146" s="20" t="n">
        <v>-50311</v>
      </c>
      <c r="V146" s="20" t="n">
        <v>0</v>
      </c>
      <c r="W146" s="20" t="n">
        <v>-49702</v>
      </c>
      <c r="X146" s="20" t="n">
        <v>-50311</v>
      </c>
    </row>
    <row r="147">
      <c r="A147" s="18" t="inlineStr">
        <is>
          <t>리스부채 상환 지출</t>
        </is>
      </c>
      <c r="F147" s="20" t="n">
        <v>-5796</v>
      </c>
      <c r="J147" s="20" t="n">
        <v>-9931</v>
      </c>
      <c r="N147" s="20" t="n">
        <v>-10784</v>
      </c>
      <c r="Q147" s="20" t="n">
        <v>-916</v>
      </c>
      <c r="R147" s="20" t="n">
        <v>-5726</v>
      </c>
      <c r="S147" s="20" t="n">
        <v>-4840</v>
      </c>
      <c r="T147" s="20" t="n">
        <v>-4571</v>
      </c>
      <c r="U147" s="20" t="n">
        <v>-5901</v>
      </c>
      <c r="V147" s="20" t="n">
        <v>-5796</v>
      </c>
      <c r="W147" s="20" t="n">
        <v>-9931</v>
      </c>
      <c r="X147" s="20" t="n">
        <v>-10784</v>
      </c>
    </row>
    <row r="148">
      <c r="A148" s="18" t="inlineStr">
        <is>
          <t>이자 지급</t>
        </is>
      </c>
      <c r="F148" s="20" t="n">
        <v>-5424</v>
      </c>
      <c r="J148" s="20" t="n">
        <v>-15001</v>
      </c>
      <c r="N148" s="20" t="n">
        <v>-15834</v>
      </c>
      <c r="Q148" s="20" t="n">
        <v>-1806</v>
      </c>
      <c r="R148" s="20" t="n">
        <v>-12796</v>
      </c>
      <c r="S148" s="20" t="n">
        <v>-6264</v>
      </c>
      <c r="T148" s="20" t="n">
        <v>-8682</v>
      </c>
      <c r="U148" s="20" t="n">
        <v>-5947</v>
      </c>
      <c r="V148" s="20" t="n">
        <v>-5424</v>
      </c>
      <c r="W148" s="20" t="n">
        <v>-15001</v>
      </c>
      <c r="X148" s="20" t="n">
        <v>-15834</v>
      </c>
    </row>
    <row r="149">
      <c r="A149" s="18" t="inlineStr">
        <is>
          <t>Payments For Retirement By Purchase Of Convertible Bonds Fin CF</t>
        </is>
      </c>
      <c r="Q149" s="20" t="n">
        <v>0</v>
      </c>
      <c r="R149" s="20" t="n">
        <v>-65409</v>
      </c>
    </row>
    <row r="150">
      <c r="A150" s="18" t="inlineStr">
        <is>
          <t>Payments For Retirement By Purchase Of Bonds Fin CF</t>
        </is>
      </c>
      <c r="R150" s="20" t="n">
        <v>-65409</v>
      </c>
      <c r="S150" s="20" t="n">
        <v>0</v>
      </c>
    </row>
    <row r="151">
      <c r="A151" s="18" t="inlineStr">
        <is>
          <t>기타</t>
        </is>
      </c>
      <c r="F151" s="20" t="n">
        <v>-12</v>
      </c>
      <c r="J151" s="20" t="n">
        <v>-6</v>
      </c>
      <c r="N151" s="20" t="n">
        <v>-6</v>
      </c>
      <c r="Q151" s="20" t="n">
        <v>0</v>
      </c>
      <c r="R151" s="20" t="n">
        <v>42</v>
      </c>
      <c r="S151" s="20" t="n">
        <v>-71</v>
      </c>
      <c r="T151" s="20" t="n">
        <v>-34</v>
      </c>
      <c r="U151" s="20" t="n">
        <v>-71</v>
      </c>
      <c r="V151" s="20" t="n">
        <v>-12</v>
      </c>
      <c r="W151" s="20" t="n">
        <v>-6</v>
      </c>
      <c r="X151" s="20" t="n">
        <v>-6</v>
      </c>
    </row>
    <row r="152">
      <c r="A152" s="9" t="inlineStr">
        <is>
          <t>재무활동 현금흐름</t>
        </is>
      </c>
      <c r="F152" s="12" t="n">
        <v>-181247</v>
      </c>
      <c r="J152" s="12" t="n">
        <v>677345</v>
      </c>
      <c r="N152" s="12" t="n">
        <v>-269673</v>
      </c>
      <c r="Q152" s="12" t="n">
        <v>-39251</v>
      </c>
      <c r="R152" s="12" t="n">
        <v>500466</v>
      </c>
      <c r="S152" s="12" t="n">
        <v>-104470</v>
      </c>
      <c r="T152" s="12" t="n">
        <v>340915</v>
      </c>
      <c r="U152" s="12" t="n">
        <v>-294770</v>
      </c>
      <c r="V152" s="12" t="n">
        <v>-181247</v>
      </c>
      <c r="W152" s="12" t="n">
        <v>677345</v>
      </c>
      <c r="X152" s="12" t="n">
        <v>-269673</v>
      </c>
    </row>
    <row r="153">
      <c r="A153" s="18" t="inlineStr">
        <is>
          <t>현금성자산 환산차이</t>
        </is>
      </c>
      <c r="F153" s="20" t="n">
        <v>50725</v>
      </c>
      <c r="J153" s="20" t="n">
        <v>60844</v>
      </c>
      <c r="N153" s="20" t="n">
        <v>8150</v>
      </c>
      <c r="Q153" s="20" t="n">
        <v>-2910</v>
      </c>
      <c r="R153" s="20" t="n">
        <v>-2616</v>
      </c>
      <c r="S153" s="20" t="n">
        <v>-5938</v>
      </c>
      <c r="T153" s="20" t="n">
        <v>16965</v>
      </c>
      <c r="U153" s="20" t="n">
        <v>27112</v>
      </c>
      <c r="V153" s="20" t="n">
        <v>50725</v>
      </c>
      <c r="W153" s="20" t="n">
        <v>60844</v>
      </c>
      <c r="X153" s="20" t="n">
        <v>8150</v>
      </c>
    </row>
    <row r="154">
      <c r="A154" s="18" t="inlineStr">
        <is>
          <t>현금성자산 증감</t>
        </is>
      </c>
      <c r="F154" s="20" t="n">
        <v>98613</v>
      </c>
      <c r="J154" s="20" t="n">
        <v>-205432</v>
      </c>
      <c r="N154" s="20" t="n">
        <v>66648</v>
      </c>
      <c r="Q154" s="20" t="n">
        <v>49275</v>
      </c>
      <c r="R154" s="20" t="n">
        <v>-42352</v>
      </c>
      <c r="S154" s="20" t="n">
        <v>73318</v>
      </c>
      <c r="T154" s="20" t="n">
        <v>2138</v>
      </c>
      <c r="U154" s="20" t="n">
        <v>114144</v>
      </c>
      <c r="V154" s="20" t="n">
        <v>98613</v>
      </c>
      <c r="W154" s="20" t="n">
        <v>-205432</v>
      </c>
      <c r="X154" s="20" t="n">
        <v>66648</v>
      </c>
    </row>
    <row r="155">
      <c r="A155" s="9" t="inlineStr">
        <is>
          <t>법인세차감전 순이익</t>
        </is>
      </c>
      <c r="P155" s="12" t="n">
        <v>84792</v>
      </c>
      <c r="Q155" s="12" t="n">
        <v>55646</v>
      </c>
    </row>
    <row r="156">
      <c r="A156" s="18" t="inlineStr">
        <is>
          <t>감가상각비</t>
        </is>
      </c>
      <c r="P156" s="20" t="n">
        <v>76495</v>
      </c>
      <c r="Q156" s="20" t="n">
        <v>90853</v>
      </c>
    </row>
    <row r="157">
      <c r="A157" s="18" t="inlineStr">
        <is>
          <t>장기선급비용 상각액</t>
        </is>
      </c>
      <c r="P157" s="20" t="n">
        <v>14807</v>
      </c>
      <c r="Q157" s="20" t="n">
        <v>16230</v>
      </c>
    </row>
    <row r="158">
      <c r="A158" s="18" t="inlineStr">
        <is>
          <t>손상차손</t>
        </is>
      </c>
      <c r="P158" s="20" t="n">
        <v>1218</v>
      </c>
      <c r="Q158" s="20" t="n">
        <v>1526</v>
      </c>
    </row>
    <row r="159">
      <c r="A159" s="18" t="inlineStr">
        <is>
          <t>영업권 상각</t>
        </is>
      </c>
      <c r="P159" s="20" t="n">
        <v>17445</v>
      </c>
      <c r="Q159" s="20" t="n">
        <v>20679</v>
      </c>
    </row>
    <row r="160">
      <c r="A160" s="18" t="inlineStr">
        <is>
          <t>퇴직급여부채 증감</t>
        </is>
      </c>
      <c r="P160" s="20" t="n">
        <v>-8442</v>
      </c>
      <c r="Q160" s="20" t="n">
        <v>-10394</v>
      </c>
    </row>
    <row r="161">
      <c r="A161" s="18" t="inlineStr">
        <is>
          <t>사업구조개선 충당금 증감액</t>
        </is>
      </c>
      <c r="P161" s="20" t="n">
        <v>559</v>
      </c>
      <c r="Q161" s="20" t="n">
        <v>-1018</v>
      </c>
    </row>
    <row r="162">
      <c r="A162" s="18" t="inlineStr">
        <is>
          <t>Increase Decrease In Provision For Contingent Loss Ope CF</t>
        </is>
      </c>
      <c r="P162" s="20" t="n">
        <v>49</v>
      </c>
      <c r="Q162" s="20" t="n">
        <v>-3022</v>
      </c>
    </row>
    <row r="163">
      <c r="A163" s="18" t="inlineStr">
        <is>
          <t>이자·배당금 수익</t>
        </is>
      </c>
      <c r="P163" s="20" t="n">
        <v>-624</v>
      </c>
      <c r="Q163" s="20" t="n">
        <v>-1482</v>
      </c>
    </row>
    <row r="164">
      <c r="A164" s="18" t="inlineStr">
        <is>
          <t>보험금 수익</t>
        </is>
      </c>
      <c r="P164" s="20" t="n">
        <v>-10528</v>
      </c>
      <c r="Q164" s="20" t="n">
        <v>-449</v>
      </c>
    </row>
    <row r="165">
      <c r="A165" s="18" t="inlineStr">
        <is>
          <t>이자비용</t>
        </is>
      </c>
      <c r="P165" s="20" t="n">
        <v>1981</v>
      </c>
      <c r="Q165" s="20" t="n">
        <v>1782</v>
      </c>
    </row>
    <row r="166">
      <c r="A166" s="18" t="inlineStr">
        <is>
          <t>지분법손익</t>
        </is>
      </c>
      <c r="P166" s="20" t="n">
        <v>-114</v>
      </c>
      <c r="Q166" s="20" t="n">
        <v>-37</v>
      </c>
    </row>
    <row r="167">
      <c r="A167" s="18" t="inlineStr">
        <is>
          <t>고정자산 매각손익</t>
        </is>
      </c>
      <c r="P167" s="20" t="n">
        <v>-485</v>
      </c>
      <c r="Q167" s="20" t="n">
        <v>-1025</v>
      </c>
    </row>
    <row r="168">
      <c r="A168" s="18" t="inlineStr">
        <is>
          <t>사업구조개선비용</t>
        </is>
      </c>
      <c r="P168" s="20" t="n">
        <v>1769</v>
      </c>
      <c r="Q168" s="20" t="n">
        <v>2366</v>
      </c>
    </row>
    <row r="169">
      <c r="A169" s="18" t="inlineStr">
        <is>
          <t>사업양도 손익</t>
        </is>
      </c>
      <c r="P169" s="20" t="n">
        <v>-3847</v>
      </c>
      <c r="Q169" s="20" t="n">
        <v>0</v>
      </c>
    </row>
    <row r="170">
      <c r="A170" s="18" t="inlineStr">
        <is>
          <t>보상비 지급</t>
        </is>
      </c>
      <c r="P170" s="20" t="n">
        <v>0</v>
      </c>
      <c r="Q170" s="20" t="n">
        <v>7652</v>
      </c>
    </row>
    <row r="171">
      <c r="A171" s="18" t="inlineStr">
        <is>
          <t>매출채권 증감</t>
        </is>
      </c>
      <c r="P171" s="20" t="n">
        <v>-9839</v>
      </c>
      <c r="Q171" s="20" t="n">
        <v>20317</v>
      </c>
    </row>
    <row r="172">
      <c r="A172" s="18" t="inlineStr">
        <is>
          <t>재고자산 증감</t>
        </is>
      </c>
      <c r="P172" s="20" t="n">
        <v>-10528</v>
      </c>
      <c r="Q172" s="20" t="n">
        <v>7238</v>
      </c>
    </row>
    <row r="173">
      <c r="A173" s="18" t="inlineStr">
        <is>
          <t>미수금 증감</t>
        </is>
      </c>
      <c r="P173" s="20" t="n">
        <v>-750</v>
      </c>
      <c r="Q173" s="20" t="n">
        <v>6220</v>
      </c>
    </row>
    <row r="174">
      <c r="A174" s="18" t="inlineStr">
        <is>
          <t>매입채무 증감</t>
        </is>
      </c>
      <c r="P174" s="20" t="n">
        <v>8903</v>
      </c>
      <c r="Q174" s="20" t="n">
        <v>-25236</v>
      </c>
    </row>
    <row r="175">
      <c r="A175" s="18" t="inlineStr">
        <is>
          <t>미지급금·미지급비용 증감</t>
        </is>
      </c>
      <c r="P175" s="20" t="n">
        <v>-10745</v>
      </c>
      <c r="Q175" s="20" t="n">
        <v>-1223</v>
      </c>
    </row>
    <row r="176">
      <c r="A176" s="18" t="inlineStr">
        <is>
          <t>기타 유동부채 증감</t>
        </is>
      </c>
      <c r="P176" s="20" t="n">
        <v>3270</v>
      </c>
      <c r="Q176" s="20" t="n">
        <v>-6134</v>
      </c>
    </row>
    <row r="177">
      <c r="A177" s="18" t="inlineStr">
        <is>
          <t>기타</t>
        </is>
      </c>
      <c r="P177" s="20" t="n">
        <v>4405</v>
      </c>
      <c r="Q177" s="20" t="n">
        <v>5963</v>
      </c>
    </row>
    <row r="178">
      <c r="A178" s="18" t="inlineStr">
        <is>
          <t>소계</t>
        </is>
      </c>
      <c r="P178" s="20" t="n">
        <v>159791</v>
      </c>
      <c r="Q178" s="20" t="n">
        <v>186452</v>
      </c>
    </row>
    <row r="179">
      <c r="A179" s="18" t="inlineStr">
        <is>
          <t>이자·배당금 수취</t>
        </is>
      </c>
      <c r="P179" s="20" t="n">
        <v>676</v>
      </c>
      <c r="Q179" s="20" t="n">
        <v>1533</v>
      </c>
    </row>
    <row r="180">
      <c r="A180" s="18" t="inlineStr">
        <is>
          <t>보험금 수취</t>
        </is>
      </c>
      <c r="P180" s="20" t="n">
        <v>11528</v>
      </c>
      <c r="Q180" s="20" t="n">
        <v>449</v>
      </c>
    </row>
    <row r="181">
      <c r="A181" s="18" t="inlineStr">
        <is>
          <t>이자 지급</t>
        </is>
      </c>
      <c r="P181" s="20" t="n">
        <v>-1919</v>
      </c>
      <c r="Q181" s="20" t="n">
        <v>-1775</v>
      </c>
    </row>
    <row r="182">
      <c r="A182" s="18" t="inlineStr">
        <is>
          <t>법인세 납부·환급</t>
        </is>
      </c>
      <c r="P182" s="20" t="n">
        <v>-3532</v>
      </c>
      <c r="Q182" s="20" t="n">
        <v>-15118</v>
      </c>
    </row>
    <row r="183">
      <c r="A183" s="18" t="inlineStr">
        <is>
          <t>Compensation Expenses Paid Ope CF</t>
        </is>
      </c>
      <c r="P183" s="20" t="n">
        <v>0</v>
      </c>
      <c r="Q183" s="20" t="n">
        <v>-7198</v>
      </c>
    </row>
    <row r="184">
      <c r="A184" s="18" t="inlineStr">
        <is>
          <t>재해손실 지급</t>
        </is>
      </c>
      <c r="P184" s="20" t="n">
        <v>-2322</v>
      </c>
      <c r="Q184" s="20" t="n">
        <v>-186</v>
      </c>
    </row>
    <row r="185">
      <c r="A185" s="9" t="inlineStr">
        <is>
          <t>영업활동 현금흐름</t>
        </is>
      </c>
      <c r="P185" s="12" t="n">
        <v>164222</v>
      </c>
      <c r="Q185" s="12" t="n">
        <v>164157</v>
      </c>
    </row>
    <row r="186">
      <c r="A186" s="18" t="inlineStr">
        <is>
          <t>유형자산 취득(설비투자)</t>
        </is>
      </c>
      <c r="P186" s="20" t="n">
        <v>-114747</v>
      </c>
      <c r="Q186" s="20" t="n">
        <v>-60281</v>
      </c>
    </row>
    <row r="187">
      <c r="A187" s="18" t="inlineStr">
        <is>
          <t>유형자산 매각</t>
        </is>
      </c>
      <c r="P187" s="20" t="n">
        <v>953</v>
      </c>
      <c r="Q187" s="20" t="n">
        <v>2248</v>
      </c>
    </row>
    <row r="188">
      <c r="A188" s="18" t="inlineStr">
        <is>
          <t>무형자산 취득</t>
        </is>
      </c>
      <c r="P188" s="20" t="n">
        <v>-8890</v>
      </c>
      <c r="Q188" s="20" t="n">
        <v>-5080</v>
      </c>
    </row>
    <row r="189">
      <c r="A189" s="18" t="inlineStr">
        <is>
          <t>장기선급비용 지출</t>
        </is>
      </c>
      <c r="P189" s="20" t="n">
        <v>-4543</v>
      </c>
      <c r="Q189" s="20" t="n">
        <v>-2196</v>
      </c>
    </row>
    <row r="190">
      <c r="A190" s="18" t="inlineStr">
        <is>
          <t>투자유가증권 취득</t>
        </is>
      </c>
      <c r="P190" s="20" t="n">
        <v>-276</v>
      </c>
      <c r="Q190" s="20" t="n">
        <v>-766</v>
      </c>
    </row>
    <row r="191">
      <c r="A191" s="18" t="inlineStr">
        <is>
          <t>투자유가증권 매각</t>
        </is>
      </c>
      <c r="P191" s="20" t="n">
        <v>971</v>
      </c>
      <c r="Q191" s="20" t="n">
        <v>3175</v>
      </c>
    </row>
    <row r="192">
      <c r="A192" s="18" t="inlineStr">
        <is>
          <t>연결범위 변경 자회사 주식 취득</t>
        </is>
      </c>
      <c r="P192" s="20" t="n">
        <v>-311428</v>
      </c>
      <c r="Q192" s="20" t="n">
        <v>0</v>
      </c>
    </row>
    <row r="193">
      <c r="A193" s="18" t="inlineStr">
        <is>
          <t>관계회사 주식 매각</t>
        </is>
      </c>
      <c r="P193" s="20" t="n">
        <v>0</v>
      </c>
      <c r="Q193" s="20" t="n">
        <v>1378</v>
      </c>
    </row>
    <row r="194">
      <c r="A194" s="18" t="inlineStr">
        <is>
          <t>사업양도 수입</t>
        </is>
      </c>
      <c r="P194" s="20" t="n">
        <v>4940</v>
      </c>
      <c r="Q194" s="20" t="n">
        <v>0</v>
      </c>
    </row>
    <row r="195">
      <c r="A195" s="18" t="inlineStr">
        <is>
          <t>기타</t>
        </is>
      </c>
      <c r="P195" s="20" t="n">
        <v>385</v>
      </c>
      <c r="Q195" s="20" t="n">
        <v>183</v>
      </c>
    </row>
    <row r="196">
      <c r="A196" s="9" t="inlineStr">
        <is>
          <t>투자활동 현금흐름</t>
        </is>
      </c>
      <c r="P196" s="12" t="n">
        <v>-432635</v>
      </c>
      <c r="Q196" s="12" t="n">
        <v>-61339</v>
      </c>
    </row>
    <row r="197">
      <c r="A197" s="18" t="inlineStr">
        <is>
          <t>단기차입금 순증감</t>
        </is>
      </c>
      <c r="P197" s="20" t="n">
        <v>35000</v>
      </c>
      <c r="Q197" s="20" t="n">
        <v>10000</v>
      </c>
    </row>
    <row r="198">
      <c r="A198" s="18" t="inlineStr">
        <is>
          <t>장기차입</t>
        </is>
      </c>
      <c r="P198" s="20" t="n">
        <v>50000</v>
      </c>
      <c r="Q198" s="20" t="n">
        <v>0</v>
      </c>
    </row>
    <row r="199">
      <c r="A199" s="18" t="inlineStr">
        <is>
          <t>장기차입금 상환</t>
        </is>
      </c>
      <c r="P199" s="20" t="n">
        <v>-8297</v>
      </c>
      <c r="Q199" s="20" t="n">
        <v>-46529</v>
      </c>
    </row>
    <row r="200">
      <c r="A200" s="18" t="inlineStr">
        <is>
          <t>금융리스부채 상환</t>
        </is>
      </c>
      <c r="P200" s="20" t="n">
        <v>-356</v>
      </c>
      <c r="Q200" s="20" t="n">
        <v>-108</v>
      </c>
    </row>
    <row r="201">
      <c r="A201" s="18" t="inlineStr">
        <is>
          <t>Repayments Of Installment Payables Fin CF</t>
        </is>
      </c>
      <c r="P201" s="20" t="n">
        <v>-13104</v>
      </c>
      <c r="Q201" s="20" t="n">
        <v>-13996</v>
      </c>
    </row>
    <row r="202">
      <c r="A202" s="9" t="inlineStr">
        <is>
          <t>재무활동 현금흐름</t>
        </is>
      </c>
      <c r="P202" s="12" t="n">
        <v>63243</v>
      </c>
      <c r="Q202" s="12" t="n">
        <v>-50633</v>
      </c>
    </row>
    <row r="203">
      <c r="A203" s="18" t="inlineStr">
        <is>
          <t>현금성자산 환산차이</t>
        </is>
      </c>
      <c r="P203" s="20" t="n">
        <v>-9572</v>
      </c>
      <c r="Q203" s="20" t="n">
        <v>-2910</v>
      </c>
    </row>
    <row r="204">
      <c r="A204" s="18" t="inlineStr">
        <is>
          <t>현금성자산 증감</t>
        </is>
      </c>
      <c r="P204" s="20" t="n">
        <v>-214742</v>
      </c>
      <c r="Q204" s="20" t="n">
        <v>49275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9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6723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2024.4Q</t>
        </is>
      </c>
      <c r="D3" s="5" t="inlineStr">
        <is>
          <t>2025.1Q</t>
        </is>
      </c>
      <c r="E3" s="5" t="inlineStr">
        <is>
          <t>2025.2Q</t>
        </is>
      </c>
      <c r="F3" s="5" t="inlineStr">
        <is>
          <t>2025.3Q</t>
        </is>
      </c>
      <c r="G3" s="5" t="inlineStr">
        <is>
          <t>2025.4Q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393035</v>
      </c>
      <c r="D5" s="12" t="n"/>
      <c r="E5" s="12" t="n"/>
      <c r="F5" s="12" t="n"/>
      <c r="G5" s="12" t="n">
        <v>483377</v>
      </c>
      <c r="H5" s="11" t="n">
        <v>291920</v>
      </c>
      <c r="I5" s="12" t="n">
        <v>428801</v>
      </c>
      <c r="J5" s="12" t="n">
        <v>429460</v>
      </c>
      <c r="K5" s="12" t="n">
        <v>393035</v>
      </c>
      <c r="L5" s="12" t="n">
        <v>483377</v>
      </c>
    </row>
    <row r="6">
      <c r="A6" s="18" t="inlineStr">
        <is>
          <t>현금및현금성자산</t>
        </is>
      </c>
      <c r="B6" s="10" t="n"/>
      <c r="C6" s="19" t="n">
        <v>69509</v>
      </c>
      <c r="D6" s="20" t="n"/>
      <c r="E6" s="20" t="n"/>
      <c r="F6" s="20" t="n"/>
      <c r="G6" s="20" t="n">
        <v>157597</v>
      </c>
      <c r="H6" s="19" t="n">
        <v>98783</v>
      </c>
      <c r="I6" s="20" t="n">
        <v>167686</v>
      </c>
      <c r="J6" s="20" t="n">
        <v>167847</v>
      </c>
      <c r="K6" s="20" t="n">
        <v>69509</v>
      </c>
      <c r="L6" s="20" t="n">
        <v>157597</v>
      </c>
    </row>
    <row r="7">
      <c r="A7" s="18" t="inlineStr">
        <is>
          <t>단기금융상품</t>
        </is>
      </c>
      <c r="B7" s="10" t="n"/>
      <c r="C7" s="19" t="n">
        <v>9236</v>
      </c>
      <c r="D7" s="20" t="n"/>
      <c r="E7" s="20" t="n"/>
      <c r="F7" s="20" t="n"/>
      <c r="G7" s="20" t="n">
        <v>38601</v>
      </c>
      <c r="H7" s="19" t="n">
        <v>737</v>
      </c>
      <c r="I7" s="20" t="n">
        <v>6688</v>
      </c>
      <c r="J7" s="20" t="n">
        <v>4660</v>
      </c>
      <c r="K7" s="20" t="n">
        <v>9236</v>
      </c>
      <c r="L7" s="20" t="n">
        <v>38601</v>
      </c>
    </row>
    <row r="8">
      <c r="A8" s="18" t="inlineStr">
        <is>
          <t>매출채권</t>
        </is>
      </c>
      <c r="B8" s="10" t="n"/>
      <c r="C8" s="19" t="n">
        <v>107187</v>
      </c>
      <c r="D8" s="20" t="n"/>
      <c r="E8" s="20" t="n"/>
      <c r="F8" s="20" t="n"/>
      <c r="G8" s="20" t="n">
        <v>112824</v>
      </c>
      <c r="H8" s="19" t="n">
        <v>104597</v>
      </c>
      <c r="I8" s="20" t="n">
        <v>117520</v>
      </c>
      <c r="J8" s="20" t="n">
        <v>118933</v>
      </c>
      <c r="K8" s="20" t="n">
        <v>107187</v>
      </c>
      <c r="L8" s="20" t="n">
        <v>112824</v>
      </c>
    </row>
    <row r="9">
      <c r="A9" s="18" t="inlineStr">
        <is>
          <t>재고자산</t>
        </is>
      </c>
      <c r="B9" s="10" t="n"/>
      <c r="C9" s="19" t="n">
        <v>176544</v>
      </c>
      <c r="D9" s="20" t="n"/>
      <c r="E9" s="20" t="n"/>
      <c r="F9" s="20" t="n"/>
      <c r="G9" s="20" t="n">
        <v>185903</v>
      </c>
      <c r="H9" s="19" t="n">
        <v>137759</v>
      </c>
      <c r="I9" s="20" t="n">
        <v>187958</v>
      </c>
      <c r="J9" s="20" t="n">
        <v>163054</v>
      </c>
      <c r="K9" s="20" t="n">
        <v>176544</v>
      </c>
      <c r="L9" s="20" t="n">
        <v>185903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3107731</v>
      </c>
      <c r="D11" s="12" t="n"/>
      <c r="E11" s="12" t="n"/>
      <c r="F11" s="12" t="n"/>
      <c r="G11" s="12" t="n">
        <v>3052668</v>
      </c>
      <c r="H11" s="11" t="n">
        <v>2093281</v>
      </c>
      <c r="I11" s="12" t="n">
        <v>2123938</v>
      </c>
      <c r="J11" s="12" t="n">
        <v>2145323</v>
      </c>
      <c r="K11" s="12" t="n">
        <v>3107731</v>
      </c>
      <c r="L11" s="12" t="n">
        <v>3052668</v>
      </c>
    </row>
    <row r="12">
      <c r="A12" s="18" t="inlineStr">
        <is>
          <t>유형자산</t>
        </is>
      </c>
      <c r="B12" s="10" t="n"/>
      <c r="C12" s="19" t="n">
        <v>234491</v>
      </c>
      <c r="D12" s="20" t="n"/>
      <c r="E12" s="20" t="n"/>
      <c r="F12" s="20" t="n"/>
      <c r="G12" s="20" t="n">
        <v>240142</v>
      </c>
      <c r="H12" s="19" t="n">
        <v>115857</v>
      </c>
      <c r="I12" s="20" t="n">
        <v>118758</v>
      </c>
      <c r="J12" s="20" t="n">
        <v>164744</v>
      </c>
      <c r="K12" s="20" t="n">
        <v>234491</v>
      </c>
      <c r="L12" s="20" t="n">
        <v>240142</v>
      </c>
    </row>
    <row r="13">
      <c r="A13" s="18" t="inlineStr">
        <is>
          <t>무형자산</t>
        </is>
      </c>
      <c r="B13" s="10" t="n"/>
      <c r="C13" s="19" t="n">
        <v>27880</v>
      </c>
      <c r="D13" s="20" t="n"/>
      <c r="E13" s="20" t="n"/>
      <c r="F13" s="20" t="n"/>
      <c r="G13" s="20" t="n">
        <v>34676</v>
      </c>
      <c r="H13" s="19" t="n">
        <v>9599</v>
      </c>
      <c r="I13" s="20" t="n">
        <v>7809</v>
      </c>
      <c r="J13" s="20" t="n">
        <v>9289</v>
      </c>
      <c r="K13" s="20" t="n">
        <v>27880</v>
      </c>
      <c r="L13" s="20" t="n">
        <v>34676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3500965</v>
      </c>
      <c r="D16" s="12" t="n"/>
      <c r="E16" s="12" t="n"/>
      <c r="F16" s="12" t="n"/>
      <c r="G16" s="12" t="n">
        <v>3536139</v>
      </c>
      <c r="H16" s="11" t="n">
        <v>2385940</v>
      </c>
      <c r="I16" s="12" t="n">
        <v>2553295</v>
      </c>
      <c r="J16" s="12" t="n">
        <v>2575156</v>
      </c>
      <c r="K16" s="12" t="n">
        <v>3500965</v>
      </c>
      <c r="L16" s="12" t="n">
        <v>3536139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786440</v>
      </c>
      <c r="D18" s="12" t="n"/>
      <c r="E18" s="12" t="n"/>
      <c r="F18" s="12" t="n"/>
      <c r="G18" s="12" t="n">
        <v>929819</v>
      </c>
      <c r="H18" s="11" t="n">
        <v>741698</v>
      </c>
      <c r="I18" s="12" t="n">
        <v>896798</v>
      </c>
      <c r="J18" s="12" t="n">
        <v>1101654</v>
      </c>
      <c r="K18" s="12" t="n">
        <v>786440</v>
      </c>
      <c r="L18" s="12" t="n">
        <v>929819</v>
      </c>
    </row>
    <row r="19">
      <c r="A19" s="18" t="inlineStr">
        <is>
          <t>매입채무</t>
        </is>
      </c>
      <c r="B19" s="10" t="n"/>
      <c r="C19" s="19" t="n">
        <v>105613</v>
      </c>
      <c r="D19" s="20" t="n"/>
      <c r="E19" s="20" t="n"/>
      <c r="F19" s="20" t="n"/>
      <c r="G19" s="20" t="n">
        <v>121923</v>
      </c>
      <c r="H19" s="19" t="n">
        <v>110796</v>
      </c>
      <c r="I19" s="20" t="n">
        <v>111972</v>
      </c>
      <c r="J19" s="20" t="n">
        <v>105844</v>
      </c>
      <c r="K19" s="20" t="n">
        <v>105613</v>
      </c>
      <c r="L19" s="20" t="n">
        <v>121923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142739</v>
      </c>
      <c r="D21" s="20" t="n"/>
      <c r="E21" s="20" t="n"/>
      <c r="F21" s="20" t="n"/>
      <c r="G21" s="20" t="n">
        <v>108198</v>
      </c>
      <c r="H21" s="19" t="n">
        <v>120001</v>
      </c>
      <c r="I21" s="20" t="n">
        <v>120001</v>
      </c>
      <c r="J21" s="20" t="n">
        <v>354104</v>
      </c>
      <c r="K21" s="20" t="n">
        <v>142739</v>
      </c>
      <c r="L21" s="20" t="n">
        <v>108198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1366703</v>
      </c>
      <c r="D23" s="12" t="n"/>
      <c r="E23" s="12" t="n"/>
      <c r="F23" s="12" t="n"/>
      <c r="G23" s="12" t="n">
        <v>1123372</v>
      </c>
      <c r="H23" s="11" t="n">
        <v>730941</v>
      </c>
      <c r="I23" s="12" t="n">
        <v>716060</v>
      </c>
      <c r="J23" s="12" t="n">
        <v>317635</v>
      </c>
      <c r="K23" s="12" t="n">
        <v>1366703</v>
      </c>
      <c r="L23" s="12" t="n">
        <v>1123372</v>
      </c>
    </row>
    <row r="24">
      <c r="A24" s="18" t="inlineStr">
        <is>
          <t>장기차입금</t>
        </is>
      </c>
      <c r="B24" s="10" t="n"/>
      <c r="C24" s="19" t="n">
        <v>1217887</v>
      </c>
      <c r="D24" s="20" t="n"/>
      <c r="E24" s="20" t="n"/>
      <c r="F24" s="20" t="n"/>
      <c r="G24" s="20" t="n">
        <v>1089442</v>
      </c>
      <c r="H24" s="19" t="n">
        <v>541041</v>
      </c>
      <c r="I24" s="20" t="n">
        <v>536387</v>
      </c>
      <c r="J24" s="20" t="n">
        <v>187568</v>
      </c>
      <c r="K24" s="20" t="n">
        <v>1217887</v>
      </c>
      <c r="L24" s="20" t="n">
        <v>1089442</v>
      </c>
    </row>
    <row r="25">
      <c r="A25" s="18" t="inlineStr">
        <is>
          <t>사채</t>
        </is>
      </c>
      <c r="B25" s="10" t="n"/>
      <c r="C25" s="19" t="n">
        <v>97189</v>
      </c>
      <c r="D25" s="20" t="n"/>
      <c r="E25" s="20" t="n"/>
      <c r="F25" s="20" t="n"/>
      <c r="G25" s="20" t="n">
        <v>0</v>
      </c>
      <c r="H25" s="19" t="n">
        <v>154359</v>
      </c>
      <c r="I25" s="20" t="n">
        <v>154359</v>
      </c>
      <c r="J25" s="20" t="n">
        <v>97189</v>
      </c>
      <c r="K25" s="20" t="n">
        <v>97189</v>
      </c>
      <c r="L25" s="20" t="n">
        <v>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2153143</v>
      </c>
      <c r="D27" s="12" t="n"/>
      <c r="E27" s="12" t="n"/>
      <c r="F27" s="12" t="n"/>
      <c r="G27" s="12" t="n">
        <v>2053191</v>
      </c>
      <c r="H27" s="11" t="n">
        <v>1472639</v>
      </c>
      <c r="I27" s="12" t="n">
        <v>1612858</v>
      </c>
      <c r="J27" s="12" t="n">
        <v>1419288</v>
      </c>
      <c r="K27" s="12" t="n">
        <v>2153143</v>
      </c>
      <c r="L27" s="12" t="n">
        <v>2053191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2537382</v>
      </c>
      <c r="D31" s="12" t="n"/>
      <c r="E31" s="12" t="n"/>
      <c r="F31" s="12" t="n"/>
      <c r="G31" s="12" t="n">
        <v>2443034</v>
      </c>
      <c r="H31" s="11" t="n">
        <v>1150081</v>
      </c>
      <c r="I31" s="12" t="n">
        <v>1533735</v>
      </c>
      <c r="J31" s="12" t="n">
        <v>2001553</v>
      </c>
      <c r="K31" s="12" t="n">
        <v>2537382</v>
      </c>
      <c r="L31" s="12" t="n">
        <v>2443034</v>
      </c>
    </row>
    <row r="32">
      <c r="A32" s="18" t="inlineStr">
        <is>
          <t>자본금</t>
        </is>
      </c>
      <c r="B32" s="10" t="n"/>
      <c r="C32" s="19" t="n">
        <v>153209</v>
      </c>
      <c r="D32" s="20" t="n"/>
      <c r="E32" s="20" t="n"/>
      <c r="F32" s="20" t="n"/>
      <c r="G32" s="20" t="n">
        <v>153209</v>
      </c>
      <c r="H32" s="19" t="n">
        <v>147133</v>
      </c>
      <c r="I32" s="20" t="n">
        <v>153209</v>
      </c>
      <c r="J32" s="20" t="n">
        <v>153209</v>
      </c>
      <c r="K32" s="20" t="n">
        <v>153209</v>
      </c>
      <c r="L32" s="20" t="n">
        <v>153209</v>
      </c>
    </row>
    <row r="33">
      <c r="A33" s="18" t="inlineStr">
        <is>
          <t>이익잉여금</t>
        </is>
      </c>
      <c r="B33" s="10" t="n"/>
      <c r="C33" s="19" t="n">
        <v>1013808</v>
      </c>
      <c r="D33" s="20" t="n"/>
      <c r="E33" s="20" t="n"/>
      <c r="F33" s="20" t="n"/>
      <c r="G33" s="20" t="n">
        <v>1122143</v>
      </c>
      <c r="H33" s="19" t="n">
        <v>409076</v>
      </c>
      <c r="I33" s="20" t="n">
        <v>621723</v>
      </c>
      <c r="J33" s="20" t="n">
        <v>873594</v>
      </c>
      <c r="K33" s="20" t="n">
        <v>1013808</v>
      </c>
      <c r="L33" s="20" t="n">
        <v>1122143</v>
      </c>
    </row>
    <row r="34">
      <c r="A34" s="18" t="inlineStr">
        <is>
          <t>비지배지분</t>
        </is>
      </c>
      <c r="B34" s="10" t="n"/>
      <c r="C34" s="19" t="n">
        <v>4916</v>
      </c>
      <c r="D34" s="20" t="n"/>
      <c r="E34" s="20" t="n"/>
      <c r="F34" s="20" t="n"/>
      <c r="G34" s="20" t="n">
        <v>5417</v>
      </c>
      <c r="H34" s="19" t="n">
        <v>3317</v>
      </c>
      <c r="I34" s="20" t="n">
        <v>3728</v>
      </c>
      <c r="J34" s="20" t="n">
        <v>4035</v>
      </c>
      <c r="K34" s="20" t="n">
        <v>4916</v>
      </c>
      <c r="L34" s="20" t="n">
        <v>5417</v>
      </c>
    </row>
    <row r="35">
      <c r="A35" s="9" t="inlineStr">
        <is>
          <t>자본총계</t>
        </is>
      </c>
      <c r="B35" s="10" t="n"/>
      <c r="C35" s="11" t="n">
        <v>1347822</v>
      </c>
      <c r="D35" s="12" t="n"/>
      <c r="E35" s="12" t="n"/>
      <c r="F35" s="12" t="n"/>
      <c r="G35" s="12" t="n">
        <v>1482949</v>
      </c>
      <c r="H35" s="11" t="n">
        <v>913301</v>
      </c>
      <c r="I35" s="12" t="n">
        <v>940437</v>
      </c>
      <c r="J35" s="12" t="n">
        <v>1155868</v>
      </c>
      <c r="K35" s="12" t="n">
        <v>1347822</v>
      </c>
      <c r="L35" s="12" t="n">
        <v>1482949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340484</v>
      </c>
      <c r="D37" s="12" t="n"/>
      <c r="E37" s="12" t="n"/>
      <c r="F37" s="12" t="n"/>
      <c r="G37" s="12" t="n">
        <v>452857</v>
      </c>
      <c r="H37" s="11" t="n">
        <v>307384</v>
      </c>
      <c r="I37" s="12" t="n">
        <v>479325</v>
      </c>
      <c r="J37" s="12" t="n">
        <v>496627</v>
      </c>
      <c r="K37" s="12" t="n">
        <v>340484</v>
      </c>
      <c r="L37" s="12" t="n">
        <v>452857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169835</v>
      </c>
      <c r="D38" s="20" t="n"/>
      <c r="E38" s="20" t="n"/>
      <c r="F38" s="20" t="n"/>
      <c r="G38" s="20" t="n">
        <v>133770</v>
      </c>
      <c r="H38" s="19" t="n">
        <v>52346</v>
      </c>
      <c r="I38" s="20" t="n">
        <v>88199</v>
      </c>
      <c r="J38" s="20" t="n">
        <v>129127</v>
      </c>
      <c r="K38" s="20" t="n">
        <v>169835</v>
      </c>
      <c r="L38" s="20" t="n">
        <v>133770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49702</v>
      </c>
      <c r="D40" s="20" t="n"/>
      <c r="E40" s="20" t="n"/>
      <c r="F40" s="20" t="n"/>
      <c r="G40" s="20" t="n">
        <v>50311</v>
      </c>
      <c r="H40" s="19" t="n"/>
      <c r="I40" s="20" t="n"/>
      <c r="J40" s="20" t="n">
        <v>0</v>
      </c>
      <c r="K40" s="20" t="n">
        <v>49702</v>
      </c>
      <c r="L40" s="20" t="n">
        <v>50311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IFERROR(IF((IF(COUNT('연간'!G53:J53)&lt;4,"",SUM('연간'!G53:J53)))&lt;=0,"적자",C28/(IF(COUNT('연간'!G53:J53)&lt;4,"",SUM('연간'!G53:J53)))),"")</f>
        <v/>
      </c>
      <c r="D49" s="46">
        <f>IFERROR(IF((IF(COUNT('연간'!H53:K53)&lt;4,"",SUM('연간'!H53:K53)))&lt;=0,"적자",D28/(IF(COUNT('연간'!H53:K53)&lt;4,"",SUM('연간'!H53:K53)))),"")</f>
        <v/>
      </c>
      <c r="E49" s="46">
        <f>IFERROR(IF((IF(COUNT('연간'!I53:L53)&lt;4,"",SUM('연간'!I53:L53)))&lt;=0,"적자",E28/(IF(COUNT('연간'!I53:L53)&lt;4,"",SUM('연간'!I53:L53)))),"")</f>
        <v/>
      </c>
      <c r="F49" s="46">
        <f>IFERROR(IF((IF(COUNT('연간'!J53:M53)&lt;4,"",SUM('연간'!J53:M53)))&lt;=0,"적자",F28/(IF(COUNT('연간'!J53:M53)&lt;4,"",SUM('연간'!J53:M53)))),"")</f>
        <v/>
      </c>
      <c r="G49" s="46">
        <f>IFERROR(IF((IF(COUNT('연간'!K53:N53)&lt;4,"",SUM('연간'!K53:N53)))&lt;=0,"적자",G28/(IF(COUNT('연간'!K53:N53)&lt;4,"",SUM('연간'!K53:N53)))),"")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  <c r="L49" s="46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IFERROR(C9/(IF(COUNT('연간'!G20:J20)&lt;4,"",SUM('연간'!G20:J20)))*365,"")</f>
        <v/>
      </c>
      <c r="D60" s="48">
        <f>IFERROR(D9/(IF(COUNT('연간'!H20:K20)&lt;4,"",SUM('연간'!H20:K20)))*365,"")</f>
        <v/>
      </c>
      <c r="E60" s="48">
        <f>IFERROR(E9/(IF(COUNT('연간'!I20:L20)&lt;4,"",SUM('연간'!I20:L20)))*365,"")</f>
        <v/>
      </c>
      <c r="F60" s="48">
        <f>IFERROR(F9/(IF(COUNT('연간'!J20:M20)&lt;4,"",SUM('연간'!J20:M20)))*365,"")</f>
        <v/>
      </c>
      <c r="G60" s="48">
        <f>IFERROR(G9/(IF(COUNT('연간'!K20:N20)&lt;4,"",SUM('연간'!K20:N20)))*365,"")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  <c r="L60" s="48">
        <f>IFERROR(L9/('연간'!X20)*365,"")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IFERROR(C19/(IF(COUNT('연간'!G20:J20)&lt;4,"",SUM('연간'!G20:J20)))*365,"")</f>
        <v/>
      </c>
      <c r="D61" s="48">
        <f>IFERROR(D19/(IF(COUNT('연간'!H20:K20)&lt;4,"",SUM('연간'!H20:K20)))*365,"")</f>
        <v/>
      </c>
      <c r="E61" s="48">
        <f>IFERROR(E19/(IF(COUNT('연간'!I20:L20)&lt;4,"",SUM('연간'!I20:L20)))*365,"")</f>
        <v/>
      </c>
      <c r="F61" s="48">
        <f>IFERROR(F19/(IF(COUNT('연간'!J20:M20)&lt;4,"",SUM('연간'!J20:M20)))*365,"")</f>
        <v/>
      </c>
      <c r="G61" s="48">
        <f>IFERROR(G19/(IF(COUNT('연간'!K20:N20)&lt;4,"",SUM('연간'!K20:N20)))*365,"")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  <c r="L61" s="48">
        <f>IFERROR(L19/('연간'!X20)*365,"")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2024.4Q</t>
        </is>
      </c>
      <c r="D70" s="5" t="inlineStr">
        <is>
          <t>2025.1Q</t>
        </is>
      </c>
      <c r="E70" s="5" t="inlineStr">
        <is>
          <t>2025.2Q</t>
        </is>
      </c>
      <c r="F70" s="5" t="inlineStr">
        <is>
          <t>2025.3Q</t>
        </is>
      </c>
      <c r="G70" s="5" t="inlineStr">
        <is>
          <t>2025.4Q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69509</v>
      </c>
      <c r="G71" s="20" t="n">
        <v>157597</v>
      </c>
      <c r="H71" s="20" t="n">
        <v>98783</v>
      </c>
      <c r="I71" s="20" t="n">
        <v>167686</v>
      </c>
      <c r="J71" s="20" t="n">
        <v>167847</v>
      </c>
      <c r="K71" s="20" t="n">
        <v>69509</v>
      </c>
      <c r="L71" s="20" t="n">
        <v>157597</v>
      </c>
    </row>
    <row r="72">
      <c r="A72" s="18" t="inlineStr">
        <is>
          <t>전자기록채권</t>
        </is>
      </c>
      <c r="C72" s="20" t="n">
        <v>1805</v>
      </c>
      <c r="G72" s="20" t="n">
        <v>1829</v>
      </c>
      <c r="H72" s="20" t="n">
        <v>2259</v>
      </c>
      <c r="I72" s="20" t="n">
        <v>2200</v>
      </c>
      <c r="J72" s="20" t="n">
        <v>2111</v>
      </c>
      <c r="K72" s="20" t="n">
        <v>1805</v>
      </c>
      <c r="L72" s="20" t="n">
        <v>1829</v>
      </c>
    </row>
    <row r="73">
      <c r="A73" s="18" t="inlineStr">
        <is>
          <t>매출채권</t>
        </is>
      </c>
      <c r="C73" s="20" t="n">
        <v>107187</v>
      </c>
      <c r="G73" s="20" t="n">
        <v>112824</v>
      </c>
      <c r="H73" s="20" t="n">
        <v>104597</v>
      </c>
      <c r="I73" s="20" t="n">
        <v>117520</v>
      </c>
      <c r="J73" s="20" t="n">
        <v>118933</v>
      </c>
      <c r="K73" s="20" t="n">
        <v>107187</v>
      </c>
      <c r="L73" s="20" t="n">
        <v>112824</v>
      </c>
    </row>
    <row r="74">
      <c r="A74" s="18" t="inlineStr">
        <is>
          <t>제품</t>
        </is>
      </c>
      <c r="C74" s="20" t="n">
        <v>27442</v>
      </c>
      <c r="G74" s="20" t="n">
        <v>25367</v>
      </c>
      <c r="H74" s="20" t="n">
        <v>20009</v>
      </c>
      <c r="I74" s="20" t="n">
        <v>27573</v>
      </c>
      <c r="J74" s="20" t="n">
        <v>21304</v>
      </c>
      <c r="K74" s="20" t="n">
        <v>27442</v>
      </c>
      <c r="L74" s="20" t="n">
        <v>25367</v>
      </c>
    </row>
    <row r="75">
      <c r="A75" s="18" t="inlineStr">
        <is>
          <t>재공품</t>
        </is>
      </c>
      <c r="C75" s="20" t="n">
        <v>46152</v>
      </c>
      <c r="G75" s="20" t="n">
        <v>53385</v>
      </c>
      <c r="H75" s="20" t="n">
        <v>35398</v>
      </c>
      <c r="I75" s="20" t="n">
        <v>49854</v>
      </c>
      <c r="J75" s="20" t="n">
        <v>52990</v>
      </c>
      <c r="K75" s="20" t="n">
        <v>46152</v>
      </c>
      <c r="L75" s="20" t="n">
        <v>53385</v>
      </c>
    </row>
    <row r="76">
      <c r="A76" s="18" t="inlineStr">
        <is>
          <t>원재료·저장품</t>
        </is>
      </c>
      <c r="C76" s="20" t="n">
        <v>4334</v>
      </c>
      <c r="G76" s="20" t="n">
        <v>3815</v>
      </c>
      <c r="H76" s="20" t="n">
        <v>1936</v>
      </c>
      <c r="I76" s="20" t="n">
        <v>3776</v>
      </c>
      <c r="J76" s="20" t="n">
        <v>4587</v>
      </c>
      <c r="K76" s="20" t="n">
        <v>4334</v>
      </c>
      <c r="L76" s="20" t="n">
        <v>3815</v>
      </c>
    </row>
    <row r="77">
      <c r="A77" s="18" t="inlineStr">
        <is>
          <t>선급비용</t>
        </is>
      </c>
      <c r="C77" s="20" t="n">
        <v>25999</v>
      </c>
      <c r="G77" s="20" t="n">
        <v>30079</v>
      </c>
      <c r="H77" s="20" t="n">
        <v>2455</v>
      </c>
      <c r="I77" s="20" t="n">
        <v>2997</v>
      </c>
      <c r="J77" s="20" t="n">
        <v>3693</v>
      </c>
      <c r="K77" s="20" t="n">
        <v>25999</v>
      </c>
      <c r="L77" s="20" t="n">
        <v>30079</v>
      </c>
    </row>
    <row r="78">
      <c r="A78" s="18" t="inlineStr">
        <is>
          <t>미수금</t>
        </is>
      </c>
      <c r="C78" s="20" t="n">
        <v>30718</v>
      </c>
      <c r="G78" s="20" t="n">
        <v>28628</v>
      </c>
      <c r="H78" s="20" t="n">
        <v>20912</v>
      </c>
      <c r="I78" s="20" t="n">
        <v>33260</v>
      </c>
      <c r="J78" s="20" t="n">
        <v>32165</v>
      </c>
      <c r="K78" s="20" t="n">
        <v>30718</v>
      </c>
      <c r="L78" s="20" t="n">
        <v>28628</v>
      </c>
    </row>
    <row r="79">
      <c r="A79" s="18" t="inlineStr">
        <is>
          <t>기타</t>
        </is>
      </c>
      <c r="C79" s="20" t="n">
        <v>79889</v>
      </c>
      <c r="G79" s="20" t="n">
        <v>69854</v>
      </c>
      <c r="H79" s="20" t="n">
        <v>5570</v>
      </c>
      <c r="I79" s="20" t="n">
        <v>23935</v>
      </c>
      <c r="J79" s="20" t="n">
        <v>25830</v>
      </c>
      <c r="K79" s="20" t="n">
        <v>79889</v>
      </c>
      <c r="L79" s="20" t="n">
        <v>69854</v>
      </c>
    </row>
    <row r="80">
      <c r="A80" s="9" t="inlineStr">
        <is>
          <t>유동자산 합계</t>
        </is>
      </c>
      <c r="C80" s="12" t="n">
        <v>393035</v>
      </c>
      <c r="G80" s="12" t="n">
        <v>483377</v>
      </c>
      <c r="H80" s="12" t="n">
        <v>291920</v>
      </c>
      <c r="I80" s="12" t="n">
        <v>428801</v>
      </c>
      <c r="J80" s="12" t="n">
        <v>429460</v>
      </c>
      <c r="K80" s="12" t="n">
        <v>393035</v>
      </c>
      <c r="L80" s="12" t="n">
        <v>483377</v>
      </c>
    </row>
    <row r="81">
      <c r="A81" s="18" t="inlineStr">
        <is>
          <t>건물</t>
        </is>
      </c>
      <c r="C81" s="20" t="n">
        <v>33486</v>
      </c>
      <c r="G81" s="20" t="n">
        <v>30214</v>
      </c>
      <c r="H81" s="20" t="n">
        <v>31936</v>
      </c>
      <c r="I81" s="20" t="n">
        <v>31430</v>
      </c>
      <c r="J81" s="20" t="n">
        <v>35857</v>
      </c>
      <c r="K81" s="20" t="n">
        <v>33486</v>
      </c>
      <c r="L81" s="20" t="n">
        <v>30214</v>
      </c>
    </row>
    <row r="82">
      <c r="A82" s="18" t="inlineStr">
        <is>
          <t>구축물</t>
        </is>
      </c>
      <c r="C82" s="20" t="n">
        <v>3825</v>
      </c>
      <c r="G82" s="20" t="n">
        <v>5015</v>
      </c>
      <c r="H82" s="20" t="n">
        <v>3897</v>
      </c>
      <c r="I82" s="20" t="n">
        <v>3777</v>
      </c>
      <c r="J82" s="20" t="n">
        <v>3560</v>
      </c>
      <c r="K82" s="20" t="n">
        <v>3825</v>
      </c>
      <c r="L82" s="20" t="n">
        <v>5015</v>
      </c>
    </row>
    <row r="83">
      <c r="A83" s="18" t="inlineStr">
        <is>
          <t>기계장치</t>
        </is>
      </c>
      <c r="C83" s="20" t="n">
        <v>56826</v>
      </c>
      <c r="G83" s="20" t="n">
        <v>51945</v>
      </c>
      <c r="H83" s="20" t="n">
        <v>39825</v>
      </c>
      <c r="I83" s="20" t="n">
        <v>43224</v>
      </c>
      <c r="J83" s="20" t="n">
        <v>44301</v>
      </c>
      <c r="K83" s="20" t="n">
        <v>56826</v>
      </c>
      <c r="L83" s="20" t="n">
        <v>51945</v>
      </c>
    </row>
    <row r="84">
      <c r="A84" s="18" t="inlineStr">
        <is>
          <t>차량운반구</t>
        </is>
      </c>
      <c r="C84" s="20" t="n">
        <v>409</v>
      </c>
      <c r="G84" s="20" t="n">
        <v>1081</v>
      </c>
      <c r="H84" s="20" t="n">
        <v>322</v>
      </c>
      <c r="I84" s="20" t="n">
        <v>219</v>
      </c>
      <c r="J84" s="20" t="n">
        <v>313</v>
      </c>
      <c r="K84" s="20" t="n">
        <v>409</v>
      </c>
      <c r="L84" s="20" t="n">
        <v>1081</v>
      </c>
    </row>
    <row r="85">
      <c r="A85" s="18" t="inlineStr">
        <is>
          <t>공구·기구·비품</t>
        </is>
      </c>
      <c r="C85" s="20" t="n">
        <v>16068</v>
      </c>
      <c r="G85" s="20" t="n">
        <v>17003</v>
      </c>
      <c r="H85" s="20" t="n">
        <v>12999</v>
      </c>
      <c r="I85" s="20" t="n">
        <v>15990</v>
      </c>
      <c r="J85" s="20" t="n">
        <v>17638</v>
      </c>
      <c r="K85" s="20" t="n">
        <v>16068</v>
      </c>
      <c r="L85" s="20" t="n">
        <v>17003</v>
      </c>
    </row>
    <row r="86">
      <c r="A86" s="18" t="inlineStr">
        <is>
          <t>토지</t>
        </is>
      </c>
      <c r="C86" s="20" t="n">
        <v>18763</v>
      </c>
      <c r="G86" s="20" t="n">
        <v>17856</v>
      </c>
      <c r="H86" s="20" t="n">
        <v>19340</v>
      </c>
      <c r="I86" s="20" t="n">
        <v>18966</v>
      </c>
      <c r="J86" s="20" t="n">
        <v>18945</v>
      </c>
      <c r="K86" s="20" t="n">
        <v>18763</v>
      </c>
      <c r="L86" s="20" t="n">
        <v>17856</v>
      </c>
    </row>
    <row r="87">
      <c r="A87" s="18" t="inlineStr">
        <is>
          <t>건설중인자산</t>
        </is>
      </c>
      <c r="C87" s="20" t="n">
        <v>105114</v>
      </c>
      <c r="G87" s="20" t="n">
        <v>117028</v>
      </c>
      <c r="H87" s="20" t="n">
        <v>7538</v>
      </c>
      <c r="I87" s="20" t="n">
        <v>5153</v>
      </c>
      <c r="J87" s="20" t="n">
        <v>44130</v>
      </c>
      <c r="K87" s="20" t="n">
        <v>105114</v>
      </c>
      <c r="L87" s="20" t="n">
        <v>117028</v>
      </c>
    </row>
    <row r="88">
      <c r="A88" s="18" t="inlineStr">
        <is>
          <t>유형자산 합계</t>
        </is>
      </c>
      <c r="C88" s="20" t="n">
        <v>234491</v>
      </c>
      <c r="G88" s="20" t="n">
        <v>240142</v>
      </c>
      <c r="H88" s="20" t="n">
        <v>115857</v>
      </c>
      <c r="I88" s="20" t="n">
        <v>118758</v>
      </c>
      <c r="J88" s="20" t="n">
        <v>164744</v>
      </c>
      <c r="K88" s="20" t="n">
        <v>234491</v>
      </c>
      <c r="L88" s="20" t="n">
        <v>240142</v>
      </c>
    </row>
    <row r="89">
      <c r="A89" s="18" t="inlineStr">
        <is>
          <t>소프트웨어</t>
        </is>
      </c>
      <c r="C89" s="20" t="n">
        <v>27028</v>
      </c>
      <c r="G89" s="20" t="n">
        <v>34192</v>
      </c>
      <c r="H89" s="20" t="n">
        <v>8365</v>
      </c>
      <c r="I89" s="20" t="n">
        <v>6943</v>
      </c>
      <c r="J89" s="20" t="n">
        <v>7913</v>
      </c>
      <c r="K89" s="20" t="n">
        <v>27028</v>
      </c>
      <c r="L89" s="20" t="n">
        <v>34192</v>
      </c>
    </row>
    <row r="90">
      <c r="A90" s="18" t="inlineStr">
        <is>
          <t>기타</t>
        </is>
      </c>
      <c r="C90" s="20" t="n">
        <v>852</v>
      </c>
      <c r="G90" s="20" t="n">
        <v>484</v>
      </c>
      <c r="H90" s="20" t="n">
        <v>1234</v>
      </c>
      <c r="I90" s="20" t="n">
        <v>866</v>
      </c>
      <c r="J90" s="20" t="n">
        <v>1376</v>
      </c>
      <c r="K90" s="20" t="n">
        <v>852</v>
      </c>
      <c r="L90" s="20" t="n">
        <v>484</v>
      </c>
    </row>
    <row r="91">
      <c r="A91" s="18" t="inlineStr">
        <is>
          <t>무형자산 합계</t>
        </is>
      </c>
      <c r="C91" s="20" t="n">
        <v>27880</v>
      </c>
      <c r="G91" s="20" t="n">
        <v>34676</v>
      </c>
      <c r="H91" s="20" t="n">
        <v>9599</v>
      </c>
      <c r="I91" s="20" t="n">
        <v>7809</v>
      </c>
      <c r="J91" s="20" t="n">
        <v>9289</v>
      </c>
      <c r="K91" s="20" t="n">
        <v>27880</v>
      </c>
      <c r="L91" s="20" t="n">
        <v>34676</v>
      </c>
    </row>
    <row r="92">
      <c r="A92" s="18" t="inlineStr">
        <is>
          <t>투자유가증권</t>
        </is>
      </c>
      <c r="C92" s="20" t="n">
        <v>3507</v>
      </c>
      <c r="G92" s="20" t="n">
        <v>1791</v>
      </c>
      <c r="H92" s="20" t="n">
        <v>15</v>
      </c>
      <c r="I92" s="20" t="n">
        <v>2807</v>
      </c>
      <c r="J92" s="20" t="n">
        <v>3631</v>
      </c>
      <c r="K92" s="20" t="n">
        <v>3507</v>
      </c>
      <c r="L92" s="20" t="n">
        <v>1791</v>
      </c>
    </row>
    <row r="93">
      <c r="A93" s="18" t="inlineStr">
        <is>
          <t>관계회사 주식</t>
        </is>
      </c>
      <c r="C93" s="20" t="n">
        <v>2735984</v>
      </c>
      <c r="G93" s="20" t="n">
        <v>2684001</v>
      </c>
      <c r="H93" s="20" t="n">
        <v>1894855</v>
      </c>
      <c r="I93" s="20" t="n">
        <v>1902877</v>
      </c>
      <c r="J93" s="20" t="n">
        <v>1858674</v>
      </c>
      <c r="K93" s="20" t="n">
        <v>2735984</v>
      </c>
      <c r="L93" s="20" t="n">
        <v>2684001</v>
      </c>
    </row>
    <row r="94">
      <c r="A94" s="18" t="inlineStr">
        <is>
          <t>장기선급비용</t>
        </is>
      </c>
      <c r="C94" s="20" t="n">
        <v>39876</v>
      </c>
      <c r="G94" s="20" t="n">
        <v>19825</v>
      </c>
      <c r="H94" s="20" t="n">
        <v>33868</v>
      </c>
      <c r="I94" s="20" t="n">
        <v>24939</v>
      </c>
      <c r="J94" s="20" t="n">
        <v>28701</v>
      </c>
      <c r="K94" s="20" t="n">
        <v>39876</v>
      </c>
      <c r="L94" s="20" t="n">
        <v>19825</v>
      </c>
    </row>
    <row r="95">
      <c r="A95" s="18" t="inlineStr">
        <is>
          <t>선급연금비용</t>
        </is>
      </c>
      <c r="C95" s="20" t="n">
        <v>20505</v>
      </c>
      <c r="G95" s="20" t="n">
        <v>24185</v>
      </c>
      <c r="H95" s="20" t="n">
        <v>10527</v>
      </c>
      <c r="I95" s="20" t="n">
        <v>13536</v>
      </c>
      <c r="J95" s="20" t="n">
        <v>16021</v>
      </c>
      <c r="K95" s="20" t="n">
        <v>20505</v>
      </c>
      <c r="L95" s="20" t="n">
        <v>24185</v>
      </c>
    </row>
    <row r="96">
      <c r="A96" s="18" t="inlineStr">
        <is>
          <t>이연법인세자산</t>
        </is>
      </c>
      <c r="C96" s="20" t="n">
        <v>18130</v>
      </c>
      <c r="G96" s="20" t="n">
        <v>19920</v>
      </c>
      <c r="H96" s="20" t="n">
        <v>17321</v>
      </c>
      <c r="I96" s="20" t="n">
        <v>20155</v>
      </c>
      <c r="J96" s="20" t="n">
        <v>27452</v>
      </c>
      <c r="K96" s="20" t="n">
        <v>18130</v>
      </c>
      <c r="L96" s="20" t="n">
        <v>19920</v>
      </c>
    </row>
    <row r="97">
      <c r="A97" s="18" t="inlineStr">
        <is>
          <t>기타</t>
        </is>
      </c>
      <c r="C97" s="20" t="n">
        <v>27358</v>
      </c>
      <c r="G97" s="20" t="n">
        <v>28127</v>
      </c>
      <c r="H97" s="20" t="n">
        <v>11238</v>
      </c>
      <c r="I97" s="20" t="n">
        <v>33057</v>
      </c>
      <c r="J97" s="20" t="n">
        <v>36810</v>
      </c>
      <c r="K97" s="20" t="n">
        <v>27358</v>
      </c>
      <c r="L97" s="20" t="n">
        <v>28127</v>
      </c>
    </row>
    <row r="98">
      <c r="A98" s="18" t="inlineStr">
        <is>
          <t>대손충당금</t>
        </is>
      </c>
      <c r="C98" s="20" t="n">
        <v>-0</v>
      </c>
      <c r="G98" s="20" t="n">
        <v>-0</v>
      </c>
      <c r="H98" s="20" t="n">
        <v>-0</v>
      </c>
      <c r="I98" s="20" t="n">
        <v>-0</v>
      </c>
      <c r="J98" s="20" t="n">
        <v>-0</v>
      </c>
      <c r="K98" s="20" t="n">
        <v>-0</v>
      </c>
      <c r="L98" s="20" t="n">
        <v>-0</v>
      </c>
    </row>
    <row r="99">
      <c r="A99" s="18" t="inlineStr">
        <is>
          <t>투자 및 기타자산 합계</t>
        </is>
      </c>
      <c r="C99" s="20" t="n">
        <v>2845360</v>
      </c>
      <c r="G99" s="20" t="n">
        <v>2777850</v>
      </c>
      <c r="H99" s="20" t="n">
        <v>1967825</v>
      </c>
      <c r="I99" s="20" t="n">
        <v>1997371</v>
      </c>
      <c r="J99" s="20" t="n">
        <v>1971290</v>
      </c>
      <c r="K99" s="20" t="n">
        <v>2845360</v>
      </c>
      <c r="L99" s="20" t="n">
        <v>2777850</v>
      </c>
    </row>
    <row r="100">
      <c r="A100" s="9" t="inlineStr">
        <is>
          <t>비유동자산 합계</t>
        </is>
      </c>
      <c r="C100" s="12" t="n">
        <v>3107731</v>
      </c>
      <c r="G100" s="12" t="n">
        <v>3052668</v>
      </c>
      <c r="H100" s="12" t="n">
        <v>2093281</v>
      </c>
      <c r="I100" s="12" t="n">
        <v>2123938</v>
      </c>
      <c r="J100" s="12" t="n">
        <v>2145323</v>
      </c>
      <c r="K100" s="12" t="n">
        <v>3107731</v>
      </c>
      <c r="L100" s="12" t="n">
        <v>3052668</v>
      </c>
    </row>
    <row r="101">
      <c r="A101" s="18" t="inlineStr">
        <is>
          <t>사채발행비</t>
        </is>
      </c>
      <c r="C101" s="20" t="n">
        <v>198</v>
      </c>
      <c r="G101" s="20" t="n">
        <v>94</v>
      </c>
      <c r="H101" s="20" t="n">
        <v>739</v>
      </c>
      <c r="I101" s="20" t="n">
        <v>556</v>
      </c>
      <c r="J101" s="20" t="n">
        <v>373</v>
      </c>
      <c r="K101" s="20" t="n">
        <v>198</v>
      </c>
      <c r="L101" s="20" t="n">
        <v>94</v>
      </c>
    </row>
    <row r="102">
      <c r="A102" s="18" t="inlineStr">
        <is>
          <t>이연자산 합계</t>
        </is>
      </c>
      <c r="C102" s="20" t="n">
        <v>198</v>
      </c>
      <c r="G102" s="20" t="n">
        <v>94</v>
      </c>
      <c r="H102" s="20" t="n">
        <v>739</v>
      </c>
      <c r="I102" s="20" t="n">
        <v>556</v>
      </c>
      <c r="J102" s="20" t="n">
        <v>373</v>
      </c>
      <c r="K102" s="20" t="n">
        <v>198</v>
      </c>
      <c r="L102" s="20" t="n">
        <v>94</v>
      </c>
    </row>
    <row r="103">
      <c r="A103" s="9" t="inlineStr">
        <is>
          <t>자산 합계</t>
        </is>
      </c>
      <c r="C103" s="12" t="n">
        <v>3500965</v>
      </c>
      <c r="G103" s="12" t="n">
        <v>3536139</v>
      </c>
      <c r="H103" s="12" t="n">
        <v>2385940</v>
      </c>
      <c r="I103" s="12" t="n">
        <v>2553295</v>
      </c>
      <c r="J103" s="12" t="n">
        <v>2575156</v>
      </c>
      <c r="K103" s="12" t="n">
        <v>3500965</v>
      </c>
      <c r="L103" s="12" t="n">
        <v>3536139</v>
      </c>
    </row>
    <row r="104">
      <c r="A104" s="18" t="inlineStr">
        <is>
          <t>전자기록채무</t>
        </is>
      </c>
      <c r="C104" s="20" t="n">
        <v>3846</v>
      </c>
      <c r="G104" s="20" t="n">
        <v>2776</v>
      </c>
      <c r="H104" s="20" t="n">
        <v>5271</v>
      </c>
      <c r="I104" s="20" t="n">
        <v>5164</v>
      </c>
      <c r="J104" s="20" t="n">
        <v>5361</v>
      </c>
      <c r="K104" s="20" t="n">
        <v>3846</v>
      </c>
      <c r="L104" s="20" t="n">
        <v>2776</v>
      </c>
    </row>
    <row r="105">
      <c r="A105" s="18" t="inlineStr">
        <is>
          <t>매입채무</t>
        </is>
      </c>
      <c r="C105" s="20" t="n">
        <v>105613</v>
      </c>
      <c r="G105" s="20" t="n">
        <v>121923</v>
      </c>
      <c r="H105" s="20" t="n">
        <v>110796</v>
      </c>
      <c r="I105" s="20" t="n">
        <v>111972</v>
      </c>
      <c r="J105" s="20" t="n">
        <v>105844</v>
      </c>
      <c r="K105" s="20" t="n">
        <v>105613</v>
      </c>
      <c r="L105" s="20" t="n">
        <v>121923</v>
      </c>
    </row>
    <row r="106">
      <c r="A106" s="18" t="inlineStr">
        <is>
          <t>1년 내 상환 장기차입금</t>
        </is>
      </c>
      <c r="C106" s="20" t="n">
        <v>142739</v>
      </c>
      <c r="G106" s="20" t="n">
        <v>108198</v>
      </c>
      <c r="H106" s="20" t="n">
        <v>120001</v>
      </c>
      <c r="I106" s="20" t="n">
        <v>120001</v>
      </c>
      <c r="J106" s="20" t="n">
        <v>354104</v>
      </c>
      <c r="K106" s="20" t="n">
        <v>142739</v>
      </c>
      <c r="L106" s="20" t="n">
        <v>108198</v>
      </c>
    </row>
    <row r="107">
      <c r="A107" s="18" t="inlineStr">
        <is>
          <t>리스부채</t>
        </is>
      </c>
      <c r="C107" s="20" t="n">
        <v>19</v>
      </c>
      <c r="G107" s="20" t="n">
        <v>0</v>
      </c>
      <c r="H107" s="20" t="n">
        <v>27</v>
      </c>
      <c r="I107" s="20" t="n">
        <v>27</v>
      </c>
      <c r="J107" s="20" t="n">
        <v>27</v>
      </c>
      <c r="K107" s="20" t="n">
        <v>19</v>
      </c>
      <c r="L107" s="20" t="n">
        <v>0</v>
      </c>
    </row>
    <row r="108">
      <c r="A108" s="18" t="inlineStr">
        <is>
          <t>미지급금</t>
        </is>
      </c>
      <c r="C108" s="20" t="n">
        <v>82542</v>
      </c>
      <c r="G108" s="20" t="n">
        <v>58430</v>
      </c>
      <c r="H108" s="20" t="n">
        <v>42180</v>
      </c>
      <c r="I108" s="20" t="n">
        <v>41184</v>
      </c>
      <c r="J108" s="20" t="n">
        <v>47327</v>
      </c>
      <c r="K108" s="20" t="n">
        <v>82542</v>
      </c>
      <c r="L108" s="20" t="n">
        <v>58430</v>
      </c>
    </row>
    <row r="109">
      <c r="A109" s="18" t="inlineStr">
        <is>
          <t>미지급비용</t>
        </is>
      </c>
      <c r="C109" s="20" t="n">
        <v>15140</v>
      </c>
      <c r="G109" s="20" t="n">
        <v>18450</v>
      </c>
      <c r="H109" s="20" t="n">
        <v>22979</v>
      </c>
      <c r="I109" s="20" t="n">
        <v>26529</v>
      </c>
      <c r="J109" s="20" t="n">
        <v>21816</v>
      </c>
      <c r="K109" s="20" t="n">
        <v>15140</v>
      </c>
      <c r="L109" s="20" t="n">
        <v>18450</v>
      </c>
    </row>
    <row r="110">
      <c r="A110" s="18" t="inlineStr">
        <is>
          <t>미지급법인세</t>
        </is>
      </c>
      <c r="C110" s="20" t="n">
        <v>2384</v>
      </c>
      <c r="G110" s="20" t="n">
        <v>26126</v>
      </c>
      <c r="H110" s="20" t="n">
        <v>15356</v>
      </c>
      <c r="I110" s="20" t="n">
        <v>65865</v>
      </c>
      <c r="J110" s="20" t="n">
        <v>32645</v>
      </c>
      <c r="K110" s="20" t="n">
        <v>2384</v>
      </c>
      <c r="L110" s="20" t="n">
        <v>26126</v>
      </c>
    </row>
    <row r="111">
      <c r="A111" s="18" t="inlineStr">
        <is>
          <t>계약부채</t>
        </is>
      </c>
      <c r="C111" s="20" t="n">
        <v>372</v>
      </c>
      <c r="G111" s="20" t="n">
        <v>4036</v>
      </c>
      <c r="H111" s="20" t="n">
        <v>0</v>
      </c>
      <c r="I111" s="20" t="n">
        <v>177</v>
      </c>
      <c r="J111" s="20" t="n">
        <v>0</v>
      </c>
      <c r="K111" s="20" t="n">
        <v>372</v>
      </c>
      <c r="L111" s="20" t="n">
        <v>4036</v>
      </c>
    </row>
    <row r="112">
      <c r="A112" s="18" t="inlineStr">
        <is>
          <t>선수금</t>
        </is>
      </c>
      <c r="C112" s="20" t="n">
        <v>2101</v>
      </c>
      <c r="G112" s="20" t="n">
        <v>2005</v>
      </c>
      <c r="H112" s="20" t="n">
        <v>902</v>
      </c>
      <c r="I112" s="20" t="n">
        <v>623</v>
      </c>
      <c r="J112" s="20" t="n">
        <v>784</v>
      </c>
      <c r="K112" s="20" t="n">
        <v>2101</v>
      </c>
      <c r="L112" s="20" t="n">
        <v>2005</v>
      </c>
    </row>
    <row r="113">
      <c r="A113" s="18" t="inlineStr">
        <is>
          <t>예수금</t>
        </is>
      </c>
      <c r="C113" s="20" t="n">
        <v>367148</v>
      </c>
      <c r="G113" s="20" t="n">
        <v>423653</v>
      </c>
      <c r="H113" s="20" t="n">
        <v>384304</v>
      </c>
      <c r="I113" s="20" t="n">
        <v>478939</v>
      </c>
      <c r="J113" s="20" t="n">
        <v>393390</v>
      </c>
      <c r="K113" s="20" t="n">
        <v>367148</v>
      </c>
      <c r="L113" s="20" t="n">
        <v>423653</v>
      </c>
    </row>
    <row r="114">
      <c r="A114" s="18" t="inlineStr">
        <is>
          <t>선수수익</t>
        </is>
      </c>
      <c r="H114" s="20" t="n">
        <v>2</v>
      </c>
      <c r="I114" s="20" t="n">
        <v>0</v>
      </c>
    </row>
    <row r="115">
      <c r="A115" s="18" t="inlineStr">
        <is>
          <t>제품보증 충당금</t>
        </is>
      </c>
      <c r="C115" s="20" t="n">
        <v>212</v>
      </c>
      <c r="G115" s="20" t="n">
        <v>371</v>
      </c>
      <c r="H115" s="20" t="n">
        <v>64</v>
      </c>
      <c r="I115" s="20" t="n">
        <v>86</v>
      </c>
      <c r="J115" s="20" t="n">
        <v>154</v>
      </c>
      <c r="K115" s="20" t="n">
        <v>212</v>
      </c>
      <c r="L115" s="20" t="n">
        <v>371</v>
      </c>
    </row>
    <row r="116">
      <c r="A116" s="18" t="inlineStr">
        <is>
          <t>매출리베이트 충당금</t>
        </is>
      </c>
      <c r="H116" s="20" t="n">
        <v>21453</v>
      </c>
      <c r="I116" s="20" t="n">
        <v>0</v>
      </c>
    </row>
    <row r="117">
      <c r="A117" s="18" t="inlineStr">
        <is>
          <t>사업구조개선 충당금</t>
        </is>
      </c>
      <c r="C117" s="20" t="n">
        <v>1</v>
      </c>
      <c r="G117" s="20" t="n">
        <v>1</v>
      </c>
      <c r="H117" s="20" t="n">
        <v>20</v>
      </c>
      <c r="I117" s="20" t="n">
        <v>2</v>
      </c>
      <c r="J117" s="20" t="n">
        <v>1</v>
      </c>
      <c r="K117" s="20" t="n">
        <v>1</v>
      </c>
      <c r="L117" s="20" t="n">
        <v>1</v>
      </c>
    </row>
    <row r="118">
      <c r="A118" s="18" t="inlineStr">
        <is>
          <t>Provision For Contingent Loss CL</t>
        </is>
      </c>
      <c r="C118" s="20" t="n">
        <v>0</v>
      </c>
      <c r="G118" s="20" t="n">
        <v>119</v>
      </c>
      <c r="H118" s="20" t="n">
        <v>2932</v>
      </c>
      <c r="I118" s="20" t="n">
        <v>1098</v>
      </c>
      <c r="J118" s="20" t="n">
        <v>1090</v>
      </c>
      <c r="K118" s="20" t="n">
        <v>0</v>
      </c>
      <c r="L118" s="20" t="n">
        <v>119</v>
      </c>
    </row>
    <row r="119">
      <c r="A119" s="18" t="inlineStr">
        <is>
          <t>주식보상 충당금</t>
        </is>
      </c>
      <c r="H119" s="20" t="n">
        <v>8946</v>
      </c>
      <c r="I119" s="20" t="n">
        <v>8643</v>
      </c>
    </row>
    <row r="120">
      <c r="A120" s="18" t="inlineStr">
        <is>
          <t>주식보상 충당금</t>
        </is>
      </c>
      <c r="C120" s="20" t="n">
        <v>24232</v>
      </c>
      <c r="G120" s="20" t="n">
        <v>28369</v>
      </c>
      <c r="I120" s="20" t="n">
        <v>8643</v>
      </c>
      <c r="J120" s="20" t="n">
        <v>27472</v>
      </c>
      <c r="K120" s="20" t="n">
        <v>24232</v>
      </c>
      <c r="L120" s="20" t="n">
        <v>28369</v>
      </c>
    </row>
    <row r="121">
      <c r="A121" s="18" t="inlineStr">
        <is>
          <t>자산복구부채</t>
        </is>
      </c>
      <c r="C121" s="20" t="n">
        <v>22</v>
      </c>
      <c r="G121" s="20" t="n">
        <v>22</v>
      </c>
      <c r="H121" s="20" t="n">
        <v>25</v>
      </c>
      <c r="I121" s="20" t="n">
        <v>0</v>
      </c>
      <c r="J121" s="20" t="n">
        <v>345</v>
      </c>
      <c r="K121" s="20" t="n">
        <v>22</v>
      </c>
      <c r="L121" s="20" t="n">
        <v>22</v>
      </c>
    </row>
    <row r="122">
      <c r="A122" s="18" t="inlineStr">
        <is>
          <t>기타</t>
        </is>
      </c>
      <c r="C122" s="20" t="n">
        <v>40071</v>
      </c>
      <c r="G122" s="20" t="n">
        <v>135342</v>
      </c>
      <c r="H122" s="20" t="n">
        <v>6440</v>
      </c>
      <c r="I122" s="20" t="n">
        <v>36489</v>
      </c>
      <c r="J122" s="20" t="n">
        <v>111293</v>
      </c>
      <c r="K122" s="20" t="n">
        <v>40071</v>
      </c>
      <c r="L122" s="20" t="n">
        <v>135342</v>
      </c>
    </row>
    <row r="123">
      <c r="A123" s="9" t="inlineStr">
        <is>
          <t>유동부채 합계</t>
        </is>
      </c>
      <c r="C123" s="12" t="n">
        <v>786440</v>
      </c>
      <c r="G123" s="12" t="n">
        <v>929819</v>
      </c>
      <c r="H123" s="12" t="n">
        <v>741698</v>
      </c>
      <c r="I123" s="12" t="n">
        <v>896798</v>
      </c>
      <c r="J123" s="12" t="n">
        <v>1101654</v>
      </c>
      <c r="K123" s="12" t="n">
        <v>786440</v>
      </c>
      <c r="L123" s="12" t="n">
        <v>929819</v>
      </c>
    </row>
    <row r="124">
      <c r="A124" s="18" t="inlineStr">
        <is>
          <t>사채</t>
        </is>
      </c>
      <c r="C124" s="20" t="n">
        <v>97189</v>
      </c>
      <c r="G124" s="20" t="n">
        <v>0</v>
      </c>
      <c r="H124" s="20" t="n">
        <v>154359</v>
      </c>
      <c r="I124" s="20" t="n">
        <v>154359</v>
      </c>
      <c r="J124" s="20" t="n">
        <v>97189</v>
      </c>
      <c r="K124" s="20" t="n">
        <v>97189</v>
      </c>
      <c r="L124" s="20" t="n">
        <v>0</v>
      </c>
    </row>
    <row r="125">
      <c r="A125" s="18" t="inlineStr">
        <is>
          <t>장기차입금</t>
        </is>
      </c>
      <c r="C125" s="20" t="n">
        <v>1217887</v>
      </c>
      <c r="G125" s="20" t="n">
        <v>1089442</v>
      </c>
      <c r="H125" s="20" t="n">
        <v>541041</v>
      </c>
      <c r="I125" s="20" t="n">
        <v>536387</v>
      </c>
      <c r="J125" s="20" t="n">
        <v>187568</v>
      </c>
      <c r="K125" s="20" t="n">
        <v>1217887</v>
      </c>
      <c r="L125" s="20" t="n">
        <v>1089442</v>
      </c>
    </row>
    <row r="126">
      <c r="A126" s="18" t="inlineStr">
        <is>
          <t>리스부채</t>
        </is>
      </c>
      <c r="C126" s="20" t="n">
        <v>0</v>
      </c>
      <c r="H126" s="20" t="n">
        <v>81</v>
      </c>
      <c r="I126" s="20" t="n">
        <v>51</v>
      </c>
      <c r="J126" s="20" t="n">
        <v>21</v>
      </c>
      <c r="K126" s="20" t="n">
        <v>0</v>
      </c>
    </row>
    <row r="127">
      <c r="A127" s="18" t="inlineStr">
        <is>
          <t>퇴직급여충당금</t>
        </is>
      </c>
      <c r="C127" s="20" t="n">
        <v>9852</v>
      </c>
      <c r="G127" s="20" t="n">
        <v>8272</v>
      </c>
      <c r="H127" s="20" t="n">
        <v>13032</v>
      </c>
      <c r="I127" s="20" t="n">
        <v>11945</v>
      </c>
      <c r="J127" s="20" t="n">
        <v>10910</v>
      </c>
      <c r="K127" s="20" t="n">
        <v>9852</v>
      </c>
      <c r="L127" s="20" t="n">
        <v>8272</v>
      </c>
    </row>
    <row r="128">
      <c r="A128" s="18" t="inlineStr">
        <is>
          <t>주식보상 충당금</t>
        </is>
      </c>
      <c r="H128" s="20" t="n">
        <v>5513</v>
      </c>
      <c r="I128" s="20" t="n">
        <v>6852</v>
      </c>
    </row>
    <row r="129">
      <c r="A129" s="18" t="inlineStr">
        <is>
          <t>주식보상 충당금</t>
        </is>
      </c>
      <c r="C129" s="20" t="n">
        <v>14174</v>
      </c>
      <c r="G129" s="20" t="n">
        <v>16234</v>
      </c>
      <c r="I129" s="20" t="n">
        <v>6852</v>
      </c>
      <c r="J129" s="20" t="n">
        <v>16058</v>
      </c>
      <c r="K129" s="20" t="n">
        <v>14174</v>
      </c>
      <c r="L129" s="20" t="n">
        <v>16234</v>
      </c>
    </row>
    <row r="130">
      <c r="A130" s="18" t="inlineStr">
        <is>
          <t>자산복구부채</t>
        </is>
      </c>
      <c r="C130" s="20" t="n">
        <v>1625</v>
      </c>
      <c r="G130" s="20" t="n">
        <v>1813</v>
      </c>
      <c r="H130" s="20" t="n">
        <v>1816</v>
      </c>
      <c r="I130" s="20" t="n">
        <v>1801</v>
      </c>
      <c r="J130" s="20" t="n">
        <v>1748</v>
      </c>
      <c r="K130" s="20" t="n">
        <v>1625</v>
      </c>
      <c r="L130" s="20" t="n">
        <v>1813</v>
      </c>
    </row>
    <row r="131">
      <c r="A131" s="18" t="inlineStr">
        <is>
          <t>기타</t>
        </is>
      </c>
      <c r="C131" s="20" t="n">
        <v>25975</v>
      </c>
      <c r="G131" s="20" t="n">
        <v>7611</v>
      </c>
      <c r="H131" s="20" t="n">
        <v>15100</v>
      </c>
      <c r="I131" s="20" t="n">
        <v>4666</v>
      </c>
      <c r="J131" s="20" t="n">
        <v>4140</v>
      </c>
      <c r="K131" s="20" t="n">
        <v>25975</v>
      </c>
      <c r="L131" s="20" t="n">
        <v>7611</v>
      </c>
    </row>
    <row r="132">
      <c r="A132" s="9" t="inlineStr">
        <is>
          <t>비유동부채 합계</t>
        </is>
      </c>
      <c r="C132" s="12" t="n">
        <v>1366703</v>
      </c>
      <c r="G132" s="12" t="n">
        <v>1123372</v>
      </c>
      <c r="H132" s="12" t="n">
        <v>730941</v>
      </c>
      <c r="I132" s="12" t="n">
        <v>716060</v>
      </c>
      <c r="J132" s="12" t="n">
        <v>317635</v>
      </c>
      <c r="K132" s="12" t="n">
        <v>1366703</v>
      </c>
      <c r="L132" s="12" t="n">
        <v>1123372</v>
      </c>
    </row>
    <row r="133">
      <c r="A133" s="9" t="inlineStr">
        <is>
          <t>부채 합계</t>
        </is>
      </c>
      <c r="C133" s="12" t="n">
        <v>2153143</v>
      </c>
      <c r="G133" s="12" t="n">
        <v>2053191</v>
      </c>
      <c r="H133" s="12" t="n">
        <v>1472639</v>
      </c>
      <c r="I133" s="12" t="n">
        <v>1612858</v>
      </c>
      <c r="J133" s="12" t="n">
        <v>1419288</v>
      </c>
      <c r="K133" s="12" t="n">
        <v>2153143</v>
      </c>
      <c r="L133" s="12" t="n">
        <v>2053191</v>
      </c>
    </row>
    <row r="134">
      <c r="A134" s="18" t="inlineStr">
        <is>
          <t>자본금</t>
        </is>
      </c>
      <c r="C134" s="20" t="n">
        <v>153209</v>
      </c>
      <c r="G134" s="20" t="n">
        <v>153209</v>
      </c>
      <c r="H134" s="20" t="n">
        <v>147133</v>
      </c>
      <c r="I134" s="20" t="n">
        <v>153209</v>
      </c>
      <c r="J134" s="20" t="n">
        <v>153209</v>
      </c>
      <c r="K134" s="20" t="n">
        <v>153209</v>
      </c>
      <c r="L134" s="20" t="n">
        <v>153209</v>
      </c>
    </row>
    <row r="135">
      <c r="A135" s="18" t="inlineStr">
        <is>
          <t>자본준비금</t>
        </is>
      </c>
      <c r="C135" s="20" t="n">
        <v>143209</v>
      </c>
      <c r="G135" s="20" t="n">
        <v>143209</v>
      </c>
      <c r="H135" s="20" t="n">
        <v>137133</v>
      </c>
      <c r="I135" s="20" t="n">
        <v>143209</v>
      </c>
      <c r="J135" s="20" t="n">
        <v>143209</v>
      </c>
      <c r="K135" s="20" t="n">
        <v>143209</v>
      </c>
      <c r="L135" s="20" t="n">
        <v>143209</v>
      </c>
    </row>
    <row r="136">
      <c r="A136" s="18" t="inlineStr">
        <is>
          <t>기타자본잉여금</t>
        </is>
      </c>
      <c r="C136" s="20" t="n">
        <v>125190</v>
      </c>
      <c r="G136" s="20" t="n">
        <v>133246</v>
      </c>
      <c r="H136" s="20" t="n">
        <v>207061</v>
      </c>
      <c r="I136" s="20" t="n">
        <v>206642</v>
      </c>
      <c r="J136" s="20" t="n">
        <v>208969</v>
      </c>
      <c r="K136" s="20" t="n">
        <v>125190</v>
      </c>
      <c r="L136" s="20" t="n">
        <v>133246</v>
      </c>
    </row>
    <row r="137">
      <c r="A137" s="18" t="inlineStr">
        <is>
          <t>자본잉여금 합계</t>
        </is>
      </c>
      <c r="C137" s="20" t="n">
        <v>268399</v>
      </c>
      <c r="G137" s="20" t="n">
        <v>276455</v>
      </c>
      <c r="H137" s="20" t="n">
        <v>344194</v>
      </c>
      <c r="I137" s="20" t="n">
        <v>349851</v>
      </c>
      <c r="J137" s="20" t="n">
        <v>352177</v>
      </c>
      <c r="K137" s="20" t="n">
        <v>268399</v>
      </c>
      <c r="L137" s="20" t="n">
        <v>276455</v>
      </c>
    </row>
    <row r="138">
      <c r="A138" s="18" t="inlineStr">
        <is>
          <t>이월이익잉여금</t>
        </is>
      </c>
      <c r="C138" s="20" t="n">
        <v>1013808</v>
      </c>
      <c r="G138" s="20" t="n">
        <v>1122143</v>
      </c>
      <c r="H138" s="20" t="n">
        <v>409076</v>
      </c>
      <c r="I138" s="20" t="n">
        <v>621723</v>
      </c>
      <c r="J138" s="20" t="n">
        <v>873594</v>
      </c>
      <c r="K138" s="20" t="n">
        <v>1013808</v>
      </c>
      <c r="L138" s="20" t="n">
        <v>1122143</v>
      </c>
    </row>
    <row r="139">
      <c r="A139" s="18" t="inlineStr">
        <is>
          <t>이익잉여금 합계</t>
        </is>
      </c>
      <c r="C139" s="20" t="n">
        <v>1013808</v>
      </c>
      <c r="G139" s="20" t="n">
        <v>1122143</v>
      </c>
      <c r="H139" s="20" t="n">
        <v>409076</v>
      </c>
      <c r="I139" s="20" t="n">
        <v>621723</v>
      </c>
      <c r="J139" s="20" t="n">
        <v>873594</v>
      </c>
      <c r="K139" s="20" t="n">
        <v>1013808</v>
      </c>
      <c r="L139" s="20" t="n">
        <v>1122143</v>
      </c>
    </row>
    <row r="140">
      <c r="A140" s="18" t="inlineStr">
        <is>
          <t>자기주식</t>
        </is>
      </c>
      <c r="C140" s="20" t="n">
        <v>-89310</v>
      </c>
      <c r="G140" s="20" t="n">
        <v>-68295</v>
      </c>
      <c r="H140" s="20" t="n">
        <v>-11</v>
      </c>
      <c r="I140" s="20" t="n">
        <v>-192171</v>
      </c>
      <c r="J140" s="20" t="n">
        <v>-217691</v>
      </c>
      <c r="K140" s="20" t="n">
        <v>-89310</v>
      </c>
      <c r="L140" s="20" t="n">
        <v>-68295</v>
      </c>
    </row>
    <row r="141">
      <c r="A141" s="9" t="inlineStr">
        <is>
          <t>주주자본 합계</t>
        </is>
      </c>
      <c r="C141" s="12" t="n">
        <v>1346106</v>
      </c>
      <c r="G141" s="12" t="n">
        <v>1483512</v>
      </c>
      <c r="H141" s="12" t="n">
        <v>900391</v>
      </c>
      <c r="I141" s="12" t="n">
        <v>932612</v>
      </c>
      <c r="J141" s="12" t="n">
        <v>1161289</v>
      </c>
      <c r="K141" s="12" t="n">
        <v>1346106</v>
      </c>
      <c r="L141" s="12" t="n">
        <v>1483512</v>
      </c>
    </row>
    <row r="142">
      <c r="A142" s="18" t="inlineStr">
        <is>
          <t>기타유가증권 평가차액</t>
        </is>
      </c>
      <c r="C142" s="20" t="n">
        <v>629</v>
      </c>
      <c r="G142" s="20" t="n">
        <v>278</v>
      </c>
      <c r="H142" s="20" t="n">
        <v>0</v>
      </c>
      <c r="I142" s="20" t="n">
        <v>-1</v>
      </c>
      <c r="J142" s="20" t="n">
        <v>62</v>
      </c>
      <c r="K142" s="20" t="n">
        <v>629</v>
      </c>
      <c r="L142" s="20" t="n">
        <v>278</v>
      </c>
    </row>
    <row r="143">
      <c r="A143" s="18" t="inlineStr">
        <is>
          <t>이연헤지손익</t>
        </is>
      </c>
      <c r="C143" s="20" t="n">
        <v>0</v>
      </c>
      <c r="G143" s="20" t="n">
        <v>-857</v>
      </c>
      <c r="H143" s="20" t="n">
        <v>-360</v>
      </c>
      <c r="I143" s="20" t="n">
        <v>224</v>
      </c>
      <c r="J143" s="20" t="n">
        <v>-8589</v>
      </c>
      <c r="K143" s="20" t="n">
        <v>0</v>
      </c>
      <c r="L143" s="20" t="n">
        <v>-857</v>
      </c>
    </row>
    <row r="144">
      <c r="A144" s="18" t="inlineStr">
        <is>
          <t>평가·환산차액 합계</t>
        </is>
      </c>
      <c r="C144" s="20" t="n">
        <v>629</v>
      </c>
      <c r="G144" s="20" t="n">
        <v>-579</v>
      </c>
      <c r="H144" s="20" t="n">
        <v>-360</v>
      </c>
      <c r="I144" s="20" t="n">
        <v>223</v>
      </c>
      <c r="J144" s="20" t="n">
        <v>-8527</v>
      </c>
      <c r="K144" s="20" t="n">
        <v>629</v>
      </c>
      <c r="L144" s="20" t="n">
        <v>-579</v>
      </c>
    </row>
    <row r="145">
      <c r="A145" s="18" t="inlineStr">
        <is>
          <t>신주예약권</t>
        </is>
      </c>
      <c r="C145" s="20" t="n">
        <v>1087</v>
      </c>
      <c r="G145" s="20" t="n">
        <v>16</v>
      </c>
      <c r="H145" s="20" t="n">
        <v>13270</v>
      </c>
      <c r="I145" s="20" t="n">
        <v>7602</v>
      </c>
      <c r="J145" s="20" t="n">
        <v>3106</v>
      </c>
      <c r="K145" s="20" t="n">
        <v>1087</v>
      </c>
      <c r="L145" s="20" t="n">
        <v>16</v>
      </c>
    </row>
    <row r="146">
      <c r="A146" s="9" t="inlineStr">
        <is>
          <t>순자산 합계</t>
        </is>
      </c>
      <c r="C146" s="12" t="n">
        <v>1347822</v>
      </c>
      <c r="G146" s="12" t="n">
        <v>1482949</v>
      </c>
      <c r="H146" s="12" t="n">
        <v>913301</v>
      </c>
      <c r="I146" s="12" t="n">
        <v>940437</v>
      </c>
      <c r="J146" s="12" t="n">
        <v>1155868</v>
      </c>
      <c r="K146" s="12" t="n">
        <v>1347822</v>
      </c>
      <c r="L146" s="12" t="n">
        <v>1482949</v>
      </c>
    </row>
    <row r="147">
      <c r="A147" s="9" t="inlineStr">
        <is>
          <t>부채·순자산 합계</t>
        </is>
      </c>
      <c r="C147" s="12" t="n">
        <v>3500965</v>
      </c>
      <c r="G147" s="12" t="n">
        <v>3536139</v>
      </c>
      <c r="H147" s="12" t="n">
        <v>2385940</v>
      </c>
      <c r="I147" s="12" t="n">
        <v>2553295</v>
      </c>
      <c r="J147" s="12" t="n">
        <v>2575156</v>
      </c>
      <c r="K147" s="12" t="n">
        <v>3500965</v>
      </c>
      <c r="L147" s="12" t="n">
        <v>3536139</v>
      </c>
    </row>
    <row r="148">
      <c r="A148" s="18" t="inlineStr">
        <is>
          <t>현금및현금성자산</t>
        </is>
      </c>
      <c r="C148" s="20" t="n">
        <v>229249</v>
      </c>
      <c r="G148" s="20" t="n">
        <v>295897</v>
      </c>
      <c r="H148" s="20" t="n">
        <v>221924</v>
      </c>
      <c r="I148" s="20" t="n">
        <v>336068</v>
      </c>
      <c r="J148" s="20" t="n">
        <v>434681</v>
      </c>
      <c r="K148" s="20" t="n">
        <v>229249</v>
      </c>
      <c r="L148" s="20" t="n">
        <v>295897</v>
      </c>
    </row>
    <row r="149">
      <c r="A149" s="18" t="inlineStr">
        <is>
          <t>영업채권 및 기타채권</t>
        </is>
      </c>
      <c r="C149" s="20" t="n">
        <v>167113</v>
      </c>
      <c r="G149" s="20" t="n">
        <v>169124</v>
      </c>
      <c r="H149" s="20" t="n">
        <v>140478</v>
      </c>
      <c r="I149" s="20" t="n">
        <v>162623</v>
      </c>
      <c r="J149" s="20" t="n">
        <v>168991</v>
      </c>
      <c r="K149" s="20" t="n">
        <v>167113</v>
      </c>
      <c r="L149" s="20" t="n">
        <v>169124</v>
      </c>
    </row>
    <row r="150">
      <c r="A150" s="18" t="inlineStr">
        <is>
          <t>재고자산</t>
        </is>
      </c>
      <c r="C150" s="20" t="n">
        <v>176544</v>
      </c>
      <c r="G150" s="20" t="n">
        <v>185903</v>
      </c>
      <c r="H150" s="20" t="n">
        <v>137759</v>
      </c>
      <c r="I150" s="20" t="n">
        <v>187958</v>
      </c>
      <c r="J150" s="20" t="n">
        <v>163054</v>
      </c>
      <c r="K150" s="20" t="n">
        <v>176544</v>
      </c>
      <c r="L150" s="20" t="n">
        <v>185903</v>
      </c>
    </row>
    <row r="151">
      <c r="A151" s="18" t="inlineStr">
        <is>
          <t>기타금융자산</t>
        </is>
      </c>
      <c r="C151" s="20" t="n">
        <v>9236</v>
      </c>
      <c r="G151" s="20" t="n">
        <v>38601</v>
      </c>
      <c r="H151" s="20" t="n">
        <v>737</v>
      </c>
      <c r="I151" s="20" t="n">
        <v>6688</v>
      </c>
      <c r="J151" s="20" t="n">
        <v>4660</v>
      </c>
      <c r="K151" s="20" t="n">
        <v>9236</v>
      </c>
      <c r="L151" s="20" t="n">
        <v>38601</v>
      </c>
    </row>
    <row r="152">
      <c r="A152" s="18" t="inlineStr">
        <is>
          <t>미수법인세</t>
        </is>
      </c>
      <c r="C152" s="20" t="n">
        <v>12454</v>
      </c>
      <c r="G152" s="20" t="n">
        <v>10757</v>
      </c>
      <c r="H152" s="20" t="n">
        <v>4395</v>
      </c>
      <c r="I152" s="20" t="n">
        <v>4462</v>
      </c>
      <c r="J152" s="20" t="n">
        <v>7495</v>
      </c>
      <c r="K152" s="20" t="n">
        <v>12454</v>
      </c>
      <c r="L152" s="20" t="n">
        <v>10757</v>
      </c>
    </row>
    <row r="153">
      <c r="A153" s="18" t="inlineStr">
        <is>
          <t>기타유동자산</t>
        </is>
      </c>
      <c r="C153" s="20" t="n">
        <v>22730</v>
      </c>
      <c r="G153" s="20" t="n">
        <v>23277</v>
      </c>
      <c r="H153" s="20" t="n">
        <v>12352</v>
      </c>
      <c r="I153" s="20" t="n">
        <v>17320</v>
      </c>
      <c r="J153" s="20" t="n">
        <v>21792</v>
      </c>
      <c r="K153" s="20" t="n">
        <v>22730</v>
      </c>
      <c r="L153" s="20" t="n">
        <v>23277</v>
      </c>
    </row>
    <row r="154">
      <c r="A154" s="9" t="inlineStr">
        <is>
          <t>유동자산 합계</t>
        </is>
      </c>
      <c r="C154" s="12" t="n">
        <v>617326</v>
      </c>
      <c r="G154" s="12" t="n">
        <v>723559</v>
      </c>
      <c r="H154" s="12" t="n">
        <v>517645</v>
      </c>
      <c r="I154" s="12" t="n">
        <v>715119</v>
      </c>
      <c r="J154" s="12" t="n">
        <v>800673</v>
      </c>
      <c r="K154" s="12" t="n">
        <v>617326</v>
      </c>
      <c r="L154" s="12" t="n">
        <v>723559</v>
      </c>
    </row>
    <row r="155">
      <c r="A155" s="18" t="inlineStr">
        <is>
          <t>유형자산</t>
        </is>
      </c>
      <c r="C155" s="20" t="n">
        <v>341447</v>
      </c>
      <c r="G155" s="20" t="n">
        <v>355835</v>
      </c>
      <c r="H155" s="20" t="n">
        <v>198165</v>
      </c>
      <c r="I155" s="20" t="n">
        <v>208042</v>
      </c>
      <c r="J155" s="20" t="n">
        <v>266139</v>
      </c>
      <c r="K155" s="20" t="n">
        <v>341447</v>
      </c>
      <c r="L155" s="20" t="n">
        <v>355835</v>
      </c>
    </row>
    <row r="156">
      <c r="A156" s="18" t="inlineStr">
        <is>
          <t>영업권</t>
        </is>
      </c>
      <c r="C156" s="20" t="n">
        <v>2256169</v>
      </c>
      <c r="G156" s="20" t="n">
        <v>2239337</v>
      </c>
      <c r="H156" s="20" t="n">
        <v>1089452</v>
      </c>
      <c r="I156" s="20" t="n">
        <v>1264275</v>
      </c>
      <c r="J156" s="20" t="n">
        <v>1362131</v>
      </c>
      <c r="K156" s="20" t="n">
        <v>2256169</v>
      </c>
      <c r="L156" s="20" t="n">
        <v>2239337</v>
      </c>
    </row>
    <row r="157">
      <c r="A157" s="18" t="inlineStr">
        <is>
          <t>무형자산</t>
        </is>
      </c>
      <c r="C157" s="20" t="n">
        <v>724768</v>
      </c>
      <c r="G157" s="20" t="n">
        <v>593324</v>
      </c>
      <c r="H157" s="20" t="n">
        <v>534778</v>
      </c>
      <c r="I157" s="20" t="n">
        <v>488839</v>
      </c>
      <c r="J157" s="20" t="n">
        <v>421847</v>
      </c>
      <c r="K157" s="20" t="n">
        <v>724768</v>
      </c>
      <c r="L157" s="20" t="n">
        <v>593324</v>
      </c>
    </row>
    <row r="158">
      <c r="A158" s="18" t="inlineStr">
        <is>
          <t>지분법 투자</t>
        </is>
      </c>
      <c r="C158" s="20" t="n">
        <v>328</v>
      </c>
      <c r="G158" s="20" t="n">
        <v>825</v>
      </c>
      <c r="J158" s="20" t="n">
        <v>0</v>
      </c>
      <c r="K158" s="20" t="n">
        <v>328</v>
      </c>
      <c r="L158" s="20" t="n">
        <v>825</v>
      </c>
    </row>
    <row r="159">
      <c r="A159" s="18" t="inlineStr">
        <is>
          <t>기타금융자산</t>
        </is>
      </c>
      <c r="C159" s="20" t="n">
        <v>450702</v>
      </c>
      <c r="G159" s="20" t="n">
        <v>168363</v>
      </c>
      <c r="H159" s="20" t="n">
        <v>34633</v>
      </c>
      <c r="I159" s="20" t="n">
        <v>84149</v>
      </c>
      <c r="J159" s="20" t="n">
        <v>255230</v>
      </c>
      <c r="K159" s="20" t="n">
        <v>450702</v>
      </c>
      <c r="L159" s="20" t="n">
        <v>168363</v>
      </c>
    </row>
    <row r="160">
      <c r="A160" s="18" t="inlineStr">
        <is>
          <t>이연법인세자산</t>
        </is>
      </c>
      <c r="C160" s="20" t="n">
        <v>47107</v>
      </c>
      <c r="G160" s="20" t="n">
        <v>51414</v>
      </c>
      <c r="H160" s="20" t="n">
        <v>42537</v>
      </c>
      <c r="I160" s="20" t="n">
        <v>37876</v>
      </c>
      <c r="J160" s="20" t="n">
        <v>43385</v>
      </c>
      <c r="K160" s="20" t="n">
        <v>47107</v>
      </c>
      <c r="L160" s="20" t="n">
        <v>51414</v>
      </c>
    </row>
    <row r="161">
      <c r="A161" s="18" t="inlineStr">
        <is>
          <t>기타비유동자산</t>
        </is>
      </c>
      <c r="C161" s="20" t="n">
        <v>52589</v>
      </c>
      <c r="G161" s="20" t="n">
        <v>44506</v>
      </c>
      <c r="H161" s="20" t="n">
        <v>9091</v>
      </c>
      <c r="I161" s="20" t="n">
        <v>14191</v>
      </c>
      <c r="J161" s="20" t="n">
        <v>17598</v>
      </c>
      <c r="K161" s="20" t="n">
        <v>52589</v>
      </c>
      <c r="L161" s="20" t="n">
        <v>44506</v>
      </c>
    </row>
    <row r="162">
      <c r="A162" s="18" t="inlineStr">
        <is>
          <t>비유동자산 합계</t>
        </is>
      </c>
      <c r="C162" s="20" t="n">
        <v>3873110</v>
      </c>
      <c r="G162" s="20" t="n">
        <v>3453604</v>
      </c>
      <c r="H162" s="20" t="n">
        <v>1908656</v>
      </c>
      <c r="I162" s="20" t="n">
        <v>2097372</v>
      </c>
      <c r="J162" s="20" t="n">
        <v>2366330</v>
      </c>
      <c r="K162" s="20" t="n">
        <v>3873110</v>
      </c>
      <c r="L162" s="20" t="n">
        <v>3453604</v>
      </c>
    </row>
    <row r="163">
      <c r="A163" s="18" t="inlineStr">
        <is>
          <t>자산 합계</t>
        </is>
      </c>
      <c r="C163" s="20" t="n">
        <v>4490436</v>
      </c>
      <c r="G163" s="20" t="n">
        <v>4177163</v>
      </c>
      <c r="H163" s="20" t="n">
        <v>2426301</v>
      </c>
      <c r="I163" s="20" t="n">
        <v>2812491</v>
      </c>
      <c r="J163" s="20" t="n">
        <v>3167003</v>
      </c>
      <c r="K163" s="20" t="n">
        <v>4490436</v>
      </c>
      <c r="L163" s="20" t="n">
        <v>4177163</v>
      </c>
    </row>
    <row r="164">
      <c r="A164" s="18" t="inlineStr">
        <is>
          <t>영업채무 및 기타채무</t>
        </is>
      </c>
      <c r="C164" s="20" t="n">
        <v>231029</v>
      </c>
      <c r="G164" s="20" t="n">
        <v>219167</v>
      </c>
      <c r="H164" s="20" t="n">
        <v>204330</v>
      </c>
      <c r="I164" s="20" t="n">
        <v>222941</v>
      </c>
      <c r="J164" s="20" t="n">
        <v>243192</v>
      </c>
      <c r="K164" s="20" t="n">
        <v>231029</v>
      </c>
      <c r="L164" s="20" t="n">
        <v>219167</v>
      </c>
    </row>
    <row r="165">
      <c r="A165" s="18" t="inlineStr">
        <is>
          <t>사채 및 차입금</t>
        </is>
      </c>
      <c r="C165" s="20" t="n">
        <v>144137</v>
      </c>
      <c r="G165" s="20" t="n">
        <v>242478</v>
      </c>
      <c r="H165" s="20" t="n">
        <v>121105</v>
      </c>
      <c r="I165" s="20" t="n">
        <v>120005</v>
      </c>
      <c r="J165" s="20" t="n">
        <v>425312</v>
      </c>
      <c r="K165" s="20" t="n">
        <v>144137</v>
      </c>
      <c r="L165" s="20" t="n">
        <v>242478</v>
      </c>
    </row>
    <row r="166">
      <c r="A166" s="18" t="inlineStr">
        <is>
          <t>기타금융부채</t>
        </is>
      </c>
      <c r="C166" s="20" t="n">
        <v>8071</v>
      </c>
      <c r="G166" s="20" t="n">
        <v>9477</v>
      </c>
      <c r="H166" s="20" t="n">
        <v>11595</v>
      </c>
      <c r="I166" s="20" t="n">
        <v>13838</v>
      </c>
      <c r="J166" s="20" t="n">
        <v>24311</v>
      </c>
      <c r="K166" s="20" t="n">
        <v>8071</v>
      </c>
      <c r="L166" s="20" t="n">
        <v>9477</v>
      </c>
    </row>
    <row r="167">
      <c r="A167" s="18" t="inlineStr">
        <is>
          <t>미지급법인세</t>
        </is>
      </c>
      <c r="C167" s="20" t="n">
        <v>5930</v>
      </c>
      <c r="G167" s="20" t="n">
        <v>24377</v>
      </c>
      <c r="H167" s="20" t="n">
        <v>22050</v>
      </c>
      <c r="I167" s="20" t="n">
        <v>79025</v>
      </c>
      <c r="J167" s="20" t="n">
        <v>41414</v>
      </c>
      <c r="K167" s="20" t="n">
        <v>5930</v>
      </c>
      <c r="L167" s="20" t="n">
        <v>24377</v>
      </c>
    </row>
    <row r="168">
      <c r="A168" s="18" t="inlineStr">
        <is>
          <t>충당금</t>
        </is>
      </c>
      <c r="C168" s="20" t="n">
        <v>11273</v>
      </c>
      <c r="G168" s="20" t="n">
        <v>4099</v>
      </c>
      <c r="H168" s="20" t="n">
        <v>11185</v>
      </c>
      <c r="I168" s="20" t="n">
        <v>8099</v>
      </c>
      <c r="J168" s="20" t="n">
        <v>11215</v>
      </c>
      <c r="K168" s="20" t="n">
        <v>11273</v>
      </c>
      <c r="L168" s="20" t="n">
        <v>4099</v>
      </c>
    </row>
    <row r="169">
      <c r="A169" s="18" t="inlineStr">
        <is>
          <t>기타유동부채</t>
        </is>
      </c>
      <c r="C169" s="20" t="n">
        <v>90998</v>
      </c>
      <c r="G169" s="20" t="n">
        <v>116782</v>
      </c>
      <c r="H169" s="20" t="n">
        <v>75623</v>
      </c>
      <c r="I169" s="20" t="n">
        <v>81565</v>
      </c>
      <c r="J169" s="20" t="n">
        <v>83281</v>
      </c>
      <c r="K169" s="20" t="n">
        <v>90998</v>
      </c>
      <c r="L169" s="20" t="n">
        <v>116782</v>
      </c>
    </row>
    <row r="170">
      <c r="A170" s="18" t="inlineStr">
        <is>
          <t>유동부채 합계</t>
        </is>
      </c>
      <c r="C170" s="20" t="n">
        <v>491438</v>
      </c>
      <c r="G170" s="20" t="n">
        <v>616380</v>
      </c>
      <c r="H170" s="20" t="n">
        <v>445888</v>
      </c>
      <c r="I170" s="20" t="n">
        <v>525473</v>
      </c>
      <c r="J170" s="20" t="n">
        <v>828725</v>
      </c>
      <c r="K170" s="20" t="n">
        <v>491438</v>
      </c>
      <c r="L170" s="20" t="n">
        <v>616380</v>
      </c>
    </row>
    <row r="171">
      <c r="A171" s="18" t="inlineStr">
        <is>
          <t>영업채무 및 기타채무</t>
        </is>
      </c>
      <c r="C171" s="20" t="n">
        <v>22938</v>
      </c>
      <c r="G171" s="20" t="n">
        <v>7070</v>
      </c>
      <c r="H171" s="20" t="n">
        <v>15100</v>
      </c>
      <c r="I171" s="20" t="n">
        <v>3382</v>
      </c>
      <c r="J171" s="20" t="n">
        <v>4140</v>
      </c>
      <c r="K171" s="20" t="n">
        <v>22938</v>
      </c>
      <c r="L171" s="20" t="n">
        <v>7070</v>
      </c>
    </row>
    <row r="172">
      <c r="A172" s="18" t="inlineStr">
        <is>
          <t>사채 및 차입금</t>
        </is>
      </c>
      <c r="C172" s="20" t="n">
        <v>1256535</v>
      </c>
      <c r="H172" s="20" t="n">
        <v>692983</v>
      </c>
      <c r="I172" s="20" t="n">
        <v>635738</v>
      </c>
      <c r="J172" s="20" t="n">
        <v>225636</v>
      </c>
      <c r="K172" s="20" t="n">
        <v>1256535</v>
      </c>
    </row>
    <row r="173">
      <c r="A173" s="18" t="inlineStr">
        <is>
          <t>차입금</t>
        </is>
      </c>
      <c r="C173" s="20" t="n">
        <v>1122281</v>
      </c>
      <c r="G173" s="20" t="n">
        <v>964089</v>
      </c>
      <c r="K173" s="20" t="n">
        <v>1122281</v>
      </c>
      <c r="L173" s="20" t="n">
        <v>964089</v>
      </c>
    </row>
    <row r="174">
      <c r="A174" s="18" t="inlineStr">
        <is>
          <t>기타금융부채</t>
        </is>
      </c>
      <c r="C174" s="20" t="n">
        <v>15616</v>
      </c>
      <c r="G174" s="20" t="n">
        <v>14598</v>
      </c>
      <c r="H174" s="20" t="n">
        <v>11868</v>
      </c>
      <c r="I174" s="20" t="n">
        <v>11301</v>
      </c>
      <c r="J174" s="20" t="n">
        <v>11371</v>
      </c>
      <c r="K174" s="20" t="n">
        <v>15616</v>
      </c>
      <c r="L174" s="20" t="n">
        <v>14598</v>
      </c>
    </row>
    <row r="175">
      <c r="A175" s="18" t="inlineStr">
        <is>
          <t>미지급법인세</t>
        </is>
      </c>
      <c r="C175" s="20" t="n">
        <v>6537</v>
      </c>
      <c r="G175" s="20" t="n">
        <v>4393</v>
      </c>
      <c r="H175" s="20" t="n">
        <v>3792</v>
      </c>
      <c r="I175" s="20" t="n">
        <v>2551</v>
      </c>
      <c r="J175" s="20" t="n">
        <v>2757</v>
      </c>
      <c r="K175" s="20" t="n">
        <v>6537</v>
      </c>
      <c r="L175" s="20" t="n">
        <v>4393</v>
      </c>
    </row>
    <row r="176">
      <c r="A176" s="18" t="inlineStr">
        <is>
          <t>퇴직급여부채</t>
        </is>
      </c>
      <c r="C176" s="20" t="n">
        <v>23564</v>
      </c>
      <c r="G176" s="20" t="n">
        <v>22516</v>
      </c>
      <c r="H176" s="20" t="n">
        <v>27926</v>
      </c>
      <c r="I176" s="20" t="n">
        <v>24102</v>
      </c>
      <c r="J176" s="20" t="n">
        <v>24598</v>
      </c>
      <c r="K176" s="20" t="n">
        <v>23564</v>
      </c>
      <c r="L176" s="20" t="n">
        <v>22516</v>
      </c>
    </row>
    <row r="177">
      <c r="A177" s="18" t="inlineStr">
        <is>
          <t>충당금</t>
        </is>
      </c>
      <c r="C177" s="20" t="n">
        <v>3066</v>
      </c>
      <c r="G177" s="20" t="n">
        <v>3551</v>
      </c>
      <c r="H177" s="20" t="n">
        <v>3795</v>
      </c>
      <c r="I177" s="20" t="n">
        <v>3289</v>
      </c>
      <c r="J177" s="20" t="n">
        <v>3265</v>
      </c>
      <c r="K177" s="20" t="n">
        <v>3066</v>
      </c>
      <c r="L177" s="20" t="n">
        <v>3551</v>
      </c>
    </row>
    <row r="178">
      <c r="A178" s="18" t="inlineStr">
        <is>
          <t>이연법인세부채</t>
        </is>
      </c>
      <c r="C178" s="20" t="n">
        <v>117151</v>
      </c>
      <c r="G178" s="20" t="n">
        <v>83479</v>
      </c>
      <c r="H178" s="20" t="n">
        <v>65788</v>
      </c>
      <c r="I178" s="20" t="n">
        <v>63757</v>
      </c>
      <c r="J178" s="20" t="n">
        <v>53528</v>
      </c>
      <c r="K178" s="20" t="n">
        <v>117151</v>
      </c>
      <c r="L178" s="20" t="n">
        <v>83479</v>
      </c>
    </row>
    <row r="179">
      <c r="A179" s="18" t="inlineStr">
        <is>
          <t>기타비유동부채</t>
        </is>
      </c>
      <c r="C179" s="20" t="n">
        <v>145547</v>
      </c>
      <c r="G179" s="20" t="n">
        <v>12636</v>
      </c>
      <c r="H179" s="20" t="n">
        <v>5763</v>
      </c>
      <c r="I179" s="20" t="n">
        <v>5435</v>
      </c>
      <c r="J179" s="20" t="n">
        <v>7395</v>
      </c>
      <c r="K179" s="20" t="n">
        <v>145547</v>
      </c>
      <c r="L179" s="20" t="n">
        <v>12636</v>
      </c>
    </row>
    <row r="180">
      <c r="A180" s="18" t="inlineStr">
        <is>
          <t>비유동부채 합계</t>
        </is>
      </c>
      <c r="C180" s="20" t="n">
        <v>1456700</v>
      </c>
      <c r="G180" s="20" t="n">
        <v>1112332</v>
      </c>
      <c r="H180" s="20" t="n">
        <v>827015</v>
      </c>
      <c r="I180" s="20" t="n">
        <v>749555</v>
      </c>
      <c r="J180" s="20" t="n">
        <v>332690</v>
      </c>
      <c r="K180" s="20" t="n">
        <v>1456700</v>
      </c>
      <c r="L180" s="20" t="n">
        <v>1112332</v>
      </c>
    </row>
    <row r="181">
      <c r="A181" s="18" t="inlineStr">
        <is>
          <t>부채 합계</t>
        </is>
      </c>
      <c r="C181" s="20" t="n">
        <v>1948138</v>
      </c>
      <c r="G181" s="20" t="n">
        <v>1728712</v>
      </c>
      <c r="H181" s="20" t="n">
        <v>1272903</v>
      </c>
      <c r="I181" s="20" t="n">
        <v>1275028</v>
      </c>
      <c r="J181" s="20" t="n">
        <v>1161415</v>
      </c>
      <c r="K181" s="20" t="n">
        <v>1948138</v>
      </c>
      <c r="L181" s="20" t="n">
        <v>1728712</v>
      </c>
    </row>
    <row r="182">
      <c r="A182" s="18" t="inlineStr">
        <is>
          <t>자본금</t>
        </is>
      </c>
      <c r="C182" s="20" t="n">
        <v>153209</v>
      </c>
      <c r="G182" s="20" t="n">
        <v>153209</v>
      </c>
      <c r="H182" s="20" t="n">
        <v>147133</v>
      </c>
      <c r="I182" s="20" t="n">
        <v>153209</v>
      </c>
      <c r="J182" s="20" t="n">
        <v>153209</v>
      </c>
      <c r="K182" s="20" t="n">
        <v>153209</v>
      </c>
      <c r="L182" s="20" t="n">
        <v>153209</v>
      </c>
    </row>
    <row r="183">
      <c r="A183" s="18" t="inlineStr">
        <is>
          <t>자본잉여금</t>
        </is>
      </c>
      <c r="C183" s="20" t="n">
        <v>289377</v>
      </c>
      <c r="G183" s="20" t="n">
        <v>299286</v>
      </c>
      <c r="H183" s="20" t="n">
        <v>337989</v>
      </c>
      <c r="I183" s="20" t="n">
        <v>348446</v>
      </c>
      <c r="J183" s="20" t="n">
        <v>359398</v>
      </c>
      <c r="K183" s="20" t="n">
        <v>289377</v>
      </c>
      <c r="L183" s="20" t="n">
        <v>299286</v>
      </c>
    </row>
    <row r="184">
      <c r="A184" s="18" t="inlineStr">
        <is>
          <t>이익잉여금</t>
        </is>
      </c>
      <c r="C184" s="20" t="n">
        <v>1308948</v>
      </c>
      <c r="G184" s="20" t="n">
        <v>1213791</v>
      </c>
      <c r="H184" s="20" t="n">
        <v>570292</v>
      </c>
      <c r="I184" s="20" t="n">
        <v>828582</v>
      </c>
      <c r="J184" s="20" t="n">
        <v>1157236</v>
      </c>
      <c r="K184" s="20" t="n">
        <v>1308948</v>
      </c>
      <c r="L184" s="20" t="n">
        <v>1213791</v>
      </c>
    </row>
    <row r="185">
      <c r="A185" s="18" t="inlineStr">
        <is>
          <t>자기주식</t>
        </is>
      </c>
      <c r="C185" s="20" t="n">
        <v>-92120</v>
      </c>
      <c r="G185" s="20" t="n">
        <v>-70012</v>
      </c>
      <c r="H185" s="20" t="n">
        <v>-11</v>
      </c>
      <c r="I185" s="20" t="n">
        <v>-192171</v>
      </c>
      <c r="J185" s="20" t="n">
        <v>-217691</v>
      </c>
      <c r="K185" s="20" t="n">
        <v>-92120</v>
      </c>
      <c r="L185" s="20" t="n">
        <v>-70012</v>
      </c>
    </row>
    <row r="186">
      <c r="A186" s="18" t="inlineStr">
        <is>
          <t>기타자본구성요소</t>
        </is>
      </c>
      <c r="C186" s="20" t="n">
        <v>877968</v>
      </c>
      <c r="G186" s="20" t="n">
        <v>846760</v>
      </c>
      <c r="H186" s="20" t="n">
        <v>94678</v>
      </c>
      <c r="I186" s="20" t="n">
        <v>395669</v>
      </c>
      <c r="J186" s="20" t="n">
        <v>549401</v>
      </c>
      <c r="K186" s="20" t="n">
        <v>877968</v>
      </c>
      <c r="L186" s="20" t="n">
        <v>846760</v>
      </c>
    </row>
    <row r="187">
      <c r="A187" s="18" t="inlineStr">
        <is>
          <t>지배기업 소유주 귀속 지분 합계</t>
        </is>
      </c>
      <c r="C187" s="20" t="n">
        <v>2537382</v>
      </c>
      <c r="G187" s="20" t="n">
        <v>2443034</v>
      </c>
      <c r="H187" s="20" t="n">
        <v>1150081</v>
      </c>
      <c r="I187" s="20" t="n">
        <v>1533735</v>
      </c>
      <c r="J187" s="20" t="n">
        <v>2001553</v>
      </c>
      <c r="K187" s="20" t="n">
        <v>2537382</v>
      </c>
      <c r="L187" s="20" t="n">
        <v>2443034</v>
      </c>
    </row>
    <row r="188">
      <c r="A188" s="18" t="inlineStr">
        <is>
          <t>비지배지분</t>
        </is>
      </c>
      <c r="C188" s="20" t="n">
        <v>4916</v>
      </c>
      <c r="G188" s="20" t="n">
        <v>5417</v>
      </c>
      <c r="H188" s="20" t="n">
        <v>3317</v>
      </c>
      <c r="I188" s="20" t="n">
        <v>3728</v>
      </c>
      <c r="J188" s="20" t="n">
        <v>4035</v>
      </c>
      <c r="K188" s="20" t="n">
        <v>4916</v>
      </c>
      <c r="L188" s="20" t="n">
        <v>5417</v>
      </c>
    </row>
    <row r="189">
      <c r="A189" s="18" t="inlineStr">
        <is>
          <t>자본 합계</t>
        </is>
      </c>
      <c r="C189" s="20" t="n">
        <v>2542298</v>
      </c>
      <c r="G189" s="20" t="n">
        <v>2448451</v>
      </c>
      <c r="H189" s="20" t="n">
        <v>1153398</v>
      </c>
      <c r="I189" s="20" t="n">
        <v>1537463</v>
      </c>
      <c r="J189" s="20" t="n">
        <v>2005588</v>
      </c>
      <c r="K189" s="20" t="n">
        <v>2542298</v>
      </c>
      <c r="L189" s="20" t="n">
        <v>2448451</v>
      </c>
    </row>
    <row r="190">
      <c r="A190" s="18" t="inlineStr">
        <is>
          <t>부채및자본 합계</t>
        </is>
      </c>
      <c r="C190" s="20" t="n">
        <v>4490436</v>
      </c>
      <c r="G190" s="20" t="n">
        <v>4177163</v>
      </c>
      <c r="H190" s="20" t="n">
        <v>2426301</v>
      </c>
      <c r="I190" s="20" t="n">
        <v>2812491</v>
      </c>
      <c r="J190" s="20" t="n">
        <v>3167003</v>
      </c>
      <c r="K190" s="20" t="n">
        <v>4490436</v>
      </c>
      <c r="L190" s="20" t="n">
        <v>4177163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2026-02-05</t>
        </is>
      </c>
      <c r="B4" t="inlineStr">
        <is>
          <t>2025년 12월 결산기 연간 결산단신</t>
        </is>
      </c>
      <c r="C4" t="inlineStr">
        <is>
          <t>https://www2.jpx.co.jp/disc/67230/140120260204546960.pdf</t>
        </is>
      </c>
    </row>
    <row r="5">
      <c r="A5" t="inlineStr">
        <is>
          <t>2025-02-06</t>
        </is>
      </c>
      <c r="B5" t="inlineStr">
        <is>
          <t>2024년 12월 결산기 연간 결산단신</t>
        </is>
      </c>
      <c r="C5" t="inlineStr">
        <is>
          <t>https://www2.jpx.co.jp/disc/67230/140120250205564373.pdf</t>
        </is>
      </c>
    </row>
    <row r="6">
      <c r="A6" t="inlineStr">
        <is>
          <t>2024-02-08</t>
        </is>
      </c>
      <c r="B6" t="inlineStr">
        <is>
          <t>2023년 12월 결산기 연간 결산단신</t>
        </is>
      </c>
      <c r="C6" t="inlineStr">
        <is>
          <t>https://www2.jpx.co.jp/disc/67230/140120240208529283.pdf</t>
        </is>
      </c>
    </row>
    <row r="7">
      <c r="A7" t="inlineStr">
        <is>
          <t>2023-02-09</t>
        </is>
      </c>
      <c r="B7" t="inlineStr">
        <is>
          <t>2022년 12월 결산기 연간 결산단신</t>
        </is>
      </c>
      <c r="C7" t="inlineStr">
        <is>
          <t>https://www2.jpx.co.jp/disc/67230/140120230209504478.pdf</t>
        </is>
      </c>
    </row>
    <row r="8">
      <c r="A8" t="inlineStr">
        <is>
          <t>2022-02-09</t>
        </is>
      </c>
      <c r="B8" t="inlineStr">
        <is>
          <t>2021년 12월 결산기 연간 결산단신</t>
        </is>
      </c>
      <c r="C8" t="inlineStr">
        <is>
          <t>https://www2.jpx.co.jp/disc/67230/140120220207581724.pdf</t>
        </is>
      </c>
    </row>
    <row r="9">
      <c r="A9" t="inlineStr">
        <is>
          <t>2021-02-10</t>
        </is>
      </c>
      <c r="B9" t="inlineStr">
        <is>
          <t>2020년 12월 결산기 연간 결산단신</t>
        </is>
      </c>
      <c r="C9" t="inlineStr">
        <is>
          <t>https://www2.jpx.co.jp/disc/67230/140120210210460793.pdf</t>
        </is>
      </c>
    </row>
    <row r="10">
      <c r="A10" t="inlineStr">
        <is>
          <t>2020-02-12</t>
        </is>
      </c>
      <c r="B10" t="inlineStr">
        <is>
          <t>2019년 12월 결산기 연간 결산단신</t>
        </is>
      </c>
      <c r="C10" t="inlineStr">
        <is>
          <t>https://www2.jpx.co.jp/disc/67230/140120200210461599.pdf</t>
        </is>
      </c>
    </row>
    <row r="11">
      <c r="A11" t="inlineStr">
        <is>
          <t>2019-02-08</t>
        </is>
      </c>
      <c r="B11" t="inlineStr">
        <is>
          <t>2018년 12월 결산기 연간 결산단신</t>
        </is>
      </c>
      <c r="C11" t="inlineStr">
        <is>
          <t>https://www2.jpx.co.jp/disc/67230/140120190208473218.pdf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2026-10-25T13:43:29Z</dcterms:created>
  <dcterms:modified xmlns:dcterms="http://purl.org/dc/terms/" xmlns:xsi="http://www.w3.org/2001/XMLSchema-instance" xsi:type="dcterms:W3CDTF">2026-10-25T13:43:29Z</dcterms:modified>
</cp:coreProperties>
</file>